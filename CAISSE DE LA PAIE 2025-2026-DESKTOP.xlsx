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Objects="none"/>
  <mc:AlternateContent xmlns:mc="http://schemas.openxmlformats.org/markup-compatibility/2006">
    <mc:Choice Requires="x15">
      <x15ac:absPath xmlns:x15ac="http://schemas.microsoft.com/office/spreadsheetml/2010/11/ac" url="C:\Users\ACHRAF\OneDrive\Bureau\ACHRAF 2025 -2026\"/>
    </mc:Choice>
  </mc:AlternateContent>
  <bookViews>
    <workbookView xWindow="0" yWindow="0" windowWidth="20490" windowHeight="9915" activeTab="1"/>
  </bookViews>
  <sheets>
    <sheet name="Récap" sheetId="1" r:id="rId1"/>
    <sheet name="Liste de la paie" sheetId="4" r:id="rId2"/>
    <sheet name="ETAT EMARGEMENT" sheetId="7" r:id="rId3"/>
    <sheet name="PV de la Paie" sheetId="6" r:id="rId4"/>
  </sheets>
  <definedNames>
    <definedName name="_xlnm._FilterDatabase" localSheetId="2" hidden="1">'ETAT EMARGEMENT'!$A$4:$F$4</definedName>
    <definedName name="_xlnm._FilterDatabase" localSheetId="1" hidden="1">'Liste de la paie'!$A$3:$N$6939</definedName>
    <definedName name="_xlnm.Print_Area" localSheetId="2">'ETAT EMARGEMENT'!$A$1:$F$232</definedName>
    <definedName name="_xlnm.Print_Area" localSheetId="1">'Liste de la paie'!$C$6682:$H$6863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A0r0CKbWLMpNDyDwJSZKhyLp+FhIzhthWktk5kiyLjw="/>
    </ext>
  </extLst>
</workbook>
</file>

<file path=xl/calcChain.xml><?xml version="1.0" encoding="utf-8"?>
<calcChain xmlns="http://schemas.openxmlformats.org/spreadsheetml/2006/main">
  <c r="B20" i="1" l="1"/>
  <c r="B21" i="1"/>
  <c r="L6938" i="4" l="1"/>
  <c r="L6939" i="4"/>
  <c r="L6937" i="4"/>
  <c r="L6936" i="4"/>
  <c r="L6935" i="4"/>
  <c r="L6934" i="4"/>
  <c r="L6933" i="4"/>
  <c r="L6932" i="4"/>
  <c r="L6931" i="4"/>
  <c r="L6930" i="4"/>
  <c r="L6929" i="4"/>
  <c r="L6928" i="4"/>
  <c r="L6927" i="4"/>
  <c r="L6926" i="4"/>
  <c r="L6925" i="4"/>
  <c r="L6924" i="4"/>
  <c r="L6923" i="4"/>
  <c r="L6922" i="4"/>
  <c r="L6921" i="4"/>
  <c r="L6920" i="4"/>
  <c r="L6919" i="4"/>
  <c r="L6918" i="4"/>
  <c r="L6917" i="4"/>
  <c r="L6916" i="4"/>
  <c r="L6915" i="4"/>
  <c r="L6914" i="4"/>
  <c r="L6913" i="4"/>
  <c r="L6912" i="4"/>
  <c r="L6911" i="4"/>
  <c r="L6910" i="4"/>
  <c r="L6909" i="4"/>
  <c r="L6908" i="4"/>
  <c r="L6907" i="4"/>
  <c r="L6906" i="4"/>
  <c r="L6905" i="4"/>
  <c r="L6904" i="4"/>
  <c r="L6903" i="4"/>
  <c r="L6902" i="4"/>
  <c r="L6901" i="4"/>
  <c r="L6900" i="4"/>
  <c r="L6899" i="4"/>
  <c r="L6898" i="4"/>
  <c r="L6897" i="4"/>
  <c r="L6896" i="4"/>
  <c r="L6895" i="4"/>
  <c r="L6894" i="4"/>
  <c r="L6893" i="4"/>
  <c r="L6892" i="4"/>
  <c r="L6891" i="4"/>
  <c r="L6890" i="4"/>
  <c r="L6889" i="4"/>
  <c r="L6888" i="4"/>
  <c r="L6887" i="4"/>
  <c r="L6886" i="4"/>
  <c r="L6885" i="4"/>
  <c r="L6884" i="4"/>
  <c r="L6883" i="4"/>
  <c r="L6882" i="4"/>
  <c r="L6881" i="4"/>
  <c r="L6880" i="4"/>
  <c r="L6879" i="4"/>
  <c r="L6878" i="4"/>
  <c r="L6877" i="4"/>
  <c r="L6876" i="4"/>
  <c r="L6875" i="4"/>
  <c r="L6874" i="4"/>
  <c r="L6873" i="4"/>
  <c r="L6872" i="4"/>
  <c r="L6871" i="4"/>
  <c r="L6870" i="4"/>
  <c r="L6869" i="4"/>
  <c r="L6868" i="4"/>
  <c r="L6867" i="4"/>
  <c r="L6866" i="4"/>
  <c r="L6865" i="4"/>
  <c r="L6864" i="4"/>
  <c r="L6863" i="4"/>
  <c r="L6862" i="4"/>
  <c r="L6861" i="4"/>
  <c r="L6860" i="4"/>
  <c r="L6859" i="4"/>
  <c r="L6858" i="4"/>
  <c r="L6857" i="4"/>
  <c r="L6856" i="4"/>
  <c r="L6855" i="4"/>
  <c r="L6854" i="4"/>
  <c r="L6853" i="4"/>
  <c r="L6852" i="4"/>
  <c r="L6851" i="4"/>
  <c r="L6850" i="4"/>
  <c r="L6849" i="4"/>
  <c r="L6848" i="4"/>
  <c r="L6847" i="4"/>
  <c r="L6846" i="4"/>
  <c r="L6845" i="4"/>
  <c r="L6844" i="4"/>
  <c r="L6843" i="4"/>
  <c r="L6842" i="4"/>
  <c r="L6841" i="4"/>
  <c r="L6840" i="4"/>
  <c r="L6839" i="4"/>
  <c r="L6838" i="4"/>
  <c r="L6837" i="4"/>
  <c r="L6836" i="4"/>
  <c r="L6835" i="4"/>
  <c r="L6834" i="4"/>
  <c r="L6833" i="4"/>
  <c r="L6832" i="4"/>
  <c r="L6831" i="4"/>
  <c r="L6830" i="4"/>
  <c r="L6829" i="4"/>
  <c r="L6828" i="4"/>
  <c r="L6827" i="4"/>
  <c r="L6826" i="4"/>
  <c r="L6825" i="4"/>
  <c r="L6824" i="4"/>
  <c r="L6823" i="4"/>
  <c r="L6822" i="4"/>
  <c r="L6821" i="4"/>
  <c r="L6820" i="4"/>
  <c r="L6819" i="4"/>
  <c r="L6818" i="4"/>
  <c r="L6817" i="4"/>
  <c r="L6816" i="4"/>
  <c r="L6815" i="4"/>
  <c r="L6814" i="4"/>
  <c r="L6813" i="4"/>
  <c r="L6812" i="4"/>
  <c r="L6811" i="4"/>
  <c r="L6810" i="4"/>
  <c r="L6809" i="4"/>
  <c r="L6808" i="4"/>
  <c r="L6807" i="4"/>
  <c r="L6806" i="4"/>
  <c r="L6805" i="4"/>
  <c r="L6804" i="4"/>
  <c r="L6803" i="4"/>
  <c r="L6802" i="4"/>
  <c r="L6801" i="4"/>
  <c r="L6800" i="4"/>
  <c r="L6799" i="4"/>
  <c r="L6798" i="4"/>
  <c r="L6797" i="4"/>
  <c r="L6796" i="4"/>
  <c r="L6795" i="4"/>
  <c r="L6794" i="4"/>
  <c r="L6793" i="4"/>
  <c r="L6792" i="4"/>
  <c r="L6791" i="4"/>
  <c r="L6790" i="4"/>
  <c r="L6789" i="4"/>
  <c r="L6788" i="4"/>
  <c r="L6787" i="4"/>
  <c r="L6786" i="4"/>
  <c r="L6785" i="4"/>
  <c r="L6784" i="4"/>
  <c r="L6783" i="4"/>
  <c r="L6782" i="4"/>
  <c r="L6781" i="4"/>
  <c r="L6780" i="4"/>
  <c r="L6779" i="4"/>
  <c r="L6778" i="4"/>
  <c r="L6777" i="4"/>
  <c r="L6776" i="4"/>
  <c r="L6775" i="4"/>
  <c r="L6774" i="4"/>
  <c r="L6773" i="4"/>
  <c r="L6772" i="4"/>
  <c r="L6771" i="4"/>
  <c r="L6770" i="4"/>
  <c r="L6769" i="4"/>
  <c r="L6768" i="4"/>
  <c r="L6767" i="4"/>
  <c r="L6766" i="4"/>
  <c r="L6765" i="4"/>
  <c r="L6764" i="4"/>
  <c r="L6763" i="4"/>
  <c r="L6762" i="4"/>
  <c r="L6761" i="4"/>
  <c r="L6760" i="4"/>
  <c r="L6759" i="4"/>
  <c r="L6758" i="4"/>
  <c r="L6757" i="4"/>
  <c r="L6756" i="4"/>
  <c r="L6755" i="4"/>
  <c r="L6754" i="4"/>
  <c r="L6753" i="4"/>
  <c r="L6752" i="4"/>
  <c r="L6751" i="4"/>
  <c r="L6750" i="4"/>
  <c r="L6749" i="4"/>
  <c r="L6748" i="4"/>
  <c r="L6747" i="4"/>
  <c r="L6746" i="4"/>
  <c r="L6745" i="4"/>
  <c r="L6744" i="4"/>
  <c r="L6743" i="4"/>
  <c r="L6742" i="4"/>
  <c r="L6741" i="4"/>
  <c r="L6740" i="4"/>
  <c r="L6739" i="4"/>
  <c r="L6738" i="4"/>
  <c r="L6737" i="4"/>
  <c r="L6736" i="4"/>
  <c r="L6735" i="4"/>
  <c r="L6734" i="4"/>
  <c r="L6733" i="4"/>
  <c r="L6732" i="4"/>
  <c r="L6731" i="4"/>
  <c r="L6730" i="4"/>
  <c r="L6729" i="4"/>
  <c r="L6728" i="4"/>
  <c r="L6727" i="4"/>
  <c r="L6726" i="4"/>
  <c r="L6725" i="4"/>
  <c r="L6724" i="4"/>
  <c r="L6723" i="4"/>
  <c r="L6722" i="4"/>
  <c r="L6721" i="4"/>
  <c r="L6720" i="4"/>
  <c r="L6719" i="4"/>
  <c r="L6718" i="4"/>
  <c r="L6717" i="4"/>
  <c r="L6716" i="4"/>
  <c r="L6715" i="4"/>
  <c r="L6714" i="4"/>
  <c r="L6713" i="4"/>
  <c r="L6712" i="4"/>
  <c r="L6711" i="4"/>
  <c r="L6710" i="4"/>
  <c r="L6709" i="4"/>
  <c r="L6708" i="4"/>
  <c r="L6707" i="4"/>
  <c r="L6706" i="4"/>
  <c r="L6705" i="4"/>
  <c r="L6704" i="4"/>
  <c r="L6703" i="4"/>
  <c r="L6702" i="4"/>
  <c r="L6701" i="4"/>
  <c r="L6700" i="4"/>
  <c r="L6699" i="4"/>
  <c r="L6698" i="4"/>
  <c r="L6697" i="4"/>
  <c r="L6696" i="4"/>
  <c r="L6695" i="4"/>
  <c r="L6694" i="4"/>
  <c r="L6693" i="4"/>
  <c r="L6692" i="4"/>
  <c r="L6691" i="4"/>
  <c r="L6690" i="4"/>
  <c r="L6689" i="4"/>
  <c r="L6688" i="4"/>
  <c r="L6687" i="4"/>
  <c r="L6686" i="4"/>
  <c r="L6685" i="4"/>
  <c r="L6684" i="4"/>
  <c r="L6683" i="4"/>
  <c r="L6682" i="4"/>
  <c r="L6681" i="4"/>
  <c r="L6680" i="4"/>
  <c r="L6679" i="4"/>
  <c r="L6678" i="4"/>
  <c r="L6677" i="4"/>
  <c r="L6676" i="4"/>
  <c r="L6675" i="4"/>
  <c r="L6674" i="4"/>
  <c r="L6673" i="4"/>
  <c r="L6672" i="4"/>
  <c r="L6671" i="4"/>
  <c r="L6670" i="4"/>
  <c r="L6669" i="4"/>
  <c r="L6668" i="4"/>
  <c r="L6667" i="4"/>
  <c r="L6666" i="4"/>
  <c r="L6665" i="4"/>
  <c r="L6664" i="4"/>
  <c r="L6663" i="4"/>
  <c r="L1936" i="4" l="1"/>
  <c r="L1213" i="4"/>
  <c r="L1230" i="4"/>
  <c r="L1958" i="4" l="1"/>
  <c r="L965" i="4" l="1"/>
  <c r="L968" i="4"/>
  <c r="L962" i="4"/>
  <c r="L979" i="4"/>
  <c r="L966" i="4"/>
  <c r="L1023" i="4"/>
  <c r="L976" i="4"/>
  <c r="L1001" i="4"/>
  <c r="L1002" i="4"/>
  <c r="L977" i="4"/>
  <c r="L971" i="4"/>
  <c r="L969" i="4"/>
  <c r="L1010" i="4"/>
  <c r="L1011" i="4"/>
  <c r="L1003" i="4"/>
  <c r="L1082" i="4"/>
  <c r="L978" i="4"/>
  <c r="L980" i="4"/>
  <c r="L982" i="4"/>
  <c r="L983" i="4"/>
  <c r="L1012" i="4"/>
  <c r="L1013" i="4"/>
  <c r="L1014" i="4"/>
  <c r="L984" i="4"/>
  <c r="L1004" i="4"/>
  <c r="L1005" i="4"/>
  <c r="L1015" i="4"/>
  <c r="L1016" i="4"/>
  <c r="L1017" i="4"/>
  <c r="L1065" i="4"/>
  <c r="L1063" i="4"/>
  <c r="L1066" i="4"/>
  <c r="L1067" i="4"/>
  <c r="L1088" i="4"/>
  <c r="L1086" i="4"/>
  <c r="L1034" i="4"/>
  <c r="L1006" i="4"/>
  <c r="L1035" i="4"/>
  <c r="L1036" i="4"/>
  <c r="L1037" i="4"/>
  <c r="L963" i="4"/>
  <c r="L1007" i="4"/>
  <c r="L1051" i="4"/>
  <c r="L1089" i="4"/>
  <c r="L1008" i="4"/>
  <c r="L1090" i="4"/>
  <c r="L1068" i="4"/>
  <c r="L1038" i="4"/>
  <c r="L1039" i="4"/>
  <c r="L1052" i="4"/>
  <c r="L1040" i="4"/>
  <c r="L1041" i="4"/>
  <c r="L1042" i="4"/>
  <c r="L1053" i="4"/>
  <c r="L1043" i="4"/>
  <c r="L1044" i="4"/>
  <c r="L1045" i="4"/>
  <c r="L967" i="4"/>
  <c r="L1046" i="4"/>
  <c r="L1069" i="4"/>
  <c r="L1047" i="4"/>
  <c r="L1024" i="4"/>
  <c r="L1025" i="4"/>
  <c r="L1070" i="4"/>
  <c r="L1026" i="4"/>
  <c r="L1071" i="4"/>
  <c r="L1072" i="4"/>
  <c r="L1027" i="4"/>
  <c r="L1073" i="4"/>
  <c r="L1074" i="4"/>
  <c r="L1075" i="4"/>
  <c r="L981" i="4"/>
  <c r="L1048" i="4"/>
  <c r="L985" i="4"/>
  <c r="L986" i="4"/>
  <c r="L987" i="4"/>
  <c r="L988" i="4"/>
  <c r="L1083" i="4"/>
  <c r="L1076" i="4"/>
  <c r="L989" i="4"/>
  <c r="L1028" i="4"/>
  <c r="L990" i="4"/>
  <c r="L991" i="4"/>
  <c r="L992" i="4"/>
  <c r="L993" i="4"/>
  <c r="L994" i="4"/>
  <c r="L1077" i="4"/>
  <c r="L995" i="4"/>
  <c r="L1018" i="4"/>
  <c r="L996" i="4"/>
  <c r="L997" i="4"/>
  <c r="L964" i="4"/>
  <c r="L998" i="4"/>
  <c r="L1084" i="4"/>
  <c r="L972" i="4"/>
  <c r="L999" i="4"/>
  <c r="L1029" i="4"/>
  <c r="L1078" i="4"/>
  <c r="L1019" i="4"/>
  <c r="L1030" i="4"/>
  <c r="L1031" i="4"/>
  <c r="L1054" i="4"/>
  <c r="L1020" i="4"/>
  <c r="L1085" i="4"/>
  <c r="L1032" i="4"/>
  <c r="L973" i="4"/>
  <c r="L1087" i="4"/>
  <c r="L1055" i="4"/>
  <c r="L1049" i="4"/>
  <c r="L1056" i="4"/>
  <c r="L1057" i="4"/>
  <c r="L1058" i="4"/>
  <c r="L1059" i="4"/>
  <c r="L1060" i="4"/>
  <c r="L1021" i="4"/>
  <c r="L1061" i="4"/>
  <c r="L1079" i="4"/>
  <c r="L974" i="4"/>
  <c r="L1080" i="4"/>
  <c r="L975" i="4"/>
  <c r="L970" i="4"/>
  <c r="L1050" i="4"/>
  <c r="L1009" i="4"/>
  <c r="L1081" i="4"/>
  <c r="L1022" i="4"/>
  <c r="L1062" i="4"/>
  <c r="L1064" i="4"/>
  <c r="L1033" i="4"/>
  <c r="L1000" i="4"/>
  <c r="L1091" i="4"/>
  <c r="L1092" i="4"/>
  <c r="L1629" i="4" l="1"/>
  <c r="L1612" i="4"/>
  <c r="L1634" i="4"/>
  <c r="L1626" i="4"/>
  <c r="L1674" i="4"/>
  <c r="L1632" i="4"/>
  <c r="L1636" i="4"/>
  <c r="L1690" i="4"/>
  <c r="L1633" i="4"/>
  <c r="L1735" i="4"/>
  <c r="L1637" i="4"/>
  <c r="L1663" i="4"/>
  <c r="L1736" i="4"/>
  <c r="L1737" i="4"/>
  <c r="L1664" i="4"/>
  <c r="L1662" i="4"/>
  <c r="L1638" i="4"/>
  <c r="L1622" i="4"/>
  <c r="L1639" i="4"/>
  <c r="L1640" i="4"/>
  <c r="L1665" i="4"/>
  <c r="L1666" i="4"/>
  <c r="L1641" i="4"/>
  <c r="L1667" i="4"/>
  <c r="L1708" i="4"/>
  <c r="L1709" i="4"/>
  <c r="L1710" i="4"/>
  <c r="L1635" i="4"/>
  <c r="L1623" i="4"/>
  <c r="L1613" i="4"/>
  <c r="L1691" i="4"/>
  <c r="L1733" i="4"/>
  <c r="L1668" i="4"/>
  <c r="L1738" i="4"/>
  <c r="L1692" i="4"/>
  <c r="L1624" i="4"/>
  <c r="L1711" i="4"/>
  <c r="L1693" i="4"/>
  <c r="L1694" i="4"/>
  <c r="L1614" i="4"/>
  <c r="L1695" i="4"/>
  <c r="L1696" i="4"/>
  <c r="L1697" i="4"/>
  <c r="L1615" i="4"/>
  <c r="L1698" i="4"/>
  <c r="L1699" i="4"/>
  <c r="L1700" i="4"/>
  <c r="L1701" i="4"/>
  <c r="L1630" i="4"/>
  <c r="L1739" i="4"/>
  <c r="L1729" i="4"/>
  <c r="L1702" i="4"/>
  <c r="L1703" i="4"/>
  <c r="L1704" i="4"/>
  <c r="L1675" i="4"/>
  <c r="L1676" i="4"/>
  <c r="L1677" i="4"/>
  <c r="L1669" i="4"/>
  <c r="L1712" i="4"/>
  <c r="L1713" i="4"/>
  <c r="L1678" i="4"/>
  <c r="L1679" i="4"/>
  <c r="L1680" i="4"/>
  <c r="L1681" i="4"/>
  <c r="L1714" i="4"/>
  <c r="L1715" i="4"/>
  <c r="L1716" i="4"/>
  <c r="L1682" i="4"/>
  <c r="L1717" i="4"/>
  <c r="L1718" i="4"/>
  <c r="L1719" i="4"/>
  <c r="L1720" i="4"/>
  <c r="L1627" i="4"/>
  <c r="L1705" i="4"/>
  <c r="L1642" i="4"/>
  <c r="L1643" i="4"/>
  <c r="L1644" i="4"/>
  <c r="L1645" i="4"/>
  <c r="L1646" i="4"/>
  <c r="L1732" i="4"/>
  <c r="L1740" i="4"/>
  <c r="L1741" i="4"/>
  <c r="L1742" i="4"/>
  <c r="L1743" i="4"/>
  <c r="L1744" i="4"/>
  <c r="L1745" i="4"/>
  <c r="L1721" i="4"/>
  <c r="L1746" i="4"/>
  <c r="L1747" i="4"/>
  <c r="L1748" i="4"/>
  <c r="L1647" i="4"/>
  <c r="L1683" i="4"/>
  <c r="L1648" i="4"/>
  <c r="L1649" i="4"/>
  <c r="L1749" i="4"/>
  <c r="L1650" i="4"/>
  <c r="L1651" i="4"/>
  <c r="L1750" i="4"/>
  <c r="L1652" i="4"/>
  <c r="L1751" i="4"/>
  <c r="L1752" i="4"/>
  <c r="L1753" i="4"/>
  <c r="L1653" i="4"/>
  <c r="L1722" i="4"/>
  <c r="L1654" i="4"/>
  <c r="L1754" i="4"/>
  <c r="L1723" i="4"/>
  <c r="L1724" i="4"/>
  <c r="L1670" i="4"/>
  <c r="L1725" i="4"/>
  <c r="L1726" i="4"/>
  <c r="L1655" i="4"/>
  <c r="L1656" i="4"/>
  <c r="L1657" i="4"/>
  <c r="L1625" i="4"/>
  <c r="L1658" i="4"/>
  <c r="L1730" i="4"/>
  <c r="L1628" i="4"/>
  <c r="L1631" i="4"/>
  <c r="L1731" i="4"/>
  <c r="L1659" i="4"/>
  <c r="L1684" i="4"/>
  <c r="L1727" i="4"/>
  <c r="L1671" i="4"/>
  <c r="L1685" i="4"/>
  <c r="L1686" i="4"/>
  <c r="L1687" i="4"/>
  <c r="L1616" i="4"/>
  <c r="L1672" i="4"/>
  <c r="L1660" i="4"/>
  <c r="L1688" i="4"/>
  <c r="L1755" i="4"/>
  <c r="L1756" i="4"/>
  <c r="L1757" i="4"/>
  <c r="L1734" i="4"/>
  <c r="L1706" i="4"/>
  <c r="L1617" i="4"/>
  <c r="L1618" i="4"/>
  <c r="L1619" i="4"/>
  <c r="L1620" i="4"/>
  <c r="L1728" i="4"/>
  <c r="L1673" i="4"/>
  <c r="L1758" i="4"/>
  <c r="L1621" i="4"/>
  <c r="L1707" i="4"/>
  <c r="L1689" i="4"/>
  <c r="L1661" i="4"/>
  <c r="L1759" i="4"/>
  <c r="L1760" i="4"/>
  <c r="L1568" i="4" l="1"/>
  <c r="L1563" i="4"/>
  <c r="L1593" i="4"/>
  <c r="L1606" i="4"/>
  <c r="L1605" i="4"/>
  <c r="L1561" i="4"/>
  <c r="L1527" i="4" l="1"/>
  <c r="L1570" i="4"/>
  <c r="L1571" i="4"/>
  <c r="L1464" i="4"/>
  <c r="L1572" i="4"/>
  <c r="L1573" i="4"/>
  <c r="L1528" i="4"/>
  <c r="L1529" i="4"/>
  <c r="L1530" i="4"/>
  <c r="L1531" i="4"/>
  <c r="L1532" i="4"/>
  <c r="L1465" i="4"/>
  <c r="L1466" i="4"/>
  <c r="L1469" i="4"/>
  <c r="L2004" i="4"/>
  <c r="L1480" i="4"/>
  <c r="L1533" i="4"/>
  <c r="L1546" i="4"/>
  <c r="L1547" i="4"/>
  <c r="L1548" i="4"/>
  <c r="L1549" i="4"/>
  <c r="L2005" i="4"/>
  <c r="L2006" i="4"/>
  <c r="L2007" i="4"/>
  <c r="L2008" i="4"/>
  <c r="L2009" i="4"/>
  <c r="L2010" i="4"/>
  <c r="L2011" i="4"/>
  <c r="L2012" i="4"/>
  <c r="L1596" i="4"/>
  <c r="L1468" i="4"/>
  <c r="L1481" i="4"/>
  <c r="L1457" i="4"/>
  <c r="L1482" i="4"/>
  <c r="L1597" i="4"/>
  <c r="L1598" i="4"/>
  <c r="L1599" i="4"/>
  <c r="L1600" i="4"/>
  <c r="L1574" i="4"/>
  <c r="L1575" i="4"/>
  <c r="L1592" i="4"/>
  <c r="L1534" i="4"/>
  <c r="L2013" i="4"/>
  <c r="L1458" i="4"/>
  <c r="L1576" i="4"/>
  <c r="L1483" i="4"/>
  <c r="L1601" i="4"/>
  <c r="L1602" i="4"/>
  <c r="L1484" i="4"/>
  <c r="L1577" i="4"/>
  <c r="L1550" i="4"/>
  <c r="L1578" i="4"/>
  <c r="L1551" i="4"/>
  <c r="L1535" i="4"/>
  <c r="L2014" i="4"/>
  <c r="L2015" i="4"/>
  <c r="L2103" i="4"/>
  <c r="L2104" i="4"/>
  <c r="L2141" i="4"/>
  <c r="L1536" i="4"/>
  <c r="L1537" i="4"/>
  <c r="L1579" i="4"/>
  <c r="L1485" i="4"/>
  <c r="L2176" i="4"/>
  <c r="L1538" i="4"/>
  <c r="L1486" i="4"/>
  <c r="L2177" i="4"/>
  <c r="L1595" i="4"/>
  <c r="L2178" i="4"/>
  <c r="L1539" i="4"/>
  <c r="L1487" i="4"/>
  <c r="L1462" i="4"/>
  <c r="L1603" i="4"/>
  <c r="L1552" i="4"/>
  <c r="L1553" i="4"/>
  <c r="L1540" i="4"/>
  <c r="L1541" i="4"/>
  <c r="L1554" i="4"/>
  <c r="L2179" i="4"/>
  <c r="L2180" i="4"/>
  <c r="L2181" i="4"/>
  <c r="L1555" i="4"/>
  <c r="L1556" i="4"/>
  <c r="L2182" i="4"/>
  <c r="L2183" i="4"/>
  <c r="L1557" i="4"/>
  <c r="L1604" i="4"/>
  <c r="L2184" i="4"/>
  <c r="L1558" i="4"/>
  <c r="L2185" i="4"/>
  <c r="L1559" i="4"/>
  <c r="L1560" i="4"/>
  <c r="L1562" i="4"/>
  <c r="L1580" i="4"/>
  <c r="L1564" i="4"/>
  <c r="L1565" i="4"/>
  <c r="L1566" i="4"/>
  <c r="L1567" i="4"/>
  <c r="L1581" i="4"/>
  <c r="L1582" i="4"/>
  <c r="L1488" i="4"/>
  <c r="L1583" i="4"/>
  <c r="L2186" i="4"/>
  <c r="L2187" i="4"/>
  <c r="L2188" i="4"/>
  <c r="L1584" i="4"/>
  <c r="L1585" i="4"/>
  <c r="L1586" i="4"/>
  <c r="L1594" i="4"/>
  <c r="L1569" i="4"/>
  <c r="L1489" i="4"/>
  <c r="L1587" i="4"/>
  <c r="L1467" i="4"/>
  <c r="L1542" i="4"/>
  <c r="L1588" i="4"/>
  <c r="L1490" i="4"/>
  <c r="L2189" i="4"/>
  <c r="L2190" i="4"/>
  <c r="L2191" i="4"/>
  <c r="L1589" i="4"/>
  <c r="L1590" i="4"/>
  <c r="L1607" i="4"/>
  <c r="L1591" i="4"/>
  <c r="L1543" i="4"/>
  <c r="L1608" i="4"/>
  <c r="L1544" i="4"/>
  <c r="L1545" i="4"/>
  <c r="L1470" i="4"/>
  <c r="L1471" i="4"/>
  <c r="L1472" i="4"/>
  <c r="L1473" i="4"/>
  <c r="L1474" i="4"/>
  <c r="L1475" i="4"/>
  <c r="L1476" i="4"/>
  <c r="L1477" i="4"/>
  <c r="L1478" i="4"/>
  <c r="L1479" i="4"/>
  <c r="L1609" i="4"/>
  <c r="L1610" i="4"/>
  <c r="L1447" i="4"/>
  <c r="L1448" i="4"/>
  <c r="L1449" i="4"/>
  <c r="L1450" i="4"/>
  <c r="L1451" i="4"/>
  <c r="L1452" i="4"/>
  <c r="L1453" i="4"/>
  <c r="L1611" i="4"/>
  <c r="L1491" i="4"/>
  <c r="L741" i="4"/>
  <c r="L742" i="4"/>
  <c r="L743" i="4"/>
  <c r="L750" i="4"/>
  <c r="L746" i="4"/>
  <c r="L747" i="4"/>
  <c r="L759" i="4"/>
  <c r="L786" i="4"/>
  <c r="L787" i="4"/>
  <c r="L788" i="4"/>
  <c r="L789" i="4"/>
  <c r="L790" i="4"/>
  <c r="L791" i="4"/>
  <c r="L876" i="4"/>
  <c r="L877" i="4"/>
  <c r="L792" i="4"/>
  <c r="L878" i="4"/>
  <c r="L748" i="4"/>
  <c r="L749" i="4"/>
  <c r="L935" i="4"/>
  <c r="L793" i="4"/>
  <c r="L918" i="4"/>
  <c r="L760" i="4"/>
  <c r="L751" i="4"/>
  <c r="L752" i="4"/>
  <c r="L919" i="4"/>
  <c r="L936" i="4"/>
  <c r="L937" i="4"/>
  <c r="L794" i="4"/>
  <c r="L879" i="4"/>
  <c r="L880" i="4"/>
  <c r="L881" i="4"/>
  <c r="L882" i="4"/>
  <c r="L883" i="4"/>
  <c r="L884" i="4"/>
  <c r="L885" i="4"/>
  <c r="L886" i="4"/>
  <c r="L795" i="4"/>
  <c r="L796" i="4"/>
  <c r="L761" i="4"/>
  <c r="L887" i="4"/>
  <c r="L762" i="4"/>
  <c r="L813" i="4"/>
  <c r="L753" i="4"/>
  <c r="L754" i="4"/>
  <c r="L763" i="4"/>
  <c r="L764" i="4"/>
  <c r="L814" i="4"/>
  <c r="L888" i="4"/>
  <c r="L889" i="4"/>
  <c r="L808" i="4"/>
  <c r="L809" i="4"/>
  <c r="L765" i="4"/>
  <c r="L797" i="4"/>
  <c r="L798" i="4"/>
  <c r="L756" i="4"/>
  <c r="L815" i="4"/>
  <c r="L915" i="4"/>
  <c r="L851" i="4"/>
  <c r="L852" i="4"/>
  <c r="L853" i="4"/>
  <c r="L816" i="4"/>
  <c r="L817" i="4"/>
  <c r="L818" i="4"/>
  <c r="L819" i="4"/>
  <c r="L820" i="4"/>
  <c r="L821" i="4"/>
  <c r="L920" i="4"/>
  <c r="L758" i="4"/>
  <c r="L822" i="4"/>
  <c r="L738" i="4"/>
  <c r="L799" i="4"/>
  <c r="L800" i="4"/>
  <c r="L803" i="4"/>
  <c r="L921" i="4"/>
  <c r="L922" i="4"/>
  <c r="L923" i="4"/>
  <c r="L924" i="4"/>
  <c r="L835" i="4"/>
  <c r="L755" i="4"/>
  <c r="L836" i="4"/>
  <c r="L938" i="4"/>
  <c r="L890" i="4"/>
  <c r="L891" i="4"/>
  <c r="L837" i="4"/>
  <c r="L739" i="4"/>
  <c r="L823" i="4"/>
  <c r="L740" i="4"/>
  <c r="L892" i="4"/>
  <c r="L801" i="4"/>
  <c r="L925" i="4"/>
  <c r="L926" i="4"/>
  <c r="L916" i="4"/>
  <c r="L893" i="4"/>
  <c r="L854" i="4"/>
  <c r="L855" i="4"/>
  <c r="L838" i="4"/>
  <c r="L839" i="4"/>
  <c r="L911" i="4"/>
  <c r="L894" i="4"/>
  <c r="L824" i="4"/>
  <c r="L825" i="4"/>
  <c r="L826" i="4"/>
  <c r="L827" i="4"/>
  <c r="L840" i="4"/>
  <c r="L841" i="4"/>
  <c r="L842" i="4"/>
  <c r="L744" i="4"/>
  <c r="L895" i="4"/>
  <c r="L804" i="4"/>
  <c r="L843" i="4"/>
  <c r="L828" i="4"/>
  <c r="L844" i="4"/>
  <c r="L805" i="4"/>
  <c r="L829" i="4"/>
  <c r="L927" i="4"/>
  <c r="L845" i="4"/>
  <c r="L745" i="4"/>
  <c r="L856" i="4"/>
  <c r="L846" i="4"/>
  <c r="L847" i="4"/>
  <c r="L910" i="4"/>
  <c r="L830" i="4"/>
  <c r="L831" i="4"/>
  <c r="L912" i="4"/>
  <c r="L857" i="4"/>
  <c r="L858" i="4"/>
  <c r="L913" i="4"/>
  <c r="L859" i="4"/>
  <c r="L810" i="4"/>
  <c r="L928" i="4"/>
  <c r="L832" i="4"/>
  <c r="L860" i="4"/>
  <c r="L861" i="4"/>
  <c r="L862" i="4"/>
  <c r="L929" i="4"/>
  <c r="L896" i="4"/>
  <c r="L930" i="4"/>
  <c r="L863" i="4"/>
  <c r="L833" i="4"/>
  <c r="L864" i="4"/>
  <c r="L865" i="4"/>
  <c r="L897" i="4"/>
  <c r="L898" i="4"/>
  <c r="L914" i="4"/>
  <c r="L917" i="4"/>
  <c r="L899" i="4"/>
  <c r="L900" i="4"/>
  <c r="L866" i="4"/>
  <c r="L806" i="4"/>
  <c r="L901" i="4"/>
  <c r="L757" i="4"/>
  <c r="L848" i="4"/>
  <c r="L902" i="4"/>
  <c r="L807" i="4"/>
  <c r="L903" i="4"/>
  <c r="L904" i="4"/>
  <c r="L766" i="4"/>
  <c r="L767" i="4"/>
  <c r="L768" i="4"/>
  <c r="L905" i="4"/>
  <c r="L906" i="4"/>
  <c r="L769" i="4"/>
  <c r="L770" i="4"/>
  <c r="L771" i="4"/>
  <c r="L772" i="4"/>
  <c r="L773" i="4"/>
  <c r="L907" i="4"/>
  <c r="L867" i="4"/>
  <c r="L939" i="4"/>
  <c r="L940" i="4"/>
  <c r="L941" i="4"/>
  <c r="L942" i="4"/>
  <c r="L943" i="4"/>
  <c r="L944" i="4"/>
  <c r="L868" i="4"/>
  <c r="L945" i="4"/>
  <c r="L946" i="4"/>
  <c r="L947" i="4"/>
  <c r="L774" i="4"/>
  <c r="L775" i="4"/>
  <c r="L776" i="4"/>
  <c r="L777" i="4"/>
  <c r="L948" i="4"/>
  <c r="L949" i="4"/>
  <c r="L778" i="4"/>
  <c r="L779" i="4"/>
  <c r="L950" i="4"/>
  <c r="L951" i="4"/>
  <c r="L780" i="4"/>
  <c r="L952" i="4"/>
  <c r="L953" i="4"/>
  <c r="L954" i="4"/>
  <c r="L955" i="4"/>
  <c r="L956" i="4"/>
  <c r="L957" i="4"/>
  <c r="L958" i="4"/>
  <c r="L781" i="4"/>
  <c r="L869" i="4"/>
  <c r="L782" i="4"/>
  <c r="L959" i="4"/>
  <c r="L870" i="4"/>
  <c r="L871" i="4"/>
  <c r="L811" i="4"/>
  <c r="L872" i="4"/>
  <c r="L873" i="4"/>
  <c r="L874" i="4"/>
  <c r="L783" i="4"/>
  <c r="L784" i="4"/>
  <c r="L931" i="4"/>
  <c r="L908" i="4"/>
  <c r="L849" i="4"/>
  <c r="L932" i="4"/>
  <c r="L960" i="4"/>
  <c r="L802" i="4"/>
  <c r="L875" i="4"/>
  <c r="L834" i="4"/>
  <c r="L933" i="4"/>
  <c r="L812" i="4"/>
  <c r="L909" i="4"/>
  <c r="L961" i="4"/>
  <c r="L850" i="4"/>
  <c r="L785" i="4"/>
  <c r="L934" i="4"/>
  <c r="L1763" i="4"/>
  <c r="L1766" i="4"/>
  <c r="L1781" i="4"/>
  <c r="L1764" i="4"/>
  <c r="L1782" i="4"/>
  <c r="L1776" i="4"/>
  <c r="L1769" i="4"/>
  <c r="L1796" i="4"/>
  <c r="L1834" i="4"/>
  <c r="L1777" i="4"/>
  <c r="L1767" i="4"/>
  <c r="L1770" i="4"/>
  <c r="L1884" i="4"/>
  <c r="L1885" i="4"/>
  <c r="L1803" i="4"/>
  <c r="L1901" i="4"/>
  <c r="L1835" i="4"/>
  <c r="L1771" i="4"/>
  <c r="L1778" i="4"/>
  <c r="L1783" i="4"/>
  <c r="L1784" i="4"/>
  <c r="L1788" i="4"/>
  <c r="L1789" i="4"/>
  <c r="L1804" i="4"/>
  <c r="L1805" i="4"/>
  <c r="L1806" i="4"/>
  <c r="L1785" i="4"/>
  <c r="L1797" i="4"/>
  <c r="L1907" i="4"/>
  <c r="L1807" i="4"/>
  <c r="L1808" i="4"/>
  <c r="L1809" i="4"/>
  <c r="L1851" i="4"/>
  <c r="L1852" i="4"/>
  <c r="L1853" i="4"/>
  <c r="L1854" i="4"/>
  <c r="L1855" i="4"/>
  <c r="L1908" i="4"/>
  <c r="L1836" i="4"/>
  <c r="L1787" i="4"/>
  <c r="L1762" i="4"/>
  <c r="L1798" i="4"/>
  <c r="L1909" i="4"/>
  <c r="L1910" i="4"/>
  <c r="L1837" i="4"/>
  <c r="L1911" i="4"/>
  <c r="L1810" i="4"/>
  <c r="L1886" i="4"/>
  <c r="L1887" i="4"/>
  <c r="L1838" i="4"/>
  <c r="L1811" i="4"/>
  <c r="L1761" i="4"/>
  <c r="L1888" i="4"/>
  <c r="L1799" i="4"/>
  <c r="L1912" i="4"/>
  <c r="L1913" i="4"/>
  <c r="L1800" i="4"/>
  <c r="L1856" i="4"/>
  <c r="L1889" i="4"/>
  <c r="L1890" i="4"/>
  <c r="L1857" i="4"/>
  <c r="L1839" i="4"/>
  <c r="L1914" i="4"/>
  <c r="L1840" i="4"/>
  <c r="L1841" i="4"/>
  <c r="L1891" i="4"/>
  <c r="L1915" i="4"/>
  <c r="L1842" i="4"/>
  <c r="L1812" i="4"/>
  <c r="L1843" i="4"/>
  <c r="L1765" i="4"/>
  <c r="L1916" i="4"/>
  <c r="L1858" i="4"/>
  <c r="L1859" i="4"/>
  <c r="L1844" i="4"/>
  <c r="L1826" i="4"/>
  <c r="L1860" i="4"/>
  <c r="L1861" i="4"/>
  <c r="L1862" i="4"/>
  <c r="L1863" i="4"/>
  <c r="L1892" i="4"/>
  <c r="L1801" i="4"/>
  <c r="L1893" i="4"/>
  <c r="L1786" i="4"/>
  <c r="L1894" i="4"/>
  <c r="L1902" i="4"/>
  <c r="L1903" i="4"/>
  <c r="L1895" i="4"/>
  <c r="L1864" i="4"/>
  <c r="L1790" i="4"/>
  <c r="L1827" i="4"/>
  <c r="L1904" i="4"/>
  <c r="L1791" i="4"/>
  <c r="L1900" i="4"/>
  <c r="L1865" i="4"/>
  <c r="L1906" i="4"/>
  <c r="L1866" i="4"/>
  <c r="L1867" i="4"/>
  <c r="L1792" i="4"/>
  <c r="L1793" i="4"/>
  <c r="L1794" i="4"/>
  <c r="L1772" i="4"/>
  <c r="L1868" i="4"/>
  <c r="L1813" i="4"/>
  <c r="L1828" i="4"/>
  <c r="L1829" i="4"/>
  <c r="L1814" i="4"/>
  <c r="L1905" i="4"/>
  <c r="L1773" i="4"/>
  <c r="L1845" i="4"/>
  <c r="L1917" i="4"/>
  <c r="L1918" i="4"/>
  <c r="L1896" i="4"/>
  <c r="L1869" i="4"/>
  <c r="L1846" i="4"/>
  <c r="L1919" i="4"/>
  <c r="L1815" i="4"/>
  <c r="L1870" i="4"/>
  <c r="L1774" i="4"/>
  <c r="L1775" i="4"/>
  <c r="L1768" i="4"/>
  <c r="L1847" i="4"/>
  <c r="L1848" i="4"/>
  <c r="L1871" i="4"/>
  <c r="L1872" i="4"/>
  <c r="L1873" i="4"/>
  <c r="L1897" i="4"/>
  <c r="L1920" i="4"/>
  <c r="L1874" i="4"/>
  <c r="L1830" i="4"/>
  <c r="L1921" i="4"/>
  <c r="L1875" i="4"/>
  <c r="L1922" i="4"/>
  <c r="L1923" i="4"/>
  <c r="L1924" i="4"/>
  <c r="L1816" i="4"/>
  <c r="L1817" i="4"/>
  <c r="L1831" i="4"/>
  <c r="L1832" i="4"/>
  <c r="L1833" i="4"/>
  <c r="L1898" i="4"/>
  <c r="L1876" i="4"/>
  <c r="L1877" i="4"/>
  <c r="L1878" i="4"/>
  <c r="L1925" i="4"/>
  <c r="L1818" i="4"/>
  <c r="L1779" i="4"/>
  <c r="L1780" i="4"/>
  <c r="L1879" i="4"/>
  <c r="L1899" i="4"/>
  <c r="L1880" i="4"/>
  <c r="L1819" i="4"/>
  <c r="L1802" i="4"/>
  <c r="L1881" i="4"/>
  <c r="L1850" i="4"/>
  <c r="L1795" i="4"/>
  <c r="L1882" i="4"/>
  <c r="L1926" i="4"/>
  <c r="L1883" i="4"/>
  <c r="L1825" i="4"/>
  <c r="L1929" i="4"/>
  <c r="L1930" i="4"/>
  <c r="L1927" i="4"/>
  <c r="L1928" i="4"/>
  <c r="L1820" i="4"/>
  <c r="L1821" i="4"/>
  <c r="L1822" i="4"/>
  <c r="L1823" i="4"/>
  <c r="L1824" i="4"/>
  <c r="L1849" i="4"/>
  <c r="L1096" i="4"/>
  <c r="L1108" i="4"/>
  <c r="L1095" i="4"/>
  <c r="L1104" i="4"/>
  <c r="L1149" i="4"/>
  <c r="L1110" i="4"/>
  <c r="L1214" i="4"/>
  <c r="L1098" i="4"/>
  <c r="L1215" i="4"/>
  <c r="L1199" i="4"/>
  <c r="L1111" i="4"/>
  <c r="L1099" i="4"/>
  <c r="L1105" i="4"/>
  <c r="L1094" i="4"/>
  <c r="L1112" i="4"/>
  <c r="L1119" i="4"/>
  <c r="L1109" i="4"/>
  <c r="L1113" i="4"/>
  <c r="L1216" i="4"/>
  <c r="L1120" i="4"/>
  <c r="L1121" i="4"/>
  <c r="L1122" i="4"/>
  <c r="L1162" i="4"/>
  <c r="L1163" i="4"/>
  <c r="L1164" i="4"/>
  <c r="L1150" i="4"/>
  <c r="L1165" i="4"/>
  <c r="L1114" i="4"/>
  <c r="L1217" i="4"/>
  <c r="L1218" i="4"/>
  <c r="L1151" i="4"/>
  <c r="L1200" i="4"/>
  <c r="L1201" i="4"/>
  <c r="L1152" i="4"/>
  <c r="L1123" i="4"/>
  <c r="L1093" i="4"/>
  <c r="L1219" i="4"/>
  <c r="L1220" i="4"/>
  <c r="L1115" i="4"/>
  <c r="L1166" i="4"/>
  <c r="L1202" i="4"/>
  <c r="L1167" i="4"/>
  <c r="L1168" i="4"/>
  <c r="L1203" i="4"/>
  <c r="L1169" i="4"/>
  <c r="L1170" i="4"/>
  <c r="L1221" i="4"/>
  <c r="L1153" i="4"/>
  <c r="L1154" i="4"/>
  <c r="L1222" i="4"/>
  <c r="L1124" i="4"/>
  <c r="L1223" i="4"/>
  <c r="L1155" i="4"/>
  <c r="L1224" i="4"/>
  <c r="L1171" i="4"/>
  <c r="L1172" i="4"/>
  <c r="L1156" i="4"/>
  <c r="L1136" i="4"/>
  <c r="L1173" i="4"/>
  <c r="L1125" i="4"/>
  <c r="L1174" i="4"/>
  <c r="L1175" i="4"/>
  <c r="L1176" i="4"/>
  <c r="L1116" i="4"/>
  <c r="L1204" i="4"/>
  <c r="L1205" i="4"/>
  <c r="L1206" i="4"/>
  <c r="L1207" i="4"/>
  <c r="L1177" i="4"/>
  <c r="L1137" i="4"/>
  <c r="L1178" i="4"/>
  <c r="L1179" i="4"/>
  <c r="L1180" i="4"/>
  <c r="L1100" i="4"/>
  <c r="L1138" i="4"/>
  <c r="L1126" i="4"/>
  <c r="L1127" i="4"/>
  <c r="L1101" i="4"/>
  <c r="L1157" i="4"/>
  <c r="L1225" i="4"/>
  <c r="L1226" i="4"/>
  <c r="L1227" i="4"/>
  <c r="L1208" i="4"/>
  <c r="L1158" i="4"/>
  <c r="L1228" i="4"/>
  <c r="L1181" i="4"/>
  <c r="L1102" i="4"/>
  <c r="L1103" i="4"/>
  <c r="L1097" i="4"/>
  <c r="L1159" i="4"/>
  <c r="L1160" i="4"/>
  <c r="L1182" i="4"/>
  <c r="L1183" i="4"/>
  <c r="L1184" i="4"/>
  <c r="L1185" i="4"/>
  <c r="L1139" i="4"/>
  <c r="L1229" i="4"/>
  <c r="L1212" i="4"/>
  <c r="L1140" i="4"/>
  <c r="L1141" i="4"/>
  <c r="L1142" i="4"/>
  <c r="L1209" i="4"/>
  <c r="L1186" i="4"/>
  <c r="L1187" i="4"/>
  <c r="L1188" i="4"/>
  <c r="L1128" i="4"/>
  <c r="L1106" i="4"/>
  <c r="L1107" i="4"/>
  <c r="L1189" i="4"/>
  <c r="L1210" i="4"/>
  <c r="L1190" i="4"/>
  <c r="L1143" i="4"/>
  <c r="L1144" i="4"/>
  <c r="L1117" i="4"/>
  <c r="L1231" i="4"/>
  <c r="L1145" i="4"/>
  <c r="L1146" i="4"/>
  <c r="L1191" i="4"/>
  <c r="L1211" i="4"/>
  <c r="L1147" i="4"/>
  <c r="L1192" i="4"/>
  <c r="L1193" i="4"/>
  <c r="L1194" i="4"/>
  <c r="L1195" i="4"/>
  <c r="L1129" i="4"/>
  <c r="L1130" i="4"/>
  <c r="L1148" i="4"/>
  <c r="L1131" i="4"/>
  <c r="L1132" i="4"/>
  <c r="L1133" i="4"/>
  <c r="L1118" i="4"/>
  <c r="L1196" i="4"/>
  <c r="L1161" i="4"/>
  <c r="L1134" i="4"/>
  <c r="L1232" i="4"/>
  <c r="L1198" i="4"/>
  <c r="L1135" i="4"/>
  <c r="L1197" i="4"/>
  <c r="L1233" i="4"/>
  <c r="L1234" i="4"/>
  <c r="L1235" i="4"/>
  <c r="L1941" i="4"/>
  <c r="L1955" i="4"/>
  <c r="L1937" i="4"/>
  <c r="L1956" i="4"/>
  <c r="L1932" i="4"/>
  <c r="L1950" i="4"/>
  <c r="L1938" i="4"/>
  <c r="L2016" i="4"/>
  <c r="L2017" i="4"/>
  <c r="L2018" i="4"/>
  <c r="L1959" i="4"/>
  <c r="L2101" i="4"/>
  <c r="L2102" i="4"/>
  <c r="L1951" i="4"/>
  <c r="L2106" i="4"/>
  <c r="L2107" i="4"/>
  <c r="L1944" i="4"/>
  <c r="L2063" i="4"/>
  <c r="L2064" i="4"/>
  <c r="L2065" i="4"/>
  <c r="L2066" i="4"/>
  <c r="L2067" i="4"/>
  <c r="L2068" i="4"/>
  <c r="L1960" i="4"/>
  <c r="L1966" i="4"/>
  <c r="L2097" i="4"/>
  <c r="L1945" i="4"/>
  <c r="L1952" i="4"/>
  <c r="L1933" i="4"/>
  <c r="L2098" i="4"/>
  <c r="L2099" i="4"/>
  <c r="L1961" i="4"/>
  <c r="L1967" i="4"/>
  <c r="L1968" i="4"/>
  <c r="L1969" i="4"/>
  <c r="L1970" i="4"/>
  <c r="L2069" i="4"/>
  <c r="L2070" i="4"/>
  <c r="L1957" i="4"/>
  <c r="L1971" i="4"/>
  <c r="L1972" i="4"/>
  <c r="L1973" i="4"/>
  <c r="L2192" i="4"/>
  <c r="L1974" i="4"/>
  <c r="L2193" i="4"/>
  <c r="L2032" i="4"/>
  <c r="L2033" i="4"/>
  <c r="L2034" i="4"/>
  <c r="L2194" i="4"/>
  <c r="L2195" i="4"/>
  <c r="L2019" i="4"/>
  <c r="L2035" i="4"/>
  <c r="L2100" i="4"/>
  <c r="L1934" i="4"/>
  <c r="L1962" i="4"/>
  <c r="L2108" i="4"/>
  <c r="L2109" i="4"/>
  <c r="L2209" i="4"/>
  <c r="L1935" i="4"/>
  <c r="L2127" i="4"/>
  <c r="L1975" i="4"/>
  <c r="L2071" i="4"/>
  <c r="L2072" i="4"/>
  <c r="L2020" i="4"/>
  <c r="L1931" i="4"/>
  <c r="L2073" i="4"/>
  <c r="L2110" i="4"/>
  <c r="L2111" i="4"/>
  <c r="L1963" i="4"/>
  <c r="L2036" i="4"/>
  <c r="L2074" i="4"/>
  <c r="L2037" i="4"/>
  <c r="L1976" i="4"/>
  <c r="L2075" i="4"/>
  <c r="L2196" i="4"/>
  <c r="L2038" i="4"/>
  <c r="L2039" i="4"/>
  <c r="L2021" i="4"/>
  <c r="L1977" i="4"/>
  <c r="L2112" i="4"/>
  <c r="L2197" i="4"/>
  <c r="L2198" i="4"/>
  <c r="L2199" i="4"/>
  <c r="L2200" i="4"/>
  <c r="L2201" i="4"/>
  <c r="L2202" i="4"/>
  <c r="L2022" i="4"/>
  <c r="L2023" i="4"/>
  <c r="L2113" i="4"/>
  <c r="L2024" i="4"/>
  <c r="L2025" i="4"/>
  <c r="L1978" i="4"/>
  <c r="L2114" i="4"/>
  <c r="L2026" i="4"/>
  <c r="L1939" i="4"/>
  <c r="L2115" i="4"/>
  <c r="L2027" i="4"/>
  <c r="L2040" i="4"/>
  <c r="L2041" i="4"/>
  <c r="L1979" i="4"/>
  <c r="L2028" i="4"/>
  <c r="L1989" i="4"/>
  <c r="L2042" i="4"/>
  <c r="L2043" i="4"/>
  <c r="L1990" i="4"/>
  <c r="L2044" i="4"/>
  <c r="L2045" i="4"/>
  <c r="L1964" i="4"/>
  <c r="L2076" i="4"/>
  <c r="L2203" i="4"/>
  <c r="L2077" i="4"/>
  <c r="L1940" i="4"/>
  <c r="L2078" i="4"/>
  <c r="L2079" i="4"/>
  <c r="L1991" i="4"/>
  <c r="L2204" i="4"/>
  <c r="L2046" i="4"/>
  <c r="L2047" i="4"/>
  <c r="L2048" i="4"/>
  <c r="L1946" i="4"/>
  <c r="L1992" i="4"/>
  <c r="L1980" i="4"/>
  <c r="L1947" i="4"/>
  <c r="L2116" i="4"/>
  <c r="L2117" i="4"/>
  <c r="L2118" i="4"/>
  <c r="L2080" i="4"/>
  <c r="L2205" i="4"/>
  <c r="L2029" i="4"/>
  <c r="L2049" i="4"/>
  <c r="L1948" i="4"/>
  <c r="L1949" i="4"/>
  <c r="L1942" i="4"/>
  <c r="L2030" i="4"/>
  <c r="L2031" i="4"/>
  <c r="L2050" i="4"/>
  <c r="L2051" i="4"/>
  <c r="L2052" i="4"/>
  <c r="L1981" i="4"/>
  <c r="L1993" i="4"/>
  <c r="L2081" i="4"/>
  <c r="L2053" i="4"/>
  <c r="L2054" i="4"/>
  <c r="L2055" i="4"/>
  <c r="L1953" i="4"/>
  <c r="L1954" i="4"/>
  <c r="L2056" i="4"/>
  <c r="L2082" i="4"/>
  <c r="L2057" i="4"/>
  <c r="L1994" i="4"/>
  <c r="L1995" i="4"/>
  <c r="L2119" i="4"/>
  <c r="L1996" i="4"/>
  <c r="L1997" i="4"/>
  <c r="L2083" i="4"/>
  <c r="L1998" i="4"/>
  <c r="L1982" i="4"/>
  <c r="L2120" i="4"/>
  <c r="L1983" i="4"/>
  <c r="L2058" i="4"/>
  <c r="L2121" i="4"/>
  <c r="L2059" i="4"/>
  <c r="L2122" i="4"/>
  <c r="L2060" i="4"/>
  <c r="L2105" i="4"/>
  <c r="L2126" i="4"/>
  <c r="L1943" i="4"/>
  <c r="L2084" i="4"/>
  <c r="L2123" i="4"/>
  <c r="L1984" i="4"/>
  <c r="L2206" i="4"/>
  <c r="L2086" i="4"/>
  <c r="L2087" i="4"/>
  <c r="L2088" i="4"/>
  <c r="L2089" i="4"/>
  <c r="L2130" i="4"/>
  <c r="L2090" i="4"/>
  <c r="L2091" i="4"/>
  <c r="L2092" i="4"/>
  <c r="L2093" i="4"/>
  <c r="L2094" i="4"/>
  <c r="L2095" i="4"/>
  <c r="L2139" i="4"/>
  <c r="L1985" i="4"/>
  <c r="L1986" i="4"/>
  <c r="L2124" i="4"/>
  <c r="L2210" i="4"/>
  <c r="L2207" i="4"/>
  <c r="L2131" i="4"/>
  <c r="L2128" i="4"/>
  <c r="L1965" i="4"/>
  <c r="L2062" i="4"/>
  <c r="L2061" i="4"/>
  <c r="L1987" i="4"/>
  <c r="L2125" i="4"/>
  <c r="L2085" i="4"/>
  <c r="L2208" i="4"/>
  <c r="L2129" i="4"/>
  <c r="L2096" i="4"/>
  <c r="L1988" i="4"/>
  <c r="L2132" i="4"/>
  <c r="L2133" i="4"/>
  <c r="L2137" i="4"/>
  <c r="L2134" i="4"/>
  <c r="L2138" i="4"/>
  <c r="L2135" i="4"/>
  <c r="L2136" i="4"/>
  <c r="L1247" i="4"/>
  <c r="L1251" i="4"/>
  <c r="L1390" i="4"/>
  <c r="L1262" i="4"/>
  <c r="L1248" i="4"/>
  <c r="L1249" i="4"/>
  <c r="L1263" i="4"/>
  <c r="L1257" i="4"/>
  <c r="L1250" i="4"/>
  <c r="L1266" i="4"/>
  <c r="L1258" i="4"/>
  <c r="L1400" i="4"/>
  <c r="L1391" i="4"/>
  <c r="L1401" i="4"/>
  <c r="L1349" i="4"/>
  <c r="L1350" i="4"/>
  <c r="L1351" i="4"/>
  <c r="L1352" i="4"/>
  <c r="L1353" i="4"/>
  <c r="L1267" i="4"/>
  <c r="L1268" i="4"/>
  <c r="L1253" i="4"/>
  <c r="L1259" i="4"/>
  <c r="L1245" i="4"/>
  <c r="L1264" i="4"/>
  <c r="L1269" i="4"/>
  <c r="L1354" i="4"/>
  <c r="L1265" i="4"/>
  <c r="L1321" i="4"/>
  <c r="L1393" i="4"/>
  <c r="L1308" i="4"/>
  <c r="L1270" i="4"/>
  <c r="L1287" i="4"/>
  <c r="L1322" i="4"/>
  <c r="L1323" i="4"/>
  <c r="L1324" i="4"/>
  <c r="L1325" i="4"/>
  <c r="L1288" i="4"/>
  <c r="L1365" i="4"/>
  <c r="L1326" i="4"/>
  <c r="L1289" i="4"/>
  <c r="L1290" i="4"/>
  <c r="L1309" i="4"/>
  <c r="L1327" i="4"/>
  <c r="L1246" i="4"/>
  <c r="L1271" i="4"/>
  <c r="L1402" i="4"/>
  <c r="L1403" i="4"/>
  <c r="L1355" i="4"/>
  <c r="L1356" i="4"/>
  <c r="L1244" i="4"/>
  <c r="L1404" i="4"/>
  <c r="L1405" i="4"/>
  <c r="L1272" i="4"/>
  <c r="L1357" i="4"/>
  <c r="L1328" i="4"/>
  <c r="L1358" i="4"/>
  <c r="L1291" i="4"/>
  <c r="L1329" i="4"/>
  <c r="L1310" i="4"/>
  <c r="L1406" i="4"/>
  <c r="L1292" i="4"/>
  <c r="L1293" i="4"/>
  <c r="L1294" i="4"/>
  <c r="L1295" i="4"/>
  <c r="L1311" i="4"/>
  <c r="L1312" i="4"/>
  <c r="L1273" i="4"/>
  <c r="L1407" i="4"/>
  <c r="L1313" i="4"/>
  <c r="L1314" i="4"/>
  <c r="L1408" i="4"/>
  <c r="L1315" i="4"/>
  <c r="L1409" i="4"/>
  <c r="L1330" i="4"/>
  <c r="L1296" i="4"/>
  <c r="L1331" i="4"/>
  <c r="L1316" i="4"/>
  <c r="L1277" i="4"/>
  <c r="L1332" i="4"/>
  <c r="L1333" i="4"/>
  <c r="L1334" i="4"/>
  <c r="L1335" i="4"/>
  <c r="L1274" i="4"/>
  <c r="L1359" i="4"/>
  <c r="L1297" i="4"/>
  <c r="L1360" i="4"/>
  <c r="L1361" i="4"/>
  <c r="L1362" i="4"/>
  <c r="L1278" i="4"/>
  <c r="L1298" i="4"/>
  <c r="L1336" i="4"/>
  <c r="L1337" i="4"/>
  <c r="L1419" i="4"/>
  <c r="L1275" i="4"/>
  <c r="L1392" i="4"/>
  <c r="L1279" i="4"/>
  <c r="L1254" i="4"/>
  <c r="L1410" i="4"/>
  <c r="L1411" i="4"/>
  <c r="L1412" i="4"/>
  <c r="L1363" i="4"/>
  <c r="L1299" i="4"/>
  <c r="L1317" i="4"/>
  <c r="L1413" i="4"/>
  <c r="L1338" i="4"/>
  <c r="L1255" i="4"/>
  <c r="L1256" i="4"/>
  <c r="L1252" i="4"/>
  <c r="L1318" i="4"/>
  <c r="L1339" i="4"/>
  <c r="L1280" i="4"/>
  <c r="L1340" i="4"/>
  <c r="L1341" i="4"/>
  <c r="L1342" i="4"/>
  <c r="L1260" i="4"/>
  <c r="L1261" i="4"/>
  <c r="L1394" i="4"/>
  <c r="L1364" i="4"/>
  <c r="L1343" i="4"/>
  <c r="L1281" i="4"/>
  <c r="L1282" i="4"/>
  <c r="L1414" i="4"/>
  <c r="L1283" i="4"/>
  <c r="L1284" i="4"/>
  <c r="L1285" i="4"/>
  <c r="L1344" i="4"/>
  <c r="L1415" i="4"/>
  <c r="L1300" i="4"/>
  <c r="L1366" i="4"/>
  <c r="L1367" i="4"/>
  <c r="L1368" i="4"/>
  <c r="L1396" i="4"/>
  <c r="L1369" i="4"/>
  <c r="L1370" i="4"/>
  <c r="L1371" i="4"/>
  <c r="L1372" i="4"/>
  <c r="L1373" i="4"/>
  <c r="L1374" i="4"/>
  <c r="L1375" i="4"/>
  <c r="L1397" i="4"/>
  <c r="L1376" i="4"/>
  <c r="L1377" i="4"/>
  <c r="L1398" i="4"/>
  <c r="L1378" i="4"/>
  <c r="L1416" i="4"/>
  <c r="L1301" i="4"/>
  <c r="L1302" i="4"/>
  <c r="L1379" i="4"/>
  <c r="L1380" i="4"/>
  <c r="L1381" i="4"/>
  <c r="L1399" i="4"/>
  <c r="L1382" i="4"/>
  <c r="L1303" i="4"/>
  <c r="L1383" i="4"/>
  <c r="L1384" i="4"/>
  <c r="L1422" i="4"/>
  <c r="L1423" i="4"/>
  <c r="L1424" i="4"/>
  <c r="L1425" i="4"/>
  <c r="L1440" i="4"/>
  <c r="L1441" i="4"/>
  <c r="L1426" i="4"/>
  <c r="L1427" i="4"/>
  <c r="L1428" i="4"/>
  <c r="L1429" i="4"/>
  <c r="L1430" i="4"/>
  <c r="L1442" i="4"/>
  <c r="L1431" i="4"/>
  <c r="L1432" i="4"/>
  <c r="L1433" i="4"/>
  <c r="L1434" i="4"/>
  <c r="L1443" i="4"/>
  <c r="L1345" i="4"/>
  <c r="L1435" i="4"/>
  <c r="L1436" i="4"/>
  <c r="L1346" i="4"/>
  <c r="L1437" i="4"/>
  <c r="L1385" i="4"/>
  <c r="L1438" i="4"/>
  <c r="L1444" i="4"/>
  <c r="L1445" i="4"/>
  <c r="L1439" i="4"/>
  <c r="L1446" i="4"/>
  <c r="L1304" i="4"/>
  <c r="L1386" i="4"/>
  <c r="L1395" i="4"/>
  <c r="L1387" i="4"/>
  <c r="L1420" i="4"/>
  <c r="L1347" i="4"/>
  <c r="L1305" i="4"/>
  <c r="L1417" i="4"/>
  <c r="L1306" i="4"/>
  <c r="L1286" i="4"/>
  <c r="L1276" i="4"/>
  <c r="L1421" i="4"/>
  <c r="L1348" i="4"/>
  <c r="L1319" i="4"/>
  <c r="L1418" i="4"/>
  <c r="L1389" i="4"/>
  <c r="L1307" i="4"/>
  <c r="L1388" i="4"/>
  <c r="L1320" i="4"/>
  <c r="L1236" i="4"/>
  <c r="L1237" i="4"/>
  <c r="L1238" i="4"/>
  <c r="L1239" i="4"/>
  <c r="L1240" i="4"/>
  <c r="L1241" i="4"/>
  <c r="L1242" i="4"/>
  <c r="L1243" i="4"/>
  <c r="L2223" i="4"/>
  <c r="L2224" i="4"/>
  <c r="L2155" i="4"/>
  <c r="L2150" i="4"/>
  <c r="L2153" i="4"/>
  <c r="L2158" i="4"/>
  <c r="L2211" i="4"/>
  <c r="L2284" i="4"/>
  <c r="L2225" i="4"/>
  <c r="L2226" i="4"/>
  <c r="L2285" i="4"/>
  <c r="L2286" i="4"/>
  <c r="L2287" i="4"/>
  <c r="L2318" i="4"/>
  <c r="L2324" i="4"/>
  <c r="L2290" i="4"/>
  <c r="L2291" i="4"/>
  <c r="L2159" i="4"/>
  <c r="L2253" i="4"/>
  <c r="L2240" i="4"/>
  <c r="L2227" i="4"/>
  <c r="L2222" i="4"/>
  <c r="L2151" i="4"/>
  <c r="L2160" i="4"/>
  <c r="L2292" i="4"/>
  <c r="L2156" i="4"/>
  <c r="L2414" i="4"/>
  <c r="L2288" i="4"/>
  <c r="L2415" i="4"/>
  <c r="L2230" i="4"/>
  <c r="L2304" i="4"/>
  <c r="L2416" i="4"/>
  <c r="L2307" i="4"/>
  <c r="L2305" i="4"/>
  <c r="L2417" i="4"/>
  <c r="L2418" i="4"/>
  <c r="L2233" i="4"/>
  <c r="L2419" i="4"/>
  <c r="L2250" i="4"/>
  <c r="L2252" i="4"/>
  <c r="L2149" i="4"/>
  <c r="L2289" i="4"/>
  <c r="L2348" i="4"/>
  <c r="L2349" i="4"/>
  <c r="L2350" i="4"/>
  <c r="L2157" i="4"/>
  <c r="L2293" i="4"/>
  <c r="L2294" i="4"/>
  <c r="L2295" i="4"/>
  <c r="L2221" i="4"/>
  <c r="L2420" i="4"/>
  <c r="L2148" i="4"/>
  <c r="L2351" i="4"/>
  <c r="L2352" i="4"/>
  <c r="L2303" i="4"/>
  <c r="L2234" i="4"/>
  <c r="L2235" i="4"/>
  <c r="L2296" i="4"/>
  <c r="L2421" i="4"/>
  <c r="L2236" i="4"/>
  <c r="L2212" i="4"/>
  <c r="L2422" i="4"/>
  <c r="L2423" i="4"/>
  <c r="L2424" i="4"/>
  <c r="L2425" i="4"/>
  <c r="L2213" i="4"/>
  <c r="L2214" i="4"/>
  <c r="L2308" i="4"/>
  <c r="L2161" i="4"/>
  <c r="L2215" i="4"/>
  <c r="L2216" i="4"/>
  <c r="L2297" i="4"/>
  <c r="L2353" i="4"/>
  <c r="L2237" i="4"/>
  <c r="L2426" i="4"/>
  <c r="L2238" i="4"/>
  <c r="L2217" i="4"/>
  <c r="L2166" i="4"/>
  <c r="L2239" i="4"/>
  <c r="L2306" i="4"/>
  <c r="L2309" i="4"/>
  <c r="L2162" i="4"/>
  <c r="L2298" i="4"/>
  <c r="L2427" i="4"/>
  <c r="L2299" i="4"/>
  <c r="L2300" i="4"/>
  <c r="L2167" i="4"/>
  <c r="L2428" i="4"/>
  <c r="L2429" i="4"/>
  <c r="L2242" i="4"/>
  <c r="L2243" i="4"/>
  <c r="L2244" i="4"/>
  <c r="L2163" i="4"/>
  <c r="L2228" i="4"/>
  <c r="L2168" i="4"/>
  <c r="L2229" i="4"/>
  <c r="L2354" i="4"/>
  <c r="L2355" i="4"/>
  <c r="L2301" i="4"/>
  <c r="L2430" i="4"/>
  <c r="L2218" i="4"/>
  <c r="L2245" i="4"/>
  <c r="L2231" i="4"/>
  <c r="L2232" i="4"/>
  <c r="L2152" i="4"/>
  <c r="L2219" i="4"/>
  <c r="L2246" i="4"/>
  <c r="L2169" i="4"/>
  <c r="L2170" i="4"/>
  <c r="L2247" i="4"/>
  <c r="L2248" i="4"/>
  <c r="L2249" i="4"/>
  <c r="L2154" i="4"/>
  <c r="L2311" i="4"/>
  <c r="L2302" i="4"/>
  <c r="L2251" i="4"/>
  <c r="L2171" i="4"/>
  <c r="L2172" i="4"/>
  <c r="L2173" i="4"/>
  <c r="L2174" i="4"/>
  <c r="L2315" i="4"/>
  <c r="L2356" i="4"/>
  <c r="L2317" i="4"/>
  <c r="L2357" i="4"/>
  <c r="L2431" i="4"/>
  <c r="L2328" i="4"/>
  <c r="L2432" i="4"/>
  <c r="L2310" i="4"/>
  <c r="L2331" i="4"/>
  <c r="L2312" i="4"/>
  <c r="L2313" i="4"/>
  <c r="L2314" i="4"/>
  <c r="L2332" i="4"/>
  <c r="L2316" i="4"/>
  <c r="L2334" i="4"/>
  <c r="L2335" i="4"/>
  <c r="L2319" i="4"/>
  <c r="L2433" i="4"/>
  <c r="L2434" i="4"/>
  <c r="L2320" i="4"/>
  <c r="L2321" i="4"/>
  <c r="L2322" i="4"/>
  <c r="L2323" i="4"/>
  <c r="L2435" i="4"/>
  <c r="L2336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254" i="4"/>
  <c r="L2379" i="4"/>
  <c r="L2255" i="4"/>
  <c r="L2325" i="4"/>
  <c r="L2326" i="4"/>
  <c r="L2259" i="4"/>
  <c r="L2260" i="4"/>
  <c r="L2261" i="4"/>
  <c r="L2262" i="4"/>
  <c r="L2263" i="4"/>
  <c r="L2264" i="4"/>
  <c r="L2265" i="4"/>
  <c r="L2327" i="4"/>
  <c r="L2436" i="4"/>
  <c r="L2437" i="4"/>
  <c r="L2438" i="4"/>
  <c r="L2439" i="4"/>
  <c r="L2358" i="4"/>
  <c r="L2440" i="4"/>
  <c r="L2344" i="4"/>
  <c r="L2329" i="4"/>
  <c r="L2256" i="4"/>
  <c r="L2441" i="4"/>
  <c r="L2442" i="4"/>
  <c r="L217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330" i="4"/>
  <c r="L2443" i="4"/>
  <c r="L2380" i="4"/>
  <c r="L2381" i="4"/>
  <c r="L2278" i="4"/>
  <c r="L2279" i="4"/>
  <c r="L2444" i="4"/>
  <c r="L2445" i="4"/>
  <c r="L2345" i="4"/>
  <c r="L2382" i="4"/>
  <c r="L2346" i="4"/>
  <c r="L2333" i="4"/>
  <c r="L2446" i="4"/>
  <c r="L2164" i="4"/>
  <c r="L2280" i="4"/>
  <c r="L2281" i="4"/>
  <c r="L2257" i="4"/>
  <c r="L2241" i="4"/>
  <c r="L2282" i="4"/>
  <c r="L2347" i="4"/>
  <c r="L2360" i="4"/>
  <c r="L2361" i="4"/>
  <c r="L2447" i="4"/>
  <c r="L2337" i="4"/>
  <c r="L2338" i="4"/>
  <c r="L2339" i="4"/>
  <c r="L2645" i="4"/>
  <c r="L2340" i="4"/>
  <c r="L2383" i="4"/>
  <c r="L2384" i="4"/>
  <c r="L2385" i="4"/>
  <c r="L2341" i="4"/>
  <c r="L2165" i="4"/>
  <c r="L2362" i="4"/>
  <c r="L2258" i="4"/>
  <c r="L2142" i="4"/>
  <c r="L2359" i="4"/>
  <c r="L2343" i="4"/>
  <c r="L2413" i="4"/>
  <c r="L2342" i="4"/>
  <c r="L2283" i="4"/>
  <c r="L2220" i="4"/>
  <c r="L2143" i="4"/>
  <c r="L2140" i="4"/>
  <c r="L2144" i="4"/>
  <c r="L2145" i="4"/>
  <c r="L2146" i="4"/>
  <c r="L2147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999" i="4"/>
  <c r="L2000" i="4"/>
  <c r="L2001" i="4"/>
  <c r="L2002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003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39" i="4"/>
  <c r="L5340" i="4"/>
  <c r="L5341" i="4"/>
  <c r="L5342" i="4"/>
  <c r="L5343" i="4"/>
  <c r="L5344" i="4"/>
  <c r="L5345" i="4"/>
  <c r="L5346" i="4"/>
  <c r="L5347" i="4"/>
  <c r="L5348" i="4"/>
  <c r="L5349" i="4"/>
  <c r="L5350" i="4"/>
  <c r="L5351" i="4"/>
  <c r="L5352" i="4"/>
  <c r="L5353" i="4"/>
  <c r="L5354" i="4"/>
  <c r="L5355" i="4"/>
  <c r="L5356" i="4"/>
  <c r="L5357" i="4"/>
  <c r="L5358" i="4"/>
  <c r="L5359" i="4"/>
  <c r="L5360" i="4"/>
  <c r="L5361" i="4"/>
  <c r="L5362" i="4"/>
  <c r="L5363" i="4"/>
  <c r="L5364" i="4"/>
  <c r="L5365" i="4"/>
  <c r="L5366" i="4"/>
  <c r="L5367" i="4"/>
  <c r="L5368" i="4"/>
  <c r="L5369" i="4"/>
  <c r="L5370" i="4"/>
  <c r="L5371" i="4"/>
  <c r="L5372" i="4"/>
  <c r="L5373" i="4"/>
  <c r="L5374" i="4"/>
  <c r="L5375" i="4"/>
  <c r="L5376" i="4"/>
  <c r="L5377" i="4"/>
  <c r="L5378" i="4"/>
  <c r="L5379" i="4"/>
  <c r="L5380" i="4"/>
  <c r="L5381" i="4"/>
  <c r="L5382" i="4"/>
  <c r="L5383" i="4"/>
  <c r="L5384" i="4"/>
  <c r="L5385" i="4"/>
  <c r="L5386" i="4"/>
  <c r="L5387" i="4"/>
  <c r="L5388" i="4"/>
  <c r="L5389" i="4"/>
  <c r="L5390" i="4"/>
  <c r="L5391" i="4"/>
  <c r="L5392" i="4"/>
  <c r="L5393" i="4"/>
  <c r="L5394" i="4"/>
  <c r="L5395" i="4"/>
  <c r="L5396" i="4"/>
  <c r="L5397" i="4"/>
  <c r="L5398" i="4"/>
  <c r="L5399" i="4"/>
  <c r="L5400" i="4"/>
  <c r="L5401" i="4"/>
  <c r="L5402" i="4"/>
  <c r="L5403" i="4"/>
  <c r="L5404" i="4"/>
  <c r="L5405" i="4"/>
  <c r="L5406" i="4"/>
  <c r="L5407" i="4"/>
  <c r="L5408" i="4"/>
  <c r="L5409" i="4"/>
  <c r="L5410" i="4"/>
  <c r="L5411" i="4"/>
  <c r="L5412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601" i="4"/>
  <c r="L5602" i="4"/>
  <c r="L5603" i="4"/>
  <c r="L5604" i="4"/>
  <c r="L5605" i="4"/>
  <c r="L5606" i="4"/>
  <c r="L5607" i="4"/>
  <c r="L5608" i="4"/>
  <c r="L5609" i="4"/>
  <c r="L5610" i="4"/>
  <c r="L5611" i="4"/>
  <c r="L5612" i="4"/>
  <c r="L5613" i="4"/>
  <c r="L5614" i="4"/>
  <c r="L5615" i="4"/>
  <c r="L5616" i="4"/>
  <c r="L5617" i="4"/>
  <c r="L5618" i="4"/>
  <c r="L5619" i="4"/>
  <c r="L5620" i="4"/>
  <c r="L5621" i="4"/>
  <c r="L5622" i="4"/>
  <c r="L5623" i="4"/>
  <c r="L5624" i="4"/>
  <c r="L5625" i="4"/>
  <c r="L5626" i="4"/>
  <c r="L5627" i="4"/>
  <c r="L5628" i="4"/>
  <c r="L5629" i="4"/>
  <c r="L5630" i="4"/>
  <c r="L5631" i="4"/>
  <c r="L5632" i="4"/>
  <c r="L5633" i="4"/>
  <c r="L5634" i="4"/>
  <c r="L5635" i="4"/>
  <c r="L5636" i="4"/>
  <c r="L5637" i="4"/>
  <c r="L5638" i="4"/>
  <c r="L5639" i="4"/>
  <c r="L5640" i="4"/>
  <c r="L5641" i="4"/>
  <c r="L5642" i="4"/>
  <c r="L5643" i="4"/>
  <c r="L5644" i="4"/>
  <c r="L5645" i="4"/>
  <c r="L5646" i="4"/>
  <c r="L5647" i="4"/>
  <c r="L5648" i="4"/>
  <c r="L5649" i="4"/>
  <c r="L5650" i="4"/>
  <c r="L5651" i="4"/>
  <c r="L5652" i="4"/>
  <c r="L5653" i="4"/>
  <c r="L5654" i="4"/>
  <c r="L5655" i="4"/>
  <c r="L5656" i="4"/>
  <c r="L5657" i="4"/>
  <c r="L5658" i="4"/>
  <c r="L5659" i="4"/>
  <c r="L5660" i="4"/>
  <c r="L5661" i="4"/>
  <c r="L5662" i="4"/>
  <c r="L5663" i="4"/>
  <c r="L5664" i="4"/>
  <c r="L5665" i="4"/>
  <c r="L5666" i="4"/>
  <c r="L5667" i="4"/>
  <c r="L5668" i="4"/>
  <c r="L5669" i="4"/>
  <c r="L5670" i="4"/>
  <c r="L5671" i="4"/>
  <c r="L5672" i="4"/>
  <c r="L5673" i="4"/>
  <c r="L5674" i="4"/>
  <c r="L5675" i="4"/>
  <c r="L5676" i="4"/>
  <c r="L5677" i="4"/>
  <c r="L5678" i="4"/>
  <c r="L5679" i="4"/>
  <c r="L5680" i="4"/>
  <c r="L5681" i="4"/>
  <c r="L5682" i="4"/>
  <c r="L5683" i="4"/>
  <c r="L5684" i="4"/>
  <c r="L5685" i="4"/>
  <c r="L5686" i="4"/>
  <c r="L5687" i="4"/>
  <c r="L5688" i="4"/>
  <c r="L5689" i="4"/>
  <c r="L5690" i="4"/>
  <c r="L5691" i="4"/>
  <c r="L5692" i="4"/>
  <c r="L5693" i="4"/>
  <c r="L5694" i="4"/>
  <c r="L5695" i="4"/>
  <c r="L5696" i="4"/>
  <c r="L5697" i="4"/>
  <c r="L5698" i="4"/>
  <c r="L5699" i="4"/>
  <c r="L5700" i="4"/>
  <c r="L5701" i="4"/>
  <c r="L5702" i="4"/>
  <c r="L5703" i="4"/>
  <c r="L5704" i="4"/>
  <c r="L5705" i="4"/>
  <c r="L5706" i="4"/>
  <c r="L5707" i="4"/>
  <c r="L5708" i="4"/>
  <c r="L5709" i="4"/>
  <c r="L5710" i="4"/>
  <c r="L5711" i="4"/>
  <c r="L5712" i="4"/>
  <c r="L5713" i="4"/>
  <c r="L5714" i="4"/>
  <c r="L5715" i="4"/>
  <c r="L5716" i="4"/>
  <c r="L5717" i="4"/>
  <c r="L5718" i="4"/>
  <c r="L5719" i="4"/>
  <c r="L5720" i="4"/>
  <c r="L5721" i="4"/>
  <c r="L5722" i="4"/>
  <c r="L5723" i="4"/>
  <c r="L5724" i="4"/>
  <c r="L5725" i="4"/>
  <c r="L5726" i="4"/>
  <c r="L5727" i="4"/>
  <c r="L5728" i="4"/>
  <c r="L5729" i="4"/>
  <c r="L5730" i="4"/>
  <c r="L5731" i="4"/>
  <c r="L5732" i="4"/>
  <c r="L5733" i="4"/>
  <c r="L5734" i="4"/>
  <c r="L5735" i="4"/>
  <c r="L5736" i="4"/>
  <c r="L5737" i="4"/>
  <c r="L5738" i="4"/>
  <c r="L5739" i="4"/>
  <c r="L5740" i="4"/>
  <c r="L5741" i="4"/>
  <c r="L5742" i="4"/>
  <c r="L5743" i="4"/>
  <c r="L5744" i="4"/>
  <c r="L5745" i="4"/>
  <c r="L5746" i="4"/>
  <c r="L5747" i="4"/>
  <c r="L5748" i="4"/>
  <c r="L5749" i="4"/>
  <c r="L5750" i="4"/>
  <c r="L5751" i="4"/>
  <c r="L5752" i="4"/>
  <c r="L5753" i="4"/>
  <c r="L5754" i="4"/>
  <c r="L5755" i="4"/>
  <c r="L5756" i="4"/>
  <c r="L5757" i="4"/>
  <c r="L5758" i="4"/>
  <c r="L5759" i="4"/>
  <c r="L5760" i="4"/>
  <c r="L5761" i="4"/>
  <c r="L5762" i="4"/>
  <c r="L5763" i="4"/>
  <c r="L5764" i="4"/>
  <c r="L5765" i="4"/>
  <c r="L5766" i="4"/>
  <c r="L5767" i="4"/>
  <c r="L5768" i="4"/>
  <c r="L5769" i="4"/>
  <c r="L5770" i="4"/>
  <c r="L5771" i="4"/>
  <c r="L5772" i="4"/>
  <c r="L5773" i="4"/>
  <c r="L5774" i="4"/>
  <c r="L5775" i="4"/>
  <c r="L5776" i="4"/>
  <c r="L5777" i="4"/>
  <c r="L5778" i="4"/>
  <c r="L5779" i="4"/>
  <c r="L5780" i="4"/>
  <c r="L5781" i="4"/>
  <c r="L5782" i="4"/>
  <c r="L5783" i="4"/>
  <c r="L5784" i="4"/>
  <c r="L5785" i="4"/>
  <c r="L5786" i="4"/>
  <c r="L5787" i="4"/>
  <c r="L5788" i="4"/>
  <c r="L5789" i="4"/>
  <c r="L5790" i="4"/>
  <c r="L5791" i="4"/>
  <c r="L5792" i="4"/>
  <c r="L5793" i="4"/>
  <c r="L5794" i="4"/>
  <c r="L5795" i="4"/>
  <c r="L5796" i="4"/>
  <c r="L5797" i="4"/>
  <c r="L5798" i="4"/>
  <c r="L5799" i="4"/>
  <c r="L5800" i="4"/>
  <c r="L5801" i="4"/>
  <c r="L5802" i="4"/>
  <c r="L5803" i="4"/>
  <c r="L5804" i="4"/>
  <c r="L5805" i="4"/>
  <c r="L5806" i="4"/>
  <c r="L5807" i="4"/>
  <c r="L5808" i="4"/>
  <c r="L5809" i="4"/>
  <c r="L5810" i="4"/>
  <c r="L5811" i="4"/>
  <c r="L5812" i="4"/>
  <c r="L5813" i="4"/>
  <c r="L5814" i="4"/>
  <c r="L5815" i="4"/>
  <c r="L5816" i="4"/>
  <c r="L5817" i="4"/>
  <c r="L5818" i="4"/>
  <c r="L5819" i="4"/>
  <c r="L5820" i="4"/>
  <c r="L5821" i="4"/>
  <c r="L5822" i="4"/>
  <c r="L5823" i="4"/>
  <c r="L5824" i="4"/>
  <c r="L5825" i="4"/>
  <c r="L5826" i="4"/>
  <c r="L5827" i="4"/>
  <c r="L5828" i="4"/>
  <c r="L5829" i="4"/>
  <c r="L5830" i="4"/>
  <c r="L5831" i="4"/>
  <c r="L5832" i="4"/>
  <c r="L5833" i="4"/>
  <c r="L5834" i="4"/>
  <c r="L5835" i="4"/>
  <c r="L5836" i="4"/>
  <c r="L5837" i="4"/>
  <c r="L5838" i="4"/>
  <c r="L5839" i="4"/>
  <c r="L5840" i="4"/>
  <c r="L5841" i="4"/>
  <c r="L5842" i="4"/>
  <c r="L5843" i="4"/>
  <c r="L5844" i="4"/>
  <c r="L5845" i="4"/>
  <c r="L5846" i="4"/>
  <c r="L5847" i="4"/>
  <c r="L5848" i="4"/>
  <c r="L5849" i="4"/>
  <c r="L5850" i="4"/>
  <c r="L5851" i="4"/>
  <c r="L5852" i="4"/>
  <c r="L5853" i="4"/>
  <c r="L5854" i="4"/>
  <c r="L5855" i="4"/>
  <c r="L5856" i="4"/>
  <c r="L5857" i="4"/>
  <c r="L5858" i="4"/>
  <c r="L5859" i="4"/>
  <c r="L5860" i="4"/>
  <c r="L5861" i="4"/>
  <c r="L5862" i="4"/>
  <c r="L5863" i="4"/>
  <c r="L5864" i="4"/>
  <c r="L5865" i="4"/>
  <c r="L5866" i="4"/>
  <c r="L5867" i="4"/>
  <c r="L5868" i="4"/>
  <c r="L5869" i="4"/>
  <c r="L5870" i="4"/>
  <c r="L5871" i="4"/>
  <c r="L5872" i="4"/>
  <c r="L5873" i="4"/>
  <c r="L5874" i="4"/>
  <c r="L5875" i="4"/>
  <c r="L5876" i="4"/>
  <c r="L5877" i="4"/>
  <c r="L5878" i="4"/>
  <c r="L5879" i="4"/>
  <c r="L5880" i="4"/>
  <c r="L5881" i="4"/>
  <c r="L5882" i="4"/>
  <c r="L5883" i="4"/>
  <c r="L5884" i="4"/>
  <c r="L5885" i="4"/>
  <c r="L5886" i="4"/>
  <c r="L5887" i="4"/>
  <c r="L5888" i="4"/>
  <c r="L5889" i="4"/>
  <c r="L5890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6127" i="4"/>
  <c r="L6128" i="4"/>
  <c r="L6129" i="4"/>
  <c r="L6130" i="4"/>
  <c r="L6131" i="4"/>
  <c r="L6132" i="4"/>
  <c r="L6133" i="4"/>
  <c r="L6134" i="4"/>
  <c r="L6135" i="4"/>
  <c r="L6136" i="4"/>
  <c r="L6137" i="4"/>
  <c r="L6138" i="4"/>
  <c r="L6139" i="4"/>
  <c r="L6140" i="4"/>
  <c r="L6141" i="4"/>
  <c r="L6142" i="4"/>
  <c r="L6143" i="4"/>
  <c r="L6144" i="4"/>
  <c r="L6145" i="4"/>
  <c r="L6146" i="4"/>
  <c r="L6147" i="4"/>
  <c r="L6148" i="4"/>
  <c r="L6149" i="4"/>
  <c r="L6150" i="4"/>
  <c r="L6151" i="4"/>
  <c r="L6152" i="4"/>
  <c r="L6153" i="4"/>
  <c r="L6154" i="4"/>
  <c r="L6155" i="4"/>
  <c r="L6156" i="4"/>
  <c r="L6157" i="4"/>
  <c r="L6158" i="4"/>
  <c r="L6159" i="4"/>
  <c r="L6160" i="4"/>
  <c r="L6161" i="4"/>
  <c r="L6162" i="4"/>
  <c r="L6163" i="4"/>
  <c r="L6164" i="4"/>
  <c r="L6165" i="4"/>
  <c r="L6166" i="4"/>
  <c r="L6167" i="4"/>
  <c r="L6168" i="4"/>
  <c r="L6169" i="4"/>
  <c r="L6170" i="4"/>
  <c r="L6171" i="4"/>
  <c r="L6172" i="4"/>
  <c r="L6173" i="4"/>
  <c r="L6174" i="4"/>
  <c r="L6175" i="4"/>
  <c r="L6176" i="4"/>
  <c r="L6177" i="4"/>
  <c r="L6178" i="4"/>
  <c r="L6179" i="4"/>
  <c r="L6180" i="4"/>
  <c r="L6181" i="4"/>
  <c r="L6182" i="4"/>
  <c r="L6183" i="4"/>
  <c r="L6184" i="4"/>
  <c r="L6185" i="4"/>
  <c r="L6186" i="4"/>
  <c r="L6187" i="4"/>
  <c r="L6188" i="4"/>
  <c r="L6189" i="4"/>
  <c r="L6190" i="4"/>
  <c r="L6191" i="4"/>
  <c r="L6192" i="4"/>
  <c r="L6193" i="4"/>
  <c r="L6194" i="4"/>
  <c r="L6195" i="4"/>
  <c r="L6196" i="4"/>
  <c r="L6197" i="4"/>
  <c r="L6198" i="4"/>
  <c r="L6199" i="4"/>
  <c r="L6200" i="4"/>
  <c r="L6201" i="4"/>
  <c r="L6202" i="4"/>
  <c r="L6203" i="4"/>
  <c r="L6204" i="4"/>
  <c r="L6205" i="4"/>
  <c r="L6206" i="4"/>
  <c r="L6207" i="4"/>
  <c r="L6208" i="4"/>
  <c r="L6209" i="4"/>
  <c r="L6210" i="4"/>
  <c r="L6211" i="4"/>
  <c r="L6212" i="4"/>
  <c r="L6213" i="4"/>
  <c r="L6214" i="4"/>
  <c r="L6215" i="4"/>
  <c r="L6216" i="4"/>
  <c r="L6217" i="4"/>
  <c r="L6218" i="4"/>
  <c r="L6219" i="4"/>
  <c r="L6220" i="4"/>
  <c r="L6221" i="4"/>
  <c r="L6222" i="4"/>
  <c r="L6223" i="4"/>
  <c r="L6224" i="4"/>
  <c r="L6225" i="4"/>
  <c r="L6226" i="4"/>
  <c r="L6227" i="4"/>
  <c r="L6228" i="4"/>
  <c r="L6229" i="4"/>
  <c r="L6230" i="4"/>
  <c r="L6231" i="4"/>
  <c r="L6232" i="4"/>
  <c r="L6233" i="4"/>
  <c r="L6234" i="4"/>
  <c r="L6235" i="4"/>
  <c r="L6236" i="4"/>
  <c r="L6237" i="4"/>
  <c r="L6238" i="4"/>
  <c r="L6239" i="4"/>
  <c r="L6240" i="4"/>
  <c r="L6241" i="4"/>
  <c r="L6242" i="4"/>
  <c r="L6243" i="4"/>
  <c r="L6244" i="4"/>
  <c r="L6245" i="4"/>
  <c r="L6246" i="4"/>
  <c r="L6247" i="4"/>
  <c r="L6248" i="4"/>
  <c r="L6249" i="4"/>
  <c r="L6250" i="4"/>
  <c r="L6251" i="4"/>
  <c r="L6252" i="4"/>
  <c r="L6253" i="4"/>
  <c r="L6254" i="4"/>
  <c r="L6255" i="4"/>
  <c r="L6256" i="4"/>
  <c r="L6257" i="4"/>
  <c r="L6258" i="4"/>
  <c r="L6259" i="4"/>
  <c r="L6260" i="4"/>
  <c r="L6261" i="4"/>
  <c r="L6262" i="4"/>
  <c r="L6263" i="4"/>
  <c r="L6264" i="4"/>
  <c r="L6265" i="4"/>
  <c r="L6266" i="4"/>
  <c r="L6267" i="4"/>
  <c r="L6268" i="4"/>
  <c r="L6269" i="4"/>
  <c r="L6270" i="4"/>
  <c r="L6271" i="4"/>
  <c r="L6272" i="4"/>
  <c r="L6273" i="4"/>
  <c r="L6274" i="4"/>
  <c r="L6275" i="4"/>
  <c r="L6276" i="4"/>
  <c r="L6277" i="4"/>
  <c r="L6278" i="4"/>
  <c r="L6279" i="4"/>
  <c r="L6280" i="4"/>
  <c r="L6281" i="4"/>
  <c r="L6282" i="4"/>
  <c r="L6283" i="4"/>
  <c r="L6284" i="4"/>
  <c r="L6285" i="4"/>
  <c r="L6286" i="4"/>
  <c r="L6287" i="4"/>
  <c r="L6288" i="4"/>
  <c r="L6289" i="4"/>
  <c r="L6290" i="4"/>
  <c r="L6291" i="4"/>
  <c r="L6292" i="4"/>
  <c r="L6293" i="4"/>
  <c r="L6294" i="4"/>
  <c r="L6295" i="4"/>
  <c r="L6296" i="4"/>
  <c r="L6297" i="4"/>
  <c r="L6298" i="4"/>
  <c r="L6299" i="4"/>
  <c r="L6300" i="4"/>
  <c r="L6301" i="4"/>
  <c r="L6302" i="4"/>
  <c r="L6303" i="4"/>
  <c r="L6304" i="4"/>
  <c r="L6305" i="4"/>
  <c r="L6306" i="4"/>
  <c r="L6307" i="4"/>
  <c r="L6308" i="4"/>
  <c r="L6309" i="4"/>
  <c r="L6310" i="4"/>
  <c r="L6311" i="4"/>
  <c r="L6312" i="4"/>
  <c r="L6313" i="4"/>
  <c r="L6314" i="4"/>
  <c r="L6315" i="4"/>
  <c r="L6316" i="4"/>
  <c r="L6317" i="4"/>
  <c r="L6318" i="4"/>
  <c r="L6319" i="4"/>
  <c r="L6320" i="4"/>
  <c r="L6321" i="4"/>
  <c r="L6322" i="4"/>
  <c r="L6323" i="4"/>
  <c r="L6324" i="4"/>
  <c r="L6325" i="4"/>
  <c r="L6326" i="4"/>
  <c r="L6327" i="4"/>
  <c r="L6328" i="4"/>
  <c r="L6329" i="4"/>
  <c r="L6330" i="4"/>
  <c r="L6331" i="4"/>
  <c r="L6332" i="4"/>
  <c r="L6333" i="4"/>
  <c r="L6334" i="4"/>
  <c r="L6335" i="4"/>
  <c r="L6336" i="4"/>
  <c r="L6337" i="4"/>
  <c r="L6338" i="4"/>
  <c r="L6339" i="4"/>
  <c r="L6340" i="4"/>
  <c r="L6341" i="4"/>
  <c r="L6342" i="4"/>
  <c r="L6343" i="4"/>
  <c r="L6344" i="4"/>
  <c r="L6345" i="4"/>
  <c r="L6346" i="4"/>
  <c r="L6347" i="4"/>
  <c r="L6348" i="4"/>
  <c r="L6349" i="4"/>
  <c r="L6350" i="4"/>
  <c r="L6351" i="4"/>
  <c r="L6352" i="4"/>
  <c r="L6353" i="4"/>
  <c r="L6354" i="4"/>
  <c r="L6355" i="4"/>
  <c r="L6356" i="4"/>
  <c r="L6357" i="4"/>
  <c r="L6358" i="4"/>
  <c r="L6359" i="4"/>
  <c r="L6360" i="4"/>
  <c r="L6361" i="4"/>
  <c r="L6362" i="4"/>
  <c r="L6363" i="4"/>
  <c r="L6364" i="4"/>
  <c r="L6365" i="4"/>
  <c r="L6366" i="4"/>
  <c r="L6367" i="4"/>
  <c r="L6368" i="4"/>
  <c r="L6369" i="4"/>
  <c r="L6370" i="4"/>
  <c r="L6371" i="4"/>
  <c r="L6372" i="4"/>
  <c r="L6373" i="4"/>
  <c r="L6374" i="4"/>
  <c r="L6375" i="4"/>
  <c r="L6376" i="4"/>
  <c r="L6377" i="4"/>
  <c r="L6378" i="4"/>
  <c r="L6379" i="4"/>
  <c r="L6380" i="4"/>
  <c r="L6381" i="4"/>
  <c r="L6382" i="4"/>
  <c r="L6383" i="4"/>
  <c r="L6384" i="4"/>
  <c r="L6385" i="4"/>
  <c r="L6386" i="4"/>
  <c r="L6387" i="4"/>
  <c r="L6388" i="4"/>
  <c r="L6389" i="4"/>
  <c r="L6390" i="4"/>
  <c r="L6391" i="4"/>
  <c r="L6392" i="4"/>
  <c r="L6393" i="4"/>
  <c r="L6394" i="4"/>
  <c r="L6395" i="4"/>
  <c r="L6396" i="4"/>
  <c r="L6397" i="4"/>
  <c r="L6398" i="4"/>
  <c r="L6399" i="4"/>
  <c r="L6400" i="4"/>
  <c r="L6401" i="4"/>
  <c r="L6402" i="4"/>
  <c r="L6403" i="4"/>
  <c r="L6404" i="4"/>
  <c r="L6405" i="4"/>
  <c r="L6406" i="4"/>
  <c r="L6407" i="4"/>
  <c r="L6408" i="4"/>
  <c r="L6409" i="4"/>
  <c r="L6410" i="4"/>
  <c r="L6411" i="4"/>
  <c r="L6412" i="4"/>
  <c r="L6413" i="4"/>
  <c r="L6414" i="4"/>
  <c r="L6415" i="4"/>
  <c r="L6416" i="4"/>
  <c r="L6417" i="4"/>
  <c r="L6418" i="4"/>
  <c r="L6419" i="4"/>
  <c r="L6420" i="4"/>
  <c r="L6421" i="4"/>
  <c r="L6422" i="4"/>
  <c r="L6423" i="4"/>
  <c r="L6424" i="4"/>
  <c r="L6425" i="4"/>
  <c r="L6426" i="4"/>
  <c r="L6427" i="4"/>
  <c r="L6428" i="4"/>
  <c r="L6429" i="4"/>
  <c r="L6430" i="4"/>
  <c r="L6431" i="4"/>
  <c r="L6432" i="4"/>
  <c r="L6433" i="4"/>
  <c r="L6434" i="4"/>
  <c r="L6435" i="4"/>
  <c r="L6436" i="4"/>
  <c r="L6437" i="4"/>
  <c r="L6438" i="4"/>
  <c r="L6439" i="4"/>
  <c r="L6440" i="4"/>
  <c r="L6441" i="4"/>
  <c r="L6442" i="4"/>
  <c r="L6443" i="4"/>
  <c r="L6444" i="4"/>
  <c r="L6445" i="4"/>
  <c r="L6446" i="4"/>
  <c r="L6447" i="4"/>
  <c r="L6448" i="4"/>
  <c r="L6449" i="4"/>
  <c r="L6450" i="4"/>
  <c r="L6451" i="4"/>
  <c r="L6452" i="4"/>
  <c r="L6453" i="4"/>
  <c r="L6454" i="4"/>
  <c r="L6455" i="4"/>
  <c r="L6456" i="4"/>
  <c r="L6457" i="4"/>
  <c r="L6458" i="4"/>
  <c r="L6459" i="4"/>
  <c r="L6460" i="4"/>
  <c r="L6461" i="4"/>
  <c r="L6462" i="4"/>
  <c r="L6463" i="4"/>
  <c r="L6464" i="4"/>
  <c r="L6465" i="4"/>
  <c r="L6466" i="4"/>
  <c r="L6467" i="4"/>
  <c r="L6468" i="4"/>
  <c r="L6469" i="4"/>
  <c r="L6470" i="4"/>
  <c r="L6471" i="4"/>
  <c r="L6472" i="4"/>
  <c r="L6473" i="4"/>
  <c r="L6474" i="4"/>
  <c r="L6475" i="4"/>
  <c r="L6476" i="4"/>
  <c r="L6477" i="4"/>
  <c r="L6478" i="4"/>
  <c r="L6479" i="4"/>
  <c r="L6480" i="4"/>
  <c r="L6481" i="4"/>
  <c r="L6482" i="4"/>
  <c r="L6483" i="4"/>
  <c r="L6484" i="4"/>
  <c r="L6485" i="4"/>
  <c r="L6486" i="4"/>
  <c r="L6487" i="4"/>
  <c r="L6488" i="4"/>
  <c r="L6489" i="4"/>
  <c r="L6490" i="4"/>
  <c r="L6491" i="4"/>
  <c r="L6492" i="4"/>
  <c r="L6493" i="4"/>
  <c r="L6494" i="4"/>
  <c r="L6495" i="4"/>
  <c r="L6496" i="4"/>
  <c r="L6497" i="4"/>
  <c r="L6498" i="4"/>
  <c r="L6499" i="4"/>
  <c r="L6500" i="4"/>
  <c r="L6501" i="4"/>
  <c r="L6502" i="4"/>
  <c r="L6503" i="4"/>
  <c r="L6504" i="4"/>
  <c r="L6505" i="4"/>
  <c r="L6506" i="4"/>
  <c r="L6507" i="4"/>
  <c r="L6508" i="4"/>
  <c r="L6509" i="4"/>
  <c r="L6510" i="4"/>
  <c r="L6511" i="4"/>
  <c r="L6512" i="4"/>
  <c r="L6513" i="4"/>
  <c r="L6514" i="4"/>
  <c r="L6515" i="4"/>
  <c r="L6516" i="4"/>
  <c r="L6517" i="4"/>
  <c r="L6518" i="4"/>
  <c r="L6519" i="4"/>
  <c r="L6520" i="4"/>
  <c r="L6521" i="4"/>
  <c r="L6522" i="4"/>
  <c r="L6523" i="4"/>
  <c r="L6524" i="4"/>
  <c r="L6525" i="4"/>
  <c r="L6526" i="4"/>
  <c r="L6527" i="4"/>
  <c r="L6528" i="4"/>
  <c r="L6529" i="4"/>
  <c r="L6530" i="4"/>
  <c r="L6531" i="4"/>
  <c r="L6532" i="4"/>
  <c r="L6533" i="4"/>
  <c r="L6534" i="4"/>
  <c r="L6535" i="4"/>
  <c r="L6536" i="4"/>
  <c r="L6537" i="4"/>
  <c r="L6538" i="4"/>
  <c r="L6539" i="4"/>
  <c r="L6540" i="4"/>
  <c r="L6541" i="4"/>
  <c r="L6542" i="4"/>
  <c r="L6543" i="4"/>
  <c r="L6544" i="4"/>
  <c r="L6545" i="4"/>
  <c r="L6546" i="4"/>
  <c r="L6547" i="4"/>
  <c r="L6548" i="4"/>
  <c r="L6549" i="4"/>
  <c r="L6550" i="4"/>
  <c r="L6551" i="4"/>
  <c r="L6552" i="4"/>
  <c r="L6553" i="4"/>
  <c r="L6554" i="4"/>
  <c r="L6555" i="4"/>
  <c r="L6556" i="4"/>
  <c r="L6557" i="4"/>
  <c r="L6558" i="4"/>
  <c r="L6559" i="4"/>
  <c r="L6560" i="4"/>
  <c r="L6561" i="4"/>
  <c r="L6562" i="4"/>
  <c r="L6563" i="4"/>
  <c r="L6564" i="4"/>
  <c r="L6565" i="4"/>
  <c r="L6566" i="4"/>
  <c r="L6567" i="4"/>
  <c r="L6568" i="4"/>
  <c r="L6569" i="4"/>
  <c r="L6570" i="4"/>
  <c r="L6571" i="4"/>
  <c r="L6572" i="4"/>
  <c r="L6573" i="4"/>
  <c r="L6574" i="4"/>
  <c r="L6575" i="4"/>
  <c r="L6576" i="4"/>
  <c r="L6577" i="4"/>
  <c r="L6578" i="4"/>
  <c r="L6579" i="4"/>
  <c r="L6580" i="4"/>
  <c r="L6581" i="4"/>
  <c r="L6582" i="4"/>
  <c r="L6583" i="4"/>
  <c r="L6584" i="4"/>
  <c r="L6585" i="4"/>
  <c r="L6586" i="4"/>
  <c r="L6587" i="4"/>
  <c r="L6588" i="4"/>
  <c r="L6589" i="4"/>
  <c r="L6590" i="4"/>
  <c r="L6591" i="4"/>
  <c r="L6592" i="4"/>
  <c r="L6593" i="4"/>
  <c r="L6594" i="4"/>
  <c r="L6595" i="4"/>
  <c r="L6596" i="4"/>
  <c r="L6597" i="4"/>
  <c r="L6598" i="4"/>
  <c r="L6599" i="4"/>
  <c r="L6600" i="4"/>
  <c r="L6601" i="4"/>
  <c r="L6602" i="4"/>
  <c r="L6603" i="4"/>
  <c r="L6604" i="4"/>
  <c r="L6605" i="4"/>
  <c r="L6606" i="4"/>
  <c r="L6607" i="4"/>
  <c r="L6608" i="4"/>
  <c r="L6609" i="4"/>
  <c r="L6610" i="4"/>
  <c r="L6611" i="4"/>
  <c r="L6612" i="4"/>
  <c r="L6613" i="4"/>
  <c r="L6614" i="4"/>
  <c r="L6615" i="4"/>
  <c r="L6616" i="4"/>
  <c r="L6617" i="4"/>
  <c r="L6618" i="4"/>
  <c r="L6619" i="4"/>
  <c r="L6620" i="4"/>
  <c r="L6621" i="4"/>
  <c r="L6622" i="4"/>
  <c r="L6623" i="4"/>
  <c r="L6624" i="4"/>
  <c r="L6625" i="4"/>
  <c r="L6626" i="4"/>
  <c r="L6627" i="4"/>
  <c r="L6628" i="4"/>
  <c r="L6629" i="4"/>
  <c r="L6630" i="4"/>
  <c r="L6631" i="4"/>
  <c r="L6632" i="4"/>
  <c r="L6633" i="4"/>
  <c r="L6634" i="4"/>
  <c r="L6635" i="4"/>
  <c r="L6636" i="4"/>
  <c r="L6637" i="4"/>
  <c r="L6638" i="4"/>
  <c r="L6639" i="4"/>
  <c r="L6640" i="4"/>
  <c r="L6641" i="4"/>
  <c r="L6642" i="4"/>
  <c r="L6643" i="4"/>
  <c r="L6644" i="4"/>
  <c r="L6645" i="4"/>
  <c r="L6646" i="4"/>
  <c r="L6647" i="4"/>
  <c r="L6648" i="4"/>
  <c r="L6649" i="4"/>
  <c r="L6650" i="4"/>
  <c r="L6651" i="4"/>
  <c r="L6652" i="4"/>
  <c r="L6653" i="4"/>
  <c r="L6654" i="4"/>
  <c r="L6655" i="4"/>
  <c r="L6656" i="4"/>
  <c r="L6657" i="4"/>
  <c r="L6658" i="4"/>
  <c r="L6659" i="4"/>
  <c r="L6660" i="4"/>
  <c r="L6661" i="4"/>
  <c r="L6662" i="4"/>
  <c r="L1459" i="4"/>
  <c r="L1454" i="4"/>
  <c r="L1455" i="4"/>
  <c r="L1456" i="4"/>
  <c r="L1460" i="4"/>
  <c r="L1461" i="4"/>
  <c r="L1463" i="4"/>
  <c r="L1523" i="4"/>
  <c r="L1524" i="4"/>
  <c r="L1525" i="4"/>
  <c r="L1526" i="4"/>
  <c r="G17" i="1" l="1"/>
  <c r="G9" i="1"/>
  <c r="L566" i="4"/>
  <c r="L737" i="4"/>
  <c r="L560" i="4"/>
  <c r="L561" i="4"/>
  <c r="L562" i="4"/>
  <c r="L563" i="4"/>
  <c r="L564" i="4"/>
  <c r="L565" i="4"/>
  <c r="L567" i="4"/>
  <c r="L568" i="4"/>
  <c r="L569" i="4"/>
  <c r="L585" i="4"/>
  <c r="L577" i="4"/>
  <c r="L578" i="4"/>
  <c r="L579" i="4"/>
  <c r="L586" i="4"/>
  <c r="L587" i="4"/>
  <c r="L594" i="4"/>
  <c r="L639" i="4"/>
  <c r="L640" i="4"/>
  <c r="L641" i="4"/>
  <c r="L642" i="4"/>
  <c r="L588" i="4"/>
  <c r="L571" i="4"/>
  <c r="L589" i="4"/>
  <c r="L590" i="4"/>
  <c r="L643" i="4"/>
  <c r="L644" i="4"/>
  <c r="L645" i="4"/>
  <c r="L591" i="4"/>
  <c r="L646" i="4"/>
  <c r="L595" i="4"/>
  <c r="L647" i="4"/>
  <c r="L592" i="4"/>
  <c r="L574" i="4"/>
  <c r="L570" i="4"/>
  <c r="L581" i="4"/>
  <c r="L593" i="4"/>
  <c r="L583" i="4"/>
  <c r="L692" i="4"/>
  <c r="L693" i="4"/>
  <c r="L694" i="4"/>
  <c r="L582" i="4"/>
  <c r="L584" i="4"/>
  <c r="L572" i="4"/>
  <c r="L695" i="4"/>
  <c r="L696" i="4"/>
  <c r="L697" i="4"/>
  <c r="L698" i="4"/>
  <c r="L699" i="4"/>
  <c r="L700" i="4"/>
  <c r="L701" i="4"/>
  <c r="L702" i="4"/>
  <c r="L580" i="4"/>
  <c r="L703" i="4"/>
  <c r="L704" i="4"/>
  <c r="L596" i="4"/>
  <c r="L660" i="4"/>
  <c r="L661" i="4"/>
  <c r="L662" i="4"/>
  <c r="L663" i="4"/>
  <c r="L664" i="4"/>
  <c r="L665" i="4"/>
  <c r="L606" i="4"/>
  <c r="L607" i="4"/>
  <c r="L608" i="4"/>
  <c r="L609" i="4"/>
  <c r="L610" i="4"/>
  <c r="L611" i="4"/>
  <c r="L612" i="4"/>
  <c r="L722" i="4"/>
  <c r="L613" i="4"/>
  <c r="L614" i="4"/>
  <c r="L615" i="4"/>
  <c r="L597" i="4"/>
  <c r="L598" i="4"/>
  <c r="L723" i="4"/>
  <c r="L724" i="4"/>
  <c r="L725" i="4"/>
  <c r="L726" i="4"/>
  <c r="L727" i="4"/>
  <c r="L705" i="4"/>
  <c r="L706" i="4"/>
  <c r="L707" i="4"/>
  <c r="L599" i="4"/>
  <c r="L648" i="4"/>
  <c r="L616" i="4"/>
  <c r="L575" i="4"/>
  <c r="L708" i="4"/>
  <c r="L600" i="4"/>
  <c r="L728" i="4"/>
  <c r="L729" i="4"/>
  <c r="L601" i="4"/>
  <c r="L666" i="4"/>
  <c r="L709" i="4"/>
  <c r="L667" i="4"/>
  <c r="L668" i="4"/>
  <c r="L710" i="4"/>
  <c r="L669" i="4"/>
  <c r="L649" i="4"/>
  <c r="L617" i="4"/>
  <c r="L618" i="4"/>
  <c r="L619" i="4"/>
  <c r="L620" i="4"/>
  <c r="L730" i="4"/>
  <c r="L650" i="4"/>
  <c r="L711" i="4"/>
  <c r="L651" i="4"/>
  <c r="L602" i="4"/>
  <c r="L621" i="4"/>
  <c r="L652" i="4"/>
  <c r="L603" i="4"/>
  <c r="L622" i="4"/>
  <c r="L721" i="4"/>
  <c r="L653" i="4"/>
  <c r="L604" i="4"/>
  <c r="L573" i="4"/>
  <c r="L731" i="4"/>
  <c r="L670" i="4"/>
  <c r="L671" i="4"/>
  <c r="L672" i="4"/>
  <c r="L654" i="4"/>
  <c r="L655" i="4"/>
  <c r="L656" i="4"/>
  <c r="L623" i="4"/>
  <c r="L673" i="4"/>
  <c r="L624" i="4"/>
  <c r="L625" i="4"/>
  <c r="L674" i="4"/>
  <c r="L626" i="4"/>
  <c r="L675" i="4"/>
  <c r="L627" i="4"/>
  <c r="L628" i="4"/>
  <c r="L629" i="4"/>
  <c r="L676" i="4"/>
  <c r="L630" i="4"/>
  <c r="L732" i="4"/>
  <c r="L631" i="4"/>
  <c r="L677" i="4"/>
  <c r="L632" i="4"/>
  <c r="L678" i="4"/>
  <c r="L679" i="4"/>
  <c r="L680" i="4"/>
  <c r="L681" i="4"/>
  <c r="L733" i="4"/>
  <c r="L712" i="4"/>
  <c r="L682" i="4"/>
  <c r="L734" i="4"/>
  <c r="L683" i="4"/>
  <c r="L684" i="4"/>
  <c r="L735" i="4"/>
  <c r="L713" i="4"/>
  <c r="L657" i="4"/>
  <c r="L736" i="4"/>
  <c r="L605" i="4"/>
  <c r="L717" i="4"/>
  <c r="L718" i="4"/>
  <c r="L633" i="4"/>
  <c r="L634" i="4"/>
  <c r="L635" i="4"/>
  <c r="L636" i="4"/>
  <c r="L637" i="4"/>
  <c r="L638" i="4"/>
  <c r="L658" i="4"/>
  <c r="L659" i="4"/>
  <c r="L685" i="4"/>
  <c r="L686" i="4"/>
  <c r="L687" i="4"/>
  <c r="L719" i="4"/>
  <c r="L688" i="4"/>
  <c r="L689" i="4"/>
  <c r="L690" i="4"/>
  <c r="L691" i="4"/>
  <c r="L720" i="4"/>
  <c r="L714" i="4"/>
  <c r="L715" i="4"/>
  <c r="L716" i="4"/>
  <c r="L576" i="4"/>
  <c r="F8" i="1" l="1"/>
  <c r="G8" i="1"/>
  <c r="L5" i="4"/>
  <c r="L6" i="4"/>
  <c r="L7" i="4"/>
  <c r="L8" i="4"/>
  <c r="L9" i="4"/>
  <c r="L10" i="4"/>
  <c r="L11" i="4"/>
  <c r="L12" i="4"/>
  <c r="L13" i="4"/>
  <c r="L14" i="4"/>
  <c r="L15" i="4"/>
  <c r="L16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8" i="4"/>
  <c r="L79" i="4"/>
  <c r="L80" i="4"/>
  <c r="L81" i="4"/>
  <c r="L82" i="4"/>
  <c r="L83" i="4"/>
  <c r="L84" i="4"/>
  <c r="L140" i="4"/>
  <c r="L85" i="4"/>
  <c r="L86" i="4"/>
  <c r="L143" i="4"/>
  <c r="L87" i="4"/>
  <c r="L88" i="4"/>
  <c r="L89" i="4"/>
  <c r="L90" i="4"/>
  <c r="L91" i="4"/>
  <c r="L92" i="4"/>
  <c r="L93" i="4"/>
  <c r="L94" i="4"/>
  <c r="L95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5" i="4"/>
  <c r="L13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1" i="4"/>
  <c r="L172" i="4"/>
  <c r="L173" i="4"/>
  <c r="L174" i="4"/>
  <c r="L175" i="4"/>
  <c r="L176" i="4"/>
  <c r="L177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11" i="4"/>
  <c r="L212" i="4"/>
  <c r="L213" i="4"/>
  <c r="L214" i="4"/>
  <c r="L215" i="4"/>
  <c r="L216" i="4"/>
  <c r="L217" i="4"/>
  <c r="L218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5" i="4"/>
  <c r="L256" i="4"/>
  <c r="L257" i="4"/>
  <c r="L258" i="4"/>
  <c r="L259" i="4"/>
  <c r="L260" i="4"/>
  <c r="L262" i="4"/>
  <c r="L263" i="4"/>
  <c r="L265" i="4"/>
  <c r="L471" i="4"/>
  <c r="L267" i="4"/>
  <c r="L268" i="4"/>
  <c r="L269" i="4"/>
  <c r="L270" i="4"/>
  <c r="L271" i="4"/>
  <c r="L272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1" i="4"/>
  <c r="L352" i="4"/>
  <c r="L353" i="4"/>
  <c r="L354" i="4"/>
  <c r="L355" i="4"/>
  <c r="L356" i="4"/>
  <c r="L357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49" i="4"/>
  <c r="L450" i="4"/>
  <c r="L451" i="4"/>
  <c r="L452" i="4"/>
  <c r="L453" i="4"/>
  <c r="L454" i="4"/>
  <c r="L455" i="4"/>
  <c r="L456" i="4"/>
  <c r="L457" i="4"/>
  <c r="L465" i="4"/>
  <c r="L466" i="4"/>
  <c r="L467" i="4"/>
  <c r="L468" i="4"/>
  <c r="L469" i="4"/>
  <c r="L470" i="4"/>
  <c r="L472" i="4"/>
  <c r="L473" i="4"/>
  <c r="L474" i="4"/>
  <c r="L475" i="4"/>
  <c r="L476" i="4"/>
  <c r="L477" i="4"/>
  <c r="L478" i="4"/>
  <c r="L479" i="4"/>
  <c r="L480" i="4"/>
  <c r="L488" i="4"/>
  <c r="L489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5" i="4"/>
  <c r="L526" i="4"/>
  <c r="L527" i="4"/>
  <c r="L528" i="4"/>
  <c r="L529" i="4"/>
  <c r="L530" i="4"/>
  <c r="L531" i="4"/>
  <c r="L532" i="4"/>
  <c r="L533" i="4"/>
  <c r="L559" i="4"/>
  <c r="L534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24" i="4"/>
  <c r="L300" i="4"/>
  <c r="L301" i="4"/>
  <c r="L302" i="4"/>
  <c r="L420" i="4"/>
  <c r="L137" i="4"/>
  <c r="L178" i="4"/>
  <c r="L179" i="4"/>
  <c r="L208" i="4"/>
  <c r="L535" i="4"/>
  <c r="L536" i="4"/>
  <c r="L537" i="4"/>
  <c r="L96" i="4"/>
  <c r="L423" i="4"/>
  <c r="L424" i="4"/>
  <c r="L425" i="4"/>
  <c r="L426" i="4"/>
  <c r="L427" i="4"/>
  <c r="L428" i="4"/>
  <c r="L448" i="4"/>
  <c r="L17" i="4"/>
  <c r="L18" i="4"/>
  <c r="L49" i="4"/>
  <c r="L458" i="4"/>
  <c r="L459" i="4"/>
  <c r="L481" i="4"/>
  <c r="L19" i="4"/>
  <c r="L50" i="4"/>
  <c r="L482" i="4"/>
  <c r="L152" i="4"/>
  <c r="L483" i="4"/>
  <c r="L484" i="4"/>
  <c r="L485" i="4"/>
  <c r="L77" i="4"/>
  <c r="L320" i="4"/>
  <c r="L421" i="4"/>
  <c r="L460" i="4"/>
  <c r="L461" i="4"/>
  <c r="L138" i="4"/>
  <c r="L139" i="4"/>
  <c r="L141" i="4"/>
  <c r="L180" i="4"/>
  <c r="L273" i="4"/>
  <c r="L181" i="4"/>
  <c r="L303" i="4"/>
  <c r="L304" i="4"/>
  <c r="L305" i="4"/>
  <c r="L142" i="4"/>
  <c r="L144" i="4"/>
  <c r="L274" i="4"/>
  <c r="L306" i="4"/>
  <c r="L145" i="4"/>
  <c r="L146" i="4"/>
  <c r="L261" i="4"/>
  <c r="L307" i="4"/>
  <c r="L308" i="4"/>
  <c r="L170" i="4"/>
  <c r="L322" i="4"/>
  <c r="L323" i="4"/>
  <c r="L358" i="4"/>
  <c r="L429" i="4"/>
  <c r="L435" i="4"/>
  <c r="L436" i="4"/>
  <c r="L437" i="4"/>
  <c r="L438" i="4"/>
  <c r="L439" i="4"/>
  <c r="L440" i="4"/>
  <c r="L441" i="4"/>
  <c r="L442" i="4"/>
  <c r="L443" i="4"/>
  <c r="L444" i="4"/>
  <c r="L445" i="4"/>
  <c r="L558" i="4"/>
  <c r="L490" i="4"/>
  <c r="L491" i="4"/>
  <c r="L492" i="4"/>
  <c r="L493" i="4"/>
  <c r="L494" i="4"/>
  <c r="L495" i="4"/>
  <c r="L20" i="4"/>
  <c r="L21" i="4"/>
  <c r="L22" i="4"/>
  <c r="L486" i="4"/>
  <c r="L147" i="4"/>
  <c r="L462" i="4"/>
  <c r="L463" i="4"/>
  <c r="L464" i="4"/>
  <c r="L487" i="4"/>
  <c r="L182" i="4"/>
  <c r="L252" i="4"/>
  <c r="L253" i="4"/>
  <c r="L254" i="4"/>
  <c r="L446" i="4"/>
  <c r="L447" i="4"/>
  <c r="L148" i="4"/>
  <c r="L149" i="4"/>
  <c r="L150" i="4"/>
  <c r="L151" i="4"/>
  <c r="L183" i="4"/>
  <c r="L309" i="4"/>
  <c r="L310" i="4"/>
  <c r="L311" i="4"/>
  <c r="L312" i="4"/>
  <c r="L313" i="4"/>
  <c r="L314" i="4"/>
  <c r="L315" i="4"/>
  <c r="L321" i="4"/>
  <c r="L153" i="4"/>
  <c r="L154" i="4"/>
  <c r="L155" i="4"/>
  <c r="L316" i="4"/>
  <c r="L317" i="4"/>
  <c r="L318" i="4"/>
  <c r="L319" i="4"/>
  <c r="L430" i="4"/>
  <c r="L431" i="4"/>
  <c r="L432" i="4"/>
  <c r="L433" i="4"/>
  <c r="L434" i="4"/>
  <c r="L496" i="4"/>
  <c r="L359" i="4"/>
  <c r="L130" i="4"/>
  <c r="L131" i="4"/>
  <c r="L132" i="4"/>
  <c r="L133" i="4"/>
  <c r="L134" i="4"/>
  <c r="L219" i="4"/>
  <c r="L264" i="4"/>
  <c r="L156" i="4"/>
  <c r="L97" i="4"/>
  <c r="L220" i="4"/>
  <c r="L184" i="4"/>
  <c r="L266" i="4"/>
  <c r="L185" i="4"/>
  <c r="L209" i="4"/>
  <c r="L210" i="4"/>
  <c r="L350" i="4"/>
  <c r="L422" i="4"/>
  <c r="L4" i="4"/>
  <c r="F7" i="1" l="1"/>
  <c r="G7" i="1"/>
  <c r="B23" i="1"/>
  <c r="G31" i="1" l="1"/>
  <c r="G21" i="1" l="1"/>
  <c r="B18" i="1" l="1"/>
  <c r="G16" i="1" l="1"/>
  <c r="F16" i="1"/>
  <c r="H16" i="1" s="1"/>
  <c r="G14" i="1" l="1"/>
  <c r="H8" i="1" l="1"/>
  <c r="B3" i="1" l="1"/>
  <c r="H7" i="1"/>
  <c r="B8" i="1"/>
  <c r="B9" i="1"/>
  <c r="B10" i="1"/>
  <c r="B11" i="1"/>
  <c r="B12" i="1"/>
  <c r="C32" i="1" l="1"/>
  <c r="B19" i="1"/>
  <c r="B31" i="1"/>
  <c r="B30" i="1"/>
  <c r="B29" i="1"/>
  <c r="B28" i="1"/>
  <c r="B27" i="1"/>
  <c r="B26" i="1"/>
  <c r="B25" i="1"/>
  <c r="B24" i="1"/>
  <c r="B22" i="1"/>
  <c r="B17" i="1"/>
  <c r="B16" i="1"/>
  <c r="B15" i="1"/>
  <c r="B14" i="1"/>
  <c r="B13" i="1"/>
  <c r="C2" i="4"/>
  <c r="F21" i="1" l="1"/>
  <c r="H21" i="1" s="1"/>
  <c r="F27" i="1"/>
  <c r="H27" i="1" s="1"/>
  <c r="G10" i="1"/>
  <c r="F11" i="1"/>
  <c r="H11" i="1" s="1"/>
  <c r="F31" i="1"/>
  <c r="H31" i="1" s="1"/>
  <c r="F23" i="1"/>
  <c r="H23" i="1" s="1"/>
  <c r="B2" i="1"/>
  <c r="F19" i="1"/>
  <c r="H19" i="1" s="1"/>
  <c r="F25" i="1"/>
  <c r="H25" i="1" s="1"/>
  <c r="G28" i="1"/>
  <c r="G24" i="1"/>
  <c r="F29" i="1"/>
  <c r="H29" i="1" s="1"/>
  <c r="G27" i="1"/>
  <c r="G13" i="1"/>
  <c r="G18" i="1"/>
  <c r="F18" i="1"/>
  <c r="H18" i="1" s="1"/>
  <c r="F10" i="1"/>
  <c r="H10" i="1" s="1"/>
  <c r="F17" i="1"/>
  <c r="H17" i="1" s="1"/>
  <c r="F9" i="1"/>
  <c r="H9" i="1" s="1"/>
  <c r="F12" i="1"/>
  <c r="H12" i="1" s="1"/>
  <c r="G30" i="1"/>
  <c r="G26" i="1"/>
  <c r="G22" i="1"/>
  <c r="G12" i="1"/>
  <c r="F30" i="1"/>
  <c r="H30" i="1" s="1"/>
  <c r="F28" i="1"/>
  <c r="H28" i="1" s="1"/>
  <c r="F26" i="1"/>
  <c r="H26" i="1" s="1"/>
  <c r="F24" i="1"/>
  <c r="H24" i="1" s="1"/>
  <c r="F22" i="1"/>
  <c r="H22" i="1" s="1"/>
  <c r="G19" i="1"/>
  <c r="F15" i="1"/>
  <c r="H15" i="1" s="1"/>
  <c r="G23" i="1"/>
  <c r="G29" i="1"/>
  <c r="G25" i="1"/>
  <c r="G15" i="1"/>
  <c r="G11" i="1"/>
  <c r="G20" i="1"/>
  <c r="F14" i="1"/>
  <c r="H14" i="1" s="1"/>
  <c r="F20" i="1"/>
  <c r="H20" i="1" s="1"/>
  <c r="F13" i="1"/>
  <c r="H13" i="1" s="1"/>
  <c r="H32" i="1" l="1"/>
  <c r="B4" i="1"/>
  <c r="B32" i="1"/>
  <c r="F32" i="1"/>
  <c r="E2" i="4"/>
  <c r="G32" i="1"/>
</calcChain>
</file>

<file path=xl/comments1.xml><?xml version="1.0" encoding="utf-8"?>
<comments xmlns="http://schemas.openxmlformats.org/spreadsheetml/2006/main">
  <authors>
    <author>ACHRAF</author>
  </authors>
  <commentList>
    <comment ref="B24" authorId="0" shapeId="0">
      <text>
        <r>
          <rPr>
            <b/>
            <sz val="9"/>
            <color indexed="81"/>
            <rFont val="Tahoma"/>
            <family val="2"/>
          </rPr>
          <t>ACHRAF:</t>
        </r>
        <r>
          <rPr>
            <sz val="9"/>
            <color indexed="81"/>
            <rFont val="Tahoma"/>
            <family val="2"/>
          </rPr>
          <t xml:space="preserve">
27/03/2025
25167 DH STC </t>
        </r>
      </text>
    </comment>
  </commentList>
</comments>
</file>

<file path=xl/sharedStrings.xml><?xml version="1.0" encoding="utf-8"?>
<sst xmlns="http://schemas.openxmlformats.org/spreadsheetml/2006/main" count="21662" uniqueCount="2014">
  <si>
    <t>LES SOLDES</t>
  </si>
  <si>
    <t>SOLDE DES IMPAYÉ BLOQUÉ</t>
  </si>
  <si>
    <t>SOLDE DES IMPAYÉ EN COURS</t>
  </si>
  <si>
    <t>SOLDE PHYSIQUE</t>
  </si>
  <si>
    <t>Quinzaine</t>
  </si>
  <si>
    <t>POINTAGE ESPECES</t>
  </si>
  <si>
    <t>Montant alimentation
 VIREMENT BGF</t>
  </si>
  <si>
    <t>Montant alimentation
 MR OMAR</t>
  </si>
  <si>
    <t>ALIM PAR CAISSE RECETTES</t>
  </si>
  <si>
    <t>Montant payé</t>
  </si>
  <si>
    <t>Montant Impayé</t>
  </si>
  <si>
    <t>Solde</t>
  </si>
  <si>
    <t>TOTAL</t>
  </si>
  <si>
    <t>Liste Des Ouvriers Impayé</t>
  </si>
  <si>
    <t>Liste Des Ouvriers Payé</t>
  </si>
  <si>
    <t>Liste De Tous Les Ouvriers</t>
  </si>
  <si>
    <t>Sommes Des Impayés</t>
  </si>
  <si>
    <t>OUVRIER</t>
  </si>
  <si>
    <t>Matricule</t>
  </si>
  <si>
    <t>Personnel</t>
  </si>
  <si>
    <t>Fonction</t>
  </si>
  <si>
    <t>Équipe</t>
  </si>
  <si>
    <t xml:space="preserve">Nbr de Jours </t>
  </si>
  <si>
    <t>Montant  Net</t>
  </si>
  <si>
    <t>Date et Heure</t>
  </si>
  <si>
    <t>Statut</t>
  </si>
  <si>
    <t>KHALIl HAIMER</t>
  </si>
  <si>
    <t>EL HAFI F</t>
  </si>
  <si>
    <t>ABDESSLAM MAAYZO</t>
  </si>
  <si>
    <t>EDDRIOUCHE ABDRRAHMANE</t>
  </si>
  <si>
    <t>KSAR,H</t>
  </si>
  <si>
    <t>CHAIBANI YOUNES</t>
  </si>
  <si>
    <t>BAKHADA FATIMA</t>
  </si>
  <si>
    <t>ZEROGI</t>
  </si>
  <si>
    <t>EL-ATTI BOUSSELHAM</t>
  </si>
  <si>
    <t>LAHRIDIENNE</t>
  </si>
  <si>
    <t>KSAR JK</t>
  </si>
  <si>
    <t>EL HMIDY ASMAE</t>
  </si>
  <si>
    <t>EL KHAL FOUAD</t>
  </si>
  <si>
    <t xml:space="preserve"> BOUCHAT</t>
  </si>
  <si>
    <t>EL MANDOURI OMAR</t>
  </si>
  <si>
    <t>ZIAT  IHSSANE</t>
  </si>
  <si>
    <t>BEJIJINNE,F</t>
  </si>
  <si>
    <t>GRIACH FATIMA ZOHRA</t>
  </si>
  <si>
    <t>EL HAFI HANAN 2</t>
  </si>
  <si>
    <t>KSAR,F</t>
  </si>
  <si>
    <t>EL HAMOUDI SAMIRA</t>
  </si>
  <si>
    <t>EL HAJJAJI LAILA</t>
  </si>
  <si>
    <t>EL OUAHABI ABDELLAH</t>
  </si>
  <si>
    <t>LARACHE</t>
  </si>
  <si>
    <t>EL HAIROUR SAIDA</t>
  </si>
  <si>
    <t>SAHEL</t>
  </si>
  <si>
    <t>AL AIZ HODA</t>
  </si>
  <si>
    <t>BARKATI MENNANA</t>
  </si>
  <si>
    <t>ESSAMAK SAID</t>
  </si>
  <si>
    <t>BERAHA SAIDA</t>
  </si>
  <si>
    <t>KAH SOHDIA</t>
  </si>
  <si>
    <t>ECH'CHAFIY ZOUHRA</t>
  </si>
  <si>
    <t>STAT MANAR</t>
  </si>
  <si>
    <t>MAAROUF FATNA</t>
  </si>
  <si>
    <t>FTAICHE SALWA</t>
  </si>
  <si>
    <t>-</t>
  </si>
  <si>
    <t>SAMMAR SALMA</t>
  </si>
  <si>
    <t>ZARROUGUY</t>
  </si>
  <si>
    <t>EL HAIMOUDI ABDELILAH</t>
  </si>
  <si>
    <t>DAICH AHMED</t>
  </si>
  <si>
    <t>KHAYAT ABDENNASSAR</t>
  </si>
  <si>
    <t>BOUCHAT</t>
  </si>
  <si>
    <t>EZ-ZAKY ASSIA</t>
  </si>
  <si>
    <t>OULAD JEMAIL</t>
  </si>
  <si>
    <t>BALHI ABDERRAHMANE</t>
  </si>
  <si>
    <t>RISSANA 2</t>
  </si>
  <si>
    <t>AMIMI BAHIJA</t>
  </si>
  <si>
    <t>RISSANA</t>
  </si>
  <si>
    <t>EL JELLOULI TOURIA</t>
  </si>
  <si>
    <t>FATNA BIN RADI</t>
  </si>
  <si>
    <t>RACHID</t>
  </si>
  <si>
    <t>KALLOUCH NAJOWA</t>
  </si>
  <si>
    <t>SHAIMI ANISSA</t>
  </si>
  <si>
    <t>CHAHOUATI SANAA</t>
  </si>
  <si>
    <t>LYAMANI IMAD</t>
  </si>
  <si>
    <t>BGF 1</t>
  </si>
  <si>
    <t>BOUZAIDI FATIMA ZOHRA</t>
  </si>
  <si>
    <t>TARFI FOUZIA</t>
  </si>
  <si>
    <t>BEN RACHID LATIFA</t>
  </si>
  <si>
    <t>LAHOUEL MALIKA</t>
  </si>
  <si>
    <t>KSAR  KEBIR</t>
  </si>
  <si>
    <t>KSAR KEBIR</t>
  </si>
  <si>
    <t>MAIZ FATIMA</t>
  </si>
  <si>
    <t>RAHMOUNI HANAN</t>
  </si>
  <si>
    <t>AIN LAABID</t>
  </si>
  <si>
    <t>TIJANI MENANA</t>
  </si>
  <si>
    <t>LAGHDIRA</t>
  </si>
  <si>
    <t>BAAL HIND</t>
  </si>
  <si>
    <t>AYOUB</t>
  </si>
  <si>
    <t>RAIS MENNANA</t>
  </si>
  <si>
    <t>OLD MSBAH</t>
  </si>
  <si>
    <t>RAIS YOUSRA</t>
  </si>
  <si>
    <t>EL KAROUA HANANE</t>
  </si>
  <si>
    <t>HLAILA ZOHRA</t>
  </si>
  <si>
    <t>KABAB ZOHRA</t>
  </si>
  <si>
    <t>BEN SAID</t>
  </si>
  <si>
    <t>EL AAOUAJ HLAL</t>
  </si>
  <si>
    <t>BGF 5</t>
  </si>
  <si>
    <t>RAHLI FATIMA</t>
  </si>
  <si>
    <t>HADRI IKRAM</t>
  </si>
  <si>
    <t>ANHAICHE MOHAMED</t>
  </si>
  <si>
    <t>BGF5</t>
  </si>
  <si>
    <t>SISSA MAROUAN</t>
  </si>
  <si>
    <t>ATTIOUI SAFAE</t>
  </si>
  <si>
    <t>ATTIOUI FATIMA</t>
  </si>
  <si>
    <t>LOURAOUI HAFSSA</t>
  </si>
  <si>
    <t>MAMOU FATIMA</t>
  </si>
  <si>
    <t>ZALIM AMAL</t>
  </si>
  <si>
    <t>ROUIFI SAID</t>
  </si>
  <si>
    <t>EL BADAOUY MOHAMED</t>
  </si>
  <si>
    <t>BALAOI MAROUAN</t>
  </si>
  <si>
    <t>GHEDIRA</t>
  </si>
  <si>
    <t>HOUMA ILYASS</t>
  </si>
  <si>
    <t>NAHED HANANE</t>
  </si>
  <si>
    <t>JAHAIRAG HARIT</t>
  </si>
  <si>
    <t>HAIMAD TAWFIK</t>
  </si>
  <si>
    <t>TAHTAH FATIMA</t>
  </si>
  <si>
    <t>BOUCHAREN</t>
  </si>
  <si>
    <t>CHARRADI ESSADEK</t>
  </si>
  <si>
    <t>KSIOU ISMAIL</t>
  </si>
  <si>
    <t>ELADDARA</t>
  </si>
  <si>
    <t>NEHAILI MOHAMED</t>
  </si>
  <si>
    <t>EL-MELHAOUI ABDELALI</t>
  </si>
  <si>
    <t>LAHMAR HASSAN</t>
  </si>
  <si>
    <t>SNIBAL RIDA</t>
  </si>
  <si>
    <t>CHAOUCHI MOHAMED</t>
  </si>
  <si>
    <t>BAAL MOHAMED</t>
  </si>
  <si>
    <t>LOUBBA HAMZA</t>
  </si>
  <si>
    <t>CHAFEI TOUHAMI</t>
  </si>
  <si>
    <t>CHLIHI  ZAKARIAE</t>
  </si>
  <si>
    <t>MARFOUK HAMZA</t>
  </si>
  <si>
    <t>DARBI YOUSSEF</t>
  </si>
  <si>
    <t>AMESSMOUD MUSTAPHA</t>
  </si>
  <si>
    <t>BENKHADDAH SAID</t>
  </si>
  <si>
    <t>BOUCHAREN ,H</t>
  </si>
  <si>
    <t>OUALLAF HICHAM</t>
  </si>
  <si>
    <t>OUHRAD RIDOUANE</t>
  </si>
  <si>
    <t>EL MAKKY ZAHRA</t>
  </si>
  <si>
    <t xml:space="preserve">EL BRIRI SAAD </t>
  </si>
  <si>
    <t>BEHIBAH LARBI</t>
  </si>
  <si>
    <t>TRS</t>
  </si>
  <si>
    <t>tadlaoui ibrahim</t>
  </si>
  <si>
    <t>MUSTAPHA REWAH</t>
  </si>
  <si>
    <t>MOUHAN MARIAM</t>
  </si>
  <si>
    <t>mohamed reda hemiche</t>
  </si>
  <si>
    <t>IBISI SANAE</t>
  </si>
  <si>
    <t>EL HAYARI NABILA</t>
  </si>
  <si>
    <t>ELHAYARI SANAE</t>
  </si>
  <si>
    <t>BEN ABDELLAH AMINA</t>
  </si>
  <si>
    <t>BENCHERIF FAOUZIA</t>
  </si>
  <si>
    <t>YOUSSEF EL MARBOUH</t>
  </si>
  <si>
    <t>ARBAOUA H</t>
  </si>
  <si>
    <t>AYOUB CHINGO</t>
  </si>
  <si>
    <t>TEHAMI KERIZI</t>
  </si>
  <si>
    <t>SEROKHE MOHAMED</t>
  </si>
  <si>
    <t>REBBOUH  YASSINE</t>
  </si>
  <si>
    <t>EL HAFI H</t>
  </si>
  <si>
    <t>ABDELAH KLAAI</t>
  </si>
  <si>
    <t>JELOULI SAFOUANE</t>
  </si>
  <si>
    <t>CHAIB NORDIN</t>
  </si>
  <si>
    <t>AYOUB TAHTAH</t>
  </si>
  <si>
    <t>BEN HSAIN RIDA</t>
  </si>
  <si>
    <t>TRS333</t>
  </si>
  <si>
    <t>EL HILLY ABDELILAH</t>
  </si>
  <si>
    <t>SUB GASOIL</t>
  </si>
  <si>
    <t>MESAOUEF SAFAE</t>
  </si>
  <si>
    <t>CHELIHATE</t>
  </si>
  <si>
    <t>SERROUKH MAJDA</t>
  </si>
  <si>
    <t>FARROURA MONIR</t>
  </si>
  <si>
    <t>BDAOUA</t>
  </si>
  <si>
    <t>RHONI FILALI MOHAMED</t>
  </si>
  <si>
    <t>FANGOUCH MOHAMED</t>
  </si>
  <si>
    <t>FARROURA LARBI</t>
  </si>
  <si>
    <t>BENLHOUSSAINE AIMAD</t>
  </si>
  <si>
    <t>LANAYA</t>
  </si>
  <si>
    <t>EL HAOUL  AZIZA</t>
  </si>
  <si>
    <t>2291</t>
  </si>
  <si>
    <t>CHAKOUR KARIM</t>
  </si>
  <si>
    <t>ACHIOUI BOUSSELHAM</t>
  </si>
  <si>
    <t>LAAYNAYA</t>
  </si>
  <si>
    <t>BEN TAHER OMAR</t>
  </si>
  <si>
    <t>FTAICHE SOUKAINA</t>
  </si>
  <si>
    <t>HAFI</t>
  </si>
  <si>
    <t>LAANAYA</t>
  </si>
  <si>
    <t>EL AMRANI ABDELMOUGHIT</t>
  </si>
  <si>
    <t>LAANAYA RAJAE</t>
  </si>
  <si>
    <t>LAANAYA, F</t>
  </si>
  <si>
    <t>JANA RABIAA</t>
  </si>
  <si>
    <t>TABET SALMA</t>
  </si>
  <si>
    <t>MELLOUK SANAE</t>
  </si>
  <si>
    <t>AZOUZ RAHMA</t>
  </si>
  <si>
    <t>DEBLOUUJ MADIHA</t>
  </si>
  <si>
    <t>CHEMMAKHI FATIHA</t>
  </si>
  <si>
    <t>KSAIBAT TOURIYA</t>
  </si>
  <si>
    <t>LAZRAK ASMAA</t>
  </si>
  <si>
    <t>KHAOUDI HABIBA</t>
  </si>
  <si>
    <t>ASSILA</t>
  </si>
  <si>
    <t>EL AMERANI ZEHRA</t>
  </si>
  <si>
    <t>BELKHADI WAFAE</t>
  </si>
  <si>
    <t>ABDELLAOUI NAIMA</t>
  </si>
  <si>
    <t>MOUTIH BOUSSELHAM</t>
  </si>
  <si>
    <t>MOUTIH M'BAREK</t>
  </si>
  <si>
    <t>ELMESBAHI SOUFIANE</t>
  </si>
  <si>
    <t>AMRANI MALIKA</t>
  </si>
  <si>
    <t>EL GHARBAOUI SOUMIA</t>
  </si>
  <si>
    <t>BEN TAHAR NISRENE</t>
  </si>
  <si>
    <t>ARABI JAMILA</t>
  </si>
  <si>
    <t>ASSILA LOUBNA</t>
  </si>
  <si>
    <t>SOUFI  ZEHOR</t>
  </si>
  <si>
    <t>EL HAFIAN RAJAE</t>
  </si>
  <si>
    <t>DOUMI</t>
  </si>
  <si>
    <t>EL KORDY RACHIDA</t>
  </si>
  <si>
    <t>ARBOUCH  IHSSANE</t>
  </si>
  <si>
    <t>DOUDI FATIMA</t>
  </si>
  <si>
    <t>ZEROUGI</t>
  </si>
  <si>
    <t>KHILA NAWAL</t>
  </si>
  <si>
    <t>EL FATEHY SOUKAINA</t>
  </si>
  <si>
    <t>EL OTMANI NAJAT</t>
  </si>
  <si>
    <t>EZ-ZAROUKI OMAIMA</t>
  </si>
  <si>
    <t>KSAR ,F</t>
  </si>
  <si>
    <t>IDRISSI KHADIJA</t>
  </si>
  <si>
    <t>KAOUCH IMAN</t>
  </si>
  <si>
    <t>MOULIDI ZINEB</t>
  </si>
  <si>
    <t xml:space="preserve">EL MENSSOURI NAIMA </t>
  </si>
  <si>
    <t>TBIAH ILHAM</t>
  </si>
  <si>
    <t>LABROUZI IKRAM</t>
  </si>
  <si>
    <t>NAFHI ILHAM</t>
  </si>
  <si>
    <t>EL HRRIT KHADOUJ</t>
  </si>
  <si>
    <t>BENATOU SAFIA</t>
  </si>
  <si>
    <t>EL YAZID SIHAM</t>
  </si>
  <si>
    <t>ACHAACH OMKELTOUM</t>
  </si>
  <si>
    <t>EL FATEHY AICHA</t>
  </si>
  <si>
    <t>YAZID FATIHA</t>
  </si>
  <si>
    <t>EL HAMDOUNY ANISSA</t>
  </si>
  <si>
    <t xml:space="preserve">KARCH OUMAYMA </t>
  </si>
  <si>
    <t>BAKHADA HAYAT</t>
  </si>
  <si>
    <t>GHRIN AHMED</t>
  </si>
  <si>
    <t>EL MAHJOUBI MOHAMED 1</t>
  </si>
  <si>
    <t>LAKEHAL BADIAA</t>
  </si>
  <si>
    <t>DRISSI FATIMA</t>
  </si>
  <si>
    <t>EL ACHAOUI ABDELHAMID</t>
  </si>
  <si>
    <t>LANAYA MOUSTAPHA</t>
  </si>
  <si>
    <t>ELFAKIR ABDELMAJID</t>
  </si>
  <si>
    <t>ELANAYA  ANOUAR</t>
  </si>
  <si>
    <t>CHIBANI MARIAM</t>
  </si>
  <si>
    <t>EL-KHLIFI SABAH</t>
  </si>
  <si>
    <t>DAIROU NAOUAL</t>
  </si>
  <si>
    <t>ENMYCHY FATIMA</t>
  </si>
  <si>
    <t>CHAHDI</t>
  </si>
  <si>
    <t>M'RABAT FAOUZIYA</t>
  </si>
  <si>
    <t>RAJDALI FOUZIA</t>
  </si>
  <si>
    <t>KACHKOUCH DOUNIA</t>
  </si>
  <si>
    <t>EL HILALY DOUNYA</t>
  </si>
  <si>
    <t>BIRI SAMIHA</t>
  </si>
  <si>
    <t xml:space="preserve">EL HARRAK FATIMA  </t>
  </si>
  <si>
    <t>HIMRI RACHIDA 1</t>
  </si>
  <si>
    <t>BADRI WIAME</t>
  </si>
  <si>
    <t>GHARBAOUI HAFSA</t>
  </si>
  <si>
    <t>HF</t>
  </si>
  <si>
    <t>EL AZZOUZI OUARDIA</t>
  </si>
  <si>
    <t>ERCHOKI OUALID</t>
  </si>
  <si>
    <t>BOUNOUADAR HAFIDA</t>
  </si>
  <si>
    <t>EL OUAHABI ABDESLAM</t>
  </si>
  <si>
    <t>SAHEL HOMME</t>
  </si>
  <si>
    <t>JOBBOUR YASSINE</t>
  </si>
  <si>
    <t>MOHAMED AREBI AROCHE</t>
  </si>
  <si>
    <t>REDOUAN ,H</t>
  </si>
  <si>
    <t>CHARKAOUI RACHIDA</t>
  </si>
  <si>
    <t>DAR LEWZARI</t>
  </si>
  <si>
    <t>AMHAJ GHAYTA</t>
  </si>
  <si>
    <t>TALOL MOHAMED</t>
  </si>
  <si>
    <t>TRS356</t>
  </si>
  <si>
    <t>SALMOUN ABDESLAM</t>
  </si>
  <si>
    <t>TRS PERS</t>
  </si>
  <si>
    <t>BEN FAQUIH SAIDA</t>
  </si>
  <si>
    <t>EL HAIMOUNI MOUAD</t>
  </si>
  <si>
    <t>ELMESKINI NAJIB</t>
  </si>
  <si>
    <t>EL HAIMOUNI ANASS</t>
  </si>
  <si>
    <t>EL MJEOUL KHADIJA</t>
  </si>
  <si>
    <t>FARID KSR</t>
  </si>
  <si>
    <t>BACHIR ,H</t>
  </si>
  <si>
    <t>BENOMAR MOHAMED</t>
  </si>
  <si>
    <t>EL FILALI LAHCEN</t>
  </si>
  <si>
    <t>BHIBHE ZAKIA</t>
  </si>
  <si>
    <t>NOUHAILA TARIK</t>
  </si>
  <si>
    <t>SMAHAN CHAIBOUB</t>
  </si>
  <si>
    <t>ARBAOUA FEMME</t>
  </si>
  <si>
    <t>ELACHHAB ABDELKARIM</t>
  </si>
  <si>
    <t>SEKAF  FATIMA ZOHRA</t>
  </si>
  <si>
    <t>BHIBAH HANAN</t>
  </si>
  <si>
    <t>CHOUITER MENNANA</t>
  </si>
  <si>
    <t>DOCANE MUSTAPHA</t>
  </si>
  <si>
    <t>MIZOU RACHIDA</t>
  </si>
  <si>
    <t>HANIN HAMID</t>
  </si>
  <si>
    <t>EL BLILI MOUHSINE</t>
  </si>
  <si>
    <t>ELYABOURY HAMZA</t>
  </si>
  <si>
    <t>EL BIRECH MOURAD</t>
  </si>
  <si>
    <t>CHARKI SAHIB</t>
  </si>
  <si>
    <t>EL ASSRI MOHAMED SAID</t>
  </si>
  <si>
    <t>TANTAN ATIKA</t>
  </si>
  <si>
    <t xml:space="preserve">BEN CHAKRA SOUHAIL </t>
  </si>
  <si>
    <t>GUERRAM AYOUB</t>
  </si>
  <si>
    <t>ABDELLAH</t>
  </si>
  <si>
    <t>KHIRIBACH ABDERRAHIM</t>
  </si>
  <si>
    <t>KHALIL MOHAMED</t>
  </si>
  <si>
    <t>BENDAHOU KHALIL</t>
  </si>
  <si>
    <t>EL KHACHTOUF ZOUHAIR</t>
  </si>
  <si>
    <t>SAHLE F</t>
  </si>
  <si>
    <t>ELABDELAOUI ABDEL OUAHID</t>
  </si>
  <si>
    <t>CHAYMAE BOREZA</t>
  </si>
  <si>
    <t>GHEDIRA FEMME</t>
  </si>
  <si>
    <t>GERMOUMA DONYA</t>
  </si>
  <si>
    <t>FATIMA ZOHRA GERMOUMA</t>
  </si>
  <si>
    <t>SARA GERMOUMA</t>
  </si>
  <si>
    <t>SALIHA ANAS</t>
  </si>
  <si>
    <t>EL KOURCHI MOHAMED</t>
  </si>
  <si>
    <t>SAHRAOUI ZAKARIA</t>
  </si>
  <si>
    <t>ABDEALI BASL</t>
  </si>
  <si>
    <t>BOUJDEYAN</t>
  </si>
  <si>
    <t>EL-BHIRI RACHID</t>
  </si>
  <si>
    <t>BRIBRI</t>
  </si>
  <si>
    <t>HMIDI ABDELKHALAQ</t>
  </si>
  <si>
    <t>EL KHLIFI YACINE</t>
  </si>
  <si>
    <t>CHAHDI SOUAD</t>
  </si>
  <si>
    <t xml:space="preserve">MADKOUR OUAFA </t>
  </si>
  <si>
    <t xml:space="preserve">ZEGHDOUD FATIMA  </t>
  </si>
  <si>
    <t>SENOUNI IMAD</t>
  </si>
  <si>
    <t>EL JELLOULI ASMAE</t>
  </si>
  <si>
    <t>OTMAN AGERIOU</t>
  </si>
  <si>
    <t>ZOIZOU SALIH REDA</t>
  </si>
  <si>
    <t>SAHEL 2</t>
  </si>
  <si>
    <t>AYOUB MEHRACHEF</t>
  </si>
  <si>
    <t>ASSIM EL KHECHIN</t>
  </si>
  <si>
    <t>TATAFET</t>
  </si>
  <si>
    <t>EL FJAIRI RACHIDA</t>
  </si>
  <si>
    <t>EL FJAIRI FATIMA</t>
  </si>
  <si>
    <t>FGAIRA IHSSANE</t>
  </si>
  <si>
    <t>ZAKOURI ISMAIL</t>
  </si>
  <si>
    <t>JOUHAR MOHAMED</t>
  </si>
  <si>
    <t>DGHANOU MUSTAPHA</t>
  </si>
  <si>
    <t>GABBOUT BILAL</t>
  </si>
  <si>
    <t>EL BARAKA KHADIJA</t>
  </si>
  <si>
    <t>WARDIN LATIFA</t>
  </si>
  <si>
    <t>EL KOMIRY OMAR</t>
  </si>
  <si>
    <t>FTOUHI MOHAMED</t>
  </si>
  <si>
    <t>BELMAHDI FATIMA</t>
  </si>
  <si>
    <t>AKHEZZAN MOHAMED</t>
  </si>
  <si>
    <t>HSAIN  FATIMA</t>
  </si>
  <si>
    <t>AMCHLA AYA</t>
  </si>
  <si>
    <t>HSAIN  HAMZA</t>
  </si>
  <si>
    <t xml:space="preserve">AKHAZZAN AMIN </t>
  </si>
  <si>
    <t>HOUT MOHAMED</t>
  </si>
  <si>
    <t>BOUTABGHA NOURDDINE</t>
  </si>
  <si>
    <t>ZAGHOUANI ABDERRAHIM</t>
  </si>
  <si>
    <t>DALHI GAILAN</t>
  </si>
  <si>
    <t>MOHMOH IMAN</t>
  </si>
  <si>
    <t>SNOUSSI ZAKIA</t>
  </si>
  <si>
    <t>MANSSOUR ABDELMOUGHIT</t>
  </si>
  <si>
    <t>GORMAM SAID</t>
  </si>
  <si>
    <t>BEN TAHAR ABDENASSAR</t>
  </si>
  <si>
    <t>BEHIBAH KAWTAR</t>
  </si>
  <si>
    <t>NIBEA JAMAL</t>
  </si>
  <si>
    <t>BGF 2</t>
  </si>
  <si>
    <t>BGF 4</t>
  </si>
  <si>
    <t>BGF 3</t>
  </si>
  <si>
    <t>AVC</t>
  </si>
  <si>
    <t>EL GOURFTI MOHAMED</t>
  </si>
  <si>
    <t>SAMADI MAROUA</t>
  </si>
  <si>
    <t>EROUMMANI FERDAOUSS</t>
  </si>
  <si>
    <t>ZARROUG  ZOHAIR</t>
  </si>
  <si>
    <t>EL BOUGHOUALI NADA</t>
  </si>
  <si>
    <t>ROUBIO ABDERRAHMAN</t>
  </si>
  <si>
    <t xml:space="preserve">MEKLACH MOHSIN </t>
  </si>
  <si>
    <t>BELMAHDI NAIMA</t>
  </si>
  <si>
    <t>EL MAJDOUBI HAMID</t>
  </si>
  <si>
    <t>GARMOUMA SAID</t>
  </si>
  <si>
    <t>EL MAAROUFI  AHMED</t>
  </si>
  <si>
    <t>ABDA FATIMA</t>
  </si>
  <si>
    <t>AHDOUD HICHAM</t>
  </si>
  <si>
    <t>SAIDA IDERISI</t>
  </si>
  <si>
    <t>CHAHBOUN  MOUAD</t>
  </si>
  <si>
    <t>El achhab  REDOUANE</t>
  </si>
  <si>
    <t>EL BEGHAR TAMOU</t>
  </si>
  <si>
    <t>EL MAJDOUBI MUSTAPHA</t>
  </si>
  <si>
    <t>BGF 1,2,3,4,5</t>
  </si>
  <si>
    <t>BGF1</t>
  </si>
  <si>
    <t>BOUMEDIAN FATOUM</t>
  </si>
  <si>
    <t>EL HARRAK LAMIAE</t>
  </si>
  <si>
    <t>EL MOKHTARI MAJDA</t>
  </si>
  <si>
    <t>EL MAAROUFI  MOHAMED</t>
  </si>
  <si>
    <t xml:space="preserve">LANAYA </t>
  </si>
  <si>
    <t>EL YAZID FATIHA</t>
  </si>
  <si>
    <t>EL HAROUIYA MENANA</t>
  </si>
  <si>
    <t>HF HANAN</t>
  </si>
  <si>
    <t>AJGHEF ZINEB</t>
  </si>
  <si>
    <t>ZAZ RACHIDA</t>
  </si>
  <si>
    <t>EL-BOUAZZAOUI HANAN</t>
  </si>
  <si>
    <t>BAROUK NAIMA</t>
  </si>
  <si>
    <t>EL AHRACH HMIDOU</t>
  </si>
  <si>
    <t>ANNOURA HAMZA</t>
  </si>
  <si>
    <t>TAITI AYOUB</t>
  </si>
  <si>
    <t>EL HLIMI ABDRRAHIM</t>
  </si>
  <si>
    <t>EL MESBAHI AHMED</t>
  </si>
  <si>
    <t>LAMZOURI FATIMA</t>
  </si>
  <si>
    <t>EL GHHARBAOUI MOUAD</t>
  </si>
  <si>
    <t>ZAROUGI</t>
  </si>
  <si>
    <t>BENCHERIF RAHMA</t>
  </si>
  <si>
    <t>EL ZEFRI RAHMA</t>
  </si>
  <si>
    <t>HAMDOUN HOUDA</t>
  </si>
  <si>
    <t>MABROUK  NASSIRA</t>
  </si>
  <si>
    <t>EL KHATIB MINA</t>
  </si>
  <si>
    <t>BELRIFIA ADIL</t>
  </si>
  <si>
    <t>AMIMI MUSTAPHA</t>
  </si>
  <si>
    <t>LAKHAL HANANE</t>
  </si>
  <si>
    <t xml:space="preserve">BGF </t>
  </si>
  <si>
    <t>BOURKIOUCH MOUHSIN</t>
  </si>
  <si>
    <t>BOUACHATE</t>
  </si>
  <si>
    <t>CHAKHAR MOHAMED</t>
  </si>
  <si>
    <t>MIHA MOHAMED</t>
  </si>
  <si>
    <t>EL HAFI MOUNIA</t>
  </si>
  <si>
    <t>SAMIRA EL KHATIB</t>
  </si>
  <si>
    <t>BELHADI MOHAMED</t>
  </si>
  <si>
    <t>HADRI MOHAMED</t>
  </si>
  <si>
    <t>MOHAMED BITEROUN</t>
  </si>
  <si>
    <t>OULAD MESBAHI</t>
  </si>
  <si>
    <t>SOUHAIB HEMAR LEHEYA</t>
  </si>
  <si>
    <t>CHAHED ABDELILAH</t>
  </si>
  <si>
    <t>EL AITOUR SAID</t>
  </si>
  <si>
    <t>MELOUK MOHAMED</t>
  </si>
  <si>
    <t>JBARI MOHAMED</t>
  </si>
  <si>
    <t>HAMDOUCH   RACHID</t>
  </si>
  <si>
    <t>BENZINA EL HASSANIA</t>
  </si>
  <si>
    <t>ZLAOUI FATIMA</t>
  </si>
  <si>
    <t>EL HARRAK EL MEHDI</t>
  </si>
  <si>
    <t xml:space="preserve">GOURRAM BACHIR </t>
  </si>
  <si>
    <t>OQAIL SOHAYLA</t>
  </si>
  <si>
    <t>EL JAMMAL ZAKIA</t>
  </si>
  <si>
    <t>DOMOUNESS FATIMA</t>
  </si>
  <si>
    <t xml:space="preserve">DOUIACH CHAIMAE </t>
  </si>
  <si>
    <t>LAZAAR DRISSIA</t>
  </si>
  <si>
    <t>PV DE PAIEMENT</t>
  </si>
  <si>
    <t>HEURE DEBUT</t>
  </si>
  <si>
    <t>LIEU</t>
  </si>
  <si>
    <t>AGENT DE
 PAIEMENT</t>
  </si>
  <si>
    <t>REMARQUES</t>
  </si>
  <si>
    <t xml:space="preserve">           Larache Le :</t>
  </si>
  <si>
    <t>EL FATEHY MOHAMED</t>
  </si>
  <si>
    <t xml:space="preserve">ACHRAF EL INAK </t>
  </si>
  <si>
    <t xml:space="preserve">HAMZA ALLAOUI </t>
  </si>
  <si>
    <t xml:space="preserve">la semaine </t>
  </si>
  <si>
    <t>EL HADDAJ AZIZ</t>
  </si>
  <si>
    <t>TARIK SALMA</t>
  </si>
  <si>
    <t>TARIK LAILA</t>
  </si>
  <si>
    <t>TARIK SARA</t>
  </si>
  <si>
    <t>MAYZOU ABDELMOUTTALIB</t>
  </si>
  <si>
    <t>EL HAIMOUDI ABDELAZIZ</t>
  </si>
  <si>
    <t>ELKADMIRI NOUREDDINE</t>
  </si>
  <si>
    <t>RAQUI KHADIJA</t>
  </si>
  <si>
    <t>DBOU JAMAL</t>
  </si>
  <si>
    <t>MOUHAN RACHIDA</t>
  </si>
  <si>
    <t>CHAIMEL FERDAOUISE</t>
  </si>
  <si>
    <t>EL AOULA TAMOU</t>
  </si>
  <si>
    <t>TAMIMY AYOUB</t>
  </si>
  <si>
    <t>UARDIN ABDELKABIR</t>
  </si>
  <si>
    <t>ELANAYA IBRAHIM</t>
  </si>
  <si>
    <t xml:space="preserve">EL KAFAZ RABIA </t>
  </si>
  <si>
    <t>EL AZOUAN YOUSSOUF</t>
  </si>
  <si>
    <t>BARAKA KHALED</t>
  </si>
  <si>
    <t>EL MAHJOUB MOHAMED</t>
  </si>
  <si>
    <t>EL HAILALI MOHAMED</t>
  </si>
  <si>
    <t>FARID</t>
  </si>
  <si>
    <t xml:space="preserve">MONTANT 
Payé </t>
  </si>
  <si>
    <t xml:space="preserve">DATE </t>
  </si>
  <si>
    <t xml:space="preserve">NOM ET Prénom </t>
  </si>
  <si>
    <t xml:space="preserve">Berry Good                                            Farms
</t>
  </si>
  <si>
    <t xml:space="preserve">EL HMIDI ISSA </t>
  </si>
  <si>
    <t>EL-BETTIOUI MONSSEF</t>
  </si>
  <si>
    <t>EL ALLAOUI YOUSSEF</t>
  </si>
  <si>
    <t>BOURAZA NOUREDDINE</t>
  </si>
  <si>
    <t>METTOUTA IKRAM</t>
  </si>
  <si>
    <t>EL KHRIF MOUAD</t>
  </si>
  <si>
    <t>EL AZZAOUI MOHAMED</t>
  </si>
  <si>
    <t>BOULAYCH MONTASSIR</t>
  </si>
  <si>
    <t>TAIK ANASS</t>
  </si>
  <si>
    <t>SENOUNI YOUSSEF</t>
  </si>
  <si>
    <t>ABDMOULA BELHADI</t>
  </si>
  <si>
    <t>BILAL REBIA</t>
  </si>
  <si>
    <t>OULAD MESBAH</t>
  </si>
  <si>
    <t>BARRA  ABDELILAH</t>
  </si>
  <si>
    <t>BOUAJAL MOHAMED</t>
  </si>
  <si>
    <t>EL GRABEJ MOHAMED</t>
  </si>
  <si>
    <t>ROUMAN  IMAD</t>
  </si>
  <si>
    <t>CHARKI ABDELLATIF</t>
  </si>
  <si>
    <t>BOUAMRAN MOUNCIF</t>
  </si>
  <si>
    <t>BOUAZZA MOHAMED</t>
  </si>
  <si>
    <t>TITAOUIN MOHAMED</t>
  </si>
  <si>
    <t>KSAR H</t>
  </si>
  <si>
    <t>ABAS</t>
  </si>
  <si>
    <t>EL JARI KHALID</t>
  </si>
  <si>
    <t>KHAYATI MOHAMMED</t>
  </si>
  <si>
    <t>SIYOUN YOUSSEF</t>
  </si>
  <si>
    <t>EL ACHHAB    MOHAMED</t>
  </si>
  <si>
    <t>NACIRI KARIM</t>
  </si>
  <si>
    <t>EL GRABEJ ABDELALI</t>
  </si>
  <si>
    <t>AAMAR SOUFIANE</t>
  </si>
  <si>
    <t>BABA MOHAMED</t>
  </si>
  <si>
    <t>IBRAHIM CHARAAI</t>
  </si>
  <si>
    <t>KOURI MAROUAN</t>
  </si>
  <si>
    <t>DERIF FOUAD</t>
  </si>
  <si>
    <t>****</t>
  </si>
  <si>
    <t>LANAYA RACHID</t>
  </si>
  <si>
    <t>1Q07/2024</t>
  </si>
  <si>
    <t>2Q07/2024</t>
  </si>
  <si>
    <t>1Q08/2024</t>
  </si>
  <si>
    <t>2Q08/2024</t>
  </si>
  <si>
    <t>1Q09/2024</t>
  </si>
  <si>
    <t>2Q09/2024</t>
  </si>
  <si>
    <t>1Q10/2024</t>
  </si>
  <si>
    <t>2Q10/2024</t>
  </si>
  <si>
    <t>1Q11/2024</t>
  </si>
  <si>
    <t>2Q11/2024</t>
  </si>
  <si>
    <t>1Q12/2024</t>
  </si>
  <si>
    <t>2Q12/2024</t>
  </si>
  <si>
    <t>1Q01/2025</t>
  </si>
  <si>
    <t>2Q01/2025</t>
  </si>
  <si>
    <t>1Q02/2025</t>
  </si>
  <si>
    <t>2Q02/2025</t>
  </si>
  <si>
    <t>1Q03/2025</t>
  </si>
  <si>
    <t>2Q03/2025</t>
  </si>
  <si>
    <t>1Q04/2025</t>
  </si>
  <si>
    <t>2Q04/2025</t>
  </si>
  <si>
    <t>1Q05/2025</t>
  </si>
  <si>
    <t>2Q05/2025</t>
  </si>
  <si>
    <t>1Q06/2025</t>
  </si>
  <si>
    <t>2Q06/2025</t>
  </si>
  <si>
    <t>KHATROU NOREDDINE</t>
  </si>
  <si>
    <t>EL KARA HAMZA</t>
  </si>
  <si>
    <t>DEBAZ MOHAMMED</t>
  </si>
  <si>
    <t>EL DEBAZ ZOUHIR</t>
  </si>
  <si>
    <t>KAZAZ IMAD</t>
  </si>
  <si>
    <t>HAZIL YOUSRA</t>
  </si>
  <si>
    <t>TALMHACHOU FATIMA ZAHRAE</t>
  </si>
  <si>
    <t>ES-SAGHYR EL BACHIR</t>
  </si>
  <si>
    <t>KARKOUR ZARRAD</t>
  </si>
  <si>
    <t>CHAKAL MOUNIR</t>
  </si>
  <si>
    <t>ES-SAGHYR TAOUFIK</t>
  </si>
  <si>
    <t>EL OUINA OUSSAMA</t>
  </si>
  <si>
    <t>MLITOU MOUSTAPHA</t>
  </si>
  <si>
    <t>EL HADY ABDELMALEK</t>
  </si>
  <si>
    <t>EL HAROUSSI BILAL</t>
  </si>
  <si>
    <t>H'MINAT MOHAMED</t>
  </si>
  <si>
    <t>HAMDOUCH   MOHAMED</t>
  </si>
  <si>
    <t>LAZRAK YOUSSEF</t>
  </si>
  <si>
    <t>BENZAINA SOUKAINA</t>
  </si>
  <si>
    <t>EL HMAR SAID</t>
  </si>
  <si>
    <t>EL-AOUNY FATNA</t>
  </si>
  <si>
    <t>EL INAK IMANE</t>
  </si>
  <si>
    <t>ARBIA HAKIMA</t>
  </si>
  <si>
    <t>LAFHILIA SAMIA</t>
  </si>
  <si>
    <t>HABROUK MOHAMED</t>
  </si>
  <si>
    <t>ZERAK-LATNIN BRAHIM</t>
  </si>
  <si>
    <t>LAHLOU MOUHSSINE</t>
  </si>
  <si>
    <t>SIKI AHMED</t>
  </si>
  <si>
    <t>EL HADDAD NAIMA</t>
  </si>
  <si>
    <t>HAMDOUCH   FATIMA ZOHRA</t>
  </si>
  <si>
    <t>EL BLILI ZAHRA</t>
  </si>
  <si>
    <t>BENZAINA FARAH</t>
  </si>
  <si>
    <t>M' SIAD ABDERRAHMAN</t>
  </si>
  <si>
    <t>EL KHATIB FATIMA</t>
  </si>
  <si>
    <t>ALISSAMI OUTMANE</t>
  </si>
  <si>
    <t>GUERCHAL FATIMA</t>
  </si>
  <si>
    <t>BOUDRAHI MOHAMED</t>
  </si>
  <si>
    <t>DOUIAB MOUNAIM</t>
  </si>
  <si>
    <t>EL BAKKOURI  MOHAMED</t>
  </si>
  <si>
    <t>EL HAYATI FATIMA</t>
  </si>
  <si>
    <t>DRISSI SAID</t>
  </si>
  <si>
    <t>ERROUBIO MOHAMED SAID</t>
  </si>
  <si>
    <t>ELLAAGAL ZOHRA</t>
  </si>
  <si>
    <t>TRS308</t>
  </si>
  <si>
    <t>EL MGHITNI MOUSTAPHA</t>
  </si>
  <si>
    <t>TRS324</t>
  </si>
  <si>
    <t>BELHADI AHMED</t>
  </si>
  <si>
    <t>TRS357</t>
  </si>
  <si>
    <t>MAHBOUB MOHAMED</t>
  </si>
  <si>
    <t>STC</t>
  </si>
  <si>
    <t>BOWAZGANI WASSIMA</t>
  </si>
  <si>
    <t>EL JELLOULI AMINA</t>
  </si>
  <si>
    <t>RAKHAMI SOUFIAN</t>
  </si>
  <si>
    <t>MOUANYA ZAKARIAE</t>
  </si>
  <si>
    <t>EL FKIH RACHID</t>
  </si>
  <si>
    <t>EL BAYAD  MOHAMED</t>
  </si>
  <si>
    <t>EL BOUHALI HAMID</t>
  </si>
  <si>
    <t>GARMOUMA FARID</t>
  </si>
  <si>
    <t>HALOULA  REDOUANE</t>
  </si>
  <si>
    <t>NASSAR MOUHCINE</t>
  </si>
  <si>
    <t>BENABDELLAH OUTMAN</t>
  </si>
  <si>
    <t>EL FAKIR MOURAD</t>
  </si>
  <si>
    <t>KMIH YOUNESS</t>
  </si>
  <si>
    <t>TOUDI AOUATIF</t>
  </si>
  <si>
    <t>ELKABKAB YOUSSEF</t>
  </si>
  <si>
    <t>ELHIMER  MOHAMED</t>
  </si>
  <si>
    <t>BEN M'BARKA ABDENNOUR</t>
  </si>
  <si>
    <t>EL FAKROUN MOHAMED</t>
  </si>
  <si>
    <t>BEN-RIAN SOUFIANE</t>
  </si>
  <si>
    <t>AAYAD M'HAMED</t>
  </si>
  <si>
    <t>MSIAD EL HADI</t>
  </si>
  <si>
    <t>ES-SAGGAD FATIMA ZAHRAE</t>
  </si>
  <si>
    <t>BGF</t>
  </si>
  <si>
    <t>Nettoyage</t>
  </si>
  <si>
    <t>EL DEBAZ NOUREDDINE</t>
  </si>
  <si>
    <t>EL HAMIDI MOUNIM</t>
  </si>
  <si>
    <t>BOUMADIAN NORDDINE</t>
  </si>
  <si>
    <t>TOIMOU LATIFA</t>
  </si>
  <si>
    <t>NAMSI AMINA</t>
  </si>
  <si>
    <t>ASSOU SAMIA</t>
  </si>
  <si>
    <t>GANBAL ANASS</t>
  </si>
  <si>
    <t>DBOU HIBA</t>
  </si>
  <si>
    <t>ASSOU FATIMA ZOHRA</t>
  </si>
  <si>
    <t>EL HAFI IHSSAN</t>
  </si>
  <si>
    <t>EL MAJDOUBI SAMIA</t>
  </si>
  <si>
    <t>ENNASR FATIMA</t>
  </si>
  <si>
    <t>BOUHROUA MOUAD</t>
  </si>
  <si>
    <t>EL HAFI HANAN</t>
  </si>
  <si>
    <t>TRS346</t>
  </si>
  <si>
    <t>EL HAFI MUSTAPHA</t>
  </si>
  <si>
    <t>TRS351</t>
  </si>
  <si>
    <t>BELHADI  AHMED 2</t>
  </si>
  <si>
    <t>EL BOUHSSINI HAFSA</t>
  </si>
  <si>
    <t>EL HADDAD ZOHRA</t>
  </si>
  <si>
    <t>EL KRAIMI NORA</t>
  </si>
  <si>
    <t>SOLTANI ANISSA</t>
  </si>
  <si>
    <t>CHAHDI SOUAD 1</t>
  </si>
  <si>
    <t>EL GALAF HAFIDA</t>
  </si>
  <si>
    <t>EL HAFI WASSIMA</t>
  </si>
  <si>
    <t>LAGEL ANAS</t>
  </si>
  <si>
    <t>AZROUL WASSIMA</t>
  </si>
  <si>
    <t>BOUMDIEN SALWA</t>
  </si>
  <si>
    <t>FTICHE OUSSAMA 2</t>
  </si>
  <si>
    <t>AZIZI NAJLAE</t>
  </si>
  <si>
    <t>EL KHEMS RAHIMA</t>
  </si>
  <si>
    <t>KSAR F</t>
  </si>
  <si>
    <t>EL HAMAOUI ZAHRA</t>
  </si>
  <si>
    <t>FROURA AKILA</t>
  </si>
  <si>
    <t>EL BACHIR</t>
  </si>
  <si>
    <t>SBAITI NAJAT</t>
  </si>
  <si>
    <t>SAIBARI FADILA</t>
  </si>
  <si>
    <t>EL JELLOULI LATIFA</t>
  </si>
  <si>
    <t>SAYBARI NOURA</t>
  </si>
  <si>
    <t>FTAICHE BOUCHRA</t>
  </si>
  <si>
    <t>EL AISSOUM LATIFA</t>
  </si>
  <si>
    <t>EL FAKROUN ZOHRA</t>
  </si>
  <si>
    <t>SAHRAOUI ALAE</t>
  </si>
  <si>
    <t>CHABAR YASSIN</t>
  </si>
  <si>
    <t>HNIA EL AAYDOUNI</t>
  </si>
  <si>
    <t>CHAOUI ZINEB</t>
  </si>
  <si>
    <t>CHAYTE SAMIA</t>
  </si>
  <si>
    <t>BEN CHIKHA HAKIMA</t>
  </si>
  <si>
    <t>EL HAMOUDI RAJAE</t>
  </si>
  <si>
    <t>MADECHER</t>
  </si>
  <si>
    <t>BNANDA</t>
  </si>
  <si>
    <t>KSAR</t>
  </si>
  <si>
    <t>KSR</t>
  </si>
  <si>
    <t>EL BIDHI MOHAMED-SAID</t>
  </si>
  <si>
    <t>GHEZOUANI HAJAR</t>
  </si>
  <si>
    <t>EL MAJDA ASSIA</t>
  </si>
  <si>
    <t>MUSTAPHA REBIHI</t>
  </si>
  <si>
    <t>TEHIMI DOUAE</t>
  </si>
  <si>
    <t>KSR 2</t>
  </si>
  <si>
    <t>SARGHINE KHALID</t>
  </si>
  <si>
    <t>BEN-RIAN MOHAMED</t>
  </si>
  <si>
    <t>ZERHOUNI ZOHRA</t>
  </si>
  <si>
    <t>LAHRACH MOHAMED</t>
  </si>
  <si>
    <t>EL BERHANI OUIDAD</t>
  </si>
  <si>
    <t>CHELHI ASSIYA</t>
  </si>
  <si>
    <t>CHELHI FATIMA ZAHRAE</t>
  </si>
  <si>
    <t>FNINCH TARIK</t>
  </si>
  <si>
    <t>GHEMOUZA OUSSAMA</t>
  </si>
  <si>
    <t>EL BOUHLI AMINA</t>
  </si>
  <si>
    <t>TAIK AYOUB</t>
  </si>
  <si>
    <t>CHAFAI KHALID</t>
  </si>
  <si>
    <t>EL KORCHI YOUNESS</t>
  </si>
  <si>
    <t>EL GHEMOUZA OUSSAMA</t>
  </si>
  <si>
    <t>EL GHARNATI AWATEF</t>
  </si>
  <si>
    <t>EL FAKROUN  KHADIJA</t>
  </si>
  <si>
    <t>MOUIS ZOUHAIR</t>
  </si>
  <si>
    <t>BELHAJ MOHAMED</t>
  </si>
  <si>
    <t>SBETRI FATIMA</t>
  </si>
  <si>
    <t>EL AIB  MOUAAD</t>
  </si>
  <si>
    <t>LAAROUSSI MOHAMED</t>
  </si>
  <si>
    <t>ESSAHLI OUMAIMA</t>
  </si>
  <si>
    <t>REGHUAB MOHAMED REDA</t>
  </si>
  <si>
    <t>AMMARI MOHAMED</t>
  </si>
  <si>
    <t>HADOU NOUFISSA</t>
  </si>
  <si>
    <t>ELBIRECH MOHAMED</t>
  </si>
  <si>
    <t>BENAALI OUSSAMA</t>
  </si>
  <si>
    <t>EL HAOUA AYA</t>
  </si>
  <si>
    <t>EL MANSOURI FDILA</t>
  </si>
  <si>
    <t>EL HATTAKI KHADOUJ</t>
  </si>
  <si>
    <t>RAIS YASSMINE</t>
  </si>
  <si>
    <t>EL AIB  YOUNES</t>
  </si>
  <si>
    <t>EL HAFI FATIMA ZOHRA 1</t>
  </si>
  <si>
    <t>HASSOUN AZIZA</t>
  </si>
  <si>
    <t xml:space="preserve"> GUICH BAHIJA</t>
  </si>
  <si>
    <t>EL BADAOUY OUSSAMA</t>
  </si>
  <si>
    <t>ELKHAYATI ABDESLAM</t>
  </si>
  <si>
    <t>ZNAGUI OUSSAMA</t>
  </si>
  <si>
    <t>BEN DRISS MOHAMED</t>
  </si>
  <si>
    <t>EL BEHIOUI SOUADIAA</t>
  </si>
  <si>
    <t>EL JELOULI RACHIDA 1</t>
  </si>
  <si>
    <t>NACBA SOUMAYA</t>
  </si>
  <si>
    <t>EL JELOULI ZOHRA</t>
  </si>
  <si>
    <t>EL ASSFAR AICHA</t>
  </si>
  <si>
    <t>97/</t>
  </si>
  <si>
    <t>EL KOUMIRY FARID</t>
  </si>
  <si>
    <t>EL JEBARI MOUHSSIN</t>
  </si>
  <si>
    <t>BOUAZZA ZOUHYR</t>
  </si>
  <si>
    <t xml:space="preserve">BENHAMMOU AZEDDIN </t>
  </si>
  <si>
    <t>EL HAMRI FARAH</t>
  </si>
  <si>
    <t>ASRI  RAHMA</t>
  </si>
  <si>
    <t>EL HAMIDI ANASS</t>
  </si>
  <si>
    <t>MILOUDI IBRAHIM</t>
  </si>
  <si>
    <t>EL ABIOUI MOUSA</t>
  </si>
  <si>
    <t>TANANE RAHMA</t>
  </si>
  <si>
    <t xml:space="preserve">SOUALEM RABIA </t>
  </si>
  <si>
    <t>OUVRIER/STC</t>
  </si>
  <si>
    <t>JEDDOUB KHALID</t>
  </si>
  <si>
    <t>EL GHARBAOUI HANANE</t>
  </si>
  <si>
    <t>BOUZRIBA OUALID</t>
  </si>
  <si>
    <t>KBIR MOHAMED</t>
  </si>
  <si>
    <t>BOUMNIKHER ANAS</t>
  </si>
  <si>
    <t>ERRACHIDY SAID</t>
  </si>
  <si>
    <t>EL KERAZ SALMA</t>
  </si>
  <si>
    <t>EL KOURCHI ABDELMOUNIM</t>
  </si>
  <si>
    <t>HAMDOUCH   IBTISSAM</t>
  </si>
  <si>
    <t>HAMDOUCH   NADA</t>
  </si>
  <si>
    <t>SATOU KAWTAR</t>
  </si>
  <si>
    <t>EL MAKHEZOUN IMAN</t>
  </si>
  <si>
    <t>ABD MONAIM MOMNI</t>
  </si>
  <si>
    <t>SOFYAN OUAZNI</t>
  </si>
  <si>
    <t>MOHAMED YASSIN AMCHICHO</t>
  </si>
  <si>
    <t>HAMZA SAROUKH</t>
  </si>
  <si>
    <t>ABDJELIL ALAMI IDERISI</t>
  </si>
  <si>
    <t>AKHAZZAN ZAKARIA</t>
  </si>
  <si>
    <t>OUSSAMA EL BADAOUI</t>
  </si>
  <si>
    <t>EL JEBARI MAROUAN</t>
  </si>
  <si>
    <t>BEN HAMOU HAMZA</t>
  </si>
  <si>
    <t>BOUCHAREN H</t>
  </si>
  <si>
    <t xml:space="preserve">FARID </t>
  </si>
  <si>
    <t>CHAHDI H</t>
  </si>
  <si>
    <t>NORDINE</t>
  </si>
  <si>
    <t>SABAH</t>
  </si>
  <si>
    <t>LARACHE H</t>
  </si>
  <si>
    <t>LARACHE FA</t>
  </si>
  <si>
    <t>L'ADARA</t>
  </si>
  <si>
    <t>DBOU TAMOU 1</t>
  </si>
  <si>
    <t>DIMOU HANAN</t>
  </si>
  <si>
    <t>EL JELLOULI RACHIDA</t>
  </si>
  <si>
    <t>CHEDDADI ANAS</t>
  </si>
  <si>
    <t>KARKOUR MOUSTAPHA</t>
  </si>
  <si>
    <t>DOUDICH MOHAMED</t>
  </si>
  <si>
    <t>EL MASSOUDI NABILA</t>
  </si>
  <si>
    <t xml:space="preserve">EL KHOLFI YASSIN </t>
  </si>
  <si>
    <t xml:space="preserve">JEBARI YASSIN </t>
  </si>
  <si>
    <t>EL HARRAK SAID</t>
  </si>
  <si>
    <t>BAIDAN ANAS</t>
  </si>
  <si>
    <t>ECHARKI MOHAMED</t>
  </si>
  <si>
    <t>ECHARKI BILAL</t>
  </si>
  <si>
    <t>MOTIK ABDELHADI</t>
  </si>
  <si>
    <t>EL ABBASSI ZAID</t>
  </si>
  <si>
    <t>EL UAHEDE MOHAMED</t>
  </si>
  <si>
    <t xml:space="preserve">EL ABBASSI SAAD </t>
  </si>
  <si>
    <t>RAMLI YOUSSEF</t>
  </si>
  <si>
    <t>CHARKI ABDELJALIL</t>
  </si>
  <si>
    <t>MOHAMED AMIN LOTFI</t>
  </si>
  <si>
    <t>MOKHCHAN ANAS</t>
  </si>
  <si>
    <t>ADNAN BADAOUI</t>
  </si>
  <si>
    <t>BEN AYAD MOHAMED</t>
  </si>
  <si>
    <t>HADIRI AHMED</t>
  </si>
  <si>
    <t>DEROUMI AYOUB</t>
  </si>
  <si>
    <t>EL HAFAINE HAMZA</t>
  </si>
  <si>
    <t>CHAHEDA OUSSAMA</t>
  </si>
  <si>
    <t>EL BAKALI ILYAS</t>
  </si>
  <si>
    <t>AMNSOUR MOHAMED</t>
  </si>
  <si>
    <t>YASIN EL KOURCHI</t>
  </si>
  <si>
    <t>EL REKTOUTI SAID</t>
  </si>
  <si>
    <t>EL HOWARI RACHID</t>
  </si>
  <si>
    <t>EL KORI WADIE</t>
  </si>
  <si>
    <t>EL NEHALI OMAR</t>
  </si>
  <si>
    <t>LARACHE SO</t>
  </si>
  <si>
    <t>KSR SO</t>
  </si>
  <si>
    <t>LARACHE ZAKARAI</t>
  </si>
  <si>
    <t>RISSANA H</t>
  </si>
  <si>
    <t>LARACHE HAMZA</t>
  </si>
  <si>
    <t>CHABOU ABDESLAM</t>
  </si>
  <si>
    <t>EL AOUIRA MUSTAPHA</t>
  </si>
  <si>
    <t>EL SAROUKHE OMAR</t>
  </si>
  <si>
    <t>ABAIDI ISLAM</t>
  </si>
  <si>
    <t>EL KHARAKI YASSIN</t>
  </si>
  <si>
    <t>EL HEMAR MOHAMED</t>
  </si>
  <si>
    <t>AMRANI ILYAS</t>
  </si>
  <si>
    <t>REBIAAI MOHAMED</t>
  </si>
  <si>
    <t>EL SEOUANI WAILE EL AMARI</t>
  </si>
  <si>
    <t>EL HEMAILI KAMAL</t>
  </si>
  <si>
    <t>DEBAZ MOHAMED REYAN</t>
  </si>
  <si>
    <t>MAMOUNI ADAM</t>
  </si>
  <si>
    <t>EL MATAILI CHARAF DINE</t>
  </si>
  <si>
    <t>EL HILALI MAROUAN</t>
  </si>
  <si>
    <t>BOUAZZA HAMZA</t>
  </si>
  <si>
    <t>EL HEYANI ABDEILLAH</t>
  </si>
  <si>
    <t>GELI ANAS</t>
  </si>
  <si>
    <t>RIFAI MOHAMED</t>
  </si>
  <si>
    <t>HAMZA AMARA</t>
  </si>
  <si>
    <t xml:space="preserve">DERISI MOHAMED </t>
  </si>
  <si>
    <t>HICHAM RIFAAI</t>
  </si>
  <si>
    <t>BOUBKER HAJ</t>
  </si>
  <si>
    <t>DEBAZ KADOUR</t>
  </si>
  <si>
    <t>ABDELLAH TWA</t>
  </si>
  <si>
    <t>EL AMRI MOHAMED</t>
  </si>
  <si>
    <t>ELKHOLFI MOHAMED</t>
  </si>
  <si>
    <t>EL HADMI MUSTAPHA</t>
  </si>
  <si>
    <t>MARWA BEHAIBAH</t>
  </si>
  <si>
    <t>SALMA CHAOUI</t>
  </si>
  <si>
    <t>AMAL NAMSI</t>
  </si>
  <si>
    <t>SATTOUF SOHAIB</t>
  </si>
  <si>
    <t>NABIL BEN ROUIJFL</t>
  </si>
  <si>
    <t>MOHAMED REDA HOUMMAN</t>
  </si>
  <si>
    <t>SOUFIAN EL MAHJOUB</t>
  </si>
  <si>
    <t>ASSOU BRAHIM</t>
  </si>
  <si>
    <t>SALAH  AYOUB</t>
  </si>
  <si>
    <t>ABDESLAM WARDIN</t>
  </si>
  <si>
    <t>MOHAMED ROUIJEL</t>
  </si>
  <si>
    <t>HAMZA BANMOUSSA</t>
  </si>
  <si>
    <t>HAMZA LAZRAK</t>
  </si>
  <si>
    <t>MARWANE ELYAMLAHY</t>
  </si>
  <si>
    <t>EL KARA OUBAIDA</t>
  </si>
  <si>
    <t>EL ACHEHAB SOUFAIN</t>
  </si>
  <si>
    <t>JEDIOUI HOUSSAM</t>
  </si>
  <si>
    <t>BOUNNIKHER ANAS</t>
  </si>
  <si>
    <t>DERISSI AYOUB</t>
  </si>
  <si>
    <t>EL AISSOUM MOHAMED ZOUHIR</t>
  </si>
  <si>
    <t>JECEF LOUBNA</t>
  </si>
  <si>
    <t xml:space="preserve">BOUCHAREN </t>
  </si>
  <si>
    <t>31/06/2025</t>
  </si>
  <si>
    <t>1Q07/2025</t>
  </si>
  <si>
    <t>2Q07/2025</t>
  </si>
  <si>
    <t>1Q08/2025</t>
  </si>
  <si>
    <t>2Q08/2025</t>
  </si>
  <si>
    <t>1Q09/2025</t>
  </si>
  <si>
    <t>2Q09/2025</t>
  </si>
  <si>
    <t>1Q10/2025</t>
  </si>
  <si>
    <t>2Q10/2025</t>
  </si>
  <si>
    <t>1Q11/2025</t>
  </si>
  <si>
    <t>2Q11/2025</t>
  </si>
  <si>
    <t>1Q12/2025</t>
  </si>
  <si>
    <t>2Q12/2025</t>
  </si>
  <si>
    <t>1Q01/2026</t>
  </si>
  <si>
    <t>2Q01/2026</t>
  </si>
  <si>
    <t>1Q02/2026</t>
  </si>
  <si>
    <t>2Q02/2026</t>
  </si>
  <si>
    <t>1Q03/2026</t>
  </si>
  <si>
    <t>2Q03/2026</t>
  </si>
  <si>
    <t>1Q04/2026</t>
  </si>
  <si>
    <t>2Q04/2026</t>
  </si>
  <si>
    <t>1Q05/2026</t>
  </si>
  <si>
    <t>2Q05/2026</t>
  </si>
  <si>
    <t>1Q06/2026</t>
  </si>
  <si>
    <t>2Q06/2026</t>
  </si>
  <si>
    <t>Liste Des Ouvriers Impayé et payé 2025/2026</t>
  </si>
  <si>
    <t>ELMOUSSAOUI LATIFA</t>
  </si>
  <si>
    <t>AJGHEF FATIMA</t>
  </si>
  <si>
    <t>EL HARRAK NADA</t>
  </si>
  <si>
    <t xml:space="preserve">ARAIBACH  MARIA </t>
  </si>
  <si>
    <t>AJGHEF SARA</t>
  </si>
  <si>
    <t>AJGHEF KHADIJA</t>
  </si>
  <si>
    <t>REL AIB YASSINE</t>
  </si>
  <si>
    <t>EL KHLIFI SAMIR</t>
  </si>
  <si>
    <t>LACHAAL MOUSSA</t>
  </si>
  <si>
    <t>EL GOUT OMAR</t>
  </si>
  <si>
    <t>EL JEBARY MOHAMED</t>
  </si>
  <si>
    <t>JAADI RAYANE</t>
  </si>
  <si>
    <t>MERROUN SABER</t>
  </si>
  <si>
    <t>EL MERAK SALMA</t>
  </si>
  <si>
    <t>ER RAGRAGUY NADIA</t>
  </si>
  <si>
    <t>NR-ELGUENNOUNI MOHAMED</t>
  </si>
  <si>
    <t>SADIKI MUSTAPHA</t>
  </si>
  <si>
    <t>SIKIRULLAH ALAO NURUDEEN ATANDA</t>
  </si>
  <si>
    <t>EL AMRANI ADAM</t>
  </si>
  <si>
    <t>BOUCHIKAIRA OUASSIMA</t>
  </si>
  <si>
    <t>EL SEHRAOUI OUSSAMA</t>
  </si>
  <si>
    <t>ROUBOUI MOHAMED SAID</t>
  </si>
  <si>
    <t>ZAROUK ZOHIR</t>
  </si>
  <si>
    <t>EL ABIDI ABDEGHAFOUR</t>
  </si>
  <si>
    <t>BEN MOUSSA FADILA</t>
  </si>
  <si>
    <t>MOHAMED AOUL MOUSA</t>
  </si>
  <si>
    <t>EL TAHOUSI OUALID</t>
  </si>
  <si>
    <t>AZEAR IBRAHIM</t>
  </si>
  <si>
    <t>SAITEL RACHID</t>
  </si>
  <si>
    <t>EL DICHE HAMZA</t>
  </si>
  <si>
    <t>BELAAZRI YOUSSEF</t>
  </si>
  <si>
    <t>BEZITAL TARIK</t>
  </si>
  <si>
    <t>JABROU KHADIJA</t>
  </si>
  <si>
    <t>HAMDOUN LOUBNA</t>
  </si>
  <si>
    <t>KABECH YAMNA</t>
  </si>
  <si>
    <t>larache</t>
  </si>
  <si>
    <t xml:space="preserve">TRANSPORT </t>
  </si>
  <si>
    <t>Tractoriste</t>
  </si>
  <si>
    <t xml:space="preserve">TRANSPORT DIVERS </t>
  </si>
  <si>
    <t>EL MAHJOUBI ABDGHAFOUR</t>
  </si>
  <si>
    <t>ED-DEBCH HAMZA</t>
  </si>
  <si>
    <t>EL AZAAR IBRAHIM</t>
  </si>
  <si>
    <t>MUSA AWWAL MOHAMMADUL</t>
  </si>
  <si>
    <t>EL-SAHRAOUI OUSSAMA</t>
  </si>
  <si>
    <t>DOUDICH ACHRAF</t>
  </si>
  <si>
    <t>EL HASSNAOUI MANAL</t>
  </si>
  <si>
    <t>EL HASSNAOUI YOUSRA</t>
  </si>
  <si>
    <t xml:space="preserve">BEN FATAH RABIA </t>
  </si>
  <si>
    <t>ELJEBARY MAROUAN</t>
  </si>
  <si>
    <t>EL AISSOUM MOHAMED ZOHAIR</t>
  </si>
  <si>
    <t>EL BOUALI DOUAE</t>
  </si>
  <si>
    <t>KABEECH FATIMA</t>
  </si>
  <si>
    <t>BAALLAL AHMED</t>
  </si>
  <si>
    <t>EDDRYOUCH IMANE</t>
  </si>
  <si>
    <t>BOUACHA FATIMA ZOHRA</t>
  </si>
  <si>
    <t>EL KHARBACHE IL IAS</t>
  </si>
  <si>
    <t>EL OUARDI YASSINE</t>
  </si>
  <si>
    <t>EL HARECH SOUFYANE</t>
  </si>
  <si>
    <t>REGHAM GHIZLANE</t>
  </si>
  <si>
    <t>BOUKKAL BOUCHRA</t>
  </si>
  <si>
    <t xml:space="preserve">EL HAFI FATIMA  </t>
  </si>
  <si>
    <t>KIMIA EL HOUSSAIN</t>
  </si>
  <si>
    <t>ANNOURA AHMED</t>
  </si>
  <si>
    <t>EL GHILOULI AZDINE</t>
  </si>
  <si>
    <t>EL ANKIR MOHAMED</t>
  </si>
  <si>
    <t>EL MHIRI EL HOUSSAIN</t>
  </si>
  <si>
    <t>KROUD ABDELHAFID</t>
  </si>
  <si>
    <t>BAOMAR EL HOUSSAINE</t>
  </si>
  <si>
    <t>EL HAMRITI OUTMAN</t>
  </si>
  <si>
    <t>KROUD MOHAMED</t>
  </si>
  <si>
    <t>BOUACHAT</t>
  </si>
  <si>
    <t>TRANSEPORT</t>
  </si>
  <si>
    <t>CHARGEMENT DES PLANTS</t>
  </si>
  <si>
    <t>13;26</t>
  </si>
  <si>
    <t>EL BERRAITI DRISS</t>
  </si>
  <si>
    <t>ROUIFI  ABDELHAY</t>
  </si>
  <si>
    <t>TOUATI KHADOUJ</t>
  </si>
  <si>
    <t>EL HRAOUIYA  KARIMA</t>
  </si>
  <si>
    <t>NACIRI FATNA</t>
  </si>
  <si>
    <t>EL MAAROUFI  HAFIDA</t>
  </si>
  <si>
    <t>AL MGITNI FATNA</t>
  </si>
  <si>
    <t>SOUIR FATIMA</t>
  </si>
  <si>
    <t>HILI NORDDINE</t>
  </si>
  <si>
    <t>BEN DAOUD HANAN</t>
  </si>
  <si>
    <t>AJCHEF KHADIJA</t>
  </si>
  <si>
    <t>RBIE FATIMA</t>
  </si>
  <si>
    <t>BEN EL MEKI BOUCHRA</t>
  </si>
  <si>
    <t>MKADAM HASSAN</t>
  </si>
  <si>
    <t>BOUTBAILA SMAHANE</t>
  </si>
  <si>
    <t>EL BSIR KHADIJA</t>
  </si>
  <si>
    <t>ER-REGRAGUI MARYAM</t>
  </si>
  <si>
    <t>EL AHRACH ASSMAHAN</t>
  </si>
  <si>
    <t>DAHAN ABDELHAK</t>
  </si>
  <si>
    <t>EL MHIRI L'HOUSSIN</t>
  </si>
  <si>
    <t>EL AZAAR MOUSTAPHA</t>
  </si>
  <si>
    <t>EL HMAR YOUSSEF</t>
  </si>
  <si>
    <t>BARAKA YASSIN</t>
  </si>
  <si>
    <t>EL MAHJOUBI ABDELGHAFOUR</t>
  </si>
  <si>
    <t>EL FRAIHI FATIMA</t>
  </si>
  <si>
    <t>BOUMEDIAN NAJEOI</t>
  </si>
  <si>
    <t>MGHIT MOUSTAPHA</t>
  </si>
  <si>
    <t>EL KASSARI ABDELLAH</t>
  </si>
  <si>
    <t>EL KHEMISY IBRAHIM</t>
  </si>
  <si>
    <t>BEL-BOUHALI ABDERRAHIM</t>
  </si>
  <si>
    <t>EL HAMRI MAJDOUBIA</t>
  </si>
  <si>
    <t>AYAD  ASMAE</t>
  </si>
  <si>
    <t>EL HAIMAR BADIA</t>
  </si>
  <si>
    <t>SEBAHI MOKHTAR</t>
  </si>
  <si>
    <t>EL GHARBAOUI NAJIA</t>
  </si>
  <si>
    <t>HAMMOUCHA  MALIKA</t>
  </si>
  <si>
    <t>HAMDOUCH   JAOUAD</t>
  </si>
  <si>
    <t>DEFLAOUI SOUMAYA</t>
  </si>
  <si>
    <t>EL AZOUAN MOHAMED</t>
  </si>
  <si>
    <t>GUERBI CHAYMAE</t>
  </si>
  <si>
    <t>NEHAILI ADIL</t>
  </si>
  <si>
    <t>EL AISSOU  AMAL</t>
  </si>
  <si>
    <t>EL HAFI FATIMA ZOHRA</t>
  </si>
  <si>
    <t>SAMADI YAHYA</t>
  </si>
  <si>
    <t>WAFAE LAKEHAL</t>
  </si>
  <si>
    <t>BOUTAHRA AICHA</t>
  </si>
  <si>
    <t>EL IDRISSY AYOUB</t>
  </si>
  <si>
    <t>KIMIA EL HOUSSAINE</t>
  </si>
  <si>
    <t>N-AOUACH KHAWLA</t>
  </si>
  <si>
    <t>EL HAYYANY DOUAE</t>
  </si>
  <si>
    <t>EZAYRI AHMED</t>
  </si>
  <si>
    <t>SABER NAIM</t>
  </si>
  <si>
    <t>RAKHISS ADEL</t>
  </si>
  <si>
    <t>BOUAMRAN ZAKARIYAE</t>
  </si>
  <si>
    <t>MGHIT MOHAMED</t>
  </si>
  <si>
    <t>EL KHATTABI  TOURIA</t>
  </si>
  <si>
    <t>EL MADANI MOHAMED</t>
  </si>
  <si>
    <t>EL JAOULA FATIMA</t>
  </si>
  <si>
    <t>LAJAAT LAMYAE</t>
  </si>
  <si>
    <t>MARHRAOUI NAIMA</t>
  </si>
  <si>
    <t>CHLOUCHI SOUAD</t>
  </si>
  <si>
    <t>EL OUYDY LOUBNA</t>
  </si>
  <si>
    <t>JAAOUAN ASSIA</t>
  </si>
  <si>
    <t>YEMLAHI HOUSSAM</t>
  </si>
  <si>
    <t>NAKISS SAIDA</t>
  </si>
  <si>
    <t>EL GUARBAOUI HALIMA</t>
  </si>
  <si>
    <t>BELARABI FATIHA</t>
  </si>
  <si>
    <t>BELHADI HAMZA</t>
  </si>
  <si>
    <t>AIT OUAROB SOUFIANE</t>
  </si>
  <si>
    <t>BOUAMRAN BOUSSELHAM</t>
  </si>
  <si>
    <t>EL ANAYA IBRAHIM</t>
  </si>
  <si>
    <t>KARKOUR GHITA</t>
  </si>
  <si>
    <t>EL MOKADDEM SALMA</t>
  </si>
  <si>
    <t>ANNOURA MOHAMED</t>
  </si>
  <si>
    <t>KISSANE FATIMA</t>
  </si>
  <si>
    <t xml:space="preserve">EL MHANNI IHSAN </t>
  </si>
  <si>
    <t>MAZYKH MOHAMED</t>
  </si>
  <si>
    <t>DRAOUI AICHA</t>
  </si>
  <si>
    <t>ELHAROUCHY MAROUA</t>
  </si>
  <si>
    <t>ZARAD EL HASSANIA</t>
  </si>
  <si>
    <t>JOUIDA KHADIJA</t>
  </si>
  <si>
    <t>BEN MBARKA SOUAD</t>
  </si>
  <si>
    <t>BELKAID SABAH</t>
  </si>
  <si>
    <t>ALAMI ABIR</t>
  </si>
  <si>
    <t xml:space="preserve">BOUAZZA REDOUAN </t>
  </si>
  <si>
    <t>BRAHIM EL KHADER</t>
  </si>
  <si>
    <t>BEL KAID ABDELMOUNIM</t>
  </si>
  <si>
    <t>BAILAT HANAN</t>
  </si>
  <si>
    <t>EL GOUT  ANASS</t>
  </si>
  <si>
    <t>EL GOUMAILI MOHAMED LARBI</t>
  </si>
  <si>
    <t>EL GHOUL FATIHA</t>
  </si>
  <si>
    <t>LAGRIBA JAOUAD</t>
  </si>
  <si>
    <t>SAMADI MOHAMED</t>
  </si>
  <si>
    <t>SAMADI ABDESLAM</t>
  </si>
  <si>
    <t>HADHOUD BILAL</t>
  </si>
  <si>
    <t>EL LKHATYBY MAROUAN</t>
  </si>
  <si>
    <t>EL AROUSI ATIKA</t>
  </si>
  <si>
    <t>OUELAD JEMILA</t>
  </si>
  <si>
    <t xml:space="preserve"> CHAHDI BOUSLHAM</t>
  </si>
  <si>
    <t>HANANE HAFI</t>
  </si>
  <si>
    <t>OULAD JEMIL</t>
  </si>
  <si>
    <t xml:space="preserve">SINGATURE </t>
  </si>
  <si>
    <t>MATRICULE</t>
  </si>
  <si>
    <t>EQUIPE</t>
  </si>
  <si>
    <t xml:space="preserve">NBR JOURS </t>
  </si>
  <si>
    <t xml:space="preserve">NOM ET PRENOM </t>
  </si>
  <si>
    <t xml:space="preserve">MONTANT </t>
  </si>
  <si>
    <t>ETAT D'EMARGEMENT</t>
  </si>
  <si>
    <t xml:space="preserve">1ér QNZ aout </t>
  </si>
  <si>
    <t>EL MAJDOUBY MOHAMED</t>
  </si>
  <si>
    <t xml:space="preserve">EL COUAZ TOURYA </t>
  </si>
  <si>
    <t>KADDARA FADOUA</t>
  </si>
  <si>
    <t>BOUGARN KHADIJA</t>
  </si>
  <si>
    <t>AAROUSSI AICHA</t>
  </si>
  <si>
    <t>ELAOULA KHAOULA</t>
  </si>
  <si>
    <t>FAKROUN REKIA</t>
  </si>
  <si>
    <t>ELA AKRAA SALMA</t>
  </si>
  <si>
    <t>5000</t>
  </si>
  <si>
    <t>BELFETEL IBRAHIM</t>
  </si>
  <si>
    <t>EL HASNAOUI SOUFIANE</t>
  </si>
  <si>
    <t>SALAHEDDINE LAGHRIB</t>
  </si>
  <si>
    <t>ACHRAF EL GHARBAOUI</t>
  </si>
  <si>
    <t>ZAKARIA EL KANBOUHI</t>
  </si>
  <si>
    <t>SOUFIANE GHOUILA</t>
  </si>
  <si>
    <t>MOHAMED EL HAYADI</t>
  </si>
  <si>
    <t xml:space="preserve">JABROU SAAD </t>
  </si>
  <si>
    <t>EL HAYADI BILAL</t>
  </si>
  <si>
    <t>BENKHADDAH ASMAE</t>
  </si>
  <si>
    <t>EL BETIOUI MOHAMED</t>
  </si>
  <si>
    <t>ACHAOUI YOUNES</t>
  </si>
  <si>
    <t>CHIBANI MOHAMED</t>
  </si>
  <si>
    <t>BENCHRIF  IBRAHIM</t>
  </si>
  <si>
    <t>DALHI ABDESLAM</t>
  </si>
  <si>
    <t>ABDELMAJID DALHI</t>
  </si>
  <si>
    <t>5348</t>
  </si>
  <si>
    <t>DIBI MOHAMED</t>
  </si>
  <si>
    <t>HAKIMI ANOUAR</t>
  </si>
  <si>
    <t>ELHADAD AYMANE</t>
  </si>
  <si>
    <t xml:space="preserve"> ADAM EL HAYADI</t>
  </si>
  <si>
    <t>EL AMOURY MOHAMED</t>
  </si>
  <si>
    <t>ARRAS SOUMAYA</t>
  </si>
  <si>
    <t>ZAKARIAE GUETTABI</t>
  </si>
  <si>
    <t>MAMOUNI YASSINE</t>
  </si>
  <si>
    <t>BAHRAOUI ABDELLAH</t>
  </si>
  <si>
    <t>EL KARDI KHADIJA</t>
  </si>
  <si>
    <t>RADI HABIBA</t>
  </si>
  <si>
    <t>BOUNIAFA NOUH</t>
  </si>
  <si>
    <t>EL GHOUL MOHAMED</t>
  </si>
  <si>
    <t>BENKHADAT RACHIDA</t>
  </si>
  <si>
    <t>AAMAR KARIMA</t>
  </si>
  <si>
    <t>BOUKHZAR CHAMA</t>
  </si>
  <si>
    <t>EL AOULA  ASSIA</t>
  </si>
  <si>
    <t>EL AOULA RKIA</t>
  </si>
  <si>
    <t>BHIBAH HANAE</t>
  </si>
  <si>
    <t>SBETY IBTISSAM</t>
  </si>
  <si>
    <t>BGF2</t>
  </si>
  <si>
    <t>CHLIHAT</t>
  </si>
  <si>
    <t>BGF4</t>
  </si>
  <si>
    <t>BEHIBEH</t>
  </si>
  <si>
    <t>BGF3</t>
  </si>
  <si>
    <t>EL CHAHDI BOUSLHAM</t>
  </si>
  <si>
    <t>EL MKADEM HASSAN</t>
  </si>
  <si>
    <t>BHIBHE EL ARBI</t>
  </si>
  <si>
    <t>TRAITEMENT</t>
  </si>
  <si>
    <t>SALIM REFISSA</t>
  </si>
  <si>
    <t>EL FILALI MENNANA</t>
  </si>
  <si>
    <t>EL COUAZ TOURYA</t>
  </si>
  <si>
    <t>TAHTAH MOHAMED</t>
  </si>
  <si>
    <t xml:space="preserve">EL AZOUZI SOUAD </t>
  </si>
  <si>
    <t>KRIOUAR FATIMA</t>
  </si>
  <si>
    <t xml:space="preserve">JEBARI IDRIS </t>
  </si>
  <si>
    <t>BEHAIBAH ASSIYA</t>
  </si>
  <si>
    <t>BHAIBAH FATIMA ZOHRA</t>
  </si>
  <si>
    <t>ELHARTI ABDESLAM</t>
  </si>
  <si>
    <t>BAKHADA AMINA</t>
  </si>
  <si>
    <t>BENFATEL IBRAHIM</t>
  </si>
  <si>
    <t>KHARBOUCH YAHYA</t>
  </si>
  <si>
    <t>JELLOULI ANASSE</t>
  </si>
  <si>
    <t>SBALIONAT KHOULOUD</t>
  </si>
  <si>
    <t>DRAOUI BOUCHRA</t>
  </si>
  <si>
    <t>EL HARTI ILIASS</t>
  </si>
  <si>
    <t>SERROUKH MOHAMED AYMANE</t>
  </si>
  <si>
    <t>ZOUIDI NAOUFALE</t>
  </si>
  <si>
    <t>EL KHOULFI MUSTAPHA</t>
  </si>
  <si>
    <t>SAHLI ABDELILAH</t>
  </si>
  <si>
    <t>TOUA ADAM</t>
  </si>
  <si>
    <t>NAMSI AMAL</t>
  </si>
  <si>
    <t>FADILA</t>
  </si>
  <si>
    <t>BOUSELHAM CHAHDI</t>
  </si>
  <si>
    <t>BHIBH ARBI</t>
  </si>
  <si>
    <t>EL KAMOURI FARID</t>
  </si>
  <si>
    <t>CHAHDI IBRAHIM</t>
  </si>
  <si>
    <t>Main-d'œuvre</t>
  </si>
  <si>
    <t>DBOU NAJOWA</t>
  </si>
  <si>
    <t>EL GUENNOUNI LATIFA</t>
  </si>
  <si>
    <t>2299</t>
  </si>
  <si>
    <t>EL FAKIR MOHAMED</t>
  </si>
  <si>
    <t>EL DEBAZ HMIDOU</t>
  </si>
  <si>
    <t>DAHBI ABDERRAHIM</t>
  </si>
  <si>
    <t>JEBARI MOHAMED</t>
  </si>
  <si>
    <t>ZAHDOUD FATIMA</t>
  </si>
  <si>
    <t>RADDAM FATIMA ZOHRA</t>
  </si>
  <si>
    <t>EL KASMI CHAIMAA</t>
  </si>
  <si>
    <t>ALAM CHAIMAE</t>
  </si>
  <si>
    <t>BEHAIBAH KHOLOUD</t>
  </si>
  <si>
    <t>EL FHAL  AMINA</t>
  </si>
  <si>
    <t>EL KHOLFI MUSTAPHA</t>
  </si>
  <si>
    <t>10006</t>
  </si>
  <si>
    <t>10007</t>
  </si>
  <si>
    <t xml:space="preserve">AKILA EL HAFI </t>
  </si>
  <si>
    <t>SAMADI MOHAMED 2</t>
  </si>
  <si>
    <t>SAMADI MOHAMED 3</t>
  </si>
  <si>
    <t>LAMSSAYEH KHADIJA</t>
  </si>
  <si>
    <t>MARHRAOUI NADIA</t>
  </si>
  <si>
    <t>EL BEHIOUI SOUHAYLA</t>
  </si>
  <si>
    <t xml:space="preserve">EL KHALFI ISSA </t>
  </si>
  <si>
    <t>AL BALAOUI MOHAMED</t>
  </si>
  <si>
    <t>BOUSNINA NADIA</t>
  </si>
  <si>
    <t>SAMADI MOHAMED 4</t>
  </si>
  <si>
    <t>BOUSNINA FARAH</t>
  </si>
  <si>
    <t>BOUSNINA GHITA</t>
  </si>
  <si>
    <t>BOUSNINA SAADIA</t>
  </si>
  <si>
    <t>CHARI  ESSAADIA</t>
  </si>
  <si>
    <t>JILLALI HATIM</t>
  </si>
  <si>
    <t>BENHMAIDA SOUFIANE</t>
  </si>
  <si>
    <t>YEMLAHI ABDERAHIM</t>
  </si>
  <si>
    <t>HOUKBAL OUSAMA</t>
  </si>
  <si>
    <t>HADDOU  AYA</t>
  </si>
  <si>
    <t>SAMADI MOHAMED 5</t>
  </si>
  <si>
    <t>WARDIN SOUFYAN</t>
  </si>
  <si>
    <t>SAMADI ABDELAZIZ</t>
  </si>
  <si>
    <t>BIJOU SORAYA</t>
  </si>
  <si>
    <t>ESSOUSSI FATIMA ZAHRA</t>
  </si>
  <si>
    <t>EL HILI ABDESSELAM</t>
  </si>
  <si>
    <t>BENFATEL OMAR</t>
  </si>
  <si>
    <t>SORDO MOHAMED</t>
  </si>
  <si>
    <t>AOUACH KHAWLA</t>
  </si>
  <si>
    <t>MAJDOUBI FAISSAL</t>
  </si>
  <si>
    <t>EL HARAK ZOHRA</t>
  </si>
  <si>
    <t>KSAR FEMME</t>
  </si>
  <si>
    <t>CHAHDI BOUSLHAM</t>
  </si>
  <si>
    <t>LARACHE AYOUBE</t>
  </si>
  <si>
    <t xml:space="preserve">BELHADI  AHMED </t>
  </si>
  <si>
    <t>CHELIHAT</t>
  </si>
  <si>
    <t>KRIDECHE MOHAMMED</t>
  </si>
  <si>
    <t>TRANSEPORT FRUITS</t>
  </si>
  <si>
    <t>SALIM REFISA</t>
  </si>
  <si>
    <t>TRACTEUR</t>
  </si>
  <si>
    <t>KADOUR TRAC</t>
  </si>
  <si>
    <t>Camion 81989-a-40</t>
  </si>
  <si>
    <t>camion</t>
  </si>
  <si>
    <t>Camion 38539-b-1</t>
  </si>
  <si>
    <t>Camion 14166-a-15</t>
  </si>
  <si>
    <t>MOHAMED JCB</t>
  </si>
  <si>
    <t>JCB</t>
  </si>
  <si>
    <t>Camion 29133-A-40</t>
  </si>
  <si>
    <t>TRAITEMENT/ CHAREGEMENT</t>
  </si>
  <si>
    <t>chargement palox</t>
  </si>
  <si>
    <t>Entretien Serre</t>
  </si>
  <si>
    <t>SEKAF  FADOUA</t>
  </si>
  <si>
    <t>HANI NADIA</t>
  </si>
  <si>
    <t>HBAIZ MOHAMMED</t>
  </si>
  <si>
    <t>SERROUKH MOAD</t>
  </si>
  <si>
    <t>SOULAIMAN MCHICHOU ELAMRANI</t>
  </si>
  <si>
    <t>EL HLALI KHADIJA</t>
  </si>
  <si>
    <t>EL KHOLFI MOHAMED</t>
  </si>
  <si>
    <t>AL BAHRAWI HAMZA</t>
  </si>
  <si>
    <t>LABROUZI MOHAMED</t>
  </si>
  <si>
    <t>RAIS MANAL</t>
  </si>
  <si>
    <t>MAOULOUD AICHA</t>
  </si>
  <si>
    <t>EL HASNAOUI ZAKARIA</t>
  </si>
  <si>
    <t>KHADDI IBRAHIIM</t>
  </si>
  <si>
    <t>MJOUEL ALI</t>
  </si>
  <si>
    <t>EL KHATIB AMINA</t>
  </si>
  <si>
    <t>EL KHARTA SADIK</t>
  </si>
  <si>
    <t>HMIOUI ZAKARIA</t>
  </si>
  <si>
    <t>CHRIF EL IDRISSI ABDELHAK</t>
  </si>
  <si>
    <t>CHRIF EL IDRISSI MAROUANE</t>
  </si>
  <si>
    <t>LAROUSSI OUALID</t>
  </si>
  <si>
    <t>EL OUAZZANI SOHAIB</t>
  </si>
  <si>
    <t>BOUZIDI SARA</t>
  </si>
  <si>
    <t>BAHRAOUI OMRANA</t>
  </si>
  <si>
    <t>EL AROURI SAID</t>
  </si>
  <si>
    <t xml:space="preserve">EL ALLOUCHI HOURIA </t>
  </si>
  <si>
    <t>TWA ABDELLAH</t>
  </si>
  <si>
    <t>BEN CHIKH FATNA</t>
  </si>
  <si>
    <t>KHENANA MOHAMED</t>
  </si>
  <si>
    <t>CHAHDI CHRIFA</t>
  </si>
  <si>
    <t>SAHEL  ABDELILLAH</t>
  </si>
  <si>
    <t>EM MRABET ABDERRAHIM</t>
  </si>
  <si>
    <t>ES-SAGHYR MOHAMED SAID</t>
  </si>
  <si>
    <t>FNINCH RACHID</t>
  </si>
  <si>
    <t>GRIDA SOUAD</t>
  </si>
  <si>
    <t>KADARA HAYAT</t>
  </si>
  <si>
    <t>EL BIRECH ABDERAHIM</t>
  </si>
  <si>
    <t>TRIBAQ ABDELKADER</t>
  </si>
  <si>
    <t>FNINCH JAOUAD</t>
  </si>
  <si>
    <t>HAIDA MOHAMED</t>
  </si>
  <si>
    <t>CHHIMA YOUSSEF</t>
  </si>
  <si>
    <t>ATOU BILAL</t>
  </si>
  <si>
    <t>EL AMOUM MOHAMED</t>
  </si>
  <si>
    <t>EL HMAIDI ABDELHAMID</t>
  </si>
  <si>
    <t>EL KANOUFI MAJDA</t>
  </si>
  <si>
    <t>KOMIRI YAHYA</t>
  </si>
  <si>
    <t>TOUILEB NEZHA</t>
  </si>
  <si>
    <t>ILYAS  ELABBAS</t>
  </si>
  <si>
    <t>JAADI ADAM</t>
  </si>
  <si>
    <t>EL KRICHI HAMZA</t>
  </si>
  <si>
    <t>LAOU HATIM</t>
  </si>
  <si>
    <t>ELMAAROUFY ZOHRA</t>
  </si>
  <si>
    <t>EL OUARDY FATIMA ZOHRA</t>
  </si>
  <si>
    <t>EL-AIOUJE SALMA</t>
  </si>
  <si>
    <t>LAHOUINI ABDELMOULA</t>
  </si>
  <si>
    <t>SEBRAOUI HANAN</t>
  </si>
  <si>
    <t>ESSRIMA ZOUHRA</t>
  </si>
  <si>
    <t>EL AROUACH SIHAM</t>
  </si>
  <si>
    <t>NOUALI HAYAT</t>
  </si>
  <si>
    <t>RHARSAOUI OUMAUMA</t>
  </si>
  <si>
    <t>EL YOUNOUSSI NISRINE</t>
  </si>
  <si>
    <t>EL YOUNOUSSI LAILA</t>
  </si>
  <si>
    <t>EL KANFOUDI LATIFA</t>
  </si>
  <si>
    <t>MAAROUF KARIMA</t>
  </si>
  <si>
    <t>LAABAR KHAADIJA</t>
  </si>
  <si>
    <t>EL HIHAD FADOUA</t>
  </si>
  <si>
    <t>M'RINI ABDELHAMID</t>
  </si>
  <si>
    <t>EL-AIOUJE chaimae</t>
  </si>
  <si>
    <t>EL-AIOUJE IMANE</t>
  </si>
  <si>
    <t>AASATI GHOUFRANE</t>
  </si>
  <si>
    <t>MAHJOUD ABDELHAK</t>
  </si>
  <si>
    <t>JEDDOUB YOUNESS</t>
  </si>
  <si>
    <t>EL MEHDAOUI MENNANA</t>
  </si>
  <si>
    <t>ALOUANI ABDELADIM</t>
  </si>
  <si>
    <t>LARACHE 2</t>
  </si>
  <si>
    <t>EL BACHIR SEGHIRE</t>
  </si>
  <si>
    <t>MOHAMED ARBAOUA</t>
  </si>
  <si>
    <t xml:space="preserve">TRS D'emballage </t>
  </si>
  <si>
    <t>TRS FRUITS</t>
  </si>
  <si>
    <t>BGF F3</t>
  </si>
  <si>
    <t>BENTAIYEB REDA</t>
  </si>
  <si>
    <t>KHARRAKI YASSINE</t>
  </si>
  <si>
    <t>MKAIS MOHAMED</t>
  </si>
  <si>
    <t xml:space="preserve">ANEJE REDOUAN </t>
  </si>
  <si>
    <t>SAMADI IMAD</t>
  </si>
  <si>
    <t>RIHIYA MARIAM</t>
  </si>
  <si>
    <t>LAGRIBA AISSA</t>
  </si>
  <si>
    <t>EL ABAR IMANE</t>
  </si>
  <si>
    <t>AYA EL FALJAOUI</t>
  </si>
  <si>
    <t>EL HASSROUFI FARAH</t>
  </si>
  <si>
    <t>EL HAOUARI KAOUTAR</t>
  </si>
  <si>
    <t>SENNOUNI FATIMA</t>
  </si>
  <si>
    <t>LAMSAYAH FATIMA</t>
  </si>
  <si>
    <t>BENHILAL MOHAMED</t>
  </si>
  <si>
    <t>KADDARA MOUSSA</t>
  </si>
  <si>
    <t>EL HATMI AHMED</t>
  </si>
  <si>
    <t>CHAMI BILAL</t>
  </si>
  <si>
    <t>LABRAG ABDELALI</t>
  </si>
  <si>
    <t>NOUALI FATIMA</t>
  </si>
  <si>
    <t>CHEDDADI ASMAE</t>
  </si>
  <si>
    <t>BOUACHRA ABDERRAHMANE</t>
  </si>
  <si>
    <t>GHARBAOUI DOHA</t>
  </si>
  <si>
    <t>JALOULI SAIDA</t>
  </si>
  <si>
    <t>BENZAINA MOHAMED</t>
  </si>
  <si>
    <t>HAFOUDA ILYASS</t>
  </si>
  <si>
    <t>MENIJLOU LOBNA</t>
  </si>
  <si>
    <t>ELAITOUR LKHADIJA</t>
  </si>
  <si>
    <t>ROUBIO RADIA</t>
  </si>
  <si>
    <t>EL KASI ATIKA</t>
  </si>
  <si>
    <t>BENHEDDI NAIMA</t>
  </si>
  <si>
    <t>MANIJLOI RAHMA</t>
  </si>
  <si>
    <t>EL GAIZA FADOUA</t>
  </si>
  <si>
    <t>MENIJLOU OUAFAE</t>
  </si>
  <si>
    <t>EL HARBA FATIMA</t>
  </si>
  <si>
    <t>NAKOU LATIFA</t>
  </si>
  <si>
    <t>FETOUS AICHA</t>
  </si>
  <si>
    <t>BASSOU FATIMA</t>
  </si>
  <si>
    <t>EL KAFAZ ABDELHAKIM</t>
  </si>
  <si>
    <t>FLAMIGOU KHADIJA</t>
  </si>
  <si>
    <t>BEN-IMRAN ABDOU-BAKR</t>
  </si>
  <si>
    <t>EL AOUAD TAOUFIK</t>
  </si>
  <si>
    <t>BASSOU MALIKA</t>
  </si>
  <si>
    <t>HAJI OUSSAMA</t>
  </si>
  <si>
    <t>EL HARRAK ABDELILAH</t>
  </si>
  <si>
    <t>QAIDI ABDELLAH</t>
  </si>
  <si>
    <t>EL KAFAZ FADOUA</t>
  </si>
  <si>
    <t>MENIJLOU FATIMA</t>
  </si>
  <si>
    <t>FETOUS AICHA 1</t>
  </si>
  <si>
    <t>EL KASI MONCIF</t>
  </si>
  <si>
    <t>EL AITOUR AICHA</t>
  </si>
  <si>
    <t>MAHJOUD SOUFIANE</t>
  </si>
  <si>
    <t>BELAHCEN ALI</t>
  </si>
  <si>
    <t>BENAYAD ABDELMONAIM</t>
  </si>
  <si>
    <t>ELHOUARI AHMED</t>
  </si>
  <si>
    <t>BELLAOUI MOHAMED</t>
  </si>
  <si>
    <t>SIMINE MOHAMMED</t>
  </si>
  <si>
    <t>HANIN YASSINE</t>
  </si>
  <si>
    <t>KOJAA YOUNESS</t>
  </si>
  <si>
    <t>ZEOUADA</t>
  </si>
  <si>
    <t>LAGHROUDY HASSAN</t>
  </si>
  <si>
    <t>EL SEGHIRE BACHIR</t>
  </si>
  <si>
    <t>Tawfik kaseri</t>
  </si>
  <si>
    <t>Zaouada</t>
  </si>
  <si>
    <t>Farid</t>
  </si>
  <si>
    <t>KSR F</t>
  </si>
  <si>
    <t>KADOUR  DEBAZ TRAC</t>
  </si>
  <si>
    <t>REFISSA TRAC</t>
  </si>
  <si>
    <t>AYOUB sidi yehya</t>
  </si>
  <si>
    <t>ABDELLAH EL MAJDOUBI</t>
  </si>
  <si>
    <t>KRIDECHE MOHAMED</t>
  </si>
  <si>
    <t>12:008</t>
  </si>
  <si>
    <t>REZZOUK RAHMA</t>
  </si>
  <si>
    <t>DRISSI ABDERRAHMANE</t>
  </si>
  <si>
    <t>ER-RABIY MOHAMED</t>
  </si>
  <si>
    <t>EL MRABET ZOHRA</t>
  </si>
  <si>
    <t>BOUDICH MOHAMED</t>
  </si>
  <si>
    <t>BAFNAH ZAHRA</t>
  </si>
  <si>
    <t>ELKAFAZ NOUHAILA</t>
  </si>
  <si>
    <t>MHAISSIS NAIMA</t>
  </si>
  <si>
    <t>KIA FATIMA</t>
  </si>
  <si>
    <t>EL KERRAOUI NAJAT</t>
  </si>
  <si>
    <t>KIA AMINA</t>
  </si>
  <si>
    <t>HMIMSA houria</t>
  </si>
  <si>
    <t>EL ABDI HAFIDA</t>
  </si>
  <si>
    <t>HAMOUDA HAKIMA</t>
  </si>
  <si>
    <t>ELOUCHARI AHMED</t>
  </si>
  <si>
    <t>BEN NACER HAFSSA</t>
  </si>
  <si>
    <t>EL OUAZANI KAOUTAR</t>
  </si>
  <si>
    <t>MZIOUKA IMAD</t>
  </si>
  <si>
    <t xml:space="preserve">BOUAZA REDOUAN </t>
  </si>
  <si>
    <t>TCHIOU INTISSAR</t>
  </si>
  <si>
    <t>ZEKARI NAZHA</t>
  </si>
  <si>
    <t>DRIOUI  ATIKA</t>
  </si>
  <si>
    <t>LAINI IHSSANE</t>
  </si>
  <si>
    <t>LAHBAR FATIMA</t>
  </si>
  <si>
    <t>ELKHAL ESSALLAMIA</t>
  </si>
  <si>
    <t>BANIKHA GHILANA</t>
  </si>
  <si>
    <t>RIOUA MENNANA</t>
  </si>
  <si>
    <t>LAABAD  SALMA</t>
  </si>
  <si>
    <t>CHTIB  SAMIRA</t>
  </si>
  <si>
    <t>LABROUZI ASMAE</t>
  </si>
  <si>
    <t>EL FTOUHI SAMIRA</t>
  </si>
  <si>
    <t>TAHERI IBTISSAM</t>
  </si>
  <si>
    <t>ELGOUT ABDENNOR</t>
  </si>
  <si>
    <t>LAAROUSSI ABDELMOULA</t>
  </si>
  <si>
    <t>HAFOUDA AMINA</t>
  </si>
  <si>
    <t>ZAOUY ZAHRA</t>
  </si>
  <si>
    <t>EL GHARBAOUI FATIMA ZOUHRA</t>
  </si>
  <si>
    <t>JEBARI ALMOUSTAPHA</t>
  </si>
  <si>
    <t>EL YOUNOUSSI HATIM</t>
  </si>
  <si>
    <t>FETOUS ILYAS</t>
  </si>
  <si>
    <t>AZIZI LAILA</t>
  </si>
  <si>
    <t>MASSOUDI  SALMA</t>
  </si>
  <si>
    <t>EL AOUAD ACHRAF</t>
  </si>
  <si>
    <t>EL AZRAK NOUAMAN</t>
  </si>
  <si>
    <t>ED-DAHBY ZOUHRA</t>
  </si>
  <si>
    <t>EL ABDY MAJDA</t>
  </si>
  <si>
    <t>TOUIHAR ACHRAF</t>
  </si>
  <si>
    <t>ELANDALOUSSI MOHAMMED</t>
  </si>
  <si>
    <t>BERKIYA ZOUHRA</t>
  </si>
  <si>
    <t>EL HADI OUIAM</t>
  </si>
  <si>
    <t>SENNOUNI MERYEM</t>
  </si>
  <si>
    <t>BOUHIA SOUKAINA</t>
  </si>
  <si>
    <t>ALANTI ADIL</t>
  </si>
  <si>
    <t>EL HADI HAMZA</t>
  </si>
  <si>
    <t>EL GOUT ABDENNOUR</t>
  </si>
  <si>
    <t>EL HARRAK MOHAMED</t>
  </si>
  <si>
    <t>LAANAIG MAROUANE</t>
  </si>
  <si>
    <t>massoudi SALMA</t>
  </si>
  <si>
    <t>MUSTAPHA ABBASSI</t>
  </si>
  <si>
    <t>JAMAL</t>
  </si>
  <si>
    <t>EL GHEROUDI JAMAL</t>
  </si>
  <si>
    <t>EL KASRI MOHAMED</t>
  </si>
  <si>
    <t>ENTRETIEN DES SERRES</t>
  </si>
  <si>
    <t>10038</t>
  </si>
  <si>
    <t>1588</t>
  </si>
  <si>
    <t>HILALI  chaimae</t>
  </si>
  <si>
    <t>BENLKHASSAL GHIZLANE</t>
  </si>
  <si>
    <t>NAANAA EL HOUSSAINE</t>
  </si>
  <si>
    <t>EL GHARBAOUI AYMEN</t>
  </si>
  <si>
    <t>ESSERGHINI MOHAMED REDA</t>
  </si>
  <si>
    <t>LAHMAR MOHAMED</t>
  </si>
  <si>
    <t>LAZRAK HAMZA</t>
  </si>
  <si>
    <t>EL FHIL YAHYA</t>
  </si>
  <si>
    <t>EL BADAOUI ABDELAZIZ</t>
  </si>
  <si>
    <t>GHARBAOUI YOUSSEF</t>
  </si>
  <si>
    <t>JEDDOUB ILIASS</t>
  </si>
  <si>
    <t>EL JAZOULI AHMED</t>
  </si>
  <si>
    <t>ESSAMHI BRAHIM</t>
  </si>
  <si>
    <t>EL YOUNSSI HAMZA</t>
  </si>
  <si>
    <t>EL HAMOUDI OUSSAMA</t>
  </si>
  <si>
    <t>SADIKI ILYAS</t>
  </si>
  <si>
    <t>RAFAKI YASSINE</t>
  </si>
  <si>
    <t>TARFI AYOUB</t>
  </si>
  <si>
    <t>EL HAMMAMI MOHAMED</t>
  </si>
  <si>
    <t>EL MEAIZI ZAKARIA</t>
  </si>
  <si>
    <t>OUMMOUNE IMRANE</t>
  </si>
  <si>
    <t>RZAZGUI ABDELALI</t>
  </si>
  <si>
    <t>KARIA SABER</t>
  </si>
  <si>
    <t>EL GOUT ANASS</t>
  </si>
  <si>
    <t>SAMADI ISMAIL</t>
  </si>
  <si>
    <t>NALI ABDEMOTALIB</t>
  </si>
  <si>
    <t>RIAHI ADIL</t>
  </si>
  <si>
    <t>EL ZARKTI AHMED</t>
  </si>
  <si>
    <t>MTAHRA BOUCHRA</t>
  </si>
  <si>
    <t>JEOUAN FATIMA</t>
  </si>
  <si>
    <t>EL HADI SIHAM</t>
  </si>
  <si>
    <t>LOUZARI YOUNESS</t>
  </si>
  <si>
    <t>el aguili NAAIMA</t>
  </si>
  <si>
    <t>laguouayti SIHAM</t>
  </si>
  <si>
    <t>EZ-ZOUINY MOHAMED</t>
  </si>
  <si>
    <t>BOUHRAZA AYA</t>
  </si>
  <si>
    <t>LAHAMOUITI AZIZA</t>
  </si>
  <si>
    <t>EL HIHAD NORA</t>
  </si>
  <si>
    <t>MAYA MAHER</t>
  </si>
  <si>
    <t>FGAIRI YASSINE</t>
  </si>
  <si>
    <t>FGAIRI MOHAMED</t>
  </si>
  <si>
    <t>CHERGUI MOHAMED</t>
  </si>
  <si>
    <t>CHERGUI M'BAREK</t>
  </si>
  <si>
    <t xml:space="preserve">LAATIOUI RIDOUAN </t>
  </si>
  <si>
    <t>CHERGUI AHMED</t>
  </si>
  <si>
    <t>EL FJAIRI MOHAMED</t>
  </si>
  <si>
    <t>BENAZZOUZ KARIM</t>
  </si>
  <si>
    <t>CHERGUI NOUREDDINE</t>
  </si>
  <si>
    <t>BEN AZZOUZ MOHAMED</t>
  </si>
  <si>
    <t>OULD ABLA MUSTAPHA</t>
  </si>
  <si>
    <t>ALHILI SANAE</t>
  </si>
  <si>
    <t>EL HARRAK MOSSAAB</t>
  </si>
  <si>
    <t>EL KADMIRI MAROUANE</t>
  </si>
  <si>
    <t>EL HLIMI YASSINE</t>
  </si>
  <si>
    <t>OUCHRIF ADAM</t>
  </si>
  <si>
    <t>EL KASMI OMAR</t>
  </si>
  <si>
    <t xml:space="preserve">TALLIH BADR </t>
  </si>
  <si>
    <t>RIOUCH MOHAMED</t>
  </si>
  <si>
    <t xml:space="preserve"> EL FACHTALI YOUSSEF</t>
  </si>
  <si>
    <t xml:space="preserve">JAADI CHAIMAE </t>
  </si>
  <si>
    <t>EL ATTAR RACHIDA</t>
  </si>
  <si>
    <t>EZZINE KAOUTAR</t>
  </si>
  <si>
    <t>DAROUAS IBTISSAM</t>
  </si>
  <si>
    <t>KAI MOHAMED</t>
  </si>
  <si>
    <t>RAIS OMAR</t>
  </si>
  <si>
    <t>DHIMINE IBRAHIIM</t>
  </si>
  <si>
    <t>EL BAIDI MOHAMED AYMANE</t>
  </si>
  <si>
    <t>EL KARROUM HASSAN</t>
  </si>
  <si>
    <t>EL FILALI MOHAMED</t>
  </si>
  <si>
    <t>JERAOUI MOHAMED</t>
  </si>
  <si>
    <t>RAESS MUSTAPHA</t>
  </si>
  <si>
    <t>EL GALLAFI YASSINE</t>
  </si>
  <si>
    <t>KHACHANI MOHAMED</t>
  </si>
  <si>
    <t>RMADI OMAR</t>
  </si>
  <si>
    <t>ZAYOU NAWFAL</t>
  </si>
  <si>
    <t>EL FAKKROUN AZEDDINE</t>
  </si>
  <si>
    <t>RAESS YOUSSEF</t>
  </si>
  <si>
    <t xml:space="preserve">EL OUARRAQY YASSIN </t>
  </si>
  <si>
    <t>AEDA HAMID</t>
  </si>
  <si>
    <t>AOUINTI IBRAHIM</t>
  </si>
  <si>
    <t>EL-LABBAR ADAM</t>
  </si>
  <si>
    <t>ERRAGHIF HAMZA</t>
  </si>
  <si>
    <t>BOUALAM FATIMA</t>
  </si>
  <si>
    <t>HADDAOUI RAHMA</t>
  </si>
  <si>
    <t>EL GAOUAD KHADOUJ</t>
  </si>
  <si>
    <t>DRIOUCH LAYLA</t>
  </si>
  <si>
    <t>BOUTARFA IKRAM</t>
  </si>
  <si>
    <t>OUMHANI MERYAM</t>
  </si>
  <si>
    <t>ZOUGARI RAHIMA</t>
  </si>
  <si>
    <t>BOUTARFA EL HOUSSINE</t>
  </si>
  <si>
    <t>RAISSOULI MOHAMMED</t>
  </si>
  <si>
    <t>AROUBA FATIMA</t>
  </si>
  <si>
    <t>TIJANIYA ANKA</t>
  </si>
  <si>
    <t>ANKA FATIMA ZOHRA</t>
  </si>
  <si>
    <t>MAAROUFI FOUZIA</t>
  </si>
  <si>
    <t>EL MEKKAOUI ZAHRA</t>
  </si>
  <si>
    <t>RISOULI KHADIJA</t>
  </si>
  <si>
    <t>ABDELLAY OUASSIMA</t>
  </si>
  <si>
    <t>BOUTARFA ZAKARIA</t>
  </si>
  <si>
    <t>BAHRAR NAOUAL</t>
  </si>
  <si>
    <t>RISSANA CHAMALAI</t>
  </si>
  <si>
    <t>RISSANA JANOUBIYA</t>
  </si>
  <si>
    <t>LARACHE 02</t>
  </si>
  <si>
    <t xml:space="preserve">OUTMAN </t>
  </si>
  <si>
    <t>larache 2</t>
  </si>
  <si>
    <t>OUTMAN</t>
  </si>
  <si>
    <t>EL MESBAHI MOHAMED</t>
  </si>
  <si>
    <t>BOUSLHAM CHAHDI</t>
  </si>
  <si>
    <t>AHMED SEKTANI</t>
  </si>
  <si>
    <t>ACHERAF LARACHE</t>
  </si>
  <si>
    <t>OUTMAN ARBAOUA</t>
  </si>
  <si>
    <t>JAMAL GHEROUDI</t>
  </si>
  <si>
    <t>CHAREGEMENT</t>
  </si>
  <si>
    <t>CAMION</t>
  </si>
  <si>
    <t>ER-RAMOUCH SADIK</t>
  </si>
  <si>
    <t>BOUAZZA MOHSSIN</t>
  </si>
  <si>
    <t>DANKIR OTMAN</t>
  </si>
  <si>
    <t>EL HMIDI MOHAMED</t>
  </si>
  <si>
    <t>BEN AZZOUZ YASSINE</t>
  </si>
  <si>
    <t>JAIDI MOHAMED</t>
  </si>
  <si>
    <t>BENAZOZ OMAR</t>
  </si>
  <si>
    <t>FKARI OTHMANE</t>
  </si>
  <si>
    <t>LAMZIOUI MOHAMED</t>
  </si>
  <si>
    <t>el khili ABDELKHALEK</t>
  </si>
  <si>
    <t>EL HARBAOUI MOHAMED</t>
  </si>
  <si>
    <t>EZ-ZOUBAIRI AHMED</t>
  </si>
  <si>
    <t>JEBARI ZAKARIA</t>
  </si>
  <si>
    <t xml:space="preserve">BENALAL SAAD </t>
  </si>
  <si>
    <t>EL GHRISSI HOUDA</t>
  </si>
  <si>
    <t>EZ-ZEOUYNY IMAD</t>
  </si>
  <si>
    <t>MAKROUM ISMAIL</t>
  </si>
  <si>
    <t>EL HLIMI YOUSSEF</t>
  </si>
  <si>
    <t>ERCHOKI KARIM</t>
  </si>
  <si>
    <t>EL BAKOURI LATIFA</t>
  </si>
  <si>
    <t>TAMHAMMED MOUNIR</t>
  </si>
  <si>
    <t>BENCHAMA AMJAD</t>
  </si>
  <si>
    <t>YAHYA  EL HARRAK</t>
  </si>
  <si>
    <t xml:space="preserve">DRISSI ISSA </t>
  </si>
  <si>
    <t>AKRIM  MOHAMED</t>
  </si>
  <si>
    <t>EL-AROUSSY YOUSSEF</t>
  </si>
  <si>
    <t>ABOURRABIE BOUCHRA</t>
  </si>
  <si>
    <t>SEKAF  NAZHA</t>
  </si>
  <si>
    <t>EL HAJOUI REDA</t>
  </si>
  <si>
    <t>EL-GARRAS EL MAATI</t>
  </si>
  <si>
    <t>MESTARI MOHAMED</t>
  </si>
  <si>
    <t>SAHLI MOHAMED REDA</t>
  </si>
  <si>
    <t>EL GHABBA MOHAMED</t>
  </si>
  <si>
    <t>BENBAH YOUSSEF</t>
  </si>
  <si>
    <t>RKINA YOUNESS</t>
  </si>
  <si>
    <t>BENHAMOU MOHAMED</t>
  </si>
  <si>
    <t>EL AZEOUAN ISMAIL</t>
  </si>
  <si>
    <t>EL ATTAR MOKHLIS</t>
  </si>
  <si>
    <t>JLAIDA ANAS</t>
  </si>
  <si>
    <t>KHARRAZI CHAHIDA</t>
  </si>
  <si>
    <t>EL GADDAH YOUNES</t>
  </si>
  <si>
    <t>AAMAR KHALID</t>
  </si>
  <si>
    <t>TMIROU HAMID</t>
  </si>
  <si>
    <t>SERROUKH TAOUFIK</t>
  </si>
  <si>
    <t>EL NAJAR RAHMA</t>
  </si>
  <si>
    <t>EL BERIKA NADIA</t>
  </si>
  <si>
    <t>BARKIA YOUSSEF</t>
  </si>
  <si>
    <t>EL-AROUSY MOHAMED</t>
  </si>
  <si>
    <t>CAMION AYOUB</t>
  </si>
  <si>
    <t>EL AHRACH AMAL</t>
  </si>
  <si>
    <t>EL AYMOUMI SALMA</t>
  </si>
  <si>
    <t>EL HAFIAN MOHAMED REDA</t>
  </si>
  <si>
    <t>BENHMAIDA MOHAMED</t>
  </si>
  <si>
    <t xml:space="preserve">EL HORCH MOHAMED-REDA </t>
  </si>
  <si>
    <t>EL SOUISSI RABAB</t>
  </si>
  <si>
    <t>AABIDA ABDELGHAFOUR</t>
  </si>
  <si>
    <t>SAKHI OUSSAMA</t>
  </si>
  <si>
    <t>AKRIM NABIL</t>
  </si>
  <si>
    <t>EZZARGHYNY MOHAMED</t>
  </si>
  <si>
    <t>TAFHI IKRAM</t>
  </si>
  <si>
    <t>ES-AF YAMINA</t>
  </si>
  <si>
    <t>ELKANDOUFI ZOHRA</t>
  </si>
  <si>
    <t>EL NEJMI YOUSSRA</t>
  </si>
  <si>
    <t>HAJI HANAE</t>
  </si>
  <si>
    <t>EL KHETABI BADIEA</t>
  </si>
  <si>
    <t>NABOUKH MOHAMED</t>
  </si>
  <si>
    <t>kERDOUDA AYOUB</t>
  </si>
  <si>
    <t>NASIR ABDESLAM</t>
  </si>
  <si>
    <t>EL KAIRAH IBRAHIM</t>
  </si>
  <si>
    <t>BEN AOUICHA  SLIMANE</t>
  </si>
  <si>
    <t>BEN HLAL AYMANE</t>
  </si>
  <si>
    <t>OUDINA SANAE</t>
  </si>
  <si>
    <t>EL HATIMI MOHAMED</t>
  </si>
  <si>
    <t>ESSOUSI MOHAMED AMINE</t>
  </si>
  <si>
    <t>OUDINA FATIMA</t>
  </si>
  <si>
    <t>EL HAIMAR OUSSAMA</t>
  </si>
  <si>
    <t>EL MERDAOUI MOHAMED</t>
  </si>
  <si>
    <t>BEN OULIA MOHAMED AMINE</t>
  </si>
  <si>
    <t>SAI  IKRAM</t>
  </si>
  <si>
    <t>ESSOUYLY FATIMA</t>
  </si>
  <si>
    <t>EL MESLOUHI BRAHIM</t>
  </si>
  <si>
    <t>ABBOU RAJAA</t>
  </si>
  <si>
    <t>HAJI YASSMIN</t>
  </si>
  <si>
    <t>KEBADI MAREYAM</t>
  </si>
  <si>
    <t>HAMMOUCHA  MOHAMED</t>
  </si>
  <si>
    <t>ESSARHANI LARBI</t>
  </si>
  <si>
    <t>EL HADAD MOURAD</t>
  </si>
  <si>
    <t>SGHER MOHAMED AMINE</t>
  </si>
  <si>
    <t>EL HAOUACHI MOHAMED</t>
  </si>
  <si>
    <t>LABROUZI JAOUAD</t>
  </si>
  <si>
    <t>EL MRAOUDA MOHAMED</t>
  </si>
  <si>
    <t>SOUSSI  NADIA</t>
  </si>
  <si>
    <t>EL HESSIN MOUSAD</t>
  </si>
  <si>
    <t>LABREK ABDERAHIM</t>
  </si>
  <si>
    <t>EL BAKALI MOHAMED</t>
  </si>
  <si>
    <t>MESTARI IDRISS</t>
  </si>
  <si>
    <t>BOUSTATI FOUZIA</t>
  </si>
  <si>
    <t>DREIDER TAYEB</t>
  </si>
  <si>
    <t>ABDEADIM ELABISI</t>
  </si>
  <si>
    <t>TEWIRI  SOUAD</t>
  </si>
  <si>
    <t>EL ARARI ZAKARIA</t>
  </si>
  <si>
    <t>BRITAL ABDESSAMAD</t>
  </si>
  <si>
    <t>EL BACHIRI AHMED</t>
  </si>
  <si>
    <t>SEBTI ABDELKADER</t>
  </si>
  <si>
    <t>DRISSI SOUHAILA</t>
  </si>
  <si>
    <t>LAGHRIB IBERAHIM</t>
  </si>
  <si>
    <t>EL HARBAOUI ABDELALI</t>
  </si>
  <si>
    <t>YACHOU ANOUAR</t>
  </si>
  <si>
    <t>EL BOUHSSINI MOHAMED</t>
  </si>
  <si>
    <t>EL HAFI AYA</t>
  </si>
  <si>
    <t>ELBRAG HAMID</t>
  </si>
  <si>
    <t>SABRI SALMA</t>
  </si>
  <si>
    <t>CHAOUI ESSAID</t>
  </si>
  <si>
    <t xml:space="preserve">ZARKI SALAH  </t>
  </si>
  <si>
    <t>BENELKAMEL BOUSSELHAM</t>
  </si>
  <si>
    <t>TEOUIRBI ASMAE</t>
  </si>
  <si>
    <t>CHATBI OUMAIMA</t>
  </si>
  <si>
    <t>ABDELLAY ABDELHAMID</t>
  </si>
  <si>
    <t>HMIMSA JAMILA</t>
  </si>
  <si>
    <t>el arbaoui mohameed</t>
  </si>
  <si>
    <t>BENHMAIDA ABDERRAHIM</t>
  </si>
  <si>
    <t>HAZIL IHSSANE</t>
  </si>
  <si>
    <t>HAZIL MOUHSSINE</t>
  </si>
  <si>
    <t>MENGADI  FOUZIA</t>
  </si>
  <si>
    <t>LAAROUCH BENDRISS</t>
  </si>
  <si>
    <t>FADELI AYA</t>
  </si>
  <si>
    <t>RAIHA  FATIMA ZOHRA</t>
  </si>
  <si>
    <t>OUAZZANE</t>
  </si>
  <si>
    <t>NV</t>
  </si>
  <si>
    <t>EL MAJDOUBI ABDELLAH</t>
  </si>
  <si>
    <t xml:space="preserve">TRS </t>
  </si>
  <si>
    <t>assila outman</t>
  </si>
  <si>
    <t>LAKRAH MOHAMED</t>
  </si>
  <si>
    <t>12;26</t>
  </si>
  <si>
    <t>BENDADOUH FATIMA</t>
  </si>
  <si>
    <t>ELFAKROUN LATIFA</t>
  </si>
  <si>
    <t>BERIRI NOUFISSA</t>
  </si>
  <si>
    <t>1403</t>
  </si>
  <si>
    <t>KARDOUDA RACHID</t>
  </si>
  <si>
    <t>ZAHIR ABDELMONIM</t>
  </si>
  <si>
    <t>CHARKI MOHAMED</t>
  </si>
  <si>
    <t>LAHAFIAN OMAR</t>
  </si>
  <si>
    <t>EL HIRRIT MOHAMED</t>
  </si>
  <si>
    <t>ALLAOUI ANAS</t>
  </si>
  <si>
    <t>BOUINBI HAMZA</t>
  </si>
  <si>
    <t>EL-FADILY OUSSAMA</t>
  </si>
  <si>
    <t>EL GTAIBI ADAM</t>
  </si>
  <si>
    <t>CHARKAOUI MOHAMED</t>
  </si>
  <si>
    <t>BAHIJA HIMOU</t>
  </si>
  <si>
    <t>10506</t>
  </si>
  <si>
    <t>MENIJLOU MOUNIM</t>
  </si>
  <si>
    <t>ZAHIR IBRAHIIM</t>
  </si>
  <si>
    <t>BOUTMIM MOHAMED</t>
  </si>
  <si>
    <t>10516</t>
  </si>
  <si>
    <t>RAOU MOHAMED</t>
  </si>
  <si>
    <t>10517</t>
  </si>
  <si>
    <t>KALALI NOURDINNE</t>
  </si>
  <si>
    <t>10518</t>
  </si>
  <si>
    <t>EL BAZZA MOUHSSINE</t>
  </si>
  <si>
    <t>10519</t>
  </si>
  <si>
    <t>EL AYDI RACHID</t>
  </si>
  <si>
    <t>10520</t>
  </si>
  <si>
    <t>EL KJIJI HICHAM</t>
  </si>
  <si>
    <t>10521</t>
  </si>
  <si>
    <t>ACHARRAT ZAIN EL AABIDINE</t>
  </si>
  <si>
    <t>EL BEGRI MOHAMED</t>
  </si>
  <si>
    <t>JGHEF MOHAMED ALI</t>
  </si>
  <si>
    <t>10524</t>
  </si>
  <si>
    <t>ZAABOUL MOHAMED</t>
  </si>
  <si>
    <t>10525</t>
  </si>
  <si>
    <t>JBILOU MBAREK</t>
  </si>
  <si>
    <t>EL ALLAM OUSSAMA</t>
  </si>
  <si>
    <t>DAHANE MAHDI</t>
  </si>
  <si>
    <t xml:space="preserve">EL HAIBOUR NASSIM </t>
  </si>
  <si>
    <t>HAIROUF RACHID</t>
  </si>
  <si>
    <t>EL MAJDOUBI WASIM</t>
  </si>
  <si>
    <t>EL JAADOUNI IMAD</t>
  </si>
  <si>
    <t xml:space="preserve">SAMDI ILIAS </t>
  </si>
  <si>
    <t>EL ABBAS  FATIMA-ZOHRA</t>
  </si>
  <si>
    <t>ELFAKROUN IHSSAN</t>
  </si>
  <si>
    <t>EL BEGRI  ABDERAHMAN</t>
  </si>
  <si>
    <t>BABE  SOULAYMANE</t>
  </si>
  <si>
    <t>EL AAFSI AYOUB</t>
  </si>
  <si>
    <t>HARDOULI MOHAMED</t>
  </si>
  <si>
    <t>BOUALAM NAIMA</t>
  </si>
  <si>
    <t>FARHANE EL BOUKEYARI</t>
  </si>
  <si>
    <t>BIN ACHER ZOUHIR</t>
  </si>
  <si>
    <t>KALILI MOHAMED</t>
  </si>
  <si>
    <t>HAZIL IMAD</t>
  </si>
  <si>
    <t>EL ATTAR OMAR</t>
  </si>
  <si>
    <t>EL HAIMER ANOUAR</t>
  </si>
  <si>
    <t>ADARE MOHAMED</t>
  </si>
  <si>
    <t>10548</t>
  </si>
  <si>
    <t>BENHLAL ABDERRAHMAN</t>
  </si>
  <si>
    <t>10549</t>
  </si>
  <si>
    <t>BELAIDI ISMAIL</t>
  </si>
  <si>
    <t>EL AYDI ABDELTIF</t>
  </si>
  <si>
    <t>BENLARBI EL MAHDI</t>
  </si>
  <si>
    <t>EL HAMRI MOHAMED</t>
  </si>
  <si>
    <t>BOUTMIM MONTASSIR</t>
  </si>
  <si>
    <t xml:space="preserve">KOULOU SOUHAIL </t>
  </si>
  <si>
    <t>BENTOUHAMI OUALID</t>
  </si>
  <si>
    <t xml:space="preserve">LARHRISSI BADR </t>
  </si>
  <si>
    <t>BELKHIRE YOUSSEF</t>
  </si>
  <si>
    <t>REZKI KAMAL</t>
  </si>
  <si>
    <t>MAHFOUD YOUSSEF</t>
  </si>
  <si>
    <t>BENMANA SOULAIMAN</t>
  </si>
  <si>
    <t>ZEROUAL RACHID</t>
  </si>
  <si>
    <t>RAGRAGUI BRAHIM</t>
  </si>
  <si>
    <t>EL ALLAM WIJDANE</t>
  </si>
  <si>
    <t>EL HAMAMI ZAKIA</t>
  </si>
  <si>
    <t>REGRAGUI GHITA</t>
  </si>
  <si>
    <t>FERJANI ZOUHRA</t>
  </si>
  <si>
    <t>JAAIDI  FATIMA -ZOHRA</t>
  </si>
  <si>
    <t>EL BOUAINI ABDENBI</t>
  </si>
  <si>
    <t>EL GHARBAOUI YOUNES</t>
  </si>
  <si>
    <t>EL JELLOULI ABDELOUAHED</t>
  </si>
  <si>
    <t>EL OUAZZANI ADAM</t>
  </si>
  <si>
    <t>10574</t>
  </si>
  <si>
    <t>BELHAID M'BAREK</t>
  </si>
  <si>
    <t>10575</t>
  </si>
  <si>
    <t>KALALI AHMED</t>
  </si>
  <si>
    <t>10576</t>
  </si>
  <si>
    <t>JBILOU EL MAHDI</t>
  </si>
  <si>
    <t>EL FATHI HALIMA</t>
  </si>
  <si>
    <t>KARMOUMA TAMOU</t>
  </si>
  <si>
    <t>EL FATHI KHAOULA</t>
  </si>
  <si>
    <t>KARMOUMA DOUNYA</t>
  </si>
  <si>
    <t>JELDA AYA</t>
  </si>
  <si>
    <t>SAMOUH ISMAIL</t>
  </si>
  <si>
    <t>KAZDAR  OTMAN</t>
  </si>
  <si>
    <t>SAKHI AIMAN</t>
  </si>
  <si>
    <t>DERISSI FADILE</t>
  </si>
  <si>
    <t>DERISSI MUSTAPHA</t>
  </si>
  <si>
    <t>BOUKROUCHE MOURAD</t>
  </si>
  <si>
    <t>REGRAGUI FATIMA</t>
  </si>
  <si>
    <t>10591</t>
  </si>
  <si>
    <t>ADHIBA MOHAMED</t>
  </si>
  <si>
    <t>10592</t>
  </si>
  <si>
    <t>BOUAD  MOHAMED</t>
  </si>
  <si>
    <t>10593</t>
  </si>
  <si>
    <t>EL HAITAM MOHAMED</t>
  </si>
  <si>
    <t>10594</t>
  </si>
  <si>
    <t>TRIBACH ABDESLAM</t>
  </si>
  <si>
    <t>10595</t>
  </si>
  <si>
    <t>BOUSNINA HAMZA</t>
  </si>
  <si>
    <t>KALILI ADAM</t>
  </si>
  <si>
    <t>10598</t>
  </si>
  <si>
    <t>ROUICHAK IMAD</t>
  </si>
  <si>
    <t>LAMKADEM MOHAMED</t>
  </si>
  <si>
    <t>DAHAK EL HOUSSAINE</t>
  </si>
  <si>
    <t>10601</t>
  </si>
  <si>
    <t>chabka ABDELLATIF</t>
  </si>
  <si>
    <t>mazian MOHAMED AMINE</t>
  </si>
  <si>
    <t>firsioui YASSINE</t>
  </si>
  <si>
    <t>EL HATMI HASSAN</t>
  </si>
  <si>
    <t>ELHMAR ZOUHAIR</t>
  </si>
  <si>
    <t xml:space="preserve">erzigui IHSAN </t>
  </si>
  <si>
    <t>10608</t>
  </si>
  <si>
    <t>KALALI ISMAIL</t>
  </si>
  <si>
    <t>10609</t>
  </si>
  <si>
    <t>bendaoud MOHAMED</t>
  </si>
  <si>
    <t>10610</t>
  </si>
  <si>
    <t>KALALI ABDERAZAK</t>
  </si>
  <si>
    <t>REGRAGI</t>
  </si>
  <si>
    <t>larache h</t>
  </si>
  <si>
    <t>RAGRAGUI</t>
  </si>
  <si>
    <t>nv</t>
  </si>
  <si>
    <t>sekitoui ahmed</t>
  </si>
  <si>
    <t>ayoub kaseri</t>
  </si>
  <si>
    <t>MOUTORE</t>
  </si>
  <si>
    <t>TRANS</t>
  </si>
  <si>
    <t>ZBIRI SFIA</t>
  </si>
  <si>
    <t>1474</t>
  </si>
  <si>
    <t>LAGRIOUI ABDESLAM</t>
  </si>
  <si>
    <t>BOUKAIBA HAJAR</t>
  </si>
  <si>
    <t>CHTIBA GHIZLANE</t>
  </si>
  <si>
    <t>ZBIRI GHITA</t>
  </si>
  <si>
    <t>CHENAK AHNIA</t>
  </si>
  <si>
    <t>HAIBA IBRAHIM</t>
  </si>
  <si>
    <t>JAADOUNI MOHAMED</t>
  </si>
  <si>
    <t>AJDIOUI HAMZA</t>
  </si>
  <si>
    <t>LOUIZA AYOUB</t>
  </si>
  <si>
    <t>EL MOKADDIM AYOUB</t>
  </si>
  <si>
    <t>EL KHOUDARI MOUHSSIN</t>
  </si>
  <si>
    <t>EL BATTINI FATIMA</t>
  </si>
  <si>
    <t>BELBOUHALI MOUSTAPHA</t>
  </si>
  <si>
    <t>JAYDAE EL ISSOUM</t>
  </si>
  <si>
    <t>EL JAZOULI AICHA</t>
  </si>
  <si>
    <t>HAMI RHIMOU</t>
  </si>
  <si>
    <t>JBILOU MARIEM</t>
  </si>
  <si>
    <t>KALALI RAHMA</t>
  </si>
  <si>
    <t>LAYDI FATNA</t>
  </si>
  <si>
    <t>EL MOUADANE ILHAM</t>
  </si>
  <si>
    <t>EL MADANY MOHAMED</t>
  </si>
  <si>
    <t>10437</t>
  </si>
  <si>
    <t>HARRAQI OMAR</t>
  </si>
  <si>
    <t>10438</t>
  </si>
  <si>
    <t>KALALI YOUNES</t>
  </si>
  <si>
    <t>10439</t>
  </si>
  <si>
    <t>KALLALI MOHAMED</t>
  </si>
  <si>
    <t>BENAYAD ASSIA</t>
  </si>
  <si>
    <t xml:space="preserve">KAIBOUR SOUHAIL </t>
  </si>
  <si>
    <t>EL KADI HASSAN</t>
  </si>
  <si>
    <t>JABROU MOHAMED</t>
  </si>
  <si>
    <t>PANA NASSIR</t>
  </si>
  <si>
    <t>EL BOUHALI HAMZA</t>
  </si>
  <si>
    <t>EL -ASSFAR ABDERRAHIM</t>
  </si>
  <si>
    <t>BOUTMIM BILAL</t>
  </si>
  <si>
    <t>BENRAHMA REDA</t>
  </si>
  <si>
    <t>MOKADEM ABDELLAH</t>
  </si>
  <si>
    <t>SANHAJI OUALID</t>
  </si>
  <si>
    <t>CHARKI SAFAA</t>
  </si>
  <si>
    <t>RAISS FATIMA ZAHRA</t>
  </si>
  <si>
    <t>ASSOU RHIMOU</t>
  </si>
  <si>
    <t>EL BAGRI TAMOU</t>
  </si>
  <si>
    <t>ZOUBIR KHADIJA</t>
  </si>
  <si>
    <t>AAIK FOUZIA</t>
  </si>
  <si>
    <t>MIGOU HAFIDA</t>
  </si>
  <si>
    <t>LAMSSIAH YOUSRA</t>
  </si>
  <si>
    <t>HARBAL RAHMA</t>
  </si>
  <si>
    <t>MARZOUGUI FARAH</t>
  </si>
  <si>
    <t>EL MOUADANE SALIHA</t>
  </si>
  <si>
    <t>EL BAGRI ZAHRA</t>
  </si>
  <si>
    <t>AIMAD ARIOUA</t>
  </si>
  <si>
    <t xml:space="preserve">EL BOUAINI RABIA </t>
  </si>
  <si>
    <t>ZANATI MOUNIR</t>
  </si>
  <si>
    <t>CHALBOUT YOUSRA</t>
  </si>
  <si>
    <t>ROKBI OUMAIMA</t>
  </si>
  <si>
    <t>HAMI HAFSA</t>
  </si>
  <si>
    <t>EL MARDI  MINA</t>
  </si>
  <si>
    <t>GRINA HANANE</t>
  </si>
  <si>
    <t>EL AHMAR SIHAM</t>
  </si>
  <si>
    <t>AEL BAKKALI AHMED TAOUFIK</t>
  </si>
  <si>
    <t>EL ABDI ABDERRAZAK</t>
  </si>
  <si>
    <t>ENNAJI RACHIDA</t>
  </si>
  <si>
    <t>ROKBI ZOHRA</t>
  </si>
  <si>
    <t>EL HAJJI NORA</t>
  </si>
  <si>
    <t>BENCHRYF FATIMA</t>
  </si>
  <si>
    <t>EDDARRYSY MOHAMED</t>
  </si>
  <si>
    <t>BOUTISANE HAJAR</t>
  </si>
  <si>
    <t>EL HAMAMI MOHAMED</t>
  </si>
  <si>
    <t>ZEKHNINI ABDEKARIM</t>
  </si>
  <si>
    <t>LAZRAK MOHAMED</t>
  </si>
  <si>
    <t>BOUMADIAN YAHYA</t>
  </si>
  <si>
    <t>EL HAOUARI ADIL</t>
  </si>
  <si>
    <t>KAZDARE IBRAHIM</t>
  </si>
  <si>
    <t>BOUASRIA LAARBI</t>
  </si>
  <si>
    <t>EL BAYTAR  MOHAMED</t>
  </si>
  <si>
    <t>EL JEBARY RACHID</t>
  </si>
  <si>
    <t>EL-BAKKARI SOUFIANE</t>
  </si>
  <si>
    <t>SALMOUN ABDERRAHIM</t>
  </si>
  <si>
    <t>TOUIL IMAD</t>
  </si>
  <si>
    <t>RIMI MOHAMED YASSINE</t>
  </si>
  <si>
    <t>10671</t>
  </si>
  <si>
    <t>SHAYA EL HABIB</t>
  </si>
  <si>
    <t>10672</t>
  </si>
  <si>
    <t>EL AZOUZI ABDESLAM</t>
  </si>
  <si>
    <t>10673</t>
  </si>
  <si>
    <t>JASIMI EL HOUSSAINE</t>
  </si>
  <si>
    <t>10670</t>
  </si>
  <si>
    <t>KALALI ABDELLILAH</t>
  </si>
  <si>
    <t>10674</t>
  </si>
  <si>
    <t>ROUICHI MOHAMED</t>
  </si>
  <si>
    <t>HAFOUDA ILIYASS</t>
  </si>
  <si>
    <t>BOUCHAREN caporal</t>
  </si>
  <si>
    <t>DECHIRA</t>
  </si>
  <si>
    <t>FARID  caporal</t>
  </si>
  <si>
    <t>KSR FEMME</t>
  </si>
  <si>
    <t>BGF TRAI</t>
  </si>
  <si>
    <t>BGF R</t>
  </si>
  <si>
    <t>SEKTEOUI</t>
  </si>
  <si>
    <t>NV caporal</t>
  </si>
  <si>
    <t>BGF 6</t>
  </si>
  <si>
    <t>SEKITOUI AHMED</t>
  </si>
  <si>
    <t>DECHIRA MOHAMED</t>
  </si>
  <si>
    <t>KASRI AYOUB</t>
  </si>
  <si>
    <t>ksar femme</t>
  </si>
  <si>
    <t>SEKITIOUI</t>
  </si>
  <si>
    <t>NETTYAGE AVOCA F2</t>
  </si>
  <si>
    <t>Déplacement Palox vide F1</t>
  </si>
  <si>
    <t>Réparation de la route</t>
  </si>
  <si>
    <t>GUERNOUN YASSINE</t>
  </si>
  <si>
    <t>EL KASMI ASMAE</t>
  </si>
  <si>
    <t>EL HOUARI SOUAD</t>
  </si>
  <si>
    <t>ELKHANFOUSS ZAKARIAE</t>
  </si>
  <si>
    <t>MOHAMED TAITI</t>
  </si>
  <si>
    <t>TOUILILI ABDELMOUNTASSIR</t>
  </si>
  <si>
    <t>CHAOUI MOUHSSINE</t>
  </si>
  <si>
    <t>RHOUNI AHMED</t>
  </si>
  <si>
    <t>SEKTAOUI YASSYNE</t>
  </si>
  <si>
    <t>EL MALHI BASMA</t>
  </si>
  <si>
    <t>BOUALI HAMZA</t>
  </si>
  <si>
    <t>TOUILLILI JAOUAD</t>
  </si>
  <si>
    <t>KRIKAB MOHAMED</t>
  </si>
  <si>
    <t>ENNAJI SOUKAINA</t>
  </si>
  <si>
    <t>ENNAJI MARIAM</t>
  </si>
  <si>
    <t>ROUICHAK ZAIM</t>
  </si>
  <si>
    <t>BENZAINA HASSAN</t>
  </si>
  <si>
    <t>CHABIKA BILAL</t>
  </si>
  <si>
    <t>MOUMAN ABDELGHANI</t>
  </si>
  <si>
    <t>ALILICH NOUREDDINE</t>
  </si>
  <si>
    <t>HAMOUD ZOUHIR</t>
  </si>
  <si>
    <t>MEROUN MOHAMED</t>
  </si>
  <si>
    <t>ETRICHLI ABDESLAM</t>
  </si>
  <si>
    <t xml:space="preserve">EL MECHACH AMRANI </t>
  </si>
  <si>
    <t>BELHAID OUSSAMA</t>
  </si>
  <si>
    <t>AL-AKRAFLI ABDELMAJID</t>
  </si>
  <si>
    <t>faraji NOUHAILA</t>
  </si>
  <si>
    <t>bioua OUMAIMA</t>
  </si>
  <si>
    <t>KADDARA ABDELAZIZ</t>
  </si>
  <si>
    <t>AITOURA AYADA</t>
  </si>
  <si>
    <t>ABDELLAY RADIA</t>
  </si>
  <si>
    <t>FARSAD WIJDANE</t>
  </si>
  <si>
    <t>EL HAIMAR SAIDA</t>
  </si>
  <si>
    <t>EL OUADI LAMYAE</t>
  </si>
  <si>
    <t>DOUMI BILAL</t>
  </si>
  <si>
    <t>DRISSI KAOUTAR</t>
  </si>
  <si>
    <t>chahdi bouslham</t>
  </si>
  <si>
    <t>EL AYDI AYOUB</t>
  </si>
  <si>
    <t>Chahdi</t>
  </si>
  <si>
    <t>dechira</t>
  </si>
  <si>
    <t>TARIAF ABDERRAZAK</t>
  </si>
  <si>
    <t>chabka MOHAMED</t>
  </si>
  <si>
    <t xml:space="preserve">60DH </t>
  </si>
  <si>
    <t>60dh</t>
  </si>
  <si>
    <t>CHAHIDI MUSTAPHA</t>
  </si>
  <si>
    <t>CHERKAOUI FATIMA</t>
  </si>
  <si>
    <t>EL AZOUAN ABDELLAH</t>
  </si>
  <si>
    <t>ZARROUG  HAMZA</t>
  </si>
  <si>
    <t>EL SOUNI KHADIJA</t>
  </si>
  <si>
    <t>HASOUNI RAHMA</t>
  </si>
  <si>
    <t>EL AZAOUI ZOUHRA</t>
  </si>
  <si>
    <t>AZIZAI YOUSSEF</t>
  </si>
  <si>
    <t xml:space="preserve">TERHAN MOHAMED-REDA </t>
  </si>
  <si>
    <t>EL HATMI HAFID</t>
  </si>
  <si>
    <t>EL AGAL MAJDA</t>
  </si>
  <si>
    <t>OGBA JEMAA</t>
  </si>
  <si>
    <t>EL FADLA RHIMOU</t>
  </si>
  <si>
    <t>GRIGAR FATIMA ZOHRA</t>
  </si>
  <si>
    <t>EL GHARBAOUI MARIAM</t>
  </si>
  <si>
    <t>ABDELLAY FATIMA</t>
  </si>
  <si>
    <t>HAJJIOUI FATIMA-ZAHRA</t>
  </si>
  <si>
    <t>ANNAICH MOHAMMED</t>
  </si>
  <si>
    <t>EL MECHACI HOUSSAM</t>
  </si>
  <si>
    <t>ABBEOU YOUSSEF</t>
  </si>
  <si>
    <t>MAZIAN  MOHAMED</t>
  </si>
  <si>
    <t>STAILI ABDELFATAH</t>
  </si>
  <si>
    <t>HABIKOU DOUNIA</t>
  </si>
  <si>
    <t>ZOUAI RADIA</t>
  </si>
  <si>
    <t>AZGHIBA BADIA</t>
  </si>
  <si>
    <t>ELMADLOUM SOUFAIN</t>
  </si>
  <si>
    <t>BOUBNINA OUSSAMA</t>
  </si>
  <si>
    <t>EL OUINA AYOUB</t>
  </si>
  <si>
    <t>OUIAME DRIOUCH</t>
  </si>
  <si>
    <t xml:space="preserve">FEDDOULI SAAD </t>
  </si>
  <si>
    <t>BELMADEM HICHAM</t>
  </si>
  <si>
    <t>LAMARTI SOUANI MOURAD</t>
  </si>
  <si>
    <t>BELAIDI EL MAILOUDI</t>
  </si>
  <si>
    <t>KALALI MUSTAPHA</t>
  </si>
  <si>
    <t>EL OUINA OMAR</t>
  </si>
  <si>
    <t>EZAYRI MOHAMED REDA</t>
  </si>
  <si>
    <t>MOMEN FATIMA ZAHRA</t>
  </si>
  <si>
    <t>MOMEN HAJAR</t>
  </si>
  <si>
    <t>ESSOUNI KHADIJA</t>
  </si>
  <si>
    <t>EL KHANFOSS ASMAE</t>
  </si>
  <si>
    <t>LAADEL LAYLA</t>
  </si>
  <si>
    <t>LEGHEOUAZI</t>
  </si>
  <si>
    <t xml:space="preserve">VIDE </t>
  </si>
  <si>
    <t>NOURDIN EL KASRI</t>
  </si>
  <si>
    <t>LEBINA ABD SELAM</t>
  </si>
  <si>
    <t>NETTYAGE F5</t>
  </si>
  <si>
    <t>Traitement Avocat</t>
  </si>
  <si>
    <t>TRS OUVRIRE F6</t>
  </si>
  <si>
    <t>TRS D'emballage F1</t>
  </si>
  <si>
    <t>Réparation de la route F1</t>
  </si>
  <si>
    <t>TRS D'emballage F5</t>
  </si>
  <si>
    <t>HAMANOU HAMZA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</si>
</sst>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\ &quot;DH&quot;"/>
    <numFmt numFmtId="165" formatCode="0.00\ &quot;DH&quot;"/>
    <numFmt numFmtId="166" formatCode="[$-F400]h:mm:ss\ AM/PM"/>
    <numFmt numFmtId="167" formatCode="#,##0.00&quot;DH&quot;"/>
    <numFmt numFmtId="168" formatCode="#,##0.0"/>
  </numFmts>
  <fonts count="51" x14ac:knownFonts="1">
    <font>
      <sz val="10"/>
      <color rgb="FF000000"/>
      <name val="Arial"/>
      <scheme val="minor"/>
    </font>
    <font>
      <b/>
      <sz val="12"/>
      <color theme="1"/>
      <name val="Calibri"/>
      <family val="2"/>
    </font>
    <font>
      <sz val="10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Calibri"/>
      <family val="2"/>
    </font>
    <font>
      <b/>
      <sz val="20"/>
      <color theme="1"/>
      <name val="Arial"/>
      <family val="2"/>
    </font>
    <font>
      <b/>
      <sz val="24"/>
      <color theme="1"/>
      <name val="Arial"/>
      <family val="2"/>
    </font>
    <font>
      <b/>
      <sz val="36"/>
      <color theme="1"/>
      <name val="Arial"/>
      <family val="2"/>
    </font>
    <font>
      <b/>
      <sz val="15"/>
      <color theme="1"/>
      <name val="Arial"/>
      <family val="2"/>
    </font>
    <font>
      <b/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color rgb="FFFF0000"/>
      <name val="Arial"/>
      <family val="2"/>
    </font>
    <font>
      <sz val="18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Calibri"/>
      <family val="2"/>
    </font>
    <font>
      <b/>
      <sz val="10"/>
      <name val="Arial"/>
      <family val="2"/>
    </font>
    <font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theme="1"/>
      <name val="Arial"/>
      <family val="2"/>
    </font>
    <font>
      <b/>
      <u/>
      <sz val="12"/>
      <color rgb="FFFF0000"/>
      <name val="Calibri"/>
      <family val="2"/>
    </font>
    <font>
      <b/>
      <u/>
      <sz val="10"/>
      <color theme="1"/>
      <name val="Arial"/>
      <family val="2"/>
    </font>
    <font>
      <u/>
      <sz val="10"/>
      <color rgb="FF000000"/>
      <name val="Arial"/>
      <family val="2"/>
      <scheme val="minor"/>
    </font>
    <font>
      <u/>
      <sz val="10"/>
      <color theme="1"/>
      <name val="Arial"/>
      <family val="2"/>
    </font>
    <font>
      <b/>
      <u/>
      <sz val="11"/>
      <color rgb="FF000000"/>
      <name val="Calibri"/>
      <family val="2"/>
    </font>
    <font>
      <sz val="24"/>
      <color theme="1"/>
      <name val="Algerian"/>
      <family val="5"/>
    </font>
    <font>
      <sz val="10"/>
      <color rgb="FF000000"/>
      <name val="Algerian"/>
      <family val="5"/>
    </font>
    <font>
      <b/>
      <sz val="10"/>
      <color rgb="FF000000"/>
      <name val="Arial"/>
      <family val="2"/>
      <scheme val="minor"/>
    </font>
    <font>
      <b/>
      <sz val="16"/>
      <color theme="1"/>
      <name val="Arial"/>
      <family val="2"/>
    </font>
    <font>
      <sz val="16"/>
      <name val="Arial"/>
      <family val="2"/>
    </font>
    <font>
      <b/>
      <sz val="12"/>
      <color theme="1"/>
      <name val="Algerian"/>
      <family val="5"/>
    </font>
    <font>
      <sz val="10"/>
      <name val="Algerian"/>
      <family val="5"/>
    </font>
    <font>
      <b/>
      <sz val="14"/>
      <color theme="1"/>
      <name val="Algerian"/>
      <family val="5"/>
    </font>
    <font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  <font>
      <sz val="14"/>
      <color rgb="FFFF0000"/>
      <name val="Arial"/>
      <family val="2"/>
      <scheme val="minor"/>
    </font>
    <font>
      <sz val="14"/>
      <color theme="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20"/>
      <color rgb="FF000000"/>
      <name val="Algerian"/>
      <family val="5"/>
    </font>
    <font>
      <b/>
      <u/>
      <sz val="12"/>
      <color rgb="FF000000"/>
      <name val="Arial"/>
      <family val="2"/>
      <scheme val="minor"/>
    </font>
    <font>
      <b/>
      <sz val="10"/>
      <color theme="1"/>
      <name val="Arial"/>
      <family val="2"/>
      <scheme val="major"/>
    </font>
    <font>
      <b/>
      <sz val="10"/>
      <name val="Arial"/>
      <family val="2"/>
      <scheme val="major"/>
    </font>
    <font>
      <b/>
      <sz val="10"/>
      <color rgb="FFFF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4"/>
      <color rgb="FFFF0000"/>
      <name val="Arial"/>
      <family val="2"/>
      <scheme val="minor"/>
    </font>
    <font>
      <b/>
      <u/>
      <sz val="14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0"/>
      <color rgb="FFFF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EAD3"/>
      </patternFill>
    </fill>
    <fill>
      <patternFill patternType="solid">
        <fgColor theme="7" tint="0.79998168889431442"/>
        <bgColor rgb="FFD9EAD3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BFBFBF"/>
      </patternFill>
    </fill>
    <fill>
      <patternFill patternType="solid">
        <fgColor theme="8" tint="0.59999389629810485"/>
        <bgColor rgb="FFCCCCCC"/>
      </patternFill>
    </fill>
    <fill>
      <patternFill patternType="solid">
        <fgColor theme="7" tint="0.79998168889431442"/>
        <bgColor rgb="FFEFEFEF"/>
      </patternFill>
    </fill>
    <fill>
      <patternFill patternType="solid">
        <fgColor theme="6" tint="0.79998168889431442"/>
        <bgColor rgb="FFCCCCCC"/>
      </patternFill>
    </fill>
    <fill>
      <patternFill patternType="solid">
        <fgColor rgb="FFFFFF00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70">
    <xf numFmtId="0" fontId="0" fillId="0" borderId="0" xfId="0" applyFont="1" applyAlignment="1"/>
    <xf numFmtId="0" fontId="32" fillId="13" borderId="1" xfId="0" applyFont="1" applyFill="1" applyBorder="1" applyAlignment="1">
      <alignment horizontal="center" vertical="center" wrapText="1"/>
    </xf>
    <xf numFmtId="164" fontId="3" fillId="2" borderId="0" xfId="0" applyNumberFormat="1" applyFont="1" applyFill="1"/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/>
    <xf numFmtId="49" fontId="4" fillId="0" borderId="0" xfId="0" applyNumberFormat="1" applyFont="1"/>
    <xf numFmtId="2" fontId="4" fillId="0" borderId="0" xfId="0" applyNumberFormat="1" applyFont="1"/>
    <xf numFmtId="164" fontId="4" fillId="0" borderId="0" xfId="0" applyNumberFormat="1" applyFont="1"/>
    <xf numFmtId="164" fontId="13" fillId="0" borderId="0" xfId="0" applyNumberFormat="1" applyFont="1"/>
    <xf numFmtId="0" fontId="11" fillId="0" borderId="0" xfId="0" applyFont="1"/>
    <xf numFmtId="0" fontId="0" fillId="0" borderId="6" xfId="0" applyFont="1" applyBorder="1" applyAlignment="1"/>
    <xf numFmtId="0" fontId="20" fillId="0" borderId="6" xfId="0" applyFont="1" applyBorder="1" applyAlignment="1">
      <alignment horizontal="center"/>
    </xf>
    <xf numFmtId="0" fontId="22" fillId="2" borderId="0" xfId="0" applyFont="1" applyFill="1" applyAlignment="1">
      <alignment horizontal="center" vertical="center" wrapText="1"/>
    </xf>
    <xf numFmtId="0" fontId="6" fillId="2" borderId="6" xfId="0" applyFont="1" applyFill="1" applyBorder="1" applyAlignment="1">
      <alignment horizontal="center" textRotation="90" wrapText="1"/>
    </xf>
    <xf numFmtId="0" fontId="8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4" fontId="7" fillId="2" borderId="6" xfId="0" applyNumberFormat="1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textRotation="90"/>
    </xf>
    <xf numFmtId="0" fontId="9" fillId="4" borderId="6" xfId="0" applyFont="1" applyFill="1" applyBorder="1" applyAlignment="1">
      <alignment horizontal="center" vertical="center" textRotation="90"/>
    </xf>
    <xf numFmtId="0" fontId="9" fillId="4" borderId="6" xfId="0" applyFont="1" applyFill="1" applyBorder="1" applyAlignment="1">
      <alignment horizontal="center" textRotation="90" wrapText="1"/>
    </xf>
    <xf numFmtId="0" fontId="21" fillId="4" borderId="6" xfId="0" applyFont="1" applyFill="1" applyBorder="1" applyAlignment="1">
      <alignment horizontal="center" vertical="center" textRotation="90"/>
    </xf>
    <xf numFmtId="0" fontId="0" fillId="0" borderId="0" xfId="0" applyFont="1" applyAlignment="1"/>
    <xf numFmtId="49" fontId="25" fillId="0" borderId="0" xfId="0" applyNumberFormat="1" applyFont="1"/>
    <xf numFmtId="2" fontId="23" fillId="0" borderId="0" xfId="0" applyNumberFormat="1" applyFont="1"/>
    <xf numFmtId="164" fontId="13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49" fontId="12" fillId="5" borderId="16" xfId="0" applyNumberFormat="1" applyFont="1" applyFill="1" applyBorder="1" applyAlignment="1">
      <alignment horizontal="center" vertical="center"/>
    </xf>
    <xf numFmtId="0" fontId="12" fillId="5" borderId="18" xfId="0" applyFont="1" applyFill="1" applyBorder="1" applyAlignment="1">
      <alignment horizontal="center" vertical="center"/>
    </xf>
    <xf numFmtId="3" fontId="17" fillId="0" borderId="13" xfId="0" applyNumberFormat="1" applyFont="1" applyBorder="1" applyAlignment="1">
      <alignment horizontal="center" vertical="center"/>
    </xf>
    <xf numFmtId="14" fontId="11" fillId="0" borderId="0" xfId="0" applyNumberFormat="1" applyFont="1"/>
    <xf numFmtId="0" fontId="17" fillId="0" borderId="10" xfId="0" applyFont="1" applyBorder="1" applyAlignment="1">
      <alignment horizontal="center" vertical="center" wrapText="1"/>
    </xf>
    <xf numFmtId="164" fontId="9" fillId="3" borderId="6" xfId="0" applyNumberFormat="1" applyFont="1" applyFill="1" applyBorder="1" applyAlignment="1">
      <alignment horizontal="center" vertical="center" textRotation="90"/>
    </xf>
    <xf numFmtId="166" fontId="17" fillId="0" borderId="11" xfId="0" applyNumberFormat="1" applyFont="1" applyBorder="1" applyAlignment="1">
      <alignment horizontal="center" vertical="center"/>
    </xf>
    <xf numFmtId="164" fontId="12" fillId="5" borderId="17" xfId="0" applyNumberFormat="1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/>
    </xf>
    <xf numFmtId="164" fontId="12" fillId="5" borderId="8" xfId="0" applyNumberFormat="1" applyFont="1" applyFill="1" applyBorder="1" applyAlignment="1">
      <alignment horizontal="center" vertical="center" wrapText="1"/>
    </xf>
    <xf numFmtId="0" fontId="3" fillId="9" borderId="19" xfId="0" applyFont="1" applyFill="1" applyBorder="1" applyAlignment="1"/>
    <xf numFmtId="0" fontId="3" fillId="6" borderId="19" xfId="0" applyFont="1" applyFill="1" applyBorder="1" applyAlignment="1"/>
    <xf numFmtId="0" fontId="3" fillId="6" borderId="22" xfId="0" applyFont="1" applyFill="1" applyBorder="1" applyAlignment="1"/>
    <xf numFmtId="164" fontId="3" fillId="8" borderId="6" xfId="0" applyNumberFormat="1" applyFont="1" applyFill="1" applyBorder="1" applyAlignment="1">
      <alignment horizontal="center"/>
    </xf>
    <xf numFmtId="164" fontId="3" fillId="7" borderId="6" xfId="0" applyNumberFormat="1" applyFont="1" applyFill="1" applyBorder="1" applyAlignment="1">
      <alignment horizontal="center"/>
    </xf>
    <xf numFmtId="164" fontId="3" fillId="7" borderId="23" xfId="0" applyNumberFormat="1" applyFont="1" applyFill="1" applyBorder="1" applyAlignment="1">
      <alignment horizontal="center"/>
    </xf>
    <xf numFmtId="164" fontId="3" fillId="8" borderId="6" xfId="0" applyNumberFormat="1" applyFont="1" applyFill="1" applyBorder="1"/>
    <xf numFmtId="164" fontId="3" fillId="10" borderId="6" xfId="0" applyNumberFormat="1" applyFont="1" applyFill="1" applyBorder="1"/>
    <xf numFmtId="164" fontId="3" fillId="10" borderId="23" xfId="0" applyNumberFormat="1" applyFont="1" applyFill="1" applyBorder="1"/>
    <xf numFmtId="0" fontId="32" fillId="12" borderId="20" xfId="0" applyFont="1" applyFill="1" applyBorder="1" applyAlignment="1">
      <alignment horizontal="center" vertical="center" wrapText="1"/>
    </xf>
    <xf numFmtId="0" fontId="32" fillId="12" borderId="7" xfId="0" applyFont="1" applyFill="1" applyBorder="1" applyAlignment="1">
      <alignment horizontal="center" vertical="center" wrapText="1"/>
    </xf>
    <xf numFmtId="0" fontId="32" fillId="12" borderId="21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164" fontId="5" fillId="14" borderId="3" xfId="0" applyNumberFormat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164" fontId="5" fillId="15" borderId="3" xfId="0" applyNumberFormat="1" applyFont="1" applyFill="1" applyBorder="1" applyAlignment="1">
      <alignment horizontal="center" vertical="center" wrapText="1"/>
    </xf>
    <xf numFmtId="0" fontId="32" fillId="16" borderId="3" xfId="0" applyFont="1" applyFill="1" applyBorder="1" applyAlignment="1">
      <alignment horizontal="center" vertical="center" wrapText="1"/>
    </xf>
    <xf numFmtId="4" fontId="34" fillId="16" borderId="3" xfId="0" applyNumberFormat="1" applyFont="1" applyFill="1" applyBorder="1" applyAlignment="1">
      <alignment horizontal="center" vertical="center" wrapText="1"/>
    </xf>
    <xf numFmtId="0" fontId="30" fillId="11" borderId="24" xfId="0" applyFont="1" applyFill="1" applyBorder="1" applyAlignment="1">
      <alignment horizontal="center" vertical="center" readingOrder="1"/>
    </xf>
    <xf numFmtId="164" fontId="30" fillId="11" borderId="24" xfId="0" applyNumberFormat="1" applyFont="1" applyFill="1" applyBorder="1" applyAlignment="1">
      <alignment horizontal="center" vertical="center" readingOrder="1"/>
    </xf>
    <xf numFmtId="164" fontId="30" fillId="11" borderId="26" xfId="0" applyNumberFormat="1" applyFont="1" applyFill="1" applyBorder="1" applyAlignment="1">
      <alignment horizontal="center" vertical="center" readingOrder="1"/>
    </xf>
    <xf numFmtId="164" fontId="30" fillId="11" borderId="27" xfId="0" applyNumberFormat="1" applyFont="1" applyFill="1" applyBorder="1" applyAlignment="1">
      <alignment horizontal="center" vertical="center" readingOrder="1"/>
    </xf>
    <xf numFmtId="14" fontId="3" fillId="6" borderId="28" xfId="0" applyNumberFormat="1" applyFont="1" applyFill="1" applyBorder="1" applyAlignment="1">
      <alignment horizontal="left"/>
    </xf>
    <xf numFmtId="164" fontId="3" fillId="7" borderId="29" xfId="0" applyNumberFormat="1" applyFont="1" applyFill="1" applyBorder="1" applyAlignment="1">
      <alignment horizontal="center"/>
    </xf>
    <xf numFmtId="164" fontId="3" fillId="7" borderId="29" xfId="0" applyNumberFormat="1" applyFont="1" applyFill="1" applyBorder="1"/>
    <xf numFmtId="164" fontId="30" fillId="11" borderId="25" xfId="0" applyNumberFormat="1" applyFont="1" applyFill="1" applyBorder="1" applyAlignment="1">
      <alignment horizontal="center" vertical="center" readingOrder="1"/>
    </xf>
    <xf numFmtId="0" fontId="0" fillId="7" borderId="6" xfId="0" applyFont="1" applyFill="1" applyBorder="1" applyAlignment="1"/>
    <xf numFmtId="0" fontId="20" fillId="7" borderId="6" xfId="0" applyFont="1" applyFill="1" applyBorder="1" applyAlignment="1">
      <alignment horizontal="center"/>
    </xf>
    <xf numFmtId="0" fontId="0" fillId="0" borderId="6" xfId="0" applyFont="1" applyBorder="1" applyAlignment="1"/>
    <xf numFmtId="4" fontId="20" fillId="0" borderId="6" xfId="0" applyNumberFormat="1" applyFont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11" fillId="17" borderId="6" xfId="0" applyFont="1" applyFill="1" applyBorder="1" applyAlignment="1">
      <alignment horizontal="center"/>
    </xf>
    <xf numFmtId="0" fontId="0" fillId="0" borderId="6" xfId="0" applyFont="1" applyBorder="1" applyAlignment="1"/>
    <xf numFmtId="0" fontId="0" fillId="0" borderId="6" xfId="0" applyFont="1" applyBorder="1" applyAlignment="1"/>
    <xf numFmtId="0" fontId="36" fillId="0" borderId="6" xfId="0" applyFont="1" applyBorder="1" applyAlignment="1"/>
    <xf numFmtId="0" fontId="19" fillId="0" borderId="6" xfId="0" applyFont="1" applyBorder="1" applyAlignment="1"/>
    <xf numFmtId="0" fontId="35" fillId="0" borderId="6" xfId="0" applyFont="1" applyBorder="1" applyAlignment="1"/>
    <xf numFmtId="0" fontId="37" fillId="0" borderId="6" xfId="0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3" fillId="0" borderId="6" xfId="0" applyFont="1" applyBorder="1" applyAlignment="1"/>
    <xf numFmtId="164" fontId="7" fillId="2" borderId="6" xfId="0" applyNumberFormat="1" applyFont="1" applyFill="1" applyBorder="1" applyAlignment="1">
      <alignment horizontal="center" vertical="center" wrapText="1"/>
    </xf>
    <xf numFmtId="0" fontId="0" fillId="0" borderId="6" xfId="0" applyFont="1" applyBorder="1" applyAlignment="1"/>
    <xf numFmtId="0" fontId="0" fillId="0" borderId="6" xfId="0" applyFont="1" applyBorder="1" applyAlignment="1"/>
    <xf numFmtId="0" fontId="0" fillId="0" borderId="6" xfId="0" applyFont="1" applyBorder="1" applyAlignment="1"/>
    <xf numFmtId="0" fontId="10" fillId="2" borderId="8" xfId="0" applyFont="1" applyFill="1" applyBorder="1" applyAlignment="1">
      <alignment horizontal="center" vertical="center"/>
    </xf>
    <xf numFmtId="4" fontId="17" fillId="0" borderId="12" xfId="0" applyNumberFormat="1" applyFont="1" applyBorder="1" applyAlignment="1">
      <alignment horizontal="center" vertical="center"/>
    </xf>
    <xf numFmtId="14" fontId="29" fillId="17" borderId="6" xfId="0" applyNumberFormat="1" applyFont="1" applyFill="1" applyBorder="1" applyAlignment="1"/>
    <xf numFmtId="0" fontId="29" fillId="17" borderId="6" xfId="0" applyFont="1" applyFill="1" applyBorder="1" applyAlignment="1">
      <alignment horizontal="left"/>
    </xf>
    <xf numFmtId="49" fontId="29" fillId="17" borderId="6" xfId="0" applyNumberFormat="1" applyFont="1" applyFill="1" applyBorder="1" applyAlignment="1">
      <alignment horizontal="center"/>
    </xf>
    <xf numFmtId="0" fontId="29" fillId="17" borderId="6" xfId="0" applyFont="1" applyFill="1" applyBorder="1" applyAlignment="1">
      <alignment horizontal="center"/>
    </xf>
    <xf numFmtId="14" fontId="29" fillId="17" borderId="6" xfId="0" applyNumberFormat="1" applyFont="1" applyFill="1" applyBorder="1" applyAlignment="1">
      <alignment horizontal="center"/>
    </xf>
    <xf numFmtId="164" fontId="29" fillId="17" borderId="6" xfId="0" applyNumberFormat="1" applyFont="1" applyFill="1" applyBorder="1" applyAlignment="1">
      <alignment horizontal="center"/>
    </xf>
    <xf numFmtId="166" fontId="29" fillId="17" borderId="6" xfId="0" applyNumberFormat="1" applyFont="1" applyFill="1" applyBorder="1" applyAlignment="1"/>
    <xf numFmtId="4" fontId="29" fillId="17" borderId="6" xfId="0" applyNumberFormat="1" applyFont="1" applyFill="1" applyBorder="1" applyAlignment="1">
      <alignment horizontal="center"/>
    </xf>
    <xf numFmtId="2" fontId="29" fillId="17" borderId="6" xfId="0" applyNumberFormat="1" applyFont="1" applyFill="1" applyBorder="1" applyAlignment="1">
      <alignment horizontal="center"/>
    </xf>
    <xf numFmtId="168" fontId="29" fillId="17" borderId="6" xfId="0" applyNumberFormat="1" applyFont="1" applyFill="1" applyBorder="1" applyAlignment="1">
      <alignment horizontal="center"/>
    </xf>
    <xf numFmtId="14" fontId="16" fillId="18" borderId="6" xfId="0" applyNumberFormat="1" applyFont="1" applyFill="1" applyBorder="1" applyAlignment="1"/>
    <xf numFmtId="49" fontId="16" fillId="18" borderId="6" xfId="0" applyNumberFormat="1" applyFont="1" applyFill="1" applyBorder="1" applyAlignment="1">
      <alignment horizontal="center"/>
    </xf>
    <xf numFmtId="4" fontId="16" fillId="18" borderId="6" xfId="0" applyNumberFormat="1" applyFont="1" applyFill="1" applyBorder="1" applyAlignment="1">
      <alignment horizontal="center"/>
    </xf>
    <xf numFmtId="14" fontId="16" fillId="18" borderId="6" xfId="0" applyNumberFormat="1" applyFont="1" applyFill="1" applyBorder="1" applyAlignment="1">
      <alignment horizontal="center"/>
    </xf>
    <xf numFmtId="164" fontId="16" fillId="18" borderId="6" xfId="0" applyNumberFormat="1" applyFont="1" applyFill="1" applyBorder="1" applyAlignment="1">
      <alignment horizontal="center"/>
    </xf>
    <xf numFmtId="19" fontId="16" fillId="18" borderId="6" xfId="0" applyNumberFormat="1" applyFont="1" applyFill="1" applyBorder="1" applyAlignment="1"/>
    <xf numFmtId="0" fontId="11" fillId="18" borderId="6" xfId="0" applyFont="1" applyFill="1" applyBorder="1" applyAlignment="1">
      <alignment horizontal="center"/>
    </xf>
    <xf numFmtId="0" fontId="16" fillId="18" borderId="6" xfId="0" applyFont="1" applyFill="1" applyBorder="1" applyAlignment="1">
      <alignment horizontal="center"/>
    </xf>
    <xf numFmtId="2" fontId="16" fillId="18" borderId="6" xfId="0" applyNumberFormat="1" applyFont="1" applyFill="1" applyBorder="1" applyAlignment="1">
      <alignment horizontal="center"/>
    </xf>
    <xf numFmtId="0" fontId="16" fillId="18" borderId="6" xfId="0" applyFont="1" applyFill="1" applyBorder="1" applyAlignment="1"/>
    <xf numFmtId="166" fontId="16" fillId="18" borderId="6" xfId="0" applyNumberFormat="1" applyFont="1" applyFill="1" applyBorder="1" applyAlignment="1"/>
    <xf numFmtId="165" fontId="16" fillId="18" borderId="6" xfId="0" applyNumberFormat="1" applyFont="1" applyFill="1" applyBorder="1" applyAlignment="1">
      <alignment horizontal="center"/>
    </xf>
    <xf numFmtId="21" fontId="16" fillId="18" borderId="6" xfId="0" applyNumberFormat="1" applyFont="1" applyFill="1" applyBorder="1" applyAlignment="1"/>
    <xf numFmtId="1" fontId="16" fillId="18" borderId="6" xfId="0" applyNumberFormat="1" applyFont="1" applyFill="1" applyBorder="1" applyAlignment="1">
      <alignment horizontal="center"/>
    </xf>
    <xf numFmtId="168" fontId="16" fillId="18" borderId="6" xfId="0" applyNumberFormat="1" applyFont="1" applyFill="1" applyBorder="1" applyAlignment="1">
      <alignment horizontal="center"/>
    </xf>
    <xf numFmtId="164" fontId="3" fillId="7" borderId="6" xfId="0" applyNumberFormat="1" applyFont="1" applyFill="1" applyBorder="1"/>
    <xf numFmtId="167" fontId="3" fillId="9" borderId="33" xfId="0" applyNumberFormat="1" applyFont="1" applyFill="1" applyBorder="1"/>
    <xf numFmtId="14" fontId="3" fillId="6" borderId="19" xfId="0" applyNumberFormat="1" applyFont="1" applyFill="1" applyBorder="1" applyAlignment="1">
      <alignment horizontal="left"/>
    </xf>
    <xf numFmtId="167" fontId="3" fillId="9" borderId="34" xfId="0" applyNumberFormat="1" applyFont="1" applyFill="1" applyBorder="1"/>
    <xf numFmtId="164" fontId="3" fillId="8" borderId="23" xfId="0" applyNumberFormat="1" applyFont="1" applyFill="1" applyBorder="1"/>
    <xf numFmtId="167" fontId="3" fillId="9" borderId="35" xfId="0" applyNumberFormat="1" applyFont="1" applyFill="1" applyBorder="1"/>
    <xf numFmtId="3" fontId="29" fillId="17" borderId="6" xfId="0" applyNumberFormat="1" applyFont="1" applyFill="1" applyBorder="1" applyAlignment="1">
      <alignment horizontal="center"/>
    </xf>
    <xf numFmtId="0" fontId="28" fillId="5" borderId="14" xfId="0" applyFont="1" applyFill="1" applyBorder="1" applyAlignment="1"/>
    <xf numFmtId="0" fontId="28" fillId="5" borderId="37" xfId="0" applyFont="1" applyFill="1" applyBorder="1" applyAlignment="1"/>
    <xf numFmtId="0" fontId="28" fillId="5" borderId="38" xfId="0" applyFont="1" applyFill="1" applyBorder="1" applyAlignment="1"/>
    <xf numFmtId="0" fontId="29" fillId="17" borderId="28" xfId="0" applyFont="1" applyFill="1" applyBorder="1" applyAlignment="1">
      <alignment horizontal="left"/>
    </xf>
    <xf numFmtId="0" fontId="29" fillId="17" borderId="29" xfId="0" applyFont="1" applyFill="1" applyBorder="1" applyAlignment="1">
      <alignment horizontal="left"/>
    </xf>
    <xf numFmtId="0" fontId="29" fillId="17" borderId="29" xfId="0" applyFont="1" applyFill="1" applyBorder="1" applyAlignment="1">
      <alignment horizontal="center"/>
    </xf>
    <xf numFmtId="3" fontId="29" fillId="17" borderId="29" xfId="0" applyNumberFormat="1" applyFont="1" applyFill="1" applyBorder="1" applyAlignment="1">
      <alignment horizontal="center"/>
    </xf>
    <xf numFmtId="4" fontId="29" fillId="17" borderId="29" xfId="0" applyNumberFormat="1" applyFont="1" applyFill="1" applyBorder="1" applyAlignment="1">
      <alignment horizontal="center"/>
    </xf>
    <xf numFmtId="0" fontId="0" fillId="0" borderId="33" xfId="0" applyFont="1" applyBorder="1" applyAlignment="1"/>
    <xf numFmtId="0" fontId="29" fillId="17" borderId="19" xfId="0" applyFont="1" applyFill="1" applyBorder="1" applyAlignment="1">
      <alignment horizontal="left"/>
    </xf>
    <xf numFmtId="0" fontId="0" fillId="0" borderId="34" xfId="0" applyFont="1" applyBorder="1" applyAlignment="1"/>
    <xf numFmtId="0" fontId="29" fillId="17" borderId="22" xfId="0" applyFont="1" applyFill="1" applyBorder="1" applyAlignment="1">
      <alignment horizontal="left"/>
    </xf>
    <xf numFmtId="0" fontId="29" fillId="17" borderId="23" xfId="0" applyFont="1" applyFill="1" applyBorder="1" applyAlignment="1">
      <alignment horizontal="left"/>
    </xf>
    <xf numFmtId="0" fontId="29" fillId="17" borderId="23" xfId="0" applyFont="1" applyFill="1" applyBorder="1" applyAlignment="1">
      <alignment horizontal="center"/>
    </xf>
    <xf numFmtId="164" fontId="29" fillId="17" borderId="23" xfId="0" applyNumberFormat="1" applyFont="1" applyFill="1" applyBorder="1" applyAlignment="1">
      <alignment horizontal="center"/>
    </xf>
    <xf numFmtId="0" fontId="0" fillId="0" borderId="35" xfId="0" applyFont="1" applyBorder="1" applyAlignment="1"/>
    <xf numFmtId="2" fontId="29" fillId="17" borderId="23" xfId="0" applyNumberFormat="1" applyFont="1" applyFill="1" applyBorder="1" applyAlignment="1">
      <alignment horizontal="center"/>
    </xf>
    <xf numFmtId="0" fontId="12" fillId="17" borderId="6" xfId="0" applyFont="1" applyFill="1" applyBorder="1" applyAlignment="1">
      <alignment horizontal="center" vertical="center"/>
    </xf>
    <xf numFmtId="1" fontId="29" fillId="17" borderId="6" xfId="0" applyNumberFormat="1" applyFont="1" applyFill="1" applyBorder="1" applyAlignment="1">
      <alignment horizontal="center"/>
    </xf>
    <xf numFmtId="4" fontId="29" fillId="0" borderId="6" xfId="0" applyNumberFormat="1" applyFont="1" applyBorder="1" applyAlignment="1">
      <alignment horizontal="center"/>
    </xf>
    <xf numFmtId="0" fontId="45" fillId="17" borderId="6" xfId="0" applyFont="1" applyFill="1" applyBorder="1" applyAlignment="1">
      <alignment horizontal="center"/>
    </xf>
    <xf numFmtId="1" fontId="45" fillId="17" borderId="6" xfId="0" applyNumberFormat="1" applyFont="1" applyFill="1" applyBorder="1" applyAlignment="1">
      <alignment horizontal="center"/>
    </xf>
    <xf numFmtId="4" fontId="45" fillId="17" borderId="6" xfId="0" applyNumberFormat="1" applyFont="1" applyFill="1" applyBorder="1" applyAlignment="1">
      <alignment horizontal="center"/>
    </xf>
    <xf numFmtId="0" fontId="13" fillId="17" borderId="6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164" fontId="7" fillId="2" borderId="6" xfId="0" applyNumberFormat="1" applyFont="1" applyFill="1" applyBorder="1" applyAlignment="1">
      <alignment horizontal="center" vertical="center" wrapText="1"/>
    </xf>
    <xf numFmtId="3" fontId="16" fillId="18" borderId="6" xfId="0" applyNumberFormat="1" applyFont="1" applyFill="1" applyBorder="1" applyAlignment="1">
      <alignment horizontal="center"/>
    </xf>
    <xf numFmtId="0" fontId="43" fillId="17" borderId="6" xfId="0" applyFont="1" applyFill="1" applyBorder="1" applyAlignment="1" applyProtection="1">
      <alignment horizontal="center"/>
      <protection locked="0"/>
    </xf>
    <xf numFmtId="0" fontId="43" fillId="17" borderId="6" xfId="1" applyFont="1" applyFill="1" applyBorder="1" applyAlignment="1">
      <alignment horizontal="center" vertical="center"/>
    </xf>
    <xf numFmtId="0" fontId="44" fillId="17" borderId="6" xfId="0" applyFont="1" applyFill="1" applyBorder="1" applyAlignment="1">
      <alignment horizontal="center"/>
    </xf>
    <xf numFmtId="0" fontId="43" fillId="0" borderId="6" xfId="1" applyFont="1" applyBorder="1" applyAlignment="1">
      <alignment horizontal="center" vertical="center"/>
    </xf>
    <xf numFmtId="0" fontId="43" fillId="17" borderId="6" xfId="0" applyFont="1" applyFill="1" applyBorder="1" applyAlignment="1">
      <alignment horizontal="center"/>
    </xf>
    <xf numFmtId="0" fontId="43" fillId="0" borderId="6" xfId="0" applyFont="1" applyBorder="1" applyAlignment="1">
      <alignment horizontal="center"/>
    </xf>
    <xf numFmtId="0" fontId="44" fillId="0" borderId="6" xfId="0" applyFont="1" applyBorder="1" applyAlignment="1">
      <alignment horizontal="center"/>
    </xf>
    <xf numFmtId="20" fontId="29" fillId="17" borderId="6" xfId="0" applyNumberFormat="1" applyFont="1" applyFill="1" applyBorder="1" applyAlignment="1"/>
    <xf numFmtId="0" fontId="0" fillId="0" borderId="6" xfId="0" applyFont="1" applyBorder="1" applyAlignment="1"/>
    <xf numFmtId="0" fontId="0" fillId="0" borderId="6" xfId="0" applyFont="1" applyBorder="1" applyAlignment="1"/>
    <xf numFmtId="0" fontId="29" fillId="17" borderId="40" xfId="0" applyFont="1" applyFill="1" applyBorder="1" applyAlignment="1">
      <alignment horizontal="center"/>
    </xf>
    <xf numFmtId="0" fontId="0" fillId="0" borderId="6" xfId="0" applyFont="1" applyBorder="1" applyAlignment="1"/>
    <xf numFmtId="4" fontId="16" fillId="17" borderId="6" xfId="0" applyNumberFormat="1" applyFont="1" applyFill="1" applyBorder="1" applyAlignment="1">
      <alignment horizontal="center"/>
    </xf>
    <xf numFmtId="0" fontId="46" fillId="0" borderId="6" xfId="0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0" fontId="47" fillId="0" borderId="6" xfId="0" applyFont="1" applyBorder="1" applyAlignment="1">
      <alignment horizontal="center"/>
    </xf>
    <xf numFmtId="0" fontId="48" fillId="0" borderId="6" xfId="0" applyFont="1" applyBorder="1" applyAlignment="1">
      <alignment horizontal="center"/>
    </xf>
    <xf numFmtId="1" fontId="29" fillId="0" borderId="6" xfId="0" applyNumberFormat="1" applyFont="1" applyBorder="1" applyAlignment="1">
      <alignment horizontal="center"/>
    </xf>
    <xf numFmtId="0" fontId="29" fillId="0" borderId="6" xfId="0" applyFont="1" applyBorder="1" applyAlignment="1">
      <alignment horizontal="center" vertical="center"/>
    </xf>
    <xf numFmtId="166" fontId="29" fillId="17" borderId="6" xfId="0" applyNumberFormat="1" applyFont="1" applyFill="1" applyBorder="1" applyAlignment="1">
      <alignment horizontal="center"/>
    </xf>
    <xf numFmtId="21" fontId="29" fillId="17" borderId="6" xfId="0" applyNumberFormat="1" applyFont="1" applyFill="1" applyBorder="1" applyAlignment="1">
      <alignment horizontal="center"/>
    </xf>
    <xf numFmtId="14" fontId="45" fillId="17" borderId="6" xfId="0" applyNumberFormat="1" applyFont="1" applyFill="1" applyBorder="1" applyAlignment="1">
      <alignment horizontal="center"/>
    </xf>
    <xf numFmtId="166" fontId="45" fillId="17" borderId="6" xfId="0" applyNumberFormat="1" applyFont="1" applyFill="1" applyBorder="1" applyAlignment="1">
      <alignment horizontal="center"/>
    </xf>
    <xf numFmtId="0" fontId="45" fillId="0" borderId="6" xfId="0" applyFont="1" applyBorder="1" applyAlignment="1">
      <alignment horizontal="center"/>
    </xf>
    <xf numFmtId="0" fontId="16" fillId="0" borderId="41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166" fontId="29" fillId="0" borderId="6" xfId="0" applyNumberFormat="1" applyFont="1" applyBorder="1" applyAlignment="1">
      <alignment horizontal="center"/>
    </xf>
    <xf numFmtId="0" fontId="16" fillId="0" borderId="19" xfId="1" applyFont="1" applyBorder="1" applyAlignment="1">
      <alignment horizontal="center" vertical="center"/>
    </xf>
    <xf numFmtId="0" fontId="16" fillId="17" borderId="19" xfId="0" applyFont="1" applyFill="1" applyBorder="1" applyAlignment="1">
      <alignment horizontal="center"/>
    </xf>
    <xf numFmtId="0" fontId="16" fillId="0" borderId="43" xfId="1" applyFont="1" applyBorder="1" applyAlignment="1">
      <alignment horizontal="center" vertical="center"/>
    </xf>
    <xf numFmtId="164" fontId="29" fillId="0" borderId="6" xfId="0" applyNumberFormat="1" applyFont="1" applyBorder="1" applyAlignment="1">
      <alignment horizontal="center"/>
    </xf>
    <xf numFmtId="2" fontId="29" fillId="0" borderId="6" xfId="0" applyNumberFormat="1" applyFont="1" applyBorder="1" applyAlignment="1">
      <alignment horizontal="center"/>
    </xf>
    <xf numFmtId="14" fontId="29" fillId="0" borderId="6" xfId="0" applyNumberFormat="1" applyFont="1" applyBorder="1" applyAlignment="1">
      <alignment horizontal="center"/>
    </xf>
    <xf numFmtId="166" fontId="29" fillId="0" borderId="6" xfId="0" applyNumberFormat="1" applyFont="1" applyBorder="1" applyAlignment="1">
      <alignment horizontal="center"/>
    </xf>
    <xf numFmtId="166" fontId="29" fillId="0" borderId="6" xfId="0" applyNumberFormat="1" applyFont="1" applyBorder="1" applyAlignment="1">
      <alignment horizontal="center"/>
    </xf>
    <xf numFmtId="0" fontId="29" fillId="0" borderId="40" xfId="0" applyFont="1" applyBorder="1" applyAlignment="1">
      <alignment horizontal="center"/>
    </xf>
    <xf numFmtId="4" fontId="45" fillId="0" borderId="6" xfId="0" applyNumberFormat="1" applyFont="1" applyBorder="1" applyAlignment="1">
      <alignment horizontal="center"/>
    </xf>
    <xf numFmtId="164" fontId="16" fillId="0" borderId="6" xfId="0" applyNumberFormat="1" applyFont="1" applyBorder="1" applyAlignment="1">
      <alignment horizontal="center"/>
    </xf>
    <xf numFmtId="1" fontId="45" fillId="0" borderId="6" xfId="0" applyNumberFormat="1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2" fontId="29" fillId="0" borderId="6" xfId="0" applyNumberFormat="1" applyFont="1" applyBorder="1" applyAlignment="1">
      <alignment horizontal="center"/>
    </xf>
    <xf numFmtId="2" fontId="29" fillId="0" borderId="6" xfId="0" applyNumberFormat="1" applyFont="1" applyBorder="1" applyAlignment="1">
      <alignment horizontal="center"/>
    </xf>
    <xf numFmtId="14" fontId="29" fillId="0" borderId="6" xfId="0" applyNumberFormat="1" applyFont="1" applyBorder="1" applyAlignment="1"/>
    <xf numFmtId="2" fontId="29" fillId="0" borderId="6" xfId="0" applyNumberFormat="1" applyFont="1" applyBorder="1" applyAlignment="1"/>
    <xf numFmtId="166" fontId="29" fillId="0" borderId="6" xfId="0" applyNumberFormat="1" applyFont="1" applyBorder="1" applyAlignment="1"/>
    <xf numFmtId="14" fontId="45" fillId="0" borderId="6" xfId="0" applyNumberFormat="1" applyFont="1" applyBorder="1" applyAlignment="1"/>
    <xf numFmtId="2" fontId="45" fillId="0" borderId="6" xfId="0" applyNumberFormat="1" applyFont="1" applyBorder="1" applyAlignment="1"/>
    <xf numFmtId="4" fontId="29" fillId="5" borderId="6" xfId="0" applyNumberFormat="1" applyFont="1" applyFill="1" applyBorder="1" applyAlignment="1">
      <alignment horizontal="center"/>
    </xf>
    <xf numFmtId="14" fontId="45" fillId="17" borderId="6" xfId="0" applyNumberFormat="1" applyFont="1" applyFill="1" applyBorder="1" applyAlignment="1"/>
    <xf numFmtId="166" fontId="45" fillId="17" borderId="6" xfId="0" applyNumberFormat="1" applyFont="1" applyFill="1" applyBorder="1" applyAlignment="1"/>
    <xf numFmtId="0" fontId="29" fillId="0" borderId="6" xfId="0" applyFont="1" applyBorder="1" applyAlignment="1">
      <alignment horizontal="center"/>
    </xf>
    <xf numFmtId="0" fontId="12" fillId="0" borderId="6" xfId="0" applyFont="1" applyBorder="1" applyAlignment="1">
      <alignment horizontal="left" vertical="center"/>
    </xf>
    <xf numFmtId="0" fontId="49" fillId="17" borderId="6" xfId="1" applyFont="1" applyFill="1" applyBorder="1" applyAlignment="1">
      <alignment horizontal="left" vertical="center"/>
    </xf>
    <xf numFmtId="0" fontId="9" fillId="3" borderId="6" xfId="0" applyFont="1" applyFill="1" applyBorder="1" applyAlignment="1">
      <alignment horizontal="left" vertical="center" textRotation="90"/>
    </xf>
    <xf numFmtId="49" fontId="16" fillId="18" borderId="6" xfId="0" applyNumberFormat="1" applyFont="1" applyFill="1" applyBorder="1" applyAlignment="1">
      <alignment horizontal="left"/>
    </xf>
    <xf numFmtId="0" fontId="16" fillId="18" borderId="6" xfId="0" applyFont="1" applyFill="1" applyBorder="1" applyAlignment="1">
      <alignment horizontal="left"/>
    </xf>
    <xf numFmtId="14" fontId="16" fillId="18" borderId="6" xfId="0" applyNumberFormat="1" applyFont="1" applyFill="1" applyBorder="1" applyAlignment="1">
      <alignment horizontal="left"/>
    </xf>
    <xf numFmtId="3" fontId="16" fillId="18" borderId="6" xfId="0" applyNumberFormat="1" applyFont="1" applyFill="1" applyBorder="1" applyAlignment="1">
      <alignment horizontal="left"/>
    </xf>
    <xf numFmtId="0" fontId="29" fillId="17" borderId="36" xfId="0" applyFont="1" applyFill="1" applyBorder="1" applyAlignment="1">
      <alignment horizontal="left"/>
    </xf>
    <xf numFmtId="0" fontId="43" fillId="17" borderId="6" xfId="1" applyFont="1" applyFill="1" applyBorder="1" applyAlignment="1">
      <alignment horizontal="left" vertical="center"/>
    </xf>
    <xf numFmtId="0" fontId="43" fillId="17" borderId="6" xfId="0" applyFont="1" applyFill="1" applyBorder="1" applyAlignment="1">
      <alignment horizontal="left"/>
    </xf>
    <xf numFmtId="0" fontId="43" fillId="0" borderId="6" xfId="1" applyFont="1" applyBorder="1" applyAlignment="1">
      <alignment horizontal="left" vertical="center"/>
    </xf>
    <xf numFmtId="0" fontId="43" fillId="0" borderId="6" xfId="0" applyFont="1" applyBorder="1" applyAlignment="1">
      <alignment horizontal="left"/>
    </xf>
    <xf numFmtId="14" fontId="43" fillId="0" borderId="6" xfId="1" applyNumberFormat="1" applyFont="1" applyBorder="1" applyAlignment="1">
      <alignment horizontal="left" vertical="center"/>
    </xf>
    <xf numFmtId="0" fontId="44" fillId="0" borderId="6" xfId="0" applyFont="1" applyBorder="1" applyAlignment="1">
      <alignment horizontal="left"/>
    </xf>
    <xf numFmtId="0" fontId="29" fillId="17" borderId="40" xfId="0" applyFont="1" applyFill="1" applyBorder="1" applyAlignment="1">
      <alignment horizontal="left"/>
    </xf>
    <xf numFmtId="0" fontId="12" fillId="17" borderId="6" xfId="0" applyFont="1" applyFill="1" applyBorder="1" applyAlignment="1">
      <alignment horizontal="left" vertical="center"/>
    </xf>
    <xf numFmtId="0" fontId="45" fillId="17" borderId="6" xfId="0" applyFont="1" applyFill="1" applyBorder="1" applyAlignment="1">
      <alignment horizontal="left"/>
    </xf>
    <xf numFmtId="0" fontId="16" fillId="0" borderId="42" xfId="0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6" fillId="0" borderId="6" xfId="1" applyFont="1" applyBorder="1" applyAlignment="1">
      <alignment horizontal="left" vertical="center"/>
    </xf>
    <xf numFmtId="0" fontId="16" fillId="17" borderId="6" xfId="0" applyFont="1" applyFill="1" applyBorder="1" applyAlignment="1">
      <alignment horizontal="left"/>
    </xf>
    <xf numFmtId="0" fontId="16" fillId="17" borderId="6" xfId="1" applyFont="1" applyFill="1" applyBorder="1" applyAlignment="1">
      <alignment horizontal="left" vertical="center"/>
    </xf>
    <xf numFmtId="0" fontId="16" fillId="0" borderId="44" xfId="1" applyFont="1" applyBorder="1" applyAlignment="1">
      <alignment horizontal="left" vertical="center"/>
    </xf>
    <xf numFmtId="0" fontId="16" fillId="0" borderId="42" xfId="1" applyFont="1" applyBorder="1" applyAlignment="1">
      <alignment horizontal="left" vertical="center"/>
    </xf>
    <xf numFmtId="0" fontId="45" fillId="0" borderId="6" xfId="1" applyFont="1" applyBorder="1" applyAlignment="1">
      <alignment horizontal="left" vertical="center"/>
    </xf>
    <xf numFmtId="0" fontId="29" fillId="0" borderId="6" xfId="0" applyFont="1" applyBorder="1" applyAlignment="1">
      <alignment horizontal="left"/>
    </xf>
    <xf numFmtId="2" fontId="29" fillId="0" borderId="6" xfId="0" applyNumberFormat="1" applyFont="1" applyBorder="1" applyAlignment="1"/>
    <xf numFmtId="0" fontId="50" fillId="0" borderId="6" xfId="0" applyFont="1" applyBorder="1" applyAlignment="1">
      <alignment horizontal="center"/>
    </xf>
    <xf numFmtId="0" fontId="29" fillId="0" borderId="6" xfId="0" applyFont="1" applyBorder="1" applyAlignment="1"/>
    <xf numFmtId="2" fontId="29" fillId="0" borderId="6" xfId="0" applyNumberFormat="1" applyFont="1" applyBorder="1" applyAlignment="1"/>
    <xf numFmtId="0" fontId="33" fillId="11" borderId="2" xfId="0" applyFont="1" applyFill="1" applyBorder="1"/>
    <xf numFmtId="164" fontId="3" fillId="6" borderId="29" xfId="0" applyNumberFormat="1" applyFont="1" applyFill="1" applyBorder="1" applyAlignment="1">
      <alignment horizontal="center"/>
    </xf>
    <xf numFmtId="0" fontId="2" fillId="6" borderId="29" xfId="0" applyFont="1" applyFill="1" applyBorder="1"/>
    <xf numFmtId="164" fontId="30" fillId="11" borderId="30" xfId="0" applyNumberFormat="1" applyFont="1" applyFill="1" applyBorder="1" applyAlignment="1">
      <alignment horizontal="center" vertical="center" readingOrder="1"/>
    </xf>
    <xf numFmtId="0" fontId="31" fillId="11" borderId="31" xfId="0" applyFont="1" applyFill="1" applyBorder="1" applyAlignment="1">
      <alignment horizontal="center" vertical="center" readingOrder="1"/>
    </xf>
    <xf numFmtId="0" fontId="31" fillId="11" borderId="32" xfId="0" applyFont="1" applyFill="1" applyBorder="1" applyAlignment="1">
      <alignment horizontal="center" vertical="center" readingOrder="1"/>
    </xf>
    <xf numFmtId="164" fontId="3" fillId="6" borderId="6" xfId="0" applyNumberFormat="1" applyFont="1" applyFill="1" applyBorder="1" applyAlignment="1">
      <alignment horizontal="center"/>
    </xf>
    <xf numFmtId="0" fontId="2" fillId="6" borderId="6" xfId="0" applyFont="1" applyFill="1" applyBorder="1"/>
    <xf numFmtId="164" fontId="3" fillId="6" borderId="23" xfId="0" applyNumberFormat="1" applyFont="1" applyFill="1" applyBorder="1" applyAlignment="1">
      <alignment horizontal="center"/>
    </xf>
    <xf numFmtId="0" fontId="2" fillId="6" borderId="23" xfId="0" applyFont="1" applyFill="1" applyBorder="1"/>
    <xf numFmtId="0" fontId="6" fillId="2" borderId="6" xfId="0" applyFont="1" applyFill="1" applyBorder="1" applyAlignment="1">
      <alignment horizontal="center" vertical="center" wrapText="1"/>
    </xf>
    <xf numFmtId="0" fontId="29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29" fillId="0" borderId="6" xfId="0" applyFont="1" applyBorder="1" applyAlignment="1"/>
    <xf numFmtId="2" fontId="29" fillId="0" borderId="6" xfId="0" applyNumberFormat="1" applyFont="1" applyBorder="1" applyAlignment="1"/>
    <xf numFmtId="0" fontId="7" fillId="2" borderId="6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center"/>
    </xf>
    <xf numFmtId="164" fontId="7" fillId="2" borderId="6" xfId="0" applyNumberFormat="1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vertical="center" textRotation="90"/>
    </xf>
    <xf numFmtId="2" fontId="18" fillId="0" borderId="6" xfId="0" applyNumberFormat="1" applyFont="1" applyBorder="1" applyAlignment="1">
      <alignment vertical="center"/>
    </xf>
    <xf numFmtId="0" fontId="41" fillId="5" borderId="14" xfId="0" applyFont="1" applyFill="1" applyBorder="1" applyAlignment="1">
      <alignment horizontal="center"/>
    </xf>
    <xf numFmtId="0" fontId="41" fillId="5" borderId="37" xfId="0" applyFont="1" applyFill="1" applyBorder="1" applyAlignment="1">
      <alignment horizontal="center"/>
    </xf>
    <xf numFmtId="0" fontId="41" fillId="5" borderId="38" xfId="0" applyFont="1" applyFill="1" applyBorder="1" applyAlignment="1">
      <alignment horizontal="center"/>
    </xf>
    <xf numFmtId="0" fontId="41" fillId="5" borderId="30" xfId="0" applyFont="1" applyFill="1" applyBorder="1" applyAlignment="1">
      <alignment horizontal="center"/>
    </xf>
    <xf numFmtId="0" fontId="41" fillId="5" borderId="31" xfId="0" applyFont="1" applyFill="1" applyBorder="1" applyAlignment="1">
      <alignment horizontal="center"/>
    </xf>
    <xf numFmtId="0" fontId="41" fillId="5" borderId="32" xfId="0" applyFont="1" applyFill="1" applyBorder="1" applyAlignment="1">
      <alignment horizontal="center"/>
    </xf>
    <xf numFmtId="0" fontId="42" fillId="0" borderId="39" xfId="0" applyFont="1" applyBorder="1" applyAlignment="1">
      <alignment horizontal="center"/>
    </xf>
    <xf numFmtId="0" fontId="15" fillId="0" borderId="0" xfId="0" applyFont="1" applyAlignment="1">
      <alignment horizontal="center" wrapText="1"/>
    </xf>
    <xf numFmtId="0" fontId="0" fillId="0" borderId="0" xfId="0" applyFont="1" applyAlignment="1"/>
    <xf numFmtId="0" fontId="17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3" fillId="0" borderId="0" xfId="0" applyNumberFormat="1" applyFont="1" applyAlignment="1">
      <alignment horizontal="center"/>
    </xf>
    <xf numFmtId="0" fontId="24" fillId="0" borderId="0" xfId="0" applyFont="1" applyAlignment="1"/>
    <xf numFmtId="2" fontId="17" fillId="0" borderId="12" xfId="0" applyNumberFormat="1" applyFont="1" applyBorder="1" applyAlignment="1">
      <alignment wrapText="1"/>
    </xf>
    <xf numFmtId="0" fontId="2" fillId="0" borderId="10" xfId="0" applyFont="1" applyBorder="1" applyAlignment="1">
      <alignment wrapText="1"/>
    </xf>
    <xf numFmtId="49" fontId="26" fillId="0" borderId="0" xfId="0" applyNumberFormat="1" applyFont="1" applyAlignment="1">
      <alignment horizontal="center"/>
    </xf>
    <xf numFmtId="49" fontId="4" fillId="0" borderId="0" xfId="0" applyNumberFormat="1" applyFont="1"/>
    <xf numFmtId="49" fontId="27" fillId="0" borderId="0" xfId="0" applyNumberFormat="1" applyFont="1" applyAlignment="1">
      <alignment horizontal="center" vertical="center"/>
    </xf>
    <xf numFmtId="0" fontId="28" fillId="0" borderId="0" xfId="0" applyFont="1" applyAlignment="1"/>
    <xf numFmtId="49" fontId="14" fillId="0" borderId="0" xfId="0" applyNumberFormat="1" applyFont="1" applyAlignment="1">
      <alignment vertical="center"/>
    </xf>
    <xf numFmtId="49" fontId="12" fillId="5" borderId="14" xfId="0" applyNumberFormat="1" applyFont="1" applyFill="1" applyBorder="1" applyAlignment="1">
      <alignment horizontal="center" vertical="center"/>
    </xf>
    <xf numFmtId="0" fontId="18" fillId="5" borderId="15" xfId="0" applyFont="1" applyFill="1" applyBorder="1"/>
    <xf numFmtId="2" fontId="12" fillId="5" borderId="17" xfId="0" applyNumberFormat="1" applyFont="1" applyFill="1" applyBorder="1" applyAlignment="1">
      <alignment horizontal="center" vertical="center"/>
    </xf>
  </cellXfs>
  <cellStyles count="2">
    <cellStyle name="NiveauLigne_4" xfId="1" builtinId="1" iLevel="3"/>
    <cellStyle name="Normal" xfId="0" builtinId="0"/>
  </cellStyles>
  <dxfs count="2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19050</xdr:rowOff>
    </xdr:from>
    <xdr:ext cx="2943225" cy="885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5812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zoomScale="95" zoomScaleNormal="95" workbookViewId="0">
      <pane ySplit="6" topLeftCell="A7" activePane="bottomLeft" state="frozen"/>
      <selection pane="bottomLeft" activeCell="G7" sqref="G7:G25"/>
    </sheetView>
  </sheetViews>
  <sheetFormatPr baseColWidth="10" defaultColWidth="12.5703125" defaultRowHeight="15" customHeight="1" x14ac:dyDescent="0.2"/>
  <cols>
    <col min="1" max="1" width="20.140625" customWidth="1"/>
    <col min="2" max="2" width="30" customWidth="1"/>
    <col min="3" max="3" width="23.5703125" customWidth="1"/>
    <col min="4" max="5" width="21.5703125" customWidth="1"/>
    <col min="6" max="6" width="24.5703125" bestFit="1" customWidth="1"/>
    <col min="7" max="7" width="22" bestFit="1" customWidth="1"/>
    <col min="8" max="8" width="24.5703125" bestFit="1" customWidth="1"/>
  </cols>
  <sheetData>
    <row r="1" spans="1:27" ht="15.75" hidden="1" customHeight="1" x14ac:dyDescent="0.25">
      <c r="A1" s="1" t="s">
        <v>0</v>
      </c>
      <c r="B1" s="227"/>
      <c r="C1" s="2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.75" hidden="1" customHeight="1" x14ac:dyDescent="0.2">
      <c r="A2" s="53" t="s">
        <v>1</v>
      </c>
      <c r="B2" s="54">
        <f>SUMIFS('Liste de la paie'!H4:H3291,'Liste de la paie'!L4:L3291,"Impayé",'Liste de la paie'!M4:M3291,"BLOQUÉ")</f>
        <v>0</v>
      </c>
      <c r="C2" s="3"/>
      <c r="D2" s="3"/>
      <c r="E2" s="3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75" hidden="1" customHeight="1" x14ac:dyDescent="0.2">
      <c r="A3" s="55" t="s">
        <v>2</v>
      </c>
      <c r="B3" s="56">
        <f>SUMIFS('Liste de la paie'!H4:H3291,'Liste de la paie'!L4:L3291,"Impayé",'Liste de la paie'!M4:M3291,"")</f>
        <v>69720.763508673903</v>
      </c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34.5" hidden="1" customHeight="1" x14ac:dyDescent="0.2">
      <c r="A4" s="57" t="s">
        <v>3</v>
      </c>
      <c r="B4" s="58">
        <f>SUM(C7:E31)-SUM(F7:F31)</f>
        <v>-23344.53837343771</v>
      </c>
      <c r="D4" s="3"/>
      <c r="E4" s="3"/>
      <c r="F4" s="3"/>
      <c r="G4" s="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75" customHeight="1" thickBot="1" x14ac:dyDescent="0.25">
      <c r="A5" s="5"/>
      <c r="B5" s="6"/>
      <c r="C5" s="3"/>
      <c r="D5" s="3"/>
      <c r="E5" s="3"/>
      <c r="F5" s="3"/>
      <c r="G5" s="3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52.5" thickBot="1" x14ac:dyDescent="0.25">
      <c r="A6" s="50" t="s">
        <v>4</v>
      </c>
      <c r="B6" s="51" t="s">
        <v>5</v>
      </c>
      <c r="C6" s="51" t="s">
        <v>6</v>
      </c>
      <c r="D6" s="51" t="s">
        <v>7</v>
      </c>
      <c r="E6" s="51" t="s">
        <v>8</v>
      </c>
      <c r="F6" s="51" t="s">
        <v>9</v>
      </c>
      <c r="G6" s="51" t="s">
        <v>10</v>
      </c>
      <c r="H6" s="52" t="s">
        <v>11</v>
      </c>
    </row>
    <row r="7" spans="1:27" ht="18" x14ac:dyDescent="0.25">
      <c r="A7" s="63" t="s">
        <v>848</v>
      </c>
      <c r="B7" s="64">
        <v>67698.83</v>
      </c>
      <c r="C7" s="228">
        <v>0</v>
      </c>
      <c r="D7" s="229"/>
      <c r="E7" s="229"/>
      <c r="F7" s="65">
        <f>SUMIFS('Liste de la paie'!H4:H9659,'Liste de la paie'!A4:A9659,"30/06/2025",'Liste de la paie'!L4:L9659,"Payé")</f>
        <v>5290.4344338742767</v>
      </c>
      <c r="G7" s="65">
        <f>SUMIFS('Liste de la paie'!$H$4:$H$9659,'Liste de la paie'!$A$4:$A$9659,"30/06/2025",'Liste de la paie'!$L$4:$L$9659,"Impayé")</f>
        <v>62408.398300690314</v>
      </c>
      <c r="H7" s="113">
        <f>SUM(C7:E7)-F7</f>
        <v>-5290.4344338742767</v>
      </c>
    </row>
    <row r="8" spans="1:27" ht="18" x14ac:dyDescent="0.25">
      <c r="A8" s="114" t="s">
        <v>849</v>
      </c>
      <c r="B8" s="44">
        <f>SUMIFS('Liste de la paie'!$H$4:$H$14215,'Liste de la paie'!$F$4:$F$14215,A8)</f>
        <v>147201</v>
      </c>
      <c r="C8" s="233">
        <v>150000</v>
      </c>
      <c r="D8" s="234"/>
      <c r="E8" s="234"/>
      <c r="F8" s="112">
        <f>SUMIFS('Liste de la paie'!H4:H9660,'Liste de la paie'!A4:A9660,"1Q07/2025",'Liste de la paie'!L4:L9660,"Payé")</f>
        <v>146551</v>
      </c>
      <c r="G8" s="112">
        <f>SUMIFS('Liste de la paie'!$H$4:$H$9659,'Liste de la paie'!$A$4:$A$9659,"1Q07/2025",'Liste de la paie'!$L$4:$L$9659,"Impayé")</f>
        <v>650</v>
      </c>
      <c r="H8" s="115">
        <f>SUM(C8:E8)-F8</f>
        <v>3449</v>
      </c>
    </row>
    <row r="9" spans="1:27" ht="18" x14ac:dyDescent="0.25">
      <c r="A9" s="114" t="s">
        <v>850</v>
      </c>
      <c r="B9" s="44">
        <f>SUMIFS('Liste de la paie'!$H$4:$H$14215,'Liste de la paie'!$F$4:$F$14215,A9)</f>
        <v>102934.5</v>
      </c>
      <c r="C9" s="233">
        <v>103000</v>
      </c>
      <c r="D9" s="234"/>
      <c r="E9" s="234"/>
      <c r="F9" s="48">
        <f>SUMIFS('Liste de la paie'!$H$4:$H14216,'Liste de la paie'!$A$4:$A14216,A9,'Liste de la paie'!$L$4:$L14216,"Payé")</f>
        <v>102761.5</v>
      </c>
      <c r="G9" s="48">
        <f>SUMIFS('Liste de la paie'!$H$4:$H14216,'Liste de la paie'!$A$4:$A14216,A9,'Liste de la paie'!$L$4:$L14216,"Impayé")</f>
        <v>173</v>
      </c>
      <c r="H9" s="115">
        <f>SUM(C9:E9)-F9</f>
        <v>238.5</v>
      </c>
    </row>
    <row r="10" spans="1:27" ht="18" x14ac:dyDescent="0.25">
      <c r="A10" s="114" t="s">
        <v>851</v>
      </c>
      <c r="B10" s="44">
        <f>SUMIFS('Liste de la paie'!$H$4:$H$14215,'Liste de la paie'!$F$4:$F$14215,A10)</f>
        <v>170336</v>
      </c>
      <c r="C10" s="233">
        <v>171000</v>
      </c>
      <c r="D10" s="234"/>
      <c r="E10" s="234"/>
      <c r="F10" s="47">
        <f>SUMIFS('Liste de la paie'!$H$4:$H14217,'Liste de la paie'!$A$4:$A14217,A10,'Liste de la paie'!$L$4:$L14217,"Payé")</f>
        <v>169121</v>
      </c>
      <c r="G10" s="47">
        <f>SUMIFS('Liste de la paie'!$H$4:$H14217,'Liste de la paie'!$A$4:$A14217,A10,'Liste de la paie'!$L$4:$L14217,"Impayé")</f>
        <v>1215</v>
      </c>
      <c r="H10" s="115">
        <f>SUM(C10:E10)-F10</f>
        <v>1879</v>
      </c>
    </row>
    <row r="11" spans="1:27" ht="18" x14ac:dyDescent="0.25">
      <c r="A11" s="114" t="s">
        <v>852</v>
      </c>
      <c r="B11" s="44">
        <f>SUMIFS('Liste de la paie'!$H$4:$H$14215,'Liste de la paie'!$F$4:$F$14215,A11)</f>
        <v>88837</v>
      </c>
      <c r="C11" s="233">
        <v>90000</v>
      </c>
      <c r="D11" s="234"/>
      <c r="E11" s="234"/>
      <c r="F11" s="48">
        <f>SUMIFS('Liste de la paie'!$H$4:$H14218,'Liste de la paie'!$A$4:$A14218,A11,'Liste de la paie'!$L$4:$L14218,"Payé")</f>
        <v>87970</v>
      </c>
      <c r="G11" s="48">
        <f>SUMIFS('Liste de la paie'!$H$4:$H14218,'Liste de la paie'!$A$4:$A14218,A11,'Liste de la paie'!$L$4:$L14218,"Impayé")</f>
        <v>867</v>
      </c>
      <c r="H11" s="115">
        <f t="shared" ref="H11:H31" si="0">SUM(C11:E11)-F11</f>
        <v>2030</v>
      </c>
    </row>
    <row r="12" spans="1:27" ht="18" x14ac:dyDescent="0.25">
      <c r="A12" s="41" t="s">
        <v>853</v>
      </c>
      <c r="B12" s="44">
        <f>SUMIFS('Liste de la paie'!$H$4:$H$14215,'Liste de la paie'!$F$4:$F$14215,A12)</f>
        <v>106702.5</v>
      </c>
      <c r="C12" s="233">
        <v>110000</v>
      </c>
      <c r="D12" s="234"/>
      <c r="E12" s="234"/>
      <c r="F12" s="47">
        <f>SUMIFS('Liste de la paie'!$H$4:$H14219,'Liste de la paie'!$A$4:$A14219,A12,'Liste de la paie'!$L$4:$L14219,"Payé")</f>
        <v>106095.5</v>
      </c>
      <c r="G12" s="47">
        <f>SUMIFS('Liste de la paie'!$H$4:$H14219,'Liste de la paie'!$A$4:$A14219,A12,'Liste de la paie'!$L$4:$L14219,"Impayé")</f>
        <v>607</v>
      </c>
      <c r="H12" s="115">
        <f t="shared" si="0"/>
        <v>3904.5</v>
      </c>
    </row>
    <row r="13" spans="1:27" ht="18" x14ac:dyDescent="0.25">
      <c r="A13" s="42" t="s">
        <v>854</v>
      </c>
      <c r="B13" s="45">
        <f>SUMIFS('Liste de la paie'!$H$4:$H$14215,'Liste de la paie'!$F$4:$F$14215,A13)</f>
        <v>159613</v>
      </c>
      <c r="C13" s="233">
        <v>160000</v>
      </c>
      <c r="D13" s="234"/>
      <c r="E13" s="234"/>
      <c r="F13" s="48">
        <f>SUMIFS('Liste de la paie'!$H$4:$H14220,'Liste de la paie'!$A$4:$A14220,A13,'Liste de la paie'!$L$4:$L14220,"Payé")</f>
        <v>159091</v>
      </c>
      <c r="G13" s="48">
        <f>SUMIFS('Liste de la paie'!$H$4:$H14220,'Liste de la paie'!$A$4:$A14220,A13,'Liste de la paie'!$L$4:$L14220,"Impayé")</f>
        <v>522</v>
      </c>
      <c r="H13" s="115">
        <f t="shared" si="0"/>
        <v>909</v>
      </c>
    </row>
    <row r="14" spans="1:27" ht="18" x14ac:dyDescent="0.25">
      <c r="A14" s="41" t="s">
        <v>855</v>
      </c>
      <c r="B14" s="44">
        <f>SUMIFS('Liste de la paie'!$H$4:$H$14215,'Liste de la paie'!$F$4:$F$14215,A14)</f>
        <v>136737</v>
      </c>
      <c r="C14" s="233">
        <v>140000</v>
      </c>
      <c r="D14" s="234"/>
      <c r="E14" s="234"/>
      <c r="F14" s="47">
        <f>SUMIFS('Liste de la paie'!$H$4:$H14221,'Liste de la paie'!$A$4:$A14221,A14,'Liste de la paie'!$L$4:$L14221,"Payé")</f>
        <v>136647</v>
      </c>
      <c r="G14" s="47">
        <f>SUMIFS('Liste de la paie'!$H$4:$H14221,'Liste de la paie'!$A$4:$A14221,A14,'Liste de la paie'!$L$4:$L14221,"Impayé")</f>
        <v>90</v>
      </c>
      <c r="H14" s="115">
        <f t="shared" si="0"/>
        <v>3353</v>
      </c>
    </row>
    <row r="15" spans="1:27" ht="18" x14ac:dyDescent="0.25">
      <c r="A15" s="42" t="s">
        <v>856</v>
      </c>
      <c r="B15" s="45">
        <f>SUMIFS('Liste de la paie'!$H$4:$H$14215,'Liste de la paie'!$F$4:$F$14215,A15)</f>
        <v>183235</v>
      </c>
      <c r="C15" s="233">
        <v>185000</v>
      </c>
      <c r="D15" s="234"/>
      <c r="E15" s="234"/>
      <c r="F15" s="48">
        <f>SUMIFS('Liste de la paie'!$H$4:$H14222,'Liste de la paie'!$A$4:$A14222,A15,'Liste de la paie'!$L$4:$L14222,"Payé")</f>
        <v>182784</v>
      </c>
      <c r="G15" s="48">
        <f>SUMIFS('Liste de la paie'!$H$4:$H14222,'Liste de la paie'!$A$4:$A14222,A15,'Liste de la paie'!$L$4:$L14222,"Impayé")</f>
        <v>451</v>
      </c>
      <c r="H15" s="115">
        <f t="shared" si="0"/>
        <v>2216</v>
      </c>
    </row>
    <row r="16" spans="1:27" ht="18" x14ac:dyDescent="0.25">
      <c r="A16" s="41" t="s">
        <v>857</v>
      </c>
      <c r="B16" s="44">
        <f>SUMIFS('Liste de la paie'!$H$4:$H$14215,'Liste de la paie'!$F$4:$F$14215,A16)</f>
        <v>204737</v>
      </c>
      <c r="C16" s="233">
        <v>208000</v>
      </c>
      <c r="D16" s="234"/>
      <c r="E16" s="234"/>
      <c r="F16" s="47">
        <f>SUMIFS('Liste de la paie'!$H$4:$H14223,'Liste de la paie'!$A$4:$A14223,A16,'Liste de la paie'!$L$4:$L14223,"Payé")</f>
        <v>204737</v>
      </c>
      <c r="G16" s="47">
        <f>SUMIFS('Liste de la paie'!$H$4:$H14223,'Liste de la paie'!$A$4:$A14223,A16,'Liste de la paie'!$L$4:$L14223,"Impayé")</f>
        <v>0</v>
      </c>
      <c r="H16" s="115">
        <f t="shared" si="0"/>
        <v>3263</v>
      </c>
    </row>
    <row r="17" spans="1:8" ht="18" x14ac:dyDescent="0.25">
      <c r="A17" s="42" t="s">
        <v>858</v>
      </c>
      <c r="B17" s="45">
        <f>SUMIFS('Liste de la paie'!$H$4:$H$14215,'Liste de la paie'!$F$4:$F$14215,A17)</f>
        <v>234051</v>
      </c>
      <c r="C17" s="233">
        <v>234000</v>
      </c>
      <c r="D17" s="234"/>
      <c r="E17" s="234"/>
      <c r="F17" s="48">
        <f>SUMIFS('Liste de la paie'!$H$4:$H14224,'Liste de la paie'!$A$4:$A14224,A17,'Liste de la paie'!$L$4:$L14224,"Payé")</f>
        <v>233693</v>
      </c>
      <c r="G17" s="48">
        <f>SUMIFS('Liste de la paie'!$H$4:$H14224,'Liste de la paie'!$A$4:$A14224,A17,'Liste de la paie'!$L$4:$L14224,"Impayé")</f>
        <v>358</v>
      </c>
      <c r="H17" s="115">
        <f t="shared" si="0"/>
        <v>307</v>
      </c>
    </row>
    <row r="18" spans="1:8" ht="18" x14ac:dyDescent="0.25">
      <c r="A18" s="41" t="s">
        <v>859</v>
      </c>
      <c r="B18" s="44">
        <f>SUMIFS('Liste de la paie'!$H$4:$H$14215,'Liste de la paie'!$F$4:$F$14215,A18)</f>
        <v>226083</v>
      </c>
      <c r="C18" s="233">
        <v>240000</v>
      </c>
      <c r="D18" s="234"/>
      <c r="E18" s="234"/>
      <c r="F18" s="47">
        <f>SUMIFS('Liste de la paie'!$H$4:$H14225,'Liste de la paie'!$A$4:$A14225,A18,'Liste de la paie'!$L$4:$L14225,"Payé")</f>
        <v>225423</v>
      </c>
      <c r="G18" s="47">
        <f>SUMIFS('Liste de la paie'!$H$4:$H14225,'Liste de la paie'!$A$4:$A14225,A18,'Liste de la paie'!$L$4:$L14225,"Impayé")</f>
        <v>660</v>
      </c>
      <c r="H18" s="115">
        <f>SUM(C18:E18)-F18</f>
        <v>14577</v>
      </c>
    </row>
    <row r="19" spans="1:8" ht="18" x14ac:dyDescent="0.25">
      <c r="A19" s="42" t="s">
        <v>860</v>
      </c>
      <c r="B19" s="45">
        <f>SUMIFS('Liste de la paie'!$H$4:$H$14215,'Liste de la paie'!$F$4:$F$14215,A19)</f>
        <v>178484</v>
      </c>
      <c r="C19" s="233">
        <v>190000</v>
      </c>
      <c r="D19" s="234"/>
      <c r="E19" s="234"/>
      <c r="F19" s="48">
        <f>SUMIFS('Liste de la paie'!$H$4:$H14226,'Liste de la paie'!$A$4:$A14226,A19,'Liste de la paie'!$L$4:$L14226,"Payé")</f>
        <v>177762</v>
      </c>
      <c r="G19" s="48">
        <f>SUMIFS('Liste de la paie'!$H$4:$H14226,'Liste de la paie'!$A$4:$A14226,A19,'Liste de la paie'!$L$4:$L14226,"Impayé")</f>
        <v>722</v>
      </c>
      <c r="H19" s="115">
        <f t="shared" si="0"/>
        <v>12238</v>
      </c>
    </row>
    <row r="20" spans="1:8" ht="18" x14ac:dyDescent="0.25">
      <c r="A20" s="41" t="s">
        <v>861</v>
      </c>
      <c r="B20" s="44">
        <f>SUMIFS('Liste de la paie'!$H$4:$H$14215,'Liste de la paie'!$F$4:$F$14215,A20)</f>
        <v>195919.58433128154</v>
      </c>
      <c r="C20" s="233">
        <v>200000</v>
      </c>
      <c r="D20" s="234"/>
      <c r="E20" s="234"/>
      <c r="F20" s="47">
        <f>SUMIFS('Liste de la paie'!$H$4:$H14227,'Liste de la paie'!$A$4:$A14227,A20,'Liste de la paie'!$L$4:$L14227,"Payé")</f>
        <v>195199.60393956359</v>
      </c>
      <c r="G20" s="47">
        <f>SUMIFS('Liste de la paie'!$H$4:$H14227,'Liste de la paie'!$A$4:$A14227,A20,'Liste de la paie'!$L$4:$L14227,"Impayé")</f>
        <v>719.98039171796313</v>
      </c>
      <c r="H20" s="115">
        <f t="shared" si="0"/>
        <v>4800.3960604364111</v>
      </c>
    </row>
    <row r="21" spans="1:8" ht="18" x14ac:dyDescent="0.25">
      <c r="A21" s="42" t="s">
        <v>862</v>
      </c>
      <c r="B21" s="45">
        <f>SUMIFS('Liste de la paie'!$H$4:$H$14215,'Liste de la paie'!$F$4:$F$14215,A21)</f>
        <v>227439.5</v>
      </c>
      <c r="C21" s="233">
        <v>200000</v>
      </c>
      <c r="D21" s="234"/>
      <c r="E21" s="234"/>
      <c r="F21" s="48">
        <f>SUMIFS('Liste de la paie'!$H$4:$H14228,'Liste de la paie'!$A$4:$A14228,A21,'Liste de la paie'!$L$4:$L14228,"Payé")</f>
        <v>227079.5</v>
      </c>
      <c r="G21" s="48">
        <f>SUMIFS('Liste de la paie'!$H$4:$H14228,'Liste de la paie'!$A$4:$A14228,A21,'Liste de la paie'!$L$4:$L14228,"Impayé")</f>
        <v>360</v>
      </c>
      <c r="H21" s="115">
        <f t="shared" si="0"/>
        <v>-27079.5</v>
      </c>
    </row>
    <row r="22" spans="1:8" ht="18" x14ac:dyDescent="0.25">
      <c r="A22" s="41" t="s">
        <v>863</v>
      </c>
      <c r="B22" s="44">
        <f>SUMIFS('Liste de la paie'!$H$4:$H$14215,'Liste de la paie'!$F$4:$F$14215,A22)</f>
        <v>169036</v>
      </c>
      <c r="C22" s="233">
        <v>170000</v>
      </c>
      <c r="D22" s="234"/>
      <c r="E22" s="234"/>
      <c r="F22" s="47">
        <f>SUMIFS('Liste de la paie'!$H$4:$H14229,'Liste de la paie'!$A$4:$A14229,A22,'Liste de la paie'!$L$4:$L14229,"Payé")</f>
        <v>168676</v>
      </c>
      <c r="G22" s="47">
        <f>SUMIFS('Liste de la paie'!$H$4:$H14229,'Liste de la paie'!$A$4:$A14229,A22,'Liste de la paie'!$L$4:$L14229,"Impayé")</f>
        <v>360</v>
      </c>
      <c r="H22" s="115">
        <f t="shared" si="0"/>
        <v>1324</v>
      </c>
    </row>
    <row r="23" spans="1:8" ht="18" x14ac:dyDescent="0.25">
      <c r="A23" s="42" t="s">
        <v>864</v>
      </c>
      <c r="B23" s="45">
        <f>SUMIFS('Liste de la paie'!$H$4:$H$14215,'Liste de la paie'!$F$4:$F$14215,A23)</f>
        <v>188431</v>
      </c>
      <c r="C23" s="233">
        <v>120000</v>
      </c>
      <c r="D23" s="234"/>
      <c r="E23" s="234"/>
      <c r="F23" s="48">
        <f>SUMIFS('Liste de la paie'!$H$4:$H14230,'Liste de la paie'!$A$4:$A14230,A23,'Liste de la paie'!$L$4:$L14230,"Payé")</f>
        <v>186728</v>
      </c>
      <c r="G23" s="48">
        <f>SUMIFS('Liste de la paie'!$H$4:$H14230,'Liste de la paie'!$A$4:$A14230,A23,'Liste de la paie'!$L$4:$L14230,"Impayé")</f>
        <v>1703</v>
      </c>
      <c r="H23" s="115">
        <f t="shared" si="0"/>
        <v>-66728</v>
      </c>
    </row>
    <row r="24" spans="1:8" ht="18" x14ac:dyDescent="0.25">
      <c r="A24" s="41" t="s">
        <v>865</v>
      </c>
      <c r="B24" s="44">
        <f>SUMIFS('Liste de la paie'!$H$4:$H$14215,'Liste de la paie'!$F$4:$F$14215,A24)</f>
        <v>216773</v>
      </c>
      <c r="C24" s="233">
        <v>225000</v>
      </c>
      <c r="D24" s="234"/>
      <c r="E24" s="234"/>
      <c r="F24" s="47">
        <f>SUMIFS('Liste de la paie'!$H$4:$H14231,'Liste de la paie'!$A$4:$A14231,A24,'Liste de la paie'!$L$4:$L14231,"Payé")</f>
        <v>214413</v>
      </c>
      <c r="G24" s="47">
        <f>SUMIFS('Liste de la paie'!$H$4:$H14231,'Liste de la paie'!$A$4:$A14231,A24,'Liste de la paie'!$L$4:$L14231,"Impayé")</f>
        <v>2360</v>
      </c>
      <c r="H24" s="115">
        <f t="shared" si="0"/>
        <v>10587</v>
      </c>
    </row>
    <row r="25" spans="1:8" ht="18" x14ac:dyDescent="0.25">
      <c r="A25" s="42" t="s">
        <v>866</v>
      </c>
      <c r="B25" s="45">
        <f>SUMIFS('Liste de la paie'!$H$4:$H$14215,'Liste de la paie'!$F$4:$F$14215,A25)</f>
        <v>267396</v>
      </c>
      <c r="C25" s="233">
        <v>268000</v>
      </c>
      <c r="D25" s="234"/>
      <c r="E25" s="234"/>
      <c r="F25" s="48">
        <f>SUMIFS('Liste de la paie'!$H$4:$H14232,'Liste de la paie'!$A$4:$A14232,A25,'Liste de la paie'!$L$4:$L14232,"Payé")</f>
        <v>257322</v>
      </c>
      <c r="G25" s="48">
        <f>SUMIFS('Liste de la paie'!$H$4:$H14232,'Liste de la paie'!$A$4:$A14232,A25,'Liste de la paie'!$L$4:$L14232,"Impayé")</f>
        <v>10074</v>
      </c>
      <c r="H25" s="115">
        <f>SUM(C25:E25)-F25</f>
        <v>10678</v>
      </c>
    </row>
    <row r="26" spans="1:8" ht="18" x14ac:dyDescent="0.25">
      <c r="A26" s="41" t="s">
        <v>867</v>
      </c>
      <c r="B26" s="44">
        <f>SUMIFS('Liste de la paie'!$H$4:$H$14215,'Liste de la paie'!$F$4:$F$14215,A26)</f>
        <v>0</v>
      </c>
      <c r="C26" s="233">
        <v>0</v>
      </c>
      <c r="D26" s="234"/>
      <c r="E26" s="234"/>
      <c r="F26" s="47">
        <f>SUMIFS('Liste de la paie'!$H$4:$H14233,'Liste de la paie'!$A$4:$A14233,A26,'Liste de la paie'!$L$4:$L14233,"Payé")</f>
        <v>0</v>
      </c>
      <c r="G26" s="47">
        <f>SUMIFS('Liste de la paie'!$H$4:$H14233,'Liste de la paie'!$A$4:$A14233,A26,'Liste de la paie'!$L$4:$L14233,"Impayé")</f>
        <v>0</v>
      </c>
      <c r="H26" s="115">
        <f>SUM(C26:E26)-F26</f>
        <v>0</v>
      </c>
    </row>
    <row r="27" spans="1:8" ht="18" x14ac:dyDescent="0.25">
      <c r="A27" s="42" t="s">
        <v>868</v>
      </c>
      <c r="B27" s="45">
        <f>SUMIFS('Liste de la paie'!$H$4:$H$14215,'Liste de la paie'!$F$4:$F$14215,A27)</f>
        <v>0</v>
      </c>
      <c r="C27" s="233">
        <v>0</v>
      </c>
      <c r="D27" s="234"/>
      <c r="E27" s="234"/>
      <c r="F27" s="48">
        <f>SUMIFS('Liste de la paie'!$H$4:$H14234,'Liste de la paie'!$A$4:$A14234,A27,'Liste de la paie'!$L$4:$L14234,"Payé")</f>
        <v>0</v>
      </c>
      <c r="G27" s="48">
        <f>SUMIFS('Liste de la paie'!$H$4:$H14234,'Liste de la paie'!$A$4:$A14234,A27,'Liste de la paie'!$L$4:$L14234,"Impayé")</f>
        <v>0</v>
      </c>
      <c r="H27" s="115">
        <f t="shared" si="0"/>
        <v>0</v>
      </c>
    </row>
    <row r="28" spans="1:8" ht="18" x14ac:dyDescent="0.25">
      <c r="A28" s="41" t="s">
        <v>869</v>
      </c>
      <c r="B28" s="44">
        <f>SUMIFS('Liste de la paie'!$H$4:$H$14215,'Liste de la paie'!$F$4:$F$14215,A28)</f>
        <v>0</v>
      </c>
      <c r="C28" s="233">
        <v>0</v>
      </c>
      <c r="D28" s="234"/>
      <c r="E28" s="234"/>
      <c r="F28" s="47">
        <f>SUMIFS('Liste de la paie'!$H$4:$H14235,'Liste de la paie'!$A$4:$A14235,A28,'Liste de la paie'!$L$4:$L14235,"Payé")</f>
        <v>0</v>
      </c>
      <c r="G28" s="47">
        <f>SUMIFS('Liste de la paie'!$H$4:$H14235,'Liste de la paie'!$A$4:$A14235,A28,'Liste de la paie'!$L$4:$L14235,"Impayé")</f>
        <v>0</v>
      </c>
      <c r="H28" s="115">
        <f t="shared" si="0"/>
        <v>0</v>
      </c>
    </row>
    <row r="29" spans="1:8" ht="18" x14ac:dyDescent="0.25">
      <c r="A29" s="42" t="s">
        <v>870</v>
      </c>
      <c r="B29" s="45">
        <f>SUMIFS('Liste de la paie'!$H$4:$H$14215,'Liste de la paie'!$F$4:$F$14215,A29)</f>
        <v>0</v>
      </c>
      <c r="C29" s="233">
        <v>0</v>
      </c>
      <c r="D29" s="234"/>
      <c r="E29" s="234"/>
      <c r="F29" s="48">
        <f>SUMIFS('Liste de la paie'!$H$4:$H14236,'Liste de la paie'!$A$4:$A14236,A29,'Liste de la paie'!$L$4:$L14236,"Payé")</f>
        <v>0</v>
      </c>
      <c r="G29" s="48">
        <f>SUMIFS('Liste de la paie'!$H$4:$H14236,'Liste de la paie'!$A$4:$A14236,A29,'Liste de la paie'!$L$4:$L14236,"Impayé")</f>
        <v>0</v>
      </c>
      <c r="H29" s="115">
        <f t="shared" si="0"/>
        <v>0</v>
      </c>
    </row>
    <row r="30" spans="1:8" ht="18" x14ac:dyDescent="0.25">
      <c r="A30" s="41" t="s">
        <v>871</v>
      </c>
      <c r="B30" s="44">
        <f>SUMIFS('Liste de la paie'!$H$4:$H$14215,'Liste de la paie'!$F$4:$F$14215,A30)</f>
        <v>0</v>
      </c>
      <c r="C30" s="233">
        <v>0</v>
      </c>
      <c r="D30" s="234"/>
      <c r="E30" s="234"/>
      <c r="F30" s="47">
        <f>SUMIFS('Liste de la paie'!$H$4:$H14237,'Liste de la paie'!$A$4:$A14237,A30,'Liste de la paie'!$L$4:$L14237,"Payé")</f>
        <v>0</v>
      </c>
      <c r="G30" s="47">
        <f>SUMIFS('Liste de la paie'!$H$4:$H14237,'Liste de la paie'!$A$4:$A14237,A30,'Liste de la paie'!$L$4:$L14237,"Impayé")</f>
        <v>0</v>
      </c>
      <c r="H30" s="115">
        <f t="shared" si="0"/>
        <v>0</v>
      </c>
    </row>
    <row r="31" spans="1:8" ht="18.75" thickBot="1" x14ac:dyDescent="0.3">
      <c r="A31" s="43" t="s">
        <v>872</v>
      </c>
      <c r="B31" s="46">
        <f>SUMIFS('Liste de la paie'!$H$4:$H$14215,'Liste de la paie'!$F$4:$F$14215,A31)</f>
        <v>0</v>
      </c>
      <c r="C31" s="235">
        <v>0</v>
      </c>
      <c r="D31" s="236"/>
      <c r="E31" s="236"/>
      <c r="F31" s="49">
        <f>SUMIFS('Liste de la paie'!$H$4:$H14238,'Liste de la paie'!$A$4:$A14238,A31,'Liste de la paie'!$L$4:$L14238,"Payé")</f>
        <v>0</v>
      </c>
      <c r="G31" s="116">
        <f>SUMIFS('Liste de la paie'!$H$4:$H14238,'Liste de la paie'!$A$4:$A14238,A31,'Liste de la paie'!$L$4:$L14238,"Impayé")</f>
        <v>0</v>
      </c>
      <c r="H31" s="117">
        <f t="shared" si="0"/>
        <v>0</v>
      </c>
    </row>
    <row r="32" spans="1:8" ht="21" thickBot="1" x14ac:dyDescent="0.25">
      <c r="A32" s="59" t="s">
        <v>12</v>
      </c>
      <c r="B32" s="60">
        <f>SUM(B7:B31)</f>
        <v>3271644.9143312816</v>
      </c>
      <c r="C32" s="230">
        <f>SUM(C7:E31)</f>
        <v>3164000</v>
      </c>
      <c r="D32" s="231"/>
      <c r="E32" s="232"/>
      <c r="F32" s="66">
        <f>SUM(F7:F31)</f>
        <v>3187344.5383734377</v>
      </c>
      <c r="G32" s="61">
        <f>SUM(G7:G31)</f>
        <v>84300.378692408281</v>
      </c>
      <c r="H32" s="62">
        <f>SUM(H7:H31)</f>
        <v>-23344.53837343787</v>
      </c>
    </row>
    <row r="33" spans="1:8" ht="15.75" customHeight="1" x14ac:dyDescent="0.25">
      <c r="A33" s="16"/>
      <c r="B33" s="8"/>
      <c r="C33" s="7"/>
      <c r="D33" s="7"/>
      <c r="E33" s="7"/>
      <c r="F33" s="8"/>
      <c r="G33" s="8"/>
      <c r="H33" s="7"/>
    </row>
    <row r="34" spans="1:8" ht="15.75" customHeight="1" x14ac:dyDescent="0.25">
      <c r="A34" s="7"/>
      <c r="B34" s="8"/>
      <c r="C34" s="7"/>
      <c r="D34" s="7"/>
      <c r="E34" s="7"/>
      <c r="F34" s="8"/>
      <c r="G34" s="8"/>
      <c r="H34" s="7"/>
    </row>
    <row r="35" spans="1:8" ht="15.75" customHeight="1" x14ac:dyDescent="0.25">
      <c r="A35" s="7"/>
      <c r="B35" s="8"/>
      <c r="C35" s="7"/>
      <c r="D35" s="7"/>
      <c r="E35" s="7"/>
      <c r="F35" s="8"/>
      <c r="G35" s="8"/>
      <c r="H35" s="7"/>
    </row>
    <row r="36" spans="1:8" ht="15.75" customHeight="1" x14ac:dyDescent="0.25">
      <c r="A36" s="7"/>
      <c r="B36" s="8"/>
      <c r="C36" s="7"/>
      <c r="D36" s="7"/>
      <c r="E36" s="7"/>
      <c r="F36" s="8"/>
      <c r="G36" s="8"/>
      <c r="H36" s="7"/>
    </row>
    <row r="37" spans="1:8" ht="15.75" customHeight="1" x14ac:dyDescent="0.25">
      <c r="A37" s="7"/>
      <c r="B37" s="8"/>
      <c r="C37" s="7"/>
      <c r="D37" s="7"/>
      <c r="E37" s="7"/>
      <c r="F37" s="8"/>
      <c r="G37" s="8"/>
      <c r="H37" s="7"/>
    </row>
    <row r="38" spans="1:8" ht="15.75" customHeight="1" x14ac:dyDescent="0.25">
      <c r="A38" s="7"/>
      <c r="B38" s="8"/>
      <c r="C38" s="7"/>
      <c r="D38" s="7"/>
      <c r="E38" s="7"/>
      <c r="F38" s="8"/>
      <c r="G38" s="8"/>
      <c r="H38" s="7"/>
    </row>
    <row r="39" spans="1:8" ht="15.75" customHeight="1" x14ac:dyDescent="0.25">
      <c r="A39" s="7"/>
      <c r="B39" s="8"/>
      <c r="C39" s="7"/>
      <c r="D39" s="7"/>
      <c r="E39" s="7"/>
      <c r="F39" s="8"/>
      <c r="G39" s="8"/>
      <c r="H39" s="7"/>
    </row>
    <row r="40" spans="1:8" ht="15.75" customHeight="1" x14ac:dyDescent="0.25">
      <c r="A40" s="7"/>
      <c r="B40" s="8"/>
      <c r="C40" s="7"/>
      <c r="D40" s="7"/>
      <c r="E40" s="7"/>
      <c r="F40" s="8"/>
      <c r="G40" s="8"/>
      <c r="H40" s="7"/>
    </row>
    <row r="41" spans="1:8" ht="15.75" hidden="1" customHeight="1" x14ac:dyDescent="0.25">
      <c r="A41" s="7" t="s">
        <v>13</v>
      </c>
      <c r="B41" s="8"/>
      <c r="C41" s="7"/>
      <c r="D41" s="7"/>
      <c r="E41" s="7"/>
      <c r="F41" s="8"/>
      <c r="G41" s="8"/>
      <c r="H41" s="7"/>
    </row>
    <row r="42" spans="1:8" ht="15.75" hidden="1" customHeight="1" x14ac:dyDescent="0.25">
      <c r="A42" s="7" t="s">
        <v>14</v>
      </c>
      <c r="B42" s="8"/>
      <c r="C42" s="7"/>
      <c r="D42" s="7"/>
      <c r="E42" s="7"/>
      <c r="F42" s="8"/>
      <c r="G42" s="8"/>
      <c r="H42" s="7"/>
    </row>
    <row r="43" spans="1:8" ht="15.75" hidden="1" customHeight="1" x14ac:dyDescent="0.25">
      <c r="A43" s="7" t="s">
        <v>15</v>
      </c>
      <c r="B43" s="8"/>
      <c r="C43" s="7"/>
      <c r="D43" s="7"/>
      <c r="E43" s="7"/>
      <c r="F43" s="8"/>
      <c r="G43" s="8"/>
      <c r="H43" s="7"/>
    </row>
    <row r="44" spans="1:8" ht="15.75" hidden="1" customHeight="1" x14ac:dyDescent="0.25">
      <c r="A44" s="7" t="s">
        <v>16</v>
      </c>
      <c r="B44" s="8"/>
      <c r="C44" s="7"/>
      <c r="D44" s="7"/>
      <c r="E44" s="7"/>
      <c r="F44" s="8"/>
      <c r="G44" s="8"/>
      <c r="H44" s="7"/>
    </row>
    <row r="45" spans="1:8" ht="15.75" customHeight="1" x14ac:dyDescent="0.2"/>
    <row r="46" spans="1:8" ht="15.75" customHeight="1" x14ac:dyDescent="0.25">
      <c r="A46" s="7"/>
      <c r="B46" s="8"/>
      <c r="C46" s="7"/>
      <c r="D46" s="7"/>
      <c r="E46" s="7"/>
      <c r="F46" s="8"/>
      <c r="G46" s="8"/>
      <c r="H46" s="7"/>
    </row>
    <row r="47" spans="1:8" ht="15.75" customHeight="1" x14ac:dyDescent="0.25">
      <c r="A47" s="7"/>
      <c r="B47" s="8"/>
      <c r="C47" s="7"/>
      <c r="D47" s="7"/>
      <c r="E47" s="7"/>
      <c r="F47" s="8"/>
      <c r="G47" s="8"/>
      <c r="H47" s="7"/>
    </row>
    <row r="48" spans="1:8" ht="15.75" customHeight="1" x14ac:dyDescent="0.25">
      <c r="A48" s="7"/>
      <c r="B48" s="8"/>
      <c r="C48" s="7"/>
      <c r="D48" s="7"/>
      <c r="E48" s="7"/>
      <c r="F48" s="8"/>
      <c r="G48" s="8"/>
      <c r="H48" s="7"/>
    </row>
    <row r="49" spans="1:8" ht="15.75" customHeight="1" x14ac:dyDescent="0.25">
      <c r="A49" s="7"/>
      <c r="B49" s="8"/>
      <c r="C49" s="7"/>
      <c r="D49" s="7"/>
      <c r="E49" s="7"/>
      <c r="F49" s="8"/>
      <c r="G49" s="8"/>
      <c r="H49" s="7"/>
    </row>
    <row r="50" spans="1:8" ht="15.75" customHeight="1" x14ac:dyDescent="0.25">
      <c r="A50" s="7"/>
      <c r="B50" s="8"/>
      <c r="C50" s="7"/>
      <c r="D50" s="7"/>
      <c r="E50" s="7"/>
      <c r="F50" s="8"/>
      <c r="G50" s="8"/>
      <c r="H50" s="7"/>
    </row>
    <row r="51" spans="1:8" ht="15.75" customHeight="1" x14ac:dyDescent="0.25">
      <c r="A51" s="7"/>
      <c r="B51" s="8"/>
      <c r="C51" s="7"/>
      <c r="D51" s="7"/>
      <c r="E51" s="7"/>
      <c r="F51" s="8"/>
      <c r="G51" s="8"/>
      <c r="H51" s="7"/>
    </row>
    <row r="52" spans="1:8" ht="15.75" customHeight="1" x14ac:dyDescent="0.25">
      <c r="A52" s="7"/>
      <c r="B52" s="8"/>
      <c r="C52" s="7"/>
      <c r="D52" s="7"/>
      <c r="E52" s="7"/>
      <c r="F52" s="8"/>
      <c r="G52" s="8"/>
      <c r="H52" s="7"/>
    </row>
    <row r="53" spans="1:8" ht="15.75" customHeight="1" x14ac:dyDescent="0.25">
      <c r="A53" s="7"/>
      <c r="B53" s="8"/>
      <c r="C53" s="7"/>
      <c r="D53" s="7"/>
      <c r="E53" s="7"/>
      <c r="F53" s="8"/>
      <c r="G53" s="8"/>
      <c r="H53" s="7"/>
    </row>
    <row r="54" spans="1:8" ht="15.75" customHeight="1" x14ac:dyDescent="0.25">
      <c r="A54" s="7"/>
      <c r="B54" s="8"/>
      <c r="C54" s="7"/>
      <c r="D54" s="7"/>
      <c r="E54" s="7"/>
      <c r="F54" s="8"/>
      <c r="G54" s="8"/>
      <c r="H54" s="7"/>
    </row>
    <row r="55" spans="1:8" ht="15.75" customHeight="1" x14ac:dyDescent="0.25">
      <c r="A55" s="7"/>
      <c r="B55" s="8"/>
      <c r="C55" s="7"/>
      <c r="D55" s="7"/>
      <c r="E55" s="7"/>
      <c r="F55" s="8"/>
      <c r="G55" s="8"/>
      <c r="H55" s="7"/>
    </row>
    <row r="56" spans="1:8" ht="15.75" customHeight="1" x14ac:dyDescent="0.25">
      <c r="A56" s="7"/>
      <c r="B56" s="8"/>
      <c r="C56" s="7"/>
      <c r="D56" s="7"/>
      <c r="E56" s="7"/>
      <c r="F56" s="8"/>
      <c r="G56" s="8"/>
      <c r="H56" s="7"/>
    </row>
    <row r="57" spans="1:8" ht="15.75" customHeight="1" x14ac:dyDescent="0.25">
      <c r="A57" s="7"/>
      <c r="B57" s="8"/>
      <c r="C57" s="7"/>
      <c r="D57" s="7"/>
      <c r="E57" s="7"/>
      <c r="F57" s="8"/>
      <c r="G57" s="8"/>
      <c r="H57" s="7"/>
    </row>
    <row r="58" spans="1:8" ht="15.75" customHeight="1" x14ac:dyDescent="0.25">
      <c r="A58" s="7"/>
      <c r="B58" s="8"/>
      <c r="C58" s="7"/>
      <c r="D58" s="7"/>
      <c r="E58" s="7"/>
      <c r="F58" s="8"/>
      <c r="G58" s="8"/>
      <c r="H58" s="7"/>
    </row>
    <row r="59" spans="1:8" ht="15.75" customHeight="1" x14ac:dyDescent="0.25">
      <c r="A59" s="7"/>
      <c r="B59" s="8"/>
      <c r="C59" s="7"/>
      <c r="D59" s="7"/>
      <c r="E59" s="7"/>
      <c r="F59" s="8"/>
      <c r="G59" s="8"/>
      <c r="H59" s="7"/>
    </row>
    <row r="60" spans="1:8" ht="15.75" customHeight="1" x14ac:dyDescent="0.25">
      <c r="A60" s="7"/>
      <c r="B60" s="8"/>
      <c r="C60" s="7"/>
      <c r="D60" s="7"/>
      <c r="E60" s="7"/>
      <c r="F60" s="8"/>
      <c r="G60" s="8"/>
      <c r="H60" s="7"/>
    </row>
    <row r="61" spans="1:8" ht="15.75" customHeight="1" x14ac:dyDescent="0.25">
      <c r="A61" s="7"/>
      <c r="B61" s="8"/>
      <c r="C61" s="7"/>
      <c r="D61" s="7"/>
      <c r="E61" s="7"/>
      <c r="F61" s="8"/>
      <c r="G61" s="8"/>
      <c r="H61" s="7"/>
    </row>
    <row r="62" spans="1:8" ht="15.75" customHeight="1" x14ac:dyDescent="0.25">
      <c r="A62" s="7"/>
      <c r="B62" s="8"/>
      <c r="C62" s="7"/>
      <c r="D62" s="7"/>
      <c r="E62" s="7"/>
      <c r="F62" s="8"/>
      <c r="G62" s="8"/>
      <c r="H62" s="7"/>
    </row>
    <row r="63" spans="1:8" ht="15.75" customHeight="1" x14ac:dyDescent="0.25">
      <c r="A63" s="7"/>
      <c r="B63" s="8"/>
      <c r="C63" s="7"/>
      <c r="D63" s="7"/>
      <c r="E63" s="7"/>
      <c r="F63" s="8"/>
      <c r="G63" s="8"/>
      <c r="H63" s="7"/>
    </row>
    <row r="64" spans="1:8" ht="15.75" customHeight="1" x14ac:dyDescent="0.25">
      <c r="A64" s="7"/>
      <c r="B64" s="8"/>
      <c r="C64" s="7"/>
      <c r="D64" s="7"/>
      <c r="E64" s="7"/>
      <c r="F64" s="8"/>
      <c r="G64" s="8"/>
      <c r="H64" s="7"/>
    </row>
    <row r="65" spans="1:8" ht="15.75" customHeight="1" x14ac:dyDescent="0.25">
      <c r="A65" s="7"/>
      <c r="B65" s="8"/>
      <c r="C65" s="7"/>
      <c r="D65" s="7"/>
      <c r="E65" s="7"/>
      <c r="F65" s="8"/>
      <c r="G65" s="8"/>
      <c r="H65" s="7"/>
    </row>
    <row r="66" spans="1:8" ht="15.75" customHeight="1" x14ac:dyDescent="0.25">
      <c r="A66" s="7"/>
      <c r="B66" s="8"/>
      <c r="C66" s="7"/>
      <c r="D66" s="7"/>
      <c r="E66" s="7"/>
      <c r="F66" s="8"/>
      <c r="G66" s="8"/>
      <c r="H66" s="7"/>
    </row>
    <row r="67" spans="1:8" ht="15.75" customHeight="1" x14ac:dyDescent="0.25">
      <c r="A67" s="7"/>
      <c r="B67" s="8"/>
      <c r="C67" s="7"/>
      <c r="D67" s="7"/>
      <c r="E67" s="7"/>
      <c r="F67" s="8"/>
      <c r="G67" s="8"/>
      <c r="H67" s="7"/>
    </row>
    <row r="68" spans="1:8" ht="15.75" customHeight="1" x14ac:dyDescent="0.25">
      <c r="A68" s="7"/>
      <c r="B68" s="8"/>
      <c r="C68" s="7"/>
      <c r="D68" s="7"/>
      <c r="E68" s="7"/>
      <c r="F68" s="8"/>
      <c r="G68" s="8"/>
      <c r="H68" s="7"/>
    </row>
    <row r="69" spans="1:8" ht="15.75" customHeight="1" x14ac:dyDescent="0.25">
      <c r="A69" s="7"/>
      <c r="B69" s="8"/>
      <c r="C69" s="7"/>
      <c r="D69" s="7"/>
      <c r="E69" s="7"/>
      <c r="F69" s="8"/>
      <c r="G69" s="8"/>
      <c r="H69" s="7"/>
    </row>
    <row r="70" spans="1:8" ht="15.75" customHeight="1" x14ac:dyDescent="0.25">
      <c r="A70" s="7"/>
      <c r="B70" s="8"/>
      <c r="C70" s="7"/>
      <c r="D70" s="7"/>
      <c r="E70" s="7"/>
      <c r="F70" s="8"/>
      <c r="G70" s="8"/>
      <c r="H70" s="7"/>
    </row>
    <row r="71" spans="1:8" ht="15.75" customHeight="1" x14ac:dyDescent="0.25">
      <c r="A71" s="7"/>
      <c r="B71" s="8"/>
      <c r="C71" s="7"/>
      <c r="D71" s="7"/>
      <c r="E71" s="7"/>
      <c r="F71" s="8"/>
      <c r="G71" s="8"/>
      <c r="H71" s="7"/>
    </row>
    <row r="72" spans="1:8" ht="15.75" customHeight="1" x14ac:dyDescent="0.25">
      <c r="A72" s="7"/>
      <c r="B72" s="8"/>
      <c r="C72" s="7"/>
      <c r="D72" s="7"/>
      <c r="E72" s="7"/>
      <c r="F72" s="8"/>
      <c r="G72" s="8"/>
      <c r="H72" s="7"/>
    </row>
    <row r="73" spans="1:8" ht="15.75" customHeight="1" x14ac:dyDescent="0.25">
      <c r="A73" s="7"/>
      <c r="B73" s="8"/>
      <c r="C73" s="7"/>
      <c r="D73" s="7"/>
      <c r="E73" s="7"/>
      <c r="F73" s="8"/>
      <c r="G73" s="8"/>
      <c r="H73" s="7"/>
    </row>
    <row r="74" spans="1:8" ht="15.75" customHeight="1" x14ac:dyDescent="0.25">
      <c r="A74" s="7"/>
      <c r="B74" s="8"/>
      <c r="C74" s="7"/>
      <c r="D74" s="7"/>
      <c r="E74" s="7"/>
      <c r="F74" s="8"/>
      <c r="G74" s="8"/>
      <c r="H74" s="7"/>
    </row>
    <row r="75" spans="1:8" ht="15.75" customHeight="1" x14ac:dyDescent="0.25">
      <c r="A75" s="7"/>
      <c r="B75" s="8"/>
      <c r="C75" s="7"/>
      <c r="D75" s="7"/>
      <c r="E75" s="7"/>
      <c r="F75" s="8"/>
      <c r="G75" s="8"/>
      <c r="H75" s="7"/>
    </row>
    <row r="76" spans="1:8" ht="15.75" customHeight="1" x14ac:dyDescent="0.25">
      <c r="A76" s="7"/>
      <c r="B76" s="8"/>
      <c r="C76" s="7"/>
      <c r="D76" s="7"/>
      <c r="E76" s="7"/>
      <c r="F76" s="8"/>
      <c r="G76" s="8"/>
      <c r="H76" s="7"/>
    </row>
    <row r="77" spans="1:8" ht="15.75" customHeight="1" x14ac:dyDescent="0.25">
      <c r="A77" s="7"/>
      <c r="B77" s="8"/>
      <c r="C77" s="7"/>
      <c r="D77" s="7"/>
      <c r="E77" s="7"/>
      <c r="F77" s="8"/>
      <c r="G77" s="8"/>
      <c r="H77" s="7"/>
    </row>
    <row r="78" spans="1:8" ht="15.75" customHeight="1" x14ac:dyDescent="0.25">
      <c r="A78" s="7"/>
      <c r="B78" s="8"/>
      <c r="C78" s="7"/>
      <c r="D78" s="7"/>
      <c r="E78" s="7"/>
      <c r="F78" s="8"/>
      <c r="G78" s="8"/>
      <c r="H78" s="7"/>
    </row>
    <row r="79" spans="1:8" ht="15.75" customHeight="1" x14ac:dyDescent="0.25">
      <c r="A79" s="7"/>
      <c r="B79" s="8"/>
      <c r="C79" s="7"/>
      <c r="D79" s="7"/>
      <c r="E79" s="7"/>
      <c r="F79" s="8"/>
      <c r="G79" s="8"/>
      <c r="H79" s="7"/>
    </row>
    <row r="80" spans="1:8" ht="15.75" customHeight="1" x14ac:dyDescent="0.25">
      <c r="A80" s="7"/>
      <c r="B80" s="8"/>
      <c r="C80" s="7"/>
      <c r="D80" s="7"/>
      <c r="E80" s="7"/>
      <c r="F80" s="8"/>
      <c r="G80" s="8"/>
      <c r="H80" s="7"/>
    </row>
    <row r="81" spans="1:8" ht="15.75" customHeight="1" x14ac:dyDescent="0.25">
      <c r="A81" s="7"/>
      <c r="B81" s="8"/>
      <c r="C81" s="7"/>
      <c r="D81" s="7"/>
      <c r="E81" s="7"/>
      <c r="F81" s="8"/>
      <c r="G81" s="8"/>
      <c r="H81" s="7"/>
    </row>
    <row r="82" spans="1:8" ht="15.75" customHeight="1" x14ac:dyDescent="0.25">
      <c r="A82" s="7"/>
      <c r="B82" s="8"/>
      <c r="C82" s="7"/>
      <c r="D82" s="7"/>
      <c r="E82" s="7"/>
      <c r="F82" s="8"/>
      <c r="G82" s="8"/>
      <c r="H82" s="7"/>
    </row>
    <row r="83" spans="1:8" ht="15.75" customHeight="1" x14ac:dyDescent="0.25">
      <c r="A83" s="7"/>
      <c r="B83" s="8"/>
      <c r="C83" s="7"/>
      <c r="D83" s="7"/>
      <c r="E83" s="7"/>
      <c r="F83" s="8"/>
      <c r="G83" s="8"/>
      <c r="H83" s="7"/>
    </row>
    <row r="84" spans="1:8" ht="15.75" customHeight="1" x14ac:dyDescent="0.25">
      <c r="A84" s="7"/>
      <c r="B84" s="8"/>
      <c r="C84" s="7"/>
      <c r="D84" s="7"/>
      <c r="E84" s="7"/>
      <c r="F84" s="8"/>
      <c r="G84" s="8"/>
      <c r="H84" s="7"/>
    </row>
    <row r="85" spans="1:8" ht="15.75" customHeight="1" x14ac:dyDescent="0.25">
      <c r="A85" s="7"/>
      <c r="B85" s="8"/>
      <c r="C85" s="7"/>
      <c r="D85" s="7"/>
      <c r="E85" s="7"/>
      <c r="F85" s="8"/>
      <c r="G85" s="8"/>
      <c r="H85" s="7"/>
    </row>
    <row r="86" spans="1:8" ht="15.75" customHeight="1" x14ac:dyDescent="0.25">
      <c r="A86" s="7"/>
      <c r="B86" s="8"/>
      <c r="C86" s="7"/>
      <c r="D86" s="7"/>
      <c r="E86" s="7"/>
      <c r="F86" s="8"/>
      <c r="G86" s="8"/>
      <c r="H86" s="7"/>
    </row>
    <row r="87" spans="1:8" ht="15.75" customHeight="1" x14ac:dyDescent="0.25">
      <c r="A87" s="7"/>
      <c r="B87" s="8"/>
      <c r="C87" s="7"/>
      <c r="D87" s="7"/>
      <c r="E87" s="7"/>
      <c r="F87" s="8"/>
      <c r="G87" s="8"/>
      <c r="H87" s="7"/>
    </row>
    <row r="88" spans="1:8" ht="15.75" customHeight="1" x14ac:dyDescent="0.25">
      <c r="A88" s="7"/>
      <c r="B88" s="8"/>
      <c r="C88" s="7"/>
      <c r="D88" s="7"/>
      <c r="E88" s="7"/>
      <c r="F88" s="8"/>
      <c r="G88" s="8"/>
      <c r="H88" s="7"/>
    </row>
    <row r="89" spans="1:8" ht="15.75" customHeight="1" x14ac:dyDescent="0.25">
      <c r="A89" s="7"/>
      <c r="B89" s="8"/>
      <c r="C89" s="7"/>
      <c r="D89" s="7"/>
      <c r="E89" s="7"/>
      <c r="F89" s="8"/>
      <c r="G89" s="8"/>
      <c r="H89" s="7"/>
    </row>
    <row r="90" spans="1:8" ht="15.75" customHeight="1" x14ac:dyDescent="0.25">
      <c r="A90" s="7"/>
      <c r="B90" s="8"/>
      <c r="C90" s="7"/>
      <c r="D90" s="7"/>
      <c r="E90" s="7"/>
      <c r="F90" s="8"/>
      <c r="G90" s="8"/>
      <c r="H90" s="7"/>
    </row>
    <row r="91" spans="1:8" ht="15.75" customHeight="1" x14ac:dyDescent="0.25">
      <c r="A91" s="7"/>
      <c r="B91" s="8"/>
      <c r="C91" s="7"/>
      <c r="D91" s="7"/>
      <c r="E91" s="7"/>
      <c r="F91" s="8"/>
      <c r="G91" s="8"/>
      <c r="H91" s="7"/>
    </row>
    <row r="92" spans="1:8" ht="15.75" customHeight="1" x14ac:dyDescent="0.25">
      <c r="A92" s="7"/>
      <c r="B92" s="8"/>
      <c r="C92" s="7"/>
      <c r="D92" s="7"/>
      <c r="E92" s="7"/>
      <c r="F92" s="8"/>
      <c r="G92" s="8"/>
      <c r="H92" s="7"/>
    </row>
    <row r="93" spans="1:8" ht="15.75" customHeight="1" x14ac:dyDescent="0.25">
      <c r="A93" s="7"/>
      <c r="B93" s="8"/>
      <c r="C93" s="7"/>
      <c r="D93" s="7"/>
      <c r="E93" s="7"/>
      <c r="F93" s="8"/>
      <c r="G93" s="8"/>
      <c r="H93" s="7"/>
    </row>
    <row r="94" spans="1:8" ht="15.75" customHeight="1" x14ac:dyDescent="0.25">
      <c r="A94" s="7"/>
      <c r="B94" s="8"/>
      <c r="C94" s="7"/>
      <c r="D94" s="7"/>
      <c r="E94" s="7"/>
      <c r="F94" s="8"/>
      <c r="G94" s="8"/>
      <c r="H94" s="7"/>
    </row>
    <row r="95" spans="1:8" ht="15.75" customHeight="1" x14ac:dyDescent="0.25">
      <c r="A95" s="7"/>
      <c r="B95" s="8"/>
      <c r="C95" s="7"/>
      <c r="D95" s="7"/>
      <c r="E95" s="7"/>
      <c r="F95" s="8"/>
      <c r="G95" s="8"/>
      <c r="H95" s="7"/>
    </row>
    <row r="96" spans="1:8" ht="15.75" customHeight="1" x14ac:dyDescent="0.25">
      <c r="A96" s="7"/>
      <c r="B96" s="8"/>
      <c r="C96" s="7"/>
      <c r="D96" s="7"/>
      <c r="E96" s="7"/>
      <c r="F96" s="8"/>
      <c r="G96" s="8"/>
      <c r="H96" s="7"/>
    </row>
    <row r="97" spans="1:8" ht="15.75" customHeight="1" x14ac:dyDescent="0.25">
      <c r="A97" s="7"/>
      <c r="B97" s="8"/>
      <c r="C97" s="7"/>
      <c r="D97" s="7"/>
      <c r="E97" s="7"/>
      <c r="F97" s="8"/>
      <c r="G97" s="8"/>
      <c r="H97" s="7"/>
    </row>
    <row r="98" spans="1:8" ht="15.75" customHeight="1" x14ac:dyDescent="0.25">
      <c r="A98" s="7"/>
      <c r="B98" s="8"/>
      <c r="C98" s="7"/>
      <c r="D98" s="7"/>
      <c r="E98" s="7"/>
      <c r="F98" s="8"/>
      <c r="G98" s="8"/>
      <c r="H98" s="7"/>
    </row>
    <row r="99" spans="1:8" ht="15.75" customHeight="1" x14ac:dyDescent="0.25">
      <c r="A99" s="7"/>
      <c r="B99" s="8"/>
      <c r="C99" s="7"/>
      <c r="D99" s="7"/>
      <c r="E99" s="7"/>
      <c r="F99" s="8"/>
      <c r="G99" s="8"/>
      <c r="H99" s="7"/>
    </row>
    <row r="100" spans="1:8" ht="15.75" customHeight="1" x14ac:dyDescent="0.25">
      <c r="A100" s="7"/>
      <c r="B100" s="8"/>
      <c r="C100" s="7"/>
      <c r="D100" s="7"/>
      <c r="E100" s="7"/>
      <c r="F100" s="8"/>
      <c r="G100" s="8"/>
      <c r="H100" s="7"/>
    </row>
    <row r="101" spans="1:8" ht="15.75" customHeight="1" x14ac:dyDescent="0.25">
      <c r="A101" s="7"/>
      <c r="B101" s="8"/>
      <c r="C101" s="7"/>
      <c r="D101" s="7"/>
      <c r="E101" s="7"/>
      <c r="F101" s="8"/>
      <c r="G101" s="8"/>
      <c r="H101" s="7"/>
    </row>
    <row r="102" spans="1:8" ht="15.75" customHeight="1" x14ac:dyDescent="0.25">
      <c r="A102" s="7"/>
      <c r="B102" s="8"/>
      <c r="C102" s="7"/>
      <c r="D102" s="7"/>
      <c r="E102" s="7"/>
      <c r="F102" s="8"/>
      <c r="G102" s="8"/>
      <c r="H102" s="7"/>
    </row>
    <row r="103" spans="1:8" ht="15.75" customHeight="1" x14ac:dyDescent="0.25">
      <c r="A103" s="7"/>
      <c r="B103" s="8"/>
      <c r="C103" s="7"/>
      <c r="D103" s="7"/>
      <c r="E103" s="7"/>
      <c r="F103" s="8"/>
      <c r="G103" s="8"/>
      <c r="H103" s="7"/>
    </row>
    <row r="104" spans="1:8" ht="15.75" customHeight="1" x14ac:dyDescent="0.25">
      <c r="A104" s="7"/>
      <c r="B104" s="8"/>
      <c r="C104" s="7"/>
      <c r="D104" s="7"/>
      <c r="E104" s="7"/>
      <c r="F104" s="8"/>
      <c r="G104" s="8"/>
      <c r="H104" s="7"/>
    </row>
    <row r="105" spans="1:8" ht="15.75" customHeight="1" x14ac:dyDescent="0.25">
      <c r="A105" s="7"/>
      <c r="B105" s="8"/>
      <c r="C105" s="7"/>
      <c r="D105" s="7"/>
      <c r="E105" s="7"/>
      <c r="F105" s="8"/>
      <c r="G105" s="8"/>
      <c r="H105" s="7"/>
    </row>
    <row r="106" spans="1:8" ht="15.75" customHeight="1" x14ac:dyDescent="0.25">
      <c r="A106" s="7"/>
      <c r="B106" s="8"/>
      <c r="C106" s="7"/>
      <c r="D106" s="7"/>
      <c r="E106" s="7"/>
      <c r="F106" s="8"/>
      <c r="G106" s="8"/>
      <c r="H106" s="7"/>
    </row>
    <row r="107" spans="1:8" ht="15.75" customHeight="1" x14ac:dyDescent="0.25">
      <c r="A107" s="7"/>
      <c r="B107" s="8"/>
      <c r="C107" s="7"/>
      <c r="D107" s="7"/>
      <c r="E107" s="7"/>
      <c r="F107" s="8"/>
      <c r="G107" s="8"/>
      <c r="H107" s="7"/>
    </row>
    <row r="108" spans="1:8" ht="15.75" customHeight="1" x14ac:dyDescent="0.25">
      <c r="A108" s="7"/>
      <c r="B108" s="8"/>
      <c r="C108" s="7"/>
      <c r="D108" s="7"/>
      <c r="E108" s="7"/>
      <c r="F108" s="8"/>
      <c r="G108" s="8"/>
      <c r="H108" s="7"/>
    </row>
    <row r="109" spans="1:8" ht="15.75" customHeight="1" x14ac:dyDescent="0.25">
      <c r="A109" s="7"/>
      <c r="B109" s="8"/>
      <c r="C109" s="7"/>
      <c r="D109" s="7"/>
      <c r="E109" s="7"/>
      <c r="F109" s="8"/>
      <c r="G109" s="8"/>
      <c r="H109" s="7"/>
    </row>
    <row r="110" spans="1:8" ht="15.75" customHeight="1" x14ac:dyDescent="0.25">
      <c r="A110" s="7"/>
      <c r="B110" s="8"/>
      <c r="C110" s="7"/>
      <c r="D110" s="7"/>
      <c r="E110" s="7"/>
      <c r="F110" s="8"/>
      <c r="G110" s="8"/>
      <c r="H110" s="7"/>
    </row>
    <row r="111" spans="1:8" ht="15.75" customHeight="1" x14ac:dyDescent="0.25">
      <c r="A111" s="7"/>
      <c r="B111" s="8"/>
      <c r="C111" s="7"/>
      <c r="D111" s="7"/>
      <c r="E111" s="7"/>
      <c r="F111" s="8"/>
      <c r="G111" s="8"/>
      <c r="H111" s="7"/>
    </row>
    <row r="112" spans="1:8" ht="15.75" customHeight="1" x14ac:dyDescent="0.25">
      <c r="A112" s="7"/>
      <c r="B112" s="8"/>
      <c r="C112" s="7"/>
      <c r="D112" s="7"/>
      <c r="E112" s="7"/>
      <c r="F112" s="8"/>
      <c r="G112" s="8"/>
      <c r="H112" s="7"/>
    </row>
    <row r="113" spans="1:8" ht="15.75" customHeight="1" x14ac:dyDescent="0.25">
      <c r="A113" s="7"/>
      <c r="B113" s="8"/>
      <c r="C113" s="7"/>
      <c r="D113" s="7"/>
      <c r="E113" s="7"/>
      <c r="F113" s="8"/>
      <c r="G113" s="8"/>
      <c r="H113" s="7"/>
    </row>
    <row r="114" spans="1:8" ht="15.75" customHeight="1" x14ac:dyDescent="0.25">
      <c r="A114" s="7"/>
      <c r="B114" s="8"/>
      <c r="C114" s="7"/>
      <c r="D114" s="7"/>
      <c r="E114" s="7"/>
      <c r="F114" s="8"/>
      <c r="G114" s="8"/>
      <c r="H114" s="7"/>
    </row>
    <row r="115" spans="1:8" ht="15.75" customHeight="1" x14ac:dyDescent="0.25">
      <c r="A115" s="7"/>
      <c r="B115" s="8"/>
      <c r="C115" s="7"/>
      <c r="D115" s="7"/>
      <c r="E115" s="7"/>
      <c r="F115" s="8"/>
      <c r="G115" s="8"/>
      <c r="H115" s="7"/>
    </row>
    <row r="116" spans="1:8" ht="15.75" customHeight="1" x14ac:dyDescent="0.25">
      <c r="A116" s="7"/>
      <c r="B116" s="8"/>
      <c r="C116" s="7"/>
      <c r="D116" s="7"/>
      <c r="E116" s="7"/>
      <c r="F116" s="8"/>
      <c r="G116" s="8"/>
      <c r="H116" s="7"/>
    </row>
    <row r="117" spans="1:8" ht="15.75" customHeight="1" x14ac:dyDescent="0.25">
      <c r="A117" s="7"/>
      <c r="B117" s="8"/>
      <c r="C117" s="7"/>
      <c r="D117" s="7"/>
      <c r="E117" s="7"/>
      <c r="F117" s="8"/>
      <c r="G117" s="8"/>
      <c r="H117" s="7"/>
    </row>
    <row r="118" spans="1:8" ht="15.75" customHeight="1" x14ac:dyDescent="0.25">
      <c r="A118" s="7"/>
      <c r="B118" s="8"/>
      <c r="C118" s="7"/>
      <c r="D118" s="7"/>
      <c r="E118" s="7"/>
      <c r="F118" s="8"/>
      <c r="G118" s="8"/>
      <c r="H118" s="7"/>
    </row>
    <row r="119" spans="1:8" ht="15.75" customHeight="1" x14ac:dyDescent="0.25">
      <c r="A119" s="7"/>
      <c r="B119" s="8"/>
      <c r="C119" s="7"/>
      <c r="D119" s="7"/>
      <c r="E119" s="7"/>
      <c r="F119" s="8"/>
      <c r="G119" s="8"/>
      <c r="H119" s="7"/>
    </row>
    <row r="120" spans="1:8" ht="15.75" customHeight="1" x14ac:dyDescent="0.25">
      <c r="A120" s="7"/>
      <c r="B120" s="8"/>
      <c r="C120" s="7"/>
      <c r="D120" s="7"/>
      <c r="E120" s="7"/>
      <c r="F120" s="8"/>
      <c r="G120" s="8"/>
      <c r="H120" s="7"/>
    </row>
    <row r="121" spans="1:8" ht="15.75" customHeight="1" x14ac:dyDescent="0.25">
      <c r="A121" s="7"/>
      <c r="B121" s="8"/>
      <c r="C121" s="7"/>
      <c r="D121" s="7"/>
      <c r="E121" s="7"/>
      <c r="F121" s="8"/>
      <c r="G121" s="8"/>
      <c r="H121" s="7"/>
    </row>
    <row r="122" spans="1:8" ht="15.75" customHeight="1" x14ac:dyDescent="0.25">
      <c r="A122" s="7"/>
      <c r="B122" s="8"/>
      <c r="C122" s="7"/>
      <c r="D122" s="7"/>
      <c r="E122" s="7"/>
      <c r="F122" s="8"/>
      <c r="G122" s="8"/>
      <c r="H122" s="7"/>
    </row>
    <row r="123" spans="1:8" ht="15.75" customHeight="1" x14ac:dyDescent="0.25">
      <c r="A123" s="7"/>
      <c r="B123" s="8"/>
      <c r="C123" s="7"/>
      <c r="D123" s="7"/>
      <c r="E123" s="7"/>
      <c r="F123" s="8"/>
      <c r="G123" s="8"/>
      <c r="H123" s="7"/>
    </row>
    <row r="124" spans="1:8" ht="15.75" customHeight="1" x14ac:dyDescent="0.25">
      <c r="A124" s="7"/>
      <c r="B124" s="8"/>
      <c r="C124" s="7"/>
      <c r="D124" s="7"/>
      <c r="E124" s="7"/>
      <c r="F124" s="8"/>
      <c r="G124" s="8"/>
      <c r="H124" s="7"/>
    </row>
    <row r="125" spans="1:8" ht="15.75" customHeight="1" x14ac:dyDescent="0.25">
      <c r="A125" s="7"/>
      <c r="B125" s="8"/>
      <c r="C125" s="7"/>
      <c r="D125" s="7"/>
      <c r="E125" s="7"/>
      <c r="F125" s="8"/>
      <c r="G125" s="8"/>
      <c r="H125" s="7"/>
    </row>
    <row r="126" spans="1:8" ht="15.75" customHeight="1" x14ac:dyDescent="0.25">
      <c r="A126" s="7"/>
      <c r="B126" s="8"/>
      <c r="C126" s="7"/>
      <c r="D126" s="7"/>
      <c r="E126" s="7"/>
      <c r="F126" s="8"/>
      <c r="G126" s="8"/>
      <c r="H126" s="7"/>
    </row>
    <row r="127" spans="1:8" ht="15.75" customHeight="1" x14ac:dyDescent="0.25">
      <c r="A127" s="7"/>
      <c r="B127" s="8"/>
      <c r="C127" s="7"/>
      <c r="D127" s="7"/>
      <c r="E127" s="7"/>
      <c r="F127" s="8"/>
      <c r="G127" s="8"/>
      <c r="H127" s="7"/>
    </row>
    <row r="128" spans="1:8" ht="15.75" customHeight="1" x14ac:dyDescent="0.25">
      <c r="A128" s="7"/>
      <c r="B128" s="8"/>
      <c r="C128" s="7"/>
      <c r="D128" s="7"/>
      <c r="E128" s="7"/>
      <c r="F128" s="8"/>
      <c r="G128" s="8"/>
      <c r="H128" s="7"/>
    </row>
    <row r="129" spans="1:8" ht="15.75" customHeight="1" x14ac:dyDescent="0.25">
      <c r="A129" s="7"/>
      <c r="B129" s="8"/>
      <c r="C129" s="7"/>
      <c r="D129" s="7"/>
      <c r="E129" s="7"/>
      <c r="F129" s="8"/>
      <c r="G129" s="8"/>
      <c r="H129" s="7"/>
    </row>
    <row r="130" spans="1:8" ht="15.75" customHeight="1" x14ac:dyDescent="0.25">
      <c r="A130" s="7"/>
      <c r="B130" s="8"/>
      <c r="C130" s="7"/>
      <c r="D130" s="7"/>
      <c r="E130" s="7"/>
      <c r="F130" s="8"/>
      <c r="G130" s="8"/>
      <c r="H130" s="7"/>
    </row>
    <row r="131" spans="1:8" ht="15.75" customHeight="1" x14ac:dyDescent="0.25">
      <c r="A131" s="7"/>
      <c r="B131" s="8"/>
      <c r="C131" s="7"/>
      <c r="D131" s="7"/>
      <c r="E131" s="7"/>
      <c r="F131" s="8"/>
      <c r="G131" s="8"/>
      <c r="H131" s="7"/>
    </row>
    <row r="132" spans="1:8" ht="15.75" customHeight="1" x14ac:dyDescent="0.25">
      <c r="A132" s="7"/>
      <c r="B132" s="8"/>
      <c r="C132" s="7"/>
      <c r="D132" s="7"/>
      <c r="E132" s="7"/>
      <c r="F132" s="8"/>
      <c r="G132" s="8"/>
      <c r="H132" s="7"/>
    </row>
    <row r="133" spans="1:8" ht="15.75" customHeight="1" x14ac:dyDescent="0.25">
      <c r="A133" s="7"/>
      <c r="B133" s="8"/>
      <c r="C133" s="7"/>
      <c r="D133" s="7"/>
      <c r="E133" s="7"/>
      <c r="F133" s="8"/>
      <c r="G133" s="8"/>
      <c r="H133" s="7"/>
    </row>
    <row r="134" spans="1:8" ht="15.75" customHeight="1" x14ac:dyDescent="0.25">
      <c r="A134" s="7"/>
      <c r="B134" s="8"/>
      <c r="C134" s="7"/>
      <c r="D134" s="7"/>
      <c r="E134" s="7"/>
      <c r="F134" s="8"/>
      <c r="G134" s="8"/>
      <c r="H134" s="7"/>
    </row>
    <row r="135" spans="1:8" ht="15.75" customHeight="1" x14ac:dyDescent="0.25">
      <c r="A135" s="7"/>
      <c r="B135" s="8"/>
      <c r="C135" s="7"/>
      <c r="D135" s="7"/>
      <c r="E135" s="7"/>
      <c r="F135" s="8"/>
      <c r="G135" s="8"/>
      <c r="H135" s="7"/>
    </row>
    <row r="136" spans="1:8" ht="15.75" customHeight="1" x14ac:dyDescent="0.25">
      <c r="A136" s="7"/>
      <c r="B136" s="8"/>
      <c r="C136" s="7"/>
      <c r="D136" s="7"/>
      <c r="E136" s="7"/>
      <c r="F136" s="8"/>
      <c r="G136" s="8"/>
      <c r="H136" s="7"/>
    </row>
    <row r="137" spans="1:8" ht="15.75" customHeight="1" x14ac:dyDescent="0.25">
      <c r="A137" s="7"/>
      <c r="B137" s="8"/>
      <c r="C137" s="7"/>
      <c r="D137" s="7"/>
      <c r="E137" s="7"/>
      <c r="F137" s="8"/>
      <c r="G137" s="8"/>
      <c r="H137" s="7"/>
    </row>
    <row r="138" spans="1:8" ht="15.75" customHeight="1" x14ac:dyDescent="0.25">
      <c r="A138" s="7"/>
      <c r="B138" s="8"/>
      <c r="C138" s="7"/>
      <c r="D138" s="7"/>
      <c r="E138" s="7"/>
      <c r="F138" s="8"/>
      <c r="G138" s="8"/>
      <c r="H138" s="7"/>
    </row>
    <row r="139" spans="1:8" ht="15.75" customHeight="1" x14ac:dyDescent="0.25">
      <c r="A139" s="7"/>
      <c r="B139" s="8"/>
      <c r="C139" s="7"/>
      <c r="D139" s="7"/>
      <c r="E139" s="7"/>
      <c r="F139" s="8"/>
      <c r="G139" s="8"/>
      <c r="H139" s="7"/>
    </row>
    <row r="140" spans="1:8" ht="15.75" customHeight="1" x14ac:dyDescent="0.25">
      <c r="A140" s="7"/>
      <c r="B140" s="8"/>
      <c r="C140" s="7"/>
      <c r="D140" s="7"/>
      <c r="E140" s="7"/>
      <c r="F140" s="8"/>
      <c r="G140" s="8"/>
      <c r="H140" s="7"/>
    </row>
    <row r="141" spans="1:8" ht="15.75" customHeight="1" x14ac:dyDescent="0.25">
      <c r="A141" s="7"/>
      <c r="B141" s="8"/>
      <c r="C141" s="7"/>
      <c r="D141" s="7"/>
      <c r="E141" s="7"/>
      <c r="F141" s="8"/>
      <c r="G141" s="8"/>
      <c r="H141" s="7"/>
    </row>
    <row r="142" spans="1:8" ht="15.75" customHeight="1" x14ac:dyDescent="0.25">
      <c r="A142" s="7"/>
      <c r="B142" s="8"/>
      <c r="C142" s="7"/>
      <c r="D142" s="7"/>
      <c r="E142" s="7"/>
      <c r="F142" s="8"/>
      <c r="G142" s="8"/>
      <c r="H142" s="7"/>
    </row>
    <row r="143" spans="1:8" ht="15.75" customHeight="1" x14ac:dyDescent="0.25">
      <c r="A143" s="7"/>
      <c r="B143" s="8"/>
      <c r="C143" s="7"/>
      <c r="D143" s="7"/>
      <c r="E143" s="7"/>
      <c r="F143" s="8"/>
      <c r="G143" s="8"/>
      <c r="H143" s="7"/>
    </row>
    <row r="144" spans="1:8" ht="15.75" customHeight="1" x14ac:dyDescent="0.25">
      <c r="A144" s="7"/>
      <c r="B144" s="8"/>
      <c r="C144" s="7"/>
      <c r="D144" s="7"/>
      <c r="E144" s="7"/>
      <c r="F144" s="8"/>
      <c r="G144" s="8"/>
      <c r="H144" s="7"/>
    </row>
    <row r="145" spans="1:8" ht="15.75" customHeight="1" x14ac:dyDescent="0.25">
      <c r="A145" s="7"/>
      <c r="B145" s="8"/>
      <c r="C145" s="7"/>
      <c r="D145" s="7"/>
      <c r="E145" s="7"/>
      <c r="F145" s="8"/>
      <c r="G145" s="8"/>
      <c r="H145" s="7"/>
    </row>
    <row r="146" spans="1:8" ht="15.75" customHeight="1" x14ac:dyDescent="0.25">
      <c r="A146" s="7"/>
      <c r="B146" s="8"/>
      <c r="C146" s="7"/>
      <c r="D146" s="7"/>
      <c r="E146" s="7"/>
      <c r="F146" s="8"/>
      <c r="G146" s="8"/>
      <c r="H146" s="7"/>
    </row>
    <row r="147" spans="1:8" ht="15.75" customHeight="1" x14ac:dyDescent="0.25">
      <c r="A147" s="7"/>
      <c r="B147" s="8"/>
      <c r="C147" s="7"/>
      <c r="D147" s="7"/>
      <c r="E147" s="7"/>
      <c r="F147" s="8"/>
      <c r="G147" s="8"/>
      <c r="H147" s="7"/>
    </row>
    <row r="148" spans="1:8" ht="15.75" customHeight="1" x14ac:dyDescent="0.25">
      <c r="A148" s="7"/>
      <c r="B148" s="8"/>
      <c r="C148" s="7"/>
      <c r="D148" s="7"/>
      <c r="E148" s="7"/>
      <c r="F148" s="8"/>
      <c r="G148" s="8"/>
      <c r="H148" s="7"/>
    </row>
    <row r="149" spans="1:8" ht="15.75" customHeight="1" x14ac:dyDescent="0.25">
      <c r="A149" s="7"/>
      <c r="B149" s="8"/>
      <c r="C149" s="7"/>
      <c r="D149" s="7"/>
      <c r="E149" s="7"/>
      <c r="F149" s="8"/>
      <c r="G149" s="8"/>
      <c r="H149" s="7"/>
    </row>
    <row r="150" spans="1:8" ht="15.75" customHeight="1" x14ac:dyDescent="0.25">
      <c r="A150" s="7"/>
      <c r="B150" s="8"/>
      <c r="C150" s="7"/>
      <c r="D150" s="7"/>
      <c r="E150" s="7"/>
      <c r="F150" s="8"/>
      <c r="G150" s="8"/>
      <c r="H150" s="7"/>
    </row>
    <row r="151" spans="1:8" ht="15.75" customHeight="1" x14ac:dyDescent="0.25">
      <c r="A151" s="7"/>
      <c r="B151" s="8"/>
      <c r="C151" s="7"/>
      <c r="D151" s="7"/>
      <c r="E151" s="7"/>
      <c r="F151" s="8"/>
      <c r="G151" s="8"/>
      <c r="H151" s="7"/>
    </row>
    <row r="152" spans="1:8" ht="15.75" customHeight="1" x14ac:dyDescent="0.25">
      <c r="A152" s="7"/>
      <c r="B152" s="8"/>
      <c r="C152" s="7"/>
      <c r="D152" s="7"/>
      <c r="E152" s="7"/>
      <c r="F152" s="8"/>
      <c r="G152" s="8"/>
      <c r="H152" s="7"/>
    </row>
    <row r="153" spans="1:8" ht="15.75" customHeight="1" x14ac:dyDescent="0.25">
      <c r="A153" s="7"/>
      <c r="B153" s="8"/>
      <c r="C153" s="7"/>
      <c r="D153" s="7"/>
      <c r="E153" s="7"/>
      <c r="F153" s="8"/>
      <c r="G153" s="8"/>
      <c r="H153" s="7"/>
    </row>
    <row r="154" spans="1:8" ht="15.75" customHeight="1" x14ac:dyDescent="0.25">
      <c r="A154" s="7"/>
      <c r="B154" s="8"/>
      <c r="C154" s="7"/>
      <c r="D154" s="7"/>
      <c r="E154" s="7"/>
      <c r="F154" s="8"/>
      <c r="G154" s="8"/>
      <c r="H154" s="7"/>
    </row>
    <row r="155" spans="1:8" ht="15.75" customHeight="1" x14ac:dyDescent="0.25">
      <c r="A155" s="7"/>
      <c r="B155" s="8"/>
      <c r="C155" s="7"/>
      <c r="D155" s="7"/>
      <c r="E155" s="7"/>
      <c r="F155" s="8"/>
      <c r="G155" s="8"/>
      <c r="H155" s="7"/>
    </row>
    <row r="156" spans="1:8" ht="15.75" customHeight="1" x14ac:dyDescent="0.25">
      <c r="A156" s="7"/>
      <c r="B156" s="8"/>
      <c r="C156" s="7"/>
      <c r="D156" s="7"/>
      <c r="E156" s="7"/>
      <c r="F156" s="8"/>
      <c r="G156" s="8"/>
      <c r="H156" s="7"/>
    </row>
    <row r="157" spans="1:8" ht="15.75" customHeight="1" x14ac:dyDescent="0.25">
      <c r="A157" s="7"/>
      <c r="B157" s="8"/>
      <c r="C157" s="7"/>
      <c r="D157" s="7"/>
      <c r="E157" s="7"/>
      <c r="F157" s="8"/>
      <c r="G157" s="8"/>
      <c r="H157" s="7"/>
    </row>
    <row r="158" spans="1:8" ht="15.75" customHeight="1" x14ac:dyDescent="0.25">
      <c r="A158" s="7"/>
      <c r="B158" s="8"/>
      <c r="C158" s="7"/>
      <c r="D158" s="7"/>
      <c r="E158" s="7"/>
      <c r="F158" s="8"/>
      <c r="G158" s="8"/>
      <c r="H158" s="7"/>
    </row>
    <row r="159" spans="1:8" ht="15.75" customHeight="1" x14ac:dyDescent="0.25">
      <c r="A159" s="7"/>
      <c r="B159" s="8"/>
      <c r="C159" s="7"/>
      <c r="D159" s="7"/>
      <c r="E159" s="7"/>
      <c r="F159" s="8"/>
      <c r="G159" s="8"/>
      <c r="H159" s="7"/>
    </row>
    <row r="160" spans="1:8" ht="15.75" customHeight="1" x14ac:dyDescent="0.25">
      <c r="A160" s="7"/>
      <c r="B160" s="8"/>
      <c r="C160" s="7"/>
      <c r="D160" s="7"/>
      <c r="E160" s="7"/>
      <c r="F160" s="8"/>
      <c r="G160" s="8"/>
      <c r="H160" s="7"/>
    </row>
    <row r="161" spans="1:8" ht="15.75" customHeight="1" x14ac:dyDescent="0.25">
      <c r="A161" s="7"/>
      <c r="B161" s="8"/>
      <c r="C161" s="7"/>
      <c r="D161" s="7"/>
      <c r="E161" s="7"/>
      <c r="F161" s="8"/>
      <c r="G161" s="8"/>
      <c r="H161" s="7"/>
    </row>
    <row r="162" spans="1:8" ht="15.75" customHeight="1" x14ac:dyDescent="0.25">
      <c r="A162" s="7"/>
      <c r="B162" s="8"/>
      <c r="C162" s="7"/>
      <c r="D162" s="7"/>
      <c r="E162" s="7"/>
      <c r="F162" s="8"/>
      <c r="G162" s="8"/>
      <c r="H162" s="7"/>
    </row>
    <row r="163" spans="1:8" ht="15.75" customHeight="1" x14ac:dyDescent="0.25">
      <c r="A163" s="7"/>
      <c r="B163" s="8"/>
      <c r="C163" s="7"/>
      <c r="D163" s="7"/>
      <c r="E163" s="7"/>
      <c r="F163" s="8"/>
      <c r="G163" s="8"/>
      <c r="H163" s="7"/>
    </row>
    <row r="164" spans="1:8" ht="15.75" customHeight="1" x14ac:dyDescent="0.25">
      <c r="A164" s="7"/>
      <c r="B164" s="8"/>
      <c r="C164" s="7"/>
      <c r="D164" s="7"/>
      <c r="E164" s="7"/>
      <c r="F164" s="8"/>
      <c r="G164" s="8"/>
      <c r="H164" s="7"/>
    </row>
    <row r="165" spans="1:8" ht="15.75" customHeight="1" x14ac:dyDescent="0.25">
      <c r="A165" s="7"/>
      <c r="B165" s="8"/>
      <c r="C165" s="7"/>
      <c r="D165" s="7"/>
      <c r="E165" s="7"/>
      <c r="F165" s="8"/>
      <c r="G165" s="8"/>
      <c r="H165" s="7"/>
    </row>
    <row r="166" spans="1:8" ht="15.75" customHeight="1" x14ac:dyDescent="0.25">
      <c r="A166" s="7"/>
      <c r="B166" s="8"/>
      <c r="C166" s="7"/>
      <c r="D166" s="7"/>
      <c r="E166" s="7"/>
      <c r="F166" s="8"/>
      <c r="G166" s="8"/>
      <c r="H166" s="7"/>
    </row>
    <row r="167" spans="1:8" ht="15.75" customHeight="1" x14ac:dyDescent="0.25">
      <c r="A167" s="7"/>
      <c r="B167" s="8"/>
      <c r="C167" s="7"/>
      <c r="D167" s="7"/>
      <c r="E167" s="7"/>
      <c r="F167" s="8"/>
      <c r="G167" s="8"/>
      <c r="H167" s="7"/>
    </row>
    <row r="168" spans="1:8" ht="15.75" customHeight="1" x14ac:dyDescent="0.25">
      <c r="A168" s="7"/>
      <c r="B168" s="8"/>
      <c r="C168" s="7"/>
      <c r="D168" s="7"/>
      <c r="E168" s="7"/>
      <c r="F168" s="8"/>
      <c r="G168" s="8"/>
      <c r="H168" s="7"/>
    </row>
    <row r="169" spans="1:8" ht="15.75" customHeight="1" x14ac:dyDescent="0.25">
      <c r="A169" s="7"/>
      <c r="B169" s="8"/>
      <c r="C169" s="7"/>
      <c r="D169" s="7"/>
      <c r="E169" s="7"/>
      <c r="F169" s="8"/>
      <c r="G169" s="8"/>
      <c r="H169" s="7"/>
    </row>
    <row r="170" spans="1:8" ht="15.75" customHeight="1" x14ac:dyDescent="0.25">
      <c r="A170" s="7"/>
      <c r="B170" s="8"/>
      <c r="C170" s="7"/>
      <c r="D170" s="7"/>
      <c r="E170" s="7"/>
      <c r="F170" s="8"/>
      <c r="G170" s="8"/>
      <c r="H170" s="7"/>
    </row>
    <row r="171" spans="1:8" ht="15.75" customHeight="1" x14ac:dyDescent="0.25">
      <c r="A171" s="7"/>
      <c r="B171" s="8"/>
      <c r="C171" s="7"/>
      <c r="D171" s="7"/>
      <c r="E171" s="7"/>
      <c r="F171" s="8"/>
      <c r="G171" s="8"/>
      <c r="H171" s="7"/>
    </row>
    <row r="172" spans="1:8" ht="15.75" customHeight="1" x14ac:dyDescent="0.25">
      <c r="A172" s="7"/>
      <c r="B172" s="8"/>
      <c r="C172" s="7"/>
      <c r="D172" s="7"/>
      <c r="E172" s="7"/>
      <c r="F172" s="8"/>
      <c r="G172" s="8"/>
      <c r="H172" s="7"/>
    </row>
    <row r="173" spans="1:8" ht="15.75" customHeight="1" x14ac:dyDescent="0.25">
      <c r="A173" s="7"/>
      <c r="B173" s="8"/>
      <c r="C173" s="7"/>
      <c r="D173" s="7"/>
      <c r="E173" s="7"/>
      <c r="F173" s="8"/>
      <c r="G173" s="8"/>
      <c r="H173" s="7"/>
    </row>
    <row r="174" spans="1:8" ht="15.75" customHeight="1" x14ac:dyDescent="0.25">
      <c r="A174" s="7"/>
      <c r="B174" s="8"/>
      <c r="C174" s="7"/>
      <c r="D174" s="7"/>
      <c r="E174" s="7"/>
      <c r="F174" s="8"/>
      <c r="G174" s="8"/>
      <c r="H174" s="7"/>
    </row>
    <row r="175" spans="1:8" ht="15.75" customHeight="1" x14ac:dyDescent="0.25">
      <c r="A175" s="7"/>
      <c r="B175" s="8"/>
      <c r="C175" s="7"/>
      <c r="D175" s="7"/>
      <c r="E175" s="7"/>
      <c r="F175" s="8"/>
      <c r="G175" s="8"/>
      <c r="H175" s="7"/>
    </row>
    <row r="176" spans="1:8" ht="15.75" customHeight="1" x14ac:dyDescent="0.25">
      <c r="A176" s="7"/>
      <c r="B176" s="8"/>
      <c r="C176" s="7"/>
      <c r="D176" s="7"/>
      <c r="E176" s="7"/>
      <c r="F176" s="8"/>
      <c r="G176" s="8"/>
      <c r="H176" s="7"/>
    </row>
    <row r="177" spans="1:8" ht="15.75" customHeight="1" x14ac:dyDescent="0.25">
      <c r="A177" s="7"/>
      <c r="B177" s="8"/>
      <c r="C177" s="7"/>
      <c r="D177" s="7"/>
      <c r="E177" s="7"/>
      <c r="F177" s="8"/>
      <c r="G177" s="8"/>
      <c r="H177" s="7"/>
    </row>
    <row r="178" spans="1:8" ht="15.75" customHeight="1" x14ac:dyDescent="0.25">
      <c r="A178" s="7"/>
      <c r="B178" s="8"/>
      <c r="C178" s="7"/>
      <c r="D178" s="7"/>
      <c r="E178" s="7"/>
      <c r="F178" s="8"/>
      <c r="G178" s="8"/>
      <c r="H178" s="7"/>
    </row>
    <row r="179" spans="1:8" ht="15.75" customHeight="1" x14ac:dyDescent="0.25">
      <c r="A179" s="7"/>
      <c r="B179" s="8"/>
      <c r="C179" s="7"/>
      <c r="D179" s="7"/>
      <c r="E179" s="7"/>
      <c r="F179" s="8"/>
      <c r="G179" s="8"/>
      <c r="H179" s="7"/>
    </row>
    <row r="180" spans="1:8" ht="15.75" customHeight="1" x14ac:dyDescent="0.25">
      <c r="A180" s="7"/>
      <c r="B180" s="8"/>
      <c r="C180" s="7"/>
      <c r="D180" s="7"/>
      <c r="E180" s="7"/>
      <c r="F180" s="8"/>
      <c r="G180" s="8"/>
      <c r="H180" s="7"/>
    </row>
    <row r="181" spans="1:8" ht="15.75" customHeight="1" x14ac:dyDescent="0.25">
      <c r="A181" s="7"/>
      <c r="B181" s="8"/>
      <c r="C181" s="7"/>
      <c r="D181" s="7"/>
      <c r="E181" s="7"/>
      <c r="F181" s="8"/>
      <c r="G181" s="8"/>
      <c r="H181" s="7"/>
    </row>
    <row r="182" spans="1:8" ht="15.75" customHeight="1" x14ac:dyDescent="0.25">
      <c r="A182" s="7"/>
      <c r="B182" s="8"/>
      <c r="C182" s="7"/>
      <c r="D182" s="7"/>
      <c r="E182" s="7"/>
      <c r="F182" s="8"/>
      <c r="G182" s="8"/>
      <c r="H182" s="7"/>
    </row>
    <row r="183" spans="1:8" ht="15.75" customHeight="1" x14ac:dyDescent="0.25">
      <c r="A183" s="7"/>
      <c r="B183" s="8"/>
      <c r="C183" s="7"/>
      <c r="D183" s="7"/>
      <c r="E183" s="7"/>
      <c r="F183" s="8"/>
      <c r="G183" s="8"/>
      <c r="H183" s="7"/>
    </row>
    <row r="184" spans="1:8" ht="15.75" customHeight="1" x14ac:dyDescent="0.25">
      <c r="A184" s="7"/>
      <c r="B184" s="8"/>
      <c r="C184" s="7"/>
      <c r="D184" s="7"/>
      <c r="E184" s="7"/>
      <c r="F184" s="8"/>
      <c r="G184" s="8"/>
      <c r="H184" s="7"/>
    </row>
    <row r="185" spans="1:8" ht="15.75" customHeight="1" x14ac:dyDescent="0.25">
      <c r="A185" s="7"/>
      <c r="B185" s="8"/>
      <c r="C185" s="7"/>
      <c r="D185" s="7"/>
      <c r="E185" s="7"/>
      <c r="F185" s="8"/>
      <c r="G185" s="8"/>
      <c r="H185" s="7"/>
    </row>
    <row r="186" spans="1:8" ht="15.75" customHeight="1" x14ac:dyDescent="0.25">
      <c r="A186" s="7"/>
      <c r="B186" s="8"/>
      <c r="C186" s="7"/>
      <c r="D186" s="7"/>
      <c r="E186" s="7"/>
      <c r="F186" s="8"/>
      <c r="G186" s="8"/>
      <c r="H186" s="7"/>
    </row>
    <row r="187" spans="1:8" ht="15.75" customHeight="1" x14ac:dyDescent="0.25">
      <c r="A187" s="7"/>
      <c r="B187" s="8"/>
      <c r="C187" s="7"/>
      <c r="D187" s="7"/>
      <c r="E187" s="7"/>
      <c r="F187" s="8"/>
      <c r="G187" s="8"/>
      <c r="H187" s="7"/>
    </row>
    <row r="188" spans="1:8" ht="15.75" customHeight="1" x14ac:dyDescent="0.25">
      <c r="A188" s="7"/>
      <c r="B188" s="8"/>
      <c r="C188" s="7"/>
      <c r="D188" s="7"/>
      <c r="E188" s="7"/>
      <c r="F188" s="8"/>
      <c r="G188" s="8"/>
      <c r="H188" s="7"/>
    </row>
    <row r="189" spans="1:8" ht="15.75" customHeight="1" x14ac:dyDescent="0.25">
      <c r="A189" s="7"/>
      <c r="B189" s="8"/>
      <c r="C189" s="7"/>
      <c r="D189" s="7"/>
      <c r="E189" s="7"/>
      <c r="F189" s="8"/>
      <c r="G189" s="8"/>
      <c r="H189" s="7"/>
    </row>
    <row r="190" spans="1:8" ht="15.75" customHeight="1" x14ac:dyDescent="0.25">
      <c r="A190" s="7"/>
      <c r="B190" s="8"/>
      <c r="C190" s="7"/>
      <c r="D190" s="7"/>
      <c r="E190" s="7"/>
      <c r="F190" s="8"/>
      <c r="G190" s="8"/>
      <c r="H190" s="7"/>
    </row>
    <row r="191" spans="1:8" ht="15.75" customHeight="1" x14ac:dyDescent="0.25">
      <c r="A191" s="7"/>
      <c r="B191" s="8"/>
      <c r="C191" s="7"/>
      <c r="D191" s="7"/>
      <c r="E191" s="7"/>
      <c r="F191" s="8"/>
      <c r="G191" s="8"/>
      <c r="H191" s="7"/>
    </row>
    <row r="192" spans="1:8" ht="15.75" customHeight="1" x14ac:dyDescent="0.25">
      <c r="A192" s="7"/>
      <c r="B192" s="8"/>
      <c r="C192" s="7"/>
      <c r="D192" s="7"/>
      <c r="E192" s="7"/>
      <c r="F192" s="8"/>
      <c r="G192" s="8"/>
      <c r="H192" s="7"/>
    </row>
    <row r="193" spans="1:8" ht="15.75" customHeight="1" x14ac:dyDescent="0.25">
      <c r="A193" s="7"/>
      <c r="B193" s="8"/>
      <c r="C193" s="7"/>
      <c r="D193" s="7"/>
      <c r="E193" s="7"/>
      <c r="F193" s="8"/>
      <c r="G193" s="8"/>
      <c r="H193" s="7"/>
    </row>
    <row r="194" spans="1:8" ht="15.75" customHeight="1" x14ac:dyDescent="0.25">
      <c r="A194" s="7"/>
      <c r="B194" s="8"/>
      <c r="C194" s="7"/>
      <c r="D194" s="7"/>
      <c r="E194" s="7"/>
      <c r="F194" s="8"/>
      <c r="G194" s="8"/>
      <c r="H194" s="7"/>
    </row>
    <row r="195" spans="1:8" ht="15.75" customHeight="1" x14ac:dyDescent="0.25">
      <c r="A195" s="7"/>
      <c r="B195" s="8"/>
      <c r="C195" s="7"/>
      <c r="D195" s="7"/>
      <c r="E195" s="7"/>
      <c r="F195" s="8"/>
      <c r="G195" s="8"/>
      <c r="H195" s="7"/>
    </row>
    <row r="196" spans="1:8" ht="15.75" customHeight="1" x14ac:dyDescent="0.25">
      <c r="A196" s="7"/>
      <c r="B196" s="8"/>
      <c r="C196" s="7"/>
      <c r="D196" s="7"/>
      <c r="E196" s="7"/>
      <c r="F196" s="8"/>
      <c r="G196" s="8"/>
      <c r="H196" s="7"/>
    </row>
    <row r="197" spans="1:8" ht="15.75" customHeight="1" x14ac:dyDescent="0.25">
      <c r="A197" s="7"/>
      <c r="B197" s="8"/>
      <c r="C197" s="7"/>
      <c r="D197" s="7"/>
      <c r="E197" s="7"/>
      <c r="F197" s="8"/>
      <c r="G197" s="8"/>
      <c r="H197" s="7"/>
    </row>
    <row r="198" spans="1:8" ht="15.75" customHeight="1" x14ac:dyDescent="0.25">
      <c r="A198" s="7"/>
      <c r="B198" s="8"/>
      <c r="C198" s="7"/>
      <c r="D198" s="7"/>
      <c r="E198" s="7"/>
      <c r="F198" s="8"/>
      <c r="G198" s="8"/>
      <c r="H198" s="7"/>
    </row>
    <row r="199" spans="1:8" ht="15.75" customHeight="1" x14ac:dyDescent="0.25">
      <c r="A199" s="7"/>
      <c r="B199" s="8"/>
      <c r="C199" s="7"/>
      <c r="D199" s="7"/>
      <c r="E199" s="7"/>
      <c r="F199" s="8"/>
      <c r="G199" s="8"/>
      <c r="H199" s="7"/>
    </row>
    <row r="200" spans="1:8" ht="15.75" customHeight="1" x14ac:dyDescent="0.25">
      <c r="A200" s="7"/>
      <c r="B200" s="8"/>
      <c r="C200" s="7"/>
      <c r="D200" s="7"/>
      <c r="E200" s="7"/>
      <c r="F200" s="8"/>
      <c r="G200" s="8"/>
      <c r="H200" s="7"/>
    </row>
    <row r="201" spans="1:8" ht="15.75" customHeight="1" x14ac:dyDescent="0.25">
      <c r="A201" s="7"/>
      <c r="B201" s="8"/>
      <c r="C201" s="7"/>
      <c r="D201" s="7"/>
      <c r="E201" s="7"/>
      <c r="F201" s="8"/>
      <c r="G201" s="8"/>
      <c r="H201" s="7"/>
    </row>
    <row r="202" spans="1:8" ht="15.75" customHeight="1" x14ac:dyDescent="0.25">
      <c r="A202" s="7"/>
      <c r="B202" s="8"/>
      <c r="C202" s="7"/>
      <c r="D202" s="7"/>
      <c r="E202" s="7"/>
      <c r="F202" s="8"/>
      <c r="G202" s="8"/>
      <c r="H202" s="7"/>
    </row>
    <row r="203" spans="1:8" ht="15.75" customHeight="1" x14ac:dyDescent="0.25">
      <c r="A203" s="7"/>
      <c r="B203" s="8"/>
      <c r="C203" s="7"/>
      <c r="D203" s="7"/>
      <c r="E203" s="7"/>
      <c r="F203" s="8"/>
      <c r="G203" s="8"/>
      <c r="H203" s="7"/>
    </row>
    <row r="204" spans="1:8" ht="15.75" customHeight="1" x14ac:dyDescent="0.25">
      <c r="A204" s="7"/>
      <c r="B204" s="8"/>
      <c r="C204" s="7"/>
      <c r="D204" s="7"/>
      <c r="E204" s="7"/>
      <c r="F204" s="8"/>
      <c r="G204" s="8"/>
      <c r="H204" s="7"/>
    </row>
    <row r="205" spans="1:8" ht="15.75" customHeight="1" x14ac:dyDescent="0.25">
      <c r="A205" s="7"/>
      <c r="B205" s="8"/>
      <c r="C205" s="7"/>
      <c r="D205" s="7"/>
      <c r="E205" s="7"/>
      <c r="F205" s="8"/>
      <c r="G205" s="8"/>
      <c r="H205" s="7"/>
    </row>
    <row r="206" spans="1:8" ht="15.75" customHeight="1" x14ac:dyDescent="0.25">
      <c r="A206" s="7"/>
      <c r="B206" s="8"/>
      <c r="C206" s="7"/>
      <c r="D206" s="7"/>
      <c r="E206" s="7"/>
      <c r="F206" s="8"/>
      <c r="G206" s="8"/>
      <c r="H206" s="7"/>
    </row>
    <row r="207" spans="1:8" ht="15.75" customHeight="1" x14ac:dyDescent="0.25">
      <c r="A207" s="7"/>
      <c r="B207" s="8"/>
      <c r="C207" s="7"/>
      <c r="D207" s="7"/>
      <c r="E207" s="7"/>
      <c r="F207" s="8"/>
      <c r="G207" s="8"/>
      <c r="H207" s="7"/>
    </row>
    <row r="208" spans="1:8" ht="15.75" customHeight="1" x14ac:dyDescent="0.25">
      <c r="A208" s="7"/>
      <c r="B208" s="8"/>
      <c r="C208" s="7"/>
      <c r="D208" s="7"/>
      <c r="E208" s="7"/>
      <c r="F208" s="8"/>
      <c r="G208" s="8"/>
      <c r="H208" s="7"/>
    </row>
    <row r="209" spans="1:8" ht="15.75" customHeight="1" x14ac:dyDescent="0.25">
      <c r="A209" s="7"/>
      <c r="B209" s="8"/>
      <c r="C209" s="7"/>
      <c r="D209" s="7"/>
      <c r="E209" s="7"/>
      <c r="F209" s="8"/>
      <c r="G209" s="8"/>
      <c r="H209" s="7"/>
    </row>
    <row r="210" spans="1:8" ht="15.75" customHeight="1" x14ac:dyDescent="0.25">
      <c r="A210" s="7"/>
      <c r="B210" s="8"/>
      <c r="C210" s="7"/>
      <c r="D210" s="7"/>
      <c r="E210" s="7"/>
      <c r="F210" s="8"/>
      <c r="G210" s="8"/>
      <c r="H210" s="7"/>
    </row>
    <row r="211" spans="1:8" ht="15.75" customHeight="1" x14ac:dyDescent="0.25">
      <c r="A211" s="7"/>
      <c r="B211" s="8"/>
      <c r="C211" s="7"/>
      <c r="D211" s="7"/>
      <c r="E211" s="7"/>
      <c r="F211" s="8"/>
      <c r="G211" s="8"/>
      <c r="H211" s="7"/>
    </row>
    <row r="212" spans="1:8" ht="15.75" customHeight="1" x14ac:dyDescent="0.25">
      <c r="A212" s="7"/>
      <c r="B212" s="8"/>
      <c r="C212" s="7"/>
      <c r="D212" s="7"/>
      <c r="E212" s="7"/>
      <c r="F212" s="8"/>
      <c r="G212" s="8"/>
      <c r="H212" s="7"/>
    </row>
    <row r="213" spans="1:8" ht="15.75" customHeight="1" x14ac:dyDescent="0.25">
      <c r="A213" s="7"/>
      <c r="B213" s="8"/>
      <c r="C213" s="7"/>
      <c r="D213" s="7"/>
      <c r="E213" s="7"/>
      <c r="F213" s="8"/>
      <c r="G213" s="8"/>
      <c r="H213" s="7"/>
    </row>
    <row r="214" spans="1:8" ht="15.75" customHeight="1" x14ac:dyDescent="0.25">
      <c r="A214" s="7"/>
      <c r="B214" s="8"/>
      <c r="C214" s="7"/>
      <c r="D214" s="7"/>
      <c r="E214" s="7"/>
      <c r="F214" s="8"/>
      <c r="G214" s="8"/>
      <c r="H214" s="7"/>
    </row>
    <row r="215" spans="1:8" ht="15.75" customHeight="1" x14ac:dyDescent="0.25">
      <c r="A215" s="7"/>
      <c r="B215" s="8"/>
      <c r="C215" s="7"/>
      <c r="D215" s="7"/>
      <c r="E215" s="7"/>
      <c r="F215" s="8"/>
      <c r="G215" s="8"/>
      <c r="H215" s="7"/>
    </row>
    <row r="216" spans="1:8" ht="15.75" customHeight="1" x14ac:dyDescent="0.25">
      <c r="A216" s="7"/>
      <c r="B216" s="8"/>
      <c r="C216" s="7"/>
      <c r="D216" s="7"/>
      <c r="E216" s="7"/>
      <c r="F216" s="8"/>
      <c r="G216" s="8"/>
      <c r="H216" s="7"/>
    </row>
    <row r="217" spans="1:8" ht="15.75" customHeight="1" x14ac:dyDescent="0.25">
      <c r="A217" s="7"/>
      <c r="B217" s="8"/>
      <c r="C217" s="7"/>
      <c r="D217" s="7"/>
      <c r="E217" s="7"/>
      <c r="F217" s="8"/>
      <c r="G217" s="8"/>
      <c r="H217" s="7"/>
    </row>
    <row r="218" spans="1:8" ht="15.75" customHeight="1" x14ac:dyDescent="0.25">
      <c r="A218" s="7"/>
      <c r="B218" s="8"/>
      <c r="C218" s="7"/>
      <c r="D218" s="7"/>
      <c r="E218" s="7"/>
      <c r="F218" s="8"/>
      <c r="G218" s="8"/>
      <c r="H218" s="7"/>
    </row>
    <row r="219" spans="1:8" ht="15.75" customHeight="1" x14ac:dyDescent="0.25">
      <c r="A219" s="7"/>
      <c r="B219" s="8"/>
      <c r="C219" s="7"/>
      <c r="D219" s="7"/>
      <c r="E219" s="7"/>
      <c r="F219" s="8"/>
      <c r="G219" s="8"/>
      <c r="H219" s="7"/>
    </row>
    <row r="220" spans="1:8" ht="15.75" customHeight="1" x14ac:dyDescent="0.25">
      <c r="A220" s="7"/>
      <c r="B220" s="8"/>
      <c r="C220" s="7"/>
      <c r="D220" s="7"/>
      <c r="E220" s="7"/>
      <c r="F220" s="8"/>
      <c r="G220" s="8"/>
      <c r="H220" s="7"/>
    </row>
    <row r="221" spans="1:8" ht="15.75" customHeight="1" x14ac:dyDescent="0.25">
      <c r="A221" s="7"/>
      <c r="B221" s="8"/>
      <c r="C221" s="7"/>
      <c r="D221" s="7"/>
      <c r="E221" s="7"/>
      <c r="F221" s="8"/>
      <c r="G221" s="8"/>
      <c r="H221" s="7"/>
    </row>
    <row r="222" spans="1:8" ht="15.75" customHeight="1" x14ac:dyDescent="0.25">
      <c r="A222" s="7"/>
      <c r="B222" s="8"/>
      <c r="C222" s="7"/>
      <c r="D222" s="7"/>
      <c r="E222" s="7"/>
      <c r="F222" s="8"/>
      <c r="G222" s="8"/>
      <c r="H222" s="7"/>
    </row>
    <row r="223" spans="1:8" ht="15.75" customHeight="1" x14ac:dyDescent="0.25">
      <c r="A223" s="7"/>
      <c r="B223" s="8"/>
      <c r="C223" s="7"/>
      <c r="D223" s="7"/>
      <c r="E223" s="7"/>
      <c r="F223" s="8"/>
      <c r="G223" s="8"/>
      <c r="H223" s="7"/>
    </row>
    <row r="224" spans="1:8" ht="15.75" customHeight="1" x14ac:dyDescent="0.25">
      <c r="A224" s="7"/>
      <c r="B224" s="8"/>
      <c r="C224" s="7"/>
      <c r="D224" s="7"/>
      <c r="E224" s="7"/>
      <c r="F224" s="8"/>
      <c r="G224" s="8"/>
      <c r="H224" s="7"/>
    </row>
    <row r="225" spans="1:8" ht="15.75" customHeight="1" x14ac:dyDescent="0.25">
      <c r="A225" s="7"/>
      <c r="B225" s="8"/>
      <c r="C225" s="7"/>
      <c r="D225" s="7"/>
      <c r="E225" s="7"/>
      <c r="F225" s="8"/>
      <c r="G225" s="8"/>
      <c r="H225" s="7"/>
    </row>
    <row r="226" spans="1:8" ht="15.75" customHeight="1" x14ac:dyDescent="0.25">
      <c r="A226" s="7"/>
      <c r="B226" s="8"/>
      <c r="C226" s="7"/>
      <c r="D226" s="7"/>
      <c r="E226" s="7"/>
      <c r="F226" s="8"/>
      <c r="G226" s="8"/>
      <c r="H226" s="7"/>
    </row>
    <row r="227" spans="1:8" ht="15.75" customHeight="1" x14ac:dyDescent="0.25">
      <c r="A227" s="7"/>
      <c r="B227" s="8"/>
      <c r="C227" s="7"/>
      <c r="D227" s="7"/>
      <c r="E227" s="7"/>
      <c r="F227" s="8"/>
      <c r="G227" s="8"/>
      <c r="H227" s="7"/>
    </row>
    <row r="228" spans="1:8" ht="15.75" customHeight="1" x14ac:dyDescent="0.25">
      <c r="A228" s="7"/>
      <c r="B228" s="8"/>
      <c r="C228" s="7"/>
      <c r="D228" s="7"/>
      <c r="E228" s="7"/>
      <c r="F228" s="8"/>
      <c r="G228" s="8"/>
      <c r="H228" s="7"/>
    </row>
    <row r="229" spans="1:8" ht="15.75" customHeight="1" x14ac:dyDescent="0.25">
      <c r="A229" s="7"/>
      <c r="B229" s="8"/>
      <c r="C229" s="7"/>
      <c r="D229" s="7"/>
      <c r="E229" s="7"/>
      <c r="F229" s="8"/>
      <c r="G229" s="8"/>
      <c r="H229" s="7"/>
    </row>
    <row r="230" spans="1:8" ht="15.75" customHeight="1" x14ac:dyDescent="0.25">
      <c r="A230" s="7"/>
      <c r="B230" s="8"/>
      <c r="C230" s="7"/>
      <c r="D230" s="7"/>
      <c r="E230" s="7"/>
      <c r="F230" s="8"/>
      <c r="G230" s="8"/>
      <c r="H230" s="7"/>
    </row>
    <row r="231" spans="1:8" ht="15.75" customHeight="1" x14ac:dyDescent="0.25">
      <c r="A231" s="7"/>
      <c r="B231" s="8"/>
      <c r="C231" s="7"/>
      <c r="D231" s="7"/>
      <c r="E231" s="7"/>
      <c r="F231" s="8"/>
      <c r="G231" s="8"/>
      <c r="H231" s="7"/>
    </row>
    <row r="232" spans="1:8" ht="15.75" customHeight="1" x14ac:dyDescent="0.25">
      <c r="A232" s="7"/>
      <c r="B232" s="8"/>
      <c r="C232" s="7"/>
      <c r="D232" s="7"/>
      <c r="E232" s="7"/>
      <c r="F232" s="8"/>
      <c r="G232" s="8"/>
      <c r="H232" s="7"/>
    </row>
    <row r="233" spans="1:8" ht="15.75" customHeight="1" x14ac:dyDescent="0.25">
      <c r="A233" s="7"/>
      <c r="B233" s="8"/>
      <c r="C233" s="7"/>
      <c r="D233" s="7"/>
      <c r="E233" s="7"/>
      <c r="F233" s="8"/>
      <c r="G233" s="8"/>
      <c r="H233" s="7"/>
    </row>
    <row r="234" spans="1:8" ht="15.75" customHeight="1" x14ac:dyDescent="0.25">
      <c r="A234" s="7"/>
      <c r="B234" s="8"/>
      <c r="C234" s="7"/>
      <c r="D234" s="7"/>
      <c r="E234" s="7"/>
      <c r="F234" s="8"/>
      <c r="G234" s="8"/>
      <c r="H234" s="7"/>
    </row>
    <row r="235" spans="1:8" ht="15.75" customHeight="1" x14ac:dyDescent="0.25">
      <c r="A235" s="7"/>
      <c r="B235" s="8"/>
      <c r="C235" s="7"/>
      <c r="D235" s="7"/>
      <c r="E235" s="7"/>
      <c r="F235" s="8"/>
      <c r="G235" s="8"/>
      <c r="H235" s="7"/>
    </row>
    <row r="236" spans="1:8" ht="15.75" customHeight="1" x14ac:dyDescent="0.25">
      <c r="A236" s="7"/>
      <c r="B236" s="8"/>
      <c r="C236" s="7"/>
      <c r="D236" s="7"/>
      <c r="E236" s="7"/>
      <c r="F236" s="8"/>
      <c r="G236" s="8"/>
      <c r="H236" s="7"/>
    </row>
    <row r="237" spans="1:8" ht="15.75" customHeight="1" x14ac:dyDescent="0.25">
      <c r="A237" s="7"/>
      <c r="B237" s="8"/>
      <c r="C237" s="7"/>
      <c r="D237" s="7"/>
      <c r="E237" s="7"/>
      <c r="F237" s="8"/>
      <c r="G237" s="8"/>
      <c r="H237" s="7"/>
    </row>
    <row r="238" spans="1:8" ht="15.75" customHeight="1" x14ac:dyDescent="0.25">
      <c r="A238" s="7"/>
      <c r="B238" s="8"/>
      <c r="C238" s="7"/>
      <c r="D238" s="7"/>
      <c r="E238" s="7"/>
      <c r="F238" s="8"/>
      <c r="G238" s="8"/>
      <c r="H238" s="7"/>
    </row>
    <row r="239" spans="1:8" ht="15.75" customHeight="1" x14ac:dyDescent="0.25">
      <c r="A239" s="7"/>
      <c r="B239" s="8"/>
      <c r="C239" s="7"/>
      <c r="D239" s="7"/>
      <c r="E239" s="7"/>
      <c r="F239" s="8"/>
      <c r="G239" s="8"/>
      <c r="H239" s="7"/>
    </row>
    <row r="240" spans="1:8" ht="15.75" customHeight="1" x14ac:dyDescent="0.25">
      <c r="A240" s="7"/>
      <c r="B240" s="8"/>
      <c r="C240" s="7"/>
      <c r="D240" s="7"/>
      <c r="E240" s="7"/>
      <c r="F240" s="8"/>
      <c r="G240" s="8"/>
      <c r="H240" s="7"/>
    </row>
    <row r="241" spans="1:8" ht="15.75" customHeight="1" x14ac:dyDescent="0.25">
      <c r="A241" s="7"/>
      <c r="B241" s="8"/>
      <c r="C241" s="7"/>
      <c r="D241" s="7"/>
      <c r="E241" s="7"/>
      <c r="F241" s="8"/>
      <c r="G241" s="8"/>
      <c r="H241" s="7"/>
    </row>
    <row r="242" spans="1:8" ht="15.75" customHeight="1" x14ac:dyDescent="0.25">
      <c r="A242" s="7"/>
      <c r="B242" s="8"/>
      <c r="C242" s="7"/>
      <c r="D242" s="7"/>
      <c r="E242" s="7"/>
      <c r="F242" s="8"/>
      <c r="G242" s="8"/>
      <c r="H242" s="7"/>
    </row>
    <row r="243" spans="1:8" ht="15.75" customHeight="1" x14ac:dyDescent="0.25">
      <c r="A243" s="7"/>
      <c r="B243" s="8"/>
      <c r="C243" s="7"/>
      <c r="D243" s="7"/>
      <c r="E243" s="7"/>
      <c r="F243" s="8"/>
      <c r="G243" s="8"/>
      <c r="H243" s="7"/>
    </row>
    <row r="244" spans="1:8" ht="15.75" customHeight="1" x14ac:dyDescent="0.25">
      <c r="A244" s="7"/>
      <c r="B244" s="8"/>
      <c r="C244" s="7"/>
      <c r="D244" s="7"/>
      <c r="E244" s="7"/>
      <c r="F244" s="8"/>
      <c r="G244" s="8"/>
      <c r="H244" s="7"/>
    </row>
    <row r="245" spans="1:8" ht="15.75" customHeight="1" x14ac:dyDescent="0.2"/>
    <row r="246" spans="1:8" ht="15.75" customHeight="1" x14ac:dyDescent="0.2"/>
    <row r="247" spans="1:8" ht="15.75" customHeight="1" x14ac:dyDescent="0.2"/>
    <row r="248" spans="1:8" ht="15.75" customHeight="1" x14ac:dyDescent="0.2"/>
    <row r="249" spans="1:8" ht="15.75" customHeight="1" x14ac:dyDescent="0.2"/>
    <row r="250" spans="1:8" ht="15.75" customHeight="1" x14ac:dyDescent="0.2"/>
    <row r="251" spans="1:8" ht="15.75" customHeight="1" x14ac:dyDescent="0.2"/>
    <row r="252" spans="1:8" ht="15.75" customHeight="1" x14ac:dyDescent="0.2"/>
    <row r="253" spans="1:8" ht="15.75" customHeight="1" x14ac:dyDescent="0.2"/>
    <row r="254" spans="1:8" ht="15.75" customHeight="1" x14ac:dyDescent="0.2"/>
    <row r="255" spans="1:8" ht="15.75" customHeight="1" x14ac:dyDescent="0.2"/>
    <row r="256" spans="1:8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7">
    <mergeCell ref="C31:E31"/>
    <mergeCell ref="C26:E26"/>
    <mergeCell ref="C27:E27"/>
    <mergeCell ref="C28:E28"/>
    <mergeCell ref="C29:E29"/>
    <mergeCell ref="C30:E30"/>
    <mergeCell ref="C21:E21"/>
    <mergeCell ref="C22:E22"/>
    <mergeCell ref="C23:E23"/>
    <mergeCell ref="C24:E24"/>
    <mergeCell ref="C25:E25"/>
    <mergeCell ref="A1:B1"/>
    <mergeCell ref="C7:E7"/>
    <mergeCell ref="C32:E32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EW6939"/>
  <sheetViews>
    <sheetView showGridLines="0" tabSelected="1" zoomScale="85" zoomScaleNormal="85" workbookViewId="0">
      <pane ySplit="3" topLeftCell="A4" activePane="bottomLeft" state="frozen"/>
      <selection activeCell="D4145" sqref="D4145"/>
      <selection pane="bottomLeft" activeCell="I19" sqref="I19"/>
    </sheetView>
  </sheetViews>
  <sheetFormatPr baseColWidth="10" defaultColWidth="12.5703125" defaultRowHeight="15" customHeight="1" x14ac:dyDescent="0.25"/>
  <cols>
    <col min="1" max="1" width="11.140625" style="160" bestFit="1" customWidth="1"/>
    <col min="2" max="2" width="24.42578125" style="160" bestFit="1" customWidth="1"/>
    <col min="3" max="3" width="37.28515625" style="222" bestFit="1" customWidth="1"/>
    <col min="4" max="4" width="27.5703125" style="160" bestFit="1" customWidth="1"/>
    <col min="5" max="5" width="28.28515625" style="196" bestFit="1" customWidth="1"/>
    <col min="6" max="7" width="11.140625" style="160" bestFit="1" customWidth="1"/>
    <col min="8" max="8" width="12.28515625" style="160" bestFit="1" customWidth="1"/>
    <col min="9" max="9" width="13.28515625" style="225" bestFit="1" customWidth="1"/>
    <col min="10" max="10" width="13.28515625" style="226" bestFit="1" customWidth="1"/>
    <col min="11" max="11" width="17" style="160" bestFit="1" customWidth="1"/>
    <col min="12" max="12" width="12.5703125" style="160"/>
    <col min="13" max="13" width="12.5703125" style="14" hidden="1" customWidth="1"/>
    <col min="14" max="14" width="12.5703125" style="159"/>
    <col min="15" max="16384" width="12.5703125" style="160"/>
  </cols>
  <sheetData>
    <row r="1" spans="1:14" ht="78.75" customHeight="1" x14ac:dyDescent="0.25">
      <c r="A1" s="17"/>
      <c r="B1" s="237"/>
      <c r="C1" s="238"/>
      <c r="D1" s="239" t="s">
        <v>873</v>
      </c>
      <c r="E1" s="238"/>
      <c r="F1" s="238"/>
      <c r="G1" s="238"/>
      <c r="H1" s="238"/>
      <c r="I1" s="240"/>
      <c r="J1" s="241"/>
      <c r="K1" s="238"/>
      <c r="L1" s="238"/>
      <c r="M1" s="18"/>
    </row>
    <row r="2" spans="1:14" s="14" customFormat="1" ht="36.75" hidden="1" customHeight="1" x14ac:dyDescent="0.2">
      <c r="A2" s="17"/>
      <c r="B2" s="19"/>
      <c r="C2" s="242" t="str">
        <f>Récap!A44</f>
        <v>Sommes Des Impayés</v>
      </c>
      <c r="D2" s="243"/>
      <c r="E2" s="244">
        <f>(SUM(Récap!B7:B31)-(SUM(Récap!F7:F31)))</f>
        <v>84300.375957843848</v>
      </c>
      <c r="F2" s="243"/>
      <c r="G2" s="143"/>
      <c r="H2" s="144"/>
      <c r="I2" s="21"/>
      <c r="J2" s="21"/>
      <c r="K2" s="81"/>
      <c r="L2" s="71"/>
      <c r="M2" s="20"/>
    </row>
    <row r="3" spans="1:14" s="164" customFormat="1" ht="123.75" customHeight="1" x14ac:dyDescent="0.2">
      <c r="B3" s="22" t="s">
        <v>18</v>
      </c>
      <c r="C3" s="199" t="s">
        <v>19</v>
      </c>
      <c r="D3" s="22" t="s">
        <v>20</v>
      </c>
      <c r="E3" s="22" t="s">
        <v>21</v>
      </c>
      <c r="F3" s="22" t="s">
        <v>4</v>
      </c>
      <c r="G3" s="22" t="s">
        <v>22</v>
      </c>
      <c r="H3" s="36" t="s">
        <v>23</v>
      </c>
      <c r="I3" s="245" t="s">
        <v>24</v>
      </c>
      <c r="J3" s="246"/>
      <c r="K3" s="23"/>
      <c r="L3" s="23" t="s">
        <v>25</v>
      </c>
      <c r="M3" s="24"/>
      <c r="N3" s="25" t="s">
        <v>455</v>
      </c>
    </row>
    <row r="4" spans="1:14" s="14" customFormat="1" ht="15" customHeight="1" x14ac:dyDescent="0.25">
      <c r="A4" s="100">
        <v>45838</v>
      </c>
      <c r="B4" s="145">
        <v>494</v>
      </c>
      <c r="C4" s="200" t="s">
        <v>246</v>
      </c>
      <c r="D4" s="98" t="s">
        <v>17</v>
      </c>
      <c r="E4" s="99" t="s">
        <v>39</v>
      </c>
      <c r="F4" s="100">
        <v>45473</v>
      </c>
      <c r="G4" s="99">
        <v>8</v>
      </c>
      <c r="H4" s="101">
        <v>629.50941988435</v>
      </c>
      <c r="I4" s="97"/>
      <c r="J4" s="102"/>
      <c r="K4" s="101"/>
      <c r="L4" s="103" t="str">
        <f t="shared" ref="L4:L39" si="0">IF(ISBLANK(H4),"",IF(H4=K4,"Payé","Impayé"))</f>
        <v>Impayé</v>
      </c>
      <c r="M4" s="82"/>
      <c r="N4" s="15"/>
    </row>
    <row r="5" spans="1:14" s="14" customFormat="1" ht="15" customHeight="1" x14ac:dyDescent="0.25">
      <c r="A5" s="100">
        <v>45838</v>
      </c>
      <c r="B5" s="145">
        <v>1355</v>
      </c>
      <c r="C5" s="200" t="s">
        <v>38</v>
      </c>
      <c r="D5" s="98" t="s">
        <v>17</v>
      </c>
      <c r="E5" s="99" t="s">
        <v>39</v>
      </c>
      <c r="F5" s="100">
        <v>45473</v>
      </c>
      <c r="G5" s="99">
        <v>1</v>
      </c>
      <c r="H5" s="101">
        <v>71.535161350494306</v>
      </c>
      <c r="I5" s="97"/>
      <c r="J5" s="102"/>
      <c r="K5" s="101"/>
      <c r="L5" s="103" t="str">
        <f t="shared" si="0"/>
        <v>Impayé</v>
      </c>
      <c r="N5" s="15"/>
    </row>
    <row r="6" spans="1:14" s="14" customFormat="1" ht="15" customHeight="1" x14ac:dyDescent="0.25">
      <c r="A6" s="100">
        <v>45838</v>
      </c>
      <c r="B6" s="145">
        <v>1478</v>
      </c>
      <c r="C6" s="200" t="s">
        <v>40</v>
      </c>
      <c r="D6" s="98" t="s">
        <v>17</v>
      </c>
      <c r="E6" s="99" t="s">
        <v>39</v>
      </c>
      <c r="F6" s="100">
        <v>45473</v>
      </c>
      <c r="G6" s="99">
        <v>1</v>
      </c>
      <c r="H6" s="101">
        <v>71.535161350494306</v>
      </c>
      <c r="I6" s="97"/>
      <c r="J6" s="102"/>
      <c r="K6" s="101"/>
      <c r="L6" s="103" t="str">
        <f t="shared" si="0"/>
        <v>Impayé</v>
      </c>
      <c r="N6" s="15"/>
    </row>
    <row r="7" spans="1:14" s="14" customFormat="1" ht="15" customHeight="1" x14ac:dyDescent="0.25">
      <c r="A7" s="100">
        <v>45838</v>
      </c>
      <c r="B7" s="145">
        <v>1478</v>
      </c>
      <c r="C7" s="200" t="s">
        <v>40</v>
      </c>
      <c r="D7" s="98" t="s">
        <v>17</v>
      </c>
      <c r="E7" s="99" t="s">
        <v>39</v>
      </c>
      <c r="F7" s="100">
        <v>45473</v>
      </c>
      <c r="G7" s="99">
        <v>1</v>
      </c>
      <c r="H7" s="101">
        <v>71.535161350494306</v>
      </c>
      <c r="I7" s="97"/>
      <c r="J7" s="102"/>
      <c r="K7" s="101"/>
      <c r="L7" s="103" t="str">
        <f t="shared" si="0"/>
        <v>Impayé</v>
      </c>
      <c r="N7" s="15"/>
    </row>
    <row r="8" spans="1:14" s="14" customFormat="1" ht="15" customHeight="1" x14ac:dyDescent="0.25">
      <c r="A8" s="100">
        <v>45838</v>
      </c>
      <c r="B8" s="145">
        <v>1234</v>
      </c>
      <c r="C8" s="200" t="s">
        <v>247</v>
      </c>
      <c r="D8" s="98" t="s">
        <v>17</v>
      </c>
      <c r="E8" s="99" t="s">
        <v>39</v>
      </c>
      <c r="F8" s="100">
        <v>45473</v>
      </c>
      <c r="G8" s="99">
        <v>1</v>
      </c>
      <c r="H8" s="101">
        <v>78.688677485543749</v>
      </c>
      <c r="I8" s="97"/>
      <c r="J8" s="102"/>
      <c r="K8" s="101"/>
      <c r="L8" s="103" t="str">
        <f t="shared" si="0"/>
        <v>Impayé</v>
      </c>
      <c r="N8" s="15"/>
    </row>
    <row r="9" spans="1:14" s="14" customFormat="1" ht="15" customHeight="1" x14ac:dyDescent="0.25">
      <c r="A9" s="100">
        <v>45838</v>
      </c>
      <c r="B9" s="104">
        <v>3959</v>
      </c>
      <c r="C9" s="201" t="s">
        <v>498</v>
      </c>
      <c r="D9" s="104" t="s">
        <v>17</v>
      </c>
      <c r="E9" s="104" t="s">
        <v>503</v>
      </c>
      <c r="F9" s="100">
        <v>45473</v>
      </c>
      <c r="G9" s="105">
        <v>1</v>
      </c>
      <c r="H9" s="99">
        <v>83</v>
      </c>
      <c r="I9" s="106"/>
      <c r="J9" s="107"/>
      <c r="K9" s="104"/>
      <c r="L9" s="103" t="str">
        <f t="shared" si="0"/>
        <v>Impayé</v>
      </c>
      <c r="N9" s="15"/>
    </row>
    <row r="10" spans="1:14" s="14" customFormat="1" ht="15" customHeight="1" x14ac:dyDescent="0.25">
      <c r="A10" s="100">
        <v>45838</v>
      </c>
      <c r="B10" s="104">
        <v>4021</v>
      </c>
      <c r="C10" s="201" t="s">
        <v>507</v>
      </c>
      <c r="D10" s="104" t="s">
        <v>17</v>
      </c>
      <c r="E10" s="104" t="s">
        <v>503</v>
      </c>
      <c r="F10" s="100">
        <v>45473</v>
      </c>
      <c r="G10" s="105">
        <v>1</v>
      </c>
      <c r="H10" s="99">
        <v>83</v>
      </c>
      <c r="I10" s="106"/>
      <c r="J10" s="107"/>
      <c r="K10" s="104"/>
      <c r="L10" s="103" t="str">
        <f t="shared" si="0"/>
        <v>Impayé</v>
      </c>
      <c r="N10" s="15"/>
    </row>
    <row r="11" spans="1:14" s="14" customFormat="1" ht="15" customHeight="1" x14ac:dyDescent="0.25">
      <c r="A11" s="100">
        <v>45838</v>
      </c>
      <c r="B11" s="104">
        <v>4080</v>
      </c>
      <c r="C11" s="201" t="s">
        <v>510</v>
      </c>
      <c r="D11" s="104" t="s">
        <v>17</v>
      </c>
      <c r="E11" s="104" t="s">
        <v>503</v>
      </c>
      <c r="F11" s="100">
        <v>45473</v>
      </c>
      <c r="G11" s="105">
        <v>1</v>
      </c>
      <c r="H11" s="99">
        <v>83</v>
      </c>
      <c r="I11" s="106"/>
      <c r="J11" s="107"/>
      <c r="K11" s="104"/>
      <c r="L11" s="103" t="str">
        <f t="shared" si="0"/>
        <v>Impayé</v>
      </c>
      <c r="N11" s="15"/>
    </row>
    <row r="12" spans="1:14" s="14" customFormat="1" ht="15" customHeight="1" x14ac:dyDescent="0.25">
      <c r="A12" s="100">
        <v>45838</v>
      </c>
      <c r="B12" s="104">
        <v>3508</v>
      </c>
      <c r="C12" s="201" t="s">
        <v>418</v>
      </c>
      <c r="D12" s="104" t="s">
        <v>17</v>
      </c>
      <c r="E12" s="104" t="s">
        <v>503</v>
      </c>
      <c r="F12" s="100">
        <v>45473</v>
      </c>
      <c r="G12" s="105">
        <v>5</v>
      </c>
      <c r="H12" s="99">
        <v>413</v>
      </c>
      <c r="I12" s="106"/>
      <c r="J12" s="107"/>
      <c r="K12" s="104"/>
      <c r="L12" s="103" t="str">
        <f t="shared" si="0"/>
        <v>Impayé</v>
      </c>
      <c r="N12" s="15"/>
    </row>
    <row r="13" spans="1:14" s="14" customFormat="1" ht="15" customHeight="1" x14ac:dyDescent="0.25">
      <c r="A13" s="100">
        <v>45838</v>
      </c>
      <c r="B13" s="104">
        <v>4068</v>
      </c>
      <c r="C13" s="201" t="s">
        <v>115</v>
      </c>
      <c r="D13" s="104" t="s">
        <v>17</v>
      </c>
      <c r="E13" s="104" t="s">
        <v>503</v>
      </c>
      <c r="F13" s="100">
        <v>45473</v>
      </c>
      <c r="G13" s="105">
        <v>1</v>
      </c>
      <c r="H13" s="99">
        <v>83</v>
      </c>
      <c r="I13" s="106"/>
      <c r="J13" s="107"/>
      <c r="K13" s="104"/>
      <c r="L13" s="103" t="str">
        <f t="shared" si="0"/>
        <v>Impayé</v>
      </c>
      <c r="N13" s="15"/>
    </row>
    <row r="14" spans="1:14" s="14" customFormat="1" ht="15" customHeight="1" x14ac:dyDescent="0.25">
      <c r="A14" s="100">
        <v>45838</v>
      </c>
      <c r="B14" s="104">
        <v>4069</v>
      </c>
      <c r="C14" s="201" t="s">
        <v>508</v>
      </c>
      <c r="D14" s="104" t="s">
        <v>17</v>
      </c>
      <c r="E14" s="104" t="s">
        <v>503</v>
      </c>
      <c r="F14" s="100">
        <v>45473</v>
      </c>
      <c r="G14" s="105">
        <v>1</v>
      </c>
      <c r="H14" s="99">
        <v>83</v>
      </c>
      <c r="I14" s="106"/>
      <c r="J14" s="107"/>
      <c r="K14" s="104"/>
      <c r="L14" s="103" t="str">
        <f t="shared" si="0"/>
        <v>Impayé</v>
      </c>
      <c r="N14" s="15"/>
    </row>
    <row r="15" spans="1:14" s="14" customFormat="1" ht="15" customHeight="1" x14ac:dyDescent="0.25">
      <c r="A15" s="100">
        <v>45838</v>
      </c>
      <c r="B15" s="104">
        <v>3949</v>
      </c>
      <c r="C15" s="201" t="s">
        <v>497</v>
      </c>
      <c r="D15" s="104" t="s">
        <v>17</v>
      </c>
      <c r="E15" s="104" t="s">
        <v>503</v>
      </c>
      <c r="F15" s="100">
        <v>45473</v>
      </c>
      <c r="G15" s="105">
        <v>3</v>
      </c>
      <c r="H15" s="99">
        <v>248</v>
      </c>
      <c r="I15" s="106"/>
      <c r="J15" s="107"/>
      <c r="K15" s="104"/>
      <c r="L15" s="103" t="str">
        <f t="shared" si="0"/>
        <v>Impayé</v>
      </c>
      <c r="N15" s="15"/>
    </row>
    <row r="16" spans="1:14" s="14" customFormat="1" ht="15" customHeight="1" x14ac:dyDescent="0.25">
      <c r="A16" s="100">
        <v>45838</v>
      </c>
      <c r="B16" s="104">
        <v>4016</v>
      </c>
      <c r="C16" s="201" t="s">
        <v>506</v>
      </c>
      <c r="D16" s="104" t="s">
        <v>17</v>
      </c>
      <c r="E16" s="104" t="s">
        <v>503</v>
      </c>
      <c r="F16" s="100">
        <v>45473</v>
      </c>
      <c r="G16" s="105">
        <v>1</v>
      </c>
      <c r="H16" s="99">
        <v>83</v>
      </c>
      <c r="I16" s="97"/>
      <c r="J16" s="107"/>
      <c r="K16" s="99"/>
      <c r="L16" s="103" t="str">
        <f t="shared" si="0"/>
        <v>Impayé</v>
      </c>
      <c r="N16" s="15"/>
    </row>
    <row r="17" spans="1:14" s="14" customFormat="1" ht="15" customHeight="1" x14ac:dyDescent="0.25">
      <c r="A17" s="100">
        <v>45838</v>
      </c>
      <c r="B17" s="104">
        <v>3971</v>
      </c>
      <c r="C17" s="201" t="s">
        <v>577</v>
      </c>
      <c r="D17" s="104" t="s">
        <v>17</v>
      </c>
      <c r="E17" s="104" t="s">
        <v>503</v>
      </c>
      <c r="F17" s="104" t="s">
        <v>517</v>
      </c>
      <c r="G17" s="105">
        <v>3</v>
      </c>
      <c r="H17" s="99">
        <v>248</v>
      </c>
      <c r="I17" s="106"/>
      <c r="J17" s="107"/>
      <c r="K17" s="104"/>
      <c r="L17" s="103" t="str">
        <f t="shared" si="0"/>
        <v>Impayé</v>
      </c>
      <c r="N17" s="15"/>
    </row>
    <row r="18" spans="1:14" s="14" customFormat="1" ht="15" customHeight="1" x14ac:dyDescent="0.25">
      <c r="A18" s="100">
        <v>45838</v>
      </c>
      <c r="B18" s="104">
        <v>4167</v>
      </c>
      <c r="C18" s="201" t="s">
        <v>581</v>
      </c>
      <c r="D18" s="104" t="s">
        <v>17</v>
      </c>
      <c r="E18" s="104" t="s">
        <v>503</v>
      </c>
      <c r="F18" s="104" t="s">
        <v>517</v>
      </c>
      <c r="G18" s="105">
        <v>1</v>
      </c>
      <c r="H18" s="99">
        <v>83</v>
      </c>
      <c r="I18" s="106"/>
      <c r="J18" s="107"/>
      <c r="K18" s="104"/>
      <c r="L18" s="103" t="str">
        <f t="shared" si="0"/>
        <v>Impayé</v>
      </c>
      <c r="N18" s="15"/>
    </row>
    <row r="19" spans="1:14" s="14" customFormat="1" ht="15" customHeight="1" x14ac:dyDescent="0.25">
      <c r="A19" s="100">
        <v>45838</v>
      </c>
      <c r="B19" s="104">
        <v>5010</v>
      </c>
      <c r="C19" s="201" t="s">
        <v>627</v>
      </c>
      <c r="D19" s="104" t="s">
        <v>17</v>
      </c>
      <c r="E19" s="104" t="s">
        <v>503</v>
      </c>
      <c r="F19" s="104" t="s">
        <v>519</v>
      </c>
      <c r="G19" s="105">
        <v>1</v>
      </c>
      <c r="H19" s="99">
        <v>83</v>
      </c>
      <c r="I19" s="106"/>
      <c r="J19" s="107"/>
      <c r="K19" s="104"/>
      <c r="L19" s="103" t="str">
        <f t="shared" si="0"/>
        <v>Impayé</v>
      </c>
      <c r="N19" s="15"/>
    </row>
    <row r="20" spans="1:14" s="14" customFormat="1" ht="15" customHeight="1" x14ac:dyDescent="0.25">
      <c r="A20" s="100">
        <v>45838</v>
      </c>
      <c r="B20" s="104">
        <v>3822</v>
      </c>
      <c r="C20" s="201" t="s">
        <v>573</v>
      </c>
      <c r="D20" s="104" t="s">
        <v>17</v>
      </c>
      <c r="E20" s="104" t="s">
        <v>503</v>
      </c>
      <c r="F20" s="104" t="s">
        <v>518</v>
      </c>
      <c r="G20" s="99">
        <v>1</v>
      </c>
      <c r="H20" s="99">
        <v>83</v>
      </c>
      <c r="I20" s="97"/>
      <c r="J20" s="107"/>
      <c r="K20" s="104"/>
      <c r="L20" s="103" t="str">
        <f t="shared" si="0"/>
        <v>Impayé</v>
      </c>
      <c r="N20" s="15"/>
    </row>
    <row r="21" spans="1:14" s="14" customFormat="1" ht="15" customHeight="1" x14ac:dyDescent="0.25">
      <c r="A21" s="100">
        <v>45838</v>
      </c>
      <c r="B21" s="104">
        <v>4186</v>
      </c>
      <c r="C21" s="201" t="s">
        <v>607</v>
      </c>
      <c r="D21" s="104" t="s">
        <v>17</v>
      </c>
      <c r="E21" s="104" t="s">
        <v>503</v>
      </c>
      <c r="F21" s="104" t="s">
        <v>518</v>
      </c>
      <c r="G21" s="99">
        <v>1</v>
      </c>
      <c r="H21" s="99">
        <v>83</v>
      </c>
      <c r="I21" s="97"/>
      <c r="J21" s="107"/>
      <c r="K21" s="104"/>
      <c r="L21" s="103" t="str">
        <f t="shared" si="0"/>
        <v>Impayé</v>
      </c>
      <c r="N21" s="15"/>
    </row>
    <row r="22" spans="1:14" s="14" customFormat="1" ht="15" customHeight="1" x14ac:dyDescent="0.25">
      <c r="A22" s="100">
        <v>45838</v>
      </c>
      <c r="B22" s="104">
        <v>4303</v>
      </c>
      <c r="C22" s="201" t="s">
        <v>611</v>
      </c>
      <c r="D22" s="104" t="s">
        <v>17</v>
      </c>
      <c r="E22" s="104" t="s">
        <v>503</v>
      </c>
      <c r="F22" s="104" t="s">
        <v>518</v>
      </c>
      <c r="G22" s="99">
        <v>1</v>
      </c>
      <c r="H22" s="99">
        <v>83</v>
      </c>
      <c r="I22" s="97"/>
      <c r="J22" s="107"/>
      <c r="K22" s="104"/>
      <c r="L22" s="103" t="str">
        <f t="shared" si="0"/>
        <v>Impayé</v>
      </c>
      <c r="N22" s="15"/>
    </row>
    <row r="23" spans="1:14" s="14" customFormat="1" ht="15" customHeight="1" x14ac:dyDescent="0.25">
      <c r="A23" s="100">
        <v>45838</v>
      </c>
      <c r="B23" s="145">
        <v>3119</v>
      </c>
      <c r="C23" s="200" t="s">
        <v>307</v>
      </c>
      <c r="D23" s="98" t="s">
        <v>17</v>
      </c>
      <c r="E23" s="99" t="s">
        <v>308</v>
      </c>
      <c r="F23" s="100">
        <v>45473</v>
      </c>
      <c r="G23" s="99">
        <v>1</v>
      </c>
      <c r="H23" s="101">
        <v>78.688677485543749</v>
      </c>
      <c r="I23" s="97"/>
      <c r="J23" s="102"/>
      <c r="K23" s="101"/>
      <c r="L23" s="103" t="str">
        <f t="shared" si="0"/>
        <v>Impayé</v>
      </c>
      <c r="N23" s="15"/>
    </row>
    <row r="24" spans="1:14" s="14" customFormat="1" ht="15" customHeight="1" x14ac:dyDescent="0.25">
      <c r="A24" s="100">
        <v>45838</v>
      </c>
      <c r="B24" s="145">
        <v>3123</v>
      </c>
      <c r="C24" s="200" t="s">
        <v>309</v>
      </c>
      <c r="D24" s="98" t="s">
        <v>17</v>
      </c>
      <c r="E24" s="99" t="s">
        <v>308</v>
      </c>
      <c r="F24" s="100">
        <v>45473</v>
      </c>
      <c r="G24" s="99">
        <v>1</v>
      </c>
      <c r="H24" s="101">
        <v>78.688677485543749</v>
      </c>
      <c r="I24" s="97"/>
      <c r="J24" s="102"/>
      <c r="K24" s="101"/>
      <c r="L24" s="103" t="str">
        <f t="shared" si="0"/>
        <v>Impayé</v>
      </c>
      <c r="N24" s="15"/>
    </row>
    <row r="25" spans="1:14" s="14" customFormat="1" ht="15" customHeight="1" x14ac:dyDescent="0.25">
      <c r="A25" s="100">
        <v>45838</v>
      </c>
      <c r="B25" s="145">
        <v>1261</v>
      </c>
      <c r="C25" s="200" t="s">
        <v>89</v>
      </c>
      <c r="D25" s="98" t="s">
        <v>17</v>
      </c>
      <c r="E25" s="99" t="s">
        <v>90</v>
      </c>
      <c r="F25" s="100">
        <v>45473</v>
      </c>
      <c r="G25" s="99">
        <v>3</v>
      </c>
      <c r="H25" s="101">
        <v>214.60548405148293</v>
      </c>
      <c r="I25" s="97"/>
      <c r="J25" s="102"/>
      <c r="K25" s="101"/>
      <c r="L25" s="103" t="str">
        <f t="shared" si="0"/>
        <v>Impayé</v>
      </c>
      <c r="N25" s="15"/>
    </row>
    <row r="26" spans="1:14" s="14" customFormat="1" ht="15" customHeight="1" x14ac:dyDescent="0.25">
      <c r="A26" s="100">
        <v>45838</v>
      </c>
      <c r="B26" s="145">
        <v>3102</v>
      </c>
      <c r="C26" s="200" t="s">
        <v>291</v>
      </c>
      <c r="D26" s="98" t="s">
        <v>17</v>
      </c>
      <c r="E26" s="99" t="s">
        <v>292</v>
      </c>
      <c r="F26" s="100">
        <v>45473</v>
      </c>
      <c r="G26" s="99">
        <v>1</v>
      </c>
      <c r="H26" s="101">
        <v>78.688677485543749</v>
      </c>
      <c r="I26" s="97"/>
      <c r="J26" s="102"/>
      <c r="K26" s="101"/>
      <c r="L26" s="103" t="str">
        <f t="shared" si="0"/>
        <v>Impayé</v>
      </c>
      <c r="N26" s="15"/>
    </row>
    <row r="27" spans="1:14" s="14" customFormat="1" ht="15" customHeight="1" x14ac:dyDescent="0.25">
      <c r="A27" s="100">
        <v>45838</v>
      </c>
      <c r="B27" s="145"/>
      <c r="C27" s="200" t="s">
        <v>158</v>
      </c>
      <c r="D27" s="98" t="s">
        <v>17</v>
      </c>
      <c r="E27" s="99" t="s">
        <v>157</v>
      </c>
      <c r="F27" s="100">
        <v>45473</v>
      </c>
      <c r="G27" s="99">
        <v>2</v>
      </c>
      <c r="H27" s="101">
        <v>143.07032270098861</v>
      </c>
      <c r="I27" s="97"/>
      <c r="J27" s="102"/>
      <c r="K27" s="101"/>
      <c r="L27" s="103" t="str">
        <f t="shared" si="0"/>
        <v>Impayé</v>
      </c>
      <c r="N27" s="15"/>
    </row>
    <row r="28" spans="1:14" s="14" customFormat="1" ht="15" customHeight="1" x14ac:dyDescent="0.25">
      <c r="A28" s="100">
        <v>45838</v>
      </c>
      <c r="B28" s="145"/>
      <c r="C28" s="200" t="s">
        <v>160</v>
      </c>
      <c r="D28" s="98" t="s">
        <v>17</v>
      </c>
      <c r="E28" s="99" t="s">
        <v>157</v>
      </c>
      <c r="F28" s="100">
        <v>45473</v>
      </c>
      <c r="G28" s="99">
        <v>1</v>
      </c>
      <c r="H28" s="101">
        <v>71.535161350494306</v>
      </c>
      <c r="I28" s="97"/>
      <c r="J28" s="102"/>
      <c r="K28" s="101"/>
      <c r="L28" s="103" t="str">
        <f t="shared" si="0"/>
        <v>Impayé</v>
      </c>
      <c r="N28" s="15"/>
    </row>
    <row r="29" spans="1:14" s="14" customFormat="1" ht="15" customHeight="1" x14ac:dyDescent="0.25">
      <c r="A29" s="100">
        <v>45838</v>
      </c>
      <c r="B29" s="145"/>
      <c r="C29" s="200" t="s">
        <v>159</v>
      </c>
      <c r="D29" s="98" t="s">
        <v>17</v>
      </c>
      <c r="E29" s="99" t="s">
        <v>157</v>
      </c>
      <c r="F29" s="100">
        <v>45473</v>
      </c>
      <c r="G29" s="99">
        <v>1</v>
      </c>
      <c r="H29" s="101">
        <v>71.535161350494306</v>
      </c>
      <c r="I29" s="97"/>
      <c r="J29" s="102"/>
      <c r="K29" s="101"/>
      <c r="L29" s="103" t="str">
        <f t="shared" si="0"/>
        <v>Impayé</v>
      </c>
      <c r="N29" s="15"/>
    </row>
    <row r="30" spans="1:14" s="14" customFormat="1" ht="15" customHeight="1" x14ac:dyDescent="0.25">
      <c r="A30" s="100">
        <v>45838</v>
      </c>
      <c r="B30" s="145"/>
      <c r="C30" s="200" t="s">
        <v>156</v>
      </c>
      <c r="D30" s="98" t="s">
        <v>17</v>
      </c>
      <c r="E30" s="99" t="s">
        <v>157</v>
      </c>
      <c r="F30" s="100">
        <v>45473</v>
      </c>
      <c r="G30" s="99">
        <v>1</v>
      </c>
      <c r="H30" s="101">
        <v>71.535161350494306</v>
      </c>
      <c r="I30" s="97"/>
      <c r="J30" s="102"/>
      <c r="K30" s="101"/>
      <c r="L30" s="103" t="str">
        <f t="shared" si="0"/>
        <v>Impayé</v>
      </c>
      <c r="N30" s="15"/>
    </row>
    <row r="31" spans="1:14" s="14" customFormat="1" ht="15" customHeight="1" x14ac:dyDescent="0.25">
      <c r="A31" s="100">
        <v>45838</v>
      </c>
      <c r="B31" s="145">
        <v>2372</v>
      </c>
      <c r="C31" s="200" t="s">
        <v>205</v>
      </c>
      <c r="D31" s="98" t="s">
        <v>17</v>
      </c>
      <c r="E31" s="99" t="s">
        <v>202</v>
      </c>
      <c r="F31" s="100">
        <v>45473</v>
      </c>
      <c r="G31" s="99">
        <v>1</v>
      </c>
      <c r="H31" s="101">
        <v>78.688677485543749</v>
      </c>
      <c r="I31" s="97"/>
      <c r="J31" s="102"/>
      <c r="K31" s="101"/>
      <c r="L31" s="103" t="str">
        <f t="shared" si="0"/>
        <v>Impayé</v>
      </c>
      <c r="N31" s="15"/>
    </row>
    <row r="32" spans="1:14" s="14" customFormat="1" ht="15" customHeight="1" x14ac:dyDescent="0.25">
      <c r="A32" s="100">
        <v>45838</v>
      </c>
      <c r="B32" s="145">
        <v>2430</v>
      </c>
      <c r="C32" s="200" t="s">
        <v>212</v>
      </c>
      <c r="D32" s="98" t="s">
        <v>17</v>
      </c>
      <c r="E32" s="99" t="s">
        <v>202</v>
      </c>
      <c r="F32" s="100">
        <v>45473</v>
      </c>
      <c r="G32" s="99">
        <v>1</v>
      </c>
      <c r="H32" s="101">
        <v>78.688677485543749</v>
      </c>
      <c r="I32" s="97"/>
      <c r="J32" s="102"/>
      <c r="K32" s="101"/>
      <c r="L32" s="103" t="str">
        <f t="shared" si="0"/>
        <v>Impayé</v>
      </c>
      <c r="N32" s="15"/>
    </row>
    <row r="33" spans="1:14" s="14" customFormat="1" ht="15" customHeight="1" x14ac:dyDescent="0.25">
      <c r="A33" s="100">
        <v>45838</v>
      </c>
      <c r="B33" s="145">
        <v>2435</v>
      </c>
      <c r="C33" s="200" t="s">
        <v>213</v>
      </c>
      <c r="D33" s="98" t="s">
        <v>17</v>
      </c>
      <c r="E33" s="99" t="s">
        <v>202</v>
      </c>
      <c r="F33" s="100">
        <v>45473</v>
      </c>
      <c r="G33" s="99">
        <v>2</v>
      </c>
      <c r="H33" s="101">
        <v>157.3773549710875</v>
      </c>
      <c r="I33" s="97"/>
      <c r="J33" s="102"/>
      <c r="K33" s="101"/>
      <c r="L33" s="103" t="str">
        <f t="shared" si="0"/>
        <v>Impayé</v>
      </c>
      <c r="N33" s="15"/>
    </row>
    <row r="34" spans="1:14" s="14" customFormat="1" ht="15" customHeight="1" x14ac:dyDescent="0.25">
      <c r="A34" s="100">
        <v>45838</v>
      </c>
      <c r="B34" s="145">
        <v>2364</v>
      </c>
      <c r="C34" s="200" t="s">
        <v>204</v>
      </c>
      <c r="D34" s="98" t="s">
        <v>17</v>
      </c>
      <c r="E34" s="99" t="s">
        <v>202</v>
      </c>
      <c r="F34" s="100">
        <v>45473</v>
      </c>
      <c r="G34" s="99">
        <v>1</v>
      </c>
      <c r="H34" s="101">
        <v>78.688677485543749</v>
      </c>
      <c r="I34" s="97"/>
      <c r="J34" s="102"/>
      <c r="K34" s="101"/>
      <c r="L34" s="103" t="str">
        <f t="shared" si="0"/>
        <v>Impayé</v>
      </c>
      <c r="N34" s="15"/>
    </row>
    <row r="35" spans="1:14" s="14" customFormat="1" ht="15" customHeight="1" x14ac:dyDescent="0.25">
      <c r="A35" s="100">
        <v>45838</v>
      </c>
      <c r="B35" s="145">
        <v>2428</v>
      </c>
      <c r="C35" s="200" t="s">
        <v>211</v>
      </c>
      <c r="D35" s="98" t="s">
        <v>17</v>
      </c>
      <c r="E35" s="99" t="s">
        <v>202</v>
      </c>
      <c r="F35" s="100">
        <v>45473</v>
      </c>
      <c r="G35" s="99">
        <v>2</v>
      </c>
      <c r="H35" s="101">
        <v>157.3773549710875</v>
      </c>
      <c r="I35" s="97"/>
      <c r="J35" s="102"/>
      <c r="K35" s="101"/>
      <c r="L35" s="103" t="str">
        <f t="shared" si="0"/>
        <v>Impayé</v>
      </c>
      <c r="N35" s="15"/>
    </row>
    <row r="36" spans="1:14" s="14" customFormat="1" ht="15" customHeight="1" x14ac:dyDescent="0.25">
      <c r="A36" s="100">
        <v>45838</v>
      </c>
      <c r="B36" s="145">
        <v>2363</v>
      </c>
      <c r="C36" s="200" t="s">
        <v>203</v>
      </c>
      <c r="D36" s="98" t="s">
        <v>17</v>
      </c>
      <c r="E36" s="99" t="s">
        <v>202</v>
      </c>
      <c r="F36" s="100">
        <v>45473</v>
      </c>
      <c r="G36" s="99">
        <v>1</v>
      </c>
      <c r="H36" s="101">
        <v>78.688677485543749</v>
      </c>
      <c r="I36" s="97"/>
      <c r="J36" s="102"/>
      <c r="K36" s="101"/>
      <c r="L36" s="103" t="str">
        <f t="shared" si="0"/>
        <v>Impayé</v>
      </c>
      <c r="N36" s="15"/>
    </row>
    <row r="37" spans="1:14" s="14" customFormat="1" ht="15" customHeight="1" x14ac:dyDescent="0.25">
      <c r="A37" s="100">
        <v>45838</v>
      </c>
      <c r="B37" s="145">
        <v>2361</v>
      </c>
      <c r="C37" s="200" t="s">
        <v>201</v>
      </c>
      <c r="D37" s="98" t="s">
        <v>17</v>
      </c>
      <c r="E37" s="99" t="s">
        <v>202</v>
      </c>
      <c r="F37" s="100">
        <v>45473</v>
      </c>
      <c r="G37" s="99">
        <v>1</v>
      </c>
      <c r="H37" s="101">
        <v>78.688677485543749</v>
      </c>
      <c r="I37" s="97"/>
      <c r="J37" s="102"/>
      <c r="K37" s="101"/>
      <c r="L37" s="103" t="str">
        <f t="shared" si="0"/>
        <v>Impayé</v>
      </c>
      <c r="N37" s="15"/>
    </row>
    <row r="38" spans="1:14" s="14" customFormat="1" ht="15" customHeight="1" x14ac:dyDescent="0.25">
      <c r="A38" s="100">
        <v>45838</v>
      </c>
      <c r="B38" s="145">
        <v>2529</v>
      </c>
      <c r="C38" s="200" t="s">
        <v>214</v>
      </c>
      <c r="D38" s="98" t="s">
        <v>17</v>
      </c>
      <c r="E38" s="99" t="s">
        <v>202</v>
      </c>
      <c r="F38" s="100">
        <v>45473</v>
      </c>
      <c r="G38" s="99">
        <v>1</v>
      </c>
      <c r="H38" s="101">
        <v>78.688677485543749</v>
      </c>
      <c r="I38" s="97"/>
      <c r="J38" s="102"/>
      <c r="K38" s="101"/>
      <c r="L38" s="103" t="str">
        <f t="shared" si="0"/>
        <v>Impayé</v>
      </c>
      <c r="N38" s="15"/>
    </row>
    <row r="39" spans="1:14" s="14" customFormat="1" ht="15" customHeight="1" x14ac:dyDescent="0.25">
      <c r="A39" s="100">
        <v>45838</v>
      </c>
      <c r="B39" s="145">
        <v>1277</v>
      </c>
      <c r="C39" s="200" t="s">
        <v>93</v>
      </c>
      <c r="D39" s="98" t="s">
        <v>17</v>
      </c>
      <c r="E39" s="99" t="s">
        <v>94</v>
      </c>
      <c r="F39" s="100">
        <v>45473</v>
      </c>
      <c r="G39" s="99">
        <v>3</v>
      </c>
      <c r="H39" s="101">
        <v>215</v>
      </c>
      <c r="I39" s="97"/>
      <c r="J39" s="102"/>
      <c r="K39" s="101"/>
      <c r="L39" s="103" t="str">
        <f t="shared" si="0"/>
        <v>Impayé</v>
      </c>
      <c r="M39" s="83"/>
      <c r="N39" s="15"/>
    </row>
    <row r="40" spans="1:14" s="14" customFormat="1" ht="15" customHeight="1" x14ac:dyDescent="0.25">
      <c r="A40" s="100">
        <v>45838</v>
      </c>
      <c r="B40" s="104">
        <v>2926</v>
      </c>
      <c r="C40" s="201" t="s">
        <v>452</v>
      </c>
      <c r="D40" s="104" t="s">
        <v>17</v>
      </c>
      <c r="E40" s="104" t="s">
        <v>286</v>
      </c>
      <c r="F40" s="100">
        <v>45473</v>
      </c>
      <c r="G40" s="104">
        <v>1</v>
      </c>
      <c r="H40" s="108">
        <v>83</v>
      </c>
      <c r="I40" s="106"/>
      <c r="J40" s="109"/>
      <c r="K40" s="104"/>
      <c r="L40" s="103" t="str">
        <f t="shared" ref="L40:L103" si="1">IF(ISBLANK(H40),"",IF(H40=K40,"Payé","Impayé"))</f>
        <v>Impayé</v>
      </c>
      <c r="N40" s="15"/>
    </row>
    <row r="41" spans="1:14" s="14" customFormat="1" ht="15" customHeight="1" x14ac:dyDescent="0.25">
      <c r="A41" s="100">
        <v>45838</v>
      </c>
      <c r="B41" s="104">
        <v>3650</v>
      </c>
      <c r="C41" s="201" t="s">
        <v>440</v>
      </c>
      <c r="D41" s="104" t="s">
        <v>17</v>
      </c>
      <c r="E41" s="104" t="s">
        <v>286</v>
      </c>
      <c r="F41" s="100">
        <v>45473</v>
      </c>
      <c r="G41" s="105">
        <v>1</v>
      </c>
      <c r="H41" s="99">
        <v>83</v>
      </c>
      <c r="I41" s="106"/>
      <c r="J41" s="107"/>
      <c r="K41" s="104"/>
      <c r="L41" s="103" t="str">
        <f t="shared" si="1"/>
        <v>Impayé</v>
      </c>
      <c r="N41" s="15"/>
    </row>
    <row r="42" spans="1:14" s="14" customFormat="1" ht="15" customHeight="1" x14ac:dyDescent="0.25">
      <c r="A42" s="100">
        <v>45838</v>
      </c>
      <c r="B42" s="145">
        <v>3508</v>
      </c>
      <c r="C42" s="200" t="s">
        <v>418</v>
      </c>
      <c r="D42" s="98" t="s">
        <v>17</v>
      </c>
      <c r="E42" s="99" t="s">
        <v>286</v>
      </c>
      <c r="F42" s="100">
        <v>45473</v>
      </c>
      <c r="G42" s="99">
        <v>1</v>
      </c>
      <c r="H42" s="108">
        <v>82.615183734377908</v>
      </c>
      <c r="I42" s="97"/>
      <c r="J42" s="109"/>
      <c r="K42" s="108"/>
      <c r="L42" s="103" t="str">
        <f t="shared" si="1"/>
        <v>Impayé</v>
      </c>
      <c r="N42" s="15"/>
    </row>
    <row r="43" spans="1:14" s="14" customFormat="1" ht="15" customHeight="1" x14ac:dyDescent="0.25">
      <c r="A43" s="100">
        <v>45838</v>
      </c>
      <c r="B43" s="145">
        <v>1670</v>
      </c>
      <c r="C43" s="200" t="s">
        <v>439</v>
      </c>
      <c r="D43" s="98" t="s">
        <v>17</v>
      </c>
      <c r="E43" s="99" t="s">
        <v>286</v>
      </c>
      <c r="F43" s="100">
        <v>45473</v>
      </c>
      <c r="G43" s="99">
        <v>1</v>
      </c>
      <c r="H43" s="108">
        <v>83</v>
      </c>
      <c r="I43" s="97"/>
      <c r="J43" s="109"/>
      <c r="K43" s="108"/>
      <c r="L43" s="103" t="str">
        <f t="shared" si="1"/>
        <v>Impayé</v>
      </c>
      <c r="N43" s="15"/>
    </row>
    <row r="44" spans="1:14" s="14" customFormat="1" ht="15" customHeight="1" x14ac:dyDescent="0.25">
      <c r="A44" s="100">
        <v>45838</v>
      </c>
      <c r="B44" s="145">
        <v>3078</v>
      </c>
      <c r="C44" s="200" t="s">
        <v>375</v>
      </c>
      <c r="D44" s="98" t="s">
        <v>17</v>
      </c>
      <c r="E44" s="99" t="s">
        <v>286</v>
      </c>
      <c r="F44" s="100">
        <v>45473</v>
      </c>
      <c r="G44" s="99">
        <v>1</v>
      </c>
      <c r="H44" s="108">
        <v>82.615183734377908</v>
      </c>
      <c r="I44" s="97"/>
      <c r="J44" s="109"/>
      <c r="K44" s="108"/>
      <c r="L44" s="103" t="str">
        <f t="shared" si="1"/>
        <v>Impayé</v>
      </c>
      <c r="N44" s="15"/>
    </row>
    <row r="45" spans="1:14" s="14" customFormat="1" ht="15" customHeight="1" x14ac:dyDescent="0.25">
      <c r="A45" s="100">
        <v>45838</v>
      </c>
      <c r="B45" s="104">
        <v>2926</v>
      </c>
      <c r="C45" s="201" t="s">
        <v>452</v>
      </c>
      <c r="D45" s="104" t="s">
        <v>17</v>
      </c>
      <c r="E45" s="104" t="s">
        <v>286</v>
      </c>
      <c r="F45" s="100">
        <v>45473</v>
      </c>
      <c r="G45" s="104">
        <v>0.5</v>
      </c>
      <c r="H45" s="99">
        <v>41</v>
      </c>
      <c r="I45" s="106"/>
      <c r="J45" s="106"/>
      <c r="K45" s="104"/>
      <c r="L45" s="103" t="str">
        <f t="shared" si="1"/>
        <v>Impayé</v>
      </c>
      <c r="N45" s="15"/>
    </row>
    <row r="46" spans="1:14" s="14" customFormat="1" ht="15" customHeight="1" x14ac:dyDescent="0.25">
      <c r="A46" s="100">
        <v>45838</v>
      </c>
      <c r="B46" s="104">
        <v>3650</v>
      </c>
      <c r="C46" s="201" t="s">
        <v>440</v>
      </c>
      <c r="D46" s="104" t="s">
        <v>17</v>
      </c>
      <c r="E46" s="104" t="s">
        <v>286</v>
      </c>
      <c r="F46" s="100">
        <v>45473</v>
      </c>
      <c r="G46" s="105">
        <v>1</v>
      </c>
      <c r="H46" s="99">
        <v>83</v>
      </c>
      <c r="I46" s="106"/>
      <c r="J46" s="107"/>
      <c r="K46" s="104"/>
      <c r="L46" s="103" t="str">
        <f t="shared" si="1"/>
        <v>Impayé</v>
      </c>
      <c r="N46" s="15"/>
    </row>
    <row r="47" spans="1:14" s="14" customFormat="1" ht="15" customHeight="1" x14ac:dyDescent="0.25">
      <c r="A47" s="100">
        <v>45838</v>
      </c>
      <c r="B47" s="145">
        <v>2950</v>
      </c>
      <c r="C47" s="200" t="s">
        <v>303</v>
      </c>
      <c r="D47" s="98" t="s">
        <v>17</v>
      </c>
      <c r="E47" s="99" t="s">
        <v>286</v>
      </c>
      <c r="F47" s="100">
        <v>45473</v>
      </c>
      <c r="G47" s="99">
        <v>3</v>
      </c>
      <c r="H47" s="101">
        <v>236.06603245663123</v>
      </c>
      <c r="I47" s="97"/>
      <c r="J47" s="102"/>
      <c r="K47" s="101"/>
      <c r="L47" s="103" t="str">
        <f t="shared" si="1"/>
        <v>Impayé</v>
      </c>
      <c r="N47" s="15"/>
    </row>
    <row r="48" spans="1:14" s="14" customFormat="1" ht="15" customHeight="1" x14ac:dyDescent="0.25">
      <c r="A48" s="100">
        <v>45838</v>
      </c>
      <c r="B48" s="145">
        <v>2947</v>
      </c>
      <c r="C48" s="200" t="s">
        <v>302</v>
      </c>
      <c r="D48" s="98" t="s">
        <v>17</v>
      </c>
      <c r="E48" s="99" t="s">
        <v>286</v>
      </c>
      <c r="F48" s="100">
        <v>45473</v>
      </c>
      <c r="G48" s="99">
        <v>2</v>
      </c>
      <c r="H48" s="101">
        <v>157.3773549710875</v>
      </c>
      <c r="I48" s="97"/>
      <c r="J48" s="102"/>
      <c r="K48" s="101"/>
      <c r="L48" s="103" t="str">
        <f t="shared" si="1"/>
        <v>Impayé</v>
      </c>
      <c r="N48" s="15"/>
    </row>
    <row r="49" spans="1:14" s="14" customFormat="1" ht="15" customHeight="1" x14ac:dyDescent="0.25">
      <c r="A49" s="100">
        <v>45838</v>
      </c>
      <c r="B49" s="104">
        <v>3653</v>
      </c>
      <c r="C49" s="201" t="s">
        <v>567</v>
      </c>
      <c r="D49" s="104" t="s">
        <v>17</v>
      </c>
      <c r="E49" s="104" t="s">
        <v>286</v>
      </c>
      <c r="F49" s="104" t="s">
        <v>517</v>
      </c>
      <c r="G49" s="105">
        <v>1</v>
      </c>
      <c r="H49" s="99">
        <v>83</v>
      </c>
      <c r="I49" s="106"/>
      <c r="J49" s="107"/>
      <c r="K49" s="104"/>
      <c r="L49" s="103" t="str">
        <f t="shared" si="1"/>
        <v>Impayé</v>
      </c>
      <c r="N49" s="15"/>
    </row>
    <row r="50" spans="1:14" s="14" customFormat="1" ht="15" customHeight="1" x14ac:dyDescent="0.25">
      <c r="A50" s="100">
        <v>45838</v>
      </c>
      <c r="B50" s="104">
        <v>3458</v>
      </c>
      <c r="C50" s="201" t="s">
        <v>605</v>
      </c>
      <c r="D50" s="104" t="s">
        <v>17</v>
      </c>
      <c r="E50" s="104" t="s">
        <v>286</v>
      </c>
      <c r="F50" s="104" t="s">
        <v>519</v>
      </c>
      <c r="G50" s="105">
        <v>1</v>
      </c>
      <c r="H50" s="99">
        <v>83</v>
      </c>
      <c r="I50" s="97"/>
      <c r="J50" s="107"/>
      <c r="K50" s="104"/>
      <c r="L50" s="103" t="str">
        <f t="shared" si="1"/>
        <v>Impayé</v>
      </c>
      <c r="N50" s="15"/>
    </row>
    <row r="51" spans="1:14" s="14" customFormat="1" ht="15" customHeight="1" x14ac:dyDescent="0.25">
      <c r="A51" s="100">
        <v>45838</v>
      </c>
      <c r="B51" s="145">
        <v>2239</v>
      </c>
      <c r="C51" s="200" t="s">
        <v>177</v>
      </c>
      <c r="D51" s="98" t="s">
        <v>17</v>
      </c>
      <c r="E51" s="99" t="s">
        <v>175</v>
      </c>
      <c r="F51" s="100">
        <v>45473</v>
      </c>
      <c r="G51" s="99">
        <v>1</v>
      </c>
      <c r="H51" s="101">
        <v>71.535161350494306</v>
      </c>
      <c r="I51" s="97"/>
      <c r="J51" s="102"/>
      <c r="K51" s="101"/>
      <c r="L51" s="103" t="str">
        <f t="shared" si="1"/>
        <v>Impayé</v>
      </c>
      <c r="N51" s="15"/>
    </row>
    <row r="52" spans="1:14" s="14" customFormat="1" ht="15" customHeight="1" x14ac:dyDescent="0.25">
      <c r="A52" s="100">
        <v>45838</v>
      </c>
      <c r="B52" s="145">
        <v>2242</v>
      </c>
      <c r="C52" s="200" t="s">
        <v>178</v>
      </c>
      <c r="D52" s="98" t="s">
        <v>17</v>
      </c>
      <c r="E52" s="99" t="s">
        <v>175</v>
      </c>
      <c r="F52" s="100">
        <v>45473</v>
      </c>
      <c r="G52" s="99">
        <v>1</v>
      </c>
      <c r="H52" s="101">
        <v>71.535161350494306</v>
      </c>
      <c r="I52" s="97"/>
      <c r="J52" s="102"/>
      <c r="K52" s="101"/>
      <c r="L52" s="103" t="str">
        <f t="shared" si="1"/>
        <v>Impayé</v>
      </c>
      <c r="N52" s="15"/>
    </row>
    <row r="53" spans="1:14" s="14" customFormat="1" ht="15" customHeight="1" x14ac:dyDescent="0.25">
      <c r="A53" s="100">
        <v>45838</v>
      </c>
      <c r="B53" s="145">
        <v>2215</v>
      </c>
      <c r="C53" s="200" t="s">
        <v>174</v>
      </c>
      <c r="D53" s="98" t="s">
        <v>17</v>
      </c>
      <c r="E53" s="99" t="s">
        <v>175</v>
      </c>
      <c r="F53" s="100">
        <v>45473</v>
      </c>
      <c r="G53" s="99">
        <v>1</v>
      </c>
      <c r="H53" s="101">
        <v>71.535161350494306</v>
      </c>
      <c r="I53" s="97"/>
      <c r="J53" s="102"/>
      <c r="K53" s="101"/>
      <c r="L53" s="103" t="str">
        <f t="shared" si="1"/>
        <v>Impayé</v>
      </c>
      <c r="N53" s="15"/>
    </row>
    <row r="54" spans="1:14" s="14" customFormat="1" ht="15" customHeight="1" x14ac:dyDescent="0.25">
      <c r="A54" s="100">
        <v>45838</v>
      </c>
      <c r="B54" s="145">
        <v>876</v>
      </c>
      <c r="C54" s="200" t="s">
        <v>176</v>
      </c>
      <c r="D54" s="98" t="s">
        <v>17</v>
      </c>
      <c r="E54" s="99" t="s">
        <v>175</v>
      </c>
      <c r="F54" s="100">
        <v>45473</v>
      </c>
      <c r="G54" s="99">
        <v>1</v>
      </c>
      <c r="H54" s="101">
        <v>71.535161350494306</v>
      </c>
      <c r="I54" s="97"/>
      <c r="J54" s="102"/>
      <c r="K54" s="101"/>
      <c r="L54" s="103" t="str">
        <f t="shared" si="1"/>
        <v>Impayé</v>
      </c>
      <c r="N54" s="15"/>
    </row>
    <row r="55" spans="1:14" s="14" customFormat="1" ht="15" customHeight="1" x14ac:dyDescent="0.25">
      <c r="A55" s="100">
        <v>45838</v>
      </c>
      <c r="B55" s="145">
        <v>1843</v>
      </c>
      <c r="C55" s="200" t="s">
        <v>41</v>
      </c>
      <c r="D55" s="98" t="s">
        <v>17</v>
      </c>
      <c r="E55" s="99" t="s">
        <v>42</v>
      </c>
      <c r="F55" s="100">
        <v>45473</v>
      </c>
      <c r="G55" s="99">
        <v>1</v>
      </c>
      <c r="H55" s="101">
        <v>71.535161350494306</v>
      </c>
      <c r="I55" s="97"/>
      <c r="J55" s="102"/>
      <c r="K55" s="101"/>
      <c r="L55" s="103" t="str">
        <f t="shared" si="1"/>
        <v>Impayé</v>
      </c>
      <c r="N55" s="15"/>
    </row>
    <row r="56" spans="1:14" s="14" customFormat="1" ht="15" customHeight="1" x14ac:dyDescent="0.25">
      <c r="A56" s="100">
        <v>45838</v>
      </c>
      <c r="B56" s="145">
        <v>1342</v>
      </c>
      <c r="C56" s="200" t="s">
        <v>100</v>
      </c>
      <c r="D56" s="98" t="s">
        <v>17</v>
      </c>
      <c r="E56" s="99" t="s">
        <v>101</v>
      </c>
      <c r="F56" s="100">
        <v>45473</v>
      </c>
      <c r="G56" s="99">
        <v>2</v>
      </c>
      <c r="H56" s="101">
        <v>144</v>
      </c>
      <c r="I56" s="97"/>
      <c r="J56" s="102"/>
      <c r="K56" s="101"/>
      <c r="L56" s="103" t="str">
        <f t="shared" si="1"/>
        <v>Impayé</v>
      </c>
      <c r="N56" s="15"/>
    </row>
    <row r="57" spans="1:14" s="14" customFormat="1" ht="15" customHeight="1" x14ac:dyDescent="0.25">
      <c r="A57" s="100">
        <v>45838</v>
      </c>
      <c r="B57" s="104">
        <v>1043</v>
      </c>
      <c r="C57" s="201" t="s">
        <v>421</v>
      </c>
      <c r="D57" s="104" t="s">
        <v>17</v>
      </c>
      <c r="E57" s="104" t="s">
        <v>420</v>
      </c>
      <c r="F57" s="100">
        <v>45473</v>
      </c>
      <c r="G57" s="104">
        <v>1</v>
      </c>
      <c r="H57" s="108">
        <v>83</v>
      </c>
      <c r="I57" s="106"/>
      <c r="J57" s="109"/>
      <c r="K57" s="104"/>
      <c r="L57" s="103" t="str">
        <f t="shared" si="1"/>
        <v>Impayé</v>
      </c>
      <c r="N57" s="15"/>
    </row>
    <row r="58" spans="1:14" s="14" customFormat="1" ht="15" customHeight="1" x14ac:dyDescent="0.25">
      <c r="A58" s="100">
        <v>45838</v>
      </c>
      <c r="B58" s="145">
        <v>1043</v>
      </c>
      <c r="C58" s="200" t="s">
        <v>421</v>
      </c>
      <c r="D58" s="98" t="s">
        <v>17</v>
      </c>
      <c r="E58" s="99" t="s">
        <v>420</v>
      </c>
      <c r="F58" s="100">
        <v>45473</v>
      </c>
      <c r="G58" s="99">
        <v>2</v>
      </c>
      <c r="H58" s="108">
        <v>165.23036746875582</v>
      </c>
      <c r="I58" s="97"/>
      <c r="J58" s="109"/>
      <c r="K58" s="101"/>
      <c r="L58" s="103" t="str">
        <f t="shared" si="1"/>
        <v>Impayé</v>
      </c>
      <c r="N58" s="15"/>
    </row>
    <row r="59" spans="1:14" s="14" customFormat="1" ht="15" customHeight="1" x14ac:dyDescent="0.25">
      <c r="A59" s="100">
        <v>45838</v>
      </c>
      <c r="B59" s="104">
        <v>1041</v>
      </c>
      <c r="C59" s="201" t="s">
        <v>387</v>
      </c>
      <c r="D59" s="104" t="s">
        <v>17</v>
      </c>
      <c r="E59" s="104" t="s">
        <v>420</v>
      </c>
      <c r="F59" s="100">
        <v>45473</v>
      </c>
      <c r="G59" s="105">
        <v>1</v>
      </c>
      <c r="H59" s="99">
        <v>87</v>
      </c>
      <c r="I59" s="106"/>
      <c r="J59" s="107"/>
      <c r="K59" s="99"/>
      <c r="L59" s="103" t="str">
        <f t="shared" si="1"/>
        <v>Impayé</v>
      </c>
      <c r="N59" s="15"/>
    </row>
    <row r="60" spans="1:14" s="14" customFormat="1" ht="15" customHeight="1" x14ac:dyDescent="0.25">
      <c r="A60" s="100">
        <v>45838</v>
      </c>
      <c r="B60" s="145">
        <v>1422</v>
      </c>
      <c r="C60" s="200" t="s">
        <v>106</v>
      </c>
      <c r="D60" s="98" t="s">
        <v>17</v>
      </c>
      <c r="E60" s="99" t="s">
        <v>81</v>
      </c>
      <c r="F60" s="100">
        <v>45473</v>
      </c>
      <c r="G60" s="99">
        <v>6</v>
      </c>
      <c r="H60" s="101">
        <v>430</v>
      </c>
      <c r="I60" s="97"/>
      <c r="J60" s="102"/>
      <c r="K60" s="101"/>
      <c r="L60" s="103" t="str">
        <f t="shared" si="1"/>
        <v>Impayé</v>
      </c>
      <c r="N60" s="15"/>
    </row>
    <row r="61" spans="1:14" s="14" customFormat="1" ht="15" customHeight="1" x14ac:dyDescent="0.25">
      <c r="A61" s="100">
        <v>45838</v>
      </c>
      <c r="B61" s="145">
        <v>1131</v>
      </c>
      <c r="C61" s="200" t="s">
        <v>80</v>
      </c>
      <c r="D61" s="98" t="s">
        <v>17</v>
      </c>
      <c r="E61" s="99" t="s">
        <v>81</v>
      </c>
      <c r="F61" s="100">
        <v>45473</v>
      </c>
      <c r="G61" s="99">
        <v>2</v>
      </c>
      <c r="H61" s="101">
        <v>144</v>
      </c>
      <c r="I61" s="97"/>
      <c r="J61" s="102"/>
      <c r="K61" s="101"/>
      <c r="L61" s="103" t="str">
        <f t="shared" si="1"/>
        <v>Impayé</v>
      </c>
      <c r="N61" s="15"/>
    </row>
    <row r="62" spans="1:14" s="14" customFormat="1" ht="15" customHeight="1" x14ac:dyDescent="0.25">
      <c r="A62" s="100">
        <v>45838</v>
      </c>
      <c r="B62" s="145">
        <v>1425</v>
      </c>
      <c r="C62" s="200" t="s">
        <v>108</v>
      </c>
      <c r="D62" s="98" t="s">
        <v>17</v>
      </c>
      <c r="E62" s="99" t="s">
        <v>81</v>
      </c>
      <c r="F62" s="100">
        <v>45473</v>
      </c>
      <c r="G62" s="99">
        <v>1</v>
      </c>
      <c r="H62" s="101">
        <v>81.535161350494306</v>
      </c>
      <c r="I62" s="97"/>
      <c r="J62" s="102"/>
      <c r="K62" s="101"/>
      <c r="L62" s="103" t="str">
        <f t="shared" si="1"/>
        <v>Impayé</v>
      </c>
      <c r="N62" s="15"/>
    </row>
    <row r="63" spans="1:14" s="14" customFormat="1" ht="15" customHeight="1" x14ac:dyDescent="0.25">
      <c r="A63" s="100">
        <v>45838</v>
      </c>
      <c r="B63" s="104">
        <v>194</v>
      </c>
      <c r="C63" s="201" t="s">
        <v>389</v>
      </c>
      <c r="D63" s="104" t="s">
        <v>17</v>
      </c>
      <c r="E63" s="104" t="s">
        <v>390</v>
      </c>
      <c r="F63" s="100">
        <v>45473</v>
      </c>
      <c r="G63" s="104">
        <v>2</v>
      </c>
      <c r="H63" s="108">
        <v>173</v>
      </c>
      <c r="I63" s="106"/>
      <c r="J63" s="109"/>
      <c r="K63" s="104"/>
      <c r="L63" s="103" t="str">
        <f t="shared" si="1"/>
        <v>Impayé</v>
      </c>
      <c r="N63" s="15"/>
    </row>
    <row r="64" spans="1:14" s="14" customFormat="1" ht="15" customHeight="1" x14ac:dyDescent="0.25">
      <c r="A64" s="100">
        <v>45838</v>
      </c>
      <c r="B64" s="104">
        <v>3509</v>
      </c>
      <c r="C64" s="201" t="s">
        <v>417</v>
      </c>
      <c r="D64" s="98" t="s">
        <v>17</v>
      </c>
      <c r="E64" s="104" t="s">
        <v>368</v>
      </c>
      <c r="F64" s="100">
        <v>45473</v>
      </c>
      <c r="G64" s="99">
        <v>1</v>
      </c>
      <c r="H64" s="108">
        <v>-4.8162656220966937E-3</v>
      </c>
      <c r="I64" s="97"/>
      <c r="J64" s="109"/>
      <c r="K64" s="108"/>
      <c r="L64" s="103" t="str">
        <f t="shared" si="1"/>
        <v>Impayé</v>
      </c>
      <c r="N64" s="15"/>
    </row>
    <row r="65" spans="1:14" s="14" customFormat="1" ht="15" customHeight="1" x14ac:dyDescent="0.25">
      <c r="A65" s="100">
        <v>45838</v>
      </c>
      <c r="B65" s="104">
        <v>752</v>
      </c>
      <c r="C65" s="201" t="s">
        <v>384</v>
      </c>
      <c r="D65" s="104" t="s">
        <v>17</v>
      </c>
      <c r="E65" s="104" t="s">
        <v>370</v>
      </c>
      <c r="F65" s="100">
        <v>45473</v>
      </c>
      <c r="G65" s="104">
        <v>1</v>
      </c>
      <c r="H65" s="108">
        <v>87</v>
      </c>
      <c r="I65" s="106"/>
      <c r="J65" s="109"/>
      <c r="K65" s="108"/>
      <c r="L65" s="103" t="str">
        <f t="shared" si="1"/>
        <v>Impayé</v>
      </c>
      <c r="N65" s="15"/>
    </row>
    <row r="66" spans="1:14" s="14" customFormat="1" ht="15" customHeight="1" x14ac:dyDescent="0.25">
      <c r="A66" s="100">
        <v>45838</v>
      </c>
      <c r="B66" s="104">
        <v>752</v>
      </c>
      <c r="C66" s="201" t="s">
        <v>384</v>
      </c>
      <c r="D66" s="104" t="s">
        <v>17</v>
      </c>
      <c r="E66" s="104" t="s">
        <v>370</v>
      </c>
      <c r="F66" s="100">
        <v>45473</v>
      </c>
      <c r="G66" s="104">
        <v>1</v>
      </c>
      <c r="H66" s="99">
        <v>87</v>
      </c>
      <c r="I66" s="106"/>
      <c r="J66" s="106"/>
      <c r="K66" s="104"/>
      <c r="L66" s="103" t="str">
        <f t="shared" si="1"/>
        <v>Impayé</v>
      </c>
      <c r="N66" s="15"/>
    </row>
    <row r="67" spans="1:14" s="14" customFormat="1" ht="15" customHeight="1" x14ac:dyDescent="0.25">
      <c r="A67" s="100">
        <v>45838</v>
      </c>
      <c r="B67" s="104">
        <v>994</v>
      </c>
      <c r="C67" s="201" t="s">
        <v>381</v>
      </c>
      <c r="D67" s="104" t="s">
        <v>17</v>
      </c>
      <c r="E67" s="104" t="s">
        <v>370</v>
      </c>
      <c r="F67" s="100">
        <v>45473</v>
      </c>
      <c r="G67" s="105">
        <v>1</v>
      </c>
      <c r="H67" s="99">
        <v>87</v>
      </c>
      <c r="I67" s="106"/>
      <c r="J67" s="107"/>
      <c r="K67" s="104"/>
      <c r="L67" s="103" t="str">
        <f t="shared" si="1"/>
        <v>Impayé</v>
      </c>
      <c r="N67" s="15"/>
    </row>
    <row r="68" spans="1:14" s="14" customFormat="1" ht="15" customHeight="1" x14ac:dyDescent="0.25">
      <c r="A68" s="100">
        <v>45838</v>
      </c>
      <c r="B68" s="104">
        <v>1041</v>
      </c>
      <c r="C68" s="201" t="s">
        <v>387</v>
      </c>
      <c r="D68" s="104" t="s">
        <v>17</v>
      </c>
      <c r="E68" s="104" t="s">
        <v>369</v>
      </c>
      <c r="F68" s="100">
        <v>45473</v>
      </c>
      <c r="G68" s="104">
        <v>1</v>
      </c>
      <c r="H68" s="108">
        <v>87</v>
      </c>
      <c r="I68" s="106"/>
      <c r="J68" s="109"/>
      <c r="K68" s="104"/>
      <c r="L68" s="103" t="str">
        <f t="shared" si="1"/>
        <v>Impayé</v>
      </c>
      <c r="N68" s="15"/>
    </row>
    <row r="69" spans="1:14" s="14" customFormat="1" ht="15" customHeight="1" x14ac:dyDescent="0.25">
      <c r="A69" s="100">
        <v>45838</v>
      </c>
      <c r="B69" s="145">
        <v>1041</v>
      </c>
      <c r="C69" s="200" t="s">
        <v>387</v>
      </c>
      <c r="D69" s="98" t="s">
        <v>17</v>
      </c>
      <c r="E69" s="99" t="s">
        <v>369</v>
      </c>
      <c r="F69" s="100">
        <v>45473</v>
      </c>
      <c r="G69" s="99">
        <v>1</v>
      </c>
      <c r="H69" s="108">
        <v>86.745942921096812</v>
      </c>
      <c r="I69" s="97"/>
      <c r="J69" s="109"/>
      <c r="K69" s="108"/>
      <c r="L69" s="103" t="str">
        <f t="shared" si="1"/>
        <v>Impayé</v>
      </c>
      <c r="N69" s="15"/>
    </row>
    <row r="70" spans="1:14" s="14" customFormat="1" ht="15" customHeight="1" x14ac:dyDescent="0.25">
      <c r="A70" s="100">
        <v>45838</v>
      </c>
      <c r="B70" s="145">
        <v>1041</v>
      </c>
      <c r="C70" s="200" t="s">
        <v>387</v>
      </c>
      <c r="D70" s="98" t="s">
        <v>17</v>
      </c>
      <c r="E70" s="99" t="s">
        <v>369</v>
      </c>
      <c r="F70" s="100">
        <v>45473</v>
      </c>
      <c r="G70" s="99">
        <v>1</v>
      </c>
      <c r="H70" s="108">
        <v>86.745942921096812</v>
      </c>
      <c r="I70" s="97"/>
      <c r="J70" s="109"/>
      <c r="K70" s="108"/>
      <c r="L70" s="103" t="str">
        <f t="shared" si="1"/>
        <v>Impayé</v>
      </c>
      <c r="N70" s="15"/>
    </row>
    <row r="71" spans="1:14" s="14" customFormat="1" ht="15" customHeight="1" x14ac:dyDescent="0.25">
      <c r="A71" s="100">
        <v>45838</v>
      </c>
      <c r="B71" s="145">
        <v>1041</v>
      </c>
      <c r="C71" s="200" t="s">
        <v>387</v>
      </c>
      <c r="D71" s="98" t="s">
        <v>17</v>
      </c>
      <c r="E71" s="99" t="s">
        <v>103</v>
      </c>
      <c r="F71" s="100">
        <v>45473</v>
      </c>
      <c r="G71" s="99">
        <v>1</v>
      </c>
      <c r="H71" s="101">
        <v>82.615183734377908</v>
      </c>
      <c r="I71" s="97"/>
      <c r="J71" s="109"/>
      <c r="K71" s="101"/>
      <c r="L71" s="103" t="str">
        <f t="shared" si="1"/>
        <v>Impayé</v>
      </c>
      <c r="N71" s="15"/>
    </row>
    <row r="72" spans="1:14" s="14" customFormat="1" ht="15" customHeight="1" x14ac:dyDescent="0.25">
      <c r="A72" s="100">
        <v>45838</v>
      </c>
      <c r="B72" s="145" t="s">
        <v>182</v>
      </c>
      <c r="C72" s="200" t="s">
        <v>183</v>
      </c>
      <c r="D72" s="98" t="s">
        <v>17</v>
      </c>
      <c r="E72" s="99" t="s">
        <v>103</v>
      </c>
      <c r="F72" s="100">
        <v>45473</v>
      </c>
      <c r="G72" s="99">
        <v>3</v>
      </c>
      <c r="H72" s="101">
        <v>236.06603245663123</v>
      </c>
      <c r="I72" s="97"/>
      <c r="J72" s="102"/>
      <c r="K72" s="101"/>
      <c r="L72" s="103" t="str">
        <f t="shared" si="1"/>
        <v>Impayé</v>
      </c>
      <c r="N72" s="15"/>
    </row>
    <row r="73" spans="1:14" s="14" customFormat="1" ht="15" customHeight="1" x14ac:dyDescent="0.25">
      <c r="A73" s="100">
        <v>45838</v>
      </c>
      <c r="B73" s="145">
        <v>1373</v>
      </c>
      <c r="C73" s="200" t="s">
        <v>102</v>
      </c>
      <c r="D73" s="98" t="s">
        <v>17</v>
      </c>
      <c r="E73" s="99" t="s">
        <v>103</v>
      </c>
      <c r="F73" s="100">
        <v>45473</v>
      </c>
      <c r="G73" s="99">
        <v>1</v>
      </c>
      <c r="H73" s="101">
        <v>82</v>
      </c>
      <c r="I73" s="97"/>
      <c r="J73" s="102"/>
      <c r="K73" s="101"/>
      <c r="L73" s="103" t="str">
        <f t="shared" si="1"/>
        <v>Impayé</v>
      </c>
      <c r="M73" s="154"/>
      <c r="N73" s="15"/>
    </row>
    <row r="74" spans="1:14" s="14" customFormat="1" ht="15" customHeight="1" x14ac:dyDescent="0.25">
      <c r="A74" s="100">
        <v>45838</v>
      </c>
      <c r="B74" s="104">
        <v>194</v>
      </c>
      <c r="C74" s="201" t="s">
        <v>389</v>
      </c>
      <c r="D74" s="104" t="s">
        <v>17</v>
      </c>
      <c r="E74" s="104" t="s">
        <v>391</v>
      </c>
      <c r="F74" s="100">
        <v>45473</v>
      </c>
      <c r="G74" s="105">
        <v>1</v>
      </c>
      <c r="H74" s="99">
        <v>87</v>
      </c>
      <c r="I74" s="97"/>
      <c r="J74" s="107"/>
      <c r="K74" s="99"/>
      <c r="L74" s="103" t="str">
        <f t="shared" si="1"/>
        <v>Impayé</v>
      </c>
      <c r="N74" s="15"/>
    </row>
    <row r="75" spans="1:14" s="14" customFormat="1" ht="15" customHeight="1" x14ac:dyDescent="0.25">
      <c r="A75" s="100">
        <v>45838</v>
      </c>
      <c r="B75" s="145">
        <v>2276</v>
      </c>
      <c r="C75" s="200" t="s">
        <v>367</v>
      </c>
      <c r="D75" s="98" t="s">
        <v>17</v>
      </c>
      <c r="E75" s="99" t="s">
        <v>107</v>
      </c>
      <c r="F75" s="100">
        <v>45473</v>
      </c>
      <c r="G75" s="99">
        <v>1</v>
      </c>
      <c r="H75" s="101">
        <v>82.615183734377908</v>
      </c>
      <c r="I75" s="97"/>
      <c r="J75" s="109"/>
      <c r="K75" s="101"/>
      <c r="L75" s="103" t="str">
        <f t="shared" si="1"/>
        <v>Impayé</v>
      </c>
      <c r="N75" s="15"/>
    </row>
    <row r="76" spans="1:14" s="14" customFormat="1" ht="15" customHeight="1" x14ac:dyDescent="0.25">
      <c r="A76" s="100">
        <v>45838</v>
      </c>
      <c r="B76" s="145">
        <v>1422</v>
      </c>
      <c r="C76" s="200" t="s">
        <v>106</v>
      </c>
      <c r="D76" s="98" t="s">
        <v>17</v>
      </c>
      <c r="E76" s="99" t="s">
        <v>107</v>
      </c>
      <c r="F76" s="100">
        <v>45473</v>
      </c>
      <c r="G76" s="99">
        <v>2</v>
      </c>
      <c r="H76" s="101">
        <v>143.07032270098861</v>
      </c>
      <c r="I76" s="97"/>
      <c r="J76" s="102"/>
      <c r="K76" s="101"/>
      <c r="L76" s="103" t="str">
        <f t="shared" si="1"/>
        <v>Impayé</v>
      </c>
      <c r="N76" s="15"/>
    </row>
    <row r="77" spans="1:14" s="14" customFormat="1" ht="15" customHeight="1" x14ac:dyDescent="0.25">
      <c r="A77" s="100">
        <v>45838</v>
      </c>
      <c r="B77" s="104"/>
      <c r="C77" s="201" t="s">
        <v>671</v>
      </c>
      <c r="D77" s="104" t="s">
        <v>17</v>
      </c>
      <c r="E77" s="104" t="s">
        <v>665</v>
      </c>
      <c r="F77" s="104" t="s">
        <v>523</v>
      </c>
      <c r="G77" s="105">
        <v>1</v>
      </c>
      <c r="H77" s="99">
        <v>83</v>
      </c>
      <c r="I77" s="106"/>
      <c r="J77" s="107"/>
      <c r="K77" s="104"/>
      <c r="L77" s="103" t="str">
        <f t="shared" si="1"/>
        <v>Impayé</v>
      </c>
      <c r="N77" s="15"/>
    </row>
    <row r="78" spans="1:14" s="14" customFormat="1" ht="15" customHeight="1" x14ac:dyDescent="0.25">
      <c r="A78" s="100">
        <v>45838</v>
      </c>
      <c r="B78" s="145">
        <v>3636</v>
      </c>
      <c r="C78" s="200" t="s">
        <v>423</v>
      </c>
      <c r="D78" s="98" t="s">
        <v>17</v>
      </c>
      <c r="E78" s="99" t="s">
        <v>422</v>
      </c>
      <c r="F78" s="100">
        <v>45473</v>
      </c>
      <c r="G78" s="99">
        <v>1</v>
      </c>
      <c r="H78" s="108">
        <v>82.615183734377908</v>
      </c>
      <c r="I78" s="97"/>
      <c r="J78" s="109"/>
      <c r="K78" s="101"/>
      <c r="L78" s="103" t="str">
        <f t="shared" si="1"/>
        <v>Impayé</v>
      </c>
      <c r="N78" s="15"/>
    </row>
    <row r="79" spans="1:14" s="14" customFormat="1" ht="15" customHeight="1" x14ac:dyDescent="0.25">
      <c r="A79" s="100">
        <v>45838</v>
      </c>
      <c r="B79" s="145">
        <v>3645</v>
      </c>
      <c r="C79" s="200" t="s">
        <v>424</v>
      </c>
      <c r="D79" s="98" t="s">
        <v>17</v>
      </c>
      <c r="E79" s="99" t="s">
        <v>422</v>
      </c>
      <c r="F79" s="100">
        <v>45473</v>
      </c>
      <c r="G79" s="99">
        <v>1</v>
      </c>
      <c r="H79" s="108">
        <v>82.615183734377908</v>
      </c>
      <c r="I79" s="97"/>
      <c r="J79" s="109"/>
      <c r="K79" s="101"/>
      <c r="L79" s="103" t="str">
        <f t="shared" si="1"/>
        <v>Impayé</v>
      </c>
      <c r="N79" s="15"/>
    </row>
    <row r="80" spans="1:14" s="14" customFormat="1" ht="15" customHeight="1" x14ac:dyDescent="0.25">
      <c r="A80" s="100">
        <v>45838</v>
      </c>
      <c r="B80" s="145">
        <v>3340</v>
      </c>
      <c r="C80" s="200" t="s">
        <v>372</v>
      </c>
      <c r="D80" s="98" t="s">
        <v>17</v>
      </c>
      <c r="E80" s="99" t="s">
        <v>123</v>
      </c>
      <c r="F80" s="100">
        <v>45473</v>
      </c>
      <c r="G80" s="99">
        <v>2</v>
      </c>
      <c r="H80" s="101">
        <v>157.3773549710875</v>
      </c>
      <c r="I80" s="97"/>
      <c r="J80" s="102"/>
      <c r="K80" s="101"/>
      <c r="L80" s="103" t="str">
        <f t="shared" si="1"/>
        <v>Impayé</v>
      </c>
      <c r="N80" s="15"/>
    </row>
    <row r="81" spans="1:14" s="14" customFormat="1" ht="15" customHeight="1" x14ac:dyDescent="0.25">
      <c r="A81" s="100">
        <v>45838</v>
      </c>
      <c r="B81" s="145">
        <v>1744</v>
      </c>
      <c r="C81" s="200" t="s">
        <v>382</v>
      </c>
      <c r="D81" s="98" t="s">
        <v>17</v>
      </c>
      <c r="E81" s="99" t="s">
        <v>123</v>
      </c>
      <c r="F81" s="100">
        <v>45473</v>
      </c>
      <c r="G81" s="99">
        <v>1</v>
      </c>
      <c r="H81" s="108">
        <v>82.615183734377908</v>
      </c>
      <c r="I81" s="97"/>
      <c r="J81" s="109"/>
      <c r="K81" s="108"/>
      <c r="L81" s="103" t="str">
        <f t="shared" si="1"/>
        <v>Impayé</v>
      </c>
      <c r="N81" s="15"/>
    </row>
    <row r="82" spans="1:14" s="14" customFormat="1" ht="15" customHeight="1" x14ac:dyDescent="0.25">
      <c r="A82" s="100">
        <v>45838</v>
      </c>
      <c r="B82" s="145">
        <v>1723</v>
      </c>
      <c r="C82" s="200" t="s">
        <v>395</v>
      </c>
      <c r="D82" s="98" t="s">
        <v>17</v>
      </c>
      <c r="E82" s="99" t="s">
        <v>123</v>
      </c>
      <c r="F82" s="100">
        <v>45473</v>
      </c>
      <c r="G82" s="99">
        <v>1</v>
      </c>
      <c r="H82" s="108">
        <v>82.615183734377908</v>
      </c>
      <c r="I82" s="97"/>
      <c r="J82" s="109"/>
      <c r="K82" s="108"/>
      <c r="L82" s="103" t="str">
        <f t="shared" si="1"/>
        <v>Impayé</v>
      </c>
      <c r="M82" s="80" t="s">
        <v>718</v>
      </c>
      <c r="N82" s="15"/>
    </row>
    <row r="83" spans="1:14" s="14" customFormat="1" ht="15" customHeight="1" x14ac:dyDescent="0.25">
      <c r="A83" s="100">
        <v>45838</v>
      </c>
      <c r="B83" s="145">
        <v>3249</v>
      </c>
      <c r="C83" s="200" t="s">
        <v>434</v>
      </c>
      <c r="D83" s="98" t="s">
        <v>17</v>
      </c>
      <c r="E83" s="99" t="s">
        <v>123</v>
      </c>
      <c r="F83" s="100">
        <v>45473</v>
      </c>
      <c r="G83" s="99">
        <v>1</v>
      </c>
      <c r="H83" s="108">
        <v>82.615183734377908</v>
      </c>
      <c r="I83" s="97"/>
      <c r="J83" s="109"/>
      <c r="K83" s="108"/>
      <c r="L83" s="103" t="str">
        <f t="shared" si="1"/>
        <v>Impayé</v>
      </c>
      <c r="N83" s="15"/>
    </row>
    <row r="84" spans="1:14" s="14" customFormat="1" ht="15" customHeight="1" x14ac:dyDescent="0.25">
      <c r="A84" s="100">
        <v>45838</v>
      </c>
      <c r="B84" s="145">
        <v>1712</v>
      </c>
      <c r="C84" s="200" t="s">
        <v>394</v>
      </c>
      <c r="D84" s="98" t="s">
        <v>17</v>
      </c>
      <c r="E84" s="99" t="s">
        <v>123</v>
      </c>
      <c r="F84" s="100">
        <v>45473</v>
      </c>
      <c r="G84" s="99">
        <v>1</v>
      </c>
      <c r="H84" s="108">
        <v>82.615183734377908</v>
      </c>
      <c r="I84" s="97"/>
      <c r="J84" s="109"/>
      <c r="K84" s="101"/>
      <c r="L84" s="103" t="str">
        <f t="shared" si="1"/>
        <v>Impayé</v>
      </c>
      <c r="N84" s="15"/>
    </row>
    <row r="85" spans="1:14" s="14" customFormat="1" ht="15" customHeight="1" x14ac:dyDescent="0.25">
      <c r="A85" s="100">
        <v>45838</v>
      </c>
      <c r="B85" s="145">
        <v>1587</v>
      </c>
      <c r="C85" s="200" t="s">
        <v>404</v>
      </c>
      <c r="D85" s="98" t="s">
        <v>17</v>
      </c>
      <c r="E85" s="99" t="s">
        <v>123</v>
      </c>
      <c r="F85" s="100">
        <v>45473</v>
      </c>
      <c r="G85" s="99">
        <v>1</v>
      </c>
      <c r="H85" s="108">
        <v>82.615183734377908</v>
      </c>
      <c r="I85" s="97"/>
      <c r="J85" s="109"/>
      <c r="K85" s="108"/>
      <c r="L85" s="103" t="str">
        <f t="shared" si="1"/>
        <v>Impayé</v>
      </c>
      <c r="M85" s="154"/>
      <c r="N85" s="15"/>
    </row>
    <row r="86" spans="1:14" s="14" customFormat="1" ht="15" customHeight="1" x14ac:dyDescent="0.25">
      <c r="A86" s="100">
        <v>45838</v>
      </c>
      <c r="B86" s="145">
        <v>2664</v>
      </c>
      <c r="C86" s="200" t="s">
        <v>398</v>
      </c>
      <c r="D86" s="98" t="s">
        <v>17</v>
      </c>
      <c r="E86" s="99" t="s">
        <v>123</v>
      </c>
      <c r="F86" s="100">
        <v>45473</v>
      </c>
      <c r="G86" s="99">
        <v>1</v>
      </c>
      <c r="H86" s="108">
        <v>82.615183734377908</v>
      </c>
      <c r="I86" s="97"/>
      <c r="J86" s="109"/>
      <c r="K86" s="108"/>
      <c r="L86" s="103" t="str">
        <f t="shared" si="1"/>
        <v>Impayé</v>
      </c>
      <c r="M86" s="154"/>
      <c r="N86" s="15"/>
    </row>
    <row r="87" spans="1:14" s="14" customFormat="1" ht="15" customHeight="1" x14ac:dyDescent="0.25">
      <c r="A87" s="100">
        <v>45838</v>
      </c>
      <c r="B87" s="145">
        <v>2437</v>
      </c>
      <c r="C87" s="200" t="s">
        <v>297</v>
      </c>
      <c r="D87" s="98" t="s">
        <v>17</v>
      </c>
      <c r="E87" s="99" t="s">
        <v>123</v>
      </c>
      <c r="F87" s="100">
        <v>45473</v>
      </c>
      <c r="G87" s="99">
        <v>1</v>
      </c>
      <c r="H87" s="101">
        <v>78.688677485543749</v>
      </c>
      <c r="I87" s="97"/>
      <c r="J87" s="102"/>
      <c r="K87" s="101"/>
      <c r="L87" s="103" t="str">
        <f t="shared" si="1"/>
        <v>Impayé</v>
      </c>
      <c r="N87" s="15"/>
    </row>
    <row r="88" spans="1:14" s="14" customFormat="1" ht="15" customHeight="1" x14ac:dyDescent="0.25">
      <c r="A88" s="100">
        <v>45838</v>
      </c>
      <c r="B88" s="145">
        <v>297</v>
      </c>
      <c r="C88" s="200" t="s">
        <v>233</v>
      </c>
      <c r="D88" s="98" t="s">
        <v>17</v>
      </c>
      <c r="E88" s="99" t="s">
        <v>123</v>
      </c>
      <c r="F88" s="100">
        <v>45473</v>
      </c>
      <c r="G88" s="99">
        <v>2</v>
      </c>
      <c r="H88" s="101">
        <v>157.3773549710875</v>
      </c>
      <c r="I88" s="97"/>
      <c r="J88" s="102"/>
      <c r="K88" s="101"/>
      <c r="L88" s="103" t="str">
        <f t="shared" si="1"/>
        <v>Impayé</v>
      </c>
      <c r="N88" s="15"/>
    </row>
    <row r="89" spans="1:14" s="14" customFormat="1" ht="15" customHeight="1" x14ac:dyDescent="0.25">
      <c r="A89" s="100">
        <v>45838</v>
      </c>
      <c r="B89" s="145">
        <v>2320</v>
      </c>
      <c r="C89" s="200" t="s">
        <v>321</v>
      </c>
      <c r="D89" s="98" t="s">
        <v>17</v>
      </c>
      <c r="E89" s="99" t="s">
        <v>123</v>
      </c>
      <c r="F89" s="100">
        <v>45473</v>
      </c>
      <c r="G89" s="99">
        <v>1</v>
      </c>
      <c r="H89" s="101">
        <v>78.688677485543749</v>
      </c>
      <c r="I89" s="97"/>
      <c r="J89" s="102"/>
      <c r="K89" s="101"/>
      <c r="L89" s="103" t="str">
        <f t="shared" si="1"/>
        <v>Impayé</v>
      </c>
      <c r="N89" s="15"/>
    </row>
    <row r="90" spans="1:14" s="14" customFormat="1" ht="15" customHeight="1" x14ac:dyDescent="0.25">
      <c r="A90" s="100">
        <v>45838</v>
      </c>
      <c r="B90" s="145">
        <v>2331</v>
      </c>
      <c r="C90" s="200" t="s">
        <v>344</v>
      </c>
      <c r="D90" s="98" t="s">
        <v>17</v>
      </c>
      <c r="E90" s="99" t="s">
        <v>123</v>
      </c>
      <c r="F90" s="100">
        <v>45473</v>
      </c>
      <c r="G90" s="99">
        <v>1</v>
      </c>
      <c r="H90" s="101">
        <v>88.688677485543749</v>
      </c>
      <c r="I90" s="97"/>
      <c r="J90" s="102"/>
      <c r="K90" s="101"/>
      <c r="L90" s="103" t="str">
        <f t="shared" si="1"/>
        <v>Impayé</v>
      </c>
      <c r="N90" s="15"/>
    </row>
    <row r="91" spans="1:14" s="14" customFormat="1" ht="15" customHeight="1" x14ac:dyDescent="0.25">
      <c r="A91" s="100">
        <v>45838</v>
      </c>
      <c r="B91" s="145">
        <v>2281</v>
      </c>
      <c r="C91" s="200" t="s">
        <v>322</v>
      </c>
      <c r="D91" s="98" t="s">
        <v>17</v>
      </c>
      <c r="E91" s="99" t="s">
        <v>123</v>
      </c>
      <c r="F91" s="100">
        <v>45473</v>
      </c>
      <c r="G91" s="99">
        <v>1</v>
      </c>
      <c r="H91" s="101">
        <v>78.688677485543749</v>
      </c>
      <c r="I91" s="97"/>
      <c r="J91" s="102"/>
      <c r="K91" s="101"/>
      <c r="L91" s="103" t="str">
        <f t="shared" si="1"/>
        <v>Impayé</v>
      </c>
      <c r="N91" s="15"/>
    </row>
    <row r="92" spans="1:14" s="14" customFormat="1" ht="15" customHeight="1" x14ac:dyDescent="0.25">
      <c r="A92" s="100">
        <v>45838</v>
      </c>
      <c r="B92" s="145">
        <v>564</v>
      </c>
      <c r="C92" s="200" t="s">
        <v>294</v>
      </c>
      <c r="D92" s="98" t="s">
        <v>17</v>
      </c>
      <c r="E92" s="99" t="s">
        <v>123</v>
      </c>
      <c r="F92" s="100">
        <v>45473</v>
      </c>
      <c r="G92" s="99">
        <v>2</v>
      </c>
      <c r="H92" s="101">
        <v>157.3773549710875</v>
      </c>
      <c r="I92" s="97"/>
      <c r="J92" s="102"/>
      <c r="K92" s="101"/>
      <c r="L92" s="103" t="str">
        <f t="shared" si="1"/>
        <v>Impayé</v>
      </c>
      <c r="M92" s="68"/>
      <c r="N92" s="67"/>
    </row>
    <row r="93" spans="1:14" s="14" customFormat="1" ht="15" customHeight="1" x14ac:dyDescent="0.25">
      <c r="A93" s="100">
        <v>45838</v>
      </c>
      <c r="B93" s="145">
        <v>1548</v>
      </c>
      <c r="C93" s="200" t="s">
        <v>122</v>
      </c>
      <c r="D93" s="98" t="s">
        <v>17</v>
      </c>
      <c r="E93" s="99" t="s">
        <v>123</v>
      </c>
      <c r="F93" s="100">
        <v>45473</v>
      </c>
      <c r="G93" s="99">
        <v>3</v>
      </c>
      <c r="H93" s="101">
        <v>214.60548405148293</v>
      </c>
      <c r="I93" s="97"/>
      <c r="J93" s="102"/>
      <c r="K93" s="101"/>
      <c r="L93" s="103" t="str">
        <f t="shared" si="1"/>
        <v>Impayé</v>
      </c>
      <c r="M93" s="68"/>
      <c r="N93" s="67"/>
    </row>
    <row r="94" spans="1:14" s="14" customFormat="1" ht="15" customHeight="1" x14ac:dyDescent="0.25">
      <c r="A94" s="100">
        <v>45838</v>
      </c>
      <c r="B94" s="145">
        <v>3375</v>
      </c>
      <c r="C94" s="200" t="s">
        <v>343</v>
      </c>
      <c r="D94" s="98" t="s">
        <v>17</v>
      </c>
      <c r="E94" s="99" t="s">
        <v>123</v>
      </c>
      <c r="F94" s="100">
        <v>45473</v>
      </c>
      <c r="G94" s="99">
        <v>1</v>
      </c>
      <c r="H94" s="101">
        <v>78.688677485543749</v>
      </c>
      <c r="I94" s="97"/>
      <c r="J94" s="102"/>
      <c r="K94" s="101"/>
      <c r="L94" s="103" t="str">
        <f t="shared" si="1"/>
        <v>Impayé</v>
      </c>
      <c r="N94" s="15"/>
    </row>
    <row r="95" spans="1:14" s="14" customFormat="1" ht="15" customHeight="1" x14ac:dyDescent="0.25">
      <c r="A95" s="100">
        <v>45838</v>
      </c>
      <c r="B95" s="145">
        <v>1616</v>
      </c>
      <c r="C95" s="200" t="s">
        <v>139</v>
      </c>
      <c r="D95" s="98" t="s">
        <v>17</v>
      </c>
      <c r="E95" s="99" t="s">
        <v>140</v>
      </c>
      <c r="F95" s="100">
        <v>45473</v>
      </c>
      <c r="G95" s="99">
        <v>3</v>
      </c>
      <c r="H95" s="101">
        <v>214.60548405148293</v>
      </c>
      <c r="I95" s="97"/>
      <c r="J95" s="102"/>
      <c r="K95" s="101"/>
      <c r="L95" s="103" t="str">
        <f t="shared" si="1"/>
        <v>Impayé</v>
      </c>
      <c r="N95" s="15"/>
    </row>
    <row r="96" spans="1:14" s="14" customFormat="1" ht="15" customHeight="1" x14ac:dyDescent="0.25">
      <c r="A96" s="100">
        <v>45838</v>
      </c>
      <c r="B96" s="104">
        <v>9002</v>
      </c>
      <c r="C96" s="201" t="s">
        <v>725</v>
      </c>
      <c r="D96" s="104" t="s">
        <v>17</v>
      </c>
      <c r="E96" s="104" t="s">
        <v>752</v>
      </c>
      <c r="F96" s="104" t="s">
        <v>535</v>
      </c>
      <c r="G96" s="99">
        <v>1</v>
      </c>
      <c r="H96" s="99">
        <v>100</v>
      </c>
      <c r="I96" s="106"/>
      <c r="J96" s="107"/>
      <c r="K96" s="104"/>
      <c r="L96" s="103" t="str">
        <f t="shared" si="1"/>
        <v>Impayé</v>
      </c>
      <c r="N96" s="15"/>
    </row>
    <row r="97" spans="1:14" s="14" customFormat="1" ht="15" customHeight="1" x14ac:dyDescent="0.25">
      <c r="A97" s="100">
        <v>45838</v>
      </c>
      <c r="B97" s="104">
        <v>4476</v>
      </c>
      <c r="C97" s="201" t="s">
        <v>733</v>
      </c>
      <c r="D97" s="104" t="s">
        <v>17</v>
      </c>
      <c r="E97" s="104" t="s">
        <v>752</v>
      </c>
      <c r="F97" s="104" t="s">
        <v>538</v>
      </c>
      <c r="G97" s="105">
        <v>3</v>
      </c>
      <c r="H97" s="99">
        <v>260</v>
      </c>
      <c r="I97" s="106"/>
      <c r="J97" s="107"/>
      <c r="K97" s="104"/>
      <c r="L97" s="103" t="str">
        <f t="shared" si="1"/>
        <v>Impayé</v>
      </c>
      <c r="N97" s="15"/>
    </row>
    <row r="98" spans="1:14" s="14" customFormat="1" ht="15" customHeight="1" x14ac:dyDescent="0.25">
      <c r="A98" s="100">
        <v>45838</v>
      </c>
      <c r="B98" s="145">
        <v>976</v>
      </c>
      <c r="C98" s="200" t="s">
        <v>66</v>
      </c>
      <c r="D98" s="98" t="s">
        <v>17</v>
      </c>
      <c r="E98" s="99" t="s">
        <v>67</v>
      </c>
      <c r="F98" s="100">
        <v>45473</v>
      </c>
      <c r="G98" s="99">
        <v>1.22</v>
      </c>
      <c r="H98" s="101">
        <v>88</v>
      </c>
      <c r="I98" s="97"/>
      <c r="J98" s="102"/>
      <c r="K98" s="101"/>
      <c r="L98" s="103" t="str">
        <f t="shared" si="1"/>
        <v>Impayé</v>
      </c>
      <c r="N98" s="15"/>
    </row>
    <row r="99" spans="1:14" s="14" customFormat="1" ht="15" customHeight="1" x14ac:dyDescent="0.25">
      <c r="A99" s="100">
        <v>45838</v>
      </c>
      <c r="B99" s="145">
        <v>3400</v>
      </c>
      <c r="C99" s="200" t="s">
        <v>323</v>
      </c>
      <c r="D99" s="98" t="s">
        <v>17</v>
      </c>
      <c r="E99" s="99" t="s">
        <v>324</v>
      </c>
      <c r="F99" s="100">
        <v>45473</v>
      </c>
      <c r="G99" s="99">
        <v>2</v>
      </c>
      <c r="H99" s="101">
        <v>157.3773549710875</v>
      </c>
      <c r="I99" s="97"/>
      <c r="J99" s="102"/>
      <c r="K99" s="101"/>
      <c r="L99" s="103" t="str">
        <f t="shared" si="1"/>
        <v>Impayé</v>
      </c>
      <c r="N99" s="15"/>
    </row>
    <row r="100" spans="1:14" s="14" customFormat="1" ht="15" customHeight="1" x14ac:dyDescent="0.25">
      <c r="A100" s="100">
        <v>45838</v>
      </c>
      <c r="B100" s="145">
        <v>3414</v>
      </c>
      <c r="C100" s="200" t="s">
        <v>328</v>
      </c>
      <c r="D100" s="98" t="s">
        <v>17</v>
      </c>
      <c r="E100" s="99" t="s">
        <v>326</v>
      </c>
      <c r="F100" s="100">
        <v>45473</v>
      </c>
      <c r="G100" s="99">
        <v>1</v>
      </c>
      <c r="H100" s="101">
        <v>78.688677485543749</v>
      </c>
      <c r="I100" s="97"/>
      <c r="J100" s="102"/>
      <c r="K100" s="101"/>
      <c r="L100" s="103" t="str">
        <f t="shared" si="1"/>
        <v>Impayé</v>
      </c>
      <c r="N100" s="15"/>
    </row>
    <row r="101" spans="1:14" s="14" customFormat="1" ht="15" customHeight="1" x14ac:dyDescent="0.25">
      <c r="A101" s="100">
        <v>45838</v>
      </c>
      <c r="B101" s="145">
        <v>3239</v>
      </c>
      <c r="C101" s="200" t="s">
        <v>325</v>
      </c>
      <c r="D101" s="98" t="s">
        <v>17</v>
      </c>
      <c r="E101" s="99" t="s">
        <v>326</v>
      </c>
      <c r="F101" s="100">
        <v>45473</v>
      </c>
      <c r="G101" s="99">
        <v>2</v>
      </c>
      <c r="H101" s="101">
        <v>157.3773549710875</v>
      </c>
      <c r="I101" s="97"/>
      <c r="J101" s="102"/>
      <c r="K101" s="101"/>
      <c r="L101" s="103" t="str">
        <f t="shared" si="1"/>
        <v>Impayé</v>
      </c>
      <c r="N101" s="15"/>
    </row>
    <row r="102" spans="1:14" s="14" customFormat="1" ht="15" customHeight="1" x14ac:dyDescent="0.25">
      <c r="A102" s="100">
        <v>45838</v>
      </c>
      <c r="B102" s="145">
        <v>3346</v>
      </c>
      <c r="C102" s="200" t="s">
        <v>327</v>
      </c>
      <c r="D102" s="98" t="s">
        <v>17</v>
      </c>
      <c r="E102" s="99" t="s">
        <v>326</v>
      </c>
      <c r="F102" s="100">
        <v>45473</v>
      </c>
      <c r="G102" s="99">
        <v>2</v>
      </c>
      <c r="H102" s="101">
        <v>157.3773549710875</v>
      </c>
      <c r="I102" s="97"/>
      <c r="J102" s="102"/>
      <c r="K102" s="101"/>
      <c r="L102" s="103" t="str">
        <f t="shared" si="1"/>
        <v>Impayé</v>
      </c>
      <c r="N102" s="15"/>
    </row>
    <row r="103" spans="1:14" s="14" customFormat="1" ht="15" customHeight="1" x14ac:dyDescent="0.25">
      <c r="A103" s="100">
        <v>45838</v>
      </c>
      <c r="B103" s="104">
        <v>3740</v>
      </c>
      <c r="C103" s="202"/>
      <c r="D103" s="104" t="s">
        <v>17</v>
      </c>
      <c r="E103" s="104" t="s">
        <v>254</v>
      </c>
      <c r="F103" s="100">
        <v>45473</v>
      </c>
      <c r="G103" s="104">
        <v>1</v>
      </c>
      <c r="H103" s="99">
        <v>83</v>
      </c>
      <c r="I103" s="106"/>
      <c r="J103" s="106"/>
      <c r="K103" s="104"/>
      <c r="L103" s="103" t="str">
        <f t="shared" si="1"/>
        <v>Impayé</v>
      </c>
      <c r="N103" s="15"/>
    </row>
    <row r="104" spans="1:14" s="14" customFormat="1" ht="15" customHeight="1" x14ac:dyDescent="0.25">
      <c r="A104" s="100">
        <v>45838</v>
      </c>
      <c r="B104" s="104">
        <v>3738</v>
      </c>
      <c r="C104" s="201" t="s">
        <v>458</v>
      </c>
      <c r="D104" s="104" t="s">
        <v>17</v>
      </c>
      <c r="E104" s="104" t="s">
        <v>254</v>
      </c>
      <c r="F104" s="100">
        <v>45473</v>
      </c>
      <c r="G104" s="104">
        <v>1</v>
      </c>
      <c r="H104" s="99">
        <v>83</v>
      </c>
      <c r="I104" s="106"/>
      <c r="J104" s="106"/>
      <c r="K104" s="104"/>
      <c r="L104" s="103" t="str">
        <f t="shared" ref="L104:L167" si="2">IF(ISBLANK(H104),"",IF(H104=K104,"Payé","Impayé"))</f>
        <v>Impayé</v>
      </c>
      <c r="N104" s="15"/>
    </row>
    <row r="105" spans="1:14" s="14" customFormat="1" ht="15" customHeight="1" x14ac:dyDescent="0.25">
      <c r="A105" s="100">
        <v>45838</v>
      </c>
      <c r="B105" s="104">
        <v>3737</v>
      </c>
      <c r="C105" s="201" t="s">
        <v>457</v>
      </c>
      <c r="D105" s="104" t="s">
        <v>17</v>
      </c>
      <c r="E105" s="104" t="s">
        <v>254</v>
      </c>
      <c r="F105" s="100">
        <v>45473</v>
      </c>
      <c r="G105" s="104">
        <v>1</v>
      </c>
      <c r="H105" s="99">
        <v>83</v>
      </c>
      <c r="I105" s="106"/>
      <c r="J105" s="106"/>
      <c r="K105" s="104"/>
      <c r="L105" s="103" t="str">
        <f t="shared" si="2"/>
        <v>Impayé</v>
      </c>
      <c r="N105" s="15"/>
    </row>
    <row r="106" spans="1:14" s="14" customFormat="1" ht="15" customHeight="1" x14ac:dyDescent="0.25">
      <c r="A106" s="100">
        <v>45838</v>
      </c>
      <c r="B106" s="104">
        <v>3739</v>
      </c>
      <c r="C106" s="201" t="s">
        <v>459</v>
      </c>
      <c r="D106" s="104" t="s">
        <v>17</v>
      </c>
      <c r="E106" s="104" t="s">
        <v>254</v>
      </c>
      <c r="F106" s="100">
        <v>45473</v>
      </c>
      <c r="G106" s="104">
        <v>1</v>
      </c>
      <c r="H106" s="99">
        <v>83</v>
      </c>
      <c r="I106" s="106"/>
      <c r="J106" s="106"/>
      <c r="K106" s="104"/>
      <c r="L106" s="103" t="str">
        <f t="shared" si="2"/>
        <v>Impayé</v>
      </c>
      <c r="N106" s="15"/>
    </row>
    <row r="107" spans="1:14" s="14" customFormat="1" ht="15" customHeight="1" x14ac:dyDescent="0.25">
      <c r="A107" s="100">
        <v>45838</v>
      </c>
      <c r="B107" s="104">
        <v>3399</v>
      </c>
      <c r="C107" s="201" t="s">
        <v>376</v>
      </c>
      <c r="D107" s="104" t="s">
        <v>17</v>
      </c>
      <c r="E107" s="104" t="s">
        <v>254</v>
      </c>
      <c r="F107" s="100">
        <v>45473</v>
      </c>
      <c r="G107" s="105">
        <v>1</v>
      </c>
      <c r="H107" s="99">
        <v>83</v>
      </c>
      <c r="I107" s="106"/>
      <c r="J107" s="107"/>
      <c r="K107" s="104"/>
      <c r="L107" s="103" t="str">
        <f t="shared" si="2"/>
        <v>Impayé</v>
      </c>
      <c r="N107" s="15"/>
    </row>
    <row r="108" spans="1:14" s="14" customFormat="1" ht="15" customHeight="1" x14ac:dyDescent="0.25">
      <c r="A108" s="100">
        <v>45838</v>
      </c>
      <c r="B108" s="104">
        <v>3743</v>
      </c>
      <c r="C108" s="201" t="s">
        <v>463</v>
      </c>
      <c r="D108" s="104" t="s">
        <v>17</v>
      </c>
      <c r="E108" s="104" t="s">
        <v>254</v>
      </c>
      <c r="F108" s="100">
        <v>45473</v>
      </c>
      <c r="G108" s="105">
        <v>1</v>
      </c>
      <c r="H108" s="99">
        <v>83</v>
      </c>
      <c r="I108" s="106"/>
      <c r="J108" s="107"/>
      <c r="K108" s="104"/>
      <c r="L108" s="103" t="str">
        <f t="shared" si="2"/>
        <v>Impayé</v>
      </c>
      <c r="N108" s="15"/>
    </row>
    <row r="109" spans="1:14" s="14" customFormat="1" ht="15" customHeight="1" x14ac:dyDescent="0.25">
      <c r="A109" s="100">
        <v>45838</v>
      </c>
      <c r="B109" s="145">
        <v>2531</v>
      </c>
      <c r="C109" s="200" t="s">
        <v>397</v>
      </c>
      <c r="D109" s="98" t="s">
        <v>17</v>
      </c>
      <c r="E109" s="99" t="s">
        <v>254</v>
      </c>
      <c r="F109" s="100">
        <v>45473</v>
      </c>
      <c r="G109" s="99">
        <v>1</v>
      </c>
      <c r="H109" s="101">
        <v>78.688677485543749</v>
      </c>
      <c r="I109" s="97"/>
      <c r="J109" s="102"/>
      <c r="K109" s="101"/>
      <c r="L109" s="103" t="str">
        <f t="shared" si="2"/>
        <v>Impayé</v>
      </c>
      <c r="N109" s="15"/>
    </row>
    <row r="110" spans="1:14" s="14" customFormat="1" ht="15" customHeight="1" x14ac:dyDescent="0.25">
      <c r="A110" s="100">
        <v>45838</v>
      </c>
      <c r="B110" s="145">
        <v>3449</v>
      </c>
      <c r="C110" s="200" t="s">
        <v>402</v>
      </c>
      <c r="D110" s="98" t="s">
        <v>17</v>
      </c>
      <c r="E110" s="99" t="s">
        <v>254</v>
      </c>
      <c r="F110" s="100">
        <v>45473</v>
      </c>
      <c r="G110" s="99">
        <v>1</v>
      </c>
      <c r="H110" s="101">
        <v>78.688677485543749</v>
      </c>
      <c r="I110" s="97"/>
      <c r="J110" s="102"/>
      <c r="K110" s="101"/>
      <c r="L110" s="103" t="str">
        <f t="shared" si="2"/>
        <v>Impayé</v>
      </c>
      <c r="N110" s="15"/>
    </row>
    <row r="111" spans="1:14" s="14" customFormat="1" ht="15" customHeight="1" x14ac:dyDescent="0.25">
      <c r="A111" s="100">
        <v>45838</v>
      </c>
      <c r="B111" s="104">
        <v>3770</v>
      </c>
      <c r="C111" s="201" t="s">
        <v>466</v>
      </c>
      <c r="D111" s="104" t="s">
        <v>17</v>
      </c>
      <c r="E111" s="104" t="s">
        <v>254</v>
      </c>
      <c r="F111" s="100">
        <v>45473</v>
      </c>
      <c r="G111" s="110">
        <v>1</v>
      </c>
      <c r="H111" s="99">
        <v>83</v>
      </c>
      <c r="I111" s="106"/>
      <c r="J111" s="107"/>
      <c r="K111" s="104"/>
      <c r="L111" s="103" t="str">
        <f t="shared" si="2"/>
        <v>Impayé</v>
      </c>
      <c r="N111" s="15"/>
    </row>
    <row r="112" spans="1:14" s="14" customFormat="1" ht="15" customHeight="1" x14ac:dyDescent="0.25">
      <c r="A112" s="100">
        <v>45838</v>
      </c>
      <c r="B112" s="145">
        <v>2635</v>
      </c>
      <c r="C112" s="200" t="s">
        <v>388</v>
      </c>
      <c r="D112" s="98" t="s">
        <v>17</v>
      </c>
      <c r="E112" s="99" t="s">
        <v>254</v>
      </c>
      <c r="F112" s="100">
        <v>45473</v>
      </c>
      <c r="G112" s="99">
        <v>1</v>
      </c>
      <c r="H112" s="101">
        <v>78</v>
      </c>
      <c r="I112" s="97"/>
      <c r="J112" s="102"/>
      <c r="K112" s="101"/>
      <c r="L112" s="103" t="str">
        <f t="shared" si="2"/>
        <v>Impayé</v>
      </c>
      <c r="N112" s="15"/>
    </row>
    <row r="113" spans="1:14" s="14" customFormat="1" ht="15" customHeight="1" x14ac:dyDescent="0.25">
      <c r="A113" s="100">
        <v>45838</v>
      </c>
      <c r="B113" s="145">
        <v>3664</v>
      </c>
      <c r="C113" s="200" t="s">
        <v>442</v>
      </c>
      <c r="D113" s="98" t="s">
        <v>17</v>
      </c>
      <c r="E113" s="99" t="s">
        <v>254</v>
      </c>
      <c r="F113" s="100">
        <v>45473</v>
      </c>
      <c r="G113" s="99">
        <v>2</v>
      </c>
      <c r="H113" s="108">
        <v>165.23036746875582</v>
      </c>
      <c r="I113" s="97"/>
      <c r="J113" s="109"/>
      <c r="K113" s="108"/>
      <c r="L113" s="103" t="str">
        <f t="shared" si="2"/>
        <v>Impayé</v>
      </c>
      <c r="N113" s="15"/>
    </row>
    <row r="114" spans="1:14" s="14" customFormat="1" ht="15" customHeight="1" x14ac:dyDescent="0.25">
      <c r="A114" s="100">
        <v>45838</v>
      </c>
      <c r="B114" s="145">
        <v>2721</v>
      </c>
      <c r="C114" s="200" t="s">
        <v>280</v>
      </c>
      <c r="D114" s="98" t="s">
        <v>17</v>
      </c>
      <c r="E114" s="99" t="s">
        <v>254</v>
      </c>
      <c r="F114" s="100">
        <v>45473</v>
      </c>
      <c r="G114" s="99">
        <v>1</v>
      </c>
      <c r="H114" s="101">
        <v>78.688677485543749</v>
      </c>
      <c r="I114" s="97"/>
      <c r="J114" s="102"/>
      <c r="K114" s="101"/>
      <c r="L114" s="103" t="str">
        <f t="shared" si="2"/>
        <v>Impayé</v>
      </c>
      <c r="N114" s="15"/>
    </row>
    <row r="115" spans="1:14" s="14" customFormat="1" ht="15" customHeight="1" x14ac:dyDescent="0.25">
      <c r="A115" s="100">
        <v>45838</v>
      </c>
      <c r="B115" s="145">
        <v>2604</v>
      </c>
      <c r="C115" s="200" t="s">
        <v>267</v>
      </c>
      <c r="D115" s="98" t="s">
        <v>17</v>
      </c>
      <c r="E115" s="99" t="s">
        <v>254</v>
      </c>
      <c r="F115" s="100">
        <v>45473</v>
      </c>
      <c r="G115" s="99">
        <v>2</v>
      </c>
      <c r="H115" s="101">
        <v>157.3773549710875</v>
      </c>
      <c r="I115" s="97"/>
      <c r="J115" s="102"/>
      <c r="K115" s="101"/>
      <c r="L115" s="103" t="str">
        <f t="shared" si="2"/>
        <v>Impayé</v>
      </c>
      <c r="N115" s="15"/>
    </row>
    <row r="116" spans="1:14" s="14" customFormat="1" ht="15" customHeight="1" x14ac:dyDescent="0.25">
      <c r="A116" s="100">
        <v>45838</v>
      </c>
      <c r="B116" s="145">
        <v>2511</v>
      </c>
      <c r="C116" s="200" t="s">
        <v>329</v>
      </c>
      <c r="D116" s="98" t="s">
        <v>17</v>
      </c>
      <c r="E116" s="99" t="s">
        <v>254</v>
      </c>
      <c r="F116" s="100">
        <v>45473</v>
      </c>
      <c r="G116" s="99">
        <v>1</v>
      </c>
      <c r="H116" s="101">
        <v>78.688677485543749</v>
      </c>
      <c r="I116" s="97"/>
      <c r="J116" s="102"/>
      <c r="K116" s="101"/>
      <c r="L116" s="103" t="str">
        <f t="shared" si="2"/>
        <v>Impayé</v>
      </c>
      <c r="N116" s="15"/>
    </row>
    <row r="117" spans="1:14" s="14" customFormat="1" ht="15" customHeight="1" x14ac:dyDescent="0.25">
      <c r="A117" s="100">
        <v>45838</v>
      </c>
      <c r="B117" s="145">
        <v>3126</v>
      </c>
      <c r="C117" s="200" t="s">
        <v>345</v>
      </c>
      <c r="D117" s="98" t="s">
        <v>17</v>
      </c>
      <c r="E117" s="99" t="s">
        <v>254</v>
      </c>
      <c r="F117" s="100">
        <v>45473</v>
      </c>
      <c r="G117" s="99">
        <v>1</v>
      </c>
      <c r="H117" s="101">
        <v>78.688677485543749</v>
      </c>
      <c r="I117" s="97"/>
      <c r="J117" s="102"/>
      <c r="K117" s="101"/>
      <c r="L117" s="103" t="str">
        <f t="shared" si="2"/>
        <v>Impayé</v>
      </c>
      <c r="N117" s="15"/>
    </row>
    <row r="118" spans="1:14" s="14" customFormat="1" ht="15" customHeight="1" x14ac:dyDescent="0.25">
      <c r="A118" s="100">
        <v>45838</v>
      </c>
      <c r="B118" s="145">
        <v>2599</v>
      </c>
      <c r="C118" s="200" t="s">
        <v>265</v>
      </c>
      <c r="D118" s="98" t="s">
        <v>17</v>
      </c>
      <c r="E118" s="99" t="s">
        <v>254</v>
      </c>
      <c r="F118" s="100">
        <v>45473</v>
      </c>
      <c r="G118" s="99">
        <v>1</v>
      </c>
      <c r="H118" s="101">
        <v>78</v>
      </c>
      <c r="I118" s="97"/>
      <c r="J118" s="102"/>
      <c r="K118" s="101"/>
      <c r="L118" s="103" t="str">
        <f t="shared" si="2"/>
        <v>Impayé</v>
      </c>
      <c r="N118" s="15"/>
    </row>
    <row r="119" spans="1:14" s="14" customFormat="1" ht="15" customHeight="1" x14ac:dyDescent="0.25">
      <c r="A119" s="100">
        <v>45838</v>
      </c>
      <c r="B119" s="145">
        <v>3382</v>
      </c>
      <c r="C119" s="200" t="s">
        <v>347</v>
      </c>
      <c r="D119" s="98" t="s">
        <v>17</v>
      </c>
      <c r="E119" s="99" t="s">
        <v>254</v>
      </c>
      <c r="F119" s="100">
        <v>45473</v>
      </c>
      <c r="G119" s="99">
        <v>2</v>
      </c>
      <c r="H119" s="101">
        <v>157.3773549710875</v>
      </c>
      <c r="I119" s="97"/>
      <c r="J119" s="102"/>
      <c r="K119" s="101"/>
      <c r="L119" s="103" t="str">
        <f t="shared" si="2"/>
        <v>Impayé</v>
      </c>
      <c r="N119" s="15"/>
    </row>
    <row r="120" spans="1:14" s="14" customFormat="1" ht="15" customHeight="1" x14ac:dyDescent="0.25">
      <c r="A120" s="100">
        <v>45838</v>
      </c>
      <c r="B120" s="145">
        <v>2722</v>
      </c>
      <c r="C120" s="200" t="s">
        <v>253</v>
      </c>
      <c r="D120" s="98" t="s">
        <v>17</v>
      </c>
      <c r="E120" s="99" t="s">
        <v>254</v>
      </c>
      <c r="F120" s="100">
        <v>45473</v>
      </c>
      <c r="G120" s="99">
        <v>2</v>
      </c>
      <c r="H120" s="101">
        <v>157.3773549710875</v>
      </c>
      <c r="I120" s="97"/>
      <c r="J120" s="102"/>
      <c r="K120" s="101"/>
      <c r="L120" s="103" t="str">
        <f t="shared" si="2"/>
        <v>Impayé</v>
      </c>
      <c r="N120" s="15"/>
    </row>
    <row r="121" spans="1:14" s="14" customFormat="1" ht="15" customHeight="1" x14ac:dyDescent="0.25">
      <c r="A121" s="100">
        <v>45838</v>
      </c>
      <c r="B121" s="145">
        <v>3263</v>
      </c>
      <c r="C121" s="200" t="s">
        <v>346</v>
      </c>
      <c r="D121" s="98" t="s">
        <v>17</v>
      </c>
      <c r="E121" s="99" t="s">
        <v>254</v>
      </c>
      <c r="F121" s="100">
        <v>45473</v>
      </c>
      <c r="G121" s="99">
        <v>1</v>
      </c>
      <c r="H121" s="101">
        <v>78.688677485543749</v>
      </c>
      <c r="I121" s="97"/>
      <c r="J121" s="102"/>
      <c r="K121" s="101"/>
      <c r="L121" s="103" t="str">
        <f t="shared" si="2"/>
        <v>Impayé</v>
      </c>
      <c r="N121" s="15"/>
    </row>
    <row r="122" spans="1:14" s="14" customFormat="1" ht="15" customHeight="1" x14ac:dyDescent="0.25">
      <c r="A122" s="100">
        <v>45838</v>
      </c>
      <c r="B122" s="145">
        <v>2497</v>
      </c>
      <c r="C122" s="200" t="s">
        <v>330</v>
      </c>
      <c r="D122" s="98" t="s">
        <v>17</v>
      </c>
      <c r="E122" s="99" t="s">
        <v>254</v>
      </c>
      <c r="F122" s="100">
        <v>45473</v>
      </c>
      <c r="G122" s="99">
        <v>2423</v>
      </c>
      <c r="H122" s="101">
        <v>78.688677485543749</v>
      </c>
      <c r="I122" s="97"/>
      <c r="J122" s="102"/>
      <c r="K122" s="101"/>
      <c r="L122" s="103" t="str">
        <f t="shared" si="2"/>
        <v>Impayé</v>
      </c>
      <c r="N122" s="15"/>
    </row>
    <row r="123" spans="1:14" s="14" customFormat="1" ht="15" customHeight="1" x14ac:dyDescent="0.25">
      <c r="A123" s="100">
        <v>45838</v>
      </c>
      <c r="B123" s="145">
        <v>3410</v>
      </c>
      <c r="C123" s="200" t="s">
        <v>361</v>
      </c>
      <c r="D123" s="98" t="s">
        <v>17</v>
      </c>
      <c r="E123" s="99" t="s">
        <v>254</v>
      </c>
      <c r="F123" s="100">
        <v>45473</v>
      </c>
      <c r="G123" s="99">
        <v>2</v>
      </c>
      <c r="H123" s="101">
        <v>157.3773549710875</v>
      </c>
      <c r="I123" s="97"/>
      <c r="J123" s="102"/>
      <c r="K123" s="101"/>
      <c r="L123" s="103" t="str">
        <f t="shared" si="2"/>
        <v>Impayé</v>
      </c>
      <c r="N123" s="15"/>
    </row>
    <row r="124" spans="1:14" s="14" customFormat="1" ht="15" customHeight="1" x14ac:dyDescent="0.25">
      <c r="A124" s="100">
        <v>45838</v>
      </c>
      <c r="B124" s="145">
        <v>2748</v>
      </c>
      <c r="C124" s="200" t="s">
        <v>255</v>
      </c>
      <c r="D124" s="98" t="s">
        <v>17</v>
      </c>
      <c r="E124" s="99" t="s">
        <v>254</v>
      </c>
      <c r="F124" s="100">
        <v>45473</v>
      </c>
      <c r="G124" s="99">
        <v>1</v>
      </c>
      <c r="H124" s="101">
        <v>78.688677485543749</v>
      </c>
      <c r="I124" s="97"/>
      <c r="J124" s="102"/>
      <c r="K124" s="101"/>
      <c r="L124" s="103" t="str">
        <f t="shared" si="2"/>
        <v>Impayé</v>
      </c>
      <c r="N124" s="15"/>
    </row>
    <row r="125" spans="1:14" s="14" customFormat="1" ht="15" customHeight="1" x14ac:dyDescent="0.25">
      <c r="A125" s="100">
        <v>45838</v>
      </c>
      <c r="B125" s="145">
        <v>3096</v>
      </c>
      <c r="C125" s="200" t="s">
        <v>290</v>
      </c>
      <c r="D125" s="98" t="s">
        <v>17</v>
      </c>
      <c r="E125" s="99" t="s">
        <v>254</v>
      </c>
      <c r="F125" s="100">
        <v>45473</v>
      </c>
      <c r="G125" s="99">
        <v>1</v>
      </c>
      <c r="H125" s="101">
        <v>78.688677485543749</v>
      </c>
      <c r="I125" s="97"/>
      <c r="J125" s="102"/>
      <c r="K125" s="101"/>
      <c r="L125" s="103" t="str">
        <f t="shared" si="2"/>
        <v>Impayé</v>
      </c>
      <c r="N125" s="15"/>
    </row>
    <row r="126" spans="1:14" s="14" customFormat="1" ht="15" customHeight="1" x14ac:dyDescent="0.25">
      <c r="A126" s="100">
        <v>45838</v>
      </c>
      <c r="B126" s="145">
        <v>2749</v>
      </c>
      <c r="C126" s="200" t="s">
        <v>256</v>
      </c>
      <c r="D126" s="98" t="s">
        <v>17</v>
      </c>
      <c r="E126" s="99" t="s">
        <v>254</v>
      </c>
      <c r="F126" s="100">
        <v>45473</v>
      </c>
      <c r="G126" s="99">
        <v>1</v>
      </c>
      <c r="H126" s="101">
        <v>78.688677485543749</v>
      </c>
      <c r="I126" s="97"/>
      <c r="J126" s="102"/>
      <c r="K126" s="101"/>
      <c r="L126" s="103" t="str">
        <f t="shared" si="2"/>
        <v>Impayé</v>
      </c>
      <c r="N126" s="15"/>
    </row>
    <row r="127" spans="1:14" s="14" customFormat="1" ht="15" customHeight="1" x14ac:dyDescent="0.25">
      <c r="A127" s="100">
        <v>45838</v>
      </c>
      <c r="B127" s="145">
        <v>3411</v>
      </c>
      <c r="C127" s="200" t="s">
        <v>362</v>
      </c>
      <c r="D127" s="98" t="s">
        <v>17</v>
      </c>
      <c r="E127" s="99" t="s">
        <v>254</v>
      </c>
      <c r="F127" s="100">
        <v>45473</v>
      </c>
      <c r="G127" s="99">
        <v>2</v>
      </c>
      <c r="H127" s="101">
        <v>157.3773549710875</v>
      </c>
      <c r="I127" s="97"/>
      <c r="J127" s="102"/>
      <c r="K127" s="101"/>
      <c r="L127" s="103" t="str">
        <f t="shared" si="2"/>
        <v>Impayé</v>
      </c>
      <c r="N127" s="15"/>
    </row>
    <row r="128" spans="1:14" s="14" customFormat="1" ht="15" customHeight="1" x14ac:dyDescent="0.25">
      <c r="A128" s="100">
        <v>45838</v>
      </c>
      <c r="B128" s="145">
        <v>3387</v>
      </c>
      <c r="C128" s="200" t="s">
        <v>348</v>
      </c>
      <c r="D128" s="98" t="s">
        <v>17</v>
      </c>
      <c r="E128" s="99" t="s">
        <v>254</v>
      </c>
      <c r="F128" s="100">
        <v>45473</v>
      </c>
      <c r="G128" s="99">
        <v>1</v>
      </c>
      <c r="H128" s="101">
        <v>78.688677485543749</v>
      </c>
      <c r="I128" s="97"/>
      <c r="J128" s="102"/>
      <c r="K128" s="101"/>
      <c r="L128" s="103" t="str">
        <f t="shared" si="2"/>
        <v>Impayé</v>
      </c>
      <c r="N128" s="15"/>
    </row>
    <row r="129" spans="1:14" s="14" customFormat="1" ht="15" customHeight="1" x14ac:dyDescent="0.25">
      <c r="A129" s="100">
        <v>45838</v>
      </c>
      <c r="B129" s="145">
        <v>2542</v>
      </c>
      <c r="C129" s="200" t="s">
        <v>331</v>
      </c>
      <c r="D129" s="98" t="s">
        <v>17</v>
      </c>
      <c r="E129" s="99" t="s">
        <v>254</v>
      </c>
      <c r="F129" s="100">
        <v>45473</v>
      </c>
      <c r="G129" s="99">
        <v>1</v>
      </c>
      <c r="H129" s="101">
        <v>78.688677485543749</v>
      </c>
      <c r="I129" s="97"/>
      <c r="J129" s="102"/>
      <c r="K129" s="101"/>
      <c r="L129" s="103" t="str">
        <f t="shared" si="2"/>
        <v>Impayé</v>
      </c>
      <c r="N129" s="15"/>
    </row>
    <row r="130" spans="1:14" s="14" customFormat="1" ht="15" customHeight="1" x14ac:dyDescent="0.25">
      <c r="A130" s="100">
        <v>45838</v>
      </c>
      <c r="B130" s="104"/>
      <c r="C130" s="201" t="s">
        <v>815</v>
      </c>
      <c r="D130" s="104" t="s">
        <v>17</v>
      </c>
      <c r="E130" s="104" t="s">
        <v>820</v>
      </c>
      <c r="F130" s="104" t="s">
        <v>537</v>
      </c>
      <c r="G130" s="105">
        <v>1</v>
      </c>
      <c r="H130" s="99">
        <v>87</v>
      </c>
      <c r="I130" s="97">
        <v>45910</v>
      </c>
      <c r="J130" s="107">
        <v>0.70833333333333337</v>
      </c>
      <c r="K130" s="99">
        <v>87</v>
      </c>
      <c r="L130" s="103" t="str">
        <f t="shared" si="2"/>
        <v>Payé</v>
      </c>
      <c r="N130" s="15"/>
    </row>
    <row r="131" spans="1:14" s="14" customFormat="1" ht="15" customHeight="1" x14ac:dyDescent="0.25">
      <c r="A131" s="100">
        <v>45838</v>
      </c>
      <c r="B131" s="104"/>
      <c r="C131" s="201" t="s">
        <v>816</v>
      </c>
      <c r="D131" s="104" t="s">
        <v>17</v>
      </c>
      <c r="E131" s="104" t="s">
        <v>820</v>
      </c>
      <c r="F131" s="104" t="s">
        <v>537</v>
      </c>
      <c r="G131" s="105">
        <v>1</v>
      </c>
      <c r="H131" s="99">
        <v>87</v>
      </c>
      <c r="I131" s="97">
        <v>45910</v>
      </c>
      <c r="J131" s="107">
        <v>0.70833333333333337</v>
      </c>
      <c r="K131" s="99">
        <v>87</v>
      </c>
      <c r="L131" s="103" t="str">
        <f t="shared" si="2"/>
        <v>Payé</v>
      </c>
      <c r="N131" s="15"/>
    </row>
    <row r="132" spans="1:14" s="14" customFormat="1" ht="15" customHeight="1" x14ac:dyDescent="0.25">
      <c r="A132" s="100">
        <v>45838</v>
      </c>
      <c r="B132" s="104"/>
      <c r="C132" s="201" t="s">
        <v>817</v>
      </c>
      <c r="D132" s="104" t="s">
        <v>17</v>
      </c>
      <c r="E132" s="104" t="s">
        <v>820</v>
      </c>
      <c r="F132" s="104" t="s">
        <v>537</v>
      </c>
      <c r="G132" s="105">
        <v>1</v>
      </c>
      <c r="H132" s="99">
        <v>87</v>
      </c>
      <c r="I132" s="97">
        <v>45910</v>
      </c>
      <c r="J132" s="107">
        <v>0.70833333333333337</v>
      </c>
      <c r="K132" s="99">
        <v>87</v>
      </c>
      <c r="L132" s="103" t="str">
        <f t="shared" si="2"/>
        <v>Payé</v>
      </c>
      <c r="N132" s="15"/>
    </row>
    <row r="133" spans="1:14" s="14" customFormat="1" ht="15" customHeight="1" x14ac:dyDescent="0.25">
      <c r="A133" s="100">
        <v>45838</v>
      </c>
      <c r="B133" s="104"/>
      <c r="C133" s="201" t="s">
        <v>818</v>
      </c>
      <c r="D133" s="104" t="s">
        <v>17</v>
      </c>
      <c r="E133" s="104" t="s">
        <v>820</v>
      </c>
      <c r="F133" s="104" t="s">
        <v>537</v>
      </c>
      <c r="G133" s="105">
        <v>1</v>
      </c>
      <c r="H133" s="99">
        <v>87</v>
      </c>
      <c r="I133" s="97">
        <v>45910</v>
      </c>
      <c r="J133" s="107">
        <v>0.70833333333333337</v>
      </c>
      <c r="K133" s="99">
        <v>87</v>
      </c>
      <c r="L133" s="103" t="str">
        <f t="shared" si="2"/>
        <v>Payé</v>
      </c>
      <c r="N133" s="15"/>
    </row>
    <row r="134" spans="1:14" s="14" customFormat="1" ht="15" customHeight="1" x14ac:dyDescent="0.25">
      <c r="A134" s="100">
        <v>45838</v>
      </c>
      <c r="B134" s="104"/>
      <c r="C134" s="201" t="s">
        <v>819</v>
      </c>
      <c r="D134" s="104" t="s">
        <v>17</v>
      </c>
      <c r="E134" s="104" t="s">
        <v>820</v>
      </c>
      <c r="F134" s="104" t="s">
        <v>537</v>
      </c>
      <c r="G134" s="105">
        <v>1</v>
      </c>
      <c r="H134" s="99">
        <v>87</v>
      </c>
      <c r="I134" s="97">
        <v>45910</v>
      </c>
      <c r="J134" s="107">
        <v>0.70833333333333337</v>
      </c>
      <c r="K134" s="99">
        <v>87</v>
      </c>
      <c r="L134" s="103" t="str">
        <f t="shared" si="2"/>
        <v>Payé</v>
      </c>
      <c r="N134" s="15"/>
    </row>
    <row r="135" spans="1:14" s="14" customFormat="1" ht="15" customHeight="1" x14ac:dyDescent="0.25">
      <c r="A135" s="100">
        <v>45838</v>
      </c>
      <c r="B135" s="104">
        <v>4007</v>
      </c>
      <c r="C135" s="201" t="s">
        <v>505</v>
      </c>
      <c r="D135" s="104" t="s">
        <v>17</v>
      </c>
      <c r="E135" s="104" t="s">
        <v>254</v>
      </c>
      <c r="F135" s="100">
        <v>45473</v>
      </c>
      <c r="G135" s="105">
        <v>1</v>
      </c>
      <c r="H135" s="99">
        <v>83</v>
      </c>
      <c r="I135" s="106"/>
      <c r="J135" s="107"/>
      <c r="K135" s="104"/>
      <c r="L135" s="103" t="str">
        <f t="shared" si="2"/>
        <v>Impayé</v>
      </c>
      <c r="N135" s="15"/>
    </row>
    <row r="136" spans="1:14" s="14" customFormat="1" ht="15" customHeight="1" x14ac:dyDescent="0.25">
      <c r="A136" s="100">
        <v>45838</v>
      </c>
      <c r="B136" s="104">
        <v>3645</v>
      </c>
      <c r="C136" s="201" t="s">
        <v>441</v>
      </c>
      <c r="D136" s="104" t="s">
        <v>17</v>
      </c>
      <c r="E136" s="104" t="s">
        <v>254</v>
      </c>
      <c r="F136" s="100">
        <v>45473</v>
      </c>
      <c r="G136" s="105">
        <v>1</v>
      </c>
      <c r="H136" s="99">
        <v>83</v>
      </c>
      <c r="I136" s="106"/>
      <c r="J136" s="107"/>
      <c r="K136" s="104"/>
      <c r="L136" s="103" t="str">
        <f t="shared" si="2"/>
        <v>Impayé</v>
      </c>
      <c r="N136" s="15"/>
    </row>
    <row r="137" spans="1:14" s="14" customFormat="1" ht="15" customHeight="1" x14ac:dyDescent="0.25">
      <c r="A137" s="100">
        <v>45838</v>
      </c>
      <c r="B137" s="104">
        <v>9004</v>
      </c>
      <c r="C137" s="201" t="s">
        <v>726</v>
      </c>
      <c r="D137" s="104" t="s">
        <v>17</v>
      </c>
      <c r="E137" s="104" t="s">
        <v>254</v>
      </c>
      <c r="F137" s="104" t="s">
        <v>533</v>
      </c>
      <c r="G137" s="105">
        <v>2</v>
      </c>
      <c r="H137" s="99">
        <v>165</v>
      </c>
      <c r="I137" s="106"/>
      <c r="J137" s="107"/>
      <c r="K137" s="104"/>
      <c r="L137" s="103" t="str">
        <f t="shared" si="2"/>
        <v>Impayé</v>
      </c>
      <c r="N137" s="15"/>
    </row>
    <row r="138" spans="1:14" s="14" customFormat="1" ht="15" customHeight="1" x14ac:dyDescent="0.25">
      <c r="A138" s="100">
        <v>45838</v>
      </c>
      <c r="B138" s="104">
        <v>2342</v>
      </c>
      <c r="C138" s="201" t="s">
        <v>676</v>
      </c>
      <c r="D138" s="104" t="s">
        <v>17</v>
      </c>
      <c r="E138" s="104" t="s">
        <v>254</v>
      </c>
      <c r="F138" s="104" t="s">
        <v>525</v>
      </c>
      <c r="G138" s="105">
        <v>2</v>
      </c>
      <c r="H138" s="99">
        <v>165</v>
      </c>
      <c r="I138" s="106"/>
      <c r="J138" s="107"/>
      <c r="K138" s="104"/>
      <c r="L138" s="103" t="str">
        <f t="shared" si="2"/>
        <v>Impayé</v>
      </c>
      <c r="N138" s="15"/>
    </row>
    <row r="139" spans="1:14" s="14" customFormat="1" ht="15" customHeight="1" x14ac:dyDescent="0.25">
      <c r="A139" s="100">
        <v>45838</v>
      </c>
      <c r="B139" s="104"/>
      <c r="C139" s="201" t="s">
        <v>670</v>
      </c>
      <c r="D139" s="104" t="s">
        <v>17</v>
      </c>
      <c r="E139" s="104" t="s">
        <v>254</v>
      </c>
      <c r="F139" s="104" t="s">
        <v>525</v>
      </c>
      <c r="G139" s="105">
        <v>3</v>
      </c>
      <c r="H139" s="99">
        <v>248</v>
      </c>
      <c r="I139" s="106"/>
      <c r="J139" s="107"/>
      <c r="K139" s="104"/>
      <c r="L139" s="103" t="str">
        <f t="shared" si="2"/>
        <v>Impayé</v>
      </c>
      <c r="N139" s="15"/>
    </row>
    <row r="140" spans="1:14" s="14" customFormat="1" ht="15" customHeight="1" x14ac:dyDescent="0.25">
      <c r="A140" s="100">
        <v>45838</v>
      </c>
      <c r="B140" s="145">
        <v>521</v>
      </c>
      <c r="C140" s="200" t="s">
        <v>392</v>
      </c>
      <c r="D140" s="98" t="s">
        <v>17</v>
      </c>
      <c r="E140" s="99" t="s">
        <v>123</v>
      </c>
      <c r="F140" s="100">
        <v>45473</v>
      </c>
      <c r="G140" s="99">
        <v>1</v>
      </c>
      <c r="H140" s="108">
        <v>86.745942921096812</v>
      </c>
      <c r="I140" s="97">
        <v>45911</v>
      </c>
      <c r="J140" s="109">
        <v>0.51597222222222217</v>
      </c>
      <c r="K140" s="108">
        <v>86.745942921096812</v>
      </c>
      <c r="L140" s="103" t="str">
        <f t="shared" si="2"/>
        <v>Payé</v>
      </c>
      <c r="N140" s="15"/>
    </row>
    <row r="141" spans="1:14" s="14" customFormat="1" ht="15" customHeight="1" x14ac:dyDescent="0.25">
      <c r="A141" s="100">
        <v>45838</v>
      </c>
      <c r="B141" s="104"/>
      <c r="C141" s="201" t="s">
        <v>679</v>
      </c>
      <c r="D141" s="104" t="s">
        <v>17</v>
      </c>
      <c r="E141" s="104" t="s">
        <v>254</v>
      </c>
      <c r="F141" s="104" t="s">
        <v>525</v>
      </c>
      <c r="G141" s="105">
        <v>1</v>
      </c>
      <c r="H141" s="99">
        <v>83</v>
      </c>
      <c r="I141" s="106"/>
      <c r="J141" s="107"/>
      <c r="K141" s="104"/>
      <c r="L141" s="103" t="str">
        <f t="shared" si="2"/>
        <v>Impayé</v>
      </c>
      <c r="N141" s="15"/>
    </row>
    <row r="142" spans="1:14" s="14" customFormat="1" ht="15" customHeight="1" x14ac:dyDescent="0.25">
      <c r="A142" s="100">
        <v>45838</v>
      </c>
      <c r="B142" s="104">
        <v>4012</v>
      </c>
      <c r="C142" s="201" t="s">
        <v>618</v>
      </c>
      <c r="D142" s="104" t="s">
        <v>17</v>
      </c>
      <c r="E142" s="104" t="s">
        <v>254</v>
      </c>
      <c r="F142" s="104" t="s">
        <v>530</v>
      </c>
      <c r="G142" s="99">
        <v>2</v>
      </c>
      <c r="H142" s="99">
        <v>165</v>
      </c>
      <c r="I142" s="106"/>
      <c r="J142" s="107"/>
      <c r="K142" s="104"/>
      <c r="L142" s="103" t="str">
        <f t="shared" si="2"/>
        <v>Impayé</v>
      </c>
      <c r="N142" s="15"/>
    </row>
    <row r="143" spans="1:14" s="14" customFormat="1" ht="15" customHeight="1" x14ac:dyDescent="0.25">
      <c r="A143" s="100">
        <v>45838</v>
      </c>
      <c r="B143" s="145">
        <v>3619</v>
      </c>
      <c r="C143" s="200" t="s">
        <v>436</v>
      </c>
      <c r="D143" s="98" t="s">
        <v>17</v>
      </c>
      <c r="E143" s="99" t="s">
        <v>123</v>
      </c>
      <c r="F143" s="100">
        <v>45473</v>
      </c>
      <c r="G143" s="99">
        <v>5</v>
      </c>
      <c r="H143" s="108">
        <v>433.07591867188955</v>
      </c>
      <c r="I143" s="97">
        <v>45901</v>
      </c>
      <c r="J143" s="109">
        <v>0.66527777777777775</v>
      </c>
      <c r="K143" s="108">
        <v>433.07591867188955</v>
      </c>
      <c r="L143" s="103" t="str">
        <f t="shared" si="2"/>
        <v>Payé</v>
      </c>
      <c r="N143" s="15"/>
    </row>
    <row r="144" spans="1:14" s="14" customFormat="1" ht="15" customHeight="1" x14ac:dyDescent="0.25">
      <c r="A144" s="100">
        <v>45838</v>
      </c>
      <c r="B144" s="104">
        <v>4155</v>
      </c>
      <c r="C144" s="201" t="s">
        <v>625</v>
      </c>
      <c r="D144" s="104" t="s">
        <v>17</v>
      </c>
      <c r="E144" s="104" t="s">
        <v>254</v>
      </c>
      <c r="F144" s="104" t="s">
        <v>532</v>
      </c>
      <c r="G144" s="105">
        <v>2</v>
      </c>
      <c r="H144" s="99">
        <v>165</v>
      </c>
      <c r="I144" s="106"/>
      <c r="J144" s="107"/>
      <c r="K144" s="104"/>
      <c r="L144" s="103" t="str">
        <f t="shared" si="2"/>
        <v>Impayé</v>
      </c>
      <c r="N144" s="15"/>
    </row>
    <row r="145" spans="1:14" s="14" customFormat="1" ht="15" customHeight="1" x14ac:dyDescent="0.25">
      <c r="A145" s="100">
        <v>45838</v>
      </c>
      <c r="B145" s="104">
        <v>4351</v>
      </c>
      <c r="C145" s="201" t="s">
        <v>686</v>
      </c>
      <c r="D145" s="104" t="s">
        <v>17</v>
      </c>
      <c r="E145" s="104" t="s">
        <v>254</v>
      </c>
      <c r="F145" s="104" t="s">
        <v>534</v>
      </c>
      <c r="G145" s="99">
        <v>1</v>
      </c>
      <c r="H145" s="99">
        <v>83</v>
      </c>
      <c r="I145" s="106"/>
      <c r="J145" s="107"/>
      <c r="K145" s="104"/>
      <c r="L145" s="103" t="str">
        <f t="shared" si="2"/>
        <v>Impayé</v>
      </c>
      <c r="N145" s="15"/>
    </row>
    <row r="146" spans="1:14" s="14" customFormat="1" ht="15" customHeight="1" x14ac:dyDescent="0.25">
      <c r="A146" s="100">
        <v>45838</v>
      </c>
      <c r="B146" s="104">
        <v>4444</v>
      </c>
      <c r="C146" s="201" t="s">
        <v>732</v>
      </c>
      <c r="D146" s="104" t="s">
        <v>17</v>
      </c>
      <c r="E146" s="104" t="s">
        <v>254</v>
      </c>
      <c r="F146" s="104" t="s">
        <v>534</v>
      </c>
      <c r="G146" s="99">
        <v>1</v>
      </c>
      <c r="H146" s="99">
        <v>83</v>
      </c>
      <c r="I146" s="106"/>
      <c r="J146" s="107"/>
      <c r="K146" s="104"/>
      <c r="L146" s="103" t="str">
        <f t="shared" si="2"/>
        <v>Impayé</v>
      </c>
      <c r="N146" s="15"/>
    </row>
    <row r="147" spans="1:14" s="14" customFormat="1" ht="15" customHeight="1" x14ac:dyDescent="0.25">
      <c r="A147" s="100">
        <v>45838</v>
      </c>
      <c r="B147" s="104"/>
      <c r="C147" s="201" t="s">
        <v>645</v>
      </c>
      <c r="D147" s="104" t="s">
        <v>17</v>
      </c>
      <c r="E147" s="104" t="s">
        <v>254</v>
      </c>
      <c r="F147" s="104" t="s">
        <v>520</v>
      </c>
      <c r="G147" s="105">
        <v>1</v>
      </c>
      <c r="H147" s="99">
        <v>83</v>
      </c>
      <c r="I147" s="106"/>
      <c r="J147" s="107"/>
      <c r="K147" s="104"/>
      <c r="L147" s="103" t="str">
        <f t="shared" si="2"/>
        <v>Impayé</v>
      </c>
      <c r="N147" s="15"/>
    </row>
    <row r="148" spans="1:14" s="14" customFormat="1" ht="15" customHeight="1" x14ac:dyDescent="0.25">
      <c r="A148" s="100">
        <v>45838</v>
      </c>
      <c r="B148" s="104">
        <v>5007</v>
      </c>
      <c r="C148" s="201" t="s">
        <v>626</v>
      </c>
      <c r="D148" s="104" t="s">
        <v>17</v>
      </c>
      <c r="E148" s="104" t="s">
        <v>254</v>
      </c>
      <c r="F148" s="104" t="s">
        <v>524</v>
      </c>
      <c r="G148" s="105">
        <v>1</v>
      </c>
      <c r="H148" s="99">
        <v>83</v>
      </c>
      <c r="I148" s="106"/>
      <c r="J148" s="107"/>
      <c r="K148" s="104"/>
      <c r="L148" s="103" t="str">
        <f t="shared" si="2"/>
        <v>Impayé</v>
      </c>
      <c r="N148" s="15"/>
    </row>
    <row r="149" spans="1:14" s="14" customFormat="1" ht="15" customHeight="1" x14ac:dyDescent="0.25">
      <c r="A149" s="100">
        <v>45838</v>
      </c>
      <c r="B149" s="104"/>
      <c r="C149" s="201" t="s">
        <v>669</v>
      </c>
      <c r="D149" s="104" t="s">
        <v>17</v>
      </c>
      <c r="E149" s="104" t="s">
        <v>254</v>
      </c>
      <c r="F149" s="104" t="s">
        <v>524</v>
      </c>
      <c r="G149" s="105">
        <v>4</v>
      </c>
      <c r="H149" s="99">
        <v>330</v>
      </c>
      <c r="I149" s="106"/>
      <c r="J149" s="107"/>
      <c r="K149" s="104"/>
      <c r="L149" s="103" t="str">
        <f t="shared" si="2"/>
        <v>Impayé</v>
      </c>
      <c r="N149" s="15"/>
    </row>
    <row r="150" spans="1:14" s="14" customFormat="1" ht="15" customHeight="1" x14ac:dyDescent="0.25">
      <c r="A150" s="100">
        <v>45838</v>
      </c>
      <c r="B150" s="104">
        <v>4302</v>
      </c>
      <c r="C150" s="201" t="s">
        <v>679</v>
      </c>
      <c r="D150" s="104" t="s">
        <v>17</v>
      </c>
      <c r="E150" s="104" t="s">
        <v>254</v>
      </c>
      <c r="F150" s="104" t="s">
        <v>526</v>
      </c>
      <c r="G150" s="99">
        <v>3</v>
      </c>
      <c r="H150" s="99">
        <v>248</v>
      </c>
      <c r="I150" s="106"/>
      <c r="J150" s="107"/>
      <c r="K150" s="104"/>
      <c r="L150" s="103" t="str">
        <f t="shared" si="2"/>
        <v>Impayé</v>
      </c>
      <c r="N150" s="15"/>
    </row>
    <row r="151" spans="1:14" s="14" customFormat="1" ht="15" customHeight="1" x14ac:dyDescent="0.25">
      <c r="A151" s="100">
        <v>45838</v>
      </c>
      <c r="B151" s="104">
        <v>4305</v>
      </c>
      <c r="C151" s="201" t="s">
        <v>680</v>
      </c>
      <c r="D151" s="104" t="s">
        <v>17</v>
      </c>
      <c r="E151" s="104" t="s">
        <v>254</v>
      </c>
      <c r="F151" s="104" t="s">
        <v>526</v>
      </c>
      <c r="G151" s="99">
        <v>1</v>
      </c>
      <c r="H151" s="99">
        <v>83</v>
      </c>
      <c r="I151" s="106"/>
      <c r="J151" s="107"/>
      <c r="K151" s="104"/>
      <c r="L151" s="103" t="str">
        <f t="shared" si="2"/>
        <v>Impayé</v>
      </c>
      <c r="N151" s="15"/>
    </row>
    <row r="152" spans="1:14" s="14" customFormat="1" ht="15" customHeight="1" x14ac:dyDescent="0.25">
      <c r="A152" s="100">
        <v>45838</v>
      </c>
      <c r="B152" s="104">
        <v>1132</v>
      </c>
      <c r="C152" s="201" t="s">
        <v>546</v>
      </c>
      <c r="D152" s="104" t="s">
        <v>17</v>
      </c>
      <c r="E152" s="104" t="s">
        <v>123</v>
      </c>
      <c r="F152" s="104" t="s">
        <v>521</v>
      </c>
      <c r="G152" s="105">
        <v>2</v>
      </c>
      <c r="H152" s="108">
        <v>165</v>
      </c>
      <c r="I152" s="97">
        <v>45882</v>
      </c>
      <c r="J152" s="107">
        <v>0.62430555555555556</v>
      </c>
      <c r="K152" s="108">
        <v>165</v>
      </c>
      <c r="L152" s="103" t="str">
        <f t="shared" si="2"/>
        <v>Payé</v>
      </c>
      <c r="N152" s="15"/>
    </row>
    <row r="153" spans="1:14" s="14" customFormat="1" ht="15" customHeight="1" x14ac:dyDescent="0.25">
      <c r="A153" s="100">
        <v>45838</v>
      </c>
      <c r="B153" s="104"/>
      <c r="C153" s="201" t="s">
        <v>800</v>
      </c>
      <c r="D153" s="104" t="s">
        <v>17</v>
      </c>
      <c r="E153" s="104" t="s">
        <v>754</v>
      </c>
      <c r="F153" s="104" t="s">
        <v>537</v>
      </c>
      <c r="G153" s="105">
        <v>1</v>
      </c>
      <c r="H153" s="99">
        <v>87</v>
      </c>
      <c r="I153" s="106"/>
      <c r="J153" s="107"/>
      <c r="K153" s="104"/>
      <c r="L153" s="103" t="str">
        <f t="shared" si="2"/>
        <v>Impayé</v>
      </c>
      <c r="N153" s="15"/>
    </row>
    <row r="154" spans="1:14" s="14" customFormat="1" ht="15" customHeight="1" x14ac:dyDescent="0.25">
      <c r="A154" s="100">
        <v>45838</v>
      </c>
      <c r="B154" s="104"/>
      <c r="C154" s="201" t="s">
        <v>801</v>
      </c>
      <c r="D154" s="104" t="s">
        <v>17</v>
      </c>
      <c r="E154" s="104" t="s">
        <v>754</v>
      </c>
      <c r="F154" s="104" t="s">
        <v>537</v>
      </c>
      <c r="G154" s="105">
        <v>1</v>
      </c>
      <c r="H154" s="99">
        <v>87</v>
      </c>
      <c r="I154" s="106"/>
      <c r="J154" s="107"/>
      <c r="K154" s="104"/>
      <c r="L154" s="103" t="str">
        <f t="shared" si="2"/>
        <v>Impayé</v>
      </c>
      <c r="N154" s="15"/>
    </row>
    <row r="155" spans="1:14" s="14" customFormat="1" ht="15" customHeight="1" x14ac:dyDescent="0.25">
      <c r="A155" s="100">
        <v>45838</v>
      </c>
      <c r="B155" s="104"/>
      <c r="C155" s="201" t="s">
        <v>802</v>
      </c>
      <c r="D155" s="104" t="s">
        <v>17</v>
      </c>
      <c r="E155" s="104" t="s">
        <v>754</v>
      </c>
      <c r="F155" s="104" t="s">
        <v>537</v>
      </c>
      <c r="G155" s="105">
        <v>1</v>
      </c>
      <c r="H155" s="99">
        <v>87</v>
      </c>
      <c r="I155" s="106"/>
      <c r="J155" s="107"/>
      <c r="K155" s="104"/>
      <c r="L155" s="103" t="str">
        <f t="shared" si="2"/>
        <v>Impayé</v>
      </c>
      <c r="N155" s="15"/>
    </row>
    <row r="156" spans="1:14" s="14" customFormat="1" ht="15" customHeight="1" x14ac:dyDescent="0.25">
      <c r="A156" s="100">
        <v>45838</v>
      </c>
      <c r="B156" s="104">
        <v>3990</v>
      </c>
      <c r="C156" s="201" t="s">
        <v>674</v>
      </c>
      <c r="D156" s="104" t="s">
        <v>17</v>
      </c>
      <c r="E156" s="104" t="s">
        <v>754</v>
      </c>
      <c r="F156" s="104" t="s">
        <v>538</v>
      </c>
      <c r="G156" s="105">
        <v>1</v>
      </c>
      <c r="H156" s="99">
        <v>87</v>
      </c>
      <c r="I156" s="106"/>
      <c r="J156" s="107"/>
      <c r="K156" s="104"/>
      <c r="L156" s="103" t="str">
        <f t="shared" si="2"/>
        <v>Impayé</v>
      </c>
      <c r="N156" s="15"/>
    </row>
    <row r="157" spans="1:14" s="14" customFormat="1" ht="15" customHeight="1" x14ac:dyDescent="0.25">
      <c r="A157" s="100">
        <v>45838</v>
      </c>
      <c r="B157" s="145">
        <v>2199</v>
      </c>
      <c r="C157" s="200" t="s">
        <v>171</v>
      </c>
      <c r="D157" s="98" t="s">
        <v>17</v>
      </c>
      <c r="E157" s="99" t="s">
        <v>172</v>
      </c>
      <c r="F157" s="100">
        <v>45473</v>
      </c>
      <c r="G157" s="99">
        <v>1</v>
      </c>
      <c r="H157" s="101">
        <v>71.535161350494306</v>
      </c>
      <c r="I157" s="97"/>
      <c r="J157" s="102"/>
      <c r="K157" s="101"/>
      <c r="L157" s="103" t="str">
        <f t="shared" si="2"/>
        <v>Impayé</v>
      </c>
      <c r="N157" s="15"/>
    </row>
    <row r="158" spans="1:14" s="14" customFormat="1" ht="15" customHeight="1" x14ac:dyDescent="0.25">
      <c r="A158" s="100">
        <v>45838</v>
      </c>
      <c r="B158" s="145">
        <v>2199</v>
      </c>
      <c r="C158" s="200" t="s">
        <v>171</v>
      </c>
      <c r="D158" s="98" t="s">
        <v>17</v>
      </c>
      <c r="E158" s="99" t="s">
        <v>172</v>
      </c>
      <c r="F158" s="100">
        <v>45473</v>
      </c>
      <c r="G158" s="99">
        <v>1</v>
      </c>
      <c r="H158" s="101">
        <v>71.535161350494306</v>
      </c>
      <c r="I158" s="97"/>
      <c r="J158" s="102"/>
      <c r="K158" s="101"/>
      <c r="L158" s="103" t="str">
        <f t="shared" si="2"/>
        <v>Impayé</v>
      </c>
      <c r="N158" s="15"/>
    </row>
    <row r="159" spans="1:14" s="14" customFormat="1" ht="15" customHeight="1" x14ac:dyDescent="0.25">
      <c r="A159" s="100">
        <v>45838</v>
      </c>
      <c r="B159" s="145">
        <v>2850</v>
      </c>
      <c r="C159" s="200" t="s">
        <v>273</v>
      </c>
      <c r="D159" s="98" t="s">
        <v>17</v>
      </c>
      <c r="E159" s="99" t="s">
        <v>274</v>
      </c>
      <c r="F159" s="100">
        <v>45473</v>
      </c>
      <c r="G159" s="99">
        <v>2</v>
      </c>
      <c r="H159" s="101">
        <v>157.3773549710875</v>
      </c>
      <c r="I159" s="97"/>
      <c r="J159" s="102"/>
      <c r="K159" s="101"/>
      <c r="L159" s="103" t="str">
        <f t="shared" si="2"/>
        <v>Impayé</v>
      </c>
      <c r="N159" s="15"/>
    </row>
    <row r="160" spans="1:14" s="14" customFormat="1" ht="15" customHeight="1" x14ac:dyDescent="0.25">
      <c r="A160" s="100">
        <v>45838</v>
      </c>
      <c r="B160" s="145">
        <v>2479</v>
      </c>
      <c r="C160" s="200" t="s">
        <v>236</v>
      </c>
      <c r="D160" s="98" t="s">
        <v>17</v>
      </c>
      <c r="E160" s="99" t="s">
        <v>216</v>
      </c>
      <c r="F160" s="100">
        <v>45473</v>
      </c>
      <c r="G160" s="99">
        <v>1</v>
      </c>
      <c r="H160" s="101">
        <v>78.688677485543749</v>
      </c>
      <c r="I160" s="97"/>
      <c r="J160" s="102"/>
      <c r="K160" s="101"/>
      <c r="L160" s="103" t="str">
        <f t="shared" si="2"/>
        <v>Impayé</v>
      </c>
      <c r="N160" s="15"/>
    </row>
    <row r="161" spans="1:14" s="14" customFormat="1" ht="15" customHeight="1" x14ac:dyDescent="0.25">
      <c r="A161" s="100">
        <v>45838</v>
      </c>
      <c r="B161" s="145">
        <v>2583</v>
      </c>
      <c r="C161" s="200" t="s">
        <v>241</v>
      </c>
      <c r="D161" s="98" t="s">
        <v>17</v>
      </c>
      <c r="E161" s="99" t="s">
        <v>216</v>
      </c>
      <c r="F161" s="100">
        <v>45473</v>
      </c>
      <c r="G161" s="99">
        <v>1</v>
      </c>
      <c r="H161" s="101">
        <v>78.688677485543749</v>
      </c>
      <c r="I161" s="97"/>
      <c r="J161" s="102"/>
      <c r="K161" s="101"/>
      <c r="L161" s="103" t="str">
        <f t="shared" si="2"/>
        <v>Impayé</v>
      </c>
      <c r="N161" s="15"/>
    </row>
    <row r="162" spans="1:14" s="14" customFormat="1" ht="15" customHeight="1" x14ac:dyDescent="0.25">
      <c r="A162" s="100">
        <v>45838</v>
      </c>
      <c r="B162" s="145">
        <v>394</v>
      </c>
      <c r="C162" s="200" t="s">
        <v>234</v>
      </c>
      <c r="D162" s="98" t="s">
        <v>17</v>
      </c>
      <c r="E162" s="99" t="s">
        <v>216</v>
      </c>
      <c r="F162" s="100">
        <v>45473</v>
      </c>
      <c r="G162" s="99">
        <v>2</v>
      </c>
      <c r="H162" s="101">
        <v>157.3773549710875</v>
      </c>
      <c r="I162" s="97"/>
      <c r="J162" s="102"/>
      <c r="K162" s="101"/>
      <c r="L162" s="103" t="str">
        <f t="shared" si="2"/>
        <v>Impayé</v>
      </c>
      <c r="N162" s="15"/>
    </row>
    <row r="163" spans="1:14" s="14" customFormat="1" ht="15" customHeight="1" x14ac:dyDescent="0.25">
      <c r="A163" s="100">
        <v>45838</v>
      </c>
      <c r="B163" s="145">
        <v>2513</v>
      </c>
      <c r="C163" s="200" t="s">
        <v>237</v>
      </c>
      <c r="D163" s="98" t="s">
        <v>17</v>
      </c>
      <c r="E163" s="99" t="s">
        <v>216</v>
      </c>
      <c r="F163" s="100">
        <v>45473</v>
      </c>
      <c r="G163" s="99">
        <v>1</v>
      </c>
      <c r="H163" s="101">
        <v>78.688677485543749</v>
      </c>
      <c r="I163" s="97"/>
      <c r="J163" s="102"/>
      <c r="K163" s="101"/>
      <c r="L163" s="103" t="str">
        <f t="shared" si="2"/>
        <v>Impayé</v>
      </c>
      <c r="N163" s="15"/>
    </row>
    <row r="164" spans="1:14" s="14" customFormat="1" ht="15" customHeight="1" x14ac:dyDescent="0.25">
      <c r="A164" s="100">
        <v>45838</v>
      </c>
      <c r="B164" s="145">
        <v>2576</v>
      </c>
      <c r="C164" s="200" t="s">
        <v>222</v>
      </c>
      <c r="D164" s="98" t="s">
        <v>17</v>
      </c>
      <c r="E164" s="99" t="s">
        <v>216</v>
      </c>
      <c r="F164" s="100">
        <v>45473</v>
      </c>
      <c r="G164" s="99">
        <v>1</v>
      </c>
      <c r="H164" s="101">
        <v>78.688677485543749</v>
      </c>
      <c r="I164" s="97"/>
      <c r="J164" s="102"/>
      <c r="K164" s="101"/>
      <c r="L164" s="103" t="str">
        <f t="shared" si="2"/>
        <v>Impayé</v>
      </c>
      <c r="N164" s="15"/>
    </row>
    <row r="165" spans="1:14" s="14" customFormat="1" ht="15" customHeight="1" x14ac:dyDescent="0.25">
      <c r="A165" s="100">
        <v>45838</v>
      </c>
      <c r="B165" s="145">
        <v>2576</v>
      </c>
      <c r="C165" s="200" t="s">
        <v>222</v>
      </c>
      <c r="D165" s="98" t="s">
        <v>17</v>
      </c>
      <c r="E165" s="99" t="s">
        <v>216</v>
      </c>
      <c r="F165" s="100">
        <v>45473</v>
      </c>
      <c r="G165" s="99">
        <v>1</v>
      </c>
      <c r="H165" s="101">
        <v>78.688677485543749</v>
      </c>
      <c r="I165" s="97"/>
      <c r="J165" s="102"/>
      <c r="K165" s="101"/>
      <c r="L165" s="103" t="str">
        <f t="shared" si="2"/>
        <v>Impayé</v>
      </c>
      <c r="N165" s="15"/>
    </row>
    <row r="166" spans="1:14" s="14" customFormat="1" ht="15" customHeight="1" x14ac:dyDescent="0.25">
      <c r="A166" s="100">
        <v>45838</v>
      </c>
      <c r="B166" s="145">
        <v>2424</v>
      </c>
      <c r="C166" s="200" t="s">
        <v>215</v>
      </c>
      <c r="D166" s="98" t="s">
        <v>17</v>
      </c>
      <c r="E166" s="99" t="s">
        <v>216</v>
      </c>
      <c r="F166" s="100">
        <v>45473</v>
      </c>
      <c r="G166" s="99">
        <v>1</v>
      </c>
      <c r="H166" s="101">
        <v>78.688677485543749</v>
      </c>
      <c r="I166" s="97"/>
      <c r="J166" s="102"/>
      <c r="K166" s="101"/>
      <c r="L166" s="103" t="str">
        <f t="shared" si="2"/>
        <v>Impayé</v>
      </c>
      <c r="N166" s="15"/>
    </row>
    <row r="167" spans="1:14" s="14" customFormat="1" ht="15" customHeight="1" x14ac:dyDescent="0.25">
      <c r="A167" s="100">
        <v>45838</v>
      </c>
      <c r="B167" s="145">
        <v>2538</v>
      </c>
      <c r="C167" s="200" t="s">
        <v>239</v>
      </c>
      <c r="D167" s="98" t="s">
        <v>17</v>
      </c>
      <c r="E167" s="99" t="s">
        <v>216</v>
      </c>
      <c r="F167" s="100">
        <v>45473</v>
      </c>
      <c r="G167" s="99">
        <v>1</v>
      </c>
      <c r="H167" s="101">
        <v>78.688677485543749</v>
      </c>
      <c r="I167" s="97"/>
      <c r="J167" s="102"/>
      <c r="K167" s="101"/>
      <c r="L167" s="103" t="str">
        <f t="shared" si="2"/>
        <v>Impayé</v>
      </c>
      <c r="N167" s="15"/>
    </row>
    <row r="168" spans="1:14" s="14" customFormat="1" ht="15" customHeight="1" x14ac:dyDescent="0.25">
      <c r="A168" s="100">
        <v>45838</v>
      </c>
      <c r="B168" s="145">
        <v>2517</v>
      </c>
      <c r="C168" s="200" t="s">
        <v>217</v>
      </c>
      <c r="D168" s="98" t="s">
        <v>17</v>
      </c>
      <c r="E168" s="99" t="s">
        <v>216</v>
      </c>
      <c r="F168" s="100">
        <v>45473</v>
      </c>
      <c r="G168" s="99">
        <v>2</v>
      </c>
      <c r="H168" s="101">
        <v>157.3773549710875</v>
      </c>
      <c r="I168" s="97"/>
      <c r="J168" s="102"/>
      <c r="K168" s="101"/>
      <c r="L168" s="103" t="str">
        <f t="shared" ref="L168:L231" si="3">IF(ISBLANK(H168),"",IF(H168=K168,"Payé","Impayé"))</f>
        <v>Impayé</v>
      </c>
      <c r="N168" s="15"/>
    </row>
    <row r="169" spans="1:14" s="14" customFormat="1" ht="15" customHeight="1" x14ac:dyDescent="0.25">
      <c r="A169" s="100">
        <v>45838</v>
      </c>
      <c r="B169" s="145">
        <v>2608</v>
      </c>
      <c r="C169" s="200" t="s">
        <v>229</v>
      </c>
      <c r="D169" s="98" t="s">
        <v>17</v>
      </c>
      <c r="E169" s="99" t="s">
        <v>216</v>
      </c>
      <c r="F169" s="100">
        <v>45473</v>
      </c>
      <c r="G169" s="99">
        <v>1</v>
      </c>
      <c r="H169" s="101">
        <v>78.688677485543749</v>
      </c>
      <c r="I169" s="97"/>
      <c r="J169" s="102"/>
      <c r="K169" s="101"/>
      <c r="L169" s="103" t="str">
        <f t="shared" si="3"/>
        <v>Impayé</v>
      </c>
      <c r="N169" s="15"/>
    </row>
    <row r="170" spans="1:14" s="14" customFormat="1" ht="15" customHeight="1" x14ac:dyDescent="0.25">
      <c r="A170" s="100">
        <v>45838</v>
      </c>
      <c r="B170" s="104">
        <v>4522</v>
      </c>
      <c r="C170" s="201" t="s">
        <v>738</v>
      </c>
      <c r="D170" s="104" t="s">
        <v>17</v>
      </c>
      <c r="E170" s="104" t="s">
        <v>752</v>
      </c>
      <c r="F170" s="104" t="s">
        <v>536</v>
      </c>
      <c r="G170" s="105">
        <v>1</v>
      </c>
      <c r="H170" s="99">
        <v>100</v>
      </c>
      <c r="I170" s="97">
        <v>45883</v>
      </c>
      <c r="J170" s="107">
        <v>0.6479166666666667</v>
      </c>
      <c r="K170" s="99">
        <v>100</v>
      </c>
      <c r="L170" s="103" t="str">
        <f t="shared" si="3"/>
        <v>Payé</v>
      </c>
      <c r="N170" s="15"/>
    </row>
    <row r="171" spans="1:14" s="14" customFormat="1" ht="15" customHeight="1" x14ac:dyDescent="0.25">
      <c r="A171" s="100">
        <v>45838</v>
      </c>
      <c r="B171" s="145">
        <v>2419</v>
      </c>
      <c r="C171" s="200" t="s">
        <v>235</v>
      </c>
      <c r="D171" s="98" t="s">
        <v>17</v>
      </c>
      <c r="E171" s="99" t="s">
        <v>216</v>
      </c>
      <c r="F171" s="100">
        <v>45473</v>
      </c>
      <c r="G171" s="99">
        <v>1</v>
      </c>
      <c r="H171" s="101">
        <v>78.688677485543749</v>
      </c>
      <c r="I171" s="97"/>
      <c r="J171" s="102"/>
      <c r="K171" s="101"/>
      <c r="L171" s="103" t="str">
        <f t="shared" si="3"/>
        <v>Impayé</v>
      </c>
      <c r="N171" s="15"/>
    </row>
    <row r="172" spans="1:14" s="14" customFormat="1" ht="15" customHeight="1" x14ac:dyDescent="0.25">
      <c r="A172" s="100">
        <v>45838</v>
      </c>
      <c r="B172" s="145">
        <v>2558</v>
      </c>
      <c r="C172" s="200" t="s">
        <v>240</v>
      </c>
      <c r="D172" s="98" t="s">
        <v>17</v>
      </c>
      <c r="E172" s="99" t="s">
        <v>216</v>
      </c>
      <c r="F172" s="100">
        <v>45473</v>
      </c>
      <c r="G172" s="99">
        <v>1</v>
      </c>
      <c r="H172" s="101">
        <v>78.688677485543749</v>
      </c>
      <c r="I172" s="97"/>
      <c r="J172" s="102"/>
      <c r="K172" s="101"/>
      <c r="L172" s="103" t="str">
        <f t="shared" si="3"/>
        <v>Impayé</v>
      </c>
      <c r="N172" s="15"/>
    </row>
    <row r="173" spans="1:14" s="14" customFormat="1" ht="15" customHeight="1" x14ac:dyDescent="0.25">
      <c r="A173" s="100">
        <v>45838</v>
      </c>
      <c r="B173" s="145">
        <v>2628</v>
      </c>
      <c r="C173" s="200" t="s">
        <v>231</v>
      </c>
      <c r="D173" s="98" t="s">
        <v>17</v>
      </c>
      <c r="E173" s="99" t="s">
        <v>216</v>
      </c>
      <c r="F173" s="100">
        <v>45473</v>
      </c>
      <c r="G173" s="99">
        <v>1</v>
      </c>
      <c r="H173" s="101">
        <v>78.688677485543749</v>
      </c>
      <c r="I173" s="97"/>
      <c r="J173" s="102"/>
      <c r="K173" s="101"/>
      <c r="L173" s="103" t="str">
        <f t="shared" si="3"/>
        <v>Impayé</v>
      </c>
      <c r="N173" s="15"/>
    </row>
    <row r="174" spans="1:14" s="14" customFormat="1" ht="15" customHeight="1" x14ac:dyDescent="0.25">
      <c r="A174" s="100">
        <v>45838</v>
      </c>
      <c r="B174" s="145">
        <v>2607</v>
      </c>
      <c r="C174" s="200" t="s">
        <v>228</v>
      </c>
      <c r="D174" s="98" t="s">
        <v>17</v>
      </c>
      <c r="E174" s="99" t="s">
        <v>216</v>
      </c>
      <c r="F174" s="100">
        <v>45473</v>
      </c>
      <c r="G174" s="99">
        <v>1</v>
      </c>
      <c r="H174" s="101">
        <v>78.688677485543749</v>
      </c>
      <c r="I174" s="97"/>
      <c r="J174" s="102"/>
      <c r="K174" s="101"/>
      <c r="L174" s="103" t="str">
        <f t="shared" si="3"/>
        <v>Impayé</v>
      </c>
      <c r="N174" s="15"/>
    </row>
    <row r="175" spans="1:14" s="14" customFormat="1" ht="15" customHeight="1" x14ac:dyDescent="0.25">
      <c r="A175" s="100">
        <v>45838</v>
      </c>
      <c r="B175" s="145">
        <v>2629</v>
      </c>
      <c r="C175" s="200" t="s">
        <v>232</v>
      </c>
      <c r="D175" s="98" t="s">
        <v>17</v>
      </c>
      <c r="E175" s="99" t="s">
        <v>216</v>
      </c>
      <c r="F175" s="100">
        <v>45473</v>
      </c>
      <c r="G175" s="99">
        <v>1</v>
      </c>
      <c r="H175" s="101">
        <v>78.688677485543749</v>
      </c>
      <c r="I175" s="97"/>
      <c r="J175" s="102"/>
      <c r="K175" s="101"/>
      <c r="L175" s="103" t="str">
        <f t="shared" si="3"/>
        <v>Impayé</v>
      </c>
      <c r="N175" s="15"/>
    </row>
    <row r="176" spans="1:14" s="14" customFormat="1" ht="15" customHeight="1" x14ac:dyDescent="0.25">
      <c r="A176" s="100">
        <v>45838</v>
      </c>
      <c r="B176" s="145">
        <v>2627</v>
      </c>
      <c r="C176" s="200" t="s">
        <v>230</v>
      </c>
      <c r="D176" s="98" t="s">
        <v>17</v>
      </c>
      <c r="E176" s="99" t="s">
        <v>216</v>
      </c>
      <c r="F176" s="100">
        <v>45473</v>
      </c>
      <c r="G176" s="99">
        <v>1</v>
      </c>
      <c r="H176" s="101">
        <v>78.688677485543749</v>
      </c>
      <c r="I176" s="97"/>
      <c r="J176" s="102"/>
      <c r="K176" s="101"/>
      <c r="L176" s="103" t="str">
        <f t="shared" si="3"/>
        <v>Impayé</v>
      </c>
      <c r="N176" s="15"/>
    </row>
    <row r="177" spans="1:14" s="14" customFormat="1" ht="15" customHeight="1" x14ac:dyDescent="0.25">
      <c r="A177" s="100">
        <v>45838</v>
      </c>
      <c r="B177" s="145">
        <v>2531</v>
      </c>
      <c r="C177" s="200" t="s">
        <v>238</v>
      </c>
      <c r="D177" s="98" t="s">
        <v>17</v>
      </c>
      <c r="E177" s="99" t="s">
        <v>216</v>
      </c>
      <c r="F177" s="100">
        <v>45473</v>
      </c>
      <c r="G177" s="99">
        <v>1</v>
      </c>
      <c r="H177" s="101">
        <v>78.688677485543749</v>
      </c>
      <c r="I177" s="97"/>
      <c r="J177" s="102"/>
      <c r="K177" s="101"/>
      <c r="L177" s="103" t="str">
        <f t="shared" si="3"/>
        <v>Impayé</v>
      </c>
      <c r="N177" s="15"/>
    </row>
    <row r="178" spans="1:14" s="14" customFormat="1" ht="15" customHeight="1" x14ac:dyDescent="0.25">
      <c r="A178" s="100">
        <v>45838</v>
      </c>
      <c r="B178" s="104">
        <v>4795</v>
      </c>
      <c r="C178" s="201" t="s">
        <v>705</v>
      </c>
      <c r="D178" s="104" t="s">
        <v>17</v>
      </c>
      <c r="E178" s="104" t="s">
        <v>649</v>
      </c>
      <c r="F178" s="104" t="s">
        <v>533</v>
      </c>
      <c r="G178" s="105">
        <v>1</v>
      </c>
      <c r="H178" s="99">
        <v>83</v>
      </c>
      <c r="I178" s="106"/>
      <c r="J178" s="107"/>
      <c r="K178" s="104"/>
      <c r="L178" s="103" t="str">
        <f t="shared" si="3"/>
        <v>Impayé</v>
      </c>
      <c r="N178" s="15"/>
    </row>
    <row r="179" spans="1:14" s="14" customFormat="1" ht="15" customHeight="1" x14ac:dyDescent="0.25">
      <c r="A179" s="100">
        <v>45838</v>
      </c>
      <c r="B179" s="104">
        <v>3575</v>
      </c>
      <c r="C179" s="201" t="s">
        <v>565</v>
      </c>
      <c r="D179" s="104" t="s">
        <v>730</v>
      </c>
      <c r="E179" s="104" t="s">
        <v>649</v>
      </c>
      <c r="F179" s="104" t="s">
        <v>533</v>
      </c>
      <c r="G179" s="104" t="s">
        <v>61</v>
      </c>
      <c r="H179" s="105">
        <v>248</v>
      </c>
      <c r="I179" s="106"/>
      <c r="J179" s="107"/>
      <c r="K179" s="104"/>
      <c r="L179" s="103" t="str">
        <f t="shared" si="3"/>
        <v>Impayé</v>
      </c>
      <c r="N179" s="15"/>
    </row>
    <row r="180" spans="1:14" s="14" customFormat="1" ht="15" customHeight="1" x14ac:dyDescent="0.25">
      <c r="A180" s="100">
        <v>45838</v>
      </c>
      <c r="B180" s="104">
        <v>4121</v>
      </c>
      <c r="C180" s="201" t="s">
        <v>677</v>
      </c>
      <c r="D180" s="104" t="s">
        <v>17</v>
      </c>
      <c r="E180" s="104" t="s">
        <v>649</v>
      </c>
      <c r="F180" s="104" t="s">
        <v>525</v>
      </c>
      <c r="G180" s="105">
        <v>1</v>
      </c>
      <c r="H180" s="99">
        <v>83</v>
      </c>
      <c r="I180" s="106"/>
      <c r="J180" s="107"/>
      <c r="K180" s="104"/>
      <c r="L180" s="103" t="str">
        <f t="shared" si="3"/>
        <v>Impayé</v>
      </c>
      <c r="N180" s="15"/>
    </row>
    <row r="181" spans="1:14" s="14" customFormat="1" ht="15" customHeight="1" x14ac:dyDescent="0.25">
      <c r="A181" s="100">
        <v>45838</v>
      </c>
      <c r="B181" s="104">
        <v>5000</v>
      </c>
      <c r="C181" s="201" t="s">
        <v>690</v>
      </c>
      <c r="D181" s="104" t="s">
        <v>17</v>
      </c>
      <c r="E181" s="104" t="s">
        <v>649</v>
      </c>
      <c r="F181" s="104" t="s">
        <v>527</v>
      </c>
      <c r="G181" s="105">
        <v>1</v>
      </c>
      <c r="H181" s="105">
        <v>83</v>
      </c>
      <c r="I181" s="106"/>
      <c r="J181" s="107"/>
      <c r="K181" s="104"/>
      <c r="L181" s="103" t="str">
        <f t="shared" si="3"/>
        <v>Impayé</v>
      </c>
      <c r="N181" s="15"/>
    </row>
    <row r="182" spans="1:14" s="14" customFormat="1" ht="15" customHeight="1" x14ac:dyDescent="0.25">
      <c r="A182" s="100">
        <v>45838</v>
      </c>
      <c r="B182" s="104"/>
      <c r="C182" s="201" t="s">
        <v>658</v>
      </c>
      <c r="D182" s="104" t="s">
        <v>17</v>
      </c>
      <c r="E182" s="104" t="s">
        <v>649</v>
      </c>
      <c r="F182" s="104" t="s">
        <v>522</v>
      </c>
      <c r="G182" s="105">
        <v>1</v>
      </c>
      <c r="H182" s="99">
        <v>83</v>
      </c>
      <c r="I182" s="106"/>
      <c r="J182" s="107"/>
      <c r="K182" s="104"/>
      <c r="L182" s="103" t="str">
        <f t="shared" si="3"/>
        <v>Impayé</v>
      </c>
      <c r="N182" s="15"/>
    </row>
    <row r="183" spans="1:14" s="14" customFormat="1" ht="15" customHeight="1" x14ac:dyDescent="0.25">
      <c r="A183" s="100">
        <v>45838</v>
      </c>
      <c r="B183" s="104">
        <v>4318</v>
      </c>
      <c r="C183" s="201" t="s">
        <v>681</v>
      </c>
      <c r="D183" s="104" t="s">
        <v>17</v>
      </c>
      <c r="E183" s="104" t="s">
        <v>649</v>
      </c>
      <c r="F183" s="104" t="s">
        <v>526</v>
      </c>
      <c r="G183" s="99">
        <v>1</v>
      </c>
      <c r="H183" s="99">
        <v>83</v>
      </c>
      <c r="I183" s="106"/>
      <c r="J183" s="107"/>
      <c r="K183" s="104"/>
      <c r="L183" s="103" t="str">
        <f t="shared" si="3"/>
        <v>Impayé</v>
      </c>
      <c r="N183" s="15"/>
    </row>
    <row r="184" spans="1:14" s="14" customFormat="1" ht="15" customHeight="1" x14ac:dyDescent="0.25">
      <c r="A184" s="100">
        <v>45838</v>
      </c>
      <c r="B184" s="104"/>
      <c r="C184" s="201" t="s">
        <v>778</v>
      </c>
      <c r="D184" s="104" t="s">
        <v>17</v>
      </c>
      <c r="E184" s="104" t="s">
        <v>649</v>
      </c>
      <c r="F184" s="104" t="s">
        <v>538</v>
      </c>
      <c r="G184" s="105">
        <v>1</v>
      </c>
      <c r="H184" s="99">
        <v>87</v>
      </c>
      <c r="I184" s="106"/>
      <c r="J184" s="107"/>
      <c r="K184" s="104"/>
      <c r="L184" s="103" t="str">
        <f t="shared" si="3"/>
        <v>Impayé</v>
      </c>
      <c r="N184" s="15"/>
    </row>
    <row r="185" spans="1:14" s="14" customFormat="1" ht="15" customHeight="1" x14ac:dyDescent="0.25">
      <c r="A185" s="100">
        <v>45838</v>
      </c>
      <c r="B185" s="104"/>
      <c r="C185" s="201" t="s">
        <v>804</v>
      </c>
      <c r="D185" s="104" t="s">
        <v>17</v>
      </c>
      <c r="E185" s="104" t="s">
        <v>649</v>
      </c>
      <c r="F185" s="104" t="s">
        <v>538</v>
      </c>
      <c r="G185" s="105">
        <v>4</v>
      </c>
      <c r="H185" s="99">
        <v>347</v>
      </c>
      <c r="I185" s="106"/>
      <c r="J185" s="107"/>
      <c r="K185" s="104"/>
      <c r="L185" s="103" t="str">
        <f t="shared" si="3"/>
        <v>Impayé</v>
      </c>
      <c r="N185" s="15"/>
    </row>
    <row r="186" spans="1:14" s="14" customFormat="1" ht="15" customHeight="1" x14ac:dyDescent="0.25">
      <c r="A186" s="100">
        <v>45838</v>
      </c>
      <c r="B186" s="145">
        <v>2164</v>
      </c>
      <c r="C186" s="200" t="s">
        <v>28</v>
      </c>
      <c r="D186" s="98" t="s">
        <v>17</v>
      </c>
      <c r="E186" s="99" t="s">
        <v>27</v>
      </c>
      <c r="F186" s="100">
        <v>45473</v>
      </c>
      <c r="G186" s="99">
        <v>1</v>
      </c>
      <c r="H186" s="101">
        <v>71.535161350494306</v>
      </c>
      <c r="I186" s="97"/>
      <c r="J186" s="102"/>
      <c r="K186" s="101"/>
      <c r="L186" s="103" t="str">
        <f t="shared" si="3"/>
        <v>Impayé</v>
      </c>
      <c r="N186" s="15"/>
    </row>
    <row r="187" spans="1:14" s="14" customFormat="1" ht="15" customHeight="1" x14ac:dyDescent="0.25">
      <c r="A187" s="100">
        <v>45838</v>
      </c>
      <c r="B187" s="145">
        <v>2163</v>
      </c>
      <c r="C187" s="200" t="s">
        <v>26</v>
      </c>
      <c r="D187" s="98" t="s">
        <v>17</v>
      </c>
      <c r="E187" s="99" t="s">
        <v>27</v>
      </c>
      <c r="F187" s="100">
        <v>45473</v>
      </c>
      <c r="G187" s="99">
        <v>1</v>
      </c>
      <c r="H187" s="101">
        <v>71.535161350494306</v>
      </c>
      <c r="I187" s="97"/>
      <c r="J187" s="102"/>
      <c r="K187" s="101"/>
      <c r="L187" s="103" t="str">
        <f t="shared" si="3"/>
        <v>Impayé</v>
      </c>
      <c r="N187" s="15"/>
    </row>
    <row r="188" spans="1:14" s="14" customFormat="1" ht="15" customHeight="1" x14ac:dyDescent="0.25">
      <c r="A188" s="100">
        <v>45838</v>
      </c>
      <c r="B188" s="145">
        <v>956</v>
      </c>
      <c r="C188" s="200" t="s">
        <v>163</v>
      </c>
      <c r="D188" s="98" t="s">
        <v>17</v>
      </c>
      <c r="E188" s="99" t="s">
        <v>162</v>
      </c>
      <c r="F188" s="100">
        <v>45473</v>
      </c>
      <c r="G188" s="99">
        <v>1</v>
      </c>
      <c r="H188" s="101">
        <v>71.535161350494306</v>
      </c>
      <c r="I188" s="97"/>
      <c r="J188" s="102"/>
      <c r="K188" s="101"/>
      <c r="L188" s="103" t="str">
        <f t="shared" si="3"/>
        <v>Impayé</v>
      </c>
      <c r="N188" s="15"/>
    </row>
    <row r="189" spans="1:14" s="14" customFormat="1" ht="15" customHeight="1" x14ac:dyDescent="0.25">
      <c r="A189" s="100">
        <v>45838</v>
      </c>
      <c r="B189" s="145">
        <v>2160</v>
      </c>
      <c r="C189" s="200" t="s">
        <v>166</v>
      </c>
      <c r="D189" s="98" t="s">
        <v>17</v>
      </c>
      <c r="E189" s="99" t="s">
        <v>162</v>
      </c>
      <c r="F189" s="100">
        <v>45473</v>
      </c>
      <c r="G189" s="99">
        <v>1</v>
      </c>
      <c r="H189" s="101">
        <v>71.535161350494306</v>
      </c>
      <c r="I189" s="97"/>
      <c r="J189" s="102"/>
      <c r="K189" s="101"/>
      <c r="L189" s="103" t="str">
        <f t="shared" si="3"/>
        <v>Impayé</v>
      </c>
      <c r="N189" s="15"/>
    </row>
    <row r="190" spans="1:14" s="14" customFormat="1" ht="15" customHeight="1" x14ac:dyDescent="0.25">
      <c r="A190" s="100">
        <v>45838</v>
      </c>
      <c r="B190" s="145">
        <v>2159</v>
      </c>
      <c r="C190" s="200" t="s">
        <v>167</v>
      </c>
      <c r="D190" s="98" t="s">
        <v>17</v>
      </c>
      <c r="E190" s="99" t="s">
        <v>162</v>
      </c>
      <c r="F190" s="100">
        <v>45473</v>
      </c>
      <c r="G190" s="99">
        <v>2</v>
      </c>
      <c r="H190" s="101">
        <v>143.07032270098861</v>
      </c>
      <c r="I190" s="97"/>
      <c r="J190" s="102"/>
      <c r="K190" s="101"/>
      <c r="L190" s="103" t="str">
        <f t="shared" si="3"/>
        <v>Impayé</v>
      </c>
      <c r="N190" s="15"/>
    </row>
    <row r="191" spans="1:14" s="14" customFormat="1" ht="15" customHeight="1" x14ac:dyDescent="0.25">
      <c r="A191" s="100">
        <v>45838</v>
      </c>
      <c r="B191" s="145">
        <v>1745</v>
      </c>
      <c r="C191" s="200" t="s">
        <v>165</v>
      </c>
      <c r="D191" s="98" t="s">
        <v>17</v>
      </c>
      <c r="E191" s="99" t="s">
        <v>162</v>
      </c>
      <c r="F191" s="100">
        <v>45473</v>
      </c>
      <c r="G191" s="99">
        <v>2</v>
      </c>
      <c r="H191" s="101">
        <v>143.07032270098861</v>
      </c>
      <c r="I191" s="97"/>
      <c r="J191" s="102"/>
      <c r="K191" s="101"/>
      <c r="L191" s="103" t="str">
        <f t="shared" si="3"/>
        <v>Impayé</v>
      </c>
      <c r="N191" s="15"/>
    </row>
    <row r="192" spans="1:14" s="14" customFormat="1" ht="15" customHeight="1" x14ac:dyDescent="0.25">
      <c r="A192" s="100">
        <v>45838</v>
      </c>
      <c r="B192" s="145">
        <v>2162</v>
      </c>
      <c r="C192" s="200" t="s">
        <v>164</v>
      </c>
      <c r="D192" s="98" t="s">
        <v>17</v>
      </c>
      <c r="E192" s="99" t="s">
        <v>162</v>
      </c>
      <c r="F192" s="100">
        <v>45473</v>
      </c>
      <c r="G192" s="99">
        <v>3</v>
      </c>
      <c r="H192" s="101">
        <v>214.60548405148293</v>
      </c>
      <c r="I192" s="97"/>
      <c r="J192" s="102"/>
      <c r="K192" s="101"/>
      <c r="L192" s="103" t="str">
        <f t="shared" si="3"/>
        <v>Impayé</v>
      </c>
      <c r="N192" s="15"/>
    </row>
    <row r="193" spans="1:14" s="14" customFormat="1" ht="15" customHeight="1" x14ac:dyDescent="0.25">
      <c r="A193" s="100">
        <v>45838</v>
      </c>
      <c r="B193" s="145">
        <v>1793</v>
      </c>
      <c r="C193" s="200" t="s">
        <v>161</v>
      </c>
      <c r="D193" s="98" t="s">
        <v>17</v>
      </c>
      <c r="E193" s="99" t="s">
        <v>162</v>
      </c>
      <c r="F193" s="100">
        <v>45473</v>
      </c>
      <c r="G193" s="99">
        <v>1</v>
      </c>
      <c r="H193" s="101">
        <v>71.535161350494306</v>
      </c>
      <c r="I193" s="97"/>
      <c r="J193" s="102"/>
      <c r="K193" s="101"/>
      <c r="L193" s="103" t="str">
        <f t="shared" si="3"/>
        <v>Impayé</v>
      </c>
      <c r="N193" s="15"/>
    </row>
    <row r="194" spans="1:14" s="14" customFormat="1" ht="15" customHeight="1" x14ac:dyDescent="0.25">
      <c r="A194" s="100">
        <v>45838</v>
      </c>
      <c r="B194" s="145">
        <v>1436</v>
      </c>
      <c r="C194" s="200" t="s">
        <v>154</v>
      </c>
      <c r="D194" s="98" t="s">
        <v>17</v>
      </c>
      <c r="E194" s="99" t="s">
        <v>44</v>
      </c>
      <c r="F194" s="100">
        <v>45473</v>
      </c>
      <c r="G194" s="99">
        <v>1</v>
      </c>
      <c r="H194" s="101">
        <v>71.535161350494306</v>
      </c>
      <c r="I194" s="97"/>
      <c r="J194" s="102"/>
      <c r="K194" s="101"/>
      <c r="L194" s="103" t="str">
        <f t="shared" si="3"/>
        <v>Impayé</v>
      </c>
      <c r="N194" s="15"/>
    </row>
    <row r="195" spans="1:14" s="14" customFormat="1" ht="15" customHeight="1" x14ac:dyDescent="0.25">
      <c r="A195" s="100">
        <v>45838</v>
      </c>
      <c r="B195" s="145">
        <v>375</v>
      </c>
      <c r="C195" s="200" t="s">
        <v>152</v>
      </c>
      <c r="D195" s="98" t="s">
        <v>17</v>
      </c>
      <c r="E195" s="99" t="s">
        <v>44</v>
      </c>
      <c r="F195" s="100">
        <v>45473</v>
      </c>
      <c r="G195" s="99">
        <v>1</v>
      </c>
      <c r="H195" s="101">
        <v>71.535161350494306</v>
      </c>
      <c r="I195" s="97"/>
      <c r="J195" s="102"/>
      <c r="K195" s="101"/>
      <c r="L195" s="103" t="str">
        <f t="shared" si="3"/>
        <v>Impayé</v>
      </c>
      <c r="N195" s="15"/>
    </row>
    <row r="196" spans="1:14" s="14" customFormat="1" ht="15" customHeight="1" x14ac:dyDescent="0.25">
      <c r="A196" s="100">
        <v>45838</v>
      </c>
      <c r="B196" s="145">
        <v>1085</v>
      </c>
      <c r="C196" s="200" t="s">
        <v>74</v>
      </c>
      <c r="D196" s="98" t="s">
        <v>17</v>
      </c>
      <c r="E196" s="99" t="s">
        <v>44</v>
      </c>
      <c r="F196" s="100">
        <v>45473</v>
      </c>
      <c r="G196" s="99">
        <v>2</v>
      </c>
      <c r="H196" s="101">
        <v>143.07032270098861</v>
      </c>
      <c r="I196" s="97"/>
      <c r="J196" s="102"/>
      <c r="K196" s="101"/>
      <c r="L196" s="103" t="str">
        <f t="shared" si="3"/>
        <v>Impayé</v>
      </c>
      <c r="N196" s="15"/>
    </row>
    <row r="197" spans="1:14" s="14" customFormat="1" ht="15" customHeight="1" x14ac:dyDescent="0.25">
      <c r="A197" s="100">
        <v>45838</v>
      </c>
      <c r="B197" s="145">
        <v>413</v>
      </c>
      <c r="C197" s="200" t="s">
        <v>153</v>
      </c>
      <c r="D197" s="98" t="s">
        <v>17</v>
      </c>
      <c r="E197" s="99" t="s">
        <v>44</v>
      </c>
      <c r="F197" s="100">
        <v>45473</v>
      </c>
      <c r="G197" s="99">
        <v>1</v>
      </c>
      <c r="H197" s="101">
        <v>71.535161350494306</v>
      </c>
      <c r="I197" s="97"/>
      <c r="J197" s="102"/>
      <c r="K197" s="101"/>
      <c r="L197" s="103" t="str">
        <f t="shared" si="3"/>
        <v>Impayé</v>
      </c>
      <c r="N197" s="15"/>
    </row>
    <row r="198" spans="1:14" s="14" customFormat="1" ht="15" customHeight="1" x14ac:dyDescent="0.25">
      <c r="A198" s="100">
        <v>45838</v>
      </c>
      <c r="B198" s="145">
        <v>377</v>
      </c>
      <c r="C198" s="200" t="s">
        <v>60</v>
      </c>
      <c r="D198" s="98" t="s">
        <v>17</v>
      </c>
      <c r="E198" s="99" t="s">
        <v>44</v>
      </c>
      <c r="F198" s="100">
        <v>45473</v>
      </c>
      <c r="G198" s="99" t="s">
        <v>61</v>
      </c>
      <c r="H198" s="101">
        <v>214.6054840514829</v>
      </c>
      <c r="I198" s="97"/>
      <c r="J198" s="102"/>
      <c r="K198" s="101"/>
      <c r="L198" s="103" t="str">
        <f t="shared" si="3"/>
        <v>Impayé</v>
      </c>
      <c r="N198" s="15"/>
    </row>
    <row r="199" spans="1:14" s="14" customFormat="1" ht="15" customHeight="1" x14ac:dyDescent="0.25">
      <c r="A199" s="100">
        <v>45838</v>
      </c>
      <c r="B199" s="145">
        <v>1075</v>
      </c>
      <c r="C199" s="200" t="s">
        <v>43</v>
      </c>
      <c r="D199" s="98" t="s">
        <v>17</v>
      </c>
      <c r="E199" s="99" t="s">
        <v>44</v>
      </c>
      <c r="F199" s="100">
        <v>45473</v>
      </c>
      <c r="G199" s="99">
        <v>1</v>
      </c>
      <c r="H199" s="101">
        <v>71.535161350494306</v>
      </c>
      <c r="I199" s="97"/>
      <c r="J199" s="102"/>
      <c r="K199" s="101"/>
      <c r="L199" s="103" t="str">
        <f t="shared" si="3"/>
        <v>Impayé</v>
      </c>
      <c r="N199" s="15"/>
    </row>
    <row r="200" spans="1:14" s="14" customFormat="1" ht="15" customHeight="1" x14ac:dyDescent="0.25">
      <c r="A200" s="100">
        <v>45838</v>
      </c>
      <c r="B200" s="145">
        <v>1115</v>
      </c>
      <c r="C200" s="200" t="s">
        <v>77</v>
      </c>
      <c r="D200" s="98" t="s">
        <v>17</v>
      </c>
      <c r="E200" s="99" t="s">
        <v>44</v>
      </c>
      <c r="F200" s="100">
        <v>45473</v>
      </c>
      <c r="G200" s="99">
        <v>1</v>
      </c>
      <c r="H200" s="101">
        <v>71.7</v>
      </c>
      <c r="I200" s="97"/>
      <c r="J200" s="102"/>
      <c r="K200" s="101"/>
      <c r="L200" s="103" t="str">
        <f t="shared" si="3"/>
        <v>Impayé</v>
      </c>
      <c r="N200" s="15"/>
    </row>
    <row r="201" spans="1:14" s="14" customFormat="1" ht="15" customHeight="1" x14ac:dyDescent="0.25">
      <c r="A201" s="100">
        <v>45838</v>
      </c>
      <c r="B201" s="145">
        <v>1559</v>
      </c>
      <c r="C201" s="200" t="s">
        <v>125</v>
      </c>
      <c r="D201" s="98" t="s">
        <v>17</v>
      </c>
      <c r="E201" s="99" t="s">
        <v>126</v>
      </c>
      <c r="F201" s="100">
        <v>45473</v>
      </c>
      <c r="G201" s="99">
        <v>0.5</v>
      </c>
      <c r="H201" s="101">
        <v>35.767580675247153</v>
      </c>
      <c r="I201" s="97"/>
      <c r="J201" s="102"/>
      <c r="K201" s="101"/>
      <c r="L201" s="103" t="str">
        <f t="shared" si="3"/>
        <v>Impayé</v>
      </c>
      <c r="N201" s="15"/>
    </row>
    <row r="202" spans="1:14" s="14" customFormat="1" ht="15" customHeight="1" x14ac:dyDescent="0.25">
      <c r="A202" s="100">
        <v>45838</v>
      </c>
      <c r="B202" s="145">
        <v>1560</v>
      </c>
      <c r="C202" s="200" t="s">
        <v>127</v>
      </c>
      <c r="D202" s="98" t="s">
        <v>17</v>
      </c>
      <c r="E202" s="99" t="s">
        <v>126</v>
      </c>
      <c r="F202" s="100">
        <v>45473</v>
      </c>
      <c r="G202" s="99">
        <v>0.5</v>
      </c>
      <c r="H202" s="101">
        <v>35.767580675247153</v>
      </c>
      <c r="I202" s="97"/>
      <c r="J202" s="102"/>
      <c r="K202" s="101"/>
      <c r="L202" s="103" t="str">
        <f t="shared" si="3"/>
        <v>Impayé</v>
      </c>
      <c r="N202" s="15"/>
    </row>
    <row r="203" spans="1:14" s="14" customFormat="1" ht="15" customHeight="1" x14ac:dyDescent="0.25">
      <c r="A203" s="100">
        <v>45838</v>
      </c>
      <c r="B203" s="104">
        <v>3817</v>
      </c>
      <c r="C203" s="201" t="s">
        <v>472</v>
      </c>
      <c r="D203" s="104" t="s">
        <v>17</v>
      </c>
      <c r="E203" s="104" t="s">
        <v>476</v>
      </c>
      <c r="F203" s="100">
        <v>45473</v>
      </c>
      <c r="G203" s="105">
        <v>2</v>
      </c>
      <c r="H203" s="99">
        <v>165</v>
      </c>
      <c r="I203" s="106"/>
      <c r="J203" s="107"/>
      <c r="K203" s="104"/>
      <c r="L203" s="103" t="str">
        <f t="shared" si="3"/>
        <v>Impayé</v>
      </c>
      <c r="N203" s="15"/>
    </row>
    <row r="204" spans="1:14" s="14" customFormat="1" ht="15" customHeight="1" x14ac:dyDescent="0.25">
      <c r="A204" s="100">
        <v>45838</v>
      </c>
      <c r="B204" s="104">
        <v>2983</v>
      </c>
      <c r="C204" s="201" t="s">
        <v>468</v>
      </c>
      <c r="D204" s="104" t="s">
        <v>17</v>
      </c>
      <c r="E204" s="104" t="s">
        <v>476</v>
      </c>
      <c r="F204" s="100">
        <v>45473</v>
      </c>
      <c r="G204" s="105">
        <v>2</v>
      </c>
      <c r="H204" s="99">
        <v>165</v>
      </c>
      <c r="I204" s="106"/>
      <c r="J204" s="107"/>
      <c r="K204" s="104"/>
      <c r="L204" s="103" t="str">
        <f t="shared" si="3"/>
        <v>Impayé</v>
      </c>
      <c r="N204" s="15"/>
    </row>
    <row r="205" spans="1:14" s="14" customFormat="1" ht="15" customHeight="1" x14ac:dyDescent="0.25">
      <c r="A205" s="100">
        <v>45838</v>
      </c>
      <c r="B205" s="104">
        <v>3875</v>
      </c>
      <c r="C205" s="201" t="s">
        <v>484</v>
      </c>
      <c r="D205" s="104" t="s">
        <v>17</v>
      </c>
      <c r="E205" s="104" t="s">
        <v>476</v>
      </c>
      <c r="F205" s="100">
        <v>45473</v>
      </c>
      <c r="G205" s="105">
        <v>1</v>
      </c>
      <c r="H205" s="99">
        <v>83</v>
      </c>
      <c r="I205" s="106"/>
      <c r="J205" s="107"/>
      <c r="K205" s="104"/>
      <c r="L205" s="103" t="str">
        <f t="shared" si="3"/>
        <v>Impayé</v>
      </c>
      <c r="N205" s="15"/>
    </row>
    <row r="206" spans="1:14" s="14" customFormat="1" ht="15" customHeight="1" x14ac:dyDescent="0.25">
      <c r="A206" s="100">
        <v>45838</v>
      </c>
      <c r="B206" s="104">
        <v>3189</v>
      </c>
      <c r="C206" s="201" t="s">
        <v>469</v>
      </c>
      <c r="D206" s="104" t="s">
        <v>17</v>
      </c>
      <c r="E206" s="104" t="s">
        <v>476</v>
      </c>
      <c r="F206" s="100">
        <v>45473</v>
      </c>
      <c r="G206" s="105">
        <v>1</v>
      </c>
      <c r="H206" s="99">
        <v>83</v>
      </c>
      <c r="I206" s="106"/>
      <c r="J206" s="107"/>
      <c r="K206" s="104"/>
      <c r="L206" s="103" t="str">
        <f t="shared" si="3"/>
        <v>Impayé</v>
      </c>
      <c r="N206" s="15"/>
    </row>
    <row r="207" spans="1:14" s="14" customFormat="1" ht="15" customHeight="1" x14ac:dyDescent="0.25">
      <c r="A207" s="100">
        <v>45838</v>
      </c>
      <c r="B207" s="104">
        <v>3271</v>
      </c>
      <c r="C207" s="201" t="s">
        <v>481</v>
      </c>
      <c r="D207" s="104" t="s">
        <v>17</v>
      </c>
      <c r="E207" s="104" t="s">
        <v>476</v>
      </c>
      <c r="F207" s="100">
        <v>45473</v>
      </c>
      <c r="G207" s="105">
        <v>1</v>
      </c>
      <c r="H207" s="99">
        <v>83</v>
      </c>
      <c r="I207" s="106"/>
      <c r="J207" s="107"/>
      <c r="K207" s="104"/>
      <c r="L207" s="103" t="str">
        <f t="shared" si="3"/>
        <v>Impayé</v>
      </c>
      <c r="N207" s="15"/>
    </row>
    <row r="208" spans="1:14" s="14" customFormat="1" ht="15" customHeight="1" x14ac:dyDescent="0.25">
      <c r="A208" s="100">
        <v>45838</v>
      </c>
      <c r="B208" s="104"/>
      <c r="C208" s="201" t="s">
        <v>727</v>
      </c>
      <c r="D208" s="104" t="s">
        <v>17</v>
      </c>
      <c r="E208" s="104" t="s">
        <v>476</v>
      </c>
      <c r="F208" s="104" t="s">
        <v>533</v>
      </c>
      <c r="G208" s="105">
        <v>2</v>
      </c>
      <c r="H208" s="99">
        <v>165</v>
      </c>
      <c r="I208" s="106"/>
      <c r="J208" s="107"/>
      <c r="K208" s="104"/>
      <c r="L208" s="103" t="str">
        <f t="shared" si="3"/>
        <v>Impayé</v>
      </c>
      <c r="N208" s="15"/>
    </row>
    <row r="209" spans="1:14" s="14" customFormat="1" ht="15" customHeight="1" x14ac:dyDescent="0.25">
      <c r="A209" s="100">
        <v>45838</v>
      </c>
      <c r="B209" s="104"/>
      <c r="C209" s="201" t="s">
        <v>823</v>
      </c>
      <c r="D209" s="104" t="s">
        <v>17</v>
      </c>
      <c r="E209" s="104" t="s">
        <v>753</v>
      </c>
      <c r="F209" s="104" t="s">
        <v>538</v>
      </c>
      <c r="G209" s="105">
        <v>1</v>
      </c>
      <c r="H209" s="99">
        <v>87</v>
      </c>
      <c r="I209" s="106"/>
      <c r="J209" s="107"/>
      <c r="K209" s="104"/>
      <c r="L209" s="103" t="str">
        <f t="shared" si="3"/>
        <v>Impayé</v>
      </c>
      <c r="N209" s="15"/>
    </row>
    <row r="210" spans="1:14" s="14" customFormat="1" ht="15" customHeight="1" x14ac:dyDescent="0.25">
      <c r="A210" s="100">
        <v>45838</v>
      </c>
      <c r="B210" s="104">
        <v>4910</v>
      </c>
      <c r="C210" s="201" t="s">
        <v>769</v>
      </c>
      <c r="D210" s="104" t="s">
        <v>17</v>
      </c>
      <c r="E210" s="104" t="s">
        <v>753</v>
      </c>
      <c r="F210" s="104" t="s">
        <v>539</v>
      </c>
      <c r="G210" s="105">
        <v>1</v>
      </c>
      <c r="H210" s="99">
        <v>87</v>
      </c>
      <c r="I210" s="106"/>
      <c r="J210" s="107"/>
      <c r="K210" s="104"/>
      <c r="L210" s="103" t="str">
        <f t="shared" si="3"/>
        <v>Impayé</v>
      </c>
      <c r="N210" s="15"/>
    </row>
    <row r="211" spans="1:14" s="14" customFormat="1" ht="15" customHeight="1" x14ac:dyDescent="0.25">
      <c r="A211" s="100">
        <v>45838</v>
      </c>
      <c r="B211" s="145">
        <v>3147</v>
      </c>
      <c r="C211" s="200" t="s">
        <v>311</v>
      </c>
      <c r="D211" s="98" t="s">
        <v>17</v>
      </c>
      <c r="E211" s="99" t="s">
        <v>285</v>
      </c>
      <c r="F211" s="100">
        <v>45473</v>
      </c>
      <c r="G211" s="99">
        <v>1</v>
      </c>
      <c r="H211" s="101">
        <v>78.688677485543749</v>
      </c>
      <c r="I211" s="97"/>
      <c r="J211" s="102"/>
      <c r="K211" s="101"/>
      <c r="L211" s="103" t="str">
        <f t="shared" si="3"/>
        <v>Impayé</v>
      </c>
      <c r="N211" s="15"/>
    </row>
    <row r="212" spans="1:14" s="14" customFormat="1" ht="15" customHeight="1" x14ac:dyDescent="0.25">
      <c r="A212" s="100">
        <v>45838</v>
      </c>
      <c r="B212" s="145">
        <v>3021</v>
      </c>
      <c r="C212" s="200" t="s">
        <v>304</v>
      </c>
      <c r="D212" s="98" t="s">
        <v>17</v>
      </c>
      <c r="E212" s="99" t="s">
        <v>285</v>
      </c>
      <c r="F212" s="100">
        <v>45473</v>
      </c>
      <c r="G212" s="99">
        <v>1</v>
      </c>
      <c r="H212" s="101">
        <v>78.688677485543749</v>
      </c>
      <c r="I212" s="97"/>
      <c r="J212" s="102"/>
      <c r="K212" s="101"/>
      <c r="L212" s="103" t="str">
        <f t="shared" si="3"/>
        <v>Impayé</v>
      </c>
      <c r="N212" s="15"/>
    </row>
    <row r="213" spans="1:14" s="14" customFormat="1" ht="15" customHeight="1" x14ac:dyDescent="0.25">
      <c r="A213" s="100">
        <v>45838</v>
      </c>
      <c r="B213" s="145">
        <v>3023</v>
      </c>
      <c r="C213" s="200" t="s">
        <v>349</v>
      </c>
      <c r="D213" s="98" t="s">
        <v>17</v>
      </c>
      <c r="E213" s="99" t="s">
        <v>285</v>
      </c>
      <c r="F213" s="100">
        <v>45473</v>
      </c>
      <c r="G213" s="99">
        <v>1</v>
      </c>
      <c r="H213" s="101">
        <v>78.688677485543749</v>
      </c>
      <c r="I213" s="97"/>
      <c r="J213" s="102"/>
      <c r="K213" s="101"/>
      <c r="L213" s="103" t="str">
        <f t="shared" si="3"/>
        <v>Impayé</v>
      </c>
      <c r="N213" s="15"/>
    </row>
    <row r="214" spans="1:14" s="14" customFormat="1" ht="15" customHeight="1" x14ac:dyDescent="0.25">
      <c r="A214" s="100">
        <v>45838</v>
      </c>
      <c r="B214" s="145">
        <v>3059</v>
      </c>
      <c r="C214" s="200" t="s">
        <v>284</v>
      </c>
      <c r="D214" s="98" t="s">
        <v>17</v>
      </c>
      <c r="E214" s="99" t="s">
        <v>285</v>
      </c>
      <c r="F214" s="100">
        <v>45473</v>
      </c>
      <c r="G214" s="99">
        <v>1</v>
      </c>
      <c r="H214" s="101">
        <v>78.688677485543749</v>
      </c>
      <c r="I214" s="97"/>
      <c r="J214" s="102"/>
      <c r="K214" s="101"/>
      <c r="L214" s="103" t="str">
        <f t="shared" si="3"/>
        <v>Impayé</v>
      </c>
      <c r="N214" s="15"/>
    </row>
    <row r="215" spans="1:14" s="14" customFormat="1" ht="15" customHeight="1" x14ac:dyDescent="0.25">
      <c r="A215" s="100">
        <v>45838</v>
      </c>
      <c r="B215" s="145">
        <v>2943</v>
      </c>
      <c r="C215" s="200" t="s">
        <v>301</v>
      </c>
      <c r="D215" s="98" t="s">
        <v>17</v>
      </c>
      <c r="E215" s="99" t="s">
        <v>285</v>
      </c>
      <c r="F215" s="100">
        <v>45473</v>
      </c>
      <c r="G215" s="99">
        <v>1</v>
      </c>
      <c r="H215" s="101">
        <v>78.688677485543749</v>
      </c>
      <c r="I215" s="97"/>
      <c r="J215" s="102"/>
      <c r="K215" s="101"/>
      <c r="L215" s="103" t="str">
        <f t="shared" si="3"/>
        <v>Impayé</v>
      </c>
      <c r="N215" s="15"/>
    </row>
    <row r="216" spans="1:14" s="14" customFormat="1" ht="15" customHeight="1" x14ac:dyDescent="0.25">
      <c r="A216" s="100">
        <v>45838</v>
      </c>
      <c r="B216" s="145">
        <v>3146</v>
      </c>
      <c r="C216" s="200" t="s">
        <v>310</v>
      </c>
      <c r="D216" s="98" t="s">
        <v>17</v>
      </c>
      <c r="E216" s="99" t="s">
        <v>285</v>
      </c>
      <c r="F216" s="100">
        <v>45473</v>
      </c>
      <c r="G216" s="99">
        <v>1</v>
      </c>
      <c r="H216" s="101">
        <v>78.688677485543749</v>
      </c>
      <c r="I216" s="97"/>
      <c r="J216" s="102"/>
      <c r="K216" s="101"/>
      <c r="L216" s="103" t="str">
        <f t="shared" si="3"/>
        <v>Impayé</v>
      </c>
      <c r="N216" s="15"/>
    </row>
    <row r="217" spans="1:14" s="14" customFormat="1" ht="15" customHeight="1" x14ac:dyDescent="0.25">
      <c r="A217" s="100">
        <v>45838</v>
      </c>
      <c r="B217" s="145">
        <v>3214</v>
      </c>
      <c r="C217" s="200" t="s">
        <v>332</v>
      </c>
      <c r="D217" s="98" t="s">
        <v>17</v>
      </c>
      <c r="E217" s="99" t="s">
        <v>285</v>
      </c>
      <c r="F217" s="100">
        <v>45473</v>
      </c>
      <c r="G217" s="99">
        <v>1</v>
      </c>
      <c r="H217" s="101">
        <v>78.688677485543749</v>
      </c>
      <c r="I217" s="97"/>
      <c r="J217" s="102"/>
      <c r="K217" s="101"/>
      <c r="L217" s="103" t="str">
        <f t="shared" si="3"/>
        <v>Impayé</v>
      </c>
      <c r="N217" s="15"/>
    </row>
    <row r="218" spans="1:14" s="14" customFormat="1" ht="15" customHeight="1" x14ac:dyDescent="0.25">
      <c r="A218" s="100">
        <v>45838</v>
      </c>
      <c r="B218" s="145">
        <v>1603</v>
      </c>
      <c r="C218" s="200" t="s">
        <v>138</v>
      </c>
      <c r="D218" s="98" t="s">
        <v>17</v>
      </c>
      <c r="E218" s="99" t="s">
        <v>117</v>
      </c>
      <c r="F218" s="100">
        <v>45473</v>
      </c>
      <c r="G218" s="99">
        <v>1</v>
      </c>
      <c r="H218" s="101">
        <v>71.535161350494306</v>
      </c>
      <c r="I218" s="97"/>
      <c r="J218" s="102"/>
      <c r="K218" s="101"/>
      <c r="L218" s="103" t="str">
        <f t="shared" si="3"/>
        <v>Impayé</v>
      </c>
      <c r="N218" s="15"/>
    </row>
    <row r="219" spans="1:14" s="14" customFormat="1" ht="15" customHeight="1" x14ac:dyDescent="0.25">
      <c r="A219" s="100">
        <v>45838</v>
      </c>
      <c r="B219" s="104">
        <v>2464</v>
      </c>
      <c r="C219" s="201" t="s">
        <v>717</v>
      </c>
      <c r="D219" s="104" t="s">
        <v>17</v>
      </c>
      <c r="E219" s="104" t="s">
        <v>254</v>
      </c>
      <c r="F219" s="104" t="s">
        <v>538</v>
      </c>
      <c r="G219" s="105">
        <v>1</v>
      </c>
      <c r="H219" s="99">
        <v>87</v>
      </c>
      <c r="I219" s="97">
        <v>45895</v>
      </c>
      <c r="J219" s="107">
        <v>0.54375000000000007</v>
      </c>
      <c r="K219" s="99">
        <v>87</v>
      </c>
      <c r="L219" s="103" t="str">
        <f t="shared" si="3"/>
        <v>Payé</v>
      </c>
      <c r="N219" s="15"/>
    </row>
    <row r="220" spans="1:14" s="14" customFormat="1" ht="15" customHeight="1" x14ac:dyDescent="0.25">
      <c r="A220" s="100">
        <v>45838</v>
      </c>
      <c r="B220" s="104">
        <v>4908</v>
      </c>
      <c r="C220" s="201" t="s">
        <v>741</v>
      </c>
      <c r="D220" s="104" t="s">
        <v>17</v>
      </c>
      <c r="E220" s="104" t="s">
        <v>254</v>
      </c>
      <c r="F220" s="104" t="s">
        <v>538</v>
      </c>
      <c r="G220" s="105">
        <v>9</v>
      </c>
      <c r="H220" s="99">
        <v>781</v>
      </c>
      <c r="I220" s="97">
        <v>45881</v>
      </c>
      <c r="J220" s="107">
        <v>0.65138888888888891</v>
      </c>
      <c r="K220" s="99">
        <v>781</v>
      </c>
      <c r="L220" s="103" t="str">
        <f t="shared" si="3"/>
        <v>Payé</v>
      </c>
      <c r="N220" s="15"/>
    </row>
    <row r="221" spans="1:14" s="14" customFormat="1" ht="15" customHeight="1" x14ac:dyDescent="0.25">
      <c r="A221" s="100">
        <v>45838</v>
      </c>
      <c r="B221" s="145">
        <v>1574</v>
      </c>
      <c r="C221" s="200" t="s">
        <v>132</v>
      </c>
      <c r="D221" s="98" t="s">
        <v>17</v>
      </c>
      <c r="E221" s="99" t="s">
        <v>117</v>
      </c>
      <c r="F221" s="100">
        <v>45473</v>
      </c>
      <c r="G221" s="99">
        <v>1</v>
      </c>
      <c r="H221" s="101">
        <v>71.535161350494306</v>
      </c>
      <c r="I221" s="97"/>
      <c r="J221" s="102"/>
      <c r="K221" s="101"/>
      <c r="L221" s="103" t="str">
        <f t="shared" si="3"/>
        <v>Impayé</v>
      </c>
      <c r="N221" s="15"/>
    </row>
    <row r="222" spans="1:14" s="14" customFormat="1" ht="15" customHeight="1" x14ac:dyDescent="0.25">
      <c r="A222" s="100">
        <v>45838</v>
      </c>
      <c r="B222" s="145">
        <v>1528</v>
      </c>
      <c r="C222" s="200" t="s">
        <v>116</v>
      </c>
      <c r="D222" s="98" t="s">
        <v>17</v>
      </c>
      <c r="E222" s="99" t="s">
        <v>117</v>
      </c>
      <c r="F222" s="100">
        <v>45473</v>
      </c>
      <c r="G222" s="99">
        <v>3</v>
      </c>
      <c r="H222" s="101">
        <v>214.60548405148293</v>
      </c>
      <c r="I222" s="97"/>
      <c r="J222" s="102"/>
      <c r="K222" s="101"/>
      <c r="L222" s="103" t="str">
        <f t="shared" si="3"/>
        <v>Impayé</v>
      </c>
      <c r="N222" s="15"/>
    </row>
    <row r="223" spans="1:14" s="14" customFormat="1" ht="15" customHeight="1" x14ac:dyDescent="0.25">
      <c r="A223" s="100">
        <v>45838</v>
      </c>
      <c r="B223" s="145">
        <v>1577</v>
      </c>
      <c r="C223" s="200" t="s">
        <v>134</v>
      </c>
      <c r="D223" s="98" t="s">
        <v>17</v>
      </c>
      <c r="E223" s="99" t="s">
        <v>117</v>
      </c>
      <c r="F223" s="100">
        <v>45473</v>
      </c>
      <c r="G223" s="99">
        <v>1</v>
      </c>
      <c r="H223" s="101">
        <v>71.535161350494306</v>
      </c>
      <c r="I223" s="97"/>
      <c r="J223" s="102"/>
      <c r="K223" s="101"/>
      <c r="L223" s="103" t="str">
        <f t="shared" si="3"/>
        <v>Impayé</v>
      </c>
      <c r="M223" s="157"/>
      <c r="N223" s="15"/>
    </row>
    <row r="224" spans="1:14" s="14" customFormat="1" ht="15" customHeight="1" x14ac:dyDescent="0.25">
      <c r="A224" s="100">
        <v>45838</v>
      </c>
      <c r="B224" s="145">
        <v>1568</v>
      </c>
      <c r="C224" s="200" t="s">
        <v>131</v>
      </c>
      <c r="D224" s="98" t="s">
        <v>17</v>
      </c>
      <c r="E224" s="99" t="s">
        <v>117</v>
      </c>
      <c r="F224" s="100">
        <v>45473</v>
      </c>
      <c r="G224" s="99">
        <v>2</v>
      </c>
      <c r="H224" s="101">
        <v>143.07032270098861</v>
      </c>
      <c r="I224" s="97"/>
      <c r="J224" s="102"/>
      <c r="K224" s="101"/>
      <c r="L224" s="103" t="str">
        <f t="shared" si="3"/>
        <v>Impayé</v>
      </c>
      <c r="N224" s="15"/>
    </row>
    <row r="225" spans="1:14" s="14" customFormat="1" ht="15" customHeight="1" x14ac:dyDescent="0.25">
      <c r="A225" s="100">
        <v>45838</v>
      </c>
      <c r="B225" s="145">
        <v>1568</v>
      </c>
      <c r="C225" s="200" t="s">
        <v>131</v>
      </c>
      <c r="D225" s="98" t="s">
        <v>17</v>
      </c>
      <c r="E225" s="99" t="s">
        <v>117</v>
      </c>
      <c r="F225" s="100">
        <v>45473</v>
      </c>
      <c r="G225" s="99">
        <v>1</v>
      </c>
      <c r="H225" s="101">
        <v>72</v>
      </c>
      <c r="I225" s="97"/>
      <c r="J225" s="102"/>
      <c r="K225" s="101"/>
      <c r="L225" s="103" t="str">
        <f t="shared" si="3"/>
        <v>Impayé</v>
      </c>
      <c r="N225" s="15"/>
    </row>
    <row r="226" spans="1:14" s="14" customFormat="1" ht="15" customHeight="1" x14ac:dyDescent="0.25">
      <c r="A226" s="100">
        <v>45838</v>
      </c>
      <c r="B226" s="145">
        <v>1554</v>
      </c>
      <c r="C226" s="200" t="s">
        <v>124</v>
      </c>
      <c r="D226" s="98" t="s">
        <v>17</v>
      </c>
      <c r="E226" s="99" t="s">
        <v>117</v>
      </c>
      <c r="F226" s="100">
        <v>45473</v>
      </c>
      <c r="G226" s="99">
        <v>1</v>
      </c>
      <c r="H226" s="101">
        <v>72</v>
      </c>
      <c r="I226" s="97"/>
      <c r="J226" s="102"/>
      <c r="K226" s="101"/>
      <c r="L226" s="103" t="str">
        <f t="shared" si="3"/>
        <v>Impayé</v>
      </c>
      <c r="N226" s="15"/>
    </row>
    <row r="227" spans="1:14" s="14" customFormat="1" ht="15" customHeight="1" x14ac:dyDescent="0.25">
      <c r="A227" s="100">
        <v>45838</v>
      </c>
      <c r="B227" s="145">
        <v>1578</v>
      </c>
      <c r="C227" s="200" t="s">
        <v>135</v>
      </c>
      <c r="D227" s="98" t="s">
        <v>17</v>
      </c>
      <c r="E227" s="99" t="s">
        <v>117</v>
      </c>
      <c r="F227" s="100">
        <v>45473</v>
      </c>
      <c r="G227" s="99">
        <v>1</v>
      </c>
      <c r="H227" s="101">
        <v>71.535161350494306</v>
      </c>
      <c r="I227" s="97"/>
      <c r="J227" s="102"/>
      <c r="K227" s="101"/>
      <c r="L227" s="103" t="str">
        <f t="shared" si="3"/>
        <v>Impayé</v>
      </c>
      <c r="N227" s="15"/>
    </row>
    <row r="228" spans="1:14" s="14" customFormat="1" ht="15" customHeight="1" x14ac:dyDescent="0.25">
      <c r="A228" s="100">
        <v>45838</v>
      </c>
      <c r="B228" s="145">
        <v>1602</v>
      </c>
      <c r="C228" s="200" t="s">
        <v>137</v>
      </c>
      <c r="D228" s="98" t="s">
        <v>17</v>
      </c>
      <c r="E228" s="99" t="s">
        <v>117</v>
      </c>
      <c r="F228" s="100">
        <v>45473</v>
      </c>
      <c r="G228" s="99">
        <v>1</v>
      </c>
      <c r="H228" s="101">
        <v>71.535161350494306</v>
      </c>
      <c r="I228" s="97"/>
      <c r="J228" s="102"/>
      <c r="K228" s="101"/>
      <c r="L228" s="103" t="str">
        <f t="shared" si="3"/>
        <v>Impayé</v>
      </c>
      <c r="N228" s="15"/>
    </row>
    <row r="229" spans="1:14" s="14" customFormat="1" ht="15" customHeight="1" x14ac:dyDescent="0.25">
      <c r="A229" s="100">
        <v>45838</v>
      </c>
      <c r="B229" s="145">
        <v>1318</v>
      </c>
      <c r="C229" s="200" t="s">
        <v>98</v>
      </c>
      <c r="D229" s="98" t="s">
        <v>17</v>
      </c>
      <c r="E229" s="99" t="s">
        <v>117</v>
      </c>
      <c r="F229" s="100">
        <v>45473</v>
      </c>
      <c r="G229" s="99">
        <v>1</v>
      </c>
      <c r="H229" s="101">
        <v>78.688677485543749</v>
      </c>
      <c r="I229" s="97"/>
      <c r="J229" s="102"/>
      <c r="K229" s="101"/>
      <c r="L229" s="103" t="str">
        <f t="shared" si="3"/>
        <v>Impayé</v>
      </c>
      <c r="N229" s="15"/>
    </row>
    <row r="230" spans="1:14" s="14" customFormat="1" ht="15" customHeight="1" x14ac:dyDescent="0.25">
      <c r="A230" s="100">
        <v>45838</v>
      </c>
      <c r="B230" s="145">
        <v>1563</v>
      </c>
      <c r="C230" s="200" t="s">
        <v>128</v>
      </c>
      <c r="D230" s="98" t="s">
        <v>17</v>
      </c>
      <c r="E230" s="99" t="s">
        <v>117</v>
      </c>
      <c r="F230" s="100">
        <v>45473</v>
      </c>
      <c r="G230" s="99">
        <v>1</v>
      </c>
      <c r="H230" s="101">
        <v>72</v>
      </c>
      <c r="I230" s="97"/>
      <c r="J230" s="102"/>
      <c r="K230" s="101"/>
      <c r="L230" s="103" t="str">
        <f t="shared" si="3"/>
        <v>Impayé</v>
      </c>
      <c r="N230" s="15"/>
    </row>
    <row r="231" spans="1:14" s="14" customFormat="1" ht="15" customHeight="1" x14ac:dyDescent="0.25">
      <c r="A231" s="100">
        <v>45838</v>
      </c>
      <c r="B231" s="145">
        <v>1545</v>
      </c>
      <c r="C231" s="200" t="s">
        <v>121</v>
      </c>
      <c r="D231" s="98" t="s">
        <v>17</v>
      </c>
      <c r="E231" s="99" t="s">
        <v>117</v>
      </c>
      <c r="F231" s="100">
        <v>45473</v>
      </c>
      <c r="G231" s="99">
        <v>1</v>
      </c>
      <c r="H231" s="101">
        <v>72</v>
      </c>
      <c r="I231" s="97"/>
      <c r="J231" s="102"/>
      <c r="K231" s="101"/>
      <c r="L231" s="103" t="str">
        <f t="shared" si="3"/>
        <v>Impayé</v>
      </c>
      <c r="N231" s="15"/>
    </row>
    <row r="232" spans="1:14" s="14" customFormat="1" ht="15" customHeight="1" x14ac:dyDescent="0.25">
      <c r="A232" s="100">
        <v>45838</v>
      </c>
      <c r="B232" s="145">
        <v>1532</v>
      </c>
      <c r="C232" s="200" t="s">
        <v>118</v>
      </c>
      <c r="D232" s="98" t="s">
        <v>17</v>
      </c>
      <c r="E232" s="99" t="s">
        <v>117</v>
      </c>
      <c r="F232" s="100">
        <v>45473</v>
      </c>
      <c r="G232" s="99">
        <v>4</v>
      </c>
      <c r="H232" s="101">
        <v>286.14064540197722</v>
      </c>
      <c r="I232" s="97"/>
      <c r="J232" s="102"/>
      <c r="K232" s="101"/>
      <c r="L232" s="103" t="str">
        <f t="shared" ref="L232:L295" si="4">IF(ISBLANK(H232),"",IF(H232=K232,"Payé","Impayé"))</f>
        <v>Impayé</v>
      </c>
      <c r="N232" s="15"/>
    </row>
    <row r="233" spans="1:14" s="14" customFormat="1" ht="15" customHeight="1" x14ac:dyDescent="0.25">
      <c r="A233" s="100">
        <v>45838</v>
      </c>
      <c r="B233" s="145">
        <v>1544</v>
      </c>
      <c r="C233" s="200" t="s">
        <v>120</v>
      </c>
      <c r="D233" s="98" t="s">
        <v>17</v>
      </c>
      <c r="E233" s="99" t="s">
        <v>117</v>
      </c>
      <c r="F233" s="100">
        <v>45473</v>
      </c>
      <c r="G233" s="99">
        <v>1</v>
      </c>
      <c r="H233" s="101">
        <v>72</v>
      </c>
      <c r="I233" s="97"/>
      <c r="J233" s="102"/>
      <c r="K233" s="101"/>
      <c r="L233" s="103" t="str">
        <f t="shared" si="4"/>
        <v>Impayé</v>
      </c>
      <c r="N233" s="15"/>
    </row>
    <row r="234" spans="1:14" s="14" customFormat="1" ht="15" customHeight="1" x14ac:dyDescent="0.25">
      <c r="A234" s="100">
        <v>45838</v>
      </c>
      <c r="B234" s="145">
        <v>1565</v>
      </c>
      <c r="C234" s="200" t="s">
        <v>129</v>
      </c>
      <c r="D234" s="98" t="s">
        <v>17</v>
      </c>
      <c r="E234" s="99" t="s">
        <v>117</v>
      </c>
      <c r="F234" s="100">
        <v>45473</v>
      </c>
      <c r="G234" s="99" t="s">
        <v>61</v>
      </c>
      <c r="H234" s="101">
        <v>71.535161350494306</v>
      </c>
      <c r="I234" s="97"/>
      <c r="J234" s="102"/>
      <c r="K234" s="101"/>
      <c r="L234" s="103" t="str">
        <f t="shared" si="4"/>
        <v>Impayé</v>
      </c>
      <c r="N234" s="15"/>
    </row>
    <row r="235" spans="1:14" s="14" customFormat="1" ht="15" customHeight="1" x14ac:dyDescent="0.25">
      <c r="A235" s="100">
        <v>45838</v>
      </c>
      <c r="B235" s="145">
        <v>1576</v>
      </c>
      <c r="C235" s="200" t="s">
        <v>133</v>
      </c>
      <c r="D235" s="98" t="s">
        <v>17</v>
      </c>
      <c r="E235" s="99" t="s">
        <v>117</v>
      </c>
      <c r="F235" s="100">
        <v>45473</v>
      </c>
      <c r="G235" s="99">
        <v>1</v>
      </c>
      <c r="H235" s="101">
        <v>71.535161350494306</v>
      </c>
      <c r="I235" s="97"/>
      <c r="J235" s="102"/>
      <c r="K235" s="101"/>
      <c r="L235" s="103" t="str">
        <f t="shared" si="4"/>
        <v>Impayé</v>
      </c>
      <c r="N235" s="15"/>
    </row>
    <row r="236" spans="1:14" s="14" customFormat="1" ht="15" customHeight="1" x14ac:dyDescent="0.25">
      <c r="A236" s="100">
        <v>45838</v>
      </c>
      <c r="B236" s="145">
        <v>1601</v>
      </c>
      <c r="C236" s="200" t="s">
        <v>136</v>
      </c>
      <c r="D236" s="98" t="s">
        <v>17</v>
      </c>
      <c r="E236" s="99" t="s">
        <v>117</v>
      </c>
      <c r="F236" s="100">
        <v>45473</v>
      </c>
      <c r="G236" s="99">
        <v>1</v>
      </c>
      <c r="H236" s="101">
        <v>71.535161350494306</v>
      </c>
      <c r="I236" s="97"/>
      <c r="J236" s="102"/>
      <c r="K236" s="101"/>
      <c r="L236" s="103" t="str">
        <f t="shared" si="4"/>
        <v>Impayé</v>
      </c>
      <c r="N236" s="15"/>
    </row>
    <row r="237" spans="1:14" s="14" customFormat="1" ht="15" customHeight="1" x14ac:dyDescent="0.25">
      <c r="A237" s="100">
        <v>45838</v>
      </c>
      <c r="B237" s="145">
        <v>1692</v>
      </c>
      <c r="C237" s="200" t="s">
        <v>141</v>
      </c>
      <c r="D237" s="98" t="s">
        <v>17</v>
      </c>
      <c r="E237" s="99" t="s">
        <v>117</v>
      </c>
      <c r="F237" s="100">
        <v>45473</v>
      </c>
      <c r="G237" s="99">
        <v>3</v>
      </c>
      <c r="H237" s="101">
        <v>214.60548405148293</v>
      </c>
      <c r="I237" s="97"/>
      <c r="J237" s="102"/>
      <c r="K237" s="101"/>
      <c r="L237" s="103" t="str">
        <f t="shared" si="4"/>
        <v>Impayé</v>
      </c>
      <c r="M237" s="157"/>
      <c r="N237" s="15"/>
    </row>
    <row r="238" spans="1:14" s="14" customFormat="1" ht="15" customHeight="1" x14ac:dyDescent="0.25">
      <c r="A238" s="100">
        <v>45838</v>
      </c>
      <c r="B238" s="145">
        <v>1707</v>
      </c>
      <c r="C238" s="200" t="s">
        <v>142</v>
      </c>
      <c r="D238" s="98" t="s">
        <v>17</v>
      </c>
      <c r="E238" s="99" t="s">
        <v>117</v>
      </c>
      <c r="F238" s="100">
        <v>45473</v>
      </c>
      <c r="G238" s="99">
        <v>3</v>
      </c>
      <c r="H238" s="101">
        <v>214.60548405148293</v>
      </c>
      <c r="I238" s="97"/>
      <c r="J238" s="102"/>
      <c r="K238" s="101"/>
      <c r="L238" s="103" t="str">
        <f t="shared" si="4"/>
        <v>Impayé</v>
      </c>
      <c r="M238" s="157"/>
      <c r="N238" s="15"/>
    </row>
    <row r="239" spans="1:14" s="14" customFormat="1" ht="15" customHeight="1" x14ac:dyDescent="0.25">
      <c r="A239" s="100">
        <v>45838</v>
      </c>
      <c r="B239" s="145">
        <v>1707</v>
      </c>
      <c r="C239" s="200" t="s">
        <v>142</v>
      </c>
      <c r="D239" s="98" t="s">
        <v>17</v>
      </c>
      <c r="E239" s="99" t="s">
        <v>117</v>
      </c>
      <c r="F239" s="100">
        <v>45473</v>
      </c>
      <c r="G239" s="99" t="s">
        <v>61</v>
      </c>
      <c r="H239" s="101">
        <v>71.535161350494306</v>
      </c>
      <c r="I239" s="97"/>
      <c r="J239" s="102"/>
      <c r="K239" s="101"/>
      <c r="L239" s="103" t="str">
        <f t="shared" si="4"/>
        <v>Impayé</v>
      </c>
      <c r="N239" s="15"/>
    </row>
    <row r="240" spans="1:14" s="14" customFormat="1" ht="15" customHeight="1" x14ac:dyDescent="0.25">
      <c r="A240" s="100">
        <v>45838</v>
      </c>
      <c r="B240" s="145">
        <v>1567</v>
      </c>
      <c r="C240" s="200" t="s">
        <v>130</v>
      </c>
      <c r="D240" s="98" t="s">
        <v>17</v>
      </c>
      <c r="E240" s="99" t="s">
        <v>117</v>
      </c>
      <c r="F240" s="100">
        <v>45473</v>
      </c>
      <c r="G240" s="99">
        <v>0.5</v>
      </c>
      <c r="H240" s="101">
        <v>35.767580675247153</v>
      </c>
      <c r="I240" s="97"/>
      <c r="J240" s="102"/>
      <c r="K240" s="101"/>
      <c r="L240" s="103" t="str">
        <f t="shared" si="4"/>
        <v>Impayé</v>
      </c>
      <c r="N240" s="15"/>
    </row>
    <row r="241" spans="1:14" s="14" customFormat="1" ht="15" customHeight="1" x14ac:dyDescent="0.25">
      <c r="A241" s="100">
        <v>45838</v>
      </c>
      <c r="B241" s="145">
        <v>3197</v>
      </c>
      <c r="C241" s="200" t="s">
        <v>315</v>
      </c>
      <c r="D241" s="98" t="s">
        <v>17</v>
      </c>
      <c r="E241" s="99" t="s">
        <v>316</v>
      </c>
      <c r="F241" s="100">
        <v>45473</v>
      </c>
      <c r="G241" s="99">
        <v>1</v>
      </c>
      <c r="H241" s="101">
        <v>78.688677485543749</v>
      </c>
      <c r="I241" s="97"/>
      <c r="J241" s="102"/>
      <c r="K241" s="101"/>
      <c r="L241" s="103" t="str">
        <f t="shared" si="4"/>
        <v>Impayé</v>
      </c>
      <c r="N241" s="15"/>
    </row>
    <row r="242" spans="1:14" s="14" customFormat="1" ht="15" customHeight="1" x14ac:dyDescent="0.25">
      <c r="A242" s="100">
        <v>45838</v>
      </c>
      <c r="B242" s="145">
        <v>3199</v>
      </c>
      <c r="C242" s="200" t="s">
        <v>318</v>
      </c>
      <c r="D242" s="98" t="s">
        <v>17</v>
      </c>
      <c r="E242" s="99" t="s">
        <v>316</v>
      </c>
      <c r="F242" s="100">
        <v>45473</v>
      </c>
      <c r="G242" s="99">
        <v>1</v>
      </c>
      <c r="H242" s="101">
        <v>78.688677485543749</v>
      </c>
      <c r="I242" s="97"/>
      <c r="J242" s="102"/>
      <c r="K242" s="101"/>
      <c r="L242" s="103" t="str">
        <f t="shared" si="4"/>
        <v>Impayé</v>
      </c>
      <c r="N242" s="15"/>
    </row>
    <row r="243" spans="1:14" s="14" customFormat="1" ht="15" customHeight="1" x14ac:dyDescent="0.25">
      <c r="A243" s="100">
        <v>45838</v>
      </c>
      <c r="B243" s="145">
        <v>3198</v>
      </c>
      <c r="C243" s="200" t="s">
        <v>317</v>
      </c>
      <c r="D243" s="98" t="s">
        <v>17</v>
      </c>
      <c r="E243" s="99" t="s">
        <v>316</v>
      </c>
      <c r="F243" s="100">
        <v>45473</v>
      </c>
      <c r="G243" s="99">
        <v>1</v>
      </c>
      <c r="H243" s="101">
        <v>78.688677485543749</v>
      </c>
      <c r="I243" s="97"/>
      <c r="J243" s="102"/>
      <c r="K243" s="101"/>
      <c r="L243" s="103" t="str">
        <f t="shared" si="4"/>
        <v>Impayé</v>
      </c>
      <c r="N243" s="15"/>
    </row>
    <row r="244" spans="1:14" s="14" customFormat="1" ht="15" customHeight="1" x14ac:dyDescent="0.25">
      <c r="A244" s="100">
        <v>45838</v>
      </c>
      <c r="B244" s="145">
        <v>3200</v>
      </c>
      <c r="C244" s="200" t="s">
        <v>319</v>
      </c>
      <c r="D244" s="98" t="s">
        <v>17</v>
      </c>
      <c r="E244" s="99" t="s">
        <v>316</v>
      </c>
      <c r="F244" s="100">
        <v>45473</v>
      </c>
      <c r="G244" s="99">
        <v>1</v>
      </c>
      <c r="H244" s="101">
        <v>78.688677485543749</v>
      </c>
      <c r="I244" s="97"/>
      <c r="J244" s="102"/>
      <c r="K244" s="101"/>
      <c r="L244" s="103" t="str">
        <f t="shared" si="4"/>
        <v>Impayé</v>
      </c>
      <c r="N244" s="15"/>
    </row>
    <row r="245" spans="1:14" s="14" customFormat="1" ht="15" customHeight="1" x14ac:dyDescent="0.25">
      <c r="A245" s="100">
        <v>45838</v>
      </c>
      <c r="B245" s="145">
        <v>2617</v>
      </c>
      <c r="C245" s="200" t="s">
        <v>366</v>
      </c>
      <c r="D245" s="98" t="s">
        <v>17</v>
      </c>
      <c r="E245" s="99" t="s">
        <v>188</v>
      </c>
      <c r="F245" s="100">
        <v>45473</v>
      </c>
      <c r="G245" s="99">
        <v>2</v>
      </c>
      <c r="H245" s="101">
        <v>157.3773549710875</v>
      </c>
      <c r="I245" s="97"/>
      <c r="J245" s="102"/>
      <c r="K245" s="101"/>
      <c r="L245" s="103" t="str">
        <f t="shared" si="4"/>
        <v>Impayé</v>
      </c>
      <c r="N245" s="15"/>
    </row>
    <row r="246" spans="1:14" s="14" customFormat="1" ht="15" customHeight="1" x14ac:dyDescent="0.25">
      <c r="A246" s="100">
        <v>45838</v>
      </c>
      <c r="B246" s="145">
        <v>1065</v>
      </c>
      <c r="C246" s="200" t="s">
        <v>295</v>
      </c>
      <c r="D246" s="98" t="s">
        <v>17</v>
      </c>
      <c r="E246" s="99" t="s">
        <v>188</v>
      </c>
      <c r="F246" s="100">
        <v>45473</v>
      </c>
      <c r="G246" s="99">
        <v>1</v>
      </c>
      <c r="H246" s="101">
        <v>78.688677485543749</v>
      </c>
      <c r="I246" s="97"/>
      <c r="J246" s="102"/>
      <c r="K246" s="101"/>
      <c r="L246" s="103" t="str">
        <f t="shared" si="4"/>
        <v>Impayé</v>
      </c>
      <c r="N246" s="15"/>
    </row>
    <row r="247" spans="1:14" s="14" customFormat="1" ht="15" customHeight="1" x14ac:dyDescent="0.25">
      <c r="A247" s="100">
        <v>45838</v>
      </c>
      <c r="B247" s="145">
        <v>1376</v>
      </c>
      <c r="C247" s="200" t="s">
        <v>187</v>
      </c>
      <c r="D247" s="98" t="s">
        <v>17</v>
      </c>
      <c r="E247" s="99" t="s">
        <v>188</v>
      </c>
      <c r="F247" s="100">
        <v>45473</v>
      </c>
      <c r="G247" s="99">
        <v>1</v>
      </c>
      <c r="H247" s="101">
        <v>78.688677485543749</v>
      </c>
      <c r="I247" s="97"/>
      <c r="J247" s="102"/>
      <c r="K247" s="101"/>
      <c r="L247" s="103" t="str">
        <f t="shared" si="4"/>
        <v>Impayé</v>
      </c>
      <c r="N247" s="15"/>
    </row>
    <row r="248" spans="1:14" s="14" customFormat="1" ht="15" customHeight="1" x14ac:dyDescent="0.25">
      <c r="A248" s="100">
        <v>45838</v>
      </c>
      <c r="B248" s="145">
        <v>607</v>
      </c>
      <c r="C248" s="200" t="s">
        <v>333</v>
      </c>
      <c r="D248" s="98" t="s">
        <v>17</v>
      </c>
      <c r="E248" s="99" t="s">
        <v>264</v>
      </c>
      <c r="F248" s="100">
        <v>45473</v>
      </c>
      <c r="G248" s="99">
        <v>1</v>
      </c>
      <c r="H248" s="101">
        <v>78.688677485543749</v>
      </c>
      <c r="I248" s="97"/>
      <c r="J248" s="102"/>
      <c r="K248" s="101"/>
      <c r="L248" s="103" t="str">
        <f t="shared" si="4"/>
        <v>Impayé</v>
      </c>
      <c r="N248" s="15"/>
    </row>
    <row r="249" spans="1:14" s="14" customFormat="1" ht="15" customHeight="1" x14ac:dyDescent="0.25">
      <c r="A249" s="100">
        <v>45838</v>
      </c>
      <c r="B249" s="145">
        <v>509</v>
      </c>
      <c r="C249" s="200" t="s">
        <v>263</v>
      </c>
      <c r="D249" s="98" t="s">
        <v>17</v>
      </c>
      <c r="E249" s="99" t="s">
        <v>264</v>
      </c>
      <c r="F249" s="100">
        <v>45473</v>
      </c>
      <c r="G249" s="99">
        <v>2</v>
      </c>
      <c r="H249" s="101">
        <v>158</v>
      </c>
      <c r="I249" s="97"/>
      <c r="J249" s="102"/>
      <c r="K249" s="101"/>
      <c r="L249" s="103" t="str">
        <f t="shared" si="4"/>
        <v>Impayé</v>
      </c>
      <c r="N249" s="15"/>
    </row>
    <row r="250" spans="1:14" s="14" customFormat="1" ht="15" customHeight="1" x14ac:dyDescent="0.25">
      <c r="A250" s="100">
        <v>45838</v>
      </c>
      <c r="B250" s="104">
        <v>245</v>
      </c>
      <c r="C250" s="201" t="s">
        <v>467</v>
      </c>
      <c r="D250" s="104" t="s">
        <v>17</v>
      </c>
      <c r="E250" s="104" t="s">
        <v>399</v>
      </c>
      <c r="F250" s="100">
        <v>45473</v>
      </c>
      <c r="G250" s="105">
        <v>1</v>
      </c>
      <c r="H250" s="99">
        <v>83</v>
      </c>
      <c r="I250" s="106"/>
      <c r="J250" s="107"/>
      <c r="K250" s="104"/>
      <c r="L250" s="103" t="str">
        <f t="shared" si="4"/>
        <v>Impayé</v>
      </c>
      <c r="N250" s="15"/>
    </row>
    <row r="251" spans="1:14" s="14" customFormat="1" ht="15" customHeight="1" x14ac:dyDescent="0.25">
      <c r="A251" s="100">
        <v>45838</v>
      </c>
      <c r="B251" s="104">
        <v>3590</v>
      </c>
      <c r="C251" s="201" t="s">
        <v>425</v>
      </c>
      <c r="D251" s="104" t="s">
        <v>17</v>
      </c>
      <c r="E251" s="104" t="s">
        <v>399</v>
      </c>
      <c r="F251" s="100">
        <v>45473</v>
      </c>
      <c r="G251" s="105">
        <v>1</v>
      </c>
      <c r="H251" s="99">
        <v>83</v>
      </c>
      <c r="I251" s="106"/>
      <c r="J251" s="107"/>
      <c r="K251" s="104"/>
      <c r="L251" s="103" t="str">
        <f t="shared" si="4"/>
        <v>Impayé</v>
      </c>
      <c r="N251" s="15"/>
    </row>
    <row r="252" spans="1:14" s="14" customFormat="1" ht="15" customHeight="1" x14ac:dyDescent="0.25">
      <c r="A252" s="100">
        <v>45838</v>
      </c>
      <c r="B252" s="104"/>
      <c r="C252" s="201" t="s">
        <v>659</v>
      </c>
      <c r="D252" s="104" t="s">
        <v>17</v>
      </c>
      <c r="E252" s="104" t="s">
        <v>666</v>
      </c>
      <c r="F252" s="104" t="s">
        <v>522</v>
      </c>
      <c r="G252" s="105">
        <v>1</v>
      </c>
      <c r="H252" s="99">
        <v>83</v>
      </c>
      <c r="I252" s="106"/>
      <c r="J252" s="107"/>
      <c r="K252" s="104"/>
      <c r="L252" s="103" t="str">
        <f t="shared" si="4"/>
        <v>Impayé</v>
      </c>
      <c r="N252" s="15"/>
    </row>
    <row r="253" spans="1:14" s="14" customFormat="1" ht="15" customHeight="1" x14ac:dyDescent="0.25">
      <c r="A253" s="100">
        <v>45838</v>
      </c>
      <c r="B253" s="104"/>
      <c r="C253" s="201" t="s">
        <v>660</v>
      </c>
      <c r="D253" s="104" t="s">
        <v>17</v>
      </c>
      <c r="E253" s="104" t="s">
        <v>666</v>
      </c>
      <c r="F253" s="104" t="s">
        <v>522</v>
      </c>
      <c r="G253" s="105">
        <v>1</v>
      </c>
      <c r="H253" s="99">
        <v>83</v>
      </c>
      <c r="I253" s="106"/>
      <c r="J253" s="107"/>
      <c r="K253" s="104"/>
      <c r="L253" s="103" t="str">
        <f t="shared" si="4"/>
        <v>Impayé</v>
      </c>
      <c r="N253" s="15"/>
    </row>
    <row r="254" spans="1:14" s="14" customFormat="1" ht="15" customHeight="1" x14ac:dyDescent="0.25">
      <c r="A254" s="100">
        <v>45838</v>
      </c>
      <c r="B254" s="104"/>
      <c r="C254" s="201" t="s">
        <v>661</v>
      </c>
      <c r="D254" s="104" t="s">
        <v>17</v>
      </c>
      <c r="E254" s="104" t="s">
        <v>666</v>
      </c>
      <c r="F254" s="104" t="s">
        <v>522</v>
      </c>
      <c r="G254" s="105">
        <v>1</v>
      </c>
      <c r="H254" s="99">
        <v>83</v>
      </c>
      <c r="I254" s="106"/>
      <c r="J254" s="107"/>
      <c r="K254" s="104"/>
      <c r="L254" s="103" t="str">
        <f t="shared" si="4"/>
        <v>Impayé</v>
      </c>
      <c r="N254" s="15"/>
    </row>
    <row r="255" spans="1:14" s="14" customFormat="1" ht="15" customHeight="1" x14ac:dyDescent="0.25">
      <c r="A255" s="100">
        <v>45838</v>
      </c>
      <c r="B255" s="145">
        <v>1239</v>
      </c>
      <c r="C255" s="200" t="s">
        <v>85</v>
      </c>
      <c r="D255" s="98" t="s">
        <v>17</v>
      </c>
      <c r="E255" s="99" t="s">
        <v>86</v>
      </c>
      <c r="F255" s="100">
        <v>45473</v>
      </c>
      <c r="G255" s="99">
        <v>4</v>
      </c>
      <c r="H255" s="101">
        <v>286.14064540197722</v>
      </c>
      <c r="I255" s="97"/>
      <c r="J255" s="102"/>
      <c r="K255" s="101"/>
      <c r="L255" s="103" t="str">
        <f t="shared" si="4"/>
        <v>Impayé</v>
      </c>
      <c r="N255" s="15"/>
    </row>
    <row r="256" spans="1:14" s="14" customFormat="1" ht="15" customHeight="1" x14ac:dyDescent="0.25">
      <c r="A256" s="100">
        <v>45838</v>
      </c>
      <c r="B256" s="145">
        <v>1240</v>
      </c>
      <c r="C256" s="200" t="s">
        <v>88</v>
      </c>
      <c r="D256" s="98" t="s">
        <v>17</v>
      </c>
      <c r="E256" s="99" t="s">
        <v>86</v>
      </c>
      <c r="F256" s="100">
        <v>45473</v>
      </c>
      <c r="G256" s="99">
        <v>4</v>
      </c>
      <c r="H256" s="101">
        <v>286.14064540197722</v>
      </c>
      <c r="I256" s="97"/>
      <c r="J256" s="102"/>
      <c r="K256" s="101"/>
      <c r="L256" s="103" t="str">
        <f t="shared" si="4"/>
        <v>Impayé</v>
      </c>
      <c r="N256" s="15"/>
    </row>
    <row r="257" spans="1:14" s="14" customFormat="1" ht="15" customHeight="1" x14ac:dyDescent="0.25">
      <c r="A257" s="100">
        <v>45838</v>
      </c>
      <c r="B257" s="145">
        <v>2262</v>
      </c>
      <c r="C257" s="200" t="s">
        <v>373</v>
      </c>
      <c r="D257" s="98" t="s">
        <v>17</v>
      </c>
      <c r="E257" s="99" t="s">
        <v>225</v>
      </c>
      <c r="F257" s="100">
        <v>45473</v>
      </c>
      <c r="G257" s="99">
        <v>1</v>
      </c>
      <c r="H257" s="101">
        <v>78.688677485543749</v>
      </c>
      <c r="I257" s="97"/>
      <c r="J257" s="102"/>
      <c r="K257" s="101"/>
      <c r="L257" s="103" t="str">
        <f t="shared" si="4"/>
        <v>Impayé</v>
      </c>
      <c r="N257" s="15"/>
    </row>
    <row r="258" spans="1:14" s="14" customFormat="1" ht="15" customHeight="1" x14ac:dyDescent="0.25">
      <c r="A258" s="100">
        <v>45838</v>
      </c>
      <c r="B258" s="145">
        <v>3489</v>
      </c>
      <c r="C258" s="200" t="s">
        <v>413</v>
      </c>
      <c r="D258" s="98" t="s">
        <v>17</v>
      </c>
      <c r="E258" s="99" t="s">
        <v>225</v>
      </c>
      <c r="F258" s="100">
        <v>45473</v>
      </c>
      <c r="G258" s="99">
        <v>1</v>
      </c>
      <c r="H258" s="101">
        <v>82.615183734377908</v>
      </c>
      <c r="I258" s="97"/>
      <c r="J258" s="109"/>
      <c r="K258" s="101"/>
      <c r="L258" s="103" t="str">
        <f t="shared" si="4"/>
        <v>Impayé</v>
      </c>
      <c r="N258" s="15"/>
    </row>
    <row r="259" spans="1:14" s="14" customFormat="1" ht="15" customHeight="1" x14ac:dyDescent="0.25">
      <c r="A259" s="100">
        <v>45838</v>
      </c>
      <c r="B259" s="145">
        <v>2153</v>
      </c>
      <c r="C259" s="200" t="s">
        <v>426</v>
      </c>
      <c r="D259" s="98" t="s">
        <v>17</v>
      </c>
      <c r="E259" s="99" t="s">
        <v>225</v>
      </c>
      <c r="F259" s="100">
        <v>45473</v>
      </c>
      <c r="G259" s="99">
        <v>1</v>
      </c>
      <c r="H259" s="108">
        <v>82.615183734377908</v>
      </c>
      <c r="I259" s="97"/>
      <c r="J259" s="109"/>
      <c r="K259" s="108"/>
      <c r="L259" s="103" t="str">
        <f t="shared" si="4"/>
        <v>Impayé</v>
      </c>
      <c r="N259" s="15"/>
    </row>
    <row r="260" spans="1:14" s="14" customFormat="1" ht="15" customHeight="1" x14ac:dyDescent="0.25">
      <c r="A260" s="100">
        <v>45838</v>
      </c>
      <c r="B260" s="145">
        <v>3389</v>
      </c>
      <c r="C260" s="200" t="s">
        <v>374</v>
      </c>
      <c r="D260" s="98" t="s">
        <v>17</v>
      </c>
      <c r="E260" s="99" t="s">
        <v>225</v>
      </c>
      <c r="F260" s="100">
        <v>45473</v>
      </c>
      <c r="G260" s="99">
        <v>1</v>
      </c>
      <c r="H260" s="101">
        <v>78.688677485543749</v>
      </c>
      <c r="I260" s="97"/>
      <c r="J260" s="102"/>
      <c r="K260" s="101"/>
      <c r="L260" s="103" t="str">
        <f t="shared" si="4"/>
        <v>Impayé</v>
      </c>
      <c r="N260" s="15"/>
    </row>
    <row r="261" spans="1:14" s="14" customFormat="1" ht="15" customHeight="1" x14ac:dyDescent="0.25">
      <c r="A261" s="100">
        <v>45838</v>
      </c>
      <c r="B261" s="104">
        <v>3020</v>
      </c>
      <c r="C261" s="201" t="s">
        <v>693</v>
      </c>
      <c r="D261" s="104" t="s">
        <v>17</v>
      </c>
      <c r="E261" s="104" t="s">
        <v>649</v>
      </c>
      <c r="F261" s="104" t="s">
        <v>534</v>
      </c>
      <c r="G261" s="99">
        <v>1</v>
      </c>
      <c r="H261" s="99">
        <v>83</v>
      </c>
      <c r="I261" s="97">
        <v>45973</v>
      </c>
      <c r="J261" s="107">
        <v>0.65208333333333335</v>
      </c>
      <c r="K261" s="99">
        <v>83</v>
      </c>
      <c r="L261" s="103" t="str">
        <f t="shared" si="4"/>
        <v>Payé</v>
      </c>
      <c r="N261" s="15"/>
    </row>
    <row r="262" spans="1:14" s="14" customFormat="1" ht="15" customHeight="1" x14ac:dyDescent="0.25">
      <c r="A262" s="100">
        <v>45838</v>
      </c>
      <c r="B262" s="145">
        <v>1637</v>
      </c>
      <c r="C262" s="200" t="s">
        <v>393</v>
      </c>
      <c r="D262" s="98" t="s">
        <v>17</v>
      </c>
      <c r="E262" s="99" t="s">
        <v>225</v>
      </c>
      <c r="F262" s="100">
        <v>45473</v>
      </c>
      <c r="G262" s="105">
        <v>1</v>
      </c>
      <c r="H262" s="101">
        <v>78.688677485543749</v>
      </c>
      <c r="I262" s="97"/>
      <c r="J262" s="109"/>
      <c r="K262" s="101"/>
      <c r="L262" s="103" t="str">
        <f t="shared" si="4"/>
        <v>Impayé</v>
      </c>
      <c r="N262" s="15"/>
    </row>
    <row r="263" spans="1:14" s="14" customFormat="1" ht="15" customHeight="1" x14ac:dyDescent="0.25">
      <c r="A263" s="100">
        <v>45838</v>
      </c>
      <c r="B263" s="145">
        <v>2045</v>
      </c>
      <c r="C263" s="200" t="s">
        <v>409</v>
      </c>
      <c r="D263" s="98" t="s">
        <v>17</v>
      </c>
      <c r="E263" s="99" t="s">
        <v>225</v>
      </c>
      <c r="F263" s="100">
        <v>45473</v>
      </c>
      <c r="G263" s="105">
        <v>1</v>
      </c>
      <c r="H263" s="101">
        <v>78.688677485543749</v>
      </c>
      <c r="I263" s="97"/>
      <c r="J263" s="109"/>
      <c r="K263" s="101"/>
      <c r="L263" s="103" t="str">
        <f t="shared" si="4"/>
        <v>Impayé</v>
      </c>
      <c r="N263" s="15"/>
    </row>
    <row r="264" spans="1:14" s="14" customFormat="1" ht="15" customHeight="1" x14ac:dyDescent="0.25">
      <c r="A264" s="100">
        <v>45838</v>
      </c>
      <c r="B264" s="104">
        <v>3075</v>
      </c>
      <c r="C264" s="201" t="s">
        <v>550</v>
      </c>
      <c r="D264" s="104" t="s">
        <v>17</v>
      </c>
      <c r="E264" s="104" t="s">
        <v>649</v>
      </c>
      <c r="F264" s="104" t="s">
        <v>538</v>
      </c>
      <c r="G264" s="105">
        <v>1</v>
      </c>
      <c r="H264" s="99">
        <v>87</v>
      </c>
      <c r="I264" s="97">
        <v>45917</v>
      </c>
      <c r="J264" s="107">
        <v>0.59305555555555556</v>
      </c>
      <c r="K264" s="99">
        <v>87</v>
      </c>
      <c r="L264" s="103" t="str">
        <f t="shared" si="4"/>
        <v>Payé</v>
      </c>
      <c r="N264" s="15"/>
    </row>
    <row r="265" spans="1:14" s="14" customFormat="1" ht="15" customHeight="1" x14ac:dyDescent="0.25">
      <c r="A265" s="100">
        <v>45838</v>
      </c>
      <c r="B265" s="145">
        <v>3496</v>
      </c>
      <c r="C265" s="200" t="s">
        <v>416</v>
      </c>
      <c r="D265" s="98" t="s">
        <v>17</v>
      </c>
      <c r="E265" s="99" t="s">
        <v>225</v>
      </c>
      <c r="F265" s="100">
        <v>45473</v>
      </c>
      <c r="G265" s="99">
        <v>1</v>
      </c>
      <c r="H265" s="101">
        <v>82.615183734377908</v>
      </c>
      <c r="I265" s="97"/>
      <c r="J265" s="109"/>
      <c r="K265" s="101"/>
      <c r="L265" s="103" t="str">
        <f t="shared" si="4"/>
        <v>Impayé</v>
      </c>
      <c r="N265" s="15"/>
    </row>
    <row r="266" spans="1:14" s="14" customFormat="1" ht="15" customHeight="1" x14ac:dyDescent="0.25">
      <c r="A266" s="100">
        <v>45838</v>
      </c>
      <c r="B266" s="104"/>
      <c r="C266" s="201" t="s">
        <v>803</v>
      </c>
      <c r="D266" s="104" t="s">
        <v>17</v>
      </c>
      <c r="E266" s="104" t="s">
        <v>649</v>
      </c>
      <c r="F266" s="104" t="s">
        <v>538</v>
      </c>
      <c r="G266" s="105">
        <v>3</v>
      </c>
      <c r="H266" s="99">
        <v>260</v>
      </c>
      <c r="I266" s="97">
        <v>45973</v>
      </c>
      <c r="J266" s="107">
        <v>0.59305555555555556</v>
      </c>
      <c r="K266" s="99">
        <v>260</v>
      </c>
      <c r="L266" s="103" t="str">
        <f t="shared" si="4"/>
        <v>Payé</v>
      </c>
      <c r="N266" s="15"/>
    </row>
    <row r="267" spans="1:14" s="14" customFormat="1" ht="15" customHeight="1" x14ac:dyDescent="0.25">
      <c r="A267" s="100">
        <v>45838</v>
      </c>
      <c r="B267" s="145">
        <v>2684</v>
      </c>
      <c r="C267" s="200" t="s">
        <v>250</v>
      </c>
      <c r="D267" s="98" t="s">
        <v>17</v>
      </c>
      <c r="E267" s="99" t="s">
        <v>225</v>
      </c>
      <c r="F267" s="100">
        <v>45473</v>
      </c>
      <c r="G267" s="99">
        <v>1</v>
      </c>
      <c r="H267" s="101">
        <v>78.688677485543749</v>
      </c>
      <c r="I267" s="97"/>
      <c r="J267" s="102"/>
      <c r="K267" s="101"/>
      <c r="L267" s="103" t="str">
        <f t="shared" si="4"/>
        <v>Impayé</v>
      </c>
      <c r="N267" s="15"/>
    </row>
    <row r="268" spans="1:14" s="14" customFormat="1" ht="15" customHeight="1" x14ac:dyDescent="0.25">
      <c r="A268" s="100">
        <v>45838</v>
      </c>
      <c r="B268" s="145">
        <v>1406</v>
      </c>
      <c r="C268" s="200" t="s">
        <v>296</v>
      </c>
      <c r="D268" s="98" t="s">
        <v>17</v>
      </c>
      <c r="E268" s="99" t="s">
        <v>225</v>
      </c>
      <c r="F268" s="100">
        <v>45473</v>
      </c>
      <c r="G268" s="99">
        <v>1</v>
      </c>
      <c r="H268" s="101">
        <v>78.688677485543749</v>
      </c>
      <c r="I268" s="97"/>
      <c r="J268" s="102"/>
      <c r="K268" s="101"/>
      <c r="L268" s="103" t="str">
        <f t="shared" si="4"/>
        <v>Impayé</v>
      </c>
      <c r="N268" s="15"/>
    </row>
    <row r="269" spans="1:14" s="14" customFormat="1" ht="15" customHeight="1" x14ac:dyDescent="0.25">
      <c r="A269" s="100">
        <v>45838</v>
      </c>
      <c r="B269" s="145">
        <v>2675</v>
      </c>
      <c r="C269" s="200" t="s">
        <v>251</v>
      </c>
      <c r="D269" s="98" t="s">
        <v>17</v>
      </c>
      <c r="E269" s="99" t="s">
        <v>225</v>
      </c>
      <c r="F269" s="100">
        <v>45473</v>
      </c>
      <c r="G269" s="99">
        <v>3</v>
      </c>
      <c r="H269" s="101">
        <v>236.06603245663123</v>
      </c>
      <c r="I269" s="97"/>
      <c r="J269" s="102"/>
      <c r="K269" s="101"/>
      <c r="L269" s="103" t="str">
        <f t="shared" si="4"/>
        <v>Impayé</v>
      </c>
      <c r="N269" s="15"/>
    </row>
    <row r="270" spans="1:14" s="14" customFormat="1" ht="15" customHeight="1" x14ac:dyDescent="0.25">
      <c r="A270" s="100">
        <v>45838</v>
      </c>
      <c r="B270" s="145">
        <v>2516</v>
      </c>
      <c r="C270" s="200" t="s">
        <v>224</v>
      </c>
      <c r="D270" s="98" t="s">
        <v>17</v>
      </c>
      <c r="E270" s="99" t="s">
        <v>225</v>
      </c>
      <c r="F270" s="100">
        <v>45473</v>
      </c>
      <c r="G270" s="99">
        <v>1</v>
      </c>
      <c r="H270" s="101">
        <v>78.688677485543749</v>
      </c>
      <c r="I270" s="97"/>
      <c r="J270" s="102"/>
      <c r="K270" s="101"/>
      <c r="L270" s="103" t="str">
        <f t="shared" si="4"/>
        <v>Impayé</v>
      </c>
      <c r="N270" s="15"/>
    </row>
    <row r="271" spans="1:14" s="14" customFormat="1" ht="15" customHeight="1" x14ac:dyDescent="0.25">
      <c r="A271" s="100">
        <v>45838</v>
      </c>
      <c r="B271" s="145">
        <v>2612</v>
      </c>
      <c r="C271" s="200" t="s">
        <v>226</v>
      </c>
      <c r="D271" s="98" t="s">
        <v>17</v>
      </c>
      <c r="E271" s="99" t="s">
        <v>225</v>
      </c>
      <c r="F271" s="100">
        <v>45473</v>
      </c>
      <c r="G271" s="99">
        <v>1</v>
      </c>
      <c r="H271" s="101">
        <v>78.688677485543749</v>
      </c>
      <c r="I271" s="97"/>
      <c r="J271" s="102"/>
      <c r="K271" s="101"/>
      <c r="L271" s="103" t="str">
        <f t="shared" si="4"/>
        <v>Impayé</v>
      </c>
      <c r="N271" s="15"/>
    </row>
    <row r="272" spans="1:14" s="14" customFormat="1" ht="15" customHeight="1" x14ac:dyDescent="0.25">
      <c r="A272" s="100">
        <v>45838</v>
      </c>
      <c r="B272" s="145">
        <v>2815</v>
      </c>
      <c r="C272" s="200" t="s">
        <v>298</v>
      </c>
      <c r="D272" s="98" t="s">
        <v>17</v>
      </c>
      <c r="E272" s="99" t="s">
        <v>225</v>
      </c>
      <c r="F272" s="100">
        <v>45473</v>
      </c>
      <c r="G272" s="99">
        <v>1</v>
      </c>
      <c r="H272" s="101">
        <v>78.688677485543749</v>
      </c>
      <c r="I272" s="97"/>
      <c r="J272" s="102"/>
      <c r="K272" s="101"/>
      <c r="L272" s="103" t="str">
        <f t="shared" si="4"/>
        <v>Impayé</v>
      </c>
      <c r="N272" s="15"/>
    </row>
    <row r="273" spans="1:14" s="14" customFormat="1" ht="15" customHeight="1" x14ac:dyDescent="0.25">
      <c r="A273" s="100">
        <v>45838</v>
      </c>
      <c r="B273" s="104"/>
      <c r="C273" s="201" t="s">
        <v>678</v>
      </c>
      <c r="D273" s="104" t="s">
        <v>17</v>
      </c>
      <c r="E273" s="104" t="s">
        <v>646</v>
      </c>
      <c r="F273" s="104" t="s">
        <v>525</v>
      </c>
      <c r="G273" s="105">
        <v>1</v>
      </c>
      <c r="H273" s="99">
        <v>83</v>
      </c>
      <c r="I273" s="106"/>
      <c r="J273" s="107"/>
      <c r="K273" s="104"/>
      <c r="L273" s="103" t="str">
        <f t="shared" si="4"/>
        <v>Impayé</v>
      </c>
      <c r="N273" s="15"/>
    </row>
    <row r="274" spans="1:14" s="14" customFormat="1" ht="15" customHeight="1" x14ac:dyDescent="0.25">
      <c r="A274" s="100">
        <v>45838</v>
      </c>
      <c r="B274" s="104">
        <v>4780</v>
      </c>
      <c r="C274" s="201" t="s">
        <v>703</v>
      </c>
      <c r="D274" s="104" t="s">
        <v>17</v>
      </c>
      <c r="E274" s="104" t="s">
        <v>646</v>
      </c>
      <c r="F274" s="104" t="s">
        <v>532</v>
      </c>
      <c r="G274" s="105">
        <v>2</v>
      </c>
      <c r="H274" s="111">
        <v>165</v>
      </c>
      <c r="I274" s="106"/>
      <c r="J274" s="107"/>
      <c r="K274" s="104"/>
      <c r="L274" s="103" t="str">
        <f t="shared" si="4"/>
        <v>Impayé</v>
      </c>
      <c r="N274" s="15"/>
    </row>
    <row r="275" spans="1:14" s="14" customFormat="1" ht="15" customHeight="1" x14ac:dyDescent="0.25">
      <c r="A275" s="100">
        <v>45838</v>
      </c>
      <c r="B275" s="104">
        <v>3796</v>
      </c>
      <c r="C275" s="201" t="s">
        <v>470</v>
      </c>
      <c r="D275" s="104" t="s">
        <v>17</v>
      </c>
      <c r="E275" s="104" t="s">
        <v>502</v>
      </c>
      <c r="F275" s="100">
        <v>45473</v>
      </c>
      <c r="G275" s="105">
        <v>2</v>
      </c>
      <c r="H275" s="99">
        <v>165</v>
      </c>
      <c r="I275" s="106"/>
      <c r="J275" s="107"/>
      <c r="K275" s="104"/>
      <c r="L275" s="103" t="str">
        <f t="shared" si="4"/>
        <v>Impayé</v>
      </c>
      <c r="N275" s="15"/>
    </row>
    <row r="276" spans="1:14" s="14" customFormat="1" ht="15" customHeight="1" x14ac:dyDescent="0.25">
      <c r="A276" s="100">
        <v>45838</v>
      </c>
      <c r="B276" s="104">
        <v>3841</v>
      </c>
      <c r="C276" s="201" t="s">
        <v>473</v>
      </c>
      <c r="D276" s="104" t="s">
        <v>17</v>
      </c>
      <c r="E276" s="104" t="s">
        <v>502</v>
      </c>
      <c r="F276" s="100">
        <v>45473</v>
      </c>
      <c r="G276" s="105">
        <v>1</v>
      </c>
      <c r="H276" s="99">
        <v>83</v>
      </c>
      <c r="I276" s="106"/>
      <c r="J276" s="107"/>
      <c r="K276" s="104"/>
      <c r="L276" s="103" t="str">
        <f t="shared" si="4"/>
        <v>Impayé</v>
      </c>
      <c r="N276" s="15"/>
    </row>
    <row r="277" spans="1:14" s="14" customFormat="1" ht="15" customHeight="1" x14ac:dyDescent="0.25">
      <c r="A277" s="100">
        <v>45838</v>
      </c>
      <c r="B277" s="104">
        <v>3982</v>
      </c>
      <c r="C277" s="201" t="s">
        <v>499</v>
      </c>
      <c r="D277" s="104" t="s">
        <v>17</v>
      </c>
      <c r="E277" s="104" t="s">
        <v>502</v>
      </c>
      <c r="F277" s="100">
        <v>45473</v>
      </c>
      <c r="G277" s="105">
        <v>1</v>
      </c>
      <c r="H277" s="99">
        <v>83</v>
      </c>
      <c r="I277" s="106"/>
      <c r="J277" s="107"/>
      <c r="K277" s="104"/>
      <c r="L277" s="103" t="str">
        <f t="shared" si="4"/>
        <v>Impayé</v>
      </c>
      <c r="N277" s="15"/>
    </row>
    <row r="278" spans="1:14" s="14" customFormat="1" ht="15" customHeight="1" x14ac:dyDescent="0.25">
      <c r="A278" s="100">
        <v>45838</v>
      </c>
      <c r="B278" s="104">
        <v>4006</v>
      </c>
      <c r="C278" s="201" t="s">
        <v>500</v>
      </c>
      <c r="D278" s="104" t="s">
        <v>17</v>
      </c>
      <c r="E278" s="104" t="s">
        <v>502</v>
      </c>
      <c r="F278" s="100">
        <v>45473</v>
      </c>
      <c r="G278" s="105">
        <v>1</v>
      </c>
      <c r="H278" s="99">
        <v>83</v>
      </c>
      <c r="I278" s="106"/>
      <c r="J278" s="107"/>
      <c r="K278" s="104"/>
      <c r="L278" s="103" t="str">
        <f t="shared" si="4"/>
        <v>Impayé</v>
      </c>
      <c r="N278" s="15"/>
    </row>
    <row r="279" spans="1:14" s="14" customFormat="1" ht="15" customHeight="1" x14ac:dyDescent="0.25">
      <c r="A279" s="100">
        <v>45838</v>
      </c>
      <c r="B279" s="104">
        <v>4082</v>
      </c>
      <c r="C279" s="201" t="s">
        <v>511</v>
      </c>
      <c r="D279" s="104" t="s">
        <v>17</v>
      </c>
      <c r="E279" s="104" t="s">
        <v>502</v>
      </c>
      <c r="F279" s="100">
        <v>45473</v>
      </c>
      <c r="G279" s="105">
        <v>1</v>
      </c>
      <c r="H279" s="99">
        <v>83</v>
      </c>
      <c r="I279" s="106"/>
      <c r="J279" s="107"/>
      <c r="K279" s="104"/>
      <c r="L279" s="103" t="str">
        <f t="shared" si="4"/>
        <v>Impayé</v>
      </c>
      <c r="N279" s="15"/>
    </row>
    <row r="280" spans="1:14" s="14" customFormat="1" ht="15" customHeight="1" x14ac:dyDescent="0.25">
      <c r="A280" s="100">
        <v>45838</v>
      </c>
      <c r="B280" s="104"/>
      <c r="C280" s="201" t="s">
        <v>512</v>
      </c>
      <c r="D280" s="104" t="s">
        <v>17</v>
      </c>
      <c r="E280" s="104" t="s">
        <v>502</v>
      </c>
      <c r="F280" s="100">
        <v>45473</v>
      </c>
      <c r="G280" s="105">
        <v>1</v>
      </c>
      <c r="H280" s="99">
        <v>83</v>
      </c>
      <c r="I280" s="106"/>
      <c r="J280" s="107"/>
      <c r="K280" s="104"/>
      <c r="L280" s="103" t="str">
        <f t="shared" si="4"/>
        <v>Impayé</v>
      </c>
      <c r="N280" s="15"/>
    </row>
    <row r="281" spans="1:14" s="14" customFormat="1" ht="15" customHeight="1" x14ac:dyDescent="0.25">
      <c r="A281" s="100">
        <v>45838</v>
      </c>
      <c r="B281" s="104"/>
      <c r="C281" s="201" t="s">
        <v>513</v>
      </c>
      <c r="D281" s="104" t="s">
        <v>17</v>
      </c>
      <c r="E281" s="104" t="s">
        <v>502</v>
      </c>
      <c r="F281" s="100">
        <v>45473</v>
      </c>
      <c r="G281" s="105">
        <v>0.5</v>
      </c>
      <c r="H281" s="99">
        <v>41</v>
      </c>
      <c r="I281" s="106"/>
      <c r="J281" s="107"/>
      <c r="K281" s="104"/>
      <c r="L281" s="103" t="str">
        <f t="shared" si="4"/>
        <v>Impayé</v>
      </c>
      <c r="N281" s="15"/>
    </row>
    <row r="282" spans="1:14" s="14" customFormat="1" ht="15" customHeight="1" x14ac:dyDescent="0.25">
      <c r="A282" s="100">
        <v>45838</v>
      </c>
      <c r="B282" s="104"/>
      <c r="C282" s="201" t="s">
        <v>514</v>
      </c>
      <c r="D282" s="104" t="s">
        <v>17</v>
      </c>
      <c r="E282" s="104" t="s">
        <v>502</v>
      </c>
      <c r="F282" s="100">
        <v>45473</v>
      </c>
      <c r="G282" s="105">
        <v>0.5</v>
      </c>
      <c r="H282" s="99">
        <v>41</v>
      </c>
      <c r="I282" s="106"/>
      <c r="J282" s="107"/>
      <c r="K282" s="104"/>
      <c r="L282" s="103" t="str">
        <f t="shared" si="4"/>
        <v>Impayé</v>
      </c>
      <c r="N282" s="15"/>
    </row>
    <row r="283" spans="1:14" s="14" customFormat="1" ht="15" customHeight="1" x14ac:dyDescent="0.25">
      <c r="A283" s="100">
        <v>45838</v>
      </c>
      <c r="B283" s="104">
        <v>3927</v>
      </c>
      <c r="C283" s="201" t="s">
        <v>489</v>
      </c>
      <c r="D283" s="104" t="s">
        <v>17</v>
      </c>
      <c r="E283" s="104" t="s">
        <v>502</v>
      </c>
      <c r="F283" s="100">
        <v>45473</v>
      </c>
      <c r="G283" s="105">
        <v>1</v>
      </c>
      <c r="H283" s="99">
        <v>83</v>
      </c>
      <c r="I283" s="106"/>
      <c r="J283" s="107"/>
      <c r="K283" s="104"/>
      <c r="L283" s="103" t="str">
        <f t="shared" si="4"/>
        <v>Impayé</v>
      </c>
      <c r="N283" s="15"/>
    </row>
    <row r="284" spans="1:14" s="14" customFormat="1" ht="15" customHeight="1" x14ac:dyDescent="0.25">
      <c r="A284" s="100">
        <v>45838</v>
      </c>
      <c r="B284" s="104">
        <v>4072</v>
      </c>
      <c r="C284" s="201" t="s">
        <v>509</v>
      </c>
      <c r="D284" s="104" t="s">
        <v>17</v>
      </c>
      <c r="E284" s="104" t="s">
        <v>502</v>
      </c>
      <c r="F284" s="100">
        <v>45473</v>
      </c>
      <c r="G284" s="105">
        <v>1</v>
      </c>
      <c r="H284" s="99">
        <v>83</v>
      </c>
      <c r="I284" s="106"/>
      <c r="J284" s="107"/>
      <c r="K284" s="104"/>
      <c r="L284" s="103" t="str">
        <f t="shared" si="4"/>
        <v>Impayé</v>
      </c>
      <c r="N284" s="15"/>
    </row>
    <row r="285" spans="1:14" s="14" customFormat="1" ht="15" customHeight="1" x14ac:dyDescent="0.25">
      <c r="A285" s="100">
        <v>45838</v>
      </c>
      <c r="B285" s="145"/>
      <c r="C285" s="200" t="s">
        <v>37</v>
      </c>
      <c r="D285" s="98" t="s">
        <v>17</v>
      </c>
      <c r="E285" s="99" t="s">
        <v>36</v>
      </c>
      <c r="F285" s="100">
        <v>45473</v>
      </c>
      <c r="G285" s="99">
        <v>1</v>
      </c>
      <c r="H285" s="101">
        <v>71.535161350494306</v>
      </c>
      <c r="I285" s="97"/>
      <c r="J285" s="102"/>
      <c r="K285" s="101"/>
      <c r="L285" s="103" t="str">
        <f t="shared" si="4"/>
        <v>Impayé</v>
      </c>
      <c r="N285" s="15"/>
    </row>
    <row r="286" spans="1:14" s="14" customFormat="1" ht="15" customHeight="1" x14ac:dyDescent="0.25">
      <c r="A286" s="100">
        <v>45838</v>
      </c>
      <c r="B286" s="145">
        <v>1239</v>
      </c>
      <c r="C286" s="200" t="s">
        <v>85</v>
      </c>
      <c r="D286" s="98" t="s">
        <v>17</v>
      </c>
      <c r="E286" s="99" t="s">
        <v>87</v>
      </c>
      <c r="F286" s="100">
        <v>45473</v>
      </c>
      <c r="G286" s="99">
        <v>1</v>
      </c>
      <c r="H286" s="101">
        <v>72</v>
      </c>
      <c r="I286" s="97"/>
      <c r="J286" s="102"/>
      <c r="K286" s="101"/>
      <c r="L286" s="103" t="str">
        <f t="shared" si="4"/>
        <v>Impayé</v>
      </c>
      <c r="N286" s="15"/>
    </row>
    <row r="287" spans="1:14" s="14" customFormat="1" ht="15" customHeight="1" x14ac:dyDescent="0.25">
      <c r="A287" s="100">
        <v>45838</v>
      </c>
      <c r="B287" s="145">
        <v>1240</v>
      </c>
      <c r="C287" s="200" t="s">
        <v>88</v>
      </c>
      <c r="D287" s="98" t="s">
        <v>17</v>
      </c>
      <c r="E287" s="99" t="s">
        <v>87</v>
      </c>
      <c r="F287" s="100">
        <v>45473</v>
      </c>
      <c r="G287" s="99">
        <v>2</v>
      </c>
      <c r="H287" s="101">
        <v>144</v>
      </c>
      <c r="I287" s="97"/>
      <c r="J287" s="102"/>
      <c r="K287" s="101"/>
      <c r="L287" s="103" t="str">
        <f t="shared" si="4"/>
        <v>Impayé</v>
      </c>
      <c r="N287" s="15"/>
    </row>
    <row r="288" spans="1:14" s="14" customFormat="1" ht="15" customHeight="1" x14ac:dyDescent="0.25">
      <c r="A288" s="100">
        <v>45838</v>
      </c>
      <c r="B288" s="145">
        <v>1444</v>
      </c>
      <c r="C288" s="200" t="s">
        <v>110</v>
      </c>
      <c r="D288" s="98" t="s">
        <v>17</v>
      </c>
      <c r="E288" s="99" t="s">
        <v>45</v>
      </c>
      <c r="F288" s="100">
        <v>45473</v>
      </c>
      <c r="G288" s="99">
        <v>3</v>
      </c>
      <c r="H288" s="101">
        <v>214.60548405148293</v>
      </c>
      <c r="I288" s="97"/>
      <c r="J288" s="102"/>
      <c r="K288" s="101"/>
      <c r="L288" s="103" t="str">
        <f t="shared" si="4"/>
        <v>Impayé</v>
      </c>
      <c r="N288" s="15"/>
    </row>
    <row r="289" spans="1:14" s="14" customFormat="1" ht="15" customHeight="1" x14ac:dyDescent="0.25">
      <c r="A289" s="100">
        <v>45838</v>
      </c>
      <c r="B289" s="145">
        <v>1432</v>
      </c>
      <c r="C289" s="200" t="s">
        <v>109</v>
      </c>
      <c r="D289" s="98" t="s">
        <v>17</v>
      </c>
      <c r="E289" s="99" t="s">
        <v>45</v>
      </c>
      <c r="F289" s="100">
        <v>45473</v>
      </c>
      <c r="G289" s="99">
        <v>1</v>
      </c>
      <c r="H289" s="101">
        <v>71.535161350494306</v>
      </c>
      <c r="I289" s="97"/>
      <c r="J289" s="102"/>
      <c r="K289" s="101"/>
      <c r="L289" s="103" t="str">
        <f t="shared" si="4"/>
        <v>Impayé</v>
      </c>
      <c r="N289" s="15"/>
    </row>
    <row r="290" spans="1:14" s="14" customFormat="1" ht="15" customHeight="1" x14ac:dyDescent="0.25">
      <c r="A290" s="100">
        <v>45838</v>
      </c>
      <c r="B290" s="145">
        <v>1473</v>
      </c>
      <c r="C290" s="200" t="s">
        <v>47</v>
      </c>
      <c r="D290" s="98" t="s">
        <v>17</v>
      </c>
      <c r="E290" s="99" t="s">
        <v>45</v>
      </c>
      <c r="F290" s="100">
        <v>45473</v>
      </c>
      <c r="G290" s="99">
        <v>1</v>
      </c>
      <c r="H290" s="101">
        <v>71.535161350494306</v>
      </c>
      <c r="I290" s="97"/>
      <c r="J290" s="102"/>
      <c r="K290" s="101"/>
      <c r="L290" s="103" t="str">
        <f t="shared" si="4"/>
        <v>Impayé</v>
      </c>
      <c r="N290" s="15"/>
    </row>
    <row r="291" spans="1:14" s="14" customFormat="1" ht="15" customHeight="1" x14ac:dyDescent="0.25">
      <c r="A291" s="100">
        <v>45838</v>
      </c>
      <c r="B291" s="145"/>
      <c r="C291" s="200" t="s">
        <v>46</v>
      </c>
      <c r="D291" s="98" t="s">
        <v>17</v>
      </c>
      <c r="E291" s="99" t="s">
        <v>45</v>
      </c>
      <c r="F291" s="100">
        <v>45473</v>
      </c>
      <c r="G291" s="99">
        <v>1</v>
      </c>
      <c r="H291" s="101">
        <v>71.535161350494306</v>
      </c>
      <c r="I291" s="97"/>
      <c r="J291" s="102"/>
      <c r="K291" s="101"/>
      <c r="L291" s="103" t="str">
        <f t="shared" si="4"/>
        <v>Impayé</v>
      </c>
      <c r="N291" s="15"/>
    </row>
    <row r="292" spans="1:14" s="14" customFormat="1" ht="15" customHeight="1" x14ac:dyDescent="0.25">
      <c r="A292" s="100">
        <v>45838</v>
      </c>
      <c r="B292" s="145">
        <v>1408</v>
      </c>
      <c r="C292" s="200" t="s">
        <v>105</v>
      </c>
      <c r="D292" s="98" t="s">
        <v>17</v>
      </c>
      <c r="E292" s="99" t="s">
        <v>45</v>
      </c>
      <c r="F292" s="100">
        <v>45473</v>
      </c>
      <c r="G292" s="99">
        <v>1</v>
      </c>
      <c r="H292" s="101">
        <v>71.535161350494306</v>
      </c>
      <c r="I292" s="97"/>
      <c r="J292" s="102"/>
      <c r="K292" s="101"/>
      <c r="L292" s="103" t="str">
        <f t="shared" si="4"/>
        <v>Impayé</v>
      </c>
      <c r="N292" s="15"/>
    </row>
    <row r="293" spans="1:14" s="14" customFormat="1" ht="15" customHeight="1" x14ac:dyDescent="0.25">
      <c r="A293" s="100">
        <v>45838</v>
      </c>
      <c r="B293" s="145">
        <v>1461</v>
      </c>
      <c r="C293" s="200" t="s">
        <v>112</v>
      </c>
      <c r="D293" s="98" t="s">
        <v>17</v>
      </c>
      <c r="E293" s="99" t="s">
        <v>45</v>
      </c>
      <c r="F293" s="100">
        <v>45473</v>
      </c>
      <c r="G293" s="99">
        <v>2</v>
      </c>
      <c r="H293" s="101">
        <v>144</v>
      </c>
      <c r="I293" s="97"/>
      <c r="J293" s="102"/>
      <c r="K293" s="101"/>
      <c r="L293" s="103" t="str">
        <f t="shared" si="4"/>
        <v>Impayé</v>
      </c>
      <c r="N293" s="15"/>
    </row>
    <row r="294" spans="1:14" s="14" customFormat="1" ht="15" customHeight="1" x14ac:dyDescent="0.25">
      <c r="A294" s="100">
        <v>45838</v>
      </c>
      <c r="B294" s="145">
        <v>2168</v>
      </c>
      <c r="C294" s="200" t="s">
        <v>173</v>
      </c>
      <c r="D294" s="98" t="s">
        <v>17</v>
      </c>
      <c r="E294" s="99" t="s">
        <v>45</v>
      </c>
      <c r="F294" s="100">
        <v>45473</v>
      </c>
      <c r="G294" s="99">
        <v>1</v>
      </c>
      <c r="H294" s="101">
        <v>71.535161350494306</v>
      </c>
      <c r="I294" s="97"/>
      <c r="J294" s="102"/>
      <c r="K294" s="101"/>
      <c r="L294" s="103" t="str">
        <f t="shared" si="4"/>
        <v>Impayé</v>
      </c>
      <c r="N294" s="15"/>
    </row>
    <row r="295" spans="1:14" s="14" customFormat="1" ht="15" customHeight="1" x14ac:dyDescent="0.25">
      <c r="A295" s="100">
        <v>45838</v>
      </c>
      <c r="B295" s="145">
        <v>1928</v>
      </c>
      <c r="C295" s="200" t="s">
        <v>31</v>
      </c>
      <c r="D295" s="98" t="s">
        <v>17</v>
      </c>
      <c r="E295" s="99" t="s">
        <v>30</v>
      </c>
      <c r="F295" s="100">
        <v>45473</v>
      </c>
      <c r="G295" s="99">
        <v>1</v>
      </c>
      <c r="H295" s="101">
        <v>71.535161350494306</v>
      </c>
      <c r="I295" s="97"/>
      <c r="J295" s="102"/>
      <c r="K295" s="101"/>
      <c r="L295" s="103" t="str">
        <f t="shared" si="4"/>
        <v>Impayé</v>
      </c>
      <c r="N295" s="15"/>
    </row>
    <row r="296" spans="1:14" s="14" customFormat="1" ht="15" customHeight="1" x14ac:dyDescent="0.25">
      <c r="A296" s="100">
        <v>45838</v>
      </c>
      <c r="B296" s="145">
        <v>942</v>
      </c>
      <c r="C296" s="200" t="s">
        <v>65</v>
      </c>
      <c r="D296" s="98" t="s">
        <v>17</v>
      </c>
      <c r="E296" s="99" t="s">
        <v>30</v>
      </c>
      <c r="F296" s="100">
        <v>45473</v>
      </c>
      <c r="G296" s="99">
        <v>1</v>
      </c>
      <c r="H296" s="101">
        <v>71.535161350494306</v>
      </c>
      <c r="I296" s="97"/>
      <c r="J296" s="102"/>
      <c r="K296" s="101"/>
      <c r="L296" s="103" t="str">
        <f t="shared" ref="L296:L359" si="5">IF(ISBLANK(H296),"",IF(H296=K296,"Payé","Impayé"))</f>
        <v>Impayé</v>
      </c>
      <c r="N296" s="15"/>
    </row>
    <row r="297" spans="1:14" s="14" customFormat="1" ht="15" customHeight="1" x14ac:dyDescent="0.25">
      <c r="A297" s="100">
        <v>45838</v>
      </c>
      <c r="B297" s="145">
        <v>1897</v>
      </c>
      <c r="C297" s="200" t="s">
        <v>29</v>
      </c>
      <c r="D297" s="98" t="s">
        <v>17</v>
      </c>
      <c r="E297" s="99" t="s">
        <v>30</v>
      </c>
      <c r="F297" s="100">
        <v>45473</v>
      </c>
      <c r="G297" s="99">
        <v>1</v>
      </c>
      <c r="H297" s="101">
        <v>71.535161350494306</v>
      </c>
      <c r="I297" s="97"/>
      <c r="J297" s="102"/>
      <c r="K297" s="101"/>
      <c r="L297" s="103" t="str">
        <f t="shared" si="5"/>
        <v>Impayé</v>
      </c>
      <c r="N297" s="15"/>
    </row>
    <row r="298" spans="1:14" s="14" customFormat="1" ht="15" customHeight="1" x14ac:dyDescent="0.25">
      <c r="A298" s="100">
        <v>45838</v>
      </c>
      <c r="B298" s="145">
        <v>1518</v>
      </c>
      <c r="C298" s="200" t="s">
        <v>115</v>
      </c>
      <c r="D298" s="98" t="s">
        <v>17</v>
      </c>
      <c r="E298" s="99" t="s">
        <v>30</v>
      </c>
      <c r="F298" s="100">
        <v>45473</v>
      </c>
      <c r="G298" s="99">
        <v>1</v>
      </c>
      <c r="H298" s="101">
        <v>71.535161350494306</v>
      </c>
      <c r="I298" s="97"/>
      <c r="J298" s="102"/>
      <c r="K298" s="101"/>
      <c r="L298" s="103" t="str">
        <f t="shared" si="5"/>
        <v>Impayé</v>
      </c>
      <c r="N298" s="15"/>
    </row>
    <row r="299" spans="1:14" s="14" customFormat="1" ht="15" customHeight="1" x14ac:dyDescent="0.25">
      <c r="A299" s="100">
        <v>45838</v>
      </c>
      <c r="B299" s="145">
        <v>1514</v>
      </c>
      <c r="C299" s="200" t="s">
        <v>114</v>
      </c>
      <c r="D299" s="98" t="s">
        <v>17</v>
      </c>
      <c r="E299" s="99" t="s">
        <v>30</v>
      </c>
      <c r="F299" s="100">
        <v>45473</v>
      </c>
      <c r="G299" s="99">
        <v>3</v>
      </c>
      <c r="H299" s="101">
        <v>214.60548405148293</v>
      </c>
      <c r="I299" s="97"/>
      <c r="J299" s="102"/>
      <c r="K299" s="101"/>
      <c r="L299" s="103" t="str">
        <f t="shared" si="5"/>
        <v>Impayé</v>
      </c>
      <c r="N299" s="15"/>
    </row>
    <row r="300" spans="1:14" s="14" customFormat="1" ht="15" customHeight="1" x14ac:dyDescent="0.25">
      <c r="A300" s="100">
        <v>45838</v>
      </c>
      <c r="B300" s="104"/>
      <c r="C300" s="201" t="s">
        <v>710</v>
      </c>
      <c r="D300" s="104" t="s">
        <v>17</v>
      </c>
      <c r="E300" s="104" t="s">
        <v>667</v>
      </c>
      <c r="F300" s="104" t="s">
        <v>531</v>
      </c>
      <c r="G300" s="99">
        <v>1</v>
      </c>
      <c r="H300" s="99">
        <v>83</v>
      </c>
      <c r="I300" s="106"/>
      <c r="J300" s="107"/>
      <c r="K300" s="104"/>
      <c r="L300" s="103" t="str">
        <f t="shared" si="5"/>
        <v>Impayé</v>
      </c>
      <c r="N300" s="15"/>
    </row>
    <row r="301" spans="1:14" s="14" customFormat="1" ht="15" customHeight="1" x14ac:dyDescent="0.25">
      <c r="A301" s="100">
        <v>45838</v>
      </c>
      <c r="B301" s="104"/>
      <c r="C301" s="201" t="s">
        <v>711</v>
      </c>
      <c r="D301" s="104" t="s">
        <v>17</v>
      </c>
      <c r="E301" s="104" t="s">
        <v>667</v>
      </c>
      <c r="F301" s="104" t="s">
        <v>531</v>
      </c>
      <c r="G301" s="99">
        <v>1</v>
      </c>
      <c r="H301" s="99">
        <v>83</v>
      </c>
      <c r="I301" s="106"/>
      <c r="J301" s="107"/>
      <c r="K301" s="104"/>
      <c r="L301" s="103" t="str">
        <f t="shared" si="5"/>
        <v>Impayé</v>
      </c>
      <c r="N301" s="15"/>
    </row>
    <row r="302" spans="1:14" s="14" customFormat="1" ht="15" customHeight="1" x14ac:dyDescent="0.25">
      <c r="A302" s="100">
        <v>45838</v>
      </c>
      <c r="B302" s="104"/>
      <c r="C302" s="201" t="s">
        <v>712</v>
      </c>
      <c r="D302" s="104" t="s">
        <v>17</v>
      </c>
      <c r="E302" s="104" t="s">
        <v>667</v>
      </c>
      <c r="F302" s="104" t="s">
        <v>531</v>
      </c>
      <c r="G302" s="99">
        <v>1</v>
      </c>
      <c r="H302" s="99">
        <v>83</v>
      </c>
      <c r="I302" s="106"/>
      <c r="J302" s="107"/>
      <c r="K302" s="104"/>
      <c r="L302" s="103" t="str">
        <f t="shared" si="5"/>
        <v>Impayé</v>
      </c>
      <c r="N302" s="15"/>
    </row>
    <row r="303" spans="1:14" s="14" customFormat="1" ht="15" customHeight="1" x14ac:dyDescent="0.25">
      <c r="A303" s="100">
        <v>45838</v>
      </c>
      <c r="B303" s="104">
        <v>4328</v>
      </c>
      <c r="C303" s="201" t="s">
        <v>685</v>
      </c>
      <c r="D303" s="104" t="s">
        <v>17</v>
      </c>
      <c r="E303" s="104" t="s">
        <v>667</v>
      </c>
      <c r="F303" s="104" t="s">
        <v>527</v>
      </c>
      <c r="G303" s="105">
        <v>4</v>
      </c>
      <c r="H303" s="105">
        <v>330</v>
      </c>
      <c r="I303" s="106"/>
      <c r="J303" s="107"/>
      <c r="K303" s="104"/>
      <c r="L303" s="103" t="str">
        <f t="shared" si="5"/>
        <v>Impayé</v>
      </c>
      <c r="N303" s="15"/>
    </row>
    <row r="304" spans="1:14" s="14" customFormat="1" ht="15" customHeight="1" x14ac:dyDescent="0.25">
      <c r="A304" s="100">
        <v>45838</v>
      </c>
      <c r="B304" s="104">
        <v>4361</v>
      </c>
      <c r="C304" s="201" t="s">
        <v>621</v>
      </c>
      <c r="D304" s="104" t="s">
        <v>17</v>
      </c>
      <c r="E304" s="104" t="s">
        <v>667</v>
      </c>
      <c r="F304" s="104" t="s">
        <v>527</v>
      </c>
      <c r="G304" s="105">
        <v>1</v>
      </c>
      <c r="H304" s="105">
        <v>83</v>
      </c>
      <c r="I304" s="106"/>
      <c r="J304" s="107"/>
      <c r="K304" s="104"/>
      <c r="L304" s="103" t="str">
        <f t="shared" si="5"/>
        <v>Impayé</v>
      </c>
      <c r="N304" s="15"/>
    </row>
    <row r="305" spans="1:14" s="14" customFormat="1" ht="15" customHeight="1" x14ac:dyDescent="0.25">
      <c r="A305" s="100">
        <v>45838</v>
      </c>
      <c r="B305" s="104">
        <v>4362</v>
      </c>
      <c r="C305" s="201" t="s">
        <v>687</v>
      </c>
      <c r="D305" s="104" t="s">
        <v>17</v>
      </c>
      <c r="E305" s="104" t="s">
        <v>667</v>
      </c>
      <c r="F305" s="104" t="s">
        <v>527</v>
      </c>
      <c r="G305" s="105">
        <v>2</v>
      </c>
      <c r="H305" s="105">
        <v>165</v>
      </c>
      <c r="I305" s="106"/>
      <c r="J305" s="107"/>
      <c r="K305" s="104"/>
      <c r="L305" s="103" t="str">
        <f t="shared" si="5"/>
        <v>Impayé</v>
      </c>
      <c r="N305" s="15"/>
    </row>
    <row r="306" spans="1:14" s="14" customFormat="1" ht="15" customHeight="1" x14ac:dyDescent="0.25">
      <c r="A306" s="100">
        <v>45838</v>
      </c>
      <c r="B306" s="104">
        <v>7025</v>
      </c>
      <c r="C306" s="201" t="s">
        <v>709</v>
      </c>
      <c r="D306" s="104" t="s">
        <v>17</v>
      </c>
      <c r="E306" s="104" t="s">
        <v>667</v>
      </c>
      <c r="F306" s="104" t="s">
        <v>532</v>
      </c>
      <c r="G306" s="105">
        <v>1</v>
      </c>
      <c r="H306" s="111">
        <v>83</v>
      </c>
      <c r="I306" s="106"/>
      <c r="J306" s="107"/>
      <c r="K306" s="104"/>
      <c r="L306" s="103" t="str">
        <f t="shared" si="5"/>
        <v>Impayé</v>
      </c>
      <c r="N306" s="15"/>
    </row>
    <row r="307" spans="1:14" s="14" customFormat="1" ht="15" customHeight="1" x14ac:dyDescent="0.25">
      <c r="A307" s="100">
        <v>45838</v>
      </c>
      <c r="B307" s="104">
        <v>4554</v>
      </c>
      <c r="C307" s="201" t="s">
        <v>734</v>
      </c>
      <c r="D307" s="104" t="s">
        <v>17</v>
      </c>
      <c r="E307" s="104" t="s">
        <v>667</v>
      </c>
      <c r="F307" s="104" t="s">
        <v>534</v>
      </c>
      <c r="G307" s="99">
        <v>1</v>
      </c>
      <c r="H307" s="99">
        <v>83</v>
      </c>
      <c r="I307" s="106"/>
      <c r="J307" s="107"/>
      <c r="K307" s="104"/>
      <c r="L307" s="103" t="str">
        <f t="shared" si="5"/>
        <v>Impayé</v>
      </c>
      <c r="N307" s="15"/>
    </row>
    <row r="308" spans="1:14" s="14" customFormat="1" ht="15" customHeight="1" x14ac:dyDescent="0.25">
      <c r="A308" s="100">
        <v>45838</v>
      </c>
      <c r="B308" s="104"/>
      <c r="C308" s="201" t="s">
        <v>737</v>
      </c>
      <c r="D308" s="104" t="s">
        <v>17</v>
      </c>
      <c r="E308" s="104" t="s">
        <v>667</v>
      </c>
      <c r="F308" s="104" t="s">
        <v>534</v>
      </c>
      <c r="G308" s="99">
        <v>1</v>
      </c>
      <c r="H308" s="99">
        <v>83</v>
      </c>
      <c r="I308" s="106"/>
      <c r="J308" s="107"/>
      <c r="K308" s="104"/>
      <c r="L308" s="103" t="str">
        <f t="shared" si="5"/>
        <v>Impayé</v>
      </c>
      <c r="N308" s="15"/>
    </row>
    <row r="309" spans="1:14" s="14" customFormat="1" ht="15" customHeight="1" x14ac:dyDescent="0.25">
      <c r="A309" s="100">
        <v>45838</v>
      </c>
      <c r="B309" s="104"/>
      <c r="C309" s="201" t="s">
        <v>682</v>
      </c>
      <c r="D309" s="104" t="s">
        <v>17</v>
      </c>
      <c r="E309" s="104" t="s">
        <v>667</v>
      </c>
      <c r="F309" s="104" t="s">
        <v>526</v>
      </c>
      <c r="G309" s="99">
        <v>1</v>
      </c>
      <c r="H309" s="99">
        <v>83</v>
      </c>
      <c r="I309" s="106"/>
      <c r="J309" s="107"/>
      <c r="K309" s="104"/>
      <c r="L309" s="103" t="str">
        <f t="shared" si="5"/>
        <v>Impayé</v>
      </c>
      <c r="N309" s="15"/>
    </row>
    <row r="310" spans="1:14" s="14" customFormat="1" ht="15" customHeight="1" x14ac:dyDescent="0.25">
      <c r="A310" s="100">
        <v>45838</v>
      </c>
      <c r="B310" s="104">
        <v>3499</v>
      </c>
      <c r="C310" s="201" t="s">
        <v>684</v>
      </c>
      <c r="D310" s="104" t="s">
        <v>17</v>
      </c>
      <c r="E310" s="104" t="s">
        <v>667</v>
      </c>
      <c r="F310" s="104" t="s">
        <v>528</v>
      </c>
      <c r="G310" s="105">
        <v>1</v>
      </c>
      <c r="H310" s="99">
        <v>83</v>
      </c>
      <c r="I310" s="106"/>
      <c r="J310" s="107"/>
      <c r="K310" s="104"/>
      <c r="L310" s="103" t="str">
        <f t="shared" si="5"/>
        <v>Impayé</v>
      </c>
      <c r="N310" s="15"/>
    </row>
    <row r="311" spans="1:14" s="14" customFormat="1" ht="15" customHeight="1" x14ac:dyDescent="0.25">
      <c r="A311" s="100">
        <v>45838</v>
      </c>
      <c r="B311" s="104">
        <v>4776</v>
      </c>
      <c r="C311" s="201" t="s">
        <v>696</v>
      </c>
      <c r="D311" s="104" t="s">
        <v>17</v>
      </c>
      <c r="E311" s="104" t="s">
        <v>667</v>
      </c>
      <c r="F311" s="104" t="s">
        <v>528</v>
      </c>
      <c r="G311" s="105">
        <v>1</v>
      </c>
      <c r="H311" s="99">
        <v>83</v>
      </c>
      <c r="I311" s="106"/>
      <c r="J311" s="107"/>
      <c r="K311" s="104"/>
      <c r="L311" s="103" t="str">
        <f t="shared" si="5"/>
        <v>Impayé</v>
      </c>
      <c r="N311" s="15"/>
    </row>
    <row r="312" spans="1:14" s="14" customFormat="1" ht="15" customHeight="1" x14ac:dyDescent="0.25">
      <c r="A312" s="100">
        <v>45838</v>
      </c>
      <c r="B312" s="104">
        <v>4777</v>
      </c>
      <c r="C312" s="201" t="s">
        <v>697</v>
      </c>
      <c r="D312" s="104" t="s">
        <v>17</v>
      </c>
      <c r="E312" s="104" t="s">
        <v>667</v>
      </c>
      <c r="F312" s="104" t="s">
        <v>528</v>
      </c>
      <c r="G312" s="105">
        <v>1</v>
      </c>
      <c r="H312" s="99">
        <v>83</v>
      </c>
      <c r="I312" s="106"/>
      <c r="J312" s="107"/>
      <c r="K312" s="104"/>
      <c r="L312" s="103" t="str">
        <f t="shared" si="5"/>
        <v>Impayé</v>
      </c>
      <c r="N312" s="15"/>
    </row>
    <row r="313" spans="1:14" s="14" customFormat="1" ht="15" customHeight="1" x14ac:dyDescent="0.25">
      <c r="A313" s="100">
        <v>45838</v>
      </c>
      <c r="B313" s="104"/>
      <c r="C313" s="201" t="s">
        <v>699</v>
      </c>
      <c r="D313" s="104" t="s">
        <v>17</v>
      </c>
      <c r="E313" s="104" t="s">
        <v>667</v>
      </c>
      <c r="F313" s="104" t="s">
        <v>528</v>
      </c>
      <c r="G313" s="105">
        <v>1</v>
      </c>
      <c r="H313" s="99">
        <v>83</v>
      </c>
      <c r="I313" s="106"/>
      <c r="J313" s="107"/>
      <c r="K313" s="104"/>
      <c r="L313" s="103" t="str">
        <f t="shared" si="5"/>
        <v>Impayé</v>
      </c>
      <c r="N313" s="15"/>
    </row>
    <row r="314" spans="1:14" s="14" customFormat="1" ht="15" customHeight="1" x14ac:dyDescent="0.25">
      <c r="A314" s="100">
        <v>45838</v>
      </c>
      <c r="B314" s="104"/>
      <c r="C314" s="201" t="s">
        <v>700</v>
      </c>
      <c r="D314" s="104" t="s">
        <v>17</v>
      </c>
      <c r="E314" s="104" t="s">
        <v>667</v>
      </c>
      <c r="F314" s="104" t="s">
        <v>528</v>
      </c>
      <c r="G314" s="105">
        <v>1</v>
      </c>
      <c r="H314" s="99">
        <v>83</v>
      </c>
      <c r="I314" s="106"/>
      <c r="J314" s="107"/>
      <c r="K314" s="104"/>
      <c r="L314" s="103" t="str">
        <f t="shared" si="5"/>
        <v>Impayé</v>
      </c>
      <c r="N314" s="15"/>
    </row>
    <row r="315" spans="1:14" s="14" customFormat="1" ht="15" customHeight="1" x14ac:dyDescent="0.25">
      <c r="A315" s="100">
        <v>45838</v>
      </c>
      <c r="B315" s="104"/>
      <c r="C315" s="201" t="s">
        <v>701</v>
      </c>
      <c r="D315" s="104" t="s">
        <v>17</v>
      </c>
      <c r="E315" s="104" t="s">
        <v>667</v>
      </c>
      <c r="F315" s="104" t="s">
        <v>528</v>
      </c>
      <c r="G315" s="105">
        <v>1</v>
      </c>
      <c r="H315" s="99">
        <v>83</v>
      </c>
      <c r="I315" s="106"/>
      <c r="J315" s="107"/>
      <c r="K315" s="104"/>
      <c r="L315" s="103" t="str">
        <f t="shared" si="5"/>
        <v>Impayé</v>
      </c>
      <c r="N315" s="15"/>
    </row>
    <row r="316" spans="1:14" s="14" customFormat="1" ht="15" customHeight="1" x14ac:dyDescent="0.25">
      <c r="A316" s="100">
        <v>45838</v>
      </c>
      <c r="B316" s="104"/>
      <c r="C316" s="201" t="s">
        <v>749</v>
      </c>
      <c r="D316" s="104" t="s">
        <v>17</v>
      </c>
      <c r="E316" s="104" t="s">
        <v>667</v>
      </c>
      <c r="F316" s="104" t="s">
        <v>537</v>
      </c>
      <c r="G316" s="105">
        <v>1</v>
      </c>
      <c r="H316" s="99">
        <v>87</v>
      </c>
      <c r="I316" s="106"/>
      <c r="J316" s="107"/>
      <c r="K316" s="104"/>
      <c r="L316" s="103" t="str">
        <f t="shared" si="5"/>
        <v>Impayé</v>
      </c>
      <c r="N316" s="15"/>
    </row>
    <row r="317" spans="1:14" s="14" customFormat="1" ht="15" customHeight="1" x14ac:dyDescent="0.25">
      <c r="A317" s="100">
        <v>45838</v>
      </c>
      <c r="B317" s="104"/>
      <c r="C317" s="201" t="s">
        <v>805</v>
      </c>
      <c r="D317" s="104" t="s">
        <v>17</v>
      </c>
      <c r="E317" s="104" t="s">
        <v>667</v>
      </c>
      <c r="F317" s="104" t="s">
        <v>537</v>
      </c>
      <c r="G317" s="105">
        <v>2</v>
      </c>
      <c r="H317" s="99">
        <v>173</v>
      </c>
      <c r="I317" s="106"/>
      <c r="J317" s="107"/>
      <c r="K317" s="104"/>
      <c r="L317" s="103" t="str">
        <f t="shared" si="5"/>
        <v>Impayé</v>
      </c>
      <c r="N317" s="15"/>
    </row>
    <row r="318" spans="1:14" s="14" customFormat="1" ht="15" customHeight="1" x14ac:dyDescent="0.25">
      <c r="A318" s="100">
        <v>45838</v>
      </c>
      <c r="B318" s="104"/>
      <c r="C318" s="201" t="s">
        <v>806</v>
      </c>
      <c r="D318" s="104" t="s">
        <v>17</v>
      </c>
      <c r="E318" s="104" t="s">
        <v>667</v>
      </c>
      <c r="F318" s="104" t="s">
        <v>537</v>
      </c>
      <c r="G318" s="105">
        <v>1</v>
      </c>
      <c r="H318" s="99">
        <v>87</v>
      </c>
      <c r="I318" s="106"/>
      <c r="J318" s="107"/>
      <c r="K318" s="104"/>
      <c r="L318" s="103" t="str">
        <f t="shared" si="5"/>
        <v>Impayé</v>
      </c>
      <c r="N318" s="15"/>
    </row>
    <row r="319" spans="1:14" s="14" customFormat="1" ht="15" customHeight="1" x14ac:dyDescent="0.25">
      <c r="A319" s="100">
        <v>45838</v>
      </c>
      <c r="B319" s="104"/>
      <c r="C319" s="201" t="s">
        <v>807</v>
      </c>
      <c r="D319" s="104" t="s">
        <v>17</v>
      </c>
      <c r="E319" s="104" t="s">
        <v>667</v>
      </c>
      <c r="F319" s="104" t="s">
        <v>537</v>
      </c>
      <c r="G319" s="105">
        <v>1</v>
      </c>
      <c r="H319" s="99">
        <v>87</v>
      </c>
      <c r="I319" s="106"/>
      <c r="J319" s="107"/>
      <c r="K319" s="104"/>
      <c r="L319" s="103" t="str">
        <f t="shared" si="5"/>
        <v>Impayé</v>
      </c>
      <c r="N319" s="15"/>
    </row>
    <row r="320" spans="1:14" s="14" customFormat="1" ht="15" customHeight="1" x14ac:dyDescent="0.25">
      <c r="A320" s="100">
        <v>45838</v>
      </c>
      <c r="B320" s="104"/>
      <c r="C320" s="201" t="s">
        <v>672</v>
      </c>
      <c r="D320" s="104" t="s">
        <v>17</v>
      </c>
      <c r="E320" s="104" t="s">
        <v>673</v>
      </c>
      <c r="F320" s="104" t="s">
        <v>523</v>
      </c>
      <c r="G320" s="105">
        <v>1</v>
      </c>
      <c r="H320" s="99">
        <v>83</v>
      </c>
      <c r="I320" s="106"/>
      <c r="J320" s="107"/>
      <c r="K320" s="104"/>
      <c r="L320" s="103" t="str">
        <f t="shared" si="5"/>
        <v>Impayé</v>
      </c>
      <c r="N320" s="15"/>
    </row>
    <row r="321" spans="1:14" s="14" customFormat="1" ht="15" customHeight="1" x14ac:dyDescent="0.25">
      <c r="A321" s="100">
        <v>45838</v>
      </c>
      <c r="B321" s="104">
        <v>4772</v>
      </c>
      <c r="C321" s="201" t="s">
        <v>695</v>
      </c>
      <c r="D321" s="104" t="s">
        <v>17</v>
      </c>
      <c r="E321" s="104" t="s">
        <v>673</v>
      </c>
      <c r="F321" s="104" t="s">
        <v>528</v>
      </c>
      <c r="G321" s="105">
        <v>1</v>
      </c>
      <c r="H321" s="99">
        <v>83</v>
      </c>
      <c r="I321" s="106"/>
      <c r="J321" s="107"/>
      <c r="K321" s="104"/>
      <c r="L321" s="103" t="str">
        <f t="shared" si="5"/>
        <v>Impayé</v>
      </c>
      <c r="N321" s="15"/>
    </row>
    <row r="322" spans="1:14" s="14" customFormat="1" ht="15" customHeight="1" x14ac:dyDescent="0.25">
      <c r="A322" s="100">
        <v>45838</v>
      </c>
      <c r="B322" s="104">
        <v>5006</v>
      </c>
      <c r="C322" s="201" t="s">
        <v>775</v>
      </c>
      <c r="D322" s="104" t="s">
        <v>17</v>
      </c>
      <c r="E322" s="104" t="s">
        <v>795</v>
      </c>
      <c r="F322" s="104" t="s">
        <v>536</v>
      </c>
      <c r="G322" s="105">
        <v>4</v>
      </c>
      <c r="H322" s="99">
        <v>400</v>
      </c>
      <c r="I322" s="97">
        <v>46080</v>
      </c>
      <c r="J322" s="107">
        <v>0.49027777777777781</v>
      </c>
      <c r="K322" s="99">
        <v>400</v>
      </c>
      <c r="L322" s="103" t="str">
        <f t="shared" si="5"/>
        <v>Payé</v>
      </c>
      <c r="N322" s="15"/>
    </row>
    <row r="323" spans="1:14" s="14" customFormat="1" ht="15" customHeight="1" x14ac:dyDescent="0.25">
      <c r="A323" s="100">
        <v>45838</v>
      </c>
      <c r="B323" s="104"/>
      <c r="C323" s="201" t="s">
        <v>783</v>
      </c>
      <c r="D323" s="104" t="s">
        <v>17</v>
      </c>
      <c r="E323" s="104" t="s">
        <v>795</v>
      </c>
      <c r="F323" s="104" t="s">
        <v>536</v>
      </c>
      <c r="G323" s="105">
        <v>1</v>
      </c>
      <c r="H323" s="99">
        <v>100</v>
      </c>
      <c r="I323" s="106"/>
      <c r="J323" s="107"/>
      <c r="K323" s="104"/>
      <c r="L323" s="103" t="str">
        <f t="shared" si="5"/>
        <v>Impayé</v>
      </c>
      <c r="N323" s="15"/>
    </row>
    <row r="324" spans="1:14" s="14" customFormat="1" ht="15" customHeight="1" x14ac:dyDescent="0.25">
      <c r="A324" s="100">
        <v>45838</v>
      </c>
      <c r="B324" s="145">
        <v>3235</v>
      </c>
      <c r="C324" s="200" t="s">
        <v>365</v>
      </c>
      <c r="D324" s="98" t="s">
        <v>17</v>
      </c>
      <c r="E324" s="99" t="s">
        <v>189</v>
      </c>
      <c r="F324" s="100">
        <v>45473</v>
      </c>
      <c r="G324" s="99">
        <v>5</v>
      </c>
      <c r="H324" s="101">
        <v>393.44338742771873</v>
      </c>
      <c r="I324" s="97"/>
      <c r="J324" s="102"/>
      <c r="K324" s="101"/>
      <c r="L324" s="103" t="str">
        <f t="shared" si="5"/>
        <v>Impayé</v>
      </c>
      <c r="N324" s="15"/>
    </row>
    <row r="325" spans="1:14" s="14" customFormat="1" ht="15" customHeight="1" x14ac:dyDescent="0.25">
      <c r="A325" s="100">
        <v>45838</v>
      </c>
      <c r="B325" s="145">
        <v>133</v>
      </c>
      <c r="C325" s="200" t="s">
        <v>184</v>
      </c>
      <c r="D325" s="98" t="s">
        <v>17</v>
      </c>
      <c r="E325" s="99" t="s">
        <v>189</v>
      </c>
      <c r="F325" s="100">
        <v>45473</v>
      </c>
      <c r="G325" s="99">
        <v>2</v>
      </c>
      <c r="H325" s="101">
        <v>157.3773549710875</v>
      </c>
      <c r="I325" s="97"/>
      <c r="J325" s="102"/>
      <c r="K325" s="101"/>
      <c r="L325" s="103" t="str">
        <f t="shared" si="5"/>
        <v>Impayé</v>
      </c>
      <c r="N325" s="15"/>
    </row>
    <row r="326" spans="1:14" s="14" customFormat="1" ht="15" customHeight="1" x14ac:dyDescent="0.25">
      <c r="A326" s="100">
        <v>45838</v>
      </c>
      <c r="B326" s="145">
        <v>259</v>
      </c>
      <c r="C326" s="200" t="s">
        <v>360</v>
      </c>
      <c r="D326" s="98" t="s">
        <v>17</v>
      </c>
      <c r="E326" s="99" t="s">
        <v>189</v>
      </c>
      <c r="F326" s="100">
        <v>45473</v>
      </c>
      <c r="G326" s="99">
        <v>2</v>
      </c>
      <c r="H326" s="101">
        <v>158</v>
      </c>
      <c r="I326" s="97"/>
      <c r="J326" s="102"/>
      <c r="K326" s="101"/>
      <c r="L326" s="103" t="str">
        <f t="shared" si="5"/>
        <v>Impayé</v>
      </c>
      <c r="N326" s="15"/>
    </row>
    <row r="327" spans="1:14" s="14" customFormat="1" ht="15" customHeight="1" x14ac:dyDescent="0.25">
      <c r="A327" s="100">
        <v>45838</v>
      </c>
      <c r="B327" s="145">
        <v>2309</v>
      </c>
      <c r="C327" s="200" t="s">
        <v>190</v>
      </c>
      <c r="D327" s="98" t="s">
        <v>17</v>
      </c>
      <c r="E327" s="99" t="s">
        <v>189</v>
      </c>
      <c r="F327" s="100">
        <v>45473</v>
      </c>
      <c r="G327" s="99">
        <v>2</v>
      </c>
      <c r="H327" s="101">
        <v>157.3773549710875</v>
      </c>
      <c r="I327" s="97"/>
      <c r="J327" s="102"/>
      <c r="K327" s="101"/>
      <c r="L327" s="103" t="str">
        <f t="shared" si="5"/>
        <v>Impayé</v>
      </c>
      <c r="N327" s="15"/>
    </row>
    <row r="328" spans="1:14" s="14" customFormat="1" ht="15" customHeight="1" x14ac:dyDescent="0.25">
      <c r="A328" s="100">
        <v>45838</v>
      </c>
      <c r="B328" s="145">
        <v>2888</v>
      </c>
      <c r="C328" s="200" t="s">
        <v>300</v>
      </c>
      <c r="D328" s="98" t="s">
        <v>17</v>
      </c>
      <c r="E328" s="99" t="s">
        <v>189</v>
      </c>
      <c r="F328" s="100">
        <v>45473</v>
      </c>
      <c r="G328" s="99">
        <v>1</v>
      </c>
      <c r="H328" s="101">
        <v>78.688677485543749</v>
      </c>
      <c r="I328" s="97"/>
      <c r="J328" s="102"/>
      <c r="K328" s="101"/>
      <c r="L328" s="103" t="str">
        <f t="shared" si="5"/>
        <v>Impayé</v>
      </c>
      <c r="N328" s="15"/>
    </row>
    <row r="329" spans="1:14" s="14" customFormat="1" ht="15" customHeight="1" x14ac:dyDescent="0.25">
      <c r="A329" s="100">
        <v>45838</v>
      </c>
      <c r="B329" s="145">
        <v>1401</v>
      </c>
      <c r="C329" s="200" t="s">
        <v>243</v>
      </c>
      <c r="D329" s="98" t="s">
        <v>17</v>
      </c>
      <c r="E329" s="99" t="s">
        <v>189</v>
      </c>
      <c r="F329" s="100">
        <v>45473</v>
      </c>
      <c r="G329" s="99">
        <v>2</v>
      </c>
      <c r="H329" s="101">
        <v>157.3773549710875</v>
      </c>
      <c r="I329" s="97"/>
      <c r="J329" s="102"/>
      <c r="K329" s="101"/>
      <c r="L329" s="103" t="str">
        <f t="shared" si="5"/>
        <v>Impayé</v>
      </c>
      <c r="N329" s="15"/>
    </row>
    <row r="330" spans="1:14" s="14" customFormat="1" ht="15" customHeight="1" x14ac:dyDescent="0.25">
      <c r="A330" s="100">
        <v>45838</v>
      </c>
      <c r="B330" s="145">
        <v>1464</v>
      </c>
      <c r="C330" s="200" t="s">
        <v>293</v>
      </c>
      <c r="D330" s="98" t="s">
        <v>17</v>
      </c>
      <c r="E330" s="99" t="s">
        <v>189</v>
      </c>
      <c r="F330" s="100">
        <v>45473</v>
      </c>
      <c r="G330" s="99">
        <v>1</v>
      </c>
      <c r="H330" s="101">
        <v>78.688677485543749</v>
      </c>
      <c r="I330" s="97"/>
      <c r="J330" s="102"/>
      <c r="K330" s="101"/>
      <c r="L330" s="103" t="str">
        <f t="shared" si="5"/>
        <v>Impayé</v>
      </c>
      <c r="N330" s="15"/>
    </row>
    <row r="331" spans="1:14" s="14" customFormat="1" ht="15" customHeight="1" x14ac:dyDescent="0.25">
      <c r="A331" s="100">
        <v>45838</v>
      </c>
      <c r="B331" s="145">
        <v>1400</v>
      </c>
      <c r="C331" s="200" t="s">
        <v>249</v>
      </c>
      <c r="D331" s="98"/>
      <c r="E331" s="99" t="s">
        <v>189</v>
      </c>
      <c r="F331" s="100">
        <v>45473</v>
      </c>
      <c r="G331" s="99">
        <v>1</v>
      </c>
      <c r="H331" s="101">
        <v>78.688677485543749</v>
      </c>
      <c r="I331" s="97"/>
      <c r="J331" s="102"/>
      <c r="K331" s="101"/>
      <c r="L331" s="103" t="str">
        <f t="shared" si="5"/>
        <v>Impayé</v>
      </c>
      <c r="N331" s="15"/>
    </row>
    <row r="332" spans="1:14" s="14" customFormat="1" ht="15" customHeight="1" x14ac:dyDescent="0.25">
      <c r="A332" s="100">
        <v>45838</v>
      </c>
      <c r="B332" s="145">
        <v>130</v>
      </c>
      <c r="C332" s="200" t="s">
        <v>248</v>
      </c>
      <c r="D332" s="98" t="s">
        <v>17</v>
      </c>
      <c r="E332" s="99" t="s">
        <v>189</v>
      </c>
      <c r="F332" s="100">
        <v>45473</v>
      </c>
      <c r="G332" s="99">
        <v>1</v>
      </c>
      <c r="H332" s="101">
        <v>78.688677485543749</v>
      </c>
      <c r="I332" s="97"/>
      <c r="J332" s="102"/>
      <c r="K332" s="101"/>
      <c r="L332" s="103" t="str">
        <f t="shared" si="5"/>
        <v>Impayé</v>
      </c>
      <c r="N332" s="15"/>
    </row>
    <row r="333" spans="1:14" s="14" customFormat="1" ht="15" customHeight="1" x14ac:dyDescent="0.25">
      <c r="A333" s="100">
        <v>45838</v>
      </c>
      <c r="B333" s="145">
        <v>2337</v>
      </c>
      <c r="C333" s="200" t="s">
        <v>208</v>
      </c>
      <c r="D333" s="98" t="s">
        <v>17</v>
      </c>
      <c r="E333" s="99" t="s">
        <v>189</v>
      </c>
      <c r="F333" s="100">
        <v>45473</v>
      </c>
      <c r="G333" s="99">
        <v>5</v>
      </c>
      <c r="H333" s="101">
        <v>393.44338742771873</v>
      </c>
      <c r="I333" s="97"/>
      <c r="J333" s="102"/>
      <c r="K333" s="101"/>
      <c r="L333" s="103" t="str">
        <f t="shared" si="5"/>
        <v>Impayé</v>
      </c>
      <c r="N333" s="15"/>
    </row>
    <row r="334" spans="1:14" s="14" customFormat="1" ht="15" customHeight="1" x14ac:dyDescent="0.25">
      <c r="A334" s="100">
        <v>45838</v>
      </c>
      <c r="B334" s="145">
        <v>2889</v>
      </c>
      <c r="C334" s="200" t="s">
        <v>266</v>
      </c>
      <c r="D334" s="98" t="s">
        <v>17</v>
      </c>
      <c r="E334" s="99" t="s">
        <v>189</v>
      </c>
      <c r="F334" s="100">
        <v>45473</v>
      </c>
      <c r="G334" s="99">
        <v>2</v>
      </c>
      <c r="H334" s="101">
        <v>157.3773549710875</v>
      </c>
      <c r="I334" s="97"/>
      <c r="J334" s="102"/>
      <c r="K334" s="101"/>
      <c r="L334" s="103" t="str">
        <f t="shared" si="5"/>
        <v>Impayé</v>
      </c>
      <c r="N334" s="15"/>
    </row>
    <row r="335" spans="1:14" s="14" customFormat="1" ht="15" customHeight="1" x14ac:dyDescent="0.25">
      <c r="A335" s="100">
        <v>45838</v>
      </c>
      <c r="B335" s="145">
        <v>919</v>
      </c>
      <c r="C335" s="200" t="s">
        <v>242</v>
      </c>
      <c r="D335" s="98" t="s">
        <v>17</v>
      </c>
      <c r="E335" s="99" t="s">
        <v>189</v>
      </c>
      <c r="F335" s="100">
        <v>45473</v>
      </c>
      <c r="G335" s="99">
        <v>2</v>
      </c>
      <c r="H335" s="101">
        <v>157.3773549710875</v>
      </c>
      <c r="I335" s="97"/>
      <c r="J335" s="102"/>
      <c r="K335" s="101"/>
      <c r="L335" s="103" t="str">
        <f t="shared" si="5"/>
        <v>Impayé</v>
      </c>
      <c r="N335" s="15"/>
    </row>
    <row r="336" spans="1:14" s="14" customFormat="1" ht="15" customHeight="1" x14ac:dyDescent="0.25">
      <c r="A336" s="100">
        <v>45838</v>
      </c>
      <c r="B336" s="145">
        <v>2864</v>
      </c>
      <c r="C336" s="200" t="s">
        <v>299</v>
      </c>
      <c r="D336" s="98" t="s">
        <v>17</v>
      </c>
      <c r="E336" s="99" t="s">
        <v>189</v>
      </c>
      <c r="F336" s="100">
        <v>45473</v>
      </c>
      <c r="G336" s="99">
        <v>1</v>
      </c>
      <c r="H336" s="101">
        <v>78.688677485543749</v>
      </c>
      <c r="I336" s="97"/>
      <c r="J336" s="102"/>
      <c r="K336" s="101"/>
      <c r="L336" s="103" t="str">
        <f t="shared" si="5"/>
        <v>Impayé</v>
      </c>
      <c r="N336" s="15"/>
    </row>
    <row r="337" spans="1:14" s="14" customFormat="1" ht="15" customHeight="1" x14ac:dyDescent="0.25">
      <c r="A337" s="100">
        <v>45838</v>
      </c>
      <c r="B337" s="145">
        <v>1946</v>
      </c>
      <c r="C337" s="200" t="s">
        <v>206</v>
      </c>
      <c r="D337" s="98" t="s">
        <v>17</v>
      </c>
      <c r="E337" s="99" t="s">
        <v>189</v>
      </c>
      <c r="F337" s="100">
        <v>45473</v>
      </c>
      <c r="G337" s="99">
        <v>4</v>
      </c>
      <c r="H337" s="101">
        <v>314.754709942175</v>
      </c>
      <c r="I337" s="97"/>
      <c r="J337" s="102"/>
      <c r="K337" s="101"/>
      <c r="L337" s="103" t="str">
        <f t="shared" si="5"/>
        <v>Impayé</v>
      </c>
      <c r="N337" s="15"/>
    </row>
    <row r="338" spans="1:14" s="14" customFormat="1" ht="15" customHeight="1" x14ac:dyDescent="0.25">
      <c r="A338" s="100">
        <v>45838</v>
      </c>
      <c r="B338" s="145">
        <v>2269</v>
      </c>
      <c r="C338" s="200" t="s">
        <v>207</v>
      </c>
      <c r="D338" s="98" t="s">
        <v>17</v>
      </c>
      <c r="E338" s="99" t="s">
        <v>189</v>
      </c>
      <c r="F338" s="100">
        <v>45473</v>
      </c>
      <c r="G338" s="99">
        <v>3</v>
      </c>
      <c r="H338" s="101">
        <v>236.06603245663123</v>
      </c>
      <c r="I338" s="97"/>
      <c r="J338" s="102"/>
      <c r="K338" s="101"/>
      <c r="L338" s="103" t="str">
        <f t="shared" si="5"/>
        <v>Impayé</v>
      </c>
      <c r="M338" s="154"/>
      <c r="N338" s="15"/>
    </row>
    <row r="339" spans="1:14" s="14" customFormat="1" ht="15" customHeight="1" x14ac:dyDescent="0.25">
      <c r="A339" s="100">
        <v>45838</v>
      </c>
      <c r="B339" s="145">
        <v>3417</v>
      </c>
      <c r="C339" s="200" t="s">
        <v>334</v>
      </c>
      <c r="D339" s="98" t="s">
        <v>17</v>
      </c>
      <c r="E339" s="99" t="s">
        <v>189</v>
      </c>
      <c r="F339" s="100">
        <v>45473</v>
      </c>
      <c r="G339" s="99">
        <v>1</v>
      </c>
      <c r="H339" s="101">
        <v>78.688677485543749</v>
      </c>
      <c r="I339" s="97"/>
      <c r="J339" s="102"/>
      <c r="K339" s="101"/>
      <c r="L339" s="103" t="str">
        <f t="shared" si="5"/>
        <v>Impayé</v>
      </c>
      <c r="N339" s="15"/>
    </row>
    <row r="340" spans="1:14" s="14" customFormat="1" ht="15" customHeight="1" x14ac:dyDescent="0.25">
      <c r="A340" s="100">
        <v>45838</v>
      </c>
      <c r="B340" s="145">
        <v>2527</v>
      </c>
      <c r="C340" s="200" t="s">
        <v>209</v>
      </c>
      <c r="D340" s="98" t="s">
        <v>17</v>
      </c>
      <c r="E340" s="99" t="s">
        <v>192</v>
      </c>
      <c r="F340" s="100">
        <v>45473</v>
      </c>
      <c r="G340" s="99">
        <v>1</v>
      </c>
      <c r="H340" s="101">
        <v>78.688677485543749</v>
      </c>
      <c r="I340" s="97"/>
      <c r="J340" s="102"/>
      <c r="K340" s="101"/>
      <c r="L340" s="103" t="str">
        <f t="shared" si="5"/>
        <v>Impayé</v>
      </c>
      <c r="N340" s="15"/>
    </row>
    <row r="341" spans="1:14" s="14" customFormat="1" ht="15" customHeight="1" x14ac:dyDescent="0.25">
      <c r="A341" s="100">
        <v>45838</v>
      </c>
      <c r="B341" s="145">
        <v>2344</v>
      </c>
      <c r="C341" s="200" t="s">
        <v>196</v>
      </c>
      <c r="D341" s="98" t="s">
        <v>17</v>
      </c>
      <c r="E341" s="99" t="s">
        <v>192</v>
      </c>
      <c r="F341" s="100">
        <v>45473</v>
      </c>
      <c r="G341" s="99">
        <v>1</v>
      </c>
      <c r="H341" s="101">
        <v>78.688677485543749</v>
      </c>
      <c r="I341" s="97"/>
      <c r="J341" s="102"/>
      <c r="K341" s="101"/>
      <c r="L341" s="103" t="str">
        <f t="shared" si="5"/>
        <v>Impayé</v>
      </c>
      <c r="N341" s="15"/>
    </row>
    <row r="342" spans="1:14" s="14" customFormat="1" ht="15" customHeight="1" x14ac:dyDescent="0.25">
      <c r="A342" s="100">
        <v>45838</v>
      </c>
      <c r="B342" s="145">
        <v>2365</v>
      </c>
      <c r="C342" s="200" t="s">
        <v>198</v>
      </c>
      <c r="D342" s="98" t="s">
        <v>17</v>
      </c>
      <c r="E342" s="99" t="s">
        <v>192</v>
      </c>
      <c r="F342" s="100">
        <v>45473</v>
      </c>
      <c r="G342" s="99">
        <v>1</v>
      </c>
      <c r="H342" s="101">
        <v>78.688677485543749</v>
      </c>
      <c r="I342" s="97"/>
      <c r="J342" s="102"/>
      <c r="K342" s="101"/>
      <c r="L342" s="103" t="str">
        <f t="shared" si="5"/>
        <v>Impayé</v>
      </c>
      <c r="N342" s="15"/>
    </row>
    <row r="343" spans="1:14" s="14" customFormat="1" ht="15" customHeight="1" x14ac:dyDescent="0.25">
      <c r="A343" s="100">
        <v>45838</v>
      </c>
      <c r="B343" s="145">
        <v>2343</v>
      </c>
      <c r="C343" s="200" t="s">
        <v>197</v>
      </c>
      <c r="D343" s="98" t="s">
        <v>17</v>
      </c>
      <c r="E343" s="99" t="s">
        <v>192</v>
      </c>
      <c r="F343" s="100">
        <v>45473</v>
      </c>
      <c r="G343" s="99">
        <v>2</v>
      </c>
      <c r="H343" s="101">
        <v>157.3773549710875</v>
      </c>
      <c r="I343" s="97"/>
      <c r="J343" s="102"/>
      <c r="K343" s="101"/>
      <c r="L343" s="103" t="str">
        <f t="shared" si="5"/>
        <v>Impayé</v>
      </c>
      <c r="N343" s="15"/>
    </row>
    <row r="344" spans="1:14" s="14" customFormat="1" ht="15" customHeight="1" x14ac:dyDescent="0.25">
      <c r="A344" s="100">
        <v>45838</v>
      </c>
      <c r="B344" s="145">
        <v>2505</v>
      </c>
      <c r="C344" s="200" t="s">
        <v>245</v>
      </c>
      <c r="D344" s="98" t="s">
        <v>17</v>
      </c>
      <c r="E344" s="99" t="s">
        <v>192</v>
      </c>
      <c r="F344" s="100">
        <v>45473</v>
      </c>
      <c r="G344" s="99">
        <v>4</v>
      </c>
      <c r="H344" s="101">
        <v>314.754709942175</v>
      </c>
      <c r="I344" s="97"/>
      <c r="J344" s="102"/>
      <c r="K344" s="101"/>
      <c r="L344" s="103" t="str">
        <f t="shared" si="5"/>
        <v>Impayé</v>
      </c>
      <c r="N344" s="15"/>
    </row>
    <row r="345" spans="1:14" s="14" customFormat="1" ht="15" customHeight="1" x14ac:dyDescent="0.25">
      <c r="A345" s="100">
        <v>45838</v>
      </c>
      <c r="B345" s="145">
        <v>2473</v>
      </c>
      <c r="C345" s="200" t="s">
        <v>210</v>
      </c>
      <c r="D345" s="98" t="s">
        <v>17</v>
      </c>
      <c r="E345" s="99" t="s">
        <v>192</v>
      </c>
      <c r="F345" s="100">
        <v>45473</v>
      </c>
      <c r="G345" s="99">
        <v>1</v>
      </c>
      <c r="H345" s="101">
        <v>78.688677485543749</v>
      </c>
      <c r="I345" s="97"/>
      <c r="J345" s="102"/>
      <c r="K345" s="101"/>
      <c r="L345" s="103" t="str">
        <f t="shared" si="5"/>
        <v>Impayé</v>
      </c>
      <c r="N345" s="15"/>
    </row>
    <row r="346" spans="1:14" s="14" customFormat="1" ht="15" customHeight="1" x14ac:dyDescent="0.25">
      <c r="A346" s="100">
        <v>45838</v>
      </c>
      <c r="B346" s="145">
        <v>379</v>
      </c>
      <c r="C346" s="200" t="s">
        <v>193</v>
      </c>
      <c r="D346" s="98" t="s">
        <v>17</v>
      </c>
      <c r="E346" s="99" t="s">
        <v>192</v>
      </c>
      <c r="F346" s="100">
        <v>45473</v>
      </c>
      <c r="G346" s="99">
        <v>1</v>
      </c>
      <c r="H346" s="101">
        <v>78.688677485543749</v>
      </c>
      <c r="I346" s="97"/>
      <c r="J346" s="102"/>
      <c r="K346" s="101"/>
      <c r="L346" s="103" t="str">
        <f t="shared" si="5"/>
        <v>Impayé</v>
      </c>
      <c r="N346" s="15"/>
    </row>
    <row r="347" spans="1:14" s="14" customFormat="1" ht="15" customHeight="1" x14ac:dyDescent="0.25">
      <c r="A347" s="100">
        <v>45838</v>
      </c>
      <c r="B347" s="145">
        <v>2610</v>
      </c>
      <c r="C347" s="200" t="s">
        <v>227</v>
      </c>
      <c r="D347" s="98" t="s">
        <v>17</v>
      </c>
      <c r="E347" s="99" t="s">
        <v>192</v>
      </c>
      <c r="F347" s="100">
        <v>45473</v>
      </c>
      <c r="G347" s="99">
        <v>1</v>
      </c>
      <c r="H347" s="101">
        <v>78.688677485543749</v>
      </c>
      <c r="I347" s="97"/>
      <c r="J347" s="102"/>
      <c r="K347" s="101"/>
      <c r="L347" s="103" t="str">
        <f t="shared" si="5"/>
        <v>Impayé</v>
      </c>
      <c r="N347" s="15"/>
    </row>
    <row r="348" spans="1:14" s="14" customFormat="1" ht="15" customHeight="1" x14ac:dyDescent="0.25">
      <c r="A348" s="100">
        <v>45838</v>
      </c>
      <c r="B348" s="145">
        <v>2259</v>
      </c>
      <c r="C348" s="200" t="s">
        <v>221</v>
      </c>
      <c r="D348" s="98" t="s">
        <v>17</v>
      </c>
      <c r="E348" s="99" t="s">
        <v>192</v>
      </c>
      <c r="F348" s="100">
        <v>45473</v>
      </c>
      <c r="G348" s="99">
        <v>1</v>
      </c>
      <c r="H348" s="101">
        <v>78.688677485543749</v>
      </c>
      <c r="I348" s="97"/>
      <c r="J348" s="102"/>
      <c r="K348" s="101"/>
      <c r="L348" s="103" t="str">
        <f t="shared" si="5"/>
        <v>Impayé</v>
      </c>
      <c r="N348" s="15"/>
    </row>
    <row r="349" spans="1:14" s="14" customFormat="1" ht="15" customHeight="1" x14ac:dyDescent="0.25">
      <c r="A349" s="100">
        <v>45838</v>
      </c>
      <c r="B349" s="145">
        <v>2366</v>
      </c>
      <c r="C349" s="200" t="s">
        <v>199</v>
      </c>
      <c r="D349" s="98" t="s">
        <v>17</v>
      </c>
      <c r="E349" s="99" t="s">
        <v>192</v>
      </c>
      <c r="F349" s="100">
        <v>45473</v>
      </c>
      <c r="G349" s="99">
        <v>1</v>
      </c>
      <c r="H349" s="101">
        <v>78.688677485543749</v>
      </c>
      <c r="I349" s="97"/>
      <c r="J349" s="102"/>
      <c r="K349" s="101"/>
      <c r="L349" s="103" t="str">
        <f t="shared" si="5"/>
        <v>Impayé</v>
      </c>
      <c r="N349" s="15"/>
    </row>
    <row r="350" spans="1:14" s="14" customFormat="1" ht="15" customHeight="1" x14ac:dyDescent="0.25">
      <c r="A350" s="100">
        <v>45838</v>
      </c>
      <c r="B350" s="104">
        <v>2943</v>
      </c>
      <c r="C350" s="201" t="s">
        <v>301</v>
      </c>
      <c r="D350" s="104" t="s">
        <v>17</v>
      </c>
      <c r="E350" s="104" t="s">
        <v>753</v>
      </c>
      <c r="F350" s="104" t="s">
        <v>540</v>
      </c>
      <c r="G350" s="105">
        <v>3</v>
      </c>
      <c r="H350" s="99">
        <v>260</v>
      </c>
      <c r="I350" s="97">
        <v>45888</v>
      </c>
      <c r="J350" s="107">
        <v>0.51874999999999993</v>
      </c>
      <c r="K350" s="99">
        <v>260</v>
      </c>
      <c r="L350" s="103" t="str">
        <f t="shared" si="5"/>
        <v>Payé</v>
      </c>
      <c r="N350" s="15"/>
    </row>
    <row r="351" spans="1:14" s="14" customFormat="1" ht="15" customHeight="1" x14ac:dyDescent="0.25">
      <c r="A351" s="100">
        <v>45838</v>
      </c>
      <c r="B351" s="145">
        <v>2304</v>
      </c>
      <c r="C351" s="200" t="s">
        <v>191</v>
      </c>
      <c r="D351" s="98" t="s">
        <v>17</v>
      </c>
      <c r="E351" s="99" t="s">
        <v>192</v>
      </c>
      <c r="F351" s="100">
        <v>45473</v>
      </c>
      <c r="G351" s="99">
        <v>3</v>
      </c>
      <c r="H351" s="101">
        <v>236.06603245663123</v>
      </c>
      <c r="I351" s="97"/>
      <c r="J351" s="102"/>
      <c r="K351" s="101"/>
      <c r="L351" s="103" t="str">
        <f t="shared" si="5"/>
        <v>Impayé</v>
      </c>
      <c r="N351" s="15"/>
    </row>
    <row r="352" spans="1:14" s="14" customFormat="1" ht="15" customHeight="1" x14ac:dyDescent="0.25">
      <c r="A352" s="100">
        <v>45838</v>
      </c>
      <c r="B352" s="145">
        <v>2472</v>
      </c>
      <c r="C352" s="200" t="s">
        <v>244</v>
      </c>
      <c r="D352" s="98" t="s">
        <v>17</v>
      </c>
      <c r="E352" s="99" t="s">
        <v>192</v>
      </c>
      <c r="F352" s="100">
        <v>45473</v>
      </c>
      <c r="G352" s="99">
        <v>2</v>
      </c>
      <c r="H352" s="101">
        <v>157.3773549710875</v>
      </c>
      <c r="I352" s="97"/>
      <c r="J352" s="102"/>
      <c r="K352" s="101"/>
      <c r="L352" s="103" t="str">
        <f t="shared" si="5"/>
        <v>Impayé</v>
      </c>
      <c r="N352" s="15"/>
    </row>
    <row r="353" spans="1:14" s="14" customFormat="1" ht="15" customHeight="1" x14ac:dyDescent="0.25">
      <c r="A353" s="100">
        <v>45838</v>
      </c>
      <c r="B353" s="145">
        <v>2367</v>
      </c>
      <c r="C353" s="200" t="s">
        <v>200</v>
      </c>
      <c r="D353" s="98" t="s">
        <v>17</v>
      </c>
      <c r="E353" s="99" t="s">
        <v>192</v>
      </c>
      <c r="F353" s="100">
        <v>45473</v>
      </c>
      <c r="G353" s="99">
        <v>1</v>
      </c>
      <c r="H353" s="101">
        <v>78.688677485543749</v>
      </c>
      <c r="I353" s="97"/>
      <c r="J353" s="102"/>
      <c r="K353" s="101"/>
      <c r="L353" s="103" t="str">
        <f t="shared" si="5"/>
        <v>Impayé</v>
      </c>
      <c r="N353" s="15"/>
    </row>
    <row r="354" spans="1:14" s="14" customFormat="1" ht="15" customHeight="1" x14ac:dyDescent="0.25">
      <c r="A354" s="100">
        <v>45838</v>
      </c>
      <c r="B354" s="145">
        <v>2346</v>
      </c>
      <c r="C354" s="200" t="s">
        <v>195</v>
      </c>
      <c r="D354" s="98" t="s">
        <v>17</v>
      </c>
      <c r="E354" s="99" t="s">
        <v>192</v>
      </c>
      <c r="F354" s="100">
        <v>45473</v>
      </c>
      <c r="G354" s="99">
        <v>1</v>
      </c>
      <c r="H354" s="101">
        <v>78.688677485543749</v>
      </c>
      <c r="I354" s="97"/>
      <c r="J354" s="102"/>
      <c r="K354" s="101"/>
      <c r="L354" s="103" t="str">
        <f t="shared" si="5"/>
        <v>Impayé</v>
      </c>
      <c r="N354" s="15"/>
    </row>
    <row r="355" spans="1:14" s="14" customFormat="1" ht="15" customHeight="1" x14ac:dyDescent="0.25">
      <c r="A355" s="100">
        <v>45838</v>
      </c>
      <c r="B355" s="145">
        <v>2347</v>
      </c>
      <c r="C355" s="200" t="s">
        <v>194</v>
      </c>
      <c r="D355" s="98" t="s">
        <v>17</v>
      </c>
      <c r="E355" s="99" t="s">
        <v>192</v>
      </c>
      <c r="F355" s="100">
        <v>45473</v>
      </c>
      <c r="G355" s="99">
        <v>1</v>
      </c>
      <c r="H355" s="101">
        <v>78.688677485543749</v>
      </c>
      <c r="I355" s="97"/>
      <c r="J355" s="102"/>
      <c r="K355" s="101"/>
      <c r="L355" s="103" t="str">
        <f t="shared" si="5"/>
        <v>Impayé</v>
      </c>
      <c r="N355" s="15"/>
    </row>
    <row r="356" spans="1:14" s="14" customFormat="1" ht="15" customHeight="1" x14ac:dyDescent="0.25">
      <c r="A356" s="100">
        <v>45838</v>
      </c>
      <c r="B356" s="145">
        <v>133</v>
      </c>
      <c r="C356" s="200" t="s">
        <v>184</v>
      </c>
      <c r="D356" s="98" t="s">
        <v>17</v>
      </c>
      <c r="E356" s="99" t="s">
        <v>185</v>
      </c>
      <c r="F356" s="100">
        <v>45473</v>
      </c>
      <c r="G356" s="99">
        <v>3</v>
      </c>
      <c r="H356" s="101">
        <v>236.06603245663123</v>
      </c>
      <c r="I356" s="97"/>
      <c r="J356" s="102"/>
      <c r="K356" s="101"/>
      <c r="L356" s="103" t="str">
        <f t="shared" si="5"/>
        <v>Impayé</v>
      </c>
      <c r="N356" s="15"/>
    </row>
    <row r="357" spans="1:14" s="14" customFormat="1" ht="15" customHeight="1" x14ac:dyDescent="0.25">
      <c r="A357" s="100">
        <v>45838</v>
      </c>
      <c r="B357" s="145">
        <v>2255</v>
      </c>
      <c r="C357" s="200" t="s">
        <v>186</v>
      </c>
      <c r="D357" s="98" t="s">
        <v>17</v>
      </c>
      <c r="E357" s="99" t="s">
        <v>185</v>
      </c>
      <c r="F357" s="100">
        <v>45473</v>
      </c>
      <c r="G357" s="99">
        <v>1</v>
      </c>
      <c r="H357" s="101">
        <v>78.688677485543749</v>
      </c>
      <c r="I357" s="97"/>
      <c r="J357" s="102"/>
      <c r="K357" s="101"/>
      <c r="L357" s="103" t="str">
        <f t="shared" si="5"/>
        <v>Impayé</v>
      </c>
      <c r="N357" s="15"/>
    </row>
    <row r="358" spans="1:14" s="14" customFormat="1" ht="15" customHeight="1" x14ac:dyDescent="0.25">
      <c r="A358" s="100">
        <v>45838</v>
      </c>
      <c r="B358" s="104"/>
      <c r="C358" s="201" t="s">
        <v>793</v>
      </c>
      <c r="D358" s="104" t="s">
        <v>17</v>
      </c>
      <c r="E358" s="104" t="s">
        <v>759</v>
      </c>
      <c r="F358" s="104" t="s">
        <v>536</v>
      </c>
      <c r="G358" s="105">
        <v>1</v>
      </c>
      <c r="H358" s="99">
        <v>100</v>
      </c>
      <c r="I358" s="106"/>
      <c r="J358" s="107"/>
      <c r="K358" s="104"/>
      <c r="L358" s="103" t="str">
        <f t="shared" si="5"/>
        <v>Impayé</v>
      </c>
      <c r="N358" s="15"/>
    </row>
    <row r="359" spans="1:14" s="14" customFormat="1" ht="15" customHeight="1" x14ac:dyDescent="0.25">
      <c r="A359" s="100">
        <v>45838</v>
      </c>
      <c r="B359" s="104"/>
      <c r="C359" s="201" t="s">
        <v>792</v>
      </c>
      <c r="D359" s="104" t="s">
        <v>17</v>
      </c>
      <c r="E359" s="104" t="s">
        <v>759</v>
      </c>
      <c r="F359" s="104" t="s">
        <v>537</v>
      </c>
      <c r="G359" s="105">
        <v>0.5</v>
      </c>
      <c r="H359" s="99">
        <v>43</v>
      </c>
      <c r="I359" s="106"/>
      <c r="J359" s="107"/>
      <c r="K359" s="104"/>
      <c r="L359" s="103" t="str">
        <f t="shared" si="5"/>
        <v>Impayé</v>
      </c>
      <c r="N359" s="15"/>
    </row>
    <row r="360" spans="1:14" s="14" customFormat="1" ht="15" customHeight="1" x14ac:dyDescent="0.25">
      <c r="A360" s="100">
        <v>45838</v>
      </c>
      <c r="B360" s="145">
        <v>1318</v>
      </c>
      <c r="C360" s="200" t="s">
        <v>98</v>
      </c>
      <c r="D360" s="98" t="s">
        <v>17</v>
      </c>
      <c r="E360" s="99" t="s">
        <v>92</v>
      </c>
      <c r="F360" s="100">
        <v>45473</v>
      </c>
      <c r="G360" s="99">
        <v>1</v>
      </c>
      <c r="H360" s="101">
        <v>72</v>
      </c>
      <c r="I360" s="97"/>
      <c r="J360" s="102"/>
      <c r="K360" s="101"/>
      <c r="L360" s="103" t="str">
        <f t="shared" ref="L360:L423" si="6">IF(ISBLANK(H360),"",IF(H360=K360,"Payé","Impayé"))</f>
        <v>Impayé</v>
      </c>
      <c r="N360" s="15"/>
    </row>
    <row r="361" spans="1:14" s="14" customFormat="1" ht="15" customHeight="1" x14ac:dyDescent="0.25">
      <c r="A361" s="100">
        <v>45838</v>
      </c>
      <c r="B361" s="145">
        <v>1263</v>
      </c>
      <c r="C361" s="200" t="s">
        <v>91</v>
      </c>
      <c r="D361" s="98" t="s">
        <v>17</v>
      </c>
      <c r="E361" s="99" t="s">
        <v>92</v>
      </c>
      <c r="F361" s="100">
        <v>45473</v>
      </c>
      <c r="G361" s="99">
        <v>1</v>
      </c>
      <c r="H361" s="101">
        <v>72</v>
      </c>
      <c r="I361" s="97"/>
      <c r="J361" s="102"/>
      <c r="K361" s="101"/>
      <c r="L361" s="103" t="str">
        <f t="shared" si="6"/>
        <v>Impayé</v>
      </c>
      <c r="N361" s="15"/>
    </row>
    <row r="362" spans="1:14" s="14" customFormat="1" ht="15" customHeight="1" x14ac:dyDescent="0.25">
      <c r="A362" s="100">
        <v>45838</v>
      </c>
      <c r="B362" s="145">
        <v>1799</v>
      </c>
      <c r="C362" s="200" t="s">
        <v>34</v>
      </c>
      <c r="D362" s="98" t="s">
        <v>17</v>
      </c>
      <c r="E362" s="99" t="s">
        <v>35</v>
      </c>
      <c r="F362" s="100">
        <v>45473</v>
      </c>
      <c r="G362" s="99">
        <v>2</v>
      </c>
      <c r="H362" s="101">
        <v>143.07032270098861</v>
      </c>
      <c r="I362" s="97"/>
      <c r="J362" s="102"/>
      <c r="K362" s="101"/>
      <c r="L362" s="103" t="str">
        <f t="shared" si="6"/>
        <v>Impayé</v>
      </c>
      <c r="N362" s="15"/>
    </row>
    <row r="363" spans="1:14" s="14" customFormat="1" ht="15" customHeight="1" x14ac:dyDescent="0.25">
      <c r="A363" s="100">
        <v>45838</v>
      </c>
      <c r="B363" s="104"/>
      <c r="C363" s="201" t="s">
        <v>475</v>
      </c>
      <c r="D363" s="104" t="s">
        <v>17</v>
      </c>
      <c r="E363" s="104" t="s">
        <v>180</v>
      </c>
      <c r="F363" s="100">
        <v>45473</v>
      </c>
      <c r="G363" s="105">
        <v>1</v>
      </c>
      <c r="H363" s="99">
        <v>83</v>
      </c>
      <c r="I363" s="106"/>
      <c r="J363" s="107"/>
      <c r="K363" s="104"/>
      <c r="L363" s="103" t="str">
        <f t="shared" si="6"/>
        <v>Impayé</v>
      </c>
      <c r="N363" s="15"/>
    </row>
    <row r="364" spans="1:14" s="14" customFormat="1" ht="15" customHeight="1" x14ac:dyDescent="0.25">
      <c r="A364" s="100">
        <v>45838</v>
      </c>
      <c r="B364" s="104"/>
      <c r="C364" s="201" t="s">
        <v>474</v>
      </c>
      <c r="D364" s="104" t="s">
        <v>17</v>
      </c>
      <c r="E364" s="104" t="s">
        <v>180</v>
      </c>
      <c r="F364" s="100">
        <v>45473</v>
      </c>
      <c r="G364" s="105">
        <v>1</v>
      </c>
      <c r="H364" s="99">
        <v>83</v>
      </c>
      <c r="I364" s="106"/>
      <c r="J364" s="107"/>
      <c r="K364" s="104"/>
      <c r="L364" s="103" t="str">
        <f t="shared" si="6"/>
        <v>Impayé</v>
      </c>
      <c r="N364" s="15"/>
    </row>
    <row r="365" spans="1:14" s="14" customFormat="1" ht="15" customHeight="1" x14ac:dyDescent="0.25">
      <c r="A365" s="100">
        <v>45838</v>
      </c>
      <c r="B365" s="104">
        <v>3943</v>
      </c>
      <c r="C365" s="201" t="s">
        <v>495</v>
      </c>
      <c r="D365" s="104" t="s">
        <v>17</v>
      </c>
      <c r="E365" s="104" t="s">
        <v>180</v>
      </c>
      <c r="F365" s="100">
        <v>45473</v>
      </c>
      <c r="G365" s="105">
        <v>1</v>
      </c>
      <c r="H365" s="99">
        <v>83</v>
      </c>
      <c r="I365" s="106"/>
      <c r="J365" s="107"/>
      <c r="K365" s="104"/>
      <c r="L365" s="103" t="str">
        <f t="shared" si="6"/>
        <v>Impayé</v>
      </c>
      <c r="N365" s="15"/>
    </row>
    <row r="366" spans="1:14" s="14" customFormat="1" ht="15" customHeight="1" x14ac:dyDescent="0.25">
      <c r="A366" s="100">
        <v>45838</v>
      </c>
      <c r="B366" s="104">
        <v>3867</v>
      </c>
      <c r="C366" s="201" t="s">
        <v>483</v>
      </c>
      <c r="D366" s="104" t="s">
        <v>17</v>
      </c>
      <c r="E366" s="104" t="s">
        <v>180</v>
      </c>
      <c r="F366" s="100">
        <v>45473</v>
      </c>
      <c r="G366" s="105">
        <v>2</v>
      </c>
      <c r="H366" s="99">
        <v>165</v>
      </c>
      <c r="I366" s="106"/>
      <c r="J366" s="107"/>
      <c r="K366" s="104"/>
      <c r="L366" s="103" t="str">
        <f t="shared" si="6"/>
        <v>Impayé</v>
      </c>
      <c r="N366" s="15"/>
    </row>
    <row r="367" spans="1:14" s="14" customFormat="1" ht="15" customHeight="1" x14ac:dyDescent="0.25">
      <c r="A367" s="100">
        <v>45838</v>
      </c>
      <c r="B367" s="104">
        <v>3919</v>
      </c>
      <c r="C367" s="201" t="s">
        <v>487</v>
      </c>
      <c r="D367" s="104" t="s">
        <v>17</v>
      </c>
      <c r="E367" s="104" t="s">
        <v>180</v>
      </c>
      <c r="F367" s="100">
        <v>45473</v>
      </c>
      <c r="G367" s="105">
        <v>2</v>
      </c>
      <c r="H367" s="99">
        <v>165</v>
      </c>
      <c r="I367" s="106"/>
      <c r="J367" s="107"/>
      <c r="K367" s="104"/>
      <c r="L367" s="103" t="str">
        <f t="shared" si="6"/>
        <v>Impayé</v>
      </c>
      <c r="N367" s="15"/>
    </row>
    <row r="368" spans="1:14" s="14" customFormat="1" ht="15" customHeight="1" x14ac:dyDescent="0.25">
      <c r="A368" s="100">
        <v>45838</v>
      </c>
      <c r="B368" s="104">
        <v>950</v>
      </c>
      <c r="C368" s="201" t="s">
        <v>363</v>
      </c>
      <c r="D368" s="104" t="s">
        <v>17</v>
      </c>
      <c r="E368" s="104" t="s">
        <v>180</v>
      </c>
      <c r="F368" s="100">
        <v>45473</v>
      </c>
      <c r="G368" s="105">
        <v>1</v>
      </c>
      <c r="H368" s="99">
        <v>83</v>
      </c>
      <c r="I368" s="106"/>
      <c r="J368" s="107"/>
      <c r="K368" s="104"/>
      <c r="L368" s="103" t="str">
        <f t="shared" si="6"/>
        <v>Impayé</v>
      </c>
      <c r="N368" s="15"/>
    </row>
    <row r="369" spans="1:14" s="14" customFormat="1" ht="15" customHeight="1" x14ac:dyDescent="0.25">
      <c r="A369" s="100">
        <v>45838</v>
      </c>
      <c r="B369" s="104">
        <v>3934</v>
      </c>
      <c r="C369" s="201" t="s">
        <v>490</v>
      </c>
      <c r="D369" s="104" t="s">
        <v>17</v>
      </c>
      <c r="E369" s="104" t="s">
        <v>180</v>
      </c>
      <c r="F369" s="100">
        <v>45473</v>
      </c>
      <c r="G369" s="105">
        <v>1</v>
      </c>
      <c r="H369" s="99">
        <v>83</v>
      </c>
      <c r="I369" s="106"/>
      <c r="J369" s="107"/>
      <c r="K369" s="104"/>
      <c r="L369" s="103" t="str">
        <f t="shared" si="6"/>
        <v>Impayé</v>
      </c>
      <c r="N369" s="15"/>
    </row>
    <row r="370" spans="1:14" s="14" customFormat="1" ht="15" customHeight="1" x14ac:dyDescent="0.25">
      <c r="A370" s="100">
        <v>45838</v>
      </c>
      <c r="B370" s="104" t="s">
        <v>61</v>
      </c>
      <c r="C370" s="201" t="s">
        <v>501</v>
      </c>
      <c r="D370" s="104" t="s">
        <v>17</v>
      </c>
      <c r="E370" s="104" t="s">
        <v>180</v>
      </c>
      <c r="F370" s="100">
        <v>45473</v>
      </c>
      <c r="G370" s="105">
        <v>1</v>
      </c>
      <c r="H370" s="99">
        <v>83</v>
      </c>
      <c r="I370" s="106"/>
      <c r="J370" s="107"/>
      <c r="K370" s="104"/>
      <c r="L370" s="103" t="str">
        <f t="shared" si="6"/>
        <v>Impayé</v>
      </c>
      <c r="N370" s="15"/>
    </row>
    <row r="371" spans="1:14" s="14" customFormat="1" ht="15" customHeight="1" x14ac:dyDescent="0.25">
      <c r="A371" s="100">
        <v>45838</v>
      </c>
      <c r="B371" s="104"/>
      <c r="C371" s="201" t="s">
        <v>491</v>
      </c>
      <c r="D371" s="104" t="s">
        <v>17</v>
      </c>
      <c r="E371" s="104" t="s">
        <v>180</v>
      </c>
      <c r="F371" s="100">
        <v>45473</v>
      </c>
      <c r="G371" s="105">
        <v>1</v>
      </c>
      <c r="H371" s="99">
        <v>83</v>
      </c>
      <c r="I371" s="106"/>
      <c r="J371" s="107"/>
      <c r="K371" s="104"/>
      <c r="L371" s="103" t="str">
        <f t="shared" si="6"/>
        <v>Impayé</v>
      </c>
      <c r="N371" s="15"/>
    </row>
    <row r="372" spans="1:14" s="14" customFormat="1" ht="15" customHeight="1" x14ac:dyDescent="0.25">
      <c r="A372" s="100">
        <v>45838</v>
      </c>
      <c r="B372" s="104">
        <v>3920</v>
      </c>
      <c r="C372" s="201" t="s">
        <v>488</v>
      </c>
      <c r="D372" s="104" t="s">
        <v>17</v>
      </c>
      <c r="E372" s="104" t="s">
        <v>180</v>
      </c>
      <c r="F372" s="100">
        <v>45473</v>
      </c>
      <c r="G372" s="105"/>
      <c r="H372" s="99">
        <v>83</v>
      </c>
      <c r="I372" s="106"/>
      <c r="J372" s="107"/>
      <c r="K372" s="104"/>
      <c r="L372" s="103" t="str">
        <f t="shared" si="6"/>
        <v>Impayé</v>
      </c>
      <c r="N372" s="15"/>
    </row>
    <row r="373" spans="1:14" s="14" customFormat="1" ht="15" customHeight="1" x14ac:dyDescent="0.25">
      <c r="A373" s="100">
        <v>45838</v>
      </c>
      <c r="B373" s="104">
        <v>3806</v>
      </c>
      <c r="C373" s="201" t="s">
        <v>471</v>
      </c>
      <c r="D373" s="104" t="s">
        <v>17</v>
      </c>
      <c r="E373" s="104" t="s">
        <v>180</v>
      </c>
      <c r="F373" s="100">
        <v>45473</v>
      </c>
      <c r="G373" s="105">
        <v>1</v>
      </c>
      <c r="H373" s="99">
        <v>83</v>
      </c>
      <c r="I373" s="106"/>
      <c r="J373" s="107"/>
      <c r="K373" s="104"/>
      <c r="L373" s="103" t="str">
        <f t="shared" si="6"/>
        <v>Impayé</v>
      </c>
      <c r="N373" s="15"/>
    </row>
    <row r="374" spans="1:14" s="14" customFormat="1" ht="15" customHeight="1" x14ac:dyDescent="0.25">
      <c r="A374" s="100">
        <v>45838</v>
      </c>
      <c r="B374" s="104">
        <v>3918</v>
      </c>
      <c r="C374" s="201" t="s">
        <v>486</v>
      </c>
      <c r="D374" s="104" t="s">
        <v>17</v>
      </c>
      <c r="E374" s="104" t="s">
        <v>180</v>
      </c>
      <c r="F374" s="100">
        <v>45473</v>
      </c>
      <c r="G374" s="105">
        <v>1</v>
      </c>
      <c r="H374" s="99">
        <v>83</v>
      </c>
      <c r="I374" s="106"/>
      <c r="J374" s="107"/>
      <c r="K374" s="104"/>
      <c r="L374" s="103" t="str">
        <f t="shared" si="6"/>
        <v>Impayé</v>
      </c>
      <c r="N374" s="15"/>
    </row>
    <row r="375" spans="1:14" s="14" customFormat="1" ht="15" customHeight="1" x14ac:dyDescent="0.25">
      <c r="A375" s="100">
        <v>45838</v>
      </c>
      <c r="B375" s="104">
        <v>3866</v>
      </c>
      <c r="C375" s="201" t="s">
        <v>482</v>
      </c>
      <c r="D375" s="104" t="s">
        <v>17</v>
      </c>
      <c r="E375" s="104" t="s">
        <v>180</v>
      </c>
      <c r="F375" s="100">
        <v>45473</v>
      </c>
      <c r="G375" s="105">
        <v>1</v>
      </c>
      <c r="H375" s="99">
        <v>83</v>
      </c>
      <c r="I375" s="106"/>
      <c r="J375" s="107"/>
      <c r="K375" s="104"/>
      <c r="L375" s="103" t="str">
        <f t="shared" si="6"/>
        <v>Impayé</v>
      </c>
      <c r="N375" s="15"/>
    </row>
    <row r="376" spans="1:14" s="14" customFormat="1" ht="15" customHeight="1" x14ac:dyDescent="0.25">
      <c r="A376" s="100">
        <v>45838</v>
      </c>
      <c r="B376" s="104">
        <v>950</v>
      </c>
      <c r="C376" s="201" t="s">
        <v>363</v>
      </c>
      <c r="D376" s="104" t="s">
        <v>17</v>
      </c>
      <c r="E376" s="104" t="s">
        <v>180</v>
      </c>
      <c r="F376" s="100">
        <v>45473</v>
      </c>
      <c r="G376" s="105">
        <v>2</v>
      </c>
      <c r="H376" s="99">
        <v>165</v>
      </c>
      <c r="I376" s="106"/>
      <c r="J376" s="107"/>
      <c r="K376" s="104"/>
      <c r="L376" s="103" t="str">
        <f t="shared" si="6"/>
        <v>Impayé</v>
      </c>
      <c r="N376" s="15"/>
    </row>
    <row r="377" spans="1:14" s="14" customFormat="1" ht="15" customHeight="1" x14ac:dyDescent="0.25">
      <c r="A377" s="100">
        <v>45838</v>
      </c>
      <c r="B377" s="145">
        <v>2248</v>
      </c>
      <c r="C377" s="200" t="s">
        <v>179</v>
      </c>
      <c r="D377" s="98" t="s">
        <v>17</v>
      </c>
      <c r="E377" s="99" t="s">
        <v>180</v>
      </c>
      <c r="F377" s="100">
        <v>45473</v>
      </c>
      <c r="G377" s="99">
        <v>1</v>
      </c>
      <c r="H377" s="101">
        <v>71.535161350494306</v>
      </c>
      <c r="I377" s="97"/>
      <c r="J377" s="102"/>
      <c r="K377" s="101"/>
      <c r="L377" s="103" t="str">
        <f t="shared" si="6"/>
        <v>Impayé</v>
      </c>
      <c r="N377" s="15"/>
    </row>
    <row r="378" spans="1:14" s="14" customFormat="1" ht="15" customHeight="1" x14ac:dyDescent="0.25">
      <c r="A378" s="100">
        <v>45838</v>
      </c>
      <c r="B378" s="145">
        <v>2260</v>
      </c>
      <c r="C378" s="200" t="s">
        <v>181</v>
      </c>
      <c r="D378" s="98" t="s">
        <v>17</v>
      </c>
      <c r="E378" s="99" t="s">
        <v>180</v>
      </c>
      <c r="F378" s="100">
        <v>45473</v>
      </c>
      <c r="G378" s="99">
        <v>1</v>
      </c>
      <c r="H378" s="101">
        <v>71.535161350494306</v>
      </c>
      <c r="I378" s="97"/>
      <c r="J378" s="102"/>
      <c r="K378" s="101"/>
      <c r="L378" s="103" t="str">
        <f t="shared" si="6"/>
        <v>Impayé</v>
      </c>
      <c r="N378" s="15"/>
    </row>
    <row r="379" spans="1:14" s="14" customFormat="1" ht="15" customHeight="1" x14ac:dyDescent="0.25">
      <c r="A379" s="100">
        <v>45838</v>
      </c>
      <c r="B379" s="104">
        <v>2674</v>
      </c>
      <c r="C379" s="201" t="s">
        <v>364</v>
      </c>
      <c r="D379" s="104" t="s">
        <v>17</v>
      </c>
      <c r="E379" s="104" t="s">
        <v>180</v>
      </c>
      <c r="F379" s="100">
        <v>45473</v>
      </c>
      <c r="G379" s="105">
        <v>2</v>
      </c>
      <c r="H379" s="99">
        <v>165</v>
      </c>
      <c r="I379" s="106"/>
      <c r="J379" s="107"/>
      <c r="K379" s="104"/>
      <c r="L379" s="103" t="str">
        <f t="shared" si="6"/>
        <v>Impayé</v>
      </c>
      <c r="N379" s="15"/>
    </row>
    <row r="380" spans="1:14" s="14" customFormat="1" ht="15" customHeight="1" x14ac:dyDescent="0.25">
      <c r="A380" s="100">
        <v>45838</v>
      </c>
      <c r="B380" s="104">
        <v>3942</v>
      </c>
      <c r="C380" s="201" t="s">
        <v>494</v>
      </c>
      <c r="D380" s="104" t="s">
        <v>17</v>
      </c>
      <c r="E380" s="104" t="s">
        <v>180</v>
      </c>
      <c r="F380" s="100">
        <v>45473</v>
      </c>
      <c r="G380" s="105">
        <v>1</v>
      </c>
      <c r="H380" s="99">
        <v>83</v>
      </c>
      <c r="I380" s="106"/>
      <c r="J380" s="107"/>
      <c r="K380" s="104"/>
      <c r="L380" s="103" t="str">
        <f t="shared" si="6"/>
        <v>Impayé</v>
      </c>
      <c r="N380" s="15"/>
    </row>
    <row r="381" spans="1:14" s="14" customFormat="1" ht="15" customHeight="1" x14ac:dyDescent="0.25">
      <c r="A381" s="100">
        <v>45838</v>
      </c>
      <c r="B381" s="104">
        <v>3945</v>
      </c>
      <c r="C381" s="201" t="s">
        <v>496</v>
      </c>
      <c r="D381" s="104" t="s">
        <v>17</v>
      </c>
      <c r="E381" s="104" t="s">
        <v>180</v>
      </c>
      <c r="F381" s="100">
        <v>45473</v>
      </c>
      <c r="G381" s="105">
        <v>1</v>
      </c>
      <c r="H381" s="99">
        <v>83</v>
      </c>
      <c r="I381" s="106"/>
      <c r="J381" s="107"/>
      <c r="K381" s="104"/>
      <c r="L381" s="103" t="str">
        <f t="shared" si="6"/>
        <v>Impayé</v>
      </c>
      <c r="N381" s="15"/>
    </row>
    <row r="382" spans="1:14" s="14" customFormat="1" ht="15" customHeight="1" x14ac:dyDescent="0.25">
      <c r="A382" s="100">
        <v>45838</v>
      </c>
      <c r="B382" s="104">
        <v>3999</v>
      </c>
      <c r="C382" s="201" t="s">
        <v>504</v>
      </c>
      <c r="D382" s="104" t="s">
        <v>17</v>
      </c>
      <c r="E382" s="104" t="s">
        <v>180</v>
      </c>
      <c r="F382" s="100">
        <v>45473</v>
      </c>
      <c r="G382" s="105">
        <v>1</v>
      </c>
      <c r="H382" s="99">
        <v>83</v>
      </c>
      <c r="I382" s="106"/>
      <c r="J382" s="107"/>
      <c r="K382" s="104"/>
      <c r="L382" s="103" t="str">
        <f t="shared" si="6"/>
        <v>Impayé</v>
      </c>
      <c r="N382" s="15"/>
    </row>
    <row r="383" spans="1:14" s="14" customFormat="1" ht="15" customHeight="1" x14ac:dyDescent="0.25">
      <c r="A383" s="100">
        <v>45838</v>
      </c>
      <c r="B383" s="104"/>
      <c r="C383" s="201" t="s">
        <v>516</v>
      </c>
      <c r="D383" s="104" t="s">
        <v>17</v>
      </c>
      <c r="E383" s="104" t="s">
        <v>180</v>
      </c>
      <c r="F383" s="100">
        <v>45473</v>
      </c>
      <c r="G383" s="105">
        <v>1</v>
      </c>
      <c r="H383" s="99">
        <v>83</v>
      </c>
      <c r="I383" s="106"/>
      <c r="J383" s="107"/>
      <c r="K383" s="104"/>
      <c r="L383" s="103" t="str">
        <f t="shared" si="6"/>
        <v>Impayé</v>
      </c>
      <c r="N383" s="15"/>
    </row>
    <row r="384" spans="1:14" s="14" customFormat="1" ht="15" customHeight="1" x14ac:dyDescent="0.25">
      <c r="A384" s="100">
        <v>45838</v>
      </c>
      <c r="B384" s="145">
        <v>3122</v>
      </c>
      <c r="C384" s="200" t="s">
        <v>410</v>
      </c>
      <c r="D384" s="98" t="s">
        <v>17</v>
      </c>
      <c r="E384" s="99" t="s">
        <v>396</v>
      </c>
      <c r="F384" s="100">
        <v>45473</v>
      </c>
      <c r="G384" s="105">
        <v>1</v>
      </c>
      <c r="H384" s="101">
        <v>78.688677485543749</v>
      </c>
      <c r="I384" s="97"/>
      <c r="J384" s="109"/>
      <c r="K384" s="101"/>
      <c r="L384" s="103" t="str">
        <f t="shared" si="6"/>
        <v>Impayé</v>
      </c>
      <c r="N384" s="15"/>
    </row>
    <row r="385" spans="1:14" s="14" customFormat="1" ht="15" customHeight="1" x14ac:dyDescent="0.25">
      <c r="A385" s="100">
        <v>45838</v>
      </c>
      <c r="B385" s="145">
        <v>2436</v>
      </c>
      <c r="C385" s="200" t="s">
        <v>405</v>
      </c>
      <c r="D385" s="98" t="s">
        <v>17</v>
      </c>
      <c r="E385" s="99" t="s">
        <v>396</v>
      </c>
      <c r="F385" s="100">
        <v>45473</v>
      </c>
      <c r="G385" s="99">
        <v>0.5</v>
      </c>
      <c r="H385" s="108">
        <v>41.307591867188954</v>
      </c>
      <c r="I385" s="97"/>
      <c r="J385" s="109"/>
      <c r="K385" s="101"/>
      <c r="L385" s="103" t="str">
        <f t="shared" si="6"/>
        <v>Impayé</v>
      </c>
      <c r="N385" s="15"/>
    </row>
    <row r="386" spans="1:14" s="14" customFormat="1" ht="15" customHeight="1" x14ac:dyDescent="0.25">
      <c r="A386" s="100">
        <v>45838</v>
      </c>
      <c r="B386" s="145">
        <v>1463</v>
      </c>
      <c r="C386" s="200" t="s">
        <v>427</v>
      </c>
      <c r="D386" s="98" t="s">
        <v>17</v>
      </c>
      <c r="E386" s="99" t="s">
        <v>396</v>
      </c>
      <c r="F386" s="100">
        <v>45473</v>
      </c>
      <c r="G386" s="99">
        <v>4</v>
      </c>
      <c r="H386" s="108">
        <v>330.46073493751163</v>
      </c>
      <c r="I386" s="97"/>
      <c r="J386" s="109"/>
      <c r="K386" s="101"/>
      <c r="L386" s="103" t="str">
        <f t="shared" si="6"/>
        <v>Impayé</v>
      </c>
      <c r="N386" s="15"/>
    </row>
    <row r="387" spans="1:14" s="14" customFormat="1" ht="15" customHeight="1" x14ac:dyDescent="0.25">
      <c r="A387" s="100">
        <v>45838</v>
      </c>
      <c r="B387" s="145">
        <v>3549</v>
      </c>
      <c r="C387" s="200" t="s">
        <v>428</v>
      </c>
      <c r="D387" s="98" t="s">
        <v>17</v>
      </c>
      <c r="E387" s="99" t="s">
        <v>396</v>
      </c>
      <c r="F387" s="100">
        <v>45473</v>
      </c>
      <c r="G387" s="99">
        <v>2</v>
      </c>
      <c r="H387" s="108">
        <v>165.23036746875582</v>
      </c>
      <c r="I387" s="97"/>
      <c r="J387" s="109"/>
      <c r="K387" s="101"/>
      <c r="L387" s="103" t="str">
        <f t="shared" si="6"/>
        <v>Impayé</v>
      </c>
      <c r="N387" s="15"/>
    </row>
    <row r="388" spans="1:14" s="14" customFormat="1" ht="15" customHeight="1" x14ac:dyDescent="0.25">
      <c r="A388" s="100">
        <v>45838</v>
      </c>
      <c r="B388" s="145"/>
      <c r="C388" s="200" t="s">
        <v>429</v>
      </c>
      <c r="D388" s="98" t="s">
        <v>17</v>
      </c>
      <c r="E388" s="99" t="s">
        <v>396</v>
      </c>
      <c r="F388" s="100">
        <v>45473</v>
      </c>
      <c r="G388" s="99">
        <v>0.5</v>
      </c>
      <c r="H388" s="108">
        <v>41.307591867188954</v>
      </c>
      <c r="I388" s="97"/>
      <c r="J388" s="109"/>
      <c r="K388" s="101"/>
      <c r="L388" s="103" t="str">
        <f t="shared" si="6"/>
        <v>Impayé</v>
      </c>
      <c r="N388" s="15"/>
    </row>
    <row r="389" spans="1:14" s="14" customFormat="1" ht="15" customHeight="1" x14ac:dyDescent="0.25">
      <c r="A389" s="100">
        <v>45838</v>
      </c>
      <c r="B389" s="145">
        <v>3438</v>
      </c>
      <c r="C389" s="200" t="s">
        <v>401</v>
      </c>
      <c r="D389" s="98" t="s">
        <v>17</v>
      </c>
      <c r="E389" s="99" t="s">
        <v>49</v>
      </c>
      <c r="F389" s="100">
        <v>45473</v>
      </c>
      <c r="G389" s="99">
        <v>2</v>
      </c>
      <c r="H389" s="101">
        <v>157.3773549710875</v>
      </c>
      <c r="I389" s="97"/>
      <c r="J389" s="102"/>
      <c r="K389" s="101"/>
      <c r="L389" s="103" t="str">
        <f t="shared" si="6"/>
        <v>Impayé</v>
      </c>
      <c r="N389" s="15"/>
    </row>
    <row r="390" spans="1:14" s="14" customFormat="1" ht="15" customHeight="1" x14ac:dyDescent="0.25">
      <c r="A390" s="100">
        <v>45838</v>
      </c>
      <c r="B390" s="145">
        <v>3490</v>
      </c>
      <c r="C390" s="200" t="s">
        <v>414</v>
      </c>
      <c r="D390" s="98" t="s">
        <v>17</v>
      </c>
      <c r="E390" s="99" t="s">
        <v>49</v>
      </c>
      <c r="F390" s="100">
        <v>45473</v>
      </c>
      <c r="G390" s="99">
        <v>1</v>
      </c>
      <c r="H390" s="101">
        <v>78.688677485543749</v>
      </c>
      <c r="I390" s="97"/>
      <c r="J390" s="109"/>
      <c r="K390" s="101"/>
      <c r="L390" s="103" t="str">
        <f t="shared" si="6"/>
        <v>Impayé</v>
      </c>
      <c r="N390" s="15"/>
    </row>
    <row r="391" spans="1:14" s="14" customFormat="1" ht="15" customHeight="1" x14ac:dyDescent="0.25">
      <c r="A391" s="100">
        <v>45838</v>
      </c>
      <c r="B391" s="145">
        <v>3491</v>
      </c>
      <c r="C391" s="200" t="s">
        <v>415</v>
      </c>
      <c r="D391" s="98" t="s">
        <v>17</v>
      </c>
      <c r="E391" s="99" t="s">
        <v>49</v>
      </c>
      <c r="F391" s="100">
        <v>45473</v>
      </c>
      <c r="G391" s="99">
        <v>1</v>
      </c>
      <c r="H391" s="101">
        <v>78.688677485543749</v>
      </c>
      <c r="I391" s="97"/>
      <c r="J391" s="109"/>
      <c r="K391" s="101"/>
      <c r="L391" s="103" t="str">
        <f t="shared" si="6"/>
        <v>Impayé</v>
      </c>
      <c r="N391" s="15"/>
    </row>
    <row r="392" spans="1:14" s="14" customFormat="1" ht="15" customHeight="1" x14ac:dyDescent="0.25">
      <c r="A392" s="100">
        <v>45838</v>
      </c>
      <c r="B392" s="145">
        <v>3437</v>
      </c>
      <c r="C392" s="200" t="s">
        <v>400</v>
      </c>
      <c r="D392" s="98" t="s">
        <v>17</v>
      </c>
      <c r="E392" s="99" t="s">
        <v>49</v>
      </c>
      <c r="F392" s="100">
        <v>45473</v>
      </c>
      <c r="G392" s="99">
        <v>1</v>
      </c>
      <c r="H392" s="101">
        <v>82.615183734377908</v>
      </c>
      <c r="I392" s="97">
        <v>46045</v>
      </c>
      <c r="J392" s="109">
        <v>0.68194444444444446</v>
      </c>
      <c r="K392" s="101">
        <v>82.615183734377908</v>
      </c>
      <c r="L392" s="103" t="str">
        <f t="shared" si="6"/>
        <v>Payé</v>
      </c>
      <c r="N392" s="15"/>
    </row>
    <row r="393" spans="1:14" s="14" customFormat="1" ht="15" customHeight="1" x14ac:dyDescent="0.25">
      <c r="A393" s="100">
        <v>45838</v>
      </c>
      <c r="B393" s="145">
        <v>3522</v>
      </c>
      <c r="C393" s="200" t="s">
        <v>419</v>
      </c>
      <c r="D393" s="98" t="s">
        <v>17</v>
      </c>
      <c r="E393" s="99" t="s">
        <v>49</v>
      </c>
      <c r="F393" s="100">
        <v>45473</v>
      </c>
      <c r="G393" s="99">
        <v>1</v>
      </c>
      <c r="H393" s="101">
        <v>82.615183734377908</v>
      </c>
      <c r="I393" s="97"/>
      <c r="J393" s="109"/>
      <c r="K393" s="101"/>
      <c r="L393" s="103" t="str">
        <f t="shared" si="6"/>
        <v>Impayé</v>
      </c>
      <c r="N393" s="15"/>
    </row>
    <row r="394" spans="1:14" s="14" customFormat="1" ht="15" customHeight="1" x14ac:dyDescent="0.25">
      <c r="A394" s="100">
        <v>45838</v>
      </c>
      <c r="B394" s="145">
        <v>851</v>
      </c>
      <c r="C394" s="200" t="s">
        <v>403</v>
      </c>
      <c r="D394" s="98" t="s">
        <v>17</v>
      </c>
      <c r="E394" s="99" t="s">
        <v>49</v>
      </c>
      <c r="F394" s="100">
        <v>45473</v>
      </c>
      <c r="G394" s="99">
        <v>1</v>
      </c>
      <c r="H394" s="108">
        <v>82.615183734377908</v>
      </c>
      <c r="I394" s="97"/>
      <c r="J394" s="109"/>
      <c r="K394" s="108"/>
      <c r="L394" s="103" t="str">
        <f t="shared" si="6"/>
        <v>Impayé</v>
      </c>
      <c r="N394" s="15"/>
    </row>
    <row r="395" spans="1:14" s="14" customFormat="1" ht="15" customHeight="1" x14ac:dyDescent="0.25">
      <c r="A395" s="100">
        <v>45838</v>
      </c>
      <c r="B395" s="145">
        <v>3418</v>
      </c>
      <c r="C395" s="200" t="s">
        <v>379</v>
      </c>
      <c r="D395" s="98" t="s">
        <v>17</v>
      </c>
      <c r="E395" s="99" t="s">
        <v>49</v>
      </c>
      <c r="F395" s="100">
        <v>45473</v>
      </c>
      <c r="G395" s="99">
        <v>1</v>
      </c>
      <c r="H395" s="108">
        <v>82.615183734377908</v>
      </c>
      <c r="I395" s="97"/>
      <c r="J395" s="109"/>
      <c r="K395" s="108"/>
      <c r="L395" s="103" t="str">
        <f t="shared" si="6"/>
        <v>Impayé</v>
      </c>
      <c r="N395" s="15"/>
    </row>
    <row r="396" spans="1:14" s="14" customFormat="1" ht="15" customHeight="1" x14ac:dyDescent="0.25">
      <c r="A396" s="100">
        <v>45838</v>
      </c>
      <c r="B396" s="145">
        <v>3625</v>
      </c>
      <c r="C396" s="200" t="s">
        <v>437</v>
      </c>
      <c r="D396" s="98" t="s">
        <v>17</v>
      </c>
      <c r="E396" s="99" t="s">
        <v>49</v>
      </c>
      <c r="F396" s="100">
        <v>45473</v>
      </c>
      <c r="G396" s="99">
        <v>1</v>
      </c>
      <c r="H396" s="108">
        <v>82.615183734377908</v>
      </c>
      <c r="I396" s="97"/>
      <c r="J396" s="109"/>
      <c r="K396" s="108"/>
      <c r="L396" s="103" t="str">
        <f t="shared" si="6"/>
        <v>Impayé</v>
      </c>
      <c r="N396" s="15"/>
    </row>
    <row r="397" spans="1:14" s="14" customFormat="1" ht="15" customHeight="1" x14ac:dyDescent="0.25">
      <c r="A397" s="100">
        <v>45838</v>
      </c>
      <c r="B397" s="145">
        <v>3608</v>
      </c>
      <c r="C397" s="200" t="s">
        <v>435</v>
      </c>
      <c r="D397" s="98" t="s">
        <v>17</v>
      </c>
      <c r="E397" s="99" t="s">
        <v>49</v>
      </c>
      <c r="F397" s="100">
        <v>45473</v>
      </c>
      <c r="G397" s="99">
        <v>1</v>
      </c>
      <c r="H397" s="108">
        <v>82.615183734377908</v>
      </c>
      <c r="I397" s="97"/>
      <c r="J397" s="109"/>
      <c r="K397" s="108"/>
      <c r="L397" s="103" t="str">
        <f t="shared" si="6"/>
        <v>Impayé</v>
      </c>
      <c r="N397" s="15"/>
    </row>
    <row r="398" spans="1:14" s="14" customFormat="1" ht="15" customHeight="1" x14ac:dyDescent="0.25">
      <c r="A398" s="100">
        <v>45838</v>
      </c>
      <c r="B398" s="145">
        <v>3259</v>
      </c>
      <c r="C398" s="200" t="s">
        <v>386</v>
      </c>
      <c r="D398" s="98" t="s">
        <v>17</v>
      </c>
      <c r="E398" s="99" t="s">
        <v>49</v>
      </c>
      <c r="F398" s="100">
        <v>45473</v>
      </c>
      <c r="G398" s="99">
        <v>1</v>
      </c>
      <c r="H398" s="101">
        <v>78.688677485543749</v>
      </c>
      <c r="I398" s="97"/>
      <c r="J398" s="102"/>
      <c r="K398" s="101"/>
      <c r="L398" s="103" t="str">
        <f t="shared" si="6"/>
        <v>Impayé</v>
      </c>
      <c r="N398" s="15"/>
    </row>
    <row r="399" spans="1:14" s="14" customFormat="1" ht="15" customHeight="1" x14ac:dyDescent="0.25">
      <c r="A399" s="100">
        <v>45838</v>
      </c>
      <c r="B399" s="145"/>
      <c r="C399" s="200" t="s">
        <v>385</v>
      </c>
      <c r="D399" s="98" t="s">
        <v>17</v>
      </c>
      <c r="E399" s="99" t="s">
        <v>49</v>
      </c>
      <c r="F399" s="100">
        <v>45473</v>
      </c>
      <c r="G399" s="99">
        <v>2</v>
      </c>
      <c r="H399" s="101">
        <v>157.3773549710875</v>
      </c>
      <c r="I399" s="97"/>
      <c r="J399" s="102"/>
      <c r="K399" s="101"/>
      <c r="L399" s="103" t="str">
        <f t="shared" si="6"/>
        <v>Impayé</v>
      </c>
      <c r="N399" s="15"/>
    </row>
    <row r="400" spans="1:14" s="14" customFormat="1" ht="15" customHeight="1" x14ac:dyDescent="0.25">
      <c r="A400" s="100">
        <v>45838</v>
      </c>
      <c r="B400" s="145">
        <v>3640</v>
      </c>
      <c r="C400" s="200" t="s">
        <v>443</v>
      </c>
      <c r="D400" s="98" t="s">
        <v>17</v>
      </c>
      <c r="E400" s="99" t="s">
        <v>49</v>
      </c>
      <c r="F400" s="100">
        <v>45473</v>
      </c>
      <c r="G400" s="99">
        <v>3</v>
      </c>
      <c r="H400" s="108">
        <v>247.84555120313374</v>
      </c>
      <c r="I400" s="97"/>
      <c r="J400" s="109"/>
      <c r="K400" s="108"/>
      <c r="L400" s="103" t="str">
        <f t="shared" si="6"/>
        <v>Impayé</v>
      </c>
      <c r="N400" s="15"/>
    </row>
    <row r="401" spans="1:14" s="14" customFormat="1" ht="15" customHeight="1" x14ac:dyDescent="0.25">
      <c r="A401" s="100">
        <v>45838</v>
      </c>
      <c r="B401" s="145">
        <v>3646</v>
      </c>
      <c r="C401" s="200" t="s">
        <v>444</v>
      </c>
      <c r="D401" s="98" t="s">
        <v>17</v>
      </c>
      <c r="E401" s="99" t="s">
        <v>49</v>
      </c>
      <c r="F401" s="100">
        <v>45473</v>
      </c>
      <c r="G401" s="99">
        <v>2</v>
      </c>
      <c r="H401" s="108">
        <v>165.23036746875582</v>
      </c>
      <c r="I401" s="97"/>
      <c r="J401" s="109"/>
      <c r="K401" s="108"/>
      <c r="L401" s="103" t="str">
        <f t="shared" si="6"/>
        <v>Impayé</v>
      </c>
      <c r="N401" s="15"/>
    </row>
    <row r="402" spans="1:14" s="14" customFormat="1" ht="15" customHeight="1" x14ac:dyDescent="0.25">
      <c r="A402" s="100">
        <v>45838</v>
      </c>
      <c r="B402" s="145">
        <v>3647</v>
      </c>
      <c r="C402" s="200" t="s">
        <v>445</v>
      </c>
      <c r="D402" s="98" t="s">
        <v>17</v>
      </c>
      <c r="E402" s="99" t="s">
        <v>49</v>
      </c>
      <c r="F402" s="100">
        <v>0</v>
      </c>
      <c r="G402" s="99">
        <v>2</v>
      </c>
      <c r="H402" s="108">
        <v>165.23036746875582</v>
      </c>
      <c r="I402" s="97"/>
      <c r="J402" s="109"/>
      <c r="K402" s="108"/>
      <c r="L402" s="103" t="str">
        <f t="shared" si="6"/>
        <v>Impayé</v>
      </c>
      <c r="N402" s="15"/>
    </row>
    <row r="403" spans="1:14" s="14" customFormat="1" ht="15" customHeight="1" x14ac:dyDescent="0.25">
      <c r="A403" s="100">
        <v>45838</v>
      </c>
      <c r="B403" s="145">
        <v>2855</v>
      </c>
      <c r="C403" s="200" t="s">
        <v>275</v>
      </c>
      <c r="D403" s="98" t="s">
        <v>17</v>
      </c>
      <c r="E403" s="99" t="s">
        <v>49</v>
      </c>
      <c r="F403" s="100">
        <v>45473</v>
      </c>
      <c r="G403" s="99">
        <v>1</v>
      </c>
      <c r="H403" s="101">
        <v>78.688677485543749</v>
      </c>
      <c r="I403" s="97"/>
      <c r="J403" s="102"/>
      <c r="K403" s="101"/>
      <c r="L403" s="103" t="str">
        <f t="shared" si="6"/>
        <v>Impayé</v>
      </c>
      <c r="N403" s="15"/>
    </row>
    <row r="404" spans="1:14" s="14" customFormat="1" ht="15" customHeight="1" x14ac:dyDescent="0.25">
      <c r="A404" s="100">
        <v>45838</v>
      </c>
      <c r="B404" s="145">
        <v>2808</v>
      </c>
      <c r="C404" s="200" t="s">
        <v>262</v>
      </c>
      <c r="D404" s="98" t="s">
        <v>17</v>
      </c>
      <c r="E404" s="99" t="s">
        <v>49</v>
      </c>
      <c r="F404" s="100">
        <v>45473</v>
      </c>
      <c r="G404" s="99">
        <v>1</v>
      </c>
      <c r="H404" s="101">
        <v>78.688677485543749</v>
      </c>
      <c r="I404" s="97"/>
      <c r="J404" s="102"/>
      <c r="K404" s="101"/>
      <c r="L404" s="103" t="str">
        <f t="shared" si="6"/>
        <v>Impayé</v>
      </c>
      <c r="N404" s="15"/>
    </row>
    <row r="405" spans="1:14" s="14" customFormat="1" ht="15" customHeight="1" x14ac:dyDescent="0.25">
      <c r="A405" s="100">
        <v>45838</v>
      </c>
      <c r="B405" s="145">
        <v>3342</v>
      </c>
      <c r="C405" s="200" t="s">
        <v>351</v>
      </c>
      <c r="D405" s="98" t="s">
        <v>17</v>
      </c>
      <c r="E405" s="99" t="s">
        <v>49</v>
      </c>
      <c r="F405" s="100">
        <v>45473</v>
      </c>
      <c r="G405" s="99">
        <v>5</v>
      </c>
      <c r="H405" s="101">
        <v>393.44338742771873</v>
      </c>
      <c r="I405" s="97"/>
      <c r="J405" s="102"/>
      <c r="K405" s="101"/>
      <c r="L405" s="103" t="str">
        <f t="shared" si="6"/>
        <v>Impayé</v>
      </c>
      <c r="N405" s="15"/>
    </row>
    <row r="406" spans="1:14" s="14" customFormat="1" ht="15" customHeight="1" x14ac:dyDescent="0.25">
      <c r="A406" s="100">
        <v>45838</v>
      </c>
      <c r="B406" s="145">
        <v>3077</v>
      </c>
      <c r="C406" s="200" t="s">
        <v>289</v>
      </c>
      <c r="D406" s="98" t="s">
        <v>17</v>
      </c>
      <c r="E406" s="99" t="s">
        <v>49</v>
      </c>
      <c r="F406" s="100">
        <v>45473</v>
      </c>
      <c r="G406" s="99">
        <v>1</v>
      </c>
      <c r="H406" s="101">
        <v>78.688677485543749</v>
      </c>
      <c r="I406" s="97"/>
      <c r="J406" s="102"/>
      <c r="K406" s="101"/>
      <c r="L406" s="103" t="str">
        <f t="shared" si="6"/>
        <v>Impayé</v>
      </c>
      <c r="N406" s="15"/>
    </row>
    <row r="407" spans="1:14" s="14" customFormat="1" ht="15" customHeight="1" x14ac:dyDescent="0.25">
      <c r="A407" s="100">
        <v>45838</v>
      </c>
      <c r="B407" s="145">
        <v>2818</v>
      </c>
      <c r="C407" s="200" t="s">
        <v>259</v>
      </c>
      <c r="D407" s="98" t="s">
        <v>17</v>
      </c>
      <c r="E407" s="99" t="s">
        <v>49</v>
      </c>
      <c r="F407" s="100">
        <v>45473</v>
      </c>
      <c r="G407" s="99">
        <v>5</v>
      </c>
      <c r="H407" s="101">
        <v>393.44338742771873</v>
      </c>
      <c r="I407" s="97"/>
      <c r="J407" s="102"/>
      <c r="K407" s="101"/>
      <c r="L407" s="103" t="str">
        <f t="shared" si="6"/>
        <v>Impayé</v>
      </c>
      <c r="N407" s="15"/>
    </row>
    <row r="408" spans="1:14" s="14" customFormat="1" ht="15" customHeight="1" x14ac:dyDescent="0.25">
      <c r="A408" s="100">
        <v>45838</v>
      </c>
      <c r="B408" s="145">
        <v>1902</v>
      </c>
      <c r="C408" s="200" t="s">
        <v>144</v>
      </c>
      <c r="D408" s="98" t="s">
        <v>17</v>
      </c>
      <c r="E408" s="99" t="s">
        <v>49</v>
      </c>
      <c r="F408" s="100">
        <v>45473</v>
      </c>
      <c r="G408" s="99">
        <v>1</v>
      </c>
      <c r="H408" s="101">
        <v>71.535161350494306</v>
      </c>
      <c r="I408" s="97"/>
      <c r="J408" s="102"/>
      <c r="K408" s="101"/>
      <c r="L408" s="103" t="str">
        <f t="shared" si="6"/>
        <v>Impayé</v>
      </c>
      <c r="N408" s="15"/>
    </row>
    <row r="409" spans="1:14" s="14" customFormat="1" ht="15" customHeight="1" x14ac:dyDescent="0.25">
      <c r="A409" s="100">
        <v>45838</v>
      </c>
      <c r="B409" s="145">
        <v>875</v>
      </c>
      <c r="C409" s="200" t="s">
        <v>64</v>
      </c>
      <c r="D409" s="98" t="s">
        <v>17</v>
      </c>
      <c r="E409" s="99" t="s">
        <v>49</v>
      </c>
      <c r="F409" s="100">
        <v>45473</v>
      </c>
      <c r="G409" s="99">
        <v>4.22</v>
      </c>
      <c r="H409" s="101">
        <v>302</v>
      </c>
      <c r="I409" s="97"/>
      <c r="J409" s="102"/>
      <c r="K409" s="101"/>
      <c r="L409" s="103" t="str">
        <f t="shared" si="6"/>
        <v>Impayé</v>
      </c>
      <c r="N409" s="15"/>
    </row>
    <row r="410" spans="1:14" s="14" customFormat="1" ht="15" customHeight="1" x14ac:dyDescent="0.25">
      <c r="A410" s="100">
        <v>45838</v>
      </c>
      <c r="B410" s="145">
        <v>2806</v>
      </c>
      <c r="C410" s="200" t="s">
        <v>260</v>
      </c>
      <c r="D410" s="98" t="s">
        <v>17</v>
      </c>
      <c r="E410" s="99" t="s">
        <v>49</v>
      </c>
      <c r="F410" s="100">
        <v>45473</v>
      </c>
      <c r="G410" s="99">
        <v>1</v>
      </c>
      <c r="H410" s="101">
        <v>78.688677485543749</v>
      </c>
      <c r="I410" s="97"/>
      <c r="J410" s="102"/>
      <c r="K410" s="101"/>
      <c r="L410" s="103" t="str">
        <f t="shared" si="6"/>
        <v>Impayé</v>
      </c>
      <c r="N410" s="15"/>
    </row>
    <row r="411" spans="1:14" s="14" customFormat="1" ht="15" customHeight="1" x14ac:dyDescent="0.25">
      <c r="A411" s="100">
        <v>45838</v>
      </c>
      <c r="B411" s="145">
        <v>2797</v>
      </c>
      <c r="C411" s="200" t="s">
        <v>258</v>
      </c>
      <c r="D411" s="98" t="s">
        <v>17</v>
      </c>
      <c r="E411" s="99" t="s">
        <v>49</v>
      </c>
      <c r="F411" s="100">
        <v>45473</v>
      </c>
      <c r="G411" s="99">
        <v>1</v>
      </c>
      <c r="H411" s="101">
        <v>78.688677485543749</v>
      </c>
      <c r="I411" s="97"/>
      <c r="J411" s="102"/>
      <c r="K411" s="101"/>
      <c r="L411" s="103" t="str">
        <f t="shared" si="6"/>
        <v>Impayé</v>
      </c>
      <c r="N411" s="15"/>
    </row>
    <row r="412" spans="1:14" s="14" customFormat="1" ht="15" customHeight="1" x14ac:dyDescent="0.25">
      <c r="A412" s="100">
        <v>45838</v>
      </c>
      <c r="B412" s="145">
        <v>1777</v>
      </c>
      <c r="C412" s="200" t="s">
        <v>48</v>
      </c>
      <c r="D412" s="98" t="s">
        <v>17</v>
      </c>
      <c r="E412" s="99" t="s">
        <v>49</v>
      </c>
      <c r="F412" s="100">
        <v>45473</v>
      </c>
      <c r="G412" s="99">
        <v>1</v>
      </c>
      <c r="H412" s="101">
        <v>71.535161350494306</v>
      </c>
      <c r="I412" s="97"/>
      <c r="J412" s="102"/>
      <c r="K412" s="101"/>
      <c r="L412" s="103" t="str">
        <f t="shared" si="6"/>
        <v>Impayé</v>
      </c>
      <c r="N412" s="15"/>
    </row>
    <row r="413" spans="1:14" s="14" customFormat="1" ht="15" customHeight="1" x14ac:dyDescent="0.25">
      <c r="A413" s="100">
        <v>45838</v>
      </c>
      <c r="B413" s="145">
        <v>3261</v>
      </c>
      <c r="C413" s="200" t="s">
        <v>350</v>
      </c>
      <c r="D413" s="98" t="s">
        <v>17</v>
      </c>
      <c r="E413" s="99" t="s">
        <v>49</v>
      </c>
      <c r="F413" s="100">
        <v>45473</v>
      </c>
      <c r="G413" s="99">
        <v>1</v>
      </c>
      <c r="H413" s="101">
        <v>78.688677485543749</v>
      </c>
      <c r="I413" s="97"/>
      <c r="J413" s="102"/>
      <c r="K413" s="101"/>
      <c r="L413" s="103" t="str">
        <f t="shared" si="6"/>
        <v>Impayé</v>
      </c>
      <c r="N413" s="15"/>
    </row>
    <row r="414" spans="1:14" s="14" customFormat="1" ht="15" customHeight="1" x14ac:dyDescent="0.25">
      <c r="A414" s="100">
        <v>45838</v>
      </c>
      <c r="B414" s="145">
        <v>2807</v>
      </c>
      <c r="C414" s="200" t="s">
        <v>261</v>
      </c>
      <c r="D414" s="98" t="s">
        <v>17</v>
      </c>
      <c r="E414" s="99" t="s">
        <v>49</v>
      </c>
      <c r="F414" s="100">
        <v>45473</v>
      </c>
      <c r="G414" s="99">
        <v>1</v>
      </c>
      <c r="H414" s="101">
        <v>78.688677485543749</v>
      </c>
      <c r="I414" s="97"/>
      <c r="J414" s="102"/>
      <c r="K414" s="101"/>
      <c r="L414" s="103" t="str">
        <f t="shared" si="6"/>
        <v>Impayé</v>
      </c>
      <c r="N414" s="15"/>
    </row>
    <row r="415" spans="1:14" s="14" customFormat="1" ht="15" customHeight="1" x14ac:dyDescent="0.25">
      <c r="A415" s="100">
        <v>45838</v>
      </c>
      <c r="B415" s="145">
        <v>2703</v>
      </c>
      <c r="C415" s="200" t="s">
        <v>257</v>
      </c>
      <c r="D415" s="98" t="s">
        <v>17</v>
      </c>
      <c r="E415" s="99" t="s">
        <v>49</v>
      </c>
      <c r="F415" s="100">
        <v>45473</v>
      </c>
      <c r="G415" s="99">
        <v>2</v>
      </c>
      <c r="H415" s="101">
        <v>157.3773549710875</v>
      </c>
      <c r="I415" s="97"/>
      <c r="J415" s="102"/>
      <c r="K415" s="101"/>
      <c r="L415" s="103" t="str">
        <f t="shared" si="6"/>
        <v>Impayé</v>
      </c>
      <c r="N415" s="15"/>
    </row>
    <row r="416" spans="1:14" s="14" customFormat="1" ht="15" customHeight="1" x14ac:dyDescent="0.25">
      <c r="A416" s="100">
        <v>45838</v>
      </c>
      <c r="B416" s="145" t="s">
        <v>277</v>
      </c>
      <c r="C416" s="200" t="s">
        <v>278</v>
      </c>
      <c r="D416" s="98" t="s">
        <v>279</v>
      </c>
      <c r="E416" s="99" t="s">
        <v>49</v>
      </c>
      <c r="F416" s="100">
        <v>45473</v>
      </c>
      <c r="G416" s="99">
        <v>10</v>
      </c>
      <c r="H416" s="101">
        <v>200</v>
      </c>
      <c r="I416" s="97"/>
      <c r="J416" s="102"/>
      <c r="K416" s="101"/>
      <c r="L416" s="103" t="str">
        <f t="shared" si="6"/>
        <v>Impayé</v>
      </c>
      <c r="N416" s="15"/>
    </row>
    <row r="417" spans="1:14" s="14" customFormat="1" ht="15" customHeight="1" x14ac:dyDescent="0.25">
      <c r="A417" s="100">
        <v>45838</v>
      </c>
      <c r="B417" s="145">
        <v>2984</v>
      </c>
      <c r="C417" s="200" t="s">
        <v>276</v>
      </c>
      <c r="D417" s="98" t="s">
        <v>17</v>
      </c>
      <c r="E417" s="99" t="s">
        <v>49</v>
      </c>
      <c r="F417" s="100">
        <v>45473</v>
      </c>
      <c r="G417" s="99">
        <v>1</v>
      </c>
      <c r="H417" s="101">
        <v>78.688677485543749</v>
      </c>
      <c r="I417" s="97"/>
      <c r="J417" s="102"/>
      <c r="K417" s="101"/>
      <c r="L417" s="103" t="str">
        <f t="shared" si="6"/>
        <v>Impayé</v>
      </c>
      <c r="N417" s="15"/>
    </row>
    <row r="418" spans="1:14" s="14" customFormat="1" ht="15" customHeight="1" x14ac:dyDescent="0.25">
      <c r="A418" s="100">
        <v>45838</v>
      </c>
      <c r="B418" s="145">
        <v>3028</v>
      </c>
      <c r="C418" s="200" t="s">
        <v>305</v>
      </c>
      <c r="D418" s="98" t="s">
        <v>17</v>
      </c>
      <c r="E418" s="99" t="s">
        <v>49</v>
      </c>
      <c r="F418" s="100">
        <v>45473</v>
      </c>
      <c r="G418" s="99">
        <v>1</v>
      </c>
      <c r="H418" s="101">
        <v>78.688677485543749</v>
      </c>
      <c r="I418" s="97"/>
      <c r="J418" s="102"/>
      <c r="K418" s="101"/>
      <c r="L418" s="103" t="str">
        <f t="shared" si="6"/>
        <v>Impayé</v>
      </c>
      <c r="N418" s="15"/>
    </row>
    <row r="419" spans="1:14" s="14" customFormat="1" ht="15" customHeight="1" x14ac:dyDescent="0.25">
      <c r="A419" s="100">
        <v>45838</v>
      </c>
      <c r="B419" s="104">
        <v>3262</v>
      </c>
      <c r="C419" s="201" t="s">
        <v>378</v>
      </c>
      <c r="D419" s="104" t="s">
        <v>17</v>
      </c>
      <c r="E419" s="104" t="s">
        <v>49</v>
      </c>
      <c r="F419" s="100">
        <v>45473</v>
      </c>
      <c r="G419" s="105">
        <v>7</v>
      </c>
      <c r="H419" s="99">
        <v>578</v>
      </c>
      <c r="I419" s="106"/>
      <c r="J419" s="107"/>
      <c r="K419" s="104"/>
      <c r="L419" s="103" t="str">
        <f t="shared" si="6"/>
        <v>Impayé</v>
      </c>
      <c r="N419" s="15"/>
    </row>
    <row r="420" spans="1:14" s="14" customFormat="1" ht="15" customHeight="1" x14ac:dyDescent="0.25">
      <c r="A420" s="100">
        <v>45838</v>
      </c>
      <c r="B420" s="104"/>
      <c r="C420" s="201" t="s">
        <v>708</v>
      </c>
      <c r="D420" s="104" t="s">
        <v>17</v>
      </c>
      <c r="E420" s="104" t="s">
        <v>49</v>
      </c>
      <c r="F420" s="104" t="s">
        <v>531</v>
      </c>
      <c r="G420" s="99">
        <v>1</v>
      </c>
      <c r="H420" s="99">
        <v>83</v>
      </c>
      <c r="I420" s="106"/>
      <c r="J420" s="107"/>
      <c r="K420" s="104"/>
      <c r="L420" s="103" t="str">
        <f t="shared" si="6"/>
        <v>Impayé</v>
      </c>
      <c r="N420" s="15"/>
    </row>
    <row r="421" spans="1:14" s="14" customFormat="1" ht="15" customHeight="1" x14ac:dyDescent="0.25">
      <c r="A421" s="100">
        <v>45838</v>
      </c>
      <c r="B421" s="104"/>
      <c r="C421" s="201" t="s">
        <v>668</v>
      </c>
      <c r="D421" s="104" t="s">
        <v>17</v>
      </c>
      <c r="E421" s="104" t="s">
        <v>49</v>
      </c>
      <c r="F421" s="104" t="s">
        <v>523</v>
      </c>
      <c r="G421" s="105">
        <v>0.5</v>
      </c>
      <c r="H421" s="99">
        <v>41</v>
      </c>
      <c r="I421" s="106"/>
      <c r="J421" s="107"/>
      <c r="K421" s="104"/>
      <c r="L421" s="103" t="str">
        <f t="shared" si="6"/>
        <v>Impayé</v>
      </c>
      <c r="N421" s="15"/>
    </row>
    <row r="422" spans="1:14" s="14" customFormat="1" ht="15" customHeight="1" x14ac:dyDescent="0.25">
      <c r="A422" s="100">
        <v>45838</v>
      </c>
      <c r="B422" s="104"/>
      <c r="C422" s="201" t="s">
        <v>846</v>
      </c>
      <c r="D422" s="104" t="s">
        <v>17</v>
      </c>
      <c r="E422" s="104" t="s">
        <v>49</v>
      </c>
      <c r="F422" s="104" t="s">
        <v>540</v>
      </c>
      <c r="G422" s="105">
        <v>3</v>
      </c>
      <c r="H422" s="99">
        <v>260</v>
      </c>
      <c r="I422" s="106"/>
      <c r="J422" s="107"/>
      <c r="K422" s="99"/>
      <c r="L422" s="103" t="str">
        <f t="shared" si="6"/>
        <v>Impayé</v>
      </c>
      <c r="N422" s="15"/>
    </row>
    <row r="423" spans="1:14" s="14" customFormat="1" ht="15" customHeight="1" x14ac:dyDescent="0.25">
      <c r="A423" s="100">
        <v>45838</v>
      </c>
      <c r="B423" s="104"/>
      <c r="C423" s="201" t="s">
        <v>743</v>
      </c>
      <c r="D423" s="104" t="s">
        <v>17</v>
      </c>
      <c r="E423" s="104" t="s">
        <v>758</v>
      </c>
      <c r="F423" s="104" t="s">
        <v>535</v>
      </c>
      <c r="G423" s="99">
        <v>1</v>
      </c>
      <c r="H423" s="99">
        <v>100</v>
      </c>
      <c r="I423" s="106"/>
      <c r="J423" s="107"/>
      <c r="K423" s="104"/>
      <c r="L423" s="103" t="str">
        <f t="shared" si="6"/>
        <v>Impayé</v>
      </c>
      <c r="N423" s="15"/>
    </row>
    <row r="424" spans="1:14" s="14" customFormat="1" ht="15" customHeight="1" x14ac:dyDescent="0.25">
      <c r="A424" s="100">
        <v>45838</v>
      </c>
      <c r="B424" s="104"/>
      <c r="C424" s="201" t="s">
        <v>744</v>
      </c>
      <c r="D424" s="104" t="s">
        <v>17</v>
      </c>
      <c r="E424" s="104" t="s">
        <v>758</v>
      </c>
      <c r="F424" s="104" t="s">
        <v>535</v>
      </c>
      <c r="G424" s="99">
        <v>1</v>
      </c>
      <c r="H424" s="99">
        <v>100</v>
      </c>
      <c r="I424" s="106"/>
      <c r="J424" s="107"/>
      <c r="K424" s="104"/>
      <c r="L424" s="103" t="str">
        <f t="shared" ref="L424:L487" si="7">IF(ISBLANK(H424),"",IF(H424=K424,"Payé","Impayé"))</f>
        <v>Impayé</v>
      </c>
      <c r="M424" s="83"/>
      <c r="N424" s="15"/>
    </row>
    <row r="425" spans="1:14" s="14" customFormat="1" ht="15" customHeight="1" x14ac:dyDescent="0.25">
      <c r="A425" s="100">
        <v>45838</v>
      </c>
      <c r="B425" s="104"/>
      <c r="C425" s="201" t="s">
        <v>745</v>
      </c>
      <c r="D425" s="104" t="s">
        <v>17</v>
      </c>
      <c r="E425" s="104" t="s">
        <v>758</v>
      </c>
      <c r="F425" s="104" t="s">
        <v>535</v>
      </c>
      <c r="G425" s="99">
        <v>0.5</v>
      </c>
      <c r="H425" s="99">
        <v>50</v>
      </c>
      <c r="I425" s="106"/>
      <c r="J425" s="107"/>
      <c r="K425" s="104"/>
      <c r="L425" s="103" t="str">
        <f t="shared" si="7"/>
        <v>Impayé</v>
      </c>
      <c r="M425" s="83"/>
      <c r="N425" s="15"/>
    </row>
    <row r="426" spans="1:14" s="14" customFormat="1" ht="15" customHeight="1" x14ac:dyDescent="0.25">
      <c r="A426" s="100">
        <v>45838</v>
      </c>
      <c r="B426" s="104"/>
      <c r="C426" s="201" t="s">
        <v>746</v>
      </c>
      <c r="D426" s="104" t="s">
        <v>17</v>
      </c>
      <c r="E426" s="104" t="s">
        <v>758</v>
      </c>
      <c r="F426" s="104" t="s">
        <v>535</v>
      </c>
      <c r="G426" s="99">
        <v>0.5</v>
      </c>
      <c r="H426" s="99">
        <v>50</v>
      </c>
      <c r="I426" s="106"/>
      <c r="J426" s="107"/>
      <c r="K426" s="104"/>
      <c r="L426" s="103" t="str">
        <f t="shared" si="7"/>
        <v>Impayé</v>
      </c>
      <c r="N426" s="15"/>
    </row>
    <row r="427" spans="1:14" s="14" customFormat="1" ht="15" customHeight="1" x14ac:dyDescent="0.25">
      <c r="A427" s="100">
        <v>45838</v>
      </c>
      <c r="B427" s="104"/>
      <c r="C427" s="201" t="s">
        <v>747</v>
      </c>
      <c r="D427" s="104" t="s">
        <v>17</v>
      </c>
      <c r="E427" s="104" t="s">
        <v>758</v>
      </c>
      <c r="F427" s="104" t="s">
        <v>535</v>
      </c>
      <c r="G427" s="99">
        <v>3</v>
      </c>
      <c r="H427" s="99">
        <v>300</v>
      </c>
      <c r="I427" s="106"/>
      <c r="J427" s="107"/>
      <c r="K427" s="104"/>
      <c r="L427" s="103" t="str">
        <f t="shared" si="7"/>
        <v>Impayé</v>
      </c>
      <c r="N427" s="15"/>
    </row>
    <row r="428" spans="1:14" s="14" customFormat="1" ht="15" customHeight="1" x14ac:dyDescent="0.25">
      <c r="A428" s="100">
        <v>45838</v>
      </c>
      <c r="B428" s="104"/>
      <c r="C428" s="201" t="s">
        <v>748</v>
      </c>
      <c r="D428" s="104" t="s">
        <v>17</v>
      </c>
      <c r="E428" s="104" t="s">
        <v>758</v>
      </c>
      <c r="F428" s="104" t="s">
        <v>535</v>
      </c>
      <c r="G428" s="99">
        <v>1</v>
      </c>
      <c r="H428" s="99">
        <v>100</v>
      </c>
      <c r="I428" s="106"/>
      <c r="J428" s="107"/>
      <c r="K428" s="104"/>
      <c r="L428" s="103" t="str">
        <f t="shared" si="7"/>
        <v>Impayé</v>
      </c>
      <c r="N428" s="15"/>
    </row>
    <row r="429" spans="1:14" s="14" customFormat="1" ht="15" customHeight="1" x14ac:dyDescent="0.25">
      <c r="A429" s="100">
        <v>45838</v>
      </c>
      <c r="B429" s="104"/>
      <c r="C429" s="201" t="s">
        <v>779</v>
      </c>
      <c r="D429" s="104" t="s">
        <v>17</v>
      </c>
      <c r="E429" s="104" t="s">
        <v>758</v>
      </c>
      <c r="F429" s="104" t="s">
        <v>536</v>
      </c>
      <c r="G429" s="105">
        <v>1</v>
      </c>
      <c r="H429" s="99">
        <v>100</v>
      </c>
      <c r="I429" s="106"/>
      <c r="J429" s="107"/>
      <c r="K429" s="104"/>
      <c r="L429" s="103" t="str">
        <f t="shared" si="7"/>
        <v>Impayé</v>
      </c>
      <c r="N429" s="15"/>
    </row>
    <row r="430" spans="1:14" s="14" customFormat="1" ht="15" customHeight="1" x14ac:dyDescent="0.25">
      <c r="A430" s="100">
        <v>45838</v>
      </c>
      <c r="B430" s="104"/>
      <c r="C430" s="201" t="s">
        <v>808</v>
      </c>
      <c r="D430" s="104" t="s">
        <v>17</v>
      </c>
      <c r="E430" s="104" t="s">
        <v>757</v>
      </c>
      <c r="F430" s="104" t="s">
        <v>537</v>
      </c>
      <c r="G430" s="105">
        <v>1</v>
      </c>
      <c r="H430" s="99">
        <v>87</v>
      </c>
      <c r="I430" s="106"/>
      <c r="J430" s="107"/>
      <c r="K430" s="104"/>
      <c r="L430" s="103" t="str">
        <f t="shared" si="7"/>
        <v>Impayé</v>
      </c>
      <c r="N430" s="15"/>
    </row>
    <row r="431" spans="1:14" s="14" customFormat="1" ht="15" customHeight="1" x14ac:dyDescent="0.25">
      <c r="A431" s="100">
        <v>45838</v>
      </c>
      <c r="B431" s="104"/>
      <c r="C431" s="201" t="s">
        <v>809</v>
      </c>
      <c r="D431" s="104" t="s">
        <v>17</v>
      </c>
      <c r="E431" s="104" t="s">
        <v>757</v>
      </c>
      <c r="F431" s="104" t="s">
        <v>537</v>
      </c>
      <c r="G431" s="105">
        <v>0.5</v>
      </c>
      <c r="H431" s="99">
        <v>43</v>
      </c>
      <c r="I431" s="106"/>
      <c r="J431" s="107"/>
      <c r="K431" s="104"/>
      <c r="L431" s="103" t="str">
        <f t="shared" si="7"/>
        <v>Impayé</v>
      </c>
      <c r="N431" s="15"/>
    </row>
    <row r="432" spans="1:14" s="14" customFormat="1" ht="15" customHeight="1" x14ac:dyDescent="0.25">
      <c r="A432" s="100">
        <v>45838</v>
      </c>
      <c r="B432" s="104"/>
      <c r="C432" s="201" t="s">
        <v>810</v>
      </c>
      <c r="D432" s="104" t="s">
        <v>17</v>
      </c>
      <c r="E432" s="104" t="s">
        <v>757</v>
      </c>
      <c r="F432" s="104" t="s">
        <v>537</v>
      </c>
      <c r="G432" s="105">
        <v>1</v>
      </c>
      <c r="H432" s="99">
        <v>87</v>
      </c>
      <c r="I432" s="106"/>
      <c r="J432" s="107"/>
      <c r="K432" s="104"/>
      <c r="L432" s="103" t="str">
        <f t="shared" si="7"/>
        <v>Impayé</v>
      </c>
      <c r="N432" s="15"/>
    </row>
    <row r="433" spans="1:14" s="14" customFormat="1" ht="15" customHeight="1" x14ac:dyDescent="0.25">
      <c r="A433" s="100">
        <v>45838</v>
      </c>
      <c r="B433" s="104"/>
      <c r="C433" s="201" t="s">
        <v>811</v>
      </c>
      <c r="D433" s="104" t="s">
        <v>17</v>
      </c>
      <c r="E433" s="104" t="s">
        <v>757</v>
      </c>
      <c r="F433" s="104" t="s">
        <v>537</v>
      </c>
      <c r="G433" s="105">
        <v>1</v>
      </c>
      <c r="H433" s="99">
        <v>87</v>
      </c>
      <c r="I433" s="106"/>
      <c r="J433" s="107"/>
      <c r="K433" s="104"/>
      <c r="L433" s="103" t="str">
        <f t="shared" si="7"/>
        <v>Impayé</v>
      </c>
      <c r="N433" s="15"/>
    </row>
    <row r="434" spans="1:14" s="14" customFormat="1" ht="15" customHeight="1" x14ac:dyDescent="0.25">
      <c r="A434" s="100">
        <v>45838</v>
      </c>
      <c r="B434" s="104"/>
      <c r="C434" s="201" t="s">
        <v>812</v>
      </c>
      <c r="D434" s="104" t="s">
        <v>17</v>
      </c>
      <c r="E434" s="104" t="s">
        <v>757</v>
      </c>
      <c r="F434" s="104" t="s">
        <v>537</v>
      </c>
      <c r="G434" s="105">
        <v>0.5</v>
      </c>
      <c r="H434" s="99">
        <v>43</v>
      </c>
      <c r="I434" s="106"/>
      <c r="J434" s="107"/>
      <c r="K434" s="104"/>
      <c r="L434" s="103" t="str">
        <f t="shared" si="7"/>
        <v>Impayé</v>
      </c>
      <c r="N434" s="15"/>
    </row>
    <row r="435" spans="1:14" s="14" customFormat="1" ht="15" customHeight="1" x14ac:dyDescent="0.25">
      <c r="A435" s="100">
        <v>45838</v>
      </c>
      <c r="B435" s="104"/>
      <c r="C435" s="201" t="s">
        <v>786</v>
      </c>
      <c r="D435" s="104" t="s">
        <v>17</v>
      </c>
      <c r="E435" s="104" t="s">
        <v>798</v>
      </c>
      <c r="F435" s="104" t="s">
        <v>536</v>
      </c>
      <c r="G435" s="105">
        <v>1</v>
      </c>
      <c r="H435" s="99">
        <v>100</v>
      </c>
      <c r="I435" s="106"/>
      <c r="J435" s="107"/>
      <c r="K435" s="104"/>
      <c r="L435" s="103" t="str">
        <f t="shared" si="7"/>
        <v>Impayé</v>
      </c>
      <c r="N435" s="15"/>
    </row>
    <row r="436" spans="1:14" s="14" customFormat="1" ht="15" customHeight="1" x14ac:dyDescent="0.25">
      <c r="A436" s="100">
        <v>45838</v>
      </c>
      <c r="B436" s="104"/>
      <c r="C436" s="201" t="s">
        <v>787</v>
      </c>
      <c r="D436" s="104" t="s">
        <v>17</v>
      </c>
      <c r="E436" s="104" t="s">
        <v>798</v>
      </c>
      <c r="F436" s="104" t="s">
        <v>536</v>
      </c>
      <c r="G436" s="105">
        <v>1</v>
      </c>
      <c r="H436" s="99">
        <v>100</v>
      </c>
      <c r="I436" s="106"/>
      <c r="J436" s="107"/>
      <c r="K436" s="104"/>
      <c r="L436" s="103" t="str">
        <f t="shared" si="7"/>
        <v>Impayé</v>
      </c>
      <c r="N436" s="15"/>
    </row>
    <row r="437" spans="1:14" s="14" customFormat="1" ht="15" customHeight="1" x14ac:dyDescent="0.25">
      <c r="A437" s="100">
        <v>45838</v>
      </c>
      <c r="B437" s="104"/>
      <c r="C437" s="201" t="s">
        <v>788</v>
      </c>
      <c r="D437" s="104" t="s">
        <v>17</v>
      </c>
      <c r="E437" s="104" t="s">
        <v>798</v>
      </c>
      <c r="F437" s="104" t="s">
        <v>536</v>
      </c>
      <c r="G437" s="105">
        <v>2</v>
      </c>
      <c r="H437" s="99">
        <v>200</v>
      </c>
      <c r="I437" s="106"/>
      <c r="J437" s="107"/>
      <c r="K437" s="104"/>
      <c r="L437" s="103" t="str">
        <f t="shared" si="7"/>
        <v>Impayé</v>
      </c>
      <c r="N437" s="15"/>
    </row>
    <row r="438" spans="1:14" s="14" customFormat="1" ht="15" customHeight="1" x14ac:dyDescent="0.25">
      <c r="A438" s="100">
        <v>45838</v>
      </c>
      <c r="B438" s="104"/>
      <c r="C438" s="201" t="s">
        <v>789</v>
      </c>
      <c r="D438" s="104" t="s">
        <v>17</v>
      </c>
      <c r="E438" s="104" t="s">
        <v>798</v>
      </c>
      <c r="F438" s="104" t="s">
        <v>536</v>
      </c>
      <c r="G438" s="105">
        <v>1</v>
      </c>
      <c r="H438" s="99">
        <v>100</v>
      </c>
      <c r="I438" s="106"/>
      <c r="J438" s="107"/>
      <c r="K438" s="104"/>
      <c r="L438" s="103" t="str">
        <f t="shared" si="7"/>
        <v>Impayé</v>
      </c>
      <c r="N438" s="15"/>
    </row>
    <row r="439" spans="1:14" s="14" customFormat="1" ht="15" customHeight="1" x14ac:dyDescent="0.25">
      <c r="A439" s="100">
        <v>45838</v>
      </c>
      <c r="B439" s="104">
        <v>4956</v>
      </c>
      <c r="C439" s="201" t="s">
        <v>770</v>
      </c>
      <c r="D439" s="104" t="s">
        <v>17</v>
      </c>
      <c r="E439" s="104" t="s">
        <v>794</v>
      </c>
      <c r="F439" s="104" t="s">
        <v>536</v>
      </c>
      <c r="G439" s="105">
        <v>0.5</v>
      </c>
      <c r="H439" s="99">
        <v>50</v>
      </c>
      <c r="I439" s="106"/>
      <c r="J439" s="107"/>
      <c r="K439" s="104"/>
      <c r="L439" s="103" t="str">
        <f t="shared" si="7"/>
        <v>Impayé</v>
      </c>
      <c r="N439" s="15"/>
    </row>
    <row r="440" spans="1:14" s="14" customFormat="1" ht="15" customHeight="1" x14ac:dyDescent="0.25">
      <c r="A440" s="100">
        <v>45838</v>
      </c>
      <c r="B440" s="104">
        <v>4957</v>
      </c>
      <c r="C440" s="201" t="s">
        <v>771</v>
      </c>
      <c r="D440" s="104" t="s">
        <v>17</v>
      </c>
      <c r="E440" s="104" t="s">
        <v>794</v>
      </c>
      <c r="F440" s="104" t="s">
        <v>536</v>
      </c>
      <c r="G440" s="105">
        <v>0.5</v>
      </c>
      <c r="H440" s="99">
        <v>50</v>
      </c>
      <c r="I440" s="106"/>
      <c r="J440" s="107"/>
      <c r="K440" s="104"/>
      <c r="L440" s="103" t="str">
        <f t="shared" si="7"/>
        <v>Impayé</v>
      </c>
      <c r="N440" s="15"/>
    </row>
    <row r="441" spans="1:14" s="14" customFormat="1" ht="15" customHeight="1" x14ac:dyDescent="0.25">
      <c r="A441" s="100">
        <v>45838</v>
      </c>
      <c r="B441" s="104">
        <v>4960</v>
      </c>
      <c r="C441" s="201" t="s">
        <v>772</v>
      </c>
      <c r="D441" s="104" t="s">
        <v>17</v>
      </c>
      <c r="E441" s="104" t="s">
        <v>794</v>
      </c>
      <c r="F441" s="104" t="s">
        <v>536</v>
      </c>
      <c r="G441" s="105">
        <v>0.5</v>
      </c>
      <c r="H441" s="99">
        <v>50</v>
      </c>
      <c r="I441" s="106"/>
      <c r="J441" s="107"/>
      <c r="K441" s="104"/>
      <c r="L441" s="103" t="str">
        <f t="shared" si="7"/>
        <v>Impayé</v>
      </c>
      <c r="N441" s="15"/>
    </row>
    <row r="442" spans="1:14" s="14" customFormat="1" ht="15" customHeight="1" x14ac:dyDescent="0.25">
      <c r="A442" s="100">
        <v>45838</v>
      </c>
      <c r="B442" s="104">
        <v>5008</v>
      </c>
      <c r="C442" s="201" t="s">
        <v>776</v>
      </c>
      <c r="D442" s="104" t="s">
        <v>17</v>
      </c>
      <c r="E442" s="104" t="s">
        <v>794</v>
      </c>
      <c r="F442" s="104" t="s">
        <v>536</v>
      </c>
      <c r="G442" s="105">
        <v>1</v>
      </c>
      <c r="H442" s="99">
        <v>100</v>
      </c>
      <c r="I442" s="106"/>
      <c r="J442" s="107"/>
      <c r="K442" s="104"/>
      <c r="L442" s="103" t="str">
        <f t="shared" si="7"/>
        <v>Impayé</v>
      </c>
      <c r="N442" s="15"/>
    </row>
    <row r="443" spans="1:14" s="14" customFormat="1" ht="15" customHeight="1" x14ac:dyDescent="0.25">
      <c r="A443" s="100">
        <v>45838</v>
      </c>
      <c r="B443" s="104">
        <v>5010</v>
      </c>
      <c r="C443" s="201" t="s">
        <v>777</v>
      </c>
      <c r="D443" s="104" t="s">
        <v>17</v>
      </c>
      <c r="E443" s="104" t="s">
        <v>794</v>
      </c>
      <c r="F443" s="104" t="s">
        <v>536</v>
      </c>
      <c r="G443" s="105">
        <v>2</v>
      </c>
      <c r="H443" s="99">
        <v>200</v>
      </c>
      <c r="I443" s="106"/>
      <c r="J443" s="107"/>
      <c r="K443" s="104"/>
      <c r="L443" s="103" t="str">
        <f t="shared" si="7"/>
        <v>Impayé</v>
      </c>
      <c r="N443" s="15"/>
    </row>
    <row r="444" spans="1:14" s="14" customFormat="1" ht="15" customHeight="1" x14ac:dyDescent="0.25">
      <c r="A444" s="100">
        <v>45838</v>
      </c>
      <c r="B444" s="104"/>
      <c r="C444" s="201" t="s">
        <v>781</v>
      </c>
      <c r="D444" s="104" t="s">
        <v>17</v>
      </c>
      <c r="E444" s="104" t="s">
        <v>794</v>
      </c>
      <c r="F444" s="104" t="s">
        <v>536</v>
      </c>
      <c r="G444" s="105">
        <v>1</v>
      </c>
      <c r="H444" s="99">
        <v>100</v>
      </c>
      <c r="I444" s="106"/>
      <c r="J444" s="107"/>
      <c r="K444" s="104"/>
      <c r="L444" s="103" t="str">
        <f t="shared" si="7"/>
        <v>Impayé</v>
      </c>
      <c r="N444" s="15"/>
    </row>
    <row r="445" spans="1:14" s="14" customFormat="1" ht="15" customHeight="1" x14ac:dyDescent="0.25">
      <c r="A445" s="100">
        <v>45838</v>
      </c>
      <c r="B445" s="104"/>
      <c r="C445" s="201" t="s">
        <v>782</v>
      </c>
      <c r="D445" s="104" t="s">
        <v>17</v>
      </c>
      <c r="E445" s="104" t="s">
        <v>794</v>
      </c>
      <c r="F445" s="104" t="s">
        <v>536</v>
      </c>
      <c r="G445" s="105">
        <v>1</v>
      </c>
      <c r="H445" s="99">
        <v>100</v>
      </c>
      <c r="I445" s="106"/>
      <c r="J445" s="107"/>
      <c r="K445" s="104"/>
      <c r="L445" s="103" t="str">
        <f t="shared" si="7"/>
        <v>Impayé</v>
      </c>
      <c r="N445" s="15"/>
    </row>
    <row r="446" spans="1:14" s="14" customFormat="1" ht="15" customHeight="1" x14ac:dyDescent="0.25">
      <c r="A446" s="100">
        <v>45838</v>
      </c>
      <c r="B446" s="104"/>
      <c r="C446" s="201" t="s">
        <v>662</v>
      </c>
      <c r="D446" s="104" t="s">
        <v>17</v>
      </c>
      <c r="E446" s="104" t="s">
        <v>664</v>
      </c>
      <c r="F446" s="104" t="s">
        <v>522</v>
      </c>
      <c r="G446" s="105">
        <v>1</v>
      </c>
      <c r="H446" s="99">
        <v>83</v>
      </c>
      <c r="I446" s="106"/>
      <c r="J446" s="107"/>
      <c r="K446" s="104"/>
      <c r="L446" s="103" t="str">
        <f t="shared" si="7"/>
        <v>Impayé</v>
      </c>
      <c r="N446" s="15"/>
    </row>
    <row r="447" spans="1:14" s="14" customFormat="1" ht="15" customHeight="1" x14ac:dyDescent="0.25">
      <c r="A447" s="100">
        <v>45838</v>
      </c>
      <c r="B447" s="104"/>
      <c r="C447" s="201" t="s">
        <v>663</v>
      </c>
      <c r="D447" s="104" t="s">
        <v>17</v>
      </c>
      <c r="E447" s="104" t="s">
        <v>664</v>
      </c>
      <c r="F447" s="104" t="s">
        <v>522</v>
      </c>
      <c r="G447" s="105">
        <v>2</v>
      </c>
      <c r="H447" s="99">
        <v>165</v>
      </c>
      <c r="I447" s="106"/>
      <c r="J447" s="107"/>
      <c r="K447" s="104"/>
      <c r="L447" s="103" t="str">
        <f t="shared" si="7"/>
        <v>Impayé</v>
      </c>
      <c r="N447" s="15"/>
    </row>
    <row r="448" spans="1:14" s="14" customFormat="1" ht="15" customHeight="1" x14ac:dyDescent="0.25">
      <c r="A448" s="100">
        <v>45838</v>
      </c>
      <c r="B448" s="104"/>
      <c r="C448" s="201" t="s">
        <v>742</v>
      </c>
      <c r="D448" s="104" t="s">
        <v>17</v>
      </c>
      <c r="E448" s="104" t="s">
        <v>755</v>
      </c>
      <c r="F448" s="104" t="s">
        <v>535</v>
      </c>
      <c r="G448" s="99">
        <v>2</v>
      </c>
      <c r="H448" s="99">
        <v>200</v>
      </c>
      <c r="I448" s="106"/>
      <c r="J448" s="107"/>
      <c r="K448" s="104"/>
      <c r="L448" s="103" t="str">
        <f t="shared" si="7"/>
        <v>Impayé</v>
      </c>
      <c r="N448" s="15"/>
    </row>
    <row r="449" spans="1:16377" s="14" customFormat="1" ht="15" customHeight="1" x14ac:dyDescent="0.25">
      <c r="A449" s="100">
        <v>45838</v>
      </c>
      <c r="B449" s="145">
        <v>1323</v>
      </c>
      <c r="C449" s="200" t="s">
        <v>99</v>
      </c>
      <c r="D449" s="98" t="s">
        <v>17</v>
      </c>
      <c r="E449" s="99" t="s">
        <v>96</v>
      </c>
      <c r="F449" s="100">
        <v>45473</v>
      </c>
      <c r="G449" s="99">
        <v>1</v>
      </c>
      <c r="H449" s="101">
        <v>72</v>
      </c>
      <c r="I449" s="97"/>
      <c r="J449" s="102"/>
      <c r="K449" s="101"/>
      <c r="L449" s="103" t="str">
        <f t="shared" si="7"/>
        <v>Impayé</v>
      </c>
      <c r="M449" s="68"/>
      <c r="N449" s="15"/>
    </row>
    <row r="450" spans="1:16377" s="14" customFormat="1" ht="15" customHeight="1" x14ac:dyDescent="0.25">
      <c r="A450" s="100">
        <v>45838</v>
      </c>
      <c r="B450" s="145">
        <v>1283</v>
      </c>
      <c r="C450" s="200" t="s">
        <v>95</v>
      </c>
      <c r="D450" s="98" t="s">
        <v>17</v>
      </c>
      <c r="E450" s="99" t="s">
        <v>96</v>
      </c>
      <c r="F450" s="100">
        <v>45473</v>
      </c>
      <c r="G450" s="99">
        <v>10</v>
      </c>
      <c r="H450" s="101">
        <v>716</v>
      </c>
      <c r="I450" s="97"/>
      <c r="J450" s="102"/>
      <c r="K450" s="101"/>
      <c r="L450" s="103" t="str">
        <f t="shared" si="7"/>
        <v>Impayé</v>
      </c>
      <c r="N450" s="15"/>
    </row>
    <row r="451" spans="1:16377" s="14" customFormat="1" ht="15" customHeight="1" x14ac:dyDescent="0.25">
      <c r="A451" s="100">
        <v>45838</v>
      </c>
      <c r="B451" s="145">
        <v>1302</v>
      </c>
      <c r="C451" s="200" t="s">
        <v>97</v>
      </c>
      <c r="D451" s="98" t="s">
        <v>17</v>
      </c>
      <c r="E451" s="99" t="s">
        <v>96</v>
      </c>
      <c r="F451" s="100">
        <v>45473</v>
      </c>
      <c r="G451" s="99">
        <v>1</v>
      </c>
      <c r="H451" s="101">
        <v>71.535161350494306</v>
      </c>
      <c r="I451" s="97"/>
      <c r="J451" s="102"/>
      <c r="K451" s="101"/>
      <c r="L451" s="103" t="str">
        <f t="shared" si="7"/>
        <v>Impayé</v>
      </c>
      <c r="N451" s="15"/>
    </row>
    <row r="452" spans="1:16377" s="14" customFormat="1" ht="15" customHeight="1" x14ac:dyDescent="0.25">
      <c r="A452" s="100">
        <v>45838</v>
      </c>
      <c r="B452" s="145">
        <v>1218</v>
      </c>
      <c r="C452" s="200" t="s">
        <v>84</v>
      </c>
      <c r="D452" s="98" t="s">
        <v>17</v>
      </c>
      <c r="E452" s="99" t="s">
        <v>69</v>
      </c>
      <c r="F452" s="100">
        <v>45473</v>
      </c>
      <c r="G452" s="99">
        <v>1</v>
      </c>
      <c r="H452" s="101">
        <v>72</v>
      </c>
      <c r="I452" s="97"/>
      <c r="J452" s="102"/>
      <c r="K452" s="101"/>
      <c r="L452" s="103" t="str">
        <f t="shared" si="7"/>
        <v>Impayé</v>
      </c>
      <c r="N452" s="15"/>
    </row>
    <row r="453" spans="1:16377" s="14" customFormat="1" ht="15" customHeight="1" x14ac:dyDescent="0.25">
      <c r="A453" s="100">
        <v>45838</v>
      </c>
      <c r="B453" s="145">
        <v>1210</v>
      </c>
      <c r="C453" s="200" t="s">
        <v>82</v>
      </c>
      <c r="D453" s="98" t="s">
        <v>17</v>
      </c>
      <c r="E453" s="99" t="s">
        <v>69</v>
      </c>
      <c r="F453" s="100">
        <v>45473</v>
      </c>
      <c r="G453" s="99">
        <v>1</v>
      </c>
      <c r="H453" s="101">
        <v>72</v>
      </c>
      <c r="I453" s="97"/>
      <c r="J453" s="102"/>
      <c r="K453" s="101"/>
      <c r="L453" s="103" t="str">
        <f t="shared" si="7"/>
        <v>Impayé</v>
      </c>
      <c r="N453" s="15"/>
    </row>
    <row r="454" spans="1:16377" s="14" customFormat="1" ht="15" customHeight="1" x14ac:dyDescent="0.25">
      <c r="A454" s="100">
        <v>45838</v>
      </c>
      <c r="B454" s="145">
        <v>1009</v>
      </c>
      <c r="C454" s="200" t="s">
        <v>68</v>
      </c>
      <c r="D454" s="98" t="s">
        <v>17</v>
      </c>
      <c r="E454" s="99" t="s">
        <v>69</v>
      </c>
      <c r="F454" s="100">
        <v>45473</v>
      </c>
      <c r="G454" s="99">
        <v>1</v>
      </c>
      <c r="H454" s="101">
        <v>72</v>
      </c>
      <c r="I454" s="97"/>
      <c r="J454" s="102"/>
      <c r="K454" s="101"/>
      <c r="L454" s="103" t="str">
        <f t="shared" si="7"/>
        <v>Impayé</v>
      </c>
      <c r="M454" s="155"/>
      <c r="N454" s="15"/>
    </row>
    <row r="455" spans="1:16377" s="14" customFormat="1" ht="15" customHeight="1" x14ac:dyDescent="0.25">
      <c r="A455" s="100">
        <v>45838</v>
      </c>
      <c r="B455" s="145">
        <v>1213</v>
      </c>
      <c r="C455" s="200" t="s">
        <v>83</v>
      </c>
      <c r="D455" s="98" t="s">
        <v>17</v>
      </c>
      <c r="E455" s="99" t="s">
        <v>69</v>
      </c>
      <c r="F455" s="100">
        <v>45473</v>
      </c>
      <c r="G455" s="99">
        <v>2</v>
      </c>
      <c r="H455" s="101">
        <v>143</v>
      </c>
      <c r="I455" s="97"/>
      <c r="J455" s="102"/>
      <c r="K455" s="101"/>
      <c r="L455" s="103" t="str">
        <f t="shared" si="7"/>
        <v>Impayé</v>
      </c>
      <c r="M455" s="73"/>
      <c r="N455" s="15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67"/>
      <c r="AQ455" s="67"/>
      <c r="AR455" s="67"/>
      <c r="AS455" s="67"/>
      <c r="AT455" s="67"/>
      <c r="AU455" s="67"/>
      <c r="AV455" s="67"/>
      <c r="AW455" s="67"/>
      <c r="AX455" s="67"/>
      <c r="AY455" s="67"/>
      <c r="AZ455" s="67"/>
      <c r="BA455" s="67"/>
      <c r="BB455" s="67"/>
      <c r="BC455" s="67"/>
      <c r="BD455" s="67"/>
      <c r="BE455" s="67"/>
      <c r="BF455" s="67"/>
      <c r="BG455" s="67"/>
      <c r="BH455" s="67"/>
      <c r="BI455" s="67"/>
      <c r="BJ455" s="67"/>
      <c r="BK455" s="67"/>
      <c r="BL455" s="67"/>
      <c r="BM455" s="67"/>
      <c r="BN455" s="67"/>
      <c r="BO455" s="67"/>
      <c r="BP455" s="67"/>
      <c r="BQ455" s="67"/>
      <c r="BR455" s="67"/>
      <c r="BS455" s="67"/>
      <c r="BT455" s="67"/>
      <c r="BU455" s="67"/>
      <c r="BV455" s="67"/>
      <c r="BW455" s="67"/>
      <c r="BX455" s="67"/>
      <c r="BY455" s="67"/>
      <c r="BZ455" s="67"/>
      <c r="CA455" s="67"/>
      <c r="CB455" s="67"/>
      <c r="CC455" s="67"/>
      <c r="CD455" s="67"/>
      <c r="CE455" s="67"/>
      <c r="CF455" s="67"/>
      <c r="CG455" s="67"/>
      <c r="CH455" s="67"/>
      <c r="CI455" s="67"/>
      <c r="CJ455" s="67"/>
      <c r="CK455" s="67"/>
      <c r="CL455" s="67"/>
      <c r="CM455" s="67"/>
      <c r="CN455" s="67"/>
      <c r="CO455" s="67"/>
      <c r="CP455" s="67"/>
      <c r="CQ455" s="67"/>
      <c r="CR455" s="67"/>
      <c r="CS455" s="67"/>
      <c r="CT455" s="67"/>
      <c r="CU455" s="67"/>
      <c r="CV455" s="67"/>
      <c r="CW455" s="67"/>
      <c r="CX455" s="67"/>
      <c r="CY455" s="67"/>
      <c r="CZ455" s="67"/>
      <c r="DA455" s="67"/>
      <c r="DB455" s="67"/>
      <c r="DC455" s="67"/>
      <c r="DD455" s="67"/>
      <c r="DE455" s="67"/>
      <c r="DF455" s="67"/>
      <c r="DG455" s="67"/>
      <c r="DH455" s="67"/>
      <c r="DI455" s="67"/>
      <c r="DJ455" s="67"/>
      <c r="DK455" s="67"/>
      <c r="DL455" s="67"/>
      <c r="DM455" s="67"/>
      <c r="DN455" s="67"/>
      <c r="DO455" s="67"/>
      <c r="DP455" s="67"/>
      <c r="DQ455" s="67"/>
      <c r="DR455" s="67"/>
      <c r="DS455" s="67"/>
      <c r="DT455" s="67"/>
      <c r="DU455" s="67"/>
      <c r="DV455" s="67"/>
      <c r="DW455" s="67"/>
      <c r="DX455" s="67"/>
      <c r="DY455" s="67"/>
      <c r="DZ455" s="67"/>
      <c r="EA455" s="67"/>
      <c r="EB455" s="67"/>
      <c r="EC455" s="67"/>
      <c r="ED455" s="67"/>
      <c r="EE455" s="67"/>
      <c r="EF455" s="67"/>
      <c r="EG455" s="67"/>
      <c r="EH455" s="67"/>
      <c r="EI455" s="67"/>
      <c r="EJ455" s="67"/>
      <c r="EK455" s="67"/>
      <c r="EL455" s="67"/>
      <c r="EM455" s="67"/>
      <c r="EN455" s="67"/>
      <c r="EO455" s="67"/>
      <c r="EP455" s="67"/>
      <c r="EQ455" s="67"/>
      <c r="ER455" s="67"/>
      <c r="ES455" s="67"/>
      <c r="ET455" s="67"/>
      <c r="EU455" s="67"/>
      <c r="EV455" s="67"/>
      <c r="EW455" s="67"/>
      <c r="EX455" s="67"/>
      <c r="EY455" s="67"/>
      <c r="EZ455" s="67"/>
      <c r="FA455" s="67"/>
      <c r="FB455" s="67"/>
      <c r="FC455" s="67"/>
      <c r="FD455" s="67"/>
      <c r="FE455" s="67"/>
      <c r="FF455" s="67"/>
      <c r="FG455" s="67"/>
      <c r="FH455" s="67"/>
      <c r="FI455" s="67"/>
      <c r="FJ455" s="67"/>
      <c r="FK455" s="67"/>
      <c r="FL455" s="67"/>
      <c r="FM455" s="67"/>
      <c r="FN455" s="67"/>
      <c r="FO455" s="67"/>
      <c r="FP455" s="67"/>
      <c r="FQ455" s="67"/>
      <c r="FR455" s="67"/>
      <c r="FS455" s="67"/>
      <c r="FT455" s="67"/>
      <c r="FU455" s="67"/>
      <c r="FV455" s="67"/>
      <c r="FW455" s="67"/>
      <c r="FX455" s="67"/>
      <c r="FY455" s="67"/>
      <c r="FZ455" s="67"/>
      <c r="GA455" s="67"/>
      <c r="GB455" s="67"/>
      <c r="GC455" s="67"/>
      <c r="GD455" s="67"/>
      <c r="GE455" s="67"/>
      <c r="GF455" s="67"/>
      <c r="GG455" s="67"/>
      <c r="GH455" s="67"/>
      <c r="GI455" s="67"/>
      <c r="GJ455" s="67"/>
      <c r="GK455" s="67"/>
      <c r="GL455" s="67"/>
      <c r="GM455" s="67"/>
      <c r="GN455" s="67"/>
      <c r="GO455" s="67"/>
      <c r="GP455" s="67"/>
      <c r="GQ455" s="67"/>
      <c r="GR455" s="67"/>
      <c r="GS455" s="67"/>
      <c r="GT455" s="67"/>
      <c r="GU455" s="67"/>
      <c r="GV455" s="67"/>
      <c r="GW455" s="67"/>
      <c r="GX455" s="67"/>
      <c r="GY455" s="67"/>
      <c r="GZ455" s="67"/>
      <c r="HA455" s="67"/>
      <c r="HB455" s="67"/>
      <c r="HC455" s="67"/>
      <c r="HD455" s="67"/>
      <c r="HE455" s="67"/>
      <c r="HF455" s="67"/>
      <c r="HG455" s="67"/>
      <c r="HH455" s="67"/>
      <c r="HI455" s="67"/>
      <c r="HJ455" s="67"/>
      <c r="HK455" s="67"/>
      <c r="HL455" s="67"/>
      <c r="HM455" s="67"/>
      <c r="HN455" s="67"/>
      <c r="HO455" s="67"/>
      <c r="HP455" s="67"/>
      <c r="HQ455" s="67"/>
      <c r="HR455" s="67"/>
      <c r="HS455" s="67"/>
      <c r="HT455" s="67"/>
      <c r="HU455" s="67"/>
      <c r="HV455" s="67"/>
      <c r="HW455" s="67"/>
      <c r="HX455" s="67"/>
      <c r="HY455" s="67"/>
      <c r="HZ455" s="67"/>
      <c r="IA455" s="67"/>
      <c r="IB455" s="67"/>
      <c r="IC455" s="67"/>
      <c r="ID455" s="67"/>
      <c r="IE455" s="67"/>
      <c r="IF455" s="67"/>
      <c r="IG455" s="67"/>
      <c r="IH455" s="67"/>
      <c r="II455" s="67"/>
      <c r="IJ455" s="67"/>
      <c r="IK455" s="67"/>
      <c r="IL455" s="67"/>
      <c r="IM455" s="67"/>
      <c r="IN455" s="67"/>
      <c r="IO455" s="67"/>
      <c r="IP455" s="67"/>
      <c r="IQ455" s="67"/>
      <c r="IR455" s="67"/>
      <c r="IS455" s="67"/>
      <c r="IT455" s="67"/>
      <c r="IU455" s="67"/>
      <c r="IV455" s="67"/>
      <c r="IW455" s="67"/>
      <c r="IX455" s="67"/>
      <c r="IY455" s="67"/>
      <c r="IZ455" s="67"/>
      <c r="JA455" s="67"/>
      <c r="JB455" s="67"/>
      <c r="JC455" s="67"/>
      <c r="JD455" s="67"/>
      <c r="JE455" s="67"/>
      <c r="JF455" s="67"/>
      <c r="JG455" s="67"/>
      <c r="JH455" s="67"/>
      <c r="JI455" s="67"/>
      <c r="JJ455" s="67"/>
      <c r="JK455" s="67"/>
      <c r="JL455" s="67"/>
      <c r="JM455" s="67"/>
      <c r="JN455" s="67"/>
      <c r="JO455" s="67"/>
      <c r="JP455" s="67"/>
      <c r="JQ455" s="67"/>
      <c r="JR455" s="67"/>
      <c r="JS455" s="67"/>
      <c r="JT455" s="67"/>
      <c r="JU455" s="67"/>
      <c r="JV455" s="67"/>
      <c r="JW455" s="67"/>
      <c r="JX455" s="67"/>
      <c r="JY455" s="67"/>
      <c r="JZ455" s="67"/>
      <c r="KA455" s="67"/>
      <c r="KB455" s="67"/>
      <c r="KC455" s="67"/>
      <c r="KD455" s="67"/>
      <c r="KE455" s="67"/>
      <c r="KF455" s="67"/>
      <c r="KG455" s="67"/>
      <c r="KH455" s="67"/>
      <c r="KI455" s="67"/>
      <c r="KJ455" s="67"/>
      <c r="KK455" s="67"/>
      <c r="KL455" s="67"/>
      <c r="KM455" s="67"/>
      <c r="KN455" s="67"/>
      <c r="KO455" s="67"/>
      <c r="KP455" s="67"/>
      <c r="KQ455" s="67"/>
      <c r="KR455" s="67"/>
      <c r="KS455" s="67"/>
      <c r="KT455" s="67"/>
      <c r="KU455" s="67"/>
      <c r="KV455" s="67"/>
      <c r="KW455" s="67"/>
      <c r="KX455" s="67"/>
      <c r="KY455" s="67"/>
      <c r="KZ455" s="67"/>
      <c r="LA455" s="67"/>
      <c r="LB455" s="67"/>
      <c r="LC455" s="67"/>
      <c r="LD455" s="67"/>
      <c r="LE455" s="67"/>
      <c r="LF455" s="67"/>
      <c r="LG455" s="67"/>
      <c r="LH455" s="67"/>
      <c r="LI455" s="67"/>
      <c r="LJ455" s="67"/>
      <c r="LK455" s="67"/>
      <c r="LL455" s="67"/>
      <c r="LM455" s="67"/>
      <c r="LN455" s="67"/>
      <c r="LO455" s="67"/>
      <c r="LP455" s="67"/>
      <c r="LQ455" s="67"/>
      <c r="LR455" s="67"/>
      <c r="LS455" s="67"/>
      <c r="LT455" s="67"/>
      <c r="LU455" s="67"/>
      <c r="LV455" s="67"/>
      <c r="LW455" s="67"/>
      <c r="LX455" s="67"/>
      <c r="LY455" s="67"/>
      <c r="LZ455" s="67"/>
      <c r="MA455" s="67"/>
      <c r="MB455" s="67"/>
      <c r="MC455" s="67"/>
      <c r="MD455" s="67"/>
      <c r="ME455" s="67"/>
      <c r="MF455" s="67"/>
      <c r="MG455" s="67"/>
      <c r="MH455" s="67"/>
      <c r="MI455" s="67"/>
      <c r="MJ455" s="67"/>
      <c r="MK455" s="67"/>
      <c r="ML455" s="67"/>
      <c r="MM455" s="67"/>
      <c r="MN455" s="67"/>
      <c r="MO455" s="67"/>
      <c r="MP455" s="67"/>
      <c r="MQ455" s="67"/>
      <c r="MR455" s="67"/>
      <c r="MS455" s="67"/>
      <c r="MT455" s="67"/>
      <c r="MU455" s="67"/>
      <c r="MV455" s="67"/>
      <c r="MW455" s="67"/>
      <c r="MX455" s="67"/>
      <c r="MY455" s="67"/>
      <c r="MZ455" s="67"/>
      <c r="NA455" s="67"/>
      <c r="NB455" s="67"/>
      <c r="NC455" s="67"/>
      <c r="ND455" s="67"/>
      <c r="NE455" s="67"/>
      <c r="NF455" s="67"/>
      <c r="NG455" s="67"/>
      <c r="NH455" s="67"/>
      <c r="NI455" s="67"/>
      <c r="NJ455" s="67"/>
      <c r="NK455" s="67"/>
      <c r="NL455" s="67"/>
      <c r="NM455" s="67"/>
      <c r="NN455" s="67"/>
      <c r="NO455" s="67"/>
      <c r="NP455" s="67"/>
      <c r="NQ455" s="67"/>
      <c r="NR455" s="67"/>
      <c r="NS455" s="67"/>
      <c r="NT455" s="67"/>
      <c r="NU455" s="67"/>
      <c r="NV455" s="67"/>
      <c r="NW455" s="67"/>
      <c r="NX455" s="67"/>
      <c r="NY455" s="67"/>
      <c r="NZ455" s="67"/>
      <c r="OA455" s="67"/>
      <c r="OB455" s="67"/>
      <c r="OC455" s="67"/>
      <c r="OD455" s="67"/>
      <c r="OE455" s="67"/>
      <c r="OF455" s="67"/>
      <c r="OG455" s="67"/>
      <c r="OH455" s="67"/>
      <c r="OI455" s="67"/>
      <c r="OJ455" s="67"/>
      <c r="OK455" s="67"/>
      <c r="OL455" s="67"/>
      <c r="OM455" s="67"/>
      <c r="ON455" s="67"/>
      <c r="OO455" s="67"/>
      <c r="OP455" s="67"/>
      <c r="OQ455" s="67"/>
      <c r="OR455" s="67"/>
      <c r="OS455" s="67"/>
      <c r="OT455" s="67"/>
      <c r="OU455" s="67"/>
      <c r="OV455" s="67"/>
      <c r="OW455" s="67"/>
      <c r="OX455" s="67"/>
      <c r="OY455" s="67"/>
      <c r="OZ455" s="67"/>
      <c r="PA455" s="67"/>
      <c r="PB455" s="67"/>
      <c r="PC455" s="67"/>
      <c r="PD455" s="67"/>
      <c r="PE455" s="67"/>
      <c r="PF455" s="67"/>
      <c r="PG455" s="67"/>
      <c r="PH455" s="67"/>
      <c r="PI455" s="67"/>
      <c r="PJ455" s="67"/>
      <c r="PK455" s="67"/>
      <c r="PL455" s="67"/>
      <c r="PM455" s="67"/>
      <c r="PN455" s="67"/>
      <c r="PO455" s="67"/>
      <c r="PP455" s="67"/>
      <c r="PQ455" s="67"/>
      <c r="PR455" s="67"/>
      <c r="PS455" s="67"/>
      <c r="PT455" s="67"/>
      <c r="PU455" s="67"/>
      <c r="PV455" s="67"/>
      <c r="PW455" s="67"/>
      <c r="PX455" s="67"/>
      <c r="PY455" s="67"/>
      <c r="PZ455" s="67"/>
      <c r="QA455" s="67"/>
      <c r="QB455" s="67"/>
      <c r="QC455" s="67"/>
      <c r="QD455" s="67"/>
      <c r="QE455" s="67"/>
      <c r="QF455" s="67"/>
      <c r="QG455" s="67"/>
      <c r="QH455" s="67"/>
      <c r="QI455" s="67"/>
      <c r="QJ455" s="67"/>
      <c r="QK455" s="67"/>
      <c r="QL455" s="67"/>
      <c r="QM455" s="67"/>
      <c r="QN455" s="67"/>
      <c r="QO455" s="67"/>
      <c r="QP455" s="67"/>
      <c r="QQ455" s="67"/>
      <c r="QR455" s="67"/>
      <c r="QS455" s="67"/>
      <c r="QT455" s="67"/>
      <c r="QU455" s="67"/>
      <c r="QV455" s="67"/>
      <c r="QW455" s="67"/>
      <c r="QX455" s="67"/>
      <c r="QY455" s="67"/>
      <c r="QZ455" s="67"/>
      <c r="RA455" s="67"/>
      <c r="RB455" s="67"/>
      <c r="RC455" s="67"/>
      <c r="RD455" s="67"/>
      <c r="RE455" s="67"/>
      <c r="RF455" s="67"/>
      <c r="RG455" s="67"/>
      <c r="RH455" s="67"/>
      <c r="RI455" s="67"/>
      <c r="RJ455" s="67"/>
      <c r="RK455" s="67"/>
      <c r="RL455" s="67"/>
      <c r="RM455" s="67"/>
      <c r="RN455" s="67"/>
      <c r="RO455" s="67"/>
      <c r="RP455" s="67"/>
      <c r="RQ455" s="67"/>
      <c r="RR455" s="67"/>
      <c r="RS455" s="67"/>
      <c r="RT455" s="67"/>
      <c r="RU455" s="67"/>
      <c r="RV455" s="67"/>
      <c r="RW455" s="67"/>
      <c r="RX455" s="67"/>
      <c r="RY455" s="67"/>
      <c r="RZ455" s="67"/>
      <c r="SA455" s="67"/>
      <c r="SB455" s="67"/>
      <c r="SC455" s="67"/>
      <c r="SD455" s="67"/>
      <c r="SE455" s="67"/>
      <c r="SF455" s="67"/>
      <c r="SG455" s="67"/>
      <c r="SH455" s="67"/>
      <c r="SI455" s="67"/>
      <c r="SJ455" s="67"/>
      <c r="SK455" s="67"/>
      <c r="SL455" s="67"/>
      <c r="SM455" s="67"/>
      <c r="SN455" s="67"/>
      <c r="SO455" s="67"/>
      <c r="SP455" s="67"/>
      <c r="SQ455" s="67"/>
      <c r="SR455" s="67"/>
      <c r="SS455" s="67"/>
      <c r="ST455" s="67"/>
      <c r="SU455" s="67"/>
      <c r="SV455" s="67"/>
      <c r="SW455" s="67"/>
      <c r="SX455" s="67"/>
      <c r="SY455" s="67"/>
      <c r="SZ455" s="67"/>
      <c r="TA455" s="67"/>
      <c r="TB455" s="67"/>
      <c r="TC455" s="67"/>
      <c r="TD455" s="67"/>
      <c r="TE455" s="67"/>
      <c r="TF455" s="67"/>
      <c r="TG455" s="67"/>
      <c r="TH455" s="67"/>
      <c r="TI455" s="67"/>
      <c r="TJ455" s="67"/>
      <c r="TK455" s="67"/>
      <c r="TL455" s="67"/>
      <c r="TM455" s="67"/>
      <c r="TN455" s="67"/>
      <c r="TO455" s="67"/>
      <c r="TP455" s="67"/>
      <c r="TQ455" s="67"/>
      <c r="TR455" s="67"/>
      <c r="TS455" s="67"/>
      <c r="TT455" s="67"/>
      <c r="TU455" s="67"/>
      <c r="TV455" s="67"/>
      <c r="TW455" s="67"/>
      <c r="TX455" s="67"/>
      <c r="TY455" s="67"/>
      <c r="TZ455" s="67"/>
      <c r="UA455" s="67"/>
      <c r="UB455" s="67"/>
      <c r="UC455" s="67"/>
      <c r="UD455" s="67"/>
      <c r="UE455" s="67"/>
      <c r="UF455" s="67"/>
      <c r="UG455" s="67"/>
      <c r="UH455" s="67"/>
      <c r="UI455" s="67"/>
      <c r="UJ455" s="67"/>
      <c r="UK455" s="67"/>
      <c r="UL455" s="67"/>
      <c r="UM455" s="67"/>
      <c r="UN455" s="67"/>
      <c r="UO455" s="67"/>
      <c r="UP455" s="67"/>
      <c r="UQ455" s="67"/>
      <c r="UR455" s="67"/>
      <c r="US455" s="67"/>
      <c r="UT455" s="67"/>
      <c r="UU455" s="67"/>
      <c r="UV455" s="67"/>
      <c r="UW455" s="67"/>
      <c r="UX455" s="67"/>
      <c r="UY455" s="67"/>
      <c r="UZ455" s="67"/>
      <c r="VA455" s="67"/>
      <c r="VB455" s="67"/>
      <c r="VC455" s="67"/>
      <c r="VD455" s="67"/>
      <c r="VE455" s="67"/>
      <c r="VF455" s="67"/>
      <c r="VG455" s="67"/>
      <c r="VH455" s="67"/>
      <c r="VI455" s="67"/>
      <c r="VJ455" s="67"/>
      <c r="VK455" s="67"/>
      <c r="VL455" s="67"/>
      <c r="VM455" s="67"/>
      <c r="VN455" s="67"/>
      <c r="VO455" s="67"/>
      <c r="VP455" s="67"/>
      <c r="VQ455" s="67"/>
      <c r="VR455" s="67"/>
      <c r="VS455" s="67"/>
      <c r="VT455" s="67"/>
      <c r="VU455" s="67"/>
      <c r="VV455" s="67"/>
      <c r="VW455" s="67"/>
      <c r="VX455" s="67"/>
      <c r="VY455" s="67"/>
      <c r="VZ455" s="67"/>
      <c r="WA455" s="67"/>
      <c r="WB455" s="67"/>
      <c r="WC455" s="67"/>
      <c r="WD455" s="67"/>
      <c r="WE455" s="67"/>
      <c r="WF455" s="67"/>
      <c r="WG455" s="67"/>
      <c r="WH455" s="67"/>
      <c r="WI455" s="67"/>
      <c r="WJ455" s="67"/>
      <c r="WK455" s="67"/>
      <c r="WL455" s="67"/>
      <c r="WM455" s="67"/>
      <c r="WN455" s="67"/>
      <c r="WO455" s="67"/>
      <c r="WP455" s="67"/>
      <c r="WQ455" s="67"/>
      <c r="WR455" s="67"/>
      <c r="WS455" s="67"/>
      <c r="WT455" s="67"/>
      <c r="WU455" s="67"/>
      <c r="WV455" s="67"/>
      <c r="WW455" s="67"/>
      <c r="WX455" s="67"/>
      <c r="WY455" s="67"/>
      <c r="WZ455" s="67"/>
      <c r="XA455" s="67"/>
      <c r="XB455" s="67"/>
      <c r="XC455" s="67"/>
      <c r="XD455" s="67"/>
      <c r="XE455" s="67"/>
      <c r="XF455" s="67"/>
      <c r="XG455" s="67"/>
      <c r="XH455" s="67"/>
      <c r="XI455" s="67"/>
      <c r="XJ455" s="67"/>
      <c r="XK455" s="67"/>
      <c r="XL455" s="67"/>
      <c r="XM455" s="67"/>
      <c r="XN455" s="67"/>
      <c r="XO455" s="67"/>
      <c r="XP455" s="67"/>
      <c r="XQ455" s="67"/>
      <c r="XR455" s="67"/>
      <c r="XS455" s="67"/>
      <c r="XT455" s="67"/>
      <c r="XU455" s="67"/>
      <c r="XV455" s="67"/>
      <c r="XW455" s="67"/>
      <c r="XX455" s="67"/>
      <c r="XY455" s="67"/>
      <c r="XZ455" s="67"/>
      <c r="YA455" s="67"/>
      <c r="YB455" s="67"/>
      <c r="YC455" s="67"/>
      <c r="YD455" s="67"/>
      <c r="YE455" s="67"/>
      <c r="YF455" s="67"/>
      <c r="YG455" s="67"/>
      <c r="YH455" s="67"/>
      <c r="YI455" s="67"/>
      <c r="YJ455" s="67"/>
      <c r="YK455" s="67"/>
      <c r="YL455" s="67"/>
      <c r="YM455" s="67"/>
      <c r="YN455" s="67"/>
      <c r="YO455" s="67"/>
      <c r="YP455" s="67"/>
      <c r="YQ455" s="67"/>
      <c r="YR455" s="67"/>
      <c r="YS455" s="67"/>
      <c r="YT455" s="67"/>
      <c r="YU455" s="67"/>
      <c r="YV455" s="67"/>
      <c r="YW455" s="67"/>
      <c r="YX455" s="67"/>
      <c r="YY455" s="67"/>
      <c r="YZ455" s="67"/>
      <c r="ZA455" s="67"/>
      <c r="ZB455" s="67"/>
      <c r="ZC455" s="67"/>
      <c r="ZD455" s="67"/>
      <c r="ZE455" s="67"/>
      <c r="ZF455" s="67"/>
      <c r="ZG455" s="67"/>
      <c r="ZH455" s="67"/>
      <c r="ZI455" s="67"/>
      <c r="ZJ455" s="67"/>
      <c r="ZK455" s="67"/>
      <c r="ZL455" s="67"/>
      <c r="ZM455" s="67"/>
      <c r="ZN455" s="67"/>
      <c r="ZO455" s="67"/>
      <c r="ZP455" s="67"/>
      <c r="ZQ455" s="67"/>
      <c r="ZR455" s="67"/>
      <c r="ZS455" s="67"/>
      <c r="ZT455" s="67"/>
      <c r="ZU455" s="67"/>
      <c r="ZV455" s="67"/>
      <c r="ZW455" s="67"/>
      <c r="ZX455" s="67"/>
      <c r="ZY455" s="67"/>
      <c r="ZZ455" s="67"/>
      <c r="AAA455" s="67"/>
      <c r="AAB455" s="67"/>
      <c r="AAC455" s="67"/>
      <c r="AAD455" s="67"/>
      <c r="AAE455" s="67"/>
      <c r="AAF455" s="67"/>
      <c r="AAG455" s="67"/>
      <c r="AAH455" s="67"/>
      <c r="AAI455" s="67"/>
      <c r="AAJ455" s="67"/>
      <c r="AAK455" s="67"/>
      <c r="AAL455" s="67"/>
      <c r="AAM455" s="67"/>
      <c r="AAN455" s="67"/>
      <c r="AAO455" s="67"/>
      <c r="AAP455" s="67"/>
      <c r="AAQ455" s="67"/>
      <c r="AAR455" s="67"/>
      <c r="AAS455" s="67"/>
      <c r="AAT455" s="67"/>
      <c r="AAU455" s="67"/>
      <c r="AAV455" s="67"/>
      <c r="AAW455" s="67"/>
      <c r="AAX455" s="67"/>
      <c r="AAY455" s="67"/>
      <c r="AAZ455" s="67"/>
      <c r="ABA455" s="67"/>
      <c r="ABB455" s="67"/>
      <c r="ABC455" s="67"/>
      <c r="ABD455" s="67"/>
      <c r="ABE455" s="67"/>
      <c r="ABF455" s="67"/>
      <c r="ABG455" s="67"/>
      <c r="ABH455" s="67"/>
      <c r="ABI455" s="67"/>
      <c r="ABJ455" s="67"/>
      <c r="ABK455" s="67"/>
      <c r="ABL455" s="67"/>
      <c r="ABM455" s="67"/>
      <c r="ABN455" s="67"/>
      <c r="ABO455" s="67"/>
      <c r="ABP455" s="67"/>
      <c r="ABQ455" s="67"/>
      <c r="ABR455" s="67"/>
      <c r="ABS455" s="67"/>
      <c r="ABT455" s="67"/>
      <c r="ABU455" s="67"/>
      <c r="ABV455" s="67"/>
      <c r="ABW455" s="67"/>
      <c r="ABX455" s="67"/>
      <c r="ABY455" s="67"/>
      <c r="ABZ455" s="67"/>
      <c r="ACA455" s="67"/>
      <c r="ACB455" s="67"/>
      <c r="ACC455" s="67"/>
      <c r="ACD455" s="67"/>
      <c r="ACE455" s="67"/>
      <c r="ACF455" s="67"/>
      <c r="ACG455" s="67"/>
      <c r="ACH455" s="67"/>
      <c r="ACI455" s="67"/>
      <c r="ACJ455" s="67"/>
      <c r="ACK455" s="67"/>
      <c r="ACL455" s="67"/>
      <c r="ACM455" s="67"/>
      <c r="ACN455" s="67"/>
      <c r="ACO455" s="67"/>
      <c r="ACP455" s="67"/>
      <c r="ACQ455" s="67"/>
      <c r="ACR455" s="67"/>
      <c r="ACS455" s="67"/>
      <c r="ACT455" s="67"/>
      <c r="ACU455" s="67"/>
      <c r="ACV455" s="67"/>
      <c r="ACW455" s="67"/>
      <c r="ACX455" s="67"/>
      <c r="ACY455" s="67"/>
      <c r="ACZ455" s="67"/>
      <c r="ADA455" s="67"/>
      <c r="ADB455" s="67"/>
      <c r="ADC455" s="67"/>
      <c r="ADD455" s="67"/>
      <c r="ADE455" s="67"/>
      <c r="ADF455" s="67"/>
      <c r="ADG455" s="67"/>
      <c r="ADH455" s="67"/>
      <c r="ADI455" s="67"/>
      <c r="ADJ455" s="67"/>
      <c r="ADK455" s="67"/>
      <c r="ADL455" s="67"/>
      <c r="ADM455" s="67"/>
      <c r="ADN455" s="67"/>
      <c r="ADO455" s="67"/>
      <c r="ADP455" s="67"/>
      <c r="ADQ455" s="67"/>
      <c r="ADR455" s="67"/>
      <c r="ADS455" s="67"/>
      <c r="ADT455" s="67"/>
      <c r="ADU455" s="67"/>
      <c r="ADV455" s="67"/>
      <c r="ADW455" s="67"/>
      <c r="ADX455" s="67"/>
      <c r="ADY455" s="67"/>
      <c r="ADZ455" s="67"/>
      <c r="AEA455" s="67"/>
      <c r="AEB455" s="67"/>
      <c r="AEC455" s="67"/>
      <c r="AED455" s="67"/>
      <c r="AEE455" s="67"/>
      <c r="AEF455" s="67"/>
      <c r="AEG455" s="67"/>
      <c r="AEH455" s="67"/>
      <c r="AEI455" s="67"/>
      <c r="AEJ455" s="67"/>
      <c r="AEK455" s="67"/>
      <c r="AEL455" s="67"/>
      <c r="AEM455" s="67"/>
      <c r="AEN455" s="67"/>
      <c r="AEO455" s="67"/>
      <c r="AEP455" s="67"/>
      <c r="AEQ455" s="67"/>
      <c r="AER455" s="67"/>
      <c r="AES455" s="67"/>
      <c r="AET455" s="67"/>
      <c r="AEU455" s="67"/>
      <c r="AEV455" s="67"/>
      <c r="AEW455" s="67"/>
      <c r="AEX455" s="67"/>
      <c r="AEY455" s="67"/>
      <c r="AEZ455" s="67"/>
      <c r="AFA455" s="67"/>
      <c r="AFB455" s="67"/>
      <c r="AFC455" s="67"/>
      <c r="AFD455" s="67"/>
      <c r="AFE455" s="67"/>
      <c r="AFF455" s="67"/>
      <c r="AFG455" s="67"/>
      <c r="AFH455" s="67"/>
      <c r="AFI455" s="67"/>
      <c r="AFJ455" s="67"/>
      <c r="AFK455" s="67"/>
      <c r="AFL455" s="67"/>
      <c r="AFM455" s="67"/>
      <c r="AFN455" s="67"/>
      <c r="AFO455" s="67"/>
      <c r="AFP455" s="67"/>
      <c r="AFQ455" s="67"/>
      <c r="AFR455" s="67"/>
      <c r="AFS455" s="67"/>
      <c r="AFT455" s="67"/>
      <c r="AFU455" s="67"/>
      <c r="AFV455" s="67"/>
      <c r="AFW455" s="67"/>
      <c r="AFX455" s="67"/>
      <c r="AFY455" s="67"/>
      <c r="AFZ455" s="67"/>
      <c r="AGA455" s="67"/>
      <c r="AGB455" s="67"/>
      <c r="AGC455" s="67"/>
      <c r="AGD455" s="67"/>
      <c r="AGE455" s="67"/>
      <c r="AGF455" s="67"/>
      <c r="AGG455" s="67"/>
      <c r="AGH455" s="67"/>
      <c r="AGI455" s="67"/>
      <c r="AGJ455" s="67"/>
      <c r="AGK455" s="67"/>
      <c r="AGL455" s="67"/>
      <c r="AGM455" s="67"/>
      <c r="AGN455" s="67"/>
      <c r="AGO455" s="67"/>
      <c r="AGP455" s="67"/>
      <c r="AGQ455" s="67"/>
      <c r="AGR455" s="67"/>
      <c r="AGS455" s="67"/>
      <c r="AGT455" s="67"/>
      <c r="AGU455" s="67"/>
      <c r="AGV455" s="67"/>
      <c r="AGW455" s="67"/>
      <c r="AGX455" s="67"/>
      <c r="AGY455" s="67"/>
      <c r="AGZ455" s="67"/>
      <c r="AHA455" s="67"/>
      <c r="AHB455" s="67"/>
      <c r="AHC455" s="67"/>
      <c r="AHD455" s="67"/>
      <c r="AHE455" s="67"/>
      <c r="AHF455" s="67"/>
      <c r="AHG455" s="67"/>
      <c r="AHH455" s="67"/>
      <c r="AHI455" s="67"/>
      <c r="AHJ455" s="67"/>
      <c r="AHK455" s="67"/>
      <c r="AHL455" s="67"/>
      <c r="AHM455" s="67"/>
      <c r="AHN455" s="67"/>
      <c r="AHO455" s="67"/>
      <c r="AHP455" s="67"/>
      <c r="AHQ455" s="67"/>
      <c r="AHR455" s="67"/>
      <c r="AHS455" s="67"/>
      <c r="AHT455" s="67"/>
      <c r="AHU455" s="67"/>
      <c r="AHV455" s="67"/>
      <c r="AHW455" s="67"/>
      <c r="AHX455" s="67"/>
      <c r="AHY455" s="67"/>
      <c r="AHZ455" s="67"/>
      <c r="AIA455" s="67"/>
      <c r="AIB455" s="67"/>
      <c r="AIC455" s="67"/>
      <c r="AID455" s="67"/>
      <c r="AIE455" s="67"/>
      <c r="AIF455" s="67"/>
      <c r="AIG455" s="67"/>
      <c r="AIH455" s="67"/>
      <c r="AII455" s="67"/>
      <c r="AIJ455" s="67"/>
      <c r="AIK455" s="67"/>
      <c r="AIL455" s="67"/>
      <c r="AIM455" s="67"/>
      <c r="AIN455" s="67"/>
      <c r="AIO455" s="67"/>
      <c r="AIP455" s="67"/>
      <c r="AIQ455" s="67"/>
      <c r="AIR455" s="67"/>
      <c r="AIS455" s="67"/>
      <c r="AIT455" s="67"/>
      <c r="AIU455" s="67"/>
      <c r="AIV455" s="67"/>
      <c r="AIW455" s="67"/>
      <c r="AIX455" s="67"/>
      <c r="AIY455" s="67"/>
      <c r="AIZ455" s="67"/>
      <c r="AJA455" s="67"/>
      <c r="AJB455" s="67"/>
      <c r="AJC455" s="67"/>
      <c r="AJD455" s="67"/>
      <c r="AJE455" s="67"/>
      <c r="AJF455" s="67"/>
      <c r="AJG455" s="67"/>
      <c r="AJH455" s="67"/>
      <c r="AJI455" s="67"/>
      <c r="AJJ455" s="67"/>
      <c r="AJK455" s="67"/>
      <c r="AJL455" s="67"/>
      <c r="AJM455" s="67"/>
      <c r="AJN455" s="67"/>
      <c r="AJO455" s="67"/>
      <c r="AJP455" s="67"/>
      <c r="AJQ455" s="67"/>
      <c r="AJR455" s="67"/>
      <c r="AJS455" s="67"/>
      <c r="AJT455" s="67"/>
      <c r="AJU455" s="67"/>
      <c r="AJV455" s="67"/>
      <c r="AJW455" s="67"/>
      <c r="AJX455" s="67"/>
      <c r="AJY455" s="67"/>
      <c r="AJZ455" s="67"/>
      <c r="AKA455" s="67"/>
      <c r="AKB455" s="67"/>
      <c r="AKC455" s="67"/>
      <c r="AKD455" s="67"/>
      <c r="AKE455" s="67"/>
      <c r="AKF455" s="67"/>
      <c r="AKG455" s="67"/>
      <c r="AKH455" s="67"/>
      <c r="AKI455" s="67"/>
      <c r="AKJ455" s="67"/>
      <c r="AKK455" s="67"/>
      <c r="AKL455" s="67"/>
      <c r="AKM455" s="67"/>
      <c r="AKN455" s="67"/>
      <c r="AKO455" s="67"/>
      <c r="AKP455" s="67"/>
      <c r="AKQ455" s="67"/>
      <c r="AKR455" s="67"/>
      <c r="AKS455" s="67"/>
      <c r="AKT455" s="67"/>
      <c r="AKU455" s="67"/>
      <c r="AKV455" s="67"/>
      <c r="AKW455" s="67"/>
      <c r="AKX455" s="67"/>
      <c r="AKY455" s="67"/>
      <c r="AKZ455" s="67"/>
      <c r="ALA455" s="67"/>
      <c r="ALB455" s="67"/>
      <c r="ALC455" s="67"/>
      <c r="ALD455" s="67"/>
      <c r="ALE455" s="67"/>
      <c r="ALF455" s="67"/>
      <c r="ALG455" s="67"/>
      <c r="ALH455" s="67"/>
      <c r="ALI455" s="67"/>
      <c r="ALJ455" s="67"/>
      <c r="ALK455" s="67"/>
      <c r="ALL455" s="67"/>
      <c r="ALM455" s="67"/>
      <c r="ALN455" s="67"/>
      <c r="ALO455" s="67"/>
      <c r="ALP455" s="67"/>
      <c r="ALQ455" s="67"/>
      <c r="ALR455" s="67"/>
      <c r="ALS455" s="67"/>
      <c r="ALT455" s="67"/>
      <c r="ALU455" s="67"/>
      <c r="ALV455" s="67"/>
      <c r="ALW455" s="67"/>
      <c r="ALX455" s="67"/>
      <c r="ALY455" s="67"/>
      <c r="ALZ455" s="67"/>
      <c r="AMA455" s="67"/>
      <c r="AMB455" s="67"/>
      <c r="AMC455" s="67"/>
      <c r="AMD455" s="67"/>
      <c r="AME455" s="67"/>
      <c r="AMF455" s="67"/>
      <c r="AMG455" s="67"/>
      <c r="AMH455" s="67"/>
      <c r="AMI455" s="67"/>
      <c r="AMJ455" s="67"/>
      <c r="AMK455" s="67"/>
      <c r="AML455" s="67"/>
      <c r="AMM455" s="67"/>
      <c r="AMN455" s="67"/>
      <c r="AMO455" s="67"/>
      <c r="AMP455" s="67"/>
      <c r="AMQ455" s="67"/>
      <c r="AMR455" s="67"/>
      <c r="AMS455" s="67"/>
      <c r="AMT455" s="67"/>
      <c r="AMU455" s="67"/>
      <c r="AMV455" s="67"/>
      <c r="AMW455" s="67"/>
      <c r="AMX455" s="67"/>
      <c r="AMY455" s="67"/>
      <c r="AMZ455" s="67"/>
      <c r="ANA455" s="67"/>
      <c r="ANB455" s="67"/>
      <c r="ANC455" s="67"/>
      <c r="AND455" s="67"/>
      <c r="ANE455" s="67"/>
      <c r="ANF455" s="67"/>
      <c r="ANG455" s="67"/>
      <c r="ANH455" s="67"/>
      <c r="ANI455" s="67"/>
      <c r="ANJ455" s="67"/>
      <c r="ANK455" s="67"/>
      <c r="ANL455" s="67"/>
      <c r="ANM455" s="67"/>
      <c r="ANN455" s="67"/>
      <c r="ANO455" s="67"/>
      <c r="ANP455" s="67"/>
      <c r="ANQ455" s="67"/>
      <c r="ANR455" s="67"/>
      <c r="ANS455" s="67"/>
      <c r="ANT455" s="67"/>
      <c r="ANU455" s="67"/>
      <c r="ANV455" s="67"/>
      <c r="ANW455" s="67"/>
      <c r="ANX455" s="67"/>
      <c r="ANY455" s="67"/>
      <c r="ANZ455" s="67"/>
      <c r="AOA455" s="67"/>
      <c r="AOB455" s="67"/>
      <c r="AOC455" s="67"/>
      <c r="AOD455" s="67"/>
      <c r="AOE455" s="67"/>
      <c r="AOF455" s="67"/>
      <c r="AOG455" s="67"/>
      <c r="AOH455" s="67"/>
      <c r="AOI455" s="67"/>
      <c r="AOJ455" s="67"/>
      <c r="AOK455" s="67"/>
      <c r="AOL455" s="67"/>
      <c r="AOM455" s="67"/>
      <c r="AON455" s="67"/>
      <c r="AOO455" s="67"/>
      <c r="AOP455" s="67"/>
      <c r="AOQ455" s="67"/>
      <c r="AOR455" s="67"/>
      <c r="AOS455" s="67"/>
      <c r="AOT455" s="67"/>
      <c r="AOU455" s="67"/>
      <c r="AOV455" s="67"/>
      <c r="AOW455" s="67"/>
      <c r="AOX455" s="67"/>
      <c r="AOY455" s="67"/>
      <c r="AOZ455" s="67"/>
      <c r="APA455" s="67"/>
      <c r="APB455" s="67"/>
      <c r="APC455" s="67"/>
      <c r="APD455" s="67"/>
      <c r="APE455" s="67"/>
      <c r="APF455" s="67"/>
      <c r="APG455" s="67"/>
      <c r="APH455" s="67"/>
      <c r="API455" s="67"/>
      <c r="APJ455" s="67"/>
      <c r="APK455" s="67"/>
      <c r="APL455" s="67"/>
      <c r="APM455" s="67"/>
      <c r="APN455" s="67"/>
      <c r="APO455" s="67"/>
      <c r="APP455" s="67"/>
      <c r="APQ455" s="67"/>
      <c r="APR455" s="67"/>
      <c r="APS455" s="67"/>
      <c r="APT455" s="67"/>
      <c r="APU455" s="67"/>
      <c r="APV455" s="67"/>
      <c r="APW455" s="67"/>
      <c r="APX455" s="67"/>
      <c r="APY455" s="67"/>
      <c r="APZ455" s="67"/>
      <c r="AQA455" s="67"/>
      <c r="AQB455" s="67"/>
      <c r="AQC455" s="67"/>
      <c r="AQD455" s="67"/>
      <c r="AQE455" s="67"/>
      <c r="AQF455" s="67"/>
      <c r="AQG455" s="67"/>
      <c r="AQH455" s="67"/>
      <c r="AQI455" s="67"/>
      <c r="AQJ455" s="67"/>
      <c r="AQK455" s="67"/>
      <c r="AQL455" s="67"/>
      <c r="AQM455" s="67"/>
      <c r="AQN455" s="67"/>
      <c r="AQO455" s="67"/>
      <c r="AQP455" s="67"/>
      <c r="AQQ455" s="67"/>
      <c r="AQR455" s="67"/>
      <c r="AQS455" s="67"/>
      <c r="AQT455" s="67"/>
      <c r="AQU455" s="67"/>
      <c r="AQV455" s="67"/>
      <c r="AQW455" s="67"/>
      <c r="AQX455" s="67"/>
      <c r="AQY455" s="67"/>
      <c r="AQZ455" s="67"/>
      <c r="ARA455" s="67"/>
      <c r="ARB455" s="67"/>
      <c r="ARC455" s="67"/>
      <c r="ARD455" s="67"/>
      <c r="ARE455" s="67"/>
      <c r="ARF455" s="67"/>
      <c r="ARG455" s="67"/>
      <c r="ARH455" s="67"/>
      <c r="ARI455" s="67"/>
      <c r="ARJ455" s="67"/>
      <c r="ARK455" s="67"/>
      <c r="ARL455" s="67"/>
      <c r="ARM455" s="67"/>
      <c r="ARN455" s="67"/>
      <c r="ARO455" s="67"/>
      <c r="ARP455" s="67"/>
      <c r="ARQ455" s="67"/>
      <c r="ARR455" s="67"/>
      <c r="ARS455" s="67"/>
      <c r="ART455" s="67"/>
      <c r="ARU455" s="67"/>
      <c r="ARV455" s="67"/>
      <c r="ARW455" s="67"/>
      <c r="ARX455" s="67"/>
      <c r="ARY455" s="67"/>
      <c r="ARZ455" s="67"/>
      <c r="ASA455" s="67"/>
      <c r="ASB455" s="67"/>
      <c r="ASC455" s="67"/>
      <c r="ASD455" s="67"/>
      <c r="ASE455" s="67"/>
      <c r="ASF455" s="67"/>
      <c r="ASG455" s="67"/>
      <c r="ASH455" s="67"/>
      <c r="ASI455" s="67"/>
      <c r="ASJ455" s="67"/>
      <c r="ASK455" s="67"/>
      <c r="ASL455" s="67"/>
      <c r="ASM455" s="67"/>
      <c r="ASN455" s="67"/>
      <c r="ASO455" s="67"/>
      <c r="ASP455" s="67"/>
      <c r="ASQ455" s="67"/>
      <c r="ASR455" s="67"/>
      <c r="ASS455" s="67"/>
      <c r="AST455" s="67"/>
      <c r="ASU455" s="67"/>
      <c r="ASV455" s="67"/>
      <c r="ASW455" s="67"/>
      <c r="ASX455" s="67"/>
      <c r="ASY455" s="67"/>
      <c r="ASZ455" s="67"/>
      <c r="ATA455" s="67"/>
      <c r="ATB455" s="67"/>
      <c r="ATC455" s="67"/>
      <c r="ATD455" s="67"/>
      <c r="ATE455" s="67"/>
      <c r="ATF455" s="67"/>
      <c r="ATG455" s="67"/>
      <c r="ATH455" s="67"/>
      <c r="ATI455" s="67"/>
      <c r="ATJ455" s="67"/>
      <c r="ATK455" s="67"/>
      <c r="ATL455" s="67"/>
      <c r="ATM455" s="67"/>
      <c r="ATN455" s="67"/>
      <c r="ATO455" s="67"/>
      <c r="ATP455" s="67"/>
      <c r="ATQ455" s="67"/>
      <c r="ATR455" s="67"/>
      <c r="ATS455" s="67"/>
      <c r="ATT455" s="67"/>
      <c r="ATU455" s="67"/>
      <c r="ATV455" s="67"/>
      <c r="ATW455" s="67"/>
      <c r="ATX455" s="67"/>
      <c r="ATY455" s="67"/>
      <c r="ATZ455" s="67"/>
      <c r="AUA455" s="67"/>
      <c r="AUB455" s="67"/>
      <c r="AUC455" s="67"/>
      <c r="AUD455" s="67"/>
      <c r="AUE455" s="67"/>
      <c r="AUF455" s="67"/>
      <c r="AUG455" s="67"/>
      <c r="AUH455" s="67"/>
      <c r="AUI455" s="67"/>
      <c r="AUJ455" s="67"/>
      <c r="AUK455" s="67"/>
      <c r="AUL455" s="67"/>
      <c r="AUM455" s="67"/>
      <c r="AUN455" s="67"/>
      <c r="AUO455" s="67"/>
      <c r="AUP455" s="67"/>
      <c r="AUQ455" s="67"/>
      <c r="AUR455" s="67"/>
      <c r="AUS455" s="67"/>
      <c r="AUT455" s="67"/>
      <c r="AUU455" s="67"/>
      <c r="AUV455" s="67"/>
      <c r="AUW455" s="67"/>
      <c r="AUX455" s="67"/>
      <c r="AUY455" s="67"/>
      <c r="AUZ455" s="67"/>
      <c r="AVA455" s="67"/>
      <c r="AVB455" s="67"/>
      <c r="AVC455" s="67"/>
      <c r="AVD455" s="67"/>
      <c r="AVE455" s="67"/>
      <c r="AVF455" s="67"/>
      <c r="AVG455" s="67"/>
      <c r="AVH455" s="67"/>
      <c r="AVI455" s="67"/>
      <c r="AVJ455" s="67"/>
      <c r="AVK455" s="67"/>
      <c r="AVL455" s="67"/>
      <c r="AVM455" s="67"/>
      <c r="AVN455" s="67"/>
      <c r="AVO455" s="67"/>
      <c r="AVP455" s="67"/>
      <c r="AVQ455" s="67"/>
      <c r="AVR455" s="67"/>
      <c r="AVS455" s="67"/>
      <c r="AVT455" s="67"/>
      <c r="AVU455" s="67"/>
      <c r="AVV455" s="67"/>
      <c r="AVW455" s="67"/>
      <c r="AVX455" s="67"/>
      <c r="AVY455" s="67"/>
      <c r="AVZ455" s="67"/>
      <c r="AWA455" s="67"/>
      <c r="AWB455" s="67"/>
      <c r="AWC455" s="67"/>
      <c r="AWD455" s="67"/>
      <c r="AWE455" s="67"/>
      <c r="AWF455" s="67"/>
      <c r="AWG455" s="67"/>
      <c r="AWH455" s="67"/>
      <c r="AWI455" s="67"/>
      <c r="AWJ455" s="67"/>
      <c r="AWK455" s="67"/>
      <c r="AWL455" s="67"/>
      <c r="AWM455" s="67"/>
      <c r="AWN455" s="67"/>
      <c r="AWO455" s="67"/>
      <c r="AWP455" s="67"/>
      <c r="AWQ455" s="67"/>
      <c r="AWR455" s="67"/>
      <c r="AWS455" s="67"/>
      <c r="AWT455" s="67"/>
      <c r="AWU455" s="67"/>
      <c r="AWV455" s="67"/>
      <c r="AWW455" s="67"/>
      <c r="AWX455" s="67"/>
      <c r="AWY455" s="67"/>
      <c r="AWZ455" s="67"/>
      <c r="AXA455" s="67"/>
      <c r="AXB455" s="67"/>
      <c r="AXC455" s="67"/>
      <c r="AXD455" s="67"/>
      <c r="AXE455" s="67"/>
      <c r="AXF455" s="67"/>
      <c r="AXG455" s="67"/>
      <c r="AXH455" s="67"/>
      <c r="AXI455" s="67"/>
      <c r="AXJ455" s="67"/>
      <c r="AXK455" s="67"/>
      <c r="AXL455" s="67"/>
      <c r="AXM455" s="67"/>
      <c r="AXN455" s="67"/>
      <c r="AXO455" s="67"/>
      <c r="AXP455" s="67"/>
      <c r="AXQ455" s="67"/>
      <c r="AXR455" s="67"/>
      <c r="AXS455" s="67"/>
      <c r="AXT455" s="67"/>
      <c r="AXU455" s="67"/>
      <c r="AXV455" s="67"/>
      <c r="AXW455" s="67"/>
      <c r="AXX455" s="67"/>
      <c r="AXY455" s="67"/>
      <c r="AXZ455" s="67"/>
      <c r="AYA455" s="67"/>
      <c r="AYB455" s="67"/>
      <c r="AYC455" s="67"/>
      <c r="AYD455" s="67"/>
      <c r="AYE455" s="67"/>
      <c r="AYF455" s="67"/>
      <c r="AYG455" s="67"/>
      <c r="AYH455" s="67"/>
      <c r="AYI455" s="67"/>
      <c r="AYJ455" s="67"/>
      <c r="AYK455" s="67"/>
      <c r="AYL455" s="67"/>
      <c r="AYM455" s="67"/>
      <c r="AYN455" s="67"/>
      <c r="AYO455" s="67"/>
      <c r="AYP455" s="67"/>
      <c r="AYQ455" s="67"/>
      <c r="AYR455" s="67"/>
      <c r="AYS455" s="67"/>
      <c r="AYT455" s="67"/>
      <c r="AYU455" s="67"/>
      <c r="AYV455" s="67"/>
      <c r="AYW455" s="67"/>
      <c r="AYX455" s="67"/>
      <c r="AYY455" s="67"/>
      <c r="AYZ455" s="67"/>
      <c r="AZA455" s="67"/>
      <c r="AZB455" s="67"/>
      <c r="AZC455" s="67"/>
      <c r="AZD455" s="67"/>
      <c r="AZE455" s="67"/>
      <c r="AZF455" s="67"/>
      <c r="AZG455" s="67"/>
      <c r="AZH455" s="67"/>
      <c r="AZI455" s="67"/>
      <c r="AZJ455" s="67"/>
      <c r="AZK455" s="67"/>
      <c r="AZL455" s="67"/>
      <c r="AZM455" s="67"/>
      <c r="AZN455" s="67"/>
      <c r="AZO455" s="67"/>
      <c r="AZP455" s="67"/>
      <c r="AZQ455" s="67"/>
      <c r="AZR455" s="67"/>
      <c r="AZS455" s="67"/>
      <c r="AZT455" s="67"/>
      <c r="AZU455" s="67"/>
      <c r="AZV455" s="67"/>
      <c r="AZW455" s="67"/>
      <c r="AZX455" s="67"/>
      <c r="AZY455" s="67"/>
      <c r="AZZ455" s="67"/>
      <c r="BAA455" s="67"/>
      <c r="BAB455" s="67"/>
      <c r="BAC455" s="67"/>
      <c r="BAD455" s="67"/>
      <c r="BAE455" s="67"/>
      <c r="BAF455" s="67"/>
      <c r="BAG455" s="67"/>
      <c r="BAH455" s="67"/>
      <c r="BAI455" s="67"/>
      <c r="BAJ455" s="67"/>
      <c r="BAK455" s="67"/>
      <c r="BAL455" s="67"/>
      <c r="BAM455" s="67"/>
      <c r="BAN455" s="67"/>
      <c r="BAO455" s="67"/>
      <c r="BAP455" s="67"/>
      <c r="BAQ455" s="67"/>
      <c r="BAR455" s="67"/>
      <c r="BAS455" s="67"/>
      <c r="BAT455" s="67"/>
      <c r="BAU455" s="67"/>
      <c r="BAV455" s="67"/>
      <c r="BAW455" s="67"/>
      <c r="BAX455" s="67"/>
      <c r="BAY455" s="67"/>
      <c r="BAZ455" s="67"/>
      <c r="BBA455" s="67"/>
      <c r="BBB455" s="67"/>
      <c r="BBC455" s="67"/>
      <c r="BBD455" s="67"/>
      <c r="BBE455" s="67"/>
      <c r="BBF455" s="67"/>
      <c r="BBG455" s="67"/>
      <c r="BBH455" s="67"/>
      <c r="BBI455" s="67"/>
      <c r="BBJ455" s="67"/>
      <c r="BBK455" s="67"/>
      <c r="BBL455" s="67"/>
      <c r="BBM455" s="67"/>
      <c r="BBN455" s="67"/>
      <c r="BBO455" s="67"/>
      <c r="BBP455" s="67"/>
      <c r="BBQ455" s="67"/>
      <c r="BBR455" s="67"/>
      <c r="BBS455" s="67"/>
      <c r="BBT455" s="67"/>
      <c r="BBU455" s="67"/>
      <c r="BBV455" s="67"/>
      <c r="BBW455" s="67"/>
      <c r="BBX455" s="67"/>
      <c r="BBY455" s="67"/>
      <c r="BBZ455" s="67"/>
      <c r="BCA455" s="67"/>
      <c r="BCB455" s="67"/>
      <c r="BCC455" s="67"/>
      <c r="BCD455" s="67"/>
      <c r="BCE455" s="67"/>
      <c r="BCF455" s="67"/>
      <c r="BCG455" s="67"/>
      <c r="BCH455" s="67"/>
      <c r="BCI455" s="67"/>
      <c r="BCJ455" s="67"/>
      <c r="BCK455" s="67"/>
      <c r="BCL455" s="67"/>
      <c r="BCM455" s="67"/>
      <c r="BCN455" s="67"/>
      <c r="BCO455" s="67"/>
      <c r="BCP455" s="67"/>
      <c r="BCQ455" s="67"/>
      <c r="BCR455" s="67"/>
      <c r="BCS455" s="67"/>
      <c r="BCT455" s="67"/>
      <c r="BCU455" s="67"/>
      <c r="BCV455" s="67"/>
      <c r="BCW455" s="67"/>
      <c r="BCX455" s="67"/>
      <c r="BCY455" s="67"/>
      <c r="BCZ455" s="67"/>
      <c r="BDA455" s="67"/>
      <c r="BDB455" s="67"/>
      <c r="BDC455" s="67"/>
      <c r="BDD455" s="67"/>
      <c r="BDE455" s="67"/>
      <c r="BDF455" s="67"/>
      <c r="BDG455" s="67"/>
      <c r="BDH455" s="67"/>
      <c r="BDI455" s="67"/>
      <c r="BDJ455" s="67"/>
      <c r="BDK455" s="67"/>
      <c r="BDL455" s="67"/>
      <c r="BDM455" s="67"/>
      <c r="BDN455" s="67"/>
      <c r="BDO455" s="67"/>
      <c r="BDP455" s="67"/>
      <c r="BDQ455" s="67"/>
      <c r="BDR455" s="67"/>
      <c r="BDS455" s="67"/>
      <c r="BDT455" s="67"/>
      <c r="BDU455" s="67"/>
      <c r="BDV455" s="67"/>
      <c r="BDW455" s="67"/>
      <c r="BDX455" s="67"/>
      <c r="BDY455" s="67"/>
      <c r="BDZ455" s="67"/>
      <c r="BEA455" s="67"/>
      <c r="BEB455" s="67"/>
      <c r="BEC455" s="67"/>
      <c r="BED455" s="67"/>
      <c r="BEE455" s="67"/>
      <c r="BEF455" s="67"/>
      <c r="BEG455" s="67"/>
      <c r="BEH455" s="67"/>
      <c r="BEI455" s="67"/>
      <c r="BEJ455" s="67"/>
      <c r="BEK455" s="67"/>
      <c r="BEL455" s="67"/>
      <c r="BEM455" s="67"/>
      <c r="BEN455" s="67"/>
      <c r="BEO455" s="67"/>
      <c r="BEP455" s="67"/>
      <c r="BEQ455" s="67"/>
      <c r="BER455" s="67"/>
      <c r="BES455" s="67"/>
      <c r="BET455" s="67"/>
      <c r="BEU455" s="67"/>
      <c r="BEV455" s="67"/>
      <c r="BEW455" s="67"/>
      <c r="BEX455" s="67"/>
      <c r="BEY455" s="67"/>
      <c r="BEZ455" s="67"/>
      <c r="BFA455" s="67"/>
      <c r="BFB455" s="67"/>
      <c r="BFC455" s="67"/>
      <c r="BFD455" s="67"/>
      <c r="BFE455" s="67"/>
      <c r="BFF455" s="67"/>
      <c r="BFG455" s="67"/>
      <c r="BFH455" s="67"/>
      <c r="BFI455" s="67"/>
      <c r="BFJ455" s="67"/>
      <c r="BFK455" s="67"/>
      <c r="BFL455" s="67"/>
      <c r="BFM455" s="67"/>
      <c r="BFN455" s="67"/>
      <c r="BFO455" s="67"/>
      <c r="BFP455" s="67"/>
      <c r="BFQ455" s="67"/>
      <c r="BFR455" s="67"/>
      <c r="BFS455" s="67"/>
      <c r="BFT455" s="67"/>
      <c r="BFU455" s="67"/>
      <c r="BFV455" s="67"/>
      <c r="BFW455" s="67"/>
      <c r="BFX455" s="67"/>
      <c r="BFY455" s="67"/>
      <c r="BFZ455" s="67"/>
      <c r="BGA455" s="67"/>
      <c r="BGB455" s="67"/>
      <c r="BGC455" s="67"/>
      <c r="BGD455" s="67"/>
      <c r="BGE455" s="67"/>
      <c r="BGF455" s="67"/>
      <c r="BGG455" s="67"/>
      <c r="BGH455" s="67"/>
      <c r="BGI455" s="67"/>
      <c r="BGJ455" s="67"/>
      <c r="BGK455" s="67"/>
      <c r="BGL455" s="67"/>
      <c r="BGM455" s="67"/>
      <c r="BGN455" s="67"/>
      <c r="BGO455" s="67"/>
      <c r="BGP455" s="67"/>
      <c r="BGQ455" s="67"/>
      <c r="BGR455" s="67"/>
      <c r="BGS455" s="67"/>
      <c r="BGT455" s="67"/>
      <c r="BGU455" s="67"/>
      <c r="BGV455" s="67"/>
      <c r="BGW455" s="67"/>
      <c r="BGX455" s="67"/>
      <c r="BGY455" s="67"/>
      <c r="BGZ455" s="67"/>
      <c r="BHA455" s="67"/>
      <c r="BHB455" s="67"/>
      <c r="BHC455" s="67"/>
      <c r="BHD455" s="67"/>
      <c r="BHE455" s="67"/>
      <c r="BHF455" s="67"/>
      <c r="BHG455" s="67"/>
      <c r="BHH455" s="67"/>
      <c r="BHI455" s="67"/>
      <c r="BHJ455" s="67"/>
      <c r="BHK455" s="67"/>
      <c r="BHL455" s="67"/>
      <c r="BHM455" s="67"/>
      <c r="BHN455" s="67"/>
      <c r="BHO455" s="67"/>
      <c r="BHP455" s="67"/>
      <c r="BHQ455" s="67"/>
      <c r="BHR455" s="67"/>
      <c r="BHS455" s="67"/>
      <c r="BHT455" s="67"/>
      <c r="BHU455" s="67"/>
      <c r="BHV455" s="67"/>
      <c r="BHW455" s="67"/>
      <c r="BHX455" s="67"/>
      <c r="BHY455" s="67"/>
      <c r="BHZ455" s="67"/>
      <c r="BIA455" s="67"/>
      <c r="BIB455" s="67"/>
      <c r="BIC455" s="67"/>
      <c r="BID455" s="67"/>
      <c r="BIE455" s="67"/>
      <c r="BIF455" s="67"/>
      <c r="BIG455" s="67"/>
      <c r="BIH455" s="67"/>
      <c r="BII455" s="67"/>
      <c r="BIJ455" s="67"/>
      <c r="BIK455" s="67"/>
      <c r="BIL455" s="67"/>
      <c r="BIM455" s="67"/>
      <c r="BIN455" s="67"/>
      <c r="BIO455" s="67"/>
      <c r="BIP455" s="67"/>
      <c r="BIQ455" s="67"/>
      <c r="BIR455" s="67"/>
      <c r="BIS455" s="67"/>
      <c r="BIT455" s="67"/>
      <c r="BIU455" s="67"/>
      <c r="BIV455" s="67"/>
      <c r="BIW455" s="67"/>
      <c r="BIX455" s="67"/>
      <c r="BIY455" s="67"/>
      <c r="BIZ455" s="67"/>
      <c r="BJA455" s="67"/>
      <c r="BJB455" s="67"/>
      <c r="BJC455" s="67"/>
      <c r="BJD455" s="67"/>
      <c r="BJE455" s="67"/>
      <c r="BJF455" s="67"/>
      <c r="BJG455" s="67"/>
      <c r="BJH455" s="67"/>
      <c r="BJI455" s="67"/>
      <c r="BJJ455" s="67"/>
      <c r="BJK455" s="67"/>
      <c r="BJL455" s="67"/>
      <c r="BJM455" s="67"/>
      <c r="BJN455" s="67"/>
      <c r="BJO455" s="67"/>
      <c r="BJP455" s="67"/>
      <c r="BJQ455" s="67"/>
      <c r="BJR455" s="67"/>
      <c r="BJS455" s="67"/>
      <c r="BJT455" s="67"/>
      <c r="BJU455" s="67"/>
      <c r="BJV455" s="67"/>
      <c r="BJW455" s="67"/>
      <c r="BJX455" s="67"/>
      <c r="BJY455" s="67"/>
      <c r="BJZ455" s="67"/>
      <c r="BKA455" s="67"/>
      <c r="BKB455" s="67"/>
      <c r="BKC455" s="67"/>
      <c r="BKD455" s="67"/>
      <c r="BKE455" s="67"/>
      <c r="BKF455" s="67"/>
      <c r="BKG455" s="67"/>
      <c r="BKH455" s="67"/>
      <c r="BKI455" s="67"/>
      <c r="BKJ455" s="67"/>
      <c r="BKK455" s="67"/>
      <c r="BKL455" s="67"/>
      <c r="BKM455" s="67"/>
      <c r="BKN455" s="67"/>
      <c r="BKO455" s="67"/>
      <c r="BKP455" s="67"/>
      <c r="BKQ455" s="67"/>
      <c r="BKR455" s="67"/>
      <c r="BKS455" s="67"/>
      <c r="BKT455" s="67"/>
      <c r="BKU455" s="67"/>
      <c r="BKV455" s="67"/>
      <c r="BKW455" s="67"/>
      <c r="BKX455" s="67"/>
      <c r="BKY455" s="67"/>
      <c r="BKZ455" s="67"/>
      <c r="BLA455" s="67"/>
      <c r="BLB455" s="67"/>
      <c r="BLC455" s="67"/>
      <c r="BLD455" s="67"/>
      <c r="BLE455" s="67"/>
      <c r="BLF455" s="67"/>
      <c r="BLG455" s="67"/>
      <c r="BLH455" s="67"/>
      <c r="BLI455" s="67"/>
      <c r="BLJ455" s="67"/>
      <c r="BLK455" s="67"/>
      <c r="BLL455" s="67"/>
      <c r="BLM455" s="67"/>
      <c r="BLN455" s="67"/>
      <c r="BLO455" s="67"/>
      <c r="BLP455" s="67"/>
      <c r="BLQ455" s="67"/>
      <c r="BLR455" s="67"/>
      <c r="BLS455" s="67"/>
      <c r="BLT455" s="67"/>
      <c r="BLU455" s="67"/>
      <c r="BLV455" s="67"/>
      <c r="BLW455" s="67"/>
      <c r="BLX455" s="67"/>
      <c r="BLY455" s="67"/>
      <c r="BLZ455" s="67"/>
      <c r="BMA455" s="67"/>
      <c r="BMB455" s="67"/>
      <c r="BMC455" s="67"/>
      <c r="BMD455" s="67"/>
      <c r="BME455" s="67"/>
      <c r="BMF455" s="67"/>
      <c r="BMG455" s="67"/>
      <c r="BMH455" s="67"/>
      <c r="BMI455" s="67"/>
      <c r="BMJ455" s="67"/>
      <c r="BMK455" s="67"/>
      <c r="BML455" s="67"/>
      <c r="BMM455" s="67"/>
      <c r="BMN455" s="67"/>
      <c r="BMO455" s="67"/>
      <c r="BMP455" s="67"/>
      <c r="BMQ455" s="67"/>
      <c r="BMR455" s="67"/>
      <c r="BMS455" s="67"/>
      <c r="BMT455" s="67"/>
      <c r="BMU455" s="67"/>
      <c r="BMV455" s="67"/>
      <c r="BMW455" s="67"/>
      <c r="BMX455" s="67"/>
      <c r="BMY455" s="67"/>
      <c r="BMZ455" s="67"/>
      <c r="BNA455" s="67"/>
      <c r="BNB455" s="67"/>
      <c r="BNC455" s="67"/>
      <c r="BND455" s="67"/>
      <c r="BNE455" s="67"/>
      <c r="BNF455" s="67"/>
      <c r="BNG455" s="67"/>
      <c r="BNH455" s="67"/>
      <c r="BNI455" s="67"/>
      <c r="BNJ455" s="67"/>
      <c r="BNK455" s="67"/>
      <c r="BNL455" s="67"/>
      <c r="BNM455" s="67"/>
      <c r="BNN455" s="67"/>
      <c r="BNO455" s="67"/>
      <c r="BNP455" s="67"/>
      <c r="BNQ455" s="67"/>
      <c r="BNR455" s="67"/>
      <c r="BNS455" s="67"/>
      <c r="BNT455" s="67"/>
      <c r="BNU455" s="67"/>
      <c r="BNV455" s="67"/>
      <c r="BNW455" s="67"/>
      <c r="BNX455" s="67"/>
      <c r="BNY455" s="67"/>
      <c r="BNZ455" s="67"/>
      <c r="BOA455" s="67"/>
      <c r="BOB455" s="67"/>
      <c r="BOC455" s="67"/>
      <c r="BOD455" s="67"/>
      <c r="BOE455" s="67"/>
      <c r="BOF455" s="67"/>
      <c r="BOG455" s="67"/>
      <c r="BOH455" s="67"/>
      <c r="BOI455" s="67"/>
      <c r="BOJ455" s="67"/>
      <c r="BOK455" s="67"/>
      <c r="BOL455" s="67"/>
      <c r="BOM455" s="67"/>
      <c r="BON455" s="67"/>
      <c r="BOO455" s="67"/>
      <c r="BOP455" s="67"/>
      <c r="BOQ455" s="67"/>
      <c r="BOR455" s="67"/>
      <c r="BOS455" s="67"/>
      <c r="BOT455" s="67"/>
      <c r="BOU455" s="67"/>
      <c r="BOV455" s="67"/>
      <c r="BOW455" s="67"/>
      <c r="BOX455" s="67"/>
      <c r="BOY455" s="67"/>
      <c r="BOZ455" s="67"/>
      <c r="BPA455" s="67"/>
      <c r="BPB455" s="67"/>
      <c r="BPC455" s="67"/>
      <c r="BPD455" s="67"/>
      <c r="BPE455" s="67"/>
      <c r="BPF455" s="67"/>
      <c r="BPG455" s="67"/>
      <c r="BPH455" s="67"/>
      <c r="BPI455" s="67"/>
      <c r="BPJ455" s="67"/>
      <c r="BPK455" s="67"/>
      <c r="BPL455" s="67"/>
      <c r="BPM455" s="67"/>
      <c r="BPN455" s="67"/>
      <c r="BPO455" s="67"/>
      <c r="BPP455" s="67"/>
      <c r="BPQ455" s="67"/>
      <c r="BPR455" s="67"/>
      <c r="BPS455" s="67"/>
      <c r="BPT455" s="67"/>
      <c r="BPU455" s="67"/>
      <c r="BPV455" s="67"/>
      <c r="BPW455" s="67"/>
      <c r="BPX455" s="67"/>
      <c r="BPY455" s="67"/>
      <c r="BPZ455" s="67"/>
      <c r="BQA455" s="67"/>
      <c r="BQB455" s="67"/>
      <c r="BQC455" s="67"/>
      <c r="BQD455" s="67"/>
      <c r="BQE455" s="67"/>
      <c r="BQF455" s="67"/>
      <c r="BQG455" s="67"/>
      <c r="BQH455" s="67"/>
      <c r="BQI455" s="67"/>
      <c r="BQJ455" s="67"/>
      <c r="BQK455" s="67"/>
      <c r="BQL455" s="67"/>
      <c r="BQM455" s="67"/>
      <c r="BQN455" s="67"/>
      <c r="BQO455" s="67"/>
      <c r="BQP455" s="67"/>
      <c r="BQQ455" s="67"/>
      <c r="BQR455" s="67"/>
      <c r="BQS455" s="67"/>
      <c r="BQT455" s="67"/>
      <c r="BQU455" s="67"/>
      <c r="BQV455" s="67"/>
      <c r="BQW455" s="67"/>
      <c r="BQX455" s="67"/>
      <c r="BQY455" s="67"/>
      <c r="BQZ455" s="67"/>
      <c r="BRA455" s="67"/>
      <c r="BRB455" s="67"/>
      <c r="BRC455" s="67"/>
      <c r="BRD455" s="67"/>
      <c r="BRE455" s="67"/>
      <c r="BRF455" s="67"/>
      <c r="BRG455" s="67"/>
      <c r="BRH455" s="67"/>
      <c r="BRI455" s="67"/>
      <c r="BRJ455" s="67"/>
      <c r="BRK455" s="67"/>
      <c r="BRL455" s="67"/>
      <c r="BRM455" s="67"/>
      <c r="BRN455" s="67"/>
      <c r="BRO455" s="67"/>
      <c r="BRP455" s="67"/>
      <c r="BRQ455" s="67"/>
      <c r="BRR455" s="67"/>
      <c r="BRS455" s="67"/>
      <c r="BRT455" s="67"/>
      <c r="BRU455" s="67"/>
      <c r="BRV455" s="67"/>
      <c r="BRW455" s="67"/>
      <c r="BRX455" s="67"/>
      <c r="BRY455" s="67"/>
      <c r="BRZ455" s="67"/>
      <c r="BSA455" s="67"/>
      <c r="BSB455" s="67"/>
      <c r="BSC455" s="67"/>
      <c r="BSD455" s="67"/>
      <c r="BSE455" s="67"/>
      <c r="BSF455" s="67"/>
      <c r="BSG455" s="67"/>
      <c r="BSH455" s="67"/>
      <c r="BSI455" s="67"/>
      <c r="BSJ455" s="67"/>
      <c r="BSK455" s="67"/>
      <c r="BSL455" s="67"/>
      <c r="BSM455" s="67"/>
      <c r="BSN455" s="67"/>
      <c r="BSO455" s="67"/>
      <c r="BSP455" s="67"/>
      <c r="BSQ455" s="67"/>
      <c r="BSR455" s="67"/>
      <c r="BSS455" s="67"/>
      <c r="BST455" s="67"/>
      <c r="BSU455" s="67"/>
      <c r="BSV455" s="67"/>
      <c r="BSW455" s="67"/>
      <c r="BSX455" s="67"/>
      <c r="BSY455" s="67"/>
      <c r="BSZ455" s="67"/>
      <c r="BTA455" s="67"/>
      <c r="BTB455" s="67"/>
      <c r="BTC455" s="67"/>
      <c r="BTD455" s="67"/>
      <c r="BTE455" s="67"/>
      <c r="BTF455" s="67"/>
      <c r="BTG455" s="67"/>
      <c r="BTH455" s="67"/>
      <c r="BTI455" s="67"/>
      <c r="BTJ455" s="67"/>
      <c r="BTK455" s="67"/>
      <c r="BTL455" s="67"/>
      <c r="BTM455" s="67"/>
      <c r="BTN455" s="67"/>
      <c r="BTO455" s="67"/>
      <c r="BTP455" s="67"/>
      <c r="BTQ455" s="67"/>
      <c r="BTR455" s="67"/>
      <c r="BTS455" s="67"/>
      <c r="BTT455" s="67"/>
      <c r="BTU455" s="67"/>
      <c r="BTV455" s="67"/>
      <c r="BTW455" s="67"/>
      <c r="BTX455" s="67"/>
      <c r="BTY455" s="67"/>
      <c r="BTZ455" s="67"/>
      <c r="BUA455" s="67"/>
      <c r="BUB455" s="67"/>
      <c r="BUC455" s="67"/>
      <c r="BUD455" s="67"/>
      <c r="BUE455" s="67"/>
      <c r="BUF455" s="67"/>
      <c r="BUG455" s="67"/>
      <c r="BUH455" s="67"/>
      <c r="BUI455" s="67"/>
      <c r="BUJ455" s="67"/>
      <c r="BUK455" s="67"/>
      <c r="BUL455" s="67"/>
      <c r="BUM455" s="67"/>
      <c r="BUN455" s="67"/>
      <c r="BUO455" s="67"/>
      <c r="BUP455" s="67"/>
      <c r="BUQ455" s="67"/>
      <c r="BUR455" s="67"/>
      <c r="BUS455" s="67"/>
      <c r="BUT455" s="67"/>
      <c r="BUU455" s="67"/>
      <c r="BUV455" s="67"/>
      <c r="BUW455" s="67"/>
      <c r="BUX455" s="67"/>
      <c r="BUY455" s="67"/>
      <c r="BUZ455" s="67"/>
      <c r="BVA455" s="67"/>
      <c r="BVB455" s="67"/>
      <c r="BVC455" s="67"/>
      <c r="BVD455" s="67"/>
      <c r="BVE455" s="67"/>
      <c r="BVF455" s="67"/>
      <c r="BVG455" s="67"/>
      <c r="BVH455" s="67"/>
      <c r="BVI455" s="67"/>
      <c r="BVJ455" s="67"/>
      <c r="BVK455" s="67"/>
      <c r="BVL455" s="67"/>
      <c r="BVM455" s="67"/>
      <c r="BVN455" s="67"/>
      <c r="BVO455" s="67"/>
      <c r="BVP455" s="67"/>
      <c r="BVQ455" s="67"/>
      <c r="BVR455" s="67"/>
      <c r="BVS455" s="67"/>
      <c r="BVT455" s="67"/>
      <c r="BVU455" s="67"/>
      <c r="BVV455" s="67"/>
      <c r="BVW455" s="67"/>
      <c r="BVX455" s="67"/>
      <c r="BVY455" s="67"/>
      <c r="BVZ455" s="67"/>
      <c r="BWA455" s="67"/>
      <c r="BWB455" s="67"/>
      <c r="BWC455" s="67"/>
      <c r="BWD455" s="67"/>
      <c r="BWE455" s="67"/>
      <c r="BWF455" s="67"/>
      <c r="BWG455" s="67"/>
      <c r="BWH455" s="67"/>
      <c r="BWI455" s="67"/>
      <c r="BWJ455" s="67"/>
      <c r="BWK455" s="67"/>
      <c r="BWL455" s="67"/>
      <c r="BWM455" s="67"/>
      <c r="BWN455" s="67"/>
      <c r="BWO455" s="67"/>
      <c r="BWP455" s="67"/>
      <c r="BWQ455" s="67"/>
      <c r="BWR455" s="67"/>
      <c r="BWS455" s="67"/>
      <c r="BWT455" s="67"/>
      <c r="BWU455" s="67"/>
      <c r="BWV455" s="67"/>
      <c r="BWW455" s="67"/>
      <c r="BWX455" s="67"/>
      <c r="BWY455" s="67"/>
      <c r="BWZ455" s="67"/>
      <c r="BXA455" s="67"/>
      <c r="BXB455" s="67"/>
      <c r="BXC455" s="67"/>
      <c r="BXD455" s="67"/>
      <c r="BXE455" s="67"/>
      <c r="BXF455" s="67"/>
      <c r="BXG455" s="67"/>
      <c r="BXH455" s="67"/>
      <c r="BXI455" s="67"/>
      <c r="BXJ455" s="67"/>
      <c r="BXK455" s="67"/>
      <c r="BXL455" s="67"/>
      <c r="BXM455" s="67"/>
      <c r="BXN455" s="67"/>
      <c r="BXO455" s="67"/>
      <c r="BXP455" s="67"/>
      <c r="BXQ455" s="67"/>
      <c r="BXR455" s="67"/>
      <c r="BXS455" s="67"/>
      <c r="BXT455" s="67"/>
      <c r="BXU455" s="67"/>
      <c r="BXV455" s="67"/>
      <c r="BXW455" s="67"/>
      <c r="BXX455" s="67"/>
      <c r="BXY455" s="67"/>
      <c r="BXZ455" s="67"/>
      <c r="BYA455" s="67"/>
      <c r="BYB455" s="67"/>
      <c r="BYC455" s="67"/>
      <c r="BYD455" s="67"/>
      <c r="BYE455" s="67"/>
      <c r="BYF455" s="67"/>
      <c r="BYG455" s="67"/>
      <c r="BYH455" s="67"/>
      <c r="BYI455" s="67"/>
      <c r="BYJ455" s="67"/>
      <c r="BYK455" s="67"/>
      <c r="BYL455" s="67"/>
      <c r="BYM455" s="67"/>
      <c r="BYN455" s="67"/>
      <c r="BYO455" s="67"/>
      <c r="BYP455" s="67"/>
      <c r="BYQ455" s="67"/>
      <c r="BYR455" s="67"/>
      <c r="BYS455" s="67"/>
      <c r="BYT455" s="67"/>
      <c r="BYU455" s="67"/>
      <c r="BYV455" s="67"/>
      <c r="BYW455" s="67"/>
      <c r="BYX455" s="67"/>
      <c r="BYY455" s="67"/>
      <c r="BYZ455" s="67"/>
      <c r="BZA455" s="67"/>
      <c r="BZB455" s="67"/>
      <c r="BZC455" s="67"/>
      <c r="BZD455" s="67"/>
      <c r="BZE455" s="67"/>
      <c r="BZF455" s="67"/>
      <c r="BZG455" s="67"/>
      <c r="BZH455" s="67"/>
      <c r="BZI455" s="67"/>
      <c r="BZJ455" s="67"/>
      <c r="BZK455" s="67"/>
      <c r="BZL455" s="67"/>
      <c r="BZM455" s="67"/>
      <c r="BZN455" s="67"/>
      <c r="BZO455" s="67"/>
      <c r="BZP455" s="67"/>
      <c r="BZQ455" s="67"/>
      <c r="BZR455" s="67"/>
      <c r="BZS455" s="67"/>
      <c r="BZT455" s="67"/>
      <c r="BZU455" s="67"/>
      <c r="BZV455" s="67"/>
      <c r="BZW455" s="67"/>
      <c r="BZX455" s="67"/>
      <c r="BZY455" s="67"/>
      <c r="BZZ455" s="67"/>
      <c r="CAA455" s="67"/>
      <c r="CAB455" s="67"/>
      <c r="CAC455" s="67"/>
      <c r="CAD455" s="67"/>
      <c r="CAE455" s="67"/>
      <c r="CAF455" s="67"/>
      <c r="CAG455" s="67"/>
      <c r="CAH455" s="67"/>
      <c r="CAI455" s="67"/>
      <c r="CAJ455" s="67"/>
      <c r="CAK455" s="67"/>
      <c r="CAL455" s="67"/>
      <c r="CAM455" s="67"/>
      <c r="CAN455" s="67"/>
      <c r="CAO455" s="67"/>
      <c r="CAP455" s="67"/>
      <c r="CAQ455" s="67"/>
      <c r="CAR455" s="67"/>
      <c r="CAS455" s="67"/>
      <c r="CAT455" s="67"/>
      <c r="CAU455" s="67"/>
      <c r="CAV455" s="67"/>
      <c r="CAW455" s="67"/>
      <c r="CAX455" s="67"/>
      <c r="CAY455" s="67"/>
      <c r="CAZ455" s="67"/>
      <c r="CBA455" s="67"/>
      <c r="CBB455" s="67"/>
      <c r="CBC455" s="67"/>
      <c r="CBD455" s="67"/>
      <c r="CBE455" s="67"/>
      <c r="CBF455" s="67"/>
      <c r="CBG455" s="67"/>
      <c r="CBH455" s="67"/>
      <c r="CBI455" s="67"/>
      <c r="CBJ455" s="67"/>
      <c r="CBK455" s="67"/>
      <c r="CBL455" s="67"/>
      <c r="CBM455" s="67"/>
      <c r="CBN455" s="67"/>
      <c r="CBO455" s="67"/>
      <c r="CBP455" s="67"/>
      <c r="CBQ455" s="67"/>
      <c r="CBR455" s="67"/>
      <c r="CBS455" s="67"/>
      <c r="CBT455" s="67"/>
      <c r="CBU455" s="67"/>
      <c r="CBV455" s="67"/>
      <c r="CBW455" s="67"/>
      <c r="CBX455" s="67"/>
      <c r="CBY455" s="67"/>
      <c r="CBZ455" s="67"/>
      <c r="CCA455" s="67"/>
      <c r="CCB455" s="67"/>
      <c r="CCC455" s="67"/>
      <c r="CCD455" s="67"/>
      <c r="CCE455" s="67"/>
      <c r="CCF455" s="67"/>
      <c r="CCG455" s="67"/>
      <c r="CCH455" s="67"/>
      <c r="CCI455" s="67"/>
      <c r="CCJ455" s="67"/>
      <c r="CCK455" s="67"/>
      <c r="CCL455" s="67"/>
      <c r="CCM455" s="67"/>
      <c r="CCN455" s="67"/>
      <c r="CCO455" s="67"/>
      <c r="CCP455" s="67"/>
      <c r="CCQ455" s="67"/>
      <c r="CCR455" s="67"/>
      <c r="CCS455" s="67"/>
      <c r="CCT455" s="67"/>
      <c r="CCU455" s="67"/>
      <c r="CCV455" s="67"/>
      <c r="CCW455" s="67"/>
      <c r="CCX455" s="67"/>
      <c r="CCY455" s="67"/>
      <c r="CCZ455" s="67"/>
      <c r="CDA455" s="67"/>
      <c r="CDB455" s="67"/>
      <c r="CDC455" s="67"/>
      <c r="CDD455" s="67"/>
      <c r="CDE455" s="67"/>
      <c r="CDF455" s="67"/>
      <c r="CDG455" s="67"/>
      <c r="CDH455" s="67"/>
      <c r="CDI455" s="67"/>
      <c r="CDJ455" s="67"/>
      <c r="CDK455" s="67"/>
      <c r="CDL455" s="67"/>
      <c r="CDM455" s="67"/>
      <c r="CDN455" s="67"/>
      <c r="CDO455" s="67"/>
      <c r="CDP455" s="67"/>
      <c r="CDQ455" s="67"/>
      <c r="CDR455" s="67"/>
      <c r="CDS455" s="67"/>
      <c r="CDT455" s="67"/>
      <c r="CDU455" s="67"/>
      <c r="CDV455" s="67"/>
      <c r="CDW455" s="67"/>
      <c r="CDX455" s="67"/>
      <c r="CDY455" s="67"/>
      <c r="CDZ455" s="67"/>
      <c r="CEA455" s="67"/>
      <c r="CEB455" s="67"/>
      <c r="CEC455" s="67"/>
      <c r="CED455" s="67"/>
      <c r="CEE455" s="67"/>
      <c r="CEF455" s="67"/>
      <c r="CEG455" s="67"/>
      <c r="CEH455" s="67"/>
      <c r="CEI455" s="67"/>
      <c r="CEJ455" s="67"/>
      <c r="CEK455" s="67"/>
      <c r="CEL455" s="67"/>
      <c r="CEM455" s="67"/>
      <c r="CEN455" s="67"/>
      <c r="CEO455" s="67"/>
      <c r="CEP455" s="67"/>
      <c r="CEQ455" s="67"/>
      <c r="CER455" s="67"/>
      <c r="CES455" s="67"/>
      <c r="CET455" s="67"/>
      <c r="CEU455" s="67"/>
      <c r="CEV455" s="67"/>
      <c r="CEW455" s="67"/>
      <c r="CEX455" s="67"/>
      <c r="CEY455" s="67"/>
      <c r="CEZ455" s="67"/>
      <c r="CFA455" s="67"/>
      <c r="CFB455" s="67"/>
      <c r="CFC455" s="67"/>
      <c r="CFD455" s="67"/>
      <c r="CFE455" s="67"/>
      <c r="CFF455" s="67"/>
      <c r="CFG455" s="67"/>
      <c r="CFH455" s="67"/>
      <c r="CFI455" s="67"/>
      <c r="CFJ455" s="67"/>
      <c r="CFK455" s="67"/>
      <c r="CFL455" s="67"/>
      <c r="CFM455" s="67"/>
      <c r="CFN455" s="67"/>
      <c r="CFO455" s="67"/>
      <c r="CFP455" s="67"/>
      <c r="CFQ455" s="67"/>
      <c r="CFR455" s="67"/>
      <c r="CFS455" s="67"/>
      <c r="CFT455" s="67"/>
      <c r="CFU455" s="67"/>
      <c r="CFV455" s="67"/>
      <c r="CFW455" s="67"/>
      <c r="CFX455" s="67"/>
      <c r="CFY455" s="67"/>
      <c r="CFZ455" s="67"/>
      <c r="CGA455" s="67"/>
      <c r="CGB455" s="67"/>
      <c r="CGC455" s="67"/>
      <c r="CGD455" s="67"/>
      <c r="CGE455" s="67"/>
      <c r="CGF455" s="67"/>
      <c r="CGG455" s="67"/>
      <c r="CGH455" s="67"/>
      <c r="CGI455" s="67"/>
      <c r="CGJ455" s="67"/>
      <c r="CGK455" s="67"/>
      <c r="CGL455" s="67"/>
      <c r="CGM455" s="67"/>
      <c r="CGN455" s="67"/>
      <c r="CGO455" s="67"/>
      <c r="CGP455" s="67"/>
      <c r="CGQ455" s="67"/>
      <c r="CGR455" s="67"/>
      <c r="CGS455" s="67"/>
      <c r="CGT455" s="67"/>
      <c r="CGU455" s="67"/>
      <c r="CGV455" s="67"/>
      <c r="CGW455" s="67"/>
      <c r="CGX455" s="67"/>
      <c r="CGY455" s="67"/>
      <c r="CGZ455" s="67"/>
      <c r="CHA455" s="67"/>
      <c r="CHB455" s="67"/>
      <c r="CHC455" s="67"/>
      <c r="CHD455" s="67"/>
      <c r="CHE455" s="67"/>
      <c r="CHF455" s="67"/>
      <c r="CHG455" s="67"/>
      <c r="CHH455" s="67"/>
      <c r="CHI455" s="67"/>
      <c r="CHJ455" s="67"/>
      <c r="CHK455" s="67"/>
      <c r="CHL455" s="67"/>
      <c r="CHM455" s="67"/>
      <c r="CHN455" s="67"/>
      <c r="CHO455" s="67"/>
      <c r="CHP455" s="67"/>
      <c r="CHQ455" s="67"/>
      <c r="CHR455" s="67"/>
      <c r="CHS455" s="67"/>
      <c r="CHT455" s="67"/>
      <c r="CHU455" s="67"/>
      <c r="CHV455" s="67"/>
      <c r="CHW455" s="67"/>
      <c r="CHX455" s="67"/>
      <c r="CHY455" s="67"/>
      <c r="CHZ455" s="67"/>
      <c r="CIA455" s="67"/>
      <c r="CIB455" s="67"/>
      <c r="CIC455" s="67"/>
      <c r="CID455" s="67"/>
      <c r="CIE455" s="67"/>
      <c r="CIF455" s="67"/>
      <c r="CIG455" s="67"/>
      <c r="CIH455" s="67"/>
      <c r="CII455" s="67"/>
      <c r="CIJ455" s="67"/>
      <c r="CIK455" s="67"/>
      <c r="CIL455" s="67"/>
      <c r="CIM455" s="67"/>
      <c r="CIN455" s="67"/>
      <c r="CIO455" s="67"/>
      <c r="CIP455" s="67"/>
      <c r="CIQ455" s="67"/>
      <c r="CIR455" s="67"/>
      <c r="CIS455" s="67"/>
      <c r="CIT455" s="67"/>
      <c r="CIU455" s="67"/>
      <c r="CIV455" s="67"/>
      <c r="CIW455" s="67"/>
      <c r="CIX455" s="67"/>
      <c r="CIY455" s="67"/>
      <c r="CIZ455" s="67"/>
      <c r="CJA455" s="67"/>
      <c r="CJB455" s="67"/>
      <c r="CJC455" s="67"/>
      <c r="CJD455" s="67"/>
      <c r="CJE455" s="67"/>
      <c r="CJF455" s="67"/>
      <c r="CJG455" s="67"/>
      <c r="CJH455" s="67"/>
      <c r="CJI455" s="67"/>
      <c r="CJJ455" s="67"/>
      <c r="CJK455" s="67"/>
      <c r="CJL455" s="67"/>
      <c r="CJM455" s="67"/>
      <c r="CJN455" s="67"/>
      <c r="CJO455" s="67"/>
      <c r="CJP455" s="67"/>
      <c r="CJQ455" s="67"/>
      <c r="CJR455" s="67"/>
      <c r="CJS455" s="67"/>
      <c r="CJT455" s="67"/>
      <c r="CJU455" s="67"/>
      <c r="CJV455" s="67"/>
      <c r="CJW455" s="67"/>
      <c r="CJX455" s="67"/>
      <c r="CJY455" s="67"/>
      <c r="CJZ455" s="67"/>
      <c r="CKA455" s="67"/>
      <c r="CKB455" s="67"/>
      <c r="CKC455" s="67"/>
      <c r="CKD455" s="67"/>
      <c r="CKE455" s="67"/>
      <c r="CKF455" s="67"/>
      <c r="CKG455" s="67"/>
      <c r="CKH455" s="67"/>
      <c r="CKI455" s="67"/>
      <c r="CKJ455" s="67"/>
      <c r="CKK455" s="67"/>
      <c r="CKL455" s="67"/>
      <c r="CKM455" s="67"/>
      <c r="CKN455" s="67"/>
      <c r="CKO455" s="67"/>
      <c r="CKP455" s="67"/>
      <c r="CKQ455" s="67"/>
      <c r="CKR455" s="67"/>
      <c r="CKS455" s="67"/>
      <c r="CKT455" s="67"/>
      <c r="CKU455" s="67"/>
      <c r="CKV455" s="67"/>
      <c r="CKW455" s="67"/>
      <c r="CKX455" s="67"/>
      <c r="CKY455" s="67"/>
      <c r="CKZ455" s="67"/>
      <c r="CLA455" s="67"/>
      <c r="CLB455" s="67"/>
      <c r="CLC455" s="67"/>
      <c r="CLD455" s="67"/>
      <c r="CLE455" s="67"/>
      <c r="CLF455" s="67"/>
      <c r="CLG455" s="67"/>
      <c r="CLH455" s="67"/>
      <c r="CLI455" s="67"/>
      <c r="CLJ455" s="67"/>
      <c r="CLK455" s="67"/>
      <c r="CLL455" s="67"/>
      <c r="CLM455" s="67"/>
      <c r="CLN455" s="67"/>
      <c r="CLO455" s="67"/>
      <c r="CLP455" s="67"/>
      <c r="CLQ455" s="67"/>
      <c r="CLR455" s="67"/>
      <c r="CLS455" s="67"/>
      <c r="CLT455" s="67"/>
      <c r="CLU455" s="67"/>
      <c r="CLV455" s="67"/>
      <c r="CLW455" s="67"/>
      <c r="CLX455" s="67"/>
      <c r="CLY455" s="67"/>
      <c r="CLZ455" s="67"/>
      <c r="CMA455" s="67"/>
      <c r="CMB455" s="67"/>
      <c r="CMC455" s="67"/>
      <c r="CMD455" s="67"/>
      <c r="CME455" s="67"/>
      <c r="CMF455" s="67"/>
      <c r="CMG455" s="67"/>
      <c r="CMH455" s="67"/>
      <c r="CMI455" s="67"/>
      <c r="CMJ455" s="67"/>
      <c r="CMK455" s="67"/>
      <c r="CML455" s="67"/>
      <c r="CMM455" s="67"/>
      <c r="CMN455" s="67"/>
      <c r="CMO455" s="67"/>
      <c r="CMP455" s="67"/>
      <c r="CMQ455" s="67"/>
      <c r="CMR455" s="67"/>
      <c r="CMS455" s="67"/>
      <c r="CMT455" s="67"/>
      <c r="CMU455" s="67"/>
      <c r="CMV455" s="67"/>
      <c r="CMW455" s="67"/>
      <c r="CMX455" s="67"/>
      <c r="CMY455" s="67"/>
      <c r="CMZ455" s="67"/>
      <c r="CNA455" s="67"/>
      <c r="CNB455" s="67"/>
      <c r="CNC455" s="67"/>
      <c r="CND455" s="67"/>
      <c r="CNE455" s="67"/>
      <c r="CNF455" s="67"/>
      <c r="CNG455" s="67"/>
      <c r="CNH455" s="67"/>
      <c r="CNI455" s="67"/>
      <c r="CNJ455" s="67"/>
      <c r="CNK455" s="67"/>
      <c r="CNL455" s="67"/>
      <c r="CNM455" s="67"/>
      <c r="CNN455" s="67"/>
      <c r="CNO455" s="67"/>
      <c r="CNP455" s="67"/>
      <c r="CNQ455" s="67"/>
      <c r="CNR455" s="67"/>
      <c r="CNS455" s="67"/>
      <c r="CNT455" s="67"/>
      <c r="CNU455" s="67"/>
      <c r="CNV455" s="67"/>
      <c r="CNW455" s="67"/>
      <c r="CNX455" s="67"/>
      <c r="CNY455" s="67"/>
      <c r="CNZ455" s="67"/>
      <c r="COA455" s="67"/>
      <c r="COB455" s="67"/>
      <c r="COC455" s="67"/>
      <c r="COD455" s="67"/>
      <c r="COE455" s="67"/>
      <c r="COF455" s="67"/>
      <c r="COG455" s="67"/>
      <c r="COH455" s="67"/>
      <c r="COI455" s="67"/>
      <c r="COJ455" s="67"/>
      <c r="COK455" s="67"/>
      <c r="COL455" s="67"/>
      <c r="COM455" s="67"/>
      <c r="CON455" s="67"/>
      <c r="COO455" s="67"/>
      <c r="COP455" s="67"/>
      <c r="COQ455" s="67"/>
      <c r="COR455" s="67"/>
      <c r="COS455" s="67"/>
      <c r="COT455" s="67"/>
      <c r="COU455" s="67"/>
      <c r="COV455" s="67"/>
      <c r="COW455" s="67"/>
      <c r="COX455" s="67"/>
      <c r="COY455" s="67"/>
      <c r="COZ455" s="67"/>
      <c r="CPA455" s="67"/>
      <c r="CPB455" s="67"/>
      <c r="CPC455" s="67"/>
      <c r="CPD455" s="67"/>
      <c r="CPE455" s="67"/>
      <c r="CPF455" s="67"/>
      <c r="CPG455" s="67"/>
      <c r="CPH455" s="67"/>
      <c r="CPI455" s="67"/>
      <c r="CPJ455" s="67"/>
      <c r="CPK455" s="67"/>
      <c r="CPL455" s="67"/>
      <c r="CPM455" s="67"/>
      <c r="CPN455" s="67"/>
      <c r="CPO455" s="67"/>
      <c r="CPP455" s="67"/>
      <c r="CPQ455" s="67"/>
      <c r="CPR455" s="67"/>
      <c r="CPS455" s="67"/>
      <c r="CPT455" s="67"/>
      <c r="CPU455" s="67"/>
      <c r="CPV455" s="67"/>
      <c r="CPW455" s="67"/>
      <c r="CPX455" s="67"/>
      <c r="CPY455" s="67"/>
      <c r="CPZ455" s="67"/>
      <c r="CQA455" s="67"/>
      <c r="CQB455" s="67"/>
      <c r="CQC455" s="67"/>
      <c r="CQD455" s="67"/>
      <c r="CQE455" s="67"/>
      <c r="CQF455" s="67"/>
      <c r="CQG455" s="67"/>
      <c r="CQH455" s="67"/>
      <c r="CQI455" s="67"/>
      <c r="CQJ455" s="67"/>
      <c r="CQK455" s="67"/>
      <c r="CQL455" s="67"/>
      <c r="CQM455" s="67"/>
      <c r="CQN455" s="67"/>
      <c r="CQO455" s="67"/>
      <c r="CQP455" s="67"/>
      <c r="CQQ455" s="67"/>
      <c r="CQR455" s="67"/>
      <c r="CQS455" s="67"/>
      <c r="CQT455" s="67"/>
      <c r="CQU455" s="67"/>
      <c r="CQV455" s="67"/>
      <c r="CQW455" s="67"/>
      <c r="CQX455" s="67"/>
      <c r="CQY455" s="67"/>
      <c r="CQZ455" s="67"/>
      <c r="CRA455" s="67"/>
      <c r="CRB455" s="67"/>
      <c r="CRC455" s="67"/>
      <c r="CRD455" s="67"/>
      <c r="CRE455" s="67"/>
      <c r="CRF455" s="67"/>
      <c r="CRG455" s="67"/>
      <c r="CRH455" s="67"/>
      <c r="CRI455" s="67"/>
      <c r="CRJ455" s="67"/>
      <c r="CRK455" s="67"/>
      <c r="CRL455" s="67"/>
      <c r="CRM455" s="67"/>
      <c r="CRN455" s="67"/>
      <c r="CRO455" s="67"/>
      <c r="CRP455" s="67"/>
      <c r="CRQ455" s="67"/>
      <c r="CRR455" s="67"/>
      <c r="CRS455" s="67"/>
      <c r="CRT455" s="67"/>
      <c r="CRU455" s="67"/>
      <c r="CRV455" s="67"/>
      <c r="CRW455" s="67"/>
      <c r="CRX455" s="67"/>
      <c r="CRY455" s="67"/>
      <c r="CRZ455" s="67"/>
      <c r="CSA455" s="67"/>
      <c r="CSB455" s="67"/>
      <c r="CSC455" s="67"/>
      <c r="CSD455" s="67"/>
      <c r="CSE455" s="67"/>
      <c r="CSF455" s="67"/>
      <c r="CSG455" s="67"/>
      <c r="CSH455" s="67"/>
      <c r="CSI455" s="67"/>
      <c r="CSJ455" s="67"/>
      <c r="CSK455" s="67"/>
      <c r="CSL455" s="67"/>
      <c r="CSM455" s="67"/>
      <c r="CSN455" s="67"/>
      <c r="CSO455" s="67"/>
      <c r="CSP455" s="67"/>
      <c r="CSQ455" s="67"/>
      <c r="CSR455" s="67"/>
      <c r="CSS455" s="67"/>
      <c r="CST455" s="67"/>
      <c r="CSU455" s="67"/>
      <c r="CSV455" s="67"/>
      <c r="CSW455" s="67"/>
      <c r="CSX455" s="67"/>
      <c r="CSY455" s="67"/>
      <c r="CSZ455" s="67"/>
      <c r="CTA455" s="67"/>
      <c r="CTB455" s="67"/>
      <c r="CTC455" s="67"/>
      <c r="CTD455" s="67"/>
      <c r="CTE455" s="67"/>
      <c r="CTF455" s="67"/>
      <c r="CTG455" s="67"/>
      <c r="CTH455" s="67"/>
      <c r="CTI455" s="67"/>
      <c r="CTJ455" s="67"/>
      <c r="CTK455" s="67"/>
      <c r="CTL455" s="67"/>
      <c r="CTM455" s="67"/>
      <c r="CTN455" s="67"/>
      <c r="CTO455" s="67"/>
      <c r="CTP455" s="67"/>
      <c r="CTQ455" s="67"/>
      <c r="CTR455" s="67"/>
      <c r="CTS455" s="67"/>
      <c r="CTT455" s="67"/>
      <c r="CTU455" s="67"/>
      <c r="CTV455" s="67"/>
      <c r="CTW455" s="67"/>
      <c r="CTX455" s="67"/>
      <c r="CTY455" s="67"/>
      <c r="CTZ455" s="67"/>
      <c r="CUA455" s="67"/>
      <c r="CUB455" s="67"/>
      <c r="CUC455" s="67"/>
      <c r="CUD455" s="67"/>
      <c r="CUE455" s="67"/>
      <c r="CUF455" s="67"/>
      <c r="CUG455" s="67"/>
      <c r="CUH455" s="67"/>
      <c r="CUI455" s="67"/>
      <c r="CUJ455" s="67"/>
      <c r="CUK455" s="67"/>
      <c r="CUL455" s="67"/>
      <c r="CUM455" s="67"/>
      <c r="CUN455" s="67"/>
      <c r="CUO455" s="67"/>
      <c r="CUP455" s="67"/>
      <c r="CUQ455" s="67"/>
      <c r="CUR455" s="67"/>
      <c r="CUS455" s="67"/>
      <c r="CUT455" s="67"/>
      <c r="CUU455" s="67"/>
      <c r="CUV455" s="67"/>
      <c r="CUW455" s="67"/>
      <c r="CUX455" s="67"/>
      <c r="CUY455" s="67"/>
      <c r="CUZ455" s="67"/>
      <c r="CVA455" s="67"/>
      <c r="CVB455" s="67"/>
      <c r="CVC455" s="67"/>
      <c r="CVD455" s="67"/>
      <c r="CVE455" s="67"/>
      <c r="CVF455" s="67"/>
      <c r="CVG455" s="67"/>
      <c r="CVH455" s="67"/>
      <c r="CVI455" s="67"/>
      <c r="CVJ455" s="67"/>
      <c r="CVK455" s="67"/>
      <c r="CVL455" s="67"/>
      <c r="CVM455" s="67"/>
      <c r="CVN455" s="67"/>
      <c r="CVO455" s="67"/>
      <c r="CVP455" s="67"/>
      <c r="CVQ455" s="67"/>
      <c r="CVR455" s="67"/>
      <c r="CVS455" s="67"/>
      <c r="CVT455" s="67"/>
      <c r="CVU455" s="67"/>
      <c r="CVV455" s="67"/>
      <c r="CVW455" s="67"/>
      <c r="CVX455" s="67"/>
      <c r="CVY455" s="67"/>
      <c r="CVZ455" s="67"/>
      <c r="CWA455" s="67"/>
      <c r="CWB455" s="67"/>
      <c r="CWC455" s="67"/>
      <c r="CWD455" s="67"/>
      <c r="CWE455" s="67"/>
      <c r="CWF455" s="67"/>
      <c r="CWG455" s="67"/>
      <c r="CWH455" s="67"/>
      <c r="CWI455" s="67"/>
      <c r="CWJ455" s="67"/>
      <c r="CWK455" s="67"/>
      <c r="CWL455" s="67"/>
      <c r="CWM455" s="67"/>
      <c r="CWN455" s="67"/>
      <c r="CWO455" s="67"/>
      <c r="CWP455" s="67"/>
      <c r="CWQ455" s="67"/>
      <c r="CWR455" s="67"/>
      <c r="CWS455" s="67"/>
      <c r="CWT455" s="67"/>
      <c r="CWU455" s="67"/>
      <c r="CWV455" s="67"/>
      <c r="CWW455" s="67"/>
      <c r="CWX455" s="67"/>
      <c r="CWY455" s="67"/>
      <c r="CWZ455" s="67"/>
      <c r="CXA455" s="67"/>
      <c r="CXB455" s="67"/>
      <c r="CXC455" s="67"/>
      <c r="CXD455" s="67"/>
      <c r="CXE455" s="67"/>
      <c r="CXF455" s="67"/>
      <c r="CXG455" s="67"/>
      <c r="CXH455" s="67"/>
      <c r="CXI455" s="67"/>
      <c r="CXJ455" s="67"/>
      <c r="CXK455" s="67"/>
      <c r="CXL455" s="67"/>
      <c r="CXM455" s="67"/>
      <c r="CXN455" s="67"/>
      <c r="CXO455" s="67"/>
      <c r="CXP455" s="67"/>
      <c r="CXQ455" s="67"/>
      <c r="CXR455" s="67"/>
      <c r="CXS455" s="67"/>
      <c r="CXT455" s="67"/>
      <c r="CXU455" s="67"/>
      <c r="CXV455" s="67"/>
      <c r="CXW455" s="67"/>
      <c r="CXX455" s="67"/>
      <c r="CXY455" s="67"/>
      <c r="CXZ455" s="67"/>
      <c r="CYA455" s="67"/>
      <c r="CYB455" s="67"/>
      <c r="CYC455" s="67"/>
      <c r="CYD455" s="67"/>
      <c r="CYE455" s="67"/>
      <c r="CYF455" s="67"/>
      <c r="CYG455" s="67"/>
      <c r="CYH455" s="67"/>
      <c r="CYI455" s="67"/>
      <c r="CYJ455" s="67"/>
      <c r="CYK455" s="67"/>
      <c r="CYL455" s="67"/>
      <c r="CYM455" s="67"/>
      <c r="CYN455" s="67"/>
      <c r="CYO455" s="67"/>
      <c r="CYP455" s="67"/>
      <c r="CYQ455" s="67"/>
      <c r="CYR455" s="67"/>
      <c r="CYS455" s="67"/>
      <c r="CYT455" s="67"/>
      <c r="CYU455" s="67"/>
      <c r="CYV455" s="67"/>
      <c r="CYW455" s="67"/>
      <c r="CYX455" s="67"/>
      <c r="CYY455" s="67"/>
      <c r="CYZ455" s="67"/>
      <c r="CZA455" s="67"/>
      <c r="CZB455" s="67"/>
      <c r="CZC455" s="67"/>
      <c r="CZD455" s="67"/>
      <c r="CZE455" s="67"/>
      <c r="CZF455" s="67"/>
      <c r="CZG455" s="67"/>
      <c r="CZH455" s="67"/>
      <c r="CZI455" s="67"/>
      <c r="CZJ455" s="67"/>
      <c r="CZK455" s="67"/>
      <c r="CZL455" s="67"/>
      <c r="CZM455" s="67"/>
      <c r="CZN455" s="67"/>
      <c r="CZO455" s="67"/>
      <c r="CZP455" s="67"/>
      <c r="CZQ455" s="67"/>
      <c r="CZR455" s="67"/>
      <c r="CZS455" s="67"/>
      <c r="CZT455" s="67"/>
      <c r="CZU455" s="67"/>
      <c r="CZV455" s="67"/>
      <c r="CZW455" s="67"/>
      <c r="CZX455" s="67"/>
      <c r="CZY455" s="67"/>
      <c r="CZZ455" s="67"/>
      <c r="DAA455" s="67"/>
      <c r="DAB455" s="67"/>
      <c r="DAC455" s="67"/>
      <c r="DAD455" s="67"/>
      <c r="DAE455" s="67"/>
      <c r="DAF455" s="67"/>
      <c r="DAG455" s="67"/>
      <c r="DAH455" s="67"/>
      <c r="DAI455" s="67"/>
      <c r="DAJ455" s="67"/>
      <c r="DAK455" s="67"/>
      <c r="DAL455" s="67"/>
      <c r="DAM455" s="67"/>
      <c r="DAN455" s="67"/>
      <c r="DAO455" s="67"/>
      <c r="DAP455" s="67"/>
      <c r="DAQ455" s="67"/>
      <c r="DAR455" s="67"/>
      <c r="DAS455" s="67"/>
      <c r="DAT455" s="67"/>
      <c r="DAU455" s="67"/>
      <c r="DAV455" s="67"/>
      <c r="DAW455" s="67"/>
      <c r="DAX455" s="67"/>
      <c r="DAY455" s="67"/>
      <c r="DAZ455" s="67"/>
      <c r="DBA455" s="67"/>
      <c r="DBB455" s="67"/>
      <c r="DBC455" s="67"/>
      <c r="DBD455" s="67"/>
      <c r="DBE455" s="67"/>
      <c r="DBF455" s="67"/>
      <c r="DBG455" s="67"/>
      <c r="DBH455" s="67"/>
      <c r="DBI455" s="67"/>
      <c r="DBJ455" s="67"/>
      <c r="DBK455" s="67"/>
      <c r="DBL455" s="67"/>
      <c r="DBM455" s="67"/>
      <c r="DBN455" s="67"/>
      <c r="DBO455" s="67"/>
      <c r="DBP455" s="67"/>
      <c r="DBQ455" s="67"/>
      <c r="DBR455" s="67"/>
      <c r="DBS455" s="67"/>
      <c r="DBT455" s="67"/>
      <c r="DBU455" s="67"/>
      <c r="DBV455" s="67"/>
      <c r="DBW455" s="67"/>
      <c r="DBX455" s="67"/>
      <c r="DBY455" s="67"/>
      <c r="DBZ455" s="67"/>
      <c r="DCA455" s="67"/>
      <c r="DCB455" s="67"/>
      <c r="DCC455" s="67"/>
      <c r="DCD455" s="67"/>
      <c r="DCE455" s="67"/>
      <c r="DCF455" s="67"/>
      <c r="DCG455" s="67"/>
      <c r="DCH455" s="67"/>
      <c r="DCI455" s="67"/>
      <c r="DCJ455" s="67"/>
      <c r="DCK455" s="67"/>
      <c r="DCL455" s="67"/>
      <c r="DCM455" s="67"/>
      <c r="DCN455" s="67"/>
      <c r="DCO455" s="67"/>
      <c r="DCP455" s="67"/>
      <c r="DCQ455" s="67"/>
      <c r="DCR455" s="67"/>
      <c r="DCS455" s="67"/>
      <c r="DCT455" s="67"/>
      <c r="DCU455" s="67"/>
      <c r="DCV455" s="67"/>
      <c r="DCW455" s="67"/>
      <c r="DCX455" s="67"/>
      <c r="DCY455" s="67"/>
      <c r="DCZ455" s="67"/>
      <c r="DDA455" s="67"/>
      <c r="DDB455" s="67"/>
      <c r="DDC455" s="67"/>
      <c r="DDD455" s="67"/>
      <c r="DDE455" s="67"/>
      <c r="DDF455" s="67"/>
      <c r="DDG455" s="67"/>
      <c r="DDH455" s="67"/>
      <c r="DDI455" s="67"/>
      <c r="DDJ455" s="67"/>
      <c r="DDK455" s="67"/>
      <c r="DDL455" s="67"/>
      <c r="DDM455" s="67"/>
      <c r="DDN455" s="67"/>
      <c r="DDO455" s="67"/>
      <c r="DDP455" s="67"/>
      <c r="DDQ455" s="67"/>
      <c r="DDR455" s="67"/>
      <c r="DDS455" s="67"/>
      <c r="DDT455" s="67"/>
      <c r="DDU455" s="67"/>
      <c r="DDV455" s="67"/>
      <c r="DDW455" s="67"/>
      <c r="DDX455" s="67"/>
      <c r="DDY455" s="67"/>
      <c r="DDZ455" s="67"/>
      <c r="DEA455" s="67"/>
      <c r="DEB455" s="67"/>
      <c r="DEC455" s="67"/>
      <c r="DED455" s="67"/>
      <c r="DEE455" s="67"/>
      <c r="DEF455" s="67"/>
      <c r="DEG455" s="67"/>
      <c r="DEH455" s="67"/>
      <c r="DEI455" s="67"/>
      <c r="DEJ455" s="67"/>
      <c r="DEK455" s="67"/>
      <c r="DEL455" s="67"/>
      <c r="DEM455" s="67"/>
      <c r="DEN455" s="67"/>
      <c r="DEO455" s="67"/>
      <c r="DEP455" s="67"/>
      <c r="DEQ455" s="67"/>
      <c r="DER455" s="67"/>
      <c r="DES455" s="67"/>
      <c r="DET455" s="67"/>
      <c r="DEU455" s="67"/>
      <c r="DEV455" s="67"/>
      <c r="DEW455" s="67"/>
      <c r="DEX455" s="67"/>
      <c r="DEY455" s="67"/>
      <c r="DEZ455" s="67"/>
      <c r="DFA455" s="67"/>
      <c r="DFB455" s="67"/>
      <c r="DFC455" s="67"/>
      <c r="DFD455" s="67"/>
      <c r="DFE455" s="67"/>
      <c r="DFF455" s="67"/>
      <c r="DFG455" s="67"/>
      <c r="DFH455" s="67"/>
      <c r="DFI455" s="67"/>
      <c r="DFJ455" s="67"/>
      <c r="DFK455" s="67"/>
      <c r="DFL455" s="67"/>
      <c r="DFM455" s="67"/>
      <c r="DFN455" s="67"/>
      <c r="DFO455" s="67"/>
      <c r="DFP455" s="67"/>
      <c r="DFQ455" s="67"/>
      <c r="DFR455" s="67"/>
      <c r="DFS455" s="67"/>
      <c r="DFT455" s="67"/>
      <c r="DFU455" s="67"/>
      <c r="DFV455" s="67"/>
      <c r="DFW455" s="67"/>
      <c r="DFX455" s="67"/>
      <c r="DFY455" s="67"/>
      <c r="DFZ455" s="67"/>
      <c r="DGA455" s="67"/>
      <c r="DGB455" s="67"/>
      <c r="DGC455" s="67"/>
      <c r="DGD455" s="67"/>
      <c r="DGE455" s="67"/>
      <c r="DGF455" s="67"/>
      <c r="DGG455" s="67"/>
      <c r="DGH455" s="67"/>
      <c r="DGI455" s="67"/>
      <c r="DGJ455" s="67"/>
      <c r="DGK455" s="67"/>
      <c r="DGL455" s="67"/>
      <c r="DGM455" s="67"/>
      <c r="DGN455" s="67"/>
      <c r="DGO455" s="67"/>
      <c r="DGP455" s="67"/>
      <c r="DGQ455" s="67"/>
      <c r="DGR455" s="67"/>
      <c r="DGS455" s="67"/>
      <c r="DGT455" s="67"/>
      <c r="DGU455" s="67"/>
      <c r="DGV455" s="67"/>
      <c r="DGW455" s="67"/>
      <c r="DGX455" s="67"/>
      <c r="DGY455" s="67"/>
      <c r="DGZ455" s="67"/>
      <c r="DHA455" s="67"/>
      <c r="DHB455" s="67"/>
      <c r="DHC455" s="67"/>
      <c r="DHD455" s="67"/>
      <c r="DHE455" s="67"/>
      <c r="DHF455" s="67"/>
      <c r="DHG455" s="67"/>
      <c r="DHH455" s="67"/>
      <c r="DHI455" s="67"/>
      <c r="DHJ455" s="67"/>
      <c r="DHK455" s="67"/>
      <c r="DHL455" s="67"/>
      <c r="DHM455" s="67"/>
      <c r="DHN455" s="67"/>
      <c r="DHO455" s="67"/>
      <c r="DHP455" s="67"/>
      <c r="DHQ455" s="67"/>
      <c r="DHR455" s="67"/>
      <c r="DHS455" s="67"/>
      <c r="DHT455" s="67"/>
      <c r="DHU455" s="67"/>
      <c r="DHV455" s="67"/>
      <c r="DHW455" s="67"/>
      <c r="DHX455" s="67"/>
      <c r="DHY455" s="67"/>
      <c r="DHZ455" s="67"/>
      <c r="DIA455" s="67"/>
      <c r="DIB455" s="67"/>
      <c r="DIC455" s="67"/>
      <c r="DID455" s="67"/>
      <c r="DIE455" s="67"/>
      <c r="DIF455" s="67"/>
      <c r="DIG455" s="67"/>
      <c r="DIH455" s="67"/>
      <c r="DII455" s="67"/>
      <c r="DIJ455" s="67"/>
      <c r="DIK455" s="67"/>
      <c r="DIL455" s="67"/>
      <c r="DIM455" s="67"/>
      <c r="DIN455" s="67"/>
      <c r="DIO455" s="67"/>
      <c r="DIP455" s="67"/>
      <c r="DIQ455" s="67"/>
      <c r="DIR455" s="67"/>
      <c r="DIS455" s="67"/>
      <c r="DIT455" s="67"/>
      <c r="DIU455" s="67"/>
      <c r="DIV455" s="67"/>
      <c r="DIW455" s="67"/>
      <c r="DIX455" s="67"/>
      <c r="DIY455" s="67"/>
      <c r="DIZ455" s="67"/>
      <c r="DJA455" s="67"/>
      <c r="DJB455" s="67"/>
      <c r="DJC455" s="67"/>
      <c r="DJD455" s="67"/>
      <c r="DJE455" s="67"/>
      <c r="DJF455" s="67"/>
      <c r="DJG455" s="67"/>
      <c r="DJH455" s="67"/>
      <c r="DJI455" s="67"/>
      <c r="DJJ455" s="67"/>
      <c r="DJK455" s="67"/>
      <c r="DJL455" s="67"/>
      <c r="DJM455" s="67"/>
      <c r="DJN455" s="67"/>
      <c r="DJO455" s="67"/>
      <c r="DJP455" s="67"/>
      <c r="DJQ455" s="67"/>
      <c r="DJR455" s="67"/>
      <c r="DJS455" s="67"/>
      <c r="DJT455" s="67"/>
      <c r="DJU455" s="67"/>
      <c r="DJV455" s="67"/>
      <c r="DJW455" s="67"/>
      <c r="DJX455" s="67"/>
      <c r="DJY455" s="67"/>
      <c r="DJZ455" s="67"/>
      <c r="DKA455" s="67"/>
      <c r="DKB455" s="67"/>
      <c r="DKC455" s="67"/>
      <c r="DKD455" s="67"/>
      <c r="DKE455" s="67"/>
      <c r="DKF455" s="67"/>
      <c r="DKG455" s="67"/>
      <c r="DKH455" s="67"/>
      <c r="DKI455" s="67"/>
      <c r="DKJ455" s="67"/>
      <c r="DKK455" s="67"/>
      <c r="DKL455" s="67"/>
      <c r="DKM455" s="67"/>
      <c r="DKN455" s="67"/>
      <c r="DKO455" s="67"/>
      <c r="DKP455" s="67"/>
      <c r="DKQ455" s="67"/>
      <c r="DKR455" s="67"/>
      <c r="DKS455" s="67"/>
      <c r="DKT455" s="67"/>
      <c r="DKU455" s="67"/>
      <c r="DKV455" s="67"/>
      <c r="DKW455" s="67"/>
      <c r="DKX455" s="67"/>
      <c r="DKY455" s="67"/>
      <c r="DKZ455" s="67"/>
      <c r="DLA455" s="67"/>
      <c r="DLB455" s="67"/>
      <c r="DLC455" s="67"/>
      <c r="DLD455" s="67"/>
      <c r="DLE455" s="67"/>
      <c r="DLF455" s="67"/>
      <c r="DLG455" s="67"/>
      <c r="DLH455" s="67"/>
      <c r="DLI455" s="67"/>
      <c r="DLJ455" s="67"/>
      <c r="DLK455" s="67"/>
      <c r="DLL455" s="67"/>
      <c r="DLM455" s="67"/>
      <c r="DLN455" s="67"/>
      <c r="DLO455" s="67"/>
      <c r="DLP455" s="67"/>
      <c r="DLQ455" s="67"/>
      <c r="DLR455" s="67"/>
      <c r="DLS455" s="67"/>
      <c r="DLT455" s="67"/>
      <c r="DLU455" s="67"/>
      <c r="DLV455" s="67"/>
      <c r="DLW455" s="67"/>
      <c r="DLX455" s="67"/>
      <c r="DLY455" s="67"/>
      <c r="DLZ455" s="67"/>
      <c r="DMA455" s="67"/>
      <c r="DMB455" s="67"/>
      <c r="DMC455" s="67"/>
      <c r="DMD455" s="67"/>
      <c r="DME455" s="67"/>
      <c r="DMF455" s="67"/>
      <c r="DMG455" s="67"/>
      <c r="DMH455" s="67"/>
      <c r="DMI455" s="67"/>
      <c r="DMJ455" s="67"/>
      <c r="DMK455" s="67"/>
      <c r="DML455" s="67"/>
      <c r="DMM455" s="67"/>
      <c r="DMN455" s="67"/>
      <c r="DMO455" s="67"/>
      <c r="DMP455" s="67"/>
      <c r="DMQ455" s="67"/>
      <c r="DMR455" s="67"/>
      <c r="DMS455" s="67"/>
      <c r="DMT455" s="67"/>
      <c r="DMU455" s="67"/>
      <c r="DMV455" s="67"/>
      <c r="DMW455" s="67"/>
      <c r="DMX455" s="67"/>
      <c r="DMY455" s="67"/>
      <c r="DMZ455" s="67"/>
      <c r="DNA455" s="67"/>
      <c r="DNB455" s="67"/>
      <c r="DNC455" s="67"/>
      <c r="DND455" s="67"/>
      <c r="DNE455" s="67"/>
      <c r="DNF455" s="67"/>
      <c r="DNG455" s="67"/>
      <c r="DNH455" s="67"/>
      <c r="DNI455" s="67"/>
      <c r="DNJ455" s="67"/>
      <c r="DNK455" s="67"/>
      <c r="DNL455" s="67"/>
      <c r="DNM455" s="67"/>
      <c r="DNN455" s="67"/>
      <c r="DNO455" s="67"/>
      <c r="DNP455" s="67"/>
      <c r="DNQ455" s="67"/>
      <c r="DNR455" s="67"/>
      <c r="DNS455" s="67"/>
      <c r="DNT455" s="67"/>
      <c r="DNU455" s="67"/>
      <c r="DNV455" s="67"/>
      <c r="DNW455" s="67"/>
      <c r="DNX455" s="67"/>
      <c r="DNY455" s="67"/>
      <c r="DNZ455" s="67"/>
      <c r="DOA455" s="67"/>
      <c r="DOB455" s="67"/>
      <c r="DOC455" s="67"/>
      <c r="DOD455" s="67"/>
      <c r="DOE455" s="67"/>
      <c r="DOF455" s="67"/>
      <c r="DOG455" s="67"/>
      <c r="DOH455" s="67"/>
      <c r="DOI455" s="67"/>
      <c r="DOJ455" s="67"/>
      <c r="DOK455" s="67"/>
      <c r="DOL455" s="67"/>
      <c r="DOM455" s="67"/>
      <c r="DON455" s="67"/>
      <c r="DOO455" s="67"/>
      <c r="DOP455" s="67"/>
      <c r="DOQ455" s="67"/>
      <c r="DOR455" s="67"/>
      <c r="DOS455" s="67"/>
      <c r="DOT455" s="67"/>
      <c r="DOU455" s="67"/>
      <c r="DOV455" s="67"/>
      <c r="DOW455" s="67"/>
      <c r="DOX455" s="67"/>
      <c r="DOY455" s="67"/>
      <c r="DOZ455" s="67"/>
      <c r="DPA455" s="67"/>
      <c r="DPB455" s="67"/>
      <c r="DPC455" s="67"/>
      <c r="DPD455" s="67"/>
      <c r="DPE455" s="67"/>
      <c r="DPF455" s="67"/>
      <c r="DPG455" s="67"/>
      <c r="DPH455" s="67"/>
      <c r="DPI455" s="67"/>
      <c r="DPJ455" s="67"/>
      <c r="DPK455" s="67"/>
      <c r="DPL455" s="67"/>
      <c r="DPM455" s="67"/>
      <c r="DPN455" s="67"/>
      <c r="DPO455" s="67"/>
      <c r="DPP455" s="67"/>
      <c r="DPQ455" s="67"/>
      <c r="DPR455" s="67"/>
      <c r="DPS455" s="67"/>
      <c r="DPT455" s="67"/>
      <c r="DPU455" s="67"/>
      <c r="DPV455" s="67"/>
      <c r="DPW455" s="67"/>
      <c r="DPX455" s="67"/>
      <c r="DPY455" s="67"/>
      <c r="DPZ455" s="67"/>
      <c r="DQA455" s="67"/>
      <c r="DQB455" s="67"/>
      <c r="DQC455" s="67"/>
      <c r="DQD455" s="67"/>
      <c r="DQE455" s="67"/>
      <c r="DQF455" s="67"/>
      <c r="DQG455" s="67"/>
      <c r="DQH455" s="67"/>
      <c r="DQI455" s="67"/>
      <c r="DQJ455" s="67"/>
      <c r="DQK455" s="67"/>
      <c r="DQL455" s="67"/>
      <c r="DQM455" s="67"/>
      <c r="DQN455" s="67"/>
      <c r="DQO455" s="67"/>
      <c r="DQP455" s="67"/>
      <c r="DQQ455" s="67"/>
      <c r="DQR455" s="67"/>
      <c r="DQS455" s="67"/>
      <c r="DQT455" s="67"/>
      <c r="DQU455" s="67"/>
      <c r="DQV455" s="67"/>
      <c r="DQW455" s="67"/>
      <c r="DQX455" s="67"/>
      <c r="DQY455" s="67"/>
      <c r="DQZ455" s="67"/>
      <c r="DRA455" s="67"/>
      <c r="DRB455" s="67"/>
      <c r="DRC455" s="67"/>
      <c r="DRD455" s="67"/>
      <c r="DRE455" s="67"/>
      <c r="DRF455" s="67"/>
      <c r="DRG455" s="67"/>
      <c r="DRH455" s="67"/>
      <c r="DRI455" s="67"/>
      <c r="DRJ455" s="67"/>
      <c r="DRK455" s="67"/>
      <c r="DRL455" s="67"/>
      <c r="DRM455" s="67"/>
      <c r="DRN455" s="67"/>
      <c r="DRO455" s="67"/>
      <c r="DRP455" s="67"/>
      <c r="DRQ455" s="67"/>
      <c r="DRR455" s="67"/>
      <c r="DRS455" s="67"/>
      <c r="DRT455" s="67"/>
      <c r="DRU455" s="67"/>
      <c r="DRV455" s="67"/>
      <c r="DRW455" s="67"/>
      <c r="DRX455" s="67"/>
      <c r="DRY455" s="67"/>
      <c r="DRZ455" s="67"/>
      <c r="DSA455" s="67"/>
      <c r="DSB455" s="67"/>
      <c r="DSC455" s="67"/>
      <c r="DSD455" s="67"/>
      <c r="DSE455" s="67"/>
      <c r="DSF455" s="67"/>
      <c r="DSG455" s="67"/>
      <c r="DSH455" s="67"/>
      <c r="DSI455" s="67"/>
      <c r="DSJ455" s="67"/>
      <c r="DSK455" s="67"/>
      <c r="DSL455" s="67"/>
      <c r="DSM455" s="67"/>
      <c r="DSN455" s="67"/>
      <c r="DSO455" s="67"/>
      <c r="DSP455" s="67"/>
      <c r="DSQ455" s="67"/>
      <c r="DSR455" s="67"/>
      <c r="DSS455" s="67"/>
      <c r="DST455" s="67"/>
      <c r="DSU455" s="67"/>
      <c r="DSV455" s="67"/>
      <c r="DSW455" s="67"/>
      <c r="DSX455" s="67"/>
      <c r="DSY455" s="67"/>
      <c r="DSZ455" s="67"/>
      <c r="DTA455" s="67"/>
      <c r="DTB455" s="67"/>
      <c r="DTC455" s="67"/>
      <c r="DTD455" s="67"/>
      <c r="DTE455" s="67"/>
      <c r="DTF455" s="67"/>
      <c r="DTG455" s="67"/>
      <c r="DTH455" s="67"/>
      <c r="DTI455" s="67"/>
      <c r="DTJ455" s="67"/>
      <c r="DTK455" s="67"/>
      <c r="DTL455" s="67"/>
      <c r="DTM455" s="67"/>
      <c r="DTN455" s="67"/>
      <c r="DTO455" s="67"/>
      <c r="DTP455" s="67"/>
      <c r="DTQ455" s="67"/>
      <c r="DTR455" s="67"/>
      <c r="DTS455" s="67"/>
      <c r="DTT455" s="67"/>
      <c r="DTU455" s="67"/>
      <c r="DTV455" s="67"/>
      <c r="DTW455" s="67"/>
      <c r="DTX455" s="67"/>
      <c r="DTY455" s="67"/>
      <c r="DTZ455" s="67"/>
      <c r="DUA455" s="67"/>
      <c r="DUB455" s="67"/>
      <c r="DUC455" s="67"/>
      <c r="DUD455" s="67"/>
      <c r="DUE455" s="67"/>
      <c r="DUF455" s="67"/>
      <c r="DUG455" s="67"/>
      <c r="DUH455" s="67"/>
      <c r="DUI455" s="67"/>
      <c r="DUJ455" s="67"/>
      <c r="DUK455" s="67"/>
      <c r="DUL455" s="67"/>
      <c r="DUM455" s="67"/>
      <c r="DUN455" s="67"/>
      <c r="DUO455" s="67"/>
      <c r="DUP455" s="67"/>
      <c r="DUQ455" s="67"/>
      <c r="DUR455" s="67"/>
      <c r="DUS455" s="67"/>
      <c r="DUT455" s="67"/>
      <c r="DUU455" s="67"/>
      <c r="DUV455" s="67"/>
      <c r="DUW455" s="67"/>
      <c r="DUX455" s="67"/>
      <c r="DUY455" s="67"/>
      <c r="DUZ455" s="67"/>
      <c r="DVA455" s="67"/>
      <c r="DVB455" s="67"/>
      <c r="DVC455" s="67"/>
      <c r="DVD455" s="67"/>
      <c r="DVE455" s="67"/>
      <c r="DVF455" s="67"/>
      <c r="DVG455" s="67"/>
      <c r="DVH455" s="67"/>
      <c r="DVI455" s="67"/>
      <c r="DVJ455" s="67"/>
      <c r="DVK455" s="67"/>
      <c r="DVL455" s="67"/>
      <c r="DVM455" s="67"/>
      <c r="DVN455" s="67"/>
      <c r="DVO455" s="67"/>
      <c r="DVP455" s="67"/>
      <c r="DVQ455" s="67"/>
      <c r="DVR455" s="67"/>
      <c r="DVS455" s="67"/>
      <c r="DVT455" s="67"/>
      <c r="DVU455" s="67"/>
      <c r="DVV455" s="67"/>
      <c r="DVW455" s="67"/>
      <c r="DVX455" s="67"/>
      <c r="DVY455" s="67"/>
      <c r="DVZ455" s="67"/>
      <c r="DWA455" s="67"/>
      <c r="DWB455" s="67"/>
      <c r="DWC455" s="67"/>
      <c r="DWD455" s="67"/>
      <c r="DWE455" s="67"/>
      <c r="DWF455" s="67"/>
      <c r="DWG455" s="67"/>
      <c r="DWH455" s="67"/>
      <c r="DWI455" s="67"/>
      <c r="DWJ455" s="67"/>
      <c r="DWK455" s="67"/>
      <c r="DWL455" s="67"/>
      <c r="DWM455" s="67"/>
      <c r="DWN455" s="67"/>
      <c r="DWO455" s="67"/>
      <c r="DWP455" s="67"/>
      <c r="DWQ455" s="67"/>
      <c r="DWR455" s="67"/>
      <c r="DWS455" s="67"/>
      <c r="DWT455" s="67"/>
      <c r="DWU455" s="67"/>
      <c r="DWV455" s="67"/>
      <c r="DWW455" s="67"/>
      <c r="DWX455" s="67"/>
      <c r="DWY455" s="67"/>
      <c r="DWZ455" s="67"/>
      <c r="DXA455" s="67"/>
      <c r="DXB455" s="67"/>
      <c r="DXC455" s="67"/>
      <c r="DXD455" s="67"/>
      <c r="DXE455" s="67"/>
      <c r="DXF455" s="67"/>
      <c r="DXG455" s="67"/>
      <c r="DXH455" s="67"/>
      <c r="DXI455" s="67"/>
      <c r="DXJ455" s="67"/>
      <c r="DXK455" s="67"/>
      <c r="DXL455" s="67"/>
      <c r="DXM455" s="67"/>
      <c r="DXN455" s="67"/>
      <c r="DXO455" s="67"/>
      <c r="DXP455" s="67"/>
      <c r="DXQ455" s="67"/>
      <c r="DXR455" s="67"/>
      <c r="DXS455" s="67"/>
      <c r="DXT455" s="67"/>
      <c r="DXU455" s="67"/>
      <c r="DXV455" s="67"/>
      <c r="DXW455" s="67"/>
      <c r="DXX455" s="67"/>
      <c r="DXY455" s="67"/>
      <c r="DXZ455" s="67"/>
      <c r="DYA455" s="67"/>
      <c r="DYB455" s="67"/>
      <c r="DYC455" s="67"/>
      <c r="DYD455" s="67"/>
      <c r="DYE455" s="67"/>
      <c r="DYF455" s="67"/>
      <c r="DYG455" s="67"/>
      <c r="DYH455" s="67"/>
      <c r="DYI455" s="67"/>
      <c r="DYJ455" s="67"/>
      <c r="DYK455" s="67"/>
      <c r="DYL455" s="67"/>
      <c r="DYM455" s="67"/>
      <c r="DYN455" s="67"/>
      <c r="DYO455" s="67"/>
      <c r="DYP455" s="67"/>
      <c r="DYQ455" s="67"/>
      <c r="DYR455" s="67"/>
      <c r="DYS455" s="67"/>
      <c r="DYT455" s="67"/>
      <c r="DYU455" s="67"/>
      <c r="DYV455" s="67"/>
      <c r="DYW455" s="67"/>
      <c r="DYX455" s="67"/>
      <c r="DYY455" s="67"/>
      <c r="DYZ455" s="67"/>
      <c r="DZA455" s="67"/>
      <c r="DZB455" s="67"/>
      <c r="DZC455" s="67"/>
      <c r="DZD455" s="67"/>
      <c r="DZE455" s="67"/>
      <c r="DZF455" s="67"/>
      <c r="DZG455" s="67"/>
      <c r="DZH455" s="67"/>
      <c r="DZI455" s="67"/>
      <c r="DZJ455" s="67"/>
      <c r="DZK455" s="67"/>
      <c r="DZL455" s="67"/>
      <c r="DZM455" s="67"/>
      <c r="DZN455" s="67"/>
      <c r="DZO455" s="67"/>
      <c r="DZP455" s="67"/>
      <c r="DZQ455" s="67"/>
      <c r="DZR455" s="67"/>
      <c r="DZS455" s="67"/>
      <c r="DZT455" s="67"/>
      <c r="DZU455" s="67"/>
      <c r="DZV455" s="67"/>
      <c r="DZW455" s="67"/>
      <c r="DZX455" s="67"/>
      <c r="DZY455" s="67"/>
      <c r="DZZ455" s="67"/>
      <c r="EAA455" s="67"/>
      <c r="EAB455" s="67"/>
      <c r="EAC455" s="67"/>
      <c r="EAD455" s="67"/>
      <c r="EAE455" s="67"/>
      <c r="EAF455" s="67"/>
      <c r="EAG455" s="67"/>
      <c r="EAH455" s="67"/>
      <c r="EAI455" s="67"/>
      <c r="EAJ455" s="67"/>
      <c r="EAK455" s="67"/>
      <c r="EAL455" s="67"/>
      <c r="EAM455" s="67"/>
      <c r="EAN455" s="67"/>
      <c r="EAO455" s="67"/>
      <c r="EAP455" s="67"/>
      <c r="EAQ455" s="67"/>
      <c r="EAR455" s="67"/>
      <c r="EAS455" s="67"/>
      <c r="EAT455" s="67"/>
      <c r="EAU455" s="67"/>
      <c r="EAV455" s="67"/>
      <c r="EAW455" s="67"/>
      <c r="EAX455" s="67"/>
      <c r="EAY455" s="67"/>
      <c r="EAZ455" s="67"/>
      <c r="EBA455" s="67"/>
      <c r="EBB455" s="67"/>
      <c r="EBC455" s="67"/>
      <c r="EBD455" s="67"/>
      <c r="EBE455" s="67"/>
      <c r="EBF455" s="67"/>
      <c r="EBG455" s="67"/>
      <c r="EBH455" s="67"/>
      <c r="EBI455" s="67"/>
      <c r="EBJ455" s="67"/>
      <c r="EBK455" s="67"/>
      <c r="EBL455" s="67"/>
      <c r="EBM455" s="67"/>
      <c r="EBN455" s="67"/>
      <c r="EBO455" s="67"/>
      <c r="EBP455" s="67"/>
      <c r="EBQ455" s="67"/>
      <c r="EBR455" s="67"/>
      <c r="EBS455" s="67"/>
      <c r="EBT455" s="67"/>
      <c r="EBU455" s="67"/>
      <c r="EBV455" s="67"/>
      <c r="EBW455" s="67"/>
      <c r="EBX455" s="67"/>
      <c r="EBY455" s="67"/>
      <c r="EBZ455" s="67"/>
      <c r="ECA455" s="67"/>
      <c r="ECB455" s="67"/>
      <c r="ECC455" s="67"/>
      <c r="ECD455" s="67"/>
      <c r="ECE455" s="67"/>
      <c r="ECF455" s="67"/>
      <c r="ECG455" s="67"/>
      <c r="ECH455" s="67"/>
      <c r="ECI455" s="67"/>
      <c r="ECJ455" s="67"/>
      <c r="ECK455" s="67"/>
      <c r="ECL455" s="67"/>
      <c r="ECM455" s="67"/>
      <c r="ECN455" s="67"/>
      <c r="ECO455" s="67"/>
      <c r="ECP455" s="67"/>
      <c r="ECQ455" s="67"/>
      <c r="ECR455" s="67"/>
      <c r="ECS455" s="67"/>
      <c r="ECT455" s="67"/>
      <c r="ECU455" s="67"/>
      <c r="ECV455" s="67"/>
      <c r="ECW455" s="67"/>
      <c r="ECX455" s="67"/>
      <c r="ECY455" s="67"/>
      <c r="ECZ455" s="67"/>
      <c r="EDA455" s="67"/>
      <c r="EDB455" s="67"/>
      <c r="EDC455" s="67"/>
      <c r="EDD455" s="67"/>
      <c r="EDE455" s="67"/>
      <c r="EDF455" s="67"/>
      <c r="EDG455" s="67"/>
      <c r="EDH455" s="67"/>
      <c r="EDI455" s="67"/>
      <c r="EDJ455" s="67"/>
      <c r="EDK455" s="67"/>
      <c r="EDL455" s="67"/>
      <c r="EDM455" s="67"/>
      <c r="EDN455" s="67"/>
      <c r="EDO455" s="67"/>
      <c r="EDP455" s="67"/>
      <c r="EDQ455" s="67"/>
      <c r="EDR455" s="67"/>
      <c r="EDS455" s="67"/>
      <c r="EDT455" s="67"/>
      <c r="EDU455" s="67"/>
      <c r="EDV455" s="67"/>
      <c r="EDW455" s="67"/>
      <c r="EDX455" s="67"/>
      <c r="EDY455" s="67"/>
      <c r="EDZ455" s="67"/>
      <c r="EEA455" s="67"/>
      <c r="EEB455" s="67"/>
      <c r="EEC455" s="67"/>
      <c r="EED455" s="67"/>
      <c r="EEE455" s="67"/>
      <c r="EEF455" s="67"/>
      <c r="EEG455" s="67"/>
      <c r="EEH455" s="67"/>
      <c r="EEI455" s="67"/>
      <c r="EEJ455" s="67"/>
      <c r="EEK455" s="67"/>
      <c r="EEL455" s="67"/>
      <c r="EEM455" s="67"/>
      <c r="EEN455" s="67"/>
      <c r="EEO455" s="67"/>
      <c r="EEP455" s="67"/>
      <c r="EEQ455" s="67"/>
      <c r="EER455" s="67"/>
      <c r="EES455" s="67"/>
      <c r="EET455" s="67"/>
      <c r="EEU455" s="67"/>
      <c r="EEV455" s="67"/>
      <c r="EEW455" s="67"/>
      <c r="EEX455" s="67"/>
      <c r="EEY455" s="67"/>
      <c r="EEZ455" s="67"/>
      <c r="EFA455" s="67"/>
      <c r="EFB455" s="67"/>
      <c r="EFC455" s="67"/>
      <c r="EFD455" s="67"/>
      <c r="EFE455" s="67"/>
      <c r="EFF455" s="67"/>
      <c r="EFG455" s="67"/>
      <c r="EFH455" s="67"/>
      <c r="EFI455" s="67"/>
      <c r="EFJ455" s="67"/>
      <c r="EFK455" s="67"/>
      <c r="EFL455" s="67"/>
      <c r="EFM455" s="67"/>
      <c r="EFN455" s="67"/>
      <c r="EFO455" s="67"/>
      <c r="EFP455" s="67"/>
      <c r="EFQ455" s="67"/>
      <c r="EFR455" s="67"/>
      <c r="EFS455" s="67"/>
      <c r="EFT455" s="67"/>
      <c r="EFU455" s="67"/>
      <c r="EFV455" s="67"/>
      <c r="EFW455" s="67"/>
      <c r="EFX455" s="67"/>
      <c r="EFY455" s="67"/>
      <c r="EFZ455" s="67"/>
      <c r="EGA455" s="67"/>
      <c r="EGB455" s="67"/>
      <c r="EGC455" s="67"/>
      <c r="EGD455" s="67"/>
      <c r="EGE455" s="67"/>
      <c r="EGF455" s="67"/>
      <c r="EGG455" s="67"/>
      <c r="EGH455" s="67"/>
      <c r="EGI455" s="67"/>
      <c r="EGJ455" s="67"/>
      <c r="EGK455" s="67"/>
      <c r="EGL455" s="67"/>
      <c r="EGM455" s="67"/>
      <c r="EGN455" s="67"/>
      <c r="EGO455" s="67"/>
      <c r="EGP455" s="67"/>
      <c r="EGQ455" s="67"/>
      <c r="EGR455" s="67"/>
      <c r="EGS455" s="67"/>
      <c r="EGT455" s="67"/>
      <c r="EGU455" s="67"/>
      <c r="EGV455" s="67"/>
      <c r="EGW455" s="67"/>
      <c r="EGX455" s="67"/>
      <c r="EGY455" s="67"/>
      <c r="EGZ455" s="67"/>
      <c r="EHA455" s="67"/>
      <c r="EHB455" s="67"/>
      <c r="EHC455" s="67"/>
      <c r="EHD455" s="67"/>
      <c r="EHE455" s="67"/>
      <c r="EHF455" s="67"/>
      <c r="EHG455" s="67"/>
      <c r="EHH455" s="67"/>
      <c r="EHI455" s="67"/>
      <c r="EHJ455" s="67"/>
      <c r="EHK455" s="67"/>
      <c r="EHL455" s="67"/>
      <c r="EHM455" s="67"/>
      <c r="EHN455" s="67"/>
      <c r="EHO455" s="67"/>
      <c r="EHP455" s="67"/>
      <c r="EHQ455" s="67"/>
      <c r="EHR455" s="67"/>
      <c r="EHS455" s="67"/>
      <c r="EHT455" s="67"/>
      <c r="EHU455" s="67"/>
      <c r="EHV455" s="67"/>
      <c r="EHW455" s="67"/>
      <c r="EHX455" s="67"/>
      <c r="EHY455" s="67"/>
      <c r="EHZ455" s="67"/>
      <c r="EIA455" s="67"/>
      <c r="EIB455" s="67"/>
      <c r="EIC455" s="67"/>
      <c r="EID455" s="67"/>
      <c r="EIE455" s="67"/>
      <c r="EIF455" s="67"/>
      <c r="EIG455" s="67"/>
      <c r="EIH455" s="67"/>
      <c r="EII455" s="67"/>
      <c r="EIJ455" s="67"/>
      <c r="EIK455" s="67"/>
      <c r="EIL455" s="67"/>
      <c r="EIM455" s="67"/>
      <c r="EIN455" s="67"/>
      <c r="EIO455" s="67"/>
      <c r="EIP455" s="67"/>
      <c r="EIQ455" s="67"/>
      <c r="EIR455" s="67"/>
      <c r="EIS455" s="67"/>
      <c r="EIT455" s="67"/>
      <c r="EIU455" s="67"/>
      <c r="EIV455" s="67"/>
      <c r="EIW455" s="67"/>
      <c r="EIX455" s="67"/>
      <c r="EIY455" s="67"/>
      <c r="EIZ455" s="67"/>
      <c r="EJA455" s="67"/>
      <c r="EJB455" s="67"/>
      <c r="EJC455" s="67"/>
      <c r="EJD455" s="67"/>
      <c r="EJE455" s="67"/>
      <c r="EJF455" s="67"/>
      <c r="EJG455" s="67"/>
      <c r="EJH455" s="67"/>
      <c r="EJI455" s="67"/>
      <c r="EJJ455" s="67"/>
      <c r="EJK455" s="67"/>
      <c r="EJL455" s="67"/>
      <c r="EJM455" s="67"/>
      <c r="EJN455" s="67"/>
      <c r="EJO455" s="67"/>
      <c r="EJP455" s="67"/>
      <c r="EJQ455" s="67"/>
      <c r="EJR455" s="67"/>
      <c r="EJS455" s="67"/>
      <c r="EJT455" s="67"/>
      <c r="EJU455" s="67"/>
      <c r="EJV455" s="67"/>
      <c r="EJW455" s="67"/>
      <c r="EJX455" s="67"/>
      <c r="EJY455" s="67"/>
      <c r="EJZ455" s="67"/>
      <c r="EKA455" s="67"/>
      <c r="EKB455" s="67"/>
      <c r="EKC455" s="67"/>
      <c r="EKD455" s="67"/>
      <c r="EKE455" s="67"/>
      <c r="EKF455" s="67"/>
      <c r="EKG455" s="67"/>
      <c r="EKH455" s="67"/>
      <c r="EKI455" s="67"/>
      <c r="EKJ455" s="67"/>
      <c r="EKK455" s="67"/>
      <c r="EKL455" s="67"/>
      <c r="EKM455" s="67"/>
      <c r="EKN455" s="67"/>
      <c r="EKO455" s="67"/>
      <c r="EKP455" s="67"/>
      <c r="EKQ455" s="67"/>
      <c r="EKR455" s="67"/>
      <c r="EKS455" s="67"/>
      <c r="EKT455" s="67"/>
      <c r="EKU455" s="67"/>
      <c r="EKV455" s="67"/>
      <c r="EKW455" s="67"/>
      <c r="EKX455" s="67"/>
      <c r="EKY455" s="67"/>
      <c r="EKZ455" s="67"/>
      <c r="ELA455" s="67"/>
      <c r="ELB455" s="67"/>
      <c r="ELC455" s="67"/>
      <c r="ELD455" s="67"/>
      <c r="ELE455" s="67"/>
      <c r="ELF455" s="67"/>
      <c r="ELG455" s="67"/>
      <c r="ELH455" s="67"/>
      <c r="ELI455" s="67"/>
      <c r="ELJ455" s="67"/>
      <c r="ELK455" s="67"/>
      <c r="ELL455" s="67"/>
      <c r="ELM455" s="67"/>
      <c r="ELN455" s="67"/>
      <c r="ELO455" s="67"/>
      <c r="ELP455" s="67"/>
      <c r="ELQ455" s="67"/>
      <c r="ELR455" s="67"/>
      <c r="ELS455" s="67"/>
      <c r="ELT455" s="67"/>
      <c r="ELU455" s="67"/>
      <c r="ELV455" s="67"/>
      <c r="ELW455" s="67"/>
      <c r="ELX455" s="67"/>
      <c r="ELY455" s="67"/>
      <c r="ELZ455" s="67"/>
      <c r="EMA455" s="67"/>
      <c r="EMB455" s="67"/>
      <c r="EMC455" s="67"/>
      <c r="EMD455" s="67"/>
      <c r="EME455" s="67"/>
      <c r="EMF455" s="67"/>
      <c r="EMG455" s="67"/>
      <c r="EMH455" s="67"/>
      <c r="EMI455" s="67"/>
      <c r="EMJ455" s="67"/>
      <c r="EMK455" s="67"/>
      <c r="EML455" s="67"/>
      <c r="EMM455" s="67"/>
      <c r="EMN455" s="67"/>
      <c r="EMO455" s="67"/>
      <c r="EMP455" s="67"/>
      <c r="EMQ455" s="67"/>
      <c r="EMR455" s="67"/>
      <c r="EMS455" s="67"/>
      <c r="EMT455" s="67"/>
      <c r="EMU455" s="67"/>
      <c r="EMV455" s="67"/>
      <c r="EMW455" s="67"/>
      <c r="EMX455" s="67"/>
      <c r="EMY455" s="67"/>
      <c r="EMZ455" s="67"/>
      <c r="ENA455" s="67"/>
      <c r="ENB455" s="67"/>
      <c r="ENC455" s="67"/>
      <c r="END455" s="67"/>
      <c r="ENE455" s="67"/>
      <c r="ENF455" s="67"/>
      <c r="ENG455" s="67"/>
      <c r="ENH455" s="67"/>
      <c r="ENI455" s="67"/>
      <c r="ENJ455" s="67"/>
      <c r="ENK455" s="67"/>
      <c r="ENL455" s="67"/>
      <c r="ENM455" s="67"/>
      <c r="ENN455" s="67"/>
      <c r="ENO455" s="67"/>
      <c r="ENP455" s="67"/>
      <c r="ENQ455" s="67"/>
      <c r="ENR455" s="67"/>
      <c r="ENS455" s="67"/>
      <c r="ENT455" s="67"/>
      <c r="ENU455" s="67"/>
      <c r="ENV455" s="67"/>
      <c r="ENW455" s="67"/>
      <c r="ENX455" s="67"/>
      <c r="ENY455" s="67"/>
      <c r="ENZ455" s="67"/>
      <c r="EOA455" s="67"/>
      <c r="EOB455" s="67"/>
      <c r="EOC455" s="67"/>
      <c r="EOD455" s="67"/>
      <c r="EOE455" s="67"/>
      <c r="EOF455" s="67"/>
      <c r="EOG455" s="67"/>
      <c r="EOH455" s="67"/>
      <c r="EOI455" s="67"/>
      <c r="EOJ455" s="67"/>
      <c r="EOK455" s="67"/>
      <c r="EOL455" s="67"/>
      <c r="EOM455" s="67"/>
      <c r="EON455" s="67"/>
      <c r="EOO455" s="67"/>
      <c r="EOP455" s="67"/>
      <c r="EOQ455" s="67"/>
      <c r="EOR455" s="67"/>
      <c r="EOS455" s="67"/>
      <c r="EOT455" s="67"/>
      <c r="EOU455" s="67"/>
      <c r="EOV455" s="67"/>
      <c r="EOW455" s="67"/>
      <c r="EOX455" s="67"/>
      <c r="EOY455" s="67"/>
      <c r="EOZ455" s="67"/>
      <c r="EPA455" s="67"/>
      <c r="EPB455" s="67"/>
      <c r="EPC455" s="67"/>
      <c r="EPD455" s="67"/>
      <c r="EPE455" s="67"/>
      <c r="EPF455" s="67"/>
      <c r="EPG455" s="67"/>
      <c r="EPH455" s="67"/>
      <c r="EPI455" s="67"/>
      <c r="EPJ455" s="67"/>
      <c r="EPK455" s="67"/>
      <c r="EPL455" s="67"/>
      <c r="EPM455" s="67"/>
      <c r="EPN455" s="67"/>
      <c r="EPO455" s="67"/>
      <c r="EPP455" s="67"/>
      <c r="EPQ455" s="67"/>
      <c r="EPR455" s="67"/>
      <c r="EPS455" s="67"/>
      <c r="EPT455" s="67"/>
      <c r="EPU455" s="67"/>
      <c r="EPV455" s="67"/>
      <c r="EPW455" s="67"/>
      <c r="EPX455" s="67"/>
      <c r="EPY455" s="67"/>
      <c r="EPZ455" s="67"/>
      <c r="EQA455" s="67"/>
      <c r="EQB455" s="67"/>
      <c r="EQC455" s="67"/>
      <c r="EQD455" s="67"/>
      <c r="EQE455" s="67"/>
      <c r="EQF455" s="67"/>
      <c r="EQG455" s="67"/>
      <c r="EQH455" s="67"/>
      <c r="EQI455" s="67"/>
      <c r="EQJ455" s="67"/>
      <c r="EQK455" s="67"/>
      <c r="EQL455" s="67"/>
      <c r="EQM455" s="67"/>
      <c r="EQN455" s="67"/>
      <c r="EQO455" s="67"/>
      <c r="EQP455" s="67"/>
      <c r="EQQ455" s="67"/>
      <c r="EQR455" s="67"/>
      <c r="EQS455" s="67"/>
      <c r="EQT455" s="67"/>
      <c r="EQU455" s="67"/>
      <c r="EQV455" s="67"/>
      <c r="EQW455" s="67"/>
      <c r="EQX455" s="67"/>
      <c r="EQY455" s="67"/>
      <c r="EQZ455" s="67"/>
      <c r="ERA455" s="67"/>
      <c r="ERB455" s="67"/>
      <c r="ERC455" s="67"/>
      <c r="ERD455" s="67"/>
      <c r="ERE455" s="67"/>
      <c r="ERF455" s="67"/>
      <c r="ERG455" s="67"/>
      <c r="ERH455" s="67"/>
      <c r="ERI455" s="67"/>
      <c r="ERJ455" s="67"/>
      <c r="ERK455" s="67"/>
      <c r="ERL455" s="67"/>
      <c r="ERM455" s="67"/>
      <c r="ERN455" s="67"/>
      <c r="ERO455" s="67"/>
      <c r="ERP455" s="67"/>
      <c r="ERQ455" s="67"/>
      <c r="ERR455" s="67"/>
      <c r="ERS455" s="67"/>
      <c r="ERT455" s="67"/>
      <c r="ERU455" s="67"/>
      <c r="ERV455" s="67"/>
      <c r="ERW455" s="67"/>
      <c r="ERX455" s="67"/>
      <c r="ERY455" s="67"/>
      <c r="ERZ455" s="67"/>
      <c r="ESA455" s="67"/>
      <c r="ESB455" s="67"/>
      <c r="ESC455" s="67"/>
      <c r="ESD455" s="67"/>
      <c r="ESE455" s="67"/>
      <c r="ESF455" s="67"/>
      <c r="ESG455" s="67"/>
      <c r="ESH455" s="67"/>
      <c r="ESI455" s="67"/>
      <c r="ESJ455" s="67"/>
      <c r="ESK455" s="67"/>
      <c r="ESL455" s="67"/>
      <c r="ESM455" s="67"/>
      <c r="ESN455" s="67"/>
      <c r="ESO455" s="67"/>
      <c r="ESP455" s="67"/>
      <c r="ESQ455" s="67"/>
      <c r="ESR455" s="67"/>
      <c r="ESS455" s="67"/>
      <c r="EST455" s="67"/>
      <c r="ESU455" s="67"/>
      <c r="ESV455" s="67"/>
      <c r="ESW455" s="67"/>
      <c r="ESX455" s="67"/>
      <c r="ESY455" s="67"/>
      <c r="ESZ455" s="67"/>
      <c r="ETA455" s="67"/>
      <c r="ETB455" s="67"/>
      <c r="ETC455" s="67"/>
      <c r="ETD455" s="67"/>
      <c r="ETE455" s="67"/>
      <c r="ETF455" s="67"/>
      <c r="ETG455" s="67"/>
      <c r="ETH455" s="67"/>
      <c r="ETI455" s="67"/>
      <c r="ETJ455" s="67"/>
      <c r="ETK455" s="67"/>
      <c r="ETL455" s="67"/>
      <c r="ETM455" s="67"/>
      <c r="ETN455" s="67"/>
      <c r="ETO455" s="67"/>
      <c r="ETP455" s="67"/>
      <c r="ETQ455" s="67"/>
      <c r="ETR455" s="67"/>
      <c r="ETS455" s="67"/>
      <c r="ETT455" s="67"/>
      <c r="ETU455" s="67"/>
      <c r="ETV455" s="67"/>
      <c r="ETW455" s="67"/>
      <c r="ETX455" s="67"/>
      <c r="ETY455" s="67"/>
      <c r="ETZ455" s="67"/>
      <c r="EUA455" s="67"/>
      <c r="EUB455" s="67"/>
      <c r="EUC455" s="67"/>
      <c r="EUD455" s="67"/>
      <c r="EUE455" s="67"/>
      <c r="EUF455" s="67"/>
      <c r="EUG455" s="67"/>
      <c r="EUH455" s="67"/>
      <c r="EUI455" s="67"/>
      <c r="EUJ455" s="67"/>
      <c r="EUK455" s="67"/>
      <c r="EUL455" s="67"/>
      <c r="EUM455" s="67"/>
      <c r="EUN455" s="67"/>
      <c r="EUO455" s="67"/>
      <c r="EUP455" s="67"/>
      <c r="EUQ455" s="67"/>
      <c r="EUR455" s="67"/>
      <c r="EUS455" s="67"/>
      <c r="EUT455" s="67"/>
      <c r="EUU455" s="67"/>
      <c r="EUV455" s="67"/>
      <c r="EUW455" s="67"/>
      <c r="EUX455" s="67"/>
      <c r="EUY455" s="67"/>
      <c r="EUZ455" s="67"/>
      <c r="EVA455" s="67"/>
      <c r="EVB455" s="67"/>
      <c r="EVC455" s="67"/>
      <c r="EVD455" s="67"/>
      <c r="EVE455" s="67"/>
      <c r="EVF455" s="67"/>
      <c r="EVG455" s="67"/>
      <c r="EVH455" s="67"/>
      <c r="EVI455" s="67"/>
      <c r="EVJ455" s="67"/>
      <c r="EVK455" s="67"/>
      <c r="EVL455" s="67"/>
      <c r="EVM455" s="67"/>
      <c r="EVN455" s="67"/>
      <c r="EVO455" s="67"/>
      <c r="EVP455" s="67"/>
      <c r="EVQ455" s="67"/>
      <c r="EVR455" s="67"/>
      <c r="EVS455" s="67"/>
      <c r="EVT455" s="67"/>
      <c r="EVU455" s="67"/>
      <c r="EVV455" s="67"/>
      <c r="EVW455" s="67"/>
      <c r="EVX455" s="67"/>
      <c r="EVY455" s="67"/>
      <c r="EVZ455" s="67"/>
      <c r="EWA455" s="67"/>
      <c r="EWB455" s="67"/>
      <c r="EWC455" s="67"/>
      <c r="EWD455" s="67"/>
      <c r="EWE455" s="67"/>
      <c r="EWF455" s="67"/>
      <c r="EWG455" s="67"/>
      <c r="EWH455" s="67"/>
      <c r="EWI455" s="67"/>
      <c r="EWJ455" s="67"/>
      <c r="EWK455" s="67"/>
      <c r="EWL455" s="67"/>
      <c r="EWM455" s="67"/>
      <c r="EWN455" s="67"/>
      <c r="EWO455" s="67"/>
      <c r="EWP455" s="67"/>
      <c r="EWQ455" s="67"/>
      <c r="EWR455" s="67"/>
      <c r="EWS455" s="67"/>
      <c r="EWT455" s="67"/>
      <c r="EWU455" s="67"/>
      <c r="EWV455" s="67"/>
      <c r="EWW455" s="67"/>
      <c r="EWX455" s="67"/>
      <c r="EWY455" s="67"/>
      <c r="EWZ455" s="67"/>
      <c r="EXA455" s="67"/>
      <c r="EXB455" s="67"/>
      <c r="EXC455" s="67"/>
      <c r="EXD455" s="67"/>
      <c r="EXE455" s="67"/>
      <c r="EXF455" s="67"/>
      <c r="EXG455" s="67"/>
      <c r="EXH455" s="67"/>
      <c r="EXI455" s="67"/>
      <c r="EXJ455" s="67"/>
      <c r="EXK455" s="67"/>
      <c r="EXL455" s="67"/>
      <c r="EXM455" s="67"/>
      <c r="EXN455" s="67"/>
      <c r="EXO455" s="67"/>
      <c r="EXP455" s="67"/>
      <c r="EXQ455" s="67"/>
      <c r="EXR455" s="67"/>
      <c r="EXS455" s="67"/>
      <c r="EXT455" s="67"/>
      <c r="EXU455" s="67"/>
      <c r="EXV455" s="67"/>
      <c r="EXW455" s="67"/>
      <c r="EXX455" s="67"/>
      <c r="EXY455" s="67"/>
      <c r="EXZ455" s="67"/>
      <c r="EYA455" s="67"/>
      <c r="EYB455" s="67"/>
      <c r="EYC455" s="67"/>
      <c r="EYD455" s="67"/>
      <c r="EYE455" s="67"/>
      <c r="EYF455" s="67"/>
      <c r="EYG455" s="67"/>
      <c r="EYH455" s="67"/>
      <c r="EYI455" s="67"/>
      <c r="EYJ455" s="67"/>
      <c r="EYK455" s="67"/>
      <c r="EYL455" s="67"/>
      <c r="EYM455" s="67"/>
      <c r="EYN455" s="67"/>
      <c r="EYO455" s="67"/>
      <c r="EYP455" s="67"/>
      <c r="EYQ455" s="67"/>
      <c r="EYR455" s="67"/>
      <c r="EYS455" s="67"/>
      <c r="EYT455" s="67"/>
      <c r="EYU455" s="67"/>
      <c r="EYV455" s="67"/>
      <c r="EYW455" s="67"/>
      <c r="EYX455" s="67"/>
      <c r="EYY455" s="67"/>
      <c r="EYZ455" s="67"/>
      <c r="EZA455" s="67"/>
      <c r="EZB455" s="67"/>
      <c r="EZC455" s="67"/>
      <c r="EZD455" s="67"/>
      <c r="EZE455" s="67"/>
      <c r="EZF455" s="67"/>
      <c r="EZG455" s="67"/>
      <c r="EZH455" s="67"/>
      <c r="EZI455" s="67"/>
      <c r="EZJ455" s="67"/>
      <c r="EZK455" s="67"/>
      <c r="EZL455" s="67"/>
      <c r="EZM455" s="67"/>
      <c r="EZN455" s="67"/>
      <c r="EZO455" s="67"/>
      <c r="EZP455" s="67"/>
      <c r="EZQ455" s="67"/>
      <c r="EZR455" s="67"/>
      <c r="EZS455" s="67"/>
      <c r="EZT455" s="67"/>
      <c r="EZU455" s="67"/>
      <c r="EZV455" s="67"/>
      <c r="EZW455" s="67"/>
      <c r="EZX455" s="67"/>
      <c r="EZY455" s="67"/>
      <c r="EZZ455" s="67"/>
      <c r="FAA455" s="67"/>
      <c r="FAB455" s="67"/>
      <c r="FAC455" s="67"/>
      <c r="FAD455" s="67"/>
      <c r="FAE455" s="67"/>
      <c r="FAF455" s="67"/>
      <c r="FAG455" s="67"/>
      <c r="FAH455" s="67"/>
      <c r="FAI455" s="67"/>
      <c r="FAJ455" s="67"/>
      <c r="FAK455" s="67"/>
      <c r="FAL455" s="67"/>
      <c r="FAM455" s="67"/>
      <c r="FAN455" s="67"/>
      <c r="FAO455" s="67"/>
      <c r="FAP455" s="67"/>
      <c r="FAQ455" s="67"/>
      <c r="FAR455" s="67"/>
      <c r="FAS455" s="67"/>
      <c r="FAT455" s="67"/>
      <c r="FAU455" s="67"/>
      <c r="FAV455" s="67"/>
      <c r="FAW455" s="67"/>
      <c r="FAX455" s="67"/>
      <c r="FAY455" s="67"/>
      <c r="FAZ455" s="67"/>
      <c r="FBA455" s="67"/>
      <c r="FBB455" s="67"/>
      <c r="FBC455" s="67"/>
      <c r="FBD455" s="67"/>
      <c r="FBE455" s="67"/>
      <c r="FBF455" s="67"/>
      <c r="FBG455" s="67"/>
      <c r="FBH455" s="67"/>
      <c r="FBI455" s="67"/>
      <c r="FBJ455" s="67"/>
      <c r="FBK455" s="67"/>
      <c r="FBL455" s="67"/>
      <c r="FBM455" s="67"/>
      <c r="FBN455" s="67"/>
      <c r="FBO455" s="67"/>
      <c r="FBP455" s="67"/>
      <c r="FBQ455" s="67"/>
      <c r="FBR455" s="67"/>
      <c r="FBS455" s="67"/>
      <c r="FBT455" s="67"/>
      <c r="FBU455" s="67"/>
      <c r="FBV455" s="67"/>
      <c r="FBW455" s="67"/>
      <c r="FBX455" s="67"/>
      <c r="FBY455" s="67"/>
      <c r="FBZ455" s="67"/>
      <c r="FCA455" s="67"/>
      <c r="FCB455" s="67"/>
      <c r="FCC455" s="67"/>
      <c r="FCD455" s="67"/>
      <c r="FCE455" s="67"/>
      <c r="FCF455" s="67"/>
      <c r="FCG455" s="67"/>
      <c r="FCH455" s="67"/>
      <c r="FCI455" s="67"/>
      <c r="FCJ455" s="67"/>
      <c r="FCK455" s="67"/>
      <c r="FCL455" s="67"/>
      <c r="FCM455" s="67"/>
      <c r="FCN455" s="67"/>
      <c r="FCO455" s="67"/>
      <c r="FCP455" s="67"/>
      <c r="FCQ455" s="67"/>
      <c r="FCR455" s="67"/>
      <c r="FCS455" s="67"/>
      <c r="FCT455" s="67"/>
      <c r="FCU455" s="67"/>
      <c r="FCV455" s="67"/>
      <c r="FCW455" s="67"/>
      <c r="FCX455" s="67"/>
      <c r="FCY455" s="67"/>
      <c r="FCZ455" s="67"/>
      <c r="FDA455" s="67"/>
      <c r="FDB455" s="67"/>
      <c r="FDC455" s="67"/>
      <c r="FDD455" s="67"/>
      <c r="FDE455" s="67"/>
      <c r="FDF455" s="67"/>
      <c r="FDG455" s="67"/>
      <c r="FDH455" s="67"/>
      <c r="FDI455" s="67"/>
      <c r="FDJ455" s="67"/>
      <c r="FDK455" s="67"/>
      <c r="FDL455" s="67"/>
      <c r="FDM455" s="67"/>
      <c r="FDN455" s="67"/>
      <c r="FDO455" s="67"/>
      <c r="FDP455" s="67"/>
      <c r="FDQ455" s="67"/>
      <c r="FDR455" s="67"/>
      <c r="FDS455" s="67"/>
      <c r="FDT455" s="67"/>
      <c r="FDU455" s="67"/>
      <c r="FDV455" s="67"/>
      <c r="FDW455" s="67"/>
      <c r="FDX455" s="67"/>
      <c r="FDY455" s="67"/>
      <c r="FDZ455" s="67"/>
      <c r="FEA455" s="67"/>
      <c r="FEB455" s="67"/>
      <c r="FEC455" s="67"/>
      <c r="FED455" s="67"/>
      <c r="FEE455" s="67"/>
      <c r="FEF455" s="67"/>
      <c r="FEG455" s="67"/>
      <c r="FEH455" s="67"/>
      <c r="FEI455" s="67"/>
      <c r="FEJ455" s="67"/>
      <c r="FEK455" s="67"/>
      <c r="FEL455" s="67"/>
      <c r="FEM455" s="67"/>
      <c r="FEN455" s="67"/>
      <c r="FEO455" s="67"/>
      <c r="FEP455" s="67"/>
      <c r="FEQ455" s="67"/>
      <c r="FER455" s="67"/>
      <c r="FES455" s="67"/>
      <c r="FET455" s="67"/>
      <c r="FEU455" s="67"/>
      <c r="FEV455" s="67"/>
      <c r="FEW455" s="67"/>
      <c r="FEX455" s="67"/>
      <c r="FEY455" s="67"/>
      <c r="FEZ455" s="67"/>
      <c r="FFA455" s="67"/>
      <c r="FFB455" s="67"/>
      <c r="FFC455" s="67"/>
      <c r="FFD455" s="67"/>
      <c r="FFE455" s="67"/>
      <c r="FFF455" s="67"/>
      <c r="FFG455" s="67"/>
      <c r="FFH455" s="67"/>
      <c r="FFI455" s="67"/>
      <c r="FFJ455" s="67"/>
      <c r="FFK455" s="67"/>
      <c r="FFL455" s="67"/>
      <c r="FFM455" s="67"/>
      <c r="FFN455" s="67"/>
      <c r="FFO455" s="67"/>
      <c r="FFP455" s="67"/>
      <c r="FFQ455" s="67"/>
      <c r="FFR455" s="67"/>
      <c r="FFS455" s="67"/>
      <c r="FFT455" s="67"/>
      <c r="FFU455" s="67"/>
      <c r="FFV455" s="67"/>
      <c r="FFW455" s="67"/>
      <c r="FFX455" s="67"/>
      <c r="FFY455" s="67"/>
      <c r="FFZ455" s="67"/>
      <c r="FGA455" s="67"/>
      <c r="FGB455" s="67"/>
      <c r="FGC455" s="67"/>
      <c r="FGD455" s="67"/>
      <c r="FGE455" s="67"/>
      <c r="FGF455" s="67"/>
      <c r="FGG455" s="67"/>
      <c r="FGH455" s="67"/>
      <c r="FGI455" s="67"/>
      <c r="FGJ455" s="67"/>
      <c r="FGK455" s="67"/>
      <c r="FGL455" s="67"/>
      <c r="FGM455" s="67"/>
      <c r="FGN455" s="67"/>
      <c r="FGO455" s="67"/>
      <c r="FGP455" s="67"/>
      <c r="FGQ455" s="67"/>
      <c r="FGR455" s="67"/>
      <c r="FGS455" s="67"/>
      <c r="FGT455" s="67"/>
      <c r="FGU455" s="67"/>
      <c r="FGV455" s="67"/>
      <c r="FGW455" s="67"/>
      <c r="FGX455" s="67"/>
      <c r="FGY455" s="67"/>
      <c r="FGZ455" s="67"/>
      <c r="FHA455" s="67"/>
      <c r="FHB455" s="67"/>
      <c r="FHC455" s="67"/>
      <c r="FHD455" s="67"/>
      <c r="FHE455" s="67"/>
      <c r="FHF455" s="67"/>
      <c r="FHG455" s="67"/>
      <c r="FHH455" s="67"/>
      <c r="FHI455" s="67"/>
      <c r="FHJ455" s="67"/>
      <c r="FHK455" s="67"/>
      <c r="FHL455" s="67"/>
      <c r="FHM455" s="67"/>
      <c r="FHN455" s="67"/>
      <c r="FHO455" s="67"/>
      <c r="FHP455" s="67"/>
      <c r="FHQ455" s="67"/>
      <c r="FHR455" s="67"/>
      <c r="FHS455" s="67"/>
      <c r="FHT455" s="67"/>
      <c r="FHU455" s="67"/>
      <c r="FHV455" s="67"/>
      <c r="FHW455" s="67"/>
      <c r="FHX455" s="67"/>
      <c r="FHY455" s="67"/>
      <c r="FHZ455" s="67"/>
      <c r="FIA455" s="67"/>
      <c r="FIB455" s="67"/>
      <c r="FIC455" s="67"/>
      <c r="FID455" s="67"/>
      <c r="FIE455" s="67"/>
      <c r="FIF455" s="67"/>
      <c r="FIG455" s="67"/>
      <c r="FIH455" s="67"/>
      <c r="FII455" s="67"/>
      <c r="FIJ455" s="67"/>
      <c r="FIK455" s="67"/>
      <c r="FIL455" s="67"/>
      <c r="FIM455" s="67"/>
      <c r="FIN455" s="67"/>
      <c r="FIO455" s="67"/>
      <c r="FIP455" s="67"/>
      <c r="FIQ455" s="67"/>
      <c r="FIR455" s="67"/>
      <c r="FIS455" s="67"/>
      <c r="FIT455" s="67"/>
      <c r="FIU455" s="67"/>
      <c r="FIV455" s="67"/>
      <c r="FIW455" s="67"/>
      <c r="FIX455" s="67"/>
      <c r="FIY455" s="67"/>
      <c r="FIZ455" s="67"/>
      <c r="FJA455" s="67"/>
      <c r="FJB455" s="67"/>
      <c r="FJC455" s="67"/>
      <c r="FJD455" s="67"/>
      <c r="FJE455" s="67"/>
      <c r="FJF455" s="67"/>
      <c r="FJG455" s="67"/>
      <c r="FJH455" s="67"/>
      <c r="FJI455" s="67"/>
      <c r="FJJ455" s="67"/>
      <c r="FJK455" s="67"/>
      <c r="FJL455" s="67"/>
      <c r="FJM455" s="67"/>
      <c r="FJN455" s="67"/>
      <c r="FJO455" s="67"/>
      <c r="FJP455" s="67"/>
      <c r="FJQ455" s="67"/>
      <c r="FJR455" s="67"/>
      <c r="FJS455" s="67"/>
      <c r="FJT455" s="67"/>
      <c r="FJU455" s="67"/>
      <c r="FJV455" s="67"/>
      <c r="FJW455" s="67"/>
      <c r="FJX455" s="67"/>
      <c r="FJY455" s="67"/>
      <c r="FJZ455" s="67"/>
      <c r="FKA455" s="67"/>
      <c r="FKB455" s="67"/>
      <c r="FKC455" s="67"/>
      <c r="FKD455" s="67"/>
      <c r="FKE455" s="67"/>
      <c r="FKF455" s="67"/>
      <c r="FKG455" s="67"/>
      <c r="FKH455" s="67"/>
      <c r="FKI455" s="67"/>
      <c r="FKJ455" s="67"/>
      <c r="FKK455" s="67"/>
      <c r="FKL455" s="67"/>
      <c r="FKM455" s="67"/>
      <c r="FKN455" s="67"/>
      <c r="FKO455" s="67"/>
      <c r="FKP455" s="67"/>
      <c r="FKQ455" s="67"/>
      <c r="FKR455" s="67"/>
      <c r="FKS455" s="67"/>
      <c r="FKT455" s="67"/>
      <c r="FKU455" s="67"/>
      <c r="FKV455" s="67"/>
      <c r="FKW455" s="67"/>
      <c r="FKX455" s="67"/>
      <c r="FKY455" s="67"/>
      <c r="FKZ455" s="67"/>
      <c r="FLA455" s="67"/>
      <c r="FLB455" s="67"/>
      <c r="FLC455" s="67"/>
      <c r="FLD455" s="67"/>
      <c r="FLE455" s="67"/>
      <c r="FLF455" s="67"/>
      <c r="FLG455" s="67"/>
      <c r="FLH455" s="67"/>
      <c r="FLI455" s="67"/>
      <c r="FLJ455" s="67"/>
      <c r="FLK455" s="67"/>
      <c r="FLL455" s="67"/>
      <c r="FLM455" s="67"/>
      <c r="FLN455" s="67"/>
      <c r="FLO455" s="67"/>
      <c r="FLP455" s="67"/>
      <c r="FLQ455" s="67"/>
      <c r="FLR455" s="67"/>
      <c r="FLS455" s="67"/>
      <c r="FLT455" s="67"/>
      <c r="FLU455" s="67"/>
      <c r="FLV455" s="67"/>
      <c r="FLW455" s="67"/>
      <c r="FLX455" s="67"/>
      <c r="FLY455" s="67"/>
      <c r="FLZ455" s="67"/>
      <c r="FMA455" s="67"/>
      <c r="FMB455" s="67"/>
      <c r="FMC455" s="67"/>
      <c r="FMD455" s="67"/>
      <c r="FME455" s="67"/>
      <c r="FMF455" s="67"/>
      <c r="FMG455" s="67"/>
      <c r="FMH455" s="67"/>
      <c r="FMI455" s="67"/>
      <c r="FMJ455" s="67"/>
      <c r="FMK455" s="67"/>
      <c r="FML455" s="67"/>
      <c r="FMM455" s="67"/>
      <c r="FMN455" s="67"/>
      <c r="FMO455" s="67"/>
      <c r="FMP455" s="67"/>
      <c r="FMQ455" s="67"/>
      <c r="FMR455" s="67"/>
      <c r="FMS455" s="67"/>
      <c r="FMT455" s="67"/>
      <c r="FMU455" s="67"/>
      <c r="FMV455" s="67"/>
      <c r="FMW455" s="67"/>
      <c r="FMX455" s="67"/>
      <c r="FMY455" s="67"/>
      <c r="FMZ455" s="67"/>
      <c r="FNA455" s="67"/>
      <c r="FNB455" s="67"/>
      <c r="FNC455" s="67"/>
      <c r="FND455" s="67"/>
      <c r="FNE455" s="67"/>
      <c r="FNF455" s="67"/>
      <c r="FNG455" s="67"/>
      <c r="FNH455" s="67"/>
      <c r="FNI455" s="67"/>
      <c r="FNJ455" s="67"/>
      <c r="FNK455" s="67"/>
      <c r="FNL455" s="67"/>
      <c r="FNM455" s="67"/>
      <c r="FNN455" s="67"/>
      <c r="FNO455" s="67"/>
      <c r="FNP455" s="67"/>
      <c r="FNQ455" s="67"/>
      <c r="FNR455" s="67"/>
      <c r="FNS455" s="67"/>
      <c r="FNT455" s="67"/>
      <c r="FNU455" s="67"/>
      <c r="FNV455" s="67"/>
      <c r="FNW455" s="67"/>
      <c r="FNX455" s="67"/>
      <c r="FNY455" s="67"/>
      <c r="FNZ455" s="67"/>
      <c r="FOA455" s="67"/>
      <c r="FOB455" s="67"/>
      <c r="FOC455" s="67"/>
      <c r="FOD455" s="67"/>
      <c r="FOE455" s="67"/>
      <c r="FOF455" s="67"/>
      <c r="FOG455" s="67"/>
      <c r="FOH455" s="67"/>
      <c r="FOI455" s="67"/>
      <c r="FOJ455" s="67"/>
      <c r="FOK455" s="67"/>
      <c r="FOL455" s="67"/>
      <c r="FOM455" s="67"/>
      <c r="FON455" s="67"/>
      <c r="FOO455" s="67"/>
      <c r="FOP455" s="67"/>
      <c r="FOQ455" s="67"/>
      <c r="FOR455" s="67"/>
      <c r="FOS455" s="67"/>
      <c r="FOT455" s="67"/>
      <c r="FOU455" s="67"/>
      <c r="FOV455" s="67"/>
      <c r="FOW455" s="67"/>
      <c r="FOX455" s="67"/>
      <c r="FOY455" s="67"/>
      <c r="FOZ455" s="67"/>
      <c r="FPA455" s="67"/>
      <c r="FPB455" s="67"/>
      <c r="FPC455" s="67"/>
      <c r="FPD455" s="67"/>
      <c r="FPE455" s="67"/>
      <c r="FPF455" s="67"/>
      <c r="FPG455" s="67"/>
      <c r="FPH455" s="67"/>
      <c r="FPI455" s="67"/>
      <c r="FPJ455" s="67"/>
      <c r="FPK455" s="67"/>
      <c r="FPL455" s="67"/>
      <c r="FPM455" s="67"/>
      <c r="FPN455" s="67"/>
      <c r="FPO455" s="67"/>
      <c r="FPP455" s="67"/>
      <c r="FPQ455" s="67"/>
      <c r="FPR455" s="67"/>
      <c r="FPS455" s="67"/>
      <c r="FPT455" s="67"/>
      <c r="FPU455" s="67"/>
      <c r="FPV455" s="67"/>
      <c r="FPW455" s="67"/>
      <c r="FPX455" s="67"/>
      <c r="FPY455" s="67"/>
      <c r="FPZ455" s="67"/>
      <c r="FQA455" s="67"/>
      <c r="FQB455" s="67"/>
      <c r="FQC455" s="67"/>
      <c r="FQD455" s="67"/>
      <c r="FQE455" s="67"/>
      <c r="FQF455" s="67"/>
      <c r="FQG455" s="67"/>
      <c r="FQH455" s="67"/>
      <c r="FQI455" s="67"/>
      <c r="FQJ455" s="67"/>
      <c r="FQK455" s="67"/>
      <c r="FQL455" s="67"/>
      <c r="FQM455" s="67"/>
      <c r="FQN455" s="67"/>
      <c r="FQO455" s="67"/>
      <c r="FQP455" s="67"/>
      <c r="FQQ455" s="67"/>
      <c r="FQR455" s="67"/>
      <c r="FQS455" s="67"/>
      <c r="FQT455" s="67"/>
      <c r="FQU455" s="67"/>
      <c r="FQV455" s="67"/>
      <c r="FQW455" s="67"/>
      <c r="FQX455" s="67"/>
      <c r="FQY455" s="67"/>
      <c r="FQZ455" s="67"/>
      <c r="FRA455" s="67"/>
      <c r="FRB455" s="67"/>
      <c r="FRC455" s="67"/>
      <c r="FRD455" s="67"/>
      <c r="FRE455" s="67"/>
      <c r="FRF455" s="67"/>
      <c r="FRG455" s="67"/>
      <c r="FRH455" s="67"/>
      <c r="FRI455" s="67"/>
      <c r="FRJ455" s="67"/>
      <c r="FRK455" s="67"/>
      <c r="FRL455" s="67"/>
      <c r="FRM455" s="67"/>
      <c r="FRN455" s="67"/>
      <c r="FRO455" s="67"/>
      <c r="FRP455" s="67"/>
      <c r="FRQ455" s="67"/>
      <c r="FRR455" s="67"/>
      <c r="FRS455" s="67"/>
      <c r="FRT455" s="67"/>
      <c r="FRU455" s="67"/>
      <c r="FRV455" s="67"/>
      <c r="FRW455" s="67"/>
      <c r="FRX455" s="67"/>
      <c r="FRY455" s="67"/>
      <c r="FRZ455" s="67"/>
      <c r="FSA455" s="67"/>
      <c r="FSB455" s="67"/>
      <c r="FSC455" s="67"/>
      <c r="FSD455" s="67"/>
      <c r="FSE455" s="67"/>
      <c r="FSF455" s="67"/>
      <c r="FSG455" s="67"/>
      <c r="FSH455" s="67"/>
      <c r="FSI455" s="67"/>
      <c r="FSJ455" s="67"/>
      <c r="FSK455" s="67"/>
      <c r="FSL455" s="67"/>
      <c r="FSM455" s="67"/>
      <c r="FSN455" s="67"/>
      <c r="FSO455" s="67"/>
      <c r="FSP455" s="67"/>
      <c r="FSQ455" s="67"/>
      <c r="FSR455" s="67"/>
      <c r="FSS455" s="67"/>
      <c r="FST455" s="67"/>
      <c r="FSU455" s="67"/>
      <c r="FSV455" s="67"/>
      <c r="FSW455" s="67"/>
      <c r="FSX455" s="67"/>
      <c r="FSY455" s="67"/>
      <c r="FSZ455" s="67"/>
      <c r="FTA455" s="67"/>
      <c r="FTB455" s="67"/>
      <c r="FTC455" s="67"/>
      <c r="FTD455" s="67"/>
      <c r="FTE455" s="67"/>
      <c r="FTF455" s="67"/>
      <c r="FTG455" s="67"/>
      <c r="FTH455" s="67"/>
      <c r="FTI455" s="67"/>
      <c r="FTJ455" s="67"/>
      <c r="FTK455" s="67"/>
      <c r="FTL455" s="67"/>
      <c r="FTM455" s="67"/>
      <c r="FTN455" s="67"/>
      <c r="FTO455" s="67"/>
      <c r="FTP455" s="67"/>
      <c r="FTQ455" s="67"/>
      <c r="FTR455" s="67"/>
      <c r="FTS455" s="67"/>
      <c r="FTT455" s="67"/>
      <c r="FTU455" s="67"/>
      <c r="FTV455" s="67"/>
      <c r="FTW455" s="67"/>
      <c r="FTX455" s="67"/>
      <c r="FTY455" s="67"/>
      <c r="FTZ455" s="67"/>
      <c r="FUA455" s="67"/>
      <c r="FUB455" s="67"/>
      <c r="FUC455" s="67"/>
      <c r="FUD455" s="67"/>
      <c r="FUE455" s="67"/>
      <c r="FUF455" s="67"/>
      <c r="FUG455" s="67"/>
      <c r="FUH455" s="67"/>
      <c r="FUI455" s="67"/>
      <c r="FUJ455" s="67"/>
      <c r="FUK455" s="67"/>
      <c r="FUL455" s="67"/>
      <c r="FUM455" s="67"/>
      <c r="FUN455" s="67"/>
      <c r="FUO455" s="67"/>
      <c r="FUP455" s="67"/>
      <c r="FUQ455" s="67"/>
      <c r="FUR455" s="67"/>
      <c r="FUS455" s="67"/>
      <c r="FUT455" s="67"/>
      <c r="FUU455" s="67"/>
      <c r="FUV455" s="67"/>
      <c r="FUW455" s="67"/>
      <c r="FUX455" s="67"/>
      <c r="FUY455" s="67"/>
      <c r="FUZ455" s="67"/>
      <c r="FVA455" s="67"/>
      <c r="FVB455" s="67"/>
      <c r="FVC455" s="67"/>
      <c r="FVD455" s="67"/>
      <c r="FVE455" s="67"/>
      <c r="FVF455" s="67"/>
      <c r="FVG455" s="67"/>
      <c r="FVH455" s="67"/>
      <c r="FVI455" s="67"/>
      <c r="FVJ455" s="67"/>
      <c r="FVK455" s="67"/>
      <c r="FVL455" s="67"/>
      <c r="FVM455" s="67"/>
      <c r="FVN455" s="67"/>
      <c r="FVO455" s="67"/>
      <c r="FVP455" s="67"/>
      <c r="FVQ455" s="67"/>
      <c r="FVR455" s="67"/>
      <c r="FVS455" s="67"/>
      <c r="FVT455" s="67"/>
      <c r="FVU455" s="67"/>
      <c r="FVV455" s="67"/>
      <c r="FVW455" s="67"/>
      <c r="FVX455" s="67"/>
      <c r="FVY455" s="67"/>
      <c r="FVZ455" s="67"/>
      <c r="FWA455" s="67"/>
      <c r="FWB455" s="67"/>
      <c r="FWC455" s="67"/>
      <c r="FWD455" s="67"/>
      <c r="FWE455" s="67"/>
      <c r="FWF455" s="67"/>
      <c r="FWG455" s="67"/>
      <c r="FWH455" s="67"/>
      <c r="FWI455" s="67"/>
      <c r="FWJ455" s="67"/>
      <c r="FWK455" s="67"/>
      <c r="FWL455" s="67"/>
      <c r="FWM455" s="67"/>
      <c r="FWN455" s="67"/>
      <c r="FWO455" s="67"/>
      <c r="FWP455" s="67"/>
      <c r="FWQ455" s="67"/>
      <c r="FWR455" s="67"/>
      <c r="FWS455" s="67"/>
      <c r="FWT455" s="67"/>
      <c r="FWU455" s="67"/>
      <c r="FWV455" s="67"/>
      <c r="FWW455" s="67"/>
      <c r="FWX455" s="67"/>
      <c r="FWY455" s="67"/>
      <c r="FWZ455" s="67"/>
      <c r="FXA455" s="67"/>
      <c r="FXB455" s="67"/>
      <c r="FXC455" s="67"/>
      <c r="FXD455" s="67"/>
      <c r="FXE455" s="67"/>
      <c r="FXF455" s="67"/>
      <c r="FXG455" s="67"/>
      <c r="FXH455" s="67"/>
      <c r="FXI455" s="67"/>
      <c r="FXJ455" s="67"/>
      <c r="FXK455" s="67"/>
      <c r="FXL455" s="67"/>
      <c r="FXM455" s="67"/>
      <c r="FXN455" s="67"/>
      <c r="FXO455" s="67"/>
      <c r="FXP455" s="67"/>
      <c r="FXQ455" s="67"/>
      <c r="FXR455" s="67"/>
      <c r="FXS455" s="67"/>
      <c r="FXT455" s="67"/>
      <c r="FXU455" s="67"/>
      <c r="FXV455" s="67"/>
      <c r="FXW455" s="67"/>
      <c r="FXX455" s="67"/>
      <c r="FXY455" s="67"/>
      <c r="FXZ455" s="67"/>
      <c r="FYA455" s="67"/>
      <c r="FYB455" s="67"/>
      <c r="FYC455" s="67"/>
      <c r="FYD455" s="67"/>
      <c r="FYE455" s="67"/>
      <c r="FYF455" s="67"/>
      <c r="FYG455" s="67"/>
      <c r="FYH455" s="67"/>
      <c r="FYI455" s="67"/>
      <c r="FYJ455" s="67"/>
      <c r="FYK455" s="67"/>
      <c r="FYL455" s="67"/>
      <c r="FYM455" s="67"/>
      <c r="FYN455" s="67"/>
      <c r="FYO455" s="67"/>
      <c r="FYP455" s="67"/>
      <c r="FYQ455" s="67"/>
      <c r="FYR455" s="67"/>
      <c r="FYS455" s="67"/>
      <c r="FYT455" s="67"/>
      <c r="FYU455" s="67"/>
      <c r="FYV455" s="67"/>
      <c r="FYW455" s="67"/>
      <c r="FYX455" s="67"/>
      <c r="FYY455" s="67"/>
      <c r="FYZ455" s="67"/>
      <c r="FZA455" s="67"/>
      <c r="FZB455" s="67"/>
      <c r="FZC455" s="67"/>
      <c r="FZD455" s="67"/>
      <c r="FZE455" s="67"/>
      <c r="FZF455" s="67"/>
      <c r="FZG455" s="67"/>
      <c r="FZH455" s="67"/>
      <c r="FZI455" s="67"/>
      <c r="FZJ455" s="67"/>
      <c r="FZK455" s="67"/>
      <c r="FZL455" s="67"/>
      <c r="FZM455" s="67"/>
      <c r="FZN455" s="67"/>
      <c r="FZO455" s="67"/>
      <c r="FZP455" s="67"/>
      <c r="FZQ455" s="67"/>
      <c r="FZR455" s="67"/>
      <c r="FZS455" s="67"/>
      <c r="FZT455" s="67"/>
      <c r="FZU455" s="67"/>
      <c r="FZV455" s="67"/>
      <c r="FZW455" s="67"/>
      <c r="FZX455" s="67"/>
      <c r="FZY455" s="67"/>
      <c r="FZZ455" s="67"/>
      <c r="GAA455" s="67"/>
      <c r="GAB455" s="67"/>
      <c r="GAC455" s="67"/>
      <c r="GAD455" s="67"/>
      <c r="GAE455" s="67"/>
      <c r="GAF455" s="67"/>
      <c r="GAG455" s="67"/>
      <c r="GAH455" s="67"/>
      <c r="GAI455" s="67"/>
      <c r="GAJ455" s="67"/>
      <c r="GAK455" s="67"/>
      <c r="GAL455" s="67"/>
      <c r="GAM455" s="67"/>
      <c r="GAN455" s="67"/>
      <c r="GAO455" s="67"/>
      <c r="GAP455" s="67"/>
      <c r="GAQ455" s="67"/>
      <c r="GAR455" s="67"/>
      <c r="GAS455" s="67"/>
      <c r="GAT455" s="67"/>
      <c r="GAU455" s="67"/>
      <c r="GAV455" s="67"/>
      <c r="GAW455" s="67"/>
      <c r="GAX455" s="67"/>
      <c r="GAY455" s="67"/>
      <c r="GAZ455" s="67"/>
      <c r="GBA455" s="67"/>
      <c r="GBB455" s="67"/>
      <c r="GBC455" s="67"/>
      <c r="GBD455" s="67"/>
      <c r="GBE455" s="67"/>
      <c r="GBF455" s="67"/>
      <c r="GBG455" s="67"/>
      <c r="GBH455" s="67"/>
      <c r="GBI455" s="67"/>
      <c r="GBJ455" s="67"/>
      <c r="GBK455" s="67"/>
      <c r="GBL455" s="67"/>
      <c r="GBM455" s="67"/>
      <c r="GBN455" s="67"/>
      <c r="GBO455" s="67"/>
      <c r="GBP455" s="67"/>
      <c r="GBQ455" s="67"/>
      <c r="GBR455" s="67"/>
      <c r="GBS455" s="67"/>
      <c r="GBT455" s="67"/>
      <c r="GBU455" s="67"/>
      <c r="GBV455" s="67"/>
      <c r="GBW455" s="67"/>
      <c r="GBX455" s="67"/>
      <c r="GBY455" s="67"/>
      <c r="GBZ455" s="67"/>
      <c r="GCA455" s="67"/>
      <c r="GCB455" s="67"/>
      <c r="GCC455" s="67"/>
      <c r="GCD455" s="67"/>
      <c r="GCE455" s="67"/>
      <c r="GCF455" s="67"/>
      <c r="GCG455" s="67"/>
      <c r="GCH455" s="67"/>
      <c r="GCI455" s="67"/>
      <c r="GCJ455" s="67"/>
      <c r="GCK455" s="67"/>
      <c r="GCL455" s="67"/>
      <c r="GCM455" s="67"/>
      <c r="GCN455" s="67"/>
      <c r="GCO455" s="67"/>
      <c r="GCP455" s="67"/>
      <c r="GCQ455" s="67"/>
      <c r="GCR455" s="67"/>
      <c r="GCS455" s="67"/>
      <c r="GCT455" s="67"/>
      <c r="GCU455" s="67"/>
      <c r="GCV455" s="67"/>
      <c r="GCW455" s="67"/>
      <c r="GCX455" s="67"/>
      <c r="GCY455" s="67"/>
      <c r="GCZ455" s="67"/>
      <c r="GDA455" s="67"/>
      <c r="GDB455" s="67"/>
      <c r="GDC455" s="67"/>
      <c r="GDD455" s="67"/>
      <c r="GDE455" s="67"/>
      <c r="GDF455" s="67"/>
      <c r="GDG455" s="67"/>
      <c r="GDH455" s="67"/>
      <c r="GDI455" s="67"/>
      <c r="GDJ455" s="67"/>
      <c r="GDK455" s="67"/>
      <c r="GDL455" s="67"/>
      <c r="GDM455" s="67"/>
      <c r="GDN455" s="67"/>
      <c r="GDO455" s="67"/>
      <c r="GDP455" s="67"/>
      <c r="GDQ455" s="67"/>
      <c r="GDR455" s="67"/>
      <c r="GDS455" s="67"/>
      <c r="GDT455" s="67"/>
      <c r="GDU455" s="67"/>
      <c r="GDV455" s="67"/>
      <c r="GDW455" s="67"/>
      <c r="GDX455" s="67"/>
      <c r="GDY455" s="67"/>
      <c r="GDZ455" s="67"/>
      <c r="GEA455" s="67"/>
      <c r="GEB455" s="67"/>
      <c r="GEC455" s="67"/>
      <c r="GED455" s="67"/>
      <c r="GEE455" s="67"/>
      <c r="GEF455" s="67"/>
      <c r="GEG455" s="67"/>
      <c r="GEH455" s="67"/>
      <c r="GEI455" s="67"/>
      <c r="GEJ455" s="67"/>
      <c r="GEK455" s="67"/>
      <c r="GEL455" s="67"/>
      <c r="GEM455" s="67"/>
      <c r="GEN455" s="67"/>
      <c r="GEO455" s="67"/>
      <c r="GEP455" s="67"/>
      <c r="GEQ455" s="67"/>
      <c r="GER455" s="67"/>
      <c r="GES455" s="67"/>
      <c r="GET455" s="67"/>
      <c r="GEU455" s="67"/>
      <c r="GEV455" s="67"/>
      <c r="GEW455" s="67"/>
      <c r="GEX455" s="67"/>
      <c r="GEY455" s="67"/>
      <c r="GEZ455" s="67"/>
      <c r="GFA455" s="67"/>
      <c r="GFB455" s="67"/>
      <c r="GFC455" s="67"/>
      <c r="GFD455" s="67"/>
      <c r="GFE455" s="67"/>
      <c r="GFF455" s="67"/>
      <c r="GFG455" s="67"/>
      <c r="GFH455" s="67"/>
      <c r="GFI455" s="67"/>
      <c r="GFJ455" s="67"/>
      <c r="GFK455" s="67"/>
      <c r="GFL455" s="67"/>
      <c r="GFM455" s="67"/>
      <c r="GFN455" s="67"/>
      <c r="GFO455" s="67"/>
      <c r="GFP455" s="67"/>
      <c r="GFQ455" s="67"/>
      <c r="GFR455" s="67"/>
      <c r="GFS455" s="67"/>
      <c r="GFT455" s="67"/>
      <c r="GFU455" s="67"/>
      <c r="GFV455" s="67"/>
      <c r="GFW455" s="67"/>
      <c r="GFX455" s="67"/>
      <c r="GFY455" s="67"/>
      <c r="GFZ455" s="67"/>
      <c r="GGA455" s="67"/>
      <c r="GGB455" s="67"/>
      <c r="GGC455" s="67"/>
      <c r="GGD455" s="67"/>
      <c r="GGE455" s="67"/>
      <c r="GGF455" s="67"/>
      <c r="GGG455" s="67"/>
      <c r="GGH455" s="67"/>
      <c r="GGI455" s="67"/>
      <c r="GGJ455" s="67"/>
      <c r="GGK455" s="67"/>
      <c r="GGL455" s="67"/>
      <c r="GGM455" s="67"/>
      <c r="GGN455" s="67"/>
      <c r="GGO455" s="67"/>
      <c r="GGP455" s="67"/>
      <c r="GGQ455" s="67"/>
      <c r="GGR455" s="67"/>
      <c r="GGS455" s="67"/>
      <c r="GGT455" s="67"/>
      <c r="GGU455" s="67"/>
      <c r="GGV455" s="67"/>
      <c r="GGW455" s="67"/>
      <c r="GGX455" s="67"/>
      <c r="GGY455" s="67"/>
      <c r="GGZ455" s="67"/>
      <c r="GHA455" s="67"/>
      <c r="GHB455" s="67"/>
      <c r="GHC455" s="67"/>
      <c r="GHD455" s="67"/>
      <c r="GHE455" s="67"/>
      <c r="GHF455" s="67"/>
      <c r="GHG455" s="67"/>
      <c r="GHH455" s="67"/>
      <c r="GHI455" s="67"/>
      <c r="GHJ455" s="67"/>
      <c r="GHK455" s="67"/>
      <c r="GHL455" s="67"/>
      <c r="GHM455" s="67"/>
      <c r="GHN455" s="67"/>
      <c r="GHO455" s="67"/>
      <c r="GHP455" s="67"/>
      <c r="GHQ455" s="67"/>
      <c r="GHR455" s="67"/>
      <c r="GHS455" s="67"/>
      <c r="GHT455" s="67"/>
      <c r="GHU455" s="67"/>
      <c r="GHV455" s="67"/>
      <c r="GHW455" s="67"/>
      <c r="GHX455" s="67"/>
      <c r="GHY455" s="67"/>
      <c r="GHZ455" s="67"/>
      <c r="GIA455" s="67"/>
      <c r="GIB455" s="67"/>
      <c r="GIC455" s="67"/>
      <c r="GID455" s="67"/>
      <c r="GIE455" s="67"/>
      <c r="GIF455" s="67"/>
      <c r="GIG455" s="67"/>
      <c r="GIH455" s="67"/>
      <c r="GII455" s="67"/>
      <c r="GIJ455" s="67"/>
      <c r="GIK455" s="67"/>
      <c r="GIL455" s="67"/>
      <c r="GIM455" s="67"/>
      <c r="GIN455" s="67"/>
      <c r="GIO455" s="67"/>
      <c r="GIP455" s="67"/>
      <c r="GIQ455" s="67"/>
      <c r="GIR455" s="67"/>
      <c r="GIS455" s="67"/>
      <c r="GIT455" s="67"/>
      <c r="GIU455" s="67"/>
      <c r="GIV455" s="67"/>
      <c r="GIW455" s="67"/>
      <c r="GIX455" s="67"/>
      <c r="GIY455" s="67"/>
      <c r="GIZ455" s="67"/>
      <c r="GJA455" s="67"/>
      <c r="GJB455" s="67"/>
      <c r="GJC455" s="67"/>
      <c r="GJD455" s="67"/>
      <c r="GJE455" s="67"/>
      <c r="GJF455" s="67"/>
      <c r="GJG455" s="67"/>
      <c r="GJH455" s="67"/>
      <c r="GJI455" s="67"/>
      <c r="GJJ455" s="67"/>
      <c r="GJK455" s="67"/>
      <c r="GJL455" s="67"/>
      <c r="GJM455" s="67"/>
      <c r="GJN455" s="67"/>
      <c r="GJO455" s="67"/>
      <c r="GJP455" s="67"/>
      <c r="GJQ455" s="67"/>
      <c r="GJR455" s="67"/>
      <c r="GJS455" s="67"/>
      <c r="GJT455" s="67"/>
      <c r="GJU455" s="67"/>
      <c r="GJV455" s="67"/>
      <c r="GJW455" s="67"/>
      <c r="GJX455" s="67"/>
      <c r="GJY455" s="67"/>
      <c r="GJZ455" s="67"/>
      <c r="GKA455" s="67"/>
      <c r="GKB455" s="67"/>
      <c r="GKC455" s="67"/>
      <c r="GKD455" s="67"/>
      <c r="GKE455" s="67"/>
      <c r="GKF455" s="67"/>
      <c r="GKG455" s="67"/>
      <c r="GKH455" s="67"/>
      <c r="GKI455" s="67"/>
      <c r="GKJ455" s="67"/>
      <c r="GKK455" s="67"/>
      <c r="GKL455" s="67"/>
      <c r="GKM455" s="67"/>
      <c r="GKN455" s="67"/>
      <c r="GKO455" s="67"/>
      <c r="GKP455" s="67"/>
      <c r="GKQ455" s="67"/>
      <c r="GKR455" s="67"/>
      <c r="GKS455" s="67"/>
      <c r="GKT455" s="67"/>
      <c r="GKU455" s="67"/>
      <c r="GKV455" s="67"/>
      <c r="GKW455" s="67"/>
      <c r="GKX455" s="67"/>
      <c r="GKY455" s="67"/>
      <c r="GKZ455" s="67"/>
      <c r="GLA455" s="67"/>
      <c r="GLB455" s="67"/>
      <c r="GLC455" s="67"/>
      <c r="GLD455" s="67"/>
      <c r="GLE455" s="67"/>
      <c r="GLF455" s="67"/>
      <c r="GLG455" s="67"/>
      <c r="GLH455" s="67"/>
      <c r="GLI455" s="67"/>
      <c r="GLJ455" s="67"/>
      <c r="GLK455" s="67"/>
      <c r="GLL455" s="67"/>
      <c r="GLM455" s="67"/>
      <c r="GLN455" s="67"/>
      <c r="GLO455" s="67"/>
      <c r="GLP455" s="67"/>
      <c r="GLQ455" s="67"/>
      <c r="GLR455" s="67"/>
      <c r="GLS455" s="67"/>
      <c r="GLT455" s="67"/>
      <c r="GLU455" s="67"/>
      <c r="GLV455" s="67"/>
      <c r="GLW455" s="67"/>
      <c r="GLX455" s="67"/>
      <c r="GLY455" s="67"/>
      <c r="GLZ455" s="67"/>
      <c r="GMA455" s="67"/>
      <c r="GMB455" s="67"/>
      <c r="GMC455" s="67"/>
      <c r="GMD455" s="67"/>
      <c r="GME455" s="67"/>
      <c r="GMF455" s="67"/>
      <c r="GMG455" s="67"/>
      <c r="GMH455" s="67"/>
      <c r="GMI455" s="67"/>
      <c r="GMJ455" s="67"/>
      <c r="GMK455" s="67"/>
      <c r="GML455" s="67"/>
      <c r="GMM455" s="67"/>
      <c r="GMN455" s="67"/>
      <c r="GMO455" s="67"/>
      <c r="GMP455" s="67"/>
      <c r="GMQ455" s="67"/>
      <c r="GMR455" s="67"/>
      <c r="GMS455" s="67"/>
      <c r="GMT455" s="67"/>
      <c r="GMU455" s="67"/>
      <c r="GMV455" s="67"/>
      <c r="GMW455" s="67"/>
      <c r="GMX455" s="67"/>
      <c r="GMY455" s="67"/>
      <c r="GMZ455" s="67"/>
      <c r="GNA455" s="67"/>
      <c r="GNB455" s="67"/>
      <c r="GNC455" s="67"/>
      <c r="GND455" s="67"/>
      <c r="GNE455" s="67"/>
      <c r="GNF455" s="67"/>
      <c r="GNG455" s="67"/>
      <c r="GNH455" s="67"/>
      <c r="GNI455" s="67"/>
      <c r="GNJ455" s="67"/>
      <c r="GNK455" s="67"/>
      <c r="GNL455" s="67"/>
      <c r="GNM455" s="67"/>
      <c r="GNN455" s="67"/>
      <c r="GNO455" s="67"/>
      <c r="GNP455" s="67"/>
      <c r="GNQ455" s="67"/>
      <c r="GNR455" s="67"/>
      <c r="GNS455" s="67"/>
      <c r="GNT455" s="67"/>
      <c r="GNU455" s="67"/>
      <c r="GNV455" s="67"/>
      <c r="GNW455" s="67"/>
      <c r="GNX455" s="67"/>
      <c r="GNY455" s="67"/>
      <c r="GNZ455" s="67"/>
      <c r="GOA455" s="67"/>
      <c r="GOB455" s="67"/>
      <c r="GOC455" s="67"/>
      <c r="GOD455" s="67"/>
      <c r="GOE455" s="67"/>
      <c r="GOF455" s="67"/>
      <c r="GOG455" s="67"/>
      <c r="GOH455" s="67"/>
      <c r="GOI455" s="67"/>
      <c r="GOJ455" s="67"/>
      <c r="GOK455" s="67"/>
      <c r="GOL455" s="67"/>
      <c r="GOM455" s="67"/>
      <c r="GON455" s="67"/>
      <c r="GOO455" s="67"/>
      <c r="GOP455" s="67"/>
      <c r="GOQ455" s="67"/>
      <c r="GOR455" s="67"/>
      <c r="GOS455" s="67"/>
      <c r="GOT455" s="67"/>
      <c r="GOU455" s="67"/>
      <c r="GOV455" s="67"/>
      <c r="GOW455" s="67"/>
      <c r="GOX455" s="67"/>
      <c r="GOY455" s="67"/>
      <c r="GOZ455" s="67"/>
      <c r="GPA455" s="67"/>
      <c r="GPB455" s="67"/>
      <c r="GPC455" s="67"/>
      <c r="GPD455" s="67"/>
      <c r="GPE455" s="67"/>
      <c r="GPF455" s="67"/>
      <c r="GPG455" s="67"/>
      <c r="GPH455" s="67"/>
      <c r="GPI455" s="67"/>
      <c r="GPJ455" s="67"/>
      <c r="GPK455" s="67"/>
      <c r="GPL455" s="67"/>
      <c r="GPM455" s="67"/>
      <c r="GPN455" s="67"/>
      <c r="GPO455" s="67"/>
      <c r="GPP455" s="67"/>
      <c r="GPQ455" s="67"/>
      <c r="GPR455" s="67"/>
      <c r="GPS455" s="67"/>
      <c r="GPT455" s="67"/>
      <c r="GPU455" s="67"/>
      <c r="GPV455" s="67"/>
      <c r="GPW455" s="67"/>
      <c r="GPX455" s="67"/>
      <c r="GPY455" s="67"/>
      <c r="GPZ455" s="67"/>
      <c r="GQA455" s="67"/>
      <c r="GQB455" s="67"/>
      <c r="GQC455" s="67"/>
      <c r="GQD455" s="67"/>
      <c r="GQE455" s="67"/>
      <c r="GQF455" s="67"/>
      <c r="GQG455" s="67"/>
      <c r="GQH455" s="67"/>
      <c r="GQI455" s="67"/>
      <c r="GQJ455" s="67"/>
      <c r="GQK455" s="67"/>
      <c r="GQL455" s="67"/>
      <c r="GQM455" s="67"/>
      <c r="GQN455" s="67"/>
      <c r="GQO455" s="67"/>
      <c r="GQP455" s="67"/>
      <c r="GQQ455" s="67"/>
      <c r="GQR455" s="67"/>
      <c r="GQS455" s="67"/>
      <c r="GQT455" s="67"/>
      <c r="GQU455" s="67"/>
      <c r="GQV455" s="67"/>
      <c r="GQW455" s="67"/>
      <c r="GQX455" s="67"/>
      <c r="GQY455" s="67"/>
      <c r="GQZ455" s="67"/>
      <c r="GRA455" s="67"/>
      <c r="GRB455" s="67"/>
      <c r="GRC455" s="67"/>
      <c r="GRD455" s="67"/>
      <c r="GRE455" s="67"/>
      <c r="GRF455" s="67"/>
      <c r="GRG455" s="67"/>
      <c r="GRH455" s="67"/>
      <c r="GRI455" s="67"/>
      <c r="GRJ455" s="67"/>
      <c r="GRK455" s="67"/>
      <c r="GRL455" s="67"/>
      <c r="GRM455" s="67"/>
      <c r="GRN455" s="67"/>
      <c r="GRO455" s="67"/>
      <c r="GRP455" s="67"/>
      <c r="GRQ455" s="67"/>
      <c r="GRR455" s="67"/>
      <c r="GRS455" s="67"/>
      <c r="GRT455" s="67"/>
      <c r="GRU455" s="67"/>
      <c r="GRV455" s="67"/>
      <c r="GRW455" s="67"/>
      <c r="GRX455" s="67"/>
      <c r="GRY455" s="67"/>
      <c r="GRZ455" s="67"/>
      <c r="GSA455" s="67"/>
      <c r="GSB455" s="67"/>
      <c r="GSC455" s="67"/>
      <c r="GSD455" s="67"/>
      <c r="GSE455" s="67"/>
      <c r="GSF455" s="67"/>
      <c r="GSG455" s="67"/>
      <c r="GSH455" s="67"/>
      <c r="GSI455" s="67"/>
      <c r="GSJ455" s="67"/>
      <c r="GSK455" s="67"/>
      <c r="GSL455" s="67"/>
      <c r="GSM455" s="67"/>
      <c r="GSN455" s="67"/>
      <c r="GSO455" s="67"/>
      <c r="GSP455" s="67"/>
      <c r="GSQ455" s="67"/>
      <c r="GSR455" s="67"/>
      <c r="GSS455" s="67"/>
      <c r="GST455" s="67"/>
      <c r="GSU455" s="67"/>
      <c r="GSV455" s="67"/>
      <c r="GSW455" s="67"/>
      <c r="GSX455" s="67"/>
      <c r="GSY455" s="67"/>
      <c r="GSZ455" s="67"/>
      <c r="GTA455" s="67"/>
      <c r="GTB455" s="67"/>
      <c r="GTC455" s="67"/>
      <c r="GTD455" s="67"/>
      <c r="GTE455" s="67"/>
      <c r="GTF455" s="67"/>
      <c r="GTG455" s="67"/>
      <c r="GTH455" s="67"/>
      <c r="GTI455" s="67"/>
      <c r="GTJ455" s="67"/>
      <c r="GTK455" s="67"/>
      <c r="GTL455" s="67"/>
      <c r="GTM455" s="67"/>
      <c r="GTN455" s="67"/>
      <c r="GTO455" s="67"/>
      <c r="GTP455" s="67"/>
      <c r="GTQ455" s="67"/>
      <c r="GTR455" s="67"/>
      <c r="GTS455" s="67"/>
      <c r="GTT455" s="67"/>
      <c r="GTU455" s="67"/>
      <c r="GTV455" s="67"/>
      <c r="GTW455" s="67"/>
      <c r="GTX455" s="67"/>
      <c r="GTY455" s="67"/>
      <c r="GTZ455" s="67"/>
      <c r="GUA455" s="67"/>
      <c r="GUB455" s="67"/>
      <c r="GUC455" s="67"/>
      <c r="GUD455" s="67"/>
      <c r="GUE455" s="67"/>
      <c r="GUF455" s="67"/>
      <c r="GUG455" s="67"/>
      <c r="GUH455" s="67"/>
      <c r="GUI455" s="67"/>
      <c r="GUJ455" s="67"/>
      <c r="GUK455" s="67"/>
      <c r="GUL455" s="67"/>
      <c r="GUM455" s="67"/>
      <c r="GUN455" s="67"/>
      <c r="GUO455" s="67"/>
      <c r="GUP455" s="67"/>
      <c r="GUQ455" s="67"/>
      <c r="GUR455" s="67"/>
      <c r="GUS455" s="67"/>
      <c r="GUT455" s="67"/>
      <c r="GUU455" s="67"/>
      <c r="GUV455" s="67"/>
      <c r="GUW455" s="67"/>
      <c r="GUX455" s="67"/>
      <c r="GUY455" s="67"/>
      <c r="GUZ455" s="67"/>
      <c r="GVA455" s="67"/>
      <c r="GVB455" s="67"/>
      <c r="GVC455" s="67"/>
      <c r="GVD455" s="67"/>
      <c r="GVE455" s="67"/>
      <c r="GVF455" s="67"/>
      <c r="GVG455" s="67"/>
      <c r="GVH455" s="67"/>
      <c r="GVI455" s="67"/>
      <c r="GVJ455" s="67"/>
      <c r="GVK455" s="67"/>
      <c r="GVL455" s="67"/>
      <c r="GVM455" s="67"/>
      <c r="GVN455" s="67"/>
      <c r="GVO455" s="67"/>
      <c r="GVP455" s="67"/>
      <c r="GVQ455" s="67"/>
      <c r="GVR455" s="67"/>
      <c r="GVS455" s="67"/>
      <c r="GVT455" s="67"/>
      <c r="GVU455" s="67"/>
      <c r="GVV455" s="67"/>
      <c r="GVW455" s="67"/>
      <c r="GVX455" s="67"/>
      <c r="GVY455" s="67"/>
      <c r="GVZ455" s="67"/>
      <c r="GWA455" s="67"/>
      <c r="GWB455" s="67"/>
      <c r="GWC455" s="67"/>
      <c r="GWD455" s="67"/>
      <c r="GWE455" s="67"/>
      <c r="GWF455" s="67"/>
      <c r="GWG455" s="67"/>
      <c r="GWH455" s="67"/>
      <c r="GWI455" s="67"/>
      <c r="GWJ455" s="67"/>
      <c r="GWK455" s="67"/>
      <c r="GWL455" s="67"/>
      <c r="GWM455" s="67"/>
      <c r="GWN455" s="67"/>
      <c r="GWO455" s="67"/>
      <c r="GWP455" s="67"/>
      <c r="GWQ455" s="67"/>
      <c r="GWR455" s="67"/>
      <c r="GWS455" s="67"/>
      <c r="GWT455" s="67"/>
      <c r="GWU455" s="67"/>
      <c r="GWV455" s="67"/>
      <c r="GWW455" s="67"/>
      <c r="GWX455" s="67"/>
      <c r="GWY455" s="67"/>
      <c r="GWZ455" s="67"/>
      <c r="GXA455" s="67"/>
      <c r="GXB455" s="67"/>
      <c r="GXC455" s="67"/>
      <c r="GXD455" s="67"/>
      <c r="GXE455" s="67"/>
      <c r="GXF455" s="67"/>
      <c r="GXG455" s="67"/>
      <c r="GXH455" s="67"/>
      <c r="GXI455" s="67"/>
      <c r="GXJ455" s="67"/>
      <c r="GXK455" s="67"/>
      <c r="GXL455" s="67"/>
      <c r="GXM455" s="67"/>
      <c r="GXN455" s="67"/>
      <c r="GXO455" s="67"/>
      <c r="GXP455" s="67"/>
      <c r="GXQ455" s="67"/>
      <c r="GXR455" s="67"/>
      <c r="GXS455" s="67"/>
      <c r="GXT455" s="67"/>
      <c r="GXU455" s="67"/>
      <c r="GXV455" s="67"/>
      <c r="GXW455" s="67"/>
      <c r="GXX455" s="67"/>
      <c r="GXY455" s="67"/>
      <c r="GXZ455" s="67"/>
      <c r="GYA455" s="67"/>
      <c r="GYB455" s="67"/>
      <c r="GYC455" s="67"/>
      <c r="GYD455" s="67"/>
      <c r="GYE455" s="67"/>
      <c r="GYF455" s="67"/>
      <c r="GYG455" s="67"/>
      <c r="GYH455" s="67"/>
      <c r="GYI455" s="67"/>
      <c r="GYJ455" s="67"/>
      <c r="GYK455" s="67"/>
      <c r="GYL455" s="67"/>
      <c r="GYM455" s="67"/>
      <c r="GYN455" s="67"/>
      <c r="GYO455" s="67"/>
      <c r="GYP455" s="67"/>
      <c r="GYQ455" s="67"/>
      <c r="GYR455" s="67"/>
      <c r="GYS455" s="67"/>
      <c r="GYT455" s="67"/>
      <c r="GYU455" s="67"/>
      <c r="GYV455" s="67"/>
      <c r="GYW455" s="67"/>
      <c r="GYX455" s="67"/>
      <c r="GYY455" s="67"/>
      <c r="GYZ455" s="67"/>
      <c r="GZA455" s="67"/>
      <c r="GZB455" s="67"/>
      <c r="GZC455" s="67"/>
      <c r="GZD455" s="67"/>
      <c r="GZE455" s="67"/>
      <c r="GZF455" s="67"/>
      <c r="GZG455" s="67"/>
      <c r="GZH455" s="67"/>
      <c r="GZI455" s="67"/>
      <c r="GZJ455" s="67"/>
      <c r="GZK455" s="67"/>
      <c r="GZL455" s="67"/>
      <c r="GZM455" s="67"/>
      <c r="GZN455" s="67"/>
      <c r="GZO455" s="67"/>
      <c r="GZP455" s="67"/>
      <c r="GZQ455" s="67"/>
      <c r="GZR455" s="67"/>
      <c r="GZS455" s="67"/>
      <c r="GZT455" s="67"/>
      <c r="GZU455" s="67"/>
      <c r="GZV455" s="67"/>
      <c r="GZW455" s="67"/>
      <c r="GZX455" s="67"/>
      <c r="GZY455" s="67"/>
      <c r="GZZ455" s="67"/>
      <c r="HAA455" s="67"/>
      <c r="HAB455" s="67"/>
      <c r="HAC455" s="67"/>
      <c r="HAD455" s="67"/>
      <c r="HAE455" s="67"/>
      <c r="HAF455" s="67"/>
      <c r="HAG455" s="67"/>
      <c r="HAH455" s="67"/>
      <c r="HAI455" s="67"/>
      <c r="HAJ455" s="67"/>
      <c r="HAK455" s="67"/>
      <c r="HAL455" s="67"/>
      <c r="HAM455" s="67"/>
      <c r="HAN455" s="67"/>
      <c r="HAO455" s="67"/>
      <c r="HAP455" s="67"/>
      <c r="HAQ455" s="67"/>
      <c r="HAR455" s="67"/>
      <c r="HAS455" s="67"/>
      <c r="HAT455" s="67"/>
      <c r="HAU455" s="67"/>
      <c r="HAV455" s="67"/>
      <c r="HAW455" s="67"/>
      <c r="HAX455" s="67"/>
      <c r="HAY455" s="67"/>
      <c r="HAZ455" s="67"/>
      <c r="HBA455" s="67"/>
      <c r="HBB455" s="67"/>
      <c r="HBC455" s="67"/>
      <c r="HBD455" s="67"/>
      <c r="HBE455" s="67"/>
      <c r="HBF455" s="67"/>
      <c r="HBG455" s="67"/>
      <c r="HBH455" s="67"/>
      <c r="HBI455" s="67"/>
      <c r="HBJ455" s="67"/>
      <c r="HBK455" s="67"/>
      <c r="HBL455" s="67"/>
      <c r="HBM455" s="67"/>
      <c r="HBN455" s="67"/>
      <c r="HBO455" s="67"/>
      <c r="HBP455" s="67"/>
      <c r="HBQ455" s="67"/>
      <c r="HBR455" s="67"/>
      <c r="HBS455" s="67"/>
      <c r="HBT455" s="67"/>
      <c r="HBU455" s="67"/>
      <c r="HBV455" s="67"/>
      <c r="HBW455" s="67"/>
      <c r="HBX455" s="67"/>
      <c r="HBY455" s="67"/>
      <c r="HBZ455" s="67"/>
      <c r="HCA455" s="67"/>
      <c r="HCB455" s="67"/>
      <c r="HCC455" s="67"/>
      <c r="HCD455" s="67"/>
      <c r="HCE455" s="67"/>
      <c r="HCF455" s="67"/>
      <c r="HCG455" s="67"/>
      <c r="HCH455" s="67"/>
      <c r="HCI455" s="67"/>
      <c r="HCJ455" s="67"/>
      <c r="HCK455" s="67"/>
      <c r="HCL455" s="67"/>
      <c r="HCM455" s="67"/>
      <c r="HCN455" s="67"/>
      <c r="HCO455" s="67"/>
      <c r="HCP455" s="67"/>
      <c r="HCQ455" s="67"/>
      <c r="HCR455" s="67"/>
      <c r="HCS455" s="67"/>
      <c r="HCT455" s="67"/>
      <c r="HCU455" s="67"/>
      <c r="HCV455" s="67"/>
      <c r="HCW455" s="67"/>
      <c r="HCX455" s="67"/>
      <c r="HCY455" s="67"/>
      <c r="HCZ455" s="67"/>
      <c r="HDA455" s="67"/>
      <c r="HDB455" s="67"/>
      <c r="HDC455" s="67"/>
      <c r="HDD455" s="67"/>
      <c r="HDE455" s="67"/>
      <c r="HDF455" s="67"/>
      <c r="HDG455" s="67"/>
      <c r="HDH455" s="67"/>
      <c r="HDI455" s="67"/>
      <c r="HDJ455" s="67"/>
      <c r="HDK455" s="67"/>
      <c r="HDL455" s="67"/>
      <c r="HDM455" s="67"/>
      <c r="HDN455" s="67"/>
      <c r="HDO455" s="67"/>
      <c r="HDP455" s="67"/>
      <c r="HDQ455" s="67"/>
      <c r="HDR455" s="67"/>
      <c r="HDS455" s="67"/>
      <c r="HDT455" s="67"/>
      <c r="HDU455" s="67"/>
      <c r="HDV455" s="67"/>
      <c r="HDW455" s="67"/>
      <c r="HDX455" s="67"/>
      <c r="HDY455" s="67"/>
      <c r="HDZ455" s="67"/>
      <c r="HEA455" s="67"/>
      <c r="HEB455" s="67"/>
      <c r="HEC455" s="67"/>
      <c r="HED455" s="67"/>
      <c r="HEE455" s="67"/>
      <c r="HEF455" s="67"/>
      <c r="HEG455" s="67"/>
      <c r="HEH455" s="67"/>
      <c r="HEI455" s="67"/>
      <c r="HEJ455" s="67"/>
      <c r="HEK455" s="67"/>
      <c r="HEL455" s="67"/>
      <c r="HEM455" s="67"/>
      <c r="HEN455" s="67"/>
      <c r="HEO455" s="67"/>
      <c r="HEP455" s="67"/>
      <c r="HEQ455" s="67"/>
      <c r="HER455" s="67"/>
      <c r="HES455" s="67"/>
      <c r="HET455" s="67"/>
      <c r="HEU455" s="67"/>
      <c r="HEV455" s="67"/>
      <c r="HEW455" s="67"/>
      <c r="HEX455" s="67"/>
      <c r="HEY455" s="67"/>
      <c r="HEZ455" s="67"/>
      <c r="HFA455" s="67"/>
      <c r="HFB455" s="67"/>
      <c r="HFC455" s="67"/>
      <c r="HFD455" s="67"/>
      <c r="HFE455" s="67"/>
      <c r="HFF455" s="67"/>
      <c r="HFG455" s="67"/>
      <c r="HFH455" s="67"/>
      <c r="HFI455" s="67"/>
      <c r="HFJ455" s="67"/>
      <c r="HFK455" s="67"/>
      <c r="HFL455" s="67"/>
      <c r="HFM455" s="67"/>
      <c r="HFN455" s="67"/>
      <c r="HFO455" s="67"/>
      <c r="HFP455" s="67"/>
      <c r="HFQ455" s="67"/>
      <c r="HFR455" s="67"/>
      <c r="HFS455" s="67"/>
      <c r="HFT455" s="67"/>
      <c r="HFU455" s="67"/>
      <c r="HFV455" s="67"/>
      <c r="HFW455" s="67"/>
      <c r="HFX455" s="67"/>
      <c r="HFY455" s="67"/>
      <c r="HFZ455" s="67"/>
      <c r="HGA455" s="67"/>
      <c r="HGB455" s="67"/>
      <c r="HGC455" s="67"/>
      <c r="HGD455" s="67"/>
      <c r="HGE455" s="67"/>
      <c r="HGF455" s="67"/>
      <c r="HGG455" s="67"/>
      <c r="HGH455" s="67"/>
      <c r="HGI455" s="67"/>
      <c r="HGJ455" s="67"/>
      <c r="HGK455" s="67"/>
      <c r="HGL455" s="67"/>
      <c r="HGM455" s="67"/>
      <c r="HGN455" s="67"/>
      <c r="HGO455" s="67"/>
      <c r="HGP455" s="67"/>
      <c r="HGQ455" s="67"/>
      <c r="HGR455" s="67"/>
      <c r="HGS455" s="67"/>
      <c r="HGT455" s="67"/>
      <c r="HGU455" s="67"/>
      <c r="HGV455" s="67"/>
      <c r="HGW455" s="67"/>
      <c r="HGX455" s="67"/>
      <c r="HGY455" s="67"/>
      <c r="HGZ455" s="67"/>
      <c r="HHA455" s="67"/>
      <c r="HHB455" s="67"/>
      <c r="HHC455" s="67"/>
      <c r="HHD455" s="67"/>
      <c r="HHE455" s="67"/>
      <c r="HHF455" s="67"/>
      <c r="HHG455" s="67"/>
      <c r="HHH455" s="67"/>
      <c r="HHI455" s="67"/>
      <c r="HHJ455" s="67"/>
      <c r="HHK455" s="67"/>
      <c r="HHL455" s="67"/>
      <c r="HHM455" s="67"/>
      <c r="HHN455" s="67"/>
      <c r="HHO455" s="67"/>
      <c r="HHP455" s="67"/>
      <c r="HHQ455" s="67"/>
      <c r="HHR455" s="67"/>
      <c r="HHS455" s="67"/>
      <c r="HHT455" s="67"/>
      <c r="HHU455" s="67"/>
      <c r="HHV455" s="67"/>
      <c r="HHW455" s="67"/>
      <c r="HHX455" s="67"/>
      <c r="HHY455" s="67"/>
      <c r="HHZ455" s="67"/>
      <c r="HIA455" s="67"/>
      <c r="HIB455" s="67"/>
      <c r="HIC455" s="67"/>
      <c r="HID455" s="67"/>
      <c r="HIE455" s="67"/>
      <c r="HIF455" s="67"/>
      <c r="HIG455" s="67"/>
      <c r="HIH455" s="67"/>
      <c r="HII455" s="67"/>
      <c r="HIJ455" s="67"/>
      <c r="HIK455" s="67"/>
      <c r="HIL455" s="67"/>
      <c r="HIM455" s="67"/>
      <c r="HIN455" s="67"/>
      <c r="HIO455" s="67"/>
      <c r="HIP455" s="67"/>
      <c r="HIQ455" s="67"/>
      <c r="HIR455" s="67"/>
      <c r="HIS455" s="67"/>
      <c r="HIT455" s="67"/>
      <c r="HIU455" s="67"/>
      <c r="HIV455" s="67"/>
      <c r="HIW455" s="67"/>
      <c r="HIX455" s="67"/>
      <c r="HIY455" s="67"/>
      <c r="HIZ455" s="67"/>
      <c r="HJA455" s="67"/>
      <c r="HJB455" s="67"/>
      <c r="HJC455" s="67"/>
      <c r="HJD455" s="67"/>
      <c r="HJE455" s="67"/>
      <c r="HJF455" s="67"/>
      <c r="HJG455" s="67"/>
      <c r="HJH455" s="67"/>
      <c r="HJI455" s="67"/>
      <c r="HJJ455" s="67"/>
      <c r="HJK455" s="67"/>
      <c r="HJL455" s="67"/>
      <c r="HJM455" s="67"/>
      <c r="HJN455" s="67"/>
      <c r="HJO455" s="67"/>
      <c r="HJP455" s="67"/>
      <c r="HJQ455" s="67"/>
      <c r="HJR455" s="67"/>
      <c r="HJS455" s="67"/>
      <c r="HJT455" s="67"/>
      <c r="HJU455" s="67"/>
      <c r="HJV455" s="67"/>
      <c r="HJW455" s="67"/>
      <c r="HJX455" s="67"/>
      <c r="HJY455" s="67"/>
      <c r="HJZ455" s="67"/>
      <c r="HKA455" s="67"/>
      <c r="HKB455" s="67"/>
      <c r="HKC455" s="67"/>
      <c r="HKD455" s="67"/>
      <c r="HKE455" s="67"/>
      <c r="HKF455" s="67"/>
      <c r="HKG455" s="67"/>
      <c r="HKH455" s="67"/>
      <c r="HKI455" s="67"/>
      <c r="HKJ455" s="67"/>
      <c r="HKK455" s="67"/>
      <c r="HKL455" s="67"/>
      <c r="HKM455" s="67"/>
      <c r="HKN455" s="67"/>
      <c r="HKO455" s="67"/>
      <c r="HKP455" s="67"/>
      <c r="HKQ455" s="67"/>
      <c r="HKR455" s="67"/>
      <c r="HKS455" s="67"/>
      <c r="HKT455" s="67"/>
      <c r="HKU455" s="67"/>
      <c r="HKV455" s="67"/>
      <c r="HKW455" s="67"/>
      <c r="HKX455" s="67"/>
      <c r="HKY455" s="67"/>
      <c r="HKZ455" s="67"/>
      <c r="HLA455" s="67"/>
      <c r="HLB455" s="67"/>
      <c r="HLC455" s="67"/>
      <c r="HLD455" s="67"/>
      <c r="HLE455" s="67"/>
      <c r="HLF455" s="67"/>
      <c r="HLG455" s="67"/>
      <c r="HLH455" s="67"/>
      <c r="HLI455" s="67"/>
      <c r="HLJ455" s="67"/>
      <c r="HLK455" s="67"/>
      <c r="HLL455" s="67"/>
      <c r="HLM455" s="67"/>
      <c r="HLN455" s="67"/>
      <c r="HLO455" s="67"/>
      <c r="HLP455" s="67"/>
      <c r="HLQ455" s="67"/>
      <c r="HLR455" s="67"/>
      <c r="HLS455" s="67"/>
      <c r="HLT455" s="67"/>
      <c r="HLU455" s="67"/>
      <c r="HLV455" s="67"/>
      <c r="HLW455" s="67"/>
      <c r="HLX455" s="67"/>
      <c r="HLY455" s="67"/>
      <c r="HLZ455" s="67"/>
      <c r="HMA455" s="67"/>
      <c r="HMB455" s="67"/>
      <c r="HMC455" s="67"/>
      <c r="HMD455" s="67"/>
      <c r="HME455" s="67"/>
      <c r="HMF455" s="67"/>
      <c r="HMG455" s="67"/>
      <c r="HMH455" s="67"/>
      <c r="HMI455" s="67"/>
      <c r="HMJ455" s="67"/>
      <c r="HMK455" s="67"/>
      <c r="HML455" s="67"/>
      <c r="HMM455" s="67"/>
      <c r="HMN455" s="67"/>
      <c r="HMO455" s="67"/>
      <c r="HMP455" s="67"/>
      <c r="HMQ455" s="67"/>
      <c r="HMR455" s="67"/>
      <c r="HMS455" s="67"/>
      <c r="HMT455" s="67"/>
      <c r="HMU455" s="67"/>
      <c r="HMV455" s="67"/>
      <c r="HMW455" s="67"/>
      <c r="HMX455" s="67"/>
      <c r="HMY455" s="67"/>
      <c r="HMZ455" s="67"/>
      <c r="HNA455" s="67"/>
      <c r="HNB455" s="67"/>
      <c r="HNC455" s="67"/>
      <c r="HND455" s="67"/>
      <c r="HNE455" s="67"/>
      <c r="HNF455" s="67"/>
      <c r="HNG455" s="67"/>
      <c r="HNH455" s="67"/>
      <c r="HNI455" s="67"/>
      <c r="HNJ455" s="67"/>
      <c r="HNK455" s="67"/>
      <c r="HNL455" s="67"/>
      <c r="HNM455" s="67"/>
      <c r="HNN455" s="67"/>
      <c r="HNO455" s="67"/>
      <c r="HNP455" s="67"/>
      <c r="HNQ455" s="67"/>
      <c r="HNR455" s="67"/>
      <c r="HNS455" s="67"/>
      <c r="HNT455" s="67"/>
      <c r="HNU455" s="67"/>
      <c r="HNV455" s="67"/>
      <c r="HNW455" s="67"/>
      <c r="HNX455" s="67"/>
      <c r="HNY455" s="67"/>
      <c r="HNZ455" s="67"/>
      <c r="HOA455" s="67"/>
      <c r="HOB455" s="67"/>
      <c r="HOC455" s="67"/>
      <c r="HOD455" s="67"/>
      <c r="HOE455" s="67"/>
      <c r="HOF455" s="67"/>
      <c r="HOG455" s="67"/>
      <c r="HOH455" s="67"/>
      <c r="HOI455" s="67"/>
      <c r="HOJ455" s="67"/>
      <c r="HOK455" s="67"/>
      <c r="HOL455" s="67"/>
      <c r="HOM455" s="67"/>
      <c r="HON455" s="67"/>
      <c r="HOO455" s="67"/>
      <c r="HOP455" s="67"/>
      <c r="HOQ455" s="67"/>
      <c r="HOR455" s="67"/>
      <c r="HOS455" s="67"/>
      <c r="HOT455" s="67"/>
      <c r="HOU455" s="67"/>
      <c r="HOV455" s="67"/>
      <c r="HOW455" s="67"/>
      <c r="HOX455" s="67"/>
      <c r="HOY455" s="67"/>
      <c r="HOZ455" s="67"/>
      <c r="HPA455" s="67"/>
      <c r="HPB455" s="67"/>
      <c r="HPC455" s="67"/>
      <c r="HPD455" s="67"/>
      <c r="HPE455" s="67"/>
      <c r="HPF455" s="67"/>
      <c r="HPG455" s="67"/>
      <c r="HPH455" s="67"/>
      <c r="HPI455" s="67"/>
      <c r="HPJ455" s="67"/>
      <c r="HPK455" s="67"/>
      <c r="HPL455" s="67"/>
      <c r="HPM455" s="67"/>
      <c r="HPN455" s="67"/>
      <c r="HPO455" s="67"/>
      <c r="HPP455" s="67"/>
      <c r="HPQ455" s="67"/>
      <c r="HPR455" s="67"/>
      <c r="HPS455" s="67"/>
      <c r="HPT455" s="67"/>
      <c r="HPU455" s="67"/>
      <c r="HPV455" s="67"/>
      <c r="HPW455" s="67"/>
      <c r="HPX455" s="67"/>
      <c r="HPY455" s="67"/>
      <c r="HPZ455" s="67"/>
      <c r="HQA455" s="67"/>
      <c r="HQB455" s="67"/>
      <c r="HQC455" s="67"/>
      <c r="HQD455" s="67"/>
      <c r="HQE455" s="67"/>
      <c r="HQF455" s="67"/>
      <c r="HQG455" s="67"/>
      <c r="HQH455" s="67"/>
      <c r="HQI455" s="67"/>
      <c r="HQJ455" s="67"/>
      <c r="HQK455" s="67"/>
      <c r="HQL455" s="67"/>
      <c r="HQM455" s="67"/>
      <c r="HQN455" s="67"/>
      <c r="HQO455" s="67"/>
      <c r="HQP455" s="67"/>
      <c r="HQQ455" s="67"/>
      <c r="HQR455" s="67"/>
      <c r="HQS455" s="67"/>
      <c r="HQT455" s="67"/>
      <c r="HQU455" s="67"/>
      <c r="HQV455" s="67"/>
      <c r="HQW455" s="67"/>
      <c r="HQX455" s="67"/>
      <c r="HQY455" s="67"/>
      <c r="HQZ455" s="67"/>
      <c r="HRA455" s="67"/>
      <c r="HRB455" s="67"/>
      <c r="HRC455" s="67"/>
      <c r="HRD455" s="67"/>
      <c r="HRE455" s="67"/>
      <c r="HRF455" s="67"/>
      <c r="HRG455" s="67"/>
      <c r="HRH455" s="67"/>
      <c r="HRI455" s="67"/>
      <c r="HRJ455" s="67"/>
      <c r="HRK455" s="67"/>
      <c r="HRL455" s="67"/>
      <c r="HRM455" s="67"/>
      <c r="HRN455" s="67"/>
      <c r="HRO455" s="67"/>
      <c r="HRP455" s="67"/>
      <c r="HRQ455" s="67"/>
      <c r="HRR455" s="67"/>
      <c r="HRS455" s="67"/>
      <c r="HRT455" s="67"/>
      <c r="HRU455" s="67"/>
      <c r="HRV455" s="67"/>
      <c r="HRW455" s="67"/>
      <c r="HRX455" s="67"/>
      <c r="HRY455" s="67"/>
      <c r="HRZ455" s="67"/>
      <c r="HSA455" s="67"/>
      <c r="HSB455" s="67"/>
      <c r="HSC455" s="67"/>
      <c r="HSD455" s="67"/>
      <c r="HSE455" s="67"/>
      <c r="HSF455" s="67"/>
      <c r="HSG455" s="67"/>
      <c r="HSH455" s="67"/>
      <c r="HSI455" s="67"/>
      <c r="HSJ455" s="67"/>
      <c r="HSK455" s="67"/>
      <c r="HSL455" s="67"/>
      <c r="HSM455" s="67"/>
      <c r="HSN455" s="67"/>
      <c r="HSO455" s="67"/>
      <c r="HSP455" s="67"/>
      <c r="HSQ455" s="67"/>
      <c r="HSR455" s="67"/>
      <c r="HSS455" s="67"/>
      <c r="HST455" s="67"/>
      <c r="HSU455" s="67"/>
      <c r="HSV455" s="67"/>
      <c r="HSW455" s="67"/>
      <c r="HSX455" s="67"/>
      <c r="HSY455" s="67"/>
      <c r="HSZ455" s="67"/>
      <c r="HTA455" s="67"/>
      <c r="HTB455" s="67"/>
      <c r="HTC455" s="67"/>
      <c r="HTD455" s="67"/>
      <c r="HTE455" s="67"/>
      <c r="HTF455" s="67"/>
      <c r="HTG455" s="67"/>
      <c r="HTH455" s="67"/>
      <c r="HTI455" s="67"/>
      <c r="HTJ455" s="67"/>
      <c r="HTK455" s="67"/>
      <c r="HTL455" s="67"/>
      <c r="HTM455" s="67"/>
      <c r="HTN455" s="67"/>
      <c r="HTO455" s="67"/>
      <c r="HTP455" s="67"/>
      <c r="HTQ455" s="67"/>
      <c r="HTR455" s="67"/>
      <c r="HTS455" s="67"/>
      <c r="HTT455" s="67"/>
      <c r="HTU455" s="67"/>
      <c r="HTV455" s="67"/>
      <c r="HTW455" s="67"/>
      <c r="HTX455" s="67"/>
      <c r="HTY455" s="67"/>
      <c r="HTZ455" s="67"/>
      <c r="HUA455" s="67"/>
      <c r="HUB455" s="67"/>
      <c r="HUC455" s="67"/>
      <c r="HUD455" s="67"/>
      <c r="HUE455" s="67"/>
      <c r="HUF455" s="67"/>
      <c r="HUG455" s="67"/>
      <c r="HUH455" s="67"/>
      <c r="HUI455" s="67"/>
      <c r="HUJ455" s="67"/>
      <c r="HUK455" s="67"/>
      <c r="HUL455" s="67"/>
      <c r="HUM455" s="67"/>
      <c r="HUN455" s="67"/>
      <c r="HUO455" s="67"/>
      <c r="HUP455" s="67"/>
      <c r="HUQ455" s="67"/>
      <c r="HUR455" s="67"/>
      <c r="HUS455" s="67"/>
      <c r="HUT455" s="67"/>
      <c r="HUU455" s="67"/>
      <c r="HUV455" s="67"/>
      <c r="HUW455" s="67"/>
      <c r="HUX455" s="67"/>
      <c r="HUY455" s="67"/>
      <c r="HUZ455" s="67"/>
      <c r="HVA455" s="67"/>
      <c r="HVB455" s="67"/>
      <c r="HVC455" s="67"/>
      <c r="HVD455" s="67"/>
      <c r="HVE455" s="67"/>
      <c r="HVF455" s="67"/>
      <c r="HVG455" s="67"/>
      <c r="HVH455" s="67"/>
      <c r="HVI455" s="67"/>
      <c r="HVJ455" s="67"/>
      <c r="HVK455" s="67"/>
      <c r="HVL455" s="67"/>
      <c r="HVM455" s="67"/>
      <c r="HVN455" s="67"/>
      <c r="HVO455" s="67"/>
      <c r="HVP455" s="67"/>
      <c r="HVQ455" s="67"/>
      <c r="HVR455" s="67"/>
      <c r="HVS455" s="67"/>
      <c r="HVT455" s="67"/>
      <c r="HVU455" s="67"/>
      <c r="HVV455" s="67"/>
      <c r="HVW455" s="67"/>
      <c r="HVX455" s="67"/>
      <c r="HVY455" s="67"/>
      <c r="HVZ455" s="67"/>
      <c r="HWA455" s="67"/>
      <c r="HWB455" s="67"/>
      <c r="HWC455" s="67"/>
      <c r="HWD455" s="67"/>
      <c r="HWE455" s="67"/>
      <c r="HWF455" s="67"/>
      <c r="HWG455" s="67"/>
      <c r="HWH455" s="67"/>
      <c r="HWI455" s="67"/>
      <c r="HWJ455" s="67"/>
      <c r="HWK455" s="67"/>
      <c r="HWL455" s="67"/>
      <c r="HWM455" s="67"/>
      <c r="HWN455" s="67"/>
      <c r="HWO455" s="67"/>
      <c r="HWP455" s="67"/>
      <c r="HWQ455" s="67"/>
      <c r="HWR455" s="67"/>
      <c r="HWS455" s="67"/>
      <c r="HWT455" s="67"/>
      <c r="HWU455" s="67"/>
      <c r="HWV455" s="67"/>
      <c r="HWW455" s="67"/>
      <c r="HWX455" s="67"/>
      <c r="HWY455" s="67"/>
      <c r="HWZ455" s="67"/>
      <c r="HXA455" s="67"/>
      <c r="HXB455" s="67"/>
      <c r="HXC455" s="67"/>
      <c r="HXD455" s="67"/>
      <c r="HXE455" s="67"/>
      <c r="HXF455" s="67"/>
      <c r="HXG455" s="67"/>
      <c r="HXH455" s="67"/>
      <c r="HXI455" s="67"/>
      <c r="HXJ455" s="67"/>
      <c r="HXK455" s="67"/>
      <c r="HXL455" s="67"/>
      <c r="HXM455" s="67"/>
      <c r="HXN455" s="67"/>
      <c r="HXO455" s="67"/>
      <c r="HXP455" s="67"/>
      <c r="HXQ455" s="67"/>
      <c r="HXR455" s="67"/>
      <c r="HXS455" s="67"/>
      <c r="HXT455" s="67"/>
      <c r="HXU455" s="67"/>
      <c r="HXV455" s="67"/>
      <c r="HXW455" s="67"/>
      <c r="HXX455" s="67"/>
      <c r="HXY455" s="67"/>
      <c r="HXZ455" s="67"/>
      <c r="HYA455" s="67"/>
      <c r="HYB455" s="67"/>
      <c r="HYC455" s="67"/>
      <c r="HYD455" s="67"/>
      <c r="HYE455" s="67"/>
      <c r="HYF455" s="67"/>
      <c r="HYG455" s="67"/>
      <c r="HYH455" s="67"/>
      <c r="HYI455" s="67"/>
      <c r="HYJ455" s="67"/>
      <c r="HYK455" s="67"/>
      <c r="HYL455" s="67"/>
      <c r="HYM455" s="67"/>
      <c r="HYN455" s="67"/>
      <c r="HYO455" s="67"/>
      <c r="HYP455" s="67"/>
      <c r="HYQ455" s="67"/>
      <c r="HYR455" s="67"/>
      <c r="HYS455" s="67"/>
      <c r="HYT455" s="67"/>
      <c r="HYU455" s="67"/>
      <c r="HYV455" s="67"/>
      <c r="HYW455" s="67"/>
      <c r="HYX455" s="67"/>
      <c r="HYY455" s="67"/>
      <c r="HYZ455" s="67"/>
      <c r="HZA455" s="67"/>
      <c r="HZB455" s="67"/>
      <c r="HZC455" s="67"/>
      <c r="HZD455" s="67"/>
      <c r="HZE455" s="67"/>
      <c r="HZF455" s="67"/>
      <c r="HZG455" s="67"/>
      <c r="HZH455" s="67"/>
      <c r="HZI455" s="67"/>
      <c r="HZJ455" s="67"/>
      <c r="HZK455" s="67"/>
      <c r="HZL455" s="67"/>
      <c r="HZM455" s="67"/>
      <c r="HZN455" s="67"/>
      <c r="HZO455" s="67"/>
      <c r="HZP455" s="67"/>
      <c r="HZQ455" s="67"/>
      <c r="HZR455" s="67"/>
      <c r="HZS455" s="67"/>
      <c r="HZT455" s="67"/>
      <c r="HZU455" s="67"/>
      <c r="HZV455" s="67"/>
      <c r="HZW455" s="67"/>
      <c r="HZX455" s="67"/>
      <c r="HZY455" s="67"/>
      <c r="HZZ455" s="67"/>
      <c r="IAA455" s="67"/>
      <c r="IAB455" s="67"/>
      <c r="IAC455" s="67"/>
      <c r="IAD455" s="67"/>
      <c r="IAE455" s="67"/>
      <c r="IAF455" s="67"/>
      <c r="IAG455" s="67"/>
      <c r="IAH455" s="67"/>
      <c r="IAI455" s="67"/>
      <c r="IAJ455" s="67"/>
      <c r="IAK455" s="67"/>
      <c r="IAL455" s="67"/>
      <c r="IAM455" s="67"/>
      <c r="IAN455" s="67"/>
      <c r="IAO455" s="67"/>
      <c r="IAP455" s="67"/>
      <c r="IAQ455" s="67"/>
      <c r="IAR455" s="67"/>
      <c r="IAS455" s="67"/>
      <c r="IAT455" s="67"/>
      <c r="IAU455" s="67"/>
      <c r="IAV455" s="67"/>
      <c r="IAW455" s="67"/>
      <c r="IAX455" s="67"/>
      <c r="IAY455" s="67"/>
      <c r="IAZ455" s="67"/>
      <c r="IBA455" s="67"/>
      <c r="IBB455" s="67"/>
      <c r="IBC455" s="67"/>
      <c r="IBD455" s="67"/>
      <c r="IBE455" s="67"/>
      <c r="IBF455" s="67"/>
      <c r="IBG455" s="67"/>
      <c r="IBH455" s="67"/>
      <c r="IBI455" s="67"/>
      <c r="IBJ455" s="67"/>
      <c r="IBK455" s="67"/>
      <c r="IBL455" s="67"/>
      <c r="IBM455" s="67"/>
      <c r="IBN455" s="67"/>
      <c r="IBO455" s="67"/>
      <c r="IBP455" s="67"/>
      <c r="IBQ455" s="67"/>
      <c r="IBR455" s="67"/>
      <c r="IBS455" s="67"/>
      <c r="IBT455" s="67"/>
      <c r="IBU455" s="67"/>
      <c r="IBV455" s="67"/>
      <c r="IBW455" s="67"/>
      <c r="IBX455" s="67"/>
      <c r="IBY455" s="67"/>
      <c r="IBZ455" s="67"/>
      <c r="ICA455" s="67"/>
      <c r="ICB455" s="67"/>
      <c r="ICC455" s="67"/>
      <c r="ICD455" s="67"/>
      <c r="ICE455" s="67"/>
      <c r="ICF455" s="67"/>
      <c r="ICG455" s="67"/>
      <c r="ICH455" s="67"/>
      <c r="ICI455" s="67"/>
      <c r="ICJ455" s="67"/>
      <c r="ICK455" s="67"/>
      <c r="ICL455" s="67"/>
      <c r="ICM455" s="67"/>
      <c r="ICN455" s="67"/>
      <c r="ICO455" s="67"/>
      <c r="ICP455" s="67"/>
      <c r="ICQ455" s="67"/>
      <c r="ICR455" s="67"/>
      <c r="ICS455" s="67"/>
      <c r="ICT455" s="67"/>
      <c r="ICU455" s="67"/>
      <c r="ICV455" s="67"/>
      <c r="ICW455" s="67"/>
      <c r="ICX455" s="67"/>
      <c r="ICY455" s="67"/>
      <c r="ICZ455" s="67"/>
      <c r="IDA455" s="67"/>
      <c r="IDB455" s="67"/>
      <c r="IDC455" s="67"/>
      <c r="IDD455" s="67"/>
      <c r="IDE455" s="67"/>
      <c r="IDF455" s="67"/>
      <c r="IDG455" s="67"/>
      <c r="IDH455" s="67"/>
      <c r="IDI455" s="67"/>
      <c r="IDJ455" s="67"/>
      <c r="IDK455" s="67"/>
      <c r="IDL455" s="67"/>
      <c r="IDM455" s="67"/>
      <c r="IDN455" s="67"/>
      <c r="IDO455" s="67"/>
      <c r="IDP455" s="67"/>
      <c r="IDQ455" s="67"/>
      <c r="IDR455" s="67"/>
      <c r="IDS455" s="67"/>
      <c r="IDT455" s="67"/>
      <c r="IDU455" s="67"/>
      <c r="IDV455" s="67"/>
      <c r="IDW455" s="67"/>
      <c r="IDX455" s="67"/>
      <c r="IDY455" s="67"/>
      <c r="IDZ455" s="67"/>
      <c r="IEA455" s="67"/>
      <c r="IEB455" s="67"/>
      <c r="IEC455" s="67"/>
      <c r="IED455" s="67"/>
      <c r="IEE455" s="67"/>
      <c r="IEF455" s="67"/>
      <c r="IEG455" s="67"/>
      <c r="IEH455" s="67"/>
      <c r="IEI455" s="67"/>
      <c r="IEJ455" s="67"/>
      <c r="IEK455" s="67"/>
      <c r="IEL455" s="67"/>
      <c r="IEM455" s="67"/>
      <c r="IEN455" s="67"/>
      <c r="IEO455" s="67"/>
      <c r="IEP455" s="67"/>
      <c r="IEQ455" s="67"/>
      <c r="IER455" s="67"/>
      <c r="IES455" s="67"/>
      <c r="IET455" s="67"/>
      <c r="IEU455" s="67"/>
      <c r="IEV455" s="67"/>
      <c r="IEW455" s="67"/>
      <c r="IEX455" s="67"/>
      <c r="IEY455" s="67"/>
      <c r="IEZ455" s="67"/>
      <c r="IFA455" s="67"/>
      <c r="IFB455" s="67"/>
      <c r="IFC455" s="67"/>
      <c r="IFD455" s="67"/>
      <c r="IFE455" s="67"/>
      <c r="IFF455" s="67"/>
      <c r="IFG455" s="67"/>
      <c r="IFH455" s="67"/>
      <c r="IFI455" s="67"/>
      <c r="IFJ455" s="67"/>
      <c r="IFK455" s="67"/>
      <c r="IFL455" s="67"/>
      <c r="IFM455" s="67"/>
      <c r="IFN455" s="67"/>
      <c r="IFO455" s="67"/>
      <c r="IFP455" s="67"/>
      <c r="IFQ455" s="67"/>
      <c r="IFR455" s="67"/>
      <c r="IFS455" s="67"/>
      <c r="IFT455" s="67"/>
      <c r="IFU455" s="67"/>
      <c r="IFV455" s="67"/>
      <c r="IFW455" s="67"/>
      <c r="IFX455" s="67"/>
      <c r="IFY455" s="67"/>
      <c r="IFZ455" s="67"/>
      <c r="IGA455" s="67"/>
      <c r="IGB455" s="67"/>
      <c r="IGC455" s="67"/>
      <c r="IGD455" s="67"/>
      <c r="IGE455" s="67"/>
      <c r="IGF455" s="67"/>
      <c r="IGG455" s="67"/>
      <c r="IGH455" s="67"/>
      <c r="IGI455" s="67"/>
      <c r="IGJ455" s="67"/>
      <c r="IGK455" s="67"/>
      <c r="IGL455" s="67"/>
      <c r="IGM455" s="67"/>
      <c r="IGN455" s="67"/>
      <c r="IGO455" s="67"/>
      <c r="IGP455" s="67"/>
      <c r="IGQ455" s="67"/>
      <c r="IGR455" s="67"/>
      <c r="IGS455" s="67"/>
      <c r="IGT455" s="67"/>
      <c r="IGU455" s="67"/>
      <c r="IGV455" s="67"/>
      <c r="IGW455" s="67"/>
      <c r="IGX455" s="67"/>
      <c r="IGY455" s="67"/>
      <c r="IGZ455" s="67"/>
      <c r="IHA455" s="67"/>
      <c r="IHB455" s="67"/>
      <c r="IHC455" s="67"/>
      <c r="IHD455" s="67"/>
      <c r="IHE455" s="67"/>
      <c r="IHF455" s="67"/>
      <c r="IHG455" s="67"/>
      <c r="IHH455" s="67"/>
      <c r="IHI455" s="67"/>
      <c r="IHJ455" s="67"/>
      <c r="IHK455" s="67"/>
      <c r="IHL455" s="67"/>
      <c r="IHM455" s="67"/>
      <c r="IHN455" s="67"/>
      <c r="IHO455" s="67"/>
      <c r="IHP455" s="67"/>
      <c r="IHQ455" s="67"/>
      <c r="IHR455" s="67"/>
      <c r="IHS455" s="67"/>
      <c r="IHT455" s="67"/>
      <c r="IHU455" s="67"/>
      <c r="IHV455" s="67"/>
      <c r="IHW455" s="67"/>
      <c r="IHX455" s="67"/>
      <c r="IHY455" s="67"/>
      <c r="IHZ455" s="67"/>
      <c r="IIA455" s="67"/>
      <c r="IIB455" s="67"/>
      <c r="IIC455" s="67"/>
      <c r="IID455" s="67"/>
      <c r="IIE455" s="67"/>
      <c r="IIF455" s="67"/>
      <c r="IIG455" s="67"/>
      <c r="IIH455" s="67"/>
      <c r="III455" s="67"/>
      <c r="IIJ455" s="67"/>
      <c r="IIK455" s="67"/>
      <c r="IIL455" s="67"/>
      <c r="IIM455" s="67"/>
      <c r="IIN455" s="67"/>
      <c r="IIO455" s="67"/>
      <c r="IIP455" s="67"/>
      <c r="IIQ455" s="67"/>
      <c r="IIR455" s="67"/>
      <c r="IIS455" s="67"/>
      <c r="IIT455" s="67"/>
      <c r="IIU455" s="67"/>
      <c r="IIV455" s="67"/>
      <c r="IIW455" s="67"/>
      <c r="IIX455" s="67"/>
      <c r="IIY455" s="67"/>
      <c r="IIZ455" s="67"/>
      <c r="IJA455" s="67"/>
      <c r="IJB455" s="67"/>
      <c r="IJC455" s="67"/>
      <c r="IJD455" s="67"/>
      <c r="IJE455" s="67"/>
      <c r="IJF455" s="67"/>
      <c r="IJG455" s="67"/>
      <c r="IJH455" s="67"/>
      <c r="IJI455" s="67"/>
      <c r="IJJ455" s="67"/>
      <c r="IJK455" s="67"/>
      <c r="IJL455" s="67"/>
      <c r="IJM455" s="67"/>
      <c r="IJN455" s="67"/>
      <c r="IJO455" s="67"/>
      <c r="IJP455" s="67"/>
      <c r="IJQ455" s="67"/>
      <c r="IJR455" s="67"/>
      <c r="IJS455" s="67"/>
      <c r="IJT455" s="67"/>
      <c r="IJU455" s="67"/>
      <c r="IJV455" s="67"/>
      <c r="IJW455" s="67"/>
      <c r="IJX455" s="67"/>
      <c r="IJY455" s="67"/>
      <c r="IJZ455" s="67"/>
      <c r="IKA455" s="67"/>
      <c r="IKB455" s="67"/>
      <c r="IKC455" s="67"/>
      <c r="IKD455" s="67"/>
      <c r="IKE455" s="67"/>
      <c r="IKF455" s="67"/>
      <c r="IKG455" s="67"/>
      <c r="IKH455" s="67"/>
      <c r="IKI455" s="67"/>
      <c r="IKJ455" s="67"/>
      <c r="IKK455" s="67"/>
      <c r="IKL455" s="67"/>
      <c r="IKM455" s="67"/>
      <c r="IKN455" s="67"/>
      <c r="IKO455" s="67"/>
      <c r="IKP455" s="67"/>
      <c r="IKQ455" s="67"/>
      <c r="IKR455" s="67"/>
      <c r="IKS455" s="67"/>
      <c r="IKT455" s="67"/>
      <c r="IKU455" s="67"/>
      <c r="IKV455" s="67"/>
      <c r="IKW455" s="67"/>
      <c r="IKX455" s="67"/>
      <c r="IKY455" s="67"/>
      <c r="IKZ455" s="67"/>
      <c r="ILA455" s="67"/>
      <c r="ILB455" s="67"/>
      <c r="ILC455" s="67"/>
      <c r="ILD455" s="67"/>
      <c r="ILE455" s="67"/>
      <c r="ILF455" s="67"/>
      <c r="ILG455" s="67"/>
      <c r="ILH455" s="67"/>
      <c r="ILI455" s="67"/>
      <c r="ILJ455" s="67"/>
      <c r="ILK455" s="67"/>
      <c r="ILL455" s="67"/>
      <c r="ILM455" s="67"/>
      <c r="ILN455" s="67"/>
      <c r="ILO455" s="67"/>
      <c r="ILP455" s="67"/>
      <c r="ILQ455" s="67"/>
      <c r="ILR455" s="67"/>
      <c r="ILS455" s="67"/>
      <c r="ILT455" s="67"/>
      <c r="ILU455" s="67"/>
      <c r="ILV455" s="67"/>
      <c r="ILW455" s="67"/>
      <c r="ILX455" s="67"/>
      <c r="ILY455" s="67"/>
      <c r="ILZ455" s="67"/>
      <c r="IMA455" s="67"/>
      <c r="IMB455" s="67"/>
      <c r="IMC455" s="67"/>
      <c r="IMD455" s="67"/>
      <c r="IME455" s="67"/>
      <c r="IMF455" s="67"/>
      <c r="IMG455" s="67"/>
      <c r="IMH455" s="67"/>
      <c r="IMI455" s="67"/>
      <c r="IMJ455" s="67"/>
      <c r="IMK455" s="67"/>
      <c r="IML455" s="67"/>
      <c r="IMM455" s="67"/>
      <c r="IMN455" s="67"/>
      <c r="IMO455" s="67"/>
      <c r="IMP455" s="67"/>
      <c r="IMQ455" s="67"/>
      <c r="IMR455" s="67"/>
      <c r="IMS455" s="67"/>
      <c r="IMT455" s="67"/>
      <c r="IMU455" s="67"/>
      <c r="IMV455" s="67"/>
      <c r="IMW455" s="67"/>
      <c r="IMX455" s="67"/>
      <c r="IMY455" s="67"/>
      <c r="IMZ455" s="67"/>
      <c r="INA455" s="67"/>
      <c r="INB455" s="67"/>
      <c r="INC455" s="67"/>
      <c r="IND455" s="67"/>
      <c r="INE455" s="67"/>
      <c r="INF455" s="67"/>
      <c r="ING455" s="67"/>
      <c r="INH455" s="67"/>
      <c r="INI455" s="67"/>
      <c r="INJ455" s="67"/>
      <c r="INK455" s="67"/>
      <c r="INL455" s="67"/>
      <c r="INM455" s="67"/>
      <c r="INN455" s="67"/>
      <c r="INO455" s="67"/>
      <c r="INP455" s="67"/>
      <c r="INQ455" s="67"/>
      <c r="INR455" s="67"/>
      <c r="INS455" s="67"/>
      <c r="INT455" s="67"/>
      <c r="INU455" s="67"/>
      <c r="INV455" s="67"/>
      <c r="INW455" s="67"/>
      <c r="INX455" s="67"/>
      <c r="INY455" s="67"/>
      <c r="INZ455" s="67"/>
      <c r="IOA455" s="67"/>
      <c r="IOB455" s="67"/>
      <c r="IOC455" s="67"/>
      <c r="IOD455" s="67"/>
      <c r="IOE455" s="67"/>
      <c r="IOF455" s="67"/>
      <c r="IOG455" s="67"/>
      <c r="IOH455" s="67"/>
      <c r="IOI455" s="67"/>
      <c r="IOJ455" s="67"/>
      <c r="IOK455" s="67"/>
      <c r="IOL455" s="67"/>
      <c r="IOM455" s="67"/>
      <c r="ION455" s="67"/>
      <c r="IOO455" s="67"/>
      <c r="IOP455" s="67"/>
      <c r="IOQ455" s="67"/>
      <c r="IOR455" s="67"/>
      <c r="IOS455" s="67"/>
      <c r="IOT455" s="67"/>
      <c r="IOU455" s="67"/>
      <c r="IOV455" s="67"/>
      <c r="IOW455" s="67"/>
      <c r="IOX455" s="67"/>
      <c r="IOY455" s="67"/>
      <c r="IOZ455" s="67"/>
      <c r="IPA455" s="67"/>
      <c r="IPB455" s="67"/>
      <c r="IPC455" s="67"/>
      <c r="IPD455" s="67"/>
      <c r="IPE455" s="67"/>
      <c r="IPF455" s="67"/>
      <c r="IPG455" s="67"/>
      <c r="IPH455" s="67"/>
      <c r="IPI455" s="67"/>
      <c r="IPJ455" s="67"/>
      <c r="IPK455" s="67"/>
      <c r="IPL455" s="67"/>
      <c r="IPM455" s="67"/>
      <c r="IPN455" s="67"/>
      <c r="IPO455" s="67"/>
      <c r="IPP455" s="67"/>
      <c r="IPQ455" s="67"/>
      <c r="IPR455" s="67"/>
      <c r="IPS455" s="67"/>
      <c r="IPT455" s="67"/>
      <c r="IPU455" s="67"/>
      <c r="IPV455" s="67"/>
      <c r="IPW455" s="67"/>
      <c r="IPX455" s="67"/>
      <c r="IPY455" s="67"/>
      <c r="IPZ455" s="67"/>
      <c r="IQA455" s="67"/>
      <c r="IQB455" s="67"/>
      <c r="IQC455" s="67"/>
      <c r="IQD455" s="67"/>
      <c r="IQE455" s="67"/>
      <c r="IQF455" s="67"/>
      <c r="IQG455" s="67"/>
      <c r="IQH455" s="67"/>
      <c r="IQI455" s="67"/>
      <c r="IQJ455" s="67"/>
      <c r="IQK455" s="67"/>
      <c r="IQL455" s="67"/>
      <c r="IQM455" s="67"/>
      <c r="IQN455" s="67"/>
      <c r="IQO455" s="67"/>
      <c r="IQP455" s="67"/>
      <c r="IQQ455" s="67"/>
      <c r="IQR455" s="67"/>
      <c r="IQS455" s="67"/>
      <c r="IQT455" s="67"/>
      <c r="IQU455" s="67"/>
      <c r="IQV455" s="67"/>
      <c r="IQW455" s="67"/>
      <c r="IQX455" s="67"/>
      <c r="IQY455" s="67"/>
      <c r="IQZ455" s="67"/>
      <c r="IRA455" s="67"/>
      <c r="IRB455" s="67"/>
      <c r="IRC455" s="67"/>
      <c r="IRD455" s="67"/>
      <c r="IRE455" s="67"/>
      <c r="IRF455" s="67"/>
      <c r="IRG455" s="67"/>
      <c r="IRH455" s="67"/>
      <c r="IRI455" s="67"/>
      <c r="IRJ455" s="67"/>
      <c r="IRK455" s="67"/>
      <c r="IRL455" s="67"/>
      <c r="IRM455" s="67"/>
      <c r="IRN455" s="67"/>
      <c r="IRO455" s="67"/>
      <c r="IRP455" s="67"/>
      <c r="IRQ455" s="67"/>
      <c r="IRR455" s="67"/>
      <c r="IRS455" s="67"/>
      <c r="IRT455" s="67"/>
      <c r="IRU455" s="67"/>
      <c r="IRV455" s="67"/>
      <c r="IRW455" s="67"/>
      <c r="IRX455" s="67"/>
      <c r="IRY455" s="67"/>
      <c r="IRZ455" s="67"/>
      <c r="ISA455" s="67"/>
      <c r="ISB455" s="67"/>
      <c r="ISC455" s="67"/>
      <c r="ISD455" s="67"/>
      <c r="ISE455" s="67"/>
      <c r="ISF455" s="67"/>
      <c r="ISG455" s="67"/>
      <c r="ISH455" s="67"/>
      <c r="ISI455" s="67"/>
      <c r="ISJ455" s="67"/>
      <c r="ISK455" s="67"/>
      <c r="ISL455" s="67"/>
      <c r="ISM455" s="67"/>
      <c r="ISN455" s="67"/>
      <c r="ISO455" s="67"/>
      <c r="ISP455" s="67"/>
      <c r="ISQ455" s="67"/>
      <c r="ISR455" s="67"/>
      <c r="ISS455" s="67"/>
      <c r="IST455" s="67"/>
      <c r="ISU455" s="67"/>
      <c r="ISV455" s="67"/>
      <c r="ISW455" s="67"/>
      <c r="ISX455" s="67"/>
      <c r="ISY455" s="67"/>
      <c r="ISZ455" s="67"/>
      <c r="ITA455" s="67"/>
      <c r="ITB455" s="67"/>
      <c r="ITC455" s="67"/>
      <c r="ITD455" s="67"/>
      <c r="ITE455" s="67"/>
      <c r="ITF455" s="67"/>
      <c r="ITG455" s="67"/>
      <c r="ITH455" s="67"/>
      <c r="ITI455" s="67"/>
      <c r="ITJ455" s="67"/>
      <c r="ITK455" s="67"/>
      <c r="ITL455" s="67"/>
      <c r="ITM455" s="67"/>
      <c r="ITN455" s="67"/>
      <c r="ITO455" s="67"/>
      <c r="ITP455" s="67"/>
      <c r="ITQ455" s="67"/>
      <c r="ITR455" s="67"/>
      <c r="ITS455" s="67"/>
      <c r="ITT455" s="67"/>
      <c r="ITU455" s="67"/>
      <c r="ITV455" s="67"/>
      <c r="ITW455" s="67"/>
      <c r="ITX455" s="67"/>
      <c r="ITY455" s="67"/>
      <c r="ITZ455" s="67"/>
      <c r="IUA455" s="67"/>
      <c r="IUB455" s="67"/>
      <c r="IUC455" s="67"/>
      <c r="IUD455" s="67"/>
      <c r="IUE455" s="67"/>
      <c r="IUF455" s="67"/>
      <c r="IUG455" s="67"/>
      <c r="IUH455" s="67"/>
      <c r="IUI455" s="67"/>
      <c r="IUJ455" s="67"/>
      <c r="IUK455" s="67"/>
      <c r="IUL455" s="67"/>
      <c r="IUM455" s="67"/>
      <c r="IUN455" s="67"/>
      <c r="IUO455" s="67"/>
      <c r="IUP455" s="67"/>
      <c r="IUQ455" s="67"/>
      <c r="IUR455" s="67"/>
      <c r="IUS455" s="67"/>
      <c r="IUT455" s="67"/>
      <c r="IUU455" s="67"/>
      <c r="IUV455" s="67"/>
      <c r="IUW455" s="67"/>
      <c r="IUX455" s="67"/>
      <c r="IUY455" s="67"/>
      <c r="IUZ455" s="67"/>
      <c r="IVA455" s="67"/>
      <c r="IVB455" s="67"/>
      <c r="IVC455" s="67"/>
      <c r="IVD455" s="67"/>
      <c r="IVE455" s="67"/>
      <c r="IVF455" s="67"/>
      <c r="IVG455" s="67"/>
      <c r="IVH455" s="67"/>
      <c r="IVI455" s="67"/>
      <c r="IVJ455" s="67"/>
      <c r="IVK455" s="67"/>
      <c r="IVL455" s="67"/>
      <c r="IVM455" s="67"/>
      <c r="IVN455" s="67"/>
      <c r="IVO455" s="67"/>
      <c r="IVP455" s="67"/>
      <c r="IVQ455" s="67"/>
      <c r="IVR455" s="67"/>
      <c r="IVS455" s="67"/>
      <c r="IVT455" s="67"/>
      <c r="IVU455" s="67"/>
      <c r="IVV455" s="67"/>
      <c r="IVW455" s="67"/>
      <c r="IVX455" s="67"/>
      <c r="IVY455" s="67"/>
      <c r="IVZ455" s="67"/>
      <c r="IWA455" s="67"/>
      <c r="IWB455" s="67"/>
      <c r="IWC455" s="67"/>
      <c r="IWD455" s="67"/>
      <c r="IWE455" s="67"/>
      <c r="IWF455" s="67"/>
      <c r="IWG455" s="67"/>
      <c r="IWH455" s="67"/>
      <c r="IWI455" s="67"/>
      <c r="IWJ455" s="67"/>
      <c r="IWK455" s="67"/>
      <c r="IWL455" s="67"/>
      <c r="IWM455" s="67"/>
      <c r="IWN455" s="67"/>
      <c r="IWO455" s="67"/>
      <c r="IWP455" s="67"/>
      <c r="IWQ455" s="67"/>
      <c r="IWR455" s="67"/>
      <c r="IWS455" s="67"/>
      <c r="IWT455" s="67"/>
      <c r="IWU455" s="67"/>
      <c r="IWV455" s="67"/>
      <c r="IWW455" s="67"/>
      <c r="IWX455" s="67"/>
      <c r="IWY455" s="67"/>
      <c r="IWZ455" s="67"/>
      <c r="IXA455" s="67"/>
      <c r="IXB455" s="67"/>
      <c r="IXC455" s="67"/>
      <c r="IXD455" s="67"/>
      <c r="IXE455" s="67"/>
      <c r="IXF455" s="67"/>
      <c r="IXG455" s="67"/>
      <c r="IXH455" s="67"/>
      <c r="IXI455" s="67"/>
      <c r="IXJ455" s="67"/>
      <c r="IXK455" s="67"/>
      <c r="IXL455" s="67"/>
      <c r="IXM455" s="67"/>
      <c r="IXN455" s="67"/>
      <c r="IXO455" s="67"/>
      <c r="IXP455" s="67"/>
      <c r="IXQ455" s="67"/>
      <c r="IXR455" s="67"/>
      <c r="IXS455" s="67"/>
      <c r="IXT455" s="67"/>
      <c r="IXU455" s="67"/>
      <c r="IXV455" s="67"/>
      <c r="IXW455" s="67"/>
      <c r="IXX455" s="67"/>
      <c r="IXY455" s="67"/>
      <c r="IXZ455" s="67"/>
      <c r="IYA455" s="67"/>
      <c r="IYB455" s="67"/>
      <c r="IYC455" s="67"/>
      <c r="IYD455" s="67"/>
      <c r="IYE455" s="67"/>
      <c r="IYF455" s="67"/>
      <c r="IYG455" s="67"/>
      <c r="IYH455" s="67"/>
      <c r="IYI455" s="67"/>
      <c r="IYJ455" s="67"/>
      <c r="IYK455" s="67"/>
      <c r="IYL455" s="67"/>
      <c r="IYM455" s="67"/>
      <c r="IYN455" s="67"/>
      <c r="IYO455" s="67"/>
      <c r="IYP455" s="67"/>
      <c r="IYQ455" s="67"/>
      <c r="IYR455" s="67"/>
      <c r="IYS455" s="67"/>
      <c r="IYT455" s="67"/>
      <c r="IYU455" s="67"/>
      <c r="IYV455" s="67"/>
      <c r="IYW455" s="67"/>
      <c r="IYX455" s="67"/>
      <c r="IYY455" s="67"/>
      <c r="IYZ455" s="67"/>
      <c r="IZA455" s="67"/>
      <c r="IZB455" s="67"/>
      <c r="IZC455" s="67"/>
      <c r="IZD455" s="67"/>
      <c r="IZE455" s="67"/>
      <c r="IZF455" s="67"/>
      <c r="IZG455" s="67"/>
      <c r="IZH455" s="67"/>
      <c r="IZI455" s="67"/>
      <c r="IZJ455" s="67"/>
      <c r="IZK455" s="67"/>
      <c r="IZL455" s="67"/>
      <c r="IZM455" s="67"/>
      <c r="IZN455" s="67"/>
      <c r="IZO455" s="67"/>
      <c r="IZP455" s="67"/>
      <c r="IZQ455" s="67"/>
      <c r="IZR455" s="67"/>
      <c r="IZS455" s="67"/>
      <c r="IZT455" s="67"/>
      <c r="IZU455" s="67"/>
      <c r="IZV455" s="67"/>
      <c r="IZW455" s="67"/>
      <c r="IZX455" s="67"/>
      <c r="IZY455" s="67"/>
      <c r="IZZ455" s="67"/>
      <c r="JAA455" s="67"/>
      <c r="JAB455" s="67"/>
      <c r="JAC455" s="67"/>
      <c r="JAD455" s="67"/>
      <c r="JAE455" s="67"/>
      <c r="JAF455" s="67"/>
      <c r="JAG455" s="67"/>
      <c r="JAH455" s="67"/>
      <c r="JAI455" s="67"/>
      <c r="JAJ455" s="67"/>
      <c r="JAK455" s="67"/>
      <c r="JAL455" s="67"/>
      <c r="JAM455" s="67"/>
      <c r="JAN455" s="67"/>
      <c r="JAO455" s="67"/>
      <c r="JAP455" s="67"/>
      <c r="JAQ455" s="67"/>
      <c r="JAR455" s="67"/>
      <c r="JAS455" s="67"/>
      <c r="JAT455" s="67"/>
      <c r="JAU455" s="67"/>
      <c r="JAV455" s="67"/>
      <c r="JAW455" s="67"/>
      <c r="JAX455" s="67"/>
      <c r="JAY455" s="67"/>
      <c r="JAZ455" s="67"/>
      <c r="JBA455" s="67"/>
      <c r="JBB455" s="67"/>
      <c r="JBC455" s="67"/>
      <c r="JBD455" s="67"/>
      <c r="JBE455" s="67"/>
      <c r="JBF455" s="67"/>
      <c r="JBG455" s="67"/>
      <c r="JBH455" s="67"/>
      <c r="JBI455" s="67"/>
      <c r="JBJ455" s="67"/>
      <c r="JBK455" s="67"/>
      <c r="JBL455" s="67"/>
      <c r="JBM455" s="67"/>
      <c r="JBN455" s="67"/>
      <c r="JBO455" s="67"/>
      <c r="JBP455" s="67"/>
      <c r="JBQ455" s="67"/>
      <c r="JBR455" s="67"/>
      <c r="JBS455" s="67"/>
      <c r="JBT455" s="67"/>
      <c r="JBU455" s="67"/>
      <c r="JBV455" s="67"/>
      <c r="JBW455" s="67"/>
      <c r="JBX455" s="67"/>
      <c r="JBY455" s="67"/>
      <c r="JBZ455" s="67"/>
      <c r="JCA455" s="67"/>
      <c r="JCB455" s="67"/>
      <c r="JCC455" s="67"/>
      <c r="JCD455" s="67"/>
      <c r="JCE455" s="67"/>
      <c r="JCF455" s="67"/>
      <c r="JCG455" s="67"/>
      <c r="JCH455" s="67"/>
      <c r="JCI455" s="67"/>
      <c r="JCJ455" s="67"/>
      <c r="JCK455" s="67"/>
      <c r="JCL455" s="67"/>
      <c r="JCM455" s="67"/>
      <c r="JCN455" s="67"/>
      <c r="JCO455" s="67"/>
      <c r="JCP455" s="67"/>
      <c r="JCQ455" s="67"/>
      <c r="JCR455" s="67"/>
      <c r="JCS455" s="67"/>
      <c r="JCT455" s="67"/>
      <c r="JCU455" s="67"/>
      <c r="JCV455" s="67"/>
      <c r="JCW455" s="67"/>
      <c r="JCX455" s="67"/>
      <c r="JCY455" s="67"/>
      <c r="JCZ455" s="67"/>
      <c r="JDA455" s="67"/>
      <c r="JDB455" s="67"/>
      <c r="JDC455" s="67"/>
      <c r="JDD455" s="67"/>
      <c r="JDE455" s="67"/>
      <c r="JDF455" s="67"/>
      <c r="JDG455" s="67"/>
      <c r="JDH455" s="67"/>
      <c r="JDI455" s="67"/>
      <c r="JDJ455" s="67"/>
      <c r="JDK455" s="67"/>
      <c r="JDL455" s="67"/>
      <c r="JDM455" s="67"/>
      <c r="JDN455" s="67"/>
      <c r="JDO455" s="67"/>
      <c r="JDP455" s="67"/>
      <c r="JDQ455" s="67"/>
      <c r="JDR455" s="67"/>
      <c r="JDS455" s="67"/>
      <c r="JDT455" s="67"/>
      <c r="JDU455" s="67"/>
      <c r="JDV455" s="67"/>
      <c r="JDW455" s="67"/>
      <c r="JDX455" s="67"/>
      <c r="JDY455" s="67"/>
      <c r="JDZ455" s="67"/>
      <c r="JEA455" s="67"/>
      <c r="JEB455" s="67"/>
      <c r="JEC455" s="67"/>
      <c r="JED455" s="67"/>
      <c r="JEE455" s="67"/>
      <c r="JEF455" s="67"/>
      <c r="JEG455" s="67"/>
      <c r="JEH455" s="67"/>
      <c r="JEI455" s="67"/>
      <c r="JEJ455" s="67"/>
      <c r="JEK455" s="67"/>
      <c r="JEL455" s="67"/>
      <c r="JEM455" s="67"/>
      <c r="JEN455" s="67"/>
      <c r="JEO455" s="67"/>
      <c r="JEP455" s="67"/>
      <c r="JEQ455" s="67"/>
      <c r="JER455" s="67"/>
      <c r="JES455" s="67"/>
      <c r="JET455" s="67"/>
      <c r="JEU455" s="67"/>
      <c r="JEV455" s="67"/>
      <c r="JEW455" s="67"/>
      <c r="JEX455" s="67"/>
      <c r="JEY455" s="67"/>
      <c r="JEZ455" s="67"/>
      <c r="JFA455" s="67"/>
      <c r="JFB455" s="67"/>
      <c r="JFC455" s="67"/>
      <c r="JFD455" s="67"/>
      <c r="JFE455" s="67"/>
      <c r="JFF455" s="67"/>
      <c r="JFG455" s="67"/>
      <c r="JFH455" s="67"/>
      <c r="JFI455" s="67"/>
      <c r="JFJ455" s="67"/>
      <c r="JFK455" s="67"/>
      <c r="JFL455" s="67"/>
      <c r="JFM455" s="67"/>
      <c r="JFN455" s="67"/>
      <c r="JFO455" s="67"/>
      <c r="JFP455" s="67"/>
      <c r="JFQ455" s="67"/>
      <c r="JFR455" s="67"/>
      <c r="JFS455" s="67"/>
      <c r="JFT455" s="67"/>
      <c r="JFU455" s="67"/>
      <c r="JFV455" s="67"/>
      <c r="JFW455" s="67"/>
      <c r="JFX455" s="67"/>
      <c r="JFY455" s="67"/>
      <c r="JFZ455" s="67"/>
      <c r="JGA455" s="67"/>
      <c r="JGB455" s="67"/>
      <c r="JGC455" s="67"/>
      <c r="JGD455" s="67"/>
      <c r="JGE455" s="67"/>
      <c r="JGF455" s="67"/>
      <c r="JGG455" s="67"/>
      <c r="JGH455" s="67"/>
      <c r="JGI455" s="67"/>
      <c r="JGJ455" s="67"/>
      <c r="JGK455" s="67"/>
      <c r="JGL455" s="67"/>
      <c r="JGM455" s="67"/>
      <c r="JGN455" s="67"/>
      <c r="JGO455" s="67"/>
      <c r="JGP455" s="67"/>
      <c r="JGQ455" s="67"/>
      <c r="JGR455" s="67"/>
      <c r="JGS455" s="67"/>
      <c r="JGT455" s="67"/>
      <c r="JGU455" s="67"/>
      <c r="JGV455" s="67"/>
      <c r="JGW455" s="67"/>
      <c r="JGX455" s="67"/>
      <c r="JGY455" s="67"/>
      <c r="JGZ455" s="67"/>
      <c r="JHA455" s="67"/>
      <c r="JHB455" s="67"/>
      <c r="JHC455" s="67"/>
      <c r="JHD455" s="67"/>
      <c r="JHE455" s="67"/>
      <c r="JHF455" s="67"/>
      <c r="JHG455" s="67"/>
      <c r="JHH455" s="67"/>
      <c r="JHI455" s="67"/>
      <c r="JHJ455" s="67"/>
      <c r="JHK455" s="67"/>
      <c r="JHL455" s="67"/>
      <c r="JHM455" s="67"/>
      <c r="JHN455" s="67"/>
      <c r="JHO455" s="67"/>
      <c r="JHP455" s="67"/>
      <c r="JHQ455" s="67"/>
      <c r="JHR455" s="67"/>
      <c r="JHS455" s="67"/>
      <c r="JHT455" s="67"/>
      <c r="JHU455" s="67"/>
      <c r="JHV455" s="67"/>
      <c r="JHW455" s="67"/>
      <c r="JHX455" s="67"/>
      <c r="JHY455" s="67"/>
      <c r="JHZ455" s="67"/>
      <c r="JIA455" s="67"/>
      <c r="JIB455" s="67"/>
      <c r="JIC455" s="67"/>
      <c r="JID455" s="67"/>
      <c r="JIE455" s="67"/>
      <c r="JIF455" s="67"/>
      <c r="JIG455" s="67"/>
      <c r="JIH455" s="67"/>
      <c r="JII455" s="67"/>
      <c r="JIJ455" s="67"/>
      <c r="JIK455" s="67"/>
      <c r="JIL455" s="67"/>
      <c r="JIM455" s="67"/>
      <c r="JIN455" s="67"/>
      <c r="JIO455" s="67"/>
      <c r="JIP455" s="67"/>
      <c r="JIQ455" s="67"/>
      <c r="JIR455" s="67"/>
      <c r="JIS455" s="67"/>
      <c r="JIT455" s="67"/>
      <c r="JIU455" s="67"/>
      <c r="JIV455" s="67"/>
      <c r="JIW455" s="67"/>
      <c r="JIX455" s="67"/>
      <c r="JIY455" s="67"/>
      <c r="JIZ455" s="67"/>
      <c r="JJA455" s="67"/>
      <c r="JJB455" s="67"/>
      <c r="JJC455" s="67"/>
      <c r="JJD455" s="67"/>
      <c r="JJE455" s="67"/>
      <c r="JJF455" s="67"/>
      <c r="JJG455" s="67"/>
      <c r="JJH455" s="67"/>
      <c r="JJI455" s="67"/>
      <c r="JJJ455" s="67"/>
      <c r="JJK455" s="67"/>
      <c r="JJL455" s="67"/>
      <c r="JJM455" s="67"/>
      <c r="JJN455" s="67"/>
      <c r="JJO455" s="67"/>
      <c r="JJP455" s="67"/>
      <c r="JJQ455" s="67"/>
      <c r="JJR455" s="67"/>
      <c r="JJS455" s="67"/>
      <c r="JJT455" s="67"/>
      <c r="JJU455" s="67"/>
      <c r="JJV455" s="67"/>
      <c r="JJW455" s="67"/>
      <c r="JJX455" s="67"/>
      <c r="JJY455" s="67"/>
      <c r="JJZ455" s="67"/>
      <c r="JKA455" s="67"/>
      <c r="JKB455" s="67"/>
      <c r="JKC455" s="67"/>
      <c r="JKD455" s="67"/>
      <c r="JKE455" s="67"/>
      <c r="JKF455" s="67"/>
      <c r="JKG455" s="67"/>
      <c r="JKH455" s="67"/>
      <c r="JKI455" s="67"/>
      <c r="JKJ455" s="67"/>
      <c r="JKK455" s="67"/>
      <c r="JKL455" s="67"/>
      <c r="JKM455" s="67"/>
      <c r="JKN455" s="67"/>
      <c r="JKO455" s="67"/>
      <c r="JKP455" s="67"/>
      <c r="JKQ455" s="67"/>
      <c r="JKR455" s="67"/>
      <c r="JKS455" s="67"/>
      <c r="JKT455" s="67"/>
      <c r="JKU455" s="67"/>
      <c r="JKV455" s="67"/>
      <c r="JKW455" s="67"/>
      <c r="JKX455" s="67"/>
      <c r="JKY455" s="67"/>
      <c r="JKZ455" s="67"/>
      <c r="JLA455" s="67"/>
      <c r="JLB455" s="67"/>
      <c r="JLC455" s="67"/>
      <c r="JLD455" s="67"/>
      <c r="JLE455" s="67"/>
      <c r="JLF455" s="67"/>
      <c r="JLG455" s="67"/>
      <c r="JLH455" s="67"/>
      <c r="JLI455" s="67"/>
      <c r="JLJ455" s="67"/>
      <c r="JLK455" s="67"/>
      <c r="JLL455" s="67"/>
      <c r="JLM455" s="67"/>
      <c r="JLN455" s="67"/>
      <c r="JLO455" s="67"/>
      <c r="JLP455" s="67"/>
      <c r="JLQ455" s="67"/>
      <c r="JLR455" s="67"/>
      <c r="JLS455" s="67"/>
      <c r="JLT455" s="67"/>
      <c r="JLU455" s="67"/>
      <c r="JLV455" s="67"/>
      <c r="JLW455" s="67"/>
      <c r="JLX455" s="67"/>
      <c r="JLY455" s="67"/>
      <c r="JLZ455" s="67"/>
      <c r="JMA455" s="67"/>
      <c r="JMB455" s="67"/>
      <c r="JMC455" s="67"/>
      <c r="JMD455" s="67"/>
      <c r="JME455" s="67"/>
      <c r="JMF455" s="67"/>
      <c r="JMG455" s="67"/>
      <c r="JMH455" s="67"/>
      <c r="JMI455" s="67"/>
      <c r="JMJ455" s="67"/>
      <c r="JMK455" s="67"/>
      <c r="JML455" s="67"/>
      <c r="JMM455" s="67"/>
      <c r="JMN455" s="67"/>
      <c r="JMO455" s="67"/>
      <c r="JMP455" s="67"/>
      <c r="JMQ455" s="67"/>
      <c r="JMR455" s="67"/>
      <c r="JMS455" s="67"/>
      <c r="JMT455" s="67"/>
      <c r="JMU455" s="67"/>
      <c r="JMV455" s="67"/>
      <c r="JMW455" s="67"/>
      <c r="JMX455" s="67"/>
      <c r="JMY455" s="67"/>
      <c r="JMZ455" s="67"/>
      <c r="JNA455" s="67"/>
      <c r="JNB455" s="67"/>
      <c r="JNC455" s="67"/>
      <c r="JND455" s="67"/>
      <c r="JNE455" s="67"/>
      <c r="JNF455" s="67"/>
      <c r="JNG455" s="67"/>
      <c r="JNH455" s="67"/>
      <c r="JNI455" s="67"/>
      <c r="JNJ455" s="67"/>
      <c r="JNK455" s="67"/>
      <c r="JNL455" s="67"/>
      <c r="JNM455" s="67"/>
      <c r="JNN455" s="67"/>
      <c r="JNO455" s="67"/>
      <c r="JNP455" s="67"/>
      <c r="JNQ455" s="67"/>
      <c r="JNR455" s="67"/>
      <c r="JNS455" s="67"/>
      <c r="JNT455" s="67"/>
      <c r="JNU455" s="67"/>
      <c r="JNV455" s="67"/>
      <c r="JNW455" s="67"/>
      <c r="JNX455" s="67"/>
      <c r="JNY455" s="67"/>
      <c r="JNZ455" s="67"/>
      <c r="JOA455" s="67"/>
      <c r="JOB455" s="67"/>
      <c r="JOC455" s="67"/>
      <c r="JOD455" s="67"/>
      <c r="JOE455" s="67"/>
      <c r="JOF455" s="67"/>
      <c r="JOG455" s="67"/>
      <c r="JOH455" s="67"/>
      <c r="JOI455" s="67"/>
      <c r="JOJ455" s="67"/>
      <c r="JOK455" s="67"/>
      <c r="JOL455" s="67"/>
      <c r="JOM455" s="67"/>
      <c r="JON455" s="67"/>
      <c r="JOO455" s="67"/>
      <c r="JOP455" s="67"/>
      <c r="JOQ455" s="67"/>
      <c r="JOR455" s="67"/>
      <c r="JOS455" s="67"/>
      <c r="JOT455" s="67"/>
      <c r="JOU455" s="67"/>
      <c r="JOV455" s="67"/>
      <c r="JOW455" s="67"/>
      <c r="JOX455" s="67"/>
      <c r="JOY455" s="67"/>
      <c r="JOZ455" s="67"/>
      <c r="JPA455" s="67"/>
      <c r="JPB455" s="67"/>
      <c r="JPC455" s="67"/>
      <c r="JPD455" s="67"/>
      <c r="JPE455" s="67"/>
      <c r="JPF455" s="67"/>
      <c r="JPG455" s="67"/>
      <c r="JPH455" s="67"/>
      <c r="JPI455" s="67"/>
      <c r="JPJ455" s="67"/>
      <c r="JPK455" s="67"/>
      <c r="JPL455" s="67"/>
      <c r="JPM455" s="67"/>
      <c r="JPN455" s="67"/>
      <c r="JPO455" s="67"/>
      <c r="JPP455" s="67"/>
      <c r="JPQ455" s="67"/>
      <c r="JPR455" s="67"/>
      <c r="JPS455" s="67"/>
      <c r="JPT455" s="67"/>
      <c r="JPU455" s="67"/>
      <c r="JPV455" s="67"/>
      <c r="JPW455" s="67"/>
      <c r="JPX455" s="67"/>
      <c r="JPY455" s="67"/>
      <c r="JPZ455" s="67"/>
      <c r="JQA455" s="67"/>
      <c r="JQB455" s="67"/>
      <c r="JQC455" s="67"/>
      <c r="JQD455" s="67"/>
      <c r="JQE455" s="67"/>
      <c r="JQF455" s="67"/>
      <c r="JQG455" s="67"/>
      <c r="JQH455" s="67"/>
      <c r="JQI455" s="67"/>
      <c r="JQJ455" s="67"/>
      <c r="JQK455" s="67"/>
      <c r="JQL455" s="67"/>
      <c r="JQM455" s="67"/>
      <c r="JQN455" s="67"/>
      <c r="JQO455" s="67"/>
      <c r="JQP455" s="67"/>
      <c r="JQQ455" s="67"/>
      <c r="JQR455" s="67"/>
      <c r="JQS455" s="67"/>
      <c r="JQT455" s="67"/>
      <c r="JQU455" s="67"/>
      <c r="JQV455" s="67"/>
      <c r="JQW455" s="67"/>
      <c r="JQX455" s="67"/>
      <c r="JQY455" s="67"/>
      <c r="JQZ455" s="67"/>
      <c r="JRA455" s="67"/>
      <c r="JRB455" s="67"/>
      <c r="JRC455" s="67"/>
      <c r="JRD455" s="67"/>
      <c r="JRE455" s="67"/>
      <c r="JRF455" s="67"/>
      <c r="JRG455" s="67"/>
      <c r="JRH455" s="67"/>
      <c r="JRI455" s="67"/>
      <c r="JRJ455" s="67"/>
      <c r="JRK455" s="67"/>
      <c r="JRL455" s="67"/>
      <c r="JRM455" s="67"/>
      <c r="JRN455" s="67"/>
      <c r="JRO455" s="67"/>
      <c r="JRP455" s="67"/>
      <c r="JRQ455" s="67"/>
      <c r="JRR455" s="67"/>
      <c r="JRS455" s="67"/>
      <c r="JRT455" s="67"/>
      <c r="JRU455" s="67"/>
      <c r="JRV455" s="67"/>
      <c r="JRW455" s="67"/>
      <c r="JRX455" s="67"/>
      <c r="JRY455" s="67"/>
      <c r="JRZ455" s="67"/>
      <c r="JSA455" s="67"/>
      <c r="JSB455" s="67"/>
      <c r="JSC455" s="67"/>
      <c r="JSD455" s="67"/>
      <c r="JSE455" s="67"/>
      <c r="JSF455" s="67"/>
      <c r="JSG455" s="67"/>
      <c r="JSH455" s="67"/>
      <c r="JSI455" s="67"/>
      <c r="JSJ455" s="67"/>
      <c r="JSK455" s="67"/>
      <c r="JSL455" s="67"/>
      <c r="JSM455" s="67"/>
      <c r="JSN455" s="67"/>
      <c r="JSO455" s="67"/>
      <c r="JSP455" s="67"/>
      <c r="JSQ455" s="67"/>
      <c r="JSR455" s="67"/>
      <c r="JSS455" s="67"/>
      <c r="JST455" s="67"/>
      <c r="JSU455" s="67"/>
      <c r="JSV455" s="67"/>
      <c r="JSW455" s="67"/>
      <c r="JSX455" s="67"/>
      <c r="JSY455" s="67"/>
      <c r="JSZ455" s="67"/>
      <c r="JTA455" s="67"/>
      <c r="JTB455" s="67"/>
      <c r="JTC455" s="67"/>
      <c r="JTD455" s="67"/>
      <c r="JTE455" s="67"/>
      <c r="JTF455" s="67"/>
      <c r="JTG455" s="67"/>
      <c r="JTH455" s="67"/>
      <c r="JTI455" s="67"/>
      <c r="JTJ455" s="67"/>
      <c r="JTK455" s="67"/>
      <c r="JTL455" s="67"/>
      <c r="JTM455" s="67"/>
      <c r="JTN455" s="67"/>
      <c r="JTO455" s="67"/>
      <c r="JTP455" s="67"/>
      <c r="JTQ455" s="67"/>
      <c r="JTR455" s="67"/>
      <c r="JTS455" s="67"/>
      <c r="JTT455" s="67"/>
      <c r="JTU455" s="67"/>
      <c r="JTV455" s="67"/>
      <c r="JTW455" s="67"/>
      <c r="JTX455" s="67"/>
      <c r="JTY455" s="67"/>
      <c r="JTZ455" s="67"/>
      <c r="JUA455" s="67"/>
      <c r="JUB455" s="67"/>
      <c r="JUC455" s="67"/>
      <c r="JUD455" s="67"/>
      <c r="JUE455" s="67"/>
      <c r="JUF455" s="67"/>
      <c r="JUG455" s="67"/>
      <c r="JUH455" s="67"/>
      <c r="JUI455" s="67"/>
      <c r="JUJ455" s="67"/>
      <c r="JUK455" s="67"/>
      <c r="JUL455" s="67"/>
      <c r="JUM455" s="67"/>
      <c r="JUN455" s="67"/>
      <c r="JUO455" s="67"/>
      <c r="JUP455" s="67"/>
      <c r="JUQ455" s="67"/>
      <c r="JUR455" s="67"/>
      <c r="JUS455" s="67"/>
      <c r="JUT455" s="67"/>
      <c r="JUU455" s="67"/>
      <c r="JUV455" s="67"/>
      <c r="JUW455" s="67"/>
      <c r="JUX455" s="67"/>
      <c r="JUY455" s="67"/>
      <c r="JUZ455" s="67"/>
      <c r="JVA455" s="67"/>
      <c r="JVB455" s="67"/>
      <c r="JVC455" s="67"/>
      <c r="JVD455" s="67"/>
      <c r="JVE455" s="67"/>
      <c r="JVF455" s="67"/>
      <c r="JVG455" s="67"/>
      <c r="JVH455" s="67"/>
      <c r="JVI455" s="67"/>
      <c r="JVJ455" s="67"/>
      <c r="JVK455" s="67"/>
      <c r="JVL455" s="67"/>
      <c r="JVM455" s="67"/>
      <c r="JVN455" s="67"/>
      <c r="JVO455" s="67"/>
      <c r="JVP455" s="67"/>
      <c r="JVQ455" s="67"/>
      <c r="JVR455" s="67"/>
      <c r="JVS455" s="67"/>
      <c r="JVT455" s="67"/>
      <c r="JVU455" s="67"/>
      <c r="JVV455" s="67"/>
      <c r="JVW455" s="67"/>
      <c r="JVX455" s="67"/>
      <c r="JVY455" s="67"/>
      <c r="JVZ455" s="67"/>
      <c r="JWA455" s="67"/>
      <c r="JWB455" s="67"/>
      <c r="JWC455" s="67"/>
      <c r="JWD455" s="67"/>
      <c r="JWE455" s="67"/>
      <c r="JWF455" s="67"/>
      <c r="JWG455" s="67"/>
      <c r="JWH455" s="67"/>
      <c r="JWI455" s="67"/>
      <c r="JWJ455" s="67"/>
      <c r="JWK455" s="67"/>
      <c r="JWL455" s="67"/>
      <c r="JWM455" s="67"/>
      <c r="JWN455" s="67"/>
      <c r="JWO455" s="67"/>
      <c r="JWP455" s="67"/>
      <c r="JWQ455" s="67"/>
      <c r="JWR455" s="67"/>
      <c r="JWS455" s="67"/>
      <c r="JWT455" s="67"/>
      <c r="JWU455" s="67"/>
      <c r="JWV455" s="67"/>
      <c r="JWW455" s="67"/>
      <c r="JWX455" s="67"/>
      <c r="JWY455" s="67"/>
      <c r="JWZ455" s="67"/>
      <c r="JXA455" s="67"/>
      <c r="JXB455" s="67"/>
      <c r="JXC455" s="67"/>
      <c r="JXD455" s="67"/>
      <c r="JXE455" s="67"/>
      <c r="JXF455" s="67"/>
      <c r="JXG455" s="67"/>
      <c r="JXH455" s="67"/>
      <c r="JXI455" s="67"/>
      <c r="JXJ455" s="67"/>
      <c r="JXK455" s="67"/>
      <c r="JXL455" s="67"/>
      <c r="JXM455" s="67"/>
      <c r="JXN455" s="67"/>
      <c r="JXO455" s="67"/>
      <c r="JXP455" s="67"/>
      <c r="JXQ455" s="67"/>
      <c r="JXR455" s="67"/>
      <c r="JXS455" s="67"/>
      <c r="JXT455" s="67"/>
      <c r="JXU455" s="67"/>
      <c r="JXV455" s="67"/>
      <c r="JXW455" s="67"/>
      <c r="JXX455" s="67"/>
      <c r="JXY455" s="67"/>
      <c r="JXZ455" s="67"/>
      <c r="JYA455" s="67"/>
      <c r="JYB455" s="67"/>
      <c r="JYC455" s="67"/>
      <c r="JYD455" s="67"/>
      <c r="JYE455" s="67"/>
      <c r="JYF455" s="67"/>
      <c r="JYG455" s="67"/>
      <c r="JYH455" s="67"/>
      <c r="JYI455" s="67"/>
      <c r="JYJ455" s="67"/>
      <c r="JYK455" s="67"/>
      <c r="JYL455" s="67"/>
      <c r="JYM455" s="67"/>
      <c r="JYN455" s="67"/>
      <c r="JYO455" s="67"/>
      <c r="JYP455" s="67"/>
      <c r="JYQ455" s="67"/>
      <c r="JYR455" s="67"/>
      <c r="JYS455" s="67"/>
      <c r="JYT455" s="67"/>
      <c r="JYU455" s="67"/>
      <c r="JYV455" s="67"/>
      <c r="JYW455" s="67"/>
      <c r="JYX455" s="67"/>
      <c r="JYY455" s="67"/>
      <c r="JYZ455" s="67"/>
      <c r="JZA455" s="67"/>
      <c r="JZB455" s="67"/>
      <c r="JZC455" s="67"/>
      <c r="JZD455" s="67"/>
      <c r="JZE455" s="67"/>
      <c r="JZF455" s="67"/>
      <c r="JZG455" s="67"/>
      <c r="JZH455" s="67"/>
      <c r="JZI455" s="67"/>
      <c r="JZJ455" s="67"/>
      <c r="JZK455" s="67"/>
      <c r="JZL455" s="67"/>
      <c r="JZM455" s="67"/>
      <c r="JZN455" s="67"/>
      <c r="JZO455" s="67"/>
      <c r="JZP455" s="67"/>
      <c r="JZQ455" s="67"/>
      <c r="JZR455" s="67"/>
      <c r="JZS455" s="67"/>
      <c r="JZT455" s="67"/>
      <c r="JZU455" s="67"/>
      <c r="JZV455" s="67"/>
      <c r="JZW455" s="67"/>
      <c r="JZX455" s="67"/>
      <c r="JZY455" s="67"/>
      <c r="JZZ455" s="67"/>
      <c r="KAA455" s="67"/>
      <c r="KAB455" s="67"/>
      <c r="KAC455" s="67"/>
      <c r="KAD455" s="67"/>
      <c r="KAE455" s="67"/>
      <c r="KAF455" s="67"/>
      <c r="KAG455" s="67"/>
      <c r="KAH455" s="67"/>
      <c r="KAI455" s="67"/>
      <c r="KAJ455" s="67"/>
      <c r="KAK455" s="67"/>
      <c r="KAL455" s="67"/>
      <c r="KAM455" s="67"/>
      <c r="KAN455" s="67"/>
      <c r="KAO455" s="67"/>
      <c r="KAP455" s="67"/>
      <c r="KAQ455" s="67"/>
      <c r="KAR455" s="67"/>
      <c r="KAS455" s="67"/>
      <c r="KAT455" s="67"/>
      <c r="KAU455" s="67"/>
      <c r="KAV455" s="67"/>
      <c r="KAW455" s="67"/>
      <c r="KAX455" s="67"/>
      <c r="KAY455" s="67"/>
      <c r="KAZ455" s="67"/>
      <c r="KBA455" s="67"/>
      <c r="KBB455" s="67"/>
      <c r="KBC455" s="67"/>
      <c r="KBD455" s="67"/>
      <c r="KBE455" s="67"/>
      <c r="KBF455" s="67"/>
      <c r="KBG455" s="67"/>
      <c r="KBH455" s="67"/>
      <c r="KBI455" s="67"/>
      <c r="KBJ455" s="67"/>
      <c r="KBK455" s="67"/>
      <c r="KBL455" s="67"/>
      <c r="KBM455" s="67"/>
      <c r="KBN455" s="67"/>
      <c r="KBO455" s="67"/>
      <c r="KBP455" s="67"/>
      <c r="KBQ455" s="67"/>
      <c r="KBR455" s="67"/>
      <c r="KBS455" s="67"/>
      <c r="KBT455" s="67"/>
      <c r="KBU455" s="67"/>
      <c r="KBV455" s="67"/>
      <c r="KBW455" s="67"/>
      <c r="KBX455" s="67"/>
      <c r="KBY455" s="67"/>
      <c r="KBZ455" s="67"/>
      <c r="KCA455" s="67"/>
      <c r="KCB455" s="67"/>
      <c r="KCC455" s="67"/>
      <c r="KCD455" s="67"/>
      <c r="KCE455" s="67"/>
      <c r="KCF455" s="67"/>
      <c r="KCG455" s="67"/>
      <c r="KCH455" s="67"/>
      <c r="KCI455" s="67"/>
      <c r="KCJ455" s="67"/>
      <c r="KCK455" s="67"/>
      <c r="KCL455" s="67"/>
      <c r="KCM455" s="67"/>
      <c r="KCN455" s="67"/>
      <c r="KCO455" s="67"/>
      <c r="KCP455" s="67"/>
      <c r="KCQ455" s="67"/>
      <c r="KCR455" s="67"/>
      <c r="KCS455" s="67"/>
      <c r="KCT455" s="67"/>
      <c r="KCU455" s="67"/>
      <c r="KCV455" s="67"/>
      <c r="KCW455" s="67"/>
      <c r="KCX455" s="67"/>
      <c r="KCY455" s="67"/>
      <c r="KCZ455" s="67"/>
      <c r="KDA455" s="67"/>
      <c r="KDB455" s="67"/>
      <c r="KDC455" s="67"/>
      <c r="KDD455" s="67"/>
      <c r="KDE455" s="67"/>
      <c r="KDF455" s="67"/>
      <c r="KDG455" s="67"/>
      <c r="KDH455" s="67"/>
      <c r="KDI455" s="67"/>
      <c r="KDJ455" s="67"/>
      <c r="KDK455" s="67"/>
      <c r="KDL455" s="67"/>
      <c r="KDM455" s="67"/>
      <c r="KDN455" s="67"/>
      <c r="KDO455" s="67"/>
      <c r="KDP455" s="67"/>
      <c r="KDQ455" s="67"/>
      <c r="KDR455" s="67"/>
      <c r="KDS455" s="67"/>
      <c r="KDT455" s="67"/>
      <c r="KDU455" s="67"/>
      <c r="KDV455" s="67"/>
      <c r="KDW455" s="67"/>
      <c r="KDX455" s="67"/>
      <c r="KDY455" s="67"/>
      <c r="KDZ455" s="67"/>
      <c r="KEA455" s="67"/>
      <c r="KEB455" s="67"/>
      <c r="KEC455" s="67"/>
      <c r="KED455" s="67"/>
      <c r="KEE455" s="67"/>
      <c r="KEF455" s="67"/>
      <c r="KEG455" s="67"/>
      <c r="KEH455" s="67"/>
      <c r="KEI455" s="67"/>
      <c r="KEJ455" s="67"/>
      <c r="KEK455" s="67"/>
      <c r="KEL455" s="67"/>
      <c r="KEM455" s="67"/>
      <c r="KEN455" s="67"/>
      <c r="KEO455" s="67"/>
      <c r="KEP455" s="67"/>
      <c r="KEQ455" s="67"/>
      <c r="KER455" s="67"/>
      <c r="KES455" s="67"/>
      <c r="KET455" s="67"/>
      <c r="KEU455" s="67"/>
      <c r="KEV455" s="67"/>
      <c r="KEW455" s="67"/>
      <c r="KEX455" s="67"/>
      <c r="KEY455" s="67"/>
      <c r="KEZ455" s="67"/>
      <c r="KFA455" s="67"/>
      <c r="KFB455" s="67"/>
      <c r="KFC455" s="67"/>
      <c r="KFD455" s="67"/>
      <c r="KFE455" s="67"/>
      <c r="KFF455" s="67"/>
      <c r="KFG455" s="67"/>
      <c r="KFH455" s="67"/>
      <c r="KFI455" s="67"/>
      <c r="KFJ455" s="67"/>
      <c r="KFK455" s="67"/>
      <c r="KFL455" s="67"/>
      <c r="KFM455" s="67"/>
      <c r="KFN455" s="67"/>
      <c r="KFO455" s="67"/>
      <c r="KFP455" s="67"/>
      <c r="KFQ455" s="67"/>
      <c r="KFR455" s="67"/>
      <c r="KFS455" s="67"/>
      <c r="KFT455" s="67"/>
      <c r="KFU455" s="67"/>
      <c r="KFV455" s="67"/>
      <c r="KFW455" s="67"/>
      <c r="KFX455" s="67"/>
      <c r="KFY455" s="67"/>
      <c r="KFZ455" s="67"/>
      <c r="KGA455" s="67"/>
      <c r="KGB455" s="67"/>
      <c r="KGC455" s="67"/>
      <c r="KGD455" s="67"/>
      <c r="KGE455" s="67"/>
      <c r="KGF455" s="67"/>
      <c r="KGG455" s="67"/>
      <c r="KGH455" s="67"/>
      <c r="KGI455" s="67"/>
      <c r="KGJ455" s="67"/>
      <c r="KGK455" s="67"/>
      <c r="KGL455" s="67"/>
      <c r="KGM455" s="67"/>
      <c r="KGN455" s="67"/>
      <c r="KGO455" s="67"/>
      <c r="KGP455" s="67"/>
      <c r="KGQ455" s="67"/>
      <c r="KGR455" s="67"/>
      <c r="KGS455" s="67"/>
      <c r="KGT455" s="67"/>
      <c r="KGU455" s="67"/>
      <c r="KGV455" s="67"/>
      <c r="KGW455" s="67"/>
      <c r="KGX455" s="67"/>
      <c r="KGY455" s="67"/>
      <c r="KGZ455" s="67"/>
      <c r="KHA455" s="67"/>
      <c r="KHB455" s="67"/>
      <c r="KHC455" s="67"/>
      <c r="KHD455" s="67"/>
      <c r="KHE455" s="67"/>
      <c r="KHF455" s="67"/>
      <c r="KHG455" s="67"/>
      <c r="KHH455" s="67"/>
      <c r="KHI455" s="67"/>
      <c r="KHJ455" s="67"/>
      <c r="KHK455" s="67"/>
      <c r="KHL455" s="67"/>
      <c r="KHM455" s="67"/>
      <c r="KHN455" s="67"/>
      <c r="KHO455" s="67"/>
      <c r="KHP455" s="67"/>
      <c r="KHQ455" s="67"/>
      <c r="KHR455" s="67"/>
      <c r="KHS455" s="67"/>
      <c r="KHT455" s="67"/>
      <c r="KHU455" s="67"/>
      <c r="KHV455" s="67"/>
      <c r="KHW455" s="67"/>
      <c r="KHX455" s="67"/>
      <c r="KHY455" s="67"/>
      <c r="KHZ455" s="67"/>
      <c r="KIA455" s="67"/>
      <c r="KIB455" s="67"/>
      <c r="KIC455" s="67"/>
      <c r="KID455" s="67"/>
      <c r="KIE455" s="67"/>
      <c r="KIF455" s="67"/>
      <c r="KIG455" s="67"/>
      <c r="KIH455" s="67"/>
      <c r="KII455" s="67"/>
      <c r="KIJ455" s="67"/>
      <c r="KIK455" s="67"/>
      <c r="KIL455" s="67"/>
      <c r="KIM455" s="67"/>
      <c r="KIN455" s="67"/>
      <c r="KIO455" s="67"/>
      <c r="KIP455" s="67"/>
      <c r="KIQ455" s="67"/>
      <c r="KIR455" s="67"/>
      <c r="KIS455" s="67"/>
      <c r="KIT455" s="67"/>
      <c r="KIU455" s="67"/>
      <c r="KIV455" s="67"/>
      <c r="KIW455" s="67"/>
      <c r="KIX455" s="67"/>
      <c r="KIY455" s="67"/>
      <c r="KIZ455" s="67"/>
      <c r="KJA455" s="67"/>
      <c r="KJB455" s="67"/>
      <c r="KJC455" s="67"/>
      <c r="KJD455" s="67"/>
      <c r="KJE455" s="67"/>
      <c r="KJF455" s="67"/>
      <c r="KJG455" s="67"/>
      <c r="KJH455" s="67"/>
      <c r="KJI455" s="67"/>
      <c r="KJJ455" s="67"/>
      <c r="KJK455" s="67"/>
      <c r="KJL455" s="67"/>
      <c r="KJM455" s="67"/>
      <c r="KJN455" s="67"/>
      <c r="KJO455" s="67"/>
      <c r="KJP455" s="67"/>
      <c r="KJQ455" s="67"/>
      <c r="KJR455" s="67"/>
      <c r="KJS455" s="67"/>
      <c r="KJT455" s="67"/>
      <c r="KJU455" s="67"/>
      <c r="KJV455" s="67"/>
      <c r="KJW455" s="67"/>
      <c r="KJX455" s="67"/>
      <c r="KJY455" s="67"/>
      <c r="KJZ455" s="67"/>
      <c r="KKA455" s="67"/>
      <c r="KKB455" s="67"/>
      <c r="KKC455" s="67"/>
      <c r="KKD455" s="67"/>
      <c r="KKE455" s="67"/>
      <c r="KKF455" s="67"/>
      <c r="KKG455" s="67"/>
      <c r="KKH455" s="67"/>
      <c r="KKI455" s="67"/>
      <c r="KKJ455" s="67"/>
      <c r="KKK455" s="67"/>
      <c r="KKL455" s="67"/>
      <c r="KKM455" s="67"/>
      <c r="KKN455" s="67"/>
      <c r="KKO455" s="67"/>
      <c r="KKP455" s="67"/>
      <c r="KKQ455" s="67"/>
      <c r="KKR455" s="67"/>
      <c r="KKS455" s="67"/>
      <c r="KKT455" s="67"/>
      <c r="KKU455" s="67"/>
      <c r="KKV455" s="67"/>
      <c r="KKW455" s="67"/>
      <c r="KKX455" s="67"/>
      <c r="KKY455" s="67"/>
      <c r="KKZ455" s="67"/>
      <c r="KLA455" s="67"/>
      <c r="KLB455" s="67"/>
      <c r="KLC455" s="67"/>
      <c r="KLD455" s="67"/>
      <c r="KLE455" s="67"/>
      <c r="KLF455" s="67"/>
      <c r="KLG455" s="67"/>
      <c r="KLH455" s="67"/>
      <c r="KLI455" s="67"/>
      <c r="KLJ455" s="67"/>
      <c r="KLK455" s="67"/>
      <c r="KLL455" s="67"/>
      <c r="KLM455" s="67"/>
      <c r="KLN455" s="67"/>
      <c r="KLO455" s="67"/>
      <c r="KLP455" s="67"/>
      <c r="KLQ455" s="67"/>
      <c r="KLR455" s="67"/>
      <c r="KLS455" s="67"/>
      <c r="KLT455" s="67"/>
      <c r="KLU455" s="67"/>
      <c r="KLV455" s="67"/>
      <c r="KLW455" s="67"/>
      <c r="KLX455" s="67"/>
      <c r="KLY455" s="67"/>
      <c r="KLZ455" s="67"/>
      <c r="KMA455" s="67"/>
      <c r="KMB455" s="67"/>
      <c r="KMC455" s="67"/>
      <c r="KMD455" s="67"/>
      <c r="KME455" s="67"/>
      <c r="KMF455" s="67"/>
      <c r="KMG455" s="67"/>
      <c r="KMH455" s="67"/>
      <c r="KMI455" s="67"/>
      <c r="KMJ455" s="67"/>
      <c r="KMK455" s="67"/>
      <c r="KML455" s="67"/>
      <c r="KMM455" s="67"/>
      <c r="KMN455" s="67"/>
      <c r="KMO455" s="67"/>
      <c r="KMP455" s="67"/>
      <c r="KMQ455" s="67"/>
      <c r="KMR455" s="67"/>
      <c r="KMS455" s="67"/>
      <c r="KMT455" s="67"/>
      <c r="KMU455" s="67"/>
      <c r="KMV455" s="67"/>
      <c r="KMW455" s="67"/>
      <c r="KMX455" s="67"/>
      <c r="KMY455" s="67"/>
      <c r="KMZ455" s="67"/>
      <c r="KNA455" s="67"/>
      <c r="KNB455" s="67"/>
      <c r="KNC455" s="67"/>
      <c r="KND455" s="67"/>
      <c r="KNE455" s="67"/>
      <c r="KNF455" s="67"/>
      <c r="KNG455" s="67"/>
      <c r="KNH455" s="67"/>
      <c r="KNI455" s="67"/>
      <c r="KNJ455" s="67"/>
      <c r="KNK455" s="67"/>
      <c r="KNL455" s="67"/>
      <c r="KNM455" s="67"/>
      <c r="KNN455" s="67"/>
      <c r="KNO455" s="67"/>
      <c r="KNP455" s="67"/>
      <c r="KNQ455" s="67"/>
      <c r="KNR455" s="67"/>
      <c r="KNS455" s="67"/>
      <c r="KNT455" s="67"/>
      <c r="KNU455" s="67"/>
      <c r="KNV455" s="67"/>
      <c r="KNW455" s="67"/>
      <c r="KNX455" s="67"/>
      <c r="KNY455" s="67"/>
      <c r="KNZ455" s="67"/>
      <c r="KOA455" s="67"/>
      <c r="KOB455" s="67"/>
      <c r="KOC455" s="67"/>
      <c r="KOD455" s="67"/>
      <c r="KOE455" s="67"/>
      <c r="KOF455" s="67"/>
      <c r="KOG455" s="67"/>
      <c r="KOH455" s="67"/>
      <c r="KOI455" s="67"/>
      <c r="KOJ455" s="67"/>
      <c r="KOK455" s="67"/>
      <c r="KOL455" s="67"/>
      <c r="KOM455" s="67"/>
      <c r="KON455" s="67"/>
      <c r="KOO455" s="67"/>
      <c r="KOP455" s="67"/>
      <c r="KOQ455" s="67"/>
      <c r="KOR455" s="67"/>
      <c r="KOS455" s="67"/>
      <c r="KOT455" s="67"/>
      <c r="KOU455" s="67"/>
      <c r="KOV455" s="67"/>
      <c r="KOW455" s="67"/>
      <c r="KOX455" s="67"/>
      <c r="KOY455" s="67"/>
      <c r="KOZ455" s="67"/>
      <c r="KPA455" s="67"/>
      <c r="KPB455" s="67"/>
      <c r="KPC455" s="67"/>
      <c r="KPD455" s="67"/>
      <c r="KPE455" s="67"/>
      <c r="KPF455" s="67"/>
      <c r="KPG455" s="67"/>
      <c r="KPH455" s="67"/>
      <c r="KPI455" s="67"/>
      <c r="KPJ455" s="67"/>
      <c r="KPK455" s="67"/>
      <c r="KPL455" s="67"/>
      <c r="KPM455" s="67"/>
      <c r="KPN455" s="67"/>
      <c r="KPO455" s="67"/>
      <c r="KPP455" s="67"/>
      <c r="KPQ455" s="67"/>
      <c r="KPR455" s="67"/>
      <c r="KPS455" s="67"/>
      <c r="KPT455" s="67"/>
      <c r="KPU455" s="67"/>
      <c r="KPV455" s="67"/>
      <c r="KPW455" s="67"/>
      <c r="KPX455" s="67"/>
      <c r="KPY455" s="67"/>
      <c r="KPZ455" s="67"/>
      <c r="KQA455" s="67"/>
      <c r="KQB455" s="67"/>
      <c r="KQC455" s="67"/>
      <c r="KQD455" s="67"/>
      <c r="KQE455" s="67"/>
      <c r="KQF455" s="67"/>
      <c r="KQG455" s="67"/>
      <c r="KQH455" s="67"/>
      <c r="KQI455" s="67"/>
      <c r="KQJ455" s="67"/>
      <c r="KQK455" s="67"/>
      <c r="KQL455" s="67"/>
      <c r="KQM455" s="67"/>
      <c r="KQN455" s="67"/>
      <c r="KQO455" s="67"/>
      <c r="KQP455" s="67"/>
      <c r="KQQ455" s="67"/>
      <c r="KQR455" s="67"/>
      <c r="KQS455" s="67"/>
      <c r="KQT455" s="67"/>
      <c r="KQU455" s="67"/>
      <c r="KQV455" s="67"/>
      <c r="KQW455" s="67"/>
      <c r="KQX455" s="67"/>
      <c r="KQY455" s="67"/>
      <c r="KQZ455" s="67"/>
      <c r="KRA455" s="67"/>
      <c r="KRB455" s="67"/>
      <c r="KRC455" s="67"/>
      <c r="KRD455" s="67"/>
      <c r="KRE455" s="67"/>
      <c r="KRF455" s="67"/>
      <c r="KRG455" s="67"/>
      <c r="KRH455" s="67"/>
      <c r="KRI455" s="67"/>
      <c r="KRJ455" s="67"/>
      <c r="KRK455" s="67"/>
      <c r="KRL455" s="67"/>
      <c r="KRM455" s="67"/>
      <c r="KRN455" s="67"/>
      <c r="KRO455" s="67"/>
      <c r="KRP455" s="67"/>
      <c r="KRQ455" s="67"/>
      <c r="KRR455" s="67"/>
      <c r="KRS455" s="67"/>
      <c r="KRT455" s="67"/>
      <c r="KRU455" s="67"/>
      <c r="KRV455" s="67"/>
      <c r="KRW455" s="67"/>
      <c r="KRX455" s="67"/>
      <c r="KRY455" s="67"/>
      <c r="KRZ455" s="67"/>
      <c r="KSA455" s="67"/>
      <c r="KSB455" s="67"/>
      <c r="KSC455" s="67"/>
      <c r="KSD455" s="67"/>
      <c r="KSE455" s="67"/>
      <c r="KSF455" s="67"/>
      <c r="KSG455" s="67"/>
      <c r="KSH455" s="67"/>
      <c r="KSI455" s="67"/>
      <c r="KSJ455" s="67"/>
      <c r="KSK455" s="67"/>
      <c r="KSL455" s="67"/>
      <c r="KSM455" s="67"/>
      <c r="KSN455" s="67"/>
      <c r="KSO455" s="67"/>
      <c r="KSP455" s="67"/>
      <c r="KSQ455" s="67"/>
      <c r="KSR455" s="67"/>
      <c r="KSS455" s="67"/>
      <c r="KST455" s="67"/>
      <c r="KSU455" s="67"/>
      <c r="KSV455" s="67"/>
      <c r="KSW455" s="67"/>
      <c r="KSX455" s="67"/>
      <c r="KSY455" s="67"/>
      <c r="KSZ455" s="67"/>
      <c r="KTA455" s="67"/>
      <c r="KTB455" s="67"/>
      <c r="KTC455" s="67"/>
      <c r="KTD455" s="67"/>
      <c r="KTE455" s="67"/>
      <c r="KTF455" s="67"/>
      <c r="KTG455" s="67"/>
      <c r="KTH455" s="67"/>
      <c r="KTI455" s="67"/>
      <c r="KTJ455" s="67"/>
      <c r="KTK455" s="67"/>
      <c r="KTL455" s="67"/>
      <c r="KTM455" s="67"/>
      <c r="KTN455" s="67"/>
      <c r="KTO455" s="67"/>
      <c r="KTP455" s="67"/>
      <c r="KTQ455" s="67"/>
      <c r="KTR455" s="67"/>
      <c r="KTS455" s="67"/>
      <c r="KTT455" s="67"/>
      <c r="KTU455" s="67"/>
      <c r="KTV455" s="67"/>
      <c r="KTW455" s="67"/>
      <c r="KTX455" s="67"/>
      <c r="KTY455" s="67"/>
      <c r="KTZ455" s="67"/>
      <c r="KUA455" s="67"/>
      <c r="KUB455" s="67"/>
      <c r="KUC455" s="67"/>
      <c r="KUD455" s="67"/>
      <c r="KUE455" s="67"/>
      <c r="KUF455" s="67"/>
      <c r="KUG455" s="67"/>
      <c r="KUH455" s="67"/>
      <c r="KUI455" s="67"/>
      <c r="KUJ455" s="67"/>
      <c r="KUK455" s="67"/>
      <c r="KUL455" s="67"/>
      <c r="KUM455" s="67"/>
      <c r="KUN455" s="67"/>
      <c r="KUO455" s="67"/>
      <c r="KUP455" s="67"/>
      <c r="KUQ455" s="67"/>
      <c r="KUR455" s="67"/>
      <c r="KUS455" s="67"/>
      <c r="KUT455" s="67"/>
      <c r="KUU455" s="67"/>
      <c r="KUV455" s="67"/>
      <c r="KUW455" s="67"/>
      <c r="KUX455" s="67"/>
      <c r="KUY455" s="67"/>
      <c r="KUZ455" s="67"/>
      <c r="KVA455" s="67"/>
      <c r="KVB455" s="67"/>
      <c r="KVC455" s="67"/>
      <c r="KVD455" s="67"/>
      <c r="KVE455" s="67"/>
      <c r="KVF455" s="67"/>
      <c r="KVG455" s="67"/>
      <c r="KVH455" s="67"/>
      <c r="KVI455" s="67"/>
      <c r="KVJ455" s="67"/>
      <c r="KVK455" s="67"/>
      <c r="KVL455" s="67"/>
      <c r="KVM455" s="67"/>
      <c r="KVN455" s="67"/>
      <c r="KVO455" s="67"/>
      <c r="KVP455" s="67"/>
      <c r="KVQ455" s="67"/>
      <c r="KVR455" s="67"/>
      <c r="KVS455" s="67"/>
      <c r="KVT455" s="67"/>
      <c r="KVU455" s="67"/>
      <c r="KVV455" s="67"/>
      <c r="KVW455" s="67"/>
      <c r="KVX455" s="67"/>
      <c r="KVY455" s="67"/>
      <c r="KVZ455" s="67"/>
      <c r="KWA455" s="67"/>
      <c r="KWB455" s="67"/>
      <c r="KWC455" s="67"/>
      <c r="KWD455" s="67"/>
      <c r="KWE455" s="67"/>
      <c r="KWF455" s="67"/>
      <c r="KWG455" s="67"/>
      <c r="KWH455" s="67"/>
      <c r="KWI455" s="67"/>
      <c r="KWJ455" s="67"/>
      <c r="KWK455" s="67"/>
      <c r="KWL455" s="67"/>
      <c r="KWM455" s="67"/>
      <c r="KWN455" s="67"/>
      <c r="KWO455" s="67"/>
      <c r="KWP455" s="67"/>
      <c r="KWQ455" s="67"/>
      <c r="KWR455" s="67"/>
      <c r="KWS455" s="67"/>
      <c r="KWT455" s="67"/>
      <c r="KWU455" s="67"/>
      <c r="KWV455" s="67"/>
      <c r="KWW455" s="67"/>
      <c r="KWX455" s="67"/>
      <c r="KWY455" s="67"/>
      <c r="KWZ455" s="67"/>
      <c r="KXA455" s="67"/>
      <c r="KXB455" s="67"/>
      <c r="KXC455" s="67"/>
      <c r="KXD455" s="67"/>
      <c r="KXE455" s="67"/>
      <c r="KXF455" s="67"/>
      <c r="KXG455" s="67"/>
      <c r="KXH455" s="67"/>
      <c r="KXI455" s="67"/>
      <c r="KXJ455" s="67"/>
      <c r="KXK455" s="67"/>
      <c r="KXL455" s="67"/>
      <c r="KXM455" s="67"/>
      <c r="KXN455" s="67"/>
      <c r="KXO455" s="67"/>
      <c r="KXP455" s="67"/>
      <c r="KXQ455" s="67"/>
      <c r="KXR455" s="67"/>
      <c r="KXS455" s="67"/>
      <c r="KXT455" s="67"/>
      <c r="KXU455" s="67"/>
      <c r="KXV455" s="67"/>
      <c r="KXW455" s="67"/>
      <c r="KXX455" s="67"/>
      <c r="KXY455" s="67"/>
      <c r="KXZ455" s="67"/>
      <c r="KYA455" s="67"/>
      <c r="KYB455" s="67"/>
      <c r="KYC455" s="67"/>
      <c r="KYD455" s="67"/>
      <c r="KYE455" s="67"/>
      <c r="KYF455" s="67"/>
      <c r="KYG455" s="67"/>
      <c r="KYH455" s="67"/>
      <c r="KYI455" s="67"/>
      <c r="KYJ455" s="67"/>
      <c r="KYK455" s="67"/>
      <c r="KYL455" s="67"/>
      <c r="KYM455" s="67"/>
      <c r="KYN455" s="67"/>
      <c r="KYO455" s="67"/>
      <c r="KYP455" s="67"/>
      <c r="KYQ455" s="67"/>
      <c r="KYR455" s="67"/>
      <c r="KYS455" s="67"/>
      <c r="KYT455" s="67"/>
      <c r="KYU455" s="67"/>
      <c r="KYV455" s="67"/>
      <c r="KYW455" s="67"/>
      <c r="KYX455" s="67"/>
      <c r="KYY455" s="67"/>
      <c r="KYZ455" s="67"/>
      <c r="KZA455" s="67"/>
      <c r="KZB455" s="67"/>
      <c r="KZC455" s="67"/>
      <c r="KZD455" s="67"/>
      <c r="KZE455" s="67"/>
      <c r="KZF455" s="67"/>
      <c r="KZG455" s="67"/>
      <c r="KZH455" s="67"/>
      <c r="KZI455" s="67"/>
      <c r="KZJ455" s="67"/>
      <c r="KZK455" s="67"/>
      <c r="KZL455" s="67"/>
      <c r="KZM455" s="67"/>
      <c r="KZN455" s="67"/>
      <c r="KZO455" s="67"/>
      <c r="KZP455" s="67"/>
      <c r="KZQ455" s="67"/>
      <c r="KZR455" s="67"/>
      <c r="KZS455" s="67"/>
      <c r="KZT455" s="67"/>
      <c r="KZU455" s="67"/>
      <c r="KZV455" s="67"/>
      <c r="KZW455" s="67"/>
      <c r="KZX455" s="67"/>
      <c r="KZY455" s="67"/>
      <c r="KZZ455" s="67"/>
      <c r="LAA455" s="67"/>
      <c r="LAB455" s="67"/>
      <c r="LAC455" s="67"/>
      <c r="LAD455" s="67"/>
      <c r="LAE455" s="67"/>
      <c r="LAF455" s="67"/>
      <c r="LAG455" s="67"/>
      <c r="LAH455" s="67"/>
      <c r="LAI455" s="67"/>
      <c r="LAJ455" s="67"/>
      <c r="LAK455" s="67"/>
      <c r="LAL455" s="67"/>
      <c r="LAM455" s="67"/>
      <c r="LAN455" s="67"/>
      <c r="LAO455" s="67"/>
      <c r="LAP455" s="67"/>
      <c r="LAQ455" s="67"/>
      <c r="LAR455" s="67"/>
      <c r="LAS455" s="67"/>
      <c r="LAT455" s="67"/>
      <c r="LAU455" s="67"/>
      <c r="LAV455" s="67"/>
      <c r="LAW455" s="67"/>
      <c r="LAX455" s="67"/>
      <c r="LAY455" s="67"/>
      <c r="LAZ455" s="67"/>
      <c r="LBA455" s="67"/>
      <c r="LBB455" s="67"/>
      <c r="LBC455" s="67"/>
      <c r="LBD455" s="67"/>
      <c r="LBE455" s="67"/>
      <c r="LBF455" s="67"/>
      <c r="LBG455" s="67"/>
      <c r="LBH455" s="67"/>
      <c r="LBI455" s="67"/>
      <c r="LBJ455" s="67"/>
      <c r="LBK455" s="67"/>
      <c r="LBL455" s="67"/>
      <c r="LBM455" s="67"/>
      <c r="LBN455" s="67"/>
      <c r="LBO455" s="67"/>
      <c r="LBP455" s="67"/>
      <c r="LBQ455" s="67"/>
      <c r="LBR455" s="67"/>
      <c r="LBS455" s="67"/>
      <c r="LBT455" s="67"/>
      <c r="LBU455" s="67"/>
      <c r="LBV455" s="67"/>
      <c r="LBW455" s="67"/>
      <c r="LBX455" s="67"/>
      <c r="LBY455" s="67"/>
      <c r="LBZ455" s="67"/>
      <c r="LCA455" s="67"/>
      <c r="LCB455" s="67"/>
      <c r="LCC455" s="67"/>
      <c r="LCD455" s="67"/>
      <c r="LCE455" s="67"/>
      <c r="LCF455" s="67"/>
      <c r="LCG455" s="67"/>
      <c r="LCH455" s="67"/>
      <c r="LCI455" s="67"/>
      <c r="LCJ455" s="67"/>
      <c r="LCK455" s="67"/>
      <c r="LCL455" s="67"/>
      <c r="LCM455" s="67"/>
      <c r="LCN455" s="67"/>
      <c r="LCO455" s="67"/>
      <c r="LCP455" s="67"/>
      <c r="LCQ455" s="67"/>
      <c r="LCR455" s="67"/>
      <c r="LCS455" s="67"/>
      <c r="LCT455" s="67"/>
      <c r="LCU455" s="67"/>
      <c r="LCV455" s="67"/>
      <c r="LCW455" s="67"/>
      <c r="LCX455" s="67"/>
      <c r="LCY455" s="67"/>
      <c r="LCZ455" s="67"/>
      <c r="LDA455" s="67"/>
      <c r="LDB455" s="67"/>
      <c r="LDC455" s="67"/>
      <c r="LDD455" s="67"/>
      <c r="LDE455" s="67"/>
      <c r="LDF455" s="67"/>
      <c r="LDG455" s="67"/>
      <c r="LDH455" s="67"/>
      <c r="LDI455" s="67"/>
      <c r="LDJ455" s="67"/>
      <c r="LDK455" s="67"/>
      <c r="LDL455" s="67"/>
      <c r="LDM455" s="67"/>
      <c r="LDN455" s="67"/>
      <c r="LDO455" s="67"/>
      <c r="LDP455" s="67"/>
      <c r="LDQ455" s="67"/>
      <c r="LDR455" s="67"/>
      <c r="LDS455" s="67"/>
      <c r="LDT455" s="67"/>
      <c r="LDU455" s="67"/>
      <c r="LDV455" s="67"/>
      <c r="LDW455" s="67"/>
      <c r="LDX455" s="67"/>
      <c r="LDY455" s="67"/>
      <c r="LDZ455" s="67"/>
      <c r="LEA455" s="67"/>
      <c r="LEB455" s="67"/>
      <c r="LEC455" s="67"/>
      <c r="LED455" s="67"/>
      <c r="LEE455" s="67"/>
      <c r="LEF455" s="67"/>
      <c r="LEG455" s="67"/>
      <c r="LEH455" s="67"/>
      <c r="LEI455" s="67"/>
      <c r="LEJ455" s="67"/>
      <c r="LEK455" s="67"/>
      <c r="LEL455" s="67"/>
      <c r="LEM455" s="67"/>
      <c r="LEN455" s="67"/>
      <c r="LEO455" s="67"/>
      <c r="LEP455" s="67"/>
      <c r="LEQ455" s="67"/>
      <c r="LER455" s="67"/>
      <c r="LES455" s="67"/>
      <c r="LET455" s="67"/>
      <c r="LEU455" s="67"/>
      <c r="LEV455" s="67"/>
      <c r="LEW455" s="67"/>
      <c r="LEX455" s="67"/>
      <c r="LEY455" s="67"/>
      <c r="LEZ455" s="67"/>
      <c r="LFA455" s="67"/>
      <c r="LFB455" s="67"/>
      <c r="LFC455" s="67"/>
      <c r="LFD455" s="67"/>
      <c r="LFE455" s="67"/>
      <c r="LFF455" s="67"/>
      <c r="LFG455" s="67"/>
      <c r="LFH455" s="67"/>
      <c r="LFI455" s="67"/>
      <c r="LFJ455" s="67"/>
      <c r="LFK455" s="67"/>
      <c r="LFL455" s="67"/>
      <c r="LFM455" s="67"/>
      <c r="LFN455" s="67"/>
      <c r="LFO455" s="67"/>
      <c r="LFP455" s="67"/>
      <c r="LFQ455" s="67"/>
      <c r="LFR455" s="67"/>
      <c r="LFS455" s="67"/>
      <c r="LFT455" s="67"/>
      <c r="LFU455" s="67"/>
      <c r="LFV455" s="67"/>
      <c r="LFW455" s="67"/>
      <c r="LFX455" s="67"/>
      <c r="LFY455" s="67"/>
      <c r="LFZ455" s="67"/>
      <c r="LGA455" s="67"/>
      <c r="LGB455" s="67"/>
      <c r="LGC455" s="67"/>
      <c r="LGD455" s="67"/>
      <c r="LGE455" s="67"/>
      <c r="LGF455" s="67"/>
      <c r="LGG455" s="67"/>
      <c r="LGH455" s="67"/>
      <c r="LGI455" s="67"/>
      <c r="LGJ455" s="67"/>
      <c r="LGK455" s="67"/>
      <c r="LGL455" s="67"/>
      <c r="LGM455" s="67"/>
      <c r="LGN455" s="67"/>
      <c r="LGO455" s="67"/>
      <c r="LGP455" s="67"/>
      <c r="LGQ455" s="67"/>
      <c r="LGR455" s="67"/>
      <c r="LGS455" s="67"/>
      <c r="LGT455" s="67"/>
      <c r="LGU455" s="67"/>
      <c r="LGV455" s="67"/>
      <c r="LGW455" s="67"/>
      <c r="LGX455" s="67"/>
      <c r="LGY455" s="67"/>
      <c r="LGZ455" s="67"/>
      <c r="LHA455" s="67"/>
      <c r="LHB455" s="67"/>
      <c r="LHC455" s="67"/>
      <c r="LHD455" s="67"/>
      <c r="LHE455" s="67"/>
      <c r="LHF455" s="67"/>
      <c r="LHG455" s="67"/>
      <c r="LHH455" s="67"/>
      <c r="LHI455" s="67"/>
      <c r="LHJ455" s="67"/>
      <c r="LHK455" s="67"/>
      <c r="LHL455" s="67"/>
      <c r="LHM455" s="67"/>
      <c r="LHN455" s="67"/>
      <c r="LHO455" s="67"/>
      <c r="LHP455" s="67"/>
      <c r="LHQ455" s="67"/>
      <c r="LHR455" s="67"/>
      <c r="LHS455" s="67"/>
      <c r="LHT455" s="67"/>
      <c r="LHU455" s="67"/>
      <c r="LHV455" s="67"/>
      <c r="LHW455" s="67"/>
      <c r="LHX455" s="67"/>
      <c r="LHY455" s="67"/>
      <c r="LHZ455" s="67"/>
      <c r="LIA455" s="67"/>
      <c r="LIB455" s="67"/>
      <c r="LIC455" s="67"/>
      <c r="LID455" s="67"/>
      <c r="LIE455" s="67"/>
      <c r="LIF455" s="67"/>
      <c r="LIG455" s="67"/>
      <c r="LIH455" s="67"/>
      <c r="LII455" s="67"/>
      <c r="LIJ455" s="67"/>
      <c r="LIK455" s="67"/>
      <c r="LIL455" s="67"/>
      <c r="LIM455" s="67"/>
      <c r="LIN455" s="67"/>
      <c r="LIO455" s="67"/>
      <c r="LIP455" s="67"/>
      <c r="LIQ455" s="67"/>
      <c r="LIR455" s="67"/>
      <c r="LIS455" s="67"/>
      <c r="LIT455" s="67"/>
      <c r="LIU455" s="67"/>
      <c r="LIV455" s="67"/>
      <c r="LIW455" s="67"/>
      <c r="LIX455" s="67"/>
      <c r="LIY455" s="67"/>
      <c r="LIZ455" s="67"/>
      <c r="LJA455" s="67"/>
      <c r="LJB455" s="67"/>
      <c r="LJC455" s="67"/>
      <c r="LJD455" s="67"/>
      <c r="LJE455" s="67"/>
      <c r="LJF455" s="67"/>
      <c r="LJG455" s="67"/>
      <c r="LJH455" s="67"/>
      <c r="LJI455" s="67"/>
      <c r="LJJ455" s="67"/>
      <c r="LJK455" s="67"/>
      <c r="LJL455" s="67"/>
      <c r="LJM455" s="67"/>
      <c r="LJN455" s="67"/>
      <c r="LJO455" s="67"/>
      <c r="LJP455" s="67"/>
      <c r="LJQ455" s="67"/>
      <c r="LJR455" s="67"/>
      <c r="LJS455" s="67"/>
      <c r="LJT455" s="67"/>
      <c r="LJU455" s="67"/>
      <c r="LJV455" s="67"/>
      <c r="LJW455" s="67"/>
      <c r="LJX455" s="67"/>
      <c r="LJY455" s="67"/>
      <c r="LJZ455" s="67"/>
      <c r="LKA455" s="67"/>
      <c r="LKB455" s="67"/>
      <c r="LKC455" s="67"/>
      <c r="LKD455" s="67"/>
      <c r="LKE455" s="67"/>
      <c r="LKF455" s="67"/>
      <c r="LKG455" s="67"/>
      <c r="LKH455" s="67"/>
      <c r="LKI455" s="67"/>
      <c r="LKJ455" s="67"/>
      <c r="LKK455" s="67"/>
      <c r="LKL455" s="67"/>
      <c r="LKM455" s="67"/>
      <c r="LKN455" s="67"/>
      <c r="LKO455" s="67"/>
      <c r="LKP455" s="67"/>
      <c r="LKQ455" s="67"/>
      <c r="LKR455" s="67"/>
      <c r="LKS455" s="67"/>
      <c r="LKT455" s="67"/>
      <c r="LKU455" s="67"/>
      <c r="LKV455" s="67"/>
      <c r="LKW455" s="67"/>
      <c r="LKX455" s="67"/>
      <c r="LKY455" s="67"/>
      <c r="LKZ455" s="67"/>
      <c r="LLA455" s="67"/>
      <c r="LLB455" s="67"/>
      <c r="LLC455" s="67"/>
      <c r="LLD455" s="67"/>
      <c r="LLE455" s="67"/>
      <c r="LLF455" s="67"/>
      <c r="LLG455" s="67"/>
      <c r="LLH455" s="67"/>
      <c r="LLI455" s="67"/>
      <c r="LLJ455" s="67"/>
      <c r="LLK455" s="67"/>
      <c r="LLL455" s="67"/>
      <c r="LLM455" s="67"/>
      <c r="LLN455" s="67"/>
      <c r="LLO455" s="67"/>
      <c r="LLP455" s="67"/>
      <c r="LLQ455" s="67"/>
      <c r="LLR455" s="67"/>
      <c r="LLS455" s="67"/>
      <c r="LLT455" s="67"/>
      <c r="LLU455" s="67"/>
      <c r="LLV455" s="67"/>
      <c r="LLW455" s="67"/>
      <c r="LLX455" s="67"/>
      <c r="LLY455" s="67"/>
      <c r="LLZ455" s="67"/>
      <c r="LMA455" s="67"/>
      <c r="LMB455" s="67"/>
      <c r="LMC455" s="67"/>
      <c r="LMD455" s="67"/>
      <c r="LME455" s="67"/>
      <c r="LMF455" s="67"/>
      <c r="LMG455" s="67"/>
      <c r="LMH455" s="67"/>
      <c r="LMI455" s="67"/>
      <c r="LMJ455" s="67"/>
      <c r="LMK455" s="67"/>
      <c r="LML455" s="67"/>
      <c r="LMM455" s="67"/>
      <c r="LMN455" s="67"/>
      <c r="LMO455" s="67"/>
      <c r="LMP455" s="67"/>
      <c r="LMQ455" s="67"/>
      <c r="LMR455" s="67"/>
      <c r="LMS455" s="67"/>
      <c r="LMT455" s="67"/>
      <c r="LMU455" s="67"/>
      <c r="LMV455" s="67"/>
      <c r="LMW455" s="67"/>
      <c r="LMX455" s="67"/>
      <c r="LMY455" s="67"/>
      <c r="LMZ455" s="67"/>
      <c r="LNA455" s="67"/>
      <c r="LNB455" s="67"/>
      <c r="LNC455" s="67"/>
      <c r="LND455" s="67"/>
      <c r="LNE455" s="67"/>
      <c r="LNF455" s="67"/>
      <c r="LNG455" s="67"/>
      <c r="LNH455" s="67"/>
      <c r="LNI455" s="67"/>
      <c r="LNJ455" s="67"/>
      <c r="LNK455" s="67"/>
      <c r="LNL455" s="67"/>
      <c r="LNM455" s="67"/>
      <c r="LNN455" s="67"/>
      <c r="LNO455" s="67"/>
      <c r="LNP455" s="67"/>
      <c r="LNQ455" s="67"/>
      <c r="LNR455" s="67"/>
      <c r="LNS455" s="67"/>
      <c r="LNT455" s="67"/>
      <c r="LNU455" s="67"/>
      <c r="LNV455" s="67"/>
      <c r="LNW455" s="67"/>
      <c r="LNX455" s="67"/>
      <c r="LNY455" s="67"/>
      <c r="LNZ455" s="67"/>
      <c r="LOA455" s="67"/>
      <c r="LOB455" s="67"/>
      <c r="LOC455" s="67"/>
      <c r="LOD455" s="67"/>
      <c r="LOE455" s="67"/>
      <c r="LOF455" s="67"/>
      <c r="LOG455" s="67"/>
      <c r="LOH455" s="67"/>
      <c r="LOI455" s="67"/>
      <c r="LOJ455" s="67"/>
      <c r="LOK455" s="67"/>
      <c r="LOL455" s="67"/>
      <c r="LOM455" s="67"/>
      <c r="LON455" s="67"/>
      <c r="LOO455" s="67"/>
      <c r="LOP455" s="67"/>
      <c r="LOQ455" s="67"/>
      <c r="LOR455" s="67"/>
      <c r="LOS455" s="67"/>
      <c r="LOT455" s="67"/>
      <c r="LOU455" s="67"/>
      <c r="LOV455" s="67"/>
      <c r="LOW455" s="67"/>
      <c r="LOX455" s="67"/>
      <c r="LOY455" s="67"/>
      <c r="LOZ455" s="67"/>
      <c r="LPA455" s="67"/>
      <c r="LPB455" s="67"/>
      <c r="LPC455" s="67"/>
      <c r="LPD455" s="67"/>
      <c r="LPE455" s="67"/>
      <c r="LPF455" s="67"/>
      <c r="LPG455" s="67"/>
      <c r="LPH455" s="67"/>
      <c r="LPI455" s="67"/>
      <c r="LPJ455" s="67"/>
      <c r="LPK455" s="67"/>
      <c r="LPL455" s="67"/>
      <c r="LPM455" s="67"/>
      <c r="LPN455" s="67"/>
      <c r="LPO455" s="67"/>
      <c r="LPP455" s="67"/>
      <c r="LPQ455" s="67"/>
      <c r="LPR455" s="67"/>
      <c r="LPS455" s="67"/>
      <c r="LPT455" s="67"/>
      <c r="LPU455" s="67"/>
      <c r="LPV455" s="67"/>
      <c r="LPW455" s="67"/>
      <c r="LPX455" s="67"/>
      <c r="LPY455" s="67"/>
      <c r="LPZ455" s="67"/>
      <c r="LQA455" s="67"/>
      <c r="LQB455" s="67"/>
      <c r="LQC455" s="67"/>
      <c r="LQD455" s="67"/>
      <c r="LQE455" s="67"/>
      <c r="LQF455" s="67"/>
      <c r="LQG455" s="67"/>
      <c r="LQH455" s="67"/>
      <c r="LQI455" s="67"/>
      <c r="LQJ455" s="67"/>
      <c r="LQK455" s="67"/>
      <c r="LQL455" s="67"/>
      <c r="LQM455" s="67"/>
      <c r="LQN455" s="67"/>
      <c r="LQO455" s="67"/>
      <c r="LQP455" s="67"/>
      <c r="LQQ455" s="67"/>
      <c r="LQR455" s="67"/>
      <c r="LQS455" s="67"/>
      <c r="LQT455" s="67"/>
      <c r="LQU455" s="67"/>
      <c r="LQV455" s="67"/>
      <c r="LQW455" s="67"/>
      <c r="LQX455" s="67"/>
      <c r="LQY455" s="67"/>
      <c r="LQZ455" s="67"/>
      <c r="LRA455" s="67"/>
      <c r="LRB455" s="67"/>
      <c r="LRC455" s="67"/>
      <c r="LRD455" s="67"/>
      <c r="LRE455" s="67"/>
      <c r="LRF455" s="67"/>
      <c r="LRG455" s="67"/>
      <c r="LRH455" s="67"/>
      <c r="LRI455" s="67"/>
      <c r="LRJ455" s="67"/>
      <c r="LRK455" s="67"/>
      <c r="LRL455" s="67"/>
      <c r="LRM455" s="67"/>
      <c r="LRN455" s="67"/>
      <c r="LRO455" s="67"/>
      <c r="LRP455" s="67"/>
      <c r="LRQ455" s="67"/>
      <c r="LRR455" s="67"/>
      <c r="LRS455" s="67"/>
      <c r="LRT455" s="67"/>
      <c r="LRU455" s="67"/>
      <c r="LRV455" s="67"/>
      <c r="LRW455" s="67"/>
      <c r="LRX455" s="67"/>
      <c r="LRY455" s="67"/>
      <c r="LRZ455" s="67"/>
      <c r="LSA455" s="67"/>
      <c r="LSB455" s="67"/>
      <c r="LSC455" s="67"/>
      <c r="LSD455" s="67"/>
      <c r="LSE455" s="67"/>
      <c r="LSF455" s="67"/>
      <c r="LSG455" s="67"/>
      <c r="LSH455" s="67"/>
      <c r="LSI455" s="67"/>
      <c r="LSJ455" s="67"/>
      <c r="LSK455" s="67"/>
      <c r="LSL455" s="67"/>
      <c r="LSM455" s="67"/>
      <c r="LSN455" s="67"/>
      <c r="LSO455" s="67"/>
      <c r="LSP455" s="67"/>
      <c r="LSQ455" s="67"/>
      <c r="LSR455" s="67"/>
      <c r="LSS455" s="67"/>
      <c r="LST455" s="67"/>
      <c r="LSU455" s="67"/>
      <c r="LSV455" s="67"/>
      <c r="LSW455" s="67"/>
      <c r="LSX455" s="67"/>
      <c r="LSY455" s="67"/>
      <c r="LSZ455" s="67"/>
      <c r="LTA455" s="67"/>
      <c r="LTB455" s="67"/>
      <c r="LTC455" s="67"/>
      <c r="LTD455" s="67"/>
      <c r="LTE455" s="67"/>
      <c r="LTF455" s="67"/>
      <c r="LTG455" s="67"/>
      <c r="LTH455" s="67"/>
      <c r="LTI455" s="67"/>
      <c r="LTJ455" s="67"/>
      <c r="LTK455" s="67"/>
      <c r="LTL455" s="67"/>
      <c r="LTM455" s="67"/>
      <c r="LTN455" s="67"/>
      <c r="LTO455" s="67"/>
      <c r="LTP455" s="67"/>
      <c r="LTQ455" s="67"/>
      <c r="LTR455" s="67"/>
      <c r="LTS455" s="67"/>
      <c r="LTT455" s="67"/>
      <c r="LTU455" s="67"/>
      <c r="LTV455" s="67"/>
      <c r="LTW455" s="67"/>
      <c r="LTX455" s="67"/>
      <c r="LTY455" s="67"/>
      <c r="LTZ455" s="67"/>
      <c r="LUA455" s="67"/>
      <c r="LUB455" s="67"/>
      <c r="LUC455" s="67"/>
      <c r="LUD455" s="67"/>
      <c r="LUE455" s="67"/>
      <c r="LUF455" s="67"/>
      <c r="LUG455" s="67"/>
      <c r="LUH455" s="67"/>
      <c r="LUI455" s="67"/>
      <c r="LUJ455" s="67"/>
      <c r="LUK455" s="67"/>
      <c r="LUL455" s="67"/>
      <c r="LUM455" s="67"/>
      <c r="LUN455" s="67"/>
      <c r="LUO455" s="67"/>
      <c r="LUP455" s="67"/>
      <c r="LUQ455" s="67"/>
      <c r="LUR455" s="67"/>
      <c r="LUS455" s="67"/>
      <c r="LUT455" s="67"/>
      <c r="LUU455" s="67"/>
      <c r="LUV455" s="67"/>
      <c r="LUW455" s="67"/>
      <c r="LUX455" s="67"/>
      <c r="LUY455" s="67"/>
      <c r="LUZ455" s="67"/>
      <c r="LVA455" s="67"/>
      <c r="LVB455" s="67"/>
      <c r="LVC455" s="67"/>
      <c r="LVD455" s="67"/>
      <c r="LVE455" s="67"/>
      <c r="LVF455" s="67"/>
      <c r="LVG455" s="67"/>
      <c r="LVH455" s="67"/>
      <c r="LVI455" s="67"/>
      <c r="LVJ455" s="67"/>
      <c r="LVK455" s="67"/>
      <c r="LVL455" s="67"/>
      <c r="LVM455" s="67"/>
      <c r="LVN455" s="67"/>
      <c r="LVO455" s="67"/>
      <c r="LVP455" s="67"/>
      <c r="LVQ455" s="67"/>
      <c r="LVR455" s="67"/>
      <c r="LVS455" s="67"/>
      <c r="LVT455" s="67"/>
      <c r="LVU455" s="67"/>
      <c r="LVV455" s="67"/>
      <c r="LVW455" s="67"/>
      <c r="LVX455" s="67"/>
      <c r="LVY455" s="67"/>
      <c r="LVZ455" s="67"/>
      <c r="LWA455" s="67"/>
      <c r="LWB455" s="67"/>
      <c r="LWC455" s="67"/>
      <c r="LWD455" s="67"/>
      <c r="LWE455" s="67"/>
      <c r="LWF455" s="67"/>
      <c r="LWG455" s="67"/>
      <c r="LWH455" s="67"/>
      <c r="LWI455" s="67"/>
      <c r="LWJ455" s="67"/>
      <c r="LWK455" s="67"/>
      <c r="LWL455" s="67"/>
      <c r="LWM455" s="67"/>
      <c r="LWN455" s="67"/>
      <c r="LWO455" s="67"/>
      <c r="LWP455" s="67"/>
      <c r="LWQ455" s="67"/>
      <c r="LWR455" s="67"/>
      <c r="LWS455" s="67"/>
      <c r="LWT455" s="67"/>
      <c r="LWU455" s="67"/>
      <c r="LWV455" s="67"/>
      <c r="LWW455" s="67"/>
      <c r="LWX455" s="67"/>
      <c r="LWY455" s="67"/>
      <c r="LWZ455" s="67"/>
      <c r="LXA455" s="67"/>
      <c r="LXB455" s="67"/>
      <c r="LXC455" s="67"/>
      <c r="LXD455" s="67"/>
      <c r="LXE455" s="67"/>
      <c r="LXF455" s="67"/>
      <c r="LXG455" s="67"/>
      <c r="LXH455" s="67"/>
      <c r="LXI455" s="67"/>
      <c r="LXJ455" s="67"/>
      <c r="LXK455" s="67"/>
      <c r="LXL455" s="67"/>
      <c r="LXM455" s="67"/>
      <c r="LXN455" s="67"/>
      <c r="LXO455" s="67"/>
      <c r="LXP455" s="67"/>
      <c r="LXQ455" s="67"/>
      <c r="LXR455" s="67"/>
      <c r="LXS455" s="67"/>
      <c r="LXT455" s="67"/>
      <c r="LXU455" s="67"/>
      <c r="LXV455" s="67"/>
      <c r="LXW455" s="67"/>
      <c r="LXX455" s="67"/>
      <c r="LXY455" s="67"/>
      <c r="LXZ455" s="67"/>
      <c r="LYA455" s="67"/>
      <c r="LYB455" s="67"/>
      <c r="LYC455" s="67"/>
      <c r="LYD455" s="67"/>
      <c r="LYE455" s="67"/>
      <c r="LYF455" s="67"/>
      <c r="LYG455" s="67"/>
      <c r="LYH455" s="67"/>
      <c r="LYI455" s="67"/>
      <c r="LYJ455" s="67"/>
      <c r="LYK455" s="67"/>
      <c r="LYL455" s="67"/>
      <c r="LYM455" s="67"/>
      <c r="LYN455" s="67"/>
      <c r="LYO455" s="67"/>
      <c r="LYP455" s="67"/>
      <c r="LYQ455" s="67"/>
      <c r="LYR455" s="67"/>
      <c r="LYS455" s="67"/>
      <c r="LYT455" s="67"/>
      <c r="LYU455" s="67"/>
      <c r="LYV455" s="67"/>
      <c r="LYW455" s="67"/>
      <c r="LYX455" s="67"/>
      <c r="LYY455" s="67"/>
      <c r="LYZ455" s="67"/>
      <c r="LZA455" s="67"/>
      <c r="LZB455" s="67"/>
      <c r="LZC455" s="67"/>
      <c r="LZD455" s="67"/>
      <c r="LZE455" s="67"/>
      <c r="LZF455" s="67"/>
      <c r="LZG455" s="67"/>
      <c r="LZH455" s="67"/>
      <c r="LZI455" s="67"/>
      <c r="LZJ455" s="67"/>
      <c r="LZK455" s="67"/>
      <c r="LZL455" s="67"/>
      <c r="LZM455" s="67"/>
      <c r="LZN455" s="67"/>
      <c r="LZO455" s="67"/>
      <c r="LZP455" s="67"/>
      <c r="LZQ455" s="67"/>
      <c r="LZR455" s="67"/>
      <c r="LZS455" s="67"/>
      <c r="LZT455" s="67"/>
      <c r="LZU455" s="67"/>
      <c r="LZV455" s="67"/>
      <c r="LZW455" s="67"/>
      <c r="LZX455" s="67"/>
      <c r="LZY455" s="67"/>
      <c r="LZZ455" s="67"/>
      <c r="MAA455" s="67"/>
      <c r="MAB455" s="67"/>
      <c r="MAC455" s="67"/>
      <c r="MAD455" s="67"/>
      <c r="MAE455" s="67"/>
      <c r="MAF455" s="67"/>
      <c r="MAG455" s="67"/>
      <c r="MAH455" s="67"/>
      <c r="MAI455" s="67"/>
      <c r="MAJ455" s="67"/>
      <c r="MAK455" s="67"/>
      <c r="MAL455" s="67"/>
      <c r="MAM455" s="67"/>
      <c r="MAN455" s="67"/>
      <c r="MAO455" s="67"/>
      <c r="MAP455" s="67"/>
      <c r="MAQ455" s="67"/>
      <c r="MAR455" s="67"/>
      <c r="MAS455" s="67"/>
      <c r="MAT455" s="67"/>
      <c r="MAU455" s="67"/>
      <c r="MAV455" s="67"/>
      <c r="MAW455" s="67"/>
      <c r="MAX455" s="67"/>
      <c r="MAY455" s="67"/>
      <c r="MAZ455" s="67"/>
      <c r="MBA455" s="67"/>
      <c r="MBB455" s="67"/>
      <c r="MBC455" s="67"/>
      <c r="MBD455" s="67"/>
      <c r="MBE455" s="67"/>
      <c r="MBF455" s="67"/>
      <c r="MBG455" s="67"/>
      <c r="MBH455" s="67"/>
      <c r="MBI455" s="67"/>
      <c r="MBJ455" s="67"/>
      <c r="MBK455" s="67"/>
      <c r="MBL455" s="67"/>
      <c r="MBM455" s="67"/>
      <c r="MBN455" s="67"/>
      <c r="MBO455" s="67"/>
      <c r="MBP455" s="67"/>
      <c r="MBQ455" s="67"/>
      <c r="MBR455" s="67"/>
      <c r="MBS455" s="67"/>
      <c r="MBT455" s="67"/>
      <c r="MBU455" s="67"/>
      <c r="MBV455" s="67"/>
      <c r="MBW455" s="67"/>
      <c r="MBX455" s="67"/>
      <c r="MBY455" s="67"/>
      <c r="MBZ455" s="67"/>
      <c r="MCA455" s="67"/>
      <c r="MCB455" s="67"/>
      <c r="MCC455" s="67"/>
      <c r="MCD455" s="67"/>
      <c r="MCE455" s="67"/>
      <c r="MCF455" s="67"/>
      <c r="MCG455" s="67"/>
      <c r="MCH455" s="67"/>
      <c r="MCI455" s="67"/>
      <c r="MCJ455" s="67"/>
      <c r="MCK455" s="67"/>
      <c r="MCL455" s="67"/>
      <c r="MCM455" s="67"/>
      <c r="MCN455" s="67"/>
      <c r="MCO455" s="67"/>
      <c r="MCP455" s="67"/>
      <c r="MCQ455" s="67"/>
      <c r="MCR455" s="67"/>
      <c r="MCS455" s="67"/>
      <c r="MCT455" s="67"/>
      <c r="MCU455" s="67"/>
      <c r="MCV455" s="67"/>
      <c r="MCW455" s="67"/>
      <c r="MCX455" s="67"/>
      <c r="MCY455" s="67"/>
      <c r="MCZ455" s="67"/>
      <c r="MDA455" s="67"/>
      <c r="MDB455" s="67"/>
      <c r="MDC455" s="67"/>
      <c r="MDD455" s="67"/>
      <c r="MDE455" s="67"/>
      <c r="MDF455" s="67"/>
      <c r="MDG455" s="67"/>
      <c r="MDH455" s="67"/>
      <c r="MDI455" s="67"/>
      <c r="MDJ455" s="67"/>
      <c r="MDK455" s="67"/>
      <c r="MDL455" s="67"/>
      <c r="MDM455" s="67"/>
      <c r="MDN455" s="67"/>
      <c r="MDO455" s="67"/>
      <c r="MDP455" s="67"/>
      <c r="MDQ455" s="67"/>
      <c r="MDR455" s="67"/>
      <c r="MDS455" s="67"/>
      <c r="MDT455" s="67"/>
      <c r="MDU455" s="67"/>
      <c r="MDV455" s="67"/>
      <c r="MDW455" s="67"/>
      <c r="MDX455" s="67"/>
      <c r="MDY455" s="67"/>
      <c r="MDZ455" s="67"/>
      <c r="MEA455" s="67"/>
      <c r="MEB455" s="67"/>
      <c r="MEC455" s="67"/>
      <c r="MED455" s="67"/>
      <c r="MEE455" s="67"/>
      <c r="MEF455" s="67"/>
      <c r="MEG455" s="67"/>
      <c r="MEH455" s="67"/>
      <c r="MEI455" s="67"/>
      <c r="MEJ455" s="67"/>
      <c r="MEK455" s="67"/>
      <c r="MEL455" s="67"/>
      <c r="MEM455" s="67"/>
      <c r="MEN455" s="67"/>
      <c r="MEO455" s="67"/>
      <c r="MEP455" s="67"/>
      <c r="MEQ455" s="67"/>
      <c r="MER455" s="67"/>
      <c r="MES455" s="67"/>
      <c r="MET455" s="67"/>
      <c r="MEU455" s="67"/>
      <c r="MEV455" s="67"/>
      <c r="MEW455" s="67"/>
      <c r="MEX455" s="67"/>
      <c r="MEY455" s="67"/>
      <c r="MEZ455" s="67"/>
      <c r="MFA455" s="67"/>
      <c r="MFB455" s="67"/>
      <c r="MFC455" s="67"/>
      <c r="MFD455" s="67"/>
      <c r="MFE455" s="67"/>
      <c r="MFF455" s="67"/>
      <c r="MFG455" s="67"/>
      <c r="MFH455" s="67"/>
      <c r="MFI455" s="67"/>
      <c r="MFJ455" s="67"/>
      <c r="MFK455" s="67"/>
      <c r="MFL455" s="67"/>
      <c r="MFM455" s="67"/>
      <c r="MFN455" s="67"/>
      <c r="MFO455" s="67"/>
      <c r="MFP455" s="67"/>
      <c r="MFQ455" s="67"/>
      <c r="MFR455" s="67"/>
      <c r="MFS455" s="67"/>
      <c r="MFT455" s="67"/>
      <c r="MFU455" s="67"/>
      <c r="MFV455" s="67"/>
      <c r="MFW455" s="67"/>
      <c r="MFX455" s="67"/>
      <c r="MFY455" s="67"/>
      <c r="MFZ455" s="67"/>
      <c r="MGA455" s="67"/>
      <c r="MGB455" s="67"/>
      <c r="MGC455" s="67"/>
      <c r="MGD455" s="67"/>
      <c r="MGE455" s="67"/>
      <c r="MGF455" s="67"/>
      <c r="MGG455" s="67"/>
      <c r="MGH455" s="67"/>
      <c r="MGI455" s="67"/>
      <c r="MGJ455" s="67"/>
      <c r="MGK455" s="67"/>
      <c r="MGL455" s="67"/>
      <c r="MGM455" s="67"/>
      <c r="MGN455" s="67"/>
      <c r="MGO455" s="67"/>
      <c r="MGP455" s="67"/>
      <c r="MGQ455" s="67"/>
      <c r="MGR455" s="67"/>
      <c r="MGS455" s="67"/>
      <c r="MGT455" s="67"/>
      <c r="MGU455" s="67"/>
      <c r="MGV455" s="67"/>
      <c r="MGW455" s="67"/>
      <c r="MGX455" s="67"/>
      <c r="MGY455" s="67"/>
      <c r="MGZ455" s="67"/>
      <c r="MHA455" s="67"/>
      <c r="MHB455" s="67"/>
      <c r="MHC455" s="67"/>
      <c r="MHD455" s="67"/>
      <c r="MHE455" s="67"/>
      <c r="MHF455" s="67"/>
      <c r="MHG455" s="67"/>
      <c r="MHH455" s="67"/>
      <c r="MHI455" s="67"/>
      <c r="MHJ455" s="67"/>
      <c r="MHK455" s="67"/>
      <c r="MHL455" s="67"/>
      <c r="MHM455" s="67"/>
      <c r="MHN455" s="67"/>
      <c r="MHO455" s="67"/>
      <c r="MHP455" s="67"/>
      <c r="MHQ455" s="67"/>
      <c r="MHR455" s="67"/>
      <c r="MHS455" s="67"/>
      <c r="MHT455" s="67"/>
      <c r="MHU455" s="67"/>
      <c r="MHV455" s="67"/>
      <c r="MHW455" s="67"/>
      <c r="MHX455" s="67"/>
      <c r="MHY455" s="67"/>
      <c r="MHZ455" s="67"/>
      <c r="MIA455" s="67"/>
      <c r="MIB455" s="67"/>
      <c r="MIC455" s="67"/>
      <c r="MID455" s="67"/>
      <c r="MIE455" s="67"/>
      <c r="MIF455" s="67"/>
      <c r="MIG455" s="67"/>
      <c r="MIH455" s="67"/>
      <c r="MII455" s="67"/>
      <c r="MIJ455" s="67"/>
      <c r="MIK455" s="67"/>
      <c r="MIL455" s="67"/>
      <c r="MIM455" s="67"/>
      <c r="MIN455" s="67"/>
      <c r="MIO455" s="67"/>
      <c r="MIP455" s="67"/>
      <c r="MIQ455" s="67"/>
      <c r="MIR455" s="67"/>
      <c r="MIS455" s="67"/>
      <c r="MIT455" s="67"/>
      <c r="MIU455" s="67"/>
      <c r="MIV455" s="67"/>
      <c r="MIW455" s="67"/>
      <c r="MIX455" s="67"/>
      <c r="MIY455" s="67"/>
      <c r="MIZ455" s="67"/>
      <c r="MJA455" s="67"/>
      <c r="MJB455" s="67"/>
      <c r="MJC455" s="67"/>
      <c r="MJD455" s="67"/>
      <c r="MJE455" s="67"/>
      <c r="MJF455" s="67"/>
      <c r="MJG455" s="67"/>
      <c r="MJH455" s="67"/>
      <c r="MJI455" s="67"/>
      <c r="MJJ455" s="67"/>
      <c r="MJK455" s="67"/>
      <c r="MJL455" s="67"/>
      <c r="MJM455" s="67"/>
      <c r="MJN455" s="67"/>
      <c r="MJO455" s="67"/>
      <c r="MJP455" s="67"/>
      <c r="MJQ455" s="67"/>
      <c r="MJR455" s="67"/>
      <c r="MJS455" s="67"/>
      <c r="MJT455" s="67"/>
      <c r="MJU455" s="67"/>
      <c r="MJV455" s="67"/>
      <c r="MJW455" s="67"/>
      <c r="MJX455" s="67"/>
      <c r="MJY455" s="67"/>
      <c r="MJZ455" s="67"/>
      <c r="MKA455" s="67"/>
      <c r="MKB455" s="67"/>
      <c r="MKC455" s="67"/>
      <c r="MKD455" s="67"/>
      <c r="MKE455" s="67"/>
      <c r="MKF455" s="67"/>
      <c r="MKG455" s="67"/>
      <c r="MKH455" s="67"/>
      <c r="MKI455" s="67"/>
      <c r="MKJ455" s="67"/>
      <c r="MKK455" s="67"/>
      <c r="MKL455" s="67"/>
      <c r="MKM455" s="67"/>
      <c r="MKN455" s="67"/>
      <c r="MKO455" s="67"/>
      <c r="MKP455" s="67"/>
      <c r="MKQ455" s="67"/>
      <c r="MKR455" s="67"/>
      <c r="MKS455" s="67"/>
      <c r="MKT455" s="67"/>
      <c r="MKU455" s="67"/>
      <c r="MKV455" s="67"/>
      <c r="MKW455" s="67"/>
      <c r="MKX455" s="67"/>
      <c r="MKY455" s="67"/>
      <c r="MKZ455" s="67"/>
      <c r="MLA455" s="67"/>
      <c r="MLB455" s="67"/>
      <c r="MLC455" s="67"/>
      <c r="MLD455" s="67"/>
      <c r="MLE455" s="67"/>
      <c r="MLF455" s="67"/>
      <c r="MLG455" s="67"/>
      <c r="MLH455" s="67"/>
      <c r="MLI455" s="67"/>
      <c r="MLJ455" s="67"/>
      <c r="MLK455" s="67"/>
      <c r="MLL455" s="67"/>
      <c r="MLM455" s="67"/>
      <c r="MLN455" s="67"/>
      <c r="MLO455" s="67"/>
      <c r="MLP455" s="67"/>
      <c r="MLQ455" s="67"/>
      <c r="MLR455" s="67"/>
      <c r="MLS455" s="67"/>
      <c r="MLT455" s="67"/>
      <c r="MLU455" s="67"/>
      <c r="MLV455" s="67"/>
      <c r="MLW455" s="67"/>
      <c r="MLX455" s="67"/>
      <c r="MLY455" s="67"/>
      <c r="MLZ455" s="67"/>
      <c r="MMA455" s="67"/>
      <c r="MMB455" s="67"/>
      <c r="MMC455" s="67"/>
      <c r="MMD455" s="67"/>
      <c r="MME455" s="67"/>
      <c r="MMF455" s="67"/>
      <c r="MMG455" s="67"/>
      <c r="MMH455" s="67"/>
      <c r="MMI455" s="67"/>
      <c r="MMJ455" s="67"/>
      <c r="MMK455" s="67"/>
      <c r="MML455" s="67"/>
      <c r="MMM455" s="67"/>
      <c r="MMN455" s="67"/>
      <c r="MMO455" s="67"/>
      <c r="MMP455" s="67"/>
      <c r="MMQ455" s="67"/>
      <c r="MMR455" s="67"/>
      <c r="MMS455" s="67"/>
      <c r="MMT455" s="67"/>
      <c r="MMU455" s="67"/>
      <c r="MMV455" s="67"/>
      <c r="MMW455" s="67"/>
      <c r="MMX455" s="67"/>
      <c r="MMY455" s="67"/>
      <c r="MMZ455" s="67"/>
      <c r="MNA455" s="67"/>
      <c r="MNB455" s="67"/>
      <c r="MNC455" s="67"/>
      <c r="MND455" s="67"/>
      <c r="MNE455" s="67"/>
      <c r="MNF455" s="67"/>
      <c r="MNG455" s="67"/>
      <c r="MNH455" s="67"/>
      <c r="MNI455" s="67"/>
      <c r="MNJ455" s="67"/>
      <c r="MNK455" s="67"/>
      <c r="MNL455" s="67"/>
      <c r="MNM455" s="67"/>
      <c r="MNN455" s="67"/>
      <c r="MNO455" s="67"/>
      <c r="MNP455" s="67"/>
      <c r="MNQ455" s="67"/>
      <c r="MNR455" s="67"/>
      <c r="MNS455" s="67"/>
      <c r="MNT455" s="67"/>
      <c r="MNU455" s="67"/>
      <c r="MNV455" s="67"/>
      <c r="MNW455" s="67"/>
      <c r="MNX455" s="67"/>
      <c r="MNY455" s="67"/>
      <c r="MNZ455" s="67"/>
      <c r="MOA455" s="67"/>
      <c r="MOB455" s="67"/>
      <c r="MOC455" s="67"/>
      <c r="MOD455" s="67"/>
      <c r="MOE455" s="67"/>
      <c r="MOF455" s="67"/>
      <c r="MOG455" s="67"/>
      <c r="MOH455" s="67"/>
      <c r="MOI455" s="67"/>
      <c r="MOJ455" s="67"/>
      <c r="MOK455" s="67"/>
      <c r="MOL455" s="67"/>
      <c r="MOM455" s="67"/>
      <c r="MON455" s="67"/>
      <c r="MOO455" s="67"/>
      <c r="MOP455" s="67"/>
      <c r="MOQ455" s="67"/>
      <c r="MOR455" s="67"/>
      <c r="MOS455" s="67"/>
      <c r="MOT455" s="67"/>
      <c r="MOU455" s="67"/>
      <c r="MOV455" s="67"/>
      <c r="MOW455" s="67"/>
      <c r="MOX455" s="67"/>
      <c r="MOY455" s="67"/>
      <c r="MOZ455" s="67"/>
      <c r="MPA455" s="67"/>
      <c r="MPB455" s="67"/>
      <c r="MPC455" s="67"/>
      <c r="MPD455" s="67"/>
      <c r="MPE455" s="67"/>
      <c r="MPF455" s="67"/>
      <c r="MPG455" s="67"/>
      <c r="MPH455" s="67"/>
      <c r="MPI455" s="67"/>
      <c r="MPJ455" s="67"/>
      <c r="MPK455" s="67"/>
      <c r="MPL455" s="67"/>
      <c r="MPM455" s="67"/>
      <c r="MPN455" s="67"/>
      <c r="MPO455" s="67"/>
      <c r="MPP455" s="67"/>
      <c r="MPQ455" s="67"/>
      <c r="MPR455" s="67"/>
      <c r="MPS455" s="67"/>
      <c r="MPT455" s="67"/>
      <c r="MPU455" s="67"/>
      <c r="MPV455" s="67"/>
      <c r="MPW455" s="67"/>
      <c r="MPX455" s="67"/>
      <c r="MPY455" s="67"/>
      <c r="MPZ455" s="67"/>
      <c r="MQA455" s="67"/>
      <c r="MQB455" s="67"/>
      <c r="MQC455" s="67"/>
      <c r="MQD455" s="67"/>
      <c r="MQE455" s="67"/>
      <c r="MQF455" s="67"/>
      <c r="MQG455" s="67"/>
      <c r="MQH455" s="67"/>
      <c r="MQI455" s="67"/>
      <c r="MQJ455" s="67"/>
      <c r="MQK455" s="67"/>
      <c r="MQL455" s="67"/>
      <c r="MQM455" s="67"/>
      <c r="MQN455" s="67"/>
      <c r="MQO455" s="67"/>
      <c r="MQP455" s="67"/>
      <c r="MQQ455" s="67"/>
      <c r="MQR455" s="67"/>
      <c r="MQS455" s="67"/>
      <c r="MQT455" s="67"/>
      <c r="MQU455" s="67"/>
      <c r="MQV455" s="67"/>
      <c r="MQW455" s="67"/>
      <c r="MQX455" s="67"/>
      <c r="MQY455" s="67"/>
      <c r="MQZ455" s="67"/>
      <c r="MRA455" s="67"/>
      <c r="MRB455" s="67"/>
      <c r="MRC455" s="67"/>
      <c r="MRD455" s="67"/>
      <c r="MRE455" s="67"/>
      <c r="MRF455" s="67"/>
      <c r="MRG455" s="67"/>
      <c r="MRH455" s="67"/>
      <c r="MRI455" s="67"/>
      <c r="MRJ455" s="67"/>
      <c r="MRK455" s="67"/>
      <c r="MRL455" s="67"/>
      <c r="MRM455" s="67"/>
      <c r="MRN455" s="67"/>
      <c r="MRO455" s="67"/>
      <c r="MRP455" s="67"/>
      <c r="MRQ455" s="67"/>
      <c r="MRR455" s="67"/>
      <c r="MRS455" s="67"/>
      <c r="MRT455" s="67"/>
      <c r="MRU455" s="67"/>
      <c r="MRV455" s="67"/>
      <c r="MRW455" s="67"/>
      <c r="MRX455" s="67"/>
      <c r="MRY455" s="67"/>
      <c r="MRZ455" s="67"/>
      <c r="MSA455" s="67"/>
      <c r="MSB455" s="67"/>
      <c r="MSC455" s="67"/>
      <c r="MSD455" s="67"/>
      <c r="MSE455" s="67"/>
      <c r="MSF455" s="67"/>
      <c r="MSG455" s="67"/>
      <c r="MSH455" s="67"/>
      <c r="MSI455" s="67"/>
      <c r="MSJ455" s="67"/>
      <c r="MSK455" s="67"/>
      <c r="MSL455" s="67"/>
      <c r="MSM455" s="67"/>
      <c r="MSN455" s="67"/>
      <c r="MSO455" s="67"/>
      <c r="MSP455" s="67"/>
      <c r="MSQ455" s="67"/>
      <c r="MSR455" s="67"/>
      <c r="MSS455" s="67"/>
      <c r="MST455" s="67"/>
      <c r="MSU455" s="67"/>
      <c r="MSV455" s="67"/>
      <c r="MSW455" s="67"/>
      <c r="MSX455" s="67"/>
      <c r="MSY455" s="67"/>
      <c r="MSZ455" s="67"/>
      <c r="MTA455" s="67"/>
      <c r="MTB455" s="67"/>
      <c r="MTC455" s="67"/>
      <c r="MTD455" s="67"/>
      <c r="MTE455" s="67"/>
      <c r="MTF455" s="67"/>
      <c r="MTG455" s="67"/>
      <c r="MTH455" s="67"/>
      <c r="MTI455" s="67"/>
      <c r="MTJ455" s="67"/>
      <c r="MTK455" s="67"/>
      <c r="MTL455" s="67"/>
      <c r="MTM455" s="67"/>
      <c r="MTN455" s="67"/>
      <c r="MTO455" s="67"/>
      <c r="MTP455" s="67"/>
      <c r="MTQ455" s="67"/>
      <c r="MTR455" s="67"/>
      <c r="MTS455" s="67"/>
      <c r="MTT455" s="67"/>
      <c r="MTU455" s="67"/>
      <c r="MTV455" s="67"/>
      <c r="MTW455" s="67"/>
      <c r="MTX455" s="67"/>
      <c r="MTY455" s="67"/>
      <c r="MTZ455" s="67"/>
      <c r="MUA455" s="67"/>
      <c r="MUB455" s="67"/>
      <c r="MUC455" s="67"/>
      <c r="MUD455" s="67"/>
      <c r="MUE455" s="67"/>
      <c r="MUF455" s="67"/>
      <c r="MUG455" s="67"/>
      <c r="MUH455" s="67"/>
      <c r="MUI455" s="67"/>
      <c r="MUJ455" s="67"/>
      <c r="MUK455" s="67"/>
      <c r="MUL455" s="67"/>
      <c r="MUM455" s="67"/>
      <c r="MUN455" s="67"/>
      <c r="MUO455" s="67"/>
      <c r="MUP455" s="67"/>
      <c r="MUQ455" s="67"/>
      <c r="MUR455" s="67"/>
      <c r="MUS455" s="67"/>
      <c r="MUT455" s="67"/>
      <c r="MUU455" s="67"/>
      <c r="MUV455" s="67"/>
      <c r="MUW455" s="67"/>
      <c r="MUX455" s="67"/>
      <c r="MUY455" s="67"/>
      <c r="MUZ455" s="67"/>
      <c r="MVA455" s="67"/>
      <c r="MVB455" s="67"/>
      <c r="MVC455" s="67"/>
      <c r="MVD455" s="67"/>
      <c r="MVE455" s="67"/>
      <c r="MVF455" s="67"/>
      <c r="MVG455" s="67"/>
      <c r="MVH455" s="67"/>
      <c r="MVI455" s="67"/>
      <c r="MVJ455" s="67"/>
      <c r="MVK455" s="67"/>
      <c r="MVL455" s="67"/>
      <c r="MVM455" s="67"/>
      <c r="MVN455" s="67"/>
      <c r="MVO455" s="67"/>
      <c r="MVP455" s="67"/>
      <c r="MVQ455" s="67"/>
      <c r="MVR455" s="67"/>
      <c r="MVS455" s="67"/>
      <c r="MVT455" s="67"/>
      <c r="MVU455" s="67"/>
      <c r="MVV455" s="67"/>
      <c r="MVW455" s="67"/>
      <c r="MVX455" s="67"/>
      <c r="MVY455" s="67"/>
      <c r="MVZ455" s="67"/>
      <c r="MWA455" s="67"/>
      <c r="MWB455" s="67"/>
      <c r="MWC455" s="67"/>
      <c r="MWD455" s="67"/>
      <c r="MWE455" s="67"/>
      <c r="MWF455" s="67"/>
      <c r="MWG455" s="67"/>
      <c r="MWH455" s="67"/>
      <c r="MWI455" s="67"/>
      <c r="MWJ455" s="67"/>
      <c r="MWK455" s="67"/>
      <c r="MWL455" s="67"/>
      <c r="MWM455" s="67"/>
      <c r="MWN455" s="67"/>
      <c r="MWO455" s="67"/>
      <c r="MWP455" s="67"/>
      <c r="MWQ455" s="67"/>
      <c r="MWR455" s="67"/>
      <c r="MWS455" s="67"/>
      <c r="MWT455" s="67"/>
      <c r="MWU455" s="67"/>
      <c r="MWV455" s="67"/>
      <c r="MWW455" s="67"/>
      <c r="MWX455" s="67"/>
      <c r="MWY455" s="67"/>
      <c r="MWZ455" s="67"/>
      <c r="MXA455" s="67"/>
      <c r="MXB455" s="67"/>
      <c r="MXC455" s="67"/>
      <c r="MXD455" s="67"/>
      <c r="MXE455" s="67"/>
      <c r="MXF455" s="67"/>
      <c r="MXG455" s="67"/>
      <c r="MXH455" s="67"/>
      <c r="MXI455" s="67"/>
      <c r="MXJ455" s="67"/>
      <c r="MXK455" s="67"/>
      <c r="MXL455" s="67"/>
      <c r="MXM455" s="67"/>
      <c r="MXN455" s="67"/>
      <c r="MXO455" s="67"/>
      <c r="MXP455" s="67"/>
      <c r="MXQ455" s="67"/>
      <c r="MXR455" s="67"/>
      <c r="MXS455" s="67"/>
      <c r="MXT455" s="67"/>
      <c r="MXU455" s="67"/>
      <c r="MXV455" s="67"/>
      <c r="MXW455" s="67"/>
      <c r="MXX455" s="67"/>
      <c r="MXY455" s="67"/>
      <c r="MXZ455" s="67"/>
      <c r="MYA455" s="67"/>
      <c r="MYB455" s="67"/>
      <c r="MYC455" s="67"/>
      <c r="MYD455" s="67"/>
      <c r="MYE455" s="67"/>
      <c r="MYF455" s="67"/>
      <c r="MYG455" s="67"/>
      <c r="MYH455" s="67"/>
      <c r="MYI455" s="67"/>
      <c r="MYJ455" s="67"/>
      <c r="MYK455" s="67"/>
      <c r="MYL455" s="67"/>
      <c r="MYM455" s="67"/>
      <c r="MYN455" s="67"/>
      <c r="MYO455" s="67"/>
      <c r="MYP455" s="67"/>
      <c r="MYQ455" s="67"/>
      <c r="MYR455" s="67"/>
      <c r="MYS455" s="67"/>
      <c r="MYT455" s="67"/>
      <c r="MYU455" s="67"/>
      <c r="MYV455" s="67"/>
      <c r="MYW455" s="67"/>
      <c r="MYX455" s="67"/>
      <c r="MYY455" s="67"/>
      <c r="MYZ455" s="67"/>
      <c r="MZA455" s="67"/>
      <c r="MZB455" s="67"/>
      <c r="MZC455" s="67"/>
      <c r="MZD455" s="67"/>
      <c r="MZE455" s="67"/>
      <c r="MZF455" s="67"/>
      <c r="MZG455" s="67"/>
      <c r="MZH455" s="67"/>
      <c r="MZI455" s="67"/>
      <c r="MZJ455" s="67"/>
      <c r="MZK455" s="67"/>
      <c r="MZL455" s="67"/>
      <c r="MZM455" s="67"/>
      <c r="MZN455" s="67"/>
      <c r="MZO455" s="67"/>
      <c r="MZP455" s="67"/>
      <c r="MZQ455" s="67"/>
      <c r="MZR455" s="67"/>
      <c r="MZS455" s="67"/>
      <c r="MZT455" s="67"/>
      <c r="MZU455" s="67"/>
      <c r="MZV455" s="67"/>
      <c r="MZW455" s="67"/>
      <c r="MZX455" s="67"/>
      <c r="MZY455" s="67"/>
      <c r="MZZ455" s="67"/>
      <c r="NAA455" s="67"/>
      <c r="NAB455" s="67"/>
      <c r="NAC455" s="67"/>
      <c r="NAD455" s="67"/>
      <c r="NAE455" s="67"/>
      <c r="NAF455" s="67"/>
      <c r="NAG455" s="67"/>
      <c r="NAH455" s="67"/>
      <c r="NAI455" s="67"/>
      <c r="NAJ455" s="67"/>
      <c r="NAK455" s="67"/>
      <c r="NAL455" s="67"/>
      <c r="NAM455" s="67"/>
      <c r="NAN455" s="67"/>
      <c r="NAO455" s="67"/>
      <c r="NAP455" s="67"/>
      <c r="NAQ455" s="67"/>
      <c r="NAR455" s="67"/>
      <c r="NAS455" s="67"/>
      <c r="NAT455" s="67"/>
      <c r="NAU455" s="67"/>
      <c r="NAV455" s="67"/>
      <c r="NAW455" s="67"/>
      <c r="NAX455" s="67"/>
      <c r="NAY455" s="67"/>
      <c r="NAZ455" s="67"/>
      <c r="NBA455" s="67"/>
      <c r="NBB455" s="67"/>
      <c r="NBC455" s="67"/>
      <c r="NBD455" s="67"/>
      <c r="NBE455" s="67"/>
      <c r="NBF455" s="67"/>
      <c r="NBG455" s="67"/>
      <c r="NBH455" s="67"/>
      <c r="NBI455" s="67"/>
      <c r="NBJ455" s="67"/>
      <c r="NBK455" s="67"/>
      <c r="NBL455" s="67"/>
      <c r="NBM455" s="67"/>
      <c r="NBN455" s="67"/>
      <c r="NBO455" s="67"/>
      <c r="NBP455" s="67"/>
      <c r="NBQ455" s="67"/>
      <c r="NBR455" s="67"/>
      <c r="NBS455" s="67"/>
      <c r="NBT455" s="67"/>
      <c r="NBU455" s="67"/>
      <c r="NBV455" s="67"/>
      <c r="NBW455" s="67"/>
      <c r="NBX455" s="67"/>
      <c r="NBY455" s="67"/>
      <c r="NBZ455" s="67"/>
      <c r="NCA455" s="67"/>
      <c r="NCB455" s="67"/>
      <c r="NCC455" s="67"/>
      <c r="NCD455" s="67"/>
      <c r="NCE455" s="67"/>
      <c r="NCF455" s="67"/>
      <c r="NCG455" s="67"/>
      <c r="NCH455" s="67"/>
      <c r="NCI455" s="67"/>
      <c r="NCJ455" s="67"/>
      <c r="NCK455" s="67"/>
      <c r="NCL455" s="67"/>
      <c r="NCM455" s="67"/>
      <c r="NCN455" s="67"/>
      <c r="NCO455" s="67"/>
      <c r="NCP455" s="67"/>
      <c r="NCQ455" s="67"/>
      <c r="NCR455" s="67"/>
      <c r="NCS455" s="67"/>
      <c r="NCT455" s="67"/>
      <c r="NCU455" s="67"/>
      <c r="NCV455" s="67"/>
      <c r="NCW455" s="67"/>
      <c r="NCX455" s="67"/>
      <c r="NCY455" s="67"/>
      <c r="NCZ455" s="67"/>
      <c r="NDA455" s="67"/>
      <c r="NDB455" s="67"/>
      <c r="NDC455" s="67"/>
      <c r="NDD455" s="67"/>
      <c r="NDE455" s="67"/>
      <c r="NDF455" s="67"/>
      <c r="NDG455" s="67"/>
      <c r="NDH455" s="67"/>
      <c r="NDI455" s="67"/>
      <c r="NDJ455" s="67"/>
      <c r="NDK455" s="67"/>
      <c r="NDL455" s="67"/>
      <c r="NDM455" s="67"/>
      <c r="NDN455" s="67"/>
      <c r="NDO455" s="67"/>
      <c r="NDP455" s="67"/>
      <c r="NDQ455" s="67"/>
      <c r="NDR455" s="67"/>
      <c r="NDS455" s="67"/>
      <c r="NDT455" s="67"/>
      <c r="NDU455" s="67"/>
      <c r="NDV455" s="67"/>
      <c r="NDW455" s="67"/>
      <c r="NDX455" s="67"/>
      <c r="NDY455" s="67"/>
      <c r="NDZ455" s="67"/>
      <c r="NEA455" s="67"/>
      <c r="NEB455" s="67"/>
      <c r="NEC455" s="67"/>
      <c r="NED455" s="67"/>
      <c r="NEE455" s="67"/>
      <c r="NEF455" s="67"/>
      <c r="NEG455" s="67"/>
      <c r="NEH455" s="67"/>
      <c r="NEI455" s="67"/>
      <c r="NEJ455" s="67"/>
      <c r="NEK455" s="67"/>
      <c r="NEL455" s="67"/>
      <c r="NEM455" s="67"/>
      <c r="NEN455" s="67"/>
      <c r="NEO455" s="67"/>
      <c r="NEP455" s="67"/>
      <c r="NEQ455" s="67"/>
      <c r="NER455" s="67"/>
      <c r="NES455" s="67"/>
      <c r="NET455" s="67"/>
      <c r="NEU455" s="67"/>
      <c r="NEV455" s="67"/>
      <c r="NEW455" s="67"/>
      <c r="NEX455" s="67"/>
      <c r="NEY455" s="67"/>
      <c r="NEZ455" s="67"/>
      <c r="NFA455" s="67"/>
      <c r="NFB455" s="67"/>
      <c r="NFC455" s="67"/>
      <c r="NFD455" s="67"/>
      <c r="NFE455" s="67"/>
      <c r="NFF455" s="67"/>
      <c r="NFG455" s="67"/>
      <c r="NFH455" s="67"/>
      <c r="NFI455" s="67"/>
      <c r="NFJ455" s="67"/>
      <c r="NFK455" s="67"/>
      <c r="NFL455" s="67"/>
      <c r="NFM455" s="67"/>
      <c r="NFN455" s="67"/>
      <c r="NFO455" s="67"/>
      <c r="NFP455" s="67"/>
      <c r="NFQ455" s="67"/>
      <c r="NFR455" s="67"/>
      <c r="NFS455" s="67"/>
      <c r="NFT455" s="67"/>
      <c r="NFU455" s="67"/>
      <c r="NFV455" s="67"/>
      <c r="NFW455" s="67"/>
      <c r="NFX455" s="67"/>
      <c r="NFY455" s="67"/>
      <c r="NFZ455" s="67"/>
      <c r="NGA455" s="67"/>
      <c r="NGB455" s="67"/>
      <c r="NGC455" s="67"/>
      <c r="NGD455" s="67"/>
      <c r="NGE455" s="67"/>
      <c r="NGF455" s="67"/>
      <c r="NGG455" s="67"/>
      <c r="NGH455" s="67"/>
      <c r="NGI455" s="67"/>
      <c r="NGJ455" s="67"/>
      <c r="NGK455" s="67"/>
      <c r="NGL455" s="67"/>
      <c r="NGM455" s="67"/>
      <c r="NGN455" s="67"/>
      <c r="NGO455" s="67"/>
      <c r="NGP455" s="67"/>
      <c r="NGQ455" s="67"/>
      <c r="NGR455" s="67"/>
      <c r="NGS455" s="67"/>
      <c r="NGT455" s="67"/>
      <c r="NGU455" s="67"/>
      <c r="NGV455" s="67"/>
      <c r="NGW455" s="67"/>
      <c r="NGX455" s="67"/>
      <c r="NGY455" s="67"/>
      <c r="NGZ455" s="67"/>
      <c r="NHA455" s="67"/>
      <c r="NHB455" s="67"/>
      <c r="NHC455" s="67"/>
      <c r="NHD455" s="67"/>
      <c r="NHE455" s="67"/>
      <c r="NHF455" s="67"/>
      <c r="NHG455" s="67"/>
      <c r="NHH455" s="67"/>
      <c r="NHI455" s="67"/>
      <c r="NHJ455" s="67"/>
      <c r="NHK455" s="67"/>
      <c r="NHL455" s="67"/>
      <c r="NHM455" s="67"/>
      <c r="NHN455" s="67"/>
      <c r="NHO455" s="67"/>
      <c r="NHP455" s="67"/>
      <c r="NHQ455" s="67"/>
      <c r="NHR455" s="67"/>
      <c r="NHS455" s="67"/>
      <c r="NHT455" s="67"/>
      <c r="NHU455" s="67"/>
      <c r="NHV455" s="67"/>
      <c r="NHW455" s="67"/>
      <c r="NHX455" s="67"/>
      <c r="NHY455" s="67"/>
      <c r="NHZ455" s="67"/>
      <c r="NIA455" s="67"/>
      <c r="NIB455" s="67"/>
      <c r="NIC455" s="67"/>
      <c r="NID455" s="67"/>
      <c r="NIE455" s="67"/>
      <c r="NIF455" s="67"/>
      <c r="NIG455" s="67"/>
      <c r="NIH455" s="67"/>
      <c r="NII455" s="67"/>
      <c r="NIJ455" s="67"/>
      <c r="NIK455" s="67"/>
      <c r="NIL455" s="67"/>
      <c r="NIM455" s="67"/>
      <c r="NIN455" s="67"/>
      <c r="NIO455" s="67"/>
      <c r="NIP455" s="67"/>
      <c r="NIQ455" s="67"/>
      <c r="NIR455" s="67"/>
      <c r="NIS455" s="67"/>
      <c r="NIT455" s="67"/>
      <c r="NIU455" s="67"/>
      <c r="NIV455" s="67"/>
      <c r="NIW455" s="67"/>
      <c r="NIX455" s="67"/>
      <c r="NIY455" s="67"/>
      <c r="NIZ455" s="67"/>
      <c r="NJA455" s="67"/>
      <c r="NJB455" s="67"/>
      <c r="NJC455" s="67"/>
      <c r="NJD455" s="67"/>
      <c r="NJE455" s="67"/>
      <c r="NJF455" s="67"/>
      <c r="NJG455" s="67"/>
      <c r="NJH455" s="67"/>
      <c r="NJI455" s="67"/>
      <c r="NJJ455" s="67"/>
      <c r="NJK455" s="67"/>
      <c r="NJL455" s="67"/>
      <c r="NJM455" s="67"/>
      <c r="NJN455" s="67"/>
      <c r="NJO455" s="67"/>
      <c r="NJP455" s="67"/>
      <c r="NJQ455" s="67"/>
      <c r="NJR455" s="67"/>
      <c r="NJS455" s="67"/>
      <c r="NJT455" s="67"/>
      <c r="NJU455" s="67"/>
      <c r="NJV455" s="67"/>
      <c r="NJW455" s="67"/>
      <c r="NJX455" s="67"/>
      <c r="NJY455" s="67"/>
      <c r="NJZ455" s="67"/>
      <c r="NKA455" s="67"/>
      <c r="NKB455" s="67"/>
      <c r="NKC455" s="67"/>
      <c r="NKD455" s="67"/>
      <c r="NKE455" s="67"/>
      <c r="NKF455" s="67"/>
      <c r="NKG455" s="67"/>
      <c r="NKH455" s="67"/>
      <c r="NKI455" s="67"/>
      <c r="NKJ455" s="67"/>
      <c r="NKK455" s="67"/>
      <c r="NKL455" s="67"/>
      <c r="NKM455" s="67"/>
      <c r="NKN455" s="67"/>
      <c r="NKO455" s="67"/>
      <c r="NKP455" s="67"/>
      <c r="NKQ455" s="67"/>
      <c r="NKR455" s="67"/>
      <c r="NKS455" s="67"/>
      <c r="NKT455" s="67"/>
      <c r="NKU455" s="67"/>
      <c r="NKV455" s="67"/>
      <c r="NKW455" s="67"/>
      <c r="NKX455" s="67"/>
      <c r="NKY455" s="67"/>
      <c r="NKZ455" s="67"/>
      <c r="NLA455" s="67"/>
      <c r="NLB455" s="67"/>
      <c r="NLC455" s="67"/>
      <c r="NLD455" s="67"/>
      <c r="NLE455" s="67"/>
      <c r="NLF455" s="67"/>
      <c r="NLG455" s="67"/>
      <c r="NLH455" s="67"/>
      <c r="NLI455" s="67"/>
      <c r="NLJ455" s="67"/>
      <c r="NLK455" s="67"/>
      <c r="NLL455" s="67"/>
      <c r="NLM455" s="67"/>
      <c r="NLN455" s="67"/>
      <c r="NLO455" s="67"/>
      <c r="NLP455" s="67"/>
      <c r="NLQ455" s="67"/>
      <c r="NLR455" s="67"/>
      <c r="NLS455" s="67"/>
      <c r="NLT455" s="67"/>
      <c r="NLU455" s="67"/>
      <c r="NLV455" s="67"/>
      <c r="NLW455" s="67"/>
      <c r="NLX455" s="67"/>
      <c r="NLY455" s="67"/>
      <c r="NLZ455" s="67"/>
      <c r="NMA455" s="67"/>
      <c r="NMB455" s="67"/>
      <c r="NMC455" s="67"/>
      <c r="NMD455" s="67"/>
      <c r="NME455" s="67"/>
      <c r="NMF455" s="67"/>
      <c r="NMG455" s="67"/>
      <c r="NMH455" s="67"/>
      <c r="NMI455" s="67"/>
      <c r="NMJ455" s="67"/>
      <c r="NMK455" s="67"/>
      <c r="NML455" s="67"/>
      <c r="NMM455" s="67"/>
      <c r="NMN455" s="67"/>
      <c r="NMO455" s="67"/>
      <c r="NMP455" s="67"/>
      <c r="NMQ455" s="67"/>
      <c r="NMR455" s="67"/>
      <c r="NMS455" s="67"/>
      <c r="NMT455" s="67"/>
      <c r="NMU455" s="67"/>
      <c r="NMV455" s="67"/>
      <c r="NMW455" s="67"/>
      <c r="NMX455" s="67"/>
      <c r="NMY455" s="67"/>
      <c r="NMZ455" s="67"/>
      <c r="NNA455" s="67"/>
      <c r="NNB455" s="67"/>
      <c r="NNC455" s="67"/>
      <c r="NND455" s="67"/>
      <c r="NNE455" s="67"/>
      <c r="NNF455" s="67"/>
      <c r="NNG455" s="67"/>
      <c r="NNH455" s="67"/>
      <c r="NNI455" s="67"/>
      <c r="NNJ455" s="67"/>
      <c r="NNK455" s="67"/>
      <c r="NNL455" s="67"/>
      <c r="NNM455" s="67"/>
      <c r="NNN455" s="67"/>
      <c r="NNO455" s="67"/>
      <c r="NNP455" s="67"/>
      <c r="NNQ455" s="67"/>
      <c r="NNR455" s="67"/>
      <c r="NNS455" s="67"/>
      <c r="NNT455" s="67"/>
      <c r="NNU455" s="67"/>
      <c r="NNV455" s="67"/>
      <c r="NNW455" s="67"/>
      <c r="NNX455" s="67"/>
      <c r="NNY455" s="67"/>
      <c r="NNZ455" s="67"/>
      <c r="NOA455" s="67"/>
      <c r="NOB455" s="67"/>
      <c r="NOC455" s="67"/>
      <c r="NOD455" s="67"/>
      <c r="NOE455" s="67"/>
      <c r="NOF455" s="67"/>
      <c r="NOG455" s="67"/>
      <c r="NOH455" s="67"/>
      <c r="NOI455" s="67"/>
      <c r="NOJ455" s="67"/>
      <c r="NOK455" s="67"/>
      <c r="NOL455" s="67"/>
      <c r="NOM455" s="67"/>
      <c r="NON455" s="67"/>
      <c r="NOO455" s="67"/>
      <c r="NOP455" s="67"/>
      <c r="NOQ455" s="67"/>
      <c r="NOR455" s="67"/>
      <c r="NOS455" s="67"/>
      <c r="NOT455" s="67"/>
      <c r="NOU455" s="67"/>
      <c r="NOV455" s="67"/>
      <c r="NOW455" s="67"/>
      <c r="NOX455" s="67"/>
      <c r="NOY455" s="67"/>
      <c r="NOZ455" s="67"/>
      <c r="NPA455" s="67"/>
      <c r="NPB455" s="67"/>
      <c r="NPC455" s="67"/>
      <c r="NPD455" s="67"/>
      <c r="NPE455" s="67"/>
      <c r="NPF455" s="67"/>
      <c r="NPG455" s="67"/>
      <c r="NPH455" s="67"/>
      <c r="NPI455" s="67"/>
      <c r="NPJ455" s="67"/>
      <c r="NPK455" s="67"/>
      <c r="NPL455" s="67"/>
      <c r="NPM455" s="67"/>
      <c r="NPN455" s="67"/>
      <c r="NPO455" s="67"/>
      <c r="NPP455" s="67"/>
      <c r="NPQ455" s="67"/>
      <c r="NPR455" s="67"/>
      <c r="NPS455" s="67"/>
      <c r="NPT455" s="67"/>
      <c r="NPU455" s="67"/>
      <c r="NPV455" s="67"/>
      <c r="NPW455" s="67"/>
      <c r="NPX455" s="67"/>
      <c r="NPY455" s="67"/>
      <c r="NPZ455" s="67"/>
      <c r="NQA455" s="67"/>
      <c r="NQB455" s="67"/>
      <c r="NQC455" s="67"/>
      <c r="NQD455" s="67"/>
      <c r="NQE455" s="67"/>
      <c r="NQF455" s="67"/>
      <c r="NQG455" s="67"/>
      <c r="NQH455" s="67"/>
      <c r="NQI455" s="67"/>
      <c r="NQJ455" s="67"/>
      <c r="NQK455" s="67"/>
      <c r="NQL455" s="67"/>
      <c r="NQM455" s="67"/>
      <c r="NQN455" s="67"/>
      <c r="NQO455" s="67"/>
      <c r="NQP455" s="67"/>
      <c r="NQQ455" s="67"/>
      <c r="NQR455" s="67"/>
      <c r="NQS455" s="67"/>
      <c r="NQT455" s="67"/>
      <c r="NQU455" s="67"/>
      <c r="NQV455" s="67"/>
      <c r="NQW455" s="67"/>
      <c r="NQX455" s="67"/>
      <c r="NQY455" s="67"/>
      <c r="NQZ455" s="67"/>
      <c r="NRA455" s="67"/>
      <c r="NRB455" s="67"/>
      <c r="NRC455" s="67"/>
      <c r="NRD455" s="67"/>
      <c r="NRE455" s="67"/>
      <c r="NRF455" s="67"/>
      <c r="NRG455" s="67"/>
      <c r="NRH455" s="67"/>
      <c r="NRI455" s="67"/>
      <c r="NRJ455" s="67"/>
      <c r="NRK455" s="67"/>
      <c r="NRL455" s="67"/>
      <c r="NRM455" s="67"/>
      <c r="NRN455" s="67"/>
      <c r="NRO455" s="67"/>
      <c r="NRP455" s="67"/>
      <c r="NRQ455" s="67"/>
      <c r="NRR455" s="67"/>
      <c r="NRS455" s="67"/>
      <c r="NRT455" s="67"/>
      <c r="NRU455" s="67"/>
      <c r="NRV455" s="67"/>
      <c r="NRW455" s="67"/>
      <c r="NRX455" s="67"/>
      <c r="NRY455" s="67"/>
      <c r="NRZ455" s="67"/>
      <c r="NSA455" s="67"/>
      <c r="NSB455" s="67"/>
      <c r="NSC455" s="67"/>
      <c r="NSD455" s="67"/>
      <c r="NSE455" s="67"/>
      <c r="NSF455" s="67"/>
      <c r="NSG455" s="67"/>
      <c r="NSH455" s="67"/>
      <c r="NSI455" s="67"/>
      <c r="NSJ455" s="67"/>
      <c r="NSK455" s="67"/>
      <c r="NSL455" s="67"/>
      <c r="NSM455" s="67"/>
      <c r="NSN455" s="67"/>
      <c r="NSO455" s="67"/>
      <c r="NSP455" s="67"/>
      <c r="NSQ455" s="67"/>
      <c r="NSR455" s="67"/>
      <c r="NSS455" s="67"/>
      <c r="NST455" s="67"/>
      <c r="NSU455" s="67"/>
      <c r="NSV455" s="67"/>
      <c r="NSW455" s="67"/>
      <c r="NSX455" s="67"/>
      <c r="NSY455" s="67"/>
      <c r="NSZ455" s="67"/>
      <c r="NTA455" s="67"/>
      <c r="NTB455" s="67"/>
      <c r="NTC455" s="67"/>
      <c r="NTD455" s="67"/>
      <c r="NTE455" s="67"/>
      <c r="NTF455" s="67"/>
      <c r="NTG455" s="67"/>
      <c r="NTH455" s="67"/>
      <c r="NTI455" s="67"/>
      <c r="NTJ455" s="67"/>
      <c r="NTK455" s="67"/>
      <c r="NTL455" s="67"/>
      <c r="NTM455" s="67"/>
      <c r="NTN455" s="67"/>
      <c r="NTO455" s="67"/>
      <c r="NTP455" s="67"/>
      <c r="NTQ455" s="67"/>
      <c r="NTR455" s="67"/>
      <c r="NTS455" s="67"/>
      <c r="NTT455" s="67"/>
      <c r="NTU455" s="67"/>
      <c r="NTV455" s="67"/>
      <c r="NTW455" s="67"/>
      <c r="NTX455" s="67"/>
      <c r="NTY455" s="67"/>
      <c r="NTZ455" s="67"/>
      <c r="NUA455" s="67"/>
      <c r="NUB455" s="67"/>
      <c r="NUC455" s="67"/>
      <c r="NUD455" s="67"/>
      <c r="NUE455" s="67"/>
      <c r="NUF455" s="67"/>
      <c r="NUG455" s="67"/>
      <c r="NUH455" s="67"/>
      <c r="NUI455" s="67"/>
      <c r="NUJ455" s="67"/>
      <c r="NUK455" s="67"/>
      <c r="NUL455" s="67"/>
      <c r="NUM455" s="67"/>
      <c r="NUN455" s="67"/>
      <c r="NUO455" s="67"/>
      <c r="NUP455" s="67"/>
      <c r="NUQ455" s="67"/>
      <c r="NUR455" s="67"/>
      <c r="NUS455" s="67"/>
      <c r="NUT455" s="67"/>
      <c r="NUU455" s="67"/>
      <c r="NUV455" s="67"/>
      <c r="NUW455" s="67"/>
      <c r="NUX455" s="67"/>
      <c r="NUY455" s="67"/>
      <c r="NUZ455" s="67"/>
      <c r="NVA455" s="67"/>
      <c r="NVB455" s="67"/>
      <c r="NVC455" s="67"/>
      <c r="NVD455" s="67"/>
      <c r="NVE455" s="67"/>
      <c r="NVF455" s="67"/>
      <c r="NVG455" s="67"/>
      <c r="NVH455" s="67"/>
      <c r="NVI455" s="67"/>
      <c r="NVJ455" s="67"/>
      <c r="NVK455" s="67"/>
      <c r="NVL455" s="67"/>
      <c r="NVM455" s="67"/>
      <c r="NVN455" s="67"/>
      <c r="NVO455" s="67"/>
      <c r="NVP455" s="67"/>
      <c r="NVQ455" s="67"/>
      <c r="NVR455" s="67"/>
      <c r="NVS455" s="67"/>
      <c r="NVT455" s="67"/>
      <c r="NVU455" s="67"/>
      <c r="NVV455" s="67"/>
      <c r="NVW455" s="67"/>
      <c r="NVX455" s="67"/>
      <c r="NVY455" s="67"/>
      <c r="NVZ455" s="67"/>
      <c r="NWA455" s="67"/>
      <c r="NWB455" s="67"/>
      <c r="NWC455" s="67"/>
      <c r="NWD455" s="67"/>
      <c r="NWE455" s="67"/>
      <c r="NWF455" s="67"/>
      <c r="NWG455" s="67"/>
      <c r="NWH455" s="67"/>
      <c r="NWI455" s="67"/>
      <c r="NWJ455" s="67"/>
      <c r="NWK455" s="67"/>
      <c r="NWL455" s="67"/>
      <c r="NWM455" s="67"/>
      <c r="NWN455" s="67"/>
      <c r="NWO455" s="67"/>
      <c r="NWP455" s="67"/>
      <c r="NWQ455" s="67"/>
      <c r="NWR455" s="67"/>
      <c r="NWS455" s="67"/>
      <c r="NWT455" s="67"/>
      <c r="NWU455" s="67"/>
      <c r="NWV455" s="67"/>
      <c r="NWW455" s="67"/>
      <c r="NWX455" s="67"/>
      <c r="NWY455" s="67"/>
      <c r="NWZ455" s="67"/>
      <c r="NXA455" s="67"/>
      <c r="NXB455" s="67"/>
      <c r="NXC455" s="67"/>
      <c r="NXD455" s="67"/>
      <c r="NXE455" s="67"/>
      <c r="NXF455" s="67"/>
      <c r="NXG455" s="67"/>
      <c r="NXH455" s="67"/>
      <c r="NXI455" s="67"/>
      <c r="NXJ455" s="67"/>
      <c r="NXK455" s="67"/>
      <c r="NXL455" s="67"/>
      <c r="NXM455" s="67"/>
      <c r="NXN455" s="67"/>
      <c r="NXO455" s="67"/>
      <c r="NXP455" s="67"/>
      <c r="NXQ455" s="67"/>
      <c r="NXR455" s="67"/>
      <c r="NXS455" s="67"/>
      <c r="NXT455" s="67"/>
      <c r="NXU455" s="67"/>
      <c r="NXV455" s="67"/>
      <c r="NXW455" s="67"/>
      <c r="NXX455" s="67"/>
      <c r="NXY455" s="67"/>
      <c r="NXZ455" s="67"/>
      <c r="NYA455" s="67"/>
      <c r="NYB455" s="67"/>
      <c r="NYC455" s="67"/>
      <c r="NYD455" s="67"/>
      <c r="NYE455" s="67"/>
      <c r="NYF455" s="67"/>
      <c r="NYG455" s="67"/>
      <c r="NYH455" s="67"/>
      <c r="NYI455" s="67"/>
      <c r="NYJ455" s="67"/>
      <c r="NYK455" s="67"/>
      <c r="NYL455" s="67"/>
      <c r="NYM455" s="67"/>
      <c r="NYN455" s="67"/>
      <c r="NYO455" s="67"/>
      <c r="NYP455" s="67"/>
      <c r="NYQ455" s="67"/>
      <c r="NYR455" s="67"/>
      <c r="NYS455" s="67"/>
      <c r="NYT455" s="67"/>
      <c r="NYU455" s="67"/>
      <c r="NYV455" s="67"/>
      <c r="NYW455" s="67"/>
      <c r="NYX455" s="67"/>
      <c r="NYY455" s="67"/>
      <c r="NYZ455" s="67"/>
      <c r="NZA455" s="67"/>
      <c r="NZB455" s="67"/>
      <c r="NZC455" s="67"/>
      <c r="NZD455" s="67"/>
      <c r="NZE455" s="67"/>
      <c r="NZF455" s="67"/>
      <c r="NZG455" s="67"/>
      <c r="NZH455" s="67"/>
      <c r="NZI455" s="67"/>
      <c r="NZJ455" s="67"/>
      <c r="NZK455" s="67"/>
      <c r="NZL455" s="67"/>
      <c r="NZM455" s="67"/>
      <c r="NZN455" s="67"/>
      <c r="NZO455" s="67"/>
      <c r="NZP455" s="67"/>
      <c r="NZQ455" s="67"/>
      <c r="NZR455" s="67"/>
      <c r="NZS455" s="67"/>
      <c r="NZT455" s="67"/>
      <c r="NZU455" s="67"/>
      <c r="NZV455" s="67"/>
      <c r="NZW455" s="67"/>
      <c r="NZX455" s="67"/>
      <c r="NZY455" s="67"/>
      <c r="NZZ455" s="67"/>
      <c r="OAA455" s="67"/>
      <c r="OAB455" s="67"/>
      <c r="OAC455" s="67"/>
      <c r="OAD455" s="67"/>
      <c r="OAE455" s="67"/>
      <c r="OAF455" s="67"/>
      <c r="OAG455" s="67"/>
      <c r="OAH455" s="67"/>
      <c r="OAI455" s="67"/>
      <c r="OAJ455" s="67"/>
      <c r="OAK455" s="67"/>
      <c r="OAL455" s="67"/>
      <c r="OAM455" s="67"/>
      <c r="OAN455" s="67"/>
      <c r="OAO455" s="67"/>
      <c r="OAP455" s="67"/>
      <c r="OAQ455" s="67"/>
      <c r="OAR455" s="67"/>
      <c r="OAS455" s="67"/>
      <c r="OAT455" s="67"/>
      <c r="OAU455" s="67"/>
      <c r="OAV455" s="67"/>
      <c r="OAW455" s="67"/>
      <c r="OAX455" s="67"/>
      <c r="OAY455" s="67"/>
      <c r="OAZ455" s="67"/>
      <c r="OBA455" s="67"/>
      <c r="OBB455" s="67"/>
      <c r="OBC455" s="67"/>
      <c r="OBD455" s="67"/>
      <c r="OBE455" s="67"/>
      <c r="OBF455" s="67"/>
      <c r="OBG455" s="67"/>
      <c r="OBH455" s="67"/>
      <c r="OBI455" s="67"/>
      <c r="OBJ455" s="67"/>
      <c r="OBK455" s="67"/>
      <c r="OBL455" s="67"/>
      <c r="OBM455" s="67"/>
      <c r="OBN455" s="67"/>
      <c r="OBO455" s="67"/>
      <c r="OBP455" s="67"/>
      <c r="OBQ455" s="67"/>
      <c r="OBR455" s="67"/>
      <c r="OBS455" s="67"/>
      <c r="OBT455" s="67"/>
      <c r="OBU455" s="67"/>
      <c r="OBV455" s="67"/>
      <c r="OBW455" s="67"/>
      <c r="OBX455" s="67"/>
      <c r="OBY455" s="67"/>
      <c r="OBZ455" s="67"/>
      <c r="OCA455" s="67"/>
      <c r="OCB455" s="67"/>
      <c r="OCC455" s="67"/>
      <c r="OCD455" s="67"/>
      <c r="OCE455" s="67"/>
      <c r="OCF455" s="67"/>
      <c r="OCG455" s="67"/>
      <c r="OCH455" s="67"/>
      <c r="OCI455" s="67"/>
      <c r="OCJ455" s="67"/>
      <c r="OCK455" s="67"/>
      <c r="OCL455" s="67"/>
      <c r="OCM455" s="67"/>
      <c r="OCN455" s="67"/>
      <c r="OCO455" s="67"/>
      <c r="OCP455" s="67"/>
      <c r="OCQ455" s="67"/>
      <c r="OCR455" s="67"/>
      <c r="OCS455" s="67"/>
      <c r="OCT455" s="67"/>
      <c r="OCU455" s="67"/>
      <c r="OCV455" s="67"/>
      <c r="OCW455" s="67"/>
      <c r="OCX455" s="67"/>
      <c r="OCY455" s="67"/>
      <c r="OCZ455" s="67"/>
      <c r="ODA455" s="67"/>
      <c r="ODB455" s="67"/>
      <c r="ODC455" s="67"/>
      <c r="ODD455" s="67"/>
      <c r="ODE455" s="67"/>
      <c r="ODF455" s="67"/>
      <c r="ODG455" s="67"/>
      <c r="ODH455" s="67"/>
      <c r="ODI455" s="67"/>
      <c r="ODJ455" s="67"/>
      <c r="ODK455" s="67"/>
      <c r="ODL455" s="67"/>
      <c r="ODM455" s="67"/>
      <c r="ODN455" s="67"/>
      <c r="ODO455" s="67"/>
      <c r="ODP455" s="67"/>
      <c r="ODQ455" s="67"/>
      <c r="ODR455" s="67"/>
      <c r="ODS455" s="67"/>
      <c r="ODT455" s="67"/>
      <c r="ODU455" s="67"/>
      <c r="ODV455" s="67"/>
      <c r="ODW455" s="67"/>
      <c r="ODX455" s="67"/>
      <c r="ODY455" s="67"/>
      <c r="ODZ455" s="67"/>
      <c r="OEA455" s="67"/>
      <c r="OEB455" s="67"/>
      <c r="OEC455" s="67"/>
      <c r="OED455" s="67"/>
      <c r="OEE455" s="67"/>
      <c r="OEF455" s="67"/>
      <c r="OEG455" s="67"/>
      <c r="OEH455" s="67"/>
      <c r="OEI455" s="67"/>
      <c r="OEJ455" s="67"/>
      <c r="OEK455" s="67"/>
      <c r="OEL455" s="67"/>
      <c r="OEM455" s="67"/>
      <c r="OEN455" s="67"/>
      <c r="OEO455" s="67"/>
      <c r="OEP455" s="67"/>
      <c r="OEQ455" s="67"/>
      <c r="OER455" s="67"/>
      <c r="OES455" s="67"/>
      <c r="OET455" s="67"/>
      <c r="OEU455" s="67"/>
      <c r="OEV455" s="67"/>
      <c r="OEW455" s="67"/>
      <c r="OEX455" s="67"/>
      <c r="OEY455" s="67"/>
      <c r="OEZ455" s="67"/>
      <c r="OFA455" s="67"/>
      <c r="OFB455" s="67"/>
      <c r="OFC455" s="67"/>
      <c r="OFD455" s="67"/>
      <c r="OFE455" s="67"/>
      <c r="OFF455" s="67"/>
      <c r="OFG455" s="67"/>
      <c r="OFH455" s="67"/>
      <c r="OFI455" s="67"/>
      <c r="OFJ455" s="67"/>
      <c r="OFK455" s="67"/>
      <c r="OFL455" s="67"/>
      <c r="OFM455" s="67"/>
      <c r="OFN455" s="67"/>
      <c r="OFO455" s="67"/>
      <c r="OFP455" s="67"/>
      <c r="OFQ455" s="67"/>
      <c r="OFR455" s="67"/>
      <c r="OFS455" s="67"/>
      <c r="OFT455" s="67"/>
      <c r="OFU455" s="67"/>
      <c r="OFV455" s="67"/>
      <c r="OFW455" s="67"/>
      <c r="OFX455" s="67"/>
      <c r="OFY455" s="67"/>
      <c r="OFZ455" s="67"/>
      <c r="OGA455" s="67"/>
      <c r="OGB455" s="67"/>
      <c r="OGC455" s="67"/>
      <c r="OGD455" s="67"/>
      <c r="OGE455" s="67"/>
      <c r="OGF455" s="67"/>
      <c r="OGG455" s="67"/>
      <c r="OGH455" s="67"/>
      <c r="OGI455" s="67"/>
      <c r="OGJ455" s="67"/>
      <c r="OGK455" s="67"/>
      <c r="OGL455" s="67"/>
      <c r="OGM455" s="67"/>
      <c r="OGN455" s="67"/>
      <c r="OGO455" s="67"/>
      <c r="OGP455" s="67"/>
      <c r="OGQ455" s="67"/>
      <c r="OGR455" s="67"/>
      <c r="OGS455" s="67"/>
      <c r="OGT455" s="67"/>
      <c r="OGU455" s="67"/>
      <c r="OGV455" s="67"/>
      <c r="OGW455" s="67"/>
      <c r="OGX455" s="67"/>
      <c r="OGY455" s="67"/>
      <c r="OGZ455" s="67"/>
      <c r="OHA455" s="67"/>
      <c r="OHB455" s="67"/>
      <c r="OHC455" s="67"/>
      <c r="OHD455" s="67"/>
      <c r="OHE455" s="67"/>
      <c r="OHF455" s="67"/>
      <c r="OHG455" s="67"/>
      <c r="OHH455" s="67"/>
      <c r="OHI455" s="67"/>
      <c r="OHJ455" s="67"/>
      <c r="OHK455" s="67"/>
      <c r="OHL455" s="67"/>
      <c r="OHM455" s="67"/>
      <c r="OHN455" s="67"/>
      <c r="OHO455" s="67"/>
      <c r="OHP455" s="67"/>
      <c r="OHQ455" s="67"/>
      <c r="OHR455" s="67"/>
      <c r="OHS455" s="67"/>
      <c r="OHT455" s="67"/>
      <c r="OHU455" s="67"/>
      <c r="OHV455" s="67"/>
      <c r="OHW455" s="67"/>
      <c r="OHX455" s="67"/>
      <c r="OHY455" s="67"/>
      <c r="OHZ455" s="67"/>
      <c r="OIA455" s="67"/>
      <c r="OIB455" s="67"/>
      <c r="OIC455" s="67"/>
      <c r="OID455" s="67"/>
      <c r="OIE455" s="67"/>
      <c r="OIF455" s="67"/>
      <c r="OIG455" s="67"/>
      <c r="OIH455" s="67"/>
      <c r="OII455" s="67"/>
      <c r="OIJ455" s="67"/>
      <c r="OIK455" s="67"/>
      <c r="OIL455" s="67"/>
      <c r="OIM455" s="67"/>
      <c r="OIN455" s="67"/>
      <c r="OIO455" s="67"/>
      <c r="OIP455" s="67"/>
      <c r="OIQ455" s="67"/>
      <c r="OIR455" s="67"/>
      <c r="OIS455" s="67"/>
      <c r="OIT455" s="67"/>
      <c r="OIU455" s="67"/>
      <c r="OIV455" s="67"/>
      <c r="OIW455" s="67"/>
      <c r="OIX455" s="67"/>
      <c r="OIY455" s="67"/>
      <c r="OIZ455" s="67"/>
      <c r="OJA455" s="67"/>
      <c r="OJB455" s="67"/>
      <c r="OJC455" s="67"/>
      <c r="OJD455" s="67"/>
      <c r="OJE455" s="67"/>
      <c r="OJF455" s="67"/>
      <c r="OJG455" s="67"/>
      <c r="OJH455" s="67"/>
      <c r="OJI455" s="67"/>
      <c r="OJJ455" s="67"/>
      <c r="OJK455" s="67"/>
      <c r="OJL455" s="67"/>
      <c r="OJM455" s="67"/>
      <c r="OJN455" s="67"/>
      <c r="OJO455" s="67"/>
      <c r="OJP455" s="67"/>
      <c r="OJQ455" s="67"/>
      <c r="OJR455" s="67"/>
      <c r="OJS455" s="67"/>
      <c r="OJT455" s="67"/>
      <c r="OJU455" s="67"/>
      <c r="OJV455" s="67"/>
      <c r="OJW455" s="67"/>
      <c r="OJX455" s="67"/>
      <c r="OJY455" s="67"/>
      <c r="OJZ455" s="67"/>
      <c r="OKA455" s="67"/>
      <c r="OKB455" s="67"/>
      <c r="OKC455" s="67"/>
      <c r="OKD455" s="67"/>
      <c r="OKE455" s="67"/>
      <c r="OKF455" s="67"/>
      <c r="OKG455" s="67"/>
      <c r="OKH455" s="67"/>
      <c r="OKI455" s="67"/>
      <c r="OKJ455" s="67"/>
      <c r="OKK455" s="67"/>
      <c r="OKL455" s="67"/>
      <c r="OKM455" s="67"/>
      <c r="OKN455" s="67"/>
      <c r="OKO455" s="67"/>
      <c r="OKP455" s="67"/>
      <c r="OKQ455" s="67"/>
      <c r="OKR455" s="67"/>
      <c r="OKS455" s="67"/>
      <c r="OKT455" s="67"/>
      <c r="OKU455" s="67"/>
      <c r="OKV455" s="67"/>
      <c r="OKW455" s="67"/>
      <c r="OKX455" s="67"/>
      <c r="OKY455" s="67"/>
      <c r="OKZ455" s="67"/>
      <c r="OLA455" s="67"/>
      <c r="OLB455" s="67"/>
      <c r="OLC455" s="67"/>
      <c r="OLD455" s="67"/>
      <c r="OLE455" s="67"/>
      <c r="OLF455" s="67"/>
      <c r="OLG455" s="67"/>
      <c r="OLH455" s="67"/>
      <c r="OLI455" s="67"/>
      <c r="OLJ455" s="67"/>
      <c r="OLK455" s="67"/>
      <c r="OLL455" s="67"/>
      <c r="OLM455" s="67"/>
      <c r="OLN455" s="67"/>
      <c r="OLO455" s="67"/>
      <c r="OLP455" s="67"/>
      <c r="OLQ455" s="67"/>
      <c r="OLR455" s="67"/>
      <c r="OLS455" s="67"/>
      <c r="OLT455" s="67"/>
      <c r="OLU455" s="67"/>
      <c r="OLV455" s="67"/>
      <c r="OLW455" s="67"/>
      <c r="OLX455" s="67"/>
      <c r="OLY455" s="67"/>
      <c r="OLZ455" s="67"/>
      <c r="OMA455" s="67"/>
      <c r="OMB455" s="67"/>
      <c r="OMC455" s="67"/>
      <c r="OMD455" s="67"/>
      <c r="OME455" s="67"/>
      <c r="OMF455" s="67"/>
      <c r="OMG455" s="67"/>
      <c r="OMH455" s="67"/>
      <c r="OMI455" s="67"/>
      <c r="OMJ455" s="67"/>
      <c r="OMK455" s="67"/>
      <c r="OML455" s="67"/>
      <c r="OMM455" s="67"/>
      <c r="OMN455" s="67"/>
      <c r="OMO455" s="67"/>
      <c r="OMP455" s="67"/>
      <c r="OMQ455" s="67"/>
      <c r="OMR455" s="67"/>
      <c r="OMS455" s="67"/>
      <c r="OMT455" s="67"/>
      <c r="OMU455" s="67"/>
      <c r="OMV455" s="67"/>
      <c r="OMW455" s="67"/>
      <c r="OMX455" s="67"/>
      <c r="OMY455" s="67"/>
      <c r="OMZ455" s="67"/>
      <c r="ONA455" s="67"/>
      <c r="ONB455" s="67"/>
      <c r="ONC455" s="67"/>
      <c r="OND455" s="67"/>
      <c r="ONE455" s="67"/>
      <c r="ONF455" s="67"/>
      <c r="ONG455" s="67"/>
      <c r="ONH455" s="67"/>
      <c r="ONI455" s="67"/>
      <c r="ONJ455" s="67"/>
      <c r="ONK455" s="67"/>
      <c r="ONL455" s="67"/>
      <c r="ONM455" s="67"/>
      <c r="ONN455" s="67"/>
      <c r="ONO455" s="67"/>
      <c r="ONP455" s="67"/>
      <c r="ONQ455" s="67"/>
      <c r="ONR455" s="67"/>
      <c r="ONS455" s="67"/>
      <c r="ONT455" s="67"/>
      <c r="ONU455" s="67"/>
      <c r="ONV455" s="67"/>
      <c r="ONW455" s="67"/>
      <c r="ONX455" s="67"/>
      <c r="ONY455" s="67"/>
      <c r="ONZ455" s="67"/>
      <c r="OOA455" s="67"/>
      <c r="OOB455" s="67"/>
      <c r="OOC455" s="67"/>
      <c r="OOD455" s="67"/>
      <c r="OOE455" s="67"/>
      <c r="OOF455" s="67"/>
      <c r="OOG455" s="67"/>
      <c r="OOH455" s="67"/>
      <c r="OOI455" s="67"/>
      <c r="OOJ455" s="67"/>
      <c r="OOK455" s="67"/>
      <c r="OOL455" s="67"/>
      <c r="OOM455" s="67"/>
      <c r="OON455" s="67"/>
      <c r="OOO455" s="67"/>
      <c r="OOP455" s="67"/>
      <c r="OOQ455" s="67"/>
      <c r="OOR455" s="67"/>
      <c r="OOS455" s="67"/>
      <c r="OOT455" s="67"/>
      <c r="OOU455" s="67"/>
      <c r="OOV455" s="67"/>
      <c r="OOW455" s="67"/>
      <c r="OOX455" s="67"/>
      <c r="OOY455" s="67"/>
      <c r="OOZ455" s="67"/>
      <c r="OPA455" s="67"/>
      <c r="OPB455" s="67"/>
      <c r="OPC455" s="67"/>
      <c r="OPD455" s="67"/>
      <c r="OPE455" s="67"/>
      <c r="OPF455" s="67"/>
      <c r="OPG455" s="67"/>
      <c r="OPH455" s="67"/>
      <c r="OPI455" s="67"/>
      <c r="OPJ455" s="67"/>
      <c r="OPK455" s="67"/>
      <c r="OPL455" s="67"/>
      <c r="OPM455" s="67"/>
      <c r="OPN455" s="67"/>
      <c r="OPO455" s="67"/>
      <c r="OPP455" s="67"/>
      <c r="OPQ455" s="67"/>
      <c r="OPR455" s="67"/>
      <c r="OPS455" s="67"/>
      <c r="OPT455" s="67"/>
      <c r="OPU455" s="67"/>
      <c r="OPV455" s="67"/>
      <c r="OPW455" s="67"/>
      <c r="OPX455" s="67"/>
      <c r="OPY455" s="67"/>
      <c r="OPZ455" s="67"/>
      <c r="OQA455" s="67"/>
      <c r="OQB455" s="67"/>
      <c r="OQC455" s="67"/>
      <c r="OQD455" s="67"/>
      <c r="OQE455" s="67"/>
      <c r="OQF455" s="67"/>
      <c r="OQG455" s="67"/>
      <c r="OQH455" s="67"/>
      <c r="OQI455" s="67"/>
      <c r="OQJ455" s="67"/>
      <c r="OQK455" s="67"/>
      <c r="OQL455" s="67"/>
      <c r="OQM455" s="67"/>
      <c r="OQN455" s="67"/>
      <c r="OQO455" s="67"/>
      <c r="OQP455" s="67"/>
      <c r="OQQ455" s="67"/>
      <c r="OQR455" s="67"/>
      <c r="OQS455" s="67"/>
      <c r="OQT455" s="67"/>
      <c r="OQU455" s="67"/>
      <c r="OQV455" s="67"/>
      <c r="OQW455" s="67"/>
      <c r="OQX455" s="67"/>
      <c r="OQY455" s="67"/>
      <c r="OQZ455" s="67"/>
      <c r="ORA455" s="67"/>
      <c r="ORB455" s="67"/>
      <c r="ORC455" s="67"/>
      <c r="ORD455" s="67"/>
      <c r="ORE455" s="67"/>
      <c r="ORF455" s="67"/>
      <c r="ORG455" s="67"/>
      <c r="ORH455" s="67"/>
      <c r="ORI455" s="67"/>
      <c r="ORJ455" s="67"/>
      <c r="ORK455" s="67"/>
      <c r="ORL455" s="67"/>
      <c r="ORM455" s="67"/>
      <c r="ORN455" s="67"/>
      <c r="ORO455" s="67"/>
      <c r="ORP455" s="67"/>
      <c r="ORQ455" s="67"/>
      <c r="ORR455" s="67"/>
      <c r="ORS455" s="67"/>
      <c r="ORT455" s="67"/>
      <c r="ORU455" s="67"/>
      <c r="ORV455" s="67"/>
      <c r="ORW455" s="67"/>
      <c r="ORX455" s="67"/>
      <c r="ORY455" s="67"/>
      <c r="ORZ455" s="67"/>
      <c r="OSA455" s="67"/>
      <c r="OSB455" s="67"/>
      <c r="OSC455" s="67"/>
      <c r="OSD455" s="67"/>
      <c r="OSE455" s="67"/>
      <c r="OSF455" s="67"/>
      <c r="OSG455" s="67"/>
      <c r="OSH455" s="67"/>
      <c r="OSI455" s="67"/>
      <c r="OSJ455" s="67"/>
      <c r="OSK455" s="67"/>
      <c r="OSL455" s="67"/>
      <c r="OSM455" s="67"/>
      <c r="OSN455" s="67"/>
      <c r="OSO455" s="67"/>
      <c r="OSP455" s="67"/>
      <c r="OSQ455" s="67"/>
      <c r="OSR455" s="67"/>
      <c r="OSS455" s="67"/>
      <c r="OST455" s="67"/>
      <c r="OSU455" s="67"/>
      <c r="OSV455" s="67"/>
      <c r="OSW455" s="67"/>
      <c r="OSX455" s="67"/>
      <c r="OSY455" s="67"/>
      <c r="OSZ455" s="67"/>
      <c r="OTA455" s="67"/>
      <c r="OTB455" s="67"/>
      <c r="OTC455" s="67"/>
      <c r="OTD455" s="67"/>
      <c r="OTE455" s="67"/>
      <c r="OTF455" s="67"/>
      <c r="OTG455" s="67"/>
      <c r="OTH455" s="67"/>
      <c r="OTI455" s="67"/>
      <c r="OTJ455" s="67"/>
      <c r="OTK455" s="67"/>
      <c r="OTL455" s="67"/>
      <c r="OTM455" s="67"/>
      <c r="OTN455" s="67"/>
      <c r="OTO455" s="67"/>
      <c r="OTP455" s="67"/>
      <c r="OTQ455" s="67"/>
      <c r="OTR455" s="67"/>
      <c r="OTS455" s="67"/>
      <c r="OTT455" s="67"/>
      <c r="OTU455" s="67"/>
      <c r="OTV455" s="67"/>
      <c r="OTW455" s="67"/>
      <c r="OTX455" s="67"/>
      <c r="OTY455" s="67"/>
      <c r="OTZ455" s="67"/>
      <c r="OUA455" s="67"/>
      <c r="OUB455" s="67"/>
      <c r="OUC455" s="67"/>
      <c r="OUD455" s="67"/>
      <c r="OUE455" s="67"/>
      <c r="OUF455" s="67"/>
      <c r="OUG455" s="67"/>
      <c r="OUH455" s="67"/>
      <c r="OUI455" s="67"/>
      <c r="OUJ455" s="67"/>
      <c r="OUK455" s="67"/>
      <c r="OUL455" s="67"/>
      <c r="OUM455" s="67"/>
      <c r="OUN455" s="67"/>
      <c r="OUO455" s="67"/>
      <c r="OUP455" s="67"/>
      <c r="OUQ455" s="67"/>
      <c r="OUR455" s="67"/>
      <c r="OUS455" s="67"/>
      <c r="OUT455" s="67"/>
      <c r="OUU455" s="67"/>
      <c r="OUV455" s="67"/>
      <c r="OUW455" s="67"/>
      <c r="OUX455" s="67"/>
      <c r="OUY455" s="67"/>
      <c r="OUZ455" s="67"/>
      <c r="OVA455" s="67"/>
      <c r="OVB455" s="67"/>
      <c r="OVC455" s="67"/>
      <c r="OVD455" s="67"/>
      <c r="OVE455" s="67"/>
      <c r="OVF455" s="67"/>
      <c r="OVG455" s="67"/>
      <c r="OVH455" s="67"/>
      <c r="OVI455" s="67"/>
      <c r="OVJ455" s="67"/>
      <c r="OVK455" s="67"/>
      <c r="OVL455" s="67"/>
      <c r="OVM455" s="67"/>
      <c r="OVN455" s="67"/>
      <c r="OVO455" s="67"/>
      <c r="OVP455" s="67"/>
      <c r="OVQ455" s="67"/>
      <c r="OVR455" s="67"/>
      <c r="OVS455" s="67"/>
      <c r="OVT455" s="67"/>
      <c r="OVU455" s="67"/>
      <c r="OVV455" s="67"/>
      <c r="OVW455" s="67"/>
      <c r="OVX455" s="67"/>
      <c r="OVY455" s="67"/>
      <c r="OVZ455" s="67"/>
      <c r="OWA455" s="67"/>
      <c r="OWB455" s="67"/>
      <c r="OWC455" s="67"/>
      <c r="OWD455" s="67"/>
      <c r="OWE455" s="67"/>
      <c r="OWF455" s="67"/>
      <c r="OWG455" s="67"/>
      <c r="OWH455" s="67"/>
      <c r="OWI455" s="67"/>
      <c r="OWJ455" s="67"/>
      <c r="OWK455" s="67"/>
      <c r="OWL455" s="67"/>
      <c r="OWM455" s="67"/>
      <c r="OWN455" s="67"/>
      <c r="OWO455" s="67"/>
      <c r="OWP455" s="67"/>
      <c r="OWQ455" s="67"/>
      <c r="OWR455" s="67"/>
      <c r="OWS455" s="67"/>
      <c r="OWT455" s="67"/>
      <c r="OWU455" s="67"/>
      <c r="OWV455" s="67"/>
      <c r="OWW455" s="67"/>
      <c r="OWX455" s="67"/>
      <c r="OWY455" s="67"/>
      <c r="OWZ455" s="67"/>
      <c r="OXA455" s="67"/>
      <c r="OXB455" s="67"/>
      <c r="OXC455" s="67"/>
      <c r="OXD455" s="67"/>
      <c r="OXE455" s="67"/>
      <c r="OXF455" s="67"/>
      <c r="OXG455" s="67"/>
      <c r="OXH455" s="67"/>
      <c r="OXI455" s="67"/>
      <c r="OXJ455" s="67"/>
      <c r="OXK455" s="67"/>
      <c r="OXL455" s="67"/>
      <c r="OXM455" s="67"/>
      <c r="OXN455" s="67"/>
      <c r="OXO455" s="67"/>
      <c r="OXP455" s="67"/>
      <c r="OXQ455" s="67"/>
      <c r="OXR455" s="67"/>
      <c r="OXS455" s="67"/>
      <c r="OXT455" s="67"/>
      <c r="OXU455" s="67"/>
      <c r="OXV455" s="67"/>
      <c r="OXW455" s="67"/>
      <c r="OXX455" s="67"/>
      <c r="OXY455" s="67"/>
      <c r="OXZ455" s="67"/>
      <c r="OYA455" s="67"/>
      <c r="OYB455" s="67"/>
      <c r="OYC455" s="67"/>
      <c r="OYD455" s="67"/>
      <c r="OYE455" s="67"/>
      <c r="OYF455" s="67"/>
      <c r="OYG455" s="67"/>
      <c r="OYH455" s="67"/>
      <c r="OYI455" s="67"/>
      <c r="OYJ455" s="67"/>
      <c r="OYK455" s="67"/>
      <c r="OYL455" s="67"/>
      <c r="OYM455" s="67"/>
      <c r="OYN455" s="67"/>
      <c r="OYO455" s="67"/>
      <c r="OYP455" s="67"/>
      <c r="OYQ455" s="67"/>
      <c r="OYR455" s="67"/>
      <c r="OYS455" s="67"/>
      <c r="OYT455" s="67"/>
      <c r="OYU455" s="67"/>
      <c r="OYV455" s="67"/>
      <c r="OYW455" s="67"/>
      <c r="OYX455" s="67"/>
      <c r="OYY455" s="67"/>
      <c r="OYZ455" s="67"/>
      <c r="OZA455" s="67"/>
      <c r="OZB455" s="67"/>
      <c r="OZC455" s="67"/>
      <c r="OZD455" s="67"/>
      <c r="OZE455" s="67"/>
      <c r="OZF455" s="67"/>
      <c r="OZG455" s="67"/>
      <c r="OZH455" s="67"/>
      <c r="OZI455" s="67"/>
      <c r="OZJ455" s="67"/>
      <c r="OZK455" s="67"/>
      <c r="OZL455" s="67"/>
      <c r="OZM455" s="67"/>
      <c r="OZN455" s="67"/>
      <c r="OZO455" s="67"/>
      <c r="OZP455" s="67"/>
      <c r="OZQ455" s="67"/>
      <c r="OZR455" s="67"/>
      <c r="OZS455" s="67"/>
      <c r="OZT455" s="67"/>
      <c r="OZU455" s="67"/>
      <c r="OZV455" s="67"/>
      <c r="OZW455" s="67"/>
      <c r="OZX455" s="67"/>
      <c r="OZY455" s="67"/>
      <c r="OZZ455" s="67"/>
      <c r="PAA455" s="67"/>
      <c r="PAB455" s="67"/>
      <c r="PAC455" s="67"/>
      <c r="PAD455" s="67"/>
      <c r="PAE455" s="67"/>
      <c r="PAF455" s="67"/>
      <c r="PAG455" s="67"/>
      <c r="PAH455" s="67"/>
      <c r="PAI455" s="67"/>
      <c r="PAJ455" s="67"/>
      <c r="PAK455" s="67"/>
      <c r="PAL455" s="67"/>
      <c r="PAM455" s="67"/>
      <c r="PAN455" s="67"/>
      <c r="PAO455" s="67"/>
      <c r="PAP455" s="67"/>
      <c r="PAQ455" s="67"/>
      <c r="PAR455" s="67"/>
      <c r="PAS455" s="67"/>
      <c r="PAT455" s="67"/>
      <c r="PAU455" s="67"/>
      <c r="PAV455" s="67"/>
      <c r="PAW455" s="67"/>
      <c r="PAX455" s="67"/>
      <c r="PAY455" s="67"/>
      <c r="PAZ455" s="67"/>
      <c r="PBA455" s="67"/>
      <c r="PBB455" s="67"/>
      <c r="PBC455" s="67"/>
      <c r="PBD455" s="67"/>
      <c r="PBE455" s="67"/>
      <c r="PBF455" s="67"/>
      <c r="PBG455" s="67"/>
      <c r="PBH455" s="67"/>
      <c r="PBI455" s="67"/>
      <c r="PBJ455" s="67"/>
      <c r="PBK455" s="67"/>
      <c r="PBL455" s="67"/>
      <c r="PBM455" s="67"/>
      <c r="PBN455" s="67"/>
      <c r="PBO455" s="67"/>
      <c r="PBP455" s="67"/>
      <c r="PBQ455" s="67"/>
      <c r="PBR455" s="67"/>
      <c r="PBS455" s="67"/>
      <c r="PBT455" s="67"/>
      <c r="PBU455" s="67"/>
      <c r="PBV455" s="67"/>
      <c r="PBW455" s="67"/>
      <c r="PBX455" s="67"/>
      <c r="PBY455" s="67"/>
      <c r="PBZ455" s="67"/>
      <c r="PCA455" s="67"/>
      <c r="PCB455" s="67"/>
      <c r="PCC455" s="67"/>
      <c r="PCD455" s="67"/>
      <c r="PCE455" s="67"/>
      <c r="PCF455" s="67"/>
      <c r="PCG455" s="67"/>
      <c r="PCH455" s="67"/>
      <c r="PCI455" s="67"/>
      <c r="PCJ455" s="67"/>
      <c r="PCK455" s="67"/>
      <c r="PCL455" s="67"/>
      <c r="PCM455" s="67"/>
      <c r="PCN455" s="67"/>
      <c r="PCO455" s="67"/>
      <c r="PCP455" s="67"/>
      <c r="PCQ455" s="67"/>
      <c r="PCR455" s="67"/>
      <c r="PCS455" s="67"/>
      <c r="PCT455" s="67"/>
      <c r="PCU455" s="67"/>
      <c r="PCV455" s="67"/>
      <c r="PCW455" s="67"/>
      <c r="PCX455" s="67"/>
      <c r="PCY455" s="67"/>
      <c r="PCZ455" s="67"/>
      <c r="PDA455" s="67"/>
      <c r="PDB455" s="67"/>
      <c r="PDC455" s="67"/>
      <c r="PDD455" s="67"/>
      <c r="PDE455" s="67"/>
      <c r="PDF455" s="67"/>
      <c r="PDG455" s="67"/>
      <c r="PDH455" s="67"/>
      <c r="PDI455" s="67"/>
      <c r="PDJ455" s="67"/>
      <c r="PDK455" s="67"/>
      <c r="PDL455" s="67"/>
      <c r="PDM455" s="67"/>
      <c r="PDN455" s="67"/>
      <c r="PDO455" s="67"/>
      <c r="PDP455" s="67"/>
      <c r="PDQ455" s="67"/>
      <c r="PDR455" s="67"/>
      <c r="PDS455" s="67"/>
      <c r="PDT455" s="67"/>
      <c r="PDU455" s="67"/>
      <c r="PDV455" s="67"/>
      <c r="PDW455" s="67"/>
      <c r="PDX455" s="67"/>
      <c r="PDY455" s="67"/>
      <c r="PDZ455" s="67"/>
      <c r="PEA455" s="67"/>
      <c r="PEB455" s="67"/>
      <c r="PEC455" s="67"/>
      <c r="PED455" s="67"/>
      <c r="PEE455" s="67"/>
      <c r="PEF455" s="67"/>
      <c r="PEG455" s="67"/>
      <c r="PEH455" s="67"/>
      <c r="PEI455" s="67"/>
      <c r="PEJ455" s="67"/>
      <c r="PEK455" s="67"/>
      <c r="PEL455" s="67"/>
      <c r="PEM455" s="67"/>
      <c r="PEN455" s="67"/>
      <c r="PEO455" s="67"/>
      <c r="PEP455" s="67"/>
      <c r="PEQ455" s="67"/>
      <c r="PER455" s="67"/>
      <c r="PES455" s="67"/>
      <c r="PET455" s="67"/>
      <c r="PEU455" s="67"/>
      <c r="PEV455" s="67"/>
      <c r="PEW455" s="67"/>
      <c r="PEX455" s="67"/>
      <c r="PEY455" s="67"/>
      <c r="PEZ455" s="67"/>
      <c r="PFA455" s="67"/>
      <c r="PFB455" s="67"/>
      <c r="PFC455" s="67"/>
      <c r="PFD455" s="67"/>
      <c r="PFE455" s="67"/>
      <c r="PFF455" s="67"/>
      <c r="PFG455" s="67"/>
      <c r="PFH455" s="67"/>
      <c r="PFI455" s="67"/>
      <c r="PFJ455" s="67"/>
      <c r="PFK455" s="67"/>
      <c r="PFL455" s="67"/>
      <c r="PFM455" s="67"/>
      <c r="PFN455" s="67"/>
      <c r="PFO455" s="67"/>
      <c r="PFP455" s="67"/>
      <c r="PFQ455" s="67"/>
      <c r="PFR455" s="67"/>
      <c r="PFS455" s="67"/>
      <c r="PFT455" s="67"/>
      <c r="PFU455" s="67"/>
      <c r="PFV455" s="67"/>
      <c r="PFW455" s="67"/>
      <c r="PFX455" s="67"/>
      <c r="PFY455" s="67"/>
      <c r="PFZ455" s="67"/>
      <c r="PGA455" s="67"/>
      <c r="PGB455" s="67"/>
      <c r="PGC455" s="67"/>
      <c r="PGD455" s="67"/>
      <c r="PGE455" s="67"/>
      <c r="PGF455" s="67"/>
      <c r="PGG455" s="67"/>
      <c r="PGH455" s="67"/>
      <c r="PGI455" s="67"/>
      <c r="PGJ455" s="67"/>
      <c r="PGK455" s="67"/>
      <c r="PGL455" s="67"/>
      <c r="PGM455" s="67"/>
      <c r="PGN455" s="67"/>
      <c r="PGO455" s="67"/>
      <c r="PGP455" s="67"/>
      <c r="PGQ455" s="67"/>
      <c r="PGR455" s="67"/>
      <c r="PGS455" s="67"/>
      <c r="PGT455" s="67"/>
      <c r="PGU455" s="67"/>
      <c r="PGV455" s="67"/>
      <c r="PGW455" s="67"/>
      <c r="PGX455" s="67"/>
      <c r="PGY455" s="67"/>
      <c r="PGZ455" s="67"/>
      <c r="PHA455" s="67"/>
      <c r="PHB455" s="67"/>
      <c r="PHC455" s="67"/>
      <c r="PHD455" s="67"/>
      <c r="PHE455" s="67"/>
      <c r="PHF455" s="67"/>
      <c r="PHG455" s="67"/>
      <c r="PHH455" s="67"/>
      <c r="PHI455" s="67"/>
      <c r="PHJ455" s="67"/>
      <c r="PHK455" s="67"/>
      <c r="PHL455" s="67"/>
      <c r="PHM455" s="67"/>
      <c r="PHN455" s="67"/>
      <c r="PHO455" s="67"/>
      <c r="PHP455" s="67"/>
      <c r="PHQ455" s="67"/>
      <c r="PHR455" s="67"/>
      <c r="PHS455" s="67"/>
      <c r="PHT455" s="67"/>
      <c r="PHU455" s="67"/>
      <c r="PHV455" s="67"/>
      <c r="PHW455" s="67"/>
      <c r="PHX455" s="67"/>
      <c r="PHY455" s="67"/>
      <c r="PHZ455" s="67"/>
      <c r="PIA455" s="67"/>
      <c r="PIB455" s="67"/>
      <c r="PIC455" s="67"/>
      <c r="PID455" s="67"/>
      <c r="PIE455" s="67"/>
      <c r="PIF455" s="67"/>
      <c r="PIG455" s="67"/>
      <c r="PIH455" s="67"/>
      <c r="PII455" s="67"/>
      <c r="PIJ455" s="67"/>
      <c r="PIK455" s="67"/>
      <c r="PIL455" s="67"/>
      <c r="PIM455" s="67"/>
      <c r="PIN455" s="67"/>
      <c r="PIO455" s="67"/>
      <c r="PIP455" s="67"/>
      <c r="PIQ455" s="67"/>
      <c r="PIR455" s="67"/>
      <c r="PIS455" s="67"/>
      <c r="PIT455" s="67"/>
      <c r="PIU455" s="67"/>
      <c r="PIV455" s="67"/>
      <c r="PIW455" s="67"/>
      <c r="PIX455" s="67"/>
      <c r="PIY455" s="67"/>
      <c r="PIZ455" s="67"/>
      <c r="PJA455" s="67"/>
      <c r="PJB455" s="67"/>
      <c r="PJC455" s="67"/>
      <c r="PJD455" s="67"/>
      <c r="PJE455" s="67"/>
      <c r="PJF455" s="67"/>
      <c r="PJG455" s="67"/>
      <c r="PJH455" s="67"/>
      <c r="PJI455" s="67"/>
      <c r="PJJ455" s="67"/>
      <c r="PJK455" s="67"/>
      <c r="PJL455" s="67"/>
      <c r="PJM455" s="67"/>
      <c r="PJN455" s="67"/>
      <c r="PJO455" s="67"/>
      <c r="PJP455" s="67"/>
      <c r="PJQ455" s="67"/>
      <c r="PJR455" s="67"/>
      <c r="PJS455" s="67"/>
      <c r="PJT455" s="67"/>
      <c r="PJU455" s="67"/>
      <c r="PJV455" s="67"/>
      <c r="PJW455" s="67"/>
      <c r="PJX455" s="67"/>
      <c r="PJY455" s="67"/>
      <c r="PJZ455" s="67"/>
      <c r="PKA455" s="67"/>
      <c r="PKB455" s="67"/>
      <c r="PKC455" s="67"/>
      <c r="PKD455" s="67"/>
      <c r="PKE455" s="67"/>
      <c r="PKF455" s="67"/>
      <c r="PKG455" s="67"/>
      <c r="PKH455" s="67"/>
      <c r="PKI455" s="67"/>
      <c r="PKJ455" s="67"/>
      <c r="PKK455" s="67"/>
      <c r="PKL455" s="67"/>
      <c r="PKM455" s="67"/>
      <c r="PKN455" s="67"/>
      <c r="PKO455" s="67"/>
      <c r="PKP455" s="67"/>
      <c r="PKQ455" s="67"/>
      <c r="PKR455" s="67"/>
      <c r="PKS455" s="67"/>
      <c r="PKT455" s="67"/>
      <c r="PKU455" s="67"/>
      <c r="PKV455" s="67"/>
      <c r="PKW455" s="67"/>
      <c r="PKX455" s="67"/>
      <c r="PKY455" s="67"/>
      <c r="PKZ455" s="67"/>
      <c r="PLA455" s="67"/>
      <c r="PLB455" s="67"/>
      <c r="PLC455" s="67"/>
      <c r="PLD455" s="67"/>
      <c r="PLE455" s="67"/>
      <c r="PLF455" s="67"/>
      <c r="PLG455" s="67"/>
      <c r="PLH455" s="67"/>
      <c r="PLI455" s="67"/>
      <c r="PLJ455" s="67"/>
      <c r="PLK455" s="67"/>
      <c r="PLL455" s="67"/>
      <c r="PLM455" s="67"/>
      <c r="PLN455" s="67"/>
      <c r="PLO455" s="67"/>
      <c r="PLP455" s="67"/>
      <c r="PLQ455" s="67"/>
      <c r="PLR455" s="67"/>
      <c r="PLS455" s="67"/>
      <c r="PLT455" s="67"/>
      <c r="PLU455" s="67"/>
      <c r="PLV455" s="67"/>
      <c r="PLW455" s="67"/>
      <c r="PLX455" s="67"/>
      <c r="PLY455" s="67"/>
      <c r="PLZ455" s="67"/>
      <c r="PMA455" s="67"/>
      <c r="PMB455" s="67"/>
      <c r="PMC455" s="67"/>
      <c r="PMD455" s="67"/>
      <c r="PME455" s="67"/>
      <c r="PMF455" s="67"/>
      <c r="PMG455" s="67"/>
      <c r="PMH455" s="67"/>
      <c r="PMI455" s="67"/>
      <c r="PMJ455" s="67"/>
      <c r="PMK455" s="67"/>
      <c r="PML455" s="67"/>
      <c r="PMM455" s="67"/>
      <c r="PMN455" s="67"/>
      <c r="PMO455" s="67"/>
      <c r="PMP455" s="67"/>
      <c r="PMQ455" s="67"/>
      <c r="PMR455" s="67"/>
      <c r="PMS455" s="67"/>
      <c r="PMT455" s="67"/>
      <c r="PMU455" s="67"/>
      <c r="PMV455" s="67"/>
      <c r="PMW455" s="67"/>
      <c r="PMX455" s="67"/>
      <c r="PMY455" s="67"/>
      <c r="PMZ455" s="67"/>
      <c r="PNA455" s="67"/>
      <c r="PNB455" s="67"/>
      <c r="PNC455" s="67"/>
      <c r="PND455" s="67"/>
      <c r="PNE455" s="67"/>
      <c r="PNF455" s="67"/>
      <c r="PNG455" s="67"/>
      <c r="PNH455" s="67"/>
      <c r="PNI455" s="67"/>
      <c r="PNJ455" s="67"/>
      <c r="PNK455" s="67"/>
      <c r="PNL455" s="67"/>
      <c r="PNM455" s="67"/>
      <c r="PNN455" s="67"/>
      <c r="PNO455" s="67"/>
      <c r="PNP455" s="67"/>
      <c r="PNQ455" s="67"/>
      <c r="PNR455" s="67"/>
      <c r="PNS455" s="67"/>
      <c r="PNT455" s="67"/>
      <c r="PNU455" s="67"/>
      <c r="PNV455" s="67"/>
      <c r="PNW455" s="67"/>
      <c r="PNX455" s="67"/>
      <c r="PNY455" s="67"/>
      <c r="PNZ455" s="67"/>
      <c r="POA455" s="67"/>
      <c r="POB455" s="67"/>
      <c r="POC455" s="67"/>
      <c r="POD455" s="67"/>
      <c r="POE455" s="67"/>
      <c r="POF455" s="67"/>
      <c r="POG455" s="67"/>
      <c r="POH455" s="67"/>
      <c r="POI455" s="67"/>
      <c r="POJ455" s="67"/>
      <c r="POK455" s="67"/>
      <c r="POL455" s="67"/>
      <c r="POM455" s="67"/>
      <c r="PON455" s="67"/>
      <c r="POO455" s="67"/>
      <c r="POP455" s="67"/>
      <c r="POQ455" s="67"/>
      <c r="POR455" s="67"/>
      <c r="POS455" s="67"/>
      <c r="POT455" s="67"/>
      <c r="POU455" s="67"/>
      <c r="POV455" s="67"/>
      <c r="POW455" s="67"/>
      <c r="POX455" s="67"/>
      <c r="POY455" s="67"/>
      <c r="POZ455" s="67"/>
      <c r="PPA455" s="67"/>
      <c r="PPB455" s="67"/>
      <c r="PPC455" s="67"/>
      <c r="PPD455" s="67"/>
      <c r="PPE455" s="67"/>
      <c r="PPF455" s="67"/>
      <c r="PPG455" s="67"/>
      <c r="PPH455" s="67"/>
      <c r="PPI455" s="67"/>
      <c r="PPJ455" s="67"/>
      <c r="PPK455" s="67"/>
      <c r="PPL455" s="67"/>
      <c r="PPM455" s="67"/>
      <c r="PPN455" s="67"/>
      <c r="PPO455" s="67"/>
      <c r="PPP455" s="67"/>
      <c r="PPQ455" s="67"/>
      <c r="PPR455" s="67"/>
      <c r="PPS455" s="67"/>
      <c r="PPT455" s="67"/>
      <c r="PPU455" s="67"/>
      <c r="PPV455" s="67"/>
      <c r="PPW455" s="67"/>
      <c r="PPX455" s="67"/>
      <c r="PPY455" s="67"/>
      <c r="PPZ455" s="67"/>
      <c r="PQA455" s="67"/>
      <c r="PQB455" s="67"/>
      <c r="PQC455" s="67"/>
      <c r="PQD455" s="67"/>
      <c r="PQE455" s="67"/>
      <c r="PQF455" s="67"/>
      <c r="PQG455" s="67"/>
      <c r="PQH455" s="67"/>
      <c r="PQI455" s="67"/>
      <c r="PQJ455" s="67"/>
      <c r="PQK455" s="67"/>
      <c r="PQL455" s="67"/>
      <c r="PQM455" s="67"/>
      <c r="PQN455" s="67"/>
      <c r="PQO455" s="67"/>
      <c r="PQP455" s="67"/>
      <c r="PQQ455" s="67"/>
      <c r="PQR455" s="67"/>
      <c r="PQS455" s="67"/>
      <c r="PQT455" s="67"/>
      <c r="PQU455" s="67"/>
      <c r="PQV455" s="67"/>
      <c r="PQW455" s="67"/>
      <c r="PQX455" s="67"/>
      <c r="PQY455" s="67"/>
      <c r="PQZ455" s="67"/>
      <c r="PRA455" s="67"/>
      <c r="PRB455" s="67"/>
      <c r="PRC455" s="67"/>
      <c r="PRD455" s="67"/>
      <c r="PRE455" s="67"/>
      <c r="PRF455" s="67"/>
      <c r="PRG455" s="67"/>
      <c r="PRH455" s="67"/>
      <c r="PRI455" s="67"/>
      <c r="PRJ455" s="67"/>
      <c r="PRK455" s="67"/>
      <c r="PRL455" s="67"/>
      <c r="PRM455" s="67"/>
      <c r="PRN455" s="67"/>
      <c r="PRO455" s="67"/>
      <c r="PRP455" s="67"/>
      <c r="PRQ455" s="67"/>
      <c r="PRR455" s="67"/>
      <c r="PRS455" s="67"/>
      <c r="PRT455" s="67"/>
      <c r="PRU455" s="67"/>
      <c r="PRV455" s="67"/>
      <c r="PRW455" s="67"/>
      <c r="PRX455" s="67"/>
      <c r="PRY455" s="67"/>
      <c r="PRZ455" s="67"/>
      <c r="PSA455" s="67"/>
      <c r="PSB455" s="67"/>
      <c r="PSC455" s="67"/>
      <c r="PSD455" s="67"/>
      <c r="PSE455" s="67"/>
      <c r="PSF455" s="67"/>
      <c r="PSG455" s="67"/>
      <c r="PSH455" s="67"/>
      <c r="PSI455" s="67"/>
      <c r="PSJ455" s="67"/>
      <c r="PSK455" s="67"/>
      <c r="PSL455" s="67"/>
      <c r="PSM455" s="67"/>
      <c r="PSN455" s="67"/>
      <c r="PSO455" s="67"/>
      <c r="PSP455" s="67"/>
      <c r="PSQ455" s="67"/>
      <c r="PSR455" s="67"/>
      <c r="PSS455" s="67"/>
      <c r="PST455" s="67"/>
      <c r="PSU455" s="67"/>
      <c r="PSV455" s="67"/>
      <c r="PSW455" s="67"/>
      <c r="PSX455" s="67"/>
      <c r="PSY455" s="67"/>
      <c r="PSZ455" s="67"/>
      <c r="PTA455" s="67"/>
      <c r="PTB455" s="67"/>
      <c r="PTC455" s="67"/>
      <c r="PTD455" s="67"/>
      <c r="PTE455" s="67"/>
      <c r="PTF455" s="67"/>
      <c r="PTG455" s="67"/>
      <c r="PTH455" s="67"/>
      <c r="PTI455" s="67"/>
      <c r="PTJ455" s="67"/>
      <c r="PTK455" s="67"/>
      <c r="PTL455" s="67"/>
      <c r="PTM455" s="67"/>
      <c r="PTN455" s="67"/>
      <c r="PTO455" s="67"/>
      <c r="PTP455" s="67"/>
      <c r="PTQ455" s="67"/>
      <c r="PTR455" s="67"/>
      <c r="PTS455" s="67"/>
      <c r="PTT455" s="67"/>
      <c r="PTU455" s="67"/>
      <c r="PTV455" s="67"/>
      <c r="PTW455" s="67"/>
      <c r="PTX455" s="67"/>
      <c r="PTY455" s="67"/>
      <c r="PTZ455" s="67"/>
      <c r="PUA455" s="67"/>
      <c r="PUB455" s="67"/>
      <c r="PUC455" s="67"/>
      <c r="PUD455" s="67"/>
      <c r="PUE455" s="67"/>
      <c r="PUF455" s="67"/>
      <c r="PUG455" s="67"/>
      <c r="PUH455" s="67"/>
      <c r="PUI455" s="67"/>
      <c r="PUJ455" s="67"/>
      <c r="PUK455" s="67"/>
      <c r="PUL455" s="67"/>
      <c r="PUM455" s="67"/>
      <c r="PUN455" s="67"/>
      <c r="PUO455" s="67"/>
      <c r="PUP455" s="67"/>
      <c r="PUQ455" s="67"/>
      <c r="PUR455" s="67"/>
      <c r="PUS455" s="67"/>
      <c r="PUT455" s="67"/>
      <c r="PUU455" s="67"/>
      <c r="PUV455" s="67"/>
      <c r="PUW455" s="67"/>
      <c r="PUX455" s="67"/>
      <c r="PUY455" s="67"/>
      <c r="PUZ455" s="67"/>
      <c r="PVA455" s="67"/>
      <c r="PVB455" s="67"/>
      <c r="PVC455" s="67"/>
      <c r="PVD455" s="67"/>
      <c r="PVE455" s="67"/>
      <c r="PVF455" s="67"/>
      <c r="PVG455" s="67"/>
      <c r="PVH455" s="67"/>
      <c r="PVI455" s="67"/>
      <c r="PVJ455" s="67"/>
      <c r="PVK455" s="67"/>
      <c r="PVL455" s="67"/>
      <c r="PVM455" s="67"/>
      <c r="PVN455" s="67"/>
      <c r="PVO455" s="67"/>
      <c r="PVP455" s="67"/>
      <c r="PVQ455" s="67"/>
      <c r="PVR455" s="67"/>
      <c r="PVS455" s="67"/>
      <c r="PVT455" s="67"/>
      <c r="PVU455" s="67"/>
      <c r="PVV455" s="67"/>
      <c r="PVW455" s="67"/>
      <c r="PVX455" s="67"/>
      <c r="PVY455" s="67"/>
      <c r="PVZ455" s="67"/>
      <c r="PWA455" s="67"/>
      <c r="PWB455" s="67"/>
      <c r="PWC455" s="67"/>
      <c r="PWD455" s="67"/>
      <c r="PWE455" s="67"/>
      <c r="PWF455" s="67"/>
      <c r="PWG455" s="67"/>
      <c r="PWH455" s="67"/>
      <c r="PWI455" s="67"/>
      <c r="PWJ455" s="67"/>
      <c r="PWK455" s="67"/>
      <c r="PWL455" s="67"/>
      <c r="PWM455" s="67"/>
      <c r="PWN455" s="67"/>
      <c r="PWO455" s="67"/>
      <c r="PWP455" s="67"/>
      <c r="PWQ455" s="67"/>
      <c r="PWR455" s="67"/>
      <c r="PWS455" s="67"/>
      <c r="PWT455" s="67"/>
      <c r="PWU455" s="67"/>
      <c r="PWV455" s="67"/>
      <c r="PWW455" s="67"/>
      <c r="PWX455" s="67"/>
      <c r="PWY455" s="67"/>
      <c r="PWZ455" s="67"/>
      <c r="PXA455" s="67"/>
      <c r="PXB455" s="67"/>
      <c r="PXC455" s="67"/>
      <c r="PXD455" s="67"/>
      <c r="PXE455" s="67"/>
      <c r="PXF455" s="67"/>
      <c r="PXG455" s="67"/>
      <c r="PXH455" s="67"/>
      <c r="PXI455" s="67"/>
      <c r="PXJ455" s="67"/>
      <c r="PXK455" s="67"/>
      <c r="PXL455" s="67"/>
      <c r="PXM455" s="67"/>
      <c r="PXN455" s="67"/>
      <c r="PXO455" s="67"/>
      <c r="PXP455" s="67"/>
      <c r="PXQ455" s="67"/>
      <c r="PXR455" s="67"/>
      <c r="PXS455" s="67"/>
      <c r="PXT455" s="67"/>
      <c r="PXU455" s="67"/>
      <c r="PXV455" s="67"/>
      <c r="PXW455" s="67"/>
      <c r="PXX455" s="67"/>
      <c r="PXY455" s="67"/>
      <c r="PXZ455" s="67"/>
      <c r="PYA455" s="67"/>
      <c r="PYB455" s="67"/>
      <c r="PYC455" s="67"/>
      <c r="PYD455" s="67"/>
      <c r="PYE455" s="67"/>
      <c r="PYF455" s="67"/>
      <c r="PYG455" s="67"/>
      <c r="PYH455" s="67"/>
      <c r="PYI455" s="67"/>
      <c r="PYJ455" s="67"/>
      <c r="PYK455" s="67"/>
      <c r="PYL455" s="67"/>
      <c r="PYM455" s="67"/>
      <c r="PYN455" s="67"/>
      <c r="PYO455" s="67"/>
      <c r="PYP455" s="67"/>
      <c r="PYQ455" s="67"/>
      <c r="PYR455" s="67"/>
      <c r="PYS455" s="67"/>
      <c r="PYT455" s="67"/>
      <c r="PYU455" s="67"/>
      <c r="PYV455" s="67"/>
      <c r="PYW455" s="67"/>
      <c r="PYX455" s="67"/>
      <c r="PYY455" s="67"/>
      <c r="PYZ455" s="67"/>
      <c r="PZA455" s="67"/>
      <c r="PZB455" s="67"/>
      <c r="PZC455" s="67"/>
      <c r="PZD455" s="67"/>
      <c r="PZE455" s="67"/>
      <c r="PZF455" s="67"/>
      <c r="PZG455" s="67"/>
      <c r="PZH455" s="67"/>
      <c r="PZI455" s="67"/>
      <c r="PZJ455" s="67"/>
      <c r="PZK455" s="67"/>
      <c r="PZL455" s="67"/>
      <c r="PZM455" s="67"/>
      <c r="PZN455" s="67"/>
      <c r="PZO455" s="67"/>
      <c r="PZP455" s="67"/>
      <c r="PZQ455" s="67"/>
      <c r="PZR455" s="67"/>
      <c r="PZS455" s="67"/>
      <c r="PZT455" s="67"/>
      <c r="PZU455" s="67"/>
      <c r="PZV455" s="67"/>
      <c r="PZW455" s="67"/>
      <c r="PZX455" s="67"/>
      <c r="PZY455" s="67"/>
      <c r="PZZ455" s="67"/>
      <c r="QAA455" s="67"/>
      <c r="QAB455" s="67"/>
      <c r="QAC455" s="67"/>
      <c r="QAD455" s="67"/>
      <c r="QAE455" s="67"/>
      <c r="QAF455" s="67"/>
      <c r="QAG455" s="67"/>
      <c r="QAH455" s="67"/>
      <c r="QAI455" s="67"/>
      <c r="QAJ455" s="67"/>
      <c r="QAK455" s="67"/>
      <c r="QAL455" s="67"/>
      <c r="QAM455" s="67"/>
      <c r="QAN455" s="67"/>
      <c r="QAO455" s="67"/>
      <c r="QAP455" s="67"/>
      <c r="QAQ455" s="67"/>
      <c r="QAR455" s="67"/>
      <c r="QAS455" s="67"/>
      <c r="QAT455" s="67"/>
      <c r="QAU455" s="67"/>
      <c r="QAV455" s="67"/>
      <c r="QAW455" s="67"/>
      <c r="QAX455" s="67"/>
      <c r="QAY455" s="67"/>
      <c r="QAZ455" s="67"/>
      <c r="QBA455" s="67"/>
      <c r="QBB455" s="67"/>
      <c r="QBC455" s="67"/>
      <c r="QBD455" s="67"/>
      <c r="QBE455" s="67"/>
      <c r="QBF455" s="67"/>
      <c r="QBG455" s="67"/>
      <c r="QBH455" s="67"/>
      <c r="QBI455" s="67"/>
      <c r="QBJ455" s="67"/>
      <c r="QBK455" s="67"/>
      <c r="QBL455" s="67"/>
      <c r="QBM455" s="67"/>
      <c r="QBN455" s="67"/>
      <c r="QBO455" s="67"/>
      <c r="QBP455" s="67"/>
      <c r="QBQ455" s="67"/>
      <c r="QBR455" s="67"/>
      <c r="QBS455" s="67"/>
      <c r="QBT455" s="67"/>
      <c r="QBU455" s="67"/>
      <c r="QBV455" s="67"/>
      <c r="QBW455" s="67"/>
      <c r="QBX455" s="67"/>
      <c r="QBY455" s="67"/>
      <c r="QBZ455" s="67"/>
      <c r="QCA455" s="67"/>
      <c r="QCB455" s="67"/>
      <c r="QCC455" s="67"/>
      <c r="QCD455" s="67"/>
      <c r="QCE455" s="67"/>
      <c r="QCF455" s="67"/>
      <c r="QCG455" s="67"/>
      <c r="QCH455" s="67"/>
      <c r="QCI455" s="67"/>
      <c r="QCJ455" s="67"/>
      <c r="QCK455" s="67"/>
      <c r="QCL455" s="67"/>
      <c r="QCM455" s="67"/>
      <c r="QCN455" s="67"/>
      <c r="QCO455" s="67"/>
      <c r="QCP455" s="67"/>
      <c r="QCQ455" s="67"/>
      <c r="QCR455" s="67"/>
      <c r="QCS455" s="67"/>
      <c r="QCT455" s="67"/>
      <c r="QCU455" s="67"/>
      <c r="QCV455" s="67"/>
      <c r="QCW455" s="67"/>
      <c r="QCX455" s="67"/>
      <c r="QCY455" s="67"/>
      <c r="QCZ455" s="67"/>
      <c r="QDA455" s="67"/>
      <c r="QDB455" s="67"/>
      <c r="QDC455" s="67"/>
      <c r="QDD455" s="67"/>
      <c r="QDE455" s="67"/>
      <c r="QDF455" s="67"/>
      <c r="QDG455" s="67"/>
      <c r="QDH455" s="67"/>
      <c r="QDI455" s="67"/>
      <c r="QDJ455" s="67"/>
      <c r="QDK455" s="67"/>
      <c r="QDL455" s="67"/>
      <c r="QDM455" s="67"/>
      <c r="QDN455" s="67"/>
      <c r="QDO455" s="67"/>
      <c r="QDP455" s="67"/>
      <c r="QDQ455" s="67"/>
      <c r="QDR455" s="67"/>
      <c r="QDS455" s="67"/>
      <c r="QDT455" s="67"/>
      <c r="QDU455" s="67"/>
      <c r="QDV455" s="67"/>
      <c r="QDW455" s="67"/>
      <c r="QDX455" s="67"/>
      <c r="QDY455" s="67"/>
      <c r="QDZ455" s="67"/>
      <c r="QEA455" s="67"/>
      <c r="QEB455" s="67"/>
      <c r="QEC455" s="67"/>
      <c r="QED455" s="67"/>
      <c r="QEE455" s="67"/>
      <c r="QEF455" s="67"/>
      <c r="QEG455" s="67"/>
      <c r="QEH455" s="67"/>
      <c r="QEI455" s="67"/>
      <c r="QEJ455" s="67"/>
      <c r="QEK455" s="67"/>
      <c r="QEL455" s="67"/>
      <c r="QEM455" s="67"/>
      <c r="QEN455" s="67"/>
      <c r="QEO455" s="67"/>
      <c r="QEP455" s="67"/>
      <c r="QEQ455" s="67"/>
      <c r="QER455" s="67"/>
      <c r="QES455" s="67"/>
      <c r="QET455" s="67"/>
      <c r="QEU455" s="67"/>
      <c r="QEV455" s="67"/>
      <c r="QEW455" s="67"/>
      <c r="QEX455" s="67"/>
      <c r="QEY455" s="67"/>
      <c r="QEZ455" s="67"/>
      <c r="QFA455" s="67"/>
      <c r="QFB455" s="67"/>
      <c r="QFC455" s="67"/>
      <c r="QFD455" s="67"/>
      <c r="QFE455" s="67"/>
      <c r="QFF455" s="67"/>
      <c r="QFG455" s="67"/>
      <c r="QFH455" s="67"/>
      <c r="QFI455" s="67"/>
      <c r="QFJ455" s="67"/>
      <c r="QFK455" s="67"/>
      <c r="QFL455" s="67"/>
      <c r="QFM455" s="67"/>
      <c r="QFN455" s="67"/>
      <c r="QFO455" s="67"/>
      <c r="QFP455" s="67"/>
      <c r="QFQ455" s="67"/>
      <c r="QFR455" s="67"/>
      <c r="QFS455" s="67"/>
      <c r="QFT455" s="67"/>
      <c r="QFU455" s="67"/>
      <c r="QFV455" s="67"/>
      <c r="QFW455" s="67"/>
      <c r="QFX455" s="67"/>
      <c r="QFY455" s="67"/>
      <c r="QFZ455" s="67"/>
      <c r="QGA455" s="67"/>
      <c r="QGB455" s="67"/>
      <c r="QGC455" s="67"/>
      <c r="QGD455" s="67"/>
      <c r="QGE455" s="67"/>
      <c r="QGF455" s="67"/>
      <c r="QGG455" s="67"/>
      <c r="QGH455" s="67"/>
      <c r="QGI455" s="67"/>
      <c r="QGJ455" s="67"/>
      <c r="QGK455" s="67"/>
      <c r="QGL455" s="67"/>
      <c r="QGM455" s="67"/>
      <c r="QGN455" s="67"/>
      <c r="QGO455" s="67"/>
      <c r="QGP455" s="67"/>
      <c r="QGQ455" s="67"/>
      <c r="QGR455" s="67"/>
      <c r="QGS455" s="67"/>
      <c r="QGT455" s="67"/>
      <c r="QGU455" s="67"/>
      <c r="QGV455" s="67"/>
      <c r="QGW455" s="67"/>
      <c r="QGX455" s="67"/>
      <c r="QGY455" s="67"/>
      <c r="QGZ455" s="67"/>
      <c r="QHA455" s="67"/>
      <c r="QHB455" s="67"/>
      <c r="QHC455" s="67"/>
      <c r="QHD455" s="67"/>
      <c r="QHE455" s="67"/>
      <c r="QHF455" s="67"/>
      <c r="QHG455" s="67"/>
      <c r="QHH455" s="67"/>
      <c r="QHI455" s="67"/>
      <c r="QHJ455" s="67"/>
      <c r="QHK455" s="67"/>
      <c r="QHL455" s="67"/>
      <c r="QHM455" s="67"/>
      <c r="QHN455" s="67"/>
      <c r="QHO455" s="67"/>
      <c r="QHP455" s="67"/>
      <c r="QHQ455" s="67"/>
      <c r="QHR455" s="67"/>
      <c r="QHS455" s="67"/>
      <c r="QHT455" s="67"/>
      <c r="QHU455" s="67"/>
      <c r="QHV455" s="67"/>
      <c r="QHW455" s="67"/>
      <c r="QHX455" s="67"/>
      <c r="QHY455" s="67"/>
      <c r="QHZ455" s="67"/>
      <c r="QIA455" s="67"/>
      <c r="QIB455" s="67"/>
      <c r="QIC455" s="67"/>
      <c r="QID455" s="67"/>
      <c r="QIE455" s="67"/>
      <c r="QIF455" s="67"/>
      <c r="QIG455" s="67"/>
      <c r="QIH455" s="67"/>
      <c r="QII455" s="67"/>
      <c r="QIJ455" s="67"/>
      <c r="QIK455" s="67"/>
      <c r="QIL455" s="67"/>
      <c r="QIM455" s="67"/>
      <c r="QIN455" s="67"/>
      <c r="QIO455" s="67"/>
      <c r="QIP455" s="67"/>
      <c r="QIQ455" s="67"/>
      <c r="QIR455" s="67"/>
      <c r="QIS455" s="67"/>
      <c r="QIT455" s="67"/>
      <c r="QIU455" s="67"/>
      <c r="QIV455" s="67"/>
      <c r="QIW455" s="67"/>
      <c r="QIX455" s="67"/>
      <c r="QIY455" s="67"/>
      <c r="QIZ455" s="67"/>
      <c r="QJA455" s="67"/>
      <c r="QJB455" s="67"/>
      <c r="QJC455" s="67"/>
      <c r="QJD455" s="67"/>
      <c r="QJE455" s="67"/>
      <c r="QJF455" s="67"/>
      <c r="QJG455" s="67"/>
      <c r="QJH455" s="67"/>
      <c r="QJI455" s="67"/>
      <c r="QJJ455" s="67"/>
      <c r="QJK455" s="67"/>
      <c r="QJL455" s="67"/>
      <c r="QJM455" s="67"/>
      <c r="QJN455" s="67"/>
      <c r="QJO455" s="67"/>
      <c r="QJP455" s="67"/>
      <c r="QJQ455" s="67"/>
      <c r="QJR455" s="67"/>
      <c r="QJS455" s="67"/>
      <c r="QJT455" s="67"/>
      <c r="QJU455" s="67"/>
      <c r="QJV455" s="67"/>
      <c r="QJW455" s="67"/>
      <c r="QJX455" s="67"/>
      <c r="QJY455" s="67"/>
      <c r="QJZ455" s="67"/>
      <c r="QKA455" s="67"/>
      <c r="QKB455" s="67"/>
      <c r="QKC455" s="67"/>
      <c r="QKD455" s="67"/>
      <c r="QKE455" s="67"/>
      <c r="QKF455" s="67"/>
      <c r="QKG455" s="67"/>
      <c r="QKH455" s="67"/>
      <c r="QKI455" s="67"/>
      <c r="QKJ455" s="67"/>
      <c r="QKK455" s="67"/>
      <c r="QKL455" s="67"/>
      <c r="QKM455" s="67"/>
      <c r="QKN455" s="67"/>
      <c r="QKO455" s="67"/>
      <c r="QKP455" s="67"/>
      <c r="QKQ455" s="67"/>
      <c r="QKR455" s="67"/>
      <c r="QKS455" s="67"/>
      <c r="QKT455" s="67"/>
      <c r="QKU455" s="67"/>
      <c r="QKV455" s="67"/>
      <c r="QKW455" s="67"/>
      <c r="QKX455" s="67"/>
      <c r="QKY455" s="67"/>
      <c r="QKZ455" s="67"/>
      <c r="QLA455" s="67"/>
      <c r="QLB455" s="67"/>
      <c r="QLC455" s="67"/>
      <c r="QLD455" s="67"/>
      <c r="QLE455" s="67"/>
      <c r="QLF455" s="67"/>
      <c r="QLG455" s="67"/>
      <c r="QLH455" s="67"/>
      <c r="QLI455" s="67"/>
      <c r="QLJ455" s="67"/>
      <c r="QLK455" s="67"/>
      <c r="QLL455" s="67"/>
      <c r="QLM455" s="67"/>
      <c r="QLN455" s="67"/>
      <c r="QLO455" s="67"/>
      <c r="QLP455" s="67"/>
      <c r="QLQ455" s="67"/>
      <c r="QLR455" s="67"/>
      <c r="QLS455" s="67"/>
      <c r="QLT455" s="67"/>
      <c r="QLU455" s="67"/>
      <c r="QLV455" s="67"/>
      <c r="QLW455" s="67"/>
      <c r="QLX455" s="67"/>
      <c r="QLY455" s="67"/>
      <c r="QLZ455" s="67"/>
      <c r="QMA455" s="67"/>
      <c r="QMB455" s="67"/>
      <c r="QMC455" s="67"/>
      <c r="QMD455" s="67"/>
      <c r="QME455" s="67"/>
      <c r="QMF455" s="67"/>
      <c r="QMG455" s="67"/>
      <c r="QMH455" s="67"/>
      <c r="QMI455" s="67"/>
      <c r="QMJ455" s="67"/>
      <c r="QMK455" s="67"/>
      <c r="QML455" s="67"/>
      <c r="QMM455" s="67"/>
      <c r="QMN455" s="67"/>
      <c r="QMO455" s="67"/>
      <c r="QMP455" s="67"/>
      <c r="QMQ455" s="67"/>
      <c r="QMR455" s="67"/>
      <c r="QMS455" s="67"/>
      <c r="QMT455" s="67"/>
      <c r="QMU455" s="67"/>
      <c r="QMV455" s="67"/>
      <c r="QMW455" s="67"/>
      <c r="QMX455" s="67"/>
      <c r="QMY455" s="67"/>
      <c r="QMZ455" s="67"/>
      <c r="QNA455" s="67"/>
      <c r="QNB455" s="67"/>
      <c r="QNC455" s="67"/>
      <c r="QND455" s="67"/>
      <c r="QNE455" s="67"/>
      <c r="QNF455" s="67"/>
      <c r="QNG455" s="67"/>
      <c r="QNH455" s="67"/>
      <c r="QNI455" s="67"/>
      <c r="QNJ455" s="67"/>
      <c r="QNK455" s="67"/>
      <c r="QNL455" s="67"/>
      <c r="QNM455" s="67"/>
      <c r="QNN455" s="67"/>
      <c r="QNO455" s="67"/>
      <c r="QNP455" s="67"/>
      <c r="QNQ455" s="67"/>
      <c r="QNR455" s="67"/>
      <c r="QNS455" s="67"/>
      <c r="QNT455" s="67"/>
      <c r="QNU455" s="67"/>
      <c r="QNV455" s="67"/>
      <c r="QNW455" s="67"/>
      <c r="QNX455" s="67"/>
      <c r="QNY455" s="67"/>
      <c r="QNZ455" s="67"/>
      <c r="QOA455" s="67"/>
      <c r="QOB455" s="67"/>
      <c r="QOC455" s="67"/>
      <c r="QOD455" s="67"/>
      <c r="QOE455" s="67"/>
      <c r="QOF455" s="67"/>
      <c r="QOG455" s="67"/>
      <c r="QOH455" s="67"/>
      <c r="QOI455" s="67"/>
      <c r="QOJ455" s="67"/>
      <c r="QOK455" s="67"/>
      <c r="QOL455" s="67"/>
      <c r="QOM455" s="67"/>
      <c r="QON455" s="67"/>
      <c r="QOO455" s="67"/>
      <c r="QOP455" s="67"/>
      <c r="QOQ455" s="67"/>
      <c r="QOR455" s="67"/>
      <c r="QOS455" s="67"/>
      <c r="QOT455" s="67"/>
      <c r="QOU455" s="67"/>
      <c r="QOV455" s="67"/>
      <c r="QOW455" s="67"/>
      <c r="QOX455" s="67"/>
      <c r="QOY455" s="67"/>
      <c r="QOZ455" s="67"/>
      <c r="QPA455" s="67"/>
      <c r="QPB455" s="67"/>
      <c r="QPC455" s="67"/>
      <c r="QPD455" s="67"/>
      <c r="QPE455" s="67"/>
      <c r="QPF455" s="67"/>
      <c r="QPG455" s="67"/>
      <c r="QPH455" s="67"/>
      <c r="QPI455" s="67"/>
      <c r="QPJ455" s="67"/>
      <c r="QPK455" s="67"/>
      <c r="QPL455" s="67"/>
      <c r="QPM455" s="67"/>
      <c r="QPN455" s="67"/>
      <c r="QPO455" s="67"/>
      <c r="QPP455" s="67"/>
      <c r="QPQ455" s="67"/>
      <c r="QPR455" s="67"/>
      <c r="QPS455" s="67"/>
      <c r="QPT455" s="67"/>
      <c r="QPU455" s="67"/>
      <c r="QPV455" s="67"/>
      <c r="QPW455" s="67"/>
      <c r="QPX455" s="67"/>
      <c r="QPY455" s="67"/>
      <c r="QPZ455" s="67"/>
      <c r="QQA455" s="67"/>
      <c r="QQB455" s="67"/>
      <c r="QQC455" s="67"/>
      <c r="QQD455" s="67"/>
      <c r="QQE455" s="67"/>
      <c r="QQF455" s="67"/>
      <c r="QQG455" s="67"/>
      <c r="QQH455" s="67"/>
      <c r="QQI455" s="67"/>
      <c r="QQJ455" s="67"/>
      <c r="QQK455" s="67"/>
      <c r="QQL455" s="67"/>
      <c r="QQM455" s="67"/>
      <c r="QQN455" s="67"/>
      <c r="QQO455" s="67"/>
      <c r="QQP455" s="67"/>
      <c r="QQQ455" s="67"/>
      <c r="QQR455" s="67"/>
      <c r="QQS455" s="67"/>
      <c r="QQT455" s="67"/>
      <c r="QQU455" s="67"/>
      <c r="QQV455" s="67"/>
      <c r="QQW455" s="67"/>
      <c r="QQX455" s="67"/>
      <c r="QQY455" s="67"/>
      <c r="QQZ455" s="67"/>
      <c r="QRA455" s="67"/>
      <c r="QRB455" s="67"/>
      <c r="QRC455" s="67"/>
      <c r="QRD455" s="67"/>
      <c r="QRE455" s="67"/>
      <c r="QRF455" s="67"/>
      <c r="QRG455" s="67"/>
      <c r="QRH455" s="67"/>
      <c r="QRI455" s="67"/>
      <c r="QRJ455" s="67"/>
      <c r="QRK455" s="67"/>
      <c r="QRL455" s="67"/>
      <c r="QRM455" s="67"/>
      <c r="QRN455" s="67"/>
      <c r="QRO455" s="67"/>
      <c r="QRP455" s="67"/>
      <c r="QRQ455" s="67"/>
      <c r="QRR455" s="67"/>
      <c r="QRS455" s="67"/>
      <c r="QRT455" s="67"/>
      <c r="QRU455" s="67"/>
      <c r="QRV455" s="67"/>
      <c r="QRW455" s="67"/>
      <c r="QRX455" s="67"/>
      <c r="QRY455" s="67"/>
      <c r="QRZ455" s="67"/>
      <c r="QSA455" s="67"/>
      <c r="QSB455" s="67"/>
      <c r="QSC455" s="67"/>
      <c r="QSD455" s="67"/>
      <c r="QSE455" s="67"/>
      <c r="QSF455" s="67"/>
      <c r="QSG455" s="67"/>
      <c r="QSH455" s="67"/>
      <c r="QSI455" s="67"/>
      <c r="QSJ455" s="67"/>
      <c r="QSK455" s="67"/>
      <c r="QSL455" s="67"/>
      <c r="QSM455" s="67"/>
      <c r="QSN455" s="67"/>
      <c r="QSO455" s="67"/>
      <c r="QSP455" s="67"/>
      <c r="QSQ455" s="67"/>
      <c r="QSR455" s="67"/>
      <c r="QSS455" s="67"/>
      <c r="QST455" s="67"/>
      <c r="QSU455" s="67"/>
      <c r="QSV455" s="67"/>
      <c r="QSW455" s="67"/>
      <c r="QSX455" s="67"/>
      <c r="QSY455" s="67"/>
      <c r="QSZ455" s="67"/>
      <c r="QTA455" s="67"/>
      <c r="QTB455" s="67"/>
      <c r="QTC455" s="67"/>
      <c r="QTD455" s="67"/>
      <c r="QTE455" s="67"/>
      <c r="QTF455" s="67"/>
      <c r="QTG455" s="67"/>
      <c r="QTH455" s="67"/>
      <c r="QTI455" s="67"/>
      <c r="QTJ455" s="67"/>
      <c r="QTK455" s="67"/>
      <c r="QTL455" s="67"/>
      <c r="QTM455" s="67"/>
      <c r="QTN455" s="67"/>
      <c r="QTO455" s="67"/>
      <c r="QTP455" s="67"/>
      <c r="QTQ455" s="67"/>
      <c r="QTR455" s="67"/>
      <c r="QTS455" s="67"/>
      <c r="QTT455" s="67"/>
      <c r="QTU455" s="67"/>
      <c r="QTV455" s="67"/>
      <c r="QTW455" s="67"/>
      <c r="QTX455" s="67"/>
      <c r="QTY455" s="67"/>
      <c r="QTZ455" s="67"/>
      <c r="QUA455" s="67"/>
      <c r="QUB455" s="67"/>
      <c r="QUC455" s="67"/>
      <c r="QUD455" s="67"/>
      <c r="QUE455" s="67"/>
      <c r="QUF455" s="67"/>
      <c r="QUG455" s="67"/>
      <c r="QUH455" s="67"/>
      <c r="QUI455" s="67"/>
      <c r="QUJ455" s="67"/>
      <c r="QUK455" s="67"/>
      <c r="QUL455" s="67"/>
      <c r="QUM455" s="67"/>
      <c r="QUN455" s="67"/>
      <c r="QUO455" s="67"/>
      <c r="QUP455" s="67"/>
      <c r="QUQ455" s="67"/>
      <c r="QUR455" s="67"/>
      <c r="QUS455" s="67"/>
      <c r="QUT455" s="67"/>
      <c r="QUU455" s="67"/>
      <c r="QUV455" s="67"/>
      <c r="QUW455" s="67"/>
      <c r="QUX455" s="67"/>
      <c r="QUY455" s="67"/>
      <c r="QUZ455" s="67"/>
      <c r="QVA455" s="67"/>
      <c r="QVB455" s="67"/>
      <c r="QVC455" s="67"/>
      <c r="QVD455" s="67"/>
      <c r="QVE455" s="67"/>
      <c r="QVF455" s="67"/>
      <c r="QVG455" s="67"/>
      <c r="QVH455" s="67"/>
      <c r="QVI455" s="67"/>
      <c r="QVJ455" s="67"/>
      <c r="QVK455" s="67"/>
      <c r="QVL455" s="67"/>
      <c r="QVM455" s="67"/>
      <c r="QVN455" s="67"/>
      <c r="QVO455" s="67"/>
      <c r="QVP455" s="67"/>
      <c r="QVQ455" s="67"/>
      <c r="QVR455" s="67"/>
      <c r="QVS455" s="67"/>
      <c r="QVT455" s="67"/>
      <c r="QVU455" s="67"/>
      <c r="QVV455" s="67"/>
      <c r="QVW455" s="67"/>
      <c r="QVX455" s="67"/>
      <c r="QVY455" s="67"/>
      <c r="QVZ455" s="67"/>
      <c r="QWA455" s="67"/>
      <c r="QWB455" s="67"/>
      <c r="QWC455" s="67"/>
      <c r="QWD455" s="67"/>
      <c r="QWE455" s="67"/>
      <c r="QWF455" s="67"/>
      <c r="QWG455" s="67"/>
      <c r="QWH455" s="67"/>
      <c r="QWI455" s="67"/>
      <c r="QWJ455" s="67"/>
      <c r="QWK455" s="67"/>
      <c r="QWL455" s="67"/>
      <c r="QWM455" s="67"/>
      <c r="QWN455" s="67"/>
      <c r="QWO455" s="67"/>
      <c r="QWP455" s="67"/>
      <c r="QWQ455" s="67"/>
      <c r="QWR455" s="67"/>
      <c r="QWS455" s="67"/>
      <c r="QWT455" s="67"/>
      <c r="QWU455" s="67"/>
      <c r="QWV455" s="67"/>
      <c r="QWW455" s="67"/>
      <c r="QWX455" s="67"/>
      <c r="QWY455" s="67"/>
      <c r="QWZ455" s="67"/>
      <c r="QXA455" s="67"/>
      <c r="QXB455" s="67"/>
      <c r="QXC455" s="67"/>
      <c r="QXD455" s="67"/>
      <c r="QXE455" s="67"/>
      <c r="QXF455" s="67"/>
      <c r="QXG455" s="67"/>
      <c r="QXH455" s="67"/>
      <c r="QXI455" s="67"/>
      <c r="QXJ455" s="67"/>
      <c r="QXK455" s="67"/>
      <c r="QXL455" s="67"/>
      <c r="QXM455" s="67"/>
      <c r="QXN455" s="67"/>
      <c r="QXO455" s="67"/>
      <c r="QXP455" s="67"/>
      <c r="QXQ455" s="67"/>
      <c r="QXR455" s="67"/>
      <c r="QXS455" s="67"/>
      <c r="QXT455" s="67"/>
      <c r="QXU455" s="67"/>
      <c r="QXV455" s="67"/>
      <c r="QXW455" s="67"/>
      <c r="QXX455" s="67"/>
      <c r="QXY455" s="67"/>
      <c r="QXZ455" s="67"/>
      <c r="QYA455" s="67"/>
      <c r="QYB455" s="67"/>
      <c r="QYC455" s="67"/>
      <c r="QYD455" s="67"/>
      <c r="QYE455" s="67"/>
      <c r="QYF455" s="67"/>
      <c r="QYG455" s="67"/>
      <c r="QYH455" s="67"/>
      <c r="QYI455" s="67"/>
      <c r="QYJ455" s="67"/>
      <c r="QYK455" s="67"/>
      <c r="QYL455" s="67"/>
      <c r="QYM455" s="67"/>
      <c r="QYN455" s="67"/>
      <c r="QYO455" s="67"/>
      <c r="QYP455" s="67"/>
      <c r="QYQ455" s="67"/>
      <c r="QYR455" s="67"/>
      <c r="QYS455" s="67"/>
      <c r="QYT455" s="67"/>
      <c r="QYU455" s="67"/>
      <c r="QYV455" s="67"/>
      <c r="QYW455" s="67"/>
      <c r="QYX455" s="67"/>
      <c r="QYY455" s="67"/>
      <c r="QYZ455" s="67"/>
      <c r="QZA455" s="67"/>
      <c r="QZB455" s="67"/>
      <c r="QZC455" s="67"/>
      <c r="QZD455" s="67"/>
      <c r="QZE455" s="67"/>
      <c r="QZF455" s="67"/>
      <c r="QZG455" s="67"/>
      <c r="QZH455" s="67"/>
      <c r="QZI455" s="67"/>
      <c r="QZJ455" s="67"/>
      <c r="QZK455" s="67"/>
      <c r="QZL455" s="67"/>
      <c r="QZM455" s="67"/>
      <c r="QZN455" s="67"/>
      <c r="QZO455" s="67"/>
      <c r="QZP455" s="67"/>
      <c r="QZQ455" s="67"/>
      <c r="QZR455" s="67"/>
      <c r="QZS455" s="67"/>
      <c r="QZT455" s="67"/>
      <c r="QZU455" s="67"/>
      <c r="QZV455" s="67"/>
      <c r="QZW455" s="67"/>
      <c r="QZX455" s="67"/>
      <c r="QZY455" s="67"/>
      <c r="QZZ455" s="67"/>
      <c r="RAA455" s="67"/>
      <c r="RAB455" s="67"/>
      <c r="RAC455" s="67"/>
      <c r="RAD455" s="67"/>
      <c r="RAE455" s="67"/>
      <c r="RAF455" s="67"/>
      <c r="RAG455" s="67"/>
      <c r="RAH455" s="67"/>
      <c r="RAI455" s="67"/>
      <c r="RAJ455" s="67"/>
      <c r="RAK455" s="67"/>
      <c r="RAL455" s="67"/>
      <c r="RAM455" s="67"/>
      <c r="RAN455" s="67"/>
      <c r="RAO455" s="67"/>
      <c r="RAP455" s="67"/>
      <c r="RAQ455" s="67"/>
      <c r="RAR455" s="67"/>
      <c r="RAS455" s="67"/>
      <c r="RAT455" s="67"/>
      <c r="RAU455" s="67"/>
      <c r="RAV455" s="67"/>
      <c r="RAW455" s="67"/>
      <c r="RAX455" s="67"/>
      <c r="RAY455" s="67"/>
      <c r="RAZ455" s="67"/>
      <c r="RBA455" s="67"/>
      <c r="RBB455" s="67"/>
      <c r="RBC455" s="67"/>
      <c r="RBD455" s="67"/>
      <c r="RBE455" s="67"/>
      <c r="RBF455" s="67"/>
      <c r="RBG455" s="67"/>
      <c r="RBH455" s="67"/>
      <c r="RBI455" s="67"/>
      <c r="RBJ455" s="67"/>
      <c r="RBK455" s="67"/>
      <c r="RBL455" s="67"/>
      <c r="RBM455" s="67"/>
      <c r="RBN455" s="67"/>
      <c r="RBO455" s="67"/>
      <c r="RBP455" s="67"/>
      <c r="RBQ455" s="67"/>
      <c r="RBR455" s="67"/>
      <c r="RBS455" s="67"/>
      <c r="RBT455" s="67"/>
      <c r="RBU455" s="67"/>
      <c r="RBV455" s="67"/>
      <c r="RBW455" s="67"/>
      <c r="RBX455" s="67"/>
      <c r="RBY455" s="67"/>
      <c r="RBZ455" s="67"/>
      <c r="RCA455" s="67"/>
      <c r="RCB455" s="67"/>
      <c r="RCC455" s="67"/>
      <c r="RCD455" s="67"/>
      <c r="RCE455" s="67"/>
      <c r="RCF455" s="67"/>
      <c r="RCG455" s="67"/>
      <c r="RCH455" s="67"/>
      <c r="RCI455" s="67"/>
      <c r="RCJ455" s="67"/>
      <c r="RCK455" s="67"/>
      <c r="RCL455" s="67"/>
      <c r="RCM455" s="67"/>
      <c r="RCN455" s="67"/>
      <c r="RCO455" s="67"/>
      <c r="RCP455" s="67"/>
      <c r="RCQ455" s="67"/>
      <c r="RCR455" s="67"/>
      <c r="RCS455" s="67"/>
      <c r="RCT455" s="67"/>
      <c r="RCU455" s="67"/>
      <c r="RCV455" s="67"/>
      <c r="RCW455" s="67"/>
      <c r="RCX455" s="67"/>
      <c r="RCY455" s="67"/>
      <c r="RCZ455" s="67"/>
      <c r="RDA455" s="67"/>
      <c r="RDB455" s="67"/>
      <c r="RDC455" s="67"/>
      <c r="RDD455" s="67"/>
      <c r="RDE455" s="67"/>
      <c r="RDF455" s="67"/>
      <c r="RDG455" s="67"/>
      <c r="RDH455" s="67"/>
      <c r="RDI455" s="67"/>
      <c r="RDJ455" s="67"/>
      <c r="RDK455" s="67"/>
      <c r="RDL455" s="67"/>
      <c r="RDM455" s="67"/>
      <c r="RDN455" s="67"/>
      <c r="RDO455" s="67"/>
      <c r="RDP455" s="67"/>
      <c r="RDQ455" s="67"/>
      <c r="RDR455" s="67"/>
      <c r="RDS455" s="67"/>
      <c r="RDT455" s="67"/>
      <c r="RDU455" s="67"/>
      <c r="RDV455" s="67"/>
      <c r="RDW455" s="67"/>
      <c r="RDX455" s="67"/>
      <c r="RDY455" s="67"/>
      <c r="RDZ455" s="67"/>
      <c r="REA455" s="67"/>
      <c r="REB455" s="67"/>
      <c r="REC455" s="67"/>
      <c r="RED455" s="67"/>
      <c r="REE455" s="67"/>
      <c r="REF455" s="67"/>
      <c r="REG455" s="67"/>
      <c r="REH455" s="67"/>
      <c r="REI455" s="67"/>
      <c r="REJ455" s="67"/>
      <c r="REK455" s="67"/>
      <c r="REL455" s="67"/>
      <c r="REM455" s="67"/>
      <c r="REN455" s="67"/>
      <c r="REO455" s="67"/>
      <c r="REP455" s="67"/>
      <c r="REQ455" s="67"/>
      <c r="RER455" s="67"/>
      <c r="RES455" s="67"/>
      <c r="RET455" s="67"/>
      <c r="REU455" s="67"/>
      <c r="REV455" s="67"/>
      <c r="REW455" s="67"/>
      <c r="REX455" s="67"/>
      <c r="REY455" s="67"/>
      <c r="REZ455" s="67"/>
      <c r="RFA455" s="67"/>
      <c r="RFB455" s="67"/>
      <c r="RFC455" s="67"/>
      <c r="RFD455" s="67"/>
      <c r="RFE455" s="67"/>
      <c r="RFF455" s="67"/>
      <c r="RFG455" s="67"/>
      <c r="RFH455" s="67"/>
      <c r="RFI455" s="67"/>
      <c r="RFJ455" s="67"/>
      <c r="RFK455" s="67"/>
      <c r="RFL455" s="67"/>
      <c r="RFM455" s="67"/>
      <c r="RFN455" s="67"/>
      <c r="RFO455" s="67"/>
      <c r="RFP455" s="67"/>
      <c r="RFQ455" s="67"/>
      <c r="RFR455" s="67"/>
      <c r="RFS455" s="67"/>
      <c r="RFT455" s="67"/>
      <c r="RFU455" s="67"/>
      <c r="RFV455" s="67"/>
      <c r="RFW455" s="67"/>
      <c r="RFX455" s="67"/>
      <c r="RFY455" s="67"/>
      <c r="RFZ455" s="67"/>
      <c r="RGA455" s="67"/>
      <c r="RGB455" s="67"/>
      <c r="RGC455" s="67"/>
      <c r="RGD455" s="67"/>
      <c r="RGE455" s="67"/>
      <c r="RGF455" s="67"/>
      <c r="RGG455" s="67"/>
      <c r="RGH455" s="67"/>
      <c r="RGI455" s="67"/>
      <c r="RGJ455" s="67"/>
      <c r="RGK455" s="67"/>
      <c r="RGL455" s="67"/>
      <c r="RGM455" s="67"/>
      <c r="RGN455" s="67"/>
      <c r="RGO455" s="67"/>
      <c r="RGP455" s="67"/>
      <c r="RGQ455" s="67"/>
      <c r="RGR455" s="67"/>
      <c r="RGS455" s="67"/>
      <c r="RGT455" s="67"/>
      <c r="RGU455" s="67"/>
      <c r="RGV455" s="67"/>
      <c r="RGW455" s="67"/>
      <c r="RGX455" s="67"/>
      <c r="RGY455" s="67"/>
      <c r="RGZ455" s="67"/>
      <c r="RHA455" s="67"/>
      <c r="RHB455" s="67"/>
      <c r="RHC455" s="67"/>
      <c r="RHD455" s="67"/>
      <c r="RHE455" s="67"/>
      <c r="RHF455" s="67"/>
      <c r="RHG455" s="67"/>
      <c r="RHH455" s="67"/>
      <c r="RHI455" s="67"/>
      <c r="RHJ455" s="67"/>
      <c r="RHK455" s="67"/>
      <c r="RHL455" s="67"/>
      <c r="RHM455" s="67"/>
      <c r="RHN455" s="67"/>
      <c r="RHO455" s="67"/>
      <c r="RHP455" s="67"/>
      <c r="RHQ455" s="67"/>
      <c r="RHR455" s="67"/>
      <c r="RHS455" s="67"/>
      <c r="RHT455" s="67"/>
      <c r="RHU455" s="67"/>
      <c r="RHV455" s="67"/>
      <c r="RHW455" s="67"/>
      <c r="RHX455" s="67"/>
      <c r="RHY455" s="67"/>
      <c r="RHZ455" s="67"/>
      <c r="RIA455" s="67"/>
      <c r="RIB455" s="67"/>
      <c r="RIC455" s="67"/>
      <c r="RID455" s="67"/>
      <c r="RIE455" s="67"/>
      <c r="RIF455" s="67"/>
      <c r="RIG455" s="67"/>
      <c r="RIH455" s="67"/>
      <c r="RII455" s="67"/>
      <c r="RIJ455" s="67"/>
      <c r="RIK455" s="67"/>
      <c r="RIL455" s="67"/>
      <c r="RIM455" s="67"/>
      <c r="RIN455" s="67"/>
      <c r="RIO455" s="67"/>
      <c r="RIP455" s="67"/>
      <c r="RIQ455" s="67"/>
      <c r="RIR455" s="67"/>
      <c r="RIS455" s="67"/>
      <c r="RIT455" s="67"/>
      <c r="RIU455" s="67"/>
      <c r="RIV455" s="67"/>
      <c r="RIW455" s="67"/>
      <c r="RIX455" s="67"/>
      <c r="RIY455" s="67"/>
      <c r="RIZ455" s="67"/>
      <c r="RJA455" s="67"/>
      <c r="RJB455" s="67"/>
      <c r="RJC455" s="67"/>
      <c r="RJD455" s="67"/>
      <c r="RJE455" s="67"/>
      <c r="RJF455" s="67"/>
      <c r="RJG455" s="67"/>
      <c r="RJH455" s="67"/>
      <c r="RJI455" s="67"/>
      <c r="RJJ455" s="67"/>
      <c r="RJK455" s="67"/>
      <c r="RJL455" s="67"/>
      <c r="RJM455" s="67"/>
      <c r="RJN455" s="67"/>
      <c r="RJO455" s="67"/>
      <c r="RJP455" s="67"/>
      <c r="RJQ455" s="67"/>
      <c r="RJR455" s="67"/>
      <c r="RJS455" s="67"/>
      <c r="RJT455" s="67"/>
      <c r="RJU455" s="67"/>
      <c r="RJV455" s="67"/>
      <c r="RJW455" s="67"/>
      <c r="RJX455" s="67"/>
      <c r="RJY455" s="67"/>
      <c r="RJZ455" s="67"/>
      <c r="RKA455" s="67"/>
      <c r="RKB455" s="67"/>
      <c r="RKC455" s="67"/>
      <c r="RKD455" s="67"/>
      <c r="RKE455" s="67"/>
      <c r="RKF455" s="67"/>
      <c r="RKG455" s="67"/>
      <c r="RKH455" s="67"/>
      <c r="RKI455" s="67"/>
      <c r="RKJ455" s="67"/>
      <c r="RKK455" s="67"/>
      <c r="RKL455" s="67"/>
      <c r="RKM455" s="67"/>
      <c r="RKN455" s="67"/>
      <c r="RKO455" s="67"/>
      <c r="RKP455" s="67"/>
      <c r="RKQ455" s="67"/>
      <c r="RKR455" s="67"/>
      <c r="RKS455" s="67"/>
      <c r="RKT455" s="67"/>
      <c r="RKU455" s="67"/>
      <c r="RKV455" s="67"/>
      <c r="RKW455" s="67"/>
      <c r="RKX455" s="67"/>
      <c r="RKY455" s="67"/>
      <c r="RKZ455" s="67"/>
      <c r="RLA455" s="67"/>
      <c r="RLB455" s="67"/>
      <c r="RLC455" s="67"/>
      <c r="RLD455" s="67"/>
      <c r="RLE455" s="67"/>
      <c r="RLF455" s="67"/>
      <c r="RLG455" s="67"/>
      <c r="RLH455" s="67"/>
      <c r="RLI455" s="67"/>
      <c r="RLJ455" s="67"/>
      <c r="RLK455" s="67"/>
      <c r="RLL455" s="67"/>
      <c r="RLM455" s="67"/>
      <c r="RLN455" s="67"/>
      <c r="RLO455" s="67"/>
      <c r="RLP455" s="67"/>
      <c r="RLQ455" s="67"/>
      <c r="RLR455" s="67"/>
      <c r="RLS455" s="67"/>
      <c r="RLT455" s="67"/>
      <c r="RLU455" s="67"/>
      <c r="RLV455" s="67"/>
      <c r="RLW455" s="67"/>
      <c r="RLX455" s="67"/>
      <c r="RLY455" s="67"/>
      <c r="RLZ455" s="67"/>
      <c r="RMA455" s="67"/>
      <c r="RMB455" s="67"/>
      <c r="RMC455" s="67"/>
      <c r="RMD455" s="67"/>
      <c r="RME455" s="67"/>
      <c r="RMF455" s="67"/>
      <c r="RMG455" s="67"/>
      <c r="RMH455" s="67"/>
      <c r="RMI455" s="67"/>
      <c r="RMJ455" s="67"/>
      <c r="RMK455" s="67"/>
      <c r="RML455" s="67"/>
      <c r="RMM455" s="67"/>
      <c r="RMN455" s="67"/>
      <c r="RMO455" s="67"/>
      <c r="RMP455" s="67"/>
      <c r="RMQ455" s="67"/>
      <c r="RMR455" s="67"/>
      <c r="RMS455" s="67"/>
      <c r="RMT455" s="67"/>
      <c r="RMU455" s="67"/>
      <c r="RMV455" s="67"/>
      <c r="RMW455" s="67"/>
      <c r="RMX455" s="67"/>
      <c r="RMY455" s="67"/>
      <c r="RMZ455" s="67"/>
      <c r="RNA455" s="67"/>
      <c r="RNB455" s="67"/>
      <c r="RNC455" s="67"/>
      <c r="RND455" s="67"/>
      <c r="RNE455" s="67"/>
      <c r="RNF455" s="67"/>
      <c r="RNG455" s="67"/>
      <c r="RNH455" s="67"/>
      <c r="RNI455" s="67"/>
      <c r="RNJ455" s="67"/>
      <c r="RNK455" s="67"/>
      <c r="RNL455" s="67"/>
      <c r="RNM455" s="67"/>
      <c r="RNN455" s="67"/>
      <c r="RNO455" s="67"/>
      <c r="RNP455" s="67"/>
      <c r="RNQ455" s="67"/>
      <c r="RNR455" s="67"/>
      <c r="RNS455" s="67"/>
      <c r="RNT455" s="67"/>
      <c r="RNU455" s="67"/>
      <c r="RNV455" s="67"/>
      <c r="RNW455" s="67"/>
      <c r="RNX455" s="67"/>
      <c r="RNY455" s="67"/>
      <c r="RNZ455" s="67"/>
      <c r="ROA455" s="67"/>
      <c r="ROB455" s="67"/>
      <c r="ROC455" s="67"/>
      <c r="ROD455" s="67"/>
      <c r="ROE455" s="67"/>
      <c r="ROF455" s="67"/>
      <c r="ROG455" s="67"/>
      <c r="ROH455" s="67"/>
      <c r="ROI455" s="67"/>
      <c r="ROJ455" s="67"/>
      <c r="ROK455" s="67"/>
      <c r="ROL455" s="67"/>
      <c r="ROM455" s="67"/>
      <c r="RON455" s="67"/>
      <c r="ROO455" s="67"/>
      <c r="ROP455" s="67"/>
      <c r="ROQ455" s="67"/>
      <c r="ROR455" s="67"/>
      <c r="ROS455" s="67"/>
      <c r="ROT455" s="67"/>
      <c r="ROU455" s="67"/>
      <c r="ROV455" s="67"/>
      <c r="ROW455" s="67"/>
      <c r="ROX455" s="67"/>
      <c r="ROY455" s="67"/>
      <c r="ROZ455" s="67"/>
      <c r="RPA455" s="67"/>
      <c r="RPB455" s="67"/>
      <c r="RPC455" s="67"/>
      <c r="RPD455" s="67"/>
      <c r="RPE455" s="67"/>
      <c r="RPF455" s="67"/>
      <c r="RPG455" s="67"/>
      <c r="RPH455" s="67"/>
      <c r="RPI455" s="67"/>
      <c r="RPJ455" s="67"/>
      <c r="RPK455" s="67"/>
      <c r="RPL455" s="67"/>
      <c r="RPM455" s="67"/>
      <c r="RPN455" s="67"/>
      <c r="RPO455" s="67"/>
      <c r="RPP455" s="67"/>
      <c r="RPQ455" s="67"/>
      <c r="RPR455" s="67"/>
      <c r="RPS455" s="67"/>
      <c r="RPT455" s="67"/>
      <c r="RPU455" s="67"/>
      <c r="RPV455" s="67"/>
      <c r="RPW455" s="67"/>
      <c r="RPX455" s="67"/>
      <c r="RPY455" s="67"/>
      <c r="RPZ455" s="67"/>
      <c r="RQA455" s="67"/>
      <c r="RQB455" s="67"/>
      <c r="RQC455" s="67"/>
      <c r="RQD455" s="67"/>
      <c r="RQE455" s="67"/>
      <c r="RQF455" s="67"/>
      <c r="RQG455" s="67"/>
      <c r="RQH455" s="67"/>
      <c r="RQI455" s="67"/>
      <c r="RQJ455" s="67"/>
      <c r="RQK455" s="67"/>
      <c r="RQL455" s="67"/>
      <c r="RQM455" s="67"/>
      <c r="RQN455" s="67"/>
      <c r="RQO455" s="67"/>
      <c r="RQP455" s="67"/>
      <c r="RQQ455" s="67"/>
      <c r="RQR455" s="67"/>
      <c r="RQS455" s="67"/>
      <c r="RQT455" s="67"/>
      <c r="RQU455" s="67"/>
      <c r="RQV455" s="67"/>
      <c r="RQW455" s="67"/>
      <c r="RQX455" s="67"/>
      <c r="RQY455" s="67"/>
      <c r="RQZ455" s="67"/>
      <c r="RRA455" s="67"/>
      <c r="RRB455" s="67"/>
      <c r="RRC455" s="67"/>
      <c r="RRD455" s="67"/>
      <c r="RRE455" s="67"/>
      <c r="RRF455" s="67"/>
      <c r="RRG455" s="67"/>
      <c r="RRH455" s="67"/>
      <c r="RRI455" s="67"/>
      <c r="RRJ455" s="67"/>
      <c r="RRK455" s="67"/>
      <c r="RRL455" s="67"/>
      <c r="RRM455" s="67"/>
      <c r="RRN455" s="67"/>
      <c r="RRO455" s="67"/>
      <c r="RRP455" s="67"/>
      <c r="RRQ455" s="67"/>
      <c r="RRR455" s="67"/>
      <c r="RRS455" s="67"/>
      <c r="RRT455" s="67"/>
      <c r="RRU455" s="67"/>
      <c r="RRV455" s="67"/>
      <c r="RRW455" s="67"/>
      <c r="RRX455" s="67"/>
      <c r="RRY455" s="67"/>
      <c r="RRZ455" s="67"/>
      <c r="RSA455" s="67"/>
      <c r="RSB455" s="67"/>
      <c r="RSC455" s="67"/>
      <c r="RSD455" s="67"/>
      <c r="RSE455" s="67"/>
      <c r="RSF455" s="67"/>
      <c r="RSG455" s="67"/>
      <c r="RSH455" s="67"/>
      <c r="RSI455" s="67"/>
      <c r="RSJ455" s="67"/>
      <c r="RSK455" s="67"/>
      <c r="RSL455" s="67"/>
      <c r="RSM455" s="67"/>
      <c r="RSN455" s="67"/>
      <c r="RSO455" s="67"/>
      <c r="RSP455" s="67"/>
      <c r="RSQ455" s="67"/>
      <c r="RSR455" s="67"/>
      <c r="RSS455" s="67"/>
      <c r="RST455" s="67"/>
      <c r="RSU455" s="67"/>
      <c r="RSV455" s="67"/>
      <c r="RSW455" s="67"/>
      <c r="RSX455" s="67"/>
      <c r="RSY455" s="67"/>
      <c r="RSZ455" s="67"/>
      <c r="RTA455" s="67"/>
      <c r="RTB455" s="67"/>
      <c r="RTC455" s="67"/>
      <c r="RTD455" s="67"/>
      <c r="RTE455" s="67"/>
      <c r="RTF455" s="67"/>
      <c r="RTG455" s="67"/>
      <c r="RTH455" s="67"/>
      <c r="RTI455" s="67"/>
      <c r="RTJ455" s="67"/>
      <c r="RTK455" s="67"/>
      <c r="RTL455" s="67"/>
      <c r="RTM455" s="67"/>
      <c r="RTN455" s="67"/>
      <c r="RTO455" s="67"/>
      <c r="RTP455" s="67"/>
      <c r="RTQ455" s="67"/>
      <c r="RTR455" s="67"/>
      <c r="RTS455" s="67"/>
      <c r="RTT455" s="67"/>
      <c r="RTU455" s="67"/>
      <c r="RTV455" s="67"/>
      <c r="RTW455" s="67"/>
      <c r="RTX455" s="67"/>
      <c r="RTY455" s="67"/>
      <c r="RTZ455" s="67"/>
      <c r="RUA455" s="67"/>
      <c r="RUB455" s="67"/>
      <c r="RUC455" s="67"/>
      <c r="RUD455" s="67"/>
      <c r="RUE455" s="67"/>
      <c r="RUF455" s="67"/>
      <c r="RUG455" s="67"/>
      <c r="RUH455" s="67"/>
      <c r="RUI455" s="67"/>
      <c r="RUJ455" s="67"/>
      <c r="RUK455" s="67"/>
      <c r="RUL455" s="67"/>
      <c r="RUM455" s="67"/>
      <c r="RUN455" s="67"/>
      <c r="RUO455" s="67"/>
      <c r="RUP455" s="67"/>
      <c r="RUQ455" s="67"/>
      <c r="RUR455" s="67"/>
      <c r="RUS455" s="67"/>
      <c r="RUT455" s="67"/>
      <c r="RUU455" s="67"/>
      <c r="RUV455" s="67"/>
      <c r="RUW455" s="67"/>
      <c r="RUX455" s="67"/>
      <c r="RUY455" s="67"/>
      <c r="RUZ455" s="67"/>
      <c r="RVA455" s="67"/>
      <c r="RVB455" s="67"/>
      <c r="RVC455" s="67"/>
      <c r="RVD455" s="67"/>
      <c r="RVE455" s="67"/>
      <c r="RVF455" s="67"/>
      <c r="RVG455" s="67"/>
      <c r="RVH455" s="67"/>
      <c r="RVI455" s="67"/>
      <c r="RVJ455" s="67"/>
      <c r="RVK455" s="67"/>
      <c r="RVL455" s="67"/>
      <c r="RVM455" s="67"/>
      <c r="RVN455" s="67"/>
      <c r="RVO455" s="67"/>
      <c r="RVP455" s="67"/>
      <c r="RVQ455" s="67"/>
      <c r="RVR455" s="67"/>
      <c r="RVS455" s="67"/>
      <c r="RVT455" s="67"/>
      <c r="RVU455" s="67"/>
      <c r="RVV455" s="67"/>
      <c r="RVW455" s="67"/>
      <c r="RVX455" s="67"/>
      <c r="RVY455" s="67"/>
      <c r="RVZ455" s="67"/>
      <c r="RWA455" s="67"/>
      <c r="RWB455" s="67"/>
      <c r="RWC455" s="67"/>
      <c r="RWD455" s="67"/>
      <c r="RWE455" s="67"/>
      <c r="RWF455" s="67"/>
      <c r="RWG455" s="67"/>
      <c r="RWH455" s="67"/>
      <c r="RWI455" s="67"/>
      <c r="RWJ455" s="67"/>
      <c r="RWK455" s="67"/>
      <c r="RWL455" s="67"/>
      <c r="RWM455" s="67"/>
      <c r="RWN455" s="67"/>
      <c r="RWO455" s="67"/>
      <c r="RWP455" s="67"/>
      <c r="RWQ455" s="67"/>
      <c r="RWR455" s="67"/>
      <c r="RWS455" s="67"/>
      <c r="RWT455" s="67"/>
      <c r="RWU455" s="67"/>
      <c r="RWV455" s="67"/>
      <c r="RWW455" s="67"/>
      <c r="RWX455" s="67"/>
      <c r="RWY455" s="67"/>
      <c r="RWZ455" s="67"/>
      <c r="RXA455" s="67"/>
      <c r="RXB455" s="67"/>
      <c r="RXC455" s="67"/>
      <c r="RXD455" s="67"/>
      <c r="RXE455" s="67"/>
      <c r="RXF455" s="67"/>
      <c r="RXG455" s="67"/>
      <c r="RXH455" s="67"/>
      <c r="RXI455" s="67"/>
      <c r="RXJ455" s="67"/>
      <c r="RXK455" s="67"/>
      <c r="RXL455" s="67"/>
      <c r="RXM455" s="67"/>
      <c r="RXN455" s="67"/>
      <c r="RXO455" s="67"/>
      <c r="RXP455" s="67"/>
      <c r="RXQ455" s="67"/>
      <c r="RXR455" s="67"/>
      <c r="RXS455" s="67"/>
      <c r="RXT455" s="67"/>
      <c r="RXU455" s="67"/>
      <c r="RXV455" s="67"/>
      <c r="RXW455" s="67"/>
      <c r="RXX455" s="67"/>
      <c r="RXY455" s="67"/>
      <c r="RXZ455" s="67"/>
      <c r="RYA455" s="67"/>
      <c r="RYB455" s="67"/>
      <c r="RYC455" s="67"/>
      <c r="RYD455" s="67"/>
      <c r="RYE455" s="67"/>
      <c r="RYF455" s="67"/>
      <c r="RYG455" s="67"/>
      <c r="RYH455" s="67"/>
      <c r="RYI455" s="67"/>
      <c r="RYJ455" s="67"/>
      <c r="RYK455" s="67"/>
      <c r="RYL455" s="67"/>
      <c r="RYM455" s="67"/>
      <c r="RYN455" s="67"/>
      <c r="RYO455" s="67"/>
      <c r="RYP455" s="67"/>
      <c r="RYQ455" s="67"/>
      <c r="RYR455" s="67"/>
      <c r="RYS455" s="67"/>
      <c r="RYT455" s="67"/>
      <c r="RYU455" s="67"/>
      <c r="RYV455" s="67"/>
      <c r="RYW455" s="67"/>
      <c r="RYX455" s="67"/>
      <c r="RYY455" s="67"/>
      <c r="RYZ455" s="67"/>
      <c r="RZA455" s="67"/>
      <c r="RZB455" s="67"/>
      <c r="RZC455" s="67"/>
      <c r="RZD455" s="67"/>
      <c r="RZE455" s="67"/>
      <c r="RZF455" s="67"/>
      <c r="RZG455" s="67"/>
      <c r="RZH455" s="67"/>
      <c r="RZI455" s="67"/>
      <c r="RZJ455" s="67"/>
      <c r="RZK455" s="67"/>
      <c r="RZL455" s="67"/>
      <c r="RZM455" s="67"/>
      <c r="RZN455" s="67"/>
      <c r="RZO455" s="67"/>
      <c r="RZP455" s="67"/>
      <c r="RZQ455" s="67"/>
      <c r="RZR455" s="67"/>
      <c r="RZS455" s="67"/>
      <c r="RZT455" s="67"/>
      <c r="RZU455" s="67"/>
      <c r="RZV455" s="67"/>
      <c r="RZW455" s="67"/>
      <c r="RZX455" s="67"/>
      <c r="RZY455" s="67"/>
      <c r="RZZ455" s="67"/>
      <c r="SAA455" s="67"/>
      <c r="SAB455" s="67"/>
      <c r="SAC455" s="67"/>
      <c r="SAD455" s="67"/>
      <c r="SAE455" s="67"/>
      <c r="SAF455" s="67"/>
      <c r="SAG455" s="67"/>
      <c r="SAH455" s="67"/>
      <c r="SAI455" s="67"/>
      <c r="SAJ455" s="67"/>
      <c r="SAK455" s="67"/>
      <c r="SAL455" s="67"/>
      <c r="SAM455" s="67"/>
      <c r="SAN455" s="67"/>
      <c r="SAO455" s="67"/>
      <c r="SAP455" s="67"/>
      <c r="SAQ455" s="67"/>
      <c r="SAR455" s="67"/>
      <c r="SAS455" s="67"/>
      <c r="SAT455" s="67"/>
      <c r="SAU455" s="67"/>
      <c r="SAV455" s="67"/>
      <c r="SAW455" s="67"/>
      <c r="SAX455" s="67"/>
      <c r="SAY455" s="67"/>
      <c r="SAZ455" s="67"/>
      <c r="SBA455" s="67"/>
      <c r="SBB455" s="67"/>
      <c r="SBC455" s="67"/>
      <c r="SBD455" s="67"/>
      <c r="SBE455" s="67"/>
      <c r="SBF455" s="67"/>
      <c r="SBG455" s="67"/>
      <c r="SBH455" s="67"/>
      <c r="SBI455" s="67"/>
      <c r="SBJ455" s="67"/>
      <c r="SBK455" s="67"/>
      <c r="SBL455" s="67"/>
      <c r="SBM455" s="67"/>
      <c r="SBN455" s="67"/>
      <c r="SBO455" s="67"/>
      <c r="SBP455" s="67"/>
      <c r="SBQ455" s="67"/>
      <c r="SBR455" s="67"/>
      <c r="SBS455" s="67"/>
      <c r="SBT455" s="67"/>
      <c r="SBU455" s="67"/>
      <c r="SBV455" s="67"/>
      <c r="SBW455" s="67"/>
      <c r="SBX455" s="67"/>
      <c r="SBY455" s="67"/>
      <c r="SBZ455" s="67"/>
      <c r="SCA455" s="67"/>
      <c r="SCB455" s="67"/>
      <c r="SCC455" s="67"/>
      <c r="SCD455" s="67"/>
      <c r="SCE455" s="67"/>
      <c r="SCF455" s="67"/>
      <c r="SCG455" s="67"/>
      <c r="SCH455" s="67"/>
      <c r="SCI455" s="67"/>
      <c r="SCJ455" s="67"/>
      <c r="SCK455" s="67"/>
      <c r="SCL455" s="67"/>
      <c r="SCM455" s="67"/>
      <c r="SCN455" s="67"/>
      <c r="SCO455" s="67"/>
      <c r="SCP455" s="67"/>
      <c r="SCQ455" s="67"/>
      <c r="SCR455" s="67"/>
      <c r="SCS455" s="67"/>
      <c r="SCT455" s="67"/>
      <c r="SCU455" s="67"/>
      <c r="SCV455" s="67"/>
      <c r="SCW455" s="67"/>
      <c r="SCX455" s="67"/>
      <c r="SCY455" s="67"/>
      <c r="SCZ455" s="67"/>
      <c r="SDA455" s="67"/>
      <c r="SDB455" s="67"/>
      <c r="SDC455" s="67"/>
      <c r="SDD455" s="67"/>
      <c r="SDE455" s="67"/>
      <c r="SDF455" s="67"/>
      <c r="SDG455" s="67"/>
      <c r="SDH455" s="67"/>
      <c r="SDI455" s="67"/>
      <c r="SDJ455" s="67"/>
      <c r="SDK455" s="67"/>
      <c r="SDL455" s="67"/>
      <c r="SDM455" s="67"/>
      <c r="SDN455" s="67"/>
      <c r="SDO455" s="67"/>
      <c r="SDP455" s="67"/>
      <c r="SDQ455" s="67"/>
      <c r="SDR455" s="67"/>
      <c r="SDS455" s="67"/>
      <c r="SDT455" s="67"/>
      <c r="SDU455" s="67"/>
      <c r="SDV455" s="67"/>
      <c r="SDW455" s="67"/>
      <c r="SDX455" s="67"/>
      <c r="SDY455" s="67"/>
      <c r="SDZ455" s="67"/>
      <c r="SEA455" s="67"/>
      <c r="SEB455" s="67"/>
      <c r="SEC455" s="67"/>
      <c r="SED455" s="67"/>
      <c r="SEE455" s="67"/>
      <c r="SEF455" s="67"/>
      <c r="SEG455" s="67"/>
      <c r="SEH455" s="67"/>
      <c r="SEI455" s="67"/>
      <c r="SEJ455" s="67"/>
      <c r="SEK455" s="67"/>
      <c r="SEL455" s="67"/>
      <c r="SEM455" s="67"/>
      <c r="SEN455" s="67"/>
      <c r="SEO455" s="67"/>
      <c r="SEP455" s="67"/>
      <c r="SEQ455" s="67"/>
      <c r="SER455" s="67"/>
      <c r="SES455" s="67"/>
      <c r="SET455" s="67"/>
      <c r="SEU455" s="67"/>
      <c r="SEV455" s="67"/>
      <c r="SEW455" s="67"/>
      <c r="SEX455" s="67"/>
      <c r="SEY455" s="67"/>
      <c r="SEZ455" s="67"/>
      <c r="SFA455" s="67"/>
      <c r="SFB455" s="67"/>
      <c r="SFC455" s="67"/>
      <c r="SFD455" s="67"/>
      <c r="SFE455" s="67"/>
      <c r="SFF455" s="67"/>
      <c r="SFG455" s="67"/>
      <c r="SFH455" s="67"/>
      <c r="SFI455" s="67"/>
      <c r="SFJ455" s="67"/>
      <c r="SFK455" s="67"/>
      <c r="SFL455" s="67"/>
      <c r="SFM455" s="67"/>
      <c r="SFN455" s="67"/>
      <c r="SFO455" s="67"/>
      <c r="SFP455" s="67"/>
      <c r="SFQ455" s="67"/>
      <c r="SFR455" s="67"/>
      <c r="SFS455" s="67"/>
      <c r="SFT455" s="67"/>
      <c r="SFU455" s="67"/>
      <c r="SFV455" s="67"/>
      <c r="SFW455" s="67"/>
      <c r="SFX455" s="67"/>
      <c r="SFY455" s="67"/>
      <c r="SFZ455" s="67"/>
      <c r="SGA455" s="67"/>
      <c r="SGB455" s="67"/>
      <c r="SGC455" s="67"/>
      <c r="SGD455" s="67"/>
      <c r="SGE455" s="67"/>
      <c r="SGF455" s="67"/>
      <c r="SGG455" s="67"/>
      <c r="SGH455" s="67"/>
      <c r="SGI455" s="67"/>
      <c r="SGJ455" s="67"/>
      <c r="SGK455" s="67"/>
      <c r="SGL455" s="67"/>
      <c r="SGM455" s="67"/>
      <c r="SGN455" s="67"/>
      <c r="SGO455" s="67"/>
      <c r="SGP455" s="67"/>
      <c r="SGQ455" s="67"/>
      <c r="SGR455" s="67"/>
      <c r="SGS455" s="67"/>
      <c r="SGT455" s="67"/>
      <c r="SGU455" s="67"/>
      <c r="SGV455" s="67"/>
      <c r="SGW455" s="67"/>
      <c r="SGX455" s="67"/>
      <c r="SGY455" s="67"/>
      <c r="SGZ455" s="67"/>
      <c r="SHA455" s="67"/>
      <c r="SHB455" s="67"/>
      <c r="SHC455" s="67"/>
      <c r="SHD455" s="67"/>
      <c r="SHE455" s="67"/>
      <c r="SHF455" s="67"/>
      <c r="SHG455" s="67"/>
      <c r="SHH455" s="67"/>
      <c r="SHI455" s="67"/>
      <c r="SHJ455" s="67"/>
      <c r="SHK455" s="67"/>
      <c r="SHL455" s="67"/>
      <c r="SHM455" s="67"/>
      <c r="SHN455" s="67"/>
      <c r="SHO455" s="67"/>
      <c r="SHP455" s="67"/>
      <c r="SHQ455" s="67"/>
      <c r="SHR455" s="67"/>
      <c r="SHS455" s="67"/>
      <c r="SHT455" s="67"/>
      <c r="SHU455" s="67"/>
      <c r="SHV455" s="67"/>
      <c r="SHW455" s="67"/>
      <c r="SHX455" s="67"/>
      <c r="SHY455" s="67"/>
      <c r="SHZ455" s="67"/>
      <c r="SIA455" s="67"/>
      <c r="SIB455" s="67"/>
      <c r="SIC455" s="67"/>
      <c r="SID455" s="67"/>
      <c r="SIE455" s="67"/>
      <c r="SIF455" s="67"/>
      <c r="SIG455" s="67"/>
      <c r="SIH455" s="67"/>
      <c r="SII455" s="67"/>
      <c r="SIJ455" s="67"/>
      <c r="SIK455" s="67"/>
      <c r="SIL455" s="67"/>
      <c r="SIM455" s="67"/>
      <c r="SIN455" s="67"/>
      <c r="SIO455" s="67"/>
      <c r="SIP455" s="67"/>
      <c r="SIQ455" s="67"/>
      <c r="SIR455" s="67"/>
      <c r="SIS455" s="67"/>
      <c r="SIT455" s="67"/>
      <c r="SIU455" s="67"/>
      <c r="SIV455" s="67"/>
      <c r="SIW455" s="67"/>
      <c r="SIX455" s="67"/>
      <c r="SIY455" s="67"/>
      <c r="SIZ455" s="67"/>
      <c r="SJA455" s="67"/>
      <c r="SJB455" s="67"/>
      <c r="SJC455" s="67"/>
      <c r="SJD455" s="67"/>
      <c r="SJE455" s="67"/>
      <c r="SJF455" s="67"/>
      <c r="SJG455" s="67"/>
      <c r="SJH455" s="67"/>
      <c r="SJI455" s="67"/>
      <c r="SJJ455" s="67"/>
      <c r="SJK455" s="67"/>
      <c r="SJL455" s="67"/>
      <c r="SJM455" s="67"/>
      <c r="SJN455" s="67"/>
      <c r="SJO455" s="67"/>
      <c r="SJP455" s="67"/>
      <c r="SJQ455" s="67"/>
      <c r="SJR455" s="67"/>
      <c r="SJS455" s="67"/>
      <c r="SJT455" s="67"/>
      <c r="SJU455" s="67"/>
      <c r="SJV455" s="67"/>
      <c r="SJW455" s="67"/>
      <c r="SJX455" s="67"/>
      <c r="SJY455" s="67"/>
      <c r="SJZ455" s="67"/>
      <c r="SKA455" s="67"/>
      <c r="SKB455" s="67"/>
      <c r="SKC455" s="67"/>
      <c r="SKD455" s="67"/>
      <c r="SKE455" s="67"/>
      <c r="SKF455" s="67"/>
      <c r="SKG455" s="67"/>
      <c r="SKH455" s="67"/>
      <c r="SKI455" s="67"/>
      <c r="SKJ455" s="67"/>
      <c r="SKK455" s="67"/>
      <c r="SKL455" s="67"/>
      <c r="SKM455" s="67"/>
      <c r="SKN455" s="67"/>
      <c r="SKO455" s="67"/>
      <c r="SKP455" s="67"/>
      <c r="SKQ455" s="67"/>
      <c r="SKR455" s="67"/>
      <c r="SKS455" s="67"/>
      <c r="SKT455" s="67"/>
      <c r="SKU455" s="67"/>
      <c r="SKV455" s="67"/>
      <c r="SKW455" s="67"/>
      <c r="SKX455" s="67"/>
      <c r="SKY455" s="67"/>
      <c r="SKZ455" s="67"/>
      <c r="SLA455" s="67"/>
      <c r="SLB455" s="67"/>
      <c r="SLC455" s="67"/>
      <c r="SLD455" s="67"/>
      <c r="SLE455" s="67"/>
      <c r="SLF455" s="67"/>
      <c r="SLG455" s="67"/>
      <c r="SLH455" s="67"/>
      <c r="SLI455" s="67"/>
      <c r="SLJ455" s="67"/>
      <c r="SLK455" s="67"/>
      <c r="SLL455" s="67"/>
      <c r="SLM455" s="67"/>
      <c r="SLN455" s="67"/>
      <c r="SLO455" s="67"/>
      <c r="SLP455" s="67"/>
      <c r="SLQ455" s="67"/>
      <c r="SLR455" s="67"/>
      <c r="SLS455" s="67"/>
      <c r="SLT455" s="67"/>
      <c r="SLU455" s="67"/>
      <c r="SLV455" s="67"/>
      <c r="SLW455" s="67"/>
      <c r="SLX455" s="67"/>
      <c r="SLY455" s="67"/>
      <c r="SLZ455" s="67"/>
      <c r="SMA455" s="67"/>
      <c r="SMB455" s="67"/>
      <c r="SMC455" s="67"/>
      <c r="SMD455" s="67"/>
      <c r="SME455" s="67"/>
      <c r="SMF455" s="67"/>
      <c r="SMG455" s="67"/>
      <c r="SMH455" s="67"/>
      <c r="SMI455" s="67"/>
      <c r="SMJ455" s="67"/>
      <c r="SMK455" s="67"/>
      <c r="SML455" s="67"/>
      <c r="SMM455" s="67"/>
      <c r="SMN455" s="67"/>
      <c r="SMO455" s="67"/>
      <c r="SMP455" s="67"/>
      <c r="SMQ455" s="67"/>
      <c r="SMR455" s="67"/>
      <c r="SMS455" s="67"/>
      <c r="SMT455" s="67"/>
      <c r="SMU455" s="67"/>
      <c r="SMV455" s="67"/>
      <c r="SMW455" s="67"/>
      <c r="SMX455" s="67"/>
      <c r="SMY455" s="67"/>
      <c r="SMZ455" s="67"/>
      <c r="SNA455" s="67"/>
      <c r="SNB455" s="67"/>
      <c r="SNC455" s="67"/>
      <c r="SND455" s="67"/>
      <c r="SNE455" s="67"/>
      <c r="SNF455" s="67"/>
      <c r="SNG455" s="67"/>
      <c r="SNH455" s="67"/>
      <c r="SNI455" s="67"/>
      <c r="SNJ455" s="67"/>
      <c r="SNK455" s="67"/>
      <c r="SNL455" s="67"/>
      <c r="SNM455" s="67"/>
      <c r="SNN455" s="67"/>
      <c r="SNO455" s="67"/>
      <c r="SNP455" s="67"/>
      <c r="SNQ455" s="67"/>
      <c r="SNR455" s="67"/>
      <c r="SNS455" s="67"/>
      <c r="SNT455" s="67"/>
      <c r="SNU455" s="67"/>
      <c r="SNV455" s="67"/>
      <c r="SNW455" s="67"/>
      <c r="SNX455" s="67"/>
      <c r="SNY455" s="67"/>
      <c r="SNZ455" s="67"/>
      <c r="SOA455" s="67"/>
      <c r="SOB455" s="67"/>
      <c r="SOC455" s="67"/>
      <c r="SOD455" s="67"/>
      <c r="SOE455" s="67"/>
      <c r="SOF455" s="67"/>
      <c r="SOG455" s="67"/>
      <c r="SOH455" s="67"/>
      <c r="SOI455" s="67"/>
      <c r="SOJ455" s="67"/>
      <c r="SOK455" s="67"/>
      <c r="SOL455" s="67"/>
      <c r="SOM455" s="67"/>
      <c r="SON455" s="67"/>
      <c r="SOO455" s="67"/>
      <c r="SOP455" s="67"/>
      <c r="SOQ455" s="67"/>
      <c r="SOR455" s="67"/>
      <c r="SOS455" s="67"/>
      <c r="SOT455" s="67"/>
      <c r="SOU455" s="67"/>
      <c r="SOV455" s="67"/>
      <c r="SOW455" s="67"/>
      <c r="SOX455" s="67"/>
      <c r="SOY455" s="67"/>
      <c r="SOZ455" s="67"/>
      <c r="SPA455" s="67"/>
      <c r="SPB455" s="67"/>
      <c r="SPC455" s="67"/>
      <c r="SPD455" s="67"/>
      <c r="SPE455" s="67"/>
      <c r="SPF455" s="67"/>
      <c r="SPG455" s="67"/>
      <c r="SPH455" s="67"/>
      <c r="SPI455" s="67"/>
      <c r="SPJ455" s="67"/>
      <c r="SPK455" s="67"/>
      <c r="SPL455" s="67"/>
      <c r="SPM455" s="67"/>
      <c r="SPN455" s="67"/>
      <c r="SPO455" s="67"/>
      <c r="SPP455" s="67"/>
      <c r="SPQ455" s="67"/>
      <c r="SPR455" s="67"/>
      <c r="SPS455" s="67"/>
      <c r="SPT455" s="67"/>
      <c r="SPU455" s="67"/>
      <c r="SPV455" s="67"/>
      <c r="SPW455" s="67"/>
      <c r="SPX455" s="67"/>
      <c r="SPY455" s="67"/>
      <c r="SPZ455" s="67"/>
      <c r="SQA455" s="67"/>
      <c r="SQB455" s="67"/>
      <c r="SQC455" s="67"/>
      <c r="SQD455" s="67"/>
      <c r="SQE455" s="67"/>
      <c r="SQF455" s="67"/>
      <c r="SQG455" s="67"/>
      <c r="SQH455" s="67"/>
      <c r="SQI455" s="67"/>
      <c r="SQJ455" s="67"/>
      <c r="SQK455" s="67"/>
      <c r="SQL455" s="67"/>
      <c r="SQM455" s="67"/>
      <c r="SQN455" s="67"/>
      <c r="SQO455" s="67"/>
      <c r="SQP455" s="67"/>
      <c r="SQQ455" s="67"/>
      <c r="SQR455" s="67"/>
      <c r="SQS455" s="67"/>
      <c r="SQT455" s="67"/>
      <c r="SQU455" s="67"/>
      <c r="SQV455" s="67"/>
      <c r="SQW455" s="67"/>
      <c r="SQX455" s="67"/>
      <c r="SQY455" s="67"/>
      <c r="SQZ455" s="67"/>
      <c r="SRA455" s="67"/>
      <c r="SRB455" s="67"/>
      <c r="SRC455" s="67"/>
      <c r="SRD455" s="67"/>
      <c r="SRE455" s="67"/>
      <c r="SRF455" s="67"/>
      <c r="SRG455" s="67"/>
      <c r="SRH455" s="67"/>
      <c r="SRI455" s="67"/>
      <c r="SRJ455" s="67"/>
      <c r="SRK455" s="67"/>
      <c r="SRL455" s="67"/>
      <c r="SRM455" s="67"/>
      <c r="SRN455" s="67"/>
      <c r="SRO455" s="67"/>
      <c r="SRP455" s="67"/>
      <c r="SRQ455" s="67"/>
      <c r="SRR455" s="67"/>
      <c r="SRS455" s="67"/>
      <c r="SRT455" s="67"/>
      <c r="SRU455" s="67"/>
      <c r="SRV455" s="67"/>
      <c r="SRW455" s="67"/>
      <c r="SRX455" s="67"/>
      <c r="SRY455" s="67"/>
      <c r="SRZ455" s="67"/>
      <c r="SSA455" s="67"/>
      <c r="SSB455" s="67"/>
      <c r="SSC455" s="67"/>
      <c r="SSD455" s="67"/>
      <c r="SSE455" s="67"/>
      <c r="SSF455" s="67"/>
      <c r="SSG455" s="67"/>
      <c r="SSH455" s="67"/>
      <c r="SSI455" s="67"/>
      <c r="SSJ455" s="67"/>
      <c r="SSK455" s="67"/>
      <c r="SSL455" s="67"/>
      <c r="SSM455" s="67"/>
      <c r="SSN455" s="67"/>
      <c r="SSO455" s="67"/>
      <c r="SSP455" s="67"/>
      <c r="SSQ455" s="67"/>
      <c r="SSR455" s="67"/>
      <c r="SSS455" s="67"/>
      <c r="SST455" s="67"/>
      <c r="SSU455" s="67"/>
      <c r="SSV455" s="67"/>
      <c r="SSW455" s="67"/>
      <c r="SSX455" s="67"/>
      <c r="SSY455" s="67"/>
      <c r="SSZ455" s="67"/>
      <c r="STA455" s="67"/>
      <c r="STB455" s="67"/>
      <c r="STC455" s="67"/>
      <c r="STD455" s="67"/>
      <c r="STE455" s="67"/>
      <c r="STF455" s="67"/>
      <c r="STG455" s="67"/>
      <c r="STH455" s="67"/>
      <c r="STI455" s="67"/>
      <c r="STJ455" s="67"/>
      <c r="STK455" s="67"/>
      <c r="STL455" s="67"/>
      <c r="STM455" s="67"/>
      <c r="STN455" s="67"/>
      <c r="STO455" s="67"/>
      <c r="STP455" s="67"/>
      <c r="STQ455" s="67"/>
      <c r="STR455" s="67"/>
      <c r="STS455" s="67"/>
      <c r="STT455" s="67"/>
      <c r="STU455" s="67"/>
      <c r="STV455" s="67"/>
      <c r="STW455" s="67"/>
      <c r="STX455" s="67"/>
      <c r="STY455" s="67"/>
      <c r="STZ455" s="67"/>
      <c r="SUA455" s="67"/>
      <c r="SUB455" s="67"/>
      <c r="SUC455" s="67"/>
      <c r="SUD455" s="67"/>
      <c r="SUE455" s="67"/>
      <c r="SUF455" s="67"/>
      <c r="SUG455" s="67"/>
      <c r="SUH455" s="67"/>
      <c r="SUI455" s="67"/>
      <c r="SUJ455" s="67"/>
      <c r="SUK455" s="67"/>
      <c r="SUL455" s="67"/>
      <c r="SUM455" s="67"/>
      <c r="SUN455" s="67"/>
      <c r="SUO455" s="67"/>
      <c r="SUP455" s="67"/>
      <c r="SUQ455" s="67"/>
      <c r="SUR455" s="67"/>
      <c r="SUS455" s="67"/>
      <c r="SUT455" s="67"/>
      <c r="SUU455" s="67"/>
      <c r="SUV455" s="67"/>
      <c r="SUW455" s="67"/>
      <c r="SUX455" s="67"/>
      <c r="SUY455" s="67"/>
      <c r="SUZ455" s="67"/>
      <c r="SVA455" s="67"/>
      <c r="SVB455" s="67"/>
      <c r="SVC455" s="67"/>
      <c r="SVD455" s="67"/>
      <c r="SVE455" s="67"/>
      <c r="SVF455" s="67"/>
      <c r="SVG455" s="67"/>
      <c r="SVH455" s="67"/>
      <c r="SVI455" s="67"/>
      <c r="SVJ455" s="67"/>
      <c r="SVK455" s="67"/>
      <c r="SVL455" s="67"/>
      <c r="SVM455" s="67"/>
      <c r="SVN455" s="67"/>
      <c r="SVO455" s="67"/>
      <c r="SVP455" s="67"/>
      <c r="SVQ455" s="67"/>
      <c r="SVR455" s="67"/>
      <c r="SVS455" s="67"/>
      <c r="SVT455" s="67"/>
      <c r="SVU455" s="67"/>
      <c r="SVV455" s="67"/>
      <c r="SVW455" s="67"/>
      <c r="SVX455" s="67"/>
      <c r="SVY455" s="67"/>
      <c r="SVZ455" s="67"/>
      <c r="SWA455" s="67"/>
      <c r="SWB455" s="67"/>
      <c r="SWC455" s="67"/>
      <c r="SWD455" s="67"/>
      <c r="SWE455" s="67"/>
      <c r="SWF455" s="67"/>
      <c r="SWG455" s="67"/>
      <c r="SWH455" s="67"/>
      <c r="SWI455" s="67"/>
      <c r="SWJ455" s="67"/>
      <c r="SWK455" s="67"/>
      <c r="SWL455" s="67"/>
      <c r="SWM455" s="67"/>
      <c r="SWN455" s="67"/>
      <c r="SWO455" s="67"/>
      <c r="SWP455" s="67"/>
      <c r="SWQ455" s="67"/>
      <c r="SWR455" s="67"/>
      <c r="SWS455" s="67"/>
      <c r="SWT455" s="67"/>
      <c r="SWU455" s="67"/>
      <c r="SWV455" s="67"/>
      <c r="SWW455" s="67"/>
      <c r="SWX455" s="67"/>
      <c r="SWY455" s="67"/>
      <c r="SWZ455" s="67"/>
      <c r="SXA455" s="67"/>
      <c r="SXB455" s="67"/>
      <c r="SXC455" s="67"/>
      <c r="SXD455" s="67"/>
      <c r="SXE455" s="67"/>
      <c r="SXF455" s="67"/>
      <c r="SXG455" s="67"/>
      <c r="SXH455" s="67"/>
      <c r="SXI455" s="67"/>
      <c r="SXJ455" s="67"/>
      <c r="SXK455" s="67"/>
      <c r="SXL455" s="67"/>
      <c r="SXM455" s="67"/>
      <c r="SXN455" s="67"/>
      <c r="SXO455" s="67"/>
      <c r="SXP455" s="67"/>
      <c r="SXQ455" s="67"/>
      <c r="SXR455" s="67"/>
      <c r="SXS455" s="67"/>
      <c r="SXT455" s="67"/>
      <c r="SXU455" s="67"/>
      <c r="SXV455" s="67"/>
      <c r="SXW455" s="67"/>
      <c r="SXX455" s="67"/>
      <c r="SXY455" s="67"/>
      <c r="SXZ455" s="67"/>
      <c r="SYA455" s="67"/>
      <c r="SYB455" s="67"/>
      <c r="SYC455" s="67"/>
      <c r="SYD455" s="67"/>
      <c r="SYE455" s="67"/>
      <c r="SYF455" s="67"/>
      <c r="SYG455" s="67"/>
      <c r="SYH455" s="67"/>
      <c r="SYI455" s="67"/>
      <c r="SYJ455" s="67"/>
      <c r="SYK455" s="67"/>
      <c r="SYL455" s="67"/>
      <c r="SYM455" s="67"/>
      <c r="SYN455" s="67"/>
      <c r="SYO455" s="67"/>
      <c r="SYP455" s="67"/>
      <c r="SYQ455" s="67"/>
      <c r="SYR455" s="67"/>
      <c r="SYS455" s="67"/>
      <c r="SYT455" s="67"/>
      <c r="SYU455" s="67"/>
      <c r="SYV455" s="67"/>
      <c r="SYW455" s="67"/>
      <c r="SYX455" s="67"/>
      <c r="SYY455" s="67"/>
      <c r="SYZ455" s="67"/>
      <c r="SZA455" s="67"/>
      <c r="SZB455" s="67"/>
      <c r="SZC455" s="67"/>
      <c r="SZD455" s="67"/>
      <c r="SZE455" s="67"/>
      <c r="SZF455" s="67"/>
      <c r="SZG455" s="67"/>
      <c r="SZH455" s="67"/>
      <c r="SZI455" s="67"/>
      <c r="SZJ455" s="67"/>
      <c r="SZK455" s="67"/>
      <c r="SZL455" s="67"/>
      <c r="SZM455" s="67"/>
      <c r="SZN455" s="67"/>
      <c r="SZO455" s="67"/>
      <c r="SZP455" s="67"/>
      <c r="SZQ455" s="67"/>
      <c r="SZR455" s="67"/>
      <c r="SZS455" s="67"/>
      <c r="SZT455" s="67"/>
      <c r="SZU455" s="67"/>
      <c r="SZV455" s="67"/>
      <c r="SZW455" s="67"/>
      <c r="SZX455" s="67"/>
      <c r="SZY455" s="67"/>
      <c r="SZZ455" s="67"/>
      <c r="TAA455" s="67"/>
      <c r="TAB455" s="67"/>
      <c r="TAC455" s="67"/>
      <c r="TAD455" s="67"/>
      <c r="TAE455" s="67"/>
      <c r="TAF455" s="67"/>
      <c r="TAG455" s="67"/>
      <c r="TAH455" s="67"/>
      <c r="TAI455" s="67"/>
      <c r="TAJ455" s="67"/>
      <c r="TAK455" s="67"/>
      <c r="TAL455" s="67"/>
      <c r="TAM455" s="67"/>
      <c r="TAN455" s="67"/>
      <c r="TAO455" s="67"/>
      <c r="TAP455" s="67"/>
      <c r="TAQ455" s="67"/>
      <c r="TAR455" s="67"/>
      <c r="TAS455" s="67"/>
      <c r="TAT455" s="67"/>
      <c r="TAU455" s="67"/>
      <c r="TAV455" s="67"/>
      <c r="TAW455" s="67"/>
      <c r="TAX455" s="67"/>
      <c r="TAY455" s="67"/>
      <c r="TAZ455" s="67"/>
      <c r="TBA455" s="67"/>
      <c r="TBB455" s="67"/>
      <c r="TBC455" s="67"/>
      <c r="TBD455" s="67"/>
      <c r="TBE455" s="67"/>
      <c r="TBF455" s="67"/>
      <c r="TBG455" s="67"/>
      <c r="TBH455" s="67"/>
      <c r="TBI455" s="67"/>
      <c r="TBJ455" s="67"/>
      <c r="TBK455" s="67"/>
      <c r="TBL455" s="67"/>
      <c r="TBM455" s="67"/>
      <c r="TBN455" s="67"/>
      <c r="TBO455" s="67"/>
      <c r="TBP455" s="67"/>
      <c r="TBQ455" s="67"/>
      <c r="TBR455" s="67"/>
      <c r="TBS455" s="67"/>
      <c r="TBT455" s="67"/>
      <c r="TBU455" s="67"/>
      <c r="TBV455" s="67"/>
      <c r="TBW455" s="67"/>
      <c r="TBX455" s="67"/>
      <c r="TBY455" s="67"/>
      <c r="TBZ455" s="67"/>
      <c r="TCA455" s="67"/>
      <c r="TCB455" s="67"/>
      <c r="TCC455" s="67"/>
      <c r="TCD455" s="67"/>
      <c r="TCE455" s="67"/>
      <c r="TCF455" s="67"/>
      <c r="TCG455" s="67"/>
      <c r="TCH455" s="67"/>
      <c r="TCI455" s="67"/>
      <c r="TCJ455" s="67"/>
      <c r="TCK455" s="67"/>
      <c r="TCL455" s="67"/>
      <c r="TCM455" s="67"/>
      <c r="TCN455" s="67"/>
      <c r="TCO455" s="67"/>
      <c r="TCP455" s="67"/>
      <c r="TCQ455" s="67"/>
      <c r="TCR455" s="67"/>
      <c r="TCS455" s="67"/>
      <c r="TCT455" s="67"/>
      <c r="TCU455" s="67"/>
      <c r="TCV455" s="67"/>
      <c r="TCW455" s="67"/>
      <c r="TCX455" s="67"/>
      <c r="TCY455" s="67"/>
      <c r="TCZ455" s="67"/>
      <c r="TDA455" s="67"/>
      <c r="TDB455" s="67"/>
      <c r="TDC455" s="67"/>
      <c r="TDD455" s="67"/>
      <c r="TDE455" s="67"/>
      <c r="TDF455" s="67"/>
      <c r="TDG455" s="67"/>
      <c r="TDH455" s="67"/>
      <c r="TDI455" s="67"/>
      <c r="TDJ455" s="67"/>
      <c r="TDK455" s="67"/>
      <c r="TDL455" s="67"/>
      <c r="TDM455" s="67"/>
      <c r="TDN455" s="67"/>
      <c r="TDO455" s="67"/>
      <c r="TDP455" s="67"/>
      <c r="TDQ455" s="67"/>
      <c r="TDR455" s="67"/>
      <c r="TDS455" s="67"/>
      <c r="TDT455" s="67"/>
      <c r="TDU455" s="67"/>
      <c r="TDV455" s="67"/>
      <c r="TDW455" s="67"/>
      <c r="TDX455" s="67"/>
      <c r="TDY455" s="67"/>
      <c r="TDZ455" s="67"/>
      <c r="TEA455" s="67"/>
      <c r="TEB455" s="67"/>
      <c r="TEC455" s="67"/>
      <c r="TED455" s="67"/>
      <c r="TEE455" s="67"/>
      <c r="TEF455" s="67"/>
      <c r="TEG455" s="67"/>
      <c r="TEH455" s="67"/>
      <c r="TEI455" s="67"/>
      <c r="TEJ455" s="67"/>
      <c r="TEK455" s="67"/>
      <c r="TEL455" s="67"/>
      <c r="TEM455" s="67"/>
      <c r="TEN455" s="67"/>
      <c r="TEO455" s="67"/>
      <c r="TEP455" s="67"/>
      <c r="TEQ455" s="67"/>
      <c r="TER455" s="67"/>
      <c r="TES455" s="67"/>
      <c r="TET455" s="67"/>
      <c r="TEU455" s="67"/>
      <c r="TEV455" s="67"/>
      <c r="TEW455" s="67"/>
      <c r="TEX455" s="67"/>
      <c r="TEY455" s="67"/>
      <c r="TEZ455" s="67"/>
      <c r="TFA455" s="67"/>
      <c r="TFB455" s="67"/>
      <c r="TFC455" s="67"/>
      <c r="TFD455" s="67"/>
      <c r="TFE455" s="67"/>
      <c r="TFF455" s="67"/>
      <c r="TFG455" s="67"/>
      <c r="TFH455" s="67"/>
      <c r="TFI455" s="67"/>
      <c r="TFJ455" s="67"/>
      <c r="TFK455" s="67"/>
      <c r="TFL455" s="67"/>
      <c r="TFM455" s="67"/>
      <c r="TFN455" s="67"/>
      <c r="TFO455" s="67"/>
      <c r="TFP455" s="67"/>
      <c r="TFQ455" s="67"/>
      <c r="TFR455" s="67"/>
      <c r="TFS455" s="67"/>
      <c r="TFT455" s="67"/>
      <c r="TFU455" s="67"/>
      <c r="TFV455" s="67"/>
      <c r="TFW455" s="67"/>
      <c r="TFX455" s="67"/>
      <c r="TFY455" s="67"/>
      <c r="TFZ455" s="67"/>
      <c r="TGA455" s="67"/>
      <c r="TGB455" s="67"/>
      <c r="TGC455" s="67"/>
      <c r="TGD455" s="67"/>
      <c r="TGE455" s="67"/>
      <c r="TGF455" s="67"/>
      <c r="TGG455" s="67"/>
      <c r="TGH455" s="67"/>
      <c r="TGI455" s="67"/>
      <c r="TGJ455" s="67"/>
      <c r="TGK455" s="67"/>
      <c r="TGL455" s="67"/>
      <c r="TGM455" s="67"/>
      <c r="TGN455" s="67"/>
      <c r="TGO455" s="67"/>
      <c r="TGP455" s="67"/>
      <c r="TGQ455" s="67"/>
      <c r="TGR455" s="67"/>
      <c r="TGS455" s="67"/>
      <c r="TGT455" s="67"/>
      <c r="TGU455" s="67"/>
      <c r="TGV455" s="67"/>
      <c r="TGW455" s="67"/>
      <c r="TGX455" s="67"/>
      <c r="TGY455" s="67"/>
      <c r="TGZ455" s="67"/>
      <c r="THA455" s="67"/>
      <c r="THB455" s="67"/>
      <c r="THC455" s="67"/>
      <c r="THD455" s="67"/>
      <c r="THE455" s="67"/>
      <c r="THF455" s="67"/>
      <c r="THG455" s="67"/>
      <c r="THH455" s="67"/>
      <c r="THI455" s="67"/>
      <c r="THJ455" s="67"/>
      <c r="THK455" s="67"/>
      <c r="THL455" s="67"/>
      <c r="THM455" s="67"/>
      <c r="THN455" s="67"/>
      <c r="THO455" s="67"/>
      <c r="THP455" s="67"/>
      <c r="THQ455" s="67"/>
      <c r="THR455" s="67"/>
      <c r="THS455" s="67"/>
      <c r="THT455" s="67"/>
      <c r="THU455" s="67"/>
      <c r="THV455" s="67"/>
      <c r="THW455" s="67"/>
      <c r="THX455" s="67"/>
      <c r="THY455" s="67"/>
      <c r="THZ455" s="67"/>
      <c r="TIA455" s="67"/>
      <c r="TIB455" s="67"/>
      <c r="TIC455" s="67"/>
      <c r="TID455" s="67"/>
      <c r="TIE455" s="67"/>
      <c r="TIF455" s="67"/>
      <c r="TIG455" s="67"/>
      <c r="TIH455" s="67"/>
      <c r="TII455" s="67"/>
      <c r="TIJ455" s="67"/>
      <c r="TIK455" s="67"/>
      <c r="TIL455" s="67"/>
      <c r="TIM455" s="67"/>
      <c r="TIN455" s="67"/>
      <c r="TIO455" s="67"/>
      <c r="TIP455" s="67"/>
      <c r="TIQ455" s="67"/>
      <c r="TIR455" s="67"/>
      <c r="TIS455" s="67"/>
      <c r="TIT455" s="67"/>
      <c r="TIU455" s="67"/>
      <c r="TIV455" s="67"/>
      <c r="TIW455" s="67"/>
      <c r="TIX455" s="67"/>
      <c r="TIY455" s="67"/>
      <c r="TIZ455" s="67"/>
      <c r="TJA455" s="67"/>
      <c r="TJB455" s="67"/>
      <c r="TJC455" s="67"/>
      <c r="TJD455" s="67"/>
      <c r="TJE455" s="67"/>
      <c r="TJF455" s="67"/>
      <c r="TJG455" s="67"/>
      <c r="TJH455" s="67"/>
      <c r="TJI455" s="67"/>
      <c r="TJJ455" s="67"/>
      <c r="TJK455" s="67"/>
      <c r="TJL455" s="67"/>
      <c r="TJM455" s="67"/>
      <c r="TJN455" s="67"/>
      <c r="TJO455" s="67"/>
      <c r="TJP455" s="67"/>
      <c r="TJQ455" s="67"/>
      <c r="TJR455" s="67"/>
      <c r="TJS455" s="67"/>
      <c r="TJT455" s="67"/>
      <c r="TJU455" s="67"/>
      <c r="TJV455" s="67"/>
      <c r="TJW455" s="67"/>
      <c r="TJX455" s="67"/>
      <c r="TJY455" s="67"/>
      <c r="TJZ455" s="67"/>
      <c r="TKA455" s="67"/>
      <c r="TKB455" s="67"/>
      <c r="TKC455" s="67"/>
      <c r="TKD455" s="67"/>
      <c r="TKE455" s="67"/>
      <c r="TKF455" s="67"/>
      <c r="TKG455" s="67"/>
      <c r="TKH455" s="67"/>
      <c r="TKI455" s="67"/>
      <c r="TKJ455" s="67"/>
      <c r="TKK455" s="67"/>
      <c r="TKL455" s="67"/>
      <c r="TKM455" s="67"/>
      <c r="TKN455" s="67"/>
      <c r="TKO455" s="67"/>
      <c r="TKP455" s="67"/>
      <c r="TKQ455" s="67"/>
      <c r="TKR455" s="67"/>
      <c r="TKS455" s="67"/>
      <c r="TKT455" s="67"/>
      <c r="TKU455" s="67"/>
      <c r="TKV455" s="67"/>
      <c r="TKW455" s="67"/>
      <c r="TKX455" s="67"/>
      <c r="TKY455" s="67"/>
      <c r="TKZ455" s="67"/>
      <c r="TLA455" s="67"/>
      <c r="TLB455" s="67"/>
      <c r="TLC455" s="67"/>
      <c r="TLD455" s="67"/>
      <c r="TLE455" s="67"/>
      <c r="TLF455" s="67"/>
      <c r="TLG455" s="67"/>
      <c r="TLH455" s="67"/>
      <c r="TLI455" s="67"/>
      <c r="TLJ455" s="67"/>
      <c r="TLK455" s="67"/>
      <c r="TLL455" s="67"/>
      <c r="TLM455" s="67"/>
      <c r="TLN455" s="67"/>
      <c r="TLO455" s="67"/>
      <c r="TLP455" s="67"/>
      <c r="TLQ455" s="67"/>
      <c r="TLR455" s="67"/>
      <c r="TLS455" s="67"/>
      <c r="TLT455" s="67"/>
      <c r="TLU455" s="67"/>
      <c r="TLV455" s="67"/>
      <c r="TLW455" s="67"/>
      <c r="TLX455" s="67"/>
      <c r="TLY455" s="67"/>
      <c r="TLZ455" s="67"/>
      <c r="TMA455" s="67"/>
      <c r="TMB455" s="67"/>
      <c r="TMC455" s="67"/>
      <c r="TMD455" s="67"/>
      <c r="TME455" s="67"/>
      <c r="TMF455" s="67"/>
      <c r="TMG455" s="67"/>
      <c r="TMH455" s="67"/>
      <c r="TMI455" s="67"/>
      <c r="TMJ455" s="67"/>
      <c r="TMK455" s="67"/>
      <c r="TML455" s="67"/>
      <c r="TMM455" s="67"/>
      <c r="TMN455" s="67"/>
      <c r="TMO455" s="67"/>
      <c r="TMP455" s="67"/>
      <c r="TMQ455" s="67"/>
      <c r="TMR455" s="67"/>
      <c r="TMS455" s="67"/>
      <c r="TMT455" s="67"/>
      <c r="TMU455" s="67"/>
      <c r="TMV455" s="67"/>
      <c r="TMW455" s="67"/>
      <c r="TMX455" s="67"/>
      <c r="TMY455" s="67"/>
      <c r="TMZ455" s="67"/>
      <c r="TNA455" s="67"/>
      <c r="TNB455" s="67"/>
      <c r="TNC455" s="67"/>
      <c r="TND455" s="67"/>
      <c r="TNE455" s="67"/>
      <c r="TNF455" s="67"/>
      <c r="TNG455" s="67"/>
      <c r="TNH455" s="67"/>
      <c r="TNI455" s="67"/>
      <c r="TNJ455" s="67"/>
      <c r="TNK455" s="67"/>
      <c r="TNL455" s="67"/>
      <c r="TNM455" s="67"/>
      <c r="TNN455" s="67"/>
      <c r="TNO455" s="67"/>
      <c r="TNP455" s="67"/>
      <c r="TNQ455" s="67"/>
      <c r="TNR455" s="67"/>
      <c r="TNS455" s="67"/>
      <c r="TNT455" s="67"/>
      <c r="TNU455" s="67"/>
      <c r="TNV455" s="67"/>
      <c r="TNW455" s="67"/>
      <c r="TNX455" s="67"/>
      <c r="TNY455" s="67"/>
      <c r="TNZ455" s="67"/>
      <c r="TOA455" s="67"/>
      <c r="TOB455" s="67"/>
      <c r="TOC455" s="67"/>
      <c r="TOD455" s="67"/>
      <c r="TOE455" s="67"/>
      <c r="TOF455" s="67"/>
      <c r="TOG455" s="67"/>
      <c r="TOH455" s="67"/>
      <c r="TOI455" s="67"/>
      <c r="TOJ455" s="67"/>
      <c r="TOK455" s="67"/>
      <c r="TOL455" s="67"/>
      <c r="TOM455" s="67"/>
      <c r="TON455" s="67"/>
      <c r="TOO455" s="67"/>
      <c r="TOP455" s="67"/>
      <c r="TOQ455" s="67"/>
      <c r="TOR455" s="67"/>
      <c r="TOS455" s="67"/>
      <c r="TOT455" s="67"/>
      <c r="TOU455" s="67"/>
      <c r="TOV455" s="67"/>
      <c r="TOW455" s="67"/>
      <c r="TOX455" s="67"/>
      <c r="TOY455" s="67"/>
      <c r="TOZ455" s="67"/>
      <c r="TPA455" s="67"/>
      <c r="TPB455" s="67"/>
      <c r="TPC455" s="67"/>
      <c r="TPD455" s="67"/>
      <c r="TPE455" s="67"/>
      <c r="TPF455" s="67"/>
      <c r="TPG455" s="67"/>
      <c r="TPH455" s="67"/>
      <c r="TPI455" s="67"/>
      <c r="TPJ455" s="67"/>
      <c r="TPK455" s="67"/>
      <c r="TPL455" s="67"/>
      <c r="TPM455" s="67"/>
      <c r="TPN455" s="67"/>
      <c r="TPO455" s="67"/>
      <c r="TPP455" s="67"/>
      <c r="TPQ455" s="67"/>
      <c r="TPR455" s="67"/>
      <c r="TPS455" s="67"/>
      <c r="TPT455" s="67"/>
      <c r="TPU455" s="67"/>
      <c r="TPV455" s="67"/>
      <c r="TPW455" s="67"/>
      <c r="TPX455" s="67"/>
      <c r="TPY455" s="67"/>
      <c r="TPZ455" s="67"/>
      <c r="TQA455" s="67"/>
      <c r="TQB455" s="67"/>
      <c r="TQC455" s="67"/>
      <c r="TQD455" s="67"/>
      <c r="TQE455" s="67"/>
      <c r="TQF455" s="67"/>
      <c r="TQG455" s="67"/>
      <c r="TQH455" s="67"/>
      <c r="TQI455" s="67"/>
      <c r="TQJ455" s="67"/>
      <c r="TQK455" s="67"/>
      <c r="TQL455" s="67"/>
      <c r="TQM455" s="67"/>
      <c r="TQN455" s="67"/>
      <c r="TQO455" s="67"/>
      <c r="TQP455" s="67"/>
      <c r="TQQ455" s="67"/>
      <c r="TQR455" s="67"/>
      <c r="TQS455" s="67"/>
      <c r="TQT455" s="67"/>
      <c r="TQU455" s="67"/>
      <c r="TQV455" s="67"/>
      <c r="TQW455" s="67"/>
      <c r="TQX455" s="67"/>
      <c r="TQY455" s="67"/>
      <c r="TQZ455" s="67"/>
      <c r="TRA455" s="67"/>
      <c r="TRB455" s="67"/>
      <c r="TRC455" s="67"/>
      <c r="TRD455" s="67"/>
      <c r="TRE455" s="67"/>
      <c r="TRF455" s="67"/>
      <c r="TRG455" s="67"/>
      <c r="TRH455" s="67"/>
      <c r="TRI455" s="67"/>
      <c r="TRJ455" s="67"/>
      <c r="TRK455" s="67"/>
      <c r="TRL455" s="67"/>
      <c r="TRM455" s="67"/>
      <c r="TRN455" s="67"/>
      <c r="TRO455" s="67"/>
      <c r="TRP455" s="67"/>
      <c r="TRQ455" s="67"/>
      <c r="TRR455" s="67"/>
      <c r="TRS455" s="67"/>
      <c r="TRT455" s="67"/>
      <c r="TRU455" s="67"/>
      <c r="TRV455" s="67"/>
      <c r="TRW455" s="67"/>
      <c r="TRX455" s="67"/>
      <c r="TRY455" s="67"/>
      <c r="TRZ455" s="67"/>
      <c r="TSA455" s="67"/>
      <c r="TSB455" s="67"/>
      <c r="TSC455" s="67"/>
      <c r="TSD455" s="67"/>
      <c r="TSE455" s="67"/>
      <c r="TSF455" s="67"/>
      <c r="TSG455" s="67"/>
      <c r="TSH455" s="67"/>
      <c r="TSI455" s="67"/>
      <c r="TSJ455" s="67"/>
      <c r="TSK455" s="67"/>
      <c r="TSL455" s="67"/>
      <c r="TSM455" s="67"/>
      <c r="TSN455" s="67"/>
      <c r="TSO455" s="67"/>
      <c r="TSP455" s="67"/>
      <c r="TSQ455" s="67"/>
      <c r="TSR455" s="67"/>
      <c r="TSS455" s="67"/>
      <c r="TST455" s="67"/>
      <c r="TSU455" s="67"/>
      <c r="TSV455" s="67"/>
      <c r="TSW455" s="67"/>
      <c r="TSX455" s="67"/>
      <c r="TSY455" s="67"/>
      <c r="TSZ455" s="67"/>
      <c r="TTA455" s="67"/>
      <c r="TTB455" s="67"/>
      <c r="TTC455" s="67"/>
      <c r="TTD455" s="67"/>
      <c r="TTE455" s="67"/>
      <c r="TTF455" s="67"/>
      <c r="TTG455" s="67"/>
      <c r="TTH455" s="67"/>
      <c r="TTI455" s="67"/>
      <c r="TTJ455" s="67"/>
      <c r="TTK455" s="67"/>
      <c r="TTL455" s="67"/>
      <c r="TTM455" s="67"/>
      <c r="TTN455" s="67"/>
      <c r="TTO455" s="67"/>
      <c r="TTP455" s="67"/>
      <c r="TTQ455" s="67"/>
      <c r="TTR455" s="67"/>
      <c r="TTS455" s="67"/>
      <c r="TTT455" s="67"/>
      <c r="TTU455" s="67"/>
      <c r="TTV455" s="67"/>
      <c r="TTW455" s="67"/>
      <c r="TTX455" s="67"/>
      <c r="TTY455" s="67"/>
      <c r="TTZ455" s="67"/>
      <c r="TUA455" s="67"/>
      <c r="TUB455" s="67"/>
      <c r="TUC455" s="67"/>
      <c r="TUD455" s="67"/>
      <c r="TUE455" s="67"/>
      <c r="TUF455" s="67"/>
      <c r="TUG455" s="67"/>
      <c r="TUH455" s="67"/>
      <c r="TUI455" s="67"/>
      <c r="TUJ455" s="67"/>
      <c r="TUK455" s="67"/>
      <c r="TUL455" s="67"/>
      <c r="TUM455" s="67"/>
      <c r="TUN455" s="67"/>
      <c r="TUO455" s="67"/>
      <c r="TUP455" s="67"/>
      <c r="TUQ455" s="67"/>
      <c r="TUR455" s="67"/>
      <c r="TUS455" s="67"/>
      <c r="TUT455" s="67"/>
      <c r="TUU455" s="67"/>
      <c r="TUV455" s="67"/>
      <c r="TUW455" s="67"/>
      <c r="TUX455" s="67"/>
      <c r="TUY455" s="67"/>
      <c r="TUZ455" s="67"/>
      <c r="TVA455" s="67"/>
      <c r="TVB455" s="67"/>
      <c r="TVC455" s="67"/>
      <c r="TVD455" s="67"/>
      <c r="TVE455" s="67"/>
      <c r="TVF455" s="67"/>
      <c r="TVG455" s="67"/>
      <c r="TVH455" s="67"/>
      <c r="TVI455" s="67"/>
      <c r="TVJ455" s="67"/>
      <c r="TVK455" s="67"/>
      <c r="TVL455" s="67"/>
      <c r="TVM455" s="67"/>
      <c r="TVN455" s="67"/>
      <c r="TVO455" s="67"/>
      <c r="TVP455" s="67"/>
      <c r="TVQ455" s="67"/>
      <c r="TVR455" s="67"/>
      <c r="TVS455" s="67"/>
      <c r="TVT455" s="67"/>
      <c r="TVU455" s="67"/>
      <c r="TVV455" s="67"/>
      <c r="TVW455" s="67"/>
      <c r="TVX455" s="67"/>
      <c r="TVY455" s="67"/>
      <c r="TVZ455" s="67"/>
      <c r="TWA455" s="67"/>
      <c r="TWB455" s="67"/>
      <c r="TWC455" s="67"/>
      <c r="TWD455" s="67"/>
      <c r="TWE455" s="67"/>
      <c r="TWF455" s="67"/>
      <c r="TWG455" s="67"/>
      <c r="TWH455" s="67"/>
      <c r="TWI455" s="67"/>
      <c r="TWJ455" s="67"/>
      <c r="TWK455" s="67"/>
      <c r="TWL455" s="67"/>
      <c r="TWM455" s="67"/>
      <c r="TWN455" s="67"/>
      <c r="TWO455" s="67"/>
      <c r="TWP455" s="67"/>
      <c r="TWQ455" s="67"/>
      <c r="TWR455" s="67"/>
      <c r="TWS455" s="67"/>
      <c r="TWT455" s="67"/>
      <c r="TWU455" s="67"/>
      <c r="TWV455" s="67"/>
      <c r="TWW455" s="67"/>
      <c r="TWX455" s="67"/>
      <c r="TWY455" s="67"/>
      <c r="TWZ455" s="67"/>
      <c r="TXA455" s="67"/>
      <c r="TXB455" s="67"/>
      <c r="TXC455" s="67"/>
      <c r="TXD455" s="67"/>
      <c r="TXE455" s="67"/>
      <c r="TXF455" s="67"/>
      <c r="TXG455" s="67"/>
      <c r="TXH455" s="67"/>
      <c r="TXI455" s="67"/>
      <c r="TXJ455" s="67"/>
      <c r="TXK455" s="67"/>
      <c r="TXL455" s="67"/>
      <c r="TXM455" s="67"/>
      <c r="TXN455" s="67"/>
      <c r="TXO455" s="67"/>
      <c r="TXP455" s="67"/>
      <c r="TXQ455" s="67"/>
      <c r="TXR455" s="67"/>
      <c r="TXS455" s="67"/>
      <c r="TXT455" s="67"/>
      <c r="TXU455" s="67"/>
      <c r="TXV455" s="67"/>
      <c r="TXW455" s="67"/>
      <c r="TXX455" s="67"/>
      <c r="TXY455" s="67"/>
      <c r="TXZ455" s="67"/>
      <c r="TYA455" s="67"/>
      <c r="TYB455" s="67"/>
      <c r="TYC455" s="67"/>
      <c r="TYD455" s="67"/>
      <c r="TYE455" s="67"/>
      <c r="TYF455" s="67"/>
      <c r="TYG455" s="67"/>
      <c r="TYH455" s="67"/>
      <c r="TYI455" s="67"/>
      <c r="TYJ455" s="67"/>
      <c r="TYK455" s="67"/>
      <c r="TYL455" s="67"/>
      <c r="TYM455" s="67"/>
      <c r="TYN455" s="67"/>
      <c r="TYO455" s="67"/>
      <c r="TYP455" s="67"/>
      <c r="TYQ455" s="67"/>
      <c r="TYR455" s="67"/>
      <c r="TYS455" s="67"/>
      <c r="TYT455" s="67"/>
      <c r="TYU455" s="67"/>
      <c r="TYV455" s="67"/>
      <c r="TYW455" s="67"/>
      <c r="TYX455" s="67"/>
      <c r="TYY455" s="67"/>
      <c r="TYZ455" s="67"/>
      <c r="TZA455" s="67"/>
      <c r="TZB455" s="67"/>
      <c r="TZC455" s="67"/>
      <c r="TZD455" s="67"/>
      <c r="TZE455" s="67"/>
      <c r="TZF455" s="67"/>
      <c r="TZG455" s="67"/>
      <c r="TZH455" s="67"/>
      <c r="TZI455" s="67"/>
      <c r="TZJ455" s="67"/>
      <c r="TZK455" s="67"/>
      <c r="TZL455" s="67"/>
      <c r="TZM455" s="67"/>
      <c r="TZN455" s="67"/>
      <c r="TZO455" s="67"/>
      <c r="TZP455" s="67"/>
      <c r="TZQ455" s="67"/>
      <c r="TZR455" s="67"/>
      <c r="TZS455" s="67"/>
      <c r="TZT455" s="67"/>
      <c r="TZU455" s="67"/>
      <c r="TZV455" s="67"/>
      <c r="TZW455" s="67"/>
      <c r="TZX455" s="67"/>
      <c r="TZY455" s="67"/>
      <c r="TZZ455" s="67"/>
      <c r="UAA455" s="67"/>
      <c r="UAB455" s="67"/>
      <c r="UAC455" s="67"/>
      <c r="UAD455" s="67"/>
      <c r="UAE455" s="67"/>
      <c r="UAF455" s="67"/>
      <c r="UAG455" s="67"/>
      <c r="UAH455" s="67"/>
      <c r="UAI455" s="67"/>
      <c r="UAJ455" s="67"/>
      <c r="UAK455" s="67"/>
      <c r="UAL455" s="67"/>
      <c r="UAM455" s="67"/>
      <c r="UAN455" s="67"/>
      <c r="UAO455" s="67"/>
      <c r="UAP455" s="67"/>
      <c r="UAQ455" s="67"/>
      <c r="UAR455" s="67"/>
      <c r="UAS455" s="67"/>
      <c r="UAT455" s="67"/>
      <c r="UAU455" s="67"/>
      <c r="UAV455" s="67"/>
      <c r="UAW455" s="67"/>
      <c r="UAX455" s="67"/>
      <c r="UAY455" s="67"/>
      <c r="UAZ455" s="67"/>
      <c r="UBA455" s="67"/>
      <c r="UBB455" s="67"/>
      <c r="UBC455" s="67"/>
      <c r="UBD455" s="67"/>
      <c r="UBE455" s="67"/>
      <c r="UBF455" s="67"/>
      <c r="UBG455" s="67"/>
      <c r="UBH455" s="67"/>
      <c r="UBI455" s="67"/>
      <c r="UBJ455" s="67"/>
      <c r="UBK455" s="67"/>
      <c r="UBL455" s="67"/>
      <c r="UBM455" s="67"/>
      <c r="UBN455" s="67"/>
      <c r="UBO455" s="67"/>
      <c r="UBP455" s="67"/>
      <c r="UBQ455" s="67"/>
      <c r="UBR455" s="67"/>
      <c r="UBS455" s="67"/>
      <c r="UBT455" s="67"/>
      <c r="UBU455" s="67"/>
      <c r="UBV455" s="67"/>
      <c r="UBW455" s="67"/>
      <c r="UBX455" s="67"/>
      <c r="UBY455" s="67"/>
      <c r="UBZ455" s="67"/>
      <c r="UCA455" s="67"/>
      <c r="UCB455" s="67"/>
      <c r="UCC455" s="67"/>
      <c r="UCD455" s="67"/>
      <c r="UCE455" s="67"/>
      <c r="UCF455" s="67"/>
      <c r="UCG455" s="67"/>
      <c r="UCH455" s="67"/>
      <c r="UCI455" s="67"/>
      <c r="UCJ455" s="67"/>
      <c r="UCK455" s="67"/>
      <c r="UCL455" s="67"/>
      <c r="UCM455" s="67"/>
      <c r="UCN455" s="67"/>
      <c r="UCO455" s="67"/>
      <c r="UCP455" s="67"/>
      <c r="UCQ455" s="67"/>
      <c r="UCR455" s="67"/>
      <c r="UCS455" s="67"/>
      <c r="UCT455" s="67"/>
      <c r="UCU455" s="67"/>
      <c r="UCV455" s="67"/>
      <c r="UCW455" s="67"/>
      <c r="UCX455" s="67"/>
      <c r="UCY455" s="67"/>
      <c r="UCZ455" s="67"/>
      <c r="UDA455" s="67"/>
      <c r="UDB455" s="67"/>
      <c r="UDC455" s="67"/>
      <c r="UDD455" s="67"/>
      <c r="UDE455" s="67"/>
      <c r="UDF455" s="67"/>
      <c r="UDG455" s="67"/>
      <c r="UDH455" s="67"/>
      <c r="UDI455" s="67"/>
      <c r="UDJ455" s="67"/>
      <c r="UDK455" s="67"/>
      <c r="UDL455" s="67"/>
      <c r="UDM455" s="67"/>
      <c r="UDN455" s="67"/>
      <c r="UDO455" s="67"/>
      <c r="UDP455" s="67"/>
      <c r="UDQ455" s="67"/>
      <c r="UDR455" s="67"/>
      <c r="UDS455" s="67"/>
      <c r="UDT455" s="67"/>
      <c r="UDU455" s="67"/>
      <c r="UDV455" s="67"/>
      <c r="UDW455" s="67"/>
      <c r="UDX455" s="67"/>
      <c r="UDY455" s="67"/>
      <c r="UDZ455" s="67"/>
      <c r="UEA455" s="67"/>
      <c r="UEB455" s="67"/>
      <c r="UEC455" s="67"/>
      <c r="UED455" s="67"/>
      <c r="UEE455" s="67"/>
      <c r="UEF455" s="67"/>
      <c r="UEG455" s="67"/>
      <c r="UEH455" s="67"/>
      <c r="UEI455" s="67"/>
      <c r="UEJ455" s="67"/>
      <c r="UEK455" s="67"/>
      <c r="UEL455" s="67"/>
      <c r="UEM455" s="67"/>
      <c r="UEN455" s="67"/>
      <c r="UEO455" s="67"/>
      <c r="UEP455" s="67"/>
      <c r="UEQ455" s="67"/>
      <c r="UER455" s="67"/>
      <c r="UES455" s="67"/>
      <c r="UET455" s="67"/>
      <c r="UEU455" s="67"/>
      <c r="UEV455" s="67"/>
      <c r="UEW455" s="67"/>
      <c r="UEX455" s="67"/>
      <c r="UEY455" s="67"/>
      <c r="UEZ455" s="67"/>
      <c r="UFA455" s="67"/>
      <c r="UFB455" s="67"/>
      <c r="UFC455" s="67"/>
      <c r="UFD455" s="67"/>
      <c r="UFE455" s="67"/>
      <c r="UFF455" s="67"/>
      <c r="UFG455" s="67"/>
      <c r="UFH455" s="67"/>
      <c r="UFI455" s="67"/>
      <c r="UFJ455" s="67"/>
      <c r="UFK455" s="67"/>
      <c r="UFL455" s="67"/>
      <c r="UFM455" s="67"/>
      <c r="UFN455" s="67"/>
      <c r="UFO455" s="67"/>
      <c r="UFP455" s="67"/>
      <c r="UFQ455" s="67"/>
      <c r="UFR455" s="67"/>
      <c r="UFS455" s="67"/>
      <c r="UFT455" s="67"/>
      <c r="UFU455" s="67"/>
      <c r="UFV455" s="67"/>
      <c r="UFW455" s="67"/>
      <c r="UFX455" s="67"/>
      <c r="UFY455" s="67"/>
      <c r="UFZ455" s="67"/>
      <c r="UGA455" s="67"/>
      <c r="UGB455" s="67"/>
      <c r="UGC455" s="67"/>
      <c r="UGD455" s="67"/>
      <c r="UGE455" s="67"/>
      <c r="UGF455" s="67"/>
      <c r="UGG455" s="67"/>
      <c r="UGH455" s="67"/>
      <c r="UGI455" s="67"/>
      <c r="UGJ455" s="67"/>
      <c r="UGK455" s="67"/>
      <c r="UGL455" s="67"/>
      <c r="UGM455" s="67"/>
      <c r="UGN455" s="67"/>
      <c r="UGO455" s="67"/>
      <c r="UGP455" s="67"/>
      <c r="UGQ455" s="67"/>
      <c r="UGR455" s="67"/>
      <c r="UGS455" s="67"/>
      <c r="UGT455" s="67"/>
      <c r="UGU455" s="67"/>
      <c r="UGV455" s="67"/>
      <c r="UGW455" s="67"/>
      <c r="UGX455" s="67"/>
      <c r="UGY455" s="67"/>
      <c r="UGZ455" s="67"/>
      <c r="UHA455" s="67"/>
      <c r="UHB455" s="67"/>
      <c r="UHC455" s="67"/>
      <c r="UHD455" s="67"/>
      <c r="UHE455" s="67"/>
      <c r="UHF455" s="67"/>
      <c r="UHG455" s="67"/>
      <c r="UHH455" s="67"/>
      <c r="UHI455" s="67"/>
      <c r="UHJ455" s="67"/>
      <c r="UHK455" s="67"/>
      <c r="UHL455" s="67"/>
      <c r="UHM455" s="67"/>
      <c r="UHN455" s="67"/>
      <c r="UHO455" s="67"/>
      <c r="UHP455" s="67"/>
      <c r="UHQ455" s="67"/>
      <c r="UHR455" s="67"/>
      <c r="UHS455" s="67"/>
      <c r="UHT455" s="67"/>
      <c r="UHU455" s="67"/>
      <c r="UHV455" s="67"/>
      <c r="UHW455" s="67"/>
      <c r="UHX455" s="67"/>
      <c r="UHY455" s="67"/>
      <c r="UHZ455" s="67"/>
      <c r="UIA455" s="67"/>
      <c r="UIB455" s="67"/>
      <c r="UIC455" s="67"/>
      <c r="UID455" s="67"/>
      <c r="UIE455" s="67"/>
      <c r="UIF455" s="67"/>
      <c r="UIG455" s="67"/>
      <c r="UIH455" s="67"/>
      <c r="UII455" s="67"/>
      <c r="UIJ455" s="67"/>
      <c r="UIK455" s="67"/>
      <c r="UIL455" s="67"/>
      <c r="UIM455" s="67"/>
      <c r="UIN455" s="67"/>
      <c r="UIO455" s="67"/>
      <c r="UIP455" s="67"/>
      <c r="UIQ455" s="67"/>
      <c r="UIR455" s="67"/>
      <c r="UIS455" s="67"/>
      <c r="UIT455" s="67"/>
      <c r="UIU455" s="67"/>
      <c r="UIV455" s="67"/>
      <c r="UIW455" s="67"/>
      <c r="UIX455" s="67"/>
      <c r="UIY455" s="67"/>
      <c r="UIZ455" s="67"/>
      <c r="UJA455" s="67"/>
      <c r="UJB455" s="67"/>
      <c r="UJC455" s="67"/>
      <c r="UJD455" s="67"/>
      <c r="UJE455" s="67"/>
      <c r="UJF455" s="67"/>
      <c r="UJG455" s="67"/>
      <c r="UJH455" s="67"/>
      <c r="UJI455" s="67"/>
      <c r="UJJ455" s="67"/>
      <c r="UJK455" s="67"/>
      <c r="UJL455" s="67"/>
      <c r="UJM455" s="67"/>
      <c r="UJN455" s="67"/>
      <c r="UJO455" s="67"/>
      <c r="UJP455" s="67"/>
      <c r="UJQ455" s="67"/>
      <c r="UJR455" s="67"/>
      <c r="UJS455" s="67"/>
      <c r="UJT455" s="67"/>
      <c r="UJU455" s="67"/>
      <c r="UJV455" s="67"/>
      <c r="UJW455" s="67"/>
      <c r="UJX455" s="67"/>
      <c r="UJY455" s="67"/>
      <c r="UJZ455" s="67"/>
      <c r="UKA455" s="67"/>
      <c r="UKB455" s="67"/>
      <c r="UKC455" s="67"/>
      <c r="UKD455" s="67"/>
      <c r="UKE455" s="67"/>
      <c r="UKF455" s="67"/>
      <c r="UKG455" s="67"/>
      <c r="UKH455" s="67"/>
      <c r="UKI455" s="67"/>
      <c r="UKJ455" s="67"/>
      <c r="UKK455" s="67"/>
      <c r="UKL455" s="67"/>
      <c r="UKM455" s="67"/>
      <c r="UKN455" s="67"/>
      <c r="UKO455" s="67"/>
      <c r="UKP455" s="67"/>
      <c r="UKQ455" s="67"/>
      <c r="UKR455" s="67"/>
      <c r="UKS455" s="67"/>
      <c r="UKT455" s="67"/>
      <c r="UKU455" s="67"/>
      <c r="UKV455" s="67"/>
      <c r="UKW455" s="67"/>
      <c r="UKX455" s="67"/>
      <c r="UKY455" s="67"/>
      <c r="UKZ455" s="67"/>
      <c r="ULA455" s="67"/>
      <c r="ULB455" s="67"/>
      <c r="ULC455" s="67"/>
      <c r="ULD455" s="67"/>
      <c r="ULE455" s="67"/>
      <c r="ULF455" s="67"/>
      <c r="ULG455" s="67"/>
      <c r="ULH455" s="67"/>
      <c r="ULI455" s="67"/>
      <c r="ULJ455" s="67"/>
      <c r="ULK455" s="67"/>
      <c r="ULL455" s="67"/>
      <c r="ULM455" s="67"/>
      <c r="ULN455" s="67"/>
      <c r="ULO455" s="67"/>
      <c r="ULP455" s="67"/>
      <c r="ULQ455" s="67"/>
      <c r="ULR455" s="67"/>
      <c r="ULS455" s="67"/>
      <c r="ULT455" s="67"/>
      <c r="ULU455" s="67"/>
      <c r="ULV455" s="67"/>
      <c r="ULW455" s="67"/>
      <c r="ULX455" s="67"/>
      <c r="ULY455" s="67"/>
      <c r="ULZ455" s="67"/>
      <c r="UMA455" s="67"/>
      <c r="UMB455" s="67"/>
      <c r="UMC455" s="67"/>
      <c r="UMD455" s="67"/>
      <c r="UME455" s="67"/>
      <c r="UMF455" s="67"/>
      <c r="UMG455" s="67"/>
      <c r="UMH455" s="67"/>
      <c r="UMI455" s="67"/>
      <c r="UMJ455" s="67"/>
      <c r="UMK455" s="67"/>
      <c r="UML455" s="67"/>
      <c r="UMM455" s="67"/>
      <c r="UMN455" s="67"/>
      <c r="UMO455" s="67"/>
      <c r="UMP455" s="67"/>
      <c r="UMQ455" s="67"/>
      <c r="UMR455" s="67"/>
      <c r="UMS455" s="67"/>
      <c r="UMT455" s="67"/>
      <c r="UMU455" s="67"/>
      <c r="UMV455" s="67"/>
      <c r="UMW455" s="67"/>
      <c r="UMX455" s="67"/>
      <c r="UMY455" s="67"/>
      <c r="UMZ455" s="67"/>
      <c r="UNA455" s="67"/>
      <c r="UNB455" s="67"/>
      <c r="UNC455" s="67"/>
      <c r="UND455" s="67"/>
      <c r="UNE455" s="67"/>
      <c r="UNF455" s="67"/>
      <c r="UNG455" s="67"/>
      <c r="UNH455" s="67"/>
      <c r="UNI455" s="67"/>
      <c r="UNJ455" s="67"/>
      <c r="UNK455" s="67"/>
      <c r="UNL455" s="67"/>
      <c r="UNM455" s="67"/>
      <c r="UNN455" s="67"/>
      <c r="UNO455" s="67"/>
      <c r="UNP455" s="67"/>
      <c r="UNQ455" s="67"/>
      <c r="UNR455" s="67"/>
      <c r="UNS455" s="67"/>
      <c r="UNT455" s="67"/>
      <c r="UNU455" s="67"/>
      <c r="UNV455" s="67"/>
      <c r="UNW455" s="67"/>
      <c r="UNX455" s="67"/>
      <c r="UNY455" s="67"/>
      <c r="UNZ455" s="67"/>
      <c r="UOA455" s="67"/>
      <c r="UOB455" s="67"/>
      <c r="UOC455" s="67"/>
      <c r="UOD455" s="67"/>
      <c r="UOE455" s="67"/>
      <c r="UOF455" s="67"/>
      <c r="UOG455" s="67"/>
      <c r="UOH455" s="67"/>
      <c r="UOI455" s="67"/>
      <c r="UOJ455" s="67"/>
      <c r="UOK455" s="67"/>
      <c r="UOL455" s="67"/>
      <c r="UOM455" s="67"/>
      <c r="UON455" s="67"/>
      <c r="UOO455" s="67"/>
      <c r="UOP455" s="67"/>
      <c r="UOQ455" s="67"/>
      <c r="UOR455" s="67"/>
      <c r="UOS455" s="67"/>
      <c r="UOT455" s="67"/>
      <c r="UOU455" s="67"/>
      <c r="UOV455" s="67"/>
      <c r="UOW455" s="67"/>
      <c r="UOX455" s="67"/>
      <c r="UOY455" s="67"/>
      <c r="UOZ455" s="67"/>
      <c r="UPA455" s="67"/>
      <c r="UPB455" s="67"/>
      <c r="UPC455" s="67"/>
      <c r="UPD455" s="67"/>
      <c r="UPE455" s="67"/>
      <c r="UPF455" s="67"/>
      <c r="UPG455" s="67"/>
      <c r="UPH455" s="67"/>
      <c r="UPI455" s="67"/>
      <c r="UPJ455" s="67"/>
      <c r="UPK455" s="67"/>
      <c r="UPL455" s="67"/>
      <c r="UPM455" s="67"/>
      <c r="UPN455" s="67"/>
      <c r="UPO455" s="67"/>
      <c r="UPP455" s="67"/>
      <c r="UPQ455" s="67"/>
      <c r="UPR455" s="67"/>
      <c r="UPS455" s="67"/>
      <c r="UPT455" s="67"/>
      <c r="UPU455" s="67"/>
      <c r="UPV455" s="67"/>
      <c r="UPW455" s="67"/>
      <c r="UPX455" s="67"/>
      <c r="UPY455" s="67"/>
      <c r="UPZ455" s="67"/>
      <c r="UQA455" s="67"/>
      <c r="UQB455" s="67"/>
      <c r="UQC455" s="67"/>
      <c r="UQD455" s="67"/>
      <c r="UQE455" s="67"/>
      <c r="UQF455" s="67"/>
      <c r="UQG455" s="67"/>
      <c r="UQH455" s="67"/>
      <c r="UQI455" s="67"/>
      <c r="UQJ455" s="67"/>
      <c r="UQK455" s="67"/>
      <c r="UQL455" s="67"/>
      <c r="UQM455" s="67"/>
      <c r="UQN455" s="67"/>
      <c r="UQO455" s="67"/>
      <c r="UQP455" s="67"/>
      <c r="UQQ455" s="67"/>
      <c r="UQR455" s="67"/>
      <c r="UQS455" s="67"/>
      <c r="UQT455" s="67"/>
      <c r="UQU455" s="67"/>
      <c r="UQV455" s="67"/>
      <c r="UQW455" s="67"/>
      <c r="UQX455" s="67"/>
      <c r="UQY455" s="67"/>
      <c r="UQZ455" s="67"/>
      <c r="URA455" s="67"/>
      <c r="URB455" s="67"/>
      <c r="URC455" s="67"/>
      <c r="URD455" s="67"/>
      <c r="URE455" s="67"/>
      <c r="URF455" s="67"/>
      <c r="URG455" s="67"/>
      <c r="URH455" s="67"/>
      <c r="URI455" s="67"/>
      <c r="URJ455" s="67"/>
      <c r="URK455" s="67"/>
      <c r="URL455" s="67"/>
      <c r="URM455" s="67"/>
      <c r="URN455" s="67"/>
      <c r="URO455" s="67"/>
      <c r="URP455" s="67"/>
      <c r="URQ455" s="67"/>
      <c r="URR455" s="67"/>
      <c r="URS455" s="67"/>
      <c r="URT455" s="67"/>
      <c r="URU455" s="67"/>
      <c r="URV455" s="67"/>
      <c r="URW455" s="67"/>
      <c r="URX455" s="67"/>
      <c r="URY455" s="67"/>
      <c r="URZ455" s="67"/>
      <c r="USA455" s="67"/>
      <c r="USB455" s="67"/>
      <c r="USC455" s="67"/>
      <c r="USD455" s="67"/>
      <c r="USE455" s="67"/>
      <c r="USF455" s="67"/>
      <c r="USG455" s="67"/>
      <c r="USH455" s="67"/>
      <c r="USI455" s="67"/>
      <c r="USJ455" s="67"/>
      <c r="USK455" s="67"/>
      <c r="USL455" s="67"/>
      <c r="USM455" s="67"/>
      <c r="USN455" s="67"/>
      <c r="USO455" s="67"/>
      <c r="USP455" s="67"/>
      <c r="USQ455" s="67"/>
      <c r="USR455" s="67"/>
      <c r="USS455" s="67"/>
      <c r="UST455" s="67"/>
      <c r="USU455" s="67"/>
      <c r="USV455" s="67"/>
      <c r="USW455" s="67"/>
      <c r="USX455" s="67"/>
      <c r="USY455" s="67"/>
      <c r="USZ455" s="67"/>
      <c r="UTA455" s="67"/>
      <c r="UTB455" s="67"/>
      <c r="UTC455" s="67"/>
      <c r="UTD455" s="67"/>
      <c r="UTE455" s="67"/>
      <c r="UTF455" s="67"/>
      <c r="UTG455" s="67"/>
      <c r="UTH455" s="67"/>
      <c r="UTI455" s="67"/>
      <c r="UTJ455" s="67"/>
      <c r="UTK455" s="67"/>
      <c r="UTL455" s="67"/>
      <c r="UTM455" s="67"/>
      <c r="UTN455" s="67"/>
      <c r="UTO455" s="67"/>
      <c r="UTP455" s="67"/>
      <c r="UTQ455" s="67"/>
      <c r="UTR455" s="67"/>
      <c r="UTS455" s="67"/>
      <c r="UTT455" s="67"/>
      <c r="UTU455" s="67"/>
      <c r="UTV455" s="67"/>
      <c r="UTW455" s="67"/>
      <c r="UTX455" s="67"/>
      <c r="UTY455" s="67"/>
      <c r="UTZ455" s="67"/>
      <c r="UUA455" s="67"/>
      <c r="UUB455" s="67"/>
      <c r="UUC455" s="67"/>
      <c r="UUD455" s="67"/>
      <c r="UUE455" s="67"/>
      <c r="UUF455" s="67"/>
      <c r="UUG455" s="67"/>
      <c r="UUH455" s="67"/>
      <c r="UUI455" s="67"/>
      <c r="UUJ455" s="67"/>
      <c r="UUK455" s="67"/>
      <c r="UUL455" s="67"/>
      <c r="UUM455" s="67"/>
      <c r="UUN455" s="67"/>
      <c r="UUO455" s="67"/>
      <c r="UUP455" s="67"/>
      <c r="UUQ455" s="67"/>
      <c r="UUR455" s="67"/>
      <c r="UUS455" s="67"/>
      <c r="UUT455" s="67"/>
      <c r="UUU455" s="67"/>
      <c r="UUV455" s="67"/>
      <c r="UUW455" s="67"/>
      <c r="UUX455" s="67"/>
      <c r="UUY455" s="67"/>
      <c r="UUZ455" s="67"/>
      <c r="UVA455" s="67"/>
      <c r="UVB455" s="67"/>
      <c r="UVC455" s="67"/>
      <c r="UVD455" s="67"/>
      <c r="UVE455" s="67"/>
      <c r="UVF455" s="67"/>
      <c r="UVG455" s="67"/>
      <c r="UVH455" s="67"/>
      <c r="UVI455" s="67"/>
      <c r="UVJ455" s="67"/>
      <c r="UVK455" s="67"/>
      <c r="UVL455" s="67"/>
      <c r="UVM455" s="67"/>
      <c r="UVN455" s="67"/>
      <c r="UVO455" s="67"/>
      <c r="UVP455" s="67"/>
      <c r="UVQ455" s="67"/>
      <c r="UVR455" s="67"/>
      <c r="UVS455" s="67"/>
      <c r="UVT455" s="67"/>
      <c r="UVU455" s="67"/>
      <c r="UVV455" s="67"/>
      <c r="UVW455" s="67"/>
      <c r="UVX455" s="67"/>
      <c r="UVY455" s="67"/>
      <c r="UVZ455" s="67"/>
      <c r="UWA455" s="67"/>
      <c r="UWB455" s="67"/>
      <c r="UWC455" s="67"/>
      <c r="UWD455" s="67"/>
      <c r="UWE455" s="67"/>
      <c r="UWF455" s="67"/>
      <c r="UWG455" s="67"/>
      <c r="UWH455" s="67"/>
      <c r="UWI455" s="67"/>
      <c r="UWJ455" s="67"/>
      <c r="UWK455" s="67"/>
      <c r="UWL455" s="67"/>
      <c r="UWM455" s="67"/>
      <c r="UWN455" s="67"/>
      <c r="UWO455" s="67"/>
      <c r="UWP455" s="67"/>
      <c r="UWQ455" s="67"/>
      <c r="UWR455" s="67"/>
      <c r="UWS455" s="67"/>
      <c r="UWT455" s="67"/>
      <c r="UWU455" s="67"/>
      <c r="UWV455" s="67"/>
      <c r="UWW455" s="67"/>
      <c r="UWX455" s="67"/>
      <c r="UWY455" s="67"/>
      <c r="UWZ455" s="67"/>
      <c r="UXA455" s="67"/>
      <c r="UXB455" s="67"/>
      <c r="UXC455" s="67"/>
      <c r="UXD455" s="67"/>
      <c r="UXE455" s="67"/>
      <c r="UXF455" s="67"/>
      <c r="UXG455" s="67"/>
      <c r="UXH455" s="67"/>
      <c r="UXI455" s="67"/>
      <c r="UXJ455" s="67"/>
      <c r="UXK455" s="67"/>
      <c r="UXL455" s="67"/>
      <c r="UXM455" s="67"/>
      <c r="UXN455" s="67"/>
      <c r="UXO455" s="67"/>
      <c r="UXP455" s="67"/>
      <c r="UXQ455" s="67"/>
      <c r="UXR455" s="67"/>
      <c r="UXS455" s="67"/>
      <c r="UXT455" s="67"/>
      <c r="UXU455" s="67"/>
      <c r="UXV455" s="67"/>
      <c r="UXW455" s="67"/>
      <c r="UXX455" s="67"/>
      <c r="UXY455" s="67"/>
      <c r="UXZ455" s="67"/>
      <c r="UYA455" s="67"/>
      <c r="UYB455" s="67"/>
      <c r="UYC455" s="67"/>
      <c r="UYD455" s="67"/>
      <c r="UYE455" s="67"/>
      <c r="UYF455" s="67"/>
      <c r="UYG455" s="67"/>
      <c r="UYH455" s="67"/>
      <c r="UYI455" s="67"/>
      <c r="UYJ455" s="67"/>
      <c r="UYK455" s="67"/>
      <c r="UYL455" s="67"/>
      <c r="UYM455" s="67"/>
      <c r="UYN455" s="67"/>
      <c r="UYO455" s="67"/>
      <c r="UYP455" s="67"/>
      <c r="UYQ455" s="67"/>
      <c r="UYR455" s="67"/>
      <c r="UYS455" s="67"/>
      <c r="UYT455" s="67"/>
      <c r="UYU455" s="67"/>
      <c r="UYV455" s="67"/>
      <c r="UYW455" s="67"/>
      <c r="UYX455" s="67"/>
      <c r="UYY455" s="67"/>
      <c r="UYZ455" s="67"/>
      <c r="UZA455" s="67"/>
      <c r="UZB455" s="67"/>
      <c r="UZC455" s="67"/>
      <c r="UZD455" s="67"/>
      <c r="UZE455" s="67"/>
      <c r="UZF455" s="67"/>
      <c r="UZG455" s="67"/>
      <c r="UZH455" s="67"/>
      <c r="UZI455" s="67"/>
      <c r="UZJ455" s="67"/>
      <c r="UZK455" s="67"/>
      <c r="UZL455" s="67"/>
      <c r="UZM455" s="67"/>
      <c r="UZN455" s="67"/>
      <c r="UZO455" s="67"/>
      <c r="UZP455" s="67"/>
      <c r="UZQ455" s="67"/>
      <c r="UZR455" s="67"/>
      <c r="UZS455" s="67"/>
      <c r="UZT455" s="67"/>
      <c r="UZU455" s="67"/>
      <c r="UZV455" s="67"/>
      <c r="UZW455" s="67"/>
      <c r="UZX455" s="67"/>
      <c r="UZY455" s="67"/>
      <c r="UZZ455" s="67"/>
      <c r="VAA455" s="67"/>
      <c r="VAB455" s="67"/>
      <c r="VAC455" s="67"/>
      <c r="VAD455" s="67"/>
      <c r="VAE455" s="67"/>
      <c r="VAF455" s="67"/>
      <c r="VAG455" s="67"/>
      <c r="VAH455" s="67"/>
      <c r="VAI455" s="67"/>
      <c r="VAJ455" s="67"/>
      <c r="VAK455" s="67"/>
      <c r="VAL455" s="67"/>
      <c r="VAM455" s="67"/>
      <c r="VAN455" s="67"/>
      <c r="VAO455" s="67"/>
      <c r="VAP455" s="67"/>
      <c r="VAQ455" s="67"/>
      <c r="VAR455" s="67"/>
      <c r="VAS455" s="67"/>
      <c r="VAT455" s="67"/>
      <c r="VAU455" s="67"/>
      <c r="VAV455" s="67"/>
      <c r="VAW455" s="67"/>
      <c r="VAX455" s="67"/>
      <c r="VAY455" s="67"/>
      <c r="VAZ455" s="67"/>
      <c r="VBA455" s="67"/>
      <c r="VBB455" s="67"/>
      <c r="VBC455" s="67"/>
      <c r="VBD455" s="67"/>
      <c r="VBE455" s="67"/>
      <c r="VBF455" s="67"/>
      <c r="VBG455" s="67"/>
      <c r="VBH455" s="67"/>
      <c r="VBI455" s="67"/>
      <c r="VBJ455" s="67"/>
      <c r="VBK455" s="67"/>
      <c r="VBL455" s="67"/>
      <c r="VBM455" s="67"/>
      <c r="VBN455" s="67"/>
      <c r="VBO455" s="67"/>
      <c r="VBP455" s="67"/>
      <c r="VBQ455" s="67"/>
      <c r="VBR455" s="67"/>
      <c r="VBS455" s="67"/>
      <c r="VBT455" s="67"/>
      <c r="VBU455" s="67"/>
      <c r="VBV455" s="67"/>
      <c r="VBW455" s="67"/>
      <c r="VBX455" s="67"/>
      <c r="VBY455" s="67"/>
      <c r="VBZ455" s="67"/>
      <c r="VCA455" s="67"/>
      <c r="VCB455" s="67"/>
      <c r="VCC455" s="67"/>
      <c r="VCD455" s="67"/>
      <c r="VCE455" s="67"/>
      <c r="VCF455" s="67"/>
      <c r="VCG455" s="67"/>
      <c r="VCH455" s="67"/>
      <c r="VCI455" s="67"/>
      <c r="VCJ455" s="67"/>
      <c r="VCK455" s="67"/>
      <c r="VCL455" s="67"/>
      <c r="VCM455" s="67"/>
      <c r="VCN455" s="67"/>
      <c r="VCO455" s="67"/>
      <c r="VCP455" s="67"/>
      <c r="VCQ455" s="67"/>
      <c r="VCR455" s="67"/>
      <c r="VCS455" s="67"/>
      <c r="VCT455" s="67"/>
      <c r="VCU455" s="67"/>
      <c r="VCV455" s="67"/>
      <c r="VCW455" s="67"/>
      <c r="VCX455" s="67"/>
      <c r="VCY455" s="67"/>
      <c r="VCZ455" s="67"/>
      <c r="VDA455" s="67"/>
      <c r="VDB455" s="67"/>
      <c r="VDC455" s="67"/>
      <c r="VDD455" s="67"/>
      <c r="VDE455" s="67"/>
      <c r="VDF455" s="67"/>
      <c r="VDG455" s="67"/>
      <c r="VDH455" s="67"/>
      <c r="VDI455" s="67"/>
      <c r="VDJ455" s="67"/>
      <c r="VDK455" s="67"/>
      <c r="VDL455" s="67"/>
      <c r="VDM455" s="67"/>
      <c r="VDN455" s="67"/>
      <c r="VDO455" s="67"/>
      <c r="VDP455" s="67"/>
      <c r="VDQ455" s="67"/>
      <c r="VDR455" s="67"/>
      <c r="VDS455" s="67"/>
      <c r="VDT455" s="67"/>
      <c r="VDU455" s="67"/>
      <c r="VDV455" s="67"/>
      <c r="VDW455" s="67"/>
      <c r="VDX455" s="67"/>
      <c r="VDY455" s="67"/>
      <c r="VDZ455" s="67"/>
      <c r="VEA455" s="67"/>
      <c r="VEB455" s="67"/>
      <c r="VEC455" s="67"/>
      <c r="VED455" s="67"/>
      <c r="VEE455" s="67"/>
      <c r="VEF455" s="67"/>
      <c r="VEG455" s="67"/>
      <c r="VEH455" s="67"/>
      <c r="VEI455" s="67"/>
      <c r="VEJ455" s="67"/>
      <c r="VEK455" s="67"/>
      <c r="VEL455" s="67"/>
      <c r="VEM455" s="67"/>
      <c r="VEN455" s="67"/>
      <c r="VEO455" s="67"/>
      <c r="VEP455" s="67"/>
      <c r="VEQ455" s="67"/>
      <c r="VER455" s="67"/>
      <c r="VES455" s="67"/>
      <c r="VET455" s="67"/>
      <c r="VEU455" s="67"/>
      <c r="VEV455" s="67"/>
      <c r="VEW455" s="67"/>
      <c r="VEX455" s="67"/>
      <c r="VEY455" s="67"/>
      <c r="VEZ455" s="67"/>
      <c r="VFA455" s="67"/>
      <c r="VFB455" s="67"/>
      <c r="VFC455" s="67"/>
      <c r="VFD455" s="67"/>
      <c r="VFE455" s="67"/>
      <c r="VFF455" s="67"/>
      <c r="VFG455" s="67"/>
      <c r="VFH455" s="67"/>
      <c r="VFI455" s="67"/>
      <c r="VFJ455" s="67"/>
      <c r="VFK455" s="67"/>
      <c r="VFL455" s="67"/>
      <c r="VFM455" s="67"/>
      <c r="VFN455" s="67"/>
      <c r="VFO455" s="67"/>
      <c r="VFP455" s="67"/>
      <c r="VFQ455" s="67"/>
      <c r="VFR455" s="67"/>
      <c r="VFS455" s="67"/>
      <c r="VFT455" s="67"/>
      <c r="VFU455" s="67"/>
      <c r="VFV455" s="67"/>
      <c r="VFW455" s="67"/>
      <c r="VFX455" s="67"/>
      <c r="VFY455" s="67"/>
      <c r="VFZ455" s="67"/>
      <c r="VGA455" s="67"/>
      <c r="VGB455" s="67"/>
      <c r="VGC455" s="67"/>
      <c r="VGD455" s="67"/>
      <c r="VGE455" s="67"/>
      <c r="VGF455" s="67"/>
      <c r="VGG455" s="67"/>
      <c r="VGH455" s="67"/>
      <c r="VGI455" s="67"/>
      <c r="VGJ455" s="67"/>
      <c r="VGK455" s="67"/>
      <c r="VGL455" s="67"/>
      <c r="VGM455" s="67"/>
      <c r="VGN455" s="67"/>
      <c r="VGO455" s="67"/>
      <c r="VGP455" s="67"/>
      <c r="VGQ455" s="67"/>
      <c r="VGR455" s="67"/>
      <c r="VGS455" s="67"/>
      <c r="VGT455" s="67"/>
      <c r="VGU455" s="67"/>
      <c r="VGV455" s="67"/>
      <c r="VGW455" s="67"/>
      <c r="VGX455" s="67"/>
      <c r="VGY455" s="67"/>
      <c r="VGZ455" s="67"/>
      <c r="VHA455" s="67"/>
      <c r="VHB455" s="67"/>
      <c r="VHC455" s="67"/>
      <c r="VHD455" s="67"/>
      <c r="VHE455" s="67"/>
      <c r="VHF455" s="67"/>
      <c r="VHG455" s="67"/>
      <c r="VHH455" s="67"/>
      <c r="VHI455" s="67"/>
      <c r="VHJ455" s="67"/>
      <c r="VHK455" s="67"/>
      <c r="VHL455" s="67"/>
      <c r="VHM455" s="67"/>
      <c r="VHN455" s="67"/>
      <c r="VHO455" s="67"/>
      <c r="VHP455" s="67"/>
      <c r="VHQ455" s="67"/>
      <c r="VHR455" s="67"/>
      <c r="VHS455" s="67"/>
      <c r="VHT455" s="67"/>
      <c r="VHU455" s="67"/>
      <c r="VHV455" s="67"/>
      <c r="VHW455" s="67"/>
      <c r="VHX455" s="67"/>
      <c r="VHY455" s="67"/>
      <c r="VHZ455" s="67"/>
      <c r="VIA455" s="67"/>
      <c r="VIB455" s="67"/>
      <c r="VIC455" s="67"/>
      <c r="VID455" s="67"/>
      <c r="VIE455" s="67"/>
      <c r="VIF455" s="67"/>
      <c r="VIG455" s="67"/>
      <c r="VIH455" s="67"/>
      <c r="VII455" s="67"/>
      <c r="VIJ455" s="67"/>
      <c r="VIK455" s="67"/>
      <c r="VIL455" s="67"/>
      <c r="VIM455" s="67"/>
      <c r="VIN455" s="67"/>
      <c r="VIO455" s="67"/>
      <c r="VIP455" s="67"/>
      <c r="VIQ455" s="67"/>
      <c r="VIR455" s="67"/>
      <c r="VIS455" s="67"/>
      <c r="VIT455" s="67"/>
      <c r="VIU455" s="67"/>
      <c r="VIV455" s="67"/>
      <c r="VIW455" s="67"/>
      <c r="VIX455" s="67"/>
      <c r="VIY455" s="67"/>
      <c r="VIZ455" s="67"/>
      <c r="VJA455" s="67"/>
      <c r="VJB455" s="67"/>
      <c r="VJC455" s="67"/>
      <c r="VJD455" s="67"/>
      <c r="VJE455" s="67"/>
      <c r="VJF455" s="67"/>
      <c r="VJG455" s="67"/>
      <c r="VJH455" s="67"/>
      <c r="VJI455" s="67"/>
      <c r="VJJ455" s="67"/>
      <c r="VJK455" s="67"/>
      <c r="VJL455" s="67"/>
      <c r="VJM455" s="67"/>
      <c r="VJN455" s="67"/>
      <c r="VJO455" s="67"/>
      <c r="VJP455" s="67"/>
      <c r="VJQ455" s="67"/>
      <c r="VJR455" s="67"/>
      <c r="VJS455" s="67"/>
      <c r="VJT455" s="67"/>
      <c r="VJU455" s="67"/>
      <c r="VJV455" s="67"/>
      <c r="VJW455" s="67"/>
      <c r="VJX455" s="67"/>
      <c r="VJY455" s="67"/>
      <c r="VJZ455" s="67"/>
      <c r="VKA455" s="67"/>
      <c r="VKB455" s="67"/>
      <c r="VKC455" s="67"/>
      <c r="VKD455" s="67"/>
      <c r="VKE455" s="67"/>
      <c r="VKF455" s="67"/>
      <c r="VKG455" s="67"/>
      <c r="VKH455" s="67"/>
      <c r="VKI455" s="67"/>
      <c r="VKJ455" s="67"/>
      <c r="VKK455" s="67"/>
      <c r="VKL455" s="67"/>
      <c r="VKM455" s="67"/>
      <c r="VKN455" s="67"/>
      <c r="VKO455" s="67"/>
      <c r="VKP455" s="67"/>
      <c r="VKQ455" s="67"/>
      <c r="VKR455" s="67"/>
      <c r="VKS455" s="67"/>
      <c r="VKT455" s="67"/>
      <c r="VKU455" s="67"/>
      <c r="VKV455" s="67"/>
      <c r="VKW455" s="67"/>
      <c r="VKX455" s="67"/>
      <c r="VKY455" s="67"/>
      <c r="VKZ455" s="67"/>
      <c r="VLA455" s="67"/>
      <c r="VLB455" s="67"/>
      <c r="VLC455" s="67"/>
      <c r="VLD455" s="67"/>
      <c r="VLE455" s="67"/>
      <c r="VLF455" s="67"/>
      <c r="VLG455" s="67"/>
      <c r="VLH455" s="67"/>
      <c r="VLI455" s="67"/>
      <c r="VLJ455" s="67"/>
      <c r="VLK455" s="67"/>
      <c r="VLL455" s="67"/>
      <c r="VLM455" s="67"/>
      <c r="VLN455" s="67"/>
      <c r="VLO455" s="67"/>
      <c r="VLP455" s="67"/>
      <c r="VLQ455" s="67"/>
      <c r="VLR455" s="67"/>
      <c r="VLS455" s="67"/>
      <c r="VLT455" s="67"/>
      <c r="VLU455" s="67"/>
      <c r="VLV455" s="67"/>
      <c r="VLW455" s="67"/>
      <c r="VLX455" s="67"/>
      <c r="VLY455" s="67"/>
      <c r="VLZ455" s="67"/>
      <c r="VMA455" s="67"/>
      <c r="VMB455" s="67"/>
      <c r="VMC455" s="67"/>
      <c r="VMD455" s="67"/>
      <c r="VME455" s="67"/>
      <c r="VMF455" s="67"/>
      <c r="VMG455" s="67"/>
      <c r="VMH455" s="67"/>
      <c r="VMI455" s="67"/>
      <c r="VMJ455" s="67"/>
      <c r="VMK455" s="67"/>
      <c r="VML455" s="67"/>
      <c r="VMM455" s="67"/>
      <c r="VMN455" s="67"/>
      <c r="VMO455" s="67"/>
      <c r="VMP455" s="67"/>
      <c r="VMQ455" s="67"/>
      <c r="VMR455" s="67"/>
      <c r="VMS455" s="67"/>
      <c r="VMT455" s="67"/>
      <c r="VMU455" s="67"/>
      <c r="VMV455" s="67"/>
      <c r="VMW455" s="67"/>
      <c r="VMX455" s="67"/>
      <c r="VMY455" s="67"/>
      <c r="VMZ455" s="67"/>
      <c r="VNA455" s="67"/>
      <c r="VNB455" s="67"/>
      <c r="VNC455" s="67"/>
      <c r="VND455" s="67"/>
      <c r="VNE455" s="67"/>
      <c r="VNF455" s="67"/>
      <c r="VNG455" s="67"/>
      <c r="VNH455" s="67"/>
      <c r="VNI455" s="67"/>
      <c r="VNJ455" s="67"/>
      <c r="VNK455" s="67"/>
      <c r="VNL455" s="67"/>
      <c r="VNM455" s="67"/>
      <c r="VNN455" s="67"/>
      <c r="VNO455" s="67"/>
      <c r="VNP455" s="67"/>
      <c r="VNQ455" s="67"/>
      <c r="VNR455" s="67"/>
      <c r="VNS455" s="67"/>
      <c r="VNT455" s="67"/>
      <c r="VNU455" s="67"/>
      <c r="VNV455" s="67"/>
      <c r="VNW455" s="67"/>
      <c r="VNX455" s="67"/>
      <c r="VNY455" s="67"/>
      <c r="VNZ455" s="67"/>
      <c r="VOA455" s="67"/>
      <c r="VOB455" s="67"/>
      <c r="VOC455" s="67"/>
      <c r="VOD455" s="67"/>
      <c r="VOE455" s="67"/>
      <c r="VOF455" s="67"/>
      <c r="VOG455" s="67"/>
      <c r="VOH455" s="67"/>
      <c r="VOI455" s="67"/>
      <c r="VOJ455" s="67"/>
      <c r="VOK455" s="67"/>
      <c r="VOL455" s="67"/>
      <c r="VOM455" s="67"/>
      <c r="VON455" s="67"/>
      <c r="VOO455" s="67"/>
      <c r="VOP455" s="67"/>
      <c r="VOQ455" s="67"/>
      <c r="VOR455" s="67"/>
      <c r="VOS455" s="67"/>
      <c r="VOT455" s="67"/>
      <c r="VOU455" s="67"/>
      <c r="VOV455" s="67"/>
      <c r="VOW455" s="67"/>
      <c r="VOX455" s="67"/>
      <c r="VOY455" s="67"/>
      <c r="VOZ455" s="67"/>
      <c r="VPA455" s="67"/>
      <c r="VPB455" s="67"/>
      <c r="VPC455" s="67"/>
      <c r="VPD455" s="67"/>
      <c r="VPE455" s="67"/>
      <c r="VPF455" s="67"/>
      <c r="VPG455" s="67"/>
      <c r="VPH455" s="67"/>
      <c r="VPI455" s="67"/>
      <c r="VPJ455" s="67"/>
      <c r="VPK455" s="67"/>
      <c r="VPL455" s="67"/>
      <c r="VPM455" s="67"/>
      <c r="VPN455" s="67"/>
      <c r="VPO455" s="67"/>
      <c r="VPP455" s="67"/>
      <c r="VPQ455" s="67"/>
      <c r="VPR455" s="67"/>
      <c r="VPS455" s="67"/>
      <c r="VPT455" s="67"/>
      <c r="VPU455" s="67"/>
      <c r="VPV455" s="67"/>
      <c r="VPW455" s="67"/>
      <c r="VPX455" s="67"/>
      <c r="VPY455" s="67"/>
      <c r="VPZ455" s="67"/>
      <c r="VQA455" s="67"/>
      <c r="VQB455" s="67"/>
      <c r="VQC455" s="67"/>
      <c r="VQD455" s="67"/>
      <c r="VQE455" s="67"/>
      <c r="VQF455" s="67"/>
      <c r="VQG455" s="67"/>
      <c r="VQH455" s="67"/>
      <c r="VQI455" s="67"/>
      <c r="VQJ455" s="67"/>
      <c r="VQK455" s="67"/>
      <c r="VQL455" s="67"/>
      <c r="VQM455" s="67"/>
      <c r="VQN455" s="67"/>
      <c r="VQO455" s="67"/>
      <c r="VQP455" s="67"/>
      <c r="VQQ455" s="67"/>
      <c r="VQR455" s="67"/>
      <c r="VQS455" s="67"/>
      <c r="VQT455" s="67"/>
      <c r="VQU455" s="67"/>
      <c r="VQV455" s="67"/>
      <c r="VQW455" s="67"/>
      <c r="VQX455" s="67"/>
      <c r="VQY455" s="67"/>
      <c r="VQZ455" s="67"/>
      <c r="VRA455" s="67"/>
      <c r="VRB455" s="67"/>
      <c r="VRC455" s="67"/>
      <c r="VRD455" s="67"/>
      <c r="VRE455" s="67"/>
      <c r="VRF455" s="67"/>
      <c r="VRG455" s="67"/>
      <c r="VRH455" s="67"/>
      <c r="VRI455" s="67"/>
      <c r="VRJ455" s="67"/>
      <c r="VRK455" s="67"/>
      <c r="VRL455" s="67"/>
      <c r="VRM455" s="67"/>
      <c r="VRN455" s="67"/>
      <c r="VRO455" s="67"/>
      <c r="VRP455" s="67"/>
      <c r="VRQ455" s="67"/>
      <c r="VRR455" s="67"/>
      <c r="VRS455" s="67"/>
      <c r="VRT455" s="67"/>
      <c r="VRU455" s="67"/>
      <c r="VRV455" s="67"/>
      <c r="VRW455" s="67"/>
      <c r="VRX455" s="67"/>
      <c r="VRY455" s="67"/>
      <c r="VRZ455" s="67"/>
      <c r="VSA455" s="67"/>
      <c r="VSB455" s="67"/>
      <c r="VSC455" s="67"/>
      <c r="VSD455" s="67"/>
      <c r="VSE455" s="67"/>
      <c r="VSF455" s="67"/>
      <c r="VSG455" s="67"/>
      <c r="VSH455" s="67"/>
      <c r="VSI455" s="67"/>
      <c r="VSJ455" s="67"/>
      <c r="VSK455" s="67"/>
      <c r="VSL455" s="67"/>
      <c r="VSM455" s="67"/>
      <c r="VSN455" s="67"/>
      <c r="VSO455" s="67"/>
      <c r="VSP455" s="67"/>
      <c r="VSQ455" s="67"/>
      <c r="VSR455" s="67"/>
      <c r="VSS455" s="67"/>
      <c r="VST455" s="67"/>
      <c r="VSU455" s="67"/>
      <c r="VSV455" s="67"/>
      <c r="VSW455" s="67"/>
      <c r="VSX455" s="67"/>
      <c r="VSY455" s="67"/>
      <c r="VSZ455" s="67"/>
      <c r="VTA455" s="67"/>
      <c r="VTB455" s="67"/>
      <c r="VTC455" s="67"/>
      <c r="VTD455" s="67"/>
      <c r="VTE455" s="67"/>
      <c r="VTF455" s="67"/>
      <c r="VTG455" s="67"/>
      <c r="VTH455" s="67"/>
      <c r="VTI455" s="67"/>
      <c r="VTJ455" s="67"/>
      <c r="VTK455" s="67"/>
      <c r="VTL455" s="67"/>
      <c r="VTM455" s="67"/>
      <c r="VTN455" s="67"/>
      <c r="VTO455" s="67"/>
      <c r="VTP455" s="67"/>
      <c r="VTQ455" s="67"/>
      <c r="VTR455" s="67"/>
      <c r="VTS455" s="67"/>
      <c r="VTT455" s="67"/>
      <c r="VTU455" s="67"/>
      <c r="VTV455" s="67"/>
      <c r="VTW455" s="67"/>
      <c r="VTX455" s="67"/>
      <c r="VTY455" s="67"/>
      <c r="VTZ455" s="67"/>
      <c r="VUA455" s="67"/>
      <c r="VUB455" s="67"/>
      <c r="VUC455" s="67"/>
      <c r="VUD455" s="67"/>
      <c r="VUE455" s="67"/>
      <c r="VUF455" s="67"/>
      <c r="VUG455" s="67"/>
      <c r="VUH455" s="67"/>
      <c r="VUI455" s="67"/>
      <c r="VUJ455" s="67"/>
      <c r="VUK455" s="67"/>
      <c r="VUL455" s="67"/>
      <c r="VUM455" s="67"/>
      <c r="VUN455" s="67"/>
      <c r="VUO455" s="67"/>
      <c r="VUP455" s="67"/>
      <c r="VUQ455" s="67"/>
      <c r="VUR455" s="67"/>
      <c r="VUS455" s="67"/>
      <c r="VUT455" s="67"/>
      <c r="VUU455" s="67"/>
      <c r="VUV455" s="67"/>
      <c r="VUW455" s="67"/>
      <c r="VUX455" s="67"/>
      <c r="VUY455" s="67"/>
      <c r="VUZ455" s="67"/>
      <c r="VVA455" s="67"/>
      <c r="VVB455" s="67"/>
      <c r="VVC455" s="67"/>
      <c r="VVD455" s="67"/>
      <c r="VVE455" s="67"/>
      <c r="VVF455" s="67"/>
      <c r="VVG455" s="67"/>
      <c r="VVH455" s="67"/>
      <c r="VVI455" s="67"/>
      <c r="VVJ455" s="67"/>
      <c r="VVK455" s="67"/>
      <c r="VVL455" s="67"/>
      <c r="VVM455" s="67"/>
      <c r="VVN455" s="67"/>
      <c r="VVO455" s="67"/>
      <c r="VVP455" s="67"/>
      <c r="VVQ455" s="67"/>
      <c r="VVR455" s="67"/>
      <c r="VVS455" s="67"/>
      <c r="VVT455" s="67"/>
      <c r="VVU455" s="67"/>
      <c r="VVV455" s="67"/>
      <c r="VVW455" s="67"/>
      <c r="VVX455" s="67"/>
      <c r="VVY455" s="67"/>
      <c r="VVZ455" s="67"/>
      <c r="VWA455" s="67"/>
      <c r="VWB455" s="67"/>
      <c r="VWC455" s="67"/>
      <c r="VWD455" s="67"/>
      <c r="VWE455" s="67"/>
      <c r="VWF455" s="67"/>
      <c r="VWG455" s="67"/>
      <c r="VWH455" s="67"/>
      <c r="VWI455" s="67"/>
      <c r="VWJ455" s="67"/>
      <c r="VWK455" s="67"/>
      <c r="VWL455" s="67"/>
      <c r="VWM455" s="67"/>
      <c r="VWN455" s="67"/>
      <c r="VWO455" s="67"/>
      <c r="VWP455" s="67"/>
      <c r="VWQ455" s="67"/>
      <c r="VWR455" s="67"/>
      <c r="VWS455" s="67"/>
      <c r="VWT455" s="67"/>
      <c r="VWU455" s="67"/>
      <c r="VWV455" s="67"/>
      <c r="VWW455" s="67"/>
      <c r="VWX455" s="67"/>
      <c r="VWY455" s="67"/>
      <c r="VWZ455" s="67"/>
      <c r="VXA455" s="67"/>
      <c r="VXB455" s="67"/>
      <c r="VXC455" s="67"/>
      <c r="VXD455" s="67"/>
      <c r="VXE455" s="67"/>
      <c r="VXF455" s="67"/>
      <c r="VXG455" s="67"/>
      <c r="VXH455" s="67"/>
      <c r="VXI455" s="67"/>
      <c r="VXJ455" s="67"/>
      <c r="VXK455" s="67"/>
      <c r="VXL455" s="67"/>
      <c r="VXM455" s="67"/>
      <c r="VXN455" s="67"/>
      <c r="VXO455" s="67"/>
      <c r="VXP455" s="67"/>
      <c r="VXQ455" s="67"/>
      <c r="VXR455" s="67"/>
      <c r="VXS455" s="67"/>
      <c r="VXT455" s="67"/>
      <c r="VXU455" s="67"/>
      <c r="VXV455" s="67"/>
      <c r="VXW455" s="67"/>
      <c r="VXX455" s="67"/>
      <c r="VXY455" s="67"/>
      <c r="VXZ455" s="67"/>
      <c r="VYA455" s="67"/>
      <c r="VYB455" s="67"/>
      <c r="VYC455" s="67"/>
      <c r="VYD455" s="67"/>
      <c r="VYE455" s="67"/>
      <c r="VYF455" s="67"/>
      <c r="VYG455" s="67"/>
      <c r="VYH455" s="67"/>
      <c r="VYI455" s="67"/>
      <c r="VYJ455" s="67"/>
      <c r="VYK455" s="67"/>
      <c r="VYL455" s="67"/>
      <c r="VYM455" s="67"/>
      <c r="VYN455" s="67"/>
      <c r="VYO455" s="67"/>
      <c r="VYP455" s="67"/>
      <c r="VYQ455" s="67"/>
      <c r="VYR455" s="67"/>
      <c r="VYS455" s="67"/>
      <c r="VYT455" s="67"/>
      <c r="VYU455" s="67"/>
      <c r="VYV455" s="67"/>
      <c r="VYW455" s="67"/>
      <c r="VYX455" s="67"/>
      <c r="VYY455" s="67"/>
      <c r="VYZ455" s="67"/>
      <c r="VZA455" s="67"/>
      <c r="VZB455" s="67"/>
      <c r="VZC455" s="67"/>
      <c r="VZD455" s="67"/>
      <c r="VZE455" s="67"/>
      <c r="VZF455" s="67"/>
      <c r="VZG455" s="67"/>
      <c r="VZH455" s="67"/>
      <c r="VZI455" s="67"/>
      <c r="VZJ455" s="67"/>
      <c r="VZK455" s="67"/>
      <c r="VZL455" s="67"/>
      <c r="VZM455" s="67"/>
      <c r="VZN455" s="67"/>
      <c r="VZO455" s="67"/>
      <c r="VZP455" s="67"/>
      <c r="VZQ455" s="67"/>
      <c r="VZR455" s="67"/>
      <c r="VZS455" s="67"/>
      <c r="VZT455" s="67"/>
      <c r="VZU455" s="67"/>
      <c r="VZV455" s="67"/>
      <c r="VZW455" s="67"/>
      <c r="VZX455" s="67"/>
      <c r="VZY455" s="67"/>
      <c r="VZZ455" s="67"/>
      <c r="WAA455" s="67"/>
      <c r="WAB455" s="67"/>
      <c r="WAC455" s="67"/>
      <c r="WAD455" s="67"/>
      <c r="WAE455" s="67"/>
      <c r="WAF455" s="67"/>
      <c r="WAG455" s="67"/>
      <c r="WAH455" s="67"/>
      <c r="WAI455" s="67"/>
      <c r="WAJ455" s="67"/>
      <c r="WAK455" s="67"/>
      <c r="WAL455" s="67"/>
      <c r="WAM455" s="67"/>
      <c r="WAN455" s="67"/>
      <c r="WAO455" s="67"/>
      <c r="WAP455" s="67"/>
      <c r="WAQ455" s="67"/>
      <c r="WAR455" s="67"/>
      <c r="WAS455" s="67"/>
      <c r="WAT455" s="67"/>
      <c r="WAU455" s="67"/>
      <c r="WAV455" s="67"/>
      <c r="WAW455" s="67"/>
      <c r="WAX455" s="67"/>
      <c r="WAY455" s="67"/>
      <c r="WAZ455" s="67"/>
      <c r="WBA455" s="67"/>
      <c r="WBB455" s="67"/>
      <c r="WBC455" s="67"/>
      <c r="WBD455" s="67"/>
      <c r="WBE455" s="67"/>
      <c r="WBF455" s="67"/>
      <c r="WBG455" s="67"/>
      <c r="WBH455" s="67"/>
      <c r="WBI455" s="67"/>
      <c r="WBJ455" s="67"/>
      <c r="WBK455" s="67"/>
      <c r="WBL455" s="67"/>
      <c r="WBM455" s="67"/>
      <c r="WBN455" s="67"/>
      <c r="WBO455" s="67"/>
      <c r="WBP455" s="67"/>
      <c r="WBQ455" s="67"/>
      <c r="WBR455" s="67"/>
      <c r="WBS455" s="67"/>
      <c r="WBT455" s="67"/>
      <c r="WBU455" s="67"/>
      <c r="WBV455" s="67"/>
      <c r="WBW455" s="67"/>
      <c r="WBX455" s="67"/>
      <c r="WBY455" s="67"/>
      <c r="WBZ455" s="67"/>
      <c r="WCA455" s="67"/>
      <c r="WCB455" s="67"/>
      <c r="WCC455" s="67"/>
      <c r="WCD455" s="67"/>
      <c r="WCE455" s="67"/>
      <c r="WCF455" s="67"/>
      <c r="WCG455" s="67"/>
      <c r="WCH455" s="67"/>
      <c r="WCI455" s="67"/>
      <c r="WCJ455" s="67"/>
      <c r="WCK455" s="67"/>
      <c r="WCL455" s="67"/>
      <c r="WCM455" s="67"/>
      <c r="WCN455" s="67"/>
      <c r="WCO455" s="67"/>
      <c r="WCP455" s="67"/>
      <c r="WCQ455" s="67"/>
      <c r="WCR455" s="67"/>
      <c r="WCS455" s="67"/>
      <c r="WCT455" s="67"/>
      <c r="WCU455" s="67"/>
      <c r="WCV455" s="67"/>
      <c r="WCW455" s="67"/>
      <c r="WCX455" s="67"/>
      <c r="WCY455" s="67"/>
      <c r="WCZ455" s="67"/>
      <c r="WDA455" s="67"/>
      <c r="WDB455" s="67"/>
      <c r="WDC455" s="67"/>
      <c r="WDD455" s="67"/>
      <c r="WDE455" s="67"/>
      <c r="WDF455" s="67"/>
      <c r="WDG455" s="67"/>
      <c r="WDH455" s="67"/>
      <c r="WDI455" s="67"/>
      <c r="WDJ455" s="67"/>
      <c r="WDK455" s="67"/>
      <c r="WDL455" s="67"/>
      <c r="WDM455" s="67"/>
      <c r="WDN455" s="67"/>
      <c r="WDO455" s="67"/>
      <c r="WDP455" s="67"/>
      <c r="WDQ455" s="67"/>
      <c r="WDR455" s="67"/>
      <c r="WDS455" s="67"/>
      <c r="WDT455" s="67"/>
      <c r="WDU455" s="67"/>
      <c r="WDV455" s="67"/>
      <c r="WDW455" s="67"/>
      <c r="WDX455" s="67"/>
      <c r="WDY455" s="67"/>
      <c r="WDZ455" s="67"/>
      <c r="WEA455" s="67"/>
      <c r="WEB455" s="67"/>
      <c r="WEC455" s="67"/>
      <c r="WED455" s="67"/>
      <c r="WEE455" s="67"/>
      <c r="WEF455" s="67"/>
      <c r="WEG455" s="67"/>
      <c r="WEH455" s="67"/>
      <c r="WEI455" s="67"/>
      <c r="WEJ455" s="67"/>
      <c r="WEK455" s="67"/>
      <c r="WEL455" s="67"/>
      <c r="WEM455" s="67"/>
      <c r="WEN455" s="67"/>
      <c r="WEO455" s="67"/>
      <c r="WEP455" s="67"/>
      <c r="WEQ455" s="67"/>
      <c r="WER455" s="67"/>
      <c r="WES455" s="67"/>
      <c r="WET455" s="67"/>
      <c r="WEU455" s="67"/>
      <c r="WEV455" s="67"/>
      <c r="WEW455" s="67"/>
      <c r="WEX455" s="67"/>
      <c r="WEY455" s="67"/>
      <c r="WEZ455" s="67"/>
      <c r="WFA455" s="67"/>
      <c r="WFB455" s="67"/>
      <c r="WFC455" s="67"/>
      <c r="WFD455" s="67"/>
      <c r="WFE455" s="67"/>
      <c r="WFF455" s="67"/>
      <c r="WFG455" s="67"/>
      <c r="WFH455" s="67"/>
      <c r="WFI455" s="67"/>
      <c r="WFJ455" s="67"/>
      <c r="WFK455" s="67"/>
      <c r="WFL455" s="67"/>
      <c r="WFM455" s="67"/>
      <c r="WFN455" s="67"/>
      <c r="WFO455" s="67"/>
      <c r="WFP455" s="67"/>
      <c r="WFQ455" s="67"/>
      <c r="WFR455" s="67"/>
      <c r="WFS455" s="67"/>
      <c r="WFT455" s="67"/>
      <c r="WFU455" s="67"/>
      <c r="WFV455" s="67"/>
      <c r="WFW455" s="67"/>
      <c r="WFX455" s="67"/>
      <c r="WFY455" s="67"/>
      <c r="WFZ455" s="67"/>
      <c r="WGA455" s="67"/>
      <c r="WGB455" s="67"/>
      <c r="WGC455" s="67"/>
      <c r="WGD455" s="67"/>
      <c r="WGE455" s="67"/>
      <c r="WGF455" s="67"/>
      <c r="WGG455" s="67"/>
      <c r="WGH455" s="67"/>
      <c r="WGI455" s="67"/>
      <c r="WGJ455" s="67"/>
      <c r="WGK455" s="67"/>
      <c r="WGL455" s="67"/>
      <c r="WGM455" s="67"/>
      <c r="WGN455" s="67"/>
      <c r="WGO455" s="67"/>
      <c r="WGP455" s="67"/>
      <c r="WGQ455" s="67"/>
      <c r="WGR455" s="67"/>
      <c r="WGS455" s="67"/>
      <c r="WGT455" s="67"/>
      <c r="WGU455" s="67"/>
      <c r="WGV455" s="67"/>
      <c r="WGW455" s="67"/>
      <c r="WGX455" s="67"/>
      <c r="WGY455" s="67"/>
      <c r="WGZ455" s="67"/>
      <c r="WHA455" s="67"/>
      <c r="WHB455" s="67"/>
      <c r="WHC455" s="67"/>
      <c r="WHD455" s="67"/>
      <c r="WHE455" s="67"/>
      <c r="WHF455" s="67"/>
      <c r="WHG455" s="67"/>
      <c r="WHH455" s="67"/>
      <c r="WHI455" s="67"/>
      <c r="WHJ455" s="67"/>
      <c r="WHK455" s="67"/>
      <c r="WHL455" s="67"/>
      <c r="WHM455" s="67"/>
      <c r="WHN455" s="67"/>
      <c r="WHO455" s="67"/>
      <c r="WHP455" s="67"/>
      <c r="WHQ455" s="67"/>
      <c r="WHR455" s="67"/>
      <c r="WHS455" s="67"/>
      <c r="WHT455" s="67"/>
      <c r="WHU455" s="67"/>
      <c r="WHV455" s="67"/>
      <c r="WHW455" s="67"/>
      <c r="WHX455" s="67"/>
      <c r="WHY455" s="67"/>
      <c r="WHZ455" s="67"/>
      <c r="WIA455" s="67"/>
      <c r="WIB455" s="67"/>
      <c r="WIC455" s="67"/>
      <c r="WID455" s="67"/>
      <c r="WIE455" s="67"/>
      <c r="WIF455" s="67"/>
      <c r="WIG455" s="67"/>
      <c r="WIH455" s="67"/>
      <c r="WII455" s="67"/>
      <c r="WIJ455" s="67"/>
      <c r="WIK455" s="67"/>
      <c r="WIL455" s="67"/>
      <c r="WIM455" s="67"/>
      <c r="WIN455" s="67"/>
      <c r="WIO455" s="67"/>
      <c r="WIP455" s="67"/>
      <c r="WIQ455" s="67"/>
      <c r="WIR455" s="67"/>
      <c r="WIS455" s="67"/>
      <c r="WIT455" s="67"/>
      <c r="WIU455" s="67"/>
      <c r="WIV455" s="67"/>
      <c r="WIW455" s="67"/>
      <c r="WIX455" s="67"/>
      <c r="WIY455" s="67"/>
      <c r="WIZ455" s="67"/>
      <c r="WJA455" s="67"/>
      <c r="WJB455" s="67"/>
      <c r="WJC455" s="67"/>
      <c r="WJD455" s="67"/>
      <c r="WJE455" s="67"/>
      <c r="WJF455" s="67"/>
      <c r="WJG455" s="67"/>
      <c r="WJH455" s="67"/>
      <c r="WJI455" s="67"/>
      <c r="WJJ455" s="67"/>
      <c r="WJK455" s="67"/>
      <c r="WJL455" s="67"/>
      <c r="WJM455" s="67"/>
      <c r="WJN455" s="67"/>
      <c r="WJO455" s="67"/>
      <c r="WJP455" s="67"/>
      <c r="WJQ455" s="67"/>
      <c r="WJR455" s="67"/>
      <c r="WJS455" s="67"/>
      <c r="WJT455" s="67"/>
      <c r="WJU455" s="67"/>
      <c r="WJV455" s="67"/>
      <c r="WJW455" s="67"/>
      <c r="WJX455" s="67"/>
      <c r="WJY455" s="67"/>
      <c r="WJZ455" s="67"/>
      <c r="WKA455" s="67"/>
      <c r="WKB455" s="67"/>
      <c r="WKC455" s="67"/>
      <c r="WKD455" s="67"/>
      <c r="WKE455" s="67"/>
      <c r="WKF455" s="67"/>
      <c r="WKG455" s="67"/>
      <c r="WKH455" s="67"/>
      <c r="WKI455" s="67"/>
      <c r="WKJ455" s="67"/>
      <c r="WKK455" s="67"/>
      <c r="WKL455" s="67"/>
      <c r="WKM455" s="67"/>
      <c r="WKN455" s="67"/>
      <c r="WKO455" s="67"/>
      <c r="WKP455" s="67"/>
      <c r="WKQ455" s="67"/>
      <c r="WKR455" s="67"/>
      <c r="WKS455" s="67"/>
      <c r="WKT455" s="67"/>
      <c r="WKU455" s="67"/>
      <c r="WKV455" s="67"/>
      <c r="WKW455" s="67"/>
      <c r="WKX455" s="67"/>
      <c r="WKY455" s="67"/>
      <c r="WKZ455" s="67"/>
      <c r="WLA455" s="67"/>
      <c r="WLB455" s="67"/>
      <c r="WLC455" s="67"/>
      <c r="WLD455" s="67"/>
      <c r="WLE455" s="67"/>
      <c r="WLF455" s="67"/>
      <c r="WLG455" s="67"/>
      <c r="WLH455" s="67"/>
      <c r="WLI455" s="67"/>
      <c r="WLJ455" s="67"/>
      <c r="WLK455" s="67"/>
      <c r="WLL455" s="67"/>
      <c r="WLM455" s="67"/>
      <c r="WLN455" s="67"/>
      <c r="WLO455" s="67"/>
      <c r="WLP455" s="67"/>
      <c r="WLQ455" s="67"/>
      <c r="WLR455" s="67"/>
      <c r="WLS455" s="67"/>
      <c r="WLT455" s="67"/>
      <c r="WLU455" s="67"/>
      <c r="WLV455" s="67"/>
      <c r="WLW455" s="67"/>
      <c r="WLX455" s="67"/>
      <c r="WLY455" s="67"/>
      <c r="WLZ455" s="67"/>
      <c r="WMA455" s="67"/>
      <c r="WMB455" s="67"/>
      <c r="WMC455" s="67"/>
      <c r="WMD455" s="67"/>
      <c r="WME455" s="67"/>
      <c r="WMF455" s="67"/>
      <c r="WMG455" s="67"/>
      <c r="WMH455" s="67"/>
      <c r="WMI455" s="67"/>
      <c r="WMJ455" s="67"/>
      <c r="WMK455" s="67"/>
      <c r="WML455" s="67"/>
      <c r="WMM455" s="67"/>
      <c r="WMN455" s="67"/>
      <c r="WMO455" s="67"/>
      <c r="WMP455" s="67"/>
      <c r="WMQ455" s="67"/>
      <c r="WMR455" s="67"/>
      <c r="WMS455" s="67"/>
      <c r="WMT455" s="67"/>
      <c r="WMU455" s="67"/>
      <c r="WMV455" s="67"/>
      <c r="WMW455" s="67"/>
      <c r="WMX455" s="67"/>
      <c r="WMY455" s="67"/>
      <c r="WMZ455" s="67"/>
      <c r="WNA455" s="67"/>
      <c r="WNB455" s="67"/>
      <c r="WNC455" s="67"/>
      <c r="WND455" s="67"/>
      <c r="WNE455" s="67"/>
      <c r="WNF455" s="67"/>
      <c r="WNG455" s="67"/>
      <c r="WNH455" s="67"/>
      <c r="WNI455" s="67"/>
      <c r="WNJ455" s="67"/>
      <c r="WNK455" s="67"/>
      <c r="WNL455" s="67"/>
      <c r="WNM455" s="67"/>
      <c r="WNN455" s="67"/>
      <c r="WNO455" s="67"/>
      <c r="WNP455" s="67"/>
      <c r="WNQ455" s="67"/>
      <c r="WNR455" s="67"/>
      <c r="WNS455" s="67"/>
      <c r="WNT455" s="67"/>
      <c r="WNU455" s="67"/>
      <c r="WNV455" s="67"/>
      <c r="WNW455" s="67"/>
      <c r="WNX455" s="67"/>
      <c r="WNY455" s="67"/>
      <c r="WNZ455" s="67"/>
      <c r="WOA455" s="67"/>
      <c r="WOB455" s="67"/>
      <c r="WOC455" s="67"/>
      <c r="WOD455" s="67"/>
      <c r="WOE455" s="67"/>
      <c r="WOF455" s="67"/>
      <c r="WOG455" s="67"/>
      <c r="WOH455" s="67"/>
      <c r="WOI455" s="67"/>
      <c r="WOJ455" s="67"/>
      <c r="WOK455" s="67"/>
      <c r="WOL455" s="67"/>
      <c r="WOM455" s="67"/>
      <c r="WON455" s="67"/>
      <c r="WOO455" s="67"/>
      <c r="WOP455" s="67"/>
      <c r="WOQ455" s="67"/>
      <c r="WOR455" s="67"/>
      <c r="WOS455" s="67"/>
      <c r="WOT455" s="67"/>
      <c r="WOU455" s="67"/>
      <c r="WOV455" s="67"/>
      <c r="WOW455" s="67"/>
      <c r="WOX455" s="67"/>
      <c r="WOY455" s="67"/>
      <c r="WOZ455" s="67"/>
      <c r="WPA455" s="67"/>
      <c r="WPB455" s="67"/>
      <c r="WPC455" s="67"/>
      <c r="WPD455" s="67"/>
      <c r="WPE455" s="67"/>
      <c r="WPF455" s="67"/>
      <c r="WPG455" s="67"/>
      <c r="WPH455" s="67"/>
      <c r="WPI455" s="67"/>
      <c r="WPJ455" s="67"/>
      <c r="WPK455" s="67"/>
      <c r="WPL455" s="67"/>
      <c r="WPM455" s="67"/>
      <c r="WPN455" s="67"/>
      <c r="WPO455" s="67"/>
      <c r="WPP455" s="67"/>
      <c r="WPQ455" s="67"/>
      <c r="WPR455" s="67"/>
      <c r="WPS455" s="67"/>
      <c r="WPT455" s="67"/>
      <c r="WPU455" s="67"/>
      <c r="WPV455" s="67"/>
      <c r="WPW455" s="67"/>
      <c r="WPX455" s="67"/>
      <c r="WPY455" s="67"/>
      <c r="WPZ455" s="67"/>
      <c r="WQA455" s="67"/>
      <c r="WQB455" s="67"/>
      <c r="WQC455" s="67"/>
      <c r="WQD455" s="67"/>
      <c r="WQE455" s="67"/>
      <c r="WQF455" s="67"/>
      <c r="WQG455" s="67"/>
      <c r="WQH455" s="67"/>
      <c r="WQI455" s="67"/>
      <c r="WQJ455" s="67"/>
      <c r="WQK455" s="67"/>
      <c r="WQL455" s="67"/>
      <c r="WQM455" s="67"/>
      <c r="WQN455" s="67"/>
      <c r="WQO455" s="67"/>
      <c r="WQP455" s="67"/>
      <c r="WQQ455" s="67"/>
      <c r="WQR455" s="67"/>
      <c r="WQS455" s="67"/>
      <c r="WQT455" s="67"/>
      <c r="WQU455" s="67"/>
      <c r="WQV455" s="67"/>
      <c r="WQW455" s="67"/>
      <c r="WQX455" s="67"/>
      <c r="WQY455" s="67"/>
      <c r="WQZ455" s="67"/>
      <c r="WRA455" s="67"/>
      <c r="WRB455" s="67"/>
      <c r="WRC455" s="67"/>
      <c r="WRD455" s="67"/>
      <c r="WRE455" s="67"/>
      <c r="WRF455" s="67"/>
      <c r="WRG455" s="67"/>
      <c r="WRH455" s="67"/>
      <c r="WRI455" s="67"/>
      <c r="WRJ455" s="67"/>
      <c r="WRK455" s="67"/>
      <c r="WRL455" s="67"/>
      <c r="WRM455" s="67"/>
      <c r="WRN455" s="67"/>
      <c r="WRO455" s="67"/>
      <c r="WRP455" s="67"/>
      <c r="WRQ455" s="67"/>
      <c r="WRR455" s="67"/>
      <c r="WRS455" s="67"/>
      <c r="WRT455" s="67"/>
      <c r="WRU455" s="67"/>
      <c r="WRV455" s="67"/>
      <c r="WRW455" s="67"/>
      <c r="WRX455" s="67"/>
      <c r="WRY455" s="67"/>
      <c r="WRZ455" s="67"/>
      <c r="WSA455" s="67"/>
      <c r="WSB455" s="67"/>
      <c r="WSC455" s="67"/>
      <c r="WSD455" s="67"/>
      <c r="WSE455" s="67"/>
      <c r="WSF455" s="67"/>
      <c r="WSG455" s="67"/>
      <c r="WSH455" s="67"/>
      <c r="WSI455" s="67"/>
      <c r="WSJ455" s="67"/>
      <c r="WSK455" s="67"/>
      <c r="WSL455" s="67"/>
      <c r="WSM455" s="67"/>
      <c r="WSN455" s="67"/>
      <c r="WSO455" s="67"/>
      <c r="WSP455" s="67"/>
      <c r="WSQ455" s="67"/>
      <c r="WSR455" s="67"/>
      <c r="WSS455" s="67"/>
      <c r="WST455" s="67"/>
      <c r="WSU455" s="67"/>
      <c r="WSV455" s="67"/>
      <c r="WSW455" s="67"/>
      <c r="WSX455" s="67"/>
      <c r="WSY455" s="67"/>
      <c r="WSZ455" s="67"/>
      <c r="WTA455" s="67"/>
      <c r="WTB455" s="67"/>
      <c r="WTC455" s="67"/>
      <c r="WTD455" s="67"/>
      <c r="WTE455" s="67"/>
      <c r="WTF455" s="67"/>
      <c r="WTG455" s="67"/>
      <c r="WTH455" s="67"/>
      <c r="WTI455" s="67"/>
      <c r="WTJ455" s="67"/>
      <c r="WTK455" s="67"/>
      <c r="WTL455" s="67"/>
      <c r="WTM455" s="67"/>
      <c r="WTN455" s="67"/>
      <c r="WTO455" s="67"/>
      <c r="WTP455" s="67"/>
      <c r="WTQ455" s="67"/>
      <c r="WTR455" s="67"/>
      <c r="WTS455" s="67"/>
      <c r="WTT455" s="67"/>
      <c r="WTU455" s="67"/>
      <c r="WTV455" s="67"/>
      <c r="WTW455" s="67"/>
      <c r="WTX455" s="67"/>
      <c r="WTY455" s="67"/>
      <c r="WTZ455" s="67"/>
      <c r="WUA455" s="67"/>
      <c r="WUB455" s="67"/>
      <c r="WUC455" s="67"/>
      <c r="WUD455" s="67"/>
      <c r="WUE455" s="67"/>
      <c r="WUF455" s="67"/>
      <c r="WUG455" s="67"/>
      <c r="WUH455" s="67"/>
      <c r="WUI455" s="67"/>
      <c r="WUJ455" s="67"/>
      <c r="WUK455" s="67"/>
      <c r="WUL455" s="67"/>
      <c r="WUM455" s="67"/>
      <c r="WUN455" s="67"/>
      <c r="WUO455" s="67"/>
      <c r="WUP455" s="67"/>
      <c r="WUQ455" s="67"/>
      <c r="WUR455" s="67"/>
      <c r="WUS455" s="67"/>
      <c r="WUT455" s="67"/>
      <c r="WUU455" s="67"/>
      <c r="WUV455" s="67"/>
      <c r="WUW455" s="67"/>
      <c r="WUX455" s="67"/>
      <c r="WUY455" s="67"/>
      <c r="WUZ455" s="67"/>
      <c r="WVA455" s="67"/>
      <c r="WVB455" s="67"/>
      <c r="WVC455" s="67"/>
      <c r="WVD455" s="67"/>
      <c r="WVE455" s="67"/>
      <c r="WVF455" s="67"/>
      <c r="WVG455" s="67"/>
      <c r="WVH455" s="67"/>
      <c r="WVI455" s="67"/>
      <c r="WVJ455" s="67"/>
      <c r="WVK455" s="67"/>
      <c r="WVL455" s="67"/>
      <c r="WVM455" s="67"/>
      <c r="WVN455" s="67"/>
      <c r="WVO455" s="67"/>
      <c r="WVP455" s="67"/>
      <c r="WVQ455" s="67"/>
      <c r="WVR455" s="67"/>
      <c r="WVS455" s="67"/>
      <c r="WVT455" s="67"/>
      <c r="WVU455" s="67"/>
      <c r="WVV455" s="67"/>
      <c r="WVW455" s="67"/>
      <c r="WVX455" s="67"/>
      <c r="WVY455" s="67"/>
      <c r="WVZ455" s="67"/>
      <c r="WWA455" s="67"/>
      <c r="WWB455" s="67"/>
      <c r="WWC455" s="67"/>
      <c r="WWD455" s="67"/>
      <c r="WWE455" s="67"/>
      <c r="WWF455" s="67"/>
      <c r="WWG455" s="67"/>
      <c r="WWH455" s="67"/>
      <c r="WWI455" s="67"/>
      <c r="WWJ455" s="67"/>
      <c r="WWK455" s="67"/>
      <c r="WWL455" s="67"/>
      <c r="WWM455" s="67"/>
      <c r="WWN455" s="67"/>
      <c r="WWO455" s="67"/>
      <c r="WWP455" s="67"/>
      <c r="WWQ455" s="67"/>
      <c r="WWR455" s="67"/>
      <c r="WWS455" s="67"/>
      <c r="WWT455" s="67"/>
      <c r="WWU455" s="67"/>
      <c r="WWV455" s="67"/>
      <c r="WWW455" s="67"/>
      <c r="WWX455" s="67"/>
      <c r="WWY455" s="67"/>
      <c r="WWZ455" s="67"/>
      <c r="WXA455" s="67"/>
      <c r="WXB455" s="67"/>
      <c r="WXC455" s="67"/>
      <c r="WXD455" s="67"/>
      <c r="WXE455" s="67"/>
      <c r="WXF455" s="67"/>
      <c r="WXG455" s="67"/>
      <c r="WXH455" s="67"/>
      <c r="WXI455" s="67"/>
      <c r="WXJ455" s="67"/>
      <c r="WXK455" s="67"/>
      <c r="WXL455" s="67"/>
      <c r="WXM455" s="67"/>
      <c r="WXN455" s="67"/>
      <c r="WXO455" s="67"/>
      <c r="WXP455" s="67"/>
      <c r="WXQ455" s="67"/>
      <c r="WXR455" s="67"/>
      <c r="WXS455" s="67"/>
      <c r="WXT455" s="67"/>
      <c r="WXU455" s="67"/>
      <c r="WXV455" s="67"/>
      <c r="WXW455" s="67"/>
      <c r="WXX455" s="67"/>
      <c r="WXY455" s="67"/>
      <c r="WXZ455" s="67"/>
      <c r="WYA455" s="67"/>
      <c r="WYB455" s="67"/>
      <c r="WYC455" s="67"/>
      <c r="WYD455" s="67"/>
      <c r="WYE455" s="67"/>
      <c r="WYF455" s="67"/>
      <c r="WYG455" s="67"/>
      <c r="WYH455" s="67"/>
      <c r="WYI455" s="67"/>
      <c r="WYJ455" s="67"/>
      <c r="WYK455" s="67"/>
      <c r="WYL455" s="67"/>
      <c r="WYM455" s="67"/>
      <c r="WYN455" s="67"/>
      <c r="WYO455" s="67"/>
      <c r="WYP455" s="67"/>
      <c r="WYQ455" s="67"/>
      <c r="WYR455" s="67"/>
      <c r="WYS455" s="67"/>
      <c r="WYT455" s="67"/>
      <c r="WYU455" s="67"/>
      <c r="WYV455" s="67"/>
      <c r="WYW455" s="67"/>
      <c r="WYX455" s="67"/>
      <c r="WYY455" s="67"/>
      <c r="WYZ455" s="67"/>
      <c r="WZA455" s="67"/>
      <c r="WZB455" s="67"/>
      <c r="WZC455" s="67"/>
      <c r="WZD455" s="67"/>
      <c r="WZE455" s="67"/>
      <c r="WZF455" s="67"/>
      <c r="WZG455" s="67"/>
      <c r="WZH455" s="67"/>
      <c r="WZI455" s="67"/>
      <c r="WZJ455" s="67"/>
      <c r="WZK455" s="67"/>
      <c r="WZL455" s="67"/>
      <c r="WZM455" s="67"/>
      <c r="WZN455" s="67"/>
      <c r="WZO455" s="67"/>
      <c r="WZP455" s="67"/>
      <c r="WZQ455" s="67"/>
      <c r="WZR455" s="67"/>
      <c r="WZS455" s="67"/>
      <c r="WZT455" s="67"/>
      <c r="WZU455" s="67"/>
      <c r="WZV455" s="67"/>
      <c r="WZW455" s="67"/>
      <c r="WZX455" s="67"/>
      <c r="WZY455" s="67"/>
      <c r="WZZ455" s="67"/>
      <c r="XAA455" s="67"/>
      <c r="XAB455" s="67"/>
      <c r="XAC455" s="67"/>
      <c r="XAD455" s="67"/>
      <c r="XAE455" s="67"/>
      <c r="XAF455" s="67"/>
      <c r="XAG455" s="67"/>
      <c r="XAH455" s="67"/>
      <c r="XAI455" s="67"/>
      <c r="XAJ455" s="67"/>
      <c r="XAK455" s="67"/>
      <c r="XAL455" s="67"/>
      <c r="XAM455" s="67"/>
      <c r="XAN455" s="67"/>
      <c r="XAO455" s="67"/>
      <c r="XAP455" s="67"/>
      <c r="XAQ455" s="67"/>
      <c r="XAR455" s="67"/>
      <c r="XAS455" s="67"/>
      <c r="XAT455" s="67"/>
      <c r="XAU455" s="67"/>
      <c r="XAV455" s="67"/>
      <c r="XAW455" s="67"/>
      <c r="XAX455" s="67"/>
      <c r="XAY455" s="67"/>
      <c r="XAZ455" s="67"/>
      <c r="XBA455" s="67"/>
      <c r="XBB455" s="67"/>
      <c r="XBC455" s="67"/>
      <c r="XBD455" s="67"/>
      <c r="XBE455" s="67"/>
      <c r="XBF455" s="67"/>
      <c r="XBG455" s="67"/>
      <c r="XBH455" s="67"/>
      <c r="XBI455" s="67"/>
      <c r="XBJ455" s="67"/>
      <c r="XBK455" s="67"/>
      <c r="XBL455" s="67"/>
      <c r="XBM455" s="67"/>
      <c r="XBN455" s="67"/>
      <c r="XBO455" s="67"/>
      <c r="XBP455" s="67"/>
      <c r="XBQ455" s="67"/>
      <c r="XBR455" s="67"/>
      <c r="XBS455" s="67"/>
      <c r="XBT455" s="67"/>
      <c r="XBU455" s="67"/>
      <c r="XBV455" s="67"/>
      <c r="XBW455" s="67"/>
      <c r="XBX455" s="67"/>
      <c r="XBY455" s="67"/>
      <c r="XBZ455" s="67"/>
      <c r="XCA455" s="67"/>
      <c r="XCB455" s="67"/>
      <c r="XCC455" s="67"/>
      <c r="XCD455" s="67"/>
      <c r="XCE455" s="67"/>
      <c r="XCF455" s="67"/>
      <c r="XCG455" s="67"/>
      <c r="XCH455" s="67"/>
      <c r="XCI455" s="67"/>
      <c r="XCJ455" s="67"/>
      <c r="XCK455" s="67"/>
      <c r="XCL455" s="67"/>
      <c r="XCM455" s="67"/>
      <c r="XCN455" s="67"/>
      <c r="XCO455" s="67"/>
      <c r="XCP455" s="67"/>
      <c r="XCQ455" s="67"/>
      <c r="XCR455" s="67"/>
      <c r="XCS455" s="67"/>
      <c r="XCT455" s="67"/>
      <c r="XCU455" s="67"/>
      <c r="XCV455" s="67"/>
      <c r="XCW455" s="67"/>
      <c r="XCX455" s="67"/>
      <c r="XCY455" s="67"/>
      <c r="XCZ455" s="67"/>
      <c r="XDA455" s="67"/>
      <c r="XDB455" s="67"/>
      <c r="XDC455" s="67"/>
      <c r="XDD455" s="67"/>
      <c r="XDE455" s="67"/>
      <c r="XDF455" s="67"/>
      <c r="XDG455" s="67"/>
      <c r="XDH455" s="67"/>
      <c r="XDI455" s="67"/>
      <c r="XDJ455" s="67"/>
      <c r="XDK455" s="67"/>
      <c r="XDL455" s="67"/>
      <c r="XDM455" s="67"/>
      <c r="XDN455" s="67"/>
      <c r="XDO455" s="67"/>
      <c r="XDP455" s="67"/>
      <c r="XDQ455" s="67"/>
      <c r="XDR455" s="67"/>
      <c r="XDS455" s="67"/>
      <c r="XDT455" s="67"/>
      <c r="XDU455" s="67"/>
      <c r="XDV455" s="67"/>
      <c r="XDW455" s="67"/>
      <c r="XDX455" s="67"/>
      <c r="XDY455" s="67"/>
      <c r="XDZ455" s="67"/>
      <c r="XEA455" s="67"/>
      <c r="XEB455" s="67"/>
      <c r="XEC455" s="67"/>
      <c r="XED455" s="67"/>
      <c r="XEE455" s="67"/>
      <c r="XEF455" s="67"/>
      <c r="XEG455" s="67"/>
      <c r="XEH455" s="67"/>
      <c r="XEI455" s="67"/>
      <c r="XEJ455" s="67"/>
      <c r="XEK455" s="67"/>
      <c r="XEL455" s="67"/>
      <c r="XEM455" s="67"/>
      <c r="XEN455" s="67"/>
      <c r="XEO455" s="67"/>
      <c r="XEP455" s="67"/>
      <c r="XEQ455" s="67"/>
      <c r="XER455" s="67"/>
      <c r="XES455" s="67"/>
      <c r="XET455" s="67"/>
      <c r="XEU455" s="67"/>
      <c r="XEV455" s="67"/>
      <c r="XEW455" s="67"/>
    </row>
    <row r="456" spans="1:16377" s="14" customFormat="1" ht="15" customHeight="1" x14ac:dyDescent="0.25">
      <c r="A456" s="100">
        <v>45838</v>
      </c>
      <c r="B456" s="104"/>
      <c r="C456" s="201" t="s">
        <v>492</v>
      </c>
      <c r="D456" s="104" t="s">
        <v>17</v>
      </c>
      <c r="E456" s="104" t="s">
        <v>493</v>
      </c>
      <c r="F456" s="100">
        <v>45473</v>
      </c>
      <c r="G456" s="105">
        <v>1</v>
      </c>
      <c r="H456" s="99">
        <v>83</v>
      </c>
      <c r="I456" s="106"/>
      <c r="J456" s="107"/>
      <c r="K456" s="104"/>
      <c r="L456" s="103" t="str">
        <f t="shared" si="7"/>
        <v>Impayé</v>
      </c>
      <c r="M456" s="74"/>
      <c r="N456" s="15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  <c r="AM456" s="67"/>
      <c r="AN456" s="67"/>
      <c r="AO456" s="67"/>
      <c r="AP456" s="67"/>
      <c r="AQ456" s="67"/>
      <c r="AR456" s="67"/>
      <c r="AS456" s="67"/>
      <c r="AT456" s="67"/>
      <c r="AU456" s="67"/>
      <c r="AV456" s="67"/>
      <c r="AW456" s="67"/>
      <c r="AX456" s="67"/>
      <c r="AY456" s="67"/>
      <c r="AZ456" s="67"/>
      <c r="BA456" s="67"/>
      <c r="BB456" s="67"/>
      <c r="BC456" s="67"/>
      <c r="BD456" s="67"/>
      <c r="BE456" s="67"/>
      <c r="BF456" s="67"/>
      <c r="BG456" s="67"/>
      <c r="BH456" s="67"/>
      <c r="BI456" s="67"/>
      <c r="BJ456" s="67"/>
      <c r="BK456" s="67"/>
      <c r="BL456" s="67"/>
      <c r="BM456" s="67"/>
      <c r="BN456" s="67"/>
      <c r="BO456" s="67"/>
      <c r="BP456" s="67"/>
      <c r="BQ456" s="67"/>
      <c r="BR456" s="67"/>
      <c r="BS456" s="67"/>
      <c r="BT456" s="67"/>
      <c r="BU456" s="67"/>
      <c r="BV456" s="67"/>
      <c r="BW456" s="67"/>
      <c r="BX456" s="67"/>
      <c r="BY456" s="67"/>
      <c r="BZ456" s="67"/>
      <c r="CA456" s="67"/>
      <c r="CB456" s="67"/>
      <c r="CC456" s="67"/>
      <c r="CD456" s="67"/>
      <c r="CE456" s="67"/>
      <c r="CF456" s="67"/>
      <c r="CG456" s="67"/>
      <c r="CH456" s="67"/>
      <c r="CI456" s="67"/>
      <c r="CJ456" s="67"/>
      <c r="CK456" s="67"/>
      <c r="CL456" s="67"/>
      <c r="CM456" s="67"/>
      <c r="CN456" s="67"/>
      <c r="CO456" s="67"/>
      <c r="CP456" s="67"/>
      <c r="CQ456" s="67"/>
      <c r="CR456" s="67"/>
      <c r="CS456" s="67"/>
      <c r="CT456" s="67"/>
      <c r="CU456" s="67"/>
      <c r="CV456" s="67"/>
      <c r="CW456" s="67"/>
      <c r="CX456" s="67"/>
      <c r="CY456" s="67"/>
      <c r="CZ456" s="67"/>
      <c r="DA456" s="67"/>
      <c r="DB456" s="67"/>
      <c r="DC456" s="67"/>
      <c r="DD456" s="67"/>
      <c r="DE456" s="67"/>
      <c r="DF456" s="67"/>
      <c r="DG456" s="67"/>
      <c r="DH456" s="67"/>
      <c r="DI456" s="67"/>
      <c r="DJ456" s="67"/>
      <c r="DK456" s="67"/>
      <c r="DL456" s="67"/>
      <c r="DM456" s="67"/>
      <c r="DN456" s="67"/>
      <c r="DO456" s="67"/>
      <c r="DP456" s="67"/>
      <c r="DQ456" s="67"/>
      <c r="DR456" s="67"/>
      <c r="DS456" s="67"/>
      <c r="DT456" s="67"/>
      <c r="DU456" s="67"/>
      <c r="DV456" s="67"/>
      <c r="DW456" s="67"/>
      <c r="DX456" s="67"/>
      <c r="DY456" s="67"/>
      <c r="DZ456" s="67"/>
      <c r="EA456" s="67"/>
      <c r="EB456" s="67"/>
      <c r="EC456" s="67"/>
      <c r="ED456" s="67"/>
      <c r="EE456" s="67"/>
      <c r="EF456" s="67"/>
      <c r="EG456" s="67"/>
      <c r="EH456" s="67"/>
      <c r="EI456" s="67"/>
      <c r="EJ456" s="67"/>
      <c r="EK456" s="67"/>
      <c r="EL456" s="67"/>
      <c r="EM456" s="67"/>
      <c r="EN456" s="67"/>
      <c r="EO456" s="67"/>
      <c r="EP456" s="67"/>
      <c r="EQ456" s="67"/>
      <c r="ER456" s="67"/>
      <c r="ES456" s="67"/>
      <c r="ET456" s="67"/>
      <c r="EU456" s="67"/>
      <c r="EV456" s="67"/>
      <c r="EW456" s="67"/>
      <c r="EX456" s="67"/>
      <c r="EY456" s="67"/>
      <c r="EZ456" s="67"/>
      <c r="FA456" s="67"/>
      <c r="FB456" s="67"/>
      <c r="FC456" s="67"/>
      <c r="FD456" s="67"/>
      <c r="FE456" s="67"/>
      <c r="FF456" s="67"/>
      <c r="FG456" s="67"/>
      <c r="FH456" s="67"/>
      <c r="FI456" s="67"/>
      <c r="FJ456" s="67"/>
      <c r="FK456" s="67"/>
      <c r="FL456" s="67"/>
      <c r="FM456" s="67"/>
      <c r="FN456" s="67"/>
      <c r="FO456" s="67"/>
      <c r="FP456" s="67"/>
      <c r="FQ456" s="67"/>
      <c r="FR456" s="67"/>
      <c r="FS456" s="67"/>
      <c r="FT456" s="67"/>
      <c r="FU456" s="67"/>
      <c r="FV456" s="67"/>
      <c r="FW456" s="67"/>
      <c r="FX456" s="67"/>
      <c r="FY456" s="67"/>
      <c r="FZ456" s="67"/>
      <c r="GA456" s="67"/>
      <c r="GB456" s="67"/>
      <c r="GC456" s="67"/>
      <c r="GD456" s="67"/>
      <c r="GE456" s="67"/>
      <c r="GF456" s="67"/>
      <c r="GG456" s="67"/>
      <c r="GH456" s="67"/>
      <c r="GI456" s="67"/>
      <c r="GJ456" s="67"/>
      <c r="GK456" s="67"/>
      <c r="GL456" s="67"/>
      <c r="GM456" s="67"/>
      <c r="GN456" s="67"/>
      <c r="GO456" s="67"/>
      <c r="GP456" s="67"/>
      <c r="GQ456" s="67"/>
      <c r="GR456" s="67"/>
      <c r="GS456" s="67"/>
      <c r="GT456" s="67"/>
      <c r="GU456" s="67"/>
      <c r="GV456" s="67"/>
      <c r="GW456" s="67"/>
      <c r="GX456" s="67"/>
      <c r="GY456" s="67"/>
      <c r="GZ456" s="67"/>
      <c r="HA456" s="67"/>
      <c r="HB456" s="67"/>
      <c r="HC456" s="67"/>
      <c r="HD456" s="67"/>
      <c r="HE456" s="67"/>
      <c r="HF456" s="67"/>
      <c r="HG456" s="67"/>
      <c r="HH456" s="67"/>
      <c r="HI456" s="67"/>
      <c r="HJ456" s="67"/>
      <c r="HK456" s="67"/>
      <c r="HL456" s="67"/>
      <c r="HM456" s="67"/>
      <c r="HN456" s="67"/>
      <c r="HO456" s="67"/>
      <c r="HP456" s="67"/>
      <c r="HQ456" s="67"/>
      <c r="HR456" s="67"/>
      <c r="HS456" s="67"/>
      <c r="HT456" s="67"/>
      <c r="HU456" s="67"/>
      <c r="HV456" s="67"/>
      <c r="HW456" s="67"/>
      <c r="HX456" s="67"/>
      <c r="HY456" s="67"/>
      <c r="HZ456" s="67"/>
      <c r="IA456" s="67"/>
      <c r="IB456" s="67"/>
      <c r="IC456" s="67"/>
      <c r="ID456" s="67"/>
      <c r="IE456" s="67"/>
      <c r="IF456" s="67"/>
      <c r="IG456" s="67"/>
      <c r="IH456" s="67"/>
      <c r="II456" s="67"/>
      <c r="IJ456" s="67"/>
      <c r="IK456" s="67"/>
      <c r="IL456" s="67"/>
      <c r="IM456" s="67"/>
      <c r="IN456" s="67"/>
      <c r="IO456" s="67"/>
      <c r="IP456" s="67"/>
      <c r="IQ456" s="67"/>
      <c r="IR456" s="67"/>
      <c r="IS456" s="67"/>
      <c r="IT456" s="67"/>
      <c r="IU456" s="67"/>
      <c r="IV456" s="67"/>
      <c r="IW456" s="67"/>
      <c r="IX456" s="67"/>
      <c r="IY456" s="67"/>
      <c r="IZ456" s="67"/>
      <c r="JA456" s="67"/>
      <c r="JB456" s="67"/>
      <c r="JC456" s="67"/>
      <c r="JD456" s="67"/>
      <c r="JE456" s="67"/>
      <c r="JF456" s="67"/>
      <c r="JG456" s="67"/>
      <c r="JH456" s="67"/>
      <c r="JI456" s="67"/>
      <c r="JJ456" s="67"/>
      <c r="JK456" s="67"/>
      <c r="JL456" s="67"/>
      <c r="JM456" s="67"/>
      <c r="JN456" s="67"/>
      <c r="JO456" s="67"/>
      <c r="JP456" s="67"/>
      <c r="JQ456" s="67"/>
      <c r="JR456" s="67"/>
      <c r="JS456" s="67"/>
      <c r="JT456" s="67"/>
      <c r="JU456" s="67"/>
      <c r="JV456" s="67"/>
      <c r="JW456" s="67"/>
      <c r="JX456" s="67"/>
      <c r="JY456" s="67"/>
      <c r="JZ456" s="67"/>
      <c r="KA456" s="67"/>
      <c r="KB456" s="67"/>
      <c r="KC456" s="67"/>
      <c r="KD456" s="67"/>
      <c r="KE456" s="67"/>
      <c r="KF456" s="67"/>
      <c r="KG456" s="67"/>
      <c r="KH456" s="67"/>
      <c r="KI456" s="67"/>
      <c r="KJ456" s="67"/>
      <c r="KK456" s="67"/>
      <c r="KL456" s="67"/>
      <c r="KM456" s="67"/>
      <c r="KN456" s="67"/>
      <c r="KO456" s="67"/>
      <c r="KP456" s="67"/>
      <c r="KQ456" s="67"/>
      <c r="KR456" s="67"/>
      <c r="KS456" s="67"/>
      <c r="KT456" s="67"/>
      <c r="KU456" s="67"/>
      <c r="KV456" s="67"/>
      <c r="KW456" s="67"/>
      <c r="KX456" s="67"/>
      <c r="KY456" s="67"/>
      <c r="KZ456" s="67"/>
      <c r="LA456" s="67"/>
      <c r="LB456" s="67"/>
      <c r="LC456" s="67"/>
      <c r="LD456" s="67"/>
      <c r="LE456" s="67"/>
      <c r="LF456" s="67"/>
      <c r="LG456" s="67"/>
      <c r="LH456" s="67"/>
      <c r="LI456" s="67"/>
      <c r="LJ456" s="67"/>
      <c r="LK456" s="67"/>
      <c r="LL456" s="67"/>
      <c r="LM456" s="67"/>
      <c r="LN456" s="67"/>
      <c r="LO456" s="67"/>
      <c r="LP456" s="67"/>
      <c r="LQ456" s="67"/>
      <c r="LR456" s="67"/>
      <c r="LS456" s="67"/>
      <c r="LT456" s="67"/>
      <c r="LU456" s="67"/>
      <c r="LV456" s="67"/>
      <c r="LW456" s="67"/>
      <c r="LX456" s="67"/>
      <c r="LY456" s="67"/>
      <c r="LZ456" s="67"/>
      <c r="MA456" s="67"/>
      <c r="MB456" s="67"/>
      <c r="MC456" s="67"/>
      <c r="MD456" s="67"/>
      <c r="ME456" s="67"/>
      <c r="MF456" s="67"/>
      <c r="MG456" s="67"/>
      <c r="MH456" s="67"/>
      <c r="MI456" s="67"/>
      <c r="MJ456" s="67"/>
      <c r="MK456" s="67"/>
      <c r="ML456" s="67"/>
      <c r="MM456" s="67"/>
      <c r="MN456" s="67"/>
      <c r="MO456" s="67"/>
      <c r="MP456" s="67"/>
      <c r="MQ456" s="67"/>
      <c r="MR456" s="67"/>
      <c r="MS456" s="67"/>
      <c r="MT456" s="67"/>
      <c r="MU456" s="67"/>
      <c r="MV456" s="67"/>
      <c r="MW456" s="67"/>
      <c r="MX456" s="67"/>
      <c r="MY456" s="67"/>
      <c r="MZ456" s="67"/>
      <c r="NA456" s="67"/>
      <c r="NB456" s="67"/>
      <c r="NC456" s="67"/>
      <c r="ND456" s="67"/>
      <c r="NE456" s="67"/>
      <c r="NF456" s="67"/>
      <c r="NG456" s="67"/>
      <c r="NH456" s="67"/>
      <c r="NI456" s="67"/>
      <c r="NJ456" s="67"/>
      <c r="NK456" s="67"/>
      <c r="NL456" s="67"/>
      <c r="NM456" s="67"/>
      <c r="NN456" s="67"/>
      <c r="NO456" s="67"/>
      <c r="NP456" s="67"/>
      <c r="NQ456" s="67"/>
      <c r="NR456" s="67"/>
      <c r="NS456" s="67"/>
      <c r="NT456" s="67"/>
      <c r="NU456" s="67"/>
      <c r="NV456" s="67"/>
      <c r="NW456" s="67"/>
      <c r="NX456" s="67"/>
      <c r="NY456" s="67"/>
      <c r="NZ456" s="67"/>
      <c r="OA456" s="67"/>
      <c r="OB456" s="67"/>
      <c r="OC456" s="67"/>
      <c r="OD456" s="67"/>
      <c r="OE456" s="67"/>
      <c r="OF456" s="67"/>
      <c r="OG456" s="67"/>
      <c r="OH456" s="67"/>
      <c r="OI456" s="67"/>
      <c r="OJ456" s="67"/>
      <c r="OK456" s="67"/>
      <c r="OL456" s="67"/>
      <c r="OM456" s="67"/>
      <c r="ON456" s="67"/>
      <c r="OO456" s="67"/>
      <c r="OP456" s="67"/>
      <c r="OQ456" s="67"/>
      <c r="OR456" s="67"/>
      <c r="OS456" s="67"/>
      <c r="OT456" s="67"/>
      <c r="OU456" s="67"/>
      <c r="OV456" s="67"/>
      <c r="OW456" s="67"/>
      <c r="OX456" s="67"/>
      <c r="OY456" s="67"/>
      <c r="OZ456" s="67"/>
      <c r="PA456" s="67"/>
      <c r="PB456" s="67"/>
      <c r="PC456" s="67"/>
      <c r="PD456" s="67"/>
      <c r="PE456" s="67"/>
      <c r="PF456" s="67"/>
      <c r="PG456" s="67"/>
      <c r="PH456" s="67"/>
      <c r="PI456" s="67"/>
      <c r="PJ456" s="67"/>
      <c r="PK456" s="67"/>
      <c r="PL456" s="67"/>
      <c r="PM456" s="67"/>
      <c r="PN456" s="67"/>
      <c r="PO456" s="67"/>
      <c r="PP456" s="67"/>
      <c r="PQ456" s="67"/>
      <c r="PR456" s="67"/>
      <c r="PS456" s="67"/>
      <c r="PT456" s="67"/>
      <c r="PU456" s="67"/>
      <c r="PV456" s="67"/>
      <c r="PW456" s="67"/>
      <c r="PX456" s="67"/>
      <c r="PY456" s="67"/>
      <c r="PZ456" s="67"/>
      <c r="QA456" s="67"/>
      <c r="QB456" s="67"/>
      <c r="QC456" s="67"/>
      <c r="QD456" s="67"/>
      <c r="QE456" s="67"/>
      <c r="QF456" s="67"/>
      <c r="QG456" s="67"/>
      <c r="QH456" s="67"/>
      <c r="QI456" s="67"/>
      <c r="QJ456" s="67"/>
      <c r="QK456" s="67"/>
      <c r="QL456" s="67"/>
      <c r="QM456" s="67"/>
      <c r="QN456" s="67"/>
      <c r="QO456" s="67"/>
      <c r="QP456" s="67"/>
      <c r="QQ456" s="67"/>
      <c r="QR456" s="67"/>
      <c r="QS456" s="67"/>
      <c r="QT456" s="67"/>
      <c r="QU456" s="67"/>
      <c r="QV456" s="67"/>
      <c r="QW456" s="67"/>
      <c r="QX456" s="67"/>
      <c r="QY456" s="67"/>
      <c r="QZ456" s="67"/>
      <c r="RA456" s="67"/>
      <c r="RB456" s="67"/>
      <c r="RC456" s="67"/>
      <c r="RD456" s="67"/>
      <c r="RE456" s="67"/>
      <c r="RF456" s="67"/>
      <c r="RG456" s="67"/>
      <c r="RH456" s="67"/>
      <c r="RI456" s="67"/>
      <c r="RJ456" s="67"/>
      <c r="RK456" s="67"/>
      <c r="RL456" s="67"/>
      <c r="RM456" s="67"/>
      <c r="RN456" s="67"/>
      <c r="RO456" s="67"/>
      <c r="RP456" s="67"/>
      <c r="RQ456" s="67"/>
      <c r="RR456" s="67"/>
      <c r="RS456" s="67"/>
      <c r="RT456" s="67"/>
      <c r="RU456" s="67"/>
      <c r="RV456" s="67"/>
      <c r="RW456" s="67"/>
      <c r="RX456" s="67"/>
      <c r="RY456" s="67"/>
      <c r="RZ456" s="67"/>
      <c r="SA456" s="67"/>
      <c r="SB456" s="67"/>
      <c r="SC456" s="67"/>
      <c r="SD456" s="67"/>
      <c r="SE456" s="67"/>
      <c r="SF456" s="67"/>
      <c r="SG456" s="67"/>
      <c r="SH456" s="67"/>
      <c r="SI456" s="67"/>
      <c r="SJ456" s="67"/>
      <c r="SK456" s="67"/>
      <c r="SL456" s="67"/>
      <c r="SM456" s="67"/>
      <c r="SN456" s="67"/>
      <c r="SO456" s="67"/>
      <c r="SP456" s="67"/>
      <c r="SQ456" s="67"/>
      <c r="SR456" s="67"/>
      <c r="SS456" s="67"/>
      <c r="ST456" s="67"/>
      <c r="SU456" s="67"/>
      <c r="SV456" s="67"/>
      <c r="SW456" s="67"/>
      <c r="SX456" s="67"/>
      <c r="SY456" s="67"/>
      <c r="SZ456" s="67"/>
      <c r="TA456" s="67"/>
      <c r="TB456" s="67"/>
      <c r="TC456" s="67"/>
      <c r="TD456" s="67"/>
      <c r="TE456" s="67"/>
      <c r="TF456" s="67"/>
      <c r="TG456" s="67"/>
      <c r="TH456" s="67"/>
      <c r="TI456" s="67"/>
      <c r="TJ456" s="67"/>
      <c r="TK456" s="67"/>
      <c r="TL456" s="67"/>
      <c r="TM456" s="67"/>
      <c r="TN456" s="67"/>
      <c r="TO456" s="67"/>
      <c r="TP456" s="67"/>
      <c r="TQ456" s="67"/>
      <c r="TR456" s="67"/>
      <c r="TS456" s="67"/>
      <c r="TT456" s="67"/>
      <c r="TU456" s="67"/>
      <c r="TV456" s="67"/>
      <c r="TW456" s="67"/>
      <c r="TX456" s="67"/>
      <c r="TY456" s="67"/>
      <c r="TZ456" s="67"/>
      <c r="UA456" s="67"/>
      <c r="UB456" s="67"/>
      <c r="UC456" s="67"/>
      <c r="UD456" s="67"/>
      <c r="UE456" s="67"/>
      <c r="UF456" s="67"/>
      <c r="UG456" s="67"/>
      <c r="UH456" s="67"/>
      <c r="UI456" s="67"/>
      <c r="UJ456" s="67"/>
      <c r="UK456" s="67"/>
      <c r="UL456" s="67"/>
      <c r="UM456" s="67"/>
      <c r="UN456" s="67"/>
      <c r="UO456" s="67"/>
      <c r="UP456" s="67"/>
      <c r="UQ456" s="67"/>
      <c r="UR456" s="67"/>
      <c r="US456" s="67"/>
      <c r="UT456" s="67"/>
      <c r="UU456" s="67"/>
      <c r="UV456" s="67"/>
      <c r="UW456" s="67"/>
      <c r="UX456" s="67"/>
      <c r="UY456" s="67"/>
      <c r="UZ456" s="67"/>
      <c r="VA456" s="67"/>
      <c r="VB456" s="67"/>
      <c r="VC456" s="67"/>
      <c r="VD456" s="67"/>
      <c r="VE456" s="67"/>
      <c r="VF456" s="67"/>
      <c r="VG456" s="67"/>
      <c r="VH456" s="67"/>
      <c r="VI456" s="67"/>
      <c r="VJ456" s="67"/>
      <c r="VK456" s="67"/>
      <c r="VL456" s="67"/>
      <c r="VM456" s="67"/>
      <c r="VN456" s="67"/>
      <c r="VO456" s="67"/>
      <c r="VP456" s="67"/>
      <c r="VQ456" s="67"/>
      <c r="VR456" s="67"/>
      <c r="VS456" s="67"/>
      <c r="VT456" s="67"/>
      <c r="VU456" s="67"/>
      <c r="VV456" s="67"/>
      <c r="VW456" s="67"/>
      <c r="VX456" s="67"/>
      <c r="VY456" s="67"/>
      <c r="VZ456" s="67"/>
      <c r="WA456" s="67"/>
      <c r="WB456" s="67"/>
      <c r="WC456" s="67"/>
      <c r="WD456" s="67"/>
      <c r="WE456" s="67"/>
      <c r="WF456" s="67"/>
      <c r="WG456" s="67"/>
      <c r="WH456" s="67"/>
      <c r="WI456" s="67"/>
      <c r="WJ456" s="67"/>
      <c r="WK456" s="67"/>
      <c r="WL456" s="67"/>
      <c r="WM456" s="67"/>
      <c r="WN456" s="67"/>
      <c r="WO456" s="67"/>
      <c r="WP456" s="67"/>
      <c r="WQ456" s="67"/>
      <c r="WR456" s="67"/>
      <c r="WS456" s="67"/>
      <c r="WT456" s="67"/>
      <c r="WU456" s="67"/>
      <c r="WV456" s="67"/>
      <c r="WW456" s="67"/>
      <c r="WX456" s="67"/>
      <c r="WY456" s="67"/>
      <c r="WZ456" s="67"/>
      <c r="XA456" s="67"/>
      <c r="XB456" s="67"/>
      <c r="XC456" s="67"/>
      <c r="XD456" s="67"/>
      <c r="XE456" s="67"/>
      <c r="XF456" s="67"/>
      <c r="XG456" s="67"/>
      <c r="XH456" s="67"/>
      <c r="XI456" s="67"/>
      <c r="XJ456" s="67"/>
      <c r="XK456" s="67"/>
      <c r="XL456" s="67"/>
      <c r="XM456" s="67"/>
      <c r="XN456" s="67"/>
      <c r="XO456" s="67"/>
      <c r="XP456" s="67"/>
      <c r="XQ456" s="67"/>
      <c r="XR456" s="67"/>
      <c r="XS456" s="67"/>
      <c r="XT456" s="67"/>
      <c r="XU456" s="67"/>
      <c r="XV456" s="67"/>
      <c r="XW456" s="67"/>
      <c r="XX456" s="67"/>
      <c r="XY456" s="67"/>
      <c r="XZ456" s="67"/>
      <c r="YA456" s="67"/>
      <c r="YB456" s="67"/>
      <c r="YC456" s="67"/>
      <c r="YD456" s="67"/>
      <c r="YE456" s="67"/>
      <c r="YF456" s="67"/>
      <c r="YG456" s="67"/>
      <c r="YH456" s="67"/>
      <c r="YI456" s="67"/>
      <c r="YJ456" s="67"/>
      <c r="YK456" s="67"/>
      <c r="YL456" s="67"/>
      <c r="YM456" s="67"/>
      <c r="YN456" s="67"/>
      <c r="YO456" s="67"/>
      <c r="YP456" s="67"/>
      <c r="YQ456" s="67"/>
      <c r="YR456" s="67"/>
      <c r="YS456" s="67"/>
      <c r="YT456" s="67"/>
      <c r="YU456" s="67"/>
      <c r="YV456" s="67"/>
      <c r="YW456" s="67"/>
      <c r="YX456" s="67"/>
      <c r="YY456" s="67"/>
      <c r="YZ456" s="67"/>
      <c r="ZA456" s="67"/>
      <c r="ZB456" s="67"/>
      <c r="ZC456" s="67"/>
      <c r="ZD456" s="67"/>
      <c r="ZE456" s="67"/>
      <c r="ZF456" s="67"/>
      <c r="ZG456" s="67"/>
      <c r="ZH456" s="67"/>
      <c r="ZI456" s="67"/>
      <c r="ZJ456" s="67"/>
      <c r="ZK456" s="67"/>
      <c r="ZL456" s="67"/>
      <c r="ZM456" s="67"/>
      <c r="ZN456" s="67"/>
      <c r="ZO456" s="67"/>
      <c r="ZP456" s="67"/>
      <c r="ZQ456" s="67"/>
      <c r="ZR456" s="67"/>
      <c r="ZS456" s="67"/>
      <c r="ZT456" s="67"/>
      <c r="ZU456" s="67"/>
      <c r="ZV456" s="67"/>
      <c r="ZW456" s="67"/>
      <c r="ZX456" s="67"/>
      <c r="ZY456" s="67"/>
      <c r="ZZ456" s="67"/>
      <c r="AAA456" s="67"/>
      <c r="AAB456" s="67"/>
      <c r="AAC456" s="67"/>
      <c r="AAD456" s="67"/>
      <c r="AAE456" s="67"/>
      <c r="AAF456" s="67"/>
      <c r="AAG456" s="67"/>
      <c r="AAH456" s="67"/>
      <c r="AAI456" s="67"/>
      <c r="AAJ456" s="67"/>
      <c r="AAK456" s="67"/>
      <c r="AAL456" s="67"/>
      <c r="AAM456" s="67"/>
      <c r="AAN456" s="67"/>
      <c r="AAO456" s="67"/>
      <c r="AAP456" s="67"/>
      <c r="AAQ456" s="67"/>
      <c r="AAR456" s="67"/>
      <c r="AAS456" s="67"/>
      <c r="AAT456" s="67"/>
      <c r="AAU456" s="67"/>
      <c r="AAV456" s="67"/>
      <c r="AAW456" s="67"/>
      <c r="AAX456" s="67"/>
      <c r="AAY456" s="67"/>
      <c r="AAZ456" s="67"/>
      <c r="ABA456" s="67"/>
      <c r="ABB456" s="67"/>
      <c r="ABC456" s="67"/>
      <c r="ABD456" s="67"/>
      <c r="ABE456" s="67"/>
      <c r="ABF456" s="67"/>
      <c r="ABG456" s="67"/>
      <c r="ABH456" s="67"/>
      <c r="ABI456" s="67"/>
      <c r="ABJ456" s="67"/>
      <c r="ABK456" s="67"/>
      <c r="ABL456" s="67"/>
      <c r="ABM456" s="67"/>
      <c r="ABN456" s="67"/>
      <c r="ABO456" s="67"/>
      <c r="ABP456" s="67"/>
      <c r="ABQ456" s="67"/>
      <c r="ABR456" s="67"/>
      <c r="ABS456" s="67"/>
      <c r="ABT456" s="67"/>
      <c r="ABU456" s="67"/>
      <c r="ABV456" s="67"/>
      <c r="ABW456" s="67"/>
      <c r="ABX456" s="67"/>
      <c r="ABY456" s="67"/>
      <c r="ABZ456" s="67"/>
      <c r="ACA456" s="67"/>
      <c r="ACB456" s="67"/>
      <c r="ACC456" s="67"/>
      <c r="ACD456" s="67"/>
      <c r="ACE456" s="67"/>
      <c r="ACF456" s="67"/>
      <c r="ACG456" s="67"/>
      <c r="ACH456" s="67"/>
      <c r="ACI456" s="67"/>
      <c r="ACJ456" s="67"/>
      <c r="ACK456" s="67"/>
      <c r="ACL456" s="67"/>
      <c r="ACM456" s="67"/>
      <c r="ACN456" s="67"/>
      <c r="ACO456" s="67"/>
      <c r="ACP456" s="67"/>
      <c r="ACQ456" s="67"/>
      <c r="ACR456" s="67"/>
      <c r="ACS456" s="67"/>
      <c r="ACT456" s="67"/>
      <c r="ACU456" s="67"/>
      <c r="ACV456" s="67"/>
      <c r="ACW456" s="67"/>
      <c r="ACX456" s="67"/>
      <c r="ACY456" s="67"/>
      <c r="ACZ456" s="67"/>
      <c r="ADA456" s="67"/>
      <c r="ADB456" s="67"/>
      <c r="ADC456" s="67"/>
      <c r="ADD456" s="67"/>
      <c r="ADE456" s="67"/>
      <c r="ADF456" s="67"/>
      <c r="ADG456" s="67"/>
      <c r="ADH456" s="67"/>
      <c r="ADI456" s="67"/>
      <c r="ADJ456" s="67"/>
      <c r="ADK456" s="67"/>
      <c r="ADL456" s="67"/>
      <c r="ADM456" s="67"/>
      <c r="ADN456" s="67"/>
      <c r="ADO456" s="67"/>
      <c r="ADP456" s="67"/>
      <c r="ADQ456" s="67"/>
      <c r="ADR456" s="67"/>
      <c r="ADS456" s="67"/>
      <c r="ADT456" s="67"/>
      <c r="ADU456" s="67"/>
      <c r="ADV456" s="67"/>
      <c r="ADW456" s="67"/>
      <c r="ADX456" s="67"/>
      <c r="ADY456" s="67"/>
      <c r="ADZ456" s="67"/>
      <c r="AEA456" s="67"/>
      <c r="AEB456" s="67"/>
      <c r="AEC456" s="67"/>
      <c r="AED456" s="67"/>
      <c r="AEE456" s="67"/>
      <c r="AEF456" s="67"/>
      <c r="AEG456" s="67"/>
      <c r="AEH456" s="67"/>
      <c r="AEI456" s="67"/>
      <c r="AEJ456" s="67"/>
      <c r="AEK456" s="67"/>
      <c r="AEL456" s="67"/>
      <c r="AEM456" s="67"/>
      <c r="AEN456" s="67"/>
      <c r="AEO456" s="67"/>
      <c r="AEP456" s="67"/>
      <c r="AEQ456" s="67"/>
      <c r="AER456" s="67"/>
      <c r="AES456" s="67"/>
      <c r="AET456" s="67"/>
      <c r="AEU456" s="67"/>
      <c r="AEV456" s="67"/>
      <c r="AEW456" s="67"/>
      <c r="AEX456" s="67"/>
      <c r="AEY456" s="67"/>
      <c r="AEZ456" s="67"/>
      <c r="AFA456" s="67"/>
      <c r="AFB456" s="67"/>
      <c r="AFC456" s="67"/>
      <c r="AFD456" s="67"/>
      <c r="AFE456" s="67"/>
      <c r="AFF456" s="67"/>
      <c r="AFG456" s="67"/>
      <c r="AFH456" s="67"/>
      <c r="AFI456" s="67"/>
      <c r="AFJ456" s="67"/>
      <c r="AFK456" s="67"/>
      <c r="AFL456" s="67"/>
      <c r="AFM456" s="67"/>
      <c r="AFN456" s="67"/>
      <c r="AFO456" s="67"/>
      <c r="AFP456" s="67"/>
      <c r="AFQ456" s="67"/>
      <c r="AFR456" s="67"/>
      <c r="AFS456" s="67"/>
      <c r="AFT456" s="67"/>
      <c r="AFU456" s="67"/>
      <c r="AFV456" s="67"/>
      <c r="AFW456" s="67"/>
      <c r="AFX456" s="67"/>
      <c r="AFY456" s="67"/>
      <c r="AFZ456" s="67"/>
      <c r="AGA456" s="67"/>
      <c r="AGB456" s="67"/>
      <c r="AGC456" s="67"/>
      <c r="AGD456" s="67"/>
      <c r="AGE456" s="67"/>
      <c r="AGF456" s="67"/>
      <c r="AGG456" s="67"/>
      <c r="AGH456" s="67"/>
      <c r="AGI456" s="67"/>
      <c r="AGJ456" s="67"/>
      <c r="AGK456" s="67"/>
      <c r="AGL456" s="67"/>
      <c r="AGM456" s="67"/>
      <c r="AGN456" s="67"/>
      <c r="AGO456" s="67"/>
      <c r="AGP456" s="67"/>
      <c r="AGQ456" s="67"/>
      <c r="AGR456" s="67"/>
      <c r="AGS456" s="67"/>
      <c r="AGT456" s="67"/>
      <c r="AGU456" s="67"/>
      <c r="AGV456" s="67"/>
      <c r="AGW456" s="67"/>
      <c r="AGX456" s="67"/>
      <c r="AGY456" s="67"/>
      <c r="AGZ456" s="67"/>
      <c r="AHA456" s="67"/>
      <c r="AHB456" s="67"/>
      <c r="AHC456" s="67"/>
      <c r="AHD456" s="67"/>
      <c r="AHE456" s="67"/>
      <c r="AHF456" s="67"/>
      <c r="AHG456" s="67"/>
      <c r="AHH456" s="67"/>
      <c r="AHI456" s="67"/>
      <c r="AHJ456" s="67"/>
      <c r="AHK456" s="67"/>
      <c r="AHL456" s="67"/>
      <c r="AHM456" s="67"/>
      <c r="AHN456" s="67"/>
      <c r="AHO456" s="67"/>
      <c r="AHP456" s="67"/>
      <c r="AHQ456" s="67"/>
      <c r="AHR456" s="67"/>
      <c r="AHS456" s="67"/>
      <c r="AHT456" s="67"/>
      <c r="AHU456" s="67"/>
      <c r="AHV456" s="67"/>
      <c r="AHW456" s="67"/>
      <c r="AHX456" s="67"/>
      <c r="AHY456" s="67"/>
      <c r="AHZ456" s="67"/>
      <c r="AIA456" s="67"/>
      <c r="AIB456" s="67"/>
      <c r="AIC456" s="67"/>
      <c r="AID456" s="67"/>
      <c r="AIE456" s="67"/>
      <c r="AIF456" s="67"/>
      <c r="AIG456" s="67"/>
      <c r="AIH456" s="67"/>
      <c r="AII456" s="67"/>
      <c r="AIJ456" s="67"/>
      <c r="AIK456" s="67"/>
      <c r="AIL456" s="67"/>
      <c r="AIM456" s="67"/>
      <c r="AIN456" s="67"/>
      <c r="AIO456" s="67"/>
      <c r="AIP456" s="67"/>
      <c r="AIQ456" s="67"/>
      <c r="AIR456" s="67"/>
      <c r="AIS456" s="67"/>
      <c r="AIT456" s="67"/>
      <c r="AIU456" s="67"/>
      <c r="AIV456" s="67"/>
      <c r="AIW456" s="67"/>
      <c r="AIX456" s="67"/>
      <c r="AIY456" s="67"/>
      <c r="AIZ456" s="67"/>
      <c r="AJA456" s="67"/>
      <c r="AJB456" s="67"/>
      <c r="AJC456" s="67"/>
      <c r="AJD456" s="67"/>
      <c r="AJE456" s="67"/>
      <c r="AJF456" s="67"/>
      <c r="AJG456" s="67"/>
      <c r="AJH456" s="67"/>
      <c r="AJI456" s="67"/>
      <c r="AJJ456" s="67"/>
      <c r="AJK456" s="67"/>
      <c r="AJL456" s="67"/>
      <c r="AJM456" s="67"/>
      <c r="AJN456" s="67"/>
      <c r="AJO456" s="67"/>
      <c r="AJP456" s="67"/>
      <c r="AJQ456" s="67"/>
      <c r="AJR456" s="67"/>
      <c r="AJS456" s="67"/>
      <c r="AJT456" s="67"/>
      <c r="AJU456" s="67"/>
      <c r="AJV456" s="67"/>
      <c r="AJW456" s="67"/>
      <c r="AJX456" s="67"/>
      <c r="AJY456" s="67"/>
      <c r="AJZ456" s="67"/>
      <c r="AKA456" s="67"/>
      <c r="AKB456" s="67"/>
      <c r="AKC456" s="67"/>
      <c r="AKD456" s="67"/>
      <c r="AKE456" s="67"/>
      <c r="AKF456" s="67"/>
      <c r="AKG456" s="67"/>
      <c r="AKH456" s="67"/>
      <c r="AKI456" s="67"/>
      <c r="AKJ456" s="67"/>
      <c r="AKK456" s="67"/>
      <c r="AKL456" s="67"/>
      <c r="AKM456" s="67"/>
      <c r="AKN456" s="67"/>
      <c r="AKO456" s="67"/>
      <c r="AKP456" s="67"/>
      <c r="AKQ456" s="67"/>
      <c r="AKR456" s="67"/>
      <c r="AKS456" s="67"/>
      <c r="AKT456" s="67"/>
      <c r="AKU456" s="67"/>
      <c r="AKV456" s="67"/>
      <c r="AKW456" s="67"/>
      <c r="AKX456" s="67"/>
      <c r="AKY456" s="67"/>
      <c r="AKZ456" s="67"/>
      <c r="ALA456" s="67"/>
      <c r="ALB456" s="67"/>
      <c r="ALC456" s="67"/>
      <c r="ALD456" s="67"/>
      <c r="ALE456" s="67"/>
      <c r="ALF456" s="67"/>
      <c r="ALG456" s="67"/>
      <c r="ALH456" s="67"/>
      <c r="ALI456" s="67"/>
      <c r="ALJ456" s="67"/>
      <c r="ALK456" s="67"/>
      <c r="ALL456" s="67"/>
      <c r="ALM456" s="67"/>
      <c r="ALN456" s="67"/>
      <c r="ALO456" s="67"/>
      <c r="ALP456" s="67"/>
      <c r="ALQ456" s="67"/>
      <c r="ALR456" s="67"/>
      <c r="ALS456" s="67"/>
      <c r="ALT456" s="67"/>
      <c r="ALU456" s="67"/>
      <c r="ALV456" s="67"/>
      <c r="ALW456" s="67"/>
      <c r="ALX456" s="67"/>
      <c r="ALY456" s="67"/>
      <c r="ALZ456" s="67"/>
      <c r="AMA456" s="67"/>
      <c r="AMB456" s="67"/>
      <c r="AMC456" s="67"/>
      <c r="AMD456" s="67"/>
      <c r="AME456" s="67"/>
      <c r="AMF456" s="67"/>
      <c r="AMG456" s="67"/>
      <c r="AMH456" s="67"/>
      <c r="AMI456" s="67"/>
      <c r="AMJ456" s="67"/>
      <c r="AMK456" s="67"/>
      <c r="AML456" s="67"/>
      <c r="AMM456" s="67"/>
      <c r="AMN456" s="67"/>
      <c r="AMO456" s="67"/>
      <c r="AMP456" s="67"/>
      <c r="AMQ456" s="67"/>
      <c r="AMR456" s="67"/>
      <c r="AMS456" s="67"/>
      <c r="AMT456" s="67"/>
      <c r="AMU456" s="67"/>
      <c r="AMV456" s="67"/>
      <c r="AMW456" s="67"/>
      <c r="AMX456" s="67"/>
      <c r="AMY456" s="67"/>
      <c r="AMZ456" s="67"/>
      <c r="ANA456" s="67"/>
      <c r="ANB456" s="67"/>
      <c r="ANC456" s="67"/>
      <c r="AND456" s="67"/>
      <c r="ANE456" s="67"/>
      <c r="ANF456" s="67"/>
      <c r="ANG456" s="67"/>
      <c r="ANH456" s="67"/>
      <c r="ANI456" s="67"/>
      <c r="ANJ456" s="67"/>
      <c r="ANK456" s="67"/>
      <c r="ANL456" s="67"/>
      <c r="ANM456" s="67"/>
      <c r="ANN456" s="67"/>
      <c r="ANO456" s="67"/>
      <c r="ANP456" s="67"/>
      <c r="ANQ456" s="67"/>
      <c r="ANR456" s="67"/>
      <c r="ANS456" s="67"/>
      <c r="ANT456" s="67"/>
      <c r="ANU456" s="67"/>
      <c r="ANV456" s="67"/>
      <c r="ANW456" s="67"/>
      <c r="ANX456" s="67"/>
      <c r="ANY456" s="67"/>
      <c r="ANZ456" s="67"/>
      <c r="AOA456" s="67"/>
      <c r="AOB456" s="67"/>
      <c r="AOC456" s="67"/>
      <c r="AOD456" s="67"/>
      <c r="AOE456" s="67"/>
      <c r="AOF456" s="67"/>
      <c r="AOG456" s="67"/>
      <c r="AOH456" s="67"/>
      <c r="AOI456" s="67"/>
      <c r="AOJ456" s="67"/>
      <c r="AOK456" s="67"/>
      <c r="AOL456" s="67"/>
      <c r="AOM456" s="67"/>
      <c r="AON456" s="67"/>
      <c r="AOO456" s="67"/>
      <c r="AOP456" s="67"/>
      <c r="AOQ456" s="67"/>
      <c r="AOR456" s="67"/>
      <c r="AOS456" s="67"/>
      <c r="AOT456" s="67"/>
      <c r="AOU456" s="67"/>
      <c r="AOV456" s="67"/>
      <c r="AOW456" s="67"/>
      <c r="AOX456" s="67"/>
      <c r="AOY456" s="67"/>
      <c r="AOZ456" s="67"/>
      <c r="APA456" s="67"/>
      <c r="APB456" s="67"/>
      <c r="APC456" s="67"/>
      <c r="APD456" s="67"/>
      <c r="APE456" s="67"/>
      <c r="APF456" s="67"/>
      <c r="APG456" s="67"/>
      <c r="APH456" s="67"/>
      <c r="API456" s="67"/>
      <c r="APJ456" s="67"/>
      <c r="APK456" s="67"/>
      <c r="APL456" s="67"/>
      <c r="APM456" s="67"/>
      <c r="APN456" s="67"/>
      <c r="APO456" s="67"/>
      <c r="APP456" s="67"/>
      <c r="APQ456" s="67"/>
      <c r="APR456" s="67"/>
      <c r="APS456" s="67"/>
      <c r="APT456" s="67"/>
      <c r="APU456" s="67"/>
      <c r="APV456" s="67"/>
      <c r="APW456" s="67"/>
      <c r="APX456" s="67"/>
      <c r="APY456" s="67"/>
      <c r="APZ456" s="67"/>
      <c r="AQA456" s="67"/>
      <c r="AQB456" s="67"/>
      <c r="AQC456" s="67"/>
      <c r="AQD456" s="67"/>
      <c r="AQE456" s="67"/>
      <c r="AQF456" s="67"/>
      <c r="AQG456" s="67"/>
      <c r="AQH456" s="67"/>
      <c r="AQI456" s="67"/>
      <c r="AQJ456" s="67"/>
      <c r="AQK456" s="67"/>
      <c r="AQL456" s="67"/>
      <c r="AQM456" s="67"/>
      <c r="AQN456" s="67"/>
      <c r="AQO456" s="67"/>
      <c r="AQP456" s="67"/>
      <c r="AQQ456" s="67"/>
      <c r="AQR456" s="67"/>
      <c r="AQS456" s="67"/>
      <c r="AQT456" s="67"/>
      <c r="AQU456" s="67"/>
      <c r="AQV456" s="67"/>
      <c r="AQW456" s="67"/>
      <c r="AQX456" s="67"/>
      <c r="AQY456" s="67"/>
      <c r="AQZ456" s="67"/>
      <c r="ARA456" s="67"/>
      <c r="ARB456" s="67"/>
      <c r="ARC456" s="67"/>
      <c r="ARD456" s="67"/>
      <c r="ARE456" s="67"/>
      <c r="ARF456" s="67"/>
      <c r="ARG456" s="67"/>
      <c r="ARH456" s="67"/>
      <c r="ARI456" s="67"/>
      <c r="ARJ456" s="67"/>
      <c r="ARK456" s="67"/>
      <c r="ARL456" s="67"/>
      <c r="ARM456" s="67"/>
      <c r="ARN456" s="67"/>
      <c r="ARO456" s="67"/>
      <c r="ARP456" s="67"/>
      <c r="ARQ456" s="67"/>
      <c r="ARR456" s="67"/>
      <c r="ARS456" s="67"/>
      <c r="ART456" s="67"/>
      <c r="ARU456" s="67"/>
      <c r="ARV456" s="67"/>
      <c r="ARW456" s="67"/>
      <c r="ARX456" s="67"/>
      <c r="ARY456" s="67"/>
      <c r="ARZ456" s="67"/>
      <c r="ASA456" s="67"/>
      <c r="ASB456" s="67"/>
      <c r="ASC456" s="67"/>
      <c r="ASD456" s="67"/>
      <c r="ASE456" s="67"/>
      <c r="ASF456" s="67"/>
      <c r="ASG456" s="67"/>
      <c r="ASH456" s="67"/>
      <c r="ASI456" s="67"/>
      <c r="ASJ456" s="67"/>
      <c r="ASK456" s="67"/>
      <c r="ASL456" s="67"/>
      <c r="ASM456" s="67"/>
      <c r="ASN456" s="67"/>
      <c r="ASO456" s="67"/>
      <c r="ASP456" s="67"/>
      <c r="ASQ456" s="67"/>
      <c r="ASR456" s="67"/>
      <c r="ASS456" s="67"/>
      <c r="AST456" s="67"/>
      <c r="ASU456" s="67"/>
      <c r="ASV456" s="67"/>
      <c r="ASW456" s="67"/>
      <c r="ASX456" s="67"/>
      <c r="ASY456" s="67"/>
      <c r="ASZ456" s="67"/>
      <c r="ATA456" s="67"/>
      <c r="ATB456" s="67"/>
      <c r="ATC456" s="67"/>
      <c r="ATD456" s="67"/>
      <c r="ATE456" s="67"/>
      <c r="ATF456" s="67"/>
      <c r="ATG456" s="67"/>
      <c r="ATH456" s="67"/>
      <c r="ATI456" s="67"/>
      <c r="ATJ456" s="67"/>
      <c r="ATK456" s="67"/>
      <c r="ATL456" s="67"/>
      <c r="ATM456" s="67"/>
      <c r="ATN456" s="67"/>
      <c r="ATO456" s="67"/>
      <c r="ATP456" s="67"/>
      <c r="ATQ456" s="67"/>
      <c r="ATR456" s="67"/>
      <c r="ATS456" s="67"/>
      <c r="ATT456" s="67"/>
      <c r="ATU456" s="67"/>
      <c r="ATV456" s="67"/>
      <c r="ATW456" s="67"/>
      <c r="ATX456" s="67"/>
      <c r="ATY456" s="67"/>
      <c r="ATZ456" s="67"/>
      <c r="AUA456" s="67"/>
      <c r="AUB456" s="67"/>
      <c r="AUC456" s="67"/>
      <c r="AUD456" s="67"/>
      <c r="AUE456" s="67"/>
      <c r="AUF456" s="67"/>
      <c r="AUG456" s="67"/>
      <c r="AUH456" s="67"/>
      <c r="AUI456" s="67"/>
      <c r="AUJ456" s="67"/>
      <c r="AUK456" s="67"/>
      <c r="AUL456" s="67"/>
      <c r="AUM456" s="67"/>
      <c r="AUN456" s="67"/>
      <c r="AUO456" s="67"/>
      <c r="AUP456" s="67"/>
      <c r="AUQ456" s="67"/>
      <c r="AUR456" s="67"/>
      <c r="AUS456" s="67"/>
      <c r="AUT456" s="67"/>
      <c r="AUU456" s="67"/>
      <c r="AUV456" s="67"/>
      <c r="AUW456" s="67"/>
      <c r="AUX456" s="67"/>
      <c r="AUY456" s="67"/>
      <c r="AUZ456" s="67"/>
      <c r="AVA456" s="67"/>
      <c r="AVB456" s="67"/>
      <c r="AVC456" s="67"/>
      <c r="AVD456" s="67"/>
      <c r="AVE456" s="67"/>
      <c r="AVF456" s="67"/>
      <c r="AVG456" s="67"/>
      <c r="AVH456" s="67"/>
      <c r="AVI456" s="67"/>
      <c r="AVJ456" s="67"/>
      <c r="AVK456" s="67"/>
      <c r="AVL456" s="67"/>
      <c r="AVM456" s="67"/>
      <c r="AVN456" s="67"/>
      <c r="AVO456" s="67"/>
      <c r="AVP456" s="67"/>
      <c r="AVQ456" s="67"/>
      <c r="AVR456" s="67"/>
      <c r="AVS456" s="67"/>
      <c r="AVT456" s="67"/>
      <c r="AVU456" s="67"/>
      <c r="AVV456" s="67"/>
      <c r="AVW456" s="67"/>
      <c r="AVX456" s="67"/>
      <c r="AVY456" s="67"/>
      <c r="AVZ456" s="67"/>
      <c r="AWA456" s="67"/>
      <c r="AWB456" s="67"/>
      <c r="AWC456" s="67"/>
      <c r="AWD456" s="67"/>
      <c r="AWE456" s="67"/>
      <c r="AWF456" s="67"/>
      <c r="AWG456" s="67"/>
      <c r="AWH456" s="67"/>
      <c r="AWI456" s="67"/>
      <c r="AWJ456" s="67"/>
      <c r="AWK456" s="67"/>
      <c r="AWL456" s="67"/>
      <c r="AWM456" s="67"/>
      <c r="AWN456" s="67"/>
      <c r="AWO456" s="67"/>
      <c r="AWP456" s="67"/>
      <c r="AWQ456" s="67"/>
      <c r="AWR456" s="67"/>
      <c r="AWS456" s="67"/>
      <c r="AWT456" s="67"/>
      <c r="AWU456" s="67"/>
      <c r="AWV456" s="67"/>
      <c r="AWW456" s="67"/>
      <c r="AWX456" s="67"/>
      <c r="AWY456" s="67"/>
      <c r="AWZ456" s="67"/>
      <c r="AXA456" s="67"/>
      <c r="AXB456" s="67"/>
      <c r="AXC456" s="67"/>
      <c r="AXD456" s="67"/>
      <c r="AXE456" s="67"/>
      <c r="AXF456" s="67"/>
      <c r="AXG456" s="67"/>
      <c r="AXH456" s="67"/>
      <c r="AXI456" s="67"/>
      <c r="AXJ456" s="67"/>
      <c r="AXK456" s="67"/>
      <c r="AXL456" s="67"/>
      <c r="AXM456" s="67"/>
      <c r="AXN456" s="67"/>
      <c r="AXO456" s="67"/>
      <c r="AXP456" s="67"/>
      <c r="AXQ456" s="67"/>
      <c r="AXR456" s="67"/>
      <c r="AXS456" s="67"/>
      <c r="AXT456" s="67"/>
      <c r="AXU456" s="67"/>
      <c r="AXV456" s="67"/>
      <c r="AXW456" s="67"/>
      <c r="AXX456" s="67"/>
      <c r="AXY456" s="67"/>
      <c r="AXZ456" s="67"/>
      <c r="AYA456" s="67"/>
      <c r="AYB456" s="67"/>
      <c r="AYC456" s="67"/>
      <c r="AYD456" s="67"/>
      <c r="AYE456" s="67"/>
      <c r="AYF456" s="67"/>
      <c r="AYG456" s="67"/>
      <c r="AYH456" s="67"/>
      <c r="AYI456" s="67"/>
      <c r="AYJ456" s="67"/>
      <c r="AYK456" s="67"/>
      <c r="AYL456" s="67"/>
      <c r="AYM456" s="67"/>
      <c r="AYN456" s="67"/>
      <c r="AYO456" s="67"/>
      <c r="AYP456" s="67"/>
      <c r="AYQ456" s="67"/>
      <c r="AYR456" s="67"/>
      <c r="AYS456" s="67"/>
      <c r="AYT456" s="67"/>
      <c r="AYU456" s="67"/>
      <c r="AYV456" s="67"/>
      <c r="AYW456" s="67"/>
      <c r="AYX456" s="67"/>
      <c r="AYY456" s="67"/>
      <c r="AYZ456" s="67"/>
      <c r="AZA456" s="67"/>
      <c r="AZB456" s="67"/>
      <c r="AZC456" s="67"/>
      <c r="AZD456" s="67"/>
      <c r="AZE456" s="67"/>
      <c r="AZF456" s="67"/>
      <c r="AZG456" s="67"/>
      <c r="AZH456" s="67"/>
      <c r="AZI456" s="67"/>
      <c r="AZJ456" s="67"/>
      <c r="AZK456" s="67"/>
      <c r="AZL456" s="67"/>
      <c r="AZM456" s="67"/>
      <c r="AZN456" s="67"/>
      <c r="AZO456" s="67"/>
      <c r="AZP456" s="67"/>
      <c r="AZQ456" s="67"/>
      <c r="AZR456" s="67"/>
      <c r="AZS456" s="67"/>
      <c r="AZT456" s="67"/>
      <c r="AZU456" s="67"/>
      <c r="AZV456" s="67"/>
      <c r="AZW456" s="67"/>
      <c r="AZX456" s="67"/>
      <c r="AZY456" s="67"/>
      <c r="AZZ456" s="67"/>
      <c r="BAA456" s="67"/>
      <c r="BAB456" s="67"/>
      <c r="BAC456" s="67"/>
      <c r="BAD456" s="67"/>
      <c r="BAE456" s="67"/>
      <c r="BAF456" s="67"/>
      <c r="BAG456" s="67"/>
      <c r="BAH456" s="67"/>
      <c r="BAI456" s="67"/>
      <c r="BAJ456" s="67"/>
      <c r="BAK456" s="67"/>
      <c r="BAL456" s="67"/>
      <c r="BAM456" s="67"/>
      <c r="BAN456" s="67"/>
      <c r="BAO456" s="67"/>
      <c r="BAP456" s="67"/>
      <c r="BAQ456" s="67"/>
      <c r="BAR456" s="67"/>
      <c r="BAS456" s="67"/>
      <c r="BAT456" s="67"/>
      <c r="BAU456" s="67"/>
      <c r="BAV456" s="67"/>
      <c r="BAW456" s="67"/>
      <c r="BAX456" s="67"/>
      <c r="BAY456" s="67"/>
      <c r="BAZ456" s="67"/>
      <c r="BBA456" s="67"/>
      <c r="BBB456" s="67"/>
      <c r="BBC456" s="67"/>
      <c r="BBD456" s="67"/>
      <c r="BBE456" s="67"/>
      <c r="BBF456" s="67"/>
      <c r="BBG456" s="67"/>
      <c r="BBH456" s="67"/>
      <c r="BBI456" s="67"/>
      <c r="BBJ456" s="67"/>
      <c r="BBK456" s="67"/>
      <c r="BBL456" s="67"/>
      <c r="BBM456" s="67"/>
      <c r="BBN456" s="67"/>
      <c r="BBO456" s="67"/>
      <c r="BBP456" s="67"/>
      <c r="BBQ456" s="67"/>
      <c r="BBR456" s="67"/>
      <c r="BBS456" s="67"/>
      <c r="BBT456" s="67"/>
      <c r="BBU456" s="67"/>
      <c r="BBV456" s="67"/>
      <c r="BBW456" s="67"/>
      <c r="BBX456" s="67"/>
      <c r="BBY456" s="67"/>
      <c r="BBZ456" s="67"/>
      <c r="BCA456" s="67"/>
      <c r="BCB456" s="67"/>
      <c r="BCC456" s="67"/>
      <c r="BCD456" s="67"/>
      <c r="BCE456" s="67"/>
      <c r="BCF456" s="67"/>
      <c r="BCG456" s="67"/>
      <c r="BCH456" s="67"/>
      <c r="BCI456" s="67"/>
      <c r="BCJ456" s="67"/>
      <c r="BCK456" s="67"/>
      <c r="BCL456" s="67"/>
      <c r="BCM456" s="67"/>
      <c r="BCN456" s="67"/>
      <c r="BCO456" s="67"/>
      <c r="BCP456" s="67"/>
      <c r="BCQ456" s="67"/>
      <c r="BCR456" s="67"/>
      <c r="BCS456" s="67"/>
      <c r="BCT456" s="67"/>
      <c r="BCU456" s="67"/>
      <c r="BCV456" s="67"/>
      <c r="BCW456" s="67"/>
      <c r="BCX456" s="67"/>
      <c r="BCY456" s="67"/>
      <c r="BCZ456" s="67"/>
      <c r="BDA456" s="67"/>
      <c r="BDB456" s="67"/>
      <c r="BDC456" s="67"/>
      <c r="BDD456" s="67"/>
      <c r="BDE456" s="67"/>
      <c r="BDF456" s="67"/>
      <c r="BDG456" s="67"/>
      <c r="BDH456" s="67"/>
      <c r="BDI456" s="67"/>
      <c r="BDJ456" s="67"/>
      <c r="BDK456" s="67"/>
      <c r="BDL456" s="67"/>
      <c r="BDM456" s="67"/>
      <c r="BDN456" s="67"/>
      <c r="BDO456" s="67"/>
      <c r="BDP456" s="67"/>
      <c r="BDQ456" s="67"/>
      <c r="BDR456" s="67"/>
      <c r="BDS456" s="67"/>
      <c r="BDT456" s="67"/>
      <c r="BDU456" s="67"/>
      <c r="BDV456" s="67"/>
      <c r="BDW456" s="67"/>
      <c r="BDX456" s="67"/>
      <c r="BDY456" s="67"/>
      <c r="BDZ456" s="67"/>
      <c r="BEA456" s="67"/>
      <c r="BEB456" s="67"/>
      <c r="BEC456" s="67"/>
      <c r="BED456" s="67"/>
      <c r="BEE456" s="67"/>
      <c r="BEF456" s="67"/>
      <c r="BEG456" s="67"/>
      <c r="BEH456" s="67"/>
      <c r="BEI456" s="67"/>
      <c r="BEJ456" s="67"/>
      <c r="BEK456" s="67"/>
      <c r="BEL456" s="67"/>
      <c r="BEM456" s="67"/>
      <c r="BEN456" s="67"/>
      <c r="BEO456" s="67"/>
      <c r="BEP456" s="67"/>
      <c r="BEQ456" s="67"/>
      <c r="BER456" s="67"/>
      <c r="BES456" s="67"/>
      <c r="BET456" s="67"/>
      <c r="BEU456" s="67"/>
      <c r="BEV456" s="67"/>
      <c r="BEW456" s="67"/>
      <c r="BEX456" s="67"/>
      <c r="BEY456" s="67"/>
      <c r="BEZ456" s="67"/>
      <c r="BFA456" s="67"/>
      <c r="BFB456" s="67"/>
      <c r="BFC456" s="67"/>
      <c r="BFD456" s="67"/>
      <c r="BFE456" s="67"/>
      <c r="BFF456" s="67"/>
      <c r="BFG456" s="67"/>
      <c r="BFH456" s="67"/>
      <c r="BFI456" s="67"/>
      <c r="BFJ456" s="67"/>
      <c r="BFK456" s="67"/>
      <c r="BFL456" s="67"/>
      <c r="BFM456" s="67"/>
      <c r="BFN456" s="67"/>
      <c r="BFO456" s="67"/>
      <c r="BFP456" s="67"/>
      <c r="BFQ456" s="67"/>
      <c r="BFR456" s="67"/>
      <c r="BFS456" s="67"/>
      <c r="BFT456" s="67"/>
      <c r="BFU456" s="67"/>
      <c r="BFV456" s="67"/>
      <c r="BFW456" s="67"/>
      <c r="BFX456" s="67"/>
      <c r="BFY456" s="67"/>
      <c r="BFZ456" s="67"/>
      <c r="BGA456" s="67"/>
      <c r="BGB456" s="67"/>
      <c r="BGC456" s="67"/>
      <c r="BGD456" s="67"/>
      <c r="BGE456" s="67"/>
      <c r="BGF456" s="67"/>
      <c r="BGG456" s="67"/>
      <c r="BGH456" s="67"/>
      <c r="BGI456" s="67"/>
      <c r="BGJ456" s="67"/>
      <c r="BGK456" s="67"/>
      <c r="BGL456" s="67"/>
      <c r="BGM456" s="67"/>
      <c r="BGN456" s="67"/>
      <c r="BGO456" s="67"/>
      <c r="BGP456" s="67"/>
      <c r="BGQ456" s="67"/>
      <c r="BGR456" s="67"/>
      <c r="BGS456" s="67"/>
      <c r="BGT456" s="67"/>
      <c r="BGU456" s="67"/>
      <c r="BGV456" s="67"/>
      <c r="BGW456" s="67"/>
      <c r="BGX456" s="67"/>
      <c r="BGY456" s="67"/>
      <c r="BGZ456" s="67"/>
      <c r="BHA456" s="67"/>
      <c r="BHB456" s="67"/>
      <c r="BHC456" s="67"/>
      <c r="BHD456" s="67"/>
      <c r="BHE456" s="67"/>
      <c r="BHF456" s="67"/>
      <c r="BHG456" s="67"/>
      <c r="BHH456" s="67"/>
      <c r="BHI456" s="67"/>
      <c r="BHJ456" s="67"/>
      <c r="BHK456" s="67"/>
      <c r="BHL456" s="67"/>
      <c r="BHM456" s="67"/>
      <c r="BHN456" s="67"/>
      <c r="BHO456" s="67"/>
      <c r="BHP456" s="67"/>
      <c r="BHQ456" s="67"/>
      <c r="BHR456" s="67"/>
      <c r="BHS456" s="67"/>
      <c r="BHT456" s="67"/>
      <c r="BHU456" s="67"/>
      <c r="BHV456" s="67"/>
      <c r="BHW456" s="67"/>
      <c r="BHX456" s="67"/>
      <c r="BHY456" s="67"/>
      <c r="BHZ456" s="67"/>
      <c r="BIA456" s="67"/>
      <c r="BIB456" s="67"/>
      <c r="BIC456" s="67"/>
      <c r="BID456" s="67"/>
      <c r="BIE456" s="67"/>
      <c r="BIF456" s="67"/>
      <c r="BIG456" s="67"/>
      <c r="BIH456" s="67"/>
      <c r="BII456" s="67"/>
      <c r="BIJ456" s="67"/>
      <c r="BIK456" s="67"/>
      <c r="BIL456" s="67"/>
      <c r="BIM456" s="67"/>
      <c r="BIN456" s="67"/>
      <c r="BIO456" s="67"/>
      <c r="BIP456" s="67"/>
      <c r="BIQ456" s="67"/>
      <c r="BIR456" s="67"/>
      <c r="BIS456" s="67"/>
      <c r="BIT456" s="67"/>
      <c r="BIU456" s="67"/>
      <c r="BIV456" s="67"/>
      <c r="BIW456" s="67"/>
      <c r="BIX456" s="67"/>
      <c r="BIY456" s="67"/>
      <c r="BIZ456" s="67"/>
      <c r="BJA456" s="67"/>
      <c r="BJB456" s="67"/>
      <c r="BJC456" s="67"/>
      <c r="BJD456" s="67"/>
      <c r="BJE456" s="67"/>
      <c r="BJF456" s="67"/>
      <c r="BJG456" s="67"/>
      <c r="BJH456" s="67"/>
      <c r="BJI456" s="67"/>
      <c r="BJJ456" s="67"/>
      <c r="BJK456" s="67"/>
      <c r="BJL456" s="67"/>
      <c r="BJM456" s="67"/>
      <c r="BJN456" s="67"/>
      <c r="BJO456" s="67"/>
      <c r="BJP456" s="67"/>
      <c r="BJQ456" s="67"/>
      <c r="BJR456" s="67"/>
      <c r="BJS456" s="67"/>
      <c r="BJT456" s="67"/>
      <c r="BJU456" s="67"/>
      <c r="BJV456" s="67"/>
      <c r="BJW456" s="67"/>
      <c r="BJX456" s="67"/>
      <c r="BJY456" s="67"/>
      <c r="BJZ456" s="67"/>
      <c r="BKA456" s="67"/>
      <c r="BKB456" s="67"/>
      <c r="BKC456" s="67"/>
      <c r="BKD456" s="67"/>
      <c r="BKE456" s="67"/>
      <c r="BKF456" s="67"/>
      <c r="BKG456" s="67"/>
      <c r="BKH456" s="67"/>
      <c r="BKI456" s="67"/>
      <c r="BKJ456" s="67"/>
      <c r="BKK456" s="67"/>
      <c r="BKL456" s="67"/>
      <c r="BKM456" s="67"/>
      <c r="BKN456" s="67"/>
      <c r="BKO456" s="67"/>
      <c r="BKP456" s="67"/>
      <c r="BKQ456" s="67"/>
      <c r="BKR456" s="67"/>
      <c r="BKS456" s="67"/>
      <c r="BKT456" s="67"/>
      <c r="BKU456" s="67"/>
      <c r="BKV456" s="67"/>
      <c r="BKW456" s="67"/>
      <c r="BKX456" s="67"/>
      <c r="BKY456" s="67"/>
      <c r="BKZ456" s="67"/>
      <c r="BLA456" s="67"/>
      <c r="BLB456" s="67"/>
      <c r="BLC456" s="67"/>
      <c r="BLD456" s="67"/>
      <c r="BLE456" s="67"/>
      <c r="BLF456" s="67"/>
      <c r="BLG456" s="67"/>
      <c r="BLH456" s="67"/>
      <c r="BLI456" s="67"/>
      <c r="BLJ456" s="67"/>
      <c r="BLK456" s="67"/>
      <c r="BLL456" s="67"/>
      <c r="BLM456" s="67"/>
      <c r="BLN456" s="67"/>
      <c r="BLO456" s="67"/>
      <c r="BLP456" s="67"/>
      <c r="BLQ456" s="67"/>
      <c r="BLR456" s="67"/>
      <c r="BLS456" s="67"/>
      <c r="BLT456" s="67"/>
      <c r="BLU456" s="67"/>
      <c r="BLV456" s="67"/>
      <c r="BLW456" s="67"/>
      <c r="BLX456" s="67"/>
      <c r="BLY456" s="67"/>
      <c r="BLZ456" s="67"/>
      <c r="BMA456" s="67"/>
      <c r="BMB456" s="67"/>
      <c r="BMC456" s="67"/>
      <c r="BMD456" s="67"/>
      <c r="BME456" s="67"/>
      <c r="BMF456" s="67"/>
      <c r="BMG456" s="67"/>
      <c r="BMH456" s="67"/>
      <c r="BMI456" s="67"/>
      <c r="BMJ456" s="67"/>
      <c r="BMK456" s="67"/>
      <c r="BML456" s="67"/>
      <c r="BMM456" s="67"/>
      <c r="BMN456" s="67"/>
      <c r="BMO456" s="67"/>
      <c r="BMP456" s="67"/>
      <c r="BMQ456" s="67"/>
      <c r="BMR456" s="67"/>
      <c r="BMS456" s="67"/>
      <c r="BMT456" s="67"/>
      <c r="BMU456" s="67"/>
      <c r="BMV456" s="67"/>
      <c r="BMW456" s="67"/>
      <c r="BMX456" s="67"/>
      <c r="BMY456" s="67"/>
      <c r="BMZ456" s="67"/>
      <c r="BNA456" s="67"/>
      <c r="BNB456" s="67"/>
      <c r="BNC456" s="67"/>
      <c r="BND456" s="67"/>
      <c r="BNE456" s="67"/>
      <c r="BNF456" s="67"/>
      <c r="BNG456" s="67"/>
      <c r="BNH456" s="67"/>
      <c r="BNI456" s="67"/>
      <c r="BNJ456" s="67"/>
      <c r="BNK456" s="67"/>
      <c r="BNL456" s="67"/>
      <c r="BNM456" s="67"/>
      <c r="BNN456" s="67"/>
      <c r="BNO456" s="67"/>
      <c r="BNP456" s="67"/>
      <c r="BNQ456" s="67"/>
      <c r="BNR456" s="67"/>
      <c r="BNS456" s="67"/>
      <c r="BNT456" s="67"/>
      <c r="BNU456" s="67"/>
      <c r="BNV456" s="67"/>
      <c r="BNW456" s="67"/>
      <c r="BNX456" s="67"/>
      <c r="BNY456" s="67"/>
      <c r="BNZ456" s="67"/>
      <c r="BOA456" s="67"/>
      <c r="BOB456" s="67"/>
      <c r="BOC456" s="67"/>
      <c r="BOD456" s="67"/>
      <c r="BOE456" s="67"/>
      <c r="BOF456" s="67"/>
      <c r="BOG456" s="67"/>
      <c r="BOH456" s="67"/>
      <c r="BOI456" s="67"/>
      <c r="BOJ456" s="67"/>
      <c r="BOK456" s="67"/>
      <c r="BOL456" s="67"/>
      <c r="BOM456" s="67"/>
      <c r="BON456" s="67"/>
      <c r="BOO456" s="67"/>
      <c r="BOP456" s="67"/>
      <c r="BOQ456" s="67"/>
      <c r="BOR456" s="67"/>
      <c r="BOS456" s="67"/>
      <c r="BOT456" s="67"/>
      <c r="BOU456" s="67"/>
      <c r="BOV456" s="67"/>
      <c r="BOW456" s="67"/>
      <c r="BOX456" s="67"/>
      <c r="BOY456" s="67"/>
      <c r="BOZ456" s="67"/>
      <c r="BPA456" s="67"/>
      <c r="BPB456" s="67"/>
      <c r="BPC456" s="67"/>
      <c r="BPD456" s="67"/>
      <c r="BPE456" s="67"/>
      <c r="BPF456" s="67"/>
      <c r="BPG456" s="67"/>
      <c r="BPH456" s="67"/>
      <c r="BPI456" s="67"/>
      <c r="BPJ456" s="67"/>
      <c r="BPK456" s="67"/>
      <c r="BPL456" s="67"/>
      <c r="BPM456" s="67"/>
      <c r="BPN456" s="67"/>
      <c r="BPO456" s="67"/>
      <c r="BPP456" s="67"/>
      <c r="BPQ456" s="67"/>
      <c r="BPR456" s="67"/>
      <c r="BPS456" s="67"/>
      <c r="BPT456" s="67"/>
      <c r="BPU456" s="67"/>
      <c r="BPV456" s="67"/>
      <c r="BPW456" s="67"/>
      <c r="BPX456" s="67"/>
      <c r="BPY456" s="67"/>
      <c r="BPZ456" s="67"/>
      <c r="BQA456" s="67"/>
      <c r="BQB456" s="67"/>
      <c r="BQC456" s="67"/>
      <c r="BQD456" s="67"/>
      <c r="BQE456" s="67"/>
      <c r="BQF456" s="67"/>
      <c r="BQG456" s="67"/>
      <c r="BQH456" s="67"/>
      <c r="BQI456" s="67"/>
      <c r="BQJ456" s="67"/>
      <c r="BQK456" s="67"/>
      <c r="BQL456" s="67"/>
      <c r="BQM456" s="67"/>
      <c r="BQN456" s="67"/>
      <c r="BQO456" s="67"/>
      <c r="BQP456" s="67"/>
      <c r="BQQ456" s="67"/>
      <c r="BQR456" s="67"/>
      <c r="BQS456" s="67"/>
      <c r="BQT456" s="67"/>
      <c r="BQU456" s="67"/>
      <c r="BQV456" s="67"/>
      <c r="BQW456" s="67"/>
      <c r="BQX456" s="67"/>
      <c r="BQY456" s="67"/>
      <c r="BQZ456" s="67"/>
      <c r="BRA456" s="67"/>
      <c r="BRB456" s="67"/>
      <c r="BRC456" s="67"/>
      <c r="BRD456" s="67"/>
      <c r="BRE456" s="67"/>
      <c r="BRF456" s="67"/>
      <c r="BRG456" s="67"/>
      <c r="BRH456" s="67"/>
      <c r="BRI456" s="67"/>
      <c r="BRJ456" s="67"/>
      <c r="BRK456" s="67"/>
      <c r="BRL456" s="67"/>
      <c r="BRM456" s="67"/>
      <c r="BRN456" s="67"/>
      <c r="BRO456" s="67"/>
      <c r="BRP456" s="67"/>
      <c r="BRQ456" s="67"/>
      <c r="BRR456" s="67"/>
      <c r="BRS456" s="67"/>
      <c r="BRT456" s="67"/>
      <c r="BRU456" s="67"/>
      <c r="BRV456" s="67"/>
      <c r="BRW456" s="67"/>
      <c r="BRX456" s="67"/>
      <c r="BRY456" s="67"/>
      <c r="BRZ456" s="67"/>
      <c r="BSA456" s="67"/>
      <c r="BSB456" s="67"/>
      <c r="BSC456" s="67"/>
      <c r="BSD456" s="67"/>
      <c r="BSE456" s="67"/>
      <c r="BSF456" s="67"/>
      <c r="BSG456" s="67"/>
      <c r="BSH456" s="67"/>
      <c r="BSI456" s="67"/>
      <c r="BSJ456" s="67"/>
      <c r="BSK456" s="67"/>
      <c r="BSL456" s="67"/>
      <c r="BSM456" s="67"/>
      <c r="BSN456" s="67"/>
      <c r="BSO456" s="67"/>
      <c r="BSP456" s="67"/>
      <c r="BSQ456" s="67"/>
      <c r="BSR456" s="67"/>
      <c r="BSS456" s="67"/>
      <c r="BST456" s="67"/>
      <c r="BSU456" s="67"/>
      <c r="BSV456" s="67"/>
      <c r="BSW456" s="67"/>
      <c r="BSX456" s="67"/>
      <c r="BSY456" s="67"/>
      <c r="BSZ456" s="67"/>
      <c r="BTA456" s="67"/>
      <c r="BTB456" s="67"/>
      <c r="BTC456" s="67"/>
      <c r="BTD456" s="67"/>
      <c r="BTE456" s="67"/>
      <c r="BTF456" s="67"/>
      <c r="BTG456" s="67"/>
      <c r="BTH456" s="67"/>
      <c r="BTI456" s="67"/>
      <c r="BTJ456" s="67"/>
      <c r="BTK456" s="67"/>
      <c r="BTL456" s="67"/>
      <c r="BTM456" s="67"/>
      <c r="BTN456" s="67"/>
      <c r="BTO456" s="67"/>
      <c r="BTP456" s="67"/>
      <c r="BTQ456" s="67"/>
      <c r="BTR456" s="67"/>
      <c r="BTS456" s="67"/>
      <c r="BTT456" s="67"/>
      <c r="BTU456" s="67"/>
      <c r="BTV456" s="67"/>
      <c r="BTW456" s="67"/>
      <c r="BTX456" s="67"/>
      <c r="BTY456" s="67"/>
      <c r="BTZ456" s="67"/>
      <c r="BUA456" s="67"/>
      <c r="BUB456" s="67"/>
      <c r="BUC456" s="67"/>
      <c r="BUD456" s="67"/>
      <c r="BUE456" s="67"/>
      <c r="BUF456" s="67"/>
      <c r="BUG456" s="67"/>
      <c r="BUH456" s="67"/>
      <c r="BUI456" s="67"/>
      <c r="BUJ456" s="67"/>
      <c r="BUK456" s="67"/>
      <c r="BUL456" s="67"/>
      <c r="BUM456" s="67"/>
      <c r="BUN456" s="67"/>
      <c r="BUO456" s="67"/>
      <c r="BUP456" s="67"/>
      <c r="BUQ456" s="67"/>
      <c r="BUR456" s="67"/>
      <c r="BUS456" s="67"/>
      <c r="BUT456" s="67"/>
      <c r="BUU456" s="67"/>
      <c r="BUV456" s="67"/>
      <c r="BUW456" s="67"/>
      <c r="BUX456" s="67"/>
      <c r="BUY456" s="67"/>
      <c r="BUZ456" s="67"/>
      <c r="BVA456" s="67"/>
      <c r="BVB456" s="67"/>
      <c r="BVC456" s="67"/>
      <c r="BVD456" s="67"/>
      <c r="BVE456" s="67"/>
      <c r="BVF456" s="67"/>
      <c r="BVG456" s="67"/>
      <c r="BVH456" s="67"/>
      <c r="BVI456" s="67"/>
      <c r="BVJ456" s="67"/>
      <c r="BVK456" s="67"/>
      <c r="BVL456" s="67"/>
      <c r="BVM456" s="67"/>
      <c r="BVN456" s="67"/>
      <c r="BVO456" s="67"/>
      <c r="BVP456" s="67"/>
      <c r="BVQ456" s="67"/>
      <c r="BVR456" s="67"/>
      <c r="BVS456" s="67"/>
      <c r="BVT456" s="67"/>
      <c r="BVU456" s="67"/>
      <c r="BVV456" s="67"/>
      <c r="BVW456" s="67"/>
      <c r="BVX456" s="67"/>
      <c r="BVY456" s="67"/>
      <c r="BVZ456" s="67"/>
      <c r="BWA456" s="67"/>
      <c r="BWB456" s="67"/>
      <c r="BWC456" s="67"/>
      <c r="BWD456" s="67"/>
      <c r="BWE456" s="67"/>
      <c r="BWF456" s="67"/>
      <c r="BWG456" s="67"/>
      <c r="BWH456" s="67"/>
      <c r="BWI456" s="67"/>
      <c r="BWJ456" s="67"/>
      <c r="BWK456" s="67"/>
      <c r="BWL456" s="67"/>
      <c r="BWM456" s="67"/>
      <c r="BWN456" s="67"/>
      <c r="BWO456" s="67"/>
      <c r="BWP456" s="67"/>
      <c r="BWQ456" s="67"/>
      <c r="BWR456" s="67"/>
      <c r="BWS456" s="67"/>
      <c r="BWT456" s="67"/>
      <c r="BWU456" s="67"/>
      <c r="BWV456" s="67"/>
      <c r="BWW456" s="67"/>
      <c r="BWX456" s="67"/>
      <c r="BWY456" s="67"/>
      <c r="BWZ456" s="67"/>
      <c r="BXA456" s="67"/>
      <c r="BXB456" s="67"/>
      <c r="BXC456" s="67"/>
      <c r="BXD456" s="67"/>
      <c r="BXE456" s="67"/>
      <c r="BXF456" s="67"/>
      <c r="BXG456" s="67"/>
      <c r="BXH456" s="67"/>
      <c r="BXI456" s="67"/>
      <c r="BXJ456" s="67"/>
      <c r="BXK456" s="67"/>
      <c r="BXL456" s="67"/>
      <c r="BXM456" s="67"/>
      <c r="BXN456" s="67"/>
      <c r="BXO456" s="67"/>
      <c r="BXP456" s="67"/>
      <c r="BXQ456" s="67"/>
      <c r="BXR456" s="67"/>
      <c r="BXS456" s="67"/>
      <c r="BXT456" s="67"/>
      <c r="BXU456" s="67"/>
      <c r="BXV456" s="67"/>
      <c r="BXW456" s="67"/>
      <c r="BXX456" s="67"/>
      <c r="BXY456" s="67"/>
      <c r="BXZ456" s="67"/>
      <c r="BYA456" s="67"/>
      <c r="BYB456" s="67"/>
      <c r="BYC456" s="67"/>
      <c r="BYD456" s="67"/>
      <c r="BYE456" s="67"/>
      <c r="BYF456" s="67"/>
      <c r="BYG456" s="67"/>
      <c r="BYH456" s="67"/>
      <c r="BYI456" s="67"/>
      <c r="BYJ456" s="67"/>
      <c r="BYK456" s="67"/>
      <c r="BYL456" s="67"/>
      <c r="BYM456" s="67"/>
      <c r="BYN456" s="67"/>
      <c r="BYO456" s="67"/>
      <c r="BYP456" s="67"/>
      <c r="BYQ456" s="67"/>
      <c r="BYR456" s="67"/>
      <c r="BYS456" s="67"/>
      <c r="BYT456" s="67"/>
      <c r="BYU456" s="67"/>
      <c r="BYV456" s="67"/>
      <c r="BYW456" s="67"/>
      <c r="BYX456" s="67"/>
      <c r="BYY456" s="67"/>
      <c r="BYZ456" s="67"/>
      <c r="BZA456" s="67"/>
      <c r="BZB456" s="67"/>
      <c r="BZC456" s="67"/>
      <c r="BZD456" s="67"/>
      <c r="BZE456" s="67"/>
      <c r="BZF456" s="67"/>
      <c r="BZG456" s="67"/>
      <c r="BZH456" s="67"/>
      <c r="BZI456" s="67"/>
      <c r="BZJ456" s="67"/>
      <c r="BZK456" s="67"/>
      <c r="BZL456" s="67"/>
      <c r="BZM456" s="67"/>
      <c r="BZN456" s="67"/>
      <c r="BZO456" s="67"/>
      <c r="BZP456" s="67"/>
      <c r="BZQ456" s="67"/>
      <c r="BZR456" s="67"/>
      <c r="BZS456" s="67"/>
      <c r="BZT456" s="67"/>
      <c r="BZU456" s="67"/>
      <c r="BZV456" s="67"/>
      <c r="BZW456" s="67"/>
      <c r="BZX456" s="67"/>
      <c r="BZY456" s="67"/>
      <c r="BZZ456" s="67"/>
      <c r="CAA456" s="67"/>
      <c r="CAB456" s="67"/>
      <c r="CAC456" s="67"/>
      <c r="CAD456" s="67"/>
      <c r="CAE456" s="67"/>
      <c r="CAF456" s="67"/>
      <c r="CAG456" s="67"/>
      <c r="CAH456" s="67"/>
      <c r="CAI456" s="67"/>
      <c r="CAJ456" s="67"/>
      <c r="CAK456" s="67"/>
      <c r="CAL456" s="67"/>
      <c r="CAM456" s="67"/>
      <c r="CAN456" s="67"/>
      <c r="CAO456" s="67"/>
      <c r="CAP456" s="67"/>
      <c r="CAQ456" s="67"/>
      <c r="CAR456" s="67"/>
      <c r="CAS456" s="67"/>
      <c r="CAT456" s="67"/>
      <c r="CAU456" s="67"/>
      <c r="CAV456" s="67"/>
      <c r="CAW456" s="67"/>
      <c r="CAX456" s="67"/>
      <c r="CAY456" s="67"/>
      <c r="CAZ456" s="67"/>
      <c r="CBA456" s="67"/>
      <c r="CBB456" s="67"/>
      <c r="CBC456" s="67"/>
      <c r="CBD456" s="67"/>
      <c r="CBE456" s="67"/>
      <c r="CBF456" s="67"/>
      <c r="CBG456" s="67"/>
      <c r="CBH456" s="67"/>
      <c r="CBI456" s="67"/>
      <c r="CBJ456" s="67"/>
      <c r="CBK456" s="67"/>
      <c r="CBL456" s="67"/>
      <c r="CBM456" s="67"/>
      <c r="CBN456" s="67"/>
      <c r="CBO456" s="67"/>
      <c r="CBP456" s="67"/>
      <c r="CBQ456" s="67"/>
      <c r="CBR456" s="67"/>
      <c r="CBS456" s="67"/>
      <c r="CBT456" s="67"/>
      <c r="CBU456" s="67"/>
      <c r="CBV456" s="67"/>
      <c r="CBW456" s="67"/>
      <c r="CBX456" s="67"/>
      <c r="CBY456" s="67"/>
      <c r="CBZ456" s="67"/>
      <c r="CCA456" s="67"/>
      <c r="CCB456" s="67"/>
      <c r="CCC456" s="67"/>
      <c r="CCD456" s="67"/>
      <c r="CCE456" s="67"/>
      <c r="CCF456" s="67"/>
      <c r="CCG456" s="67"/>
      <c r="CCH456" s="67"/>
      <c r="CCI456" s="67"/>
      <c r="CCJ456" s="67"/>
      <c r="CCK456" s="67"/>
      <c r="CCL456" s="67"/>
      <c r="CCM456" s="67"/>
      <c r="CCN456" s="67"/>
      <c r="CCO456" s="67"/>
      <c r="CCP456" s="67"/>
      <c r="CCQ456" s="67"/>
      <c r="CCR456" s="67"/>
      <c r="CCS456" s="67"/>
      <c r="CCT456" s="67"/>
      <c r="CCU456" s="67"/>
      <c r="CCV456" s="67"/>
      <c r="CCW456" s="67"/>
      <c r="CCX456" s="67"/>
      <c r="CCY456" s="67"/>
      <c r="CCZ456" s="67"/>
      <c r="CDA456" s="67"/>
      <c r="CDB456" s="67"/>
      <c r="CDC456" s="67"/>
      <c r="CDD456" s="67"/>
      <c r="CDE456" s="67"/>
      <c r="CDF456" s="67"/>
      <c r="CDG456" s="67"/>
      <c r="CDH456" s="67"/>
      <c r="CDI456" s="67"/>
      <c r="CDJ456" s="67"/>
      <c r="CDK456" s="67"/>
      <c r="CDL456" s="67"/>
      <c r="CDM456" s="67"/>
      <c r="CDN456" s="67"/>
      <c r="CDO456" s="67"/>
      <c r="CDP456" s="67"/>
      <c r="CDQ456" s="67"/>
      <c r="CDR456" s="67"/>
      <c r="CDS456" s="67"/>
      <c r="CDT456" s="67"/>
      <c r="CDU456" s="67"/>
      <c r="CDV456" s="67"/>
      <c r="CDW456" s="67"/>
      <c r="CDX456" s="67"/>
      <c r="CDY456" s="67"/>
      <c r="CDZ456" s="67"/>
      <c r="CEA456" s="67"/>
      <c r="CEB456" s="67"/>
      <c r="CEC456" s="67"/>
      <c r="CED456" s="67"/>
      <c r="CEE456" s="67"/>
      <c r="CEF456" s="67"/>
      <c r="CEG456" s="67"/>
      <c r="CEH456" s="67"/>
      <c r="CEI456" s="67"/>
      <c r="CEJ456" s="67"/>
      <c r="CEK456" s="67"/>
      <c r="CEL456" s="67"/>
      <c r="CEM456" s="67"/>
      <c r="CEN456" s="67"/>
      <c r="CEO456" s="67"/>
      <c r="CEP456" s="67"/>
      <c r="CEQ456" s="67"/>
      <c r="CER456" s="67"/>
      <c r="CES456" s="67"/>
      <c r="CET456" s="67"/>
      <c r="CEU456" s="67"/>
      <c r="CEV456" s="67"/>
      <c r="CEW456" s="67"/>
      <c r="CEX456" s="67"/>
      <c r="CEY456" s="67"/>
      <c r="CEZ456" s="67"/>
      <c r="CFA456" s="67"/>
      <c r="CFB456" s="67"/>
      <c r="CFC456" s="67"/>
      <c r="CFD456" s="67"/>
      <c r="CFE456" s="67"/>
      <c r="CFF456" s="67"/>
      <c r="CFG456" s="67"/>
      <c r="CFH456" s="67"/>
      <c r="CFI456" s="67"/>
      <c r="CFJ456" s="67"/>
      <c r="CFK456" s="67"/>
      <c r="CFL456" s="67"/>
      <c r="CFM456" s="67"/>
      <c r="CFN456" s="67"/>
      <c r="CFO456" s="67"/>
      <c r="CFP456" s="67"/>
      <c r="CFQ456" s="67"/>
      <c r="CFR456" s="67"/>
      <c r="CFS456" s="67"/>
      <c r="CFT456" s="67"/>
      <c r="CFU456" s="67"/>
      <c r="CFV456" s="67"/>
      <c r="CFW456" s="67"/>
      <c r="CFX456" s="67"/>
      <c r="CFY456" s="67"/>
      <c r="CFZ456" s="67"/>
      <c r="CGA456" s="67"/>
      <c r="CGB456" s="67"/>
      <c r="CGC456" s="67"/>
      <c r="CGD456" s="67"/>
      <c r="CGE456" s="67"/>
      <c r="CGF456" s="67"/>
      <c r="CGG456" s="67"/>
      <c r="CGH456" s="67"/>
      <c r="CGI456" s="67"/>
      <c r="CGJ456" s="67"/>
      <c r="CGK456" s="67"/>
      <c r="CGL456" s="67"/>
      <c r="CGM456" s="67"/>
      <c r="CGN456" s="67"/>
      <c r="CGO456" s="67"/>
      <c r="CGP456" s="67"/>
      <c r="CGQ456" s="67"/>
      <c r="CGR456" s="67"/>
      <c r="CGS456" s="67"/>
      <c r="CGT456" s="67"/>
      <c r="CGU456" s="67"/>
      <c r="CGV456" s="67"/>
      <c r="CGW456" s="67"/>
      <c r="CGX456" s="67"/>
      <c r="CGY456" s="67"/>
      <c r="CGZ456" s="67"/>
      <c r="CHA456" s="67"/>
      <c r="CHB456" s="67"/>
      <c r="CHC456" s="67"/>
      <c r="CHD456" s="67"/>
      <c r="CHE456" s="67"/>
      <c r="CHF456" s="67"/>
      <c r="CHG456" s="67"/>
      <c r="CHH456" s="67"/>
      <c r="CHI456" s="67"/>
      <c r="CHJ456" s="67"/>
      <c r="CHK456" s="67"/>
      <c r="CHL456" s="67"/>
      <c r="CHM456" s="67"/>
      <c r="CHN456" s="67"/>
      <c r="CHO456" s="67"/>
      <c r="CHP456" s="67"/>
      <c r="CHQ456" s="67"/>
      <c r="CHR456" s="67"/>
      <c r="CHS456" s="67"/>
      <c r="CHT456" s="67"/>
      <c r="CHU456" s="67"/>
      <c r="CHV456" s="67"/>
      <c r="CHW456" s="67"/>
      <c r="CHX456" s="67"/>
      <c r="CHY456" s="67"/>
      <c r="CHZ456" s="67"/>
      <c r="CIA456" s="67"/>
      <c r="CIB456" s="67"/>
      <c r="CIC456" s="67"/>
      <c r="CID456" s="67"/>
      <c r="CIE456" s="67"/>
      <c r="CIF456" s="67"/>
      <c r="CIG456" s="67"/>
      <c r="CIH456" s="67"/>
      <c r="CII456" s="67"/>
      <c r="CIJ456" s="67"/>
      <c r="CIK456" s="67"/>
      <c r="CIL456" s="67"/>
      <c r="CIM456" s="67"/>
      <c r="CIN456" s="67"/>
      <c r="CIO456" s="67"/>
      <c r="CIP456" s="67"/>
      <c r="CIQ456" s="67"/>
      <c r="CIR456" s="67"/>
      <c r="CIS456" s="67"/>
      <c r="CIT456" s="67"/>
      <c r="CIU456" s="67"/>
      <c r="CIV456" s="67"/>
      <c r="CIW456" s="67"/>
      <c r="CIX456" s="67"/>
      <c r="CIY456" s="67"/>
      <c r="CIZ456" s="67"/>
      <c r="CJA456" s="67"/>
      <c r="CJB456" s="67"/>
      <c r="CJC456" s="67"/>
      <c r="CJD456" s="67"/>
      <c r="CJE456" s="67"/>
      <c r="CJF456" s="67"/>
      <c r="CJG456" s="67"/>
      <c r="CJH456" s="67"/>
      <c r="CJI456" s="67"/>
      <c r="CJJ456" s="67"/>
      <c r="CJK456" s="67"/>
      <c r="CJL456" s="67"/>
      <c r="CJM456" s="67"/>
      <c r="CJN456" s="67"/>
      <c r="CJO456" s="67"/>
      <c r="CJP456" s="67"/>
      <c r="CJQ456" s="67"/>
      <c r="CJR456" s="67"/>
      <c r="CJS456" s="67"/>
      <c r="CJT456" s="67"/>
      <c r="CJU456" s="67"/>
      <c r="CJV456" s="67"/>
      <c r="CJW456" s="67"/>
      <c r="CJX456" s="67"/>
      <c r="CJY456" s="67"/>
      <c r="CJZ456" s="67"/>
      <c r="CKA456" s="67"/>
      <c r="CKB456" s="67"/>
      <c r="CKC456" s="67"/>
      <c r="CKD456" s="67"/>
      <c r="CKE456" s="67"/>
      <c r="CKF456" s="67"/>
      <c r="CKG456" s="67"/>
      <c r="CKH456" s="67"/>
      <c r="CKI456" s="67"/>
      <c r="CKJ456" s="67"/>
      <c r="CKK456" s="67"/>
      <c r="CKL456" s="67"/>
      <c r="CKM456" s="67"/>
      <c r="CKN456" s="67"/>
      <c r="CKO456" s="67"/>
      <c r="CKP456" s="67"/>
      <c r="CKQ456" s="67"/>
      <c r="CKR456" s="67"/>
      <c r="CKS456" s="67"/>
      <c r="CKT456" s="67"/>
      <c r="CKU456" s="67"/>
      <c r="CKV456" s="67"/>
      <c r="CKW456" s="67"/>
      <c r="CKX456" s="67"/>
      <c r="CKY456" s="67"/>
      <c r="CKZ456" s="67"/>
      <c r="CLA456" s="67"/>
      <c r="CLB456" s="67"/>
      <c r="CLC456" s="67"/>
      <c r="CLD456" s="67"/>
      <c r="CLE456" s="67"/>
      <c r="CLF456" s="67"/>
      <c r="CLG456" s="67"/>
      <c r="CLH456" s="67"/>
      <c r="CLI456" s="67"/>
      <c r="CLJ456" s="67"/>
      <c r="CLK456" s="67"/>
      <c r="CLL456" s="67"/>
      <c r="CLM456" s="67"/>
      <c r="CLN456" s="67"/>
      <c r="CLO456" s="67"/>
      <c r="CLP456" s="67"/>
      <c r="CLQ456" s="67"/>
      <c r="CLR456" s="67"/>
      <c r="CLS456" s="67"/>
      <c r="CLT456" s="67"/>
      <c r="CLU456" s="67"/>
      <c r="CLV456" s="67"/>
      <c r="CLW456" s="67"/>
      <c r="CLX456" s="67"/>
      <c r="CLY456" s="67"/>
      <c r="CLZ456" s="67"/>
      <c r="CMA456" s="67"/>
      <c r="CMB456" s="67"/>
      <c r="CMC456" s="67"/>
      <c r="CMD456" s="67"/>
      <c r="CME456" s="67"/>
      <c r="CMF456" s="67"/>
      <c r="CMG456" s="67"/>
      <c r="CMH456" s="67"/>
      <c r="CMI456" s="67"/>
      <c r="CMJ456" s="67"/>
      <c r="CMK456" s="67"/>
      <c r="CML456" s="67"/>
      <c r="CMM456" s="67"/>
      <c r="CMN456" s="67"/>
      <c r="CMO456" s="67"/>
      <c r="CMP456" s="67"/>
      <c r="CMQ456" s="67"/>
      <c r="CMR456" s="67"/>
      <c r="CMS456" s="67"/>
      <c r="CMT456" s="67"/>
      <c r="CMU456" s="67"/>
      <c r="CMV456" s="67"/>
      <c r="CMW456" s="67"/>
      <c r="CMX456" s="67"/>
      <c r="CMY456" s="67"/>
      <c r="CMZ456" s="67"/>
      <c r="CNA456" s="67"/>
      <c r="CNB456" s="67"/>
      <c r="CNC456" s="67"/>
      <c r="CND456" s="67"/>
      <c r="CNE456" s="67"/>
      <c r="CNF456" s="67"/>
      <c r="CNG456" s="67"/>
      <c r="CNH456" s="67"/>
      <c r="CNI456" s="67"/>
      <c r="CNJ456" s="67"/>
      <c r="CNK456" s="67"/>
      <c r="CNL456" s="67"/>
      <c r="CNM456" s="67"/>
      <c r="CNN456" s="67"/>
      <c r="CNO456" s="67"/>
      <c r="CNP456" s="67"/>
      <c r="CNQ456" s="67"/>
      <c r="CNR456" s="67"/>
      <c r="CNS456" s="67"/>
      <c r="CNT456" s="67"/>
      <c r="CNU456" s="67"/>
      <c r="CNV456" s="67"/>
      <c r="CNW456" s="67"/>
      <c r="CNX456" s="67"/>
      <c r="CNY456" s="67"/>
      <c r="CNZ456" s="67"/>
      <c r="COA456" s="67"/>
      <c r="COB456" s="67"/>
      <c r="COC456" s="67"/>
      <c r="COD456" s="67"/>
      <c r="COE456" s="67"/>
      <c r="COF456" s="67"/>
      <c r="COG456" s="67"/>
      <c r="COH456" s="67"/>
      <c r="COI456" s="67"/>
      <c r="COJ456" s="67"/>
      <c r="COK456" s="67"/>
      <c r="COL456" s="67"/>
      <c r="COM456" s="67"/>
      <c r="CON456" s="67"/>
      <c r="COO456" s="67"/>
      <c r="COP456" s="67"/>
      <c r="COQ456" s="67"/>
      <c r="COR456" s="67"/>
      <c r="COS456" s="67"/>
      <c r="COT456" s="67"/>
      <c r="COU456" s="67"/>
      <c r="COV456" s="67"/>
      <c r="COW456" s="67"/>
      <c r="COX456" s="67"/>
      <c r="COY456" s="67"/>
      <c r="COZ456" s="67"/>
      <c r="CPA456" s="67"/>
      <c r="CPB456" s="67"/>
      <c r="CPC456" s="67"/>
      <c r="CPD456" s="67"/>
      <c r="CPE456" s="67"/>
      <c r="CPF456" s="67"/>
      <c r="CPG456" s="67"/>
      <c r="CPH456" s="67"/>
      <c r="CPI456" s="67"/>
      <c r="CPJ456" s="67"/>
      <c r="CPK456" s="67"/>
      <c r="CPL456" s="67"/>
      <c r="CPM456" s="67"/>
      <c r="CPN456" s="67"/>
      <c r="CPO456" s="67"/>
      <c r="CPP456" s="67"/>
      <c r="CPQ456" s="67"/>
      <c r="CPR456" s="67"/>
      <c r="CPS456" s="67"/>
      <c r="CPT456" s="67"/>
      <c r="CPU456" s="67"/>
      <c r="CPV456" s="67"/>
      <c r="CPW456" s="67"/>
      <c r="CPX456" s="67"/>
      <c r="CPY456" s="67"/>
      <c r="CPZ456" s="67"/>
      <c r="CQA456" s="67"/>
      <c r="CQB456" s="67"/>
      <c r="CQC456" s="67"/>
      <c r="CQD456" s="67"/>
      <c r="CQE456" s="67"/>
      <c r="CQF456" s="67"/>
      <c r="CQG456" s="67"/>
      <c r="CQH456" s="67"/>
      <c r="CQI456" s="67"/>
      <c r="CQJ456" s="67"/>
      <c r="CQK456" s="67"/>
      <c r="CQL456" s="67"/>
      <c r="CQM456" s="67"/>
      <c r="CQN456" s="67"/>
      <c r="CQO456" s="67"/>
      <c r="CQP456" s="67"/>
      <c r="CQQ456" s="67"/>
      <c r="CQR456" s="67"/>
      <c r="CQS456" s="67"/>
      <c r="CQT456" s="67"/>
      <c r="CQU456" s="67"/>
      <c r="CQV456" s="67"/>
      <c r="CQW456" s="67"/>
      <c r="CQX456" s="67"/>
      <c r="CQY456" s="67"/>
      <c r="CQZ456" s="67"/>
      <c r="CRA456" s="67"/>
      <c r="CRB456" s="67"/>
      <c r="CRC456" s="67"/>
      <c r="CRD456" s="67"/>
      <c r="CRE456" s="67"/>
      <c r="CRF456" s="67"/>
      <c r="CRG456" s="67"/>
      <c r="CRH456" s="67"/>
      <c r="CRI456" s="67"/>
      <c r="CRJ456" s="67"/>
      <c r="CRK456" s="67"/>
      <c r="CRL456" s="67"/>
      <c r="CRM456" s="67"/>
      <c r="CRN456" s="67"/>
      <c r="CRO456" s="67"/>
      <c r="CRP456" s="67"/>
      <c r="CRQ456" s="67"/>
      <c r="CRR456" s="67"/>
      <c r="CRS456" s="67"/>
      <c r="CRT456" s="67"/>
      <c r="CRU456" s="67"/>
      <c r="CRV456" s="67"/>
      <c r="CRW456" s="67"/>
      <c r="CRX456" s="67"/>
      <c r="CRY456" s="67"/>
      <c r="CRZ456" s="67"/>
      <c r="CSA456" s="67"/>
      <c r="CSB456" s="67"/>
      <c r="CSC456" s="67"/>
      <c r="CSD456" s="67"/>
      <c r="CSE456" s="67"/>
      <c r="CSF456" s="67"/>
      <c r="CSG456" s="67"/>
      <c r="CSH456" s="67"/>
      <c r="CSI456" s="67"/>
      <c r="CSJ456" s="67"/>
      <c r="CSK456" s="67"/>
      <c r="CSL456" s="67"/>
      <c r="CSM456" s="67"/>
      <c r="CSN456" s="67"/>
      <c r="CSO456" s="67"/>
      <c r="CSP456" s="67"/>
      <c r="CSQ456" s="67"/>
      <c r="CSR456" s="67"/>
      <c r="CSS456" s="67"/>
      <c r="CST456" s="67"/>
      <c r="CSU456" s="67"/>
      <c r="CSV456" s="67"/>
      <c r="CSW456" s="67"/>
      <c r="CSX456" s="67"/>
      <c r="CSY456" s="67"/>
      <c r="CSZ456" s="67"/>
      <c r="CTA456" s="67"/>
      <c r="CTB456" s="67"/>
      <c r="CTC456" s="67"/>
      <c r="CTD456" s="67"/>
      <c r="CTE456" s="67"/>
      <c r="CTF456" s="67"/>
      <c r="CTG456" s="67"/>
      <c r="CTH456" s="67"/>
      <c r="CTI456" s="67"/>
      <c r="CTJ456" s="67"/>
      <c r="CTK456" s="67"/>
      <c r="CTL456" s="67"/>
      <c r="CTM456" s="67"/>
      <c r="CTN456" s="67"/>
      <c r="CTO456" s="67"/>
      <c r="CTP456" s="67"/>
      <c r="CTQ456" s="67"/>
      <c r="CTR456" s="67"/>
      <c r="CTS456" s="67"/>
      <c r="CTT456" s="67"/>
      <c r="CTU456" s="67"/>
      <c r="CTV456" s="67"/>
      <c r="CTW456" s="67"/>
      <c r="CTX456" s="67"/>
      <c r="CTY456" s="67"/>
      <c r="CTZ456" s="67"/>
      <c r="CUA456" s="67"/>
      <c r="CUB456" s="67"/>
      <c r="CUC456" s="67"/>
      <c r="CUD456" s="67"/>
      <c r="CUE456" s="67"/>
      <c r="CUF456" s="67"/>
      <c r="CUG456" s="67"/>
      <c r="CUH456" s="67"/>
      <c r="CUI456" s="67"/>
      <c r="CUJ456" s="67"/>
      <c r="CUK456" s="67"/>
      <c r="CUL456" s="67"/>
      <c r="CUM456" s="67"/>
      <c r="CUN456" s="67"/>
      <c r="CUO456" s="67"/>
      <c r="CUP456" s="67"/>
      <c r="CUQ456" s="67"/>
      <c r="CUR456" s="67"/>
      <c r="CUS456" s="67"/>
      <c r="CUT456" s="67"/>
      <c r="CUU456" s="67"/>
      <c r="CUV456" s="67"/>
      <c r="CUW456" s="67"/>
      <c r="CUX456" s="67"/>
      <c r="CUY456" s="67"/>
      <c r="CUZ456" s="67"/>
      <c r="CVA456" s="67"/>
      <c r="CVB456" s="67"/>
      <c r="CVC456" s="67"/>
      <c r="CVD456" s="67"/>
      <c r="CVE456" s="67"/>
      <c r="CVF456" s="67"/>
      <c r="CVG456" s="67"/>
      <c r="CVH456" s="67"/>
      <c r="CVI456" s="67"/>
      <c r="CVJ456" s="67"/>
      <c r="CVK456" s="67"/>
      <c r="CVL456" s="67"/>
      <c r="CVM456" s="67"/>
      <c r="CVN456" s="67"/>
      <c r="CVO456" s="67"/>
      <c r="CVP456" s="67"/>
      <c r="CVQ456" s="67"/>
      <c r="CVR456" s="67"/>
      <c r="CVS456" s="67"/>
      <c r="CVT456" s="67"/>
      <c r="CVU456" s="67"/>
      <c r="CVV456" s="67"/>
      <c r="CVW456" s="67"/>
      <c r="CVX456" s="67"/>
      <c r="CVY456" s="67"/>
      <c r="CVZ456" s="67"/>
      <c r="CWA456" s="67"/>
      <c r="CWB456" s="67"/>
      <c r="CWC456" s="67"/>
      <c r="CWD456" s="67"/>
      <c r="CWE456" s="67"/>
      <c r="CWF456" s="67"/>
      <c r="CWG456" s="67"/>
      <c r="CWH456" s="67"/>
      <c r="CWI456" s="67"/>
      <c r="CWJ456" s="67"/>
      <c r="CWK456" s="67"/>
      <c r="CWL456" s="67"/>
      <c r="CWM456" s="67"/>
      <c r="CWN456" s="67"/>
      <c r="CWO456" s="67"/>
      <c r="CWP456" s="67"/>
      <c r="CWQ456" s="67"/>
      <c r="CWR456" s="67"/>
      <c r="CWS456" s="67"/>
      <c r="CWT456" s="67"/>
      <c r="CWU456" s="67"/>
      <c r="CWV456" s="67"/>
      <c r="CWW456" s="67"/>
      <c r="CWX456" s="67"/>
      <c r="CWY456" s="67"/>
      <c r="CWZ456" s="67"/>
      <c r="CXA456" s="67"/>
      <c r="CXB456" s="67"/>
      <c r="CXC456" s="67"/>
      <c r="CXD456" s="67"/>
      <c r="CXE456" s="67"/>
      <c r="CXF456" s="67"/>
      <c r="CXG456" s="67"/>
      <c r="CXH456" s="67"/>
      <c r="CXI456" s="67"/>
      <c r="CXJ456" s="67"/>
      <c r="CXK456" s="67"/>
      <c r="CXL456" s="67"/>
      <c r="CXM456" s="67"/>
      <c r="CXN456" s="67"/>
      <c r="CXO456" s="67"/>
      <c r="CXP456" s="67"/>
      <c r="CXQ456" s="67"/>
      <c r="CXR456" s="67"/>
      <c r="CXS456" s="67"/>
      <c r="CXT456" s="67"/>
      <c r="CXU456" s="67"/>
      <c r="CXV456" s="67"/>
      <c r="CXW456" s="67"/>
      <c r="CXX456" s="67"/>
      <c r="CXY456" s="67"/>
      <c r="CXZ456" s="67"/>
      <c r="CYA456" s="67"/>
      <c r="CYB456" s="67"/>
      <c r="CYC456" s="67"/>
      <c r="CYD456" s="67"/>
      <c r="CYE456" s="67"/>
      <c r="CYF456" s="67"/>
      <c r="CYG456" s="67"/>
      <c r="CYH456" s="67"/>
      <c r="CYI456" s="67"/>
      <c r="CYJ456" s="67"/>
      <c r="CYK456" s="67"/>
      <c r="CYL456" s="67"/>
      <c r="CYM456" s="67"/>
      <c r="CYN456" s="67"/>
      <c r="CYO456" s="67"/>
      <c r="CYP456" s="67"/>
      <c r="CYQ456" s="67"/>
      <c r="CYR456" s="67"/>
      <c r="CYS456" s="67"/>
      <c r="CYT456" s="67"/>
      <c r="CYU456" s="67"/>
      <c r="CYV456" s="67"/>
      <c r="CYW456" s="67"/>
      <c r="CYX456" s="67"/>
      <c r="CYY456" s="67"/>
      <c r="CYZ456" s="67"/>
      <c r="CZA456" s="67"/>
      <c r="CZB456" s="67"/>
      <c r="CZC456" s="67"/>
      <c r="CZD456" s="67"/>
      <c r="CZE456" s="67"/>
      <c r="CZF456" s="67"/>
      <c r="CZG456" s="67"/>
      <c r="CZH456" s="67"/>
      <c r="CZI456" s="67"/>
      <c r="CZJ456" s="67"/>
      <c r="CZK456" s="67"/>
      <c r="CZL456" s="67"/>
      <c r="CZM456" s="67"/>
      <c r="CZN456" s="67"/>
      <c r="CZO456" s="67"/>
      <c r="CZP456" s="67"/>
      <c r="CZQ456" s="67"/>
      <c r="CZR456" s="67"/>
      <c r="CZS456" s="67"/>
      <c r="CZT456" s="67"/>
      <c r="CZU456" s="67"/>
      <c r="CZV456" s="67"/>
      <c r="CZW456" s="67"/>
      <c r="CZX456" s="67"/>
      <c r="CZY456" s="67"/>
      <c r="CZZ456" s="67"/>
      <c r="DAA456" s="67"/>
      <c r="DAB456" s="67"/>
      <c r="DAC456" s="67"/>
      <c r="DAD456" s="67"/>
      <c r="DAE456" s="67"/>
      <c r="DAF456" s="67"/>
      <c r="DAG456" s="67"/>
      <c r="DAH456" s="67"/>
      <c r="DAI456" s="67"/>
      <c r="DAJ456" s="67"/>
      <c r="DAK456" s="67"/>
      <c r="DAL456" s="67"/>
      <c r="DAM456" s="67"/>
      <c r="DAN456" s="67"/>
      <c r="DAO456" s="67"/>
      <c r="DAP456" s="67"/>
      <c r="DAQ456" s="67"/>
      <c r="DAR456" s="67"/>
      <c r="DAS456" s="67"/>
      <c r="DAT456" s="67"/>
      <c r="DAU456" s="67"/>
      <c r="DAV456" s="67"/>
      <c r="DAW456" s="67"/>
      <c r="DAX456" s="67"/>
      <c r="DAY456" s="67"/>
      <c r="DAZ456" s="67"/>
      <c r="DBA456" s="67"/>
      <c r="DBB456" s="67"/>
      <c r="DBC456" s="67"/>
      <c r="DBD456" s="67"/>
      <c r="DBE456" s="67"/>
      <c r="DBF456" s="67"/>
      <c r="DBG456" s="67"/>
      <c r="DBH456" s="67"/>
      <c r="DBI456" s="67"/>
      <c r="DBJ456" s="67"/>
      <c r="DBK456" s="67"/>
      <c r="DBL456" s="67"/>
      <c r="DBM456" s="67"/>
      <c r="DBN456" s="67"/>
      <c r="DBO456" s="67"/>
      <c r="DBP456" s="67"/>
      <c r="DBQ456" s="67"/>
      <c r="DBR456" s="67"/>
      <c r="DBS456" s="67"/>
      <c r="DBT456" s="67"/>
      <c r="DBU456" s="67"/>
      <c r="DBV456" s="67"/>
      <c r="DBW456" s="67"/>
      <c r="DBX456" s="67"/>
      <c r="DBY456" s="67"/>
      <c r="DBZ456" s="67"/>
      <c r="DCA456" s="67"/>
      <c r="DCB456" s="67"/>
      <c r="DCC456" s="67"/>
      <c r="DCD456" s="67"/>
      <c r="DCE456" s="67"/>
      <c r="DCF456" s="67"/>
      <c r="DCG456" s="67"/>
      <c r="DCH456" s="67"/>
      <c r="DCI456" s="67"/>
      <c r="DCJ456" s="67"/>
      <c r="DCK456" s="67"/>
      <c r="DCL456" s="67"/>
      <c r="DCM456" s="67"/>
      <c r="DCN456" s="67"/>
      <c r="DCO456" s="67"/>
      <c r="DCP456" s="67"/>
      <c r="DCQ456" s="67"/>
      <c r="DCR456" s="67"/>
      <c r="DCS456" s="67"/>
      <c r="DCT456" s="67"/>
      <c r="DCU456" s="67"/>
      <c r="DCV456" s="67"/>
      <c r="DCW456" s="67"/>
      <c r="DCX456" s="67"/>
      <c r="DCY456" s="67"/>
      <c r="DCZ456" s="67"/>
      <c r="DDA456" s="67"/>
      <c r="DDB456" s="67"/>
      <c r="DDC456" s="67"/>
      <c r="DDD456" s="67"/>
      <c r="DDE456" s="67"/>
      <c r="DDF456" s="67"/>
      <c r="DDG456" s="67"/>
      <c r="DDH456" s="67"/>
      <c r="DDI456" s="67"/>
      <c r="DDJ456" s="67"/>
      <c r="DDK456" s="67"/>
      <c r="DDL456" s="67"/>
      <c r="DDM456" s="67"/>
      <c r="DDN456" s="67"/>
      <c r="DDO456" s="67"/>
      <c r="DDP456" s="67"/>
      <c r="DDQ456" s="67"/>
      <c r="DDR456" s="67"/>
      <c r="DDS456" s="67"/>
      <c r="DDT456" s="67"/>
      <c r="DDU456" s="67"/>
      <c r="DDV456" s="67"/>
      <c r="DDW456" s="67"/>
      <c r="DDX456" s="67"/>
      <c r="DDY456" s="67"/>
      <c r="DDZ456" s="67"/>
      <c r="DEA456" s="67"/>
      <c r="DEB456" s="67"/>
      <c r="DEC456" s="67"/>
      <c r="DED456" s="67"/>
      <c r="DEE456" s="67"/>
      <c r="DEF456" s="67"/>
      <c r="DEG456" s="67"/>
      <c r="DEH456" s="67"/>
      <c r="DEI456" s="67"/>
      <c r="DEJ456" s="67"/>
      <c r="DEK456" s="67"/>
      <c r="DEL456" s="67"/>
      <c r="DEM456" s="67"/>
      <c r="DEN456" s="67"/>
      <c r="DEO456" s="67"/>
      <c r="DEP456" s="67"/>
      <c r="DEQ456" s="67"/>
      <c r="DER456" s="67"/>
      <c r="DES456" s="67"/>
      <c r="DET456" s="67"/>
      <c r="DEU456" s="67"/>
      <c r="DEV456" s="67"/>
      <c r="DEW456" s="67"/>
      <c r="DEX456" s="67"/>
      <c r="DEY456" s="67"/>
      <c r="DEZ456" s="67"/>
      <c r="DFA456" s="67"/>
      <c r="DFB456" s="67"/>
      <c r="DFC456" s="67"/>
      <c r="DFD456" s="67"/>
      <c r="DFE456" s="67"/>
      <c r="DFF456" s="67"/>
      <c r="DFG456" s="67"/>
      <c r="DFH456" s="67"/>
      <c r="DFI456" s="67"/>
      <c r="DFJ456" s="67"/>
      <c r="DFK456" s="67"/>
      <c r="DFL456" s="67"/>
      <c r="DFM456" s="67"/>
      <c r="DFN456" s="67"/>
      <c r="DFO456" s="67"/>
      <c r="DFP456" s="67"/>
      <c r="DFQ456" s="67"/>
      <c r="DFR456" s="67"/>
      <c r="DFS456" s="67"/>
      <c r="DFT456" s="67"/>
      <c r="DFU456" s="67"/>
      <c r="DFV456" s="67"/>
      <c r="DFW456" s="67"/>
      <c r="DFX456" s="67"/>
      <c r="DFY456" s="67"/>
      <c r="DFZ456" s="67"/>
      <c r="DGA456" s="67"/>
      <c r="DGB456" s="67"/>
      <c r="DGC456" s="67"/>
      <c r="DGD456" s="67"/>
      <c r="DGE456" s="67"/>
      <c r="DGF456" s="67"/>
      <c r="DGG456" s="67"/>
      <c r="DGH456" s="67"/>
      <c r="DGI456" s="67"/>
      <c r="DGJ456" s="67"/>
      <c r="DGK456" s="67"/>
      <c r="DGL456" s="67"/>
      <c r="DGM456" s="67"/>
      <c r="DGN456" s="67"/>
      <c r="DGO456" s="67"/>
      <c r="DGP456" s="67"/>
      <c r="DGQ456" s="67"/>
      <c r="DGR456" s="67"/>
      <c r="DGS456" s="67"/>
      <c r="DGT456" s="67"/>
      <c r="DGU456" s="67"/>
      <c r="DGV456" s="67"/>
      <c r="DGW456" s="67"/>
      <c r="DGX456" s="67"/>
      <c r="DGY456" s="67"/>
      <c r="DGZ456" s="67"/>
      <c r="DHA456" s="67"/>
      <c r="DHB456" s="67"/>
      <c r="DHC456" s="67"/>
      <c r="DHD456" s="67"/>
      <c r="DHE456" s="67"/>
      <c r="DHF456" s="67"/>
      <c r="DHG456" s="67"/>
      <c r="DHH456" s="67"/>
      <c r="DHI456" s="67"/>
      <c r="DHJ456" s="67"/>
      <c r="DHK456" s="67"/>
      <c r="DHL456" s="67"/>
      <c r="DHM456" s="67"/>
      <c r="DHN456" s="67"/>
      <c r="DHO456" s="67"/>
      <c r="DHP456" s="67"/>
      <c r="DHQ456" s="67"/>
      <c r="DHR456" s="67"/>
      <c r="DHS456" s="67"/>
      <c r="DHT456" s="67"/>
      <c r="DHU456" s="67"/>
      <c r="DHV456" s="67"/>
      <c r="DHW456" s="67"/>
      <c r="DHX456" s="67"/>
      <c r="DHY456" s="67"/>
      <c r="DHZ456" s="67"/>
      <c r="DIA456" s="67"/>
      <c r="DIB456" s="67"/>
      <c r="DIC456" s="67"/>
      <c r="DID456" s="67"/>
      <c r="DIE456" s="67"/>
      <c r="DIF456" s="67"/>
      <c r="DIG456" s="67"/>
      <c r="DIH456" s="67"/>
      <c r="DII456" s="67"/>
      <c r="DIJ456" s="67"/>
      <c r="DIK456" s="67"/>
      <c r="DIL456" s="67"/>
      <c r="DIM456" s="67"/>
      <c r="DIN456" s="67"/>
      <c r="DIO456" s="67"/>
      <c r="DIP456" s="67"/>
      <c r="DIQ456" s="67"/>
      <c r="DIR456" s="67"/>
      <c r="DIS456" s="67"/>
      <c r="DIT456" s="67"/>
      <c r="DIU456" s="67"/>
      <c r="DIV456" s="67"/>
      <c r="DIW456" s="67"/>
      <c r="DIX456" s="67"/>
      <c r="DIY456" s="67"/>
      <c r="DIZ456" s="67"/>
      <c r="DJA456" s="67"/>
      <c r="DJB456" s="67"/>
      <c r="DJC456" s="67"/>
      <c r="DJD456" s="67"/>
      <c r="DJE456" s="67"/>
      <c r="DJF456" s="67"/>
      <c r="DJG456" s="67"/>
      <c r="DJH456" s="67"/>
      <c r="DJI456" s="67"/>
      <c r="DJJ456" s="67"/>
      <c r="DJK456" s="67"/>
      <c r="DJL456" s="67"/>
      <c r="DJM456" s="67"/>
      <c r="DJN456" s="67"/>
      <c r="DJO456" s="67"/>
      <c r="DJP456" s="67"/>
      <c r="DJQ456" s="67"/>
      <c r="DJR456" s="67"/>
      <c r="DJS456" s="67"/>
      <c r="DJT456" s="67"/>
      <c r="DJU456" s="67"/>
      <c r="DJV456" s="67"/>
      <c r="DJW456" s="67"/>
      <c r="DJX456" s="67"/>
      <c r="DJY456" s="67"/>
      <c r="DJZ456" s="67"/>
      <c r="DKA456" s="67"/>
      <c r="DKB456" s="67"/>
      <c r="DKC456" s="67"/>
      <c r="DKD456" s="67"/>
      <c r="DKE456" s="67"/>
      <c r="DKF456" s="67"/>
      <c r="DKG456" s="67"/>
      <c r="DKH456" s="67"/>
      <c r="DKI456" s="67"/>
      <c r="DKJ456" s="67"/>
      <c r="DKK456" s="67"/>
      <c r="DKL456" s="67"/>
      <c r="DKM456" s="67"/>
      <c r="DKN456" s="67"/>
      <c r="DKO456" s="67"/>
      <c r="DKP456" s="67"/>
      <c r="DKQ456" s="67"/>
      <c r="DKR456" s="67"/>
      <c r="DKS456" s="67"/>
      <c r="DKT456" s="67"/>
      <c r="DKU456" s="67"/>
      <c r="DKV456" s="67"/>
      <c r="DKW456" s="67"/>
      <c r="DKX456" s="67"/>
      <c r="DKY456" s="67"/>
      <c r="DKZ456" s="67"/>
      <c r="DLA456" s="67"/>
      <c r="DLB456" s="67"/>
      <c r="DLC456" s="67"/>
      <c r="DLD456" s="67"/>
      <c r="DLE456" s="67"/>
      <c r="DLF456" s="67"/>
      <c r="DLG456" s="67"/>
      <c r="DLH456" s="67"/>
      <c r="DLI456" s="67"/>
      <c r="DLJ456" s="67"/>
      <c r="DLK456" s="67"/>
      <c r="DLL456" s="67"/>
      <c r="DLM456" s="67"/>
      <c r="DLN456" s="67"/>
      <c r="DLO456" s="67"/>
      <c r="DLP456" s="67"/>
      <c r="DLQ456" s="67"/>
      <c r="DLR456" s="67"/>
      <c r="DLS456" s="67"/>
      <c r="DLT456" s="67"/>
      <c r="DLU456" s="67"/>
      <c r="DLV456" s="67"/>
      <c r="DLW456" s="67"/>
      <c r="DLX456" s="67"/>
      <c r="DLY456" s="67"/>
      <c r="DLZ456" s="67"/>
      <c r="DMA456" s="67"/>
      <c r="DMB456" s="67"/>
      <c r="DMC456" s="67"/>
      <c r="DMD456" s="67"/>
      <c r="DME456" s="67"/>
      <c r="DMF456" s="67"/>
      <c r="DMG456" s="67"/>
      <c r="DMH456" s="67"/>
      <c r="DMI456" s="67"/>
      <c r="DMJ456" s="67"/>
      <c r="DMK456" s="67"/>
      <c r="DML456" s="67"/>
      <c r="DMM456" s="67"/>
      <c r="DMN456" s="67"/>
      <c r="DMO456" s="67"/>
      <c r="DMP456" s="67"/>
      <c r="DMQ456" s="67"/>
      <c r="DMR456" s="67"/>
      <c r="DMS456" s="67"/>
      <c r="DMT456" s="67"/>
      <c r="DMU456" s="67"/>
      <c r="DMV456" s="67"/>
      <c r="DMW456" s="67"/>
      <c r="DMX456" s="67"/>
      <c r="DMY456" s="67"/>
      <c r="DMZ456" s="67"/>
      <c r="DNA456" s="67"/>
      <c r="DNB456" s="67"/>
      <c r="DNC456" s="67"/>
      <c r="DND456" s="67"/>
      <c r="DNE456" s="67"/>
      <c r="DNF456" s="67"/>
      <c r="DNG456" s="67"/>
      <c r="DNH456" s="67"/>
      <c r="DNI456" s="67"/>
      <c r="DNJ456" s="67"/>
      <c r="DNK456" s="67"/>
      <c r="DNL456" s="67"/>
      <c r="DNM456" s="67"/>
      <c r="DNN456" s="67"/>
      <c r="DNO456" s="67"/>
      <c r="DNP456" s="67"/>
      <c r="DNQ456" s="67"/>
      <c r="DNR456" s="67"/>
      <c r="DNS456" s="67"/>
      <c r="DNT456" s="67"/>
      <c r="DNU456" s="67"/>
      <c r="DNV456" s="67"/>
      <c r="DNW456" s="67"/>
      <c r="DNX456" s="67"/>
      <c r="DNY456" s="67"/>
      <c r="DNZ456" s="67"/>
      <c r="DOA456" s="67"/>
      <c r="DOB456" s="67"/>
      <c r="DOC456" s="67"/>
      <c r="DOD456" s="67"/>
      <c r="DOE456" s="67"/>
      <c r="DOF456" s="67"/>
      <c r="DOG456" s="67"/>
      <c r="DOH456" s="67"/>
      <c r="DOI456" s="67"/>
      <c r="DOJ456" s="67"/>
      <c r="DOK456" s="67"/>
      <c r="DOL456" s="67"/>
      <c r="DOM456" s="67"/>
      <c r="DON456" s="67"/>
      <c r="DOO456" s="67"/>
      <c r="DOP456" s="67"/>
      <c r="DOQ456" s="67"/>
      <c r="DOR456" s="67"/>
      <c r="DOS456" s="67"/>
      <c r="DOT456" s="67"/>
      <c r="DOU456" s="67"/>
      <c r="DOV456" s="67"/>
      <c r="DOW456" s="67"/>
      <c r="DOX456" s="67"/>
      <c r="DOY456" s="67"/>
      <c r="DOZ456" s="67"/>
      <c r="DPA456" s="67"/>
      <c r="DPB456" s="67"/>
      <c r="DPC456" s="67"/>
      <c r="DPD456" s="67"/>
      <c r="DPE456" s="67"/>
      <c r="DPF456" s="67"/>
      <c r="DPG456" s="67"/>
      <c r="DPH456" s="67"/>
      <c r="DPI456" s="67"/>
      <c r="DPJ456" s="67"/>
      <c r="DPK456" s="67"/>
      <c r="DPL456" s="67"/>
      <c r="DPM456" s="67"/>
      <c r="DPN456" s="67"/>
      <c r="DPO456" s="67"/>
      <c r="DPP456" s="67"/>
      <c r="DPQ456" s="67"/>
      <c r="DPR456" s="67"/>
      <c r="DPS456" s="67"/>
      <c r="DPT456" s="67"/>
      <c r="DPU456" s="67"/>
      <c r="DPV456" s="67"/>
      <c r="DPW456" s="67"/>
      <c r="DPX456" s="67"/>
      <c r="DPY456" s="67"/>
      <c r="DPZ456" s="67"/>
      <c r="DQA456" s="67"/>
      <c r="DQB456" s="67"/>
      <c r="DQC456" s="67"/>
      <c r="DQD456" s="67"/>
      <c r="DQE456" s="67"/>
      <c r="DQF456" s="67"/>
      <c r="DQG456" s="67"/>
      <c r="DQH456" s="67"/>
      <c r="DQI456" s="67"/>
      <c r="DQJ456" s="67"/>
      <c r="DQK456" s="67"/>
      <c r="DQL456" s="67"/>
      <c r="DQM456" s="67"/>
      <c r="DQN456" s="67"/>
      <c r="DQO456" s="67"/>
      <c r="DQP456" s="67"/>
      <c r="DQQ456" s="67"/>
      <c r="DQR456" s="67"/>
      <c r="DQS456" s="67"/>
      <c r="DQT456" s="67"/>
      <c r="DQU456" s="67"/>
      <c r="DQV456" s="67"/>
      <c r="DQW456" s="67"/>
      <c r="DQX456" s="67"/>
      <c r="DQY456" s="67"/>
      <c r="DQZ456" s="67"/>
      <c r="DRA456" s="67"/>
      <c r="DRB456" s="67"/>
      <c r="DRC456" s="67"/>
      <c r="DRD456" s="67"/>
      <c r="DRE456" s="67"/>
      <c r="DRF456" s="67"/>
      <c r="DRG456" s="67"/>
      <c r="DRH456" s="67"/>
      <c r="DRI456" s="67"/>
      <c r="DRJ456" s="67"/>
      <c r="DRK456" s="67"/>
      <c r="DRL456" s="67"/>
      <c r="DRM456" s="67"/>
      <c r="DRN456" s="67"/>
      <c r="DRO456" s="67"/>
      <c r="DRP456" s="67"/>
      <c r="DRQ456" s="67"/>
      <c r="DRR456" s="67"/>
      <c r="DRS456" s="67"/>
      <c r="DRT456" s="67"/>
      <c r="DRU456" s="67"/>
      <c r="DRV456" s="67"/>
      <c r="DRW456" s="67"/>
      <c r="DRX456" s="67"/>
      <c r="DRY456" s="67"/>
      <c r="DRZ456" s="67"/>
      <c r="DSA456" s="67"/>
      <c r="DSB456" s="67"/>
      <c r="DSC456" s="67"/>
      <c r="DSD456" s="67"/>
      <c r="DSE456" s="67"/>
      <c r="DSF456" s="67"/>
      <c r="DSG456" s="67"/>
      <c r="DSH456" s="67"/>
      <c r="DSI456" s="67"/>
      <c r="DSJ456" s="67"/>
      <c r="DSK456" s="67"/>
      <c r="DSL456" s="67"/>
      <c r="DSM456" s="67"/>
      <c r="DSN456" s="67"/>
      <c r="DSO456" s="67"/>
      <c r="DSP456" s="67"/>
      <c r="DSQ456" s="67"/>
      <c r="DSR456" s="67"/>
      <c r="DSS456" s="67"/>
      <c r="DST456" s="67"/>
      <c r="DSU456" s="67"/>
      <c r="DSV456" s="67"/>
      <c r="DSW456" s="67"/>
      <c r="DSX456" s="67"/>
      <c r="DSY456" s="67"/>
      <c r="DSZ456" s="67"/>
      <c r="DTA456" s="67"/>
      <c r="DTB456" s="67"/>
      <c r="DTC456" s="67"/>
      <c r="DTD456" s="67"/>
      <c r="DTE456" s="67"/>
      <c r="DTF456" s="67"/>
      <c r="DTG456" s="67"/>
      <c r="DTH456" s="67"/>
      <c r="DTI456" s="67"/>
      <c r="DTJ456" s="67"/>
      <c r="DTK456" s="67"/>
      <c r="DTL456" s="67"/>
      <c r="DTM456" s="67"/>
      <c r="DTN456" s="67"/>
      <c r="DTO456" s="67"/>
      <c r="DTP456" s="67"/>
      <c r="DTQ456" s="67"/>
      <c r="DTR456" s="67"/>
      <c r="DTS456" s="67"/>
      <c r="DTT456" s="67"/>
      <c r="DTU456" s="67"/>
      <c r="DTV456" s="67"/>
      <c r="DTW456" s="67"/>
      <c r="DTX456" s="67"/>
      <c r="DTY456" s="67"/>
      <c r="DTZ456" s="67"/>
      <c r="DUA456" s="67"/>
      <c r="DUB456" s="67"/>
      <c r="DUC456" s="67"/>
      <c r="DUD456" s="67"/>
      <c r="DUE456" s="67"/>
      <c r="DUF456" s="67"/>
      <c r="DUG456" s="67"/>
      <c r="DUH456" s="67"/>
      <c r="DUI456" s="67"/>
      <c r="DUJ456" s="67"/>
      <c r="DUK456" s="67"/>
      <c r="DUL456" s="67"/>
      <c r="DUM456" s="67"/>
      <c r="DUN456" s="67"/>
      <c r="DUO456" s="67"/>
      <c r="DUP456" s="67"/>
      <c r="DUQ456" s="67"/>
      <c r="DUR456" s="67"/>
      <c r="DUS456" s="67"/>
      <c r="DUT456" s="67"/>
      <c r="DUU456" s="67"/>
      <c r="DUV456" s="67"/>
      <c r="DUW456" s="67"/>
      <c r="DUX456" s="67"/>
      <c r="DUY456" s="67"/>
      <c r="DUZ456" s="67"/>
      <c r="DVA456" s="67"/>
      <c r="DVB456" s="67"/>
      <c r="DVC456" s="67"/>
      <c r="DVD456" s="67"/>
      <c r="DVE456" s="67"/>
      <c r="DVF456" s="67"/>
      <c r="DVG456" s="67"/>
      <c r="DVH456" s="67"/>
      <c r="DVI456" s="67"/>
      <c r="DVJ456" s="67"/>
      <c r="DVK456" s="67"/>
      <c r="DVL456" s="67"/>
      <c r="DVM456" s="67"/>
      <c r="DVN456" s="67"/>
      <c r="DVO456" s="67"/>
      <c r="DVP456" s="67"/>
      <c r="DVQ456" s="67"/>
      <c r="DVR456" s="67"/>
      <c r="DVS456" s="67"/>
      <c r="DVT456" s="67"/>
      <c r="DVU456" s="67"/>
      <c r="DVV456" s="67"/>
      <c r="DVW456" s="67"/>
      <c r="DVX456" s="67"/>
      <c r="DVY456" s="67"/>
      <c r="DVZ456" s="67"/>
      <c r="DWA456" s="67"/>
      <c r="DWB456" s="67"/>
      <c r="DWC456" s="67"/>
      <c r="DWD456" s="67"/>
      <c r="DWE456" s="67"/>
      <c r="DWF456" s="67"/>
      <c r="DWG456" s="67"/>
      <c r="DWH456" s="67"/>
      <c r="DWI456" s="67"/>
      <c r="DWJ456" s="67"/>
      <c r="DWK456" s="67"/>
      <c r="DWL456" s="67"/>
      <c r="DWM456" s="67"/>
      <c r="DWN456" s="67"/>
      <c r="DWO456" s="67"/>
      <c r="DWP456" s="67"/>
      <c r="DWQ456" s="67"/>
      <c r="DWR456" s="67"/>
      <c r="DWS456" s="67"/>
      <c r="DWT456" s="67"/>
      <c r="DWU456" s="67"/>
      <c r="DWV456" s="67"/>
      <c r="DWW456" s="67"/>
      <c r="DWX456" s="67"/>
      <c r="DWY456" s="67"/>
      <c r="DWZ456" s="67"/>
      <c r="DXA456" s="67"/>
      <c r="DXB456" s="67"/>
      <c r="DXC456" s="67"/>
      <c r="DXD456" s="67"/>
      <c r="DXE456" s="67"/>
      <c r="DXF456" s="67"/>
      <c r="DXG456" s="67"/>
      <c r="DXH456" s="67"/>
      <c r="DXI456" s="67"/>
      <c r="DXJ456" s="67"/>
      <c r="DXK456" s="67"/>
      <c r="DXL456" s="67"/>
      <c r="DXM456" s="67"/>
      <c r="DXN456" s="67"/>
      <c r="DXO456" s="67"/>
      <c r="DXP456" s="67"/>
      <c r="DXQ456" s="67"/>
      <c r="DXR456" s="67"/>
      <c r="DXS456" s="67"/>
      <c r="DXT456" s="67"/>
      <c r="DXU456" s="67"/>
      <c r="DXV456" s="67"/>
      <c r="DXW456" s="67"/>
      <c r="DXX456" s="67"/>
      <c r="DXY456" s="67"/>
      <c r="DXZ456" s="67"/>
      <c r="DYA456" s="67"/>
      <c r="DYB456" s="67"/>
      <c r="DYC456" s="67"/>
      <c r="DYD456" s="67"/>
      <c r="DYE456" s="67"/>
      <c r="DYF456" s="67"/>
      <c r="DYG456" s="67"/>
      <c r="DYH456" s="67"/>
      <c r="DYI456" s="67"/>
      <c r="DYJ456" s="67"/>
      <c r="DYK456" s="67"/>
      <c r="DYL456" s="67"/>
      <c r="DYM456" s="67"/>
      <c r="DYN456" s="67"/>
      <c r="DYO456" s="67"/>
      <c r="DYP456" s="67"/>
      <c r="DYQ456" s="67"/>
      <c r="DYR456" s="67"/>
      <c r="DYS456" s="67"/>
      <c r="DYT456" s="67"/>
      <c r="DYU456" s="67"/>
      <c r="DYV456" s="67"/>
      <c r="DYW456" s="67"/>
      <c r="DYX456" s="67"/>
      <c r="DYY456" s="67"/>
      <c r="DYZ456" s="67"/>
      <c r="DZA456" s="67"/>
      <c r="DZB456" s="67"/>
      <c r="DZC456" s="67"/>
      <c r="DZD456" s="67"/>
      <c r="DZE456" s="67"/>
      <c r="DZF456" s="67"/>
      <c r="DZG456" s="67"/>
      <c r="DZH456" s="67"/>
      <c r="DZI456" s="67"/>
      <c r="DZJ456" s="67"/>
      <c r="DZK456" s="67"/>
      <c r="DZL456" s="67"/>
      <c r="DZM456" s="67"/>
      <c r="DZN456" s="67"/>
      <c r="DZO456" s="67"/>
      <c r="DZP456" s="67"/>
      <c r="DZQ456" s="67"/>
      <c r="DZR456" s="67"/>
      <c r="DZS456" s="67"/>
      <c r="DZT456" s="67"/>
      <c r="DZU456" s="67"/>
      <c r="DZV456" s="67"/>
      <c r="DZW456" s="67"/>
      <c r="DZX456" s="67"/>
      <c r="DZY456" s="67"/>
      <c r="DZZ456" s="67"/>
      <c r="EAA456" s="67"/>
      <c r="EAB456" s="67"/>
      <c r="EAC456" s="67"/>
      <c r="EAD456" s="67"/>
      <c r="EAE456" s="67"/>
      <c r="EAF456" s="67"/>
      <c r="EAG456" s="67"/>
      <c r="EAH456" s="67"/>
      <c r="EAI456" s="67"/>
      <c r="EAJ456" s="67"/>
      <c r="EAK456" s="67"/>
      <c r="EAL456" s="67"/>
      <c r="EAM456" s="67"/>
      <c r="EAN456" s="67"/>
      <c r="EAO456" s="67"/>
      <c r="EAP456" s="67"/>
      <c r="EAQ456" s="67"/>
      <c r="EAR456" s="67"/>
      <c r="EAS456" s="67"/>
      <c r="EAT456" s="67"/>
      <c r="EAU456" s="67"/>
      <c r="EAV456" s="67"/>
      <c r="EAW456" s="67"/>
      <c r="EAX456" s="67"/>
      <c r="EAY456" s="67"/>
      <c r="EAZ456" s="67"/>
      <c r="EBA456" s="67"/>
      <c r="EBB456" s="67"/>
      <c r="EBC456" s="67"/>
      <c r="EBD456" s="67"/>
      <c r="EBE456" s="67"/>
      <c r="EBF456" s="67"/>
      <c r="EBG456" s="67"/>
      <c r="EBH456" s="67"/>
      <c r="EBI456" s="67"/>
      <c r="EBJ456" s="67"/>
      <c r="EBK456" s="67"/>
      <c r="EBL456" s="67"/>
      <c r="EBM456" s="67"/>
      <c r="EBN456" s="67"/>
      <c r="EBO456" s="67"/>
      <c r="EBP456" s="67"/>
      <c r="EBQ456" s="67"/>
      <c r="EBR456" s="67"/>
      <c r="EBS456" s="67"/>
      <c r="EBT456" s="67"/>
      <c r="EBU456" s="67"/>
      <c r="EBV456" s="67"/>
      <c r="EBW456" s="67"/>
      <c r="EBX456" s="67"/>
      <c r="EBY456" s="67"/>
      <c r="EBZ456" s="67"/>
      <c r="ECA456" s="67"/>
      <c r="ECB456" s="67"/>
      <c r="ECC456" s="67"/>
      <c r="ECD456" s="67"/>
      <c r="ECE456" s="67"/>
      <c r="ECF456" s="67"/>
      <c r="ECG456" s="67"/>
      <c r="ECH456" s="67"/>
      <c r="ECI456" s="67"/>
      <c r="ECJ456" s="67"/>
      <c r="ECK456" s="67"/>
      <c r="ECL456" s="67"/>
      <c r="ECM456" s="67"/>
      <c r="ECN456" s="67"/>
      <c r="ECO456" s="67"/>
      <c r="ECP456" s="67"/>
      <c r="ECQ456" s="67"/>
      <c r="ECR456" s="67"/>
      <c r="ECS456" s="67"/>
      <c r="ECT456" s="67"/>
      <c r="ECU456" s="67"/>
      <c r="ECV456" s="67"/>
      <c r="ECW456" s="67"/>
      <c r="ECX456" s="67"/>
      <c r="ECY456" s="67"/>
      <c r="ECZ456" s="67"/>
      <c r="EDA456" s="67"/>
      <c r="EDB456" s="67"/>
      <c r="EDC456" s="67"/>
      <c r="EDD456" s="67"/>
      <c r="EDE456" s="67"/>
      <c r="EDF456" s="67"/>
      <c r="EDG456" s="67"/>
      <c r="EDH456" s="67"/>
      <c r="EDI456" s="67"/>
      <c r="EDJ456" s="67"/>
      <c r="EDK456" s="67"/>
      <c r="EDL456" s="67"/>
      <c r="EDM456" s="67"/>
      <c r="EDN456" s="67"/>
      <c r="EDO456" s="67"/>
      <c r="EDP456" s="67"/>
      <c r="EDQ456" s="67"/>
      <c r="EDR456" s="67"/>
      <c r="EDS456" s="67"/>
      <c r="EDT456" s="67"/>
      <c r="EDU456" s="67"/>
      <c r="EDV456" s="67"/>
      <c r="EDW456" s="67"/>
      <c r="EDX456" s="67"/>
      <c r="EDY456" s="67"/>
      <c r="EDZ456" s="67"/>
      <c r="EEA456" s="67"/>
      <c r="EEB456" s="67"/>
      <c r="EEC456" s="67"/>
      <c r="EED456" s="67"/>
      <c r="EEE456" s="67"/>
      <c r="EEF456" s="67"/>
      <c r="EEG456" s="67"/>
      <c r="EEH456" s="67"/>
      <c r="EEI456" s="67"/>
      <c r="EEJ456" s="67"/>
      <c r="EEK456" s="67"/>
      <c r="EEL456" s="67"/>
      <c r="EEM456" s="67"/>
      <c r="EEN456" s="67"/>
      <c r="EEO456" s="67"/>
      <c r="EEP456" s="67"/>
      <c r="EEQ456" s="67"/>
      <c r="EER456" s="67"/>
      <c r="EES456" s="67"/>
      <c r="EET456" s="67"/>
      <c r="EEU456" s="67"/>
      <c r="EEV456" s="67"/>
      <c r="EEW456" s="67"/>
      <c r="EEX456" s="67"/>
      <c r="EEY456" s="67"/>
      <c r="EEZ456" s="67"/>
      <c r="EFA456" s="67"/>
      <c r="EFB456" s="67"/>
      <c r="EFC456" s="67"/>
      <c r="EFD456" s="67"/>
      <c r="EFE456" s="67"/>
      <c r="EFF456" s="67"/>
      <c r="EFG456" s="67"/>
      <c r="EFH456" s="67"/>
      <c r="EFI456" s="67"/>
      <c r="EFJ456" s="67"/>
      <c r="EFK456" s="67"/>
      <c r="EFL456" s="67"/>
      <c r="EFM456" s="67"/>
      <c r="EFN456" s="67"/>
      <c r="EFO456" s="67"/>
      <c r="EFP456" s="67"/>
      <c r="EFQ456" s="67"/>
      <c r="EFR456" s="67"/>
      <c r="EFS456" s="67"/>
      <c r="EFT456" s="67"/>
      <c r="EFU456" s="67"/>
      <c r="EFV456" s="67"/>
      <c r="EFW456" s="67"/>
      <c r="EFX456" s="67"/>
      <c r="EFY456" s="67"/>
      <c r="EFZ456" s="67"/>
      <c r="EGA456" s="67"/>
      <c r="EGB456" s="67"/>
      <c r="EGC456" s="67"/>
      <c r="EGD456" s="67"/>
      <c r="EGE456" s="67"/>
      <c r="EGF456" s="67"/>
      <c r="EGG456" s="67"/>
      <c r="EGH456" s="67"/>
      <c r="EGI456" s="67"/>
      <c r="EGJ456" s="67"/>
      <c r="EGK456" s="67"/>
      <c r="EGL456" s="67"/>
      <c r="EGM456" s="67"/>
      <c r="EGN456" s="67"/>
      <c r="EGO456" s="67"/>
      <c r="EGP456" s="67"/>
      <c r="EGQ456" s="67"/>
      <c r="EGR456" s="67"/>
      <c r="EGS456" s="67"/>
      <c r="EGT456" s="67"/>
      <c r="EGU456" s="67"/>
      <c r="EGV456" s="67"/>
      <c r="EGW456" s="67"/>
      <c r="EGX456" s="67"/>
      <c r="EGY456" s="67"/>
      <c r="EGZ456" s="67"/>
      <c r="EHA456" s="67"/>
      <c r="EHB456" s="67"/>
      <c r="EHC456" s="67"/>
      <c r="EHD456" s="67"/>
      <c r="EHE456" s="67"/>
      <c r="EHF456" s="67"/>
      <c r="EHG456" s="67"/>
      <c r="EHH456" s="67"/>
      <c r="EHI456" s="67"/>
      <c r="EHJ456" s="67"/>
      <c r="EHK456" s="67"/>
      <c r="EHL456" s="67"/>
      <c r="EHM456" s="67"/>
      <c r="EHN456" s="67"/>
      <c r="EHO456" s="67"/>
      <c r="EHP456" s="67"/>
      <c r="EHQ456" s="67"/>
      <c r="EHR456" s="67"/>
      <c r="EHS456" s="67"/>
      <c r="EHT456" s="67"/>
      <c r="EHU456" s="67"/>
      <c r="EHV456" s="67"/>
      <c r="EHW456" s="67"/>
      <c r="EHX456" s="67"/>
      <c r="EHY456" s="67"/>
      <c r="EHZ456" s="67"/>
      <c r="EIA456" s="67"/>
      <c r="EIB456" s="67"/>
      <c r="EIC456" s="67"/>
      <c r="EID456" s="67"/>
      <c r="EIE456" s="67"/>
      <c r="EIF456" s="67"/>
      <c r="EIG456" s="67"/>
      <c r="EIH456" s="67"/>
      <c r="EII456" s="67"/>
      <c r="EIJ456" s="67"/>
      <c r="EIK456" s="67"/>
      <c r="EIL456" s="67"/>
      <c r="EIM456" s="67"/>
      <c r="EIN456" s="67"/>
      <c r="EIO456" s="67"/>
      <c r="EIP456" s="67"/>
      <c r="EIQ456" s="67"/>
      <c r="EIR456" s="67"/>
      <c r="EIS456" s="67"/>
      <c r="EIT456" s="67"/>
      <c r="EIU456" s="67"/>
      <c r="EIV456" s="67"/>
      <c r="EIW456" s="67"/>
      <c r="EIX456" s="67"/>
      <c r="EIY456" s="67"/>
      <c r="EIZ456" s="67"/>
      <c r="EJA456" s="67"/>
      <c r="EJB456" s="67"/>
      <c r="EJC456" s="67"/>
      <c r="EJD456" s="67"/>
      <c r="EJE456" s="67"/>
      <c r="EJF456" s="67"/>
      <c r="EJG456" s="67"/>
      <c r="EJH456" s="67"/>
      <c r="EJI456" s="67"/>
      <c r="EJJ456" s="67"/>
      <c r="EJK456" s="67"/>
      <c r="EJL456" s="67"/>
      <c r="EJM456" s="67"/>
      <c r="EJN456" s="67"/>
      <c r="EJO456" s="67"/>
      <c r="EJP456" s="67"/>
      <c r="EJQ456" s="67"/>
      <c r="EJR456" s="67"/>
      <c r="EJS456" s="67"/>
      <c r="EJT456" s="67"/>
      <c r="EJU456" s="67"/>
      <c r="EJV456" s="67"/>
      <c r="EJW456" s="67"/>
      <c r="EJX456" s="67"/>
      <c r="EJY456" s="67"/>
      <c r="EJZ456" s="67"/>
      <c r="EKA456" s="67"/>
      <c r="EKB456" s="67"/>
      <c r="EKC456" s="67"/>
      <c r="EKD456" s="67"/>
      <c r="EKE456" s="67"/>
      <c r="EKF456" s="67"/>
      <c r="EKG456" s="67"/>
      <c r="EKH456" s="67"/>
      <c r="EKI456" s="67"/>
      <c r="EKJ456" s="67"/>
      <c r="EKK456" s="67"/>
      <c r="EKL456" s="67"/>
      <c r="EKM456" s="67"/>
      <c r="EKN456" s="67"/>
      <c r="EKO456" s="67"/>
      <c r="EKP456" s="67"/>
      <c r="EKQ456" s="67"/>
      <c r="EKR456" s="67"/>
      <c r="EKS456" s="67"/>
      <c r="EKT456" s="67"/>
      <c r="EKU456" s="67"/>
      <c r="EKV456" s="67"/>
      <c r="EKW456" s="67"/>
      <c r="EKX456" s="67"/>
      <c r="EKY456" s="67"/>
      <c r="EKZ456" s="67"/>
      <c r="ELA456" s="67"/>
      <c r="ELB456" s="67"/>
      <c r="ELC456" s="67"/>
      <c r="ELD456" s="67"/>
      <c r="ELE456" s="67"/>
      <c r="ELF456" s="67"/>
      <c r="ELG456" s="67"/>
      <c r="ELH456" s="67"/>
      <c r="ELI456" s="67"/>
      <c r="ELJ456" s="67"/>
      <c r="ELK456" s="67"/>
      <c r="ELL456" s="67"/>
      <c r="ELM456" s="67"/>
      <c r="ELN456" s="67"/>
      <c r="ELO456" s="67"/>
      <c r="ELP456" s="67"/>
      <c r="ELQ456" s="67"/>
      <c r="ELR456" s="67"/>
      <c r="ELS456" s="67"/>
      <c r="ELT456" s="67"/>
      <c r="ELU456" s="67"/>
      <c r="ELV456" s="67"/>
      <c r="ELW456" s="67"/>
      <c r="ELX456" s="67"/>
      <c r="ELY456" s="67"/>
      <c r="ELZ456" s="67"/>
      <c r="EMA456" s="67"/>
      <c r="EMB456" s="67"/>
      <c r="EMC456" s="67"/>
      <c r="EMD456" s="67"/>
      <c r="EME456" s="67"/>
      <c r="EMF456" s="67"/>
      <c r="EMG456" s="67"/>
      <c r="EMH456" s="67"/>
      <c r="EMI456" s="67"/>
      <c r="EMJ456" s="67"/>
      <c r="EMK456" s="67"/>
      <c r="EML456" s="67"/>
      <c r="EMM456" s="67"/>
      <c r="EMN456" s="67"/>
      <c r="EMO456" s="67"/>
      <c r="EMP456" s="67"/>
      <c r="EMQ456" s="67"/>
      <c r="EMR456" s="67"/>
      <c r="EMS456" s="67"/>
      <c r="EMT456" s="67"/>
      <c r="EMU456" s="67"/>
      <c r="EMV456" s="67"/>
      <c r="EMW456" s="67"/>
      <c r="EMX456" s="67"/>
      <c r="EMY456" s="67"/>
      <c r="EMZ456" s="67"/>
      <c r="ENA456" s="67"/>
      <c r="ENB456" s="67"/>
      <c r="ENC456" s="67"/>
      <c r="END456" s="67"/>
      <c r="ENE456" s="67"/>
      <c r="ENF456" s="67"/>
      <c r="ENG456" s="67"/>
      <c r="ENH456" s="67"/>
      <c r="ENI456" s="67"/>
      <c r="ENJ456" s="67"/>
      <c r="ENK456" s="67"/>
      <c r="ENL456" s="67"/>
      <c r="ENM456" s="67"/>
      <c r="ENN456" s="67"/>
      <c r="ENO456" s="67"/>
      <c r="ENP456" s="67"/>
      <c r="ENQ456" s="67"/>
      <c r="ENR456" s="67"/>
      <c r="ENS456" s="67"/>
      <c r="ENT456" s="67"/>
      <c r="ENU456" s="67"/>
      <c r="ENV456" s="67"/>
      <c r="ENW456" s="67"/>
      <c r="ENX456" s="67"/>
      <c r="ENY456" s="67"/>
      <c r="ENZ456" s="67"/>
      <c r="EOA456" s="67"/>
      <c r="EOB456" s="67"/>
      <c r="EOC456" s="67"/>
      <c r="EOD456" s="67"/>
      <c r="EOE456" s="67"/>
      <c r="EOF456" s="67"/>
      <c r="EOG456" s="67"/>
      <c r="EOH456" s="67"/>
      <c r="EOI456" s="67"/>
      <c r="EOJ456" s="67"/>
      <c r="EOK456" s="67"/>
      <c r="EOL456" s="67"/>
      <c r="EOM456" s="67"/>
      <c r="EON456" s="67"/>
      <c r="EOO456" s="67"/>
      <c r="EOP456" s="67"/>
      <c r="EOQ456" s="67"/>
      <c r="EOR456" s="67"/>
      <c r="EOS456" s="67"/>
      <c r="EOT456" s="67"/>
      <c r="EOU456" s="67"/>
      <c r="EOV456" s="67"/>
      <c r="EOW456" s="67"/>
      <c r="EOX456" s="67"/>
      <c r="EOY456" s="67"/>
      <c r="EOZ456" s="67"/>
      <c r="EPA456" s="67"/>
      <c r="EPB456" s="67"/>
      <c r="EPC456" s="67"/>
      <c r="EPD456" s="67"/>
      <c r="EPE456" s="67"/>
      <c r="EPF456" s="67"/>
      <c r="EPG456" s="67"/>
      <c r="EPH456" s="67"/>
      <c r="EPI456" s="67"/>
      <c r="EPJ456" s="67"/>
      <c r="EPK456" s="67"/>
      <c r="EPL456" s="67"/>
      <c r="EPM456" s="67"/>
      <c r="EPN456" s="67"/>
      <c r="EPO456" s="67"/>
      <c r="EPP456" s="67"/>
      <c r="EPQ456" s="67"/>
      <c r="EPR456" s="67"/>
      <c r="EPS456" s="67"/>
      <c r="EPT456" s="67"/>
      <c r="EPU456" s="67"/>
      <c r="EPV456" s="67"/>
      <c r="EPW456" s="67"/>
      <c r="EPX456" s="67"/>
      <c r="EPY456" s="67"/>
      <c r="EPZ456" s="67"/>
      <c r="EQA456" s="67"/>
      <c r="EQB456" s="67"/>
      <c r="EQC456" s="67"/>
      <c r="EQD456" s="67"/>
      <c r="EQE456" s="67"/>
      <c r="EQF456" s="67"/>
      <c r="EQG456" s="67"/>
      <c r="EQH456" s="67"/>
      <c r="EQI456" s="67"/>
      <c r="EQJ456" s="67"/>
      <c r="EQK456" s="67"/>
      <c r="EQL456" s="67"/>
      <c r="EQM456" s="67"/>
      <c r="EQN456" s="67"/>
      <c r="EQO456" s="67"/>
      <c r="EQP456" s="67"/>
      <c r="EQQ456" s="67"/>
      <c r="EQR456" s="67"/>
      <c r="EQS456" s="67"/>
      <c r="EQT456" s="67"/>
      <c r="EQU456" s="67"/>
      <c r="EQV456" s="67"/>
      <c r="EQW456" s="67"/>
      <c r="EQX456" s="67"/>
      <c r="EQY456" s="67"/>
      <c r="EQZ456" s="67"/>
      <c r="ERA456" s="67"/>
      <c r="ERB456" s="67"/>
      <c r="ERC456" s="67"/>
      <c r="ERD456" s="67"/>
      <c r="ERE456" s="67"/>
      <c r="ERF456" s="67"/>
      <c r="ERG456" s="67"/>
      <c r="ERH456" s="67"/>
      <c r="ERI456" s="67"/>
      <c r="ERJ456" s="67"/>
      <c r="ERK456" s="67"/>
      <c r="ERL456" s="67"/>
      <c r="ERM456" s="67"/>
      <c r="ERN456" s="67"/>
      <c r="ERO456" s="67"/>
      <c r="ERP456" s="67"/>
      <c r="ERQ456" s="67"/>
      <c r="ERR456" s="67"/>
      <c r="ERS456" s="67"/>
      <c r="ERT456" s="67"/>
      <c r="ERU456" s="67"/>
      <c r="ERV456" s="67"/>
      <c r="ERW456" s="67"/>
      <c r="ERX456" s="67"/>
      <c r="ERY456" s="67"/>
      <c r="ERZ456" s="67"/>
      <c r="ESA456" s="67"/>
      <c r="ESB456" s="67"/>
      <c r="ESC456" s="67"/>
      <c r="ESD456" s="67"/>
      <c r="ESE456" s="67"/>
      <c r="ESF456" s="67"/>
      <c r="ESG456" s="67"/>
      <c r="ESH456" s="67"/>
      <c r="ESI456" s="67"/>
      <c r="ESJ456" s="67"/>
      <c r="ESK456" s="67"/>
      <c r="ESL456" s="67"/>
      <c r="ESM456" s="67"/>
      <c r="ESN456" s="67"/>
      <c r="ESO456" s="67"/>
      <c r="ESP456" s="67"/>
      <c r="ESQ456" s="67"/>
      <c r="ESR456" s="67"/>
      <c r="ESS456" s="67"/>
      <c r="EST456" s="67"/>
      <c r="ESU456" s="67"/>
      <c r="ESV456" s="67"/>
      <c r="ESW456" s="67"/>
      <c r="ESX456" s="67"/>
      <c r="ESY456" s="67"/>
      <c r="ESZ456" s="67"/>
      <c r="ETA456" s="67"/>
      <c r="ETB456" s="67"/>
      <c r="ETC456" s="67"/>
      <c r="ETD456" s="67"/>
      <c r="ETE456" s="67"/>
      <c r="ETF456" s="67"/>
      <c r="ETG456" s="67"/>
      <c r="ETH456" s="67"/>
      <c r="ETI456" s="67"/>
      <c r="ETJ456" s="67"/>
      <c r="ETK456" s="67"/>
      <c r="ETL456" s="67"/>
      <c r="ETM456" s="67"/>
      <c r="ETN456" s="67"/>
      <c r="ETO456" s="67"/>
      <c r="ETP456" s="67"/>
      <c r="ETQ456" s="67"/>
      <c r="ETR456" s="67"/>
      <c r="ETS456" s="67"/>
      <c r="ETT456" s="67"/>
      <c r="ETU456" s="67"/>
      <c r="ETV456" s="67"/>
      <c r="ETW456" s="67"/>
      <c r="ETX456" s="67"/>
      <c r="ETY456" s="67"/>
      <c r="ETZ456" s="67"/>
      <c r="EUA456" s="67"/>
      <c r="EUB456" s="67"/>
      <c r="EUC456" s="67"/>
      <c r="EUD456" s="67"/>
      <c r="EUE456" s="67"/>
      <c r="EUF456" s="67"/>
      <c r="EUG456" s="67"/>
      <c r="EUH456" s="67"/>
      <c r="EUI456" s="67"/>
      <c r="EUJ456" s="67"/>
      <c r="EUK456" s="67"/>
      <c r="EUL456" s="67"/>
      <c r="EUM456" s="67"/>
      <c r="EUN456" s="67"/>
      <c r="EUO456" s="67"/>
      <c r="EUP456" s="67"/>
      <c r="EUQ456" s="67"/>
      <c r="EUR456" s="67"/>
      <c r="EUS456" s="67"/>
      <c r="EUT456" s="67"/>
      <c r="EUU456" s="67"/>
      <c r="EUV456" s="67"/>
      <c r="EUW456" s="67"/>
      <c r="EUX456" s="67"/>
      <c r="EUY456" s="67"/>
      <c r="EUZ456" s="67"/>
      <c r="EVA456" s="67"/>
      <c r="EVB456" s="67"/>
      <c r="EVC456" s="67"/>
      <c r="EVD456" s="67"/>
      <c r="EVE456" s="67"/>
      <c r="EVF456" s="67"/>
      <c r="EVG456" s="67"/>
      <c r="EVH456" s="67"/>
      <c r="EVI456" s="67"/>
      <c r="EVJ456" s="67"/>
      <c r="EVK456" s="67"/>
      <c r="EVL456" s="67"/>
      <c r="EVM456" s="67"/>
      <c r="EVN456" s="67"/>
      <c r="EVO456" s="67"/>
      <c r="EVP456" s="67"/>
      <c r="EVQ456" s="67"/>
      <c r="EVR456" s="67"/>
      <c r="EVS456" s="67"/>
      <c r="EVT456" s="67"/>
      <c r="EVU456" s="67"/>
      <c r="EVV456" s="67"/>
      <c r="EVW456" s="67"/>
      <c r="EVX456" s="67"/>
      <c r="EVY456" s="67"/>
      <c r="EVZ456" s="67"/>
      <c r="EWA456" s="67"/>
      <c r="EWB456" s="67"/>
      <c r="EWC456" s="67"/>
      <c r="EWD456" s="67"/>
      <c r="EWE456" s="67"/>
      <c r="EWF456" s="67"/>
      <c r="EWG456" s="67"/>
      <c r="EWH456" s="67"/>
      <c r="EWI456" s="67"/>
      <c r="EWJ456" s="67"/>
      <c r="EWK456" s="67"/>
      <c r="EWL456" s="67"/>
      <c r="EWM456" s="67"/>
      <c r="EWN456" s="67"/>
      <c r="EWO456" s="67"/>
      <c r="EWP456" s="67"/>
      <c r="EWQ456" s="67"/>
      <c r="EWR456" s="67"/>
      <c r="EWS456" s="67"/>
      <c r="EWT456" s="67"/>
      <c r="EWU456" s="67"/>
      <c r="EWV456" s="67"/>
      <c r="EWW456" s="67"/>
      <c r="EWX456" s="67"/>
      <c r="EWY456" s="67"/>
      <c r="EWZ456" s="67"/>
      <c r="EXA456" s="67"/>
      <c r="EXB456" s="67"/>
      <c r="EXC456" s="67"/>
      <c r="EXD456" s="67"/>
      <c r="EXE456" s="67"/>
      <c r="EXF456" s="67"/>
      <c r="EXG456" s="67"/>
      <c r="EXH456" s="67"/>
      <c r="EXI456" s="67"/>
      <c r="EXJ456" s="67"/>
      <c r="EXK456" s="67"/>
      <c r="EXL456" s="67"/>
      <c r="EXM456" s="67"/>
      <c r="EXN456" s="67"/>
      <c r="EXO456" s="67"/>
      <c r="EXP456" s="67"/>
      <c r="EXQ456" s="67"/>
      <c r="EXR456" s="67"/>
      <c r="EXS456" s="67"/>
      <c r="EXT456" s="67"/>
      <c r="EXU456" s="67"/>
      <c r="EXV456" s="67"/>
      <c r="EXW456" s="67"/>
      <c r="EXX456" s="67"/>
      <c r="EXY456" s="67"/>
      <c r="EXZ456" s="67"/>
      <c r="EYA456" s="67"/>
      <c r="EYB456" s="67"/>
      <c r="EYC456" s="67"/>
      <c r="EYD456" s="67"/>
      <c r="EYE456" s="67"/>
      <c r="EYF456" s="67"/>
      <c r="EYG456" s="67"/>
      <c r="EYH456" s="67"/>
      <c r="EYI456" s="67"/>
      <c r="EYJ456" s="67"/>
      <c r="EYK456" s="67"/>
      <c r="EYL456" s="67"/>
      <c r="EYM456" s="67"/>
      <c r="EYN456" s="67"/>
      <c r="EYO456" s="67"/>
      <c r="EYP456" s="67"/>
      <c r="EYQ456" s="67"/>
      <c r="EYR456" s="67"/>
      <c r="EYS456" s="67"/>
      <c r="EYT456" s="67"/>
      <c r="EYU456" s="67"/>
      <c r="EYV456" s="67"/>
      <c r="EYW456" s="67"/>
      <c r="EYX456" s="67"/>
      <c r="EYY456" s="67"/>
      <c r="EYZ456" s="67"/>
      <c r="EZA456" s="67"/>
      <c r="EZB456" s="67"/>
      <c r="EZC456" s="67"/>
      <c r="EZD456" s="67"/>
      <c r="EZE456" s="67"/>
      <c r="EZF456" s="67"/>
      <c r="EZG456" s="67"/>
      <c r="EZH456" s="67"/>
      <c r="EZI456" s="67"/>
      <c r="EZJ456" s="67"/>
      <c r="EZK456" s="67"/>
      <c r="EZL456" s="67"/>
      <c r="EZM456" s="67"/>
      <c r="EZN456" s="67"/>
      <c r="EZO456" s="67"/>
      <c r="EZP456" s="67"/>
      <c r="EZQ456" s="67"/>
      <c r="EZR456" s="67"/>
      <c r="EZS456" s="67"/>
      <c r="EZT456" s="67"/>
      <c r="EZU456" s="67"/>
      <c r="EZV456" s="67"/>
      <c r="EZW456" s="67"/>
      <c r="EZX456" s="67"/>
      <c r="EZY456" s="67"/>
      <c r="EZZ456" s="67"/>
      <c r="FAA456" s="67"/>
      <c r="FAB456" s="67"/>
      <c r="FAC456" s="67"/>
      <c r="FAD456" s="67"/>
      <c r="FAE456" s="67"/>
      <c r="FAF456" s="67"/>
      <c r="FAG456" s="67"/>
      <c r="FAH456" s="67"/>
      <c r="FAI456" s="67"/>
      <c r="FAJ456" s="67"/>
      <c r="FAK456" s="67"/>
      <c r="FAL456" s="67"/>
      <c r="FAM456" s="67"/>
      <c r="FAN456" s="67"/>
      <c r="FAO456" s="67"/>
      <c r="FAP456" s="67"/>
      <c r="FAQ456" s="67"/>
      <c r="FAR456" s="67"/>
      <c r="FAS456" s="67"/>
      <c r="FAT456" s="67"/>
      <c r="FAU456" s="67"/>
      <c r="FAV456" s="67"/>
      <c r="FAW456" s="67"/>
      <c r="FAX456" s="67"/>
      <c r="FAY456" s="67"/>
      <c r="FAZ456" s="67"/>
      <c r="FBA456" s="67"/>
      <c r="FBB456" s="67"/>
      <c r="FBC456" s="67"/>
      <c r="FBD456" s="67"/>
      <c r="FBE456" s="67"/>
      <c r="FBF456" s="67"/>
      <c r="FBG456" s="67"/>
      <c r="FBH456" s="67"/>
      <c r="FBI456" s="67"/>
      <c r="FBJ456" s="67"/>
      <c r="FBK456" s="67"/>
      <c r="FBL456" s="67"/>
      <c r="FBM456" s="67"/>
      <c r="FBN456" s="67"/>
      <c r="FBO456" s="67"/>
      <c r="FBP456" s="67"/>
      <c r="FBQ456" s="67"/>
      <c r="FBR456" s="67"/>
      <c r="FBS456" s="67"/>
      <c r="FBT456" s="67"/>
      <c r="FBU456" s="67"/>
      <c r="FBV456" s="67"/>
      <c r="FBW456" s="67"/>
      <c r="FBX456" s="67"/>
      <c r="FBY456" s="67"/>
      <c r="FBZ456" s="67"/>
      <c r="FCA456" s="67"/>
      <c r="FCB456" s="67"/>
      <c r="FCC456" s="67"/>
      <c r="FCD456" s="67"/>
      <c r="FCE456" s="67"/>
      <c r="FCF456" s="67"/>
      <c r="FCG456" s="67"/>
      <c r="FCH456" s="67"/>
      <c r="FCI456" s="67"/>
      <c r="FCJ456" s="67"/>
      <c r="FCK456" s="67"/>
      <c r="FCL456" s="67"/>
      <c r="FCM456" s="67"/>
      <c r="FCN456" s="67"/>
      <c r="FCO456" s="67"/>
      <c r="FCP456" s="67"/>
      <c r="FCQ456" s="67"/>
      <c r="FCR456" s="67"/>
      <c r="FCS456" s="67"/>
      <c r="FCT456" s="67"/>
      <c r="FCU456" s="67"/>
      <c r="FCV456" s="67"/>
      <c r="FCW456" s="67"/>
      <c r="FCX456" s="67"/>
      <c r="FCY456" s="67"/>
      <c r="FCZ456" s="67"/>
      <c r="FDA456" s="67"/>
      <c r="FDB456" s="67"/>
      <c r="FDC456" s="67"/>
      <c r="FDD456" s="67"/>
      <c r="FDE456" s="67"/>
      <c r="FDF456" s="67"/>
      <c r="FDG456" s="67"/>
      <c r="FDH456" s="67"/>
      <c r="FDI456" s="67"/>
      <c r="FDJ456" s="67"/>
      <c r="FDK456" s="67"/>
      <c r="FDL456" s="67"/>
      <c r="FDM456" s="67"/>
      <c r="FDN456" s="67"/>
      <c r="FDO456" s="67"/>
      <c r="FDP456" s="67"/>
      <c r="FDQ456" s="67"/>
      <c r="FDR456" s="67"/>
      <c r="FDS456" s="67"/>
      <c r="FDT456" s="67"/>
      <c r="FDU456" s="67"/>
      <c r="FDV456" s="67"/>
      <c r="FDW456" s="67"/>
      <c r="FDX456" s="67"/>
      <c r="FDY456" s="67"/>
      <c r="FDZ456" s="67"/>
      <c r="FEA456" s="67"/>
      <c r="FEB456" s="67"/>
      <c r="FEC456" s="67"/>
      <c r="FED456" s="67"/>
      <c r="FEE456" s="67"/>
      <c r="FEF456" s="67"/>
      <c r="FEG456" s="67"/>
      <c r="FEH456" s="67"/>
      <c r="FEI456" s="67"/>
      <c r="FEJ456" s="67"/>
      <c r="FEK456" s="67"/>
      <c r="FEL456" s="67"/>
      <c r="FEM456" s="67"/>
      <c r="FEN456" s="67"/>
      <c r="FEO456" s="67"/>
      <c r="FEP456" s="67"/>
      <c r="FEQ456" s="67"/>
      <c r="FER456" s="67"/>
      <c r="FES456" s="67"/>
      <c r="FET456" s="67"/>
      <c r="FEU456" s="67"/>
      <c r="FEV456" s="67"/>
      <c r="FEW456" s="67"/>
      <c r="FEX456" s="67"/>
      <c r="FEY456" s="67"/>
      <c r="FEZ456" s="67"/>
      <c r="FFA456" s="67"/>
      <c r="FFB456" s="67"/>
      <c r="FFC456" s="67"/>
      <c r="FFD456" s="67"/>
      <c r="FFE456" s="67"/>
      <c r="FFF456" s="67"/>
      <c r="FFG456" s="67"/>
      <c r="FFH456" s="67"/>
      <c r="FFI456" s="67"/>
      <c r="FFJ456" s="67"/>
      <c r="FFK456" s="67"/>
      <c r="FFL456" s="67"/>
      <c r="FFM456" s="67"/>
      <c r="FFN456" s="67"/>
      <c r="FFO456" s="67"/>
      <c r="FFP456" s="67"/>
      <c r="FFQ456" s="67"/>
      <c r="FFR456" s="67"/>
      <c r="FFS456" s="67"/>
      <c r="FFT456" s="67"/>
      <c r="FFU456" s="67"/>
      <c r="FFV456" s="67"/>
      <c r="FFW456" s="67"/>
      <c r="FFX456" s="67"/>
      <c r="FFY456" s="67"/>
      <c r="FFZ456" s="67"/>
      <c r="FGA456" s="67"/>
      <c r="FGB456" s="67"/>
      <c r="FGC456" s="67"/>
      <c r="FGD456" s="67"/>
      <c r="FGE456" s="67"/>
      <c r="FGF456" s="67"/>
      <c r="FGG456" s="67"/>
      <c r="FGH456" s="67"/>
      <c r="FGI456" s="67"/>
      <c r="FGJ456" s="67"/>
      <c r="FGK456" s="67"/>
      <c r="FGL456" s="67"/>
      <c r="FGM456" s="67"/>
      <c r="FGN456" s="67"/>
      <c r="FGO456" s="67"/>
      <c r="FGP456" s="67"/>
      <c r="FGQ456" s="67"/>
      <c r="FGR456" s="67"/>
      <c r="FGS456" s="67"/>
      <c r="FGT456" s="67"/>
      <c r="FGU456" s="67"/>
      <c r="FGV456" s="67"/>
      <c r="FGW456" s="67"/>
      <c r="FGX456" s="67"/>
      <c r="FGY456" s="67"/>
      <c r="FGZ456" s="67"/>
      <c r="FHA456" s="67"/>
      <c r="FHB456" s="67"/>
      <c r="FHC456" s="67"/>
      <c r="FHD456" s="67"/>
      <c r="FHE456" s="67"/>
      <c r="FHF456" s="67"/>
      <c r="FHG456" s="67"/>
      <c r="FHH456" s="67"/>
      <c r="FHI456" s="67"/>
      <c r="FHJ456" s="67"/>
      <c r="FHK456" s="67"/>
      <c r="FHL456" s="67"/>
      <c r="FHM456" s="67"/>
      <c r="FHN456" s="67"/>
      <c r="FHO456" s="67"/>
      <c r="FHP456" s="67"/>
      <c r="FHQ456" s="67"/>
      <c r="FHR456" s="67"/>
      <c r="FHS456" s="67"/>
      <c r="FHT456" s="67"/>
      <c r="FHU456" s="67"/>
      <c r="FHV456" s="67"/>
      <c r="FHW456" s="67"/>
      <c r="FHX456" s="67"/>
      <c r="FHY456" s="67"/>
      <c r="FHZ456" s="67"/>
      <c r="FIA456" s="67"/>
      <c r="FIB456" s="67"/>
      <c r="FIC456" s="67"/>
      <c r="FID456" s="67"/>
      <c r="FIE456" s="67"/>
      <c r="FIF456" s="67"/>
      <c r="FIG456" s="67"/>
      <c r="FIH456" s="67"/>
      <c r="FII456" s="67"/>
      <c r="FIJ456" s="67"/>
      <c r="FIK456" s="67"/>
      <c r="FIL456" s="67"/>
      <c r="FIM456" s="67"/>
      <c r="FIN456" s="67"/>
      <c r="FIO456" s="67"/>
      <c r="FIP456" s="67"/>
      <c r="FIQ456" s="67"/>
      <c r="FIR456" s="67"/>
      <c r="FIS456" s="67"/>
      <c r="FIT456" s="67"/>
      <c r="FIU456" s="67"/>
      <c r="FIV456" s="67"/>
      <c r="FIW456" s="67"/>
      <c r="FIX456" s="67"/>
      <c r="FIY456" s="67"/>
      <c r="FIZ456" s="67"/>
      <c r="FJA456" s="67"/>
      <c r="FJB456" s="67"/>
      <c r="FJC456" s="67"/>
      <c r="FJD456" s="67"/>
      <c r="FJE456" s="67"/>
      <c r="FJF456" s="67"/>
      <c r="FJG456" s="67"/>
      <c r="FJH456" s="67"/>
      <c r="FJI456" s="67"/>
      <c r="FJJ456" s="67"/>
      <c r="FJK456" s="67"/>
      <c r="FJL456" s="67"/>
      <c r="FJM456" s="67"/>
      <c r="FJN456" s="67"/>
      <c r="FJO456" s="67"/>
      <c r="FJP456" s="67"/>
      <c r="FJQ456" s="67"/>
      <c r="FJR456" s="67"/>
      <c r="FJS456" s="67"/>
      <c r="FJT456" s="67"/>
      <c r="FJU456" s="67"/>
      <c r="FJV456" s="67"/>
      <c r="FJW456" s="67"/>
      <c r="FJX456" s="67"/>
      <c r="FJY456" s="67"/>
      <c r="FJZ456" s="67"/>
      <c r="FKA456" s="67"/>
      <c r="FKB456" s="67"/>
      <c r="FKC456" s="67"/>
      <c r="FKD456" s="67"/>
      <c r="FKE456" s="67"/>
      <c r="FKF456" s="67"/>
      <c r="FKG456" s="67"/>
      <c r="FKH456" s="67"/>
      <c r="FKI456" s="67"/>
      <c r="FKJ456" s="67"/>
      <c r="FKK456" s="67"/>
      <c r="FKL456" s="67"/>
      <c r="FKM456" s="67"/>
      <c r="FKN456" s="67"/>
      <c r="FKO456" s="67"/>
      <c r="FKP456" s="67"/>
      <c r="FKQ456" s="67"/>
      <c r="FKR456" s="67"/>
      <c r="FKS456" s="67"/>
      <c r="FKT456" s="67"/>
      <c r="FKU456" s="67"/>
      <c r="FKV456" s="67"/>
      <c r="FKW456" s="67"/>
      <c r="FKX456" s="67"/>
      <c r="FKY456" s="67"/>
      <c r="FKZ456" s="67"/>
      <c r="FLA456" s="67"/>
      <c r="FLB456" s="67"/>
      <c r="FLC456" s="67"/>
      <c r="FLD456" s="67"/>
      <c r="FLE456" s="67"/>
      <c r="FLF456" s="67"/>
      <c r="FLG456" s="67"/>
      <c r="FLH456" s="67"/>
      <c r="FLI456" s="67"/>
      <c r="FLJ456" s="67"/>
      <c r="FLK456" s="67"/>
      <c r="FLL456" s="67"/>
      <c r="FLM456" s="67"/>
      <c r="FLN456" s="67"/>
      <c r="FLO456" s="67"/>
      <c r="FLP456" s="67"/>
      <c r="FLQ456" s="67"/>
      <c r="FLR456" s="67"/>
      <c r="FLS456" s="67"/>
      <c r="FLT456" s="67"/>
      <c r="FLU456" s="67"/>
      <c r="FLV456" s="67"/>
      <c r="FLW456" s="67"/>
      <c r="FLX456" s="67"/>
      <c r="FLY456" s="67"/>
      <c r="FLZ456" s="67"/>
      <c r="FMA456" s="67"/>
      <c r="FMB456" s="67"/>
      <c r="FMC456" s="67"/>
      <c r="FMD456" s="67"/>
      <c r="FME456" s="67"/>
      <c r="FMF456" s="67"/>
      <c r="FMG456" s="67"/>
      <c r="FMH456" s="67"/>
      <c r="FMI456" s="67"/>
      <c r="FMJ456" s="67"/>
      <c r="FMK456" s="67"/>
      <c r="FML456" s="67"/>
      <c r="FMM456" s="67"/>
      <c r="FMN456" s="67"/>
      <c r="FMO456" s="67"/>
      <c r="FMP456" s="67"/>
      <c r="FMQ456" s="67"/>
      <c r="FMR456" s="67"/>
      <c r="FMS456" s="67"/>
      <c r="FMT456" s="67"/>
      <c r="FMU456" s="67"/>
      <c r="FMV456" s="67"/>
      <c r="FMW456" s="67"/>
      <c r="FMX456" s="67"/>
      <c r="FMY456" s="67"/>
      <c r="FMZ456" s="67"/>
      <c r="FNA456" s="67"/>
      <c r="FNB456" s="67"/>
      <c r="FNC456" s="67"/>
      <c r="FND456" s="67"/>
      <c r="FNE456" s="67"/>
      <c r="FNF456" s="67"/>
      <c r="FNG456" s="67"/>
      <c r="FNH456" s="67"/>
      <c r="FNI456" s="67"/>
      <c r="FNJ456" s="67"/>
      <c r="FNK456" s="67"/>
      <c r="FNL456" s="67"/>
      <c r="FNM456" s="67"/>
      <c r="FNN456" s="67"/>
      <c r="FNO456" s="67"/>
      <c r="FNP456" s="67"/>
      <c r="FNQ456" s="67"/>
      <c r="FNR456" s="67"/>
      <c r="FNS456" s="67"/>
      <c r="FNT456" s="67"/>
      <c r="FNU456" s="67"/>
      <c r="FNV456" s="67"/>
      <c r="FNW456" s="67"/>
      <c r="FNX456" s="67"/>
      <c r="FNY456" s="67"/>
      <c r="FNZ456" s="67"/>
      <c r="FOA456" s="67"/>
      <c r="FOB456" s="67"/>
      <c r="FOC456" s="67"/>
      <c r="FOD456" s="67"/>
      <c r="FOE456" s="67"/>
      <c r="FOF456" s="67"/>
      <c r="FOG456" s="67"/>
      <c r="FOH456" s="67"/>
      <c r="FOI456" s="67"/>
      <c r="FOJ456" s="67"/>
      <c r="FOK456" s="67"/>
      <c r="FOL456" s="67"/>
      <c r="FOM456" s="67"/>
      <c r="FON456" s="67"/>
      <c r="FOO456" s="67"/>
      <c r="FOP456" s="67"/>
      <c r="FOQ456" s="67"/>
      <c r="FOR456" s="67"/>
      <c r="FOS456" s="67"/>
      <c r="FOT456" s="67"/>
      <c r="FOU456" s="67"/>
      <c r="FOV456" s="67"/>
      <c r="FOW456" s="67"/>
      <c r="FOX456" s="67"/>
      <c r="FOY456" s="67"/>
      <c r="FOZ456" s="67"/>
      <c r="FPA456" s="67"/>
      <c r="FPB456" s="67"/>
      <c r="FPC456" s="67"/>
      <c r="FPD456" s="67"/>
      <c r="FPE456" s="67"/>
      <c r="FPF456" s="67"/>
      <c r="FPG456" s="67"/>
      <c r="FPH456" s="67"/>
      <c r="FPI456" s="67"/>
      <c r="FPJ456" s="67"/>
      <c r="FPK456" s="67"/>
      <c r="FPL456" s="67"/>
      <c r="FPM456" s="67"/>
      <c r="FPN456" s="67"/>
      <c r="FPO456" s="67"/>
      <c r="FPP456" s="67"/>
      <c r="FPQ456" s="67"/>
      <c r="FPR456" s="67"/>
      <c r="FPS456" s="67"/>
      <c r="FPT456" s="67"/>
      <c r="FPU456" s="67"/>
      <c r="FPV456" s="67"/>
      <c r="FPW456" s="67"/>
      <c r="FPX456" s="67"/>
      <c r="FPY456" s="67"/>
      <c r="FPZ456" s="67"/>
      <c r="FQA456" s="67"/>
      <c r="FQB456" s="67"/>
      <c r="FQC456" s="67"/>
      <c r="FQD456" s="67"/>
      <c r="FQE456" s="67"/>
      <c r="FQF456" s="67"/>
      <c r="FQG456" s="67"/>
      <c r="FQH456" s="67"/>
      <c r="FQI456" s="67"/>
      <c r="FQJ456" s="67"/>
      <c r="FQK456" s="67"/>
      <c r="FQL456" s="67"/>
      <c r="FQM456" s="67"/>
      <c r="FQN456" s="67"/>
      <c r="FQO456" s="67"/>
      <c r="FQP456" s="67"/>
      <c r="FQQ456" s="67"/>
      <c r="FQR456" s="67"/>
      <c r="FQS456" s="67"/>
      <c r="FQT456" s="67"/>
      <c r="FQU456" s="67"/>
      <c r="FQV456" s="67"/>
      <c r="FQW456" s="67"/>
      <c r="FQX456" s="67"/>
      <c r="FQY456" s="67"/>
      <c r="FQZ456" s="67"/>
      <c r="FRA456" s="67"/>
      <c r="FRB456" s="67"/>
      <c r="FRC456" s="67"/>
      <c r="FRD456" s="67"/>
      <c r="FRE456" s="67"/>
      <c r="FRF456" s="67"/>
      <c r="FRG456" s="67"/>
      <c r="FRH456" s="67"/>
      <c r="FRI456" s="67"/>
      <c r="FRJ456" s="67"/>
      <c r="FRK456" s="67"/>
      <c r="FRL456" s="67"/>
      <c r="FRM456" s="67"/>
      <c r="FRN456" s="67"/>
      <c r="FRO456" s="67"/>
      <c r="FRP456" s="67"/>
      <c r="FRQ456" s="67"/>
      <c r="FRR456" s="67"/>
      <c r="FRS456" s="67"/>
      <c r="FRT456" s="67"/>
      <c r="FRU456" s="67"/>
      <c r="FRV456" s="67"/>
      <c r="FRW456" s="67"/>
      <c r="FRX456" s="67"/>
      <c r="FRY456" s="67"/>
      <c r="FRZ456" s="67"/>
      <c r="FSA456" s="67"/>
      <c r="FSB456" s="67"/>
      <c r="FSC456" s="67"/>
      <c r="FSD456" s="67"/>
      <c r="FSE456" s="67"/>
      <c r="FSF456" s="67"/>
      <c r="FSG456" s="67"/>
      <c r="FSH456" s="67"/>
      <c r="FSI456" s="67"/>
      <c r="FSJ456" s="67"/>
      <c r="FSK456" s="67"/>
      <c r="FSL456" s="67"/>
      <c r="FSM456" s="67"/>
      <c r="FSN456" s="67"/>
      <c r="FSO456" s="67"/>
      <c r="FSP456" s="67"/>
      <c r="FSQ456" s="67"/>
      <c r="FSR456" s="67"/>
      <c r="FSS456" s="67"/>
      <c r="FST456" s="67"/>
      <c r="FSU456" s="67"/>
      <c r="FSV456" s="67"/>
      <c r="FSW456" s="67"/>
      <c r="FSX456" s="67"/>
      <c r="FSY456" s="67"/>
      <c r="FSZ456" s="67"/>
      <c r="FTA456" s="67"/>
      <c r="FTB456" s="67"/>
      <c r="FTC456" s="67"/>
      <c r="FTD456" s="67"/>
      <c r="FTE456" s="67"/>
      <c r="FTF456" s="67"/>
      <c r="FTG456" s="67"/>
      <c r="FTH456" s="67"/>
      <c r="FTI456" s="67"/>
      <c r="FTJ456" s="67"/>
      <c r="FTK456" s="67"/>
      <c r="FTL456" s="67"/>
      <c r="FTM456" s="67"/>
      <c r="FTN456" s="67"/>
      <c r="FTO456" s="67"/>
      <c r="FTP456" s="67"/>
      <c r="FTQ456" s="67"/>
      <c r="FTR456" s="67"/>
      <c r="FTS456" s="67"/>
      <c r="FTT456" s="67"/>
      <c r="FTU456" s="67"/>
      <c r="FTV456" s="67"/>
      <c r="FTW456" s="67"/>
      <c r="FTX456" s="67"/>
      <c r="FTY456" s="67"/>
      <c r="FTZ456" s="67"/>
      <c r="FUA456" s="67"/>
      <c r="FUB456" s="67"/>
      <c r="FUC456" s="67"/>
      <c r="FUD456" s="67"/>
      <c r="FUE456" s="67"/>
      <c r="FUF456" s="67"/>
      <c r="FUG456" s="67"/>
      <c r="FUH456" s="67"/>
      <c r="FUI456" s="67"/>
      <c r="FUJ456" s="67"/>
      <c r="FUK456" s="67"/>
      <c r="FUL456" s="67"/>
      <c r="FUM456" s="67"/>
      <c r="FUN456" s="67"/>
      <c r="FUO456" s="67"/>
      <c r="FUP456" s="67"/>
      <c r="FUQ456" s="67"/>
      <c r="FUR456" s="67"/>
      <c r="FUS456" s="67"/>
      <c r="FUT456" s="67"/>
      <c r="FUU456" s="67"/>
      <c r="FUV456" s="67"/>
      <c r="FUW456" s="67"/>
      <c r="FUX456" s="67"/>
      <c r="FUY456" s="67"/>
      <c r="FUZ456" s="67"/>
      <c r="FVA456" s="67"/>
      <c r="FVB456" s="67"/>
      <c r="FVC456" s="67"/>
      <c r="FVD456" s="67"/>
      <c r="FVE456" s="67"/>
      <c r="FVF456" s="67"/>
      <c r="FVG456" s="67"/>
      <c r="FVH456" s="67"/>
      <c r="FVI456" s="67"/>
      <c r="FVJ456" s="67"/>
      <c r="FVK456" s="67"/>
      <c r="FVL456" s="67"/>
      <c r="FVM456" s="67"/>
      <c r="FVN456" s="67"/>
      <c r="FVO456" s="67"/>
      <c r="FVP456" s="67"/>
      <c r="FVQ456" s="67"/>
      <c r="FVR456" s="67"/>
      <c r="FVS456" s="67"/>
      <c r="FVT456" s="67"/>
      <c r="FVU456" s="67"/>
      <c r="FVV456" s="67"/>
      <c r="FVW456" s="67"/>
      <c r="FVX456" s="67"/>
      <c r="FVY456" s="67"/>
      <c r="FVZ456" s="67"/>
      <c r="FWA456" s="67"/>
      <c r="FWB456" s="67"/>
      <c r="FWC456" s="67"/>
      <c r="FWD456" s="67"/>
      <c r="FWE456" s="67"/>
      <c r="FWF456" s="67"/>
      <c r="FWG456" s="67"/>
      <c r="FWH456" s="67"/>
      <c r="FWI456" s="67"/>
      <c r="FWJ456" s="67"/>
      <c r="FWK456" s="67"/>
      <c r="FWL456" s="67"/>
      <c r="FWM456" s="67"/>
      <c r="FWN456" s="67"/>
      <c r="FWO456" s="67"/>
      <c r="FWP456" s="67"/>
      <c r="FWQ456" s="67"/>
      <c r="FWR456" s="67"/>
      <c r="FWS456" s="67"/>
      <c r="FWT456" s="67"/>
      <c r="FWU456" s="67"/>
      <c r="FWV456" s="67"/>
      <c r="FWW456" s="67"/>
      <c r="FWX456" s="67"/>
      <c r="FWY456" s="67"/>
      <c r="FWZ456" s="67"/>
      <c r="FXA456" s="67"/>
      <c r="FXB456" s="67"/>
      <c r="FXC456" s="67"/>
      <c r="FXD456" s="67"/>
      <c r="FXE456" s="67"/>
      <c r="FXF456" s="67"/>
      <c r="FXG456" s="67"/>
      <c r="FXH456" s="67"/>
      <c r="FXI456" s="67"/>
      <c r="FXJ456" s="67"/>
      <c r="FXK456" s="67"/>
      <c r="FXL456" s="67"/>
      <c r="FXM456" s="67"/>
      <c r="FXN456" s="67"/>
      <c r="FXO456" s="67"/>
      <c r="FXP456" s="67"/>
      <c r="FXQ456" s="67"/>
      <c r="FXR456" s="67"/>
      <c r="FXS456" s="67"/>
      <c r="FXT456" s="67"/>
      <c r="FXU456" s="67"/>
      <c r="FXV456" s="67"/>
      <c r="FXW456" s="67"/>
      <c r="FXX456" s="67"/>
      <c r="FXY456" s="67"/>
      <c r="FXZ456" s="67"/>
      <c r="FYA456" s="67"/>
      <c r="FYB456" s="67"/>
      <c r="FYC456" s="67"/>
      <c r="FYD456" s="67"/>
      <c r="FYE456" s="67"/>
      <c r="FYF456" s="67"/>
      <c r="FYG456" s="67"/>
      <c r="FYH456" s="67"/>
      <c r="FYI456" s="67"/>
      <c r="FYJ456" s="67"/>
      <c r="FYK456" s="67"/>
      <c r="FYL456" s="67"/>
      <c r="FYM456" s="67"/>
      <c r="FYN456" s="67"/>
      <c r="FYO456" s="67"/>
      <c r="FYP456" s="67"/>
      <c r="FYQ456" s="67"/>
      <c r="FYR456" s="67"/>
      <c r="FYS456" s="67"/>
      <c r="FYT456" s="67"/>
      <c r="FYU456" s="67"/>
      <c r="FYV456" s="67"/>
      <c r="FYW456" s="67"/>
      <c r="FYX456" s="67"/>
      <c r="FYY456" s="67"/>
      <c r="FYZ456" s="67"/>
      <c r="FZA456" s="67"/>
      <c r="FZB456" s="67"/>
      <c r="FZC456" s="67"/>
      <c r="FZD456" s="67"/>
      <c r="FZE456" s="67"/>
      <c r="FZF456" s="67"/>
      <c r="FZG456" s="67"/>
      <c r="FZH456" s="67"/>
      <c r="FZI456" s="67"/>
      <c r="FZJ456" s="67"/>
      <c r="FZK456" s="67"/>
      <c r="FZL456" s="67"/>
      <c r="FZM456" s="67"/>
      <c r="FZN456" s="67"/>
      <c r="FZO456" s="67"/>
      <c r="FZP456" s="67"/>
      <c r="FZQ456" s="67"/>
      <c r="FZR456" s="67"/>
      <c r="FZS456" s="67"/>
      <c r="FZT456" s="67"/>
      <c r="FZU456" s="67"/>
      <c r="FZV456" s="67"/>
      <c r="FZW456" s="67"/>
      <c r="FZX456" s="67"/>
      <c r="FZY456" s="67"/>
      <c r="FZZ456" s="67"/>
      <c r="GAA456" s="67"/>
      <c r="GAB456" s="67"/>
      <c r="GAC456" s="67"/>
      <c r="GAD456" s="67"/>
      <c r="GAE456" s="67"/>
      <c r="GAF456" s="67"/>
      <c r="GAG456" s="67"/>
      <c r="GAH456" s="67"/>
      <c r="GAI456" s="67"/>
      <c r="GAJ456" s="67"/>
      <c r="GAK456" s="67"/>
      <c r="GAL456" s="67"/>
      <c r="GAM456" s="67"/>
      <c r="GAN456" s="67"/>
      <c r="GAO456" s="67"/>
      <c r="GAP456" s="67"/>
      <c r="GAQ456" s="67"/>
      <c r="GAR456" s="67"/>
      <c r="GAS456" s="67"/>
      <c r="GAT456" s="67"/>
      <c r="GAU456" s="67"/>
      <c r="GAV456" s="67"/>
      <c r="GAW456" s="67"/>
      <c r="GAX456" s="67"/>
      <c r="GAY456" s="67"/>
      <c r="GAZ456" s="67"/>
      <c r="GBA456" s="67"/>
      <c r="GBB456" s="67"/>
      <c r="GBC456" s="67"/>
      <c r="GBD456" s="67"/>
      <c r="GBE456" s="67"/>
      <c r="GBF456" s="67"/>
      <c r="GBG456" s="67"/>
      <c r="GBH456" s="67"/>
      <c r="GBI456" s="67"/>
      <c r="GBJ456" s="67"/>
      <c r="GBK456" s="67"/>
      <c r="GBL456" s="67"/>
      <c r="GBM456" s="67"/>
      <c r="GBN456" s="67"/>
      <c r="GBO456" s="67"/>
      <c r="GBP456" s="67"/>
      <c r="GBQ456" s="67"/>
      <c r="GBR456" s="67"/>
      <c r="GBS456" s="67"/>
      <c r="GBT456" s="67"/>
      <c r="GBU456" s="67"/>
      <c r="GBV456" s="67"/>
      <c r="GBW456" s="67"/>
      <c r="GBX456" s="67"/>
      <c r="GBY456" s="67"/>
      <c r="GBZ456" s="67"/>
      <c r="GCA456" s="67"/>
      <c r="GCB456" s="67"/>
      <c r="GCC456" s="67"/>
      <c r="GCD456" s="67"/>
      <c r="GCE456" s="67"/>
      <c r="GCF456" s="67"/>
      <c r="GCG456" s="67"/>
      <c r="GCH456" s="67"/>
      <c r="GCI456" s="67"/>
      <c r="GCJ456" s="67"/>
      <c r="GCK456" s="67"/>
      <c r="GCL456" s="67"/>
      <c r="GCM456" s="67"/>
      <c r="GCN456" s="67"/>
      <c r="GCO456" s="67"/>
      <c r="GCP456" s="67"/>
      <c r="GCQ456" s="67"/>
      <c r="GCR456" s="67"/>
      <c r="GCS456" s="67"/>
      <c r="GCT456" s="67"/>
      <c r="GCU456" s="67"/>
      <c r="GCV456" s="67"/>
      <c r="GCW456" s="67"/>
      <c r="GCX456" s="67"/>
      <c r="GCY456" s="67"/>
      <c r="GCZ456" s="67"/>
      <c r="GDA456" s="67"/>
      <c r="GDB456" s="67"/>
      <c r="GDC456" s="67"/>
      <c r="GDD456" s="67"/>
      <c r="GDE456" s="67"/>
      <c r="GDF456" s="67"/>
      <c r="GDG456" s="67"/>
      <c r="GDH456" s="67"/>
      <c r="GDI456" s="67"/>
      <c r="GDJ456" s="67"/>
      <c r="GDK456" s="67"/>
      <c r="GDL456" s="67"/>
      <c r="GDM456" s="67"/>
      <c r="GDN456" s="67"/>
      <c r="GDO456" s="67"/>
      <c r="GDP456" s="67"/>
      <c r="GDQ456" s="67"/>
      <c r="GDR456" s="67"/>
      <c r="GDS456" s="67"/>
      <c r="GDT456" s="67"/>
      <c r="GDU456" s="67"/>
      <c r="GDV456" s="67"/>
      <c r="GDW456" s="67"/>
      <c r="GDX456" s="67"/>
      <c r="GDY456" s="67"/>
      <c r="GDZ456" s="67"/>
      <c r="GEA456" s="67"/>
      <c r="GEB456" s="67"/>
      <c r="GEC456" s="67"/>
      <c r="GED456" s="67"/>
      <c r="GEE456" s="67"/>
      <c r="GEF456" s="67"/>
      <c r="GEG456" s="67"/>
      <c r="GEH456" s="67"/>
      <c r="GEI456" s="67"/>
      <c r="GEJ456" s="67"/>
      <c r="GEK456" s="67"/>
      <c r="GEL456" s="67"/>
      <c r="GEM456" s="67"/>
      <c r="GEN456" s="67"/>
      <c r="GEO456" s="67"/>
      <c r="GEP456" s="67"/>
      <c r="GEQ456" s="67"/>
      <c r="GER456" s="67"/>
      <c r="GES456" s="67"/>
      <c r="GET456" s="67"/>
      <c r="GEU456" s="67"/>
      <c r="GEV456" s="67"/>
      <c r="GEW456" s="67"/>
      <c r="GEX456" s="67"/>
      <c r="GEY456" s="67"/>
      <c r="GEZ456" s="67"/>
      <c r="GFA456" s="67"/>
      <c r="GFB456" s="67"/>
      <c r="GFC456" s="67"/>
      <c r="GFD456" s="67"/>
      <c r="GFE456" s="67"/>
      <c r="GFF456" s="67"/>
      <c r="GFG456" s="67"/>
      <c r="GFH456" s="67"/>
      <c r="GFI456" s="67"/>
      <c r="GFJ456" s="67"/>
      <c r="GFK456" s="67"/>
      <c r="GFL456" s="67"/>
      <c r="GFM456" s="67"/>
      <c r="GFN456" s="67"/>
      <c r="GFO456" s="67"/>
      <c r="GFP456" s="67"/>
      <c r="GFQ456" s="67"/>
      <c r="GFR456" s="67"/>
      <c r="GFS456" s="67"/>
      <c r="GFT456" s="67"/>
      <c r="GFU456" s="67"/>
      <c r="GFV456" s="67"/>
      <c r="GFW456" s="67"/>
      <c r="GFX456" s="67"/>
      <c r="GFY456" s="67"/>
      <c r="GFZ456" s="67"/>
      <c r="GGA456" s="67"/>
      <c r="GGB456" s="67"/>
      <c r="GGC456" s="67"/>
      <c r="GGD456" s="67"/>
      <c r="GGE456" s="67"/>
      <c r="GGF456" s="67"/>
      <c r="GGG456" s="67"/>
      <c r="GGH456" s="67"/>
      <c r="GGI456" s="67"/>
      <c r="GGJ456" s="67"/>
      <c r="GGK456" s="67"/>
      <c r="GGL456" s="67"/>
      <c r="GGM456" s="67"/>
      <c r="GGN456" s="67"/>
      <c r="GGO456" s="67"/>
      <c r="GGP456" s="67"/>
      <c r="GGQ456" s="67"/>
      <c r="GGR456" s="67"/>
      <c r="GGS456" s="67"/>
      <c r="GGT456" s="67"/>
      <c r="GGU456" s="67"/>
      <c r="GGV456" s="67"/>
      <c r="GGW456" s="67"/>
      <c r="GGX456" s="67"/>
      <c r="GGY456" s="67"/>
      <c r="GGZ456" s="67"/>
      <c r="GHA456" s="67"/>
      <c r="GHB456" s="67"/>
      <c r="GHC456" s="67"/>
      <c r="GHD456" s="67"/>
      <c r="GHE456" s="67"/>
      <c r="GHF456" s="67"/>
      <c r="GHG456" s="67"/>
      <c r="GHH456" s="67"/>
      <c r="GHI456" s="67"/>
      <c r="GHJ456" s="67"/>
      <c r="GHK456" s="67"/>
      <c r="GHL456" s="67"/>
      <c r="GHM456" s="67"/>
      <c r="GHN456" s="67"/>
      <c r="GHO456" s="67"/>
      <c r="GHP456" s="67"/>
      <c r="GHQ456" s="67"/>
      <c r="GHR456" s="67"/>
      <c r="GHS456" s="67"/>
      <c r="GHT456" s="67"/>
      <c r="GHU456" s="67"/>
      <c r="GHV456" s="67"/>
      <c r="GHW456" s="67"/>
      <c r="GHX456" s="67"/>
      <c r="GHY456" s="67"/>
      <c r="GHZ456" s="67"/>
      <c r="GIA456" s="67"/>
      <c r="GIB456" s="67"/>
      <c r="GIC456" s="67"/>
      <c r="GID456" s="67"/>
      <c r="GIE456" s="67"/>
      <c r="GIF456" s="67"/>
      <c r="GIG456" s="67"/>
      <c r="GIH456" s="67"/>
      <c r="GII456" s="67"/>
      <c r="GIJ456" s="67"/>
      <c r="GIK456" s="67"/>
      <c r="GIL456" s="67"/>
      <c r="GIM456" s="67"/>
      <c r="GIN456" s="67"/>
      <c r="GIO456" s="67"/>
      <c r="GIP456" s="67"/>
      <c r="GIQ456" s="67"/>
      <c r="GIR456" s="67"/>
      <c r="GIS456" s="67"/>
      <c r="GIT456" s="67"/>
      <c r="GIU456" s="67"/>
      <c r="GIV456" s="67"/>
      <c r="GIW456" s="67"/>
      <c r="GIX456" s="67"/>
      <c r="GIY456" s="67"/>
      <c r="GIZ456" s="67"/>
      <c r="GJA456" s="67"/>
      <c r="GJB456" s="67"/>
      <c r="GJC456" s="67"/>
      <c r="GJD456" s="67"/>
      <c r="GJE456" s="67"/>
      <c r="GJF456" s="67"/>
      <c r="GJG456" s="67"/>
      <c r="GJH456" s="67"/>
      <c r="GJI456" s="67"/>
      <c r="GJJ456" s="67"/>
      <c r="GJK456" s="67"/>
      <c r="GJL456" s="67"/>
      <c r="GJM456" s="67"/>
      <c r="GJN456" s="67"/>
      <c r="GJO456" s="67"/>
      <c r="GJP456" s="67"/>
      <c r="GJQ456" s="67"/>
      <c r="GJR456" s="67"/>
      <c r="GJS456" s="67"/>
      <c r="GJT456" s="67"/>
      <c r="GJU456" s="67"/>
      <c r="GJV456" s="67"/>
      <c r="GJW456" s="67"/>
      <c r="GJX456" s="67"/>
      <c r="GJY456" s="67"/>
      <c r="GJZ456" s="67"/>
      <c r="GKA456" s="67"/>
      <c r="GKB456" s="67"/>
      <c r="GKC456" s="67"/>
      <c r="GKD456" s="67"/>
      <c r="GKE456" s="67"/>
      <c r="GKF456" s="67"/>
      <c r="GKG456" s="67"/>
      <c r="GKH456" s="67"/>
      <c r="GKI456" s="67"/>
      <c r="GKJ456" s="67"/>
      <c r="GKK456" s="67"/>
      <c r="GKL456" s="67"/>
      <c r="GKM456" s="67"/>
      <c r="GKN456" s="67"/>
      <c r="GKO456" s="67"/>
      <c r="GKP456" s="67"/>
      <c r="GKQ456" s="67"/>
      <c r="GKR456" s="67"/>
      <c r="GKS456" s="67"/>
      <c r="GKT456" s="67"/>
      <c r="GKU456" s="67"/>
      <c r="GKV456" s="67"/>
      <c r="GKW456" s="67"/>
      <c r="GKX456" s="67"/>
      <c r="GKY456" s="67"/>
      <c r="GKZ456" s="67"/>
      <c r="GLA456" s="67"/>
      <c r="GLB456" s="67"/>
      <c r="GLC456" s="67"/>
      <c r="GLD456" s="67"/>
      <c r="GLE456" s="67"/>
      <c r="GLF456" s="67"/>
      <c r="GLG456" s="67"/>
      <c r="GLH456" s="67"/>
      <c r="GLI456" s="67"/>
      <c r="GLJ456" s="67"/>
      <c r="GLK456" s="67"/>
      <c r="GLL456" s="67"/>
      <c r="GLM456" s="67"/>
      <c r="GLN456" s="67"/>
      <c r="GLO456" s="67"/>
      <c r="GLP456" s="67"/>
      <c r="GLQ456" s="67"/>
      <c r="GLR456" s="67"/>
      <c r="GLS456" s="67"/>
      <c r="GLT456" s="67"/>
      <c r="GLU456" s="67"/>
      <c r="GLV456" s="67"/>
      <c r="GLW456" s="67"/>
      <c r="GLX456" s="67"/>
      <c r="GLY456" s="67"/>
      <c r="GLZ456" s="67"/>
      <c r="GMA456" s="67"/>
      <c r="GMB456" s="67"/>
      <c r="GMC456" s="67"/>
      <c r="GMD456" s="67"/>
      <c r="GME456" s="67"/>
      <c r="GMF456" s="67"/>
      <c r="GMG456" s="67"/>
      <c r="GMH456" s="67"/>
      <c r="GMI456" s="67"/>
      <c r="GMJ456" s="67"/>
      <c r="GMK456" s="67"/>
      <c r="GML456" s="67"/>
      <c r="GMM456" s="67"/>
      <c r="GMN456" s="67"/>
      <c r="GMO456" s="67"/>
      <c r="GMP456" s="67"/>
      <c r="GMQ456" s="67"/>
      <c r="GMR456" s="67"/>
      <c r="GMS456" s="67"/>
      <c r="GMT456" s="67"/>
      <c r="GMU456" s="67"/>
      <c r="GMV456" s="67"/>
      <c r="GMW456" s="67"/>
      <c r="GMX456" s="67"/>
      <c r="GMY456" s="67"/>
      <c r="GMZ456" s="67"/>
      <c r="GNA456" s="67"/>
      <c r="GNB456" s="67"/>
      <c r="GNC456" s="67"/>
      <c r="GND456" s="67"/>
      <c r="GNE456" s="67"/>
      <c r="GNF456" s="67"/>
      <c r="GNG456" s="67"/>
      <c r="GNH456" s="67"/>
      <c r="GNI456" s="67"/>
      <c r="GNJ456" s="67"/>
      <c r="GNK456" s="67"/>
      <c r="GNL456" s="67"/>
      <c r="GNM456" s="67"/>
      <c r="GNN456" s="67"/>
      <c r="GNO456" s="67"/>
      <c r="GNP456" s="67"/>
      <c r="GNQ456" s="67"/>
      <c r="GNR456" s="67"/>
      <c r="GNS456" s="67"/>
      <c r="GNT456" s="67"/>
      <c r="GNU456" s="67"/>
      <c r="GNV456" s="67"/>
      <c r="GNW456" s="67"/>
      <c r="GNX456" s="67"/>
      <c r="GNY456" s="67"/>
      <c r="GNZ456" s="67"/>
      <c r="GOA456" s="67"/>
      <c r="GOB456" s="67"/>
      <c r="GOC456" s="67"/>
      <c r="GOD456" s="67"/>
      <c r="GOE456" s="67"/>
      <c r="GOF456" s="67"/>
      <c r="GOG456" s="67"/>
      <c r="GOH456" s="67"/>
      <c r="GOI456" s="67"/>
      <c r="GOJ456" s="67"/>
      <c r="GOK456" s="67"/>
      <c r="GOL456" s="67"/>
      <c r="GOM456" s="67"/>
      <c r="GON456" s="67"/>
      <c r="GOO456" s="67"/>
      <c r="GOP456" s="67"/>
      <c r="GOQ456" s="67"/>
      <c r="GOR456" s="67"/>
      <c r="GOS456" s="67"/>
      <c r="GOT456" s="67"/>
      <c r="GOU456" s="67"/>
      <c r="GOV456" s="67"/>
      <c r="GOW456" s="67"/>
      <c r="GOX456" s="67"/>
      <c r="GOY456" s="67"/>
      <c r="GOZ456" s="67"/>
      <c r="GPA456" s="67"/>
      <c r="GPB456" s="67"/>
      <c r="GPC456" s="67"/>
      <c r="GPD456" s="67"/>
      <c r="GPE456" s="67"/>
      <c r="GPF456" s="67"/>
      <c r="GPG456" s="67"/>
      <c r="GPH456" s="67"/>
      <c r="GPI456" s="67"/>
      <c r="GPJ456" s="67"/>
      <c r="GPK456" s="67"/>
      <c r="GPL456" s="67"/>
      <c r="GPM456" s="67"/>
      <c r="GPN456" s="67"/>
      <c r="GPO456" s="67"/>
      <c r="GPP456" s="67"/>
      <c r="GPQ456" s="67"/>
      <c r="GPR456" s="67"/>
      <c r="GPS456" s="67"/>
      <c r="GPT456" s="67"/>
      <c r="GPU456" s="67"/>
      <c r="GPV456" s="67"/>
      <c r="GPW456" s="67"/>
      <c r="GPX456" s="67"/>
      <c r="GPY456" s="67"/>
      <c r="GPZ456" s="67"/>
      <c r="GQA456" s="67"/>
      <c r="GQB456" s="67"/>
      <c r="GQC456" s="67"/>
      <c r="GQD456" s="67"/>
      <c r="GQE456" s="67"/>
      <c r="GQF456" s="67"/>
      <c r="GQG456" s="67"/>
      <c r="GQH456" s="67"/>
      <c r="GQI456" s="67"/>
      <c r="GQJ456" s="67"/>
      <c r="GQK456" s="67"/>
      <c r="GQL456" s="67"/>
      <c r="GQM456" s="67"/>
      <c r="GQN456" s="67"/>
      <c r="GQO456" s="67"/>
      <c r="GQP456" s="67"/>
      <c r="GQQ456" s="67"/>
      <c r="GQR456" s="67"/>
      <c r="GQS456" s="67"/>
      <c r="GQT456" s="67"/>
      <c r="GQU456" s="67"/>
      <c r="GQV456" s="67"/>
      <c r="GQW456" s="67"/>
      <c r="GQX456" s="67"/>
      <c r="GQY456" s="67"/>
      <c r="GQZ456" s="67"/>
      <c r="GRA456" s="67"/>
      <c r="GRB456" s="67"/>
      <c r="GRC456" s="67"/>
      <c r="GRD456" s="67"/>
      <c r="GRE456" s="67"/>
      <c r="GRF456" s="67"/>
      <c r="GRG456" s="67"/>
      <c r="GRH456" s="67"/>
      <c r="GRI456" s="67"/>
      <c r="GRJ456" s="67"/>
      <c r="GRK456" s="67"/>
      <c r="GRL456" s="67"/>
      <c r="GRM456" s="67"/>
      <c r="GRN456" s="67"/>
      <c r="GRO456" s="67"/>
      <c r="GRP456" s="67"/>
      <c r="GRQ456" s="67"/>
      <c r="GRR456" s="67"/>
      <c r="GRS456" s="67"/>
      <c r="GRT456" s="67"/>
      <c r="GRU456" s="67"/>
      <c r="GRV456" s="67"/>
      <c r="GRW456" s="67"/>
      <c r="GRX456" s="67"/>
      <c r="GRY456" s="67"/>
      <c r="GRZ456" s="67"/>
      <c r="GSA456" s="67"/>
      <c r="GSB456" s="67"/>
      <c r="GSC456" s="67"/>
      <c r="GSD456" s="67"/>
      <c r="GSE456" s="67"/>
      <c r="GSF456" s="67"/>
      <c r="GSG456" s="67"/>
      <c r="GSH456" s="67"/>
      <c r="GSI456" s="67"/>
      <c r="GSJ456" s="67"/>
      <c r="GSK456" s="67"/>
      <c r="GSL456" s="67"/>
      <c r="GSM456" s="67"/>
      <c r="GSN456" s="67"/>
      <c r="GSO456" s="67"/>
      <c r="GSP456" s="67"/>
      <c r="GSQ456" s="67"/>
      <c r="GSR456" s="67"/>
      <c r="GSS456" s="67"/>
      <c r="GST456" s="67"/>
      <c r="GSU456" s="67"/>
      <c r="GSV456" s="67"/>
      <c r="GSW456" s="67"/>
      <c r="GSX456" s="67"/>
      <c r="GSY456" s="67"/>
      <c r="GSZ456" s="67"/>
      <c r="GTA456" s="67"/>
      <c r="GTB456" s="67"/>
      <c r="GTC456" s="67"/>
      <c r="GTD456" s="67"/>
      <c r="GTE456" s="67"/>
      <c r="GTF456" s="67"/>
      <c r="GTG456" s="67"/>
      <c r="GTH456" s="67"/>
      <c r="GTI456" s="67"/>
      <c r="GTJ456" s="67"/>
      <c r="GTK456" s="67"/>
      <c r="GTL456" s="67"/>
      <c r="GTM456" s="67"/>
      <c r="GTN456" s="67"/>
      <c r="GTO456" s="67"/>
      <c r="GTP456" s="67"/>
      <c r="GTQ456" s="67"/>
      <c r="GTR456" s="67"/>
      <c r="GTS456" s="67"/>
      <c r="GTT456" s="67"/>
      <c r="GTU456" s="67"/>
      <c r="GTV456" s="67"/>
      <c r="GTW456" s="67"/>
      <c r="GTX456" s="67"/>
      <c r="GTY456" s="67"/>
      <c r="GTZ456" s="67"/>
      <c r="GUA456" s="67"/>
      <c r="GUB456" s="67"/>
      <c r="GUC456" s="67"/>
      <c r="GUD456" s="67"/>
      <c r="GUE456" s="67"/>
      <c r="GUF456" s="67"/>
      <c r="GUG456" s="67"/>
      <c r="GUH456" s="67"/>
      <c r="GUI456" s="67"/>
      <c r="GUJ456" s="67"/>
      <c r="GUK456" s="67"/>
      <c r="GUL456" s="67"/>
      <c r="GUM456" s="67"/>
      <c r="GUN456" s="67"/>
      <c r="GUO456" s="67"/>
      <c r="GUP456" s="67"/>
      <c r="GUQ456" s="67"/>
      <c r="GUR456" s="67"/>
      <c r="GUS456" s="67"/>
      <c r="GUT456" s="67"/>
      <c r="GUU456" s="67"/>
      <c r="GUV456" s="67"/>
      <c r="GUW456" s="67"/>
      <c r="GUX456" s="67"/>
      <c r="GUY456" s="67"/>
      <c r="GUZ456" s="67"/>
      <c r="GVA456" s="67"/>
      <c r="GVB456" s="67"/>
      <c r="GVC456" s="67"/>
      <c r="GVD456" s="67"/>
      <c r="GVE456" s="67"/>
      <c r="GVF456" s="67"/>
      <c r="GVG456" s="67"/>
      <c r="GVH456" s="67"/>
      <c r="GVI456" s="67"/>
      <c r="GVJ456" s="67"/>
      <c r="GVK456" s="67"/>
      <c r="GVL456" s="67"/>
      <c r="GVM456" s="67"/>
      <c r="GVN456" s="67"/>
      <c r="GVO456" s="67"/>
      <c r="GVP456" s="67"/>
      <c r="GVQ456" s="67"/>
      <c r="GVR456" s="67"/>
      <c r="GVS456" s="67"/>
      <c r="GVT456" s="67"/>
      <c r="GVU456" s="67"/>
      <c r="GVV456" s="67"/>
      <c r="GVW456" s="67"/>
      <c r="GVX456" s="67"/>
      <c r="GVY456" s="67"/>
      <c r="GVZ456" s="67"/>
      <c r="GWA456" s="67"/>
      <c r="GWB456" s="67"/>
      <c r="GWC456" s="67"/>
      <c r="GWD456" s="67"/>
      <c r="GWE456" s="67"/>
      <c r="GWF456" s="67"/>
      <c r="GWG456" s="67"/>
      <c r="GWH456" s="67"/>
      <c r="GWI456" s="67"/>
      <c r="GWJ456" s="67"/>
      <c r="GWK456" s="67"/>
      <c r="GWL456" s="67"/>
      <c r="GWM456" s="67"/>
      <c r="GWN456" s="67"/>
      <c r="GWO456" s="67"/>
      <c r="GWP456" s="67"/>
      <c r="GWQ456" s="67"/>
      <c r="GWR456" s="67"/>
      <c r="GWS456" s="67"/>
      <c r="GWT456" s="67"/>
      <c r="GWU456" s="67"/>
      <c r="GWV456" s="67"/>
      <c r="GWW456" s="67"/>
      <c r="GWX456" s="67"/>
      <c r="GWY456" s="67"/>
      <c r="GWZ456" s="67"/>
      <c r="GXA456" s="67"/>
      <c r="GXB456" s="67"/>
      <c r="GXC456" s="67"/>
      <c r="GXD456" s="67"/>
      <c r="GXE456" s="67"/>
      <c r="GXF456" s="67"/>
      <c r="GXG456" s="67"/>
      <c r="GXH456" s="67"/>
      <c r="GXI456" s="67"/>
      <c r="GXJ456" s="67"/>
      <c r="GXK456" s="67"/>
      <c r="GXL456" s="67"/>
      <c r="GXM456" s="67"/>
      <c r="GXN456" s="67"/>
      <c r="GXO456" s="67"/>
      <c r="GXP456" s="67"/>
      <c r="GXQ456" s="67"/>
      <c r="GXR456" s="67"/>
      <c r="GXS456" s="67"/>
      <c r="GXT456" s="67"/>
      <c r="GXU456" s="67"/>
      <c r="GXV456" s="67"/>
      <c r="GXW456" s="67"/>
      <c r="GXX456" s="67"/>
      <c r="GXY456" s="67"/>
      <c r="GXZ456" s="67"/>
      <c r="GYA456" s="67"/>
      <c r="GYB456" s="67"/>
      <c r="GYC456" s="67"/>
      <c r="GYD456" s="67"/>
      <c r="GYE456" s="67"/>
      <c r="GYF456" s="67"/>
      <c r="GYG456" s="67"/>
      <c r="GYH456" s="67"/>
      <c r="GYI456" s="67"/>
      <c r="GYJ456" s="67"/>
      <c r="GYK456" s="67"/>
      <c r="GYL456" s="67"/>
      <c r="GYM456" s="67"/>
      <c r="GYN456" s="67"/>
      <c r="GYO456" s="67"/>
      <c r="GYP456" s="67"/>
      <c r="GYQ456" s="67"/>
      <c r="GYR456" s="67"/>
      <c r="GYS456" s="67"/>
      <c r="GYT456" s="67"/>
      <c r="GYU456" s="67"/>
      <c r="GYV456" s="67"/>
      <c r="GYW456" s="67"/>
      <c r="GYX456" s="67"/>
      <c r="GYY456" s="67"/>
      <c r="GYZ456" s="67"/>
      <c r="GZA456" s="67"/>
      <c r="GZB456" s="67"/>
      <c r="GZC456" s="67"/>
      <c r="GZD456" s="67"/>
      <c r="GZE456" s="67"/>
      <c r="GZF456" s="67"/>
      <c r="GZG456" s="67"/>
      <c r="GZH456" s="67"/>
      <c r="GZI456" s="67"/>
      <c r="GZJ456" s="67"/>
      <c r="GZK456" s="67"/>
      <c r="GZL456" s="67"/>
      <c r="GZM456" s="67"/>
      <c r="GZN456" s="67"/>
      <c r="GZO456" s="67"/>
      <c r="GZP456" s="67"/>
      <c r="GZQ456" s="67"/>
      <c r="GZR456" s="67"/>
      <c r="GZS456" s="67"/>
      <c r="GZT456" s="67"/>
      <c r="GZU456" s="67"/>
      <c r="GZV456" s="67"/>
      <c r="GZW456" s="67"/>
      <c r="GZX456" s="67"/>
      <c r="GZY456" s="67"/>
      <c r="GZZ456" s="67"/>
      <c r="HAA456" s="67"/>
      <c r="HAB456" s="67"/>
      <c r="HAC456" s="67"/>
      <c r="HAD456" s="67"/>
      <c r="HAE456" s="67"/>
      <c r="HAF456" s="67"/>
      <c r="HAG456" s="67"/>
      <c r="HAH456" s="67"/>
      <c r="HAI456" s="67"/>
      <c r="HAJ456" s="67"/>
      <c r="HAK456" s="67"/>
      <c r="HAL456" s="67"/>
      <c r="HAM456" s="67"/>
      <c r="HAN456" s="67"/>
      <c r="HAO456" s="67"/>
      <c r="HAP456" s="67"/>
      <c r="HAQ456" s="67"/>
      <c r="HAR456" s="67"/>
      <c r="HAS456" s="67"/>
      <c r="HAT456" s="67"/>
      <c r="HAU456" s="67"/>
      <c r="HAV456" s="67"/>
      <c r="HAW456" s="67"/>
      <c r="HAX456" s="67"/>
      <c r="HAY456" s="67"/>
      <c r="HAZ456" s="67"/>
      <c r="HBA456" s="67"/>
      <c r="HBB456" s="67"/>
      <c r="HBC456" s="67"/>
      <c r="HBD456" s="67"/>
      <c r="HBE456" s="67"/>
      <c r="HBF456" s="67"/>
      <c r="HBG456" s="67"/>
      <c r="HBH456" s="67"/>
      <c r="HBI456" s="67"/>
      <c r="HBJ456" s="67"/>
      <c r="HBK456" s="67"/>
      <c r="HBL456" s="67"/>
      <c r="HBM456" s="67"/>
      <c r="HBN456" s="67"/>
      <c r="HBO456" s="67"/>
      <c r="HBP456" s="67"/>
      <c r="HBQ456" s="67"/>
      <c r="HBR456" s="67"/>
      <c r="HBS456" s="67"/>
      <c r="HBT456" s="67"/>
      <c r="HBU456" s="67"/>
      <c r="HBV456" s="67"/>
      <c r="HBW456" s="67"/>
      <c r="HBX456" s="67"/>
      <c r="HBY456" s="67"/>
      <c r="HBZ456" s="67"/>
      <c r="HCA456" s="67"/>
      <c r="HCB456" s="67"/>
      <c r="HCC456" s="67"/>
      <c r="HCD456" s="67"/>
      <c r="HCE456" s="67"/>
      <c r="HCF456" s="67"/>
      <c r="HCG456" s="67"/>
      <c r="HCH456" s="67"/>
      <c r="HCI456" s="67"/>
      <c r="HCJ456" s="67"/>
      <c r="HCK456" s="67"/>
      <c r="HCL456" s="67"/>
      <c r="HCM456" s="67"/>
      <c r="HCN456" s="67"/>
      <c r="HCO456" s="67"/>
      <c r="HCP456" s="67"/>
      <c r="HCQ456" s="67"/>
      <c r="HCR456" s="67"/>
      <c r="HCS456" s="67"/>
      <c r="HCT456" s="67"/>
      <c r="HCU456" s="67"/>
      <c r="HCV456" s="67"/>
      <c r="HCW456" s="67"/>
      <c r="HCX456" s="67"/>
      <c r="HCY456" s="67"/>
      <c r="HCZ456" s="67"/>
      <c r="HDA456" s="67"/>
      <c r="HDB456" s="67"/>
      <c r="HDC456" s="67"/>
      <c r="HDD456" s="67"/>
      <c r="HDE456" s="67"/>
      <c r="HDF456" s="67"/>
      <c r="HDG456" s="67"/>
      <c r="HDH456" s="67"/>
      <c r="HDI456" s="67"/>
      <c r="HDJ456" s="67"/>
      <c r="HDK456" s="67"/>
      <c r="HDL456" s="67"/>
      <c r="HDM456" s="67"/>
      <c r="HDN456" s="67"/>
      <c r="HDO456" s="67"/>
      <c r="HDP456" s="67"/>
      <c r="HDQ456" s="67"/>
      <c r="HDR456" s="67"/>
      <c r="HDS456" s="67"/>
      <c r="HDT456" s="67"/>
      <c r="HDU456" s="67"/>
      <c r="HDV456" s="67"/>
      <c r="HDW456" s="67"/>
      <c r="HDX456" s="67"/>
      <c r="HDY456" s="67"/>
      <c r="HDZ456" s="67"/>
      <c r="HEA456" s="67"/>
      <c r="HEB456" s="67"/>
      <c r="HEC456" s="67"/>
      <c r="HED456" s="67"/>
      <c r="HEE456" s="67"/>
      <c r="HEF456" s="67"/>
      <c r="HEG456" s="67"/>
      <c r="HEH456" s="67"/>
      <c r="HEI456" s="67"/>
      <c r="HEJ456" s="67"/>
      <c r="HEK456" s="67"/>
      <c r="HEL456" s="67"/>
      <c r="HEM456" s="67"/>
      <c r="HEN456" s="67"/>
      <c r="HEO456" s="67"/>
      <c r="HEP456" s="67"/>
      <c r="HEQ456" s="67"/>
      <c r="HER456" s="67"/>
      <c r="HES456" s="67"/>
      <c r="HET456" s="67"/>
      <c r="HEU456" s="67"/>
      <c r="HEV456" s="67"/>
      <c r="HEW456" s="67"/>
      <c r="HEX456" s="67"/>
      <c r="HEY456" s="67"/>
      <c r="HEZ456" s="67"/>
      <c r="HFA456" s="67"/>
      <c r="HFB456" s="67"/>
      <c r="HFC456" s="67"/>
      <c r="HFD456" s="67"/>
      <c r="HFE456" s="67"/>
      <c r="HFF456" s="67"/>
      <c r="HFG456" s="67"/>
      <c r="HFH456" s="67"/>
      <c r="HFI456" s="67"/>
      <c r="HFJ456" s="67"/>
      <c r="HFK456" s="67"/>
      <c r="HFL456" s="67"/>
      <c r="HFM456" s="67"/>
      <c r="HFN456" s="67"/>
      <c r="HFO456" s="67"/>
      <c r="HFP456" s="67"/>
      <c r="HFQ456" s="67"/>
      <c r="HFR456" s="67"/>
      <c r="HFS456" s="67"/>
      <c r="HFT456" s="67"/>
      <c r="HFU456" s="67"/>
      <c r="HFV456" s="67"/>
      <c r="HFW456" s="67"/>
      <c r="HFX456" s="67"/>
      <c r="HFY456" s="67"/>
      <c r="HFZ456" s="67"/>
      <c r="HGA456" s="67"/>
      <c r="HGB456" s="67"/>
      <c r="HGC456" s="67"/>
      <c r="HGD456" s="67"/>
      <c r="HGE456" s="67"/>
      <c r="HGF456" s="67"/>
      <c r="HGG456" s="67"/>
      <c r="HGH456" s="67"/>
      <c r="HGI456" s="67"/>
      <c r="HGJ456" s="67"/>
      <c r="HGK456" s="67"/>
      <c r="HGL456" s="67"/>
      <c r="HGM456" s="67"/>
      <c r="HGN456" s="67"/>
      <c r="HGO456" s="67"/>
      <c r="HGP456" s="67"/>
      <c r="HGQ456" s="67"/>
      <c r="HGR456" s="67"/>
      <c r="HGS456" s="67"/>
      <c r="HGT456" s="67"/>
      <c r="HGU456" s="67"/>
      <c r="HGV456" s="67"/>
      <c r="HGW456" s="67"/>
      <c r="HGX456" s="67"/>
      <c r="HGY456" s="67"/>
      <c r="HGZ456" s="67"/>
      <c r="HHA456" s="67"/>
      <c r="HHB456" s="67"/>
      <c r="HHC456" s="67"/>
      <c r="HHD456" s="67"/>
      <c r="HHE456" s="67"/>
      <c r="HHF456" s="67"/>
      <c r="HHG456" s="67"/>
      <c r="HHH456" s="67"/>
      <c r="HHI456" s="67"/>
      <c r="HHJ456" s="67"/>
      <c r="HHK456" s="67"/>
      <c r="HHL456" s="67"/>
      <c r="HHM456" s="67"/>
      <c r="HHN456" s="67"/>
      <c r="HHO456" s="67"/>
      <c r="HHP456" s="67"/>
      <c r="HHQ456" s="67"/>
      <c r="HHR456" s="67"/>
      <c r="HHS456" s="67"/>
      <c r="HHT456" s="67"/>
      <c r="HHU456" s="67"/>
      <c r="HHV456" s="67"/>
      <c r="HHW456" s="67"/>
      <c r="HHX456" s="67"/>
      <c r="HHY456" s="67"/>
      <c r="HHZ456" s="67"/>
      <c r="HIA456" s="67"/>
      <c r="HIB456" s="67"/>
      <c r="HIC456" s="67"/>
      <c r="HID456" s="67"/>
      <c r="HIE456" s="67"/>
      <c r="HIF456" s="67"/>
      <c r="HIG456" s="67"/>
      <c r="HIH456" s="67"/>
      <c r="HII456" s="67"/>
      <c r="HIJ456" s="67"/>
      <c r="HIK456" s="67"/>
      <c r="HIL456" s="67"/>
      <c r="HIM456" s="67"/>
      <c r="HIN456" s="67"/>
      <c r="HIO456" s="67"/>
      <c r="HIP456" s="67"/>
      <c r="HIQ456" s="67"/>
      <c r="HIR456" s="67"/>
      <c r="HIS456" s="67"/>
      <c r="HIT456" s="67"/>
      <c r="HIU456" s="67"/>
      <c r="HIV456" s="67"/>
      <c r="HIW456" s="67"/>
      <c r="HIX456" s="67"/>
      <c r="HIY456" s="67"/>
      <c r="HIZ456" s="67"/>
      <c r="HJA456" s="67"/>
      <c r="HJB456" s="67"/>
      <c r="HJC456" s="67"/>
      <c r="HJD456" s="67"/>
      <c r="HJE456" s="67"/>
      <c r="HJF456" s="67"/>
      <c r="HJG456" s="67"/>
      <c r="HJH456" s="67"/>
      <c r="HJI456" s="67"/>
      <c r="HJJ456" s="67"/>
      <c r="HJK456" s="67"/>
      <c r="HJL456" s="67"/>
      <c r="HJM456" s="67"/>
      <c r="HJN456" s="67"/>
      <c r="HJO456" s="67"/>
      <c r="HJP456" s="67"/>
      <c r="HJQ456" s="67"/>
      <c r="HJR456" s="67"/>
      <c r="HJS456" s="67"/>
      <c r="HJT456" s="67"/>
      <c r="HJU456" s="67"/>
      <c r="HJV456" s="67"/>
      <c r="HJW456" s="67"/>
      <c r="HJX456" s="67"/>
      <c r="HJY456" s="67"/>
      <c r="HJZ456" s="67"/>
      <c r="HKA456" s="67"/>
      <c r="HKB456" s="67"/>
      <c r="HKC456" s="67"/>
      <c r="HKD456" s="67"/>
      <c r="HKE456" s="67"/>
      <c r="HKF456" s="67"/>
      <c r="HKG456" s="67"/>
      <c r="HKH456" s="67"/>
      <c r="HKI456" s="67"/>
      <c r="HKJ456" s="67"/>
      <c r="HKK456" s="67"/>
      <c r="HKL456" s="67"/>
      <c r="HKM456" s="67"/>
      <c r="HKN456" s="67"/>
      <c r="HKO456" s="67"/>
      <c r="HKP456" s="67"/>
      <c r="HKQ456" s="67"/>
      <c r="HKR456" s="67"/>
      <c r="HKS456" s="67"/>
      <c r="HKT456" s="67"/>
      <c r="HKU456" s="67"/>
      <c r="HKV456" s="67"/>
      <c r="HKW456" s="67"/>
      <c r="HKX456" s="67"/>
      <c r="HKY456" s="67"/>
      <c r="HKZ456" s="67"/>
      <c r="HLA456" s="67"/>
      <c r="HLB456" s="67"/>
      <c r="HLC456" s="67"/>
      <c r="HLD456" s="67"/>
      <c r="HLE456" s="67"/>
      <c r="HLF456" s="67"/>
      <c r="HLG456" s="67"/>
      <c r="HLH456" s="67"/>
      <c r="HLI456" s="67"/>
      <c r="HLJ456" s="67"/>
      <c r="HLK456" s="67"/>
      <c r="HLL456" s="67"/>
      <c r="HLM456" s="67"/>
      <c r="HLN456" s="67"/>
      <c r="HLO456" s="67"/>
      <c r="HLP456" s="67"/>
      <c r="HLQ456" s="67"/>
      <c r="HLR456" s="67"/>
      <c r="HLS456" s="67"/>
      <c r="HLT456" s="67"/>
      <c r="HLU456" s="67"/>
      <c r="HLV456" s="67"/>
      <c r="HLW456" s="67"/>
      <c r="HLX456" s="67"/>
      <c r="HLY456" s="67"/>
      <c r="HLZ456" s="67"/>
      <c r="HMA456" s="67"/>
      <c r="HMB456" s="67"/>
      <c r="HMC456" s="67"/>
      <c r="HMD456" s="67"/>
      <c r="HME456" s="67"/>
      <c r="HMF456" s="67"/>
      <c r="HMG456" s="67"/>
      <c r="HMH456" s="67"/>
      <c r="HMI456" s="67"/>
      <c r="HMJ456" s="67"/>
      <c r="HMK456" s="67"/>
      <c r="HML456" s="67"/>
      <c r="HMM456" s="67"/>
      <c r="HMN456" s="67"/>
      <c r="HMO456" s="67"/>
      <c r="HMP456" s="67"/>
      <c r="HMQ456" s="67"/>
      <c r="HMR456" s="67"/>
      <c r="HMS456" s="67"/>
      <c r="HMT456" s="67"/>
      <c r="HMU456" s="67"/>
      <c r="HMV456" s="67"/>
      <c r="HMW456" s="67"/>
      <c r="HMX456" s="67"/>
      <c r="HMY456" s="67"/>
      <c r="HMZ456" s="67"/>
      <c r="HNA456" s="67"/>
      <c r="HNB456" s="67"/>
      <c r="HNC456" s="67"/>
      <c r="HND456" s="67"/>
      <c r="HNE456" s="67"/>
      <c r="HNF456" s="67"/>
      <c r="HNG456" s="67"/>
      <c r="HNH456" s="67"/>
      <c r="HNI456" s="67"/>
      <c r="HNJ456" s="67"/>
      <c r="HNK456" s="67"/>
      <c r="HNL456" s="67"/>
      <c r="HNM456" s="67"/>
      <c r="HNN456" s="67"/>
      <c r="HNO456" s="67"/>
      <c r="HNP456" s="67"/>
      <c r="HNQ456" s="67"/>
      <c r="HNR456" s="67"/>
      <c r="HNS456" s="67"/>
      <c r="HNT456" s="67"/>
      <c r="HNU456" s="67"/>
      <c r="HNV456" s="67"/>
      <c r="HNW456" s="67"/>
      <c r="HNX456" s="67"/>
      <c r="HNY456" s="67"/>
      <c r="HNZ456" s="67"/>
      <c r="HOA456" s="67"/>
      <c r="HOB456" s="67"/>
      <c r="HOC456" s="67"/>
      <c r="HOD456" s="67"/>
      <c r="HOE456" s="67"/>
      <c r="HOF456" s="67"/>
      <c r="HOG456" s="67"/>
      <c r="HOH456" s="67"/>
      <c r="HOI456" s="67"/>
      <c r="HOJ456" s="67"/>
      <c r="HOK456" s="67"/>
      <c r="HOL456" s="67"/>
      <c r="HOM456" s="67"/>
      <c r="HON456" s="67"/>
      <c r="HOO456" s="67"/>
      <c r="HOP456" s="67"/>
      <c r="HOQ456" s="67"/>
      <c r="HOR456" s="67"/>
      <c r="HOS456" s="67"/>
      <c r="HOT456" s="67"/>
      <c r="HOU456" s="67"/>
      <c r="HOV456" s="67"/>
      <c r="HOW456" s="67"/>
      <c r="HOX456" s="67"/>
      <c r="HOY456" s="67"/>
      <c r="HOZ456" s="67"/>
      <c r="HPA456" s="67"/>
      <c r="HPB456" s="67"/>
      <c r="HPC456" s="67"/>
      <c r="HPD456" s="67"/>
      <c r="HPE456" s="67"/>
      <c r="HPF456" s="67"/>
      <c r="HPG456" s="67"/>
      <c r="HPH456" s="67"/>
      <c r="HPI456" s="67"/>
      <c r="HPJ456" s="67"/>
      <c r="HPK456" s="67"/>
      <c r="HPL456" s="67"/>
      <c r="HPM456" s="67"/>
      <c r="HPN456" s="67"/>
      <c r="HPO456" s="67"/>
      <c r="HPP456" s="67"/>
      <c r="HPQ456" s="67"/>
      <c r="HPR456" s="67"/>
      <c r="HPS456" s="67"/>
      <c r="HPT456" s="67"/>
      <c r="HPU456" s="67"/>
      <c r="HPV456" s="67"/>
      <c r="HPW456" s="67"/>
      <c r="HPX456" s="67"/>
      <c r="HPY456" s="67"/>
      <c r="HPZ456" s="67"/>
      <c r="HQA456" s="67"/>
      <c r="HQB456" s="67"/>
      <c r="HQC456" s="67"/>
      <c r="HQD456" s="67"/>
      <c r="HQE456" s="67"/>
      <c r="HQF456" s="67"/>
      <c r="HQG456" s="67"/>
      <c r="HQH456" s="67"/>
      <c r="HQI456" s="67"/>
      <c r="HQJ456" s="67"/>
      <c r="HQK456" s="67"/>
      <c r="HQL456" s="67"/>
      <c r="HQM456" s="67"/>
      <c r="HQN456" s="67"/>
      <c r="HQO456" s="67"/>
      <c r="HQP456" s="67"/>
      <c r="HQQ456" s="67"/>
      <c r="HQR456" s="67"/>
      <c r="HQS456" s="67"/>
      <c r="HQT456" s="67"/>
      <c r="HQU456" s="67"/>
      <c r="HQV456" s="67"/>
      <c r="HQW456" s="67"/>
      <c r="HQX456" s="67"/>
      <c r="HQY456" s="67"/>
      <c r="HQZ456" s="67"/>
      <c r="HRA456" s="67"/>
      <c r="HRB456" s="67"/>
      <c r="HRC456" s="67"/>
      <c r="HRD456" s="67"/>
      <c r="HRE456" s="67"/>
      <c r="HRF456" s="67"/>
      <c r="HRG456" s="67"/>
      <c r="HRH456" s="67"/>
      <c r="HRI456" s="67"/>
      <c r="HRJ456" s="67"/>
      <c r="HRK456" s="67"/>
      <c r="HRL456" s="67"/>
      <c r="HRM456" s="67"/>
      <c r="HRN456" s="67"/>
      <c r="HRO456" s="67"/>
      <c r="HRP456" s="67"/>
      <c r="HRQ456" s="67"/>
      <c r="HRR456" s="67"/>
      <c r="HRS456" s="67"/>
      <c r="HRT456" s="67"/>
      <c r="HRU456" s="67"/>
      <c r="HRV456" s="67"/>
      <c r="HRW456" s="67"/>
      <c r="HRX456" s="67"/>
      <c r="HRY456" s="67"/>
      <c r="HRZ456" s="67"/>
      <c r="HSA456" s="67"/>
      <c r="HSB456" s="67"/>
      <c r="HSC456" s="67"/>
      <c r="HSD456" s="67"/>
      <c r="HSE456" s="67"/>
      <c r="HSF456" s="67"/>
      <c r="HSG456" s="67"/>
      <c r="HSH456" s="67"/>
      <c r="HSI456" s="67"/>
      <c r="HSJ456" s="67"/>
      <c r="HSK456" s="67"/>
      <c r="HSL456" s="67"/>
      <c r="HSM456" s="67"/>
      <c r="HSN456" s="67"/>
      <c r="HSO456" s="67"/>
      <c r="HSP456" s="67"/>
      <c r="HSQ456" s="67"/>
      <c r="HSR456" s="67"/>
      <c r="HSS456" s="67"/>
      <c r="HST456" s="67"/>
      <c r="HSU456" s="67"/>
      <c r="HSV456" s="67"/>
      <c r="HSW456" s="67"/>
      <c r="HSX456" s="67"/>
      <c r="HSY456" s="67"/>
      <c r="HSZ456" s="67"/>
      <c r="HTA456" s="67"/>
      <c r="HTB456" s="67"/>
      <c r="HTC456" s="67"/>
      <c r="HTD456" s="67"/>
      <c r="HTE456" s="67"/>
      <c r="HTF456" s="67"/>
      <c r="HTG456" s="67"/>
      <c r="HTH456" s="67"/>
      <c r="HTI456" s="67"/>
      <c r="HTJ456" s="67"/>
      <c r="HTK456" s="67"/>
      <c r="HTL456" s="67"/>
      <c r="HTM456" s="67"/>
      <c r="HTN456" s="67"/>
      <c r="HTO456" s="67"/>
      <c r="HTP456" s="67"/>
      <c r="HTQ456" s="67"/>
      <c r="HTR456" s="67"/>
      <c r="HTS456" s="67"/>
      <c r="HTT456" s="67"/>
      <c r="HTU456" s="67"/>
      <c r="HTV456" s="67"/>
      <c r="HTW456" s="67"/>
      <c r="HTX456" s="67"/>
      <c r="HTY456" s="67"/>
      <c r="HTZ456" s="67"/>
      <c r="HUA456" s="67"/>
      <c r="HUB456" s="67"/>
      <c r="HUC456" s="67"/>
      <c r="HUD456" s="67"/>
      <c r="HUE456" s="67"/>
      <c r="HUF456" s="67"/>
      <c r="HUG456" s="67"/>
      <c r="HUH456" s="67"/>
      <c r="HUI456" s="67"/>
      <c r="HUJ456" s="67"/>
      <c r="HUK456" s="67"/>
      <c r="HUL456" s="67"/>
      <c r="HUM456" s="67"/>
      <c r="HUN456" s="67"/>
      <c r="HUO456" s="67"/>
      <c r="HUP456" s="67"/>
      <c r="HUQ456" s="67"/>
      <c r="HUR456" s="67"/>
      <c r="HUS456" s="67"/>
      <c r="HUT456" s="67"/>
      <c r="HUU456" s="67"/>
      <c r="HUV456" s="67"/>
      <c r="HUW456" s="67"/>
      <c r="HUX456" s="67"/>
      <c r="HUY456" s="67"/>
      <c r="HUZ456" s="67"/>
      <c r="HVA456" s="67"/>
      <c r="HVB456" s="67"/>
      <c r="HVC456" s="67"/>
      <c r="HVD456" s="67"/>
      <c r="HVE456" s="67"/>
      <c r="HVF456" s="67"/>
      <c r="HVG456" s="67"/>
      <c r="HVH456" s="67"/>
      <c r="HVI456" s="67"/>
      <c r="HVJ456" s="67"/>
      <c r="HVK456" s="67"/>
      <c r="HVL456" s="67"/>
      <c r="HVM456" s="67"/>
      <c r="HVN456" s="67"/>
      <c r="HVO456" s="67"/>
      <c r="HVP456" s="67"/>
      <c r="HVQ456" s="67"/>
      <c r="HVR456" s="67"/>
      <c r="HVS456" s="67"/>
      <c r="HVT456" s="67"/>
      <c r="HVU456" s="67"/>
      <c r="HVV456" s="67"/>
      <c r="HVW456" s="67"/>
      <c r="HVX456" s="67"/>
      <c r="HVY456" s="67"/>
      <c r="HVZ456" s="67"/>
      <c r="HWA456" s="67"/>
      <c r="HWB456" s="67"/>
      <c r="HWC456" s="67"/>
      <c r="HWD456" s="67"/>
      <c r="HWE456" s="67"/>
      <c r="HWF456" s="67"/>
      <c r="HWG456" s="67"/>
      <c r="HWH456" s="67"/>
      <c r="HWI456" s="67"/>
      <c r="HWJ456" s="67"/>
      <c r="HWK456" s="67"/>
      <c r="HWL456" s="67"/>
      <c r="HWM456" s="67"/>
      <c r="HWN456" s="67"/>
      <c r="HWO456" s="67"/>
      <c r="HWP456" s="67"/>
      <c r="HWQ456" s="67"/>
      <c r="HWR456" s="67"/>
      <c r="HWS456" s="67"/>
      <c r="HWT456" s="67"/>
      <c r="HWU456" s="67"/>
      <c r="HWV456" s="67"/>
      <c r="HWW456" s="67"/>
      <c r="HWX456" s="67"/>
      <c r="HWY456" s="67"/>
      <c r="HWZ456" s="67"/>
      <c r="HXA456" s="67"/>
      <c r="HXB456" s="67"/>
      <c r="HXC456" s="67"/>
      <c r="HXD456" s="67"/>
      <c r="HXE456" s="67"/>
      <c r="HXF456" s="67"/>
      <c r="HXG456" s="67"/>
      <c r="HXH456" s="67"/>
      <c r="HXI456" s="67"/>
      <c r="HXJ456" s="67"/>
      <c r="HXK456" s="67"/>
      <c r="HXL456" s="67"/>
      <c r="HXM456" s="67"/>
      <c r="HXN456" s="67"/>
      <c r="HXO456" s="67"/>
      <c r="HXP456" s="67"/>
      <c r="HXQ456" s="67"/>
      <c r="HXR456" s="67"/>
      <c r="HXS456" s="67"/>
      <c r="HXT456" s="67"/>
      <c r="HXU456" s="67"/>
      <c r="HXV456" s="67"/>
      <c r="HXW456" s="67"/>
      <c r="HXX456" s="67"/>
      <c r="HXY456" s="67"/>
      <c r="HXZ456" s="67"/>
      <c r="HYA456" s="67"/>
      <c r="HYB456" s="67"/>
      <c r="HYC456" s="67"/>
      <c r="HYD456" s="67"/>
      <c r="HYE456" s="67"/>
      <c r="HYF456" s="67"/>
      <c r="HYG456" s="67"/>
      <c r="HYH456" s="67"/>
      <c r="HYI456" s="67"/>
      <c r="HYJ456" s="67"/>
      <c r="HYK456" s="67"/>
      <c r="HYL456" s="67"/>
      <c r="HYM456" s="67"/>
      <c r="HYN456" s="67"/>
      <c r="HYO456" s="67"/>
      <c r="HYP456" s="67"/>
      <c r="HYQ456" s="67"/>
      <c r="HYR456" s="67"/>
      <c r="HYS456" s="67"/>
      <c r="HYT456" s="67"/>
      <c r="HYU456" s="67"/>
      <c r="HYV456" s="67"/>
      <c r="HYW456" s="67"/>
      <c r="HYX456" s="67"/>
      <c r="HYY456" s="67"/>
      <c r="HYZ456" s="67"/>
      <c r="HZA456" s="67"/>
      <c r="HZB456" s="67"/>
      <c r="HZC456" s="67"/>
      <c r="HZD456" s="67"/>
      <c r="HZE456" s="67"/>
      <c r="HZF456" s="67"/>
      <c r="HZG456" s="67"/>
      <c r="HZH456" s="67"/>
      <c r="HZI456" s="67"/>
      <c r="HZJ456" s="67"/>
      <c r="HZK456" s="67"/>
      <c r="HZL456" s="67"/>
      <c r="HZM456" s="67"/>
      <c r="HZN456" s="67"/>
      <c r="HZO456" s="67"/>
      <c r="HZP456" s="67"/>
      <c r="HZQ456" s="67"/>
      <c r="HZR456" s="67"/>
      <c r="HZS456" s="67"/>
      <c r="HZT456" s="67"/>
      <c r="HZU456" s="67"/>
      <c r="HZV456" s="67"/>
      <c r="HZW456" s="67"/>
      <c r="HZX456" s="67"/>
      <c r="HZY456" s="67"/>
      <c r="HZZ456" s="67"/>
      <c r="IAA456" s="67"/>
      <c r="IAB456" s="67"/>
      <c r="IAC456" s="67"/>
      <c r="IAD456" s="67"/>
      <c r="IAE456" s="67"/>
      <c r="IAF456" s="67"/>
      <c r="IAG456" s="67"/>
      <c r="IAH456" s="67"/>
      <c r="IAI456" s="67"/>
      <c r="IAJ456" s="67"/>
      <c r="IAK456" s="67"/>
      <c r="IAL456" s="67"/>
      <c r="IAM456" s="67"/>
      <c r="IAN456" s="67"/>
      <c r="IAO456" s="67"/>
      <c r="IAP456" s="67"/>
      <c r="IAQ456" s="67"/>
      <c r="IAR456" s="67"/>
      <c r="IAS456" s="67"/>
      <c r="IAT456" s="67"/>
      <c r="IAU456" s="67"/>
      <c r="IAV456" s="67"/>
      <c r="IAW456" s="67"/>
      <c r="IAX456" s="67"/>
      <c r="IAY456" s="67"/>
      <c r="IAZ456" s="67"/>
      <c r="IBA456" s="67"/>
      <c r="IBB456" s="67"/>
      <c r="IBC456" s="67"/>
      <c r="IBD456" s="67"/>
      <c r="IBE456" s="67"/>
      <c r="IBF456" s="67"/>
      <c r="IBG456" s="67"/>
      <c r="IBH456" s="67"/>
      <c r="IBI456" s="67"/>
      <c r="IBJ456" s="67"/>
      <c r="IBK456" s="67"/>
      <c r="IBL456" s="67"/>
      <c r="IBM456" s="67"/>
      <c r="IBN456" s="67"/>
      <c r="IBO456" s="67"/>
      <c r="IBP456" s="67"/>
      <c r="IBQ456" s="67"/>
      <c r="IBR456" s="67"/>
      <c r="IBS456" s="67"/>
      <c r="IBT456" s="67"/>
      <c r="IBU456" s="67"/>
      <c r="IBV456" s="67"/>
      <c r="IBW456" s="67"/>
      <c r="IBX456" s="67"/>
      <c r="IBY456" s="67"/>
      <c r="IBZ456" s="67"/>
      <c r="ICA456" s="67"/>
      <c r="ICB456" s="67"/>
      <c r="ICC456" s="67"/>
      <c r="ICD456" s="67"/>
      <c r="ICE456" s="67"/>
      <c r="ICF456" s="67"/>
      <c r="ICG456" s="67"/>
      <c r="ICH456" s="67"/>
      <c r="ICI456" s="67"/>
      <c r="ICJ456" s="67"/>
      <c r="ICK456" s="67"/>
      <c r="ICL456" s="67"/>
      <c r="ICM456" s="67"/>
      <c r="ICN456" s="67"/>
      <c r="ICO456" s="67"/>
      <c r="ICP456" s="67"/>
      <c r="ICQ456" s="67"/>
      <c r="ICR456" s="67"/>
      <c r="ICS456" s="67"/>
      <c r="ICT456" s="67"/>
      <c r="ICU456" s="67"/>
      <c r="ICV456" s="67"/>
      <c r="ICW456" s="67"/>
      <c r="ICX456" s="67"/>
      <c r="ICY456" s="67"/>
      <c r="ICZ456" s="67"/>
      <c r="IDA456" s="67"/>
      <c r="IDB456" s="67"/>
      <c r="IDC456" s="67"/>
      <c r="IDD456" s="67"/>
      <c r="IDE456" s="67"/>
      <c r="IDF456" s="67"/>
      <c r="IDG456" s="67"/>
      <c r="IDH456" s="67"/>
      <c r="IDI456" s="67"/>
      <c r="IDJ456" s="67"/>
      <c r="IDK456" s="67"/>
      <c r="IDL456" s="67"/>
      <c r="IDM456" s="67"/>
      <c r="IDN456" s="67"/>
      <c r="IDO456" s="67"/>
      <c r="IDP456" s="67"/>
      <c r="IDQ456" s="67"/>
      <c r="IDR456" s="67"/>
      <c r="IDS456" s="67"/>
      <c r="IDT456" s="67"/>
      <c r="IDU456" s="67"/>
      <c r="IDV456" s="67"/>
      <c r="IDW456" s="67"/>
      <c r="IDX456" s="67"/>
      <c r="IDY456" s="67"/>
      <c r="IDZ456" s="67"/>
      <c r="IEA456" s="67"/>
      <c r="IEB456" s="67"/>
      <c r="IEC456" s="67"/>
      <c r="IED456" s="67"/>
      <c r="IEE456" s="67"/>
      <c r="IEF456" s="67"/>
      <c r="IEG456" s="67"/>
      <c r="IEH456" s="67"/>
      <c r="IEI456" s="67"/>
      <c r="IEJ456" s="67"/>
      <c r="IEK456" s="67"/>
      <c r="IEL456" s="67"/>
      <c r="IEM456" s="67"/>
      <c r="IEN456" s="67"/>
      <c r="IEO456" s="67"/>
      <c r="IEP456" s="67"/>
      <c r="IEQ456" s="67"/>
      <c r="IER456" s="67"/>
      <c r="IES456" s="67"/>
      <c r="IET456" s="67"/>
      <c r="IEU456" s="67"/>
      <c r="IEV456" s="67"/>
      <c r="IEW456" s="67"/>
      <c r="IEX456" s="67"/>
      <c r="IEY456" s="67"/>
      <c r="IEZ456" s="67"/>
      <c r="IFA456" s="67"/>
      <c r="IFB456" s="67"/>
      <c r="IFC456" s="67"/>
      <c r="IFD456" s="67"/>
      <c r="IFE456" s="67"/>
      <c r="IFF456" s="67"/>
      <c r="IFG456" s="67"/>
      <c r="IFH456" s="67"/>
      <c r="IFI456" s="67"/>
      <c r="IFJ456" s="67"/>
      <c r="IFK456" s="67"/>
      <c r="IFL456" s="67"/>
      <c r="IFM456" s="67"/>
      <c r="IFN456" s="67"/>
      <c r="IFO456" s="67"/>
      <c r="IFP456" s="67"/>
      <c r="IFQ456" s="67"/>
      <c r="IFR456" s="67"/>
      <c r="IFS456" s="67"/>
      <c r="IFT456" s="67"/>
      <c r="IFU456" s="67"/>
      <c r="IFV456" s="67"/>
      <c r="IFW456" s="67"/>
      <c r="IFX456" s="67"/>
      <c r="IFY456" s="67"/>
      <c r="IFZ456" s="67"/>
      <c r="IGA456" s="67"/>
      <c r="IGB456" s="67"/>
      <c r="IGC456" s="67"/>
      <c r="IGD456" s="67"/>
      <c r="IGE456" s="67"/>
      <c r="IGF456" s="67"/>
      <c r="IGG456" s="67"/>
      <c r="IGH456" s="67"/>
      <c r="IGI456" s="67"/>
      <c r="IGJ456" s="67"/>
      <c r="IGK456" s="67"/>
      <c r="IGL456" s="67"/>
      <c r="IGM456" s="67"/>
      <c r="IGN456" s="67"/>
      <c r="IGO456" s="67"/>
      <c r="IGP456" s="67"/>
      <c r="IGQ456" s="67"/>
      <c r="IGR456" s="67"/>
      <c r="IGS456" s="67"/>
      <c r="IGT456" s="67"/>
      <c r="IGU456" s="67"/>
      <c r="IGV456" s="67"/>
      <c r="IGW456" s="67"/>
      <c r="IGX456" s="67"/>
      <c r="IGY456" s="67"/>
      <c r="IGZ456" s="67"/>
      <c r="IHA456" s="67"/>
      <c r="IHB456" s="67"/>
      <c r="IHC456" s="67"/>
      <c r="IHD456" s="67"/>
      <c r="IHE456" s="67"/>
      <c r="IHF456" s="67"/>
      <c r="IHG456" s="67"/>
      <c r="IHH456" s="67"/>
      <c r="IHI456" s="67"/>
      <c r="IHJ456" s="67"/>
      <c r="IHK456" s="67"/>
      <c r="IHL456" s="67"/>
      <c r="IHM456" s="67"/>
      <c r="IHN456" s="67"/>
      <c r="IHO456" s="67"/>
      <c r="IHP456" s="67"/>
      <c r="IHQ456" s="67"/>
      <c r="IHR456" s="67"/>
      <c r="IHS456" s="67"/>
      <c r="IHT456" s="67"/>
      <c r="IHU456" s="67"/>
      <c r="IHV456" s="67"/>
      <c r="IHW456" s="67"/>
      <c r="IHX456" s="67"/>
      <c r="IHY456" s="67"/>
      <c r="IHZ456" s="67"/>
      <c r="IIA456" s="67"/>
      <c r="IIB456" s="67"/>
      <c r="IIC456" s="67"/>
      <c r="IID456" s="67"/>
      <c r="IIE456" s="67"/>
      <c r="IIF456" s="67"/>
      <c r="IIG456" s="67"/>
      <c r="IIH456" s="67"/>
      <c r="III456" s="67"/>
      <c r="IIJ456" s="67"/>
      <c r="IIK456" s="67"/>
      <c r="IIL456" s="67"/>
      <c r="IIM456" s="67"/>
      <c r="IIN456" s="67"/>
      <c r="IIO456" s="67"/>
      <c r="IIP456" s="67"/>
      <c r="IIQ456" s="67"/>
      <c r="IIR456" s="67"/>
      <c r="IIS456" s="67"/>
      <c r="IIT456" s="67"/>
      <c r="IIU456" s="67"/>
      <c r="IIV456" s="67"/>
      <c r="IIW456" s="67"/>
      <c r="IIX456" s="67"/>
      <c r="IIY456" s="67"/>
      <c r="IIZ456" s="67"/>
      <c r="IJA456" s="67"/>
      <c r="IJB456" s="67"/>
      <c r="IJC456" s="67"/>
      <c r="IJD456" s="67"/>
      <c r="IJE456" s="67"/>
      <c r="IJF456" s="67"/>
      <c r="IJG456" s="67"/>
      <c r="IJH456" s="67"/>
      <c r="IJI456" s="67"/>
      <c r="IJJ456" s="67"/>
      <c r="IJK456" s="67"/>
      <c r="IJL456" s="67"/>
      <c r="IJM456" s="67"/>
      <c r="IJN456" s="67"/>
      <c r="IJO456" s="67"/>
      <c r="IJP456" s="67"/>
      <c r="IJQ456" s="67"/>
      <c r="IJR456" s="67"/>
      <c r="IJS456" s="67"/>
      <c r="IJT456" s="67"/>
      <c r="IJU456" s="67"/>
      <c r="IJV456" s="67"/>
      <c r="IJW456" s="67"/>
      <c r="IJX456" s="67"/>
      <c r="IJY456" s="67"/>
      <c r="IJZ456" s="67"/>
      <c r="IKA456" s="67"/>
      <c r="IKB456" s="67"/>
      <c r="IKC456" s="67"/>
      <c r="IKD456" s="67"/>
      <c r="IKE456" s="67"/>
      <c r="IKF456" s="67"/>
      <c r="IKG456" s="67"/>
      <c r="IKH456" s="67"/>
      <c r="IKI456" s="67"/>
      <c r="IKJ456" s="67"/>
      <c r="IKK456" s="67"/>
      <c r="IKL456" s="67"/>
      <c r="IKM456" s="67"/>
      <c r="IKN456" s="67"/>
      <c r="IKO456" s="67"/>
      <c r="IKP456" s="67"/>
      <c r="IKQ456" s="67"/>
      <c r="IKR456" s="67"/>
      <c r="IKS456" s="67"/>
      <c r="IKT456" s="67"/>
      <c r="IKU456" s="67"/>
      <c r="IKV456" s="67"/>
      <c r="IKW456" s="67"/>
      <c r="IKX456" s="67"/>
      <c r="IKY456" s="67"/>
      <c r="IKZ456" s="67"/>
      <c r="ILA456" s="67"/>
      <c r="ILB456" s="67"/>
      <c r="ILC456" s="67"/>
      <c r="ILD456" s="67"/>
      <c r="ILE456" s="67"/>
      <c r="ILF456" s="67"/>
      <c r="ILG456" s="67"/>
      <c r="ILH456" s="67"/>
      <c r="ILI456" s="67"/>
      <c r="ILJ456" s="67"/>
      <c r="ILK456" s="67"/>
      <c r="ILL456" s="67"/>
      <c r="ILM456" s="67"/>
      <c r="ILN456" s="67"/>
      <c r="ILO456" s="67"/>
      <c r="ILP456" s="67"/>
      <c r="ILQ456" s="67"/>
      <c r="ILR456" s="67"/>
      <c r="ILS456" s="67"/>
      <c r="ILT456" s="67"/>
      <c r="ILU456" s="67"/>
      <c r="ILV456" s="67"/>
      <c r="ILW456" s="67"/>
      <c r="ILX456" s="67"/>
      <c r="ILY456" s="67"/>
      <c r="ILZ456" s="67"/>
      <c r="IMA456" s="67"/>
      <c r="IMB456" s="67"/>
      <c r="IMC456" s="67"/>
      <c r="IMD456" s="67"/>
      <c r="IME456" s="67"/>
      <c r="IMF456" s="67"/>
      <c r="IMG456" s="67"/>
      <c r="IMH456" s="67"/>
      <c r="IMI456" s="67"/>
      <c r="IMJ456" s="67"/>
      <c r="IMK456" s="67"/>
      <c r="IML456" s="67"/>
      <c r="IMM456" s="67"/>
      <c r="IMN456" s="67"/>
      <c r="IMO456" s="67"/>
      <c r="IMP456" s="67"/>
      <c r="IMQ456" s="67"/>
      <c r="IMR456" s="67"/>
      <c r="IMS456" s="67"/>
      <c r="IMT456" s="67"/>
      <c r="IMU456" s="67"/>
      <c r="IMV456" s="67"/>
      <c r="IMW456" s="67"/>
      <c r="IMX456" s="67"/>
      <c r="IMY456" s="67"/>
      <c r="IMZ456" s="67"/>
      <c r="INA456" s="67"/>
      <c r="INB456" s="67"/>
      <c r="INC456" s="67"/>
      <c r="IND456" s="67"/>
      <c r="INE456" s="67"/>
      <c r="INF456" s="67"/>
      <c r="ING456" s="67"/>
      <c r="INH456" s="67"/>
      <c r="INI456" s="67"/>
      <c r="INJ456" s="67"/>
      <c r="INK456" s="67"/>
      <c r="INL456" s="67"/>
      <c r="INM456" s="67"/>
      <c r="INN456" s="67"/>
      <c r="INO456" s="67"/>
      <c r="INP456" s="67"/>
      <c r="INQ456" s="67"/>
      <c r="INR456" s="67"/>
      <c r="INS456" s="67"/>
      <c r="INT456" s="67"/>
      <c r="INU456" s="67"/>
      <c r="INV456" s="67"/>
      <c r="INW456" s="67"/>
      <c r="INX456" s="67"/>
      <c r="INY456" s="67"/>
      <c r="INZ456" s="67"/>
      <c r="IOA456" s="67"/>
      <c r="IOB456" s="67"/>
      <c r="IOC456" s="67"/>
      <c r="IOD456" s="67"/>
      <c r="IOE456" s="67"/>
      <c r="IOF456" s="67"/>
      <c r="IOG456" s="67"/>
      <c r="IOH456" s="67"/>
      <c r="IOI456" s="67"/>
      <c r="IOJ456" s="67"/>
      <c r="IOK456" s="67"/>
      <c r="IOL456" s="67"/>
      <c r="IOM456" s="67"/>
      <c r="ION456" s="67"/>
      <c r="IOO456" s="67"/>
      <c r="IOP456" s="67"/>
      <c r="IOQ456" s="67"/>
      <c r="IOR456" s="67"/>
      <c r="IOS456" s="67"/>
      <c r="IOT456" s="67"/>
      <c r="IOU456" s="67"/>
      <c r="IOV456" s="67"/>
      <c r="IOW456" s="67"/>
      <c r="IOX456" s="67"/>
      <c r="IOY456" s="67"/>
      <c r="IOZ456" s="67"/>
      <c r="IPA456" s="67"/>
      <c r="IPB456" s="67"/>
      <c r="IPC456" s="67"/>
      <c r="IPD456" s="67"/>
      <c r="IPE456" s="67"/>
      <c r="IPF456" s="67"/>
      <c r="IPG456" s="67"/>
      <c r="IPH456" s="67"/>
      <c r="IPI456" s="67"/>
      <c r="IPJ456" s="67"/>
      <c r="IPK456" s="67"/>
      <c r="IPL456" s="67"/>
      <c r="IPM456" s="67"/>
      <c r="IPN456" s="67"/>
      <c r="IPO456" s="67"/>
      <c r="IPP456" s="67"/>
      <c r="IPQ456" s="67"/>
      <c r="IPR456" s="67"/>
      <c r="IPS456" s="67"/>
      <c r="IPT456" s="67"/>
      <c r="IPU456" s="67"/>
      <c r="IPV456" s="67"/>
      <c r="IPW456" s="67"/>
      <c r="IPX456" s="67"/>
      <c r="IPY456" s="67"/>
      <c r="IPZ456" s="67"/>
      <c r="IQA456" s="67"/>
      <c r="IQB456" s="67"/>
      <c r="IQC456" s="67"/>
      <c r="IQD456" s="67"/>
      <c r="IQE456" s="67"/>
      <c r="IQF456" s="67"/>
      <c r="IQG456" s="67"/>
      <c r="IQH456" s="67"/>
      <c r="IQI456" s="67"/>
      <c r="IQJ456" s="67"/>
      <c r="IQK456" s="67"/>
      <c r="IQL456" s="67"/>
      <c r="IQM456" s="67"/>
      <c r="IQN456" s="67"/>
      <c r="IQO456" s="67"/>
      <c r="IQP456" s="67"/>
      <c r="IQQ456" s="67"/>
      <c r="IQR456" s="67"/>
      <c r="IQS456" s="67"/>
      <c r="IQT456" s="67"/>
      <c r="IQU456" s="67"/>
      <c r="IQV456" s="67"/>
      <c r="IQW456" s="67"/>
      <c r="IQX456" s="67"/>
      <c r="IQY456" s="67"/>
      <c r="IQZ456" s="67"/>
      <c r="IRA456" s="67"/>
      <c r="IRB456" s="67"/>
      <c r="IRC456" s="67"/>
      <c r="IRD456" s="67"/>
      <c r="IRE456" s="67"/>
      <c r="IRF456" s="67"/>
      <c r="IRG456" s="67"/>
      <c r="IRH456" s="67"/>
      <c r="IRI456" s="67"/>
      <c r="IRJ456" s="67"/>
      <c r="IRK456" s="67"/>
      <c r="IRL456" s="67"/>
      <c r="IRM456" s="67"/>
      <c r="IRN456" s="67"/>
      <c r="IRO456" s="67"/>
      <c r="IRP456" s="67"/>
      <c r="IRQ456" s="67"/>
      <c r="IRR456" s="67"/>
      <c r="IRS456" s="67"/>
      <c r="IRT456" s="67"/>
      <c r="IRU456" s="67"/>
      <c r="IRV456" s="67"/>
      <c r="IRW456" s="67"/>
      <c r="IRX456" s="67"/>
      <c r="IRY456" s="67"/>
      <c r="IRZ456" s="67"/>
      <c r="ISA456" s="67"/>
      <c r="ISB456" s="67"/>
      <c r="ISC456" s="67"/>
      <c r="ISD456" s="67"/>
      <c r="ISE456" s="67"/>
      <c r="ISF456" s="67"/>
      <c r="ISG456" s="67"/>
      <c r="ISH456" s="67"/>
      <c r="ISI456" s="67"/>
      <c r="ISJ456" s="67"/>
      <c r="ISK456" s="67"/>
      <c r="ISL456" s="67"/>
      <c r="ISM456" s="67"/>
      <c r="ISN456" s="67"/>
      <c r="ISO456" s="67"/>
      <c r="ISP456" s="67"/>
      <c r="ISQ456" s="67"/>
      <c r="ISR456" s="67"/>
      <c r="ISS456" s="67"/>
      <c r="IST456" s="67"/>
      <c r="ISU456" s="67"/>
      <c r="ISV456" s="67"/>
      <c r="ISW456" s="67"/>
      <c r="ISX456" s="67"/>
      <c r="ISY456" s="67"/>
      <c r="ISZ456" s="67"/>
      <c r="ITA456" s="67"/>
      <c r="ITB456" s="67"/>
      <c r="ITC456" s="67"/>
      <c r="ITD456" s="67"/>
      <c r="ITE456" s="67"/>
      <c r="ITF456" s="67"/>
      <c r="ITG456" s="67"/>
      <c r="ITH456" s="67"/>
      <c r="ITI456" s="67"/>
      <c r="ITJ456" s="67"/>
      <c r="ITK456" s="67"/>
      <c r="ITL456" s="67"/>
      <c r="ITM456" s="67"/>
      <c r="ITN456" s="67"/>
      <c r="ITO456" s="67"/>
      <c r="ITP456" s="67"/>
      <c r="ITQ456" s="67"/>
      <c r="ITR456" s="67"/>
      <c r="ITS456" s="67"/>
      <c r="ITT456" s="67"/>
      <c r="ITU456" s="67"/>
      <c r="ITV456" s="67"/>
      <c r="ITW456" s="67"/>
      <c r="ITX456" s="67"/>
      <c r="ITY456" s="67"/>
      <c r="ITZ456" s="67"/>
      <c r="IUA456" s="67"/>
      <c r="IUB456" s="67"/>
      <c r="IUC456" s="67"/>
      <c r="IUD456" s="67"/>
      <c r="IUE456" s="67"/>
      <c r="IUF456" s="67"/>
      <c r="IUG456" s="67"/>
      <c r="IUH456" s="67"/>
      <c r="IUI456" s="67"/>
      <c r="IUJ456" s="67"/>
      <c r="IUK456" s="67"/>
      <c r="IUL456" s="67"/>
      <c r="IUM456" s="67"/>
      <c r="IUN456" s="67"/>
      <c r="IUO456" s="67"/>
      <c r="IUP456" s="67"/>
      <c r="IUQ456" s="67"/>
      <c r="IUR456" s="67"/>
      <c r="IUS456" s="67"/>
      <c r="IUT456" s="67"/>
      <c r="IUU456" s="67"/>
      <c r="IUV456" s="67"/>
      <c r="IUW456" s="67"/>
      <c r="IUX456" s="67"/>
      <c r="IUY456" s="67"/>
      <c r="IUZ456" s="67"/>
      <c r="IVA456" s="67"/>
      <c r="IVB456" s="67"/>
      <c r="IVC456" s="67"/>
      <c r="IVD456" s="67"/>
      <c r="IVE456" s="67"/>
      <c r="IVF456" s="67"/>
      <c r="IVG456" s="67"/>
      <c r="IVH456" s="67"/>
      <c r="IVI456" s="67"/>
      <c r="IVJ456" s="67"/>
      <c r="IVK456" s="67"/>
      <c r="IVL456" s="67"/>
      <c r="IVM456" s="67"/>
      <c r="IVN456" s="67"/>
      <c r="IVO456" s="67"/>
      <c r="IVP456" s="67"/>
      <c r="IVQ456" s="67"/>
      <c r="IVR456" s="67"/>
      <c r="IVS456" s="67"/>
      <c r="IVT456" s="67"/>
      <c r="IVU456" s="67"/>
      <c r="IVV456" s="67"/>
      <c r="IVW456" s="67"/>
      <c r="IVX456" s="67"/>
      <c r="IVY456" s="67"/>
      <c r="IVZ456" s="67"/>
      <c r="IWA456" s="67"/>
      <c r="IWB456" s="67"/>
      <c r="IWC456" s="67"/>
      <c r="IWD456" s="67"/>
      <c r="IWE456" s="67"/>
      <c r="IWF456" s="67"/>
      <c r="IWG456" s="67"/>
      <c r="IWH456" s="67"/>
      <c r="IWI456" s="67"/>
      <c r="IWJ456" s="67"/>
      <c r="IWK456" s="67"/>
      <c r="IWL456" s="67"/>
      <c r="IWM456" s="67"/>
      <c r="IWN456" s="67"/>
      <c r="IWO456" s="67"/>
      <c r="IWP456" s="67"/>
      <c r="IWQ456" s="67"/>
      <c r="IWR456" s="67"/>
      <c r="IWS456" s="67"/>
      <c r="IWT456" s="67"/>
      <c r="IWU456" s="67"/>
      <c r="IWV456" s="67"/>
      <c r="IWW456" s="67"/>
      <c r="IWX456" s="67"/>
      <c r="IWY456" s="67"/>
      <c r="IWZ456" s="67"/>
      <c r="IXA456" s="67"/>
      <c r="IXB456" s="67"/>
      <c r="IXC456" s="67"/>
      <c r="IXD456" s="67"/>
      <c r="IXE456" s="67"/>
      <c r="IXF456" s="67"/>
      <c r="IXG456" s="67"/>
      <c r="IXH456" s="67"/>
      <c r="IXI456" s="67"/>
      <c r="IXJ456" s="67"/>
      <c r="IXK456" s="67"/>
      <c r="IXL456" s="67"/>
      <c r="IXM456" s="67"/>
      <c r="IXN456" s="67"/>
      <c r="IXO456" s="67"/>
      <c r="IXP456" s="67"/>
      <c r="IXQ456" s="67"/>
      <c r="IXR456" s="67"/>
      <c r="IXS456" s="67"/>
      <c r="IXT456" s="67"/>
      <c r="IXU456" s="67"/>
      <c r="IXV456" s="67"/>
      <c r="IXW456" s="67"/>
      <c r="IXX456" s="67"/>
      <c r="IXY456" s="67"/>
      <c r="IXZ456" s="67"/>
      <c r="IYA456" s="67"/>
      <c r="IYB456" s="67"/>
      <c r="IYC456" s="67"/>
      <c r="IYD456" s="67"/>
      <c r="IYE456" s="67"/>
      <c r="IYF456" s="67"/>
      <c r="IYG456" s="67"/>
      <c r="IYH456" s="67"/>
      <c r="IYI456" s="67"/>
      <c r="IYJ456" s="67"/>
      <c r="IYK456" s="67"/>
      <c r="IYL456" s="67"/>
      <c r="IYM456" s="67"/>
      <c r="IYN456" s="67"/>
      <c r="IYO456" s="67"/>
      <c r="IYP456" s="67"/>
      <c r="IYQ456" s="67"/>
      <c r="IYR456" s="67"/>
      <c r="IYS456" s="67"/>
      <c r="IYT456" s="67"/>
      <c r="IYU456" s="67"/>
      <c r="IYV456" s="67"/>
      <c r="IYW456" s="67"/>
      <c r="IYX456" s="67"/>
      <c r="IYY456" s="67"/>
      <c r="IYZ456" s="67"/>
      <c r="IZA456" s="67"/>
      <c r="IZB456" s="67"/>
      <c r="IZC456" s="67"/>
      <c r="IZD456" s="67"/>
      <c r="IZE456" s="67"/>
      <c r="IZF456" s="67"/>
      <c r="IZG456" s="67"/>
      <c r="IZH456" s="67"/>
      <c r="IZI456" s="67"/>
      <c r="IZJ456" s="67"/>
      <c r="IZK456" s="67"/>
      <c r="IZL456" s="67"/>
      <c r="IZM456" s="67"/>
      <c r="IZN456" s="67"/>
      <c r="IZO456" s="67"/>
      <c r="IZP456" s="67"/>
      <c r="IZQ456" s="67"/>
      <c r="IZR456" s="67"/>
      <c r="IZS456" s="67"/>
      <c r="IZT456" s="67"/>
      <c r="IZU456" s="67"/>
      <c r="IZV456" s="67"/>
      <c r="IZW456" s="67"/>
      <c r="IZX456" s="67"/>
      <c r="IZY456" s="67"/>
      <c r="IZZ456" s="67"/>
      <c r="JAA456" s="67"/>
      <c r="JAB456" s="67"/>
      <c r="JAC456" s="67"/>
      <c r="JAD456" s="67"/>
      <c r="JAE456" s="67"/>
      <c r="JAF456" s="67"/>
      <c r="JAG456" s="67"/>
      <c r="JAH456" s="67"/>
      <c r="JAI456" s="67"/>
      <c r="JAJ456" s="67"/>
      <c r="JAK456" s="67"/>
      <c r="JAL456" s="67"/>
      <c r="JAM456" s="67"/>
      <c r="JAN456" s="67"/>
      <c r="JAO456" s="67"/>
      <c r="JAP456" s="67"/>
      <c r="JAQ456" s="67"/>
      <c r="JAR456" s="67"/>
      <c r="JAS456" s="67"/>
      <c r="JAT456" s="67"/>
      <c r="JAU456" s="67"/>
      <c r="JAV456" s="67"/>
      <c r="JAW456" s="67"/>
      <c r="JAX456" s="67"/>
      <c r="JAY456" s="67"/>
      <c r="JAZ456" s="67"/>
      <c r="JBA456" s="67"/>
      <c r="JBB456" s="67"/>
      <c r="JBC456" s="67"/>
      <c r="JBD456" s="67"/>
      <c r="JBE456" s="67"/>
      <c r="JBF456" s="67"/>
      <c r="JBG456" s="67"/>
      <c r="JBH456" s="67"/>
      <c r="JBI456" s="67"/>
      <c r="JBJ456" s="67"/>
      <c r="JBK456" s="67"/>
      <c r="JBL456" s="67"/>
      <c r="JBM456" s="67"/>
      <c r="JBN456" s="67"/>
      <c r="JBO456" s="67"/>
      <c r="JBP456" s="67"/>
      <c r="JBQ456" s="67"/>
      <c r="JBR456" s="67"/>
      <c r="JBS456" s="67"/>
      <c r="JBT456" s="67"/>
      <c r="JBU456" s="67"/>
      <c r="JBV456" s="67"/>
      <c r="JBW456" s="67"/>
      <c r="JBX456" s="67"/>
      <c r="JBY456" s="67"/>
      <c r="JBZ456" s="67"/>
      <c r="JCA456" s="67"/>
      <c r="JCB456" s="67"/>
      <c r="JCC456" s="67"/>
      <c r="JCD456" s="67"/>
      <c r="JCE456" s="67"/>
      <c r="JCF456" s="67"/>
      <c r="JCG456" s="67"/>
      <c r="JCH456" s="67"/>
      <c r="JCI456" s="67"/>
      <c r="JCJ456" s="67"/>
      <c r="JCK456" s="67"/>
      <c r="JCL456" s="67"/>
      <c r="JCM456" s="67"/>
      <c r="JCN456" s="67"/>
      <c r="JCO456" s="67"/>
      <c r="JCP456" s="67"/>
      <c r="JCQ456" s="67"/>
      <c r="JCR456" s="67"/>
      <c r="JCS456" s="67"/>
      <c r="JCT456" s="67"/>
      <c r="JCU456" s="67"/>
      <c r="JCV456" s="67"/>
      <c r="JCW456" s="67"/>
      <c r="JCX456" s="67"/>
      <c r="JCY456" s="67"/>
      <c r="JCZ456" s="67"/>
      <c r="JDA456" s="67"/>
      <c r="JDB456" s="67"/>
      <c r="JDC456" s="67"/>
      <c r="JDD456" s="67"/>
      <c r="JDE456" s="67"/>
      <c r="JDF456" s="67"/>
      <c r="JDG456" s="67"/>
      <c r="JDH456" s="67"/>
      <c r="JDI456" s="67"/>
      <c r="JDJ456" s="67"/>
      <c r="JDK456" s="67"/>
      <c r="JDL456" s="67"/>
      <c r="JDM456" s="67"/>
      <c r="JDN456" s="67"/>
      <c r="JDO456" s="67"/>
      <c r="JDP456" s="67"/>
      <c r="JDQ456" s="67"/>
      <c r="JDR456" s="67"/>
      <c r="JDS456" s="67"/>
      <c r="JDT456" s="67"/>
      <c r="JDU456" s="67"/>
      <c r="JDV456" s="67"/>
      <c r="JDW456" s="67"/>
      <c r="JDX456" s="67"/>
      <c r="JDY456" s="67"/>
      <c r="JDZ456" s="67"/>
      <c r="JEA456" s="67"/>
      <c r="JEB456" s="67"/>
      <c r="JEC456" s="67"/>
      <c r="JED456" s="67"/>
      <c r="JEE456" s="67"/>
      <c r="JEF456" s="67"/>
      <c r="JEG456" s="67"/>
      <c r="JEH456" s="67"/>
      <c r="JEI456" s="67"/>
      <c r="JEJ456" s="67"/>
      <c r="JEK456" s="67"/>
      <c r="JEL456" s="67"/>
      <c r="JEM456" s="67"/>
      <c r="JEN456" s="67"/>
      <c r="JEO456" s="67"/>
      <c r="JEP456" s="67"/>
      <c r="JEQ456" s="67"/>
      <c r="JER456" s="67"/>
      <c r="JES456" s="67"/>
      <c r="JET456" s="67"/>
      <c r="JEU456" s="67"/>
      <c r="JEV456" s="67"/>
      <c r="JEW456" s="67"/>
      <c r="JEX456" s="67"/>
      <c r="JEY456" s="67"/>
      <c r="JEZ456" s="67"/>
      <c r="JFA456" s="67"/>
      <c r="JFB456" s="67"/>
      <c r="JFC456" s="67"/>
      <c r="JFD456" s="67"/>
      <c r="JFE456" s="67"/>
      <c r="JFF456" s="67"/>
      <c r="JFG456" s="67"/>
      <c r="JFH456" s="67"/>
      <c r="JFI456" s="67"/>
      <c r="JFJ456" s="67"/>
      <c r="JFK456" s="67"/>
      <c r="JFL456" s="67"/>
      <c r="JFM456" s="67"/>
      <c r="JFN456" s="67"/>
      <c r="JFO456" s="67"/>
      <c r="JFP456" s="67"/>
      <c r="JFQ456" s="67"/>
      <c r="JFR456" s="67"/>
      <c r="JFS456" s="67"/>
      <c r="JFT456" s="67"/>
      <c r="JFU456" s="67"/>
      <c r="JFV456" s="67"/>
      <c r="JFW456" s="67"/>
      <c r="JFX456" s="67"/>
      <c r="JFY456" s="67"/>
      <c r="JFZ456" s="67"/>
      <c r="JGA456" s="67"/>
      <c r="JGB456" s="67"/>
      <c r="JGC456" s="67"/>
      <c r="JGD456" s="67"/>
      <c r="JGE456" s="67"/>
      <c r="JGF456" s="67"/>
      <c r="JGG456" s="67"/>
      <c r="JGH456" s="67"/>
      <c r="JGI456" s="67"/>
      <c r="JGJ456" s="67"/>
      <c r="JGK456" s="67"/>
      <c r="JGL456" s="67"/>
      <c r="JGM456" s="67"/>
      <c r="JGN456" s="67"/>
      <c r="JGO456" s="67"/>
      <c r="JGP456" s="67"/>
      <c r="JGQ456" s="67"/>
      <c r="JGR456" s="67"/>
      <c r="JGS456" s="67"/>
      <c r="JGT456" s="67"/>
      <c r="JGU456" s="67"/>
      <c r="JGV456" s="67"/>
      <c r="JGW456" s="67"/>
      <c r="JGX456" s="67"/>
      <c r="JGY456" s="67"/>
      <c r="JGZ456" s="67"/>
      <c r="JHA456" s="67"/>
      <c r="JHB456" s="67"/>
      <c r="JHC456" s="67"/>
      <c r="JHD456" s="67"/>
      <c r="JHE456" s="67"/>
      <c r="JHF456" s="67"/>
      <c r="JHG456" s="67"/>
      <c r="JHH456" s="67"/>
      <c r="JHI456" s="67"/>
      <c r="JHJ456" s="67"/>
      <c r="JHK456" s="67"/>
      <c r="JHL456" s="67"/>
      <c r="JHM456" s="67"/>
      <c r="JHN456" s="67"/>
      <c r="JHO456" s="67"/>
      <c r="JHP456" s="67"/>
      <c r="JHQ456" s="67"/>
      <c r="JHR456" s="67"/>
      <c r="JHS456" s="67"/>
      <c r="JHT456" s="67"/>
      <c r="JHU456" s="67"/>
      <c r="JHV456" s="67"/>
      <c r="JHW456" s="67"/>
      <c r="JHX456" s="67"/>
      <c r="JHY456" s="67"/>
      <c r="JHZ456" s="67"/>
      <c r="JIA456" s="67"/>
      <c r="JIB456" s="67"/>
      <c r="JIC456" s="67"/>
      <c r="JID456" s="67"/>
      <c r="JIE456" s="67"/>
      <c r="JIF456" s="67"/>
      <c r="JIG456" s="67"/>
      <c r="JIH456" s="67"/>
      <c r="JII456" s="67"/>
      <c r="JIJ456" s="67"/>
      <c r="JIK456" s="67"/>
      <c r="JIL456" s="67"/>
      <c r="JIM456" s="67"/>
      <c r="JIN456" s="67"/>
      <c r="JIO456" s="67"/>
      <c r="JIP456" s="67"/>
      <c r="JIQ456" s="67"/>
      <c r="JIR456" s="67"/>
      <c r="JIS456" s="67"/>
      <c r="JIT456" s="67"/>
      <c r="JIU456" s="67"/>
      <c r="JIV456" s="67"/>
      <c r="JIW456" s="67"/>
      <c r="JIX456" s="67"/>
      <c r="JIY456" s="67"/>
      <c r="JIZ456" s="67"/>
      <c r="JJA456" s="67"/>
      <c r="JJB456" s="67"/>
      <c r="JJC456" s="67"/>
      <c r="JJD456" s="67"/>
      <c r="JJE456" s="67"/>
      <c r="JJF456" s="67"/>
      <c r="JJG456" s="67"/>
      <c r="JJH456" s="67"/>
      <c r="JJI456" s="67"/>
      <c r="JJJ456" s="67"/>
      <c r="JJK456" s="67"/>
      <c r="JJL456" s="67"/>
      <c r="JJM456" s="67"/>
      <c r="JJN456" s="67"/>
      <c r="JJO456" s="67"/>
      <c r="JJP456" s="67"/>
      <c r="JJQ456" s="67"/>
      <c r="JJR456" s="67"/>
      <c r="JJS456" s="67"/>
      <c r="JJT456" s="67"/>
      <c r="JJU456" s="67"/>
      <c r="JJV456" s="67"/>
      <c r="JJW456" s="67"/>
      <c r="JJX456" s="67"/>
      <c r="JJY456" s="67"/>
      <c r="JJZ456" s="67"/>
      <c r="JKA456" s="67"/>
      <c r="JKB456" s="67"/>
      <c r="JKC456" s="67"/>
      <c r="JKD456" s="67"/>
      <c r="JKE456" s="67"/>
      <c r="JKF456" s="67"/>
      <c r="JKG456" s="67"/>
      <c r="JKH456" s="67"/>
      <c r="JKI456" s="67"/>
      <c r="JKJ456" s="67"/>
      <c r="JKK456" s="67"/>
      <c r="JKL456" s="67"/>
      <c r="JKM456" s="67"/>
      <c r="JKN456" s="67"/>
      <c r="JKO456" s="67"/>
      <c r="JKP456" s="67"/>
      <c r="JKQ456" s="67"/>
      <c r="JKR456" s="67"/>
      <c r="JKS456" s="67"/>
      <c r="JKT456" s="67"/>
      <c r="JKU456" s="67"/>
      <c r="JKV456" s="67"/>
      <c r="JKW456" s="67"/>
      <c r="JKX456" s="67"/>
      <c r="JKY456" s="67"/>
      <c r="JKZ456" s="67"/>
      <c r="JLA456" s="67"/>
      <c r="JLB456" s="67"/>
      <c r="JLC456" s="67"/>
      <c r="JLD456" s="67"/>
      <c r="JLE456" s="67"/>
      <c r="JLF456" s="67"/>
      <c r="JLG456" s="67"/>
      <c r="JLH456" s="67"/>
      <c r="JLI456" s="67"/>
      <c r="JLJ456" s="67"/>
      <c r="JLK456" s="67"/>
      <c r="JLL456" s="67"/>
      <c r="JLM456" s="67"/>
      <c r="JLN456" s="67"/>
      <c r="JLO456" s="67"/>
      <c r="JLP456" s="67"/>
      <c r="JLQ456" s="67"/>
      <c r="JLR456" s="67"/>
      <c r="JLS456" s="67"/>
      <c r="JLT456" s="67"/>
      <c r="JLU456" s="67"/>
      <c r="JLV456" s="67"/>
      <c r="JLW456" s="67"/>
      <c r="JLX456" s="67"/>
      <c r="JLY456" s="67"/>
      <c r="JLZ456" s="67"/>
      <c r="JMA456" s="67"/>
      <c r="JMB456" s="67"/>
      <c r="JMC456" s="67"/>
      <c r="JMD456" s="67"/>
      <c r="JME456" s="67"/>
      <c r="JMF456" s="67"/>
      <c r="JMG456" s="67"/>
      <c r="JMH456" s="67"/>
      <c r="JMI456" s="67"/>
      <c r="JMJ456" s="67"/>
      <c r="JMK456" s="67"/>
      <c r="JML456" s="67"/>
      <c r="JMM456" s="67"/>
      <c r="JMN456" s="67"/>
      <c r="JMO456" s="67"/>
      <c r="JMP456" s="67"/>
      <c r="JMQ456" s="67"/>
      <c r="JMR456" s="67"/>
      <c r="JMS456" s="67"/>
      <c r="JMT456" s="67"/>
      <c r="JMU456" s="67"/>
      <c r="JMV456" s="67"/>
      <c r="JMW456" s="67"/>
      <c r="JMX456" s="67"/>
      <c r="JMY456" s="67"/>
      <c r="JMZ456" s="67"/>
      <c r="JNA456" s="67"/>
      <c r="JNB456" s="67"/>
      <c r="JNC456" s="67"/>
      <c r="JND456" s="67"/>
      <c r="JNE456" s="67"/>
      <c r="JNF456" s="67"/>
      <c r="JNG456" s="67"/>
      <c r="JNH456" s="67"/>
      <c r="JNI456" s="67"/>
      <c r="JNJ456" s="67"/>
      <c r="JNK456" s="67"/>
      <c r="JNL456" s="67"/>
      <c r="JNM456" s="67"/>
      <c r="JNN456" s="67"/>
      <c r="JNO456" s="67"/>
      <c r="JNP456" s="67"/>
      <c r="JNQ456" s="67"/>
      <c r="JNR456" s="67"/>
      <c r="JNS456" s="67"/>
      <c r="JNT456" s="67"/>
      <c r="JNU456" s="67"/>
      <c r="JNV456" s="67"/>
      <c r="JNW456" s="67"/>
      <c r="JNX456" s="67"/>
      <c r="JNY456" s="67"/>
      <c r="JNZ456" s="67"/>
      <c r="JOA456" s="67"/>
      <c r="JOB456" s="67"/>
      <c r="JOC456" s="67"/>
      <c r="JOD456" s="67"/>
      <c r="JOE456" s="67"/>
      <c r="JOF456" s="67"/>
      <c r="JOG456" s="67"/>
      <c r="JOH456" s="67"/>
      <c r="JOI456" s="67"/>
      <c r="JOJ456" s="67"/>
      <c r="JOK456" s="67"/>
      <c r="JOL456" s="67"/>
      <c r="JOM456" s="67"/>
      <c r="JON456" s="67"/>
      <c r="JOO456" s="67"/>
      <c r="JOP456" s="67"/>
      <c r="JOQ456" s="67"/>
      <c r="JOR456" s="67"/>
      <c r="JOS456" s="67"/>
      <c r="JOT456" s="67"/>
      <c r="JOU456" s="67"/>
      <c r="JOV456" s="67"/>
      <c r="JOW456" s="67"/>
      <c r="JOX456" s="67"/>
      <c r="JOY456" s="67"/>
      <c r="JOZ456" s="67"/>
      <c r="JPA456" s="67"/>
      <c r="JPB456" s="67"/>
      <c r="JPC456" s="67"/>
      <c r="JPD456" s="67"/>
      <c r="JPE456" s="67"/>
      <c r="JPF456" s="67"/>
      <c r="JPG456" s="67"/>
      <c r="JPH456" s="67"/>
      <c r="JPI456" s="67"/>
      <c r="JPJ456" s="67"/>
      <c r="JPK456" s="67"/>
      <c r="JPL456" s="67"/>
      <c r="JPM456" s="67"/>
      <c r="JPN456" s="67"/>
      <c r="JPO456" s="67"/>
      <c r="JPP456" s="67"/>
      <c r="JPQ456" s="67"/>
      <c r="JPR456" s="67"/>
      <c r="JPS456" s="67"/>
      <c r="JPT456" s="67"/>
      <c r="JPU456" s="67"/>
      <c r="JPV456" s="67"/>
      <c r="JPW456" s="67"/>
      <c r="JPX456" s="67"/>
      <c r="JPY456" s="67"/>
      <c r="JPZ456" s="67"/>
      <c r="JQA456" s="67"/>
      <c r="JQB456" s="67"/>
      <c r="JQC456" s="67"/>
      <c r="JQD456" s="67"/>
      <c r="JQE456" s="67"/>
      <c r="JQF456" s="67"/>
      <c r="JQG456" s="67"/>
      <c r="JQH456" s="67"/>
      <c r="JQI456" s="67"/>
      <c r="JQJ456" s="67"/>
      <c r="JQK456" s="67"/>
      <c r="JQL456" s="67"/>
      <c r="JQM456" s="67"/>
      <c r="JQN456" s="67"/>
      <c r="JQO456" s="67"/>
      <c r="JQP456" s="67"/>
      <c r="JQQ456" s="67"/>
      <c r="JQR456" s="67"/>
      <c r="JQS456" s="67"/>
      <c r="JQT456" s="67"/>
      <c r="JQU456" s="67"/>
      <c r="JQV456" s="67"/>
      <c r="JQW456" s="67"/>
      <c r="JQX456" s="67"/>
      <c r="JQY456" s="67"/>
      <c r="JQZ456" s="67"/>
      <c r="JRA456" s="67"/>
      <c r="JRB456" s="67"/>
      <c r="JRC456" s="67"/>
      <c r="JRD456" s="67"/>
      <c r="JRE456" s="67"/>
      <c r="JRF456" s="67"/>
      <c r="JRG456" s="67"/>
      <c r="JRH456" s="67"/>
      <c r="JRI456" s="67"/>
      <c r="JRJ456" s="67"/>
      <c r="JRK456" s="67"/>
      <c r="JRL456" s="67"/>
      <c r="JRM456" s="67"/>
      <c r="JRN456" s="67"/>
      <c r="JRO456" s="67"/>
      <c r="JRP456" s="67"/>
      <c r="JRQ456" s="67"/>
      <c r="JRR456" s="67"/>
      <c r="JRS456" s="67"/>
      <c r="JRT456" s="67"/>
      <c r="JRU456" s="67"/>
      <c r="JRV456" s="67"/>
      <c r="JRW456" s="67"/>
      <c r="JRX456" s="67"/>
      <c r="JRY456" s="67"/>
      <c r="JRZ456" s="67"/>
      <c r="JSA456" s="67"/>
      <c r="JSB456" s="67"/>
      <c r="JSC456" s="67"/>
      <c r="JSD456" s="67"/>
      <c r="JSE456" s="67"/>
      <c r="JSF456" s="67"/>
      <c r="JSG456" s="67"/>
      <c r="JSH456" s="67"/>
      <c r="JSI456" s="67"/>
      <c r="JSJ456" s="67"/>
      <c r="JSK456" s="67"/>
      <c r="JSL456" s="67"/>
      <c r="JSM456" s="67"/>
      <c r="JSN456" s="67"/>
      <c r="JSO456" s="67"/>
      <c r="JSP456" s="67"/>
      <c r="JSQ456" s="67"/>
      <c r="JSR456" s="67"/>
      <c r="JSS456" s="67"/>
      <c r="JST456" s="67"/>
      <c r="JSU456" s="67"/>
      <c r="JSV456" s="67"/>
      <c r="JSW456" s="67"/>
      <c r="JSX456" s="67"/>
      <c r="JSY456" s="67"/>
      <c r="JSZ456" s="67"/>
      <c r="JTA456" s="67"/>
      <c r="JTB456" s="67"/>
      <c r="JTC456" s="67"/>
      <c r="JTD456" s="67"/>
      <c r="JTE456" s="67"/>
      <c r="JTF456" s="67"/>
      <c r="JTG456" s="67"/>
      <c r="JTH456" s="67"/>
      <c r="JTI456" s="67"/>
      <c r="JTJ456" s="67"/>
      <c r="JTK456" s="67"/>
      <c r="JTL456" s="67"/>
      <c r="JTM456" s="67"/>
      <c r="JTN456" s="67"/>
      <c r="JTO456" s="67"/>
      <c r="JTP456" s="67"/>
      <c r="JTQ456" s="67"/>
      <c r="JTR456" s="67"/>
      <c r="JTS456" s="67"/>
      <c r="JTT456" s="67"/>
      <c r="JTU456" s="67"/>
      <c r="JTV456" s="67"/>
      <c r="JTW456" s="67"/>
      <c r="JTX456" s="67"/>
      <c r="JTY456" s="67"/>
      <c r="JTZ456" s="67"/>
      <c r="JUA456" s="67"/>
      <c r="JUB456" s="67"/>
      <c r="JUC456" s="67"/>
      <c r="JUD456" s="67"/>
      <c r="JUE456" s="67"/>
      <c r="JUF456" s="67"/>
      <c r="JUG456" s="67"/>
      <c r="JUH456" s="67"/>
      <c r="JUI456" s="67"/>
      <c r="JUJ456" s="67"/>
      <c r="JUK456" s="67"/>
      <c r="JUL456" s="67"/>
      <c r="JUM456" s="67"/>
      <c r="JUN456" s="67"/>
      <c r="JUO456" s="67"/>
      <c r="JUP456" s="67"/>
      <c r="JUQ456" s="67"/>
      <c r="JUR456" s="67"/>
      <c r="JUS456" s="67"/>
      <c r="JUT456" s="67"/>
      <c r="JUU456" s="67"/>
      <c r="JUV456" s="67"/>
      <c r="JUW456" s="67"/>
      <c r="JUX456" s="67"/>
      <c r="JUY456" s="67"/>
      <c r="JUZ456" s="67"/>
      <c r="JVA456" s="67"/>
      <c r="JVB456" s="67"/>
      <c r="JVC456" s="67"/>
      <c r="JVD456" s="67"/>
      <c r="JVE456" s="67"/>
      <c r="JVF456" s="67"/>
      <c r="JVG456" s="67"/>
      <c r="JVH456" s="67"/>
      <c r="JVI456" s="67"/>
      <c r="JVJ456" s="67"/>
      <c r="JVK456" s="67"/>
      <c r="JVL456" s="67"/>
      <c r="JVM456" s="67"/>
      <c r="JVN456" s="67"/>
      <c r="JVO456" s="67"/>
      <c r="JVP456" s="67"/>
      <c r="JVQ456" s="67"/>
      <c r="JVR456" s="67"/>
      <c r="JVS456" s="67"/>
      <c r="JVT456" s="67"/>
      <c r="JVU456" s="67"/>
      <c r="JVV456" s="67"/>
      <c r="JVW456" s="67"/>
      <c r="JVX456" s="67"/>
      <c r="JVY456" s="67"/>
      <c r="JVZ456" s="67"/>
      <c r="JWA456" s="67"/>
      <c r="JWB456" s="67"/>
      <c r="JWC456" s="67"/>
      <c r="JWD456" s="67"/>
      <c r="JWE456" s="67"/>
      <c r="JWF456" s="67"/>
      <c r="JWG456" s="67"/>
      <c r="JWH456" s="67"/>
      <c r="JWI456" s="67"/>
      <c r="JWJ456" s="67"/>
      <c r="JWK456" s="67"/>
      <c r="JWL456" s="67"/>
      <c r="JWM456" s="67"/>
      <c r="JWN456" s="67"/>
      <c r="JWO456" s="67"/>
      <c r="JWP456" s="67"/>
      <c r="JWQ456" s="67"/>
      <c r="JWR456" s="67"/>
      <c r="JWS456" s="67"/>
      <c r="JWT456" s="67"/>
      <c r="JWU456" s="67"/>
      <c r="JWV456" s="67"/>
      <c r="JWW456" s="67"/>
      <c r="JWX456" s="67"/>
      <c r="JWY456" s="67"/>
      <c r="JWZ456" s="67"/>
      <c r="JXA456" s="67"/>
      <c r="JXB456" s="67"/>
      <c r="JXC456" s="67"/>
      <c r="JXD456" s="67"/>
      <c r="JXE456" s="67"/>
      <c r="JXF456" s="67"/>
      <c r="JXG456" s="67"/>
      <c r="JXH456" s="67"/>
      <c r="JXI456" s="67"/>
      <c r="JXJ456" s="67"/>
      <c r="JXK456" s="67"/>
      <c r="JXL456" s="67"/>
      <c r="JXM456" s="67"/>
      <c r="JXN456" s="67"/>
      <c r="JXO456" s="67"/>
      <c r="JXP456" s="67"/>
      <c r="JXQ456" s="67"/>
      <c r="JXR456" s="67"/>
      <c r="JXS456" s="67"/>
      <c r="JXT456" s="67"/>
      <c r="JXU456" s="67"/>
      <c r="JXV456" s="67"/>
      <c r="JXW456" s="67"/>
      <c r="JXX456" s="67"/>
      <c r="JXY456" s="67"/>
      <c r="JXZ456" s="67"/>
      <c r="JYA456" s="67"/>
      <c r="JYB456" s="67"/>
      <c r="JYC456" s="67"/>
      <c r="JYD456" s="67"/>
      <c r="JYE456" s="67"/>
      <c r="JYF456" s="67"/>
      <c r="JYG456" s="67"/>
      <c r="JYH456" s="67"/>
      <c r="JYI456" s="67"/>
      <c r="JYJ456" s="67"/>
      <c r="JYK456" s="67"/>
      <c r="JYL456" s="67"/>
      <c r="JYM456" s="67"/>
      <c r="JYN456" s="67"/>
      <c r="JYO456" s="67"/>
      <c r="JYP456" s="67"/>
      <c r="JYQ456" s="67"/>
      <c r="JYR456" s="67"/>
      <c r="JYS456" s="67"/>
      <c r="JYT456" s="67"/>
      <c r="JYU456" s="67"/>
      <c r="JYV456" s="67"/>
      <c r="JYW456" s="67"/>
      <c r="JYX456" s="67"/>
      <c r="JYY456" s="67"/>
      <c r="JYZ456" s="67"/>
      <c r="JZA456" s="67"/>
      <c r="JZB456" s="67"/>
      <c r="JZC456" s="67"/>
      <c r="JZD456" s="67"/>
      <c r="JZE456" s="67"/>
      <c r="JZF456" s="67"/>
      <c r="JZG456" s="67"/>
      <c r="JZH456" s="67"/>
      <c r="JZI456" s="67"/>
      <c r="JZJ456" s="67"/>
      <c r="JZK456" s="67"/>
      <c r="JZL456" s="67"/>
      <c r="JZM456" s="67"/>
      <c r="JZN456" s="67"/>
      <c r="JZO456" s="67"/>
      <c r="JZP456" s="67"/>
      <c r="JZQ456" s="67"/>
      <c r="JZR456" s="67"/>
      <c r="JZS456" s="67"/>
      <c r="JZT456" s="67"/>
      <c r="JZU456" s="67"/>
      <c r="JZV456" s="67"/>
      <c r="JZW456" s="67"/>
      <c r="JZX456" s="67"/>
      <c r="JZY456" s="67"/>
      <c r="JZZ456" s="67"/>
      <c r="KAA456" s="67"/>
      <c r="KAB456" s="67"/>
      <c r="KAC456" s="67"/>
      <c r="KAD456" s="67"/>
      <c r="KAE456" s="67"/>
      <c r="KAF456" s="67"/>
      <c r="KAG456" s="67"/>
      <c r="KAH456" s="67"/>
      <c r="KAI456" s="67"/>
      <c r="KAJ456" s="67"/>
      <c r="KAK456" s="67"/>
      <c r="KAL456" s="67"/>
      <c r="KAM456" s="67"/>
      <c r="KAN456" s="67"/>
      <c r="KAO456" s="67"/>
      <c r="KAP456" s="67"/>
      <c r="KAQ456" s="67"/>
      <c r="KAR456" s="67"/>
      <c r="KAS456" s="67"/>
      <c r="KAT456" s="67"/>
      <c r="KAU456" s="67"/>
      <c r="KAV456" s="67"/>
      <c r="KAW456" s="67"/>
      <c r="KAX456" s="67"/>
      <c r="KAY456" s="67"/>
      <c r="KAZ456" s="67"/>
      <c r="KBA456" s="67"/>
      <c r="KBB456" s="67"/>
      <c r="KBC456" s="67"/>
      <c r="KBD456" s="67"/>
      <c r="KBE456" s="67"/>
      <c r="KBF456" s="67"/>
      <c r="KBG456" s="67"/>
      <c r="KBH456" s="67"/>
      <c r="KBI456" s="67"/>
      <c r="KBJ456" s="67"/>
      <c r="KBK456" s="67"/>
      <c r="KBL456" s="67"/>
      <c r="KBM456" s="67"/>
      <c r="KBN456" s="67"/>
      <c r="KBO456" s="67"/>
      <c r="KBP456" s="67"/>
      <c r="KBQ456" s="67"/>
      <c r="KBR456" s="67"/>
      <c r="KBS456" s="67"/>
      <c r="KBT456" s="67"/>
      <c r="KBU456" s="67"/>
      <c r="KBV456" s="67"/>
      <c r="KBW456" s="67"/>
      <c r="KBX456" s="67"/>
      <c r="KBY456" s="67"/>
      <c r="KBZ456" s="67"/>
      <c r="KCA456" s="67"/>
      <c r="KCB456" s="67"/>
      <c r="KCC456" s="67"/>
      <c r="KCD456" s="67"/>
      <c r="KCE456" s="67"/>
      <c r="KCF456" s="67"/>
      <c r="KCG456" s="67"/>
      <c r="KCH456" s="67"/>
      <c r="KCI456" s="67"/>
      <c r="KCJ456" s="67"/>
      <c r="KCK456" s="67"/>
      <c r="KCL456" s="67"/>
      <c r="KCM456" s="67"/>
      <c r="KCN456" s="67"/>
      <c r="KCO456" s="67"/>
      <c r="KCP456" s="67"/>
      <c r="KCQ456" s="67"/>
      <c r="KCR456" s="67"/>
      <c r="KCS456" s="67"/>
      <c r="KCT456" s="67"/>
      <c r="KCU456" s="67"/>
      <c r="KCV456" s="67"/>
      <c r="KCW456" s="67"/>
      <c r="KCX456" s="67"/>
      <c r="KCY456" s="67"/>
      <c r="KCZ456" s="67"/>
      <c r="KDA456" s="67"/>
      <c r="KDB456" s="67"/>
      <c r="KDC456" s="67"/>
      <c r="KDD456" s="67"/>
      <c r="KDE456" s="67"/>
      <c r="KDF456" s="67"/>
      <c r="KDG456" s="67"/>
      <c r="KDH456" s="67"/>
      <c r="KDI456" s="67"/>
      <c r="KDJ456" s="67"/>
      <c r="KDK456" s="67"/>
      <c r="KDL456" s="67"/>
      <c r="KDM456" s="67"/>
      <c r="KDN456" s="67"/>
      <c r="KDO456" s="67"/>
      <c r="KDP456" s="67"/>
      <c r="KDQ456" s="67"/>
      <c r="KDR456" s="67"/>
      <c r="KDS456" s="67"/>
      <c r="KDT456" s="67"/>
      <c r="KDU456" s="67"/>
      <c r="KDV456" s="67"/>
      <c r="KDW456" s="67"/>
      <c r="KDX456" s="67"/>
      <c r="KDY456" s="67"/>
      <c r="KDZ456" s="67"/>
      <c r="KEA456" s="67"/>
      <c r="KEB456" s="67"/>
      <c r="KEC456" s="67"/>
      <c r="KED456" s="67"/>
      <c r="KEE456" s="67"/>
      <c r="KEF456" s="67"/>
      <c r="KEG456" s="67"/>
      <c r="KEH456" s="67"/>
      <c r="KEI456" s="67"/>
      <c r="KEJ456" s="67"/>
      <c r="KEK456" s="67"/>
      <c r="KEL456" s="67"/>
      <c r="KEM456" s="67"/>
      <c r="KEN456" s="67"/>
      <c r="KEO456" s="67"/>
      <c r="KEP456" s="67"/>
      <c r="KEQ456" s="67"/>
      <c r="KER456" s="67"/>
      <c r="KES456" s="67"/>
      <c r="KET456" s="67"/>
      <c r="KEU456" s="67"/>
      <c r="KEV456" s="67"/>
      <c r="KEW456" s="67"/>
      <c r="KEX456" s="67"/>
      <c r="KEY456" s="67"/>
      <c r="KEZ456" s="67"/>
      <c r="KFA456" s="67"/>
      <c r="KFB456" s="67"/>
      <c r="KFC456" s="67"/>
      <c r="KFD456" s="67"/>
      <c r="KFE456" s="67"/>
      <c r="KFF456" s="67"/>
      <c r="KFG456" s="67"/>
      <c r="KFH456" s="67"/>
      <c r="KFI456" s="67"/>
      <c r="KFJ456" s="67"/>
      <c r="KFK456" s="67"/>
      <c r="KFL456" s="67"/>
      <c r="KFM456" s="67"/>
      <c r="KFN456" s="67"/>
      <c r="KFO456" s="67"/>
      <c r="KFP456" s="67"/>
      <c r="KFQ456" s="67"/>
      <c r="KFR456" s="67"/>
      <c r="KFS456" s="67"/>
      <c r="KFT456" s="67"/>
      <c r="KFU456" s="67"/>
      <c r="KFV456" s="67"/>
      <c r="KFW456" s="67"/>
      <c r="KFX456" s="67"/>
      <c r="KFY456" s="67"/>
      <c r="KFZ456" s="67"/>
      <c r="KGA456" s="67"/>
      <c r="KGB456" s="67"/>
      <c r="KGC456" s="67"/>
      <c r="KGD456" s="67"/>
      <c r="KGE456" s="67"/>
      <c r="KGF456" s="67"/>
      <c r="KGG456" s="67"/>
      <c r="KGH456" s="67"/>
      <c r="KGI456" s="67"/>
      <c r="KGJ456" s="67"/>
      <c r="KGK456" s="67"/>
      <c r="KGL456" s="67"/>
      <c r="KGM456" s="67"/>
      <c r="KGN456" s="67"/>
      <c r="KGO456" s="67"/>
      <c r="KGP456" s="67"/>
      <c r="KGQ456" s="67"/>
      <c r="KGR456" s="67"/>
      <c r="KGS456" s="67"/>
      <c r="KGT456" s="67"/>
      <c r="KGU456" s="67"/>
      <c r="KGV456" s="67"/>
      <c r="KGW456" s="67"/>
      <c r="KGX456" s="67"/>
      <c r="KGY456" s="67"/>
      <c r="KGZ456" s="67"/>
      <c r="KHA456" s="67"/>
      <c r="KHB456" s="67"/>
      <c r="KHC456" s="67"/>
      <c r="KHD456" s="67"/>
      <c r="KHE456" s="67"/>
      <c r="KHF456" s="67"/>
      <c r="KHG456" s="67"/>
      <c r="KHH456" s="67"/>
      <c r="KHI456" s="67"/>
      <c r="KHJ456" s="67"/>
      <c r="KHK456" s="67"/>
      <c r="KHL456" s="67"/>
      <c r="KHM456" s="67"/>
      <c r="KHN456" s="67"/>
      <c r="KHO456" s="67"/>
      <c r="KHP456" s="67"/>
      <c r="KHQ456" s="67"/>
      <c r="KHR456" s="67"/>
      <c r="KHS456" s="67"/>
      <c r="KHT456" s="67"/>
      <c r="KHU456" s="67"/>
      <c r="KHV456" s="67"/>
      <c r="KHW456" s="67"/>
      <c r="KHX456" s="67"/>
      <c r="KHY456" s="67"/>
      <c r="KHZ456" s="67"/>
      <c r="KIA456" s="67"/>
      <c r="KIB456" s="67"/>
      <c r="KIC456" s="67"/>
      <c r="KID456" s="67"/>
      <c r="KIE456" s="67"/>
      <c r="KIF456" s="67"/>
      <c r="KIG456" s="67"/>
      <c r="KIH456" s="67"/>
      <c r="KII456" s="67"/>
      <c r="KIJ456" s="67"/>
      <c r="KIK456" s="67"/>
      <c r="KIL456" s="67"/>
      <c r="KIM456" s="67"/>
      <c r="KIN456" s="67"/>
      <c r="KIO456" s="67"/>
      <c r="KIP456" s="67"/>
      <c r="KIQ456" s="67"/>
      <c r="KIR456" s="67"/>
      <c r="KIS456" s="67"/>
      <c r="KIT456" s="67"/>
      <c r="KIU456" s="67"/>
      <c r="KIV456" s="67"/>
      <c r="KIW456" s="67"/>
      <c r="KIX456" s="67"/>
      <c r="KIY456" s="67"/>
      <c r="KIZ456" s="67"/>
      <c r="KJA456" s="67"/>
      <c r="KJB456" s="67"/>
      <c r="KJC456" s="67"/>
      <c r="KJD456" s="67"/>
      <c r="KJE456" s="67"/>
      <c r="KJF456" s="67"/>
      <c r="KJG456" s="67"/>
      <c r="KJH456" s="67"/>
      <c r="KJI456" s="67"/>
      <c r="KJJ456" s="67"/>
      <c r="KJK456" s="67"/>
      <c r="KJL456" s="67"/>
      <c r="KJM456" s="67"/>
      <c r="KJN456" s="67"/>
      <c r="KJO456" s="67"/>
      <c r="KJP456" s="67"/>
      <c r="KJQ456" s="67"/>
      <c r="KJR456" s="67"/>
      <c r="KJS456" s="67"/>
      <c r="KJT456" s="67"/>
      <c r="KJU456" s="67"/>
      <c r="KJV456" s="67"/>
      <c r="KJW456" s="67"/>
      <c r="KJX456" s="67"/>
      <c r="KJY456" s="67"/>
      <c r="KJZ456" s="67"/>
      <c r="KKA456" s="67"/>
      <c r="KKB456" s="67"/>
      <c r="KKC456" s="67"/>
      <c r="KKD456" s="67"/>
      <c r="KKE456" s="67"/>
      <c r="KKF456" s="67"/>
      <c r="KKG456" s="67"/>
      <c r="KKH456" s="67"/>
      <c r="KKI456" s="67"/>
      <c r="KKJ456" s="67"/>
      <c r="KKK456" s="67"/>
      <c r="KKL456" s="67"/>
      <c r="KKM456" s="67"/>
      <c r="KKN456" s="67"/>
      <c r="KKO456" s="67"/>
      <c r="KKP456" s="67"/>
      <c r="KKQ456" s="67"/>
      <c r="KKR456" s="67"/>
      <c r="KKS456" s="67"/>
      <c r="KKT456" s="67"/>
      <c r="KKU456" s="67"/>
      <c r="KKV456" s="67"/>
      <c r="KKW456" s="67"/>
      <c r="KKX456" s="67"/>
      <c r="KKY456" s="67"/>
      <c r="KKZ456" s="67"/>
      <c r="KLA456" s="67"/>
      <c r="KLB456" s="67"/>
      <c r="KLC456" s="67"/>
      <c r="KLD456" s="67"/>
      <c r="KLE456" s="67"/>
      <c r="KLF456" s="67"/>
      <c r="KLG456" s="67"/>
      <c r="KLH456" s="67"/>
      <c r="KLI456" s="67"/>
      <c r="KLJ456" s="67"/>
      <c r="KLK456" s="67"/>
      <c r="KLL456" s="67"/>
      <c r="KLM456" s="67"/>
      <c r="KLN456" s="67"/>
      <c r="KLO456" s="67"/>
      <c r="KLP456" s="67"/>
      <c r="KLQ456" s="67"/>
      <c r="KLR456" s="67"/>
      <c r="KLS456" s="67"/>
      <c r="KLT456" s="67"/>
      <c r="KLU456" s="67"/>
      <c r="KLV456" s="67"/>
      <c r="KLW456" s="67"/>
      <c r="KLX456" s="67"/>
      <c r="KLY456" s="67"/>
      <c r="KLZ456" s="67"/>
      <c r="KMA456" s="67"/>
      <c r="KMB456" s="67"/>
      <c r="KMC456" s="67"/>
      <c r="KMD456" s="67"/>
      <c r="KME456" s="67"/>
      <c r="KMF456" s="67"/>
      <c r="KMG456" s="67"/>
      <c r="KMH456" s="67"/>
      <c r="KMI456" s="67"/>
      <c r="KMJ456" s="67"/>
      <c r="KMK456" s="67"/>
      <c r="KML456" s="67"/>
      <c r="KMM456" s="67"/>
      <c r="KMN456" s="67"/>
      <c r="KMO456" s="67"/>
      <c r="KMP456" s="67"/>
      <c r="KMQ456" s="67"/>
      <c r="KMR456" s="67"/>
      <c r="KMS456" s="67"/>
      <c r="KMT456" s="67"/>
      <c r="KMU456" s="67"/>
      <c r="KMV456" s="67"/>
      <c r="KMW456" s="67"/>
      <c r="KMX456" s="67"/>
      <c r="KMY456" s="67"/>
      <c r="KMZ456" s="67"/>
      <c r="KNA456" s="67"/>
      <c r="KNB456" s="67"/>
      <c r="KNC456" s="67"/>
      <c r="KND456" s="67"/>
      <c r="KNE456" s="67"/>
      <c r="KNF456" s="67"/>
      <c r="KNG456" s="67"/>
      <c r="KNH456" s="67"/>
      <c r="KNI456" s="67"/>
      <c r="KNJ456" s="67"/>
      <c r="KNK456" s="67"/>
      <c r="KNL456" s="67"/>
      <c r="KNM456" s="67"/>
      <c r="KNN456" s="67"/>
      <c r="KNO456" s="67"/>
      <c r="KNP456" s="67"/>
      <c r="KNQ456" s="67"/>
      <c r="KNR456" s="67"/>
      <c r="KNS456" s="67"/>
      <c r="KNT456" s="67"/>
      <c r="KNU456" s="67"/>
      <c r="KNV456" s="67"/>
      <c r="KNW456" s="67"/>
      <c r="KNX456" s="67"/>
      <c r="KNY456" s="67"/>
      <c r="KNZ456" s="67"/>
      <c r="KOA456" s="67"/>
      <c r="KOB456" s="67"/>
      <c r="KOC456" s="67"/>
      <c r="KOD456" s="67"/>
      <c r="KOE456" s="67"/>
      <c r="KOF456" s="67"/>
      <c r="KOG456" s="67"/>
      <c r="KOH456" s="67"/>
      <c r="KOI456" s="67"/>
      <c r="KOJ456" s="67"/>
      <c r="KOK456" s="67"/>
      <c r="KOL456" s="67"/>
      <c r="KOM456" s="67"/>
      <c r="KON456" s="67"/>
      <c r="KOO456" s="67"/>
      <c r="KOP456" s="67"/>
      <c r="KOQ456" s="67"/>
      <c r="KOR456" s="67"/>
      <c r="KOS456" s="67"/>
      <c r="KOT456" s="67"/>
      <c r="KOU456" s="67"/>
      <c r="KOV456" s="67"/>
      <c r="KOW456" s="67"/>
      <c r="KOX456" s="67"/>
      <c r="KOY456" s="67"/>
      <c r="KOZ456" s="67"/>
      <c r="KPA456" s="67"/>
      <c r="KPB456" s="67"/>
      <c r="KPC456" s="67"/>
      <c r="KPD456" s="67"/>
      <c r="KPE456" s="67"/>
      <c r="KPF456" s="67"/>
      <c r="KPG456" s="67"/>
      <c r="KPH456" s="67"/>
      <c r="KPI456" s="67"/>
      <c r="KPJ456" s="67"/>
      <c r="KPK456" s="67"/>
      <c r="KPL456" s="67"/>
      <c r="KPM456" s="67"/>
      <c r="KPN456" s="67"/>
      <c r="KPO456" s="67"/>
      <c r="KPP456" s="67"/>
      <c r="KPQ456" s="67"/>
      <c r="KPR456" s="67"/>
      <c r="KPS456" s="67"/>
      <c r="KPT456" s="67"/>
      <c r="KPU456" s="67"/>
      <c r="KPV456" s="67"/>
      <c r="KPW456" s="67"/>
      <c r="KPX456" s="67"/>
      <c r="KPY456" s="67"/>
      <c r="KPZ456" s="67"/>
      <c r="KQA456" s="67"/>
      <c r="KQB456" s="67"/>
      <c r="KQC456" s="67"/>
      <c r="KQD456" s="67"/>
      <c r="KQE456" s="67"/>
      <c r="KQF456" s="67"/>
      <c r="KQG456" s="67"/>
      <c r="KQH456" s="67"/>
      <c r="KQI456" s="67"/>
      <c r="KQJ456" s="67"/>
      <c r="KQK456" s="67"/>
      <c r="KQL456" s="67"/>
      <c r="KQM456" s="67"/>
      <c r="KQN456" s="67"/>
      <c r="KQO456" s="67"/>
      <c r="KQP456" s="67"/>
      <c r="KQQ456" s="67"/>
      <c r="KQR456" s="67"/>
      <c r="KQS456" s="67"/>
      <c r="KQT456" s="67"/>
      <c r="KQU456" s="67"/>
      <c r="KQV456" s="67"/>
      <c r="KQW456" s="67"/>
      <c r="KQX456" s="67"/>
      <c r="KQY456" s="67"/>
      <c r="KQZ456" s="67"/>
      <c r="KRA456" s="67"/>
      <c r="KRB456" s="67"/>
      <c r="KRC456" s="67"/>
      <c r="KRD456" s="67"/>
      <c r="KRE456" s="67"/>
      <c r="KRF456" s="67"/>
      <c r="KRG456" s="67"/>
      <c r="KRH456" s="67"/>
      <c r="KRI456" s="67"/>
      <c r="KRJ456" s="67"/>
      <c r="KRK456" s="67"/>
      <c r="KRL456" s="67"/>
      <c r="KRM456" s="67"/>
      <c r="KRN456" s="67"/>
      <c r="KRO456" s="67"/>
      <c r="KRP456" s="67"/>
      <c r="KRQ456" s="67"/>
      <c r="KRR456" s="67"/>
      <c r="KRS456" s="67"/>
      <c r="KRT456" s="67"/>
      <c r="KRU456" s="67"/>
      <c r="KRV456" s="67"/>
      <c r="KRW456" s="67"/>
      <c r="KRX456" s="67"/>
      <c r="KRY456" s="67"/>
      <c r="KRZ456" s="67"/>
      <c r="KSA456" s="67"/>
      <c r="KSB456" s="67"/>
      <c r="KSC456" s="67"/>
      <c r="KSD456" s="67"/>
      <c r="KSE456" s="67"/>
      <c r="KSF456" s="67"/>
      <c r="KSG456" s="67"/>
      <c r="KSH456" s="67"/>
      <c r="KSI456" s="67"/>
      <c r="KSJ456" s="67"/>
      <c r="KSK456" s="67"/>
      <c r="KSL456" s="67"/>
      <c r="KSM456" s="67"/>
      <c r="KSN456" s="67"/>
      <c r="KSO456" s="67"/>
      <c r="KSP456" s="67"/>
      <c r="KSQ456" s="67"/>
      <c r="KSR456" s="67"/>
      <c r="KSS456" s="67"/>
      <c r="KST456" s="67"/>
      <c r="KSU456" s="67"/>
      <c r="KSV456" s="67"/>
      <c r="KSW456" s="67"/>
      <c r="KSX456" s="67"/>
      <c r="KSY456" s="67"/>
      <c r="KSZ456" s="67"/>
      <c r="KTA456" s="67"/>
      <c r="KTB456" s="67"/>
      <c r="KTC456" s="67"/>
      <c r="KTD456" s="67"/>
      <c r="KTE456" s="67"/>
      <c r="KTF456" s="67"/>
      <c r="KTG456" s="67"/>
      <c r="KTH456" s="67"/>
      <c r="KTI456" s="67"/>
      <c r="KTJ456" s="67"/>
      <c r="KTK456" s="67"/>
      <c r="KTL456" s="67"/>
      <c r="KTM456" s="67"/>
      <c r="KTN456" s="67"/>
      <c r="KTO456" s="67"/>
      <c r="KTP456" s="67"/>
      <c r="KTQ456" s="67"/>
      <c r="KTR456" s="67"/>
      <c r="KTS456" s="67"/>
      <c r="KTT456" s="67"/>
      <c r="KTU456" s="67"/>
      <c r="KTV456" s="67"/>
      <c r="KTW456" s="67"/>
      <c r="KTX456" s="67"/>
      <c r="KTY456" s="67"/>
      <c r="KTZ456" s="67"/>
      <c r="KUA456" s="67"/>
      <c r="KUB456" s="67"/>
      <c r="KUC456" s="67"/>
      <c r="KUD456" s="67"/>
      <c r="KUE456" s="67"/>
      <c r="KUF456" s="67"/>
      <c r="KUG456" s="67"/>
      <c r="KUH456" s="67"/>
      <c r="KUI456" s="67"/>
      <c r="KUJ456" s="67"/>
      <c r="KUK456" s="67"/>
      <c r="KUL456" s="67"/>
      <c r="KUM456" s="67"/>
      <c r="KUN456" s="67"/>
      <c r="KUO456" s="67"/>
      <c r="KUP456" s="67"/>
      <c r="KUQ456" s="67"/>
      <c r="KUR456" s="67"/>
      <c r="KUS456" s="67"/>
      <c r="KUT456" s="67"/>
      <c r="KUU456" s="67"/>
      <c r="KUV456" s="67"/>
      <c r="KUW456" s="67"/>
      <c r="KUX456" s="67"/>
      <c r="KUY456" s="67"/>
      <c r="KUZ456" s="67"/>
      <c r="KVA456" s="67"/>
      <c r="KVB456" s="67"/>
      <c r="KVC456" s="67"/>
      <c r="KVD456" s="67"/>
      <c r="KVE456" s="67"/>
      <c r="KVF456" s="67"/>
      <c r="KVG456" s="67"/>
      <c r="KVH456" s="67"/>
      <c r="KVI456" s="67"/>
      <c r="KVJ456" s="67"/>
      <c r="KVK456" s="67"/>
      <c r="KVL456" s="67"/>
      <c r="KVM456" s="67"/>
      <c r="KVN456" s="67"/>
      <c r="KVO456" s="67"/>
      <c r="KVP456" s="67"/>
      <c r="KVQ456" s="67"/>
      <c r="KVR456" s="67"/>
      <c r="KVS456" s="67"/>
      <c r="KVT456" s="67"/>
      <c r="KVU456" s="67"/>
      <c r="KVV456" s="67"/>
      <c r="KVW456" s="67"/>
      <c r="KVX456" s="67"/>
      <c r="KVY456" s="67"/>
      <c r="KVZ456" s="67"/>
      <c r="KWA456" s="67"/>
      <c r="KWB456" s="67"/>
      <c r="KWC456" s="67"/>
      <c r="KWD456" s="67"/>
      <c r="KWE456" s="67"/>
      <c r="KWF456" s="67"/>
      <c r="KWG456" s="67"/>
      <c r="KWH456" s="67"/>
      <c r="KWI456" s="67"/>
      <c r="KWJ456" s="67"/>
      <c r="KWK456" s="67"/>
      <c r="KWL456" s="67"/>
      <c r="KWM456" s="67"/>
      <c r="KWN456" s="67"/>
      <c r="KWO456" s="67"/>
      <c r="KWP456" s="67"/>
      <c r="KWQ456" s="67"/>
      <c r="KWR456" s="67"/>
      <c r="KWS456" s="67"/>
      <c r="KWT456" s="67"/>
      <c r="KWU456" s="67"/>
      <c r="KWV456" s="67"/>
      <c r="KWW456" s="67"/>
      <c r="KWX456" s="67"/>
      <c r="KWY456" s="67"/>
      <c r="KWZ456" s="67"/>
      <c r="KXA456" s="67"/>
      <c r="KXB456" s="67"/>
      <c r="KXC456" s="67"/>
      <c r="KXD456" s="67"/>
      <c r="KXE456" s="67"/>
      <c r="KXF456" s="67"/>
      <c r="KXG456" s="67"/>
      <c r="KXH456" s="67"/>
      <c r="KXI456" s="67"/>
      <c r="KXJ456" s="67"/>
      <c r="KXK456" s="67"/>
      <c r="KXL456" s="67"/>
      <c r="KXM456" s="67"/>
      <c r="KXN456" s="67"/>
      <c r="KXO456" s="67"/>
      <c r="KXP456" s="67"/>
      <c r="KXQ456" s="67"/>
      <c r="KXR456" s="67"/>
      <c r="KXS456" s="67"/>
      <c r="KXT456" s="67"/>
      <c r="KXU456" s="67"/>
      <c r="KXV456" s="67"/>
      <c r="KXW456" s="67"/>
      <c r="KXX456" s="67"/>
      <c r="KXY456" s="67"/>
      <c r="KXZ456" s="67"/>
      <c r="KYA456" s="67"/>
      <c r="KYB456" s="67"/>
      <c r="KYC456" s="67"/>
      <c r="KYD456" s="67"/>
      <c r="KYE456" s="67"/>
      <c r="KYF456" s="67"/>
      <c r="KYG456" s="67"/>
      <c r="KYH456" s="67"/>
      <c r="KYI456" s="67"/>
      <c r="KYJ456" s="67"/>
      <c r="KYK456" s="67"/>
      <c r="KYL456" s="67"/>
      <c r="KYM456" s="67"/>
      <c r="KYN456" s="67"/>
      <c r="KYO456" s="67"/>
      <c r="KYP456" s="67"/>
      <c r="KYQ456" s="67"/>
      <c r="KYR456" s="67"/>
      <c r="KYS456" s="67"/>
      <c r="KYT456" s="67"/>
      <c r="KYU456" s="67"/>
      <c r="KYV456" s="67"/>
      <c r="KYW456" s="67"/>
      <c r="KYX456" s="67"/>
      <c r="KYY456" s="67"/>
      <c r="KYZ456" s="67"/>
      <c r="KZA456" s="67"/>
      <c r="KZB456" s="67"/>
      <c r="KZC456" s="67"/>
      <c r="KZD456" s="67"/>
      <c r="KZE456" s="67"/>
      <c r="KZF456" s="67"/>
      <c r="KZG456" s="67"/>
      <c r="KZH456" s="67"/>
      <c r="KZI456" s="67"/>
      <c r="KZJ456" s="67"/>
      <c r="KZK456" s="67"/>
      <c r="KZL456" s="67"/>
      <c r="KZM456" s="67"/>
      <c r="KZN456" s="67"/>
      <c r="KZO456" s="67"/>
      <c r="KZP456" s="67"/>
      <c r="KZQ456" s="67"/>
      <c r="KZR456" s="67"/>
      <c r="KZS456" s="67"/>
      <c r="KZT456" s="67"/>
      <c r="KZU456" s="67"/>
      <c r="KZV456" s="67"/>
      <c r="KZW456" s="67"/>
      <c r="KZX456" s="67"/>
      <c r="KZY456" s="67"/>
      <c r="KZZ456" s="67"/>
      <c r="LAA456" s="67"/>
      <c r="LAB456" s="67"/>
      <c r="LAC456" s="67"/>
      <c r="LAD456" s="67"/>
      <c r="LAE456" s="67"/>
      <c r="LAF456" s="67"/>
      <c r="LAG456" s="67"/>
      <c r="LAH456" s="67"/>
      <c r="LAI456" s="67"/>
      <c r="LAJ456" s="67"/>
      <c r="LAK456" s="67"/>
      <c r="LAL456" s="67"/>
      <c r="LAM456" s="67"/>
      <c r="LAN456" s="67"/>
      <c r="LAO456" s="67"/>
      <c r="LAP456" s="67"/>
      <c r="LAQ456" s="67"/>
      <c r="LAR456" s="67"/>
      <c r="LAS456" s="67"/>
      <c r="LAT456" s="67"/>
      <c r="LAU456" s="67"/>
      <c r="LAV456" s="67"/>
      <c r="LAW456" s="67"/>
      <c r="LAX456" s="67"/>
      <c r="LAY456" s="67"/>
      <c r="LAZ456" s="67"/>
      <c r="LBA456" s="67"/>
      <c r="LBB456" s="67"/>
      <c r="LBC456" s="67"/>
      <c r="LBD456" s="67"/>
      <c r="LBE456" s="67"/>
      <c r="LBF456" s="67"/>
      <c r="LBG456" s="67"/>
      <c r="LBH456" s="67"/>
      <c r="LBI456" s="67"/>
      <c r="LBJ456" s="67"/>
      <c r="LBK456" s="67"/>
      <c r="LBL456" s="67"/>
      <c r="LBM456" s="67"/>
      <c r="LBN456" s="67"/>
      <c r="LBO456" s="67"/>
      <c r="LBP456" s="67"/>
      <c r="LBQ456" s="67"/>
      <c r="LBR456" s="67"/>
      <c r="LBS456" s="67"/>
      <c r="LBT456" s="67"/>
      <c r="LBU456" s="67"/>
      <c r="LBV456" s="67"/>
      <c r="LBW456" s="67"/>
      <c r="LBX456" s="67"/>
      <c r="LBY456" s="67"/>
      <c r="LBZ456" s="67"/>
      <c r="LCA456" s="67"/>
      <c r="LCB456" s="67"/>
      <c r="LCC456" s="67"/>
      <c r="LCD456" s="67"/>
      <c r="LCE456" s="67"/>
      <c r="LCF456" s="67"/>
      <c r="LCG456" s="67"/>
      <c r="LCH456" s="67"/>
      <c r="LCI456" s="67"/>
      <c r="LCJ456" s="67"/>
      <c r="LCK456" s="67"/>
      <c r="LCL456" s="67"/>
      <c r="LCM456" s="67"/>
      <c r="LCN456" s="67"/>
      <c r="LCO456" s="67"/>
      <c r="LCP456" s="67"/>
      <c r="LCQ456" s="67"/>
      <c r="LCR456" s="67"/>
      <c r="LCS456" s="67"/>
      <c r="LCT456" s="67"/>
      <c r="LCU456" s="67"/>
      <c r="LCV456" s="67"/>
      <c r="LCW456" s="67"/>
      <c r="LCX456" s="67"/>
      <c r="LCY456" s="67"/>
      <c r="LCZ456" s="67"/>
      <c r="LDA456" s="67"/>
      <c r="LDB456" s="67"/>
      <c r="LDC456" s="67"/>
      <c r="LDD456" s="67"/>
      <c r="LDE456" s="67"/>
      <c r="LDF456" s="67"/>
      <c r="LDG456" s="67"/>
      <c r="LDH456" s="67"/>
      <c r="LDI456" s="67"/>
      <c r="LDJ456" s="67"/>
      <c r="LDK456" s="67"/>
      <c r="LDL456" s="67"/>
      <c r="LDM456" s="67"/>
      <c r="LDN456" s="67"/>
      <c r="LDO456" s="67"/>
      <c r="LDP456" s="67"/>
      <c r="LDQ456" s="67"/>
      <c r="LDR456" s="67"/>
      <c r="LDS456" s="67"/>
      <c r="LDT456" s="67"/>
      <c r="LDU456" s="67"/>
      <c r="LDV456" s="67"/>
      <c r="LDW456" s="67"/>
      <c r="LDX456" s="67"/>
      <c r="LDY456" s="67"/>
      <c r="LDZ456" s="67"/>
      <c r="LEA456" s="67"/>
      <c r="LEB456" s="67"/>
      <c r="LEC456" s="67"/>
      <c r="LED456" s="67"/>
      <c r="LEE456" s="67"/>
      <c r="LEF456" s="67"/>
      <c r="LEG456" s="67"/>
      <c r="LEH456" s="67"/>
      <c r="LEI456" s="67"/>
      <c r="LEJ456" s="67"/>
      <c r="LEK456" s="67"/>
      <c r="LEL456" s="67"/>
      <c r="LEM456" s="67"/>
      <c r="LEN456" s="67"/>
      <c r="LEO456" s="67"/>
      <c r="LEP456" s="67"/>
      <c r="LEQ456" s="67"/>
      <c r="LER456" s="67"/>
      <c r="LES456" s="67"/>
      <c r="LET456" s="67"/>
      <c r="LEU456" s="67"/>
      <c r="LEV456" s="67"/>
      <c r="LEW456" s="67"/>
      <c r="LEX456" s="67"/>
      <c r="LEY456" s="67"/>
      <c r="LEZ456" s="67"/>
      <c r="LFA456" s="67"/>
      <c r="LFB456" s="67"/>
      <c r="LFC456" s="67"/>
      <c r="LFD456" s="67"/>
      <c r="LFE456" s="67"/>
      <c r="LFF456" s="67"/>
      <c r="LFG456" s="67"/>
      <c r="LFH456" s="67"/>
      <c r="LFI456" s="67"/>
      <c r="LFJ456" s="67"/>
      <c r="LFK456" s="67"/>
      <c r="LFL456" s="67"/>
      <c r="LFM456" s="67"/>
      <c r="LFN456" s="67"/>
      <c r="LFO456" s="67"/>
      <c r="LFP456" s="67"/>
      <c r="LFQ456" s="67"/>
      <c r="LFR456" s="67"/>
      <c r="LFS456" s="67"/>
      <c r="LFT456" s="67"/>
      <c r="LFU456" s="67"/>
      <c r="LFV456" s="67"/>
      <c r="LFW456" s="67"/>
      <c r="LFX456" s="67"/>
      <c r="LFY456" s="67"/>
      <c r="LFZ456" s="67"/>
      <c r="LGA456" s="67"/>
      <c r="LGB456" s="67"/>
      <c r="LGC456" s="67"/>
      <c r="LGD456" s="67"/>
      <c r="LGE456" s="67"/>
      <c r="LGF456" s="67"/>
      <c r="LGG456" s="67"/>
      <c r="LGH456" s="67"/>
      <c r="LGI456" s="67"/>
      <c r="LGJ456" s="67"/>
      <c r="LGK456" s="67"/>
      <c r="LGL456" s="67"/>
      <c r="LGM456" s="67"/>
      <c r="LGN456" s="67"/>
      <c r="LGO456" s="67"/>
      <c r="LGP456" s="67"/>
      <c r="LGQ456" s="67"/>
      <c r="LGR456" s="67"/>
      <c r="LGS456" s="67"/>
      <c r="LGT456" s="67"/>
      <c r="LGU456" s="67"/>
      <c r="LGV456" s="67"/>
      <c r="LGW456" s="67"/>
      <c r="LGX456" s="67"/>
      <c r="LGY456" s="67"/>
      <c r="LGZ456" s="67"/>
      <c r="LHA456" s="67"/>
      <c r="LHB456" s="67"/>
      <c r="LHC456" s="67"/>
      <c r="LHD456" s="67"/>
      <c r="LHE456" s="67"/>
      <c r="LHF456" s="67"/>
      <c r="LHG456" s="67"/>
      <c r="LHH456" s="67"/>
      <c r="LHI456" s="67"/>
      <c r="LHJ456" s="67"/>
      <c r="LHK456" s="67"/>
      <c r="LHL456" s="67"/>
      <c r="LHM456" s="67"/>
      <c r="LHN456" s="67"/>
      <c r="LHO456" s="67"/>
      <c r="LHP456" s="67"/>
      <c r="LHQ456" s="67"/>
      <c r="LHR456" s="67"/>
      <c r="LHS456" s="67"/>
      <c r="LHT456" s="67"/>
      <c r="LHU456" s="67"/>
      <c r="LHV456" s="67"/>
      <c r="LHW456" s="67"/>
      <c r="LHX456" s="67"/>
      <c r="LHY456" s="67"/>
      <c r="LHZ456" s="67"/>
      <c r="LIA456" s="67"/>
      <c r="LIB456" s="67"/>
      <c r="LIC456" s="67"/>
      <c r="LID456" s="67"/>
      <c r="LIE456" s="67"/>
      <c r="LIF456" s="67"/>
      <c r="LIG456" s="67"/>
      <c r="LIH456" s="67"/>
      <c r="LII456" s="67"/>
      <c r="LIJ456" s="67"/>
      <c r="LIK456" s="67"/>
      <c r="LIL456" s="67"/>
      <c r="LIM456" s="67"/>
      <c r="LIN456" s="67"/>
      <c r="LIO456" s="67"/>
      <c r="LIP456" s="67"/>
      <c r="LIQ456" s="67"/>
      <c r="LIR456" s="67"/>
      <c r="LIS456" s="67"/>
      <c r="LIT456" s="67"/>
      <c r="LIU456" s="67"/>
      <c r="LIV456" s="67"/>
      <c r="LIW456" s="67"/>
      <c r="LIX456" s="67"/>
      <c r="LIY456" s="67"/>
      <c r="LIZ456" s="67"/>
      <c r="LJA456" s="67"/>
      <c r="LJB456" s="67"/>
      <c r="LJC456" s="67"/>
      <c r="LJD456" s="67"/>
      <c r="LJE456" s="67"/>
      <c r="LJF456" s="67"/>
      <c r="LJG456" s="67"/>
      <c r="LJH456" s="67"/>
      <c r="LJI456" s="67"/>
      <c r="LJJ456" s="67"/>
      <c r="LJK456" s="67"/>
      <c r="LJL456" s="67"/>
      <c r="LJM456" s="67"/>
      <c r="LJN456" s="67"/>
      <c r="LJO456" s="67"/>
      <c r="LJP456" s="67"/>
      <c r="LJQ456" s="67"/>
      <c r="LJR456" s="67"/>
      <c r="LJS456" s="67"/>
      <c r="LJT456" s="67"/>
      <c r="LJU456" s="67"/>
      <c r="LJV456" s="67"/>
      <c r="LJW456" s="67"/>
      <c r="LJX456" s="67"/>
      <c r="LJY456" s="67"/>
      <c r="LJZ456" s="67"/>
      <c r="LKA456" s="67"/>
      <c r="LKB456" s="67"/>
      <c r="LKC456" s="67"/>
      <c r="LKD456" s="67"/>
      <c r="LKE456" s="67"/>
      <c r="LKF456" s="67"/>
      <c r="LKG456" s="67"/>
      <c r="LKH456" s="67"/>
      <c r="LKI456" s="67"/>
      <c r="LKJ456" s="67"/>
      <c r="LKK456" s="67"/>
      <c r="LKL456" s="67"/>
      <c r="LKM456" s="67"/>
      <c r="LKN456" s="67"/>
      <c r="LKO456" s="67"/>
      <c r="LKP456" s="67"/>
      <c r="LKQ456" s="67"/>
      <c r="LKR456" s="67"/>
      <c r="LKS456" s="67"/>
      <c r="LKT456" s="67"/>
      <c r="LKU456" s="67"/>
      <c r="LKV456" s="67"/>
      <c r="LKW456" s="67"/>
      <c r="LKX456" s="67"/>
      <c r="LKY456" s="67"/>
      <c r="LKZ456" s="67"/>
      <c r="LLA456" s="67"/>
      <c r="LLB456" s="67"/>
      <c r="LLC456" s="67"/>
      <c r="LLD456" s="67"/>
      <c r="LLE456" s="67"/>
      <c r="LLF456" s="67"/>
      <c r="LLG456" s="67"/>
      <c r="LLH456" s="67"/>
      <c r="LLI456" s="67"/>
      <c r="LLJ456" s="67"/>
      <c r="LLK456" s="67"/>
      <c r="LLL456" s="67"/>
      <c r="LLM456" s="67"/>
      <c r="LLN456" s="67"/>
      <c r="LLO456" s="67"/>
      <c r="LLP456" s="67"/>
      <c r="LLQ456" s="67"/>
      <c r="LLR456" s="67"/>
      <c r="LLS456" s="67"/>
      <c r="LLT456" s="67"/>
      <c r="LLU456" s="67"/>
      <c r="LLV456" s="67"/>
      <c r="LLW456" s="67"/>
      <c r="LLX456" s="67"/>
      <c r="LLY456" s="67"/>
      <c r="LLZ456" s="67"/>
      <c r="LMA456" s="67"/>
      <c r="LMB456" s="67"/>
      <c r="LMC456" s="67"/>
      <c r="LMD456" s="67"/>
      <c r="LME456" s="67"/>
      <c r="LMF456" s="67"/>
      <c r="LMG456" s="67"/>
      <c r="LMH456" s="67"/>
      <c r="LMI456" s="67"/>
      <c r="LMJ456" s="67"/>
      <c r="LMK456" s="67"/>
      <c r="LML456" s="67"/>
      <c r="LMM456" s="67"/>
      <c r="LMN456" s="67"/>
      <c r="LMO456" s="67"/>
      <c r="LMP456" s="67"/>
      <c r="LMQ456" s="67"/>
      <c r="LMR456" s="67"/>
      <c r="LMS456" s="67"/>
      <c r="LMT456" s="67"/>
      <c r="LMU456" s="67"/>
      <c r="LMV456" s="67"/>
      <c r="LMW456" s="67"/>
      <c r="LMX456" s="67"/>
      <c r="LMY456" s="67"/>
      <c r="LMZ456" s="67"/>
      <c r="LNA456" s="67"/>
      <c r="LNB456" s="67"/>
      <c r="LNC456" s="67"/>
      <c r="LND456" s="67"/>
      <c r="LNE456" s="67"/>
      <c r="LNF456" s="67"/>
      <c r="LNG456" s="67"/>
      <c r="LNH456" s="67"/>
      <c r="LNI456" s="67"/>
      <c r="LNJ456" s="67"/>
      <c r="LNK456" s="67"/>
      <c r="LNL456" s="67"/>
      <c r="LNM456" s="67"/>
      <c r="LNN456" s="67"/>
      <c r="LNO456" s="67"/>
      <c r="LNP456" s="67"/>
      <c r="LNQ456" s="67"/>
      <c r="LNR456" s="67"/>
      <c r="LNS456" s="67"/>
      <c r="LNT456" s="67"/>
      <c r="LNU456" s="67"/>
      <c r="LNV456" s="67"/>
      <c r="LNW456" s="67"/>
      <c r="LNX456" s="67"/>
      <c r="LNY456" s="67"/>
      <c r="LNZ456" s="67"/>
      <c r="LOA456" s="67"/>
      <c r="LOB456" s="67"/>
      <c r="LOC456" s="67"/>
      <c r="LOD456" s="67"/>
      <c r="LOE456" s="67"/>
      <c r="LOF456" s="67"/>
      <c r="LOG456" s="67"/>
      <c r="LOH456" s="67"/>
      <c r="LOI456" s="67"/>
      <c r="LOJ456" s="67"/>
      <c r="LOK456" s="67"/>
      <c r="LOL456" s="67"/>
      <c r="LOM456" s="67"/>
      <c r="LON456" s="67"/>
      <c r="LOO456" s="67"/>
      <c r="LOP456" s="67"/>
      <c r="LOQ456" s="67"/>
      <c r="LOR456" s="67"/>
      <c r="LOS456" s="67"/>
      <c r="LOT456" s="67"/>
      <c r="LOU456" s="67"/>
      <c r="LOV456" s="67"/>
      <c r="LOW456" s="67"/>
      <c r="LOX456" s="67"/>
      <c r="LOY456" s="67"/>
      <c r="LOZ456" s="67"/>
      <c r="LPA456" s="67"/>
      <c r="LPB456" s="67"/>
      <c r="LPC456" s="67"/>
      <c r="LPD456" s="67"/>
      <c r="LPE456" s="67"/>
      <c r="LPF456" s="67"/>
      <c r="LPG456" s="67"/>
      <c r="LPH456" s="67"/>
      <c r="LPI456" s="67"/>
      <c r="LPJ456" s="67"/>
      <c r="LPK456" s="67"/>
      <c r="LPL456" s="67"/>
      <c r="LPM456" s="67"/>
      <c r="LPN456" s="67"/>
      <c r="LPO456" s="67"/>
      <c r="LPP456" s="67"/>
      <c r="LPQ456" s="67"/>
      <c r="LPR456" s="67"/>
      <c r="LPS456" s="67"/>
      <c r="LPT456" s="67"/>
      <c r="LPU456" s="67"/>
      <c r="LPV456" s="67"/>
      <c r="LPW456" s="67"/>
      <c r="LPX456" s="67"/>
      <c r="LPY456" s="67"/>
      <c r="LPZ456" s="67"/>
      <c r="LQA456" s="67"/>
      <c r="LQB456" s="67"/>
      <c r="LQC456" s="67"/>
      <c r="LQD456" s="67"/>
      <c r="LQE456" s="67"/>
      <c r="LQF456" s="67"/>
      <c r="LQG456" s="67"/>
      <c r="LQH456" s="67"/>
      <c r="LQI456" s="67"/>
      <c r="LQJ456" s="67"/>
      <c r="LQK456" s="67"/>
      <c r="LQL456" s="67"/>
      <c r="LQM456" s="67"/>
      <c r="LQN456" s="67"/>
      <c r="LQO456" s="67"/>
      <c r="LQP456" s="67"/>
      <c r="LQQ456" s="67"/>
      <c r="LQR456" s="67"/>
      <c r="LQS456" s="67"/>
      <c r="LQT456" s="67"/>
      <c r="LQU456" s="67"/>
      <c r="LQV456" s="67"/>
      <c r="LQW456" s="67"/>
      <c r="LQX456" s="67"/>
      <c r="LQY456" s="67"/>
      <c r="LQZ456" s="67"/>
      <c r="LRA456" s="67"/>
      <c r="LRB456" s="67"/>
      <c r="LRC456" s="67"/>
      <c r="LRD456" s="67"/>
      <c r="LRE456" s="67"/>
      <c r="LRF456" s="67"/>
      <c r="LRG456" s="67"/>
      <c r="LRH456" s="67"/>
      <c r="LRI456" s="67"/>
      <c r="LRJ456" s="67"/>
      <c r="LRK456" s="67"/>
      <c r="LRL456" s="67"/>
      <c r="LRM456" s="67"/>
      <c r="LRN456" s="67"/>
      <c r="LRO456" s="67"/>
      <c r="LRP456" s="67"/>
      <c r="LRQ456" s="67"/>
      <c r="LRR456" s="67"/>
      <c r="LRS456" s="67"/>
      <c r="LRT456" s="67"/>
      <c r="LRU456" s="67"/>
      <c r="LRV456" s="67"/>
      <c r="LRW456" s="67"/>
      <c r="LRX456" s="67"/>
      <c r="LRY456" s="67"/>
      <c r="LRZ456" s="67"/>
      <c r="LSA456" s="67"/>
      <c r="LSB456" s="67"/>
      <c r="LSC456" s="67"/>
      <c r="LSD456" s="67"/>
      <c r="LSE456" s="67"/>
      <c r="LSF456" s="67"/>
      <c r="LSG456" s="67"/>
      <c r="LSH456" s="67"/>
      <c r="LSI456" s="67"/>
      <c r="LSJ456" s="67"/>
      <c r="LSK456" s="67"/>
      <c r="LSL456" s="67"/>
      <c r="LSM456" s="67"/>
      <c r="LSN456" s="67"/>
      <c r="LSO456" s="67"/>
      <c r="LSP456" s="67"/>
      <c r="LSQ456" s="67"/>
      <c r="LSR456" s="67"/>
      <c r="LSS456" s="67"/>
      <c r="LST456" s="67"/>
      <c r="LSU456" s="67"/>
      <c r="LSV456" s="67"/>
      <c r="LSW456" s="67"/>
      <c r="LSX456" s="67"/>
      <c r="LSY456" s="67"/>
      <c r="LSZ456" s="67"/>
      <c r="LTA456" s="67"/>
      <c r="LTB456" s="67"/>
      <c r="LTC456" s="67"/>
      <c r="LTD456" s="67"/>
      <c r="LTE456" s="67"/>
      <c r="LTF456" s="67"/>
      <c r="LTG456" s="67"/>
      <c r="LTH456" s="67"/>
      <c r="LTI456" s="67"/>
      <c r="LTJ456" s="67"/>
      <c r="LTK456" s="67"/>
      <c r="LTL456" s="67"/>
      <c r="LTM456" s="67"/>
      <c r="LTN456" s="67"/>
      <c r="LTO456" s="67"/>
      <c r="LTP456" s="67"/>
      <c r="LTQ456" s="67"/>
      <c r="LTR456" s="67"/>
      <c r="LTS456" s="67"/>
      <c r="LTT456" s="67"/>
      <c r="LTU456" s="67"/>
      <c r="LTV456" s="67"/>
      <c r="LTW456" s="67"/>
      <c r="LTX456" s="67"/>
      <c r="LTY456" s="67"/>
      <c r="LTZ456" s="67"/>
      <c r="LUA456" s="67"/>
      <c r="LUB456" s="67"/>
      <c r="LUC456" s="67"/>
      <c r="LUD456" s="67"/>
      <c r="LUE456" s="67"/>
      <c r="LUF456" s="67"/>
      <c r="LUG456" s="67"/>
      <c r="LUH456" s="67"/>
      <c r="LUI456" s="67"/>
      <c r="LUJ456" s="67"/>
      <c r="LUK456" s="67"/>
      <c r="LUL456" s="67"/>
      <c r="LUM456" s="67"/>
      <c r="LUN456" s="67"/>
      <c r="LUO456" s="67"/>
      <c r="LUP456" s="67"/>
      <c r="LUQ456" s="67"/>
      <c r="LUR456" s="67"/>
      <c r="LUS456" s="67"/>
      <c r="LUT456" s="67"/>
      <c r="LUU456" s="67"/>
      <c r="LUV456" s="67"/>
      <c r="LUW456" s="67"/>
      <c r="LUX456" s="67"/>
      <c r="LUY456" s="67"/>
      <c r="LUZ456" s="67"/>
      <c r="LVA456" s="67"/>
      <c r="LVB456" s="67"/>
      <c r="LVC456" s="67"/>
      <c r="LVD456" s="67"/>
      <c r="LVE456" s="67"/>
      <c r="LVF456" s="67"/>
      <c r="LVG456" s="67"/>
      <c r="LVH456" s="67"/>
      <c r="LVI456" s="67"/>
      <c r="LVJ456" s="67"/>
      <c r="LVK456" s="67"/>
      <c r="LVL456" s="67"/>
      <c r="LVM456" s="67"/>
      <c r="LVN456" s="67"/>
      <c r="LVO456" s="67"/>
      <c r="LVP456" s="67"/>
      <c r="LVQ456" s="67"/>
      <c r="LVR456" s="67"/>
      <c r="LVS456" s="67"/>
      <c r="LVT456" s="67"/>
      <c r="LVU456" s="67"/>
      <c r="LVV456" s="67"/>
      <c r="LVW456" s="67"/>
      <c r="LVX456" s="67"/>
      <c r="LVY456" s="67"/>
      <c r="LVZ456" s="67"/>
      <c r="LWA456" s="67"/>
      <c r="LWB456" s="67"/>
      <c r="LWC456" s="67"/>
      <c r="LWD456" s="67"/>
      <c r="LWE456" s="67"/>
      <c r="LWF456" s="67"/>
      <c r="LWG456" s="67"/>
      <c r="LWH456" s="67"/>
      <c r="LWI456" s="67"/>
      <c r="LWJ456" s="67"/>
      <c r="LWK456" s="67"/>
      <c r="LWL456" s="67"/>
      <c r="LWM456" s="67"/>
      <c r="LWN456" s="67"/>
      <c r="LWO456" s="67"/>
      <c r="LWP456" s="67"/>
      <c r="LWQ456" s="67"/>
      <c r="LWR456" s="67"/>
      <c r="LWS456" s="67"/>
      <c r="LWT456" s="67"/>
      <c r="LWU456" s="67"/>
      <c r="LWV456" s="67"/>
      <c r="LWW456" s="67"/>
      <c r="LWX456" s="67"/>
      <c r="LWY456" s="67"/>
      <c r="LWZ456" s="67"/>
      <c r="LXA456" s="67"/>
      <c r="LXB456" s="67"/>
      <c r="LXC456" s="67"/>
      <c r="LXD456" s="67"/>
      <c r="LXE456" s="67"/>
      <c r="LXF456" s="67"/>
      <c r="LXG456" s="67"/>
      <c r="LXH456" s="67"/>
      <c r="LXI456" s="67"/>
      <c r="LXJ456" s="67"/>
      <c r="LXK456" s="67"/>
      <c r="LXL456" s="67"/>
      <c r="LXM456" s="67"/>
      <c r="LXN456" s="67"/>
      <c r="LXO456" s="67"/>
      <c r="LXP456" s="67"/>
      <c r="LXQ456" s="67"/>
      <c r="LXR456" s="67"/>
      <c r="LXS456" s="67"/>
      <c r="LXT456" s="67"/>
      <c r="LXU456" s="67"/>
      <c r="LXV456" s="67"/>
      <c r="LXW456" s="67"/>
      <c r="LXX456" s="67"/>
      <c r="LXY456" s="67"/>
      <c r="LXZ456" s="67"/>
      <c r="LYA456" s="67"/>
      <c r="LYB456" s="67"/>
      <c r="LYC456" s="67"/>
      <c r="LYD456" s="67"/>
      <c r="LYE456" s="67"/>
      <c r="LYF456" s="67"/>
      <c r="LYG456" s="67"/>
      <c r="LYH456" s="67"/>
      <c r="LYI456" s="67"/>
      <c r="LYJ456" s="67"/>
      <c r="LYK456" s="67"/>
      <c r="LYL456" s="67"/>
      <c r="LYM456" s="67"/>
      <c r="LYN456" s="67"/>
      <c r="LYO456" s="67"/>
      <c r="LYP456" s="67"/>
      <c r="LYQ456" s="67"/>
      <c r="LYR456" s="67"/>
      <c r="LYS456" s="67"/>
      <c r="LYT456" s="67"/>
      <c r="LYU456" s="67"/>
      <c r="LYV456" s="67"/>
      <c r="LYW456" s="67"/>
      <c r="LYX456" s="67"/>
      <c r="LYY456" s="67"/>
      <c r="LYZ456" s="67"/>
      <c r="LZA456" s="67"/>
      <c r="LZB456" s="67"/>
      <c r="LZC456" s="67"/>
      <c r="LZD456" s="67"/>
      <c r="LZE456" s="67"/>
      <c r="LZF456" s="67"/>
      <c r="LZG456" s="67"/>
      <c r="LZH456" s="67"/>
      <c r="LZI456" s="67"/>
      <c r="LZJ456" s="67"/>
      <c r="LZK456" s="67"/>
      <c r="LZL456" s="67"/>
      <c r="LZM456" s="67"/>
      <c r="LZN456" s="67"/>
      <c r="LZO456" s="67"/>
      <c r="LZP456" s="67"/>
      <c r="LZQ456" s="67"/>
      <c r="LZR456" s="67"/>
      <c r="LZS456" s="67"/>
      <c r="LZT456" s="67"/>
      <c r="LZU456" s="67"/>
      <c r="LZV456" s="67"/>
      <c r="LZW456" s="67"/>
      <c r="LZX456" s="67"/>
      <c r="LZY456" s="67"/>
      <c r="LZZ456" s="67"/>
      <c r="MAA456" s="67"/>
      <c r="MAB456" s="67"/>
      <c r="MAC456" s="67"/>
      <c r="MAD456" s="67"/>
      <c r="MAE456" s="67"/>
      <c r="MAF456" s="67"/>
      <c r="MAG456" s="67"/>
      <c r="MAH456" s="67"/>
      <c r="MAI456" s="67"/>
      <c r="MAJ456" s="67"/>
      <c r="MAK456" s="67"/>
      <c r="MAL456" s="67"/>
      <c r="MAM456" s="67"/>
      <c r="MAN456" s="67"/>
      <c r="MAO456" s="67"/>
      <c r="MAP456" s="67"/>
      <c r="MAQ456" s="67"/>
      <c r="MAR456" s="67"/>
      <c r="MAS456" s="67"/>
      <c r="MAT456" s="67"/>
      <c r="MAU456" s="67"/>
      <c r="MAV456" s="67"/>
      <c r="MAW456" s="67"/>
      <c r="MAX456" s="67"/>
      <c r="MAY456" s="67"/>
      <c r="MAZ456" s="67"/>
      <c r="MBA456" s="67"/>
      <c r="MBB456" s="67"/>
      <c r="MBC456" s="67"/>
      <c r="MBD456" s="67"/>
      <c r="MBE456" s="67"/>
      <c r="MBF456" s="67"/>
      <c r="MBG456" s="67"/>
      <c r="MBH456" s="67"/>
      <c r="MBI456" s="67"/>
      <c r="MBJ456" s="67"/>
      <c r="MBK456" s="67"/>
      <c r="MBL456" s="67"/>
      <c r="MBM456" s="67"/>
      <c r="MBN456" s="67"/>
      <c r="MBO456" s="67"/>
      <c r="MBP456" s="67"/>
      <c r="MBQ456" s="67"/>
      <c r="MBR456" s="67"/>
      <c r="MBS456" s="67"/>
      <c r="MBT456" s="67"/>
      <c r="MBU456" s="67"/>
      <c r="MBV456" s="67"/>
      <c r="MBW456" s="67"/>
      <c r="MBX456" s="67"/>
      <c r="MBY456" s="67"/>
      <c r="MBZ456" s="67"/>
      <c r="MCA456" s="67"/>
      <c r="MCB456" s="67"/>
      <c r="MCC456" s="67"/>
      <c r="MCD456" s="67"/>
      <c r="MCE456" s="67"/>
      <c r="MCF456" s="67"/>
      <c r="MCG456" s="67"/>
      <c r="MCH456" s="67"/>
      <c r="MCI456" s="67"/>
      <c r="MCJ456" s="67"/>
      <c r="MCK456" s="67"/>
      <c r="MCL456" s="67"/>
      <c r="MCM456" s="67"/>
      <c r="MCN456" s="67"/>
      <c r="MCO456" s="67"/>
      <c r="MCP456" s="67"/>
      <c r="MCQ456" s="67"/>
      <c r="MCR456" s="67"/>
      <c r="MCS456" s="67"/>
      <c r="MCT456" s="67"/>
      <c r="MCU456" s="67"/>
      <c r="MCV456" s="67"/>
      <c r="MCW456" s="67"/>
      <c r="MCX456" s="67"/>
      <c r="MCY456" s="67"/>
      <c r="MCZ456" s="67"/>
      <c r="MDA456" s="67"/>
      <c r="MDB456" s="67"/>
      <c r="MDC456" s="67"/>
      <c r="MDD456" s="67"/>
      <c r="MDE456" s="67"/>
      <c r="MDF456" s="67"/>
      <c r="MDG456" s="67"/>
      <c r="MDH456" s="67"/>
      <c r="MDI456" s="67"/>
      <c r="MDJ456" s="67"/>
      <c r="MDK456" s="67"/>
      <c r="MDL456" s="67"/>
      <c r="MDM456" s="67"/>
      <c r="MDN456" s="67"/>
      <c r="MDO456" s="67"/>
      <c r="MDP456" s="67"/>
      <c r="MDQ456" s="67"/>
      <c r="MDR456" s="67"/>
      <c r="MDS456" s="67"/>
      <c r="MDT456" s="67"/>
      <c r="MDU456" s="67"/>
      <c r="MDV456" s="67"/>
      <c r="MDW456" s="67"/>
      <c r="MDX456" s="67"/>
      <c r="MDY456" s="67"/>
      <c r="MDZ456" s="67"/>
      <c r="MEA456" s="67"/>
      <c r="MEB456" s="67"/>
      <c r="MEC456" s="67"/>
      <c r="MED456" s="67"/>
      <c r="MEE456" s="67"/>
      <c r="MEF456" s="67"/>
      <c r="MEG456" s="67"/>
      <c r="MEH456" s="67"/>
      <c r="MEI456" s="67"/>
      <c r="MEJ456" s="67"/>
      <c r="MEK456" s="67"/>
      <c r="MEL456" s="67"/>
      <c r="MEM456" s="67"/>
      <c r="MEN456" s="67"/>
      <c r="MEO456" s="67"/>
      <c r="MEP456" s="67"/>
      <c r="MEQ456" s="67"/>
      <c r="MER456" s="67"/>
      <c r="MES456" s="67"/>
      <c r="MET456" s="67"/>
      <c r="MEU456" s="67"/>
      <c r="MEV456" s="67"/>
      <c r="MEW456" s="67"/>
      <c r="MEX456" s="67"/>
      <c r="MEY456" s="67"/>
      <c r="MEZ456" s="67"/>
      <c r="MFA456" s="67"/>
      <c r="MFB456" s="67"/>
      <c r="MFC456" s="67"/>
      <c r="MFD456" s="67"/>
      <c r="MFE456" s="67"/>
      <c r="MFF456" s="67"/>
      <c r="MFG456" s="67"/>
      <c r="MFH456" s="67"/>
      <c r="MFI456" s="67"/>
      <c r="MFJ456" s="67"/>
      <c r="MFK456" s="67"/>
      <c r="MFL456" s="67"/>
      <c r="MFM456" s="67"/>
      <c r="MFN456" s="67"/>
      <c r="MFO456" s="67"/>
      <c r="MFP456" s="67"/>
      <c r="MFQ456" s="67"/>
      <c r="MFR456" s="67"/>
      <c r="MFS456" s="67"/>
      <c r="MFT456" s="67"/>
      <c r="MFU456" s="67"/>
      <c r="MFV456" s="67"/>
      <c r="MFW456" s="67"/>
      <c r="MFX456" s="67"/>
      <c r="MFY456" s="67"/>
      <c r="MFZ456" s="67"/>
      <c r="MGA456" s="67"/>
      <c r="MGB456" s="67"/>
      <c r="MGC456" s="67"/>
      <c r="MGD456" s="67"/>
      <c r="MGE456" s="67"/>
      <c r="MGF456" s="67"/>
      <c r="MGG456" s="67"/>
      <c r="MGH456" s="67"/>
      <c r="MGI456" s="67"/>
      <c r="MGJ456" s="67"/>
      <c r="MGK456" s="67"/>
      <c r="MGL456" s="67"/>
      <c r="MGM456" s="67"/>
      <c r="MGN456" s="67"/>
      <c r="MGO456" s="67"/>
      <c r="MGP456" s="67"/>
      <c r="MGQ456" s="67"/>
      <c r="MGR456" s="67"/>
      <c r="MGS456" s="67"/>
      <c r="MGT456" s="67"/>
      <c r="MGU456" s="67"/>
      <c r="MGV456" s="67"/>
      <c r="MGW456" s="67"/>
      <c r="MGX456" s="67"/>
      <c r="MGY456" s="67"/>
      <c r="MGZ456" s="67"/>
      <c r="MHA456" s="67"/>
      <c r="MHB456" s="67"/>
      <c r="MHC456" s="67"/>
      <c r="MHD456" s="67"/>
      <c r="MHE456" s="67"/>
      <c r="MHF456" s="67"/>
      <c r="MHG456" s="67"/>
      <c r="MHH456" s="67"/>
      <c r="MHI456" s="67"/>
      <c r="MHJ456" s="67"/>
      <c r="MHK456" s="67"/>
      <c r="MHL456" s="67"/>
      <c r="MHM456" s="67"/>
      <c r="MHN456" s="67"/>
      <c r="MHO456" s="67"/>
      <c r="MHP456" s="67"/>
      <c r="MHQ456" s="67"/>
      <c r="MHR456" s="67"/>
      <c r="MHS456" s="67"/>
      <c r="MHT456" s="67"/>
      <c r="MHU456" s="67"/>
      <c r="MHV456" s="67"/>
      <c r="MHW456" s="67"/>
      <c r="MHX456" s="67"/>
      <c r="MHY456" s="67"/>
      <c r="MHZ456" s="67"/>
      <c r="MIA456" s="67"/>
      <c r="MIB456" s="67"/>
      <c r="MIC456" s="67"/>
      <c r="MID456" s="67"/>
      <c r="MIE456" s="67"/>
      <c r="MIF456" s="67"/>
      <c r="MIG456" s="67"/>
      <c r="MIH456" s="67"/>
      <c r="MII456" s="67"/>
      <c r="MIJ456" s="67"/>
      <c r="MIK456" s="67"/>
      <c r="MIL456" s="67"/>
      <c r="MIM456" s="67"/>
      <c r="MIN456" s="67"/>
      <c r="MIO456" s="67"/>
      <c r="MIP456" s="67"/>
      <c r="MIQ456" s="67"/>
      <c r="MIR456" s="67"/>
      <c r="MIS456" s="67"/>
      <c r="MIT456" s="67"/>
      <c r="MIU456" s="67"/>
      <c r="MIV456" s="67"/>
      <c r="MIW456" s="67"/>
      <c r="MIX456" s="67"/>
      <c r="MIY456" s="67"/>
      <c r="MIZ456" s="67"/>
      <c r="MJA456" s="67"/>
      <c r="MJB456" s="67"/>
      <c r="MJC456" s="67"/>
      <c r="MJD456" s="67"/>
      <c r="MJE456" s="67"/>
      <c r="MJF456" s="67"/>
      <c r="MJG456" s="67"/>
      <c r="MJH456" s="67"/>
      <c r="MJI456" s="67"/>
      <c r="MJJ456" s="67"/>
      <c r="MJK456" s="67"/>
      <c r="MJL456" s="67"/>
      <c r="MJM456" s="67"/>
      <c r="MJN456" s="67"/>
      <c r="MJO456" s="67"/>
      <c r="MJP456" s="67"/>
      <c r="MJQ456" s="67"/>
      <c r="MJR456" s="67"/>
      <c r="MJS456" s="67"/>
      <c r="MJT456" s="67"/>
      <c r="MJU456" s="67"/>
      <c r="MJV456" s="67"/>
      <c r="MJW456" s="67"/>
      <c r="MJX456" s="67"/>
      <c r="MJY456" s="67"/>
      <c r="MJZ456" s="67"/>
      <c r="MKA456" s="67"/>
      <c r="MKB456" s="67"/>
      <c r="MKC456" s="67"/>
      <c r="MKD456" s="67"/>
      <c r="MKE456" s="67"/>
      <c r="MKF456" s="67"/>
      <c r="MKG456" s="67"/>
      <c r="MKH456" s="67"/>
      <c r="MKI456" s="67"/>
      <c r="MKJ456" s="67"/>
      <c r="MKK456" s="67"/>
      <c r="MKL456" s="67"/>
      <c r="MKM456" s="67"/>
      <c r="MKN456" s="67"/>
      <c r="MKO456" s="67"/>
      <c r="MKP456" s="67"/>
      <c r="MKQ456" s="67"/>
      <c r="MKR456" s="67"/>
      <c r="MKS456" s="67"/>
      <c r="MKT456" s="67"/>
      <c r="MKU456" s="67"/>
      <c r="MKV456" s="67"/>
      <c r="MKW456" s="67"/>
      <c r="MKX456" s="67"/>
      <c r="MKY456" s="67"/>
      <c r="MKZ456" s="67"/>
      <c r="MLA456" s="67"/>
      <c r="MLB456" s="67"/>
      <c r="MLC456" s="67"/>
      <c r="MLD456" s="67"/>
      <c r="MLE456" s="67"/>
      <c r="MLF456" s="67"/>
      <c r="MLG456" s="67"/>
      <c r="MLH456" s="67"/>
      <c r="MLI456" s="67"/>
      <c r="MLJ456" s="67"/>
      <c r="MLK456" s="67"/>
      <c r="MLL456" s="67"/>
      <c r="MLM456" s="67"/>
      <c r="MLN456" s="67"/>
      <c r="MLO456" s="67"/>
      <c r="MLP456" s="67"/>
      <c r="MLQ456" s="67"/>
      <c r="MLR456" s="67"/>
      <c r="MLS456" s="67"/>
      <c r="MLT456" s="67"/>
      <c r="MLU456" s="67"/>
      <c r="MLV456" s="67"/>
      <c r="MLW456" s="67"/>
      <c r="MLX456" s="67"/>
      <c r="MLY456" s="67"/>
      <c r="MLZ456" s="67"/>
      <c r="MMA456" s="67"/>
      <c r="MMB456" s="67"/>
      <c r="MMC456" s="67"/>
      <c r="MMD456" s="67"/>
      <c r="MME456" s="67"/>
      <c r="MMF456" s="67"/>
      <c r="MMG456" s="67"/>
      <c r="MMH456" s="67"/>
      <c r="MMI456" s="67"/>
      <c r="MMJ456" s="67"/>
      <c r="MMK456" s="67"/>
      <c r="MML456" s="67"/>
      <c r="MMM456" s="67"/>
      <c r="MMN456" s="67"/>
      <c r="MMO456" s="67"/>
      <c r="MMP456" s="67"/>
      <c r="MMQ456" s="67"/>
      <c r="MMR456" s="67"/>
      <c r="MMS456" s="67"/>
      <c r="MMT456" s="67"/>
      <c r="MMU456" s="67"/>
      <c r="MMV456" s="67"/>
      <c r="MMW456" s="67"/>
      <c r="MMX456" s="67"/>
      <c r="MMY456" s="67"/>
      <c r="MMZ456" s="67"/>
      <c r="MNA456" s="67"/>
      <c r="MNB456" s="67"/>
      <c r="MNC456" s="67"/>
      <c r="MND456" s="67"/>
      <c r="MNE456" s="67"/>
      <c r="MNF456" s="67"/>
      <c r="MNG456" s="67"/>
      <c r="MNH456" s="67"/>
      <c r="MNI456" s="67"/>
      <c r="MNJ456" s="67"/>
      <c r="MNK456" s="67"/>
      <c r="MNL456" s="67"/>
      <c r="MNM456" s="67"/>
      <c r="MNN456" s="67"/>
      <c r="MNO456" s="67"/>
      <c r="MNP456" s="67"/>
      <c r="MNQ456" s="67"/>
      <c r="MNR456" s="67"/>
      <c r="MNS456" s="67"/>
      <c r="MNT456" s="67"/>
      <c r="MNU456" s="67"/>
      <c r="MNV456" s="67"/>
      <c r="MNW456" s="67"/>
      <c r="MNX456" s="67"/>
      <c r="MNY456" s="67"/>
      <c r="MNZ456" s="67"/>
      <c r="MOA456" s="67"/>
      <c r="MOB456" s="67"/>
      <c r="MOC456" s="67"/>
      <c r="MOD456" s="67"/>
      <c r="MOE456" s="67"/>
      <c r="MOF456" s="67"/>
      <c r="MOG456" s="67"/>
      <c r="MOH456" s="67"/>
      <c r="MOI456" s="67"/>
      <c r="MOJ456" s="67"/>
      <c r="MOK456" s="67"/>
      <c r="MOL456" s="67"/>
      <c r="MOM456" s="67"/>
      <c r="MON456" s="67"/>
      <c r="MOO456" s="67"/>
      <c r="MOP456" s="67"/>
      <c r="MOQ456" s="67"/>
      <c r="MOR456" s="67"/>
      <c r="MOS456" s="67"/>
      <c r="MOT456" s="67"/>
      <c r="MOU456" s="67"/>
      <c r="MOV456" s="67"/>
      <c r="MOW456" s="67"/>
      <c r="MOX456" s="67"/>
      <c r="MOY456" s="67"/>
      <c r="MOZ456" s="67"/>
      <c r="MPA456" s="67"/>
      <c r="MPB456" s="67"/>
      <c r="MPC456" s="67"/>
      <c r="MPD456" s="67"/>
      <c r="MPE456" s="67"/>
      <c r="MPF456" s="67"/>
      <c r="MPG456" s="67"/>
      <c r="MPH456" s="67"/>
      <c r="MPI456" s="67"/>
      <c r="MPJ456" s="67"/>
      <c r="MPK456" s="67"/>
      <c r="MPL456" s="67"/>
      <c r="MPM456" s="67"/>
      <c r="MPN456" s="67"/>
      <c r="MPO456" s="67"/>
      <c r="MPP456" s="67"/>
      <c r="MPQ456" s="67"/>
      <c r="MPR456" s="67"/>
      <c r="MPS456" s="67"/>
      <c r="MPT456" s="67"/>
      <c r="MPU456" s="67"/>
      <c r="MPV456" s="67"/>
      <c r="MPW456" s="67"/>
      <c r="MPX456" s="67"/>
      <c r="MPY456" s="67"/>
      <c r="MPZ456" s="67"/>
      <c r="MQA456" s="67"/>
      <c r="MQB456" s="67"/>
      <c r="MQC456" s="67"/>
      <c r="MQD456" s="67"/>
      <c r="MQE456" s="67"/>
      <c r="MQF456" s="67"/>
      <c r="MQG456" s="67"/>
      <c r="MQH456" s="67"/>
      <c r="MQI456" s="67"/>
      <c r="MQJ456" s="67"/>
      <c r="MQK456" s="67"/>
      <c r="MQL456" s="67"/>
      <c r="MQM456" s="67"/>
      <c r="MQN456" s="67"/>
      <c r="MQO456" s="67"/>
      <c r="MQP456" s="67"/>
      <c r="MQQ456" s="67"/>
      <c r="MQR456" s="67"/>
      <c r="MQS456" s="67"/>
      <c r="MQT456" s="67"/>
      <c r="MQU456" s="67"/>
      <c r="MQV456" s="67"/>
      <c r="MQW456" s="67"/>
      <c r="MQX456" s="67"/>
      <c r="MQY456" s="67"/>
      <c r="MQZ456" s="67"/>
      <c r="MRA456" s="67"/>
      <c r="MRB456" s="67"/>
      <c r="MRC456" s="67"/>
      <c r="MRD456" s="67"/>
      <c r="MRE456" s="67"/>
      <c r="MRF456" s="67"/>
      <c r="MRG456" s="67"/>
      <c r="MRH456" s="67"/>
      <c r="MRI456" s="67"/>
      <c r="MRJ456" s="67"/>
      <c r="MRK456" s="67"/>
      <c r="MRL456" s="67"/>
      <c r="MRM456" s="67"/>
      <c r="MRN456" s="67"/>
      <c r="MRO456" s="67"/>
      <c r="MRP456" s="67"/>
      <c r="MRQ456" s="67"/>
      <c r="MRR456" s="67"/>
      <c r="MRS456" s="67"/>
      <c r="MRT456" s="67"/>
      <c r="MRU456" s="67"/>
      <c r="MRV456" s="67"/>
      <c r="MRW456" s="67"/>
      <c r="MRX456" s="67"/>
      <c r="MRY456" s="67"/>
      <c r="MRZ456" s="67"/>
      <c r="MSA456" s="67"/>
      <c r="MSB456" s="67"/>
      <c r="MSC456" s="67"/>
      <c r="MSD456" s="67"/>
      <c r="MSE456" s="67"/>
      <c r="MSF456" s="67"/>
      <c r="MSG456" s="67"/>
      <c r="MSH456" s="67"/>
      <c r="MSI456" s="67"/>
      <c r="MSJ456" s="67"/>
      <c r="MSK456" s="67"/>
      <c r="MSL456" s="67"/>
      <c r="MSM456" s="67"/>
      <c r="MSN456" s="67"/>
      <c r="MSO456" s="67"/>
      <c r="MSP456" s="67"/>
      <c r="MSQ456" s="67"/>
      <c r="MSR456" s="67"/>
      <c r="MSS456" s="67"/>
      <c r="MST456" s="67"/>
      <c r="MSU456" s="67"/>
      <c r="MSV456" s="67"/>
      <c r="MSW456" s="67"/>
      <c r="MSX456" s="67"/>
      <c r="MSY456" s="67"/>
      <c r="MSZ456" s="67"/>
      <c r="MTA456" s="67"/>
      <c r="MTB456" s="67"/>
      <c r="MTC456" s="67"/>
      <c r="MTD456" s="67"/>
      <c r="MTE456" s="67"/>
      <c r="MTF456" s="67"/>
      <c r="MTG456" s="67"/>
      <c r="MTH456" s="67"/>
      <c r="MTI456" s="67"/>
      <c r="MTJ456" s="67"/>
      <c r="MTK456" s="67"/>
      <c r="MTL456" s="67"/>
      <c r="MTM456" s="67"/>
      <c r="MTN456" s="67"/>
      <c r="MTO456" s="67"/>
      <c r="MTP456" s="67"/>
      <c r="MTQ456" s="67"/>
      <c r="MTR456" s="67"/>
      <c r="MTS456" s="67"/>
      <c r="MTT456" s="67"/>
      <c r="MTU456" s="67"/>
      <c r="MTV456" s="67"/>
      <c r="MTW456" s="67"/>
      <c r="MTX456" s="67"/>
      <c r="MTY456" s="67"/>
      <c r="MTZ456" s="67"/>
      <c r="MUA456" s="67"/>
      <c r="MUB456" s="67"/>
      <c r="MUC456" s="67"/>
      <c r="MUD456" s="67"/>
      <c r="MUE456" s="67"/>
      <c r="MUF456" s="67"/>
      <c r="MUG456" s="67"/>
      <c r="MUH456" s="67"/>
      <c r="MUI456" s="67"/>
      <c r="MUJ456" s="67"/>
      <c r="MUK456" s="67"/>
      <c r="MUL456" s="67"/>
      <c r="MUM456" s="67"/>
      <c r="MUN456" s="67"/>
      <c r="MUO456" s="67"/>
      <c r="MUP456" s="67"/>
      <c r="MUQ456" s="67"/>
      <c r="MUR456" s="67"/>
      <c r="MUS456" s="67"/>
      <c r="MUT456" s="67"/>
      <c r="MUU456" s="67"/>
      <c r="MUV456" s="67"/>
      <c r="MUW456" s="67"/>
      <c r="MUX456" s="67"/>
      <c r="MUY456" s="67"/>
      <c r="MUZ456" s="67"/>
      <c r="MVA456" s="67"/>
      <c r="MVB456" s="67"/>
      <c r="MVC456" s="67"/>
      <c r="MVD456" s="67"/>
      <c r="MVE456" s="67"/>
      <c r="MVF456" s="67"/>
      <c r="MVG456" s="67"/>
      <c r="MVH456" s="67"/>
      <c r="MVI456" s="67"/>
      <c r="MVJ456" s="67"/>
      <c r="MVK456" s="67"/>
      <c r="MVL456" s="67"/>
      <c r="MVM456" s="67"/>
      <c r="MVN456" s="67"/>
      <c r="MVO456" s="67"/>
      <c r="MVP456" s="67"/>
      <c r="MVQ456" s="67"/>
      <c r="MVR456" s="67"/>
      <c r="MVS456" s="67"/>
      <c r="MVT456" s="67"/>
      <c r="MVU456" s="67"/>
      <c r="MVV456" s="67"/>
      <c r="MVW456" s="67"/>
      <c r="MVX456" s="67"/>
      <c r="MVY456" s="67"/>
      <c r="MVZ456" s="67"/>
      <c r="MWA456" s="67"/>
      <c r="MWB456" s="67"/>
      <c r="MWC456" s="67"/>
      <c r="MWD456" s="67"/>
      <c r="MWE456" s="67"/>
      <c r="MWF456" s="67"/>
      <c r="MWG456" s="67"/>
      <c r="MWH456" s="67"/>
      <c r="MWI456" s="67"/>
      <c r="MWJ456" s="67"/>
      <c r="MWK456" s="67"/>
      <c r="MWL456" s="67"/>
      <c r="MWM456" s="67"/>
      <c r="MWN456" s="67"/>
      <c r="MWO456" s="67"/>
      <c r="MWP456" s="67"/>
      <c r="MWQ456" s="67"/>
      <c r="MWR456" s="67"/>
      <c r="MWS456" s="67"/>
      <c r="MWT456" s="67"/>
      <c r="MWU456" s="67"/>
      <c r="MWV456" s="67"/>
      <c r="MWW456" s="67"/>
      <c r="MWX456" s="67"/>
      <c r="MWY456" s="67"/>
      <c r="MWZ456" s="67"/>
      <c r="MXA456" s="67"/>
      <c r="MXB456" s="67"/>
      <c r="MXC456" s="67"/>
      <c r="MXD456" s="67"/>
      <c r="MXE456" s="67"/>
      <c r="MXF456" s="67"/>
      <c r="MXG456" s="67"/>
      <c r="MXH456" s="67"/>
      <c r="MXI456" s="67"/>
      <c r="MXJ456" s="67"/>
      <c r="MXK456" s="67"/>
      <c r="MXL456" s="67"/>
      <c r="MXM456" s="67"/>
      <c r="MXN456" s="67"/>
      <c r="MXO456" s="67"/>
      <c r="MXP456" s="67"/>
      <c r="MXQ456" s="67"/>
      <c r="MXR456" s="67"/>
      <c r="MXS456" s="67"/>
      <c r="MXT456" s="67"/>
      <c r="MXU456" s="67"/>
      <c r="MXV456" s="67"/>
      <c r="MXW456" s="67"/>
      <c r="MXX456" s="67"/>
      <c r="MXY456" s="67"/>
      <c r="MXZ456" s="67"/>
      <c r="MYA456" s="67"/>
      <c r="MYB456" s="67"/>
      <c r="MYC456" s="67"/>
      <c r="MYD456" s="67"/>
      <c r="MYE456" s="67"/>
      <c r="MYF456" s="67"/>
      <c r="MYG456" s="67"/>
      <c r="MYH456" s="67"/>
      <c r="MYI456" s="67"/>
      <c r="MYJ456" s="67"/>
      <c r="MYK456" s="67"/>
      <c r="MYL456" s="67"/>
      <c r="MYM456" s="67"/>
      <c r="MYN456" s="67"/>
      <c r="MYO456" s="67"/>
      <c r="MYP456" s="67"/>
      <c r="MYQ456" s="67"/>
      <c r="MYR456" s="67"/>
      <c r="MYS456" s="67"/>
      <c r="MYT456" s="67"/>
      <c r="MYU456" s="67"/>
      <c r="MYV456" s="67"/>
      <c r="MYW456" s="67"/>
      <c r="MYX456" s="67"/>
      <c r="MYY456" s="67"/>
      <c r="MYZ456" s="67"/>
      <c r="MZA456" s="67"/>
      <c r="MZB456" s="67"/>
      <c r="MZC456" s="67"/>
      <c r="MZD456" s="67"/>
      <c r="MZE456" s="67"/>
      <c r="MZF456" s="67"/>
      <c r="MZG456" s="67"/>
      <c r="MZH456" s="67"/>
      <c r="MZI456" s="67"/>
      <c r="MZJ456" s="67"/>
      <c r="MZK456" s="67"/>
      <c r="MZL456" s="67"/>
      <c r="MZM456" s="67"/>
      <c r="MZN456" s="67"/>
      <c r="MZO456" s="67"/>
      <c r="MZP456" s="67"/>
      <c r="MZQ456" s="67"/>
      <c r="MZR456" s="67"/>
      <c r="MZS456" s="67"/>
      <c r="MZT456" s="67"/>
      <c r="MZU456" s="67"/>
      <c r="MZV456" s="67"/>
      <c r="MZW456" s="67"/>
      <c r="MZX456" s="67"/>
      <c r="MZY456" s="67"/>
      <c r="MZZ456" s="67"/>
      <c r="NAA456" s="67"/>
      <c r="NAB456" s="67"/>
      <c r="NAC456" s="67"/>
      <c r="NAD456" s="67"/>
      <c r="NAE456" s="67"/>
      <c r="NAF456" s="67"/>
      <c r="NAG456" s="67"/>
      <c r="NAH456" s="67"/>
      <c r="NAI456" s="67"/>
      <c r="NAJ456" s="67"/>
      <c r="NAK456" s="67"/>
      <c r="NAL456" s="67"/>
      <c r="NAM456" s="67"/>
      <c r="NAN456" s="67"/>
      <c r="NAO456" s="67"/>
      <c r="NAP456" s="67"/>
      <c r="NAQ456" s="67"/>
      <c r="NAR456" s="67"/>
      <c r="NAS456" s="67"/>
      <c r="NAT456" s="67"/>
      <c r="NAU456" s="67"/>
      <c r="NAV456" s="67"/>
      <c r="NAW456" s="67"/>
      <c r="NAX456" s="67"/>
      <c r="NAY456" s="67"/>
      <c r="NAZ456" s="67"/>
      <c r="NBA456" s="67"/>
      <c r="NBB456" s="67"/>
      <c r="NBC456" s="67"/>
      <c r="NBD456" s="67"/>
      <c r="NBE456" s="67"/>
      <c r="NBF456" s="67"/>
      <c r="NBG456" s="67"/>
      <c r="NBH456" s="67"/>
      <c r="NBI456" s="67"/>
      <c r="NBJ456" s="67"/>
      <c r="NBK456" s="67"/>
      <c r="NBL456" s="67"/>
      <c r="NBM456" s="67"/>
      <c r="NBN456" s="67"/>
      <c r="NBO456" s="67"/>
      <c r="NBP456" s="67"/>
      <c r="NBQ456" s="67"/>
      <c r="NBR456" s="67"/>
      <c r="NBS456" s="67"/>
      <c r="NBT456" s="67"/>
      <c r="NBU456" s="67"/>
      <c r="NBV456" s="67"/>
      <c r="NBW456" s="67"/>
      <c r="NBX456" s="67"/>
      <c r="NBY456" s="67"/>
      <c r="NBZ456" s="67"/>
      <c r="NCA456" s="67"/>
      <c r="NCB456" s="67"/>
      <c r="NCC456" s="67"/>
      <c r="NCD456" s="67"/>
      <c r="NCE456" s="67"/>
      <c r="NCF456" s="67"/>
      <c r="NCG456" s="67"/>
      <c r="NCH456" s="67"/>
      <c r="NCI456" s="67"/>
      <c r="NCJ456" s="67"/>
      <c r="NCK456" s="67"/>
      <c r="NCL456" s="67"/>
      <c r="NCM456" s="67"/>
      <c r="NCN456" s="67"/>
      <c r="NCO456" s="67"/>
      <c r="NCP456" s="67"/>
      <c r="NCQ456" s="67"/>
      <c r="NCR456" s="67"/>
      <c r="NCS456" s="67"/>
      <c r="NCT456" s="67"/>
      <c r="NCU456" s="67"/>
      <c r="NCV456" s="67"/>
      <c r="NCW456" s="67"/>
      <c r="NCX456" s="67"/>
      <c r="NCY456" s="67"/>
      <c r="NCZ456" s="67"/>
      <c r="NDA456" s="67"/>
      <c r="NDB456" s="67"/>
      <c r="NDC456" s="67"/>
      <c r="NDD456" s="67"/>
      <c r="NDE456" s="67"/>
      <c r="NDF456" s="67"/>
      <c r="NDG456" s="67"/>
      <c r="NDH456" s="67"/>
      <c r="NDI456" s="67"/>
      <c r="NDJ456" s="67"/>
      <c r="NDK456" s="67"/>
      <c r="NDL456" s="67"/>
      <c r="NDM456" s="67"/>
      <c r="NDN456" s="67"/>
      <c r="NDO456" s="67"/>
      <c r="NDP456" s="67"/>
      <c r="NDQ456" s="67"/>
      <c r="NDR456" s="67"/>
      <c r="NDS456" s="67"/>
      <c r="NDT456" s="67"/>
      <c r="NDU456" s="67"/>
      <c r="NDV456" s="67"/>
      <c r="NDW456" s="67"/>
      <c r="NDX456" s="67"/>
      <c r="NDY456" s="67"/>
      <c r="NDZ456" s="67"/>
      <c r="NEA456" s="67"/>
      <c r="NEB456" s="67"/>
      <c r="NEC456" s="67"/>
      <c r="NED456" s="67"/>
      <c r="NEE456" s="67"/>
      <c r="NEF456" s="67"/>
      <c r="NEG456" s="67"/>
      <c r="NEH456" s="67"/>
      <c r="NEI456" s="67"/>
      <c r="NEJ456" s="67"/>
      <c r="NEK456" s="67"/>
      <c r="NEL456" s="67"/>
      <c r="NEM456" s="67"/>
      <c r="NEN456" s="67"/>
      <c r="NEO456" s="67"/>
      <c r="NEP456" s="67"/>
      <c r="NEQ456" s="67"/>
      <c r="NER456" s="67"/>
      <c r="NES456" s="67"/>
      <c r="NET456" s="67"/>
      <c r="NEU456" s="67"/>
      <c r="NEV456" s="67"/>
      <c r="NEW456" s="67"/>
      <c r="NEX456" s="67"/>
      <c r="NEY456" s="67"/>
      <c r="NEZ456" s="67"/>
      <c r="NFA456" s="67"/>
      <c r="NFB456" s="67"/>
      <c r="NFC456" s="67"/>
      <c r="NFD456" s="67"/>
      <c r="NFE456" s="67"/>
      <c r="NFF456" s="67"/>
      <c r="NFG456" s="67"/>
      <c r="NFH456" s="67"/>
      <c r="NFI456" s="67"/>
      <c r="NFJ456" s="67"/>
      <c r="NFK456" s="67"/>
      <c r="NFL456" s="67"/>
      <c r="NFM456" s="67"/>
      <c r="NFN456" s="67"/>
      <c r="NFO456" s="67"/>
      <c r="NFP456" s="67"/>
      <c r="NFQ456" s="67"/>
      <c r="NFR456" s="67"/>
      <c r="NFS456" s="67"/>
      <c r="NFT456" s="67"/>
      <c r="NFU456" s="67"/>
      <c r="NFV456" s="67"/>
      <c r="NFW456" s="67"/>
      <c r="NFX456" s="67"/>
      <c r="NFY456" s="67"/>
      <c r="NFZ456" s="67"/>
      <c r="NGA456" s="67"/>
      <c r="NGB456" s="67"/>
      <c r="NGC456" s="67"/>
      <c r="NGD456" s="67"/>
      <c r="NGE456" s="67"/>
      <c r="NGF456" s="67"/>
      <c r="NGG456" s="67"/>
      <c r="NGH456" s="67"/>
      <c r="NGI456" s="67"/>
      <c r="NGJ456" s="67"/>
      <c r="NGK456" s="67"/>
      <c r="NGL456" s="67"/>
      <c r="NGM456" s="67"/>
      <c r="NGN456" s="67"/>
      <c r="NGO456" s="67"/>
      <c r="NGP456" s="67"/>
      <c r="NGQ456" s="67"/>
      <c r="NGR456" s="67"/>
      <c r="NGS456" s="67"/>
      <c r="NGT456" s="67"/>
      <c r="NGU456" s="67"/>
      <c r="NGV456" s="67"/>
      <c r="NGW456" s="67"/>
      <c r="NGX456" s="67"/>
      <c r="NGY456" s="67"/>
      <c r="NGZ456" s="67"/>
      <c r="NHA456" s="67"/>
      <c r="NHB456" s="67"/>
      <c r="NHC456" s="67"/>
      <c r="NHD456" s="67"/>
      <c r="NHE456" s="67"/>
      <c r="NHF456" s="67"/>
      <c r="NHG456" s="67"/>
      <c r="NHH456" s="67"/>
      <c r="NHI456" s="67"/>
      <c r="NHJ456" s="67"/>
      <c r="NHK456" s="67"/>
      <c r="NHL456" s="67"/>
      <c r="NHM456" s="67"/>
      <c r="NHN456" s="67"/>
      <c r="NHO456" s="67"/>
      <c r="NHP456" s="67"/>
      <c r="NHQ456" s="67"/>
      <c r="NHR456" s="67"/>
      <c r="NHS456" s="67"/>
      <c r="NHT456" s="67"/>
      <c r="NHU456" s="67"/>
      <c r="NHV456" s="67"/>
      <c r="NHW456" s="67"/>
      <c r="NHX456" s="67"/>
      <c r="NHY456" s="67"/>
      <c r="NHZ456" s="67"/>
      <c r="NIA456" s="67"/>
      <c r="NIB456" s="67"/>
      <c r="NIC456" s="67"/>
      <c r="NID456" s="67"/>
      <c r="NIE456" s="67"/>
      <c r="NIF456" s="67"/>
      <c r="NIG456" s="67"/>
      <c r="NIH456" s="67"/>
      <c r="NII456" s="67"/>
      <c r="NIJ456" s="67"/>
      <c r="NIK456" s="67"/>
      <c r="NIL456" s="67"/>
      <c r="NIM456" s="67"/>
      <c r="NIN456" s="67"/>
      <c r="NIO456" s="67"/>
      <c r="NIP456" s="67"/>
      <c r="NIQ456" s="67"/>
      <c r="NIR456" s="67"/>
      <c r="NIS456" s="67"/>
      <c r="NIT456" s="67"/>
      <c r="NIU456" s="67"/>
      <c r="NIV456" s="67"/>
      <c r="NIW456" s="67"/>
      <c r="NIX456" s="67"/>
      <c r="NIY456" s="67"/>
      <c r="NIZ456" s="67"/>
      <c r="NJA456" s="67"/>
      <c r="NJB456" s="67"/>
      <c r="NJC456" s="67"/>
      <c r="NJD456" s="67"/>
      <c r="NJE456" s="67"/>
      <c r="NJF456" s="67"/>
      <c r="NJG456" s="67"/>
      <c r="NJH456" s="67"/>
      <c r="NJI456" s="67"/>
      <c r="NJJ456" s="67"/>
      <c r="NJK456" s="67"/>
      <c r="NJL456" s="67"/>
      <c r="NJM456" s="67"/>
      <c r="NJN456" s="67"/>
      <c r="NJO456" s="67"/>
      <c r="NJP456" s="67"/>
      <c r="NJQ456" s="67"/>
      <c r="NJR456" s="67"/>
      <c r="NJS456" s="67"/>
      <c r="NJT456" s="67"/>
      <c r="NJU456" s="67"/>
      <c r="NJV456" s="67"/>
      <c r="NJW456" s="67"/>
      <c r="NJX456" s="67"/>
      <c r="NJY456" s="67"/>
      <c r="NJZ456" s="67"/>
      <c r="NKA456" s="67"/>
      <c r="NKB456" s="67"/>
      <c r="NKC456" s="67"/>
      <c r="NKD456" s="67"/>
      <c r="NKE456" s="67"/>
      <c r="NKF456" s="67"/>
      <c r="NKG456" s="67"/>
      <c r="NKH456" s="67"/>
      <c r="NKI456" s="67"/>
      <c r="NKJ456" s="67"/>
      <c r="NKK456" s="67"/>
      <c r="NKL456" s="67"/>
      <c r="NKM456" s="67"/>
      <c r="NKN456" s="67"/>
      <c r="NKO456" s="67"/>
      <c r="NKP456" s="67"/>
      <c r="NKQ456" s="67"/>
      <c r="NKR456" s="67"/>
      <c r="NKS456" s="67"/>
      <c r="NKT456" s="67"/>
      <c r="NKU456" s="67"/>
      <c r="NKV456" s="67"/>
      <c r="NKW456" s="67"/>
      <c r="NKX456" s="67"/>
      <c r="NKY456" s="67"/>
      <c r="NKZ456" s="67"/>
      <c r="NLA456" s="67"/>
      <c r="NLB456" s="67"/>
      <c r="NLC456" s="67"/>
      <c r="NLD456" s="67"/>
      <c r="NLE456" s="67"/>
      <c r="NLF456" s="67"/>
      <c r="NLG456" s="67"/>
      <c r="NLH456" s="67"/>
      <c r="NLI456" s="67"/>
      <c r="NLJ456" s="67"/>
      <c r="NLK456" s="67"/>
      <c r="NLL456" s="67"/>
      <c r="NLM456" s="67"/>
      <c r="NLN456" s="67"/>
      <c r="NLO456" s="67"/>
      <c r="NLP456" s="67"/>
      <c r="NLQ456" s="67"/>
      <c r="NLR456" s="67"/>
      <c r="NLS456" s="67"/>
      <c r="NLT456" s="67"/>
      <c r="NLU456" s="67"/>
      <c r="NLV456" s="67"/>
      <c r="NLW456" s="67"/>
      <c r="NLX456" s="67"/>
      <c r="NLY456" s="67"/>
      <c r="NLZ456" s="67"/>
      <c r="NMA456" s="67"/>
      <c r="NMB456" s="67"/>
      <c r="NMC456" s="67"/>
      <c r="NMD456" s="67"/>
      <c r="NME456" s="67"/>
      <c r="NMF456" s="67"/>
      <c r="NMG456" s="67"/>
      <c r="NMH456" s="67"/>
      <c r="NMI456" s="67"/>
      <c r="NMJ456" s="67"/>
      <c r="NMK456" s="67"/>
      <c r="NML456" s="67"/>
      <c r="NMM456" s="67"/>
      <c r="NMN456" s="67"/>
      <c r="NMO456" s="67"/>
      <c r="NMP456" s="67"/>
      <c r="NMQ456" s="67"/>
      <c r="NMR456" s="67"/>
      <c r="NMS456" s="67"/>
      <c r="NMT456" s="67"/>
      <c r="NMU456" s="67"/>
      <c r="NMV456" s="67"/>
      <c r="NMW456" s="67"/>
      <c r="NMX456" s="67"/>
      <c r="NMY456" s="67"/>
      <c r="NMZ456" s="67"/>
      <c r="NNA456" s="67"/>
      <c r="NNB456" s="67"/>
      <c r="NNC456" s="67"/>
      <c r="NND456" s="67"/>
      <c r="NNE456" s="67"/>
      <c r="NNF456" s="67"/>
      <c r="NNG456" s="67"/>
      <c r="NNH456" s="67"/>
      <c r="NNI456" s="67"/>
      <c r="NNJ456" s="67"/>
      <c r="NNK456" s="67"/>
      <c r="NNL456" s="67"/>
      <c r="NNM456" s="67"/>
      <c r="NNN456" s="67"/>
      <c r="NNO456" s="67"/>
      <c r="NNP456" s="67"/>
      <c r="NNQ456" s="67"/>
      <c r="NNR456" s="67"/>
      <c r="NNS456" s="67"/>
      <c r="NNT456" s="67"/>
      <c r="NNU456" s="67"/>
      <c r="NNV456" s="67"/>
      <c r="NNW456" s="67"/>
      <c r="NNX456" s="67"/>
      <c r="NNY456" s="67"/>
      <c r="NNZ456" s="67"/>
      <c r="NOA456" s="67"/>
      <c r="NOB456" s="67"/>
      <c r="NOC456" s="67"/>
      <c r="NOD456" s="67"/>
      <c r="NOE456" s="67"/>
      <c r="NOF456" s="67"/>
      <c r="NOG456" s="67"/>
      <c r="NOH456" s="67"/>
      <c r="NOI456" s="67"/>
      <c r="NOJ456" s="67"/>
      <c r="NOK456" s="67"/>
      <c r="NOL456" s="67"/>
      <c r="NOM456" s="67"/>
      <c r="NON456" s="67"/>
      <c r="NOO456" s="67"/>
      <c r="NOP456" s="67"/>
      <c r="NOQ456" s="67"/>
      <c r="NOR456" s="67"/>
      <c r="NOS456" s="67"/>
      <c r="NOT456" s="67"/>
      <c r="NOU456" s="67"/>
      <c r="NOV456" s="67"/>
      <c r="NOW456" s="67"/>
      <c r="NOX456" s="67"/>
      <c r="NOY456" s="67"/>
      <c r="NOZ456" s="67"/>
      <c r="NPA456" s="67"/>
      <c r="NPB456" s="67"/>
      <c r="NPC456" s="67"/>
      <c r="NPD456" s="67"/>
      <c r="NPE456" s="67"/>
      <c r="NPF456" s="67"/>
      <c r="NPG456" s="67"/>
      <c r="NPH456" s="67"/>
      <c r="NPI456" s="67"/>
      <c r="NPJ456" s="67"/>
      <c r="NPK456" s="67"/>
      <c r="NPL456" s="67"/>
      <c r="NPM456" s="67"/>
      <c r="NPN456" s="67"/>
      <c r="NPO456" s="67"/>
      <c r="NPP456" s="67"/>
      <c r="NPQ456" s="67"/>
      <c r="NPR456" s="67"/>
      <c r="NPS456" s="67"/>
      <c r="NPT456" s="67"/>
      <c r="NPU456" s="67"/>
      <c r="NPV456" s="67"/>
      <c r="NPW456" s="67"/>
      <c r="NPX456" s="67"/>
      <c r="NPY456" s="67"/>
      <c r="NPZ456" s="67"/>
      <c r="NQA456" s="67"/>
      <c r="NQB456" s="67"/>
      <c r="NQC456" s="67"/>
      <c r="NQD456" s="67"/>
      <c r="NQE456" s="67"/>
      <c r="NQF456" s="67"/>
      <c r="NQG456" s="67"/>
      <c r="NQH456" s="67"/>
      <c r="NQI456" s="67"/>
      <c r="NQJ456" s="67"/>
      <c r="NQK456" s="67"/>
      <c r="NQL456" s="67"/>
      <c r="NQM456" s="67"/>
      <c r="NQN456" s="67"/>
      <c r="NQO456" s="67"/>
      <c r="NQP456" s="67"/>
      <c r="NQQ456" s="67"/>
      <c r="NQR456" s="67"/>
      <c r="NQS456" s="67"/>
      <c r="NQT456" s="67"/>
      <c r="NQU456" s="67"/>
      <c r="NQV456" s="67"/>
      <c r="NQW456" s="67"/>
      <c r="NQX456" s="67"/>
      <c r="NQY456" s="67"/>
      <c r="NQZ456" s="67"/>
      <c r="NRA456" s="67"/>
      <c r="NRB456" s="67"/>
      <c r="NRC456" s="67"/>
      <c r="NRD456" s="67"/>
      <c r="NRE456" s="67"/>
      <c r="NRF456" s="67"/>
      <c r="NRG456" s="67"/>
      <c r="NRH456" s="67"/>
      <c r="NRI456" s="67"/>
      <c r="NRJ456" s="67"/>
      <c r="NRK456" s="67"/>
      <c r="NRL456" s="67"/>
      <c r="NRM456" s="67"/>
      <c r="NRN456" s="67"/>
      <c r="NRO456" s="67"/>
      <c r="NRP456" s="67"/>
      <c r="NRQ456" s="67"/>
      <c r="NRR456" s="67"/>
      <c r="NRS456" s="67"/>
      <c r="NRT456" s="67"/>
      <c r="NRU456" s="67"/>
      <c r="NRV456" s="67"/>
      <c r="NRW456" s="67"/>
      <c r="NRX456" s="67"/>
      <c r="NRY456" s="67"/>
      <c r="NRZ456" s="67"/>
      <c r="NSA456" s="67"/>
      <c r="NSB456" s="67"/>
      <c r="NSC456" s="67"/>
      <c r="NSD456" s="67"/>
      <c r="NSE456" s="67"/>
      <c r="NSF456" s="67"/>
      <c r="NSG456" s="67"/>
      <c r="NSH456" s="67"/>
      <c r="NSI456" s="67"/>
      <c r="NSJ456" s="67"/>
      <c r="NSK456" s="67"/>
      <c r="NSL456" s="67"/>
      <c r="NSM456" s="67"/>
      <c r="NSN456" s="67"/>
      <c r="NSO456" s="67"/>
      <c r="NSP456" s="67"/>
      <c r="NSQ456" s="67"/>
      <c r="NSR456" s="67"/>
      <c r="NSS456" s="67"/>
      <c r="NST456" s="67"/>
      <c r="NSU456" s="67"/>
      <c r="NSV456" s="67"/>
      <c r="NSW456" s="67"/>
      <c r="NSX456" s="67"/>
      <c r="NSY456" s="67"/>
      <c r="NSZ456" s="67"/>
      <c r="NTA456" s="67"/>
      <c r="NTB456" s="67"/>
      <c r="NTC456" s="67"/>
      <c r="NTD456" s="67"/>
      <c r="NTE456" s="67"/>
      <c r="NTF456" s="67"/>
      <c r="NTG456" s="67"/>
      <c r="NTH456" s="67"/>
      <c r="NTI456" s="67"/>
      <c r="NTJ456" s="67"/>
      <c r="NTK456" s="67"/>
      <c r="NTL456" s="67"/>
      <c r="NTM456" s="67"/>
      <c r="NTN456" s="67"/>
      <c r="NTO456" s="67"/>
      <c r="NTP456" s="67"/>
      <c r="NTQ456" s="67"/>
      <c r="NTR456" s="67"/>
      <c r="NTS456" s="67"/>
      <c r="NTT456" s="67"/>
      <c r="NTU456" s="67"/>
      <c r="NTV456" s="67"/>
      <c r="NTW456" s="67"/>
      <c r="NTX456" s="67"/>
      <c r="NTY456" s="67"/>
      <c r="NTZ456" s="67"/>
      <c r="NUA456" s="67"/>
      <c r="NUB456" s="67"/>
      <c r="NUC456" s="67"/>
      <c r="NUD456" s="67"/>
      <c r="NUE456" s="67"/>
      <c r="NUF456" s="67"/>
      <c r="NUG456" s="67"/>
      <c r="NUH456" s="67"/>
      <c r="NUI456" s="67"/>
      <c r="NUJ456" s="67"/>
      <c r="NUK456" s="67"/>
      <c r="NUL456" s="67"/>
      <c r="NUM456" s="67"/>
      <c r="NUN456" s="67"/>
      <c r="NUO456" s="67"/>
      <c r="NUP456" s="67"/>
      <c r="NUQ456" s="67"/>
      <c r="NUR456" s="67"/>
      <c r="NUS456" s="67"/>
      <c r="NUT456" s="67"/>
      <c r="NUU456" s="67"/>
      <c r="NUV456" s="67"/>
      <c r="NUW456" s="67"/>
      <c r="NUX456" s="67"/>
      <c r="NUY456" s="67"/>
      <c r="NUZ456" s="67"/>
      <c r="NVA456" s="67"/>
      <c r="NVB456" s="67"/>
      <c r="NVC456" s="67"/>
      <c r="NVD456" s="67"/>
      <c r="NVE456" s="67"/>
      <c r="NVF456" s="67"/>
      <c r="NVG456" s="67"/>
      <c r="NVH456" s="67"/>
      <c r="NVI456" s="67"/>
      <c r="NVJ456" s="67"/>
      <c r="NVK456" s="67"/>
      <c r="NVL456" s="67"/>
      <c r="NVM456" s="67"/>
      <c r="NVN456" s="67"/>
      <c r="NVO456" s="67"/>
      <c r="NVP456" s="67"/>
      <c r="NVQ456" s="67"/>
      <c r="NVR456" s="67"/>
      <c r="NVS456" s="67"/>
      <c r="NVT456" s="67"/>
      <c r="NVU456" s="67"/>
      <c r="NVV456" s="67"/>
      <c r="NVW456" s="67"/>
      <c r="NVX456" s="67"/>
      <c r="NVY456" s="67"/>
      <c r="NVZ456" s="67"/>
      <c r="NWA456" s="67"/>
      <c r="NWB456" s="67"/>
      <c r="NWC456" s="67"/>
      <c r="NWD456" s="67"/>
      <c r="NWE456" s="67"/>
      <c r="NWF456" s="67"/>
      <c r="NWG456" s="67"/>
      <c r="NWH456" s="67"/>
      <c r="NWI456" s="67"/>
      <c r="NWJ456" s="67"/>
      <c r="NWK456" s="67"/>
      <c r="NWL456" s="67"/>
      <c r="NWM456" s="67"/>
      <c r="NWN456" s="67"/>
      <c r="NWO456" s="67"/>
      <c r="NWP456" s="67"/>
      <c r="NWQ456" s="67"/>
      <c r="NWR456" s="67"/>
      <c r="NWS456" s="67"/>
      <c r="NWT456" s="67"/>
      <c r="NWU456" s="67"/>
      <c r="NWV456" s="67"/>
      <c r="NWW456" s="67"/>
      <c r="NWX456" s="67"/>
      <c r="NWY456" s="67"/>
      <c r="NWZ456" s="67"/>
      <c r="NXA456" s="67"/>
      <c r="NXB456" s="67"/>
      <c r="NXC456" s="67"/>
      <c r="NXD456" s="67"/>
      <c r="NXE456" s="67"/>
      <c r="NXF456" s="67"/>
      <c r="NXG456" s="67"/>
      <c r="NXH456" s="67"/>
      <c r="NXI456" s="67"/>
      <c r="NXJ456" s="67"/>
      <c r="NXK456" s="67"/>
      <c r="NXL456" s="67"/>
      <c r="NXM456" s="67"/>
      <c r="NXN456" s="67"/>
      <c r="NXO456" s="67"/>
      <c r="NXP456" s="67"/>
      <c r="NXQ456" s="67"/>
      <c r="NXR456" s="67"/>
      <c r="NXS456" s="67"/>
      <c r="NXT456" s="67"/>
      <c r="NXU456" s="67"/>
      <c r="NXV456" s="67"/>
      <c r="NXW456" s="67"/>
      <c r="NXX456" s="67"/>
      <c r="NXY456" s="67"/>
      <c r="NXZ456" s="67"/>
      <c r="NYA456" s="67"/>
      <c r="NYB456" s="67"/>
      <c r="NYC456" s="67"/>
      <c r="NYD456" s="67"/>
      <c r="NYE456" s="67"/>
      <c r="NYF456" s="67"/>
      <c r="NYG456" s="67"/>
      <c r="NYH456" s="67"/>
      <c r="NYI456" s="67"/>
      <c r="NYJ456" s="67"/>
      <c r="NYK456" s="67"/>
      <c r="NYL456" s="67"/>
      <c r="NYM456" s="67"/>
      <c r="NYN456" s="67"/>
      <c r="NYO456" s="67"/>
      <c r="NYP456" s="67"/>
      <c r="NYQ456" s="67"/>
      <c r="NYR456" s="67"/>
      <c r="NYS456" s="67"/>
      <c r="NYT456" s="67"/>
      <c r="NYU456" s="67"/>
      <c r="NYV456" s="67"/>
      <c r="NYW456" s="67"/>
      <c r="NYX456" s="67"/>
      <c r="NYY456" s="67"/>
      <c r="NYZ456" s="67"/>
      <c r="NZA456" s="67"/>
      <c r="NZB456" s="67"/>
      <c r="NZC456" s="67"/>
      <c r="NZD456" s="67"/>
      <c r="NZE456" s="67"/>
      <c r="NZF456" s="67"/>
      <c r="NZG456" s="67"/>
      <c r="NZH456" s="67"/>
      <c r="NZI456" s="67"/>
      <c r="NZJ456" s="67"/>
      <c r="NZK456" s="67"/>
      <c r="NZL456" s="67"/>
      <c r="NZM456" s="67"/>
      <c r="NZN456" s="67"/>
      <c r="NZO456" s="67"/>
      <c r="NZP456" s="67"/>
      <c r="NZQ456" s="67"/>
      <c r="NZR456" s="67"/>
      <c r="NZS456" s="67"/>
      <c r="NZT456" s="67"/>
      <c r="NZU456" s="67"/>
      <c r="NZV456" s="67"/>
      <c r="NZW456" s="67"/>
      <c r="NZX456" s="67"/>
      <c r="NZY456" s="67"/>
      <c r="NZZ456" s="67"/>
      <c r="OAA456" s="67"/>
      <c r="OAB456" s="67"/>
      <c r="OAC456" s="67"/>
      <c r="OAD456" s="67"/>
      <c r="OAE456" s="67"/>
      <c r="OAF456" s="67"/>
      <c r="OAG456" s="67"/>
      <c r="OAH456" s="67"/>
      <c r="OAI456" s="67"/>
      <c r="OAJ456" s="67"/>
      <c r="OAK456" s="67"/>
      <c r="OAL456" s="67"/>
      <c r="OAM456" s="67"/>
      <c r="OAN456" s="67"/>
      <c r="OAO456" s="67"/>
      <c r="OAP456" s="67"/>
      <c r="OAQ456" s="67"/>
      <c r="OAR456" s="67"/>
      <c r="OAS456" s="67"/>
      <c r="OAT456" s="67"/>
      <c r="OAU456" s="67"/>
      <c r="OAV456" s="67"/>
      <c r="OAW456" s="67"/>
      <c r="OAX456" s="67"/>
      <c r="OAY456" s="67"/>
      <c r="OAZ456" s="67"/>
      <c r="OBA456" s="67"/>
      <c r="OBB456" s="67"/>
      <c r="OBC456" s="67"/>
      <c r="OBD456" s="67"/>
      <c r="OBE456" s="67"/>
      <c r="OBF456" s="67"/>
      <c r="OBG456" s="67"/>
      <c r="OBH456" s="67"/>
      <c r="OBI456" s="67"/>
      <c r="OBJ456" s="67"/>
      <c r="OBK456" s="67"/>
      <c r="OBL456" s="67"/>
      <c r="OBM456" s="67"/>
      <c r="OBN456" s="67"/>
      <c r="OBO456" s="67"/>
      <c r="OBP456" s="67"/>
      <c r="OBQ456" s="67"/>
      <c r="OBR456" s="67"/>
      <c r="OBS456" s="67"/>
      <c r="OBT456" s="67"/>
      <c r="OBU456" s="67"/>
      <c r="OBV456" s="67"/>
      <c r="OBW456" s="67"/>
      <c r="OBX456" s="67"/>
      <c r="OBY456" s="67"/>
      <c r="OBZ456" s="67"/>
      <c r="OCA456" s="67"/>
      <c r="OCB456" s="67"/>
      <c r="OCC456" s="67"/>
      <c r="OCD456" s="67"/>
      <c r="OCE456" s="67"/>
      <c r="OCF456" s="67"/>
      <c r="OCG456" s="67"/>
      <c r="OCH456" s="67"/>
      <c r="OCI456" s="67"/>
      <c r="OCJ456" s="67"/>
      <c r="OCK456" s="67"/>
      <c r="OCL456" s="67"/>
      <c r="OCM456" s="67"/>
      <c r="OCN456" s="67"/>
      <c r="OCO456" s="67"/>
      <c r="OCP456" s="67"/>
      <c r="OCQ456" s="67"/>
      <c r="OCR456" s="67"/>
      <c r="OCS456" s="67"/>
      <c r="OCT456" s="67"/>
      <c r="OCU456" s="67"/>
      <c r="OCV456" s="67"/>
      <c r="OCW456" s="67"/>
      <c r="OCX456" s="67"/>
      <c r="OCY456" s="67"/>
      <c r="OCZ456" s="67"/>
      <c r="ODA456" s="67"/>
      <c r="ODB456" s="67"/>
      <c r="ODC456" s="67"/>
      <c r="ODD456" s="67"/>
      <c r="ODE456" s="67"/>
      <c r="ODF456" s="67"/>
      <c r="ODG456" s="67"/>
      <c r="ODH456" s="67"/>
      <c r="ODI456" s="67"/>
      <c r="ODJ456" s="67"/>
      <c r="ODK456" s="67"/>
      <c r="ODL456" s="67"/>
      <c r="ODM456" s="67"/>
      <c r="ODN456" s="67"/>
      <c r="ODO456" s="67"/>
      <c r="ODP456" s="67"/>
      <c r="ODQ456" s="67"/>
      <c r="ODR456" s="67"/>
      <c r="ODS456" s="67"/>
      <c r="ODT456" s="67"/>
      <c r="ODU456" s="67"/>
      <c r="ODV456" s="67"/>
      <c r="ODW456" s="67"/>
      <c r="ODX456" s="67"/>
      <c r="ODY456" s="67"/>
      <c r="ODZ456" s="67"/>
      <c r="OEA456" s="67"/>
      <c r="OEB456" s="67"/>
      <c r="OEC456" s="67"/>
      <c r="OED456" s="67"/>
      <c r="OEE456" s="67"/>
      <c r="OEF456" s="67"/>
      <c r="OEG456" s="67"/>
      <c r="OEH456" s="67"/>
      <c r="OEI456" s="67"/>
      <c r="OEJ456" s="67"/>
      <c r="OEK456" s="67"/>
      <c r="OEL456" s="67"/>
      <c r="OEM456" s="67"/>
      <c r="OEN456" s="67"/>
      <c r="OEO456" s="67"/>
      <c r="OEP456" s="67"/>
      <c r="OEQ456" s="67"/>
      <c r="OER456" s="67"/>
      <c r="OES456" s="67"/>
      <c r="OET456" s="67"/>
      <c r="OEU456" s="67"/>
      <c r="OEV456" s="67"/>
      <c r="OEW456" s="67"/>
      <c r="OEX456" s="67"/>
      <c r="OEY456" s="67"/>
      <c r="OEZ456" s="67"/>
      <c r="OFA456" s="67"/>
      <c r="OFB456" s="67"/>
      <c r="OFC456" s="67"/>
      <c r="OFD456" s="67"/>
      <c r="OFE456" s="67"/>
      <c r="OFF456" s="67"/>
      <c r="OFG456" s="67"/>
      <c r="OFH456" s="67"/>
      <c r="OFI456" s="67"/>
      <c r="OFJ456" s="67"/>
      <c r="OFK456" s="67"/>
      <c r="OFL456" s="67"/>
      <c r="OFM456" s="67"/>
      <c r="OFN456" s="67"/>
      <c r="OFO456" s="67"/>
      <c r="OFP456" s="67"/>
      <c r="OFQ456" s="67"/>
      <c r="OFR456" s="67"/>
      <c r="OFS456" s="67"/>
      <c r="OFT456" s="67"/>
      <c r="OFU456" s="67"/>
      <c r="OFV456" s="67"/>
      <c r="OFW456" s="67"/>
      <c r="OFX456" s="67"/>
      <c r="OFY456" s="67"/>
      <c r="OFZ456" s="67"/>
      <c r="OGA456" s="67"/>
      <c r="OGB456" s="67"/>
      <c r="OGC456" s="67"/>
      <c r="OGD456" s="67"/>
      <c r="OGE456" s="67"/>
      <c r="OGF456" s="67"/>
      <c r="OGG456" s="67"/>
      <c r="OGH456" s="67"/>
      <c r="OGI456" s="67"/>
      <c r="OGJ456" s="67"/>
      <c r="OGK456" s="67"/>
      <c r="OGL456" s="67"/>
      <c r="OGM456" s="67"/>
      <c r="OGN456" s="67"/>
      <c r="OGO456" s="67"/>
      <c r="OGP456" s="67"/>
      <c r="OGQ456" s="67"/>
      <c r="OGR456" s="67"/>
      <c r="OGS456" s="67"/>
      <c r="OGT456" s="67"/>
      <c r="OGU456" s="67"/>
      <c r="OGV456" s="67"/>
      <c r="OGW456" s="67"/>
      <c r="OGX456" s="67"/>
      <c r="OGY456" s="67"/>
      <c r="OGZ456" s="67"/>
      <c r="OHA456" s="67"/>
      <c r="OHB456" s="67"/>
      <c r="OHC456" s="67"/>
      <c r="OHD456" s="67"/>
      <c r="OHE456" s="67"/>
      <c r="OHF456" s="67"/>
      <c r="OHG456" s="67"/>
      <c r="OHH456" s="67"/>
      <c r="OHI456" s="67"/>
      <c r="OHJ456" s="67"/>
      <c r="OHK456" s="67"/>
      <c r="OHL456" s="67"/>
      <c r="OHM456" s="67"/>
      <c r="OHN456" s="67"/>
      <c r="OHO456" s="67"/>
      <c r="OHP456" s="67"/>
      <c r="OHQ456" s="67"/>
      <c r="OHR456" s="67"/>
      <c r="OHS456" s="67"/>
      <c r="OHT456" s="67"/>
      <c r="OHU456" s="67"/>
      <c r="OHV456" s="67"/>
      <c r="OHW456" s="67"/>
      <c r="OHX456" s="67"/>
      <c r="OHY456" s="67"/>
      <c r="OHZ456" s="67"/>
      <c r="OIA456" s="67"/>
      <c r="OIB456" s="67"/>
      <c r="OIC456" s="67"/>
      <c r="OID456" s="67"/>
      <c r="OIE456" s="67"/>
      <c r="OIF456" s="67"/>
      <c r="OIG456" s="67"/>
      <c r="OIH456" s="67"/>
      <c r="OII456" s="67"/>
      <c r="OIJ456" s="67"/>
      <c r="OIK456" s="67"/>
      <c r="OIL456" s="67"/>
      <c r="OIM456" s="67"/>
      <c r="OIN456" s="67"/>
      <c r="OIO456" s="67"/>
      <c r="OIP456" s="67"/>
      <c r="OIQ456" s="67"/>
      <c r="OIR456" s="67"/>
      <c r="OIS456" s="67"/>
      <c r="OIT456" s="67"/>
      <c r="OIU456" s="67"/>
      <c r="OIV456" s="67"/>
      <c r="OIW456" s="67"/>
      <c r="OIX456" s="67"/>
      <c r="OIY456" s="67"/>
      <c r="OIZ456" s="67"/>
      <c r="OJA456" s="67"/>
      <c r="OJB456" s="67"/>
      <c r="OJC456" s="67"/>
      <c r="OJD456" s="67"/>
      <c r="OJE456" s="67"/>
      <c r="OJF456" s="67"/>
      <c r="OJG456" s="67"/>
      <c r="OJH456" s="67"/>
      <c r="OJI456" s="67"/>
      <c r="OJJ456" s="67"/>
      <c r="OJK456" s="67"/>
      <c r="OJL456" s="67"/>
      <c r="OJM456" s="67"/>
      <c r="OJN456" s="67"/>
      <c r="OJO456" s="67"/>
      <c r="OJP456" s="67"/>
      <c r="OJQ456" s="67"/>
      <c r="OJR456" s="67"/>
      <c r="OJS456" s="67"/>
      <c r="OJT456" s="67"/>
      <c r="OJU456" s="67"/>
      <c r="OJV456" s="67"/>
      <c r="OJW456" s="67"/>
      <c r="OJX456" s="67"/>
      <c r="OJY456" s="67"/>
      <c r="OJZ456" s="67"/>
      <c r="OKA456" s="67"/>
      <c r="OKB456" s="67"/>
      <c r="OKC456" s="67"/>
      <c r="OKD456" s="67"/>
      <c r="OKE456" s="67"/>
      <c r="OKF456" s="67"/>
      <c r="OKG456" s="67"/>
      <c r="OKH456" s="67"/>
      <c r="OKI456" s="67"/>
      <c r="OKJ456" s="67"/>
      <c r="OKK456" s="67"/>
      <c r="OKL456" s="67"/>
      <c r="OKM456" s="67"/>
      <c r="OKN456" s="67"/>
      <c r="OKO456" s="67"/>
      <c r="OKP456" s="67"/>
      <c r="OKQ456" s="67"/>
      <c r="OKR456" s="67"/>
      <c r="OKS456" s="67"/>
      <c r="OKT456" s="67"/>
      <c r="OKU456" s="67"/>
      <c r="OKV456" s="67"/>
      <c r="OKW456" s="67"/>
      <c r="OKX456" s="67"/>
      <c r="OKY456" s="67"/>
      <c r="OKZ456" s="67"/>
      <c r="OLA456" s="67"/>
      <c r="OLB456" s="67"/>
      <c r="OLC456" s="67"/>
      <c r="OLD456" s="67"/>
      <c r="OLE456" s="67"/>
      <c r="OLF456" s="67"/>
      <c r="OLG456" s="67"/>
      <c r="OLH456" s="67"/>
      <c r="OLI456" s="67"/>
      <c r="OLJ456" s="67"/>
      <c r="OLK456" s="67"/>
      <c r="OLL456" s="67"/>
      <c r="OLM456" s="67"/>
      <c r="OLN456" s="67"/>
      <c r="OLO456" s="67"/>
      <c r="OLP456" s="67"/>
      <c r="OLQ456" s="67"/>
      <c r="OLR456" s="67"/>
      <c r="OLS456" s="67"/>
      <c r="OLT456" s="67"/>
      <c r="OLU456" s="67"/>
      <c r="OLV456" s="67"/>
      <c r="OLW456" s="67"/>
      <c r="OLX456" s="67"/>
      <c r="OLY456" s="67"/>
      <c r="OLZ456" s="67"/>
      <c r="OMA456" s="67"/>
      <c r="OMB456" s="67"/>
      <c r="OMC456" s="67"/>
      <c r="OMD456" s="67"/>
      <c r="OME456" s="67"/>
      <c r="OMF456" s="67"/>
      <c r="OMG456" s="67"/>
      <c r="OMH456" s="67"/>
      <c r="OMI456" s="67"/>
      <c r="OMJ456" s="67"/>
      <c r="OMK456" s="67"/>
      <c r="OML456" s="67"/>
      <c r="OMM456" s="67"/>
      <c r="OMN456" s="67"/>
      <c r="OMO456" s="67"/>
      <c r="OMP456" s="67"/>
      <c r="OMQ456" s="67"/>
      <c r="OMR456" s="67"/>
      <c r="OMS456" s="67"/>
      <c r="OMT456" s="67"/>
      <c r="OMU456" s="67"/>
      <c r="OMV456" s="67"/>
      <c r="OMW456" s="67"/>
      <c r="OMX456" s="67"/>
      <c r="OMY456" s="67"/>
      <c r="OMZ456" s="67"/>
      <c r="ONA456" s="67"/>
      <c r="ONB456" s="67"/>
      <c r="ONC456" s="67"/>
      <c r="OND456" s="67"/>
      <c r="ONE456" s="67"/>
      <c r="ONF456" s="67"/>
      <c r="ONG456" s="67"/>
      <c r="ONH456" s="67"/>
      <c r="ONI456" s="67"/>
      <c r="ONJ456" s="67"/>
      <c r="ONK456" s="67"/>
      <c r="ONL456" s="67"/>
      <c r="ONM456" s="67"/>
      <c r="ONN456" s="67"/>
      <c r="ONO456" s="67"/>
      <c r="ONP456" s="67"/>
      <c r="ONQ456" s="67"/>
      <c r="ONR456" s="67"/>
      <c r="ONS456" s="67"/>
      <c r="ONT456" s="67"/>
      <c r="ONU456" s="67"/>
      <c r="ONV456" s="67"/>
      <c r="ONW456" s="67"/>
      <c r="ONX456" s="67"/>
      <c r="ONY456" s="67"/>
      <c r="ONZ456" s="67"/>
      <c r="OOA456" s="67"/>
      <c r="OOB456" s="67"/>
      <c r="OOC456" s="67"/>
      <c r="OOD456" s="67"/>
      <c r="OOE456" s="67"/>
      <c r="OOF456" s="67"/>
      <c r="OOG456" s="67"/>
      <c r="OOH456" s="67"/>
      <c r="OOI456" s="67"/>
      <c r="OOJ456" s="67"/>
      <c r="OOK456" s="67"/>
      <c r="OOL456" s="67"/>
      <c r="OOM456" s="67"/>
      <c r="OON456" s="67"/>
      <c r="OOO456" s="67"/>
      <c r="OOP456" s="67"/>
      <c r="OOQ456" s="67"/>
      <c r="OOR456" s="67"/>
      <c r="OOS456" s="67"/>
      <c r="OOT456" s="67"/>
      <c r="OOU456" s="67"/>
      <c r="OOV456" s="67"/>
      <c r="OOW456" s="67"/>
      <c r="OOX456" s="67"/>
      <c r="OOY456" s="67"/>
      <c r="OOZ456" s="67"/>
      <c r="OPA456" s="67"/>
      <c r="OPB456" s="67"/>
      <c r="OPC456" s="67"/>
      <c r="OPD456" s="67"/>
      <c r="OPE456" s="67"/>
      <c r="OPF456" s="67"/>
      <c r="OPG456" s="67"/>
      <c r="OPH456" s="67"/>
      <c r="OPI456" s="67"/>
      <c r="OPJ456" s="67"/>
      <c r="OPK456" s="67"/>
      <c r="OPL456" s="67"/>
      <c r="OPM456" s="67"/>
      <c r="OPN456" s="67"/>
      <c r="OPO456" s="67"/>
      <c r="OPP456" s="67"/>
      <c r="OPQ456" s="67"/>
      <c r="OPR456" s="67"/>
      <c r="OPS456" s="67"/>
      <c r="OPT456" s="67"/>
      <c r="OPU456" s="67"/>
      <c r="OPV456" s="67"/>
      <c r="OPW456" s="67"/>
      <c r="OPX456" s="67"/>
      <c r="OPY456" s="67"/>
      <c r="OPZ456" s="67"/>
      <c r="OQA456" s="67"/>
      <c r="OQB456" s="67"/>
      <c r="OQC456" s="67"/>
      <c r="OQD456" s="67"/>
      <c r="OQE456" s="67"/>
      <c r="OQF456" s="67"/>
      <c r="OQG456" s="67"/>
      <c r="OQH456" s="67"/>
      <c r="OQI456" s="67"/>
      <c r="OQJ456" s="67"/>
      <c r="OQK456" s="67"/>
      <c r="OQL456" s="67"/>
      <c r="OQM456" s="67"/>
      <c r="OQN456" s="67"/>
      <c r="OQO456" s="67"/>
      <c r="OQP456" s="67"/>
      <c r="OQQ456" s="67"/>
      <c r="OQR456" s="67"/>
      <c r="OQS456" s="67"/>
      <c r="OQT456" s="67"/>
      <c r="OQU456" s="67"/>
      <c r="OQV456" s="67"/>
      <c r="OQW456" s="67"/>
      <c r="OQX456" s="67"/>
      <c r="OQY456" s="67"/>
      <c r="OQZ456" s="67"/>
      <c r="ORA456" s="67"/>
      <c r="ORB456" s="67"/>
      <c r="ORC456" s="67"/>
      <c r="ORD456" s="67"/>
      <c r="ORE456" s="67"/>
      <c r="ORF456" s="67"/>
      <c r="ORG456" s="67"/>
      <c r="ORH456" s="67"/>
      <c r="ORI456" s="67"/>
      <c r="ORJ456" s="67"/>
      <c r="ORK456" s="67"/>
      <c r="ORL456" s="67"/>
      <c r="ORM456" s="67"/>
      <c r="ORN456" s="67"/>
      <c r="ORO456" s="67"/>
      <c r="ORP456" s="67"/>
      <c r="ORQ456" s="67"/>
      <c r="ORR456" s="67"/>
      <c r="ORS456" s="67"/>
      <c r="ORT456" s="67"/>
      <c r="ORU456" s="67"/>
      <c r="ORV456" s="67"/>
      <c r="ORW456" s="67"/>
      <c r="ORX456" s="67"/>
      <c r="ORY456" s="67"/>
      <c r="ORZ456" s="67"/>
      <c r="OSA456" s="67"/>
      <c r="OSB456" s="67"/>
      <c r="OSC456" s="67"/>
      <c r="OSD456" s="67"/>
      <c r="OSE456" s="67"/>
      <c r="OSF456" s="67"/>
      <c r="OSG456" s="67"/>
      <c r="OSH456" s="67"/>
      <c r="OSI456" s="67"/>
      <c r="OSJ456" s="67"/>
      <c r="OSK456" s="67"/>
      <c r="OSL456" s="67"/>
      <c r="OSM456" s="67"/>
      <c r="OSN456" s="67"/>
      <c r="OSO456" s="67"/>
      <c r="OSP456" s="67"/>
      <c r="OSQ456" s="67"/>
      <c r="OSR456" s="67"/>
      <c r="OSS456" s="67"/>
      <c r="OST456" s="67"/>
      <c r="OSU456" s="67"/>
      <c r="OSV456" s="67"/>
      <c r="OSW456" s="67"/>
      <c r="OSX456" s="67"/>
      <c r="OSY456" s="67"/>
      <c r="OSZ456" s="67"/>
      <c r="OTA456" s="67"/>
      <c r="OTB456" s="67"/>
      <c r="OTC456" s="67"/>
      <c r="OTD456" s="67"/>
      <c r="OTE456" s="67"/>
      <c r="OTF456" s="67"/>
      <c r="OTG456" s="67"/>
      <c r="OTH456" s="67"/>
      <c r="OTI456" s="67"/>
      <c r="OTJ456" s="67"/>
      <c r="OTK456" s="67"/>
      <c r="OTL456" s="67"/>
      <c r="OTM456" s="67"/>
      <c r="OTN456" s="67"/>
      <c r="OTO456" s="67"/>
      <c r="OTP456" s="67"/>
      <c r="OTQ456" s="67"/>
      <c r="OTR456" s="67"/>
      <c r="OTS456" s="67"/>
      <c r="OTT456" s="67"/>
      <c r="OTU456" s="67"/>
      <c r="OTV456" s="67"/>
      <c r="OTW456" s="67"/>
      <c r="OTX456" s="67"/>
      <c r="OTY456" s="67"/>
      <c r="OTZ456" s="67"/>
      <c r="OUA456" s="67"/>
      <c r="OUB456" s="67"/>
      <c r="OUC456" s="67"/>
      <c r="OUD456" s="67"/>
      <c r="OUE456" s="67"/>
      <c r="OUF456" s="67"/>
      <c r="OUG456" s="67"/>
      <c r="OUH456" s="67"/>
      <c r="OUI456" s="67"/>
      <c r="OUJ456" s="67"/>
      <c r="OUK456" s="67"/>
      <c r="OUL456" s="67"/>
      <c r="OUM456" s="67"/>
      <c r="OUN456" s="67"/>
      <c r="OUO456" s="67"/>
      <c r="OUP456" s="67"/>
      <c r="OUQ456" s="67"/>
      <c r="OUR456" s="67"/>
      <c r="OUS456" s="67"/>
      <c r="OUT456" s="67"/>
      <c r="OUU456" s="67"/>
      <c r="OUV456" s="67"/>
      <c r="OUW456" s="67"/>
      <c r="OUX456" s="67"/>
      <c r="OUY456" s="67"/>
      <c r="OUZ456" s="67"/>
      <c r="OVA456" s="67"/>
      <c r="OVB456" s="67"/>
      <c r="OVC456" s="67"/>
      <c r="OVD456" s="67"/>
      <c r="OVE456" s="67"/>
      <c r="OVF456" s="67"/>
      <c r="OVG456" s="67"/>
      <c r="OVH456" s="67"/>
      <c r="OVI456" s="67"/>
      <c r="OVJ456" s="67"/>
      <c r="OVK456" s="67"/>
      <c r="OVL456" s="67"/>
      <c r="OVM456" s="67"/>
      <c r="OVN456" s="67"/>
      <c r="OVO456" s="67"/>
      <c r="OVP456" s="67"/>
      <c r="OVQ456" s="67"/>
      <c r="OVR456" s="67"/>
      <c r="OVS456" s="67"/>
      <c r="OVT456" s="67"/>
      <c r="OVU456" s="67"/>
      <c r="OVV456" s="67"/>
      <c r="OVW456" s="67"/>
      <c r="OVX456" s="67"/>
      <c r="OVY456" s="67"/>
      <c r="OVZ456" s="67"/>
      <c r="OWA456" s="67"/>
      <c r="OWB456" s="67"/>
      <c r="OWC456" s="67"/>
      <c r="OWD456" s="67"/>
      <c r="OWE456" s="67"/>
      <c r="OWF456" s="67"/>
      <c r="OWG456" s="67"/>
      <c r="OWH456" s="67"/>
      <c r="OWI456" s="67"/>
      <c r="OWJ456" s="67"/>
      <c r="OWK456" s="67"/>
      <c r="OWL456" s="67"/>
      <c r="OWM456" s="67"/>
      <c r="OWN456" s="67"/>
      <c r="OWO456" s="67"/>
      <c r="OWP456" s="67"/>
      <c r="OWQ456" s="67"/>
      <c r="OWR456" s="67"/>
      <c r="OWS456" s="67"/>
      <c r="OWT456" s="67"/>
      <c r="OWU456" s="67"/>
      <c r="OWV456" s="67"/>
      <c r="OWW456" s="67"/>
      <c r="OWX456" s="67"/>
      <c r="OWY456" s="67"/>
      <c r="OWZ456" s="67"/>
      <c r="OXA456" s="67"/>
      <c r="OXB456" s="67"/>
      <c r="OXC456" s="67"/>
      <c r="OXD456" s="67"/>
      <c r="OXE456" s="67"/>
      <c r="OXF456" s="67"/>
      <c r="OXG456" s="67"/>
      <c r="OXH456" s="67"/>
      <c r="OXI456" s="67"/>
      <c r="OXJ456" s="67"/>
      <c r="OXK456" s="67"/>
      <c r="OXL456" s="67"/>
      <c r="OXM456" s="67"/>
      <c r="OXN456" s="67"/>
      <c r="OXO456" s="67"/>
      <c r="OXP456" s="67"/>
      <c r="OXQ456" s="67"/>
      <c r="OXR456" s="67"/>
      <c r="OXS456" s="67"/>
      <c r="OXT456" s="67"/>
      <c r="OXU456" s="67"/>
      <c r="OXV456" s="67"/>
      <c r="OXW456" s="67"/>
      <c r="OXX456" s="67"/>
      <c r="OXY456" s="67"/>
      <c r="OXZ456" s="67"/>
      <c r="OYA456" s="67"/>
      <c r="OYB456" s="67"/>
      <c r="OYC456" s="67"/>
      <c r="OYD456" s="67"/>
      <c r="OYE456" s="67"/>
      <c r="OYF456" s="67"/>
      <c r="OYG456" s="67"/>
      <c r="OYH456" s="67"/>
      <c r="OYI456" s="67"/>
      <c r="OYJ456" s="67"/>
      <c r="OYK456" s="67"/>
      <c r="OYL456" s="67"/>
      <c r="OYM456" s="67"/>
      <c r="OYN456" s="67"/>
      <c r="OYO456" s="67"/>
      <c r="OYP456" s="67"/>
      <c r="OYQ456" s="67"/>
      <c r="OYR456" s="67"/>
      <c r="OYS456" s="67"/>
      <c r="OYT456" s="67"/>
      <c r="OYU456" s="67"/>
      <c r="OYV456" s="67"/>
      <c r="OYW456" s="67"/>
      <c r="OYX456" s="67"/>
      <c r="OYY456" s="67"/>
      <c r="OYZ456" s="67"/>
      <c r="OZA456" s="67"/>
      <c r="OZB456" s="67"/>
      <c r="OZC456" s="67"/>
      <c r="OZD456" s="67"/>
      <c r="OZE456" s="67"/>
      <c r="OZF456" s="67"/>
      <c r="OZG456" s="67"/>
      <c r="OZH456" s="67"/>
      <c r="OZI456" s="67"/>
      <c r="OZJ456" s="67"/>
      <c r="OZK456" s="67"/>
      <c r="OZL456" s="67"/>
      <c r="OZM456" s="67"/>
      <c r="OZN456" s="67"/>
      <c r="OZO456" s="67"/>
      <c r="OZP456" s="67"/>
      <c r="OZQ456" s="67"/>
      <c r="OZR456" s="67"/>
      <c r="OZS456" s="67"/>
      <c r="OZT456" s="67"/>
      <c r="OZU456" s="67"/>
      <c r="OZV456" s="67"/>
      <c r="OZW456" s="67"/>
      <c r="OZX456" s="67"/>
      <c r="OZY456" s="67"/>
      <c r="OZZ456" s="67"/>
      <c r="PAA456" s="67"/>
      <c r="PAB456" s="67"/>
      <c r="PAC456" s="67"/>
      <c r="PAD456" s="67"/>
      <c r="PAE456" s="67"/>
      <c r="PAF456" s="67"/>
      <c r="PAG456" s="67"/>
      <c r="PAH456" s="67"/>
      <c r="PAI456" s="67"/>
      <c r="PAJ456" s="67"/>
      <c r="PAK456" s="67"/>
      <c r="PAL456" s="67"/>
      <c r="PAM456" s="67"/>
      <c r="PAN456" s="67"/>
      <c r="PAO456" s="67"/>
      <c r="PAP456" s="67"/>
      <c r="PAQ456" s="67"/>
      <c r="PAR456" s="67"/>
      <c r="PAS456" s="67"/>
      <c r="PAT456" s="67"/>
      <c r="PAU456" s="67"/>
      <c r="PAV456" s="67"/>
      <c r="PAW456" s="67"/>
      <c r="PAX456" s="67"/>
      <c r="PAY456" s="67"/>
      <c r="PAZ456" s="67"/>
      <c r="PBA456" s="67"/>
      <c r="PBB456" s="67"/>
      <c r="PBC456" s="67"/>
      <c r="PBD456" s="67"/>
      <c r="PBE456" s="67"/>
      <c r="PBF456" s="67"/>
      <c r="PBG456" s="67"/>
      <c r="PBH456" s="67"/>
      <c r="PBI456" s="67"/>
      <c r="PBJ456" s="67"/>
      <c r="PBK456" s="67"/>
      <c r="PBL456" s="67"/>
      <c r="PBM456" s="67"/>
      <c r="PBN456" s="67"/>
      <c r="PBO456" s="67"/>
      <c r="PBP456" s="67"/>
      <c r="PBQ456" s="67"/>
      <c r="PBR456" s="67"/>
      <c r="PBS456" s="67"/>
      <c r="PBT456" s="67"/>
      <c r="PBU456" s="67"/>
      <c r="PBV456" s="67"/>
      <c r="PBW456" s="67"/>
      <c r="PBX456" s="67"/>
      <c r="PBY456" s="67"/>
      <c r="PBZ456" s="67"/>
      <c r="PCA456" s="67"/>
      <c r="PCB456" s="67"/>
      <c r="PCC456" s="67"/>
      <c r="PCD456" s="67"/>
      <c r="PCE456" s="67"/>
      <c r="PCF456" s="67"/>
      <c r="PCG456" s="67"/>
      <c r="PCH456" s="67"/>
      <c r="PCI456" s="67"/>
      <c r="PCJ456" s="67"/>
      <c r="PCK456" s="67"/>
      <c r="PCL456" s="67"/>
      <c r="PCM456" s="67"/>
      <c r="PCN456" s="67"/>
      <c r="PCO456" s="67"/>
      <c r="PCP456" s="67"/>
      <c r="PCQ456" s="67"/>
      <c r="PCR456" s="67"/>
      <c r="PCS456" s="67"/>
      <c r="PCT456" s="67"/>
      <c r="PCU456" s="67"/>
      <c r="PCV456" s="67"/>
      <c r="PCW456" s="67"/>
      <c r="PCX456" s="67"/>
      <c r="PCY456" s="67"/>
      <c r="PCZ456" s="67"/>
      <c r="PDA456" s="67"/>
      <c r="PDB456" s="67"/>
      <c r="PDC456" s="67"/>
      <c r="PDD456" s="67"/>
      <c r="PDE456" s="67"/>
      <c r="PDF456" s="67"/>
      <c r="PDG456" s="67"/>
      <c r="PDH456" s="67"/>
      <c r="PDI456" s="67"/>
      <c r="PDJ456" s="67"/>
      <c r="PDK456" s="67"/>
      <c r="PDL456" s="67"/>
      <c r="PDM456" s="67"/>
      <c r="PDN456" s="67"/>
      <c r="PDO456" s="67"/>
      <c r="PDP456" s="67"/>
      <c r="PDQ456" s="67"/>
      <c r="PDR456" s="67"/>
      <c r="PDS456" s="67"/>
      <c r="PDT456" s="67"/>
      <c r="PDU456" s="67"/>
      <c r="PDV456" s="67"/>
      <c r="PDW456" s="67"/>
      <c r="PDX456" s="67"/>
      <c r="PDY456" s="67"/>
      <c r="PDZ456" s="67"/>
      <c r="PEA456" s="67"/>
      <c r="PEB456" s="67"/>
      <c r="PEC456" s="67"/>
      <c r="PED456" s="67"/>
      <c r="PEE456" s="67"/>
      <c r="PEF456" s="67"/>
      <c r="PEG456" s="67"/>
      <c r="PEH456" s="67"/>
      <c r="PEI456" s="67"/>
      <c r="PEJ456" s="67"/>
      <c r="PEK456" s="67"/>
      <c r="PEL456" s="67"/>
      <c r="PEM456" s="67"/>
      <c r="PEN456" s="67"/>
      <c r="PEO456" s="67"/>
      <c r="PEP456" s="67"/>
      <c r="PEQ456" s="67"/>
      <c r="PER456" s="67"/>
      <c r="PES456" s="67"/>
      <c r="PET456" s="67"/>
      <c r="PEU456" s="67"/>
      <c r="PEV456" s="67"/>
      <c r="PEW456" s="67"/>
      <c r="PEX456" s="67"/>
      <c r="PEY456" s="67"/>
      <c r="PEZ456" s="67"/>
      <c r="PFA456" s="67"/>
      <c r="PFB456" s="67"/>
      <c r="PFC456" s="67"/>
      <c r="PFD456" s="67"/>
      <c r="PFE456" s="67"/>
      <c r="PFF456" s="67"/>
      <c r="PFG456" s="67"/>
      <c r="PFH456" s="67"/>
      <c r="PFI456" s="67"/>
      <c r="PFJ456" s="67"/>
      <c r="PFK456" s="67"/>
      <c r="PFL456" s="67"/>
      <c r="PFM456" s="67"/>
      <c r="PFN456" s="67"/>
      <c r="PFO456" s="67"/>
      <c r="PFP456" s="67"/>
      <c r="PFQ456" s="67"/>
      <c r="PFR456" s="67"/>
      <c r="PFS456" s="67"/>
      <c r="PFT456" s="67"/>
      <c r="PFU456" s="67"/>
      <c r="PFV456" s="67"/>
      <c r="PFW456" s="67"/>
      <c r="PFX456" s="67"/>
      <c r="PFY456" s="67"/>
      <c r="PFZ456" s="67"/>
      <c r="PGA456" s="67"/>
      <c r="PGB456" s="67"/>
      <c r="PGC456" s="67"/>
      <c r="PGD456" s="67"/>
      <c r="PGE456" s="67"/>
      <c r="PGF456" s="67"/>
      <c r="PGG456" s="67"/>
      <c r="PGH456" s="67"/>
      <c r="PGI456" s="67"/>
      <c r="PGJ456" s="67"/>
      <c r="PGK456" s="67"/>
      <c r="PGL456" s="67"/>
      <c r="PGM456" s="67"/>
      <c r="PGN456" s="67"/>
      <c r="PGO456" s="67"/>
      <c r="PGP456" s="67"/>
      <c r="PGQ456" s="67"/>
      <c r="PGR456" s="67"/>
      <c r="PGS456" s="67"/>
      <c r="PGT456" s="67"/>
      <c r="PGU456" s="67"/>
      <c r="PGV456" s="67"/>
      <c r="PGW456" s="67"/>
      <c r="PGX456" s="67"/>
      <c r="PGY456" s="67"/>
      <c r="PGZ456" s="67"/>
      <c r="PHA456" s="67"/>
      <c r="PHB456" s="67"/>
      <c r="PHC456" s="67"/>
      <c r="PHD456" s="67"/>
      <c r="PHE456" s="67"/>
      <c r="PHF456" s="67"/>
      <c r="PHG456" s="67"/>
      <c r="PHH456" s="67"/>
      <c r="PHI456" s="67"/>
      <c r="PHJ456" s="67"/>
      <c r="PHK456" s="67"/>
      <c r="PHL456" s="67"/>
      <c r="PHM456" s="67"/>
      <c r="PHN456" s="67"/>
      <c r="PHO456" s="67"/>
      <c r="PHP456" s="67"/>
      <c r="PHQ456" s="67"/>
      <c r="PHR456" s="67"/>
      <c r="PHS456" s="67"/>
      <c r="PHT456" s="67"/>
      <c r="PHU456" s="67"/>
      <c r="PHV456" s="67"/>
      <c r="PHW456" s="67"/>
      <c r="PHX456" s="67"/>
      <c r="PHY456" s="67"/>
      <c r="PHZ456" s="67"/>
      <c r="PIA456" s="67"/>
      <c r="PIB456" s="67"/>
      <c r="PIC456" s="67"/>
      <c r="PID456" s="67"/>
      <c r="PIE456" s="67"/>
      <c r="PIF456" s="67"/>
      <c r="PIG456" s="67"/>
      <c r="PIH456" s="67"/>
      <c r="PII456" s="67"/>
      <c r="PIJ456" s="67"/>
      <c r="PIK456" s="67"/>
      <c r="PIL456" s="67"/>
      <c r="PIM456" s="67"/>
      <c r="PIN456" s="67"/>
      <c r="PIO456" s="67"/>
      <c r="PIP456" s="67"/>
      <c r="PIQ456" s="67"/>
      <c r="PIR456" s="67"/>
      <c r="PIS456" s="67"/>
      <c r="PIT456" s="67"/>
      <c r="PIU456" s="67"/>
      <c r="PIV456" s="67"/>
      <c r="PIW456" s="67"/>
      <c r="PIX456" s="67"/>
      <c r="PIY456" s="67"/>
      <c r="PIZ456" s="67"/>
      <c r="PJA456" s="67"/>
      <c r="PJB456" s="67"/>
      <c r="PJC456" s="67"/>
      <c r="PJD456" s="67"/>
      <c r="PJE456" s="67"/>
      <c r="PJF456" s="67"/>
      <c r="PJG456" s="67"/>
      <c r="PJH456" s="67"/>
      <c r="PJI456" s="67"/>
      <c r="PJJ456" s="67"/>
      <c r="PJK456" s="67"/>
      <c r="PJL456" s="67"/>
      <c r="PJM456" s="67"/>
      <c r="PJN456" s="67"/>
      <c r="PJO456" s="67"/>
      <c r="PJP456" s="67"/>
      <c r="PJQ456" s="67"/>
      <c r="PJR456" s="67"/>
      <c r="PJS456" s="67"/>
      <c r="PJT456" s="67"/>
      <c r="PJU456" s="67"/>
      <c r="PJV456" s="67"/>
      <c r="PJW456" s="67"/>
      <c r="PJX456" s="67"/>
      <c r="PJY456" s="67"/>
      <c r="PJZ456" s="67"/>
      <c r="PKA456" s="67"/>
      <c r="PKB456" s="67"/>
      <c r="PKC456" s="67"/>
      <c r="PKD456" s="67"/>
      <c r="PKE456" s="67"/>
      <c r="PKF456" s="67"/>
      <c r="PKG456" s="67"/>
      <c r="PKH456" s="67"/>
      <c r="PKI456" s="67"/>
      <c r="PKJ456" s="67"/>
      <c r="PKK456" s="67"/>
      <c r="PKL456" s="67"/>
      <c r="PKM456" s="67"/>
      <c r="PKN456" s="67"/>
      <c r="PKO456" s="67"/>
      <c r="PKP456" s="67"/>
      <c r="PKQ456" s="67"/>
      <c r="PKR456" s="67"/>
      <c r="PKS456" s="67"/>
      <c r="PKT456" s="67"/>
      <c r="PKU456" s="67"/>
      <c r="PKV456" s="67"/>
      <c r="PKW456" s="67"/>
      <c r="PKX456" s="67"/>
      <c r="PKY456" s="67"/>
      <c r="PKZ456" s="67"/>
      <c r="PLA456" s="67"/>
      <c r="PLB456" s="67"/>
      <c r="PLC456" s="67"/>
      <c r="PLD456" s="67"/>
      <c r="PLE456" s="67"/>
      <c r="PLF456" s="67"/>
      <c r="PLG456" s="67"/>
      <c r="PLH456" s="67"/>
      <c r="PLI456" s="67"/>
      <c r="PLJ456" s="67"/>
      <c r="PLK456" s="67"/>
      <c r="PLL456" s="67"/>
      <c r="PLM456" s="67"/>
      <c r="PLN456" s="67"/>
      <c r="PLO456" s="67"/>
      <c r="PLP456" s="67"/>
      <c r="PLQ456" s="67"/>
      <c r="PLR456" s="67"/>
      <c r="PLS456" s="67"/>
      <c r="PLT456" s="67"/>
      <c r="PLU456" s="67"/>
      <c r="PLV456" s="67"/>
      <c r="PLW456" s="67"/>
      <c r="PLX456" s="67"/>
      <c r="PLY456" s="67"/>
      <c r="PLZ456" s="67"/>
      <c r="PMA456" s="67"/>
      <c r="PMB456" s="67"/>
      <c r="PMC456" s="67"/>
      <c r="PMD456" s="67"/>
      <c r="PME456" s="67"/>
      <c r="PMF456" s="67"/>
      <c r="PMG456" s="67"/>
      <c r="PMH456" s="67"/>
      <c r="PMI456" s="67"/>
      <c r="PMJ456" s="67"/>
      <c r="PMK456" s="67"/>
      <c r="PML456" s="67"/>
      <c r="PMM456" s="67"/>
      <c r="PMN456" s="67"/>
      <c r="PMO456" s="67"/>
      <c r="PMP456" s="67"/>
      <c r="PMQ456" s="67"/>
      <c r="PMR456" s="67"/>
      <c r="PMS456" s="67"/>
      <c r="PMT456" s="67"/>
      <c r="PMU456" s="67"/>
      <c r="PMV456" s="67"/>
      <c r="PMW456" s="67"/>
      <c r="PMX456" s="67"/>
      <c r="PMY456" s="67"/>
      <c r="PMZ456" s="67"/>
      <c r="PNA456" s="67"/>
      <c r="PNB456" s="67"/>
      <c r="PNC456" s="67"/>
      <c r="PND456" s="67"/>
      <c r="PNE456" s="67"/>
      <c r="PNF456" s="67"/>
      <c r="PNG456" s="67"/>
      <c r="PNH456" s="67"/>
      <c r="PNI456" s="67"/>
      <c r="PNJ456" s="67"/>
      <c r="PNK456" s="67"/>
      <c r="PNL456" s="67"/>
      <c r="PNM456" s="67"/>
      <c r="PNN456" s="67"/>
      <c r="PNO456" s="67"/>
      <c r="PNP456" s="67"/>
      <c r="PNQ456" s="67"/>
      <c r="PNR456" s="67"/>
      <c r="PNS456" s="67"/>
      <c r="PNT456" s="67"/>
      <c r="PNU456" s="67"/>
      <c r="PNV456" s="67"/>
      <c r="PNW456" s="67"/>
      <c r="PNX456" s="67"/>
      <c r="PNY456" s="67"/>
      <c r="PNZ456" s="67"/>
      <c r="POA456" s="67"/>
      <c r="POB456" s="67"/>
      <c r="POC456" s="67"/>
      <c r="POD456" s="67"/>
      <c r="POE456" s="67"/>
      <c r="POF456" s="67"/>
      <c r="POG456" s="67"/>
      <c r="POH456" s="67"/>
      <c r="POI456" s="67"/>
      <c r="POJ456" s="67"/>
      <c r="POK456" s="67"/>
      <c r="POL456" s="67"/>
      <c r="POM456" s="67"/>
      <c r="PON456" s="67"/>
      <c r="POO456" s="67"/>
      <c r="POP456" s="67"/>
      <c r="POQ456" s="67"/>
      <c r="POR456" s="67"/>
      <c r="POS456" s="67"/>
      <c r="POT456" s="67"/>
      <c r="POU456" s="67"/>
      <c r="POV456" s="67"/>
      <c r="POW456" s="67"/>
      <c r="POX456" s="67"/>
      <c r="POY456" s="67"/>
      <c r="POZ456" s="67"/>
      <c r="PPA456" s="67"/>
      <c r="PPB456" s="67"/>
      <c r="PPC456" s="67"/>
      <c r="PPD456" s="67"/>
      <c r="PPE456" s="67"/>
      <c r="PPF456" s="67"/>
      <c r="PPG456" s="67"/>
      <c r="PPH456" s="67"/>
      <c r="PPI456" s="67"/>
      <c r="PPJ456" s="67"/>
      <c r="PPK456" s="67"/>
      <c r="PPL456" s="67"/>
      <c r="PPM456" s="67"/>
      <c r="PPN456" s="67"/>
      <c r="PPO456" s="67"/>
      <c r="PPP456" s="67"/>
      <c r="PPQ456" s="67"/>
      <c r="PPR456" s="67"/>
      <c r="PPS456" s="67"/>
      <c r="PPT456" s="67"/>
      <c r="PPU456" s="67"/>
      <c r="PPV456" s="67"/>
      <c r="PPW456" s="67"/>
      <c r="PPX456" s="67"/>
      <c r="PPY456" s="67"/>
      <c r="PPZ456" s="67"/>
      <c r="PQA456" s="67"/>
      <c r="PQB456" s="67"/>
      <c r="PQC456" s="67"/>
      <c r="PQD456" s="67"/>
      <c r="PQE456" s="67"/>
      <c r="PQF456" s="67"/>
      <c r="PQG456" s="67"/>
      <c r="PQH456" s="67"/>
      <c r="PQI456" s="67"/>
      <c r="PQJ456" s="67"/>
      <c r="PQK456" s="67"/>
      <c r="PQL456" s="67"/>
      <c r="PQM456" s="67"/>
      <c r="PQN456" s="67"/>
      <c r="PQO456" s="67"/>
      <c r="PQP456" s="67"/>
      <c r="PQQ456" s="67"/>
      <c r="PQR456" s="67"/>
      <c r="PQS456" s="67"/>
      <c r="PQT456" s="67"/>
      <c r="PQU456" s="67"/>
      <c r="PQV456" s="67"/>
      <c r="PQW456" s="67"/>
      <c r="PQX456" s="67"/>
      <c r="PQY456" s="67"/>
      <c r="PQZ456" s="67"/>
      <c r="PRA456" s="67"/>
      <c r="PRB456" s="67"/>
      <c r="PRC456" s="67"/>
      <c r="PRD456" s="67"/>
      <c r="PRE456" s="67"/>
      <c r="PRF456" s="67"/>
      <c r="PRG456" s="67"/>
      <c r="PRH456" s="67"/>
      <c r="PRI456" s="67"/>
      <c r="PRJ456" s="67"/>
      <c r="PRK456" s="67"/>
      <c r="PRL456" s="67"/>
      <c r="PRM456" s="67"/>
      <c r="PRN456" s="67"/>
      <c r="PRO456" s="67"/>
      <c r="PRP456" s="67"/>
      <c r="PRQ456" s="67"/>
      <c r="PRR456" s="67"/>
      <c r="PRS456" s="67"/>
      <c r="PRT456" s="67"/>
      <c r="PRU456" s="67"/>
      <c r="PRV456" s="67"/>
      <c r="PRW456" s="67"/>
      <c r="PRX456" s="67"/>
      <c r="PRY456" s="67"/>
      <c r="PRZ456" s="67"/>
      <c r="PSA456" s="67"/>
      <c r="PSB456" s="67"/>
      <c r="PSC456" s="67"/>
      <c r="PSD456" s="67"/>
      <c r="PSE456" s="67"/>
      <c r="PSF456" s="67"/>
      <c r="PSG456" s="67"/>
      <c r="PSH456" s="67"/>
      <c r="PSI456" s="67"/>
      <c r="PSJ456" s="67"/>
      <c r="PSK456" s="67"/>
      <c r="PSL456" s="67"/>
      <c r="PSM456" s="67"/>
      <c r="PSN456" s="67"/>
      <c r="PSO456" s="67"/>
      <c r="PSP456" s="67"/>
      <c r="PSQ456" s="67"/>
      <c r="PSR456" s="67"/>
      <c r="PSS456" s="67"/>
      <c r="PST456" s="67"/>
      <c r="PSU456" s="67"/>
      <c r="PSV456" s="67"/>
      <c r="PSW456" s="67"/>
      <c r="PSX456" s="67"/>
      <c r="PSY456" s="67"/>
      <c r="PSZ456" s="67"/>
      <c r="PTA456" s="67"/>
      <c r="PTB456" s="67"/>
      <c r="PTC456" s="67"/>
      <c r="PTD456" s="67"/>
      <c r="PTE456" s="67"/>
      <c r="PTF456" s="67"/>
      <c r="PTG456" s="67"/>
      <c r="PTH456" s="67"/>
      <c r="PTI456" s="67"/>
      <c r="PTJ456" s="67"/>
      <c r="PTK456" s="67"/>
      <c r="PTL456" s="67"/>
      <c r="PTM456" s="67"/>
      <c r="PTN456" s="67"/>
      <c r="PTO456" s="67"/>
      <c r="PTP456" s="67"/>
      <c r="PTQ456" s="67"/>
      <c r="PTR456" s="67"/>
      <c r="PTS456" s="67"/>
      <c r="PTT456" s="67"/>
      <c r="PTU456" s="67"/>
      <c r="PTV456" s="67"/>
      <c r="PTW456" s="67"/>
      <c r="PTX456" s="67"/>
      <c r="PTY456" s="67"/>
      <c r="PTZ456" s="67"/>
      <c r="PUA456" s="67"/>
      <c r="PUB456" s="67"/>
      <c r="PUC456" s="67"/>
      <c r="PUD456" s="67"/>
      <c r="PUE456" s="67"/>
      <c r="PUF456" s="67"/>
      <c r="PUG456" s="67"/>
      <c r="PUH456" s="67"/>
      <c r="PUI456" s="67"/>
      <c r="PUJ456" s="67"/>
      <c r="PUK456" s="67"/>
      <c r="PUL456" s="67"/>
      <c r="PUM456" s="67"/>
      <c r="PUN456" s="67"/>
      <c r="PUO456" s="67"/>
      <c r="PUP456" s="67"/>
      <c r="PUQ456" s="67"/>
      <c r="PUR456" s="67"/>
      <c r="PUS456" s="67"/>
      <c r="PUT456" s="67"/>
      <c r="PUU456" s="67"/>
      <c r="PUV456" s="67"/>
      <c r="PUW456" s="67"/>
      <c r="PUX456" s="67"/>
      <c r="PUY456" s="67"/>
      <c r="PUZ456" s="67"/>
      <c r="PVA456" s="67"/>
      <c r="PVB456" s="67"/>
      <c r="PVC456" s="67"/>
      <c r="PVD456" s="67"/>
      <c r="PVE456" s="67"/>
      <c r="PVF456" s="67"/>
      <c r="PVG456" s="67"/>
      <c r="PVH456" s="67"/>
      <c r="PVI456" s="67"/>
      <c r="PVJ456" s="67"/>
      <c r="PVK456" s="67"/>
      <c r="PVL456" s="67"/>
      <c r="PVM456" s="67"/>
      <c r="PVN456" s="67"/>
      <c r="PVO456" s="67"/>
      <c r="PVP456" s="67"/>
      <c r="PVQ456" s="67"/>
      <c r="PVR456" s="67"/>
      <c r="PVS456" s="67"/>
      <c r="PVT456" s="67"/>
      <c r="PVU456" s="67"/>
      <c r="PVV456" s="67"/>
      <c r="PVW456" s="67"/>
      <c r="PVX456" s="67"/>
      <c r="PVY456" s="67"/>
      <c r="PVZ456" s="67"/>
      <c r="PWA456" s="67"/>
      <c r="PWB456" s="67"/>
      <c r="PWC456" s="67"/>
      <c r="PWD456" s="67"/>
      <c r="PWE456" s="67"/>
      <c r="PWF456" s="67"/>
      <c r="PWG456" s="67"/>
      <c r="PWH456" s="67"/>
      <c r="PWI456" s="67"/>
      <c r="PWJ456" s="67"/>
      <c r="PWK456" s="67"/>
      <c r="PWL456" s="67"/>
      <c r="PWM456" s="67"/>
      <c r="PWN456" s="67"/>
      <c r="PWO456" s="67"/>
      <c r="PWP456" s="67"/>
      <c r="PWQ456" s="67"/>
      <c r="PWR456" s="67"/>
      <c r="PWS456" s="67"/>
      <c r="PWT456" s="67"/>
      <c r="PWU456" s="67"/>
      <c r="PWV456" s="67"/>
      <c r="PWW456" s="67"/>
      <c r="PWX456" s="67"/>
      <c r="PWY456" s="67"/>
      <c r="PWZ456" s="67"/>
      <c r="PXA456" s="67"/>
      <c r="PXB456" s="67"/>
      <c r="PXC456" s="67"/>
      <c r="PXD456" s="67"/>
      <c r="PXE456" s="67"/>
      <c r="PXF456" s="67"/>
      <c r="PXG456" s="67"/>
      <c r="PXH456" s="67"/>
      <c r="PXI456" s="67"/>
      <c r="PXJ456" s="67"/>
      <c r="PXK456" s="67"/>
      <c r="PXL456" s="67"/>
      <c r="PXM456" s="67"/>
      <c r="PXN456" s="67"/>
      <c r="PXO456" s="67"/>
      <c r="PXP456" s="67"/>
      <c r="PXQ456" s="67"/>
      <c r="PXR456" s="67"/>
      <c r="PXS456" s="67"/>
      <c r="PXT456" s="67"/>
      <c r="PXU456" s="67"/>
      <c r="PXV456" s="67"/>
      <c r="PXW456" s="67"/>
      <c r="PXX456" s="67"/>
      <c r="PXY456" s="67"/>
      <c r="PXZ456" s="67"/>
      <c r="PYA456" s="67"/>
      <c r="PYB456" s="67"/>
      <c r="PYC456" s="67"/>
      <c r="PYD456" s="67"/>
      <c r="PYE456" s="67"/>
      <c r="PYF456" s="67"/>
      <c r="PYG456" s="67"/>
      <c r="PYH456" s="67"/>
      <c r="PYI456" s="67"/>
      <c r="PYJ456" s="67"/>
      <c r="PYK456" s="67"/>
      <c r="PYL456" s="67"/>
      <c r="PYM456" s="67"/>
      <c r="PYN456" s="67"/>
      <c r="PYO456" s="67"/>
      <c r="PYP456" s="67"/>
      <c r="PYQ456" s="67"/>
      <c r="PYR456" s="67"/>
      <c r="PYS456" s="67"/>
      <c r="PYT456" s="67"/>
      <c r="PYU456" s="67"/>
      <c r="PYV456" s="67"/>
      <c r="PYW456" s="67"/>
      <c r="PYX456" s="67"/>
      <c r="PYY456" s="67"/>
      <c r="PYZ456" s="67"/>
      <c r="PZA456" s="67"/>
      <c r="PZB456" s="67"/>
      <c r="PZC456" s="67"/>
      <c r="PZD456" s="67"/>
      <c r="PZE456" s="67"/>
      <c r="PZF456" s="67"/>
      <c r="PZG456" s="67"/>
      <c r="PZH456" s="67"/>
      <c r="PZI456" s="67"/>
      <c r="PZJ456" s="67"/>
      <c r="PZK456" s="67"/>
      <c r="PZL456" s="67"/>
      <c r="PZM456" s="67"/>
      <c r="PZN456" s="67"/>
      <c r="PZO456" s="67"/>
      <c r="PZP456" s="67"/>
      <c r="PZQ456" s="67"/>
      <c r="PZR456" s="67"/>
      <c r="PZS456" s="67"/>
      <c r="PZT456" s="67"/>
      <c r="PZU456" s="67"/>
      <c r="PZV456" s="67"/>
      <c r="PZW456" s="67"/>
      <c r="PZX456" s="67"/>
      <c r="PZY456" s="67"/>
      <c r="PZZ456" s="67"/>
      <c r="QAA456" s="67"/>
      <c r="QAB456" s="67"/>
      <c r="QAC456" s="67"/>
      <c r="QAD456" s="67"/>
      <c r="QAE456" s="67"/>
      <c r="QAF456" s="67"/>
      <c r="QAG456" s="67"/>
      <c r="QAH456" s="67"/>
      <c r="QAI456" s="67"/>
      <c r="QAJ456" s="67"/>
      <c r="QAK456" s="67"/>
      <c r="QAL456" s="67"/>
      <c r="QAM456" s="67"/>
      <c r="QAN456" s="67"/>
      <c r="QAO456" s="67"/>
      <c r="QAP456" s="67"/>
      <c r="QAQ456" s="67"/>
      <c r="QAR456" s="67"/>
      <c r="QAS456" s="67"/>
      <c r="QAT456" s="67"/>
      <c r="QAU456" s="67"/>
      <c r="QAV456" s="67"/>
      <c r="QAW456" s="67"/>
      <c r="QAX456" s="67"/>
      <c r="QAY456" s="67"/>
      <c r="QAZ456" s="67"/>
      <c r="QBA456" s="67"/>
      <c r="QBB456" s="67"/>
      <c r="QBC456" s="67"/>
      <c r="QBD456" s="67"/>
      <c r="QBE456" s="67"/>
      <c r="QBF456" s="67"/>
      <c r="QBG456" s="67"/>
      <c r="QBH456" s="67"/>
      <c r="QBI456" s="67"/>
      <c r="QBJ456" s="67"/>
      <c r="QBK456" s="67"/>
      <c r="QBL456" s="67"/>
      <c r="QBM456" s="67"/>
      <c r="QBN456" s="67"/>
      <c r="QBO456" s="67"/>
      <c r="QBP456" s="67"/>
      <c r="QBQ456" s="67"/>
      <c r="QBR456" s="67"/>
      <c r="QBS456" s="67"/>
      <c r="QBT456" s="67"/>
      <c r="QBU456" s="67"/>
      <c r="QBV456" s="67"/>
      <c r="QBW456" s="67"/>
      <c r="QBX456" s="67"/>
      <c r="QBY456" s="67"/>
      <c r="QBZ456" s="67"/>
      <c r="QCA456" s="67"/>
      <c r="QCB456" s="67"/>
      <c r="QCC456" s="67"/>
      <c r="QCD456" s="67"/>
      <c r="QCE456" s="67"/>
      <c r="QCF456" s="67"/>
      <c r="QCG456" s="67"/>
      <c r="QCH456" s="67"/>
      <c r="QCI456" s="67"/>
      <c r="QCJ456" s="67"/>
      <c r="QCK456" s="67"/>
      <c r="QCL456" s="67"/>
      <c r="QCM456" s="67"/>
      <c r="QCN456" s="67"/>
      <c r="QCO456" s="67"/>
      <c r="QCP456" s="67"/>
      <c r="QCQ456" s="67"/>
      <c r="QCR456" s="67"/>
      <c r="QCS456" s="67"/>
      <c r="QCT456" s="67"/>
      <c r="QCU456" s="67"/>
      <c r="QCV456" s="67"/>
      <c r="QCW456" s="67"/>
      <c r="QCX456" s="67"/>
      <c r="QCY456" s="67"/>
      <c r="QCZ456" s="67"/>
      <c r="QDA456" s="67"/>
      <c r="QDB456" s="67"/>
      <c r="QDC456" s="67"/>
      <c r="QDD456" s="67"/>
      <c r="QDE456" s="67"/>
      <c r="QDF456" s="67"/>
      <c r="QDG456" s="67"/>
      <c r="QDH456" s="67"/>
      <c r="QDI456" s="67"/>
      <c r="QDJ456" s="67"/>
      <c r="QDK456" s="67"/>
      <c r="QDL456" s="67"/>
      <c r="QDM456" s="67"/>
      <c r="QDN456" s="67"/>
      <c r="QDO456" s="67"/>
      <c r="QDP456" s="67"/>
      <c r="QDQ456" s="67"/>
      <c r="QDR456" s="67"/>
      <c r="QDS456" s="67"/>
      <c r="QDT456" s="67"/>
      <c r="QDU456" s="67"/>
      <c r="QDV456" s="67"/>
      <c r="QDW456" s="67"/>
      <c r="QDX456" s="67"/>
      <c r="QDY456" s="67"/>
      <c r="QDZ456" s="67"/>
      <c r="QEA456" s="67"/>
      <c r="QEB456" s="67"/>
      <c r="QEC456" s="67"/>
      <c r="QED456" s="67"/>
      <c r="QEE456" s="67"/>
      <c r="QEF456" s="67"/>
      <c r="QEG456" s="67"/>
      <c r="QEH456" s="67"/>
      <c r="QEI456" s="67"/>
      <c r="QEJ456" s="67"/>
      <c r="QEK456" s="67"/>
      <c r="QEL456" s="67"/>
      <c r="QEM456" s="67"/>
      <c r="QEN456" s="67"/>
      <c r="QEO456" s="67"/>
      <c r="QEP456" s="67"/>
      <c r="QEQ456" s="67"/>
      <c r="QER456" s="67"/>
      <c r="QES456" s="67"/>
      <c r="QET456" s="67"/>
      <c r="QEU456" s="67"/>
      <c r="QEV456" s="67"/>
      <c r="QEW456" s="67"/>
      <c r="QEX456" s="67"/>
      <c r="QEY456" s="67"/>
      <c r="QEZ456" s="67"/>
      <c r="QFA456" s="67"/>
      <c r="QFB456" s="67"/>
      <c r="QFC456" s="67"/>
      <c r="QFD456" s="67"/>
      <c r="QFE456" s="67"/>
      <c r="QFF456" s="67"/>
      <c r="QFG456" s="67"/>
      <c r="QFH456" s="67"/>
      <c r="QFI456" s="67"/>
      <c r="QFJ456" s="67"/>
      <c r="QFK456" s="67"/>
      <c r="QFL456" s="67"/>
      <c r="QFM456" s="67"/>
      <c r="QFN456" s="67"/>
      <c r="QFO456" s="67"/>
      <c r="QFP456" s="67"/>
      <c r="QFQ456" s="67"/>
      <c r="QFR456" s="67"/>
      <c r="QFS456" s="67"/>
      <c r="QFT456" s="67"/>
      <c r="QFU456" s="67"/>
      <c r="QFV456" s="67"/>
      <c r="QFW456" s="67"/>
      <c r="QFX456" s="67"/>
      <c r="QFY456" s="67"/>
      <c r="QFZ456" s="67"/>
      <c r="QGA456" s="67"/>
      <c r="QGB456" s="67"/>
      <c r="QGC456" s="67"/>
      <c r="QGD456" s="67"/>
      <c r="QGE456" s="67"/>
      <c r="QGF456" s="67"/>
      <c r="QGG456" s="67"/>
      <c r="QGH456" s="67"/>
      <c r="QGI456" s="67"/>
      <c r="QGJ456" s="67"/>
      <c r="QGK456" s="67"/>
      <c r="QGL456" s="67"/>
      <c r="QGM456" s="67"/>
      <c r="QGN456" s="67"/>
      <c r="QGO456" s="67"/>
      <c r="QGP456" s="67"/>
      <c r="QGQ456" s="67"/>
      <c r="QGR456" s="67"/>
      <c r="QGS456" s="67"/>
      <c r="QGT456" s="67"/>
      <c r="QGU456" s="67"/>
      <c r="QGV456" s="67"/>
      <c r="QGW456" s="67"/>
      <c r="QGX456" s="67"/>
      <c r="QGY456" s="67"/>
      <c r="QGZ456" s="67"/>
      <c r="QHA456" s="67"/>
      <c r="QHB456" s="67"/>
      <c r="QHC456" s="67"/>
      <c r="QHD456" s="67"/>
      <c r="QHE456" s="67"/>
      <c r="QHF456" s="67"/>
      <c r="QHG456" s="67"/>
      <c r="QHH456" s="67"/>
      <c r="QHI456" s="67"/>
      <c r="QHJ456" s="67"/>
      <c r="QHK456" s="67"/>
      <c r="QHL456" s="67"/>
      <c r="QHM456" s="67"/>
      <c r="QHN456" s="67"/>
      <c r="QHO456" s="67"/>
      <c r="QHP456" s="67"/>
      <c r="QHQ456" s="67"/>
      <c r="QHR456" s="67"/>
      <c r="QHS456" s="67"/>
      <c r="QHT456" s="67"/>
      <c r="QHU456" s="67"/>
      <c r="QHV456" s="67"/>
      <c r="QHW456" s="67"/>
      <c r="QHX456" s="67"/>
      <c r="QHY456" s="67"/>
      <c r="QHZ456" s="67"/>
      <c r="QIA456" s="67"/>
      <c r="QIB456" s="67"/>
      <c r="QIC456" s="67"/>
      <c r="QID456" s="67"/>
      <c r="QIE456" s="67"/>
      <c r="QIF456" s="67"/>
      <c r="QIG456" s="67"/>
      <c r="QIH456" s="67"/>
      <c r="QII456" s="67"/>
      <c r="QIJ456" s="67"/>
      <c r="QIK456" s="67"/>
      <c r="QIL456" s="67"/>
      <c r="QIM456" s="67"/>
      <c r="QIN456" s="67"/>
      <c r="QIO456" s="67"/>
      <c r="QIP456" s="67"/>
      <c r="QIQ456" s="67"/>
      <c r="QIR456" s="67"/>
      <c r="QIS456" s="67"/>
      <c r="QIT456" s="67"/>
      <c r="QIU456" s="67"/>
      <c r="QIV456" s="67"/>
      <c r="QIW456" s="67"/>
      <c r="QIX456" s="67"/>
      <c r="QIY456" s="67"/>
      <c r="QIZ456" s="67"/>
      <c r="QJA456" s="67"/>
      <c r="QJB456" s="67"/>
      <c r="QJC456" s="67"/>
      <c r="QJD456" s="67"/>
      <c r="QJE456" s="67"/>
      <c r="QJF456" s="67"/>
      <c r="QJG456" s="67"/>
      <c r="QJH456" s="67"/>
      <c r="QJI456" s="67"/>
      <c r="QJJ456" s="67"/>
      <c r="QJK456" s="67"/>
      <c r="QJL456" s="67"/>
      <c r="QJM456" s="67"/>
      <c r="QJN456" s="67"/>
      <c r="QJO456" s="67"/>
      <c r="QJP456" s="67"/>
      <c r="QJQ456" s="67"/>
      <c r="QJR456" s="67"/>
      <c r="QJS456" s="67"/>
      <c r="QJT456" s="67"/>
      <c r="QJU456" s="67"/>
      <c r="QJV456" s="67"/>
      <c r="QJW456" s="67"/>
      <c r="QJX456" s="67"/>
      <c r="QJY456" s="67"/>
      <c r="QJZ456" s="67"/>
      <c r="QKA456" s="67"/>
      <c r="QKB456" s="67"/>
      <c r="QKC456" s="67"/>
      <c r="QKD456" s="67"/>
      <c r="QKE456" s="67"/>
      <c r="QKF456" s="67"/>
      <c r="QKG456" s="67"/>
      <c r="QKH456" s="67"/>
      <c r="QKI456" s="67"/>
      <c r="QKJ456" s="67"/>
      <c r="QKK456" s="67"/>
      <c r="QKL456" s="67"/>
      <c r="QKM456" s="67"/>
      <c r="QKN456" s="67"/>
      <c r="QKO456" s="67"/>
      <c r="QKP456" s="67"/>
      <c r="QKQ456" s="67"/>
      <c r="QKR456" s="67"/>
      <c r="QKS456" s="67"/>
      <c r="QKT456" s="67"/>
      <c r="QKU456" s="67"/>
      <c r="QKV456" s="67"/>
      <c r="QKW456" s="67"/>
      <c r="QKX456" s="67"/>
      <c r="QKY456" s="67"/>
      <c r="QKZ456" s="67"/>
      <c r="QLA456" s="67"/>
      <c r="QLB456" s="67"/>
      <c r="QLC456" s="67"/>
      <c r="QLD456" s="67"/>
      <c r="QLE456" s="67"/>
      <c r="QLF456" s="67"/>
      <c r="QLG456" s="67"/>
      <c r="QLH456" s="67"/>
      <c r="QLI456" s="67"/>
      <c r="QLJ456" s="67"/>
      <c r="QLK456" s="67"/>
      <c r="QLL456" s="67"/>
      <c r="QLM456" s="67"/>
      <c r="QLN456" s="67"/>
      <c r="QLO456" s="67"/>
      <c r="QLP456" s="67"/>
      <c r="QLQ456" s="67"/>
      <c r="QLR456" s="67"/>
      <c r="QLS456" s="67"/>
      <c r="QLT456" s="67"/>
      <c r="QLU456" s="67"/>
      <c r="QLV456" s="67"/>
      <c r="QLW456" s="67"/>
      <c r="QLX456" s="67"/>
      <c r="QLY456" s="67"/>
      <c r="QLZ456" s="67"/>
      <c r="QMA456" s="67"/>
      <c r="QMB456" s="67"/>
      <c r="QMC456" s="67"/>
      <c r="QMD456" s="67"/>
      <c r="QME456" s="67"/>
      <c r="QMF456" s="67"/>
      <c r="QMG456" s="67"/>
      <c r="QMH456" s="67"/>
      <c r="QMI456" s="67"/>
      <c r="QMJ456" s="67"/>
      <c r="QMK456" s="67"/>
      <c r="QML456" s="67"/>
      <c r="QMM456" s="67"/>
      <c r="QMN456" s="67"/>
      <c r="QMO456" s="67"/>
      <c r="QMP456" s="67"/>
      <c r="QMQ456" s="67"/>
      <c r="QMR456" s="67"/>
      <c r="QMS456" s="67"/>
      <c r="QMT456" s="67"/>
      <c r="QMU456" s="67"/>
      <c r="QMV456" s="67"/>
      <c r="QMW456" s="67"/>
      <c r="QMX456" s="67"/>
      <c r="QMY456" s="67"/>
      <c r="QMZ456" s="67"/>
      <c r="QNA456" s="67"/>
      <c r="QNB456" s="67"/>
      <c r="QNC456" s="67"/>
      <c r="QND456" s="67"/>
      <c r="QNE456" s="67"/>
      <c r="QNF456" s="67"/>
      <c r="QNG456" s="67"/>
      <c r="QNH456" s="67"/>
      <c r="QNI456" s="67"/>
      <c r="QNJ456" s="67"/>
      <c r="QNK456" s="67"/>
      <c r="QNL456" s="67"/>
      <c r="QNM456" s="67"/>
      <c r="QNN456" s="67"/>
      <c r="QNO456" s="67"/>
      <c r="QNP456" s="67"/>
      <c r="QNQ456" s="67"/>
      <c r="QNR456" s="67"/>
      <c r="QNS456" s="67"/>
      <c r="QNT456" s="67"/>
      <c r="QNU456" s="67"/>
      <c r="QNV456" s="67"/>
      <c r="QNW456" s="67"/>
      <c r="QNX456" s="67"/>
      <c r="QNY456" s="67"/>
      <c r="QNZ456" s="67"/>
      <c r="QOA456" s="67"/>
      <c r="QOB456" s="67"/>
      <c r="QOC456" s="67"/>
      <c r="QOD456" s="67"/>
      <c r="QOE456" s="67"/>
      <c r="QOF456" s="67"/>
      <c r="QOG456" s="67"/>
      <c r="QOH456" s="67"/>
      <c r="QOI456" s="67"/>
      <c r="QOJ456" s="67"/>
      <c r="QOK456" s="67"/>
      <c r="QOL456" s="67"/>
      <c r="QOM456" s="67"/>
      <c r="QON456" s="67"/>
      <c r="QOO456" s="67"/>
      <c r="QOP456" s="67"/>
      <c r="QOQ456" s="67"/>
      <c r="QOR456" s="67"/>
      <c r="QOS456" s="67"/>
      <c r="QOT456" s="67"/>
      <c r="QOU456" s="67"/>
      <c r="QOV456" s="67"/>
      <c r="QOW456" s="67"/>
      <c r="QOX456" s="67"/>
      <c r="QOY456" s="67"/>
      <c r="QOZ456" s="67"/>
      <c r="QPA456" s="67"/>
      <c r="QPB456" s="67"/>
      <c r="QPC456" s="67"/>
      <c r="QPD456" s="67"/>
      <c r="QPE456" s="67"/>
      <c r="QPF456" s="67"/>
      <c r="QPG456" s="67"/>
      <c r="QPH456" s="67"/>
      <c r="QPI456" s="67"/>
      <c r="QPJ456" s="67"/>
      <c r="QPK456" s="67"/>
      <c r="QPL456" s="67"/>
      <c r="QPM456" s="67"/>
      <c r="QPN456" s="67"/>
      <c r="QPO456" s="67"/>
      <c r="QPP456" s="67"/>
      <c r="QPQ456" s="67"/>
      <c r="QPR456" s="67"/>
      <c r="QPS456" s="67"/>
      <c r="QPT456" s="67"/>
      <c r="QPU456" s="67"/>
      <c r="QPV456" s="67"/>
      <c r="QPW456" s="67"/>
      <c r="QPX456" s="67"/>
      <c r="QPY456" s="67"/>
      <c r="QPZ456" s="67"/>
      <c r="QQA456" s="67"/>
      <c r="QQB456" s="67"/>
      <c r="QQC456" s="67"/>
      <c r="QQD456" s="67"/>
      <c r="QQE456" s="67"/>
      <c r="QQF456" s="67"/>
      <c r="QQG456" s="67"/>
      <c r="QQH456" s="67"/>
      <c r="QQI456" s="67"/>
      <c r="QQJ456" s="67"/>
      <c r="QQK456" s="67"/>
      <c r="QQL456" s="67"/>
      <c r="QQM456" s="67"/>
      <c r="QQN456" s="67"/>
      <c r="QQO456" s="67"/>
      <c r="QQP456" s="67"/>
      <c r="QQQ456" s="67"/>
      <c r="QQR456" s="67"/>
      <c r="QQS456" s="67"/>
      <c r="QQT456" s="67"/>
      <c r="QQU456" s="67"/>
      <c r="QQV456" s="67"/>
      <c r="QQW456" s="67"/>
      <c r="QQX456" s="67"/>
      <c r="QQY456" s="67"/>
      <c r="QQZ456" s="67"/>
      <c r="QRA456" s="67"/>
      <c r="QRB456" s="67"/>
      <c r="QRC456" s="67"/>
      <c r="QRD456" s="67"/>
      <c r="QRE456" s="67"/>
      <c r="QRF456" s="67"/>
      <c r="QRG456" s="67"/>
      <c r="QRH456" s="67"/>
      <c r="QRI456" s="67"/>
      <c r="QRJ456" s="67"/>
      <c r="QRK456" s="67"/>
      <c r="QRL456" s="67"/>
      <c r="QRM456" s="67"/>
      <c r="QRN456" s="67"/>
      <c r="QRO456" s="67"/>
      <c r="QRP456" s="67"/>
      <c r="QRQ456" s="67"/>
      <c r="QRR456" s="67"/>
      <c r="QRS456" s="67"/>
      <c r="QRT456" s="67"/>
      <c r="QRU456" s="67"/>
      <c r="QRV456" s="67"/>
      <c r="QRW456" s="67"/>
      <c r="QRX456" s="67"/>
      <c r="QRY456" s="67"/>
      <c r="QRZ456" s="67"/>
      <c r="QSA456" s="67"/>
      <c r="QSB456" s="67"/>
      <c r="QSC456" s="67"/>
      <c r="QSD456" s="67"/>
      <c r="QSE456" s="67"/>
      <c r="QSF456" s="67"/>
      <c r="QSG456" s="67"/>
      <c r="QSH456" s="67"/>
      <c r="QSI456" s="67"/>
      <c r="QSJ456" s="67"/>
      <c r="QSK456" s="67"/>
      <c r="QSL456" s="67"/>
      <c r="QSM456" s="67"/>
      <c r="QSN456" s="67"/>
      <c r="QSO456" s="67"/>
      <c r="QSP456" s="67"/>
      <c r="QSQ456" s="67"/>
      <c r="QSR456" s="67"/>
      <c r="QSS456" s="67"/>
      <c r="QST456" s="67"/>
      <c r="QSU456" s="67"/>
      <c r="QSV456" s="67"/>
      <c r="QSW456" s="67"/>
      <c r="QSX456" s="67"/>
      <c r="QSY456" s="67"/>
      <c r="QSZ456" s="67"/>
      <c r="QTA456" s="67"/>
      <c r="QTB456" s="67"/>
      <c r="QTC456" s="67"/>
      <c r="QTD456" s="67"/>
      <c r="QTE456" s="67"/>
      <c r="QTF456" s="67"/>
      <c r="QTG456" s="67"/>
      <c r="QTH456" s="67"/>
      <c r="QTI456" s="67"/>
      <c r="QTJ456" s="67"/>
      <c r="QTK456" s="67"/>
      <c r="QTL456" s="67"/>
      <c r="QTM456" s="67"/>
      <c r="QTN456" s="67"/>
      <c r="QTO456" s="67"/>
      <c r="QTP456" s="67"/>
      <c r="QTQ456" s="67"/>
      <c r="QTR456" s="67"/>
      <c r="QTS456" s="67"/>
      <c r="QTT456" s="67"/>
      <c r="QTU456" s="67"/>
      <c r="QTV456" s="67"/>
      <c r="QTW456" s="67"/>
      <c r="QTX456" s="67"/>
      <c r="QTY456" s="67"/>
      <c r="QTZ456" s="67"/>
      <c r="QUA456" s="67"/>
      <c r="QUB456" s="67"/>
      <c r="QUC456" s="67"/>
      <c r="QUD456" s="67"/>
      <c r="QUE456" s="67"/>
      <c r="QUF456" s="67"/>
      <c r="QUG456" s="67"/>
      <c r="QUH456" s="67"/>
      <c r="QUI456" s="67"/>
      <c r="QUJ456" s="67"/>
      <c r="QUK456" s="67"/>
      <c r="QUL456" s="67"/>
      <c r="QUM456" s="67"/>
      <c r="QUN456" s="67"/>
      <c r="QUO456" s="67"/>
      <c r="QUP456" s="67"/>
      <c r="QUQ456" s="67"/>
      <c r="QUR456" s="67"/>
      <c r="QUS456" s="67"/>
      <c r="QUT456" s="67"/>
      <c r="QUU456" s="67"/>
      <c r="QUV456" s="67"/>
      <c r="QUW456" s="67"/>
      <c r="QUX456" s="67"/>
      <c r="QUY456" s="67"/>
      <c r="QUZ456" s="67"/>
      <c r="QVA456" s="67"/>
      <c r="QVB456" s="67"/>
      <c r="QVC456" s="67"/>
      <c r="QVD456" s="67"/>
      <c r="QVE456" s="67"/>
      <c r="QVF456" s="67"/>
      <c r="QVG456" s="67"/>
      <c r="QVH456" s="67"/>
      <c r="QVI456" s="67"/>
      <c r="QVJ456" s="67"/>
      <c r="QVK456" s="67"/>
      <c r="QVL456" s="67"/>
      <c r="QVM456" s="67"/>
      <c r="QVN456" s="67"/>
      <c r="QVO456" s="67"/>
      <c r="QVP456" s="67"/>
      <c r="QVQ456" s="67"/>
      <c r="QVR456" s="67"/>
      <c r="QVS456" s="67"/>
      <c r="QVT456" s="67"/>
      <c r="QVU456" s="67"/>
      <c r="QVV456" s="67"/>
      <c r="QVW456" s="67"/>
      <c r="QVX456" s="67"/>
      <c r="QVY456" s="67"/>
      <c r="QVZ456" s="67"/>
      <c r="QWA456" s="67"/>
      <c r="QWB456" s="67"/>
      <c r="QWC456" s="67"/>
      <c r="QWD456" s="67"/>
      <c r="QWE456" s="67"/>
      <c r="QWF456" s="67"/>
      <c r="QWG456" s="67"/>
      <c r="QWH456" s="67"/>
      <c r="QWI456" s="67"/>
      <c r="QWJ456" s="67"/>
      <c r="QWK456" s="67"/>
      <c r="QWL456" s="67"/>
      <c r="QWM456" s="67"/>
      <c r="QWN456" s="67"/>
      <c r="QWO456" s="67"/>
      <c r="QWP456" s="67"/>
      <c r="QWQ456" s="67"/>
      <c r="QWR456" s="67"/>
      <c r="QWS456" s="67"/>
      <c r="QWT456" s="67"/>
      <c r="QWU456" s="67"/>
      <c r="QWV456" s="67"/>
      <c r="QWW456" s="67"/>
      <c r="QWX456" s="67"/>
      <c r="QWY456" s="67"/>
      <c r="QWZ456" s="67"/>
      <c r="QXA456" s="67"/>
      <c r="QXB456" s="67"/>
      <c r="QXC456" s="67"/>
      <c r="QXD456" s="67"/>
      <c r="QXE456" s="67"/>
      <c r="QXF456" s="67"/>
      <c r="QXG456" s="67"/>
      <c r="QXH456" s="67"/>
      <c r="QXI456" s="67"/>
      <c r="QXJ456" s="67"/>
      <c r="QXK456" s="67"/>
      <c r="QXL456" s="67"/>
      <c r="QXM456" s="67"/>
      <c r="QXN456" s="67"/>
      <c r="QXO456" s="67"/>
      <c r="QXP456" s="67"/>
      <c r="QXQ456" s="67"/>
      <c r="QXR456" s="67"/>
      <c r="QXS456" s="67"/>
      <c r="QXT456" s="67"/>
      <c r="QXU456" s="67"/>
      <c r="QXV456" s="67"/>
      <c r="QXW456" s="67"/>
      <c r="QXX456" s="67"/>
      <c r="QXY456" s="67"/>
      <c r="QXZ456" s="67"/>
      <c r="QYA456" s="67"/>
      <c r="QYB456" s="67"/>
      <c r="QYC456" s="67"/>
      <c r="QYD456" s="67"/>
      <c r="QYE456" s="67"/>
      <c r="QYF456" s="67"/>
      <c r="QYG456" s="67"/>
      <c r="QYH456" s="67"/>
      <c r="QYI456" s="67"/>
      <c r="QYJ456" s="67"/>
      <c r="QYK456" s="67"/>
      <c r="QYL456" s="67"/>
      <c r="QYM456" s="67"/>
      <c r="QYN456" s="67"/>
      <c r="QYO456" s="67"/>
      <c r="QYP456" s="67"/>
      <c r="QYQ456" s="67"/>
      <c r="QYR456" s="67"/>
      <c r="QYS456" s="67"/>
      <c r="QYT456" s="67"/>
      <c r="QYU456" s="67"/>
      <c r="QYV456" s="67"/>
      <c r="QYW456" s="67"/>
      <c r="QYX456" s="67"/>
      <c r="QYY456" s="67"/>
      <c r="QYZ456" s="67"/>
      <c r="QZA456" s="67"/>
      <c r="QZB456" s="67"/>
      <c r="QZC456" s="67"/>
      <c r="QZD456" s="67"/>
      <c r="QZE456" s="67"/>
      <c r="QZF456" s="67"/>
      <c r="QZG456" s="67"/>
      <c r="QZH456" s="67"/>
      <c r="QZI456" s="67"/>
      <c r="QZJ456" s="67"/>
      <c r="QZK456" s="67"/>
      <c r="QZL456" s="67"/>
      <c r="QZM456" s="67"/>
      <c r="QZN456" s="67"/>
      <c r="QZO456" s="67"/>
      <c r="QZP456" s="67"/>
      <c r="QZQ456" s="67"/>
      <c r="QZR456" s="67"/>
      <c r="QZS456" s="67"/>
      <c r="QZT456" s="67"/>
      <c r="QZU456" s="67"/>
      <c r="QZV456" s="67"/>
      <c r="QZW456" s="67"/>
      <c r="QZX456" s="67"/>
      <c r="QZY456" s="67"/>
      <c r="QZZ456" s="67"/>
      <c r="RAA456" s="67"/>
      <c r="RAB456" s="67"/>
      <c r="RAC456" s="67"/>
      <c r="RAD456" s="67"/>
      <c r="RAE456" s="67"/>
      <c r="RAF456" s="67"/>
      <c r="RAG456" s="67"/>
      <c r="RAH456" s="67"/>
      <c r="RAI456" s="67"/>
      <c r="RAJ456" s="67"/>
      <c r="RAK456" s="67"/>
      <c r="RAL456" s="67"/>
      <c r="RAM456" s="67"/>
      <c r="RAN456" s="67"/>
      <c r="RAO456" s="67"/>
      <c r="RAP456" s="67"/>
      <c r="RAQ456" s="67"/>
      <c r="RAR456" s="67"/>
      <c r="RAS456" s="67"/>
      <c r="RAT456" s="67"/>
      <c r="RAU456" s="67"/>
      <c r="RAV456" s="67"/>
      <c r="RAW456" s="67"/>
      <c r="RAX456" s="67"/>
      <c r="RAY456" s="67"/>
      <c r="RAZ456" s="67"/>
      <c r="RBA456" s="67"/>
      <c r="RBB456" s="67"/>
      <c r="RBC456" s="67"/>
      <c r="RBD456" s="67"/>
      <c r="RBE456" s="67"/>
      <c r="RBF456" s="67"/>
      <c r="RBG456" s="67"/>
      <c r="RBH456" s="67"/>
      <c r="RBI456" s="67"/>
      <c r="RBJ456" s="67"/>
      <c r="RBK456" s="67"/>
      <c r="RBL456" s="67"/>
      <c r="RBM456" s="67"/>
      <c r="RBN456" s="67"/>
      <c r="RBO456" s="67"/>
      <c r="RBP456" s="67"/>
      <c r="RBQ456" s="67"/>
      <c r="RBR456" s="67"/>
      <c r="RBS456" s="67"/>
      <c r="RBT456" s="67"/>
      <c r="RBU456" s="67"/>
      <c r="RBV456" s="67"/>
      <c r="RBW456" s="67"/>
      <c r="RBX456" s="67"/>
      <c r="RBY456" s="67"/>
      <c r="RBZ456" s="67"/>
      <c r="RCA456" s="67"/>
      <c r="RCB456" s="67"/>
      <c r="RCC456" s="67"/>
      <c r="RCD456" s="67"/>
      <c r="RCE456" s="67"/>
      <c r="RCF456" s="67"/>
      <c r="RCG456" s="67"/>
      <c r="RCH456" s="67"/>
      <c r="RCI456" s="67"/>
      <c r="RCJ456" s="67"/>
      <c r="RCK456" s="67"/>
      <c r="RCL456" s="67"/>
      <c r="RCM456" s="67"/>
      <c r="RCN456" s="67"/>
      <c r="RCO456" s="67"/>
      <c r="RCP456" s="67"/>
      <c r="RCQ456" s="67"/>
      <c r="RCR456" s="67"/>
      <c r="RCS456" s="67"/>
      <c r="RCT456" s="67"/>
      <c r="RCU456" s="67"/>
      <c r="RCV456" s="67"/>
      <c r="RCW456" s="67"/>
      <c r="RCX456" s="67"/>
      <c r="RCY456" s="67"/>
      <c r="RCZ456" s="67"/>
      <c r="RDA456" s="67"/>
      <c r="RDB456" s="67"/>
      <c r="RDC456" s="67"/>
      <c r="RDD456" s="67"/>
      <c r="RDE456" s="67"/>
      <c r="RDF456" s="67"/>
      <c r="RDG456" s="67"/>
      <c r="RDH456" s="67"/>
      <c r="RDI456" s="67"/>
      <c r="RDJ456" s="67"/>
      <c r="RDK456" s="67"/>
      <c r="RDL456" s="67"/>
      <c r="RDM456" s="67"/>
      <c r="RDN456" s="67"/>
      <c r="RDO456" s="67"/>
      <c r="RDP456" s="67"/>
      <c r="RDQ456" s="67"/>
      <c r="RDR456" s="67"/>
      <c r="RDS456" s="67"/>
      <c r="RDT456" s="67"/>
      <c r="RDU456" s="67"/>
      <c r="RDV456" s="67"/>
      <c r="RDW456" s="67"/>
      <c r="RDX456" s="67"/>
      <c r="RDY456" s="67"/>
      <c r="RDZ456" s="67"/>
      <c r="REA456" s="67"/>
      <c r="REB456" s="67"/>
      <c r="REC456" s="67"/>
      <c r="RED456" s="67"/>
      <c r="REE456" s="67"/>
      <c r="REF456" s="67"/>
      <c r="REG456" s="67"/>
      <c r="REH456" s="67"/>
      <c r="REI456" s="67"/>
      <c r="REJ456" s="67"/>
      <c r="REK456" s="67"/>
      <c r="REL456" s="67"/>
      <c r="REM456" s="67"/>
      <c r="REN456" s="67"/>
      <c r="REO456" s="67"/>
      <c r="REP456" s="67"/>
      <c r="REQ456" s="67"/>
      <c r="RER456" s="67"/>
      <c r="RES456" s="67"/>
      <c r="RET456" s="67"/>
      <c r="REU456" s="67"/>
      <c r="REV456" s="67"/>
      <c r="REW456" s="67"/>
      <c r="REX456" s="67"/>
      <c r="REY456" s="67"/>
      <c r="REZ456" s="67"/>
      <c r="RFA456" s="67"/>
      <c r="RFB456" s="67"/>
      <c r="RFC456" s="67"/>
      <c r="RFD456" s="67"/>
      <c r="RFE456" s="67"/>
      <c r="RFF456" s="67"/>
      <c r="RFG456" s="67"/>
      <c r="RFH456" s="67"/>
      <c r="RFI456" s="67"/>
      <c r="RFJ456" s="67"/>
      <c r="RFK456" s="67"/>
      <c r="RFL456" s="67"/>
      <c r="RFM456" s="67"/>
      <c r="RFN456" s="67"/>
      <c r="RFO456" s="67"/>
      <c r="RFP456" s="67"/>
      <c r="RFQ456" s="67"/>
      <c r="RFR456" s="67"/>
      <c r="RFS456" s="67"/>
      <c r="RFT456" s="67"/>
      <c r="RFU456" s="67"/>
      <c r="RFV456" s="67"/>
      <c r="RFW456" s="67"/>
      <c r="RFX456" s="67"/>
      <c r="RFY456" s="67"/>
      <c r="RFZ456" s="67"/>
      <c r="RGA456" s="67"/>
      <c r="RGB456" s="67"/>
      <c r="RGC456" s="67"/>
      <c r="RGD456" s="67"/>
      <c r="RGE456" s="67"/>
      <c r="RGF456" s="67"/>
      <c r="RGG456" s="67"/>
      <c r="RGH456" s="67"/>
      <c r="RGI456" s="67"/>
      <c r="RGJ456" s="67"/>
      <c r="RGK456" s="67"/>
      <c r="RGL456" s="67"/>
      <c r="RGM456" s="67"/>
      <c r="RGN456" s="67"/>
      <c r="RGO456" s="67"/>
      <c r="RGP456" s="67"/>
      <c r="RGQ456" s="67"/>
      <c r="RGR456" s="67"/>
      <c r="RGS456" s="67"/>
      <c r="RGT456" s="67"/>
      <c r="RGU456" s="67"/>
      <c r="RGV456" s="67"/>
      <c r="RGW456" s="67"/>
      <c r="RGX456" s="67"/>
      <c r="RGY456" s="67"/>
      <c r="RGZ456" s="67"/>
      <c r="RHA456" s="67"/>
      <c r="RHB456" s="67"/>
      <c r="RHC456" s="67"/>
      <c r="RHD456" s="67"/>
      <c r="RHE456" s="67"/>
      <c r="RHF456" s="67"/>
      <c r="RHG456" s="67"/>
      <c r="RHH456" s="67"/>
      <c r="RHI456" s="67"/>
      <c r="RHJ456" s="67"/>
      <c r="RHK456" s="67"/>
      <c r="RHL456" s="67"/>
      <c r="RHM456" s="67"/>
      <c r="RHN456" s="67"/>
      <c r="RHO456" s="67"/>
      <c r="RHP456" s="67"/>
      <c r="RHQ456" s="67"/>
      <c r="RHR456" s="67"/>
      <c r="RHS456" s="67"/>
      <c r="RHT456" s="67"/>
      <c r="RHU456" s="67"/>
      <c r="RHV456" s="67"/>
      <c r="RHW456" s="67"/>
      <c r="RHX456" s="67"/>
      <c r="RHY456" s="67"/>
      <c r="RHZ456" s="67"/>
      <c r="RIA456" s="67"/>
      <c r="RIB456" s="67"/>
      <c r="RIC456" s="67"/>
      <c r="RID456" s="67"/>
      <c r="RIE456" s="67"/>
      <c r="RIF456" s="67"/>
      <c r="RIG456" s="67"/>
      <c r="RIH456" s="67"/>
      <c r="RII456" s="67"/>
      <c r="RIJ456" s="67"/>
      <c r="RIK456" s="67"/>
      <c r="RIL456" s="67"/>
      <c r="RIM456" s="67"/>
      <c r="RIN456" s="67"/>
      <c r="RIO456" s="67"/>
      <c r="RIP456" s="67"/>
      <c r="RIQ456" s="67"/>
      <c r="RIR456" s="67"/>
      <c r="RIS456" s="67"/>
      <c r="RIT456" s="67"/>
      <c r="RIU456" s="67"/>
      <c r="RIV456" s="67"/>
      <c r="RIW456" s="67"/>
      <c r="RIX456" s="67"/>
      <c r="RIY456" s="67"/>
      <c r="RIZ456" s="67"/>
      <c r="RJA456" s="67"/>
      <c r="RJB456" s="67"/>
      <c r="RJC456" s="67"/>
      <c r="RJD456" s="67"/>
      <c r="RJE456" s="67"/>
      <c r="RJF456" s="67"/>
      <c r="RJG456" s="67"/>
      <c r="RJH456" s="67"/>
      <c r="RJI456" s="67"/>
      <c r="RJJ456" s="67"/>
      <c r="RJK456" s="67"/>
      <c r="RJL456" s="67"/>
      <c r="RJM456" s="67"/>
      <c r="RJN456" s="67"/>
      <c r="RJO456" s="67"/>
      <c r="RJP456" s="67"/>
      <c r="RJQ456" s="67"/>
      <c r="RJR456" s="67"/>
      <c r="RJS456" s="67"/>
      <c r="RJT456" s="67"/>
      <c r="RJU456" s="67"/>
      <c r="RJV456" s="67"/>
      <c r="RJW456" s="67"/>
      <c r="RJX456" s="67"/>
      <c r="RJY456" s="67"/>
      <c r="RJZ456" s="67"/>
      <c r="RKA456" s="67"/>
      <c r="RKB456" s="67"/>
      <c r="RKC456" s="67"/>
      <c r="RKD456" s="67"/>
      <c r="RKE456" s="67"/>
      <c r="RKF456" s="67"/>
      <c r="RKG456" s="67"/>
      <c r="RKH456" s="67"/>
      <c r="RKI456" s="67"/>
      <c r="RKJ456" s="67"/>
      <c r="RKK456" s="67"/>
      <c r="RKL456" s="67"/>
      <c r="RKM456" s="67"/>
      <c r="RKN456" s="67"/>
      <c r="RKO456" s="67"/>
      <c r="RKP456" s="67"/>
      <c r="RKQ456" s="67"/>
      <c r="RKR456" s="67"/>
      <c r="RKS456" s="67"/>
      <c r="RKT456" s="67"/>
      <c r="RKU456" s="67"/>
      <c r="RKV456" s="67"/>
      <c r="RKW456" s="67"/>
      <c r="RKX456" s="67"/>
      <c r="RKY456" s="67"/>
      <c r="RKZ456" s="67"/>
      <c r="RLA456" s="67"/>
      <c r="RLB456" s="67"/>
      <c r="RLC456" s="67"/>
      <c r="RLD456" s="67"/>
      <c r="RLE456" s="67"/>
      <c r="RLF456" s="67"/>
      <c r="RLG456" s="67"/>
      <c r="RLH456" s="67"/>
      <c r="RLI456" s="67"/>
      <c r="RLJ456" s="67"/>
      <c r="RLK456" s="67"/>
      <c r="RLL456" s="67"/>
      <c r="RLM456" s="67"/>
      <c r="RLN456" s="67"/>
      <c r="RLO456" s="67"/>
      <c r="RLP456" s="67"/>
      <c r="RLQ456" s="67"/>
      <c r="RLR456" s="67"/>
      <c r="RLS456" s="67"/>
      <c r="RLT456" s="67"/>
      <c r="RLU456" s="67"/>
      <c r="RLV456" s="67"/>
      <c r="RLW456" s="67"/>
      <c r="RLX456" s="67"/>
      <c r="RLY456" s="67"/>
      <c r="RLZ456" s="67"/>
      <c r="RMA456" s="67"/>
      <c r="RMB456" s="67"/>
      <c r="RMC456" s="67"/>
      <c r="RMD456" s="67"/>
      <c r="RME456" s="67"/>
      <c r="RMF456" s="67"/>
      <c r="RMG456" s="67"/>
      <c r="RMH456" s="67"/>
      <c r="RMI456" s="67"/>
      <c r="RMJ456" s="67"/>
      <c r="RMK456" s="67"/>
      <c r="RML456" s="67"/>
      <c r="RMM456" s="67"/>
      <c r="RMN456" s="67"/>
      <c r="RMO456" s="67"/>
      <c r="RMP456" s="67"/>
      <c r="RMQ456" s="67"/>
      <c r="RMR456" s="67"/>
      <c r="RMS456" s="67"/>
      <c r="RMT456" s="67"/>
      <c r="RMU456" s="67"/>
      <c r="RMV456" s="67"/>
      <c r="RMW456" s="67"/>
      <c r="RMX456" s="67"/>
      <c r="RMY456" s="67"/>
      <c r="RMZ456" s="67"/>
      <c r="RNA456" s="67"/>
      <c r="RNB456" s="67"/>
      <c r="RNC456" s="67"/>
      <c r="RND456" s="67"/>
      <c r="RNE456" s="67"/>
      <c r="RNF456" s="67"/>
      <c r="RNG456" s="67"/>
      <c r="RNH456" s="67"/>
      <c r="RNI456" s="67"/>
      <c r="RNJ456" s="67"/>
      <c r="RNK456" s="67"/>
      <c r="RNL456" s="67"/>
      <c r="RNM456" s="67"/>
      <c r="RNN456" s="67"/>
      <c r="RNO456" s="67"/>
      <c r="RNP456" s="67"/>
      <c r="RNQ456" s="67"/>
      <c r="RNR456" s="67"/>
      <c r="RNS456" s="67"/>
      <c r="RNT456" s="67"/>
      <c r="RNU456" s="67"/>
      <c r="RNV456" s="67"/>
      <c r="RNW456" s="67"/>
      <c r="RNX456" s="67"/>
      <c r="RNY456" s="67"/>
      <c r="RNZ456" s="67"/>
      <c r="ROA456" s="67"/>
      <c r="ROB456" s="67"/>
      <c r="ROC456" s="67"/>
      <c r="ROD456" s="67"/>
      <c r="ROE456" s="67"/>
      <c r="ROF456" s="67"/>
      <c r="ROG456" s="67"/>
      <c r="ROH456" s="67"/>
      <c r="ROI456" s="67"/>
      <c r="ROJ456" s="67"/>
      <c r="ROK456" s="67"/>
      <c r="ROL456" s="67"/>
      <c r="ROM456" s="67"/>
      <c r="RON456" s="67"/>
      <c r="ROO456" s="67"/>
      <c r="ROP456" s="67"/>
      <c r="ROQ456" s="67"/>
      <c r="ROR456" s="67"/>
      <c r="ROS456" s="67"/>
      <c r="ROT456" s="67"/>
      <c r="ROU456" s="67"/>
      <c r="ROV456" s="67"/>
      <c r="ROW456" s="67"/>
      <c r="ROX456" s="67"/>
      <c r="ROY456" s="67"/>
      <c r="ROZ456" s="67"/>
      <c r="RPA456" s="67"/>
      <c r="RPB456" s="67"/>
      <c r="RPC456" s="67"/>
      <c r="RPD456" s="67"/>
      <c r="RPE456" s="67"/>
      <c r="RPF456" s="67"/>
      <c r="RPG456" s="67"/>
      <c r="RPH456" s="67"/>
      <c r="RPI456" s="67"/>
      <c r="RPJ456" s="67"/>
      <c r="RPK456" s="67"/>
      <c r="RPL456" s="67"/>
      <c r="RPM456" s="67"/>
      <c r="RPN456" s="67"/>
      <c r="RPO456" s="67"/>
      <c r="RPP456" s="67"/>
      <c r="RPQ456" s="67"/>
      <c r="RPR456" s="67"/>
      <c r="RPS456" s="67"/>
      <c r="RPT456" s="67"/>
      <c r="RPU456" s="67"/>
      <c r="RPV456" s="67"/>
      <c r="RPW456" s="67"/>
      <c r="RPX456" s="67"/>
      <c r="RPY456" s="67"/>
      <c r="RPZ456" s="67"/>
      <c r="RQA456" s="67"/>
      <c r="RQB456" s="67"/>
      <c r="RQC456" s="67"/>
      <c r="RQD456" s="67"/>
      <c r="RQE456" s="67"/>
      <c r="RQF456" s="67"/>
      <c r="RQG456" s="67"/>
      <c r="RQH456" s="67"/>
      <c r="RQI456" s="67"/>
      <c r="RQJ456" s="67"/>
      <c r="RQK456" s="67"/>
      <c r="RQL456" s="67"/>
      <c r="RQM456" s="67"/>
      <c r="RQN456" s="67"/>
      <c r="RQO456" s="67"/>
      <c r="RQP456" s="67"/>
      <c r="RQQ456" s="67"/>
      <c r="RQR456" s="67"/>
      <c r="RQS456" s="67"/>
      <c r="RQT456" s="67"/>
      <c r="RQU456" s="67"/>
      <c r="RQV456" s="67"/>
      <c r="RQW456" s="67"/>
      <c r="RQX456" s="67"/>
      <c r="RQY456" s="67"/>
      <c r="RQZ456" s="67"/>
      <c r="RRA456" s="67"/>
      <c r="RRB456" s="67"/>
      <c r="RRC456" s="67"/>
      <c r="RRD456" s="67"/>
      <c r="RRE456" s="67"/>
      <c r="RRF456" s="67"/>
      <c r="RRG456" s="67"/>
      <c r="RRH456" s="67"/>
      <c r="RRI456" s="67"/>
      <c r="RRJ456" s="67"/>
      <c r="RRK456" s="67"/>
      <c r="RRL456" s="67"/>
      <c r="RRM456" s="67"/>
      <c r="RRN456" s="67"/>
      <c r="RRO456" s="67"/>
      <c r="RRP456" s="67"/>
      <c r="RRQ456" s="67"/>
      <c r="RRR456" s="67"/>
      <c r="RRS456" s="67"/>
      <c r="RRT456" s="67"/>
      <c r="RRU456" s="67"/>
      <c r="RRV456" s="67"/>
      <c r="RRW456" s="67"/>
      <c r="RRX456" s="67"/>
      <c r="RRY456" s="67"/>
      <c r="RRZ456" s="67"/>
      <c r="RSA456" s="67"/>
      <c r="RSB456" s="67"/>
      <c r="RSC456" s="67"/>
      <c r="RSD456" s="67"/>
      <c r="RSE456" s="67"/>
      <c r="RSF456" s="67"/>
      <c r="RSG456" s="67"/>
      <c r="RSH456" s="67"/>
      <c r="RSI456" s="67"/>
      <c r="RSJ456" s="67"/>
      <c r="RSK456" s="67"/>
      <c r="RSL456" s="67"/>
      <c r="RSM456" s="67"/>
      <c r="RSN456" s="67"/>
      <c r="RSO456" s="67"/>
      <c r="RSP456" s="67"/>
      <c r="RSQ456" s="67"/>
      <c r="RSR456" s="67"/>
      <c r="RSS456" s="67"/>
      <c r="RST456" s="67"/>
      <c r="RSU456" s="67"/>
      <c r="RSV456" s="67"/>
      <c r="RSW456" s="67"/>
      <c r="RSX456" s="67"/>
      <c r="RSY456" s="67"/>
      <c r="RSZ456" s="67"/>
      <c r="RTA456" s="67"/>
      <c r="RTB456" s="67"/>
      <c r="RTC456" s="67"/>
      <c r="RTD456" s="67"/>
      <c r="RTE456" s="67"/>
      <c r="RTF456" s="67"/>
      <c r="RTG456" s="67"/>
      <c r="RTH456" s="67"/>
      <c r="RTI456" s="67"/>
      <c r="RTJ456" s="67"/>
      <c r="RTK456" s="67"/>
      <c r="RTL456" s="67"/>
      <c r="RTM456" s="67"/>
      <c r="RTN456" s="67"/>
      <c r="RTO456" s="67"/>
      <c r="RTP456" s="67"/>
      <c r="RTQ456" s="67"/>
      <c r="RTR456" s="67"/>
      <c r="RTS456" s="67"/>
      <c r="RTT456" s="67"/>
      <c r="RTU456" s="67"/>
      <c r="RTV456" s="67"/>
      <c r="RTW456" s="67"/>
      <c r="RTX456" s="67"/>
      <c r="RTY456" s="67"/>
      <c r="RTZ456" s="67"/>
      <c r="RUA456" s="67"/>
      <c r="RUB456" s="67"/>
      <c r="RUC456" s="67"/>
      <c r="RUD456" s="67"/>
      <c r="RUE456" s="67"/>
      <c r="RUF456" s="67"/>
      <c r="RUG456" s="67"/>
      <c r="RUH456" s="67"/>
      <c r="RUI456" s="67"/>
      <c r="RUJ456" s="67"/>
      <c r="RUK456" s="67"/>
      <c r="RUL456" s="67"/>
      <c r="RUM456" s="67"/>
      <c r="RUN456" s="67"/>
      <c r="RUO456" s="67"/>
      <c r="RUP456" s="67"/>
      <c r="RUQ456" s="67"/>
      <c r="RUR456" s="67"/>
      <c r="RUS456" s="67"/>
      <c r="RUT456" s="67"/>
      <c r="RUU456" s="67"/>
      <c r="RUV456" s="67"/>
      <c r="RUW456" s="67"/>
      <c r="RUX456" s="67"/>
      <c r="RUY456" s="67"/>
      <c r="RUZ456" s="67"/>
      <c r="RVA456" s="67"/>
      <c r="RVB456" s="67"/>
      <c r="RVC456" s="67"/>
      <c r="RVD456" s="67"/>
      <c r="RVE456" s="67"/>
      <c r="RVF456" s="67"/>
      <c r="RVG456" s="67"/>
      <c r="RVH456" s="67"/>
      <c r="RVI456" s="67"/>
      <c r="RVJ456" s="67"/>
      <c r="RVK456" s="67"/>
      <c r="RVL456" s="67"/>
      <c r="RVM456" s="67"/>
      <c r="RVN456" s="67"/>
      <c r="RVO456" s="67"/>
      <c r="RVP456" s="67"/>
      <c r="RVQ456" s="67"/>
      <c r="RVR456" s="67"/>
      <c r="RVS456" s="67"/>
      <c r="RVT456" s="67"/>
      <c r="RVU456" s="67"/>
      <c r="RVV456" s="67"/>
      <c r="RVW456" s="67"/>
      <c r="RVX456" s="67"/>
      <c r="RVY456" s="67"/>
      <c r="RVZ456" s="67"/>
      <c r="RWA456" s="67"/>
      <c r="RWB456" s="67"/>
      <c r="RWC456" s="67"/>
      <c r="RWD456" s="67"/>
      <c r="RWE456" s="67"/>
      <c r="RWF456" s="67"/>
      <c r="RWG456" s="67"/>
      <c r="RWH456" s="67"/>
      <c r="RWI456" s="67"/>
      <c r="RWJ456" s="67"/>
      <c r="RWK456" s="67"/>
      <c r="RWL456" s="67"/>
      <c r="RWM456" s="67"/>
      <c r="RWN456" s="67"/>
      <c r="RWO456" s="67"/>
      <c r="RWP456" s="67"/>
      <c r="RWQ456" s="67"/>
      <c r="RWR456" s="67"/>
      <c r="RWS456" s="67"/>
      <c r="RWT456" s="67"/>
      <c r="RWU456" s="67"/>
      <c r="RWV456" s="67"/>
      <c r="RWW456" s="67"/>
      <c r="RWX456" s="67"/>
      <c r="RWY456" s="67"/>
      <c r="RWZ456" s="67"/>
      <c r="RXA456" s="67"/>
      <c r="RXB456" s="67"/>
      <c r="RXC456" s="67"/>
      <c r="RXD456" s="67"/>
      <c r="RXE456" s="67"/>
      <c r="RXF456" s="67"/>
      <c r="RXG456" s="67"/>
      <c r="RXH456" s="67"/>
      <c r="RXI456" s="67"/>
      <c r="RXJ456" s="67"/>
      <c r="RXK456" s="67"/>
      <c r="RXL456" s="67"/>
      <c r="RXM456" s="67"/>
      <c r="RXN456" s="67"/>
      <c r="RXO456" s="67"/>
      <c r="RXP456" s="67"/>
      <c r="RXQ456" s="67"/>
      <c r="RXR456" s="67"/>
      <c r="RXS456" s="67"/>
      <c r="RXT456" s="67"/>
      <c r="RXU456" s="67"/>
      <c r="RXV456" s="67"/>
      <c r="RXW456" s="67"/>
      <c r="RXX456" s="67"/>
      <c r="RXY456" s="67"/>
      <c r="RXZ456" s="67"/>
      <c r="RYA456" s="67"/>
      <c r="RYB456" s="67"/>
      <c r="RYC456" s="67"/>
      <c r="RYD456" s="67"/>
      <c r="RYE456" s="67"/>
      <c r="RYF456" s="67"/>
      <c r="RYG456" s="67"/>
      <c r="RYH456" s="67"/>
      <c r="RYI456" s="67"/>
      <c r="RYJ456" s="67"/>
      <c r="RYK456" s="67"/>
      <c r="RYL456" s="67"/>
      <c r="RYM456" s="67"/>
      <c r="RYN456" s="67"/>
      <c r="RYO456" s="67"/>
      <c r="RYP456" s="67"/>
      <c r="RYQ456" s="67"/>
      <c r="RYR456" s="67"/>
      <c r="RYS456" s="67"/>
      <c r="RYT456" s="67"/>
      <c r="RYU456" s="67"/>
      <c r="RYV456" s="67"/>
      <c r="RYW456" s="67"/>
      <c r="RYX456" s="67"/>
      <c r="RYY456" s="67"/>
      <c r="RYZ456" s="67"/>
      <c r="RZA456" s="67"/>
      <c r="RZB456" s="67"/>
      <c r="RZC456" s="67"/>
      <c r="RZD456" s="67"/>
      <c r="RZE456" s="67"/>
      <c r="RZF456" s="67"/>
      <c r="RZG456" s="67"/>
      <c r="RZH456" s="67"/>
      <c r="RZI456" s="67"/>
      <c r="RZJ456" s="67"/>
      <c r="RZK456" s="67"/>
      <c r="RZL456" s="67"/>
      <c r="RZM456" s="67"/>
      <c r="RZN456" s="67"/>
      <c r="RZO456" s="67"/>
      <c r="RZP456" s="67"/>
      <c r="RZQ456" s="67"/>
      <c r="RZR456" s="67"/>
      <c r="RZS456" s="67"/>
      <c r="RZT456" s="67"/>
      <c r="RZU456" s="67"/>
      <c r="RZV456" s="67"/>
      <c r="RZW456" s="67"/>
      <c r="RZX456" s="67"/>
      <c r="RZY456" s="67"/>
      <c r="RZZ456" s="67"/>
      <c r="SAA456" s="67"/>
      <c r="SAB456" s="67"/>
      <c r="SAC456" s="67"/>
      <c r="SAD456" s="67"/>
      <c r="SAE456" s="67"/>
      <c r="SAF456" s="67"/>
      <c r="SAG456" s="67"/>
      <c r="SAH456" s="67"/>
      <c r="SAI456" s="67"/>
      <c r="SAJ456" s="67"/>
      <c r="SAK456" s="67"/>
      <c r="SAL456" s="67"/>
      <c r="SAM456" s="67"/>
      <c r="SAN456" s="67"/>
      <c r="SAO456" s="67"/>
      <c r="SAP456" s="67"/>
      <c r="SAQ456" s="67"/>
      <c r="SAR456" s="67"/>
      <c r="SAS456" s="67"/>
      <c r="SAT456" s="67"/>
      <c r="SAU456" s="67"/>
      <c r="SAV456" s="67"/>
      <c r="SAW456" s="67"/>
      <c r="SAX456" s="67"/>
      <c r="SAY456" s="67"/>
      <c r="SAZ456" s="67"/>
      <c r="SBA456" s="67"/>
      <c r="SBB456" s="67"/>
      <c r="SBC456" s="67"/>
      <c r="SBD456" s="67"/>
      <c r="SBE456" s="67"/>
      <c r="SBF456" s="67"/>
      <c r="SBG456" s="67"/>
      <c r="SBH456" s="67"/>
      <c r="SBI456" s="67"/>
      <c r="SBJ456" s="67"/>
      <c r="SBK456" s="67"/>
      <c r="SBL456" s="67"/>
      <c r="SBM456" s="67"/>
      <c r="SBN456" s="67"/>
      <c r="SBO456" s="67"/>
      <c r="SBP456" s="67"/>
      <c r="SBQ456" s="67"/>
      <c r="SBR456" s="67"/>
      <c r="SBS456" s="67"/>
      <c r="SBT456" s="67"/>
      <c r="SBU456" s="67"/>
      <c r="SBV456" s="67"/>
      <c r="SBW456" s="67"/>
      <c r="SBX456" s="67"/>
      <c r="SBY456" s="67"/>
      <c r="SBZ456" s="67"/>
      <c r="SCA456" s="67"/>
      <c r="SCB456" s="67"/>
      <c r="SCC456" s="67"/>
      <c r="SCD456" s="67"/>
      <c r="SCE456" s="67"/>
      <c r="SCF456" s="67"/>
      <c r="SCG456" s="67"/>
      <c r="SCH456" s="67"/>
      <c r="SCI456" s="67"/>
      <c r="SCJ456" s="67"/>
      <c r="SCK456" s="67"/>
      <c r="SCL456" s="67"/>
      <c r="SCM456" s="67"/>
      <c r="SCN456" s="67"/>
      <c r="SCO456" s="67"/>
      <c r="SCP456" s="67"/>
      <c r="SCQ456" s="67"/>
      <c r="SCR456" s="67"/>
      <c r="SCS456" s="67"/>
      <c r="SCT456" s="67"/>
      <c r="SCU456" s="67"/>
      <c r="SCV456" s="67"/>
      <c r="SCW456" s="67"/>
      <c r="SCX456" s="67"/>
      <c r="SCY456" s="67"/>
      <c r="SCZ456" s="67"/>
      <c r="SDA456" s="67"/>
      <c r="SDB456" s="67"/>
      <c r="SDC456" s="67"/>
      <c r="SDD456" s="67"/>
      <c r="SDE456" s="67"/>
      <c r="SDF456" s="67"/>
      <c r="SDG456" s="67"/>
      <c r="SDH456" s="67"/>
      <c r="SDI456" s="67"/>
      <c r="SDJ456" s="67"/>
      <c r="SDK456" s="67"/>
      <c r="SDL456" s="67"/>
      <c r="SDM456" s="67"/>
      <c r="SDN456" s="67"/>
      <c r="SDO456" s="67"/>
      <c r="SDP456" s="67"/>
      <c r="SDQ456" s="67"/>
      <c r="SDR456" s="67"/>
      <c r="SDS456" s="67"/>
      <c r="SDT456" s="67"/>
      <c r="SDU456" s="67"/>
      <c r="SDV456" s="67"/>
      <c r="SDW456" s="67"/>
      <c r="SDX456" s="67"/>
      <c r="SDY456" s="67"/>
      <c r="SDZ456" s="67"/>
      <c r="SEA456" s="67"/>
      <c r="SEB456" s="67"/>
      <c r="SEC456" s="67"/>
      <c r="SED456" s="67"/>
      <c r="SEE456" s="67"/>
      <c r="SEF456" s="67"/>
      <c r="SEG456" s="67"/>
      <c r="SEH456" s="67"/>
      <c r="SEI456" s="67"/>
      <c r="SEJ456" s="67"/>
      <c r="SEK456" s="67"/>
      <c r="SEL456" s="67"/>
      <c r="SEM456" s="67"/>
      <c r="SEN456" s="67"/>
      <c r="SEO456" s="67"/>
      <c r="SEP456" s="67"/>
      <c r="SEQ456" s="67"/>
      <c r="SER456" s="67"/>
      <c r="SES456" s="67"/>
      <c r="SET456" s="67"/>
      <c r="SEU456" s="67"/>
      <c r="SEV456" s="67"/>
      <c r="SEW456" s="67"/>
      <c r="SEX456" s="67"/>
      <c r="SEY456" s="67"/>
      <c r="SEZ456" s="67"/>
      <c r="SFA456" s="67"/>
      <c r="SFB456" s="67"/>
      <c r="SFC456" s="67"/>
      <c r="SFD456" s="67"/>
      <c r="SFE456" s="67"/>
      <c r="SFF456" s="67"/>
      <c r="SFG456" s="67"/>
      <c r="SFH456" s="67"/>
      <c r="SFI456" s="67"/>
      <c r="SFJ456" s="67"/>
      <c r="SFK456" s="67"/>
      <c r="SFL456" s="67"/>
      <c r="SFM456" s="67"/>
      <c r="SFN456" s="67"/>
      <c r="SFO456" s="67"/>
      <c r="SFP456" s="67"/>
      <c r="SFQ456" s="67"/>
      <c r="SFR456" s="67"/>
      <c r="SFS456" s="67"/>
      <c r="SFT456" s="67"/>
      <c r="SFU456" s="67"/>
      <c r="SFV456" s="67"/>
      <c r="SFW456" s="67"/>
      <c r="SFX456" s="67"/>
      <c r="SFY456" s="67"/>
      <c r="SFZ456" s="67"/>
      <c r="SGA456" s="67"/>
      <c r="SGB456" s="67"/>
      <c r="SGC456" s="67"/>
      <c r="SGD456" s="67"/>
      <c r="SGE456" s="67"/>
      <c r="SGF456" s="67"/>
      <c r="SGG456" s="67"/>
      <c r="SGH456" s="67"/>
      <c r="SGI456" s="67"/>
      <c r="SGJ456" s="67"/>
      <c r="SGK456" s="67"/>
      <c r="SGL456" s="67"/>
      <c r="SGM456" s="67"/>
      <c r="SGN456" s="67"/>
      <c r="SGO456" s="67"/>
      <c r="SGP456" s="67"/>
      <c r="SGQ456" s="67"/>
      <c r="SGR456" s="67"/>
      <c r="SGS456" s="67"/>
      <c r="SGT456" s="67"/>
      <c r="SGU456" s="67"/>
      <c r="SGV456" s="67"/>
      <c r="SGW456" s="67"/>
      <c r="SGX456" s="67"/>
      <c r="SGY456" s="67"/>
      <c r="SGZ456" s="67"/>
      <c r="SHA456" s="67"/>
      <c r="SHB456" s="67"/>
      <c r="SHC456" s="67"/>
      <c r="SHD456" s="67"/>
      <c r="SHE456" s="67"/>
      <c r="SHF456" s="67"/>
      <c r="SHG456" s="67"/>
      <c r="SHH456" s="67"/>
      <c r="SHI456" s="67"/>
      <c r="SHJ456" s="67"/>
      <c r="SHK456" s="67"/>
      <c r="SHL456" s="67"/>
      <c r="SHM456" s="67"/>
      <c r="SHN456" s="67"/>
      <c r="SHO456" s="67"/>
      <c r="SHP456" s="67"/>
      <c r="SHQ456" s="67"/>
      <c r="SHR456" s="67"/>
      <c r="SHS456" s="67"/>
      <c r="SHT456" s="67"/>
      <c r="SHU456" s="67"/>
      <c r="SHV456" s="67"/>
      <c r="SHW456" s="67"/>
      <c r="SHX456" s="67"/>
      <c r="SHY456" s="67"/>
      <c r="SHZ456" s="67"/>
      <c r="SIA456" s="67"/>
      <c r="SIB456" s="67"/>
      <c r="SIC456" s="67"/>
      <c r="SID456" s="67"/>
      <c r="SIE456" s="67"/>
      <c r="SIF456" s="67"/>
      <c r="SIG456" s="67"/>
      <c r="SIH456" s="67"/>
      <c r="SII456" s="67"/>
      <c r="SIJ456" s="67"/>
      <c r="SIK456" s="67"/>
      <c r="SIL456" s="67"/>
      <c r="SIM456" s="67"/>
      <c r="SIN456" s="67"/>
      <c r="SIO456" s="67"/>
      <c r="SIP456" s="67"/>
      <c r="SIQ456" s="67"/>
      <c r="SIR456" s="67"/>
      <c r="SIS456" s="67"/>
      <c r="SIT456" s="67"/>
      <c r="SIU456" s="67"/>
      <c r="SIV456" s="67"/>
      <c r="SIW456" s="67"/>
      <c r="SIX456" s="67"/>
      <c r="SIY456" s="67"/>
      <c r="SIZ456" s="67"/>
      <c r="SJA456" s="67"/>
      <c r="SJB456" s="67"/>
      <c r="SJC456" s="67"/>
      <c r="SJD456" s="67"/>
      <c r="SJE456" s="67"/>
      <c r="SJF456" s="67"/>
      <c r="SJG456" s="67"/>
      <c r="SJH456" s="67"/>
      <c r="SJI456" s="67"/>
      <c r="SJJ456" s="67"/>
      <c r="SJK456" s="67"/>
      <c r="SJL456" s="67"/>
      <c r="SJM456" s="67"/>
      <c r="SJN456" s="67"/>
      <c r="SJO456" s="67"/>
      <c r="SJP456" s="67"/>
      <c r="SJQ456" s="67"/>
      <c r="SJR456" s="67"/>
      <c r="SJS456" s="67"/>
      <c r="SJT456" s="67"/>
      <c r="SJU456" s="67"/>
      <c r="SJV456" s="67"/>
      <c r="SJW456" s="67"/>
      <c r="SJX456" s="67"/>
      <c r="SJY456" s="67"/>
      <c r="SJZ456" s="67"/>
      <c r="SKA456" s="67"/>
      <c r="SKB456" s="67"/>
      <c r="SKC456" s="67"/>
      <c r="SKD456" s="67"/>
      <c r="SKE456" s="67"/>
      <c r="SKF456" s="67"/>
      <c r="SKG456" s="67"/>
      <c r="SKH456" s="67"/>
      <c r="SKI456" s="67"/>
      <c r="SKJ456" s="67"/>
      <c r="SKK456" s="67"/>
      <c r="SKL456" s="67"/>
      <c r="SKM456" s="67"/>
      <c r="SKN456" s="67"/>
      <c r="SKO456" s="67"/>
      <c r="SKP456" s="67"/>
      <c r="SKQ456" s="67"/>
      <c r="SKR456" s="67"/>
      <c r="SKS456" s="67"/>
      <c r="SKT456" s="67"/>
      <c r="SKU456" s="67"/>
      <c r="SKV456" s="67"/>
      <c r="SKW456" s="67"/>
      <c r="SKX456" s="67"/>
      <c r="SKY456" s="67"/>
      <c r="SKZ456" s="67"/>
      <c r="SLA456" s="67"/>
      <c r="SLB456" s="67"/>
      <c r="SLC456" s="67"/>
      <c r="SLD456" s="67"/>
      <c r="SLE456" s="67"/>
      <c r="SLF456" s="67"/>
      <c r="SLG456" s="67"/>
      <c r="SLH456" s="67"/>
      <c r="SLI456" s="67"/>
      <c r="SLJ456" s="67"/>
      <c r="SLK456" s="67"/>
      <c r="SLL456" s="67"/>
      <c r="SLM456" s="67"/>
      <c r="SLN456" s="67"/>
      <c r="SLO456" s="67"/>
      <c r="SLP456" s="67"/>
      <c r="SLQ456" s="67"/>
      <c r="SLR456" s="67"/>
      <c r="SLS456" s="67"/>
      <c r="SLT456" s="67"/>
      <c r="SLU456" s="67"/>
      <c r="SLV456" s="67"/>
      <c r="SLW456" s="67"/>
      <c r="SLX456" s="67"/>
      <c r="SLY456" s="67"/>
      <c r="SLZ456" s="67"/>
      <c r="SMA456" s="67"/>
      <c r="SMB456" s="67"/>
      <c r="SMC456" s="67"/>
      <c r="SMD456" s="67"/>
      <c r="SME456" s="67"/>
      <c r="SMF456" s="67"/>
      <c r="SMG456" s="67"/>
      <c r="SMH456" s="67"/>
      <c r="SMI456" s="67"/>
      <c r="SMJ456" s="67"/>
      <c r="SMK456" s="67"/>
      <c r="SML456" s="67"/>
      <c r="SMM456" s="67"/>
      <c r="SMN456" s="67"/>
      <c r="SMO456" s="67"/>
      <c r="SMP456" s="67"/>
      <c r="SMQ456" s="67"/>
      <c r="SMR456" s="67"/>
      <c r="SMS456" s="67"/>
      <c r="SMT456" s="67"/>
      <c r="SMU456" s="67"/>
      <c r="SMV456" s="67"/>
      <c r="SMW456" s="67"/>
      <c r="SMX456" s="67"/>
      <c r="SMY456" s="67"/>
      <c r="SMZ456" s="67"/>
      <c r="SNA456" s="67"/>
      <c r="SNB456" s="67"/>
      <c r="SNC456" s="67"/>
      <c r="SND456" s="67"/>
      <c r="SNE456" s="67"/>
      <c r="SNF456" s="67"/>
      <c r="SNG456" s="67"/>
      <c r="SNH456" s="67"/>
      <c r="SNI456" s="67"/>
      <c r="SNJ456" s="67"/>
      <c r="SNK456" s="67"/>
      <c r="SNL456" s="67"/>
      <c r="SNM456" s="67"/>
      <c r="SNN456" s="67"/>
      <c r="SNO456" s="67"/>
      <c r="SNP456" s="67"/>
      <c r="SNQ456" s="67"/>
      <c r="SNR456" s="67"/>
      <c r="SNS456" s="67"/>
      <c r="SNT456" s="67"/>
      <c r="SNU456" s="67"/>
      <c r="SNV456" s="67"/>
      <c r="SNW456" s="67"/>
      <c r="SNX456" s="67"/>
      <c r="SNY456" s="67"/>
      <c r="SNZ456" s="67"/>
      <c r="SOA456" s="67"/>
      <c r="SOB456" s="67"/>
      <c r="SOC456" s="67"/>
      <c r="SOD456" s="67"/>
      <c r="SOE456" s="67"/>
      <c r="SOF456" s="67"/>
      <c r="SOG456" s="67"/>
      <c r="SOH456" s="67"/>
      <c r="SOI456" s="67"/>
      <c r="SOJ456" s="67"/>
      <c r="SOK456" s="67"/>
      <c r="SOL456" s="67"/>
      <c r="SOM456" s="67"/>
      <c r="SON456" s="67"/>
      <c r="SOO456" s="67"/>
      <c r="SOP456" s="67"/>
      <c r="SOQ456" s="67"/>
      <c r="SOR456" s="67"/>
      <c r="SOS456" s="67"/>
      <c r="SOT456" s="67"/>
      <c r="SOU456" s="67"/>
      <c r="SOV456" s="67"/>
      <c r="SOW456" s="67"/>
      <c r="SOX456" s="67"/>
      <c r="SOY456" s="67"/>
      <c r="SOZ456" s="67"/>
      <c r="SPA456" s="67"/>
      <c r="SPB456" s="67"/>
      <c r="SPC456" s="67"/>
      <c r="SPD456" s="67"/>
      <c r="SPE456" s="67"/>
      <c r="SPF456" s="67"/>
      <c r="SPG456" s="67"/>
      <c r="SPH456" s="67"/>
      <c r="SPI456" s="67"/>
      <c r="SPJ456" s="67"/>
      <c r="SPK456" s="67"/>
      <c r="SPL456" s="67"/>
      <c r="SPM456" s="67"/>
      <c r="SPN456" s="67"/>
      <c r="SPO456" s="67"/>
      <c r="SPP456" s="67"/>
      <c r="SPQ456" s="67"/>
      <c r="SPR456" s="67"/>
      <c r="SPS456" s="67"/>
      <c r="SPT456" s="67"/>
      <c r="SPU456" s="67"/>
      <c r="SPV456" s="67"/>
      <c r="SPW456" s="67"/>
      <c r="SPX456" s="67"/>
      <c r="SPY456" s="67"/>
      <c r="SPZ456" s="67"/>
      <c r="SQA456" s="67"/>
      <c r="SQB456" s="67"/>
      <c r="SQC456" s="67"/>
      <c r="SQD456" s="67"/>
      <c r="SQE456" s="67"/>
      <c r="SQF456" s="67"/>
      <c r="SQG456" s="67"/>
      <c r="SQH456" s="67"/>
      <c r="SQI456" s="67"/>
      <c r="SQJ456" s="67"/>
      <c r="SQK456" s="67"/>
      <c r="SQL456" s="67"/>
      <c r="SQM456" s="67"/>
      <c r="SQN456" s="67"/>
      <c r="SQO456" s="67"/>
      <c r="SQP456" s="67"/>
      <c r="SQQ456" s="67"/>
      <c r="SQR456" s="67"/>
      <c r="SQS456" s="67"/>
      <c r="SQT456" s="67"/>
      <c r="SQU456" s="67"/>
      <c r="SQV456" s="67"/>
      <c r="SQW456" s="67"/>
      <c r="SQX456" s="67"/>
      <c r="SQY456" s="67"/>
      <c r="SQZ456" s="67"/>
      <c r="SRA456" s="67"/>
      <c r="SRB456" s="67"/>
      <c r="SRC456" s="67"/>
      <c r="SRD456" s="67"/>
      <c r="SRE456" s="67"/>
      <c r="SRF456" s="67"/>
      <c r="SRG456" s="67"/>
      <c r="SRH456" s="67"/>
      <c r="SRI456" s="67"/>
      <c r="SRJ456" s="67"/>
      <c r="SRK456" s="67"/>
      <c r="SRL456" s="67"/>
      <c r="SRM456" s="67"/>
      <c r="SRN456" s="67"/>
      <c r="SRO456" s="67"/>
      <c r="SRP456" s="67"/>
      <c r="SRQ456" s="67"/>
      <c r="SRR456" s="67"/>
      <c r="SRS456" s="67"/>
      <c r="SRT456" s="67"/>
      <c r="SRU456" s="67"/>
      <c r="SRV456" s="67"/>
      <c r="SRW456" s="67"/>
      <c r="SRX456" s="67"/>
      <c r="SRY456" s="67"/>
      <c r="SRZ456" s="67"/>
      <c r="SSA456" s="67"/>
      <c r="SSB456" s="67"/>
      <c r="SSC456" s="67"/>
      <c r="SSD456" s="67"/>
      <c r="SSE456" s="67"/>
      <c r="SSF456" s="67"/>
      <c r="SSG456" s="67"/>
      <c r="SSH456" s="67"/>
      <c r="SSI456" s="67"/>
      <c r="SSJ456" s="67"/>
      <c r="SSK456" s="67"/>
      <c r="SSL456" s="67"/>
      <c r="SSM456" s="67"/>
      <c r="SSN456" s="67"/>
      <c r="SSO456" s="67"/>
      <c r="SSP456" s="67"/>
      <c r="SSQ456" s="67"/>
      <c r="SSR456" s="67"/>
      <c r="SSS456" s="67"/>
      <c r="SST456" s="67"/>
      <c r="SSU456" s="67"/>
      <c r="SSV456" s="67"/>
      <c r="SSW456" s="67"/>
      <c r="SSX456" s="67"/>
      <c r="SSY456" s="67"/>
      <c r="SSZ456" s="67"/>
      <c r="STA456" s="67"/>
      <c r="STB456" s="67"/>
      <c r="STC456" s="67"/>
      <c r="STD456" s="67"/>
      <c r="STE456" s="67"/>
      <c r="STF456" s="67"/>
      <c r="STG456" s="67"/>
      <c r="STH456" s="67"/>
      <c r="STI456" s="67"/>
      <c r="STJ456" s="67"/>
      <c r="STK456" s="67"/>
      <c r="STL456" s="67"/>
      <c r="STM456" s="67"/>
      <c r="STN456" s="67"/>
      <c r="STO456" s="67"/>
      <c r="STP456" s="67"/>
      <c r="STQ456" s="67"/>
      <c r="STR456" s="67"/>
      <c r="STS456" s="67"/>
      <c r="STT456" s="67"/>
      <c r="STU456" s="67"/>
      <c r="STV456" s="67"/>
      <c r="STW456" s="67"/>
      <c r="STX456" s="67"/>
      <c r="STY456" s="67"/>
      <c r="STZ456" s="67"/>
      <c r="SUA456" s="67"/>
      <c r="SUB456" s="67"/>
      <c r="SUC456" s="67"/>
      <c r="SUD456" s="67"/>
      <c r="SUE456" s="67"/>
      <c r="SUF456" s="67"/>
      <c r="SUG456" s="67"/>
      <c r="SUH456" s="67"/>
      <c r="SUI456" s="67"/>
      <c r="SUJ456" s="67"/>
      <c r="SUK456" s="67"/>
      <c r="SUL456" s="67"/>
      <c r="SUM456" s="67"/>
      <c r="SUN456" s="67"/>
      <c r="SUO456" s="67"/>
      <c r="SUP456" s="67"/>
      <c r="SUQ456" s="67"/>
      <c r="SUR456" s="67"/>
      <c r="SUS456" s="67"/>
      <c r="SUT456" s="67"/>
      <c r="SUU456" s="67"/>
      <c r="SUV456" s="67"/>
      <c r="SUW456" s="67"/>
      <c r="SUX456" s="67"/>
      <c r="SUY456" s="67"/>
      <c r="SUZ456" s="67"/>
      <c r="SVA456" s="67"/>
      <c r="SVB456" s="67"/>
      <c r="SVC456" s="67"/>
      <c r="SVD456" s="67"/>
      <c r="SVE456" s="67"/>
      <c r="SVF456" s="67"/>
      <c r="SVG456" s="67"/>
      <c r="SVH456" s="67"/>
      <c r="SVI456" s="67"/>
      <c r="SVJ456" s="67"/>
      <c r="SVK456" s="67"/>
      <c r="SVL456" s="67"/>
      <c r="SVM456" s="67"/>
      <c r="SVN456" s="67"/>
      <c r="SVO456" s="67"/>
      <c r="SVP456" s="67"/>
      <c r="SVQ456" s="67"/>
      <c r="SVR456" s="67"/>
      <c r="SVS456" s="67"/>
      <c r="SVT456" s="67"/>
      <c r="SVU456" s="67"/>
      <c r="SVV456" s="67"/>
      <c r="SVW456" s="67"/>
      <c r="SVX456" s="67"/>
      <c r="SVY456" s="67"/>
      <c r="SVZ456" s="67"/>
      <c r="SWA456" s="67"/>
      <c r="SWB456" s="67"/>
      <c r="SWC456" s="67"/>
      <c r="SWD456" s="67"/>
      <c r="SWE456" s="67"/>
      <c r="SWF456" s="67"/>
      <c r="SWG456" s="67"/>
      <c r="SWH456" s="67"/>
      <c r="SWI456" s="67"/>
      <c r="SWJ456" s="67"/>
      <c r="SWK456" s="67"/>
      <c r="SWL456" s="67"/>
      <c r="SWM456" s="67"/>
      <c r="SWN456" s="67"/>
      <c r="SWO456" s="67"/>
      <c r="SWP456" s="67"/>
      <c r="SWQ456" s="67"/>
      <c r="SWR456" s="67"/>
      <c r="SWS456" s="67"/>
      <c r="SWT456" s="67"/>
      <c r="SWU456" s="67"/>
      <c r="SWV456" s="67"/>
      <c r="SWW456" s="67"/>
      <c r="SWX456" s="67"/>
      <c r="SWY456" s="67"/>
      <c r="SWZ456" s="67"/>
      <c r="SXA456" s="67"/>
      <c r="SXB456" s="67"/>
      <c r="SXC456" s="67"/>
      <c r="SXD456" s="67"/>
      <c r="SXE456" s="67"/>
      <c r="SXF456" s="67"/>
      <c r="SXG456" s="67"/>
      <c r="SXH456" s="67"/>
      <c r="SXI456" s="67"/>
      <c r="SXJ456" s="67"/>
      <c r="SXK456" s="67"/>
      <c r="SXL456" s="67"/>
      <c r="SXM456" s="67"/>
      <c r="SXN456" s="67"/>
      <c r="SXO456" s="67"/>
      <c r="SXP456" s="67"/>
      <c r="SXQ456" s="67"/>
      <c r="SXR456" s="67"/>
      <c r="SXS456" s="67"/>
      <c r="SXT456" s="67"/>
      <c r="SXU456" s="67"/>
      <c r="SXV456" s="67"/>
      <c r="SXW456" s="67"/>
      <c r="SXX456" s="67"/>
      <c r="SXY456" s="67"/>
      <c r="SXZ456" s="67"/>
      <c r="SYA456" s="67"/>
      <c r="SYB456" s="67"/>
      <c r="SYC456" s="67"/>
      <c r="SYD456" s="67"/>
      <c r="SYE456" s="67"/>
      <c r="SYF456" s="67"/>
      <c r="SYG456" s="67"/>
      <c r="SYH456" s="67"/>
      <c r="SYI456" s="67"/>
      <c r="SYJ456" s="67"/>
      <c r="SYK456" s="67"/>
      <c r="SYL456" s="67"/>
      <c r="SYM456" s="67"/>
      <c r="SYN456" s="67"/>
      <c r="SYO456" s="67"/>
      <c r="SYP456" s="67"/>
      <c r="SYQ456" s="67"/>
      <c r="SYR456" s="67"/>
      <c r="SYS456" s="67"/>
      <c r="SYT456" s="67"/>
      <c r="SYU456" s="67"/>
      <c r="SYV456" s="67"/>
      <c r="SYW456" s="67"/>
      <c r="SYX456" s="67"/>
      <c r="SYY456" s="67"/>
      <c r="SYZ456" s="67"/>
      <c r="SZA456" s="67"/>
      <c r="SZB456" s="67"/>
      <c r="SZC456" s="67"/>
      <c r="SZD456" s="67"/>
      <c r="SZE456" s="67"/>
      <c r="SZF456" s="67"/>
      <c r="SZG456" s="67"/>
      <c r="SZH456" s="67"/>
      <c r="SZI456" s="67"/>
      <c r="SZJ456" s="67"/>
      <c r="SZK456" s="67"/>
      <c r="SZL456" s="67"/>
      <c r="SZM456" s="67"/>
      <c r="SZN456" s="67"/>
      <c r="SZO456" s="67"/>
      <c r="SZP456" s="67"/>
      <c r="SZQ456" s="67"/>
      <c r="SZR456" s="67"/>
      <c r="SZS456" s="67"/>
      <c r="SZT456" s="67"/>
      <c r="SZU456" s="67"/>
      <c r="SZV456" s="67"/>
      <c r="SZW456" s="67"/>
      <c r="SZX456" s="67"/>
      <c r="SZY456" s="67"/>
      <c r="SZZ456" s="67"/>
      <c r="TAA456" s="67"/>
      <c r="TAB456" s="67"/>
      <c r="TAC456" s="67"/>
      <c r="TAD456" s="67"/>
      <c r="TAE456" s="67"/>
      <c r="TAF456" s="67"/>
      <c r="TAG456" s="67"/>
      <c r="TAH456" s="67"/>
      <c r="TAI456" s="67"/>
      <c r="TAJ456" s="67"/>
      <c r="TAK456" s="67"/>
      <c r="TAL456" s="67"/>
      <c r="TAM456" s="67"/>
      <c r="TAN456" s="67"/>
      <c r="TAO456" s="67"/>
      <c r="TAP456" s="67"/>
      <c r="TAQ456" s="67"/>
      <c r="TAR456" s="67"/>
      <c r="TAS456" s="67"/>
      <c r="TAT456" s="67"/>
      <c r="TAU456" s="67"/>
      <c r="TAV456" s="67"/>
      <c r="TAW456" s="67"/>
      <c r="TAX456" s="67"/>
      <c r="TAY456" s="67"/>
      <c r="TAZ456" s="67"/>
      <c r="TBA456" s="67"/>
      <c r="TBB456" s="67"/>
      <c r="TBC456" s="67"/>
      <c r="TBD456" s="67"/>
      <c r="TBE456" s="67"/>
      <c r="TBF456" s="67"/>
      <c r="TBG456" s="67"/>
      <c r="TBH456" s="67"/>
      <c r="TBI456" s="67"/>
      <c r="TBJ456" s="67"/>
      <c r="TBK456" s="67"/>
      <c r="TBL456" s="67"/>
      <c r="TBM456" s="67"/>
      <c r="TBN456" s="67"/>
      <c r="TBO456" s="67"/>
      <c r="TBP456" s="67"/>
      <c r="TBQ456" s="67"/>
      <c r="TBR456" s="67"/>
      <c r="TBS456" s="67"/>
      <c r="TBT456" s="67"/>
      <c r="TBU456" s="67"/>
      <c r="TBV456" s="67"/>
      <c r="TBW456" s="67"/>
      <c r="TBX456" s="67"/>
      <c r="TBY456" s="67"/>
      <c r="TBZ456" s="67"/>
      <c r="TCA456" s="67"/>
      <c r="TCB456" s="67"/>
      <c r="TCC456" s="67"/>
      <c r="TCD456" s="67"/>
      <c r="TCE456" s="67"/>
      <c r="TCF456" s="67"/>
      <c r="TCG456" s="67"/>
      <c r="TCH456" s="67"/>
      <c r="TCI456" s="67"/>
      <c r="TCJ456" s="67"/>
      <c r="TCK456" s="67"/>
      <c r="TCL456" s="67"/>
      <c r="TCM456" s="67"/>
      <c r="TCN456" s="67"/>
      <c r="TCO456" s="67"/>
      <c r="TCP456" s="67"/>
      <c r="TCQ456" s="67"/>
      <c r="TCR456" s="67"/>
      <c r="TCS456" s="67"/>
      <c r="TCT456" s="67"/>
      <c r="TCU456" s="67"/>
      <c r="TCV456" s="67"/>
      <c r="TCW456" s="67"/>
      <c r="TCX456" s="67"/>
      <c r="TCY456" s="67"/>
      <c r="TCZ456" s="67"/>
      <c r="TDA456" s="67"/>
      <c r="TDB456" s="67"/>
      <c r="TDC456" s="67"/>
      <c r="TDD456" s="67"/>
      <c r="TDE456" s="67"/>
      <c r="TDF456" s="67"/>
      <c r="TDG456" s="67"/>
      <c r="TDH456" s="67"/>
      <c r="TDI456" s="67"/>
      <c r="TDJ456" s="67"/>
      <c r="TDK456" s="67"/>
      <c r="TDL456" s="67"/>
      <c r="TDM456" s="67"/>
      <c r="TDN456" s="67"/>
      <c r="TDO456" s="67"/>
      <c r="TDP456" s="67"/>
      <c r="TDQ456" s="67"/>
      <c r="TDR456" s="67"/>
      <c r="TDS456" s="67"/>
      <c r="TDT456" s="67"/>
      <c r="TDU456" s="67"/>
      <c r="TDV456" s="67"/>
      <c r="TDW456" s="67"/>
      <c r="TDX456" s="67"/>
      <c r="TDY456" s="67"/>
      <c r="TDZ456" s="67"/>
      <c r="TEA456" s="67"/>
      <c r="TEB456" s="67"/>
      <c r="TEC456" s="67"/>
      <c r="TED456" s="67"/>
      <c r="TEE456" s="67"/>
      <c r="TEF456" s="67"/>
      <c r="TEG456" s="67"/>
      <c r="TEH456" s="67"/>
      <c r="TEI456" s="67"/>
      <c r="TEJ456" s="67"/>
      <c r="TEK456" s="67"/>
      <c r="TEL456" s="67"/>
      <c r="TEM456" s="67"/>
      <c r="TEN456" s="67"/>
      <c r="TEO456" s="67"/>
      <c r="TEP456" s="67"/>
      <c r="TEQ456" s="67"/>
      <c r="TER456" s="67"/>
      <c r="TES456" s="67"/>
      <c r="TET456" s="67"/>
      <c r="TEU456" s="67"/>
      <c r="TEV456" s="67"/>
      <c r="TEW456" s="67"/>
      <c r="TEX456" s="67"/>
      <c r="TEY456" s="67"/>
      <c r="TEZ456" s="67"/>
      <c r="TFA456" s="67"/>
      <c r="TFB456" s="67"/>
      <c r="TFC456" s="67"/>
      <c r="TFD456" s="67"/>
      <c r="TFE456" s="67"/>
      <c r="TFF456" s="67"/>
      <c r="TFG456" s="67"/>
      <c r="TFH456" s="67"/>
      <c r="TFI456" s="67"/>
      <c r="TFJ456" s="67"/>
      <c r="TFK456" s="67"/>
      <c r="TFL456" s="67"/>
      <c r="TFM456" s="67"/>
      <c r="TFN456" s="67"/>
      <c r="TFO456" s="67"/>
      <c r="TFP456" s="67"/>
      <c r="TFQ456" s="67"/>
      <c r="TFR456" s="67"/>
      <c r="TFS456" s="67"/>
      <c r="TFT456" s="67"/>
      <c r="TFU456" s="67"/>
      <c r="TFV456" s="67"/>
      <c r="TFW456" s="67"/>
      <c r="TFX456" s="67"/>
      <c r="TFY456" s="67"/>
      <c r="TFZ456" s="67"/>
      <c r="TGA456" s="67"/>
      <c r="TGB456" s="67"/>
      <c r="TGC456" s="67"/>
      <c r="TGD456" s="67"/>
      <c r="TGE456" s="67"/>
      <c r="TGF456" s="67"/>
      <c r="TGG456" s="67"/>
      <c r="TGH456" s="67"/>
      <c r="TGI456" s="67"/>
      <c r="TGJ456" s="67"/>
      <c r="TGK456" s="67"/>
      <c r="TGL456" s="67"/>
      <c r="TGM456" s="67"/>
      <c r="TGN456" s="67"/>
      <c r="TGO456" s="67"/>
      <c r="TGP456" s="67"/>
      <c r="TGQ456" s="67"/>
      <c r="TGR456" s="67"/>
      <c r="TGS456" s="67"/>
      <c r="TGT456" s="67"/>
      <c r="TGU456" s="67"/>
      <c r="TGV456" s="67"/>
      <c r="TGW456" s="67"/>
      <c r="TGX456" s="67"/>
      <c r="TGY456" s="67"/>
      <c r="TGZ456" s="67"/>
      <c r="THA456" s="67"/>
      <c r="THB456" s="67"/>
      <c r="THC456" s="67"/>
      <c r="THD456" s="67"/>
      <c r="THE456" s="67"/>
      <c r="THF456" s="67"/>
      <c r="THG456" s="67"/>
      <c r="THH456" s="67"/>
      <c r="THI456" s="67"/>
      <c r="THJ456" s="67"/>
      <c r="THK456" s="67"/>
      <c r="THL456" s="67"/>
      <c r="THM456" s="67"/>
      <c r="THN456" s="67"/>
      <c r="THO456" s="67"/>
      <c r="THP456" s="67"/>
      <c r="THQ456" s="67"/>
      <c r="THR456" s="67"/>
      <c r="THS456" s="67"/>
      <c r="THT456" s="67"/>
      <c r="THU456" s="67"/>
      <c r="THV456" s="67"/>
      <c r="THW456" s="67"/>
      <c r="THX456" s="67"/>
      <c r="THY456" s="67"/>
      <c r="THZ456" s="67"/>
      <c r="TIA456" s="67"/>
      <c r="TIB456" s="67"/>
      <c r="TIC456" s="67"/>
      <c r="TID456" s="67"/>
      <c r="TIE456" s="67"/>
      <c r="TIF456" s="67"/>
      <c r="TIG456" s="67"/>
      <c r="TIH456" s="67"/>
      <c r="TII456" s="67"/>
      <c r="TIJ456" s="67"/>
      <c r="TIK456" s="67"/>
      <c r="TIL456" s="67"/>
      <c r="TIM456" s="67"/>
      <c r="TIN456" s="67"/>
      <c r="TIO456" s="67"/>
      <c r="TIP456" s="67"/>
      <c r="TIQ456" s="67"/>
      <c r="TIR456" s="67"/>
      <c r="TIS456" s="67"/>
      <c r="TIT456" s="67"/>
      <c r="TIU456" s="67"/>
      <c r="TIV456" s="67"/>
      <c r="TIW456" s="67"/>
      <c r="TIX456" s="67"/>
      <c r="TIY456" s="67"/>
      <c r="TIZ456" s="67"/>
      <c r="TJA456" s="67"/>
      <c r="TJB456" s="67"/>
      <c r="TJC456" s="67"/>
      <c r="TJD456" s="67"/>
      <c r="TJE456" s="67"/>
      <c r="TJF456" s="67"/>
      <c r="TJG456" s="67"/>
      <c r="TJH456" s="67"/>
      <c r="TJI456" s="67"/>
      <c r="TJJ456" s="67"/>
      <c r="TJK456" s="67"/>
      <c r="TJL456" s="67"/>
      <c r="TJM456" s="67"/>
      <c r="TJN456" s="67"/>
      <c r="TJO456" s="67"/>
      <c r="TJP456" s="67"/>
      <c r="TJQ456" s="67"/>
      <c r="TJR456" s="67"/>
      <c r="TJS456" s="67"/>
      <c r="TJT456" s="67"/>
      <c r="TJU456" s="67"/>
      <c r="TJV456" s="67"/>
      <c r="TJW456" s="67"/>
      <c r="TJX456" s="67"/>
      <c r="TJY456" s="67"/>
      <c r="TJZ456" s="67"/>
      <c r="TKA456" s="67"/>
      <c r="TKB456" s="67"/>
      <c r="TKC456" s="67"/>
      <c r="TKD456" s="67"/>
      <c r="TKE456" s="67"/>
      <c r="TKF456" s="67"/>
      <c r="TKG456" s="67"/>
      <c r="TKH456" s="67"/>
      <c r="TKI456" s="67"/>
      <c r="TKJ456" s="67"/>
      <c r="TKK456" s="67"/>
      <c r="TKL456" s="67"/>
      <c r="TKM456" s="67"/>
      <c r="TKN456" s="67"/>
      <c r="TKO456" s="67"/>
      <c r="TKP456" s="67"/>
      <c r="TKQ456" s="67"/>
      <c r="TKR456" s="67"/>
      <c r="TKS456" s="67"/>
      <c r="TKT456" s="67"/>
      <c r="TKU456" s="67"/>
      <c r="TKV456" s="67"/>
      <c r="TKW456" s="67"/>
      <c r="TKX456" s="67"/>
      <c r="TKY456" s="67"/>
      <c r="TKZ456" s="67"/>
      <c r="TLA456" s="67"/>
      <c r="TLB456" s="67"/>
      <c r="TLC456" s="67"/>
      <c r="TLD456" s="67"/>
      <c r="TLE456" s="67"/>
      <c r="TLF456" s="67"/>
      <c r="TLG456" s="67"/>
      <c r="TLH456" s="67"/>
      <c r="TLI456" s="67"/>
      <c r="TLJ456" s="67"/>
      <c r="TLK456" s="67"/>
      <c r="TLL456" s="67"/>
      <c r="TLM456" s="67"/>
      <c r="TLN456" s="67"/>
      <c r="TLO456" s="67"/>
      <c r="TLP456" s="67"/>
      <c r="TLQ456" s="67"/>
      <c r="TLR456" s="67"/>
      <c r="TLS456" s="67"/>
      <c r="TLT456" s="67"/>
      <c r="TLU456" s="67"/>
      <c r="TLV456" s="67"/>
      <c r="TLW456" s="67"/>
      <c r="TLX456" s="67"/>
      <c r="TLY456" s="67"/>
      <c r="TLZ456" s="67"/>
      <c r="TMA456" s="67"/>
      <c r="TMB456" s="67"/>
      <c r="TMC456" s="67"/>
      <c r="TMD456" s="67"/>
      <c r="TME456" s="67"/>
      <c r="TMF456" s="67"/>
      <c r="TMG456" s="67"/>
      <c r="TMH456" s="67"/>
      <c r="TMI456" s="67"/>
      <c r="TMJ456" s="67"/>
      <c r="TMK456" s="67"/>
      <c r="TML456" s="67"/>
      <c r="TMM456" s="67"/>
      <c r="TMN456" s="67"/>
      <c r="TMO456" s="67"/>
      <c r="TMP456" s="67"/>
      <c r="TMQ456" s="67"/>
      <c r="TMR456" s="67"/>
      <c r="TMS456" s="67"/>
      <c r="TMT456" s="67"/>
      <c r="TMU456" s="67"/>
      <c r="TMV456" s="67"/>
      <c r="TMW456" s="67"/>
      <c r="TMX456" s="67"/>
      <c r="TMY456" s="67"/>
      <c r="TMZ456" s="67"/>
      <c r="TNA456" s="67"/>
      <c r="TNB456" s="67"/>
      <c r="TNC456" s="67"/>
      <c r="TND456" s="67"/>
      <c r="TNE456" s="67"/>
      <c r="TNF456" s="67"/>
      <c r="TNG456" s="67"/>
      <c r="TNH456" s="67"/>
      <c r="TNI456" s="67"/>
      <c r="TNJ456" s="67"/>
      <c r="TNK456" s="67"/>
      <c r="TNL456" s="67"/>
      <c r="TNM456" s="67"/>
      <c r="TNN456" s="67"/>
      <c r="TNO456" s="67"/>
      <c r="TNP456" s="67"/>
      <c r="TNQ456" s="67"/>
      <c r="TNR456" s="67"/>
      <c r="TNS456" s="67"/>
      <c r="TNT456" s="67"/>
      <c r="TNU456" s="67"/>
      <c r="TNV456" s="67"/>
      <c r="TNW456" s="67"/>
      <c r="TNX456" s="67"/>
      <c r="TNY456" s="67"/>
      <c r="TNZ456" s="67"/>
      <c r="TOA456" s="67"/>
      <c r="TOB456" s="67"/>
      <c r="TOC456" s="67"/>
      <c r="TOD456" s="67"/>
      <c r="TOE456" s="67"/>
      <c r="TOF456" s="67"/>
      <c r="TOG456" s="67"/>
      <c r="TOH456" s="67"/>
      <c r="TOI456" s="67"/>
      <c r="TOJ456" s="67"/>
      <c r="TOK456" s="67"/>
      <c r="TOL456" s="67"/>
      <c r="TOM456" s="67"/>
      <c r="TON456" s="67"/>
      <c r="TOO456" s="67"/>
      <c r="TOP456" s="67"/>
      <c r="TOQ456" s="67"/>
      <c r="TOR456" s="67"/>
      <c r="TOS456" s="67"/>
      <c r="TOT456" s="67"/>
      <c r="TOU456" s="67"/>
      <c r="TOV456" s="67"/>
      <c r="TOW456" s="67"/>
      <c r="TOX456" s="67"/>
      <c r="TOY456" s="67"/>
      <c r="TOZ456" s="67"/>
      <c r="TPA456" s="67"/>
      <c r="TPB456" s="67"/>
      <c r="TPC456" s="67"/>
      <c r="TPD456" s="67"/>
      <c r="TPE456" s="67"/>
      <c r="TPF456" s="67"/>
      <c r="TPG456" s="67"/>
      <c r="TPH456" s="67"/>
      <c r="TPI456" s="67"/>
      <c r="TPJ456" s="67"/>
      <c r="TPK456" s="67"/>
      <c r="TPL456" s="67"/>
      <c r="TPM456" s="67"/>
      <c r="TPN456" s="67"/>
      <c r="TPO456" s="67"/>
      <c r="TPP456" s="67"/>
      <c r="TPQ456" s="67"/>
      <c r="TPR456" s="67"/>
      <c r="TPS456" s="67"/>
      <c r="TPT456" s="67"/>
      <c r="TPU456" s="67"/>
      <c r="TPV456" s="67"/>
      <c r="TPW456" s="67"/>
      <c r="TPX456" s="67"/>
      <c r="TPY456" s="67"/>
      <c r="TPZ456" s="67"/>
      <c r="TQA456" s="67"/>
      <c r="TQB456" s="67"/>
      <c r="TQC456" s="67"/>
      <c r="TQD456" s="67"/>
      <c r="TQE456" s="67"/>
      <c r="TQF456" s="67"/>
      <c r="TQG456" s="67"/>
      <c r="TQH456" s="67"/>
      <c r="TQI456" s="67"/>
      <c r="TQJ456" s="67"/>
      <c r="TQK456" s="67"/>
      <c r="TQL456" s="67"/>
      <c r="TQM456" s="67"/>
      <c r="TQN456" s="67"/>
      <c r="TQO456" s="67"/>
      <c r="TQP456" s="67"/>
      <c r="TQQ456" s="67"/>
      <c r="TQR456" s="67"/>
      <c r="TQS456" s="67"/>
      <c r="TQT456" s="67"/>
      <c r="TQU456" s="67"/>
      <c r="TQV456" s="67"/>
      <c r="TQW456" s="67"/>
      <c r="TQX456" s="67"/>
      <c r="TQY456" s="67"/>
      <c r="TQZ456" s="67"/>
      <c r="TRA456" s="67"/>
      <c r="TRB456" s="67"/>
      <c r="TRC456" s="67"/>
      <c r="TRD456" s="67"/>
      <c r="TRE456" s="67"/>
      <c r="TRF456" s="67"/>
      <c r="TRG456" s="67"/>
      <c r="TRH456" s="67"/>
      <c r="TRI456" s="67"/>
      <c r="TRJ456" s="67"/>
      <c r="TRK456" s="67"/>
      <c r="TRL456" s="67"/>
      <c r="TRM456" s="67"/>
      <c r="TRN456" s="67"/>
      <c r="TRO456" s="67"/>
      <c r="TRP456" s="67"/>
      <c r="TRQ456" s="67"/>
      <c r="TRR456" s="67"/>
      <c r="TRS456" s="67"/>
      <c r="TRT456" s="67"/>
      <c r="TRU456" s="67"/>
      <c r="TRV456" s="67"/>
      <c r="TRW456" s="67"/>
      <c r="TRX456" s="67"/>
      <c r="TRY456" s="67"/>
      <c r="TRZ456" s="67"/>
      <c r="TSA456" s="67"/>
      <c r="TSB456" s="67"/>
      <c r="TSC456" s="67"/>
      <c r="TSD456" s="67"/>
      <c r="TSE456" s="67"/>
      <c r="TSF456" s="67"/>
      <c r="TSG456" s="67"/>
      <c r="TSH456" s="67"/>
      <c r="TSI456" s="67"/>
      <c r="TSJ456" s="67"/>
      <c r="TSK456" s="67"/>
      <c r="TSL456" s="67"/>
      <c r="TSM456" s="67"/>
      <c r="TSN456" s="67"/>
      <c r="TSO456" s="67"/>
      <c r="TSP456" s="67"/>
      <c r="TSQ456" s="67"/>
      <c r="TSR456" s="67"/>
      <c r="TSS456" s="67"/>
      <c r="TST456" s="67"/>
      <c r="TSU456" s="67"/>
      <c r="TSV456" s="67"/>
      <c r="TSW456" s="67"/>
      <c r="TSX456" s="67"/>
      <c r="TSY456" s="67"/>
      <c r="TSZ456" s="67"/>
      <c r="TTA456" s="67"/>
      <c r="TTB456" s="67"/>
      <c r="TTC456" s="67"/>
      <c r="TTD456" s="67"/>
      <c r="TTE456" s="67"/>
      <c r="TTF456" s="67"/>
      <c r="TTG456" s="67"/>
      <c r="TTH456" s="67"/>
      <c r="TTI456" s="67"/>
      <c r="TTJ456" s="67"/>
      <c r="TTK456" s="67"/>
      <c r="TTL456" s="67"/>
      <c r="TTM456" s="67"/>
      <c r="TTN456" s="67"/>
      <c r="TTO456" s="67"/>
      <c r="TTP456" s="67"/>
      <c r="TTQ456" s="67"/>
      <c r="TTR456" s="67"/>
      <c r="TTS456" s="67"/>
      <c r="TTT456" s="67"/>
      <c r="TTU456" s="67"/>
      <c r="TTV456" s="67"/>
      <c r="TTW456" s="67"/>
      <c r="TTX456" s="67"/>
      <c r="TTY456" s="67"/>
      <c r="TTZ456" s="67"/>
      <c r="TUA456" s="67"/>
      <c r="TUB456" s="67"/>
      <c r="TUC456" s="67"/>
      <c r="TUD456" s="67"/>
      <c r="TUE456" s="67"/>
      <c r="TUF456" s="67"/>
      <c r="TUG456" s="67"/>
      <c r="TUH456" s="67"/>
      <c r="TUI456" s="67"/>
      <c r="TUJ456" s="67"/>
      <c r="TUK456" s="67"/>
      <c r="TUL456" s="67"/>
      <c r="TUM456" s="67"/>
      <c r="TUN456" s="67"/>
      <c r="TUO456" s="67"/>
      <c r="TUP456" s="67"/>
      <c r="TUQ456" s="67"/>
      <c r="TUR456" s="67"/>
      <c r="TUS456" s="67"/>
      <c r="TUT456" s="67"/>
      <c r="TUU456" s="67"/>
      <c r="TUV456" s="67"/>
      <c r="TUW456" s="67"/>
      <c r="TUX456" s="67"/>
      <c r="TUY456" s="67"/>
      <c r="TUZ456" s="67"/>
      <c r="TVA456" s="67"/>
      <c r="TVB456" s="67"/>
      <c r="TVC456" s="67"/>
      <c r="TVD456" s="67"/>
      <c r="TVE456" s="67"/>
      <c r="TVF456" s="67"/>
      <c r="TVG456" s="67"/>
      <c r="TVH456" s="67"/>
      <c r="TVI456" s="67"/>
      <c r="TVJ456" s="67"/>
      <c r="TVK456" s="67"/>
      <c r="TVL456" s="67"/>
      <c r="TVM456" s="67"/>
      <c r="TVN456" s="67"/>
      <c r="TVO456" s="67"/>
      <c r="TVP456" s="67"/>
      <c r="TVQ456" s="67"/>
      <c r="TVR456" s="67"/>
      <c r="TVS456" s="67"/>
      <c r="TVT456" s="67"/>
      <c r="TVU456" s="67"/>
      <c r="TVV456" s="67"/>
      <c r="TVW456" s="67"/>
      <c r="TVX456" s="67"/>
      <c r="TVY456" s="67"/>
      <c r="TVZ456" s="67"/>
      <c r="TWA456" s="67"/>
      <c r="TWB456" s="67"/>
      <c r="TWC456" s="67"/>
      <c r="TWD456" s="67"/>
      <c r="TWE456" s="67"/>
      <c r="TWF456" s="67"/>
      <c r="TWG456" s="67"/>
      <c r="TWH456" s="67"/>
      <c r="TWI456" s="67"/>
      <c r="TWJ456" s="67"/>
      <c r="TWK456" s="67"/>
      <c r="TWL456" s="67"/>
      <c r="TWM456" s="67"/>
      <c r="TWN456" s="67"/>
      <c r="TWO456" s="67"/>
      <c r="TWP456" s="67"/>
      <c r="TWQ456" s="67"/>
      <c r="TWR456" s="67"/>
      <c r="TWS456" s="67"/>
      <c r="TWT456" s="67"/>
      <c r="TWU456" s="67"/>
      <c r="TWV456" s="67"/>
      <c r="TWW456" s="67"/>
      <c r="TWX456" s="67"/>
      <c r="TWY456" s="67"/>
      <c r="TWZ456" s="67"/>
      <c r="TXA456" s="67"/>
      <c r="TXB456" s="67"/>
      <c r="TXC456" s="67"/>
      <c r="TXD456" s="67"/>
      <c r="TXE456" s="67"/>
      <c r="TXF456" s="67"/>
      <c r="TXG456" s="67"/>
      <c r="TXH456" s="67"/>
      <c r="TXI456" s="67"/>
      <c r="TXJ456" s="67"/>
      <c r="TXK456" s="67"/>
      <c r="TXL456" s="67"/>
      <c r="TXM456" s="67"/>
      <c r="TXN456" s="67"/>
      <c r="TXO456" s="67"/>
      <c r="TXP456" s="67"/>
      <c r="TXQ456" s="67"/>
      <c r="TXR456" s="67"/>
      <c r="TXS456" s="67"/>
      <c r="TXT456" s="67"/>
      <c r="TXU456" s="67"/>
      <c r="TXV456" s="67"/>
      <c r="TXW456" s="67"/>
      <c r="TXX456" s="67"/>
      <c r="TXY456" s="67"/>
      <c r="TXZ456" s="67"/>
      <c r="TYA456" s="67"/>
      <c r="TYB456" s="67"/>
      <c r="TYC456" s="67"/>
      <c r="TYD456" s="67"/>
      <c r="TYE456" s="67"/>
      <c r="TYF456" s="67"/>
      <c r="TYG456" s="67"/>
      <c r="TYH456" s="67"/>
      <c r="TYI456" s="67"/>
      <c r="TYJ456" s="67"/>
      <c r="TYK456" s="67"/>
      <c r="TYL456" s="67"/>
      <c r="TYM456" s="67"/>
      <c r="TYN456" s="67"/>
      <c r="TYO456" s="67"/>
      <c r="TYP456" s="67"/>
      <c r="TYQ456" s="67"/>
      <c r="TYR456" s="67"/>
      <c r="TYS456" s="67"/>
      <c r="TYT456" s="67"/>
      <c r="TYU456" s="67"/>
      <c r="TYV456" s="67"/>
      <c r="TYW456" s="67"/>
      <c r="TYX456" s="67"/>
      <c r="TYY456" s="67"/>
      <c r="TYZ456" s="67"/>
      <c r="TZA456" s="67"/>
      <c r="TZB456" s="67"/>
      <c r="TZC456" s="67"/>
      <c r="TZD456" s="67"/>
      <c r="TZE456" s="67"/>
      <c r="TZF456" s="67"/>
      <c r="TZG456" s="67"/>
      <c r="TZH456" s="67"/>
      <c r="TZI456" s="67"/>
      <c r="TZJ456" s="67"/>
      <c r="TZK456" s="67"/>
      <c r="TZL456" s="67"/>
      <c r="TZM456" s="67"/>
      <c r="TZN456" s="67"/>
      <c r="TZO456" s="67"/>
      <c r="TZP456" s="67"/>
      <c r="TZQ456" s="67"/>
      <c r="TZR456" s="67"/>
      <c r="TZS456" s="67"/>
      <c r="TZT456" s="67"/>
      <c r="TZU456" s="67"/>
      <c r="TZV456" s="67"/>
      <c r="TZW456" s="67"/>
      <c r="TZX456" s="67"/>
      <c r="TZY456" s="67"/>
      <c r="TZZ456" s="67"/>
      <c r="UAA456" s="67"/>
      <c r="UAB456" s="67"/>
      <c r="UAC456" s="67"/>
      <c r="UAD456" s="67"/>
      <c r="UAE456" s="67"/>
      <c r="UAF456" s="67"/>
      <c r="UAG456" s="67"/>
      <c r="UAH456" s="67"/>
      <c r="UAI456" s="67"/>
      <c r="UAJ456" s="67"/>
      <c r="UAK456" s="67"/>
      <c r="UAL456" s="67"/>
      <c r="UAM456" s="67"/>
      <c r="UAN456" s="67"/>
      <c r="UAO456" s="67"/>
      <c r="UAP456" s="67"/>
      <c r="UAQ456" s="67"/>
      <c r="UAR456" s="67"/>
      <c r="UAS456" s="67"/>
      <c r="UAT456" s="67"/>
      <c r="UAU456" s="67"/>
      <c r="UAV456" s="67"/>
      <c r="UAW456" s="67"/>
      <c r="UAX456" s="67"/>
      <c r="UAY456" s="67"/>
      <c r="UAZ456" s="67"/>
      <c r="UBA456" s="67"/>
      <c r="UBB456" s="67"/>
      <c r="UBC456" s="67"/>
      <c r="UBD456" s="67"/>
      <c r="UBE456" s="67"/>
      <c r="UBF456" s="67"/>
      <c r="UBG456" s="67"/>
      <c r="UBH456" s="67"/>
      <c r="UBI456" s="67"/>
      <c r="UBJ456" s="67"/>
      <c r="UBK456" s="67"/>
      <c r="UBL456" s="67"/>
      <c r="UBM456" s="67"/>
      <c r="UBN456" s="67"/>
      <c r="UBO456" s="67"/>
      <c r="UBP456" s="67"/>
      <c r="UBQ456" s="67"/>
      <c r="UBR456" s="67"/>
      <c r="UBS456" s="67"/>
      <c r="UBT456" s="67"/>
      <c r="UBU456" s="67"/>
      <c r="UBV456" s="67"/>
      <c r="UBW456" s="67"/>
      <c r="UBX456" s="67"/>
      <c r="UBY456" s="67"/>
      <c r="UBZ456" s="67"/>
      <c r="UCA456" s="67"/>
      <c r="UCB456" s="67"/>
      <c r="UCC456" s="67"/>
      <c r="UCD456" s="67"/>
      <c r="UCE456" s="67"/>
      <c r="UCF456" s="67"/>
      <c r="UCG456" s="67"/>
      <c r="UCH456" s="67"/>
      <c r="UCI456" s="67"/>
      <c r="UCJ456" s="67"/>
      <c r="UCK456" s="67"/>
      <c r="UCL456" s="67"/>
      <c r="UCM456" s="67"/>
      <c r="UCN456" s="67"/>
      <c r="UCO456" s="67"/>
      <c r="UCP456" s="67"/>
      <c r="UCQ456" s="67"/>
      <c r="UCR456" s="67"/>
      <c r="UCS456" s="67"/>
      <c r="UCT456" s="67"/>
      <c r="UCU456" s="67"/>
      <c r="UCV456" s="67"/>
      <c r="UCW456" s="67"/>
      <c r="UCX456" s="67"/>
      <c r="UCY456" s="67"/>
      <c r="UCZ456" s="67"/>
      <c r="UDA456" s="67"/>
      <c r="UDB456" s="67"/>
      <c r="UDC456" s="67"/>
      <c r="UDD456" s="67"/>
      <c r="UDE456" s="67"/>
      <c r="UDF456" s="67"/>
      <c r="UDG456" s="67"/>
      <c r="UDH456" s="67"/>
      <c r="UDI456" s="67"/>
      <c r="UDJ456" s="67"/>
      <c r="UDK456" s="67"/>
      <c r="UDL456" s="67"/>
      <c r="UDM456" s="67"/>
      <c r="UDN456" s="67"/>
      <c r="UDO456" s="67"/>
      <c r="UDP456" s="67"/>
      <c r="UDQ456" s="67"/>
      <c r="UDR456" s="67"/>
      <c r="UDS456" s="67"/>
      <c r="UDT456" s="67"/>
      <c r="UDU456" s="67"/>
      <c r="UDV456" s="67"/>
      <c r="UDW456" s="67"/>
      <c r="UDX456" s="67"/>
      <c r="UDY456" s="67"/>
      <c r="UDZ456" s="67"/>
      <c r="UEA456" s="67"/>
      <c r="UEB456" s="67"/>
      <c r="UEC456" s="67"/>
      <c r="UED456" s="67"/>
      <c r="UEE456" s="67"/>
      <c r="UEF456" s="67"/>
      <c r="UEG456" s="67"/>
      <c r="UEH456" s="67"/>
      <c r="UEI456" s="67"/>
      <c r="UEJ456" s="67"/>
      <c r="UEK456" s="67"/>
      <c r="UEL456" s="67"/>
      <c r="UEM456" s="67"/>
      <c r="UEN456" s="67"/>
      <c r="UEO456" s="67"/>
      <c r="UEP456" s="67"/>
      <c r="UEQ456" s="67"/>
      <c r="UER456" s="67"/>
      <c r="UES456" s="67"/>
      <c r="UET456" s="67"/>
      <c r="UEU456" s="67"/>
      <c r="UEV456" s="67"/>
      <c r="UEW456" s="67"/>
      <c r="UEX456" s="67"/>
      <c r="UEY456" s="67"/>
      <c r="UEZ456" s="67"/>
      <c r="UFA456" s="67"/>
      <c r="UFB456" s="67"/>
      <c r="UFC456" s="67"/>
      <c r="UFD456" s="67"/>
      <c r="UFE456" s="67"/>
      <c r="UFF456" s="67"/>
      <c r="UFG456" s="67"/>
      <c r="UFH456" s="67"/>
      <c r="UFI456" s="67"/>
      <c r="UFJ456" s="67"/>
      <c r="UFK456" s="67"/>
      <c r="UFL456" s="67"/>
      <c r="UFM456" s="67"/>
      <c r="UFN456" s="67"/>
      <c r="UFO456" s="67"/>
      <c r="UFP456" s="67"/>
      <c r="UFQ456" s="67"/>
      <c r="UFR456" s="67"/>
      <c r="UFS456" s="67"/>
      <c r="UFT456" s="67"/>
      <c r="UFU456" s="67"/>
      <c r="UFV456" s="67"/>
      <c r="UFW456" s="67"/>
      <c r="UFX456" s="67"/>
      <c r="UFY456" s="67"/>
      <c r="UFZ456" s="67"/>
      <c r="UGA456" s="67"/>
      <c r="UGB456" s="67"/>
      <c r="UGC456" s="67"/>
      <c r="UGD456" s="67"/>
      <c r="UGE456" s="67"/>
      <c r="UGF456" s="67"/>
      <c r="UGG456" s="67"/>
      <c r="UGH456" s="67"/>
      <c r="UGI456" s="67"/>
      <c r="UGJ456" s="67"/>
      <c r="UGK456" s="67"/>
      <c r="UGL456" s="67"/>
      <c r="UGM456" s="67"/>
      <c r="UGN456" s="67"/>
      <c r="UGO456" s="67"/>
      <c r="UGP456" s="67"/>
      <c r="UGQ456" s="67"/>
      <c r="UGR456" s="67"/>
      <c r="UGS456" s="67"/>
      <c r="UGT456" s="67"/>
      <c r="UGU456" s="67"/>
      <c r="UGV456" s="67"/>
      <c r="UGW456" s="67"/>
      <c r="UGX456" s="67"/>
      <c r="UGY456" s="67"/>
      <c r="UGZ456" s="67"/>
      <c r="UHA456" s="67"/>
      <c r="UHB456" s="67"/>
      <c r="UHC456" s="67"/>
      <c r="UHD456" s="67"/>
      <c r="UHE456" s="67"/>
      <c r="UHF456" s="67"/>
      <c r="UHG456" s="67"/>
      <c r="UHH456" s="67"/>
      <c r="UHI456" s="67"/>
      <c r="UHJ456" s="67"/>
      <c r="UHK456" s="67"/>
      <c r="UHL456" s="67"/>
      <c r="UHM456" s="67"/>
      <c r="UHN456" s="67"/>
      <c r="UHO456" s="67"/>
      <c r="UHP456" s="67"/>
      <c r="UHQ456" s="67"/>
      <c r="UHR456" s="67"/>
      <c r="UHS456" s="67"/>
      <c r="UHT456" s="67"/>
      <c r="UHU456" s="67"/>
      <c r="UHV456" s="67"/>
      <c r="UHW456" s="67"/>
      <c r="UHX456" s="67"/>
      <c r="UHY456" s="67"/>
      <c r="UHZ456" s="67"/>
      <c r="UIA456" s="67"/>
      <c r="UIB456" s="67"/>
      <c r="UIC456" s="67"/>
      <c r="UID456" s="67"/>
      <c r="UIE456" s="67"/>
      <c r="UIF456" s="67"/>
      <c r="UIG456" s="67"/>
      <c r="UIH456" s="67"/>
      <c r="UII456" s="67"/>
      <c r="UIJ456" s="67"/>
      <c r="UIK456" s="67"/>
      <c r="UIL456" s="67"/>
      <c r="UIM456" s="67"/>
      <c r="UIN456" s="67"/>
      <c r="UIO456" s="67"/>
      <c r="UIP456" s="67"/>
      <c r="UIQ456" s="67"/>
      <c r="UIR456" s="67"/>
      <c r="UIS456" s="67"/>
      <c r="UIT456" s="67"/>
      <c r="UIU456" s="67"/>
      <c r="UIV456" s="67"/>
      <c r="UIW456" s="67"/>
      <c r="UIX456" s="67"/>
      <c r="UIY456" s="67"/>
      <c r="UIZ456" s="67"/>
      <c r="UJA456" s="67"/>
      <c r="UJB456" s="67"/>
      <c r="UJC456" s="67"/>
      <c r="UJD456" s="67"/>
      <c r="UJE456" s="67"/>
      <c r="UJF456" s="67"/>
      <c r="UJG456" s="67"/>
      <c r="UJH456" s="67"/>
      <c r="UJI456" s="67"/>
      <c r="UJJ456" s="67"/>
      <c r="UJK456" s="67"/>
      <c r="UJL456" s="67"/>
      <c r="UJM456" s="67"/>
      <c r="UJN456" s="67"/>
      <c r="UJO456" s="67"/>
      <c r="UJP456" s="67"/>
      <c r="UJQ456" s="67"/>
      <c r="UJR456" s="67"/>
      <c r="UJS456" s="67"/>
      <c r="UJT456" s="67"/>
      <c r="UJU456" s="67"/>
      <c r="UJV456" s="67"/>
      <c r="UJW456" s="67"/>
      <c r="UJX456" s="67"/>
      <c r="UJY456" s="67"/>
      <c r="UJZ456" s="67"/>
      <c r="UKA456" s="67"/>
      <c r="UKB456" s="67"/>
      <c r="UKC456" s="67"/>
      <c r="UKD456" s="67"/>
      <c r="UKE456" s="67"/>
      <c r="UKF456" s="67"/>
      <c r="UKG456" s="67"/>
      <c r="UKH456" s="67"/>
      <c r="UKI456" s="67"/>
      <c r="UKJ456" s="67"/>
      <c r="UKK456" s="67"/>
      <c r="UKL456" s="67"/>
      <c r="UKM456" s="67"/>
      <c r="UKN456" s="67"/>
      <c r="UKO456" s="67"/>
      <c r="UKP456" s="67"/>
      <c r="UKQ456" s="67"/>
      <c r="UKR456" s="67"/>
      <c r="UKS456" s="67"/>
      <c r="UKT456" s="67"/>
      <c r="UKU456" s="67"/>
      <c r="UKV456" s="67"/>
      <c r="UKW456" s="67"/>
      <c r="UKX456" s="67"/>
      <c r="UKY456" s="67"/>
      <c r="UKZ456" s="67"/>
      <c r="ULA456" s="67"/>
      <c r="ULB456" s="67"/>
      <c r="ULC456" s="67"/>
      <c r="ULD456" s="67"/>
      <c r="ULE456" s="67"/>
      <c r="ULF456" s="67"/>
      <c r="ULG456" s="67"/>
      <c r="ULH456" s="67"/>
      <c r="ULI456" s="67"/>
      <c r="ULJ456" s="67"/>
      <c r="ULK456" s="67"/>
      <c r="ULL456" s="67"/>
      <c r="ULM456" s="67"/>
      <c r="ULN456" s="67"/>
      <c r="ULO456" s="67"/>
      <c r="ULP456" s="67"/>
      <c r="ULQ456" s="67"/>
      <c r="ULR456" s="67"/>
      <c r="ULS456" s="67"/>
      <c r="ULT456" s="67"/>
      <c r="ULU456" s="67"/>
      <c r="ULV456" s="67"/>
      <c r="ULW456" s="67"/>
      <c r="ULX456" s="67"/>
      <c r="ULY456" s="67"/>
      <c r="ULZ456" s="67"/>
      <c r="UMA456" s="67"/>
      <c r="UMB456" s="67"/>
      <c r="UMC456" s="67"/>
      <c r="UMD456" s="67"/>
      <c r="UME456" s="67"/>
      <c r="UMF456" s="67"/>
      <c r="UMG456" s="67"/>
      <c r="UMH456" s="67"/>
      <c r="UMI456" s="67"/>
      <c r="UMJ456" s="67"/>
      <c r="UMK456" s="67"/>
      <c r="UML456" s="67"/>
      <c r="UMM456" s="67"/>
      <c r="UMN456" s="67"/>
      <c r="UMO456" s="67"/>
      <c r="UMP456" s="67"/>
      <c r="UMQ456" s="67"/>
      <c r="UMR456" s="67"/>
      <c r="UMS456" s="67"/>
      <c r="UMT456" s="67"/>
      <c r="UMU456" s="67"/>
      <c r="UMV456" s="67"/>
      <c r="UMW456" s="67"/>
      <c r="UMX456" s="67"/>
      <c r="UMY456" s="67"/>
      <c r="UMZ456" s="67"/>
      <c r="UNA456" s="67"/>
      <c r="UNB456" s="67"/>
      <c r="UNC456" s="67"/>
      <c r="UND456" s="67"/>
      <c r="UNE456" s="67"/>
      <c r="UNF456" s="67"/>
      <c r="UNG456" s="67"/>
      <c r="UNH456" s="67"/>
      <c r="UNI456" s="67"/>
      <c r="UNJ456" s="67"/>
      <c r="UNK456" s="67"/>
      <c r="UNL456" s="67"/>
      <c r="UNM456" s="67"/>
      <c r="UNN456" s="67"/>
      <c r="UNO456" s="67"/>
      <c r="UNP456" s="67"/>
      <c r="UNQ456" s="67"/>
      <c r="UNR456" s="67"/>
      <c r="UNS456" s="67"/>
      <c r="UNT456" s="67"/>
      <c r="UNU456" s="67"/>
      <c r="UNV456" s="67"/>
      <c r="UNW456" s="67"/>
      <c r="UNX456" s="67"/>
      <c r="UNY456" s="67"/>
      <c r="UNZ456" s="67"/>
      <c r="UOA456" s="67"/>
      <c r="UOB456" s="67"/>
      <c r="UOC456" s="67"/>
      <c r="UOD456" s="67"/>
      <c r="UOE456" s="67"/>
      <c r="UOF456" s="67"/>
      <c r="UOG456" s="67"/>
      <c r="UOH456" s="67"/>
      <c r="UOI456" s="67"/>
      <c r="UOJ456" s="67"/>
      <c r="UOK456" s="67"/>
      <c r="UOL456" s="67"/>
      <c r="UOM456" s="67"/>
      <c r="UON456" s="67"/>
      <c r="UOO456" s="67"/>
      <c r="UOP456" s="67"/>
      <c r="UOQ456" s="67"/>
      <c r="UOR456" s="67"/>
      <c r="UOS456" s="67"/>
      <c r="UOT456" s="67"/>
      <c r="UOU456" s="67"/>
      <c r="UOV456" s="67"/>
      <c r="UOW456" s="67"/>
      <c r="UOX456" s="67"/>
      <c r="UOY456" s="67"/>
      <c r="UOZ456" s="67"/>
      <c r="UPA456" s="67"/>
      <c r="UPB456" s="67"/>
      <c r="UPC456" s="67"/>
      <c r="UPD456" s="67"/>
      <c r="UPE456" s="67"/>
      <c r="UPF456" s="67"/>
      <c r="UPG456" s="67"/>
      <c r="UPH456" s="67"/>
      <c r="UPI456" s="67"/>
      <c r="UPJ456" s="67"/>
      <c r="UPK456" s="67"/>
      <c r="UPL456" s="67"/>
      <c r="UPM456" s="67"/>
      <c r="UPN456" s="67"/>
      <c r="UPO456" s="67"/>
      <c r="UPP456" s="67"/>
      <c r="UPQ456" s="67"/>
      <c r="UPR456" s="67"/>
      <c r="UPS456" s="67"/>
      <c r="UPT456" s="67"/>
      <c r="UPU456" s="67"/>
      <c r="UPV456" s="67"/>
      <c r="UPW456" s="67"/>
      <c r="UPX456" s="67"/>
      <c r="UPY456" s="67"/>
      <c r="UPZ456" s="67"/>
      <c r="UQA456" s="67"/>
      <c r="UQB456" s="67"/>
      <c r="UQC456" s="67"/>
      <c r="UQD456" s="67"/>
      <c r="UQE456" s="67"/>
      <c r="UQF456" s="67"/>
      <c r="UQG456" s="67"/>
      <c r="UQH456" s="67"/>
      <c r="UQI456" s="67"/>
      <c r="UQJ456" s="67"/>
      <c r="UQK456" s="67"/>
      <c r="UQL456" s="67"/>
      <c r="UQM456" s="67"/>
      <c r="UQN456" s="67"/>
      <c r="UQO456" s="67"/>
      <c r="UQP456" s="67"/>
      <c r="UQQ456" s="67"/>
      <c r="UQR456" s="67"/>
      <c r="UQS456" s="67"/>
      <c r="UQT456" s="67"/>
      <c r="UQU456" s="67"/>
      <c r="UQV456" s="67"/>
      <c r="UQW456" s="67"/>
      <c r="UQX456" s="67"/>
      <c r="UQY456" s="67"/>
      <c r="UQZ456" s="67"/>
      <c r="URA456" s="67"/>
      <c r="URB456" s="67"/>
      <c r="URC456" s="67"/>
      <c r="URD456" s="67"/>
      <c r="URE456" s="67"/>
      <c r="URF456" s="67"/>
      <c r="URG456" s="67"/>
      <c r="URH456" s="67"/>
      <c r="URI456" s="67"/>
      <c r="URJ456" s="67"/>
      <c r="URK456" s="67"/>
      <c r="URL456" s="67"/>
      <c r="URM456" s="67"/>
      <c r="URN456" s="67"/>
      <c r="URO456" s="67"/>
      <c r="URP456" s="67"/>
      <c r="URQ456" s="67"/>
      <c r="URR456" s="67"/>
      <c r="URS456" s="67"/>
      <c r="URT456" s="67"/>
      <c r="URU456" s="67"/>
      <c r="URV456" s="67"/>
      <c r="URW456" s="67"/>
      <c r="URX456" s="67"/>
      <c r="URY456" s="67"/>
      <c r="URZ456" s="67"/>
      <c r="USA456" s="67"/>
      <c r="USB456" s="67"/>
      <c r="USC456" s="67"/>
      <c r="USD456" s="67"/>
      <c r="USE456" s="67"/>
      <c r="USF456" s="67"/>
      <c r="USG456" s="67"/>
      <c r="USH456" s="67"/>
      <c r="USI456" s="67"/>
      <c r="USJ456" s="67"/>
      <c r="USK456" s="67"/>
      <c r="USL456" s="67"/>
      <c r="USM456" s="67"/>
      <c r="USN456" s="67"/>
      <c r="USO456" s="67"/>
      <c r="USP456" s="67"/>
      <c r="USQ456" s="67"/>
      <c r="USR456" s="67"/>
      <c r="USS456" s="67"/>
      <c r="UST456" s="67"/>
      <c r="USU456" s="67"/>
      <c r="USV456" s="67"/>
      <c r="USW456" s="67"/>
      <c r="USX456" s="67"/>
      <c r="USY456" s="67"/>
      <c r="USZ456" s="67"/>
      <c r="UTA456" s="67"/>
      <c r="UTB456" s="67"/>
      <c r="UTC456" s="67"/>
      <c r="UTD456" s="67"/>
      <c r="UTE456" s="67"/>
      <c r="UTF456" s="67"/>
      <c r="UTG456" s="67"/>
      <c r="UTH456" s="67"/>
      <c r="UTI456" s="67"/>
      <c r="UTJ456" s="67"/>
      <c r="UTK456" s="67"/>
      <c r="UTL456" s="67"/>
      <c r="UTM456" s="67"/>
      <c r="UTN456" s="67"/>
      <c r="UTO456" s="67"/>
      <c r="UTP456" s="67"/>
      <c r="UTQ456" s="67"/>
      <c r="UTR456" s="67"/>
      <c r="UTS456" s="67"/>
      <c r="UTT456" s="67"/>
      <c r="UTU456" s="67"/>
      <c r="UTV456" s="67"/>
      <c r="UTW456" s="67"/>
      <c r="UTX456" s="67"/>
      <c r="UTY456" s="67"/>
      <c r="UTZ456" s="67"/>
      <c r="UUA456" s="67"/>
      <c r="UUB456" s="67"/>
      <c r="UUC456" s="67"/>
      <c r="UUD456" s="67"/>
      <c r="UUE456" s="67"/>
      <c r="UUF456" s="67"/>
      <c r="UUG456" s="67"/>
      <c r="UUH456" s="67"/>
      <c r="UUI456" s="67"/>
      <c r="UUJ456" s="67"/>
      <c r="UUK456" s="67"/>
      <c r="UUL456" s="67"/>
      <c r="UUM456" s="67"/>
      <c r="UUN456" s="67"/>
      <c r="UUO456" s="67"/>
      <c r="UUP456" s="67"/>
      <c r="UUQ456" s="67"/>
      <c r="UUR456" s="67"/>
      <c r="UUS456" s="67"/>
      <c r="UUT456" s="67"/>
      <c r="UUU456" s="67"/>
      <c r="UUV456" s="67"/>
      <c r="UUW456" s="67"/>
      <c r="UUX456" s="67"/>
      <c r="UUY456" s="67"/>
      <c r="UUZ456" s="67"/>
      <c r="UVA456" s="67"/>
      <c r="UVB456" s="67"/>
      <c r="UVC456" s="67"/>
      <c r="UVD456" s="67"/>
      <c r="UVE456" s="67"/>
      <c r="UVF456" s="67"/>
      <c r="UVG456" s="67"/>
      <c r="UVH456" s="67"/>
      <c r="UVI456" s="67"/>
      <c r="UVJ456" s="67"/>
      <c r="UVK456" s="67"/>
      <c r="UVL456" s="67"/>
      <c r="UVM456" s="67"/>
      <c r="UVN456" s="67"/>
      <c r="UVO456" s="67"/>
      <c r="UVP456" s="67"/>
      <c r="UVQ456" s="67"/>
      <c r="UVR456" s="67"/>
      <c r="UVS456" s="67"/>
      <c r="UVT456" s="67"/>
      <c r="UVU456" s="67"/>
      <c r="UVV456" s="67"/>
      <c r="UVW456" s="67"/>
      <c r="UVX456" s="67"/>
      <c r="UVY456" s="67"/>
      <c r="UVZ456" s="67"/>
      <c r="UWA456" s="67"/>
      <c r="UWB456" s="67"/>
      <c r="UWC456" s="67"/>
      <c r="UWD456" s="67"/>
      <c r="UWE456" s="67"/>
      <c r="UWF456" s="67"/>
      <c r="UWG456" s="67"/>
      <c r="UWH456" s="67"/>
      <c r="UWI456" s="67"/>
      <c r="UWJ456" s="67"/>
      <c r="UWK456" s="67"/>
      <c r="UWL456" s="67"/>
      <c r="UWM456" s="67"/>
      <c r="UWN456" s="67"/>
      <c r="UWO456" s="67"/>
      <c r="UWP456" s="67"/>
      <c r="UWQ456" s="67"/>
      <c r="UWR456" s="67"/>
      <c r="UWS456" s="67"/>
      <c r="UWT456" s="67"/>
      <c r="UWU456" s="67"/>
      <c r="UWV456" s="67"/>
      <c r="UWW456" s="67"/>
      <c r="UWX456" s="67"/>
      <c r="UWY456" s="67"/>
      <c r="UWZ456" s="67"/>
      <c r="UXA456" s="67"/>
      <c r="UXB456" s="67"/>
      <c r="UXC456" s="67"/>
      <c r="UXD456" s="67"/>
      <c r="UXE456" s="67"/>
      <c r="UXF456" s="67"/>
      <c r="UXG456" s="67"/>
      <c r="UXH456" s="67"/>
      <c r="UXI456" s="67"/>
      <c r="UXJ456" s="67"/>
      <c r="UXK456" s="67"/>
      <c r="UXL456" s="67"/>
      <c r="UXM456" s="67"/>
      <c r="UXN456" s="67"/>
      <c r="UXO456" s="67"/>
      <c r="UXP456" s="67"/>
      <c r="UXQ456" s="67"/>
      <c r="UXR456" s="67"/>
      <c r="UXS456" s="67"/>
      <c r="UXT456" s="67"/>
      <c r="UXU456" s="67"/>
      <c r="UXV456" s="67"/>
      <c r="UXW456" s="67"/>
      <c r="UXX456" s="67"/>
      <c r="UXY456" s="67"/>
      <c r="UXZ456" s="67"/>
      <c r="UYA456" s="67"/>
      <c r="UYB456" s="67"/>
      <c r="UYC456" s="67"/>
      <c r="UYD456" s="67"/>
      <c r="UYE456" s="67"/>
      <c r="UYF456" s="67"/>
      <c r="UYG456" s="67"/>
      <c r="UYH456" s="67"/>
      <c r="UYI456" s="67"/>
      <c r="UYJ456" s="67"/>
      <c r="UYK456" s="67"/>
      <c r="UYL456" s="67"/>
      <c r="UYM456" s="67"/>
      <c r="UYN456" s="67"/>
      <c r="UYO456" s="67"/>
      <c r="UYP456" s="67"/>
      <c r="UYQ456" s="67"/>
      <c r="UYR456" s="67"/>
      <c r="UYS456" s="67"/>
      <c r="UYT456" s="67"/>
      <c r="UYU456" s="67"/>
      <c r="UYV456" s="67"/>
      <c r="UYW456" s="67"/>
      <c r="UYX456" s="67"/>
      <c r="UYY456" s="67"/>
      <c r="UYZ456" s="67"/>
      <c r="UZA456" s="67"/>
      <c r="UZB456" s="67"/>
      <c r="UZC456" s="67"/>
      <c r="UZD456" s="67"/>
      <c r="UZE456" s="67"/>
      <c r="UZF456" s="67"/>
      <c r="UZG456" s="67"/>
      <c r="UZH456" s="67"/>
      <c r="UZI456" s="67"/>
      <c r="UZJ456" s="67"/>
      <c r="UZK456" s="67"/>
      <c r="UZL456" s="67"/>
      <c r="UZM456" s="67"/>
      <c r="UZN456" s="67"/>
      <c r="UZO456" s="67"/>
      <c r="UZP456" s="67"/>
      <c r="UZQ456" s="67"/>
      <c r="UZR456" s="67"/>
      <c r="UZS456" s="67"/>
      <c r="UZT456" s="67"/>
      <c r="UZU456" s="67"/>
      <c r="UZV456" s="67"/>
      <c r="UZW456" s="67"/>
      <c r="UZX456" s="67"/>
      <c r="UZY456" s="67"/>
      <c r="UZZ456" s="67"/>
      <c r="VAA456" s="67"/>
      <c r="VAB456" s="67"/>
      <c r="VAC456" s="67"/>
      <c r="VAD456" s="67"/>
      <c r="VAE456" s="67"/>
      <c r="VAF456" s="67"/>
      <c r="VAG456" s="67"/>
      <c r="VAH456" s="67"/>
      <c r="VAI456" s="67"/>
      <c r="VAJ456" s="67"/>
      <c r="VAK456" s="67"/>
      <c r="VAL456" s="67"/>
      <c r="VAM456" s="67"/>
      <c r="VAN456" s="67"/>
      <c r="VAO456" s="67"/>
      <c r="VAP456" s="67"/>
      <c r="VAQ456" s="67"/>
      <c r="VAR456" s="67"/>
      <c r="VAS456" s="67"/>
      <c r="VAT456" s="67"/>
      <c r="VAU456" s="67"/>
      <c r="VAV456" s="67"/>
      <c r="VAW456" s="67"/>
      <c r="VAX456" s="67"/>
      <c r="VAY456" s="67"/>
      <c r="VAZ456" s="67"/>
      <c r="VBA456" s="67"/>
      <c r="VBB456" s="67"/>
      <c r="VBC456" s="67"/>
      <c r="VBD456" s="67"/>
      <c r="VBE456" s="67"/>
      <c r="VBF456" s="67"/>
      <c r="VBG456" s="67"/>
      <c r="VBH456" s="67"/>
      <c r="VBI456" s="67"/>
      <c r="VBJ456" s="67"/>
      <c r="VBK456" s="67"/>
      <c r="VBL456" s="67"/>
      <c r="VBM456" s="67"/>
      <c r="VBN456" s="67"/>
      <c r="VBO456" s="67"/>
      <c r="VBP456" s="67"/>
      <c r="VBQ456" s="67"/>
      <c r="VBR456" s="67"/>
      <c r="VBS456" s="67"/>
      <c r="VBT456" s="67"/>
      <c r="VBU456" s="67"/>
      <c r="VBV456" s="67"/>
      <c r="VBW456" s="67"/>
      <c r="VBX456" s="67"/>
      <c r="VBY456" s="67"/>
      <c r="VBZ456" s="67"/>
      <c r="VCA456" s="67"/>
      <c r="VCB456" s="67"/>
      <c r="VCC456" s="67"/>
      <c r="VCD456" s="67"/>
      <c r="VCE456" s="67"/>
      <c r="VCF456" s="67"/>
      <c r="VCG456" s="67"/>
      <c r="VCH456" s="67"/>
      <c r="VCI456" s="67"/>
      <c r="VCJ456" s="67"/>
      <c r="VCK456" s="67"/>
      <c r="VCL456" s="67"/>
      <c r="VCM456" s="67"/>
      <c r="VCN456" s="67"/>
      <c r="VCO456" s="67"/>
      <c r="VCP456" s="67"/>
      <c r="VCQ456" s="67"/>
      <c r="VCR456" s="67"/>
      <c r="VCS456" s="67"/>
      <c r="VCT456" s="67"/>
      <c r="VCU456" s="67"/>
      <c r="VCV456" s="67"/>
      <c r="VCW456" s="67"/>
      <c r="VCX456" s="67"/>
      <c r="VCY456" s="67"/>
      <c r="VCZ456" s="67"/>
      <c r="VDA456" s="67"/>
      <c r="VDB456" s="67"/>
      <c r="VDC456" s="67"/>
      <c r="VDD456" s="67"/>
      <c r="VDE456" s="67"/>
      <c r="VDF456" s="67"/>
      <c r="VDG456" s="67"/>
      <c r="VDH456" s="67"/>
      <c r="VDI456" s="67"/>
      <c r="VDJ456" s="67"/>
      <c r="VDK456" s="67"/>
      <c r="VDL456" s="67"/>
      <c r="VDM456" s="67"/>
      <c r="VDN456" s="67"/>
      <c r="VDO456" s="67"/>
      <c r="VDP456" s="67"/>
      <c r="VDQ456" s="67"/>
      <c r="VDR456" s="67"/>
      <c r="VDS456" s="67"/>
      <c r="VDT456" s="67"/>
      <c r="VDU456" s="67"/>
      <c r="VDV456" s="67"/>
      <c r="VDW456" s="67"/>
      <c r="VDX456" s="67"/>
      <c r="VDY456" s="67"/>
      <c r="VDZ456" s="67"/>
      <c r="VEA456" s="67"/>
      <c r="VEB456" s="67"/>
      <c r="VEC456" s="67"/>
      <c r="VED456" s="67"/>
      <c r="VEE456" s="67"/>
      <c r="VEF456" s="67"/>
      <c r="VEG456" s="67"/>
      <c r="VEH456" s="67"/>
      <c r="VEI456" s="67"/>
      <c r="VEJ456" s="67"/>
      <c r="VEK456" s="67"/>
      <c r="VEL456" s="67"/>
      <c r="VEM456" s="67"/>
      <c r="VEN456" s="67"/>
      <c r="VEO456" s="67"/>
      <c r="VEP456" s="67"/>
      <c r="VEQ456" s="67"/>
      <c r="VER456" s="67"/>
      <c r="VES456" s="67"/>
      <c r="VET456" s="67"/>
      <c r="VEU456" s="67"/>
      <c r="VEV456" s="67"/>
      <c r="VEW456" s="67"/>
      <c r="VEX456" s="67"/>
      <c r="VEY456" s="67"/>
      <c r="VEZ456" s="67"/>
      <c r="VFA456" s="67"/>
      <c r="VFB456" s="67"/>
      <c r="VFC456" s="67"/>
      <c r="VFD456" s="67"/>
      <c r="VFE456" s="67"/>
      <c r="VFF456" s="67"/>
      <c r="VFG456" s="67"/>
      <c r="VFH456" s="67"/>
      <c r="VFI456" s="67"/>
      <c r="VFJ456" s="67"/>
      <c r="VFK456" s="67"/>
      <c r="VFL456" s="67"/>
      <c r="VFM456" s="67"/>
      <c r="VFN456" s="67"/>
      <c r="VFO456" s="67"/>
      <c r="VFP456" s="67"/>
      <c r="VFQ456" s="67"/>
      <c r="VFR456" s="67"/>
      <c r="VFS456" s="67"/>
      <c r="VFT456" s="67"/>
      <c r="VFU456" s="67"/>
      <c r="VFV456" s="67"/>
      <c r="VFW456" s="67"/>
      <c r="VFX456" s="67"/>
      <c r="VFY456" s="67"/>
      <c r="VFZ456" s="67"/>
      <c r="VGA456" s="67"/>
      <c r="VGB456" s="67"/>
      <c r="VGC456" s="67"/>
      <c r="VGD456" s="67"/>
      <c r="VGE456" s="67"/>
      <c r="VGF456" s="67"/>
      <c r="VGG456" s="67"/>
      <c r="VGH456" s="67"/>
      <c r="VGI456" s="67"/>
      <c r="VGJ456" s="67"/>
      <c r="VGK456" s="67"/>
      <c r="VGL456" s="67"/>
      <c r="VGM456" s="67"/>
      <c r="VGN456" s="67"/>
      <c r="VGO456" s="67"/>
      <c r="VGP456" s="67"/>
      <c r="VGQ456" s="67"/>
      <c r="VGR456" s="67"/>
      <c r="VGS456" s="67"/>
      <c r="VGT456" s="67"/>
      <c r="VGU456" s="67"/>
      <c r="VGV456" s="67"/>
      <c r="VGW456" s="67"/>
      <c r="VGX456" s="67"/>
      <c r="VGY456" s="67"/>
      <c r="VGZ456" s="67"/>
      <c r="VHA456" s="67"/>
      <c r="VHB456" s="67"/>
      <c r="VHC456" s="67"/>
      <c r="VHD456" s="67"/>
      <c r="VHE456" s="67"/>
      <c r="VHF456" s="67"/>
      <c r="VHG456" s="67"/>
      <c r="VHH456" s="67"/>
      <c r="VHI456" s="67"/>
      <c r="VHJ456" s="67"/>
      <c r="VHK456" s="67"/>
      <c r="VHL456" s="67"/>
      <c r="VHM456" s="67"/>
      <c r="VHN456" s="67"/>
      <c r="VHO456" s="67"/>
      <c r="VHP456" s="67"/>
      <c r="VHQ456" s="67"/>
      <c r="VHR456" s="67"/>
      <c r="VHS456" s="67"/>
      <c r="VHT456" s="67"/>
      <c r="VHU456" s="67"/>
      <c r="VHV456" s="67"/>
      <c r="VHW456" s="67"/>
      <c r="VHX456" s="67"/>
      <c r="VHY456" s="67"/>
      <c r="VHZ456" s="67"/>
      <c r="VIA456" s="67"/>
      <c r="VIB456" s="67"/>
      <c r="VIC456" s="67"/>
      <c r="VID456" s="67"/>
      <c r="VIE456" s="67"/>
      <c r="VIF456" s="67"/>
      <c r="VIG456" s="67"/>
      <c r="VIH456" s="67"/>
      <c r="VII456" s="67"/>
      <c r="VIJ456" s="67"/>
      <c r="VIK456" s="67"/>
      <c r="VIL456" s="67"/>
      <c r="VIM456" s="67"/>
      <c r="VIN456" s="67"/>
      <c r="VIO456" s="67"/>
      <c r="VIP456" s="67"/>
      <c r="VIQ456" s="67"/>
      <c r="VIR456" s="67"/>
      <c r="VIS456" s="67"/>
      <c r="VIT456" s="67"/>
      <c r="VIU456" s="67"/>
      <c r="VIV456" s="67"/>
      <c r="VIW456" s="67"/>
      <c r="VIX456" s="67"/>
      <c r="VIY456" s="67"/>
      <c r="VIZ456" s="67"/>
      <c r="VJA456" s="67"/>
      <c r="VJB456" s="67"/>
      <c r="VJC456" s="67"/>
      <c r="VJD456" s="67"/>
      <c r="VJE456" s="67"/>
      <c r="VJF456" s="67"/>
      <c r="VJG456" s="67"/>
      <c r="VJH456" s="67"/>
      <c r="VJI456" s="67"/>
      <c r="VJJ456" s="67"/>
      <c r="VJK456" s="67"/>
      <c r="VJL456" s="67"/>
      <c r="VJM456" s="67"/>
      <c r="VJN456" s="67"/>
      <c r="VJO456" s="67"/>
      <c r="VJP456" s="67"/>
      <c r="VJQ456" s="67"/>
      <c r="VJR456" s="67"/>
      <c r="VJS456" s="67"/>
      <c r="VJT456" s="67"/>
      <c r="VJU456" s="67"/>
      <c r="VJV456" s="67"/>
      <c r="VJW456" s="67"/>
      <c r="VJX456" s="67"/>
      <c r="VJY456" s="67"/>
      <c r="VJZ456" s="67"/>
      <c r="VKA456" s="67"/>
      <c r="VKB456" s="67"/>
      <c r="VKC456" s="67"/>
      <c r="VKD456" s="67"/>
      <c r="VKE456" s="67"/>
      <c r="VKF456" s="67"/>
      <c r="VKG456" s="67"/>
      <c r="VKH456" s="67"/>
      <c r="VKI456" s="67"/>
      <c r="VKJ456" s="67"/>
      <c r="VKK456" s="67"/>
      <c r="VKL456" s="67"/>
      <c r="VKM456" s="67"/>
      <c r="VKN456" s="67"/>
      <c r="VKO456" s="67"/>
      <c r="VKP456" s="67"/>
      <c r="VKQ456" s="67"/>
      <c r="VKR456" s="67"/>
      <c r="VKS456" s="67"/>
      <c r="VKT456" s="67"/>
      <c r="VKU456" s="67"/>
      <c r="VKV456" s="67"/>
      <c r="VKW456" s="67"/>
      <c r="VKX456" s="67"/>
      <c r="VKY456" s="67"/>
      <c r="VKZ456" s="67"/>
      <c r="VLA456" s="67"/>
      <c r="VLB456" s="67"/>
      <c r="VLC456" s="67"/>
      <c r="VLD456" s="67"/>
      <c r="VLE456" s="67"/>
      <c r="VLF456" s="67"/>
      <c r="VLG456" s="67"/>
      <c r="VLH456" s="67"/>
      <c r="VLI456" s="67"/>
      <c r="VLJ456" s="67"/>
      <c r="VLK456" s="67"/>
      <c r="VLL456" s="67"/>
      <c r="VLM456" s="67"/>
      <c r="VLN456" s="67"/>
      <c r="VLO456" s="67"/>
      <c r="VLP456" s="67"/>
      <c r="VLQ456" s="67"/>
      <c r="VLR456" s="67"/>
      <c r="VLS456" s="67"/>
      <c r="VLT456" s="67"/>
      <c r="VLU456" s="67"/>
      <c r="VLV456" s="67"/>
      <c r="VLW456" s="67"/>
      <c r="VLX456" s="67"/>
      <c r="VLY456" s="67"/>
      <c r="VLZ456" s="67"/>
      <c r="VMA456" s="67"/>
      <c r="VMB456" s="67"/>
      <c r="VMC456" s="67"/>
      <c r="VMD456" s="67"/>
      <c r="VME456" s="67"/>
      <c r="VMF456" s="67"/>
      <c r="VMG456" s="67"/>
      <c r="VMH456" s="67"/>
      <c r="VMI456" s="67"/>
      <c r="VMJ456" s="67"/>
      <c r="VMK456" s="67"/>
      <c r="VML456" s="67"/>
      <c r="VMM456" s="67"/>
      <c r="VMN456" s="67"/>
      <c r="VMO456" s="67"/>
      <c r="VMP456" s="67"/>
      <c r="VMQ456" s="67"/>
      <c r="VMR456" s="67"/>
      <c r="VMS456" s="67"/>
      <c r="VMT456" s="67"/>
      <c r="VMU456" s="67"/>
      <c r="VMV456" s="67"/>
      <c r="VMW456" s="67"/>
      <c r="VMX456" s="67"/>
      <c r="VMY456" s="67"/>
      <c r="VMZ456" s="67"/>
      <c r="VNA456" s="67"/>
      <c r="VNB456" s="67"/>
      <c r="VNC456" s="67"/>
      <c r="VND456" s="67"/>
      <c r="VNE456" s="67"/>
      <c r="VNF456" s="67"/>
      <c r="VNG456" s="67"/>
      <c r="VNH456" s="67"/>
      <c r="VNI456" s="67"/>
      <c r="VNJ456" s="67"/>
      <c r="VNK456" s="67"/>
      <c r="VNL456" s="67"/>
      <c r="VNM456" s="67"/>
      <c r="VNN456" s="67"/>
      <c r="VNO456" s="67"/>
      <c r="VNP456" s="67"/>
      <c r="VNQ456" s="67"/>
      <c r="VNR456" s="67"/>
      <c r="VNS456" s="67"/>
      <c r="VNT456" s="67"/>
      <c r="VNU456" s="67"/>
      <c r="VNV456" s="67"/>
      <c r="VNW456" s="67"/>
      <c r="VNX456" s="67"/>
      <c r="VNY456" s="67"/>
      <c r="VNZ456" s="67"/>
      <c r="VOA456" s="67"/>
      <c r="VOB456" s="67"/>
      <c r="VOC456" s="67"/>
      <c r="VOD456" s="67"/>
      <c r="VOE456" s="67"/>
      <c r="VOF456" s="67"/>
      <c r="VOG456" s="67"/>
      <c r="VOH456" s="67"/>
      <c r="VOI456" s="67"/>
      <c r="VOJ456" s="67"/>
      <c r="VOK456" s="67"/>
      <c r="VOL456" s="67"/>
      <c r="VOM456" s="67"/>
      <c r="VON456" s="67"/>
      <c r="VOO456" s="67"/>
      <c r="VOP456" s="67"/>
      <c r="VOQ456" s="67"/>
      <c r="VOR456" s="67"/>
      <c r="VOS456" s="67"/>
      <c r="VOT456" s="67"/>
      <c r="VOU456" s="67"/>
      <c r="VOV456" s="67"/>
      <c r="VOW456" s="67"/>
      <c r="VOX456" s="67"/>
      <c r="VOY456" s="67"/>
      <c r="VOZ456" s="67"/>
      <c r="VPA456" s="67"/>
      <c r="VPB456" s="67"/>
      <c r="VPC456" s="67"/>
      <c r="VPD456" s="67"/>
      <c r="VPE456" s="67"/>
      <c r="VPF456" s="67"/>
      <c r="VPG456" s="67"/>
      <c r="VPH456" s="67"/>
      <c r="VPI456" s="67"/>
      <c r="VPJ456" s="67"/>
      <c r="VPK456" s="67"/>
      <c r="VPL456" s="67"/>
      <c r="VPM456" s="67"/>
      <c r="VPN456" s="67"/>
      <c r="VPO456" s="67"/>
      <c r="VPP456" s="67"/>
      <c r="VPQ456" s="67"/>
      <c r="VPR456" s="67"/>
      <c r="VPS456" s="67"/>
      <c r="VPT456" s="67"/>
      <c r="VPU456" s="67"/>
      <c r="VPV456" s="67"/>
      <c r="VPW456" s="67"/>
      <c r="VPX456" s="67"/>
      <c r="VPY456" s="67"/>
      <c r="VPZ456" s="67"/>
      <c r="VQA456" s="67"/>
      <c r="VQB456" s="67"/>
      <c r="VQC456" s="67"/>
      <c r="VQD456" s="67"/>
      <c r="VQE456" s="67"/>
      <c r="VQF456" s="67"/>
      <c r="VQG456" s="67"/>
      <c r="VQH456" s="67"/>
      <c r="VQI456" s="67"/>
      <c r="VQJ456" s="67"/>
      <c r="VQK456" s="67"/>
      <c r="VQL456" s="67"/>
      <c r="VQM456" s="67"/>
      <c r="VQN456" s="67"/>
      <c r="VQO456" s="67"/>
      <c r="VQP456" s="67"/>
      <c r="VQQ456" s="67"/>
      <c r="VQR456" s="67"/>
      <c r="VQS456" s="67"/>
      <c r="VQT456" s="67"/>
      <c r="VQU456" s="67"/>
      <c r="VQV456" s="67"/>
      <c r="VQW456" s="67"/>
      <c r="VQX456" s="67"/>
      <c r="VQY456" s="67"/>
      <c r="VQZ456" s="67"/>
      <c r="VRA456" s="67"/>
      <c r="VRB456" s="67"/>
      <c r="VRC456" s="67"/>
      <c r="VRD456" s="67"/>
      <c r="VRE456" s="67"/>
      <c r="VRF456" s="67"/>
      <c r="VRG456" s="67"/>
      <c r="VRH456" s="67"/>
      <c r="VRI456" s="67"/>
      <c r="VRJ456" s="67"/>
      <c r="VRK456" s="67"/>
      <c r="VRL456" s="67"/>
      <c r="VRM456" s="67"/>
      <c r="VRN456" s="67"/>
      <c r="VRO456" s="67"/>
      <c r="VRP456" s="67"/>
      <c r="VRQ456" s="67"/>
      <c r="VRR456" s="67"/>
      <c r="VRS456" s="67"/>
      <c r="VRT456" s="67"/>
      <c r="VRU456" s="67"/>
      <c r="VRV456" s="67"/>
      <c r="VRW456" s="67"/>
      <c r="VRX456" s="67"/>
      <c r="VRY456" s="67"/>
      <c r="VRZ456" s="67"/>
      <c r="VSA456" s="67"/>
      <c r="VSB456" s="67"/>
      <c r="VSC456" s="67"/>
      <c r="VSD456" s="67"/>
      <c r="VSE456" s="67"/>
      <c r="VSF456" s="67"/>
      <c r="VSG456" s="67"/>
      <c r="VSH456" s="67"/>
      <c r="VSI456" s="67"/>
      <c r="VSJ456" s="67"/>
      <c r="VSK456" s="67"/>
      <c r="VSL456" s="67"/>
      <c r="VSM456" s="67"/>
      <c r="VSN456" s="67"/>
      <c r="VSO456" s="67"/>
      <c r="VSP456" s="67"/>
      <c r="VSQ456" s="67"/>
      <c r="VSR456" s="67"/>
      <c r="VSS456" s="67"/>
      <c r="VST456" s="67"/>
      <c r="VSU456" s="67"/>
      <c r="VSV456" s="67"/>
      <c r="VSW456" s="67"/>
      <c r="VSX456" s="67"/>
      <c r="VSY456" s="67"/>
      <c r="VSZ456" s="67"/>
      <c r="VTA456" s="67"/>
      <c r="VTB456" s="67"/>
      <c r="VTC456" s="67"/>
      <c r="VTD456" s="67"/>
      <c r="VTE456" s="67"/>
      <c r="VTF456" s="67"/>
      <c r="VTG456" s="67"/>
      <c r="VTH456" s="67"/>
      <c r="VTI456" s="67"/>
      <c r="VTJ456" s="67"/>
      <c r="VTK456" s="67"/>
      <c r="VTL456" s="67"/>
      <c r="VTM456" s="67"/>
      <c r="VTN456" s="67"/>
      <c r="VTO456" s="67"/>
      <c r="VTP456" s="67"/>
      <c r="VTQ456" s="67"/>
      <c r="VTR456" s="67"/>
      <c r="VTS456" s="67"/>
      <c r="VTT456" s="67"/>
      <c r="VTU456" s="67"/>
      <c r="VTV456" s="67"/>
      <c r="VTW456" s="67"/>
      <c r="VTX456" s="67"/>
      <c r="VTY456" s="67"/>
      <c r="VTZ456" s="67"/>
      <c r="VUA456" s="67"/>
      <c r="VUB456" s="67"/>
      <c r="VUC456" s="67"/>
      <c r="VUD456" s="67"/>
      <c r="VUE456" s="67"/>
      <c r="VUF456" s="67"/>
      <c r="VUG456" s="67"/>
      <c r="VUH456" s="67"/>
      <c r="VUI456" s="67"/>
      <c r="VUJ456" s="67"/>
      <c r="VUK456" s="67"/>
      <c r="VUL456" s="67"/>
      <c r="VUM456" s="67"/>
      <c r="VUN456" s="67"/>
      <c r="VUO456" s="67"/>
      <c r="VUP456" s="67"/>
      <c r="VUQ456" s="67"/>
      <c r="VUR456" s="67"/>
      <c r="VUS456" s="67"/>
      <c r="VUT456" s="67"/>
      <c r="VUU456" s="67"/>
      <c r="VUV456" s="67"/>
      <c r="VUW456" s="67"/>
      <c r="VUX456" s="67"/>
      <c r="VUY456" s="67"/>
      <c r="VUZ456" s="67"/>
      <c r="VVA456" s="67"/>
      <c r="VVB456" s="67"/>
      <c r="VVC456" s="67"/>
      <c r="VVD456" s="67"/>
      <c r="VVE456" s="67"/>
      <c r="VVF456" s="67"/>
      <c r="VVG456" s="67"/>
      <c r="VVH456" s="67"/>
      <c r="VVI456" s="67"/>
      <c r="VVJ456" s="67"/>
      <c r="VVK456" s="67"/>
      <c r="VVL456" s="67"/>
      <c r="VVM456" s="67"/>
      <c r="VVN456" s="67"/>
      <c r="VVO456" s="67"/>
      <c r="VVP456" s="67"/>
      <c r="VVQ456" s="67"/>
      <c r="VVR456" s="67"/>
      <c r="VVS456" s="67"/>
      <c r="VVT456" s="67"/>
      <c r="VVU456" s="67"/>
      <c r="VVV456" s="67"/>
      <c r="VVW456" s="67"/>
      <c r="VVX456" s="67"/>
      <c r="VVY456" s="67"/>
      <c r="VVZ456" s="67"/>
      <c r="VWA456" s="67"/>
      <c r="VWB456" s="67"/>
      <c r="VWC456" s="67"/>
      <c r="VWD456" s="67"/>
      <c r="VWE456" s="67"/>
      <c r="VWF456" s="67"/>
      <c r="VWG456" s="67"/>
      <c r="VWH456" s="67"/>
      <c r="VWI456" s="67"/>
      <c r="VWJ456" s="67"/>
      <c r="VWK456" s="67"/>
      <c r="VWL456" s="67"/>
      <c r="VWM456" s="67"/>
      <c r="VWN456" s="67"/>
      <c r="VWO456" s="67"/>
      <c r="VWP456" s="67"/>
      <c r="VWQ456" s="67"/>
      <c r="VWR456" s="67"/>
      <c r="VWS456" s="67"/>
      <c r="VWT456" s="67"/>
      <c r="VWU456" s="67"/>
      <c r="VWV456" s="67"/>
      <c r="VWW456" s="67"/>
      <c r="VWX456" s="67"/>
      <c r="VWY456" s="67"/>
      <c r="VWZ456" s="67"/>
      <c r="VXA456" s="67"/>
      <c r="VXB456" s="67"/>
      <c r="VXC456" s="67"/>
      <c r="VXD456" s="67"/>
      <c r="VXE456" s="67"/>
      <c r="VXF456" s="67"/>
      <c r="VXG456" s="67"/>
      <c r="VXH456" s="67"/>
      <c r="VXI456" s="67"/>
      <c r="VXJ456" s="67"/>
      <c r="VXK456" s="67"/>
      <c r="VXL456" s="67"/>
      <c r="VXM456" s="67"/>
      <c r="VXN456" s="67"/>
      <c r="VXO456" s="67"/>
      <c r="VXP456" s="67"/>
      <c r="VXQ456" s="67"/>
      <c r="VXR456" s="67"/>
      <c r="VXS456" s="67"/>
      <c r="VXT456" s="67"/>
      <c r="VXU456" s="67"/>
      <c r="VXV456" s="67"/>
      <c r="VXW456" s="67"/>
      <c r="VXX456" s="67"/>
      <c r="VXY456" s="67"/>
      <c r="VXZ456" s="67"/>
      <c r="VYA456" s="67"/>
      <c r="VYB456" s="67"/>
      <c r="VYC456" s="67"/>
      <c r="VYD456" s="67"/>
      <c r="VYE456" s="67"/>
      <c r="VYF456" s="67"/>
      <c r="VYG456" s="67"/>
      <c r="VYH456" s="67"/>
      <c r="VYI456" s="67"/>
      <c r="VYJ456" s="67"/>
      <c r="VYK456" s="67"/>
      <c r="VYL456" s="67"/>
      <c r="VYM456" s="67"/>
      <c r="VYN456" s="67"/>
      <c r="VYO456" s="67"/>
      <c r="VYP456" s="67"/>
      <c r="VYQ456" s="67"/>
      <c r="VYR456" s="67"/>
      <c r="VYS456" s="67"/>
      <c r="VYT456" s="67"/>
      <c r="VYU456" s="67"/>
      <c r="VYV456" s="67"/>
      <c r="VYW456" s="67"/>
      <c r="VYX456" s="67"/>
      <c r="VYY456" s="67"/>
      <c r="VYZ456" s="67"/>
      <c r="VZA456" s="67"/>
      <c r="VZB456" s="67"/>
      <c r="VZC456" s="67"/>
      <c r="VZD456" s="67"/>
      <c r="VZE456" s="67"/>
      <c r="VZF456" s="67"/>
      <c r="VZG456" s="67"/>
      <c r="VZH456" s="67"/>
      <c r="VZI456" s="67"/>
      <c r="VZJ456" s="67"/>
      <c r="VZK456" s="67"/>
      <c r="VZL456" s="67"/>
      <c r="VZM456" s="67"/>
      <c r="VZN456" s="67"/>
      <c r="VZO456" s="67"/>
      <c r="VZP456" s="67"/>
      <c r="VZQ456" s="67"/>
      <c r="VZR456" s="67"/>
      <c r="VZS456" s="67"/>
      <c r="VZT456" s="67"/>
      <c r="VZU456" s="67"/>
      <c r="VZV456" s="67"/>
      <c r="VZW456" s="67"/>
      <c r="VZX456" s="67"/>
      <c r="VZY456" s="67"/>
      <c r="VZZ456" s="67"/>
      <c r="WAA456" s="67"/>
      <c r="WAB456" s="67"/>
      <c r="WAC456" s="67"/>
      <c r="WAD456" s="67"/>
      <c r="WAE456" s="67"/>
      <c r="WAF456" s="67"/>
      <c r="WAG456" s="67"/>
      <c r="WAH456" s="67"/>
      <c r="WAI456" s="67"/>
      <c r="WAJ456" s="67"/>
      <c r="WAK456" s="67"/>
      <c r="WAL456" s="67"/>
      <c r="WAM456" s="67"/>
      <c r="WAN456" s="67"/>
      <c r="WAO456" s="67"/>
      <c r="WAP456" s="67"/>
      <c r="WAQ456" s="67"/>
      <c r="WAR456" s="67"/>
      <c r="WAS456" s="67"/>
      <c r="WAT456" s="67"/>
      <c r="WAU456" s="67"/>
      <c r="WAV456" s="67"/>
      <c r="WAW456" s="67"/>
      <c r="WAX456" s="67"/>
      <c r="WAY456" s="67"/>
      <c r="WAZ456" s="67"/>
      <c r="WBA456" s="67"/>
      <c r="WBB456" s="67"/>
      <c r="WBC456" s="67"/>
      <c r="WBD456" s="67"/>
      <c r="WBE456" s="67"/>
      <c r="WBF456" s="67"/>
      <c r="WBG456" s="67"/>
      <c r="WBH456" s="67"/>
      <c r="WBI456" s="67"/>
      <c r="WBJ456" s="67"/>
      <c r="WBK456" s="67"/>
      <c r="WBL456" s="67"/>
      <c r="WBM456" s="67"/>
      <c r="WBN456" s="67"/>
      <c r="WBO456" s="67"/>
      <c r="WBP456" s="67"/>
      <c r="WBQ456" s="67"/>
      <c r="WBR456" s="67"/>
      <c r="WBS456" s="67"/>
      <c r="WBT456" s="67"/>
      <c r="WBU456" s="67"/>
      <c r="WBV456" s="67"/>
      <c r="WBW456" s="67"/>
      <c r="WBX456" s="67"/>
      <c r="WBY456" s="67"/>
      <c r="WBZ456" s="67"/>
      <c r="WCA456" s="67"/>
      <c r="WCB456" s="67"/>
      <c r="WCC456" s="67"/>
      <c r="WCD456" s="67"/>
      <c r="WCE456" s="67"/>
      <c r="WCF456" s="67"/>
      <c r="WCG456" s="67"/>
      <c r="WCH456" s="67"/>
      <c r="WCI456" s="67"/>
      <c r="WCJ456" s="67"/>
      <c r="WCK456" s="67"/>
      <c r="WCL456" s="67"/>
      <c r="WCM456" s="67"/>
      <c r="WCN456" s="67"/>
      <c r="WCO456" s="67"/>
      <c r="WCP456" s="67"/>
      <c r="WCQ456" s="67"/>
      <c r="WCR456" s="67"/>
      <c r="WCS456" s="67"/>
      <c r="WCT456" s="67"/>
      <c r="WCU456" s="67"/>
      <c r="WCV456" s="67"/>
      <c r="WCW456" s="67"/>
      <c r="WCX456" s="67"/>
      <c r="WCY456" s="67"/>
      <c r="WCZ456" s="67"/>
      <c r="WDA456" s="67"/>
      <c r="WDB456" s="67"/>
      <c r="WDC456" s="67"/>
      <c r="WDD456" s="67"/>
      <c r="WDE456" s="67"/>
      <c r="WDF456" s="67"/>
      <c r="WDG456" s="67"/>
      <c r="WDH456" s="67"/>
      <c r="WDI456" s="67"/>
      <c r="WDJ456" s="67"/>
      <c r="WDK456" s="67"/>
      <c r="WDL456" s="67"/>
      <c r="WDM456" s="67"/>
      <c r="WDN456" s="67"/>
      <c r="WDO456" s="67"/>
      <c r="WDP456" s="67"/>
      <c r="WDQ456" s="67"/>
      <c r="WDR456" s="67"/>
      <c r="WDS456" s="67"/>
      <c r="WDT456" s="67"/>
      <c r="WDU456" s="67"/>
      <c r="WDV456" s="67"/>
      <c r="WDW456" s="67"/>
      <c r="WDX456" s="67"/>
      <c r="WDY456" s="67"/>
      <c r="WDZ456" s="67"/>
      <c r="WEA456" s="67"/>
      <c r="WEB456" s="67"/>
      <c r="WEC456" s="67"/>
      <c r="WED456" s="67"/>
      <c r="WEE456" s="67"/>
      <c r="WEF456" s="67"/>
      <c r="WEG456" s="67"/>
      <c r="WEH456" s="67"/>
      <c r="WEI456" s="67"/>
      <c r="WEJ456" s="67"/>
      <c r="WEK456" s="67"/>
      <c r="WEL456" s="67"/>
      <c r="WEM456" s="67"/>
      <c r="WEN456" s="67"/>
      <c r="WEO456" s="67"/>
      <c r="WEP456" s="67"/>
      <c r="WEQ456" s="67"/>
      <c r="WER456" s="67"/>
      <c r="WES456" s="67"/>
      <c r="WET456" s="67"/>
      <c r="WEU456" s="67"/>
      <c r="WEV456" s="67"/>
      <c r="WEW456" s="67"/>
      <c r="WEX456" s="67"/>
      <c r="WEY456" s="67"/>
      <c r="WEZ456" s="67"/>
      <c r="WFA456" s="67"/>
      <c r="WFB456" s="67"/>
      <c r="WFC456" s="67"/>
      <c r="WFD456" s="67"/>
      <c r="WFE456" s="67"/>
      <c r="WFF456" s="67"/>
      <c r="WFG456" s="67"/>
      <c r="WFH456" s="67"/>
      <c r="WFI456" s="67"/>
      <c r="WFJ456" s="67"/>
      <c r="WFK456" s="67"/>
      <c r="WFL456" s="67"/>
      <c r="WFM456" s="67"/>
      <c r="WFN456" s="67"/>
      <c r="WFO456" s="67"/>
      <c r="WFP456" s="67"/>
      <c r="WFQ456" s="67"/>
      <c r="WFR456" s="67"/>
      <c r="WFS456" s="67"/>
      <c r="WFT456" s="67"/>
      <c r="WFU456" s="67"/>
      <c r="WFV456" s="67"/>
      <c r="WFW456" s="67"/>
      <c r="WFX456" s="67"/>
      <c r="WFY456" s="67"/>
      <c r="WFZ456" s="67"/>
      <c r="WGA456" s="67"/>
      <c r="WGB456" s="67"/>
      <c r="WGC456" s="67"/>
      <c r="WGD456" s="67"/>
      <c r="WGE456" s="67"/>
      <c r="WGF456" s="67"/>
      <c r="WGG456" s="67"/>
      <c r="WGH456" s="67"/>
      <c r="WGI456" s="67"/>
      <c r="WGJ456" s="67"/>
      <c r="WGK456" s="67"/>
      <c r="WGL456" s="67"/>
      <c r="WGM456" s="67"/>
      <c r="WGN456" s="67"/>
      <c r="WGO456" s="67"/>
      <c r="WGP456" s="67"/>
      <c r="WGQ456" s="67"/>
      <c r="WGR456" s="67"/>
      <c r="WGS456" s="67"/>
      <c r="WGT456" s="67"/>
      <c r="WGU456" s="67"/>
      <c r="WGV456" s="67"/>
      <c r="WGW456" s="67"/>
      <c r="WGX456" s="67"/>
      <c r="WGY456" s="67"/>
      <c r="WGZ456" s="67"/>
      <c r="WHA456" s="67"/>
      <c r="WHB456" s="67"/>
      <c r="WHC456" s="67"/>
      <c r="WHD456" s="67"/>
      <c r="WHE456" s="67"/>
      <c r="WHF456" s="67"/>
      <c r="WHG456" s="67"/>
      <c r="WHH456" s="67"/>
      <c r="WHI456" s="67"/>
      <c r="WHJ456" s="67"/>
      <c r="WHK456" s="67"/>
      <c r="WHL456" s="67"/>
      <c r="WHM456" s="67"/>
      <c r="WHN456" s="67"/>
      <c r="WHO456" s="67"/>
      <c r="WHP456" s="67"/>
      <c r="WHQ456" s="67"/>
      <c r="WHR456" s="67"/>
      <c r="WHS456" s="67"/>
      <c r="WHT456" s="67"/>
      <c r="WHU456" s="67"/>
      <c r="WHV456" s="67"/>
      <c r="WHW456" s="67"/>
      <c r="WHX456" s="67"/>
      <c r="WHY456" s="67"/>
      <c r="WHZ456" s="67"/>
      <c r="WIA456" s="67"/>
      <c r="WIB456" s="67"/>
      <c r="WIC456" s="67"/>
      <c r="WID456" s="67"/>
      <c r="WIE456" s="67"/>
      <c r="WIF456" s="67"/>
      <c r="WIG456" s="67"/>
      <c r="WIH456" s="67"/>
      <c r="WII456" s="67"/>
      <c r="WIJ456" s="67"/>
      <c r="WIK456" s="67"/>
      <c r="WIL456" s="67"/>
      <c r="WIM456" s="67"/>
      <c r="WIN456" s="67"/>
      <c r="WIO456" s="67"/>
      <c r="WIP456" s="67"/>
      <c r="WIQ456" s="67"/>
      <c r="WIR456" s="67"/>
      <c r="WIS456" s="67"/>
      <c r="WIT456" s="67"/>
      <c r="WIU456" s="67"/>
      <c r="WIV456" s="67"/>
      <c r="WIW456" s="67"/>
      <c r="WIX456" s="67"/>
      <c r="WIY456" s="67"/>
      <c r="WIZ456" s="67"/>
      <c r="WJA456" s="67"/>
      <c r="WJB456" s="67"/>
      <c r="WJC456" s="67"/>
      <c r="WJD456" s="67"/>
      <c r="WJE456" s="67"/>
      <c r="WJF456" s="67"/>
      <c r="WJG456" s="67"/>
      <c r="WJH456" s="67"/>
      <c r="WJI456" s="67"/>
      <c r="WJJ456" s="67"/>
      <c r="WJK456" s="67"/>
      <c r="WJL456" s="67"/>
      <c r="WJM456" s="67"/>
      <c r="WJN456" s="67"/>
      <c r="WJO456" s="67"/>
      <c r="WJP456" s="67"/>
      <c r="WJQ456" s="67"/>
      <c r="WJR456" s="67"/>
      <c r="WJS456" s="67"/>
      <c r="WJT456" s="67"/>
      <c r="WJU456" s="67"/>
      <c r="WJV456" s="67"/>
      <c r="WJW456" s="67"/>
      <c r="WJX456" s="67"/>
      <c r="WJY456" s="67"/>
      <c r="WJZ456" s="67"/>
      <c r="WKA456" s="67"/>
      <c r="WKB456" s="67"/>
      <c r="WKC456" s="67"/>
      <c r="WKD456" s="67"/>
      <c r="WKE456" s="67"/>
      <c r="WKF456" s="67"/>
      <c r="WKG456" s="67"/>
      <c r="WKH456" s="67"/>
      <c r="WKI456" s="67"/>
      <c r="WKJ456" s="67"/>
      <c r="WKK456" s="67"/>
      <c r="WKL456" s="67"/>
      <c r="WKM456" s="67"/>
      <c r="WKN456" s="67"/>
      <c r="WKO456" s="67"/>
      <c r="WKP456" s="67"/>
      <c r="WKQ456" s="67"/>
      <c r="WKR456" s="67"/>
      <c r="WKS456" s="67"/>
      <c r="WKT456" s="67"/>
      <c r="WKU456" s="67"/>
      <c r="WKV456" s="67"/>
      <c r="WKW456" s="67"/>
      <c r="WKX456" s="67"/>
      <c r="WKY456" s="67"/>
      <c r="WKZ456" s="67"/>
      <c r="WLA456" s="67"/>
      <c r="WLB456" s="67"/>
      <c r="WLC456" s="67"/>
      <c r="WLD456" s="67"/>
      <c r="WLE456" s="67"/>
      <c r="WLF456" s="67"/>
      <c r="WLG456" s="67"/>
      <c r="WLH456" s="67"/>
      <c r="WLI456" s="67"/>
      <c r="WLJ456" s="67"/>
      <c r="WLK456" s="67"/>
      <c r="WLL456" s="67"/>
      <c r="WLM456" s="67"/>
      <c r="WLN456" s="67"/>
      <c r="WLO456" s="67"/>
      <c r="WLP456" s="67"/>
      <c r="WLQ456" s="67"/>
      <c r="WLR456" s="67"/>
      <c r="WLS456" s="67"/>
      <c r="WLT456" s="67"/>
      <c r="WLU456" s="67"/>
      <c r="WLV456" s="67"/>
      <c r="WLW456" s="67"/>
      <c r="WLX456" s="67"/>
      <c r="WLY456" s="67"/>
      <c r="WLZ456" s="67"/>
      <c r="WMA456" s="67"/>
      <c r="WMB456" s="67"/>
      <c r="WMC456" s="67"/>
      <c r="WMD456" s="67"/>
      <c r="WME456" s="67"/>
      <c r="WMF456" s="67"/>
      <c r="WMG456" s="67"/>
      <c r="WMH456" s="67"/>
      <c r="WMI456" s="67"/>
      <c r="WMJ456" s="67"/>
      <c r="WMK456" s="67"/>
      <c r="WML456" s="67"/>
      <c r="WMM456" s="67"/>
      <c r="WMN456" s="67"/>
      <c r="WMO456" s="67"/>
      <c r="WMP456" s="67"/>
      <c r="WMQ456" s="67"/>
      <c r="WMR456" s="67"/>
      <c r="WMS456" s="67"/>
      <c r="WMT456" s="67"/>
      <c r="WMU456" s="67"/>
      <c r="WMV456" s="67"/>
      <c r="WMW456" s="67"/>
      <c r="WMX456" s="67"/>
      <c r="WMY456" s="67"/>
      <c r="WMZ456" s="67"/>
      <c r="WNA456" s="67"/>
      <c r="WNB456" s="67"/>
      <c r="WNC456" s="67"/>
      <c r="WND456" s="67"/>
      <c r="WNE456" s="67"/>
      <c r="WNF456" s="67"/>
      <c r="WNG456" s="67"/>
      <c r="WNH456" s="67"/>
      <c r="WNI456" s="67"/>
      <c r="WNJ456" s="67"/>
      <c r="WNK456" s="67"/>
      <c r="WNL456" s="67"/>
      <c r="WNM456" s="67"/>
      <c r="WNN456" s="67"/>
      <c r="WNO456" s="67"/>
      <c r="WNP456" s="67"/>
      <c r="WNQ456" s="67"/>
      <c r="WNR456" s="67"/>
      <c r="WNS456" s="67"/>
      <c r="WNT456" s="67"/>
      <c r="WNU456" s="67"/>
      <c r="WNV456" s="67"/>
      <c r="WNW456" s="67"/>
      <c r="WNX456" s="67"/>
      <c r="WNY456" s="67"/>
      <c r="WNZ456" s="67"/>
      <c r="WOA456" s="67"/>
      <c r="WOB456" s="67"/>
      <c r="WOC456" s="67"/>
      <c r="WOD456" s="67"/>
      <c r="WOE456" s="67"/>
      <c r="WOF456" s="67"/>
      <c r="WOG456" s="67"/>
      <c r="WOH456" s="67"/>
      <c r="WOI456" s="67"/>
      <c r="WOJ456" s="67"/>
      <c r="WOK456" s="67"/>
      <c r="WOL456" s="67"/>
      <c r="WOM456" s="67"/>
      <c r="WON456" s="67"/>
      <c r="WOO456" s="67"/>
      <c r="WOP456" s="67"/>
      <c r="WOQ456" s="67"/>
      <c r="WOR456" s="67"/>
      <c r="WOS456" s="67"/>
      <c r="WOT456" s="67"/>
      <c r="WOU456" s="67"/>
      <c r="WOV456" s="67"/>
      <c r="WOW456" s="67"/>
      <c r="WOX456" s="67"/>
      <c r="WOY456" s="67"/>
      <c r="WOZ456" s="67"/>
      <c r="WPA456" s="67"/>
      <c r="WPB456" s="67"/>
      <c r="WPC456" s="67"/>
      <c r="WPD456" s="67"/>
      <c r="WPE456" s="67"/>
      <c r="WPF456" s="67"/>
      <c r="WPG456" s="67"/>
      <c r="WPH456" s="67"/>
      <c r="WPI456" s="67"/>
      <c r="WPJ456" s="67"/>
      <c r="WPK456" s="67"/>
      <c r="WPL456" s="67"/>
      <c r="WPM456" s="67"/>
      <c r="WPN456" s="67"/>
      <c r="WPO456" s="67"/>
      <c r="WPP456" s="67"/>
      <c r="WPQ456" s="67"/>
      <c r="WPR456" s="67"/>
      <c r="WPS456" s="67"/>
      <c r="WPT456" s="67"/>
      <c r="WPU456" s="67"/>
      <c r="WPV456" s="67"/>
      <c r="WPW456" s="67"/>
      <c r="WPX456" s="67"/>
      <c r="WPY456" s="67"/>
      <c r="WPZ456" s="67"/>
      <c r="WQA456" s="67"/>
      <c r="WQB456" s="67"/>
      <c r="WQC456" s="67"/>
      <c r="WQD456" s="67"/>
      <c r="WQE456" s="67"/>
      <c r="WQF456" s="67"/>
      <c r="WQG456" s="67"/>
      <c r="WQH456" s="67"/>
      <c r="WQI456" s="67"/>
      <c r="WQJ456" s="67"/>
      <c r="WQK456" s="67"/>
      <c r="WQL456" s="67"/>
      <c r="WQM456" s="67"/>
      <c r="WQN456" s="67"/>
      <c r="WQO456" s="67"/>
      <c r="WQP456" s="67"/>
      <c r="WQQ456" s="67"/>
      <c r="WQR456" s="67"/>
      <c r="WQS456" s="67"/>
      <c r="WQT456" s="67"/>
      <c r="WQU456" s="67"/>
      <c r="WQV456" s="67"/>
      <c r="WQW456" s="67"/>
      <c r="WQX456" s="67"/>
      <c r="WQY456" s="67"/>
      <c r="WQZ456" s="67"/>
      <c r="WRA456" s="67"/>
      <c r="WRB456" s="67"/>
      <c r="WRC456" s="67"/>
      <c r="WRD456" s="67"/>
      <c r="WRE456" s="67"/>
      <c r="WRF456" s="67"/>
      <c r="WRG456" s="67"/>
      <c r="WRH456" s="67"/>
      <c r="WRI456" s="67"/>
      <c r="WRJ456" s="67"/>
      <c r="WRK456" s="67"/>
      <c r="WRL456" s="67"/>
      <c r="WRM456" s="67"/>
      <c r="WRN456" s="67"/>
      <c r="WRO456" s="67"/>
      <c r="WRP456" s="67"/>
      <c r="WRQ456" s="67"/>
      <c r="WRR456" s="67"/>
      <c r="WRS456" s="67"/>
      <c r="WRT456" s="67"/>
      <c r="WRU456" s="67"/>
      <c r="WRV456" s="67"/>
      <c r="WRW456" s="67"/>
      <c r="WRX456" s="67"/>
      <c r="WRY456" s="67"/>
      <c r="WRZ456" s="67"/>
      <c r="WSA456" s="67"/>
      <c r="WSB456" s="67"/>
      <c r="WSC456" s="67"/>
      <c r="WSD456" s="67"/>
      <c r="WSE456" s="67"/>
      <c r="WSF456" s="67"/>
      <c r="WSG456" s="67"/>
      <c r="WSH456" s="67"/>
      <c r="WSI456" s="67"/>
      <c r="WSJ456" s="67"/>
      <c r="WSK456" s="67"/>
      <c r="WSL456" s="67"/>
      <c r="WSM456" s="67"/>
      <c r="WSN456" s="67"/>
      <c r="WSO456" s="67"/>
      <c r="WSP456" s="67"/>
      <c r="WSQ456" s="67"/>
      <c r="WSR456" s="67"/>
      <c r="WSS456" s="67"/>
      <c r="WST456" s="67"/>
      <c r="WSU456" s="67"/>
      <c r="WSV456" s="67"/>
      <c r="WSW456" s="67"/>
      <c r="WSX456" s="67"/>
      <c r="WSY456" s="67"/>
      <c r="WSZ456" s="67"/>
      <c r="WTA456" s="67"/>
      <c r="WTB456" s="67"/>
      <c r="WTC456" s="67"/>
      <c r="WTD456" s="67"/>
      <c r="WTE456" s="67"/>
      <c r="WTF456" s="67"/>
      <c r="WTG456" s="67"/>
      <c r="WTH456" s="67"/>
      <c r="WTI456" s="67"/>
      <c r="WTJ456" s="67"/>
      <c r="WTK456" s="67"/>
      <c r="WTL456" s="67"/>
      <c r="WTM456" s="67"/>
      <c r="WTN456" s="67"/>
      <c r="WTO456" s="67"/>
      <c r="WTP456" s="67"/>
      <c r="WTQ456" s="67"/>
      <c r="WTR456" s="67"/>
      <c r="WTS456" s="67"/>
      <c r="WTT456" s="67"/>
      <c r="WTU456" s="67"/>
      <c r="WTV456" s="67"/>
      <c r="WTW456" s="67"/>
      <c r="WTX456" s="67"/>
      <c r="WTY456" s="67"/>
      <c r="WTZ456" s="67"/>
      <c r="WUA456" s="67"/>
      <c r="WUB456" s="67"/>
      <c r="WUC456" s="67"/>
      <c r="WUD456" s="67"/>
      <c r="WUE456" s="67"/>
      <c r="WUF456" s="67"/>
      <c r="WUG456" s="67"/>
      <c r="WUH456" s="67"/>
      <c r="WUI456" s="67"/>
      <c r="WUJ456" s="67"/>
      <c r="WUK456" s="67"/>
      <c r="WUL456" s="67"/>
      <c r="WUM456" s="67"/>
      <c r="WUN456" s="67"/>
      <c r="WUO456" s="67"/>
      <c r="WUP456" s="67"/>
      <c r="WUQ456" s="67"/>
      <c r="WUR456" s="67"/>
      <c r="WUS456" s="67"/>
      <c r="WUT456" s="67"/>
      <c r="WUU456" s="67"/>
      <c r="WUV456" s="67"/>
      <c r="WUW456" s="67"/>
      <c r="WUX456" s="67"/>
      <c r="WUY456" s="67"/>
      <c r="WUZ456" s="67"/>
      <c r="WVA456" s="67"/>
      <c r="WVB456" s="67"/>
      <c r="WVC456" s="67"/>
      <c r="WVD456" s="67"/>
      <c r="WVE456" s="67"/>
      <c r="WVF456" s="67"/>
      <c r="WVG456" s="67"/>
      <c r="WVH456" s="67"/>
      <c r="WVI456" s="67"/>
      <c r="WVJ456" s="67"/>
      <c r="WVK456" s="67"/>
      <c r="WVL456" s="67"/>
      <c r="WVM456" s="67"/>
      <c r="WVN456" s="67"/>
      <c r="WVO456" s="67"/>
      <c r="WVP456" s="67"/>
      <c r="WVQ456" s="67"/>
      <c r="WVR456" s="67"/>
      <c r="WVS456" s="67"/>
      <c r="WVT456" s="67"/>
      <c r="WVU456" s="67"/>
      <c r="WVV456" s="67"/>
      <c r="WVW456" s="67"/>
      <c r="WVX456" s="67"/>
      <c r="WVY456" s="67"/>
      <c r="WVZ456" s="67"/>
      <c r="WWA456" s="67"/>
      <c r="WWB456" s="67"/>
      <c r="WWC456" s="67"/>
      <c r="WWD456" s="67"/>
      <c r="WWE456" s="67"/>
      <c r="WWF456" s="67"/>
      <c r="WWG456" s="67"/>
      <c r="WWH456" s="67"/>
      <c r="WWI456" s="67"/>
      <c r="WWJ456" s="67"/>
      <c r="WWK456" s="67"/>
      <c r="WWL456" s="67"/>
      <c r="WWM456" s="67"/>
      <c r="WWN456" s="67"/>
      <c r="WWO456" s="67"/>
      <c r="WWP456" s="67"/>
      <c r="WWQ456" s="67"/>
      <c r="WWR456" s="67"/>
      <c r="WWS456" s="67"/>
      <c r="WWT456" s="67"/>
      <c r="WWU456" s="67"/>
      <c r="WWV456" s="67"/>
      <c r="WWW456" s="67"/>
      <c r="WWX456" s="67"/>
      <c r="WWY456" s="67"/>
      <c r="WWZ456" s="67"/>
      <c r="WXA456" s="67"/>
      <c r="WXB456" s="67"/>
      <c r="WXC456" s="67"/>
      <c r="WXD456" s="67"/>
      <c r="WXE456" s="67"/>
      <c r="WXF456" s="67"/>
      <c r="WXG456" s="67"/>
      <c r="WXH456" s="67"/>
      <c r="WXI456" s="67"/>
      <c r="WXJ456" s="67"/>
      <c r="WXK456" s="67"/>
      <c r="WXL456" s="67"/>
      <c r="WXM456" s="67"/>
      <c r="WXN456" s="67"/>
      <c r="WXO456" s="67"/>
      <c r="WXP456" s="67"/>
      <c r="WXQ456" s="67"/>
      <c r="WXR456" s="67"/>
      <c r="WXS456" s="67"/>
      <c r="WXT456" s="67"/>
      <c r="WXU456" s="67"/>
      <c r="WXV456" s="67"/>
      <c r="WXW456" s="67"/>
      <c r="WXX456" s="67"/>
      <c r="WXY456" s="67"/>
      <c r="WXZ456" s="67"/>
      <c r="WYA456" s="67"/>
      <c r="WYB456" s="67"/>
      <c r="WYC456" s="67"/>
      <c r="WYD456" s="67"/>
      <c r="WYE456" s="67"/>
      <c r="WYF456" s="67"/>
      <c r="WYG456" s="67"/>
      <c r="WYH456" s="67"/>
      <c r="WYI456" s="67"/>
      <c r="WYJ456" s="67"/>
      <c r="WYK456" s="67"/>
      <c r="WYL456" s="67"/>
      <c r="WYM456" s="67"/>
      <c r="WYN456" s="67"/>
      <c r="WYO456" s="67"/>
      <c r="WYP456" s="67"/>
      <c r="WYQ456" s="67"/>
      <c r="WYR456" s="67"/>
      <c r="WYS456" s="67"/>
      <c r="WYT456" s="67"/>
      <c r="WYU456" s="67"/>
      <c r="WYV456" s="67"/>
      <c r="WYW456" s="67"/>
      <c r="WYX456" s="67"/>
      <c r="WYY456" s="67"/>
      <c r="WYZ456" s="67"/>
      <c r="WZA456" s="67"/>
      <c r="WZB456" s="67"/>
      <c r="WZC456" s="67"/>
      <c r="WZD456" s="67"/>
      <c r="WZE456" s="67"/>
      <c r="WZF456" s="67"/>
      <c r="WZG456" s="67"/>
      <c r="WZH456" s="67"/>
      <c r="WZI456" s="67"/>
      <c r="WZJ456" s="67"/>
      <c r="WZK456" s="67"/>
      <c r="WZL456" s="67"/>
      <c r="WZM456" s="67"/>
      <c r="WZN456" s="67"/>
      <c r="WZO456" s="67"/>
      <c r="WZP456" s="67"/>
      <c r="WZQ456" s="67"/>
      <c r="WZR456" s="67"/>
      <c r="WZS456" s="67"/>
      <c r="WZT456" s="67"/>
      <c r="WZU456" s="67"/>
      <c r="WZV456" s="67"/>
      <c r="WZW456" s="67"/>
      <c r="WZX456" s="67"/>
      <c r="WZY456" s="67"/>
      <c r="WZZ456" s="67"/>
      <c r="XAA456" s="67"/>
      <c r="XAB456" s="67"/>
      <c r="XAC456" s="67"/>
      <c r="XAD456" s="67"/>
      <c r="XAE456" s="67"/>
      <c r="XAF456" s="67"/>
      <c r="XAG456" s="67"/>
      <c r="XAH456" s="67"/>
      <c r="XAI456" s="67"/>
      <c r="XAJ456" s="67"/>
      <c r="XAK456" s="67"/>
      <c r="XAL456" s="67"/>
      <c r="XAM456" s="67"/>
      <c r="XAN456" s="67"/>
      <c r="XAO456" s="67"/>
      <c r="XAP456" s="67"/>
      <c r="XAQ456" s="67"/>
      <c r="XAR456" s="67"/>
      <c r="XAS456" s="67"/>
      <c r="XAT456" s="67"/>
      <c r="XAU456" s="67"/>
      <c r="XAV456" s="67"/>
      <c r="XAW456" s="67"/>
      <c r="XAX456" s="67"/>
      <c r="XAY456" s="67"/>
      <c r="XAZ456" s="67"/>
      <c r="XBA456" s="67"/>
      <c r="XBB456" s="67"/>
      <c r="XBC456" s="67"/>
      <c r="XBD456" s="67"/>
      <c r="XBE456" s="67"/>
      <c r="XBF456" s="67"/>
      <c r="XBG456" s="67"/>
      <c r="XBH456" s="67"/>
      <c r="XBI456" s="67"/>
      <c r="XBJ456" s="67"/>
      <c r="XBK456" s="67"/>
      <c r="XBL456" s="67"/>
      <c r="XBM456" s="67"/>
      <c r="XBN456" s="67"/>
      <c r="XBO456" s="67"/>
      <c r="XBP456" s="67"/>
      <c r="XBQ456" s="67"/>
      <c r="XBR456" s="67"/>
      <c r="XBS456" s="67"/>
      <c r="XBT456" s="67"/>
      <c r="XBU456" s="67"/>
      <c r="XBV456" s="67"/>
      <c r="XBW456" s="67"/>
      <c r="XBX456" s="67"/>
      <c r="XBY456" s="67"/>
      <c r="XBZ456" s="67"/>
      <c r="XCA456" s="67"/>
      <c r="XCB456" s="67"/>
      <c r="XCC456" s="67"/>
      <c r="XCD456" s="67"/>
      <c r="XCE456" s="67"/>
      <c r="XCF456" s="67"/>
      <c r="XCG456" s="67"/>
      <c r="XCH456" s="67"/>
      <c r="XCI456" s="67"/>
      <c r="XCJ456" s="67"/>
      <c r="XCK456" s="67"/>
      <c r="XCL456" s="67"/>
      <c r="XCM456" s="67"/>
      <c r="XCN456" s="67"/>
      <c r="XCO456" s="67"/>
      <c r="XCP456" s="67"/>
      <c r="XCQ456" s="67"/>
      <c r="XCR456" s="67"/>
      <c r="XCS456" s="67"/>
      <c r="XCT456" s="67"/>
      <c r="XCU456" s="67"/>
      <c r="XCV456" s="67"/>
      <c r="XCW456" s="67"/>
      <c r="XCX456" s="67"/>
      <c r="XCY456" s="67"/>
      <c r="XCZ456" s="67"/>
      <c r="XDA456" s="67"/>
      <c r="XDB456" s="67"/>
      <c r="XDC456" s="67"/>
      <c r="XDD456" s="67"/>
      <c r="XDE456" s="67"/>
      <c r="XDF456" s="67"/>
      <c r="XDG456" s="67"/>
      <c r="XDH456" s="67"/>
      <c r="XDI456" s="67"/>
      <c r="XDJ456" s="67"/>
      <c r="XDK456" s="67"/>
      <c r="XDL456" s="67"/>
      <c r="XDM456" s="67"/>
      <c r="XDN456" s="67"/>
      <c r="XDO456" s="67"/>
      <c r="XDP456" s="67"/>
      <c r="XDQ456" s="67"/>
      <c r="XDR456" s="67"/>
      <c r="XDS456" s="67"/>
      <c r="XDT456" s="67"/>
      <c r="XDU456" s="67"/>
      <c r="XDV456" s="67"/>
      <c r="XDW456" s="67"/>
      <c r="XDX456" s="67"/>
      <c r="XDY456" s="67"/>
      <c r="XDZ456" s="67"/>
      <c r="XEA456" s="67"/>
      <c r="XEB456" s="67"/>
      <c r="XEC456" s="67"/>
      <c r="XED456" s="67"/>
      <c r="XEE456" s="67"/>
      <c r="XEF456" s="67"/>
      <c r="XEG456" s="67"/>
      <c r="XEH456" s="67"/>
      <c r="XEI456" s="67"/>
      <c r="XEJ456" s="67"/>
      <c r="XEK456" s="67"/>
      <c r="XEL456" s="67"/>
      <c r="XEM456" s="67"/>
      <c r="XEN456" s="67"/>
      <c r="XEO456" s="67"/>
      <c r="XEP456" s="67"/>
      <c r="XEQ456" s="67"/>
      <c r="XER456" s="67"/>
      <c r="XES456" s="67"/>
      <c r="XET456" s="67"/>
      <c r="XEU456" s="67"/>
      <c r="XEV456" s="67"/>
      <c r="XEW456" s="67"/>
    </row>
    <row r="457" spans="1:16377" s="14" customFormat="1" ht="15" customHeight="1" x14ac:dyDescent="0.25">
      <c r="A457" s="100">
        <v>45838</v>
      </c>
      <c r="B457" s="104">
        <v>3912</v>
      </c>
      <c r="C457" s="201" t="s">
        <v>485</v>
      </c>
      <c r="D457" s="104" t="s">
        <v>17</v>
      </c>
      <c r="E457" s="104" t="s">
        <v>493</v>
      </c>
      <c r="F457" s="100">
        <v>45473</v>
      </c>
      <c r="G457" s="105">
        <v>1</v>
      </c>
      <c r="H457" s="99">
        <v>83</v>
      </c>
      <c r="I457" s="106"/>
      <c r="J457" s="107"/>
      <c r="K457" s="104"/>
      <c r="L457" s="103" t="str">
        <f t="shared" si="7"/>
        <v>Impayé</v>
      </c>
      <c r="M457" s="74"/>
      <c r="N457" s="15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/>
      <c r="AO457" s="67"/>
      <c r="AP457" s="67"/>
      <c r="AQ457" s="67"/>
      <c r="AR457" s="67"/>
      <c r="AS457" s="67"/>
      <c r="AT457" s="67"/>
      <c r="AU457" s="67"/>
      <c r="AV457" s="67"/>
      <c r="AW457" s="67"/>
      <c r="AX457" s="67"/>
      <c r="AY457" s="67"/>
      <c r="AZ457" s="67"/>
      <c r="BA457" s="67"/>
      <c r="BB457" s="67"/>
      <c r="BC457" s="67"/>
      <c r="BD457" s="67"/>
      <c r="BE457" s="67"/>
      <c r="BF457" s="67"/>
      <c r="BG457" s="67"/>
      <c r="BH457" s="67"/>
      <c r="BI457" s="67"/>
      <c r="BJ457" s="67"/>
      <c r="BK457" s="67"/>
      <c r="BL457" s="67"/>
      <c r="BM457" s="67"/>
      <c r="BN457" s="67"/>
      <c r="BO457" s="67"/>
      <c r="BP457" s="67"/>
      <c r="BQ457" s="67"/>
      <c r="BR457" s="67"/>
      <c r="BS457" s="67"/>
      <c r="BT457" s="67"/>
      <c r="BU457" s="67"/>
      <c r="BV457" s="67"/>
      <c r="BW457" s="67"/>
      <c r="BX457" s="67"/>
      <c r="BY457" s="67"/>
      <c r="BZ457" s="67"/>
      <c r="CA457" s="67"/>
      <c r="CB457" s="67"/>
      <c r="CC457" s="67"/>
      <c r="CD457" s="67"/>
      <c r="CE457" s="67"/>
      <c r="CF457" s="67"/>
      <c r="CG457" s="67"/>
      <c r="CH457" s="67"/>
      <c r="CI457" s="67"/>
      <c r="CJ457" s="67"/>
      <c r="CK457" s="67"/>
      <c r="CL457" s="67"/>
      <c r="CM457" s="67"/>
      <c r="CN457" s="67"/>
      <c r="CO457" s="67"/>
      <c r="CP457" s="67"/>
      <c r="CQ457" s="67"/>
      <c r="CR457" s="67"/>
      <c r="CS457" s="67"/>
      <c r="CT457" s="67"/>
      <c r="CU457" s="67"/>
      <c r="CV457" s="67"/>
      <c r="CW457" s="67"/>
      <c r="CX457" s="67"/>
      <c r="CY457" s="67"/>
      <c r="CZ457" s="67"/>
      <c r="DA457" s="67"/>
      <c r="DB457" s="67"/>
      <c r="DC457" s="67"/>
      <c r="DD457" s="67"/>
      <c r="DE457" s="67"/>
      <c r="DF457" s="67"/>
      <c r="DG457" s="67"/>
      <c r="DH457" s="67"/>
      <c r="DI457" s="67"/>
      <c r="DJ457" s="67"/>
      <c r="DK457" s="67"/>
      <c r="DL457" s="67"/>
      <c r="DM457" s="67"/>
      <c r="DN457" s="67"/>
      <c r="DO457" s="67"/>
      <c r="DP457" s="67"/>
      <c r="DQ457" s="67"/>
      <c r="DR457" s="67"/>
      <c r="DS457" s="67"/>
      <c r="DT457" s="67"/>
      <c r="DU457" s="67"/>
      <c r="DV457" s="67"/>
      <c r="DW457" s="67"/>
      <c r="DX457" s="67"/>
      <c r="DY457" s="67"/>
      <c r="DZ457" s="67"/>
      <c r="EA457" s="67"/>
      <c r="EB457" s="67"/>
      <c r="EC457" s="67"/>
      <c r="ED457" s="67"/>
      <c r="EE457" s="67"/>
      <c r="EF457" s="67"/>
      <c r="EG457" s="67"/>
      <c r="EH457" s="67"/>
      <c r="EI457" s="67"/>
      <c r="EJ457" s="67"/>
      <c r="EK457" s="67"/>
      <c r="EL457" s="67"/>
      <c r="EM457" s="67"/>
      <c r="EN457" s="67"/>
      <c r="EO457" s="67"/>
      <c r="EP457" s="67"/>
      <c r="EQ457" s="67"/>
      <c r="ER457" s="67"/>
      <c r="ES457" s="67"/>
      <c r="ET457" s="67"/>
      <c r="EU457" s="67"/>
      <c r="EV457" s="67"/>
      <c r="EW457" s="67"/>
      <c r="EX457" s="67"/>
      <c r="EY457" s="67"/>
      <c r="EZ457" s="67"/>
      <c r="FA457" s="67"/>
      <c r="FB457" s="67"/>
      <c r="FC457" s="67"/>
      <c r="FD457" s="67"/>
      <c r="FE457" s="67"/>
      <c r="FF457" s="67"/>
      <c r="FG457" s="67"/>
      <c r="FH457" s="67"/>
      <c r="FI457" s="67"/>
      <c r="FJ457" s="67"/>
      <c r="FK457" s="67"/>
      <c r="FL457" s="67"/>
      <c r="FM457" s="67"/>
      <c r="FN457" s="67"/>
      <c r="FO457" s="67"/>
      <c r="FP457" s="67"/>
      <c r="FQ457" s="67"/>
      <c r="FR457" s="67"/>
      <c r="FS457" s="67"/>
      <c r="FT457" s="67"/>
      <c r="FU457" s="67"/>
      <c r="FV457" s="67"/>
      <c r="FW457" s="67"/>
      <c r="FX457" s="67"/>
      <c r="FY457" s="67"/>
      <c r="FZ457" s="67"/>
      <c r="GA457" s="67"/>
      <c r="GB457" s="67"/>
      <c r="GC457" s="67"/>
      <c r="GD457" s="67"/>
      <c r="GE457" s="67"/>
      <c r="GF457" s="67"/>
      <c r="GG457" s="67"/>
      <c r="GH457" s="67"/>
      <c r="GI457" s="67"/>
      <c r="GJ457" s="67"/>
      <c r="GK457" s="67"/>
      <c r="GL457" s="67"/>
      <c r="GM457" s="67"/>
      <c r="GN457" s="67"/>
      <c r="GO457" s="67"/>
      <c r="GP457" s="67"/>
      <c r="GQ457" s="67"/>
      <c r="GR457" s="67"/>
      <c r="GS457" s="67"/>
      <c r="GT457" s="67"/>
      <c r="GU457" s="67"/>
      <c r="GV457" s="67"/>
      <c r="GW457" s="67"/>
      <c r="GX457" s="67"/>
      <c r="GY457" s="67"/>
      <c r="GZ457" s="67"/>
      <c r="HA457" s="67"/>
      <c r="HB457" s="67"/>
      <c r="HC457" s="67"/>
      <c r="HD457" s="67"/>
      <c r="HE457" s="67"/>
      <c r="HF457" s="67"/>
      <c r="HG457" s="67"/>
      <c r="HH457" s="67"/>
      <c r="HI457" s="67"/>
      <c r="HJ457" s="67"/>
      <c r="HK457" s="67"/>
      <c r="HL457" s="67"/>
      <c r="HM457" s="67"/>
      <c r="HN457" s="67"/>
      <c r="HO457" s="67"/>
      <c r="HP457" s="67"/>
      <c r="HQ457" s="67"/>
      <c r="HR457" s="67"/>
      <c r="HS457" s="67"/>
      <c r="HT457" s="67"/>
      <c r="HU457" s="67"/>
      <c r="HV457" s="67"/>
      <c r="HW457" s="67"/>
      <c r="HX457" s="67"/>
      <c r="HY457" s="67"/>
      <c r="HZ457" s="67"/>
      <c r="IA457" s="67"/>
      <c r="IB457" s="67"/>
      <c r="IC457" s="67"/>
      <c r="ID457" s="67"/>
      <c r="IE457" s="67"/>
      <c r="IF457" s="67"/>
      <c r="IG457" s="67"/>
      <c r="IH457" s="67"/>
      <c r="II457" s="67"/>
      <c r="IJ457" s="67"/>
      <c r="IK457" s="67"/>
      <c r="IL457" s="67"/>
      <c r="IM457" s="67"/>
      <c r="IN457" s="67"/>
      <c r="IO457" s="67"/>
      <c r="IP457" s="67"/>
      <c r="IQ457" s="67"/>
      <c r="IR457" s="67"/>
      <c r="IS457" s="67"/>
      <c r="IT457" s="67"/>
      <c r="IU457" s="67"/>
      <c r="IV457" s="67"/>
      <c r="IW457" s="67"/>
      <c r="IX457" s="67"/>
      <c r="IY457" s="67"/>
      <c r="IZ457" s="67"/>
      <c r="JA457" s="67"/>
      <c r="JB457" s="67"/>
      <c r="JC457" s="67"/>
      <c r="JD457" s="67"/>
      <c r="JE457" s="67"/>
      <c r="JF457" s="67"/>
      <c r="JG457" s="67"/>
      <c r="JH457" s="67"/>
      <c r="JI457" s="67"/>
      <c r="JJ457" s="67"/>
      <c r="JK457" s="67"/>
      <c r="JL457" s="67"/>
      <c r="JM457" s="67"/>
      <c r="JN457" s="67"/>
      <c r="JO457" s="67"/>
      <c r="JP457" s="67"/>
      <c r="JQ457" s="67"/>
      <c r="JR457" s="67"/>
      <c r="JS457" s="67"/>
      <c r="JT457" s="67"/>
      <c r="JU457" s="67"/>
      <c r="JV457" s="67"/>
      <c r="JW457" s="67"/>
      <c r="JX457" s="67"/>
      <c r="JY457" s="67"/>
      <c r="JZ457" s="67"/>
      <c r="KA457" s="67"/>
      <c r="KB457" s="67"/>
      <c r="KC457" s="67"/>
      <c r="KD457" s="67"/>
      <c r="KE457" s="67"/>
      <c r="KF457" s="67"/>
      <c r="KG457" s="67"/>
      <c r="KH457" s="67"/>
      <c r="KI457" s="67"/>
      <c r="KJ457" s="67"/>
      <c r="KK457" s="67"/>
      <c r="KL457" s="67"/>
      <c r="KM457" s="67"/>
      <c r="KN457" s="67"/>
      <c r="KO457" s="67"/>
      <c r="KP457" s="67"/>
      <c r="KQ457" s="67"/>
      <c r="KR457" s="67"/>
      <c r="KS457" s="67"/>
      <c r="KT457" s="67"/>
      <c r="KU457" s="67"/>
      <c r="KV457" s="67"/>
      <c r="KW457" s="67"/>
      <c r="KX457" s="67"/>
      <c r="KY457" s="67"/>
      <c r="KZ457" s="67"/>
      <c r="LA457" s="67"/>
      <c r="LB457" s="67"/>
      <c r="LC457" s="67"/>
      <c r="LD457" s="67"/>
      <c r="LE457" s="67"/>
      <c r="LF457" s="67"/>
      <c r="LG457" s="67"/>
      <c r="LH457" s="67"/>
      <c r="LI457" s="67"/>
      <c r="LJ457" s="67"/>
      <c r="LK457" s="67"/>
      <c r="LL457" s="67"/>
      <c r="LM457" s="67"/>
      <c r="LN457" s="67"/>
      <c r="LO457" s="67"/>
      <c r="LP457" s="67"/>
      <c r="LQ457" s="67"/>
      <c r="LR457" s="67"/>
      <c r="LS457" s="67"/>
      <c r="LT457" s="67"/>
      <c r="LU457" s="67"/>
      <c r="LV457" s="67"/>
      <c r="LW457" s="67"/>
      <c r="LX457" s="67"/>
      <c r="LY457" s="67"/>
      <c r="LZ457" s="67"/>
      <c r="MA457" s="67"/>
      <c r="MB457" s="67"/>
      <c r="MC457" s="67"/>
      <c r="MD457" s="67"/>
      <c r="ME457" s="67"/>
      <c r="MF457" s="67"/>
      <c r="MG457" s="67"/>
      <c r="MH457" s="67"/>
      <c r="MI457" s="67"/>
      <c r="MJ457" s="67"/>
      <c r="MK457" s="67"/>
      <c r="ML457" s="67"/>
      <c r="MM457" s="67"/>
      <c r="MN457" s="67"/>
      <c r="MO457" s="67"/>
      <c r="MP457" s="67"/>
      <c r="MQ457" s="67"/>
      <c r="MR457" s="67"/>
      <c r="MS457" s="67"/>
      <c r="MT457" s="67"/>
      <c r="MU457" s="67"/>
      <c r="MV457" s="67"/>
      <c r="MW457" s="67"/>
      <c r="MX457" s="67"/>
      <c r="MY457" s="67"/>
      <c r="MZ457" s="67"/>
      <c r="NA457" s="67"/>
      <c r="NB457" s="67"/>
      <c r="NC457" s="67"/>
      <c r="ND457" s="67"/>
      <c r="NE457" s="67"/>
      <c r="NF457" s="67"/>
      <c r="NG457" s="67"/>
      <c r="NH457" s="67"/>
      <c r="NI457" s="67"/>
      <c r="NJ457" s="67"/>
      <c r="NK457" s="67"/>
      <c r="NL457" s="67"/>
      <c r="NM457" s="67"/>
      <c r="NN457" s="67"/>
      <c r="NO457" s="67"/>
      <c r="NP457" s="67"/>
      <c r="NQ457" s="67"/>
      <c r="NR457" s="67"/>
      <c r="NS457" s="67"/>
      <c r="NT457" s="67"/>
      <c r="NU457" s="67"/>
      <c r="NV457" s="67"/>
      <c r="NW457" s="67"/>
      <c r="NX457" s="67"/>
      <c r="NY457" s="67"/>
      <c r="NZ457" s="67"/>
      <c r="OA457" s="67"/>
      <c r="OB457" s="67"/>
      <c r="OC457" s="67"/>
      <c r="OD457" s="67"/>
      <c r="OE457" s="67"/>
      <c r="OF457" s="67"/>
      <c r="OG457" s="67"/>
      <c r="OH457" s="67"/>
      <c r="OI457" s="67"/>
      <c r="OJ457" s="67"/>
      <c r="OK457" s="67"/>
      <c r="OL457" s="67"/>
      <c r="OM457" s="67"/>
      <c r="ON457" s="67"/>
      <c r="OO457" s="67"/>
      <c r="OP457" s="67"/>
      <c r="OQ457" s="67"/>
      <c r="OR457" s="67"/>
      <c r="OS457" s="67"/>
      <c r="OT457" s="67"/>
      <c r="OU457" s="67"/>
      <c r="OV457" s="67"/>
      <c r="OW457" s="67"/>
      <c r="OX457" s="67"/>
      <c r="OY457" s="67"/>
      <c r="OZ457" s="67"/>
      <c r="PA457" s="67"/>
      <c r="PB457" s="67"/>
      <c r="PC457" s="67"/>
      <c r="PD457" s="67"/>
      <c r="PE457" s="67"/>
      <c r="PF457" s="67"/>
      <c r="PG457" s="67"/>
      <c r="PH457" s="67"/>
      <c r="PI457" s="67"/>
      <c r="PJ457" s="67"/>
      <c r="PK457" s="67"/>
      <c r="PL457" s="67"/>
      <c r="PM457" s="67"/>
      <c r="PN457" s="67"/>
      <c r="PO457" s="67"/>
      <c r="PP457" s="67"/>
      <c r="PQ457" s="67"/>
      <c r="PR457" s="67"/>
      <c r="PS457" s="67"/>
      <c r="PT457" s="67"/>
      <c r="PU457" s="67"/>
      <c r="PV457" s="67"/>
      <c r="PW457" s="67"/>
      <c r="PX457" s="67"/>
      <c r="PY457" s="67"/>
      <c r="PZ457" s="67"/>
      <c r="QA457" s="67"/>
      <c r="QB457" s="67"/>
      <c r="QC457" s="67"/>
      <c r="QD457" s="67"/>
      <c r="QE457" s="67"/>
      <c r="QF457" s="67"/>
      <c r="QG457" s="67"/>
      <c r="QH457" s="67"/>
      <c r="QI457" s="67"/>
      <c r="QJ457" s="67"/>
      <c r="QK457" s="67"/>
      <c r="QL457" s="67"/>
      <c r="QM457" s="67"/>
      <c r="QN457" s="67"/>
      <c r="QO457" s="67"/>
      <c r="QP457" s="67"/>
      <c r="QQ457" s="67"/>
      <c r="QR457" s="67"/>
      <c r="QS457" s="67"/>
      <c r="QT457" s="67"/>
      <c r="QU457" s="67"/>
      <c r="QV457" s="67"/>
      <c r="QW457" s="67"/>
      <c r="QX457" s="67"/>
      <c r="QY457" s="67"/>
      <c r="QZ457" s="67"/>
      <c r="RA457" s="67"/>
      <c r="RB457" s="67"/>
      <c r="RC457" s="67"/>
      <c r="RD457" s="67"/>
      <c r="RE457" s="67"/>
      <c r="RF457" s="67"/>
      <c r="RG457" s="67"/>
      <c r="RH457" s="67"/>
      <c r="RI457" s="67"/>
      <c r="RJ457" s="67"/>
      <c r="RK457" s="67"/>
      <c r="RL457" s="67"/>
      <c r="RM457" s="67"/>
      <c r="RN457" s="67"/>
      <c r="RO457" s="67"/>
      <c r="RP457" s="67"/>
      <c r="RQ457" s="67"/>
      <c r="RR457" s="67"/>
      <c r="RS457" s="67"/>
      <c r="RT457" s="67"/>
      <c r="RU457" s="67"/>
      <c r="RV457" s="67"/>
      <c r="RW457" s="67"/>
      <c r="RX457" s="67"/>
      <c r="RY457" s="67"/>
      <c r="RZ457" s="67"/>
      <c r="SA457" s="67"/>
      <c r="SB457" s="67"/>
      <c r="SC457" s="67"/>
      <c r="SD457" s="67"/>
      <c r="SE457" s="67"/>
      <c r="SF457" s="67"/>
      <c r="SG457" s="67"/>
      <c r="SH457" s="67"/>
      <c r="SI457" s="67"/>
      <c r="SJ457" s="67"/>
      <c r="SK457" s="67"/>
      <c r="SL457" s="67"/>
      <c r="SM457" s="67"/>
      <c r="SN457" s="67"/>
      <c r="SO457" s="67"/>
      <c r="SP457" s="67"/>
      <c r="SQ457" s="67"/>
      <c r="SR457" s="67"/>
      <c r="SS457" s="67"/>
      <c r="ST457" s="67"/>
      <c r="SU457" s="67"/>
      <c r="SV457" s="67"/>
      <c r="SW457" s="67"/>
      <c r="SX457" s="67"/>
      <c r="SY457" s="67"/>
      <c r="SZ457" s="67"/>
      <c r="TA457" s="67"/>
      <c r="TB457" s="67"/>
      <c r="TC457" s="67"/>
      <c r="TD457" s="67"/>
      <c r="TE457" s="67"/>
      <c r="TF457" s="67"/>
      <c r="TG457" s="67"/>
      <c r="TH457" s="67"/>
      <c r="TI457" s="67"/>
      <c r="TJ457" s="67"/>
      <c r="TK457" s="67"/>
      <c r="TL457" s="67"/>
      <c r="TM457" s="67"/>
      <c r="TN457" s="67"/>
      <c r="TO457" s="67"/>
      <c r="TP457" s="67"/>
      <c r="TQ457" s="67"/>
      <c r="TR457" s="67"/>
      <c r="TS457" s="67"/>
      <c r="TT457" s="67"/>
      <c r="TU457" s="67"/>
      <c r="TV457" s="67"/>
      <c r="TW457" s="67"/>
      <c r="TX457" s="67"/>
      <c r="TY457" s="67"/>
      <c r="TZ457" s="67"/>
      <c r="UA457" s="67"/>
      <c r="UB457" s="67"/>
      <c r="UC457" s="67"/>
      <c r="UD457" s="67"/>
      <c r="UE457" s="67"/>
      <c r="UF457" s="67"/>
      <c r="UG457" s="67"/>
      <c r="UH457" s="67"/>
      <c r="UI457" s="67"/>
      <c r="UJ457" s="67"/>
      <c r="UK457" s="67"/>
      <c r="UL457" s="67"/>
      <c r="UM457" s="67"/>
      <c r="UN457" s="67"/>
      <c r="UO457" s="67"/>
      <c r="UP457" s="67"/>
      <c r="UQ457" s="67"/>
      <c r="UR457" s="67"/>
      <c r="US457" s="67"/>
      <c r="UT457" s="67"/>
      <c r="UU457" s="67"/>
      <c r="UV457" s="67"/>
      <c r="UW457" s="67"/>
      <c r="UX457" s="67"/>
      <c r="UY457" s="67"/>
      <c r="UZ457" s="67"/>
      <c r="VA457" s="67"/>
      <c r="VB457" s="67"/>
      <c r="VC457" s="67"/>
      <c r="VD457" s="67"/>
      <c r="VE457" s="67"/>
      <c r="VF457" s="67"/>
      <c r="VG457" s="67"/>
      <c r="VH457" s="67"/>
      <c r="VI457" s="67"/>
      <c r="VJ457" s="67"/>
      <c r="VK457" s="67"/>
      <c r="VL457" s="67"/>
      <c r="VM457" s="67"/>
      <c r="VN457" s="67"/>
      <c r="VO457" s="67"/>
      <c r="VP457" s="67"/>
      <c r="VQ457" s="67"/>
      <c r="VR457" s="67"/>
      <c r="VS457" s="67"/>
      <c r="VT457" s="67"/>
      <c r="VU457" s="67"/>
      <c r="VV457" s="67"/>
      <c r="VW457" s="67"/>
      <c r="VX457" s="67"/>
      <c r="VY457" s="67"/>
      <c r="VZ457" s="67"/>
      <c r="WA457" s="67"/>
      <c r="WB457" s="67"/>
      <c r="WC457" s="67"/>
      <c r="WD457" s="67"/>
      <c r="WE457" s="67"/>
      <c r="WF457" s="67"/>
      <c r="WG457" s="67"/>
      <c r="WH457" s="67"/>
      <c r="WI457" s="67"/>
      <c r="WJ457" s="67"/>
      <c r="WK457" s="67"/>
      <c r="WL457" s="67"/>
      <c r="WM457" s="67"/>
      <c r="WN457" s="67"/>
      <c r="WO457" s="67"/>
      <c r="WP457" s="67"/>
      <c r="WQ457" s="67"/>
      <c r="WR457" s="67"/>
      <c r="WS457" s="67"/>
      <c r="WT457" s="67"/>
      <c r="WU457" s="67"/>
      <c r="WV457" s="67"/>
      <c r="WW457" s="67"/>
      <c r="WX457" s="67"/>
      <c r="WY457" s="67"/>
      <c r="WZ457" s="67"/>
      <c r="XA457" s="67"/>
      <c r="XB457" s="67"/>
      <c r="XC457" s="67"/>
      <c r="XD457" s="67"/>
      <c r="XE457" s="67"/>
      <c r="XF457" s="67"/>
      <c r="XG457" s="67"/>
      <c r="XH457" s="67"/>
      <c r="XI457" s="67"/>
      <c r="XJ457" s="67"/>
      <c r="XK457" s="67"/>
      <c r="XL457" s="67"/>
      <c r="XM457" s="67"/>
      <c r="XN457" s="67"/>
      <c r="XO457" s="67"/>
      <c r="XP457" s="67"/>
      <c r="XQ457" s="67"/>
      <c r="XR457" s="67"/>
      <c r="XS457" s="67"/>
      <c r="XT457" s="67"/>
      <c r="XU457" s="67"/>
      <c r="XV457" s="67"/>
      <c r="XW457" s="67"/>
      <c r="XX457" s="67"/>
      <c r="XY457" s="67"/>
      <c r="XZ457" s="67"/>
      <c r="YA457" s="67"/>
      <c r="YB457" s="67"/>
      <c r="YC457" s="67"/>
      <c r="YD457" s="67"/>
      <c r="YE457" s="67"/>
      <c r="YF457" s="67"/>
      <c r="YG457" s="67"/>
      <c r="YH457" s="67"/>
      <c r="YI457" s="67"/>
      <c r="YJ457" s="67"/>
      <c r="YK457" s="67"/>
      <c r="YL457" s="67"/>
      <c r="YM457" s="67"/>
      <c r="YN457" s="67"/>
      <c r="YO457" s="67"/>
      <c r="YP457" s="67"/>
      <c r="YQ457" s="67"/>
      <c r="YR457" s="67"/>
      <c r="YS457" s="67"/>
      <c r="YT457" s="67"/>
      <c r="YU457" s="67"/>
      <c r="YV457" s="67"/>
      <c r="YW457" s="67"/>
      <c r="YX457" s="67"/>
      <c r="YY457" s="67"/>
      <c r="YZ457" s="67"/>
      <c r="ZA457" s="67"/>
      <c r="ZB457" s="67"/>
      <c r="ZC457" s="67"/>
      <c r="ZD457" s="67"/>
      <c r="ZE457" s="67"/>
      <c r="ZF457" s="67"/>
      <c r="ZG457" s="67"/>
      <c r="ZH457" s="67"/>
      <c r="ZI457" s="67"/>
      <c r="ZJ457" s="67"/>
      <c r="ZK457" s="67"/>
      <c r="ZL457" s="67"/>
      <c r="ZM457" s="67"/>
      <c r="ZN457" s="67"/>
      <c r="ZO457" s="67"/>
      <c r="ZP457" s="67"/>
      <c r="ZQ457" s="67"/>
      <c r="ZR457" s="67"/>
      <c r="ZS457" s="67"/>
      <c r="ZT457" s="67"/>
      <c r="ZU457" s="67"/>
      <c r="ZV457" s="67"/>
      <c r="ZW457" s="67"/>
      <c r="ZX457" s="67"/>
      <c r="ZY457" s="67"/>
      <c r="ZZ457" s="67"/>
      <c r="AAA457" s="67"/>
      <c r="AAB457" s="67"/>
      <c r="AAC457" s="67"/>
      <c r="AAD457" s="67"/>
      <c r="AAE457" s="67"/>
      <c r="AAF457" s="67"/>
      <c r="AAG457" s="67"/>
      <c r="AAH457" s="67"/>
      <c r="AAI457" s="67"/>
      <c r="AAJ457" s="67"/>
      <c r="AAK457" s="67"/>
      <c r="AAL457" s="67"/>
      <c r="AAM457" s="67"/>
      <c r="AAN457" s="67"/>
      <c r="AAO457" s="67"/>
      <c r="AAP457" s="67"/>
      <c r="AAQ457" s="67"/>
      <c r="AAR457" s="67"/>
      <c r="AAS457" s="67"/>
      <c r="AAT457" s="67"/>
      <c r="AAU457" s="67"/>
      <c r="AAV457" s="67"/>
      <c r="AAW457" s="67"/>
      <c r="AAX457" s="67"/>
      <c r="AAY457" s="67"/>
      <c r="AAZ457" s="67"/>
      <c r="ABA457" s="67"/>
      <c r="ABB457" s="67"/>
      <c r="ABC457" s="67"/>
      <c r="ABD457" s="67"/>
      <c r="ABE457" s="67"/>
      <c r="ABF457" s="67"/>
      <c r="ABG457" s="67"/>
      <c r="ABH457" s="67"/>
      <c r="ABI457" s="67"/>
      <c r="ABJ457" s="67"/>
      <c r="ABK457" s="67"/>
      <c r="ABL457" s="67"/>
      <c r="ABM457" s="67"/>
      <c r="ABN457" s="67"/>
      <c r="ABO457" s="67"/>
      <c r="ABP457" s="67"/>
      <c r="ABQ457" s="67"/>
      <c r="ABR457" s="67"/>
      <c r="ABS457" s="67"/>
      <c r="ABT457" s="67"/>
      <c r="ABU457" s="67"/>
      <c r="ABV457" s="67"/>
      <c r="ABW457" s="67"/>
      <c r="ABX457" s="67"/>
      <c r="ABY457" s="67"/>
      <c r="ABZ457" s="67"/>
      <c r="ACA457" s="67"/>
      <c r="ACB457" s="67"/>
      <c r="ACC457" s="67"/>
      <c r="ACD457" s="67"/>
      <c r="ACE457" s="67"/>
      <c r="ACF457" s="67"/>
      <c r="ACG457" s="67"/>
      <c r="ACH457" s="67"/>
      <c r="ACI457" s="67"/>
      <c r="ACJ457" s="67"/>
      <c r="ACK457" s="67"/>
      <c r="ACL457" s="67"/>
      <c r="ACM457" s="67"/>
      <c r="ACN457" s="67"/>
      <c r="ACO457" s="67"/>
      <c r="ACP457" s="67"/>
      <c r="ACQ457" s="67"/>
      <c r="ACR457" s="67"/>
      <c r="ACS457" s="67"/>
      <c r="ACT457" s="67"/>
      <c r="ACU457" s="67"/>
      <c r="ACV457" s="67"/>
      <c r="ACW457" s="67"/>
      <c r="ACX457" s="67"/>
      <c r="ACY457" s="67"/>
      <c r="ACZ457" s="67"/>
      <c r="ADA457" s="67"/>
      <c r="ADB457" s="67"/>
      <c r="ADC457" s="67"/>
      <c r="ADD457" s="67"/>
      <c r="ADE457" s="67"/>
      <c r="ADF457" s="67"/>
      <c r="ADG457" s="67"/>
      <c r="ADH457" s="67"/>
      <c r="ADI457" s="67"/>
      <c r="ADJ457" s="67"/>
      <c r="ADK457" s="67"/>
      <c r="ADL457" s="67"/>
      <c r="ADM457" s="67"/>
      <c r="ADN457" s="67"/>
      <c r="ADO457" s="67"/>
      <c r="ADP457" s="67"/>
      <c r="ADQ457" s="67"/>
      <c r="ADR457" s="67"/>
      <c r="ADS457" s="67"/>
      <c r="ADT457" s="67"/>
      <c r="ADU457" s="67"/>
      <c r="ADV457" s="67"/>
      <c r="ADW457" s="67"/>
      <c r="ADX457" s="67"/>
      <c r="ADY457" s="67"/>
      <c r="ADZ457" s="67"/>
      <c r="AEA457" s="67"/>
      <c r="AEB457" s="67"/>
      <c r="AEC457" s="67"/>
      <c r="AED457" s="67"/>
      <c r="AEE457" s="67"/>
      <c r="AEF457" s="67"/>
      <c r="AEG457" s="67"/>
      <c r="AEH457" s="67"/>
      <c r="AEI457" s="67"/>
      <c r="AEJ457" s="67"/>
      <c r="AEK457" s="67"/>
      <c r="AEL457" s="67"/>
      <c r="AEM457" s="67"/>
      <c r="AEN457" s="67"/>
      <c r="AEO457" s="67"/>
      <c r="AEP457" s="67"/>
      <c r="AEQ457" s="67"/>
      <c r="AER457" s="67"/>
      <c r="AES457" s="67"/>
      <c r="AET457" s="67"/>
      <c r="AEU457" s="67"/>
      <c r="AEV457" s="67"/>
      <c r="AEW457" s="67"/>
      <c r="AEX457" s="67"/>
      <c r="AEY457" s="67"/>
      <c r="AEZ457" s="67"/>
      <c r="AFA457" s="67"/>
      <c r="AFB457" s="67"/>
      <c r="AFC457" s="67"/>
      <c r="AFD457" s="67"/>
      <c r="AFE457" s="67"/>
      <c r="AFF457" s="67"/>
      <c r="AFG457" s="67"/>
      <c r="AFH457" s="67"/>
      <c r="AFI457" s="67"/>
      <c r="AFJ457" s="67"/>
      <c r="AFK457" s="67"/>
      <c r="AFL457" s="67"/>
      <c r="AFM457" s="67"/>
      <c r="AFN457" s="67"/>
      <c r="AFO457" s="67"/>
      <c r="AFP457" s="67"/>
      <c r="AFQ457" s="67"/>
      <c r="AFR457" s="67"/>
      <c r="AFS457" s="67"/>
      <c r="AFT457" s="67"/>
      <c r="AFU457" s="67"/>
      <c r="AFV457" s="67"/>
      <c r="AFW457" s="67"/>
      <c r="AFX457" s="67"/>
      <c r="AFY457" s="67"/>
      <c r="AFZ457" s="67"/>
      <c r="AGA457" s="67"/>
      <c r="AGB457" s="67"/>
      <c r="AGC457" s="67"/>
      <c r="AGD457" s="67"/>
      <c r="AGE457" s="67"/>
      <c r="AGF457" s="67"/>
      <c r="AGG457" s="67"/>
      <c r="AGH457" s="67"/>
      <c r="AGI457" s="67"/>
      <c r="AGJ457" s="67"/>
      <c r="AGK457" s="67"/>
      <c r="AGL457" s="67"/>
      <c r="AGM457" s="67"/>
      <c r="AGN457" s="67"/>
      <c r="AGO457" s="67"/>
      <c r="AGP457" s="67"/>
      <c r="AGQ457" s="67"/>
      <c r="AGR457" s="67"/>
      <c r="AGS457" s="67"/>
      <c r="AGT457" s="67"/>
      <c r="AGU457" s="67"/>
      <c r="AGV457" s="67"/>
      <c r="AGW457" s="67"/>
      <c r="AGX457" s="67"/>
      <c r="AGY457" s="67"/>
      <c r="AGZ457" s="67"/>
      <c r="AHA457" s="67"/>
      <c r="AHB457" s="67"/>
      <c r="AHC457" s="67"/>
      <c r="AHD457" s="67"/>
      <c r="AHE457" s="67"/>
      <c r="AHF457" s="67"/>
      <c r="AHG457" s="67"/>
      <c r="AHH457" s="67"/>
      <c r="AHI457" s="67"/>
      <c r="AHJ457" s="67"/>
      <c r="AHK457" s="67"/>
      <c r="AHL457" s="67"/>
      <c r="AHM457" s="67"/>
      <c r="AHN457" s="67"/>
      <c r="AHO457" s="67"/>
      <c r="AHP457" s="67"/>
      <c r="AHQ457" s="67"/>
      <c r="AHR457" s="67"/>
      <c r="AHS457" s="67"/>
      <c r="AHT457" s="67"/>
      <c r="AHU457" s="67"/>
      <c r="AHV457" s="67"/>
      <c r="AHW457" s="67"/>
      <c r="AHX457" s="67"/>
      <c r="AHY457" s="67"/>
      <c r="AHZ457" s="67"/>
      <c r="AIA457" s="67"/>
      <c r="AIB457" s="67"/>
      <c r="AIC457" s="67"/>
      <c r="AID457" s="67"/>
      <c r="AIE457" s="67"/>
      <c r="AIF457" s="67"/>
      <c r="AIG457" s="67"/>
      <c r="AIH457" s="67"/>
      <c r="AII457" s="67"/>
      <c r="AIJ457" s="67"/>
      <c r="AIK457" s="67"/>
      <c r="AIL457" s="67"/>
      <c r="AIM457" s="67"/>
      <c r="AIN457" s="67"/>
      <c r="AIO457" s="67"/>
      <c r="AIP457" s="67"/>
      <c r="AIQ457" s="67"/>
      <c r="AIR457" s="67"/>
      <c r="AIS457" s="67"/>
      <c r="AIT457" s="67"/>
      <c r="AIU457" s="67"/>
      <c r="AIV457" s="67"/>
      <c r="AIW457" s="67"/>
      <c r="AIX457" s="67"/>
      <c r="AIY457" s="67"/>
      <c r="AIZ457" s="67"/>
      <c r="AJA457" s="67"/>
      <c r="AJB457" s="67"/>
      <c r="AJC457" s="67"/>
      <c r="AJD457" s="67"/>
      <c r="AJE457" s="67"/>
      <c r="AJF457" s="67"/>
      <c r="AJG457" s="67"/>
      <c r="AJH457" s="67"/>
      <c r="AJI457" s="67"/>
      <c r="AJJ457" s="67"/>
      <c r="AJK457" s="67"/>
      <c r="AJL457" s="67"/>
      <c r="AJM457" s="67"/>
      <c r="AJN457" s="67"/>
      <c r="AJO457" s="67"/>
      <c r="AJP457" s="67"/>
      <c r="AJQ457" s="67"/>
      <c r="AJR457" s="67"/>
      <c r="AJS457" s="67"/>
      <c r="AJT457" s="67"/>
      <c r="AJU457" s="67"/>
      <c r="AJV457" s="67"/>
      <c r="AJW457" s="67"/>
      <c r="AJX457" s="67"/>
      <c r="AJY457" s="67"/>
      <c r="AJZ457" s="67"/>
      <c r="AKA457" s="67"/>
      <c r="AKB457" s="67"/>
      <c r="AKC457" s="67"/>
      <c r="AKD457" s="67"/>
      <c r="AKE457" s="67"/>
      <c r="AKF457" s="67"/>
      <c r="AKG457" s="67"/>
      <c r="AKH457" s="67"/>
      <c r="AKI457" s="67"/>
      <c r="AKJ457" s="67"/>
      <c r="AKK457" s="67"/>
      <c r="AKL457" s="67"/>
      <c r="AKM457" s="67"/>
      <c r="AKN457" s="67"/>
      <c r="AKO457" s="67"/>
      <c r="AKP457" s="67"/>
      <c r="AKQ457" s="67"/>
      <c r="AKR457" s="67"/>
      <c r="AKS457" s="67"/>
      <c r="AKT457" s="67"/>
      <c r="AKU457" s="67"/>
      <c r="AKV457" s="67"/>
      <c r="AKW457" s="67"/>
      <c r="AKX457" s="67"/>
      <c r="AKY457" s="67"/>
      <c r="AKZ457" s="67"/>
      <c r="ALA457" s="67"/>
      <c r="ALB457" s="67"/>
      <c r="ALC457" s="67"/>
      <c r="ALD457" s="67"/>
      <c r="ALE457" s="67"/>
      <c r="ALF457" s="67"/>
      <c r="ALG457" s="67"/>
      <c r="ALH457" s="67"/>
      <c r="ALI457" s="67"/>
      <c r="ALJ457" s="67"/>
      <c r="ALK457" s="67"/>
      <c r="ALL457" s="67"/>
      <c r="ALM457" s="67"/>
      <c r="ALN457" s="67"/>
      <c r="ALO457" s="67"/>
      <c r="ALP457" s="67"/>
      <c r="ALQ457" s="67"/>
      <c r="ALR457" s="67"/>
      <c r="ALS457" s="67"/>
      <c r="ALT457" s="67"/>
      <c r="ALU457" s="67"/>
      <c r="ALV457" s="67"/>
      <c r="ALW457" s="67"/>
      <c r="ALX457" s="67"/>
      <c r="ALY457" s="67"/>
      <c r="ALZ457" s="67"/>
      <c r="AMA457" s="67"/>
      <c r="AMB457" s="67"/>
      <c r="AMC457" s="67"/>
      <c r="AMD457" s="67"/>
      <c r="AME457" s="67"/>
      <c r="AMF457" s="67"/>
      <c r="AMG457" s="67"/>
      <c r="AMH457" s="67"/>
      <c r="AMI457" s="67"/>
      <c r="AMJ457" s="67"/>
      <c r="AMK457" s="67"/>
      <c r="AML457" s="67"/>
      <c r="AMM457" s="67"/>
      <c r="AMN457" s="67"/>
      <c r="AMO457" s="67"/>
      <c r="AMP457" s="67"/>
      <c r="AMQ457" s="67"/>
      <c r="AMR457" s="67"/>
      <c r="AMS457" s="67"/>
      <c r="AMT457" s="67"/>
      <c r="AMU457" s="67"/>
      <c r="AMV457" s="67"/>
      <c r="AMW457" s="67"/>
      <c r="AMX457" s="67"/>
      <c r="AMY457" s="67"/>
      <c r="AMZ457" s="67"/>
      <c r="ANA457" s="67"/>
      <c r="ANB457" s="67"/>
      <c r="ANC457" s="67"/>
      <c r="AND457" s="67"/>
      <c r="ANE457" s="67"/>
      <c r="ANF457" s="67"/>
      <c r="ANG457" s="67"/>
      <c r="ANH457" s="67"/>
      <c r="ANI457" s="67"/>
      <c r="ANJ457" s="67"/>
      <c r="ANK457" s="67"/>
      <c r="ANL457" s="67"/>
      <c r="ANM457" s="67"/>
      <c r="ANN457" s="67"/>
      <c r="ANO457" s="67"/>
      <c r="ANP457" s="67"/>
      <c r="ANQ457" s="67"/>
      <c r="ANR457" s="67"/>
      <c r="ANS457" s="67"/>
      <c r="ANT457" s="67"/>
      <c r="ANU457" s="67"/>
      <c r="ANV457" s="67"/>
      <c r="ANW457" s="67"/>
      <c r="ANX457" s="67"/>
      <c r="ANY457" s="67"/>
      <c r="ANZ457" s="67"/>
      <c r="AOA457" s="67"/>
      <c r="AOB457" s="67"/>
      <c r="AOC457" s="67"/>
      <c r="AOD457" s="67"/>
      <c r="AOE457" s="67"/>
      <c r="AOF457" s="67"/>
      <c r="AOG457" s="67"/>
      <c r="AOH457" s="67"/>
      <c r="AOI457" s="67"/>
      <c r="AOJ457" s="67"/>
      <c r="AOK457" s="67"/>
      <c r="AOL457" s="67"/>
      <c r="AOM457" s="67"/>
      <c r="AON457" s="67"/>
      <c r="AOO457" s="67"/>
      <c r="AOP457" s="67"/>
      <c r="AOQ457" s="67"/>
      <c r="AOR457" s="67"/>
      <c r="AOS457" s="67"/>
      <c r="AOT457" s="67"/>
      <c r="AOU457" s="67"/>
      <c r="AOV457" s="67"/>
      <c r="AOW457" s="67"/>
      <c r="AOX457" s="67"/>
      <c r="AOY457" s="67"/>
      <c r="AOZ457" s="67"/>
      <c r="APA457" s="67"/>
      <c r="APB457" s="67"/>
      <c r="APC457" s="67"/>
      <c r="APD457" s="67"/>
      <c r="APE457" s="67"/>
      <c r="APF457" s="67"/>
      <c r="APG457" s="67"/>
      <c r="APH457" s="67"/>
      <c r="API457" s="67"/>
      <c r="APJ457" s="67"/>
      <c r="APK457" s="67"/>
      <c r="APL457" s="67"/>
      <c r="APM457" s="67"/>
      <c r="APN457" s="67"/>
      <c r="APO457" s="67"/>
      <c r="APP457" s="67"/>
      <c r="APQ457" s="67"/>
      <c r="APR457" s="67"/>
      <c r="APS457" s="67"/>
      <c r="APT457" s="67"/>
      <c r="APU457" s="67"/>
      <c r="APV457" s="67"/>
      <c r="APW457" s="67"/>
      <c r="APX457" s="67"/>
      <c r="APY457" s="67"/>
      <c r="APZ457" s="67"/>
      <c r="AQA457" s="67"/>
      <c r="AQB457" s="67"/>
      <c r="AQC457" s="67"/>
      <c r="AQD457" s="67"/>
      <c r="AQE457" s="67"/>
      <c r="AQF457" s="67"/>
      <c r="AQG457" s="67"/>
      <c r="AQH457" s="67"/>
      <c r="AQI457" s="67"/>
      <c r="AQJ457" s="67"/>
      <c r="AQK457" s="67"/>
      <c r="AQL457" s="67"/>
      <c r="AQM457" s="67"/>
      <c r="AQN457" s="67"/>
      <c r="AQO457" s="67"/>
      <c r="AQP457" s="67"/>
      <c r="AQQ457" s="67"/>
      <c r="AQR457" s="67"/>
      <c r="AQS457" s="67"/>
      <c r="AQT457" s="67"/>
      <c r="AQU457" s="67"/>
      <c r="AQV457" s="67"/>
      <c r="AQW457" s="67"/>
      <c r="AQX457" s="67"/>
      <c r="AQY457" s="67"/>
      <c r="AQZ457" s="67"/>
      <c r="ARA457" s="67"/>
      <c r="ARB457" s="67"/>
      <c r="ARC457" s="67"/>
      <c r="ARD457" s="67"/>
      <c r="ARE457" s="67"/>
      <c r="ARF457" s="67"/>
      <c r="ARG457" s="67"/>
      <c r="ARH457" s="67"/>
      <c r="ARI457" s="67"/>
      <c r="ARJ457" s="67"/>
      <c r="ARK457" s="67"/>
      <c r="ARL457" s="67"/>
      <c r="ARM457" s="67"/>
      <c r="ARN457" s="67"/>
      <c r="ARO457" s="67"/>
      <c r="ARP457" s="67"/>
      <c r="ARQ457" s="67"/>
      <c r="ARR457" s="67"/>
      <c r="ARS457" s="67"/>
      <c r="ART457" s="67"/>
      <c r="ARU457" s="67"/>
      <c r="ARV457" s="67"/>
      <c r="ARW457" s="67"/>
      <c r="ARX457" s="67"/>
      <c r="ARY457" s="67"/>
      <c r="ARZ457" s="67"/>
      <c r="ASA457" s="67"/>
      <c r="ASB457" s="67"/>
      <c r="ASC457" s="67"/>
      <c r="ASD457" s="67"/>
      <c r="ASE457" s="67"/>
      <c r="ASF457" s="67"/>
      <c r="ASG457" s="67"/>
      <c r="ASH457" s="67"/>
      <c r="ASI457" s="67"/>
      <c r="ASJ457" s="67"/>
      <c r="ASK457" s="67"/>
      <c r="ASL457" s="67"/>
      <c r="ASM457" s="67"/>
      <c r="ASN457" s="67"/>
      <c r="ASO457" s="67"/>
      <c r="ASP457" s="67"/>
      <c r="ASQ457" s="67"/>
      <c r="ASR457" s="67"/>
      <c r="ASS457" s="67"/>
      <c r="AST457" s="67"/>
      <c r="ASU457" s="67"/>
      <c r="ASV457" s="67"/>
      <c r="ASW457" s="67"/>
      <c r="ASX457" s="67"/>
      <c r="ASY457" s="67"/>
      <c r="ASZ457" s="67"/>
      <c r="ATA457" s="67"/>
      <c r="ATB457" s="67"/>
      <c r="ATC457" s="67"/>
      <c r="ATD457" s="67"/>
      <c r="ATE457" s="67"/>
      <c r="ATF457" s="67"/>
      <c r="ATG457" s="67"/>
      <c r="ATH457" s="67"/>
      <c r="ATI457" s="67"/>
      <c r="ATJ457" s="67"/>
      <c r="ATK457" s="67"/>
      <c r="ATL457" s="67"/>
      <c r="ATM457" s="67"/>
      <c r="ATN457" s="67"/>
      <c r="ATO457" s="67"/>
      <c r="ATP457" s="67"/>
      <c r="ATQ457" s="67"/>
      <c r="ATR457" s="67"/>
      <c r="ATS457" s="67"/>
      <c r="ATT457" s="67"/>
      <c r="ATU457" s="67"/>
      <c r="ATV457" s="67"/>
      <c r="ATW457" s="67"/>
      <c r="ATX457" s="67"/>
      <c r="ATY457" s="67"/>
      <c r="ATZ457" s="67"/>
      <c r="AUA457" s="67"/>
      <c r="AUB457" s="67"/>
      <c r="AUC457" s="67"/>
      <c r="AUD457" s="67"/>
      <c r="AUE457" s="67"/>
      <c r="AUF457" s="67"/>
      <c r="AUG457" s="67"/>
      <c r="AUH457" s="67"/>
      <c r="AUI457" s="67"/>
      <c r="AUJ457" s="67"/>
      <c r="AUK457" s="67"/>
      <c r="AUL457" s="67"/>
      <c r="AUM457" s="67"/>
      <c r="AUN457" s="67"/>
      <c r="AUO457" s="67"/>
      <c r="AUP457" s="67"/>
      <c r="AUQ457" s="67"/>
      <c r="AUR457" s="67"/>
      <c r="AUS457" s="67"/>
      <c r="AUT457" s="67"/>
      <c r="AUU457" s="67"/>
      <c r="AUV457" s="67"/>
      <c r="AUW457" s="67"/>
      <c r="AUX457" s="67"/>
      <c r="AUY457" s="67"/>
      <c r="AUZ457" s="67"/>
      <c r="AVA457" s="67"/>
      <c r="AVB457" s="67"/>
      <c r="AVC457" s="67"/>
      <c r="AVD457" s="67"/>
      <c r="AVE457" s="67"/>
      <c r="AVF457" s="67"/>
      <c r="AVG457" s="67"/>
      <c r="AVH457" s="67"/>
      <c r="AVI457" s="67"/>
      <c r="AVJ457" s="67"/>
      <c r="AVK457" s="67"/>
      <c r="AVL457" s="67"/>
      <c r="AVM457" s="67"/>
      <c r="AVN457" s="67"/>
      <c r="AVO457" s="67"/>
      <c r="AVP457" s="67"/>
      <c r="AVQ457" s="67"/>
      <c r="AVR457" s="67"/>
      <c r="AVS457" s="67"/>
      <c r="AVT457" s="67"/>
      <c r="AVU457" s="67"/>
      <c r="AVV457" s="67"/>
      <c r="AVW457" s="67"/>
      <c r="AVX457" s="67"/>
      <c r="AVY457" s="67"/>
      <c r="AVZ457" s="67"/>
      <c r="AWA457" s="67"/>
      <c r="AWB457" s="67"/>
      <c r="AWC457" s="67"/>
      <c r="AWD457" s="67"/>
      <c r="AWE457" s="67"/>
      <c r="AWF457" s="67"/>
      <c r="AWG457" s="67"/>
      <c r="AWH457" s="67"/>
      <c r="AWI457" s="67"/>
      <c r="AWJ457" s="67"/>
      <c r="AWK457" s="67"/>
      <c r="AWL457" s="67"/>
      <c r="AWM457" s="67"/>
      <c r="AWN457" s="67"/>
      <c r="AWO457" s="67"/>
      <c r="AWP457" s="67"/>
      <c r="AWQ457" s="67"/>
      <c r="AWR457" s="67"/>
      <c r="AWS457" s="67"/>
      <c r="AWT457" s="67"/>
      <c r="AWU457" s="67"/>
      <c r="AWV457" s="67"/>
      <c r="AWW457" s="67"/>
      <c r="AWX457" s="67"/>
      <c r="AWY457" s="67"/>
      <c r="AWZ457" s="67"/>
      <c r="AXA457" s="67"/>
      <c r="AXB457" s="67"/>
      <c r="AXC457" s="67"/>
      <c r="AXD457" s="67"/>
      <c r="AXE457" s="67"/>
      <c r="AXF457" s="67"/>
      <c r="AXG457" s="67"/>
      <c r="AXH457" s="67"/>
      <c r="AXI457" s="67"/>
      <c r="AXJ457" s="67"/>
      <c r="AXK457" s="67"/>
      <c r="AXL457" s="67"/>
      <c r="AXM457" s="67"/>
      <c r="AXN457" s="67"/>
      <c r="AXO457" s="67"/>
      <c r="AXP457" s="67"/>
      <c r="AXQ457" s="67"/>
      <c r="AXR457" s="67"/>
      <c r="AXS457" s="67"/>
      <c r="AXT457" s="67"/>
      <c r="AXU457" s="67"/>
      <c r="AXV457" s="67"/>
      <c r="AXW457" s="67"/>
      <c r="AXX457" s="67"/>
      <c r="AXY457" s="67"/>
      <c r="AXZ457" s="67"/>
      <c r="AYA457" s="67"/>
      <c r="AYB457" s="67"/>
      <c r="AYC457" s="67"/>
      <c r="AYD457" s="67"/>
      <c r="AYE457" s="67"/>
      <c r="AYF457" s="67"/>
      <c r="AYG457" s="67"/>
      <c r="AYH457" s="67"/>
      <c r="AYI457" s="67"/>
      <c r="AYJ457" s="67"/>
      <c r="AYK457" s="67"/>
      <c r="AYL457" s="67"/>
      <c r="AYM457" s="67"/>
      <c r="AYN457" s="67"/>
      <c r="AYO457" s="67"/>
      <c r="AYP457" s="67"/>
      <c r="AYQ457" s="67"/>
      <c r="AYR457" s="67"/>
      <c r="AYS457" s="67"/>
      <c r="AYT457" s="67"/>
      <c r="AYU457" s="67"/>
      <c r="AYV457" s="67"/>
      <c r="AYW457" s="67"/>
      <c r="AYX457" s="67"/>
      <c r="AYY457" s="67"/>
      <c r="AYZ457" s="67"/>
      <c r="AZA457" s="67"/>
      <c r="AZB457" s="67"/>
      <c r="AZC457" s="67"/>
      <c r="AZD457" s="67"/>
      <c r="AZE457" s="67"/>
      <c r="AZF457" s="67"/>
      <c r="AZG457" s="67"/>
      <c r="AZH457" s="67"/>
      <c r="AZI457" s="67"/>
      <c r="AZJ457" s="67"/>
      <c r="AZK457" s="67"/>
      <c r="AZL457" s="67"/>
      <c r="AZM457" s="67"/>
      <c r="AZN457" s="67"/>
      <c r="AZO457" s="67"/>
      <c r="AZP457" s="67"/>
      <c r="AZQ457" s="67"/>
      <c r="AZR457" s="67"/>
      <c r="AZS457" s="67"/>
      <c r="AZT457" s="67"/>
      <c r="AZU457" s="67"/>
      <c r="AZV457" s="67"/>
      <c r="AZW457" s="67"/>
      <c r="AZX457" s="67"/>
      <c r="AZY457" s="67"/>
      <c r="AZZ457" s="67"/>
      <c r="BAA457" s="67"/>
      <c r="BAB457" s="67"/>
      <c r="BAC457" s="67"/>
      <c r="BAD457" s="67"/>
      <c r="BAE457" s="67"/>
      <c r="BAF457" s="67"/>
      <c r="BAG457" s="67"/>
      <c r="BAH457" s="67"/>
      <c r="BAI457" s="67"/>
      <c r="BAJ457" s="67"/>
      <c r="BAK457" s="67"/>
      <c r="BAL457" s="67"/>
      <c r="BAM457" s="67"/>
      <c r="BAN457" s="67"/>
      <c r="BAO457" s="67"/>
      <c r="BAP457" s="67"/>
      <c r="BAQ457" s="67"/>
      <c r="BAR457" s="67"/>
      <c r="BAS457" s="67"/>
      <c r="BAT457" s="67"/>
      <c r="BAU457" s="67"/>
      <c r="BAV457" s="67"/>
      <c r="BAW457" s="67"/>
      <c r="BAX457" s="67"/>
      <c r="BAY457" s="67"/>
      <c r="BAZ457" s="67"/>
      <c r="BBA457" s="67"/>
      <c r="BBB457" s="67"/>
      <c r="BBC457" s="67"/>
      <c r="BBD457" s="67"/>
      <c r="BBE457" s="67"/>
      <c r="BBF457" s="67"/>
      <c r="BBG457" s="67"/>
      <c r="BBH457" s="67"/>
      <c r="BBI457" s="67"/>
      <c r="BBJ457" s="67"/>
      <c r="BBK457" s="67"/>
      <c r="BBL457" s="67"/>
      <c r="BBM457" s="67"/>
      <c r="BBN457" s="67"/>
      <c r="BBO457" s="67"/>
      <c r="BBP457" s="67"/>
      <c r="BBQ457" s="67"/>
      <c r="BBR457" s="67"/>
      <c r="BBS457" s="67"/>
      <c r="BBT457" s="67"/>
      <c r="BBU457" s="67"/>
      <c r="BBV457" s="67"/>
      <c r="BBW457" s="67"/>
      <c r="BBX457" s="67"/>
      <c r="BBY457" s="67"/>
      <c r="BBZ457" s="67"/>
      <c r="BCA457" s="67"/>
      <c r="BCB457" s="67"/>
      <c r="BCC457" s="67"/>
      <c r="BCD457" s="67"/>
      <c r="BCE457" s="67"/>
      <c r="BCF457" s="67"/>
      <c r="BCG457" s="67"/>
      <c r="BCH457" s="67"/>
      <c r="BCI457" s="67"/>
      <c r="BCJ457" s="67"/>
      <c r="BCK457" s="67"/>
      <c r="BCL457" s="67"/>
      <c r="BCM457" s="67"/>
      <c r="BCN457" s="67"/>
      <c r="BCO457" s="67"/>
      <c r="BCP457" s="67"/>
      <c r="BCQ457" s="67"/>
      <c r="BCR457" s="67"/>
      <c r="BCS457" s="67"/>
      <c r="BCT457" s="67"/>
      <c r="BCU457" s="67"/>
      <c r="BCV457" s="67"/>
      <c r="BCW457" s="67"/>
      <c r="BCX457" s="67"/>
      <c r="BCY457" s="67"/>
      <c r="BCZ457" s="67"/>
      <c r="BDA457" s="67"/>
      <c r="BDB457" s="67"/>
      <c r="BDC457" s="67"/>
      <c r="BDD457" s="67"/>
      <c r="BDE457" s="67"/>
      <c r="BDF457" s="67"/>
      <c r="BDG457" s="67"/>
      <c r="BDH457" s="67"/>
      <c r="BDI457" s="67"/>
      <c r="BDJ457" s="67"/>
      <c r="BDK457" s="67"/>
      <c r="BDL457" s="67"/>
      <c r="BDM457" s="67"/>
      <c r="BDN457" s="67"/>
      <c r="BDO457" s="67"/>
      <c r="BDP457" s="67"/>
      <c r="BDQ457" s="67"/>
      <c r="BDR457" s="67"/>
      <c r="BDS457" s="67"/>
      <c r="BDT457" s="67"/>
      <c r="BDU457" s="67"/>
      <c r="BDV457" s="67"/>
      <c r="BDW457" s="67"/>
      <c r="BDX457" s="67"/>
      <c r="BDY457" s="67"/>
      <c r="BDZ457" s="67"/>
      <c r="BEA457" s="67"/>
      <c r="BEB457" s="67"/>
      <c r="BEC457" s="67"/>
      <c r="BED457" s="67"/>
      <c r="BEE457" s="67"/>
      <c r="BEF457" s="67"/>
      <c r="BEG457" s="67"/>
      <c r="BEH457" s="67"/>
      <c r="BEI457" s="67"/>
      <c r="BEJ457" s="67"/>
      <c r="BEK457" s="67"/>
      <c r="BEL457" s="67"/>
      <c r="BEM457" s="67"/>
      <c r="BEN457" s="67"/>
      <c r="BEO457" s="67"/>
      <c r="BEP457" s="67"/>
      <c r="BEQ457" s="67"/>
      <c r="BER457" s="67"/>
      <c r="BES457" s="67"/>
      <c r="BET457" s="67"/>
      <c r="BEU457" s="67"/>
      <c r="BEV457" s="67"/>
      <c r="BEW457" s="67"/>
      <c r="BEX457" s="67"/>
      <c r="BEY457" s="67"/>
      <c r="BEZ457" s="67"/>
      <c r="BFA457" s="67"/>
      <c r="BFB457" s="67"/>
      <c r="BFC457" s="67"/>
      <c r="BFD457" s="67"/>
      <c r="BFE457" s="67"/>
      <c r="BFF457" s="67"/>
      <c r="BFG457" s="67"/>
      <c r="BFH457" s="67"/>
      <c r="BFI457" s="67"/>
      <c r="BFJ457" s="67"/>
      <c r="BFK457" s="67"/>
      <c r="BFL457" s="67"/>
      <c r="BFM457" s="67"/>
      <c r="BFN457" s="67"/>
      <c r="BFO457" s="67"/>
      <c r="BFP457" s="67"/>
      <c r="BFQ457" s="67"/>
      <c r="BFR457" s="67"/>
      <c r="BFS457" s="67"/>
      <c r="BFT457" s="67"/>
      <c r="BFU457" s="67"/>
      <c r="BFV457" s="67"/>
      <c r="BFW457" s="67"/>
      <c r="BFX457" s="67"/>
      <c r="BFY457" s="67"/>
      <c r="BFZ457" s="67"/>
      <c r="BGA457" s="67"/>
      <c r="BGB457" s="67"/>
      <c r="BGC457" s="67"/>
      <c r="BGD457" s="67"/>
      <c r="BGE457" s="67"/>
      <c r="BGF457" s="67"/>
      <c r="BGG457" s="67"/>
      <c r="BGH457" s="67"/>
      <c r="BGI457" s="67"/>
      <c r="BGJ457" s="67"/>
      <c r="BGK457" s="67"/>
      <c r="BGL457" s="67"/>
      <c r="BGM457" s="67"/>
      <c r="BGN457" s="67"/>
      <c r="BGO457" s="67"/>
      <c r="BGP457" s="67"/>
      <c r="BGQ457" s="67"/>
      <c r="BGR457" s="67"/>
      <c r="BGS457" s="67"/>
      <c r="BGT457" s="67"/>
      <c r="BGU457" s="67"/>
      <c r="BGV457" s="67"/>
      <c r="BGW457" s="67"/>
      <c r="BGX457" s="67"/>
      <c r="BGY457" s="67"/>
      <c r="BGZ457" s="67"/>
      <c r="BHA457" s="67"/>
      <c r="BHB457" s="67"/>
      <c r="BHC457" s="67"/>
      <c r="BHD457" s="67"/>
      <c r="BHE457" s="67"/>
      <c r="BHF457" s="67"/>
      <c r="BHG457" s="67"/>
      <c r="BHH457" s="67"/>
      <c r="BHI457" s="67"/>
      <c r="BHJ457" s="67"/>
      <c r="BHK457" s="67"/>
      <c r="BHL457" s="67"/>
      <c r="BHM457" s="67"/>
      <c r="BHN457" s="67"/>
      <c r="BHO457" s="67"/>
      <c r="BHP457" s="67"/>
      <c r="BHQ457" s="67"/>
      <c r="BHR457" s="67"/>
      <c r="BHS457" s="67"/>
      <c r="BHT457" s="67"/>
      <c r="BHU457" s="67"/>
      <c r="BHV457" s="67"/>
      <c r="BHW457" s="67"/>
      <c r="BHX457" s="67"/>
      <c r="BHY457" s="67"/>
      <c r="BHZ457" s="67"/>
      <c r="BIA457" s="67"/>
      <c r="BIB457" s="67"/>
      <c r="BIC457" s="67"/>
      <c r="BID457" s="67"/>
      <c r="BIE457" s="67"/>
      <c r="BIF457" s="67"/>
      <c r="BIG457" s="67"/>
      <c r="BIH457" s="67"/>
      <c r="BII457" s="67"/>
      <c r="BIJ457" s="67"/>
      <c r="BIK457" s="67"/>
      <c r="BIL457" s="67"/>
      <c r="BIM457" s="67"/>
      <c r="BIN457" s="67"/>
      <c r="BIO457" s="67"/>
      <c r="BIP457" s="67"/>
      <c r="BIQ457" s="67"/>
      <c r="BIR457" s="67"/>
      <c r="BIS457" s="67"/>
      <c r="BIT457" s="67"/>
      <c r="BIU457" s="67"/>
      <c r="BIV457" s="67"/>
      <c r="BIW457" s="67"/>
      <c r="BIX457" s="67"/>
      <c r="BIY457" s="67"/>
      <c r="BIZ457" s="67"/>
      <c r="BJA457" s="67"/>
      <c r="BJB457" s="67"/>
      <c r="BJC457" s="67"/>
      <c r="BJD457" s="67"/>
      <c r="BJE457" s="67"/>
      <c r="BJF457" s="67"/>
      <c r="BJG457" s="67"/>
      <c r="BJH457" s="67"/>
      <c r="BJI457" s="67"/>
      <c r="BJJ457" s="67"/>
      <c r="BJK457" s="67"/>
      <c r="BJL457" s="67"/>
      <c r="BJM457" s="67"/>
      <c r="BJN457" s="67"/>
      <c r="BJO457" s="67"/>
      <c r="BJP457" s="67"/>
      <c r="BJQ457" s="67"/>
      <c r="BJR457" s="67"/>
      <c r="BJS457" s="67"/>
      <c r="BJT457" s="67"/>
      <c r="BJU457" s="67"/>
      <c r="BJV457" s="67"/>
      <c r="BJW457" s="67"/>
      <c r="BJX457" s="67"/>
      <c r="BJY457" s="67"/>
      <c r="BJZ457" s="67"/>
      <c r="BKA457" s="67"/>
      <c r="BKB457" s="67"/>
      <c r="BKC457" s="67"/>
      <c r="BKD457" s="67"/>
      <c r="BKE457" s="67"/>
      <c r="BKF457" s="67"/>
      <c r="BKG457" s="67"/>
      <c r="BKH457" s="67"/>
      <c r="BKI457" s="67"/>
      <c r="BKJ457" s="67"/>
      <c r="BKK457" s="67"/>
      <c r="BKL457" s="67"/>
      <c r="BKM457" s="67"/>
      <c r="BKN457" s="67"/>
      <c r="BKO457" s="67"/>
      <c r="BKP457" s="67"/>
      <c r="BKQ457" s="67"/>
      <c r="BKR457" s="67"/>
      <c r="BKS457" s="67"/>
      <c r="BKT457" s="67"/>
      <c r="BKU457" s="67"/>
      <c r="BKV457" s="67"/>
      <c r="BKW457" s="67"/>
      <c r="BKX457" s="67"/>
      <c r="BKY457" s="67"/>
      <c r="BKZ457" s="67"/>
      <c r="BLA457" s="67"/>
      <c r="BLB457" s="67"/>
      <c r="BLC457" s="67"/>
      <c r="BLD457" s="67"/>
      <c r="BLE457" s="67"/>
      <c r="BLF457" s="67"/>
      <c r="BLG457" s="67"/>
      <c r="BLH457" s="67"/>
      <c r="BLI457" s="67"/>
      <c r="BLJ457" s="67"/>
      <c r="BLK457" s="67"/>
      <c r="BLL457" s="67"/>
      <c r="BLM457" s="67"/>
      <c r="BLN457" s="67"/>
      <c r="BLO457" s="67"/>
      <c r="BLP457" s="67"/>
      <c r="BLQ457" s="67"/>
      <c r="BLR457" s="67"/>
      <c r="BLS457" s="67"/>
      <c r="BLT457" s="67"/>
      <c r="BLU457" s="67"/>
      <c r="BLV457" s="67"/>
      <c r="BLW457" s="67"/>
      <c r="BLX457" s="67"/>
      <c r="BLY457" s="67"/>
      <c r="BLZ457" s="67"/>
      <c r="BMA457" s="67"/>
      <c r="BMB457" s="67"/>
      <c r="BMC457" s="67"/>
      <c r="BMD457" s="67"/>
      <c r="BME457" s="67"/>
      <c r="BMF457" s="67"/>
      <c r="BMG457" s="67"/>
      <c r="BMH457" s="67"/>
      <c r="BMI457" s="67"/>
      <c r="BMJ457" s="67"/>
      <c r="BMK457" s="67"/>
      <c r="BML457" s="67"/>
      <c r="BMM457" s="67"/>
      <c r="BMN457" s="67"/>
      <c r="BMO457" s="67"/>
      <c r="BMP457" s="67"/>
      <c r="BMQ457" s="67"/>
      <c r="BMR457" s="67"/>
      <c r="BMS457" s="67"/>
      <c r="BMT457" s="67"/>
      <c r="BMU457" s="67"/>
      <c r="BMV457" s="67"/>
      <c r="BMW457" s="67"/>
      <c r="BMX457" s="67"/>
      <c r="BMY457" s="67"/>
      <c r="BMZ457" s="67"/>
      <c r="BNA457" s="67"/>
      <c r="BNB457" s="67"/>
      <c r="BNC457" s="67"/>
      <c r="BND457" s="67"/>
      <c r="BNE457" s="67"/>
      <c r="BNF457" s="67"/>
      <c r="BNG457" s="67"/>
      <c r="BNH457" s="67"/>
      <c r="BNI457" s="67"/>
      <c r="BNJ457" s="67"/>
      <c r="BNK457" s="67"/>
      <c r="BNL457" s="67"/>
      <c r="BNM457" s="67"/>
      <c r="BNN457" s="67"/>
      <c r="BNO457" s="67"/>
      <c r="BNP457" s="67"/>
      <c r="BNQ457" s="67"/>
      <c r="BNR457" s="67"/>
      <c r="BNS457" s="67"/>
      <c r="BNT457" s="67"/>
      <c r="BNU457" s="67"/>
      <c r="BNV457" s="67"/>
      <c r="BNW457" s="67"/>
      <c r="BNX457" s="67"/>
      <c r="BNY457" s="67"/>
      <c r="BNZ457" s="67"/>
      <c r="BOA457" s="67"/>
      <c r="BOB457" s="67"/>
      <c r="BOC457" s="67"/>
      <c r="BOD457" s="67"/>
      <c r="BOE457" s="67"/>
      <c r="BOF457" s="67"/>
      <c r="BOG457" s="67"/>
      <c r="BOH457" s="67"/>
      <c r="BOI457" s="67"/>
      <c r="BOJ457" s="67"/>
      <c r="BOK457" s="67"/>
      <c r="BOL457" s="67"/>
      <c r="BOM457" s="67"/>
      <c r="BON457" s="67"/>
      <c r="BOO457" s="67"/>
      <c r="BOP457" s="67"/>
      <c r="BOQ457" s="67"/>
      <c r="BOR457" s="67"/>
      <c r="BOS457" s="67"/>
      <c r="BOT457" s="67"/>
      <c r="BOU457" s="67"/>
      <c r="BOV457" s="67"/>
      <c r="BOW457" s="67"/>
      <c r="BOX457" s="67"/>
      <c r="BOY457" s="67"/>
      <c r="BOZ457" s="67"/>
      <c r="BPA457" s="67"/>
      <c r="BPB457" s="67"/>
      <c r="BPC457" s="67"/>
      <c r="BPD457" s="67"/>
      <c r="BPE457" s="67"/>
      <c r="BPF457" s="67"/>
      <c r="BPG457" s="67"/>
      <c r="BPH457" s="67"/>
      <c r="BPI457" s="67"/>
      <c r="BPJ457" s="67"/>
      <c r="BPK457" s="67"/>
      <c r="BPL457" s="67"/>
      <c r="BPM457" s="67"/>
      <c r="BPN457" s="67"/>
      <c r="BPO457" s="67"/>
      <c r="BPP457" s="67"/>
      <c r="BPQ457" s="67"/>
      <c r="BPR457" s="67"/>
      <c r="BPS457" s="67"/>
      <c r="BPT457" s="67"/>
      <c r="BPU457" s="67"/>
      <c r="BPV457" s="67"/>
      <c r="BPW457" s="67"/>
      <c r="BPX457" s="67"/>
      <c r="BPY457" s="67"/>
      <c r="BPZ457" s="67"/>
      <c r="BQA457" s="67"/>
      <c r="BQB457" s="67"/>
      <c r="BQC457" s="67"/>
      <c r="BQD457" s="67"/>
      <c r="BQE457" s="67"/>
      <c r="BQF457" s="67"/>
      <c r="BQG457" s="67"/>
      <c r="BQH457" s="67"/>
      <c r="BQI457" s="67"/>
      <c r="BQJ457" s="67"/>
      <c r="BQK457" s="67"/>
      <c r="BQL457" s="67"/>
      <c r="BQM457" s="67"/>
      <c r="BQN457" s="67"/>
      <c r="BQO457" s="67"/>
      <c r="BQP457" s="67"/>
      <c r="BQQ457" s="67"/>
      <c r="BQR457" s="67"/>
      <c r="BQS457" s="67"/>
      <c r="BQT457" s="67"/>
      <c r="BQU457" s="67"/>
      <c r="BQV457" s="67"/>
      <c r="BQW457" s="67"/>
      <c r="BQX457" s="67"/>
      <c r="BQY457" s="67"/>
      <c r="BQZ457" s="67"/>
      <c r="BRA457" s="67"/>
      <c r="BRB457" s="67"/>
      <c r="BRC457" s="67"/>
      <c r="BRD457" s="67"/>
      <c r="BRE457" s="67"/>
      <c r="BRF457" s="67"/>
      <c r="BRG457" s="67"/>
      <c r="BRH457" s="67"/>
      <c r="BRI457" s="67"/>
      <c r="BRJ457" s="67"/>
      <c r="BRK457" s="67"/>
      <c r="BRL457" s="67"/>
      <c r="BRM457" s="67"/>
      <c r="BRN457" s="67"/>
      <c r="BRO457" s="67"/>
      <c r="BRP457" s="67"/>
      <c r="BRQ457" s="67"/>
      <c r="BRR457" s="67"/>
      <c r="BRS457" s="67"/>
      <c r="BRT457" s="67"/>
      <c r="BRU457" s="67"/>
      <c r="BRV457" s="67"/>
      <c r="BRW457" s="67"/>
      <c r="BRX457" s="67"/>
      <c r="BRY457" s="67"/>
      <c r="BRZ457" s="67"/>
      <c r="BSA457" s="67"/>
      <c r="BSB457" s="67"/>
      <c r="BSC457" s="67"/>
      <c r="BSD457" s="67"/>
      <c r="BSE457" s="67"/>
      <c r="BSF457" s="67"/>
      <c r="BSG457" s="67"/>
      <c r="BSH457" s="67"/>
      <c r="BSI457" s="67"/>
      <c r="BSJ457" s="67"/>
      <c r="BSK457" s="67"/>
      <c r="BSL457" s="67"/>
      <c r="BSM457" s="67"/>
      <c r="BSN457" s="67"/>
      <c r="BSO457" s="67"/>
      <c r="BSP457" s="67"/>
      <c r="BSQ457" s="67"/>
      <c r="BSR457" s="67"/>
      <c r="BSS457" s="67"/>
      <c r="BST457" s="67"/>
      <c r="BSU457" s="67"/>
      <c r="BSV457" s="67"/>
      <c r="BSW457" s="67"/>
      <c r="BSX457" s="67"/>
      <c r="BSY457" s="67"/>
      <c r="BSZ457" s="67"/>
      <c r="BTA457" s="67"/>
      <c r="BTB457" s="67"/>
      <c r="BTC457" s="67"/>
      <c r="BTD457" s="67"/>
      <c r="BTE457" s="67"/>
      <c r="BTF457" s="67"/>
      <c r="BTG457" s="67"/>
      <c r="BTH457" s="67"/>
      <c r="BTI457" s="67"/>
      <c r="BTJ457" s="67"/>
      <c r="BTK457" s="67"/>
      <c r="BTL457" s="67"/>
      <c r="BTM457" s="67"/>
      <c r="BTN457" s="67"/>
      <c r="BTO457" s="67"/>
      <c r="BTP457" s="67"/>
      <c r="BTQ457" s="67"/>
      <c r="BTR457" s="67"/>
      <c r="BTS457" s="67"/>
      <c r="BTT457" s="67"/>
      <c r="BTU457" s="67"/>
      <c r="BTV457" s="67"/>
      <c r="BTW457" s="67"/>
      <c r="BTX457" s="67"/>
      <c r="BTY457" s="67"/>
      <c r="BTZ457" s="67"/>
      <c r="BUA457" s="67"/>
      <c r="BUB457" s="67"/>
      <c r="BUC457" s="67"/>
      <c r="BUD457" s="67"/>
      <c r="BUE457" s="67"/>
      <c r="BUF457" s="67"/>
      <c r="BUG457" s="67"/>
      <c r="BUH457" s="67"/>
      <c r="BUI457" s="67"/>
      <c r="BUJ457" s="67"/>
      <c r="BUK457" s="67"/>
      <c r="BUL457" s="67"/>
      <c r="BUM457" s="67"/>
      <c r="BUN457" s="67"/>
      <c r="BUO457" s="67"/>
      <c r="BUP457" s="67"/>
      <c r="BUQ457" s="67"/>
      <c r="BUR457" s="67"/>
      <c r="BUS457" s="67"/>
      <c r="BUT457" s="67"/>
      <c r="BUU457" s="67"/>
      <c r="BUV457" s="67"/>
      <c r="BUW457" s="67"/>
      <c r="BUX457" s="67"/>
      <c r="BUY457" s="67"/>
      <c r="BUZ457" s="67"/>
      <c r="BVA457" s="67"/>
      <c r="BVB457" s="67"/>
      <c r="BVC457" s="67"/>
      <c r="BVD457" s="67"/>
      <c r="BVE457" s="67"/>
      <c r="BVF457" s="67"/>
      <c r="BVG457" s="67"/>
      <c r="BVH457" s="67"/>
      <c r="BVI457" s="67"/>
      <c r="BVJ457" s="67"/>
      <c r="BVK457" s="67"/>
      <c r="BVL457" s="67"/>
      <c r="BVM457" s="67"/>
      <c r="BVN457" s="67"/>
      <c r="BVO457" s="67"/>
      <c r="BVP457" s="67"/>
      <c r="BVQ457" s="67"/>
      <c r="BVR457" s="67"/>
      <c r="BVS457" s="67"/>
      <c r="BVT457" s="67"/>
      <c r="BVU457" s="67"/>
      <c r="BVV457" s="67"/>
      <c r="BVW457" s="67"/>
      <c r="BVX457" s="67"/>
      <c r="BVY457" s="67"/>
      <c r="BVZ457" s="67"/>
      <c r="BWA457" s="67"/>
      <c r="BWB457" s="67"/>
      <c r="BWC457" s="67"/>
      <c r="BWD457" s="67"/>
      <c r="BWE457" s="67"/>
      <c r="BWF457" s="67"/>
      <c r="BWG457" s="67"/>
      <c r="BWH457" s="67"/>
      <c r="BWI457" s="67"/>
      <c r="BWJ457" s="67"/>
      <c r="BWK457" s="67"/>
      <c r="BWL457" s="67"/>
      <c r="BWM457" s="67"/>
      <c r="BWN457" s="67"/>
      <c r="BWO457" s="67"/>
      <c r="BWP457" s="67"/>
      <c r="BWQ457" s="67"/>
      <c r="BWR457" s="67"/>
      <c r="BWS457" s="67"/>
      <c r="BWT457" s="67"/>
      <c r="BWU457" s="67"/>
      <c r="BWV457" s="67"/>
      <c r="BWW457" s="67"/>
      <c r="BWX457" s="67"/>
      <c r="BWY457" s="67"/>
      <c r="BWZ457" s="67"/>
      <c r="BXA457" s="67"/>
      <c r="BXB457" s="67"/>
      <c r="BXC457" s="67"/>
      <c r="BXD457" s="67"/>
      <c r="BXE457" s="67"/>
      <c r="BXF457" s="67"/>
      <c r="BXG457" s="67"/>
      <c r="BXH457" s="67"/>
      <c r="BXI457" s="67"/>
      <c r="BXJ457" s="67"/>
      <c r="BXK457" s="67"/>
      <c r="BXL457" s="67"/>
      <c r="BXM457" s="67"/>
      <c r="BXN457" s="67"/>
      <c r="BXO457" s="67"/>
      <c r="BXP457" s="67"/>
      <c r="BXQ457" s="67"/>
      <c r="BXR457" s="67"/>
      <c r="BXS457" s="67"/>
      <c r="BXT457" s="67"/>
      <c r="BXU457" s="67"/>
      <c r="BXV457" s="67"/>
      <c r="BXW457" s="67"/>
      <c r="BXX457" s="67"/>
      <c r="BXY457" s="67"/>
      <c r="BXZ457" s="67"/>
      <c r="BYA457" s="67"/>
      <c r="BYB457" s="67"/>
      <c r="BYC457" s="67"/>
      <c r="BYD457" s="67"/>
      <c r="BYE457" s="67"/>
      <c r="BYF457" s="67"/>
      <c r="BYG457" s="67"/>
      <c r="BYH457" s="67"/>
      <c r="BYI457" s="67"/>
      <c r="BYJ457" s="67"/>
      <c r="BYK457" s="67"/>
      <c r="BYL457" s="67"/>
      <c r="BYM457" s="67"/>
      <c r="BYN457" s="67"/>
      <c r="BYO457" s="67"/>
      <c r="BYP457" s="67"/>
      <c r="BYQ457" s="67"/>
      <c r="BYR457" s="67"/>
      <c r="BYS457" s="67"/>
      <c r="BYT457" s="67"/>
      <c r="BYU457" s="67"/>
      <c r="BYV457" s="67"/>
      <c r="BYW457" s="67"/>
      <c r="BYX457" s="67"/>
      <c r="BYY457" s="67"/>
      <c r="BYZ457" s="67"/>
      <c r="BZA457" s="67"/>
      <c r="BZB457" s="67"/>
      <c r="BZC457" s="67"/>
      <c r="BZD457" s="67"/>
      <c r="BZE457" s="67"/>
      <c r="BZF457" s="67"/>
      <c r="BZG457" s="67"/>
      <c r="BZH457" s="67"/>
      <c r="BZI457" s="67"/>
      <c r="BZJ457" s="67"/>
      <c r="BZK457" s="67"/>
      <c r="BZL457" s="67"/>
      <c r="BZM457" s="67"/>
      <c r="BZN457" s="67"/>
      <c r="BZO457" s="67"/>
      <c r="BZP457" s="67"/>
      <c r="BZQ457" s="67"/>
      <c r="BZR457" s="67"/>
      <c r="BZS457" s="67"/>
      <c r="BZT457" s="67"/>
      <c r="BZU457" s="67"/>
      <c r="BZV457" s="67"/>
      <c r="BZW457" s="67"/>
      <c r="BZX457" s="67"/>
      <c r="BZY457" s="67"/>
      <c r="BZZ457" s="67"/>
      <c r="CAA457" s="67"/>
      <c r="CAB457" s="67"/>
      <c r="CAC457" s="67"/>
      <c r="CAD457" s="67"/>
      <c r="CAE457" s="67"/>
      <c r="CAF457" s="67"/>
      <c r="CAG457" s="67"/>
      <c r="CAH457" s="67"/>
      <c r="CAI457" s="67"/>
      <c r="CAJ457" s="67"/>
      <c r="CAK457" s="67"/>
      <c r="CAL457" s="67"/>
      <c r="CAM457" s="67"/>
      <c r="CAN457" s="67"/>
      <c r="CAO457" s="67"/>
      <c r="CAP457" s="67"/>
      <c r="CAQ457" s="67"/>
      <c r="CAR457" s="67"/>
      <c r="CAS457" s="67"/>
      <c r="CAT457" s="67"/>
      <c r="CAU457" s="67"/>
      <c r="CAV457" s="67"/>
      <c r="CAW457" s="67"/>
      <c r="CAX457" s="67"/>
      <c r="CAY457" s="67"/>
      <c r="CAZ457" s="67"/>
      <c r="CBA457" s="67"/>
      <c r="CBB457" s="67"/>
      <c r="CBC457" s="67"/>
      <c r="CBD457" s="67"/>
      <c r="CBE457" s="67"/>
      <c r="CBF457" s="67"/>
      <c r="CBG457" s="67"/>
      <c r="CBH457" s="67"/>
      <c r="CBI457" s="67"/>
      <c r="CBJ457" s="67"/>
      <c r="CBK457" s="67"/>
      <c r="CBL457" s="67"/>
      <c r="CBM457" s="67"/>
      <c r="CBN457" s="67"/>
      <c r="CBO457" s="67"/>
      <c r="CBP457" s="67"/>
      <c r="CBQ457" s="67"/>
      <c r="CBR457" s="67"/>
      <c r="CBS457" s="67"/>
      <c r="CBT457" s="67"/>
      <c r="CBU457" s="67"/>
      <c r="CBV457" s="67"/>
      <c r="CBW457" s="67"/>
      <c r="CBX457" s="67"/>
      <c r="CBY457" s="67"/>
      <c r="CBZ457" s="67"/>
      <c r="CCA457" s="67"/>
      <c r="CCB457" s="67"/>
      <c r="CCC457" s="67"/>
      <c r="CCD457" s="67"/>
      <c r="CCE457" s="67"/>
      <c r="CCF457" s="67"/>
      <c r="CCG457" s="67"/>
      <c r="CCH457" s="67"/>
      <c r="CCI457" s="67"/>
      <c r="CCJ457" s="67"/>
      <c r="CCK457" s="67"/>
      <c r="CCL457" s="67"/>
      <c r="CCM457" s="67"/>
      <c r="CCN457" s="67"/>
      <c r="CCO457" s="67"/>
      <c r="CCP457" s="67"/>
      <c r="CCQ457" s="67"/>
      <c r="CCR457" s="67"/>
      <c r="CCS457" s="67"/>
      <c r="CCT457" s="67"/>
      <c r="CCU457" s="67"/>
      <c r="CCV457" s="67"/>
      <c r="CCW457" s="67"/>
      <c r="CCX457" s="67"/>
      <c r="CCY457" s="67"/>
      <c r="CCZ457" s="67"/>
      <c r="CDA457" s="67"/>
      <c r="CDB457" s="67"/>
      <c r="CDC457" s="67"/>
      <c r="CDD457" s="67"/>
      <c r="CDE457" s="67"/>
      <c r="CDF457" s="67"/>
      <c r="CDG457" s="67"/>
      <c r="CDH457" s="67"/>
      <c r="CDI457" s="67"/>
      <c r="CDJ457" s="67"/>
      <c r="CDK457" s="67"/>
      <c r="CDL457" s="67"/>
      <c r="CDM457" s="67"/>
      <c r="CDN457" s="67"/>
      <c r="CDO457" s="67"/>
      <c r="CDP457" s="67"/>
      <c r="CDQ457" s="67"/>
      <c r="CDR457" s="67"/>
      <c r="CDS457" s="67"/>
      <c r="CDT457" s="67"/>
      <c r="CDU457" s="67"/>
      <c r="CDV457" s="67"/>
      <c r="CDW457" s="67"/>
      <c r="CDX457" s="67"/>
      <c r="CDY457" s="67"/>
      <c r="CDZ457" s="67"/>
      <c r="CEA457" s="67"/>
      <c r="CEB457" s="67"/>
      <c r="CEC457" s="67"/>
      <c r="CED457" s="67"/>
      <c r="CEE457" s="67"/>
      <c r="CEF457" s="67"/>
      <c r="CEG457" s="67"/>
      <c r="CEH457" s="67"/>
      <c r="CEI457" s="67"/>
      <c r="CEJ457" s="67"/>
      <c r="CEK457" s="67"/>
      <c r="CEL457" s="67"/>
      <c r="CEM457" s="67"/>
      <c r="CEN457" s="67"/>
      <c r="CEO457" s="67"/>
      <c r="CEP457" s="67"/>
      <c r="CEQ457" s="67"/>
      <c r="CER457" s="67"/>
      <c r="CES457" s="67"/>
      <c r="CET457" s="67"/>
      <c r="CEU457" s="67"/>
      <c r="CEV457" s="67"/>
      <c r="CEW457" s="67"/>
      <c r="CEX457" s="67"/>
      <c r="CEY457" s="67"/>
      <c r="CEZ457" s="67"/>
      <c r="CFA457" s="67"/>
      <c r="CFB457" s="67"/>
      <c r="CFC457" s="67"/>
      <c r="CFD457" s="67"/>
      <c r="CFE457" s="67"/>
      <c r="CFF457" s="67"/>
      <c r="CFG457" s="67"/>
      <c r="CFH457" s="67"/>
      <c r="CFI457" s="67"/>
      <c r="CFJ457" s="67"/>
      <c r="CFK457" s="67"/>
      <c r="CFL457" s="67"/>
      <c r="CFM457" s="67"/>
      <c r="CFN457" s="67"/>
      <c r="CFO457" s="67"/>
      <c r="CFP457" s="67"/>
      <c r="CFQ457" s="67"/>
      <c r="CFR457" s="67"/>
      <c r="CFS457" s="67"/>
      <c r="CFT457" s="67"/>
      <c r="CFU457" s="67"/>
      <c r="CFV457" s="67"/>
      <c r="CFW457" s="67"/>
      <c r="CFX457" s="67"/>
      <c r="CFY457" s="67"/>
      <c r="CFZ457" s="67"/>
      <c r="CGA457" s="67"/>
      <c r="CGB457" s="67"/>
      <c r="CGC457" s="67"/>
      <c r="CGD457" s="67"/>
      <c r="CGE457" s="67"/>
      <c r="CGF457" s="67"/>
      <c r="CGG457" s="67"/>
      <c r="CGH457" s="67"/>
      <c r="CGI457" s="67"/>
      <c r="CGJ457" s="67"/>
      <c r="CGK457" s="67"/>
      <c r="CGL457" s="67"/>
      <c r="CGM457" s="67"/>
      <c r="CGN457" s="67"/>
      <c r="CGO457" s="67"/>
      <c r="CGP457" s="67"/>
      <c r="CGQ457" s="67"/>
      <c r="CGR457" s="67"/>
      <c r="CGS457" s="67"/>
      <c r="CGT457" s="67"/>
      <c r="CGU457" s="67"/>
      <c r="CGV457" s="67"/>
      <c r="CGW457" s="67"/>
      <c r="CGX457" s="67"/>
      <c r="CGY457" s="67"/>
      <c r="CGZ457" s="67"/>
      <c r="CHA457" s="67"/>
      <c r="CHB457" s="67"/>
      <c r="CHC457" s="67"/>
      <c r="CHD457" s="67"/>
      <c r="CHE457" s="67"/>
      <c r="CHF457" s="67"/>
      <c r="CHG457" s="67"/>
      <c r="CHH457" s="67"/>
      <c r="CHI457" s="67"/>
      <c r="CHJ457" s="67"/>
      <c r="CHK457" s="67"/>
      <c r="CHL457" s="67"/>
      <c r="CHM457" s="67"/>
      <c r="CHN457" s="67"/>
      <c r="CHO457" s="67"/>
      <c r="CHP457" s="67"/>
      <c r="CHQ457" s="67"/>
      <c r="CHR457" s="67"/>
      <c r="CHS457" s="67"/>
      <c r="CHT457" s="67"/>
      <c r="CHU457" s="67"/>
      <c r="CHV457" s="67"/>
      <c r="CHW457" s="67"/>
      <c r="CHX457" s="67"/>
      <c r="CHY457" s="67"/>
      <c r="CHZ457" s="67"/>
      <c r="CIA457" s="67"/>
      <c r="CIB457" s="67"/>
      <c r="CIC457" s="67"/>
      <c r="CID457" s="67"/>
      <c r="CIE457" s="67"/>
      <c r="CIF457" s="67"/>
      <c r="CIG457" s="67"/>
      <c r="CIH457" s="67"/>
      <c r="CII457" s="67"/>
      <c r="CIJ457" s="67"/>
      <c r="CIK457" s="67"/>
      <c r="CIL457" s="67"/>
      <c r="CIM457" s="67"/>
      <c r="CIN457" s="67"/>
      <c r="CIO457" s="67"/>
      <c r="CIP457" s="67"/>
      <c r="CIQ457" s="67"/>
      <c r="CIR457" s="67"/>
      <c r="CIS457" s="67"/>
      <c r="CIT457" s="67"/>
      <c r="CIU457" s="67"/>
      <c r="CIV457" s="67"/>
      <c r="CIW457" s="67"/>
      <c r="CIX457" s="67"/>
      <c r="CIY457" s="67"/>
      <c r="CIZ457" s="67"/>
      <c r="CJA457" s="67"/>
      <c r="CJB457" s="67"/>
      <c r="CJC457" s="67"/>
      <c r="CJD457" s="67"/>
      <c r="CJE457" s="67"/>
      <c r="CJF457" s="67"/>
      <c r="CJG457" s="67"/>
      <c r="CJH457" s="67"/>
      <c r="CJI457" s="67"/>
      <c r="CJJ457" s="67"/>
      <c r="CJK457" s="67"/>
      <c r="CJL457" s="67"/>
      <c r="CJM457" s="67"/>
      <c r="CJN457" s="67"/>
      <c r="CJO457" s="67"/>
      <c r="CJP457" s="67"/>
      <c r="CJQ457" s="67"/>
      <c r="CJR457" s="67"/>
      <c r="CJS457" s="67"/>
      <c r="CJT457" s="67"/>
      <c r="CJU457" s="67"/>
      <c r="CJV457" s="67"/>
      <c r="CJW457" s="67"/>
      <c r="CJX457" s="67"/>
      <c r="CJY457" s="67"/>
      <c r="CJZ457" s="67"/>
      <c r="CKA457" s="67"/>
      <c r="CKB457" s="67"/>
      <c r="CKC457" s="67"/>
      <c r="CKD457" s="67"/>
      <c r="CKE457" s="67"/>
      <c r="CKF457" s="67"/>
      <c r="CKG457" s="67"/>
      <c r="CKH457" s="67"/>
      <c r="CKI457" s="67"/>
      <c r="CKJ457" s="67"/>
      <c r="CKK457" s="67"/>
      <c r="CKL457" s="67"/>
      <c r="CKM457" s="67"/>
      <c r="CKN457" s="67"/>
      <c r="CKO457" s="67"/>
      <c r="CKP457" s="67"/>
      <c r="CKQ457" s="67"/>
      <c r="CKR457" s="67"/>
      <c r="CKS457" s="67"/>
      <c r="CKT457" s="67"/>
      <c r="CKU457" s="67"/>
      <c r="CKV457" s="67"/>
      <c r="CKW457" s="67"/>
      <c r="CKX457" s="67"/>
      <c r="CKY457" s="67"/>
      <c r="CKZ457" s="67"/>
      <c r="CLA457" s="67"/>
      <c r="CLB457" s="67"/>
      <c r="CLC457" s="67"/>
      <c r="CLD457" s="67"/>
      <c r="CLE457" s="67"/>
      <c r="CLF457" s="67"/>
      <c r="CLG457" s="67"/>
      <c r="CLH457" s="67"/>
      <c r="CLI457" s="67"/>
      <c r="CLJ457" s="67"/>
      <c r="CLK457" s="67"/>
      <c r="CLL457" s="67"/>
      <c r="CLM457" s="67"/>
      <c r="CLN457" s="67"/>
      <c r="CLO457" s="67"/>
      <c r="CLP457" s="67"/>
      <c r="CLQ457" s="67"/>
      <c r="CLR457" s="67"/>
      <c r="CLS457" s="67"/>
      <c r="CLT457" s="67"/>
      <c r="CLU457" s="67"/>
      <c r="CLV457" s="67"/>
      <c r="CLW457" s="67"/>
      <c r="CLX457" s="67"/>
      <c r="CLY457" s="67"/>
      <c r="CLZ457" s="67"/>
      <c r="CMA457" s="67"/>
      <c r="CMB457" s="67"/>
      <c r="CMC457" s="67"/>
      <c r="CMD457" s="67"/>
      <c r="CME457" s="67"/>
      <c r="CMF457" s="67"/>
      <c r="CMG457" s="67"/>
      <c r="CMH457" s="67"/>
      <c r="CMI457" s="67"/>
      <c r="CMJ457" s="67"/>
      <c r="CMK457" s="67"/>
      <c r="CML457" s="67"/>
      <c r="CMM457" s="67"/>
      <c r="CMN457" s="67"/>
      <c r="CMO457" s="67"/>
      <c r="CMP457" s="67"/>
      <c r="CMQ457" s="67"/>
      <c r="CMR457" s="67"/>
      <c r="CMS457" s="67"/>
      <c r="CMT457" s="67"/>
      <c r="CMU457" s="67"/>
      <c r="CMV457" s="67"/>
      <c r="CMW457" s="67"/>
      <c r="CMX457" s="67"/>
      <c r="CMY457" s="67"/>
      <c r="CMZ457" s="67"/>
      <c r="CNA457" s="67"/>
      <c r="CNB457" s="67"/>
      <c r="CNC457" s="67"/>
      <c r="CND457" s="67"/>
      <c r="CNE457" s="67"/>
      <c r="CNF457" s="67"/>
      <c r="CNG457" s="67"/>
      <c r="CNH457" s="67"/>
      <c r="CNI457" s="67"/>
      <c r="CNJ457" s="67"/>
      <c r="CNK457" s="67"/>
      <c r="CNL457" s="67"/>
      <c r="CNM457" s="67"/>
      <c r="CNN457" s="67"/>
      <c r="CNO457" s="67"/>
      <c r="CNP457" s="67"/>
      <c r="CNQ457" s="67"/>
      <c r="CNR457" s="67"/>
      <c r="CNS457" s="67"/>
      <c r="CNT457" s="67"/>
      <c r="CNU457" s="67"/>
      <c r="CNV457" s="67"/>
      <c r="CNW457" s="67"/>
      <c r="CNX457" s="67"/>
      <c r="CNY457" s="67"/>
      <c r="CNZ457" s="67"/>
      <c r="COA457" s="67"/>
      <c r="COB457" s="67"/>
      <c r="COC457" s="67"/>
      <c r="COD457" s="67"/>
      <c r="COE457" s="67"/>
      <c r="COF457" s="67"/>
      <c r="COG457" s="67"/>
      <c r="COH457" s="67"/>
      <c r="COI457" s="67"/>
      <c r="COJ457" s="67"/>
      <c r="COK457" s="67"/>
      <c r="COL457" s="67"/>
      <c r="COM457" s="67"/>
      <c r="CON457" s="67"/>
      <c r="COO457" s="67"/>
      <c r="COP457" s="67"/>
      <c r="COQ457" s="67"/>
      <c r="COR457" s="67"/>
      <c r="COS457" s="67"/>
      <c r="COT457" s="67"/>
      <c r="COU457" s="67"/>
      <c r="COV457" s="67"/>
      <c r="COW457" s="67"/>
      <c r="COX457" s="67"/>
      <c r="COY457" s="67"/>
      <c r="COZ457" s="67"/>
      <c r="CPA457" s="67"/>
      <c r="CPB457" s="67"/>
      <c r="CPC457" s="67"/>
      <c r="CPD457" s="67"/>
      <c r="CPE457" s="67"/>
      <c r="CPF457" s="67"/>
      <c r="CPG457" s="67"/>
      <c r="CPH457" s="67"/>
      <c r="CPI457" s="67"/>
      <c r="CPJ457" s="67"/>
      <c r="CPK457" s="67"/>
      <c r="CPL457" s="67"/>
      <c r="CPM457" s="67"/>
      <c r="CPN457" s="67"/>
      <c r="CPO457" s="67"/>
      <c r="CPP457" s="67"/>
      <c r="CPQ457" s="67"/>
      <c r="CPR457" s="67"/>
      <c r="CPS457" s="67"/>
      <c r="CPT457" s="67"/>
      <c r="CPU457" s="67"/>
      <c r="CPV457" s="67"/>
      <c r="CPW457" s="67"/>
      <c r="CPX457" s="67"/>
      <c r="CPY457" s="67"/>
      <c r="CPZ457" s="67"/>
      <c r="CQA457" s="67"/>
      <c r="CQB457" s="67"/>
      <c r="CQC457" s="67"/>
      <c r="CQD457" s="67"/>
      <c r="CQE457" s="67"/>
      <c r="CQF457" s="67"/>
      <c r="CQG457" s="67"/>
      <c r="CQH457" s="67"/>
      <c r="CQI457" s="67"/>
      <c r="CQJ457" s="67"/>
      <c r="CQK457" s="67"/>
      <c r="CQL457" s="67"/>
      <c r="CQM457" s="67"/>
      <c r="CQN457" s="67"/>
      <c r="CQO457" s="67"/>
      <c r="CQP457" s="67"/>
      <c r="CQQ457" s="67"/>
      <c r="CQR457" s="67"/>
      <c r="CQS457" s="67"/>
      <c r="CQT457" s="67"/>
      <c r="CQU457" s="67"/>
      <c r="CQV457" s="67"/>
      <c r="CQW457" s="67"/>
      <c r="CQX457" s="67"/>
      <c r="CQY457" s="67"/>
      <c r="CQZ457" s="67"/>
      <c r="CRA457" s="67"/>
      <c r="CRB457" s="67"/>
      <c r="CRC457" s="67"/>
      <c r="CRD457" s="67"/>
      <c r="CRE457" s="67"/>
      <c r="CRF457" s="67"/>
      <c r="CRG457" s="67"/>
      <c r="CRH457" s="67"/>
      <c r="CRI457" s="67"/>
      <c r="CRJ457" s="67"/>
      <c r="CRK457" s="67"/>
      <c r="CRL457" s="67"/>
      <c r="CRM457" s="67"/>
      <c r="CRN457" s="67"/>
      <c r="CRO457" s="67"/>
      <c r="CRP457" s="67"/>
      <c r="CRQ457" s="67"/>
      <c r="CRR457" s="67"/>
      <c r="CRS457" s="67"/>
      <c r="CRT457" s="67"/>
      <c r="CRU457" s="67"/>
      <c r="CRV457" s="67"/>
      <c r="CRW457" s="67"/>
      <c r="CRX457" s="67"/>
      <c r="CRY457" s="67"/>
      <c r="CRZ457" s="67"/>
      <c r="CSA457" s="67"/>
      <c r="CSB457" s="67"/>
      <c r="CSC457" s="67"/>
      <c r="CSD457" s="67"/>
      <c r="CSE457" s="67"/>
      <c r="CSF457" s="67"/>
      <c r="CSG457" s="67"/>
      <c r="CSH457" s="67"/>
      <c r="CSI457" s="67"/>
      <c r="CSJ457" s="67"/>
      <c r="CSK457" s="67"/>
      <c r="CSL457" s="67"/>
      <c r="CSM457" s="67"/>
      <c r="CSN457" s="67"/>
      <c r="CSO457" s="67"/>
      <c r="CSP457" s="67"/>
      <c r="CSQ457" s="67"/>
      <c r="CSR457" s="67"/>
      <c r="CSS457" s="67"/>
      <c r="CST457" s="67"/>
      <c r="CSU457" s="67"/>
      <c r="CSV457" s="67"/>
      <c r="CSW457" s="67"/>
      <c r="CSX457" s="67"/>
      <c r="CSY457" s="67"/>
      <c r="CSZ457" s="67"/>
      <c r="CTA457" s="67"/>
      <c r="CTB457" s="67"/>
      <c r="CTC457" s="67"/>
      <c r="CTD457" s="67"/>
      <c r="CTE457" s="67"/>
      <c r="CTF457" s="67"/>
      <c r="CTG457" s="67"/>
      <c r="CTH457" s="67"/>
      <c r="CTI457" s="67"/>
      <c r="CTJ457" s="67"/>
      <c r="CTK457" s="67"/>
      <c r="CTL457" s="67"/>
      <c r="CTM457" s="67"/>
      <c r="CTN457" s="67"/>
      <c r="CTO457" s="67"/>
      <c r="CTP457" s="67"/>
      <c r="CTQ457" s="67"/>
      <c r="CTR457" s="67"/>
      <c r="CTS457" s="67"/>
      <c r="CTT457" s="67"/>
      <c r="CTU457" s="67"/>
      <c r="CTV457" s="67"/>
      <c r="CTW457" s="67"/>
      <c r="CTX457" s="67"/>
      <c r="CTY457" s="67"/>
      <c r="CTZ457" s="67"/>
      <c r="CUA457" s="67"/>
      <c r="CUB457" s="67"/>
      <c r="CUC457" s="67"/>
      <c r="CUD457" s="67"/>
      <c r="CUE457" s="67"/>
      <c r="CUF457" s="67"/>
      <c r="CUG457" s="67"/>
      <c r="CUH457" s="67"/>
      <c r="CUI457" s="67"/>
      <c r="CUJ457" s="67"/>
      <c r="CUK457" s="67"/>
      <c r="CUL457" s="67"/>
      <c r="CUM457" s="67"/>
      <c r="CUN457" s="67"/>
      <c r="CUO457" s="67"/>
      <c r="CUP457" s="67"/>
      <c r="CUQ457" s="67"/>
      <c r="CUR457" s="67"/>
      <c r="CUS457" s="67"/>
      <c r="CUT457" s="67"/>
      <c r="CUU457" s="67"/>
      <c r="CUV457" s="67"/>
      <c r="CUW457" s="67"/>
      <c r="CUX457" s="67"/>
      <c r="CUY457" s="67"/>
      <c r="CUZ457" s="67"/>
      <c r="CVA457" s="67"/>
      <c r="CVB457" s="67"/>
      <c r="CVC457" s="67"/>
      <c r="CVD457" s="67"/>
      <c r="CVE457" s="67"/>
      <c r="CVF457" s="67"/>
      <c r="CVG457" s="67"/>
      <c r="CVH457" s="67"/>
      <c r="CVI457" s="67"/>
      <c r="CVJ457" s="67"/>
      <c r="CVK457" s="67"/>
      <c r="CVL457" s="67"/>
      <c r="CVM457" s="67"/>
      <c r="CVN457" s="67"/>
      <c r="CVO457" s="67"/>
      <c r="CVP457" s="67"/>
      <c r="CVQ457" s="67"/>
      <c r="CVR457" s="67"/>
      <c r="CVS457" s="67"/>
      <c r="CVT457" s="67"/>
      <c r="CVU457" s="67"/>
      <c r="CVV457" s="67"/>
      <c r="CVW457" s="67"/>
      <c r="CVX457" s="67"/>
      <c r="CVY457" s="67"/>
      <c r="CVZ457" s="67"/>
      <c r="CWA457" s="67"/>
      <c r="CWB457" s="67"/>
      <c r="CWC457" s="67"/>
      <c r="CWD457" s="67"/>
      <c r="CWE457" s="67"/>
      <c r="CWF457" s="67"/>
      <c r="CWG457" s="67"/>
      <c r="CWH457" s="67"/>
      <c r="CWI457" s="67"/>
      <c r="CWJ457" s="67"/>
      <c r="CWK457" s="67"/>
      <c r="CWL457" s="67"/>
      <c r="CWM457" s="67"/>
      <c r="CWN457" s="67"/>
      <c r="CWO457" s="67"/>
      <c r="CWP457" s="67"/>
      <c r="CWQ457" s="67"/>
      <c r="CWR457" s="67"/>
      <c r="CWS457" s="67"/>
      <c r="CWT457" s="67"/>
      <c r="CWU457" s="67"/>
      <c r="CWV457" s="67"/>
      <c r="CWW457" s="67"/>
      <c r="CWX457" s="67"/>
      <c r="CWY457" s="67"/>
      <c r="CWZ457" s="67"/>
      <c r="CXA457" s="67"/>
      <c r="CXB457" s="67"/>
      <c r="CXC457" s="67"/>
      <c r="CXD457" s="67"/>
      <c r="CXE457" s="67"/>
      <c r="CXF457" s="67"/>
      <c r="CXG457" s="67"/>
      <c r="CXH457" s="67"/>
      <c r="CXI457" s="67"/>
      <c r="CXJ457" s="67"/>
      <c r="CXK457" s="67"/>
      <c r="CXL457" s="67"/>
      <c r="CXM457" s="67"/>
      <c r="CXN457" s="67"/>
      <c r="CXO457" s="67"/>
      <c r="CXP457" s="67"/>
      <c r="CXQ457" s="67"/>
      <c r="CXR457" s="67"/>
      <c r="CXS457" s="67"/>
      <c r="CXT457" s="67"/>
      <c r="CXU457" s="67"/>
      <c r="CXV457" s="67"/>
      <c r="CXW457" s="67"/>
      <c r="CXX457" s="67"/>
      <c r="CXY457" s="67"/>
      <c r="CXZ457" s="67"/>
      <c r="CYA457" s="67"/>
      <c r="CYB457" s="67"/>
      <c r="CYC457" s="67"/>
      <c r="CYD457" s="67"/>
      <c r="CYE457" s="67"/>
      <c r="CYF457" s="67"/>
      <c r="CYG457" s="67"/>
      <c r="CYH457" s="67"/>
      <c r="CYI457" s="67"/>
      <c r="CYJ457" s="67"/>
      <c r="CYK457" s="67"/>
      <c r="CYL457" s="67"/>
      <c r="CYM457" s="67"/>
      <c r="CYN457" s="67"/>
      <c r="CYO457" s="67"/>
      <c r="CYP457" s="67"/>
      <c r="CYQ457" s="67"/>
      <c r="CYR457" s="67"/>
      <c r="CYS457" s="67"/>
      <c r="CYT457" s="67"/>
      <c r="CYU457" s="67"/>
      <c r="CYV457" s="67"/>
      <c r="CYW457" s="67"/>
      <c r="CYX457" s="67"/>
      <c r="CYY457" s="67"/>
      <c r="CYZ457" s="67"/>
      <c r="CZA457" s="67"/>
      <c r="CZB457" s="67"/>
      <c r="CZC457" s="67"/>
      <c r="CZD457" s="67"/>
      <c r="CZE457" s="67"/>
      <c r="CZF457" s="67"/>
      <c r="CZG457" s="67"/>
      <c r="CZH457" s="67"/>
      <c r="CZI457" s="67"/>
      <c r="CZJ457" s="67"/>
      <c r="CZK457" s="67"/>
      <c r="CZL457" s="67"/>
      <c r="CZM457" s="67"/>
      <c r="CZN457" s="67"/>
      <c r="CZO457" s="67"/>
      <c r="CZP457" s="67"/>
      <c r="CZQ457" s="67"/>
      <c r="CZR457" s="67"/>
      <c r="CZS457" s="67"/>
      <c r="CZT457" s="67"/>
      <c r="CZU457" s="67"/>
      <c r="CZV457" s="67"/>
      <c r="CZW457" s="67"/>
      <c r="CZX457" s="67"/>
      <c r="CZY457" s="67"/>
      <c r="CZZ457" s="67"/>
      <c r="DAA457" s="67"/>
      <c r="DAB457" s="67"/>
      <c r="DAC457" s="67"/>
      <c r="DAD457" s="67"/>
      <c r="DAE457" s="67"/>
      <c r="DAF457" s="67"/>
      <c r="DAG457" s="67"/>
      <c r="DAH457" s="67"/>
      <c r="DAI457" s="67"/>
      <c r="DAJ457" s="67"/>
      <c r="DAK457" s="67"/>
      <c r="DAL457" s="67"/>
      <c r="DAM457" s="67"/>
      <c r="DAN457" s="67"/>
      <c r="DAO457" s="67"/>
      <c r="DAP457" s="67"/>
      <c r="DAQ457" s="67"/>
      <c r="DAR457" s="67"/>
      <c r="DAS457" s="67"/>
      <c r="DAT457" s="67"/>
      <c r="DAU457" s="67"/>
      <c r="DAV457" s="67"/>
      <c r="DAW457" s="67"/>
      <c r="DAX457" s="67"/>
      <c r="DAY457" s="67"/>
      <c r="DAZ457" s="67"/>
      <c r="DBA457" s="67"/>
      <c r="DBB457" s="67"/>
      <c r="DBC457" s="67"/>
      <c r="DBD457" s="67"/>
      <c r="DBE457" s="67"/>
      <c r="DBF457" s="67"/>
      <c r="DBG457" s="67"/>
      <c r="DBH457" s="67"/>
      <c r="DBI457" s="67"/>
      <c r="DBJ457" s="67"/>
      <c r="DBK457" s="67"/>
      <c r="DBL457" s="67"/>
      <c r="DBM457" s="67"/>
      <c r="DBN457" s="67"/>
      <c r="DBO457" s="67"/>
      <c r="DBP457" s="67"/>
      <c r="DBQ457" s="67"/>
      <c r="DBR457" s="67"/>
      <c r="DBS457" s="67"/>
      <c r="DBT457" s="67"/>
      <c r="DBU457" s="67"/>
      <c r="DBV457" s="67"/>
      <c r="DBW457" s="67"/>
      <c r="DBX457" s="67"/>
      <c r="DBY457" s="67"/>
      <c r="DBZ457" s="67"/>
      <c r="DCA457" s="67"/>
      <c r="DCB457" s="67"/>
      <c r="DCC457" s="67"/>
      <c r="DCD457" s="67"/>
      <c r="DCE457" s="67"/>
      <c r="DCF457" s="67"/>
      <c r="DCG457" s="67"/>
      <c r="DCH457" s="67"/>
      <c r="DCI457" s="67"/>
      <c r="DCJ457" s="67"/>
      <c r="DCK457" s="67"/>
      <c r="DCL457" s="67"/>
      <c r="DCM457" s="67"/>
      <c r="DCN457" s="67"/>
      <c r="DCO457" s="67"/>
      <c r="DCP457" s="67"/>
      <c r="DCQ457" s="67"/>
      <c r="DCR457" s="67"/>
      <c r="DCS457" s="67"/>
      <c r="DCT457" s="67"/>
      <c r="DCU457" s="67"/>
      <c r="DCV457" s="67"/>
      <c r="DCW457" s="67"/>
      <c r="DCX457" s="67"/>
      <c r="DCY457" s="67"/>
      <c r="DCZ457" s="67"/>
      <c r="DDA457" s="67"/>
      <c r="DDB457" s="67"/>
      <c r="DDC457" s="67"/>
      <c r="DDD457" s="67"/>
      <c r="DDE457" s="67"/>
      <c r="DDF457" s="67"/>
      <c r="DDG457" s="67"/>
      <c r="DDH457" s="67"/>
      <c r="DDI457" s="67"/>
      <c r="DDJ457" s="67"/>
      <c r="DDK457" s="67"/>
      <c r="DDL457" s="67"/>
      <c r="DDM457" s="67"/>
      <c r="DDN457" s="67"/>
      <c r="DDO457" s="67"/>
      <c r="DDP457" s="67"/>
      <c r="DDQ457" s="67"/>
      <c r="DDR457" s="67"/>
      <c r="DDS457" s="67"/>
      <c r="DDT457" s="67"/>
      <c r="DDU457" s="67"/>
      <c r="DDV457" s="67"/>
      <c r="DDW457" s="67"/>
      <c r="DDX457" s="67"/>
      <c r="DDY457" s="67"/>
      <c r="DDZ457" s="67"/>
      <c r="DEA457" s="67"/>
      <c r="DEB457" s="67"/>
      <c r="DEC457" s="67"/>
      <c r="DED457" s="67"/>
      <c r="DEE457" s="67"/>
      <c r="DEF457" s="67"/>
      <c r="DEG457" s="67"/>
      <c r="DEH457" s="67"/>
      <c r="DEI457" s="67"/>
      <c r="DEJ457" s="67"/>
      <c r="DEK457" s="67"/>
      <c r="DEL457" s="67"/>
      <c r="DEM457" s="67"/>
      <c r="DEN457" s="67"/>
      <c r="DEO457" s="67"/>
      <c r="DEP457" s="67"/>
      <c r="DEQ457" s="67"/>
      <c r="DER457" s="67"/>
      <c r="DES457" s="67"/>
      <c r="DET457" s="67"/>
      <c r="DEU457" s="67"/>
      <c r="DEV457" s="67"/>
      <c r="DEW457" s="67"/>
      <c r="DEX457" s="67"/>
      <c r="DEY457" s="67"/>
      <c r="DEZ457" s="67"/>
      <c r="DFA457" s="67"/>
      <c r="DFB457" s="67"/>
      <c r="DFC457" s="67"/>
      <c r="DFD457" s="67"/>
      <c r="DFE457" s="67"/>
      <c r="DFF457" s="67"/>
      <c r="DFG457" s="67"/>
      <c r="DFH457" s="67"/>
      <c r="DFI457" s="67"/>
      <c r="DFJ457" s="67"/>
      <c r="DFK457" s="67"/>
      <c r="DFL457" s="67"/>
      <c r="DFM457" s="67"/>
      <c r="DFN457" s="67"/>
      <c r="DFO457" s="67"/>
      <c r="DFP457" s="67"/>
      <c r="DFQ457" s="67"/>
      <c r="DFR457" s="67"/>
      <c r="DFS457" s="67"/>
      <c r="DFT457" s="67"/>
      <c r="DFU457" s="67"/>
      <c r="DFV457" s="67"/>
      <c r="DFW457" s="67"/>
      <c r="DFX457" s="67"/>
      <c r="DFY457" s="67"/>
      <c r="DFZ457" s="67"/>
      <c r="DGA457" s="67"/>
      <c r="DGB457" s="67"/>
      <c r="DGC457" s="67"/>
      <c r="DGD457" s="67"/>
      <c r="DGE457" s="67"/>
      <c r="DGF457" s="67"/>
      <c r="DGG457" s="67"/>
      <c r="DGH457" s="67"/>
      <c r="DGI457" s="67"/>
      <c r="DGJ457" s="67"/>
      <c r="DGK457" s="67"/>
      <c r="DGL457" s="67"/>
      <c r="DGM457" s="67"/>
      <c r="DGN457" s="67"/>
      <c r="DGO457" s="67"/>
      <c r="DGP457" s="67"/>
      <c r="DGQ457" s="67"/>
      <c r="DGR457" s="67"/>
      <c r="DGS457" s="67"/>
      <c r="DGT457" s="67"/>
      <c r="DGU457" s="67"/>
      <c r="DGV457" s="67"/>
      <c r="DGW457" s="67"/>
      <c r="DGX457" s="67"/>
      <c r="DGY457" s="67"/>
      <c r="DGZ457" s="67"/>
      <c r="DHA457" s="67"/>
      <c r="DHB457" s="67"/>
      <c r="DHC457" s="67"/>
      <c r="DHD457" s="67"/>
      <c r="DHE457" s="67"/>
      <c r="DHF457" s="67"/>
      <c r="DHG457" s="67"/>
      <c r="DHH457" s="67"/>
      <c r="DHI457" s="67"/>
      <c r="DHJ457" s="67"/>
      <c r="DHK457" s="67"/>
      <c r="DHL457" s="67"/>
      <c r="DHM457" s="67"/>
      <c r="DHN457" s="67"/>
      <c r="DHO457" s="67"/>
      <c r="DHP457" s="67"/>
      <c r="DHQ457" s="67"/>
      <c r="DHR457" s="67"/>
      <c r="DHS457" s="67"/>
      <c r="DHT457" s="67"/>
      <c r="DHU457" s="67"/>
      <c r="DHV457" s="67"/>
      <c r="DHW457" s="67"/>
      <c r="DHX457" s="67"/>
      <c r="DHY457" s="67"/>
      <c r="DHZ457" s="67"/>
      <c r="DIA457" s="67"/>
      <c r="DIB457" s="67"/>
      <c r="DIC457" s="67"/>
      <c r="DID457" s="67"/>
      <c r="DIE457" s="67"/>
      <c r="DIF457" s="67"/>
      <c r="DIG457" s="67"/>
      <c r="DIH457" s="67"/>
      <c r="DII457" s="67"/>
      <c r="DIJ457" s="67"/>
      <c r="DIK457" s="67"/>
      <c r="DIL457" s="67"/>
      <c r="DIM457" s="67"/>
      <c r="DIN457" s="67"/>
      <c r="DIO457" s="67"/>
      <c r="DIP457" s="67"/>
      <c r="DIQ457" s="67"/>
      <c r="DIR457" s="67"/>
      <c r="DIS457" s="67"/>
      <c r="DIT457" s="67"/>
      <c r="DIU457" s="67"/>
      <c r="DIV457" s="67"/>
      <c r="DIW457" s="67"/>
      <c r="DIX457" s="67"/>
      <c r="DIY457" s="67"/>
      <c r="DIZ457" s="67"/>
      <c r="DJA457" s="67"/>
      <c r="DJB457" s="67"/>
      <c r="DJC457" s="67"/>
      <c r="DJD457" s="67"/>
      <c r="DJE457" s="67"/>
      <c r="DJF457" s="67"/>
      <c r="DJG457" s="67"/>
      <c r="DJH457" s="67"/>
      <c r="DJI457" s="67"/>
      <c r="DJJ457" s="67"/>
      <c r="DJK457" s="67"/>
      <c r="DJL457" s="67"/>
      <c r="DJM457" s="67"/>
      <c r="DJN457" s="67"/>
      <c r="DJO457" s="67"/>
      <c r="DJP457" s="67"/>
      <c r="DJQ457" s="67"/>
      <c r="DJR457" s="67"/>
      <c r="DJS457" s="67"/>
      <c r="DJT457" s="67"/>
      <c r="DJU457" s="67"/>
      <c r="DJV457" s="67"/>
      <c r="DJW457" s="67"/>
      <c r="DJX457" s="67"/>
      <c r="DJY457" s="67"/>
      <c r="DJZ457" s="67"/>
      <c r="DKA457" s="67"/>
      <c r="DKB457" s="67"/>
      <c r="DKC457" s="67"/>
      <c r="DKD457" s="67"/>
      <c r="DKE457" s="67"/>
      <c r="DKF457" s="67"/>
      <c r="DKG457" s="67"/>
      <c r="DKH457" s="67"/>
      <c r="DKI457" s="67"/>
      <c r="DKJ457" s="67"/>
      <c r="DKK457" s="67"/>
      <c r="DKL457" s="67"/>
      <c r="DKM457" s="67"/>
      <c r="DKN457" s="67"/>
      <c r="DKO457" s="67"/>
      <c r="DKP457" s="67"/>
      <c r="DKQ457" s="67"/>
      <c r="DKR457" s="67"/>
      <c r="DKS457" s="67"/>
      <c r="DKT457" s="67"/>
      <c r="DKU457" s="67"/>
      <c r="DKV457" s="67"/>
      <c r="DKW457" s="67"/>
      <c r="DKX457" s="67"/>
      <c r="DKY457" s="67"/>
      <c r="DKZ457" s="67"/>
      <c r="DLA457" s="67"/>
      <c r="DLB457" s="67"/>
      <c r="DLC457" s="67"/>
      <c r="DLD457" s="67"/>
      <c r="DLE457" s="67"/>
      <c r="DLF457" s="67"/>
      <c r="DLG457" s="67"/>
      <c r="DLH457" s="67"/>
      <c r="DLI457" s="67"/>
      <c r="DLJ457" s="67"/>
      <c r="DLK457" s="67"/>
      <c r="DLL457" s="67"/>
      <c r="DLM457" s="67"/>
      <c r="DLN457" s="67"/>
      <c r="DLO457" s="67"/>
      <c r="DLP457" s="67"/>
      <c r="DLQ457" s="67"/>
      <c r="DLR457" s="67"/>
      <c r="DLS457" s="67"/>
      <c r="DLT457" s="67"/>
      <c r="DLU457" s="67"/>
      <c r="DLV457" s="67"/>
      <c r="DLW457" s="67"/>
      <c r="DLX457" s="67"/>
      <c r="DLY457" s="67"/>
      <c r="DLZ457" s="67"/>
      <c r="DMA457" s="67"/>
      <c r="DMB457" s="67"/>
      <c r="DMC457" s="67"/>
      <c r="DMD457" s="67"/>
      <c r="DME457" s="67"/>
      <c r="DMF457" s="67"/>
      <c r="DMG457" s="67"/>
      <c r="DMH457" s="67"/>
      <c r="DMI457" s="67"/>
      <c r="DMJ457" s="67"/>
      <c r="DMK457" s="67"/>
      <c r="DML457" s="67"/>
      <c r="DMM457" s="67"/>
      <c r="DMN457" s="67"/>
      <c r="DMO457" s="67"/>
      <c r="DMP457" s="67"/>
      <c r="DMQ457" s="67"/>
      <c r="DMR457" s="67"/>
      <c r="DMS457" s="67"/>
      <c r="DMT457" s="67"/>
      <c r="DMU457" s="67"/>
      <c r="DMV457" s="67"/>
      <c r="DMW457" s="67"/>
      <c r="DMX457" s="67"/>
      <c r="DMY457" s="67"/>
      <c r="DMZ457" s="67"/>
      <c r="DNA457" s="67"/>
      <c r="DNB457" s="67"/>
      <c r="DNC457" s="67"/>
      <c r="DND457" s="67"/>
      <c r="DNE457" s="67"/>
      <c r="DNF457" s="67"/>
      <c r="DNG457" s="67"/>
      <c r="DNH457" s="67"/>
      <c r="DNI457" s="67"/>
      <c r="DNJ457" s="67"/>
      <c r="DNK457" s="67"/>
      <c r="DNL457" s="67"/>
      <c r="DNM457" s="67"/>
      <c r="DNN457" s="67"/>
      <c r="DNO457" s="67"/>
      <c r="DNP457" s="67"/>
      <c r="DNQ457" s="67"/>
      <c r="DNR457" s="67"/>
      <c r="DNS457" s="67"/>
      <c r="DNT457" s="67"/>
      <c r="DNU457" s="67"/>
      <c r="DNV457" s="67"/>
      <c r="DNW457" s="67"/>
      <c r="DNX457" s="67"/>
      <c r="DNY457" s="67"/>
      <c r="DNZ457" s="67"/>
      <c r="DOA457" s="67"/>
      <c r="DOB457" s="67"/>
      <c r="DOC457" s="67"/>
      <c r="DOD457" s="67"/>
      <c r="DOE457" s="67"/>
      <c r="DOF457" s="67"/>
      <c r="DOG457" s="67"/>
      <c r="DOH457" s="67"/>
      <c r="DOI457" s="67"/>
      <c r="DOJ457" s="67"/>
      <c r="DOK457" s="67"/>
      <c r="DOL457" s="67"/>
      <c r="DOM457" s="67"/>
      <c r="DON457" s="67"/>
      <c r="DOO457" s="67"/>
      <c r="DOP457" s="67"/>
      <c r="DOQ457" s="67"/>
      <c r="DOR457" s="67"/>
      <c r="DOS457" s="67"/>
      <c r="DOT457" s="67"/>
      <c r="DOU457" s="67"/>
      <c r="DOV457" s="67"/>
      <c r="DOW457" s="67"/>
      <c r="DOX457" s="67"/>
      <c r="DOY457" s="67"/>
      <c r="DOZ457" s="67"/>
      <c r="DPA457" s="67"/>
      <c r="DPB457" s="67"/>
      <c r="DPC457" s="67"/>
      <c r="DPD457" s="67"/>
      <c r="DPE457" s="67"/>
      <c r="DPF457" s="67"/>
      <c r="DPG457" s="67"/>
      <c r="DPH457" s="67"/>
      <c r="DPI457" s="67"/>
      <c r="DPJ457" s="67"/>
      <c r="DPK457" s="67"/>
      <c r="DPL457" s="67"/>
      <c r="DPM457" s="67"/>
      <c r="DPN457" s="67"/>
      <c r="DPO457" s="67"/>
      <c r="DPP457" s="67"/>
      <c r="DPQ457" s="67"/>
      <c r="DPR457" s="67"/>
      <c r="DPS457" s="67"/>
      <c r="DPT457" s="67"/>
      <c r="DPU457" s="67"/>
      <c r="DPV457" s="67"/>
      <c r="DPW457" s="67"/>
      <c r="DPX457" s="67"/>
      <c r="DPY457" s="67"/>
      <c r="DPZ457" s="67"/>
      <c r="DQA457" s="67"/>
      <c r="DQB457" s="67"/>
      <c r="DQC457" s="67"/>
      <c r="DQD457" s="67"/>
      <c r="DQE457" s="67"/>
      <c r="DQF457" s="67"/>
      <c r="DQG457" s="67"/>
      <c r="DQH457" s="67"/>
      <c r="DQI457" s="67"/>
      <c r="DQJ457" s="67"/>
      <c r="DQK457" s="67"/>
      <c r="DQL457" s="67"/>
      <c r="DQM457" s="67"/>
      <c r="DQN457" s="67"/>
      <c r="DQO457" s="67"/>
      <c r="DQP457" s="67"/>
      <c r="DQQ457" s="67"/>
      <c r="DQR457" s="67"/>
      <c r="DQS457" s="67"/>
      <c r="DQT457" s="67"/>
      <c r="DQU457" s="67"/>
      <c r="DQV457" s="67"/>
      <c r="DQW457" s="67"/>
      <c r="DQX457" s="67"/>
      <c r="DQY457" s="67"/>
      <c r="DQZ457" s="67"/>
      <c r="DRA457" s="67"/>
      <c r="DRB457" s="67"/>
      <c r="DRC457" s="67"/>
      <c r="DRD457" s="67"/>
      <c r="DRE457" s="67"/>
      <c r="DRF457" s="67"/>
      <c r="DRG457" s="67"/>
      <c r="DRH457" s="67"/>
      <c r="DRI457" s="67"/>
      <c r="DRJ457" s="67"/>
      <c r="DRK457" s="67"/>
      <c r="DRL457" s="67"/>
      <c r="DRM457" s="67"/>
      <c r="DRN457" s="67"/>
      <c r="DRO457" s="67"/>
      <c r="DRP457" s="67"/>
      <c r="DRQ457" s="67"/>
      <c r="DRR457" s="67"/>
      <c r="DRS457" s="67"/>
      <c r="DRT457" s="67"/>
      <c r="DRU457" s="67"/>
      <c r="DRV457" s="67"/>
      <c r="DRW457" s="67"/>
      <c r="DRX457" s="67"/>
      <c r="DRY457" s="67"/>
      <c r="DRZ457" s="67"/>
      <c r="DSA457" s="67"/>
      <c r="DSB457" s="67"/>
      <c r="DSC457" s="67"/>
      <c r="DSD457" s="67"/>
      <c r="DSE457" s="67"/>
      <c r="DSF457" s="67"/>
      <c r="DSG457" s="67"/>
      <c r="DSH457" s="67"/>
      <c r="DSI457" s="67"/>
      <c r="DSJ457" s="67"/>
      <c r="DSK457" s="67"/>
      <c r="DSL457" s="67"/>
      <c r="DSM457" s="67"/>
      <c r="DSN457" s="67"/>
      <c r="DSO457" s="67"/>
      <c r="DSP457" s="67"/>
      <c r="DSQ457" s="67"/>
      <c r="DSR457" s="67"/>
      <c r="DSS457" s="67"/>
      <c r="DST457" s="67"/>
      <c r="DSU457" s="67"/>
      <c r="DSV457" s="67"/>
      <c r="DSW457" s="67"/>
      <c r="DSX457" s="67"/>
      <c r="DSY457" s="67"/>
      <c r="DSZ457" s="67"/>
      <c r="DTA457" s="67"/>
      <c r="DTB457" s="67"/>
      <c r="DTC457" s="67"/>
      <c r="DTD457" s="67"/>
      <c r="DTE457" s="67"/>
      <c r="DTF457" s="67"/>
      <c r="DTG457" s="67"/>
      <c r="DTH457" s="67"/>
      <c r="DTI457" s="67"/>
      <c r="DTJ457" s="67"/>
      <c r="DTK457" s="67"/>
      <c r="DTL457" s="67"/>
      <c r="DTM457" s="67"/>
      <c r="DTN457" s="67"/>
      <c r="DTO457" s="67"/>
      <c r="DTP457" s="67"/>
      <c r="DTQ457" s="67"/>
      <c r="DTR457" s="67"/>
      <c r="DTS457" s="67"/>
      <c r="DTT457" s="67"/>
      <c r="DTU457" s="67"/>
      <c r="DTV457" s="67"/>
      <c r="DTW457" s="67"/>
      <c r="DTX457" s="67"/>
      <c r="DTY457" s="67"/>
      <c r="DTZ457" s="67"/>
      <c r="DUA457" s="67"/>
      <c r="DUB457" s="67"/>
      <c r="DUC457" s="67"/>
      <c r="DUD457" s="67"/>
      <c r="DUE457" s="67"/>
      <c r="DUF457" s="67"/>
      <c r="DUG457" s="67"/>
      <c r="DUH457" s="67"/>
      <c r="DUI457" s="67"/>
      <c r="DUJ457" s="67"/>
      <c r="DUK457" s="67"/>
      <c r="DUL457" s="67"/>
      <c r="DUM457" s="67"/>
      <c r="DUN457" s="67"/>
      <c r="DUO457" s="67"/>
      <c r="DUP457" s="67"/>
      <c r="DUQ457" s="67"/>
      <c r="DUR457" s="67"/>
      <c r="DUS457" s="67"/>
      <c r="DUT457" s="67"/>
      <c r="DUU457" s="67"/>
      <c r="DUV457" s="67"/>
      <c r="DUW457" s="67"/>
      <c r="DUX457" s="67"/>
      <c r="DUY457" s="67"/>
      <c r="DUZ457" s="67"/>
      <c r="DVA457" s="67"/>
      <c r="DVB457" s="67"/>
      <c r="DVC457" s="67"/>
      <c r="DVD457" s="67"/>
      <c r="DVE457" s="67"/>
      <c r="DVF457" s="67"/>
      <c r="DVG457" s="67"/>
      <c r="DVH457" s="67"/>
      <c r="DVI457" s="67"/>
      <c r="DVJ457" s="67"/>
      <c r="DVK457" s="67"/>
      <c r="DVL457" s="67"/>
      <c r="DVM457" s="67"/>
      <c r="DVN457" s="67"/>
      <c r="DVO457" s="67"/>
      <c r="DVP457" s="67"/>
      <c r="DVQ457" s="67"/>
      <c r="DVR457" s="67"/>
      <c r="DVS457" s="67"/>
      <c r="DVT457" s="67"/>
      <c r="DVU457" s="67"/>
      <c r="DVV457" s="67"/>
      <c r="DVW457" s="67"/>
      <c r="DVX457" s="67"/>
      <c r="DVY457" s="67"/>
      <c r="DVZ457" s="67"/>
      <c r="DWA457" s="67"/>
      <c r="DWB457" s="67"/>
      <c r="DWC457" s="67"/>
      <c r="DWD457" s="67"/>
      <c r="DWE457" s="67"/>
      <c r="DWF457" s="67"/>
      <c r="DWG457" s="67"/>
      <c r="DWH457" s="67"/>
      <c r="DWI457" s="67"/>
      <c r="DWJ457" s="67"/>
      <c r="DWK457" s="67"/>
      <c r="DWL457" s="67"/>
      <c r="DWM457" s="67"/>
      <c r="DWN457" s="67"/>
      <c r="DWO457" s="67"/>
      <c r="DWP457" s="67"/>
      <c r="DWQ457" s="67"/>
      <c r="DWR457" s="67"/>
      <c r="DWS457" s="67"/>
      <c r="DWT457" s="67"/>
      <c r="DWU457" s="67"/>
      <c r="DWV457" s="67"/>
      <c r="DWW457" s="67"/>
      <c r="DWX457" s="67"/>
      <c r="DWY457" s="67"/>
      <c r="DWZ457" s="67"/>
      <c r="DXA457" s="67"/>
      <c r="DXB457" s="67"/>
      <c r="DXC457" s="67"/>
      <c r="DXD457" s="67"/>
      <c r="DXE457" s="67"/>
      <c r="DXF457" s="67"/>
      <c r="DXG457" s="67"/>
      <c r="DXH457" s="67"/>
      <c r="DXI457" s="67"/>
      <c r="DXJ457" s="67"/>
      <c r="DXK457" s="67"/>
      <c r="DXL457" s="67"/>
      <c r="DXM457" s="67"/>
      <c r="DXN457" s="67"/>
      <c r="DXO457" s="67"/>
      <c r="DXP457" s="67"/>
      <c r="DXQ457" s="67"/>
      <c r="DXR457" s="67"/>
      <c r="DXS457" s="67"/>
      <c r="DXT457" s="67"/>
      <c r="DXU457" s="67"/>
      <c r="DXV457" s="67"/>
      <c r="DXW457" s="67"/>
      <c r="DXX457" s="67"/>
      <c r="DXY457" s="67"/>
      <c r="DXZ457" s="67"/>
      <c r="DYA457" s="67"/>
      <c r="DYB457" s="67"/>
      <c r="DYC457" s="67"/>
      <c r="DYD457" s="67"/>
      <c r="DYE457" s="67"/>
      <c r="DYF457" s="67"/>
      <c r="DYG457" s="67"/>
      <c r="DYH457" s="67"/>
      <c r="DYI457" s="67"/>
      <c r="DYJ457" s="67"/>
      <c r="DYK457" s="67"/>
      <c r="DYL457" s="67"/>
      <c r="DYM457" s="67"/>
      <c r="DYN457" s="67"/>
      <c r="DYO457" s="67"/>
      <c r="DYP457" s="67"/>
      <c r="DYQ457" s="67"/>
      <c r="DYR457" s="67"/>
      <c r="DYS457" s="67"/>
      <c r="DYT457" s="67"/>
      <c r="DYU457" s="67"/>
      <c r="DYV457" s="67"/>
      <c r="DYW457" s="67"/>
      <c r="DYX457" s="67"/>
      <c r="DYY457" s="67"/>
      <c r="DYZ457" s="67"/>
      <c r="DZA457" s="67"/>
      <c r="DZB457" s="67"/>
      <c r="DZC457" s="67"/>
      <c r="DZD457" s="67"/>
      <c r="DZE457" s="67"/>
      <c r="DZF457" s="67"/>
      <c r="DZG457" s="67"/>
      <c r="DZH457" s="67"/>
      <c r="DZI457" s="67"/>
      <c r="DZJ457" s="67"/>
      <c r="DZK457" s="67"/>
      <c r="DZL457" s="67"/>
      <c r="DZM457" s="67"/>
      <c r="DZN457" s="67"/>
      <c r="DZO457" s="67"/>
      <c r="DZP457" s="67"/>
      <c r="DZQ457" s="67"/>
      <c r="DZR457" s="67"/>
      <c r="DZS457" s="67"/>
      <c r="DZT457" s="67"/>
      <c r="DZU457" s="67"/>
      <c r="DZV457" s="67"/>
      <c r="DZW457" s="67"/>
      <c r="DZX457" s="67"/>
      <c r="DZY457" s="67"/>
      <c r="DZZ457" s="67"/>
      <c r="EAA457" s="67"/>
      <c r="EAB457" s="67"/>
      <c r="EAC457" s="67"/>
      <c r="EAD457" s="67"/>
      <c r="EAE457" s="67"/>
      <c r="EAF457" s="67"/>
      <c r="EAG457" s="67"/>
      <c r="EAH457" s="67"/>
      <c r="EAI457" s="67"/>
      <c r="EAJ457" s="67"/>
      <c r="EAK457" s="67"/>
      <c r="EAL457" s="67"/>
      <c r="EAM457" s="67"/>
      <c r="EAN457" s="67"/>
      <c r="EAO457" s="67"/>
      <c r="EAP457" s="67"/>
      <c r="EAQ457" s="67"/>
      <c r="EAR457" s="67"/>
      <c r="EAS457" s="67"/>
      <c r="EAT457" s="67"/>
      <c r="EAU457" s="67"/>
      <c r="EAV457" s="67"/>
      <c r="EAW457" s="67"/>
      <c r="EAX457" s="67"/>
      <c r="EAY457" s="67"/>
      <c r="EAZ457" s="67"/>
      <c r="EBA457" s="67"/>
      <c r="EBB457" s="67"/>
      <c r="EBC457" s="67"/>
      <c r="EBD457" s="67"/>
      <c r="EBE457" s="67"/>
      <c r="EBF457" s="67"/>
      <c r="EBG457" s="67"/>
      <c r="EBH457" s="67"/>
      <c r="EBI457" s="67"/>
      <c r="EBJ457" s="67"/>
      <c r="EBK457" s="67"/>
      <c r="EBL457" s="67"/>
      <c r="EBM457" s="67"/>
      <c r="EBN457" s="67"/>
      <c r="EBO457" s="67"/>
      <c r="EBP457" s="67"/>
      <c r="EBQ457" s="67"/>
      <c r="EBR457" s="67"/>
      <c r="EBS457" s="67"/>
      <c r="EBT457" s="67"/>
      <c r="EBU457" s="67"/>
      <c r="EBV457" s="67"/>
      <c r="EBW457" s="67"/>
      <c r="EBX457" s="67"/>
      <c r="EBY457" s="67"/>
      <c r="EBZ457" s="67"/>
      <c r="ECA457" s="67"/>
      <c r="ECB457" s="67"/>
      <c r="ECC457" s="67"/>
      <c r="ECD457" s="67"/>
      <c r="ECE457" s="67"/>
      <c r="ECF457" s="67"/>
      <c r="ECG457" s="67"/>
      <c r="ECH457" s="67"/>
      <c r="ECI457" s="67"/>
      <c r="ECJ457" s="67"/>
      <c r="ECK457" s="67"/>
      <c r="ECL457" s="67"/>
      <c r="ECM457" s="67"/>
      <c r="ECN457" s="67"/>
      <c r="ECO457" s="67"/>
      <c r="ECP457" s="67"/>
      <c r="ECQ457" s="67"/>
      <c r="ECR457" s="67"/>
      <c r="ECS457" s="67"/>
      <c r="ECT457" s="67"/>
      <c r="ECU457" s="67"/>
      <c r="ECV457" s="67"/>
      <c r="ECW457" s="67"/>
      <c r="ECX457" s="67"/>
      <c r="ECY457" s="67"/>
      <c r="ECZ457" s="67"/>
      <c r="EDA457" s="67"/>
      <c r="EDB457" s="67"/>
      <c r="EDC457" s="67"/>
      <c r="EDD457" s="67"/>
      <c r="EDE457" s="67"/>
      <c r="EDF457" s="67"/>
      <c r="EDG457" s="67"/>
      <c r="EDH457" s="67"/>
      <c r="EDI457" s="67"/>
      <c r="EDJ457" s="67"/>
      <c r="EDK457" s="67"/>
      <c r="EDL457" s="67"/>
      <c r="EDM457" s="67"/>
      <c r="EDN457" s="67"/>
      <c r="EDO457" s="67"/>
      <c r="EDP457" s="67"/>
      <c r="EDQ457" s="67"/>
      <c r="EDR457" s="67"/>
      <c r="EDS457" s="67"/>
      <c r="EDT457" s="67"/>
      <c r="EDU457" s="67"/>
      <c r="EDV457" s="67"/>
      <c r="EDW457" s="67"/>
      <c r="EDX457" s="67"/>
      <c r="EDY457" s="67"/>
      <c r="EDZ457" s="67"/>
      <c r="EEA457" s="67"/>
      <c r="EEB457" s="67"/>
      <c r="EEC457" s="67"/>
      <c r="EED457" s="67"/>
      <c r="EEE457" s="67"/>
      <c r="EEF457" s="67"/>
      <c r="EEG457" s="67"/>
      <c r="EEH457" s="67"/>
      <c r="EEI457" s="67"/>
      <c r="EEJ457" s="67"/>
      <c r="EEK457" s="67"/>
      <c r="EEL457" s="67"/>
      <c r="EEM457" s="67"/>
      <c r="EEN457" s="67"/>
      <c r="EEO457" s="67"/>
      <c r="EEP457" s="67"/>
      <c r="EEQ457" s="67"/>
      <c r="EER457" s="67"/>
      <c r="EES457" s="67"/>
      <c r="EET457" s="67"/>
      <c r="EEU457" s="67"/>
      <c r="EEV457" s="67"/>
      <c r="EEW457" s="67"/>
      <c r="EEX457" s="67"/>
      <c r="EEY457" s="67"/>
      <c r="EEZ457" s="67"/>
      <c r="EFA457" s="67"/>
      <c r="EFB457" s="67"/>
      <c r="EFC457" s="67"/>
      <c r="EFD457" s="67"/>
      <c r="EFE457" s="67"/>
      <c r="EFF457" s="67"/>
      <c r="EFG457" s="67"/>
      <c r="EFH457" s="67"/>
      <c r="EFI457" s="67"/>
      <c r="EFJ457" s="67"/>
      <c r="EFK457" s="67"/>
      <c r="EFL457" s="67"/>
      <c r="EFM457" s="67"/>
      <c r="EFN457" s="67"/>
      <c r="EFO457" s="67"/>
      <c r="EFP457" s="67"/>
      <c r="EFQ457" s="67"/>
      <c r="EFR457" s="67"/>
      <c r="EFS457" s="67"/>
      <c r="EFT457" s="67"/>
      <c r="EFU457" s="67"/>
      <c r="EFV457" s="67"/>
      <c r="EFW457" s="67"/>
      <c r="EFX457" s="67"/>
      <c r="EFY457" s="67"/>
      <c r="EFZ457" s="67"/>
      <c r="EGA457" s="67"/>
      <c r="EGB457" s="67"/>
      <c r="EGC457" s="67"/>
      <c r="EGD457" s="67"/>
      <c r="EGE457" s="67"/>
      <c r="EGF457" s="67"/>
      <c r="EGG457" s="67"/>
      <c r="EGH457" s="67"/>
      <c r="EGI457" s="67"/>
      <c r="EGJ457" s="67"/>
      <c r="EGK457" s="67"/>
      <c r="EGL457" s="67"/>
      <c r="EGM457" s="67"/>
      <c r="EGN457" s="67"/>
      <c r="EGO457" s="67"/>
      <c r="EGP457" s="67"/>
      <c r="EGQ457" s="67"/>
      <c r="EGR457" s="67"/>
      <c r="EGS457" s="67"/>
      <c r="EGT457" s="67"/>
      <c r="EGU457" s="67"/>
      <c r="EGV457" s="67"/>
      <c r="EGW457" s="67"/>
      <c r="EGX457" s="67"/>
      <c r="EGY457" s="67"/>
      <c r="EGZ457" s="67"/>
      <c r="EHA457" s="67"/>
      <c r="EHB457" s="67"/>
      <c r="EHC457" s="67"/>
      <c r="EHD457" s="67"/>
      <c r="EHE457" s="67"/>
      <c r="EHF457" s="67"/>
      <c r="EHG457" s="67"/>
      <c r="EHH457" s="67"/>
      <c r="EHI457" s="67"/>
      <c r="EHJ457" s="67"/>
      <c r="EHK457" s="67"/>
      <c r="EHL457" s="67"/>
      <c r="EHM457" s="67"/>
      <c r="EHN457" s="67"/>
      <c r="EHO457" s="67"/>
      <c r="EHP457" s="67"/>
      <c r="EHQ457" s="67"/>
      <c r="EHR457" s="67"/>
      <c r="EHS457" s="67"/>
      <c r="EHT457" s="67"/>
      <c r="EHU457" s="67"/>
      <c r="EHV457" s="67"/>
      <c r="EHW457" s="67"/>
      <c r="EHX457" s="67"/>
      <c r="EHY457" s="67"/>
      <c r="EHZ457" s="67"/>
      <c r="EIA457" s="67"/>
      <c r="EIB457" s="67"/>
      <c r="EIC457" s="67"/>
      <c r="EID457" s="67"/>
      <c r="EIE457" s="67"/>
      <c r="EIF457" s="67"/>
      <c r="EIG457" s="67"/>
      <c r="EIH457" s="67"/>
      <c r="EII457" s="67"/>
      <c r="EIJ457" s="67"/>
      <c r="EIK457" s="67"/>
      <c r="EIL457" s="67"/>
      <c r="EIM457" s="67"/>
      <c r="EIN457" s="67"/>
      <c r="EIO457" s="67"/>
      <c r="EIP457" s="67"/>
      <c r="EIQ457" s="67"/>
      <c r="EIR457" s="67"/>
      <c r="EIS457" s="67"/>
      <c r="EIT457" s="67"/>
      <c r="EIU457" s="67"/>
      <c r="EIV457" s="67"/>
      <c r="EIW457" s="67"/>
      <c r="EIX457" s="67"/>
      <c r="EIY457" s="67"/>
      <c r="EIZ457" s="67"/>
      <c r="EJA457" s="67"/>
      <c r="EJB457" s="67"/>
      <c r="EJC457" s="67"/>
      <c r="EJD457" s="67"/>
      <c r="EJE457" s="67"/>
      <c r="EJF457" s="67"/>
      <c r="EJG457" s="67"/>
      <c r="EJH457" s="67"/>
      <c r="EJI457" s="67"/>
      <c r="EJJ457" s="67"/>
      <c r="EJK457" s="67"/>
      <c r="EJL457" s="67"/>
      <c r="EJM457" s="67"/>
      <c r="EJN457" s="67"/>
      <c r="EJO457" s="67"/>
      <c r="EJP457" s="67"/>
      <c r="EJQ457" s="67"/>
      <c r="EJR457" s="67"/>
      <c r="EJS457" s="67"/>
      <c r="EJT457" s="67"/>
      <c r="EJU457" s="67"/>
      <c r="EJV457" s="67"/>
      <c r="EJW457" s="67"/>
      <c r="EJX457" s="67"/>
      <c r="EJY457" s="67"/>
      <c r="EJZ457" s="67"/>
      <c r="EKA457" s="67"/>
      <c r="EKB457" s="67"/>
      <c r="EKC457" s="67"/>
      <c r="EKD457" s="67"/>
      <c r="EKE457" s="67"/>
      <c r="EKF457" s="67"/>
      <c r="EKG457" s="67"/>
      <c r="EKH457" s="67"/>
      <c r="EKI457" s="67"/>
      <c r="EKJ457" s="67"/>
      <c r="EKK457" s="67"/>
      <c r="EKL457" s="67"/>
      <c r="EKM457" s="67"/>
      <c r="EKN457" s="67"/>
      <c r="EKO457" s="67"/>
      <c r="EKP457" s="67"/>
      <c r="EKQ457" s="67"/>
      <c r="EKR457" s="67"/>
      <c r="EKS457" s="67"/>
      <c r="EKT457" s="67"/>
      <c r="EKU457" s="67"/>
      <c r="EKV457" s="67"/>
      <c r="EKW457" s="67"/>
      <c r="EKX457" s="67"/>
      <c r="EKY457" s="67"/>
      <c r="EKZ457" s="67"/>
      <c r="ELA457" s="67"/>
      <c r="ELB457" s="67"/>
      <c r="ELC457" s="67"/>
      <c r="ELD457" s="67"/>
      <c r="ELE457" s="67"/>
      <c r="ELF457" s="67"/>
      <c r="ELG457" s="67"/>
      <c r="ELH457" s="67"/>
      <c r="ELI457" s="67"/>
      <c r="ELJ457" s="67"/>
      <c r="ELK457" s="67"/>
      <c r="ELL457" s="67"/>
      <c r="ELM457" s="67"/>
      <c r="ELN457" s="67"/>
      <c r="ELO457" s="67"/>
      <c r="ELP457" s="67"/>
      <c r="ELQ457" s="67"/>
      <c r="ELR457" s="67"/>
      <c r="ELS457" s="67"/>
      <c r="ELT457" s="67"/>
      <c r="ELU457" s="67"/>
      <c r="ELV457" s="67"/>
      <c r="ELW457" s="67"/>
      <c r="ELX457" s="67"/>
      <c r="ELY457" s="67"/>
      <c r="ELZ457" s="67"/>
      <c r="EMA457" s="67"/>
      <c r="EMB457" s="67"/>
      <c r="EMC457" s="67"/>
      <c r="EMD457" s="67"/>
      <c r="EME457" s="67"/>
      <c r="EMF457" s="67"/>
      <c r="EMG457" s="67"/>
      <c r="EMH457" s="67"/>
      <c r="EMI457" s="67"/>
      <c r="EMJ457" s="67"/>
      <c r="EMK457" s="67"/>
      <c r="EML457" s="67"/>
      <c r="EMM457" s="67"/>
      <c r="EMN457" s="67"/>
      <c r="EMO457" s="67"/>
      <c r="EMP457" s="67"/>
      <c r="EMQ457" s="67"/>
      <c r="EMR457" s="67"/>
      <c r="EMS457" s="67"/>
      <c r="EMT457" s="67"/>
      <c r="EMU457" s="67"/>
      <c r="EMV457" s="67"/>
      <c r="EMW457" s="67"/>
      <c r="EMX457" s="67"/>
      <c r="EMY457" s="67"/>
      <c r="EMZ457" s="67"/>
      <c r="ENA457" s="67"/>
      <c r="ENB457" s="67"/>
      <c r="ENC457" s="67"/>
      <c r="END457" s="67"/>
      <c r="ENE457" s="67"/>
      <c r="ENF457" s="67"/>
      <c r="ENG457" s="67"/>
      <c r="ENH457" s="67"/>
      <c r="ENI457" s="67"/>
      <c r="ENJ457" s="67"/>
      <c r="ENK457" s="67"/>
      <c r="ENL457" s="67"/>
      <c r="ENM457" s="67"/>
      <c r="ENN457" s="67"/>
      <c r="ENO457" s="67"/>
      <c r="ENP457" s="67"/>
      <c r="ENQ457" s="67"/>
      <c r="ENR457" s="67"/>
      <c r="ENS457" s="67"/>
      <c r="ENT457" s="67"/>
      <c r="ENU457" s="67"/>
      <c r="ENV457" s="67"/>
      <c r="ENW457" s="67"/>
      <c r="ENX457" s="67"/>
      <c r="ENY457" s="67"/>
      <c r="ENZ457" s="67"/>
      <c r="EOA457" s="67"/>
      <c r="EOB457" s="67"/>
      <c r="EOC457" s="67"/>
      <c r="EOD457" s="67"/>
      <c r="EOE457" s="67"/>
      <c r="EOF457" s="67"/>
      <c r="EOG457" s="67"/>
      <c r="EOH457" s="67"/>
      <c r="EOI457" s="67"/>
      <c r="EOJ457" s="67"/>
      <c r="EOK457" s="67"/>
      <c r="EOL457" s="67"/>
      <c r="EOM457" s="67"/>
      <c r="EON457" s="67"/>
      <c r="EOO457" s="67"/>
      <c r="EOP457" s="67"/>
      <c r="EOQ457" s="67"/>
      <c r="EOR457" s="67"/>
      <c r="EOS457" s="67"/>
      <c r="EOT457" s="67"/>
      <c r="EOU457" s="67"/>
      <c r="EOV457" s="67"/>
      <c r="EOW457" s="67"/>
      <c r="EOX457" s="67"/>
      <c r="EOY457" s="67"/>
      <c r="EOZ457" s="67"/>
      <c r="EPA457" s="67"/>
      <c r="EPB457" s="67"/>
      <c r="EPC457" s="67"/>
      <c r="EPD457" s="67"/>
      <c r="EPE457" s="67"/>
      <c r="EPF457" s="67"/>
      <c r="EPG457" s="67"/>
      <c r="EPH457" s="67"/>
      <c r="EPI457" s="67"/>
      <c r="EPJ457" s="67"/>
      <c r="EPK457" s="67"/>
      <c r="EPL457" s="67"/>
      <c r="EPM457" s="67"/>
      <c r="EPN457" s="67"/>
      <c r="EPO457" s="67"/>
      <c r="EPP457" s="67"/>
      <c r="EPQ457" s="67"/>
      <c r="EPR457" s="67"/>
      <c r="EPS457" s="67"/>
      <c r="EPT457" s="67"/>
      <c r="EPU457" s="67"/>
      <c r="EPV457" s="67"/>
      <c r="EPW457" s="67"/>
      <c r="EPX457" s="67"/>
      <c r="EPY457" s="67"/>
      <c r="EPZ457" s="67"/>
      <c r="EQA457" s="67"/>
      <c r="EQB457" s="67"/>
      <c r="EQC457" s="67"/>
      <c r="EQD457" s="67"/>
      <c r="EQE457" s="67"/>
      <c r="EQF457" s="67"/>
      <c r="EQG457" s="67"/>
      <c r="EQH457" s="67"/>
      <c r="EQI457" s="67"/>
      <c r="EQJ457" s="67"/>
      <c r="EQK457" s="67"/>
      <c r="EQL457" s="67"/>
      <c r="EQM457" s="67"/>
      <c r="EQN457" s="67"/>
      <c r="EQO457" s="67"/>
      <c r="EQP457" s="67"/>
      <c r="EQQ457" s="67"/>
      <c r="EQR457" s="67"/>
      <c r="EQS457" s="67"/>
      <c r="EQT457" s="67"/>
      <c r="EQU457" s="67"/>
      <c r="EQV457" s="67"/>
      <c r="EQW457" s="67"/>
      <c r="EQX457" s="67"/>
      <c r="EQY457" s="67"/>
      <c r="EQZ457" s="67"/>
      <c r="ERA457" s="67"/>
      <c r="ERB457" s="67"/>
      <c r="ERC457" s="67"/>
      <c r="ERD457" s="67"/>
      <c r="ERE457" s="67"/>
      <c r="ERF457" s="67"/>
      <c r="ERG457" s="67"/>
      <c r="ERH457" s="67"/>
      <c r="ERI457" s="67"/>
      <c r="ERJ457" s="67"/>
      <c r="ERK457" s="67"/>
      <c r="ERL457" s="67"/>
      <c r="ERM457" s="67"/>
      <c r="ERN457" s="67"/>
      <c r="ERO457" s="67"/>
      <c r="ERP457" s="67"/>
      <c r="ERQ457" s="67"/>
      <c r="ERR457" s="67"/>
      <c r="ERS457" s="67"/>
      <c r="ERT457" s="67"/>
      <c r="ERU457" s="67"/>
      <c r="ERV457" s="67"/>
      <c r="ERW457" s="67"/>
      <c r="ERX457" s="67"/>
      <c r="ERY457" s="67"/>
      <c r="ERZ457" s="67"/>
      <c r="ESA457" s="67"/>
      <c r="ESB457" s="67"/>
      <c r="ESC457" s="67"/>
      <c r="ESD457" s="67"/>
      <c r="ESE457" s="67"/>
      <c r="ESF457" s="67"/>
      <c r="ESG457" s="67"/>
      <c r="ESH457" s="67"/>
      <c r="ESI457" s="67"/>
      <c r="ESJ457" s="67"/>
      <c r="ESK457" s="67"/>
      <c r="ESL457" s="67"/>
      <c r="ESM457" s="67"/>
      <c r="ESN457" s="67"/>
      <c r="ESO457" s="67"/>
      <c r="ESP457" s="67"/>
      <c r="ESQ457" s="67"/>
      <c r="ESR457" s="67"/>
      <c r="ESS457" s="67"/>
      <c r="EST457" s="67"/>
      <c r="ESU457" s="67"/>
      <c r="ESV457" s="67"/>
      <c r="ESW457" s="67"/>
      <c r="ESX457" s="67"/>
      <c r="ESY457" s="67"/>
      <c r="ESZ457" s="67"/>
      <c r="ETA457" s="67"/>
      <c r="ETB457" s="67"/>
      <c r="ETC457" s="67"/>
      <c r="ETD457" s="67"/>
      <c r="ETE457" s="67"/>
      <c r="ETF457" s="67"/>
      <c r="ETG457" s="67"/>
      <c r="ETH457" s="67"/>
      <c r="ETI457" s="67"/>
      <c r="ETJ457" s="67"/>
      <c r="ETK457" s="67"/>
      <c r="ETL457" s="67"/>
      <c r="ETM457" s="67"/>
      <c r="ETN457" s="67"/>
      <c r="ETO457" s="67"/>
      <c r="ETP457" s="67"/>
      <c r="ETQ457" s="67"/>
      <c r="ETR457" s="67"/>
      <c r="ETS457" s="67"/>
      <c r="ETT457" s="67"/>
      <c r="ETU457" s="67"/>
      <c r="ETV457" s="67"/>
      <c r="ETW457" s="67"/>
      <c r="ETX457" s="67"/>
      <c r="ETY457" s="67"/>
      <c r="ETZ457" s="67"/>
      <c r="EUA457" s="67"/>
      <c r="EUB457" s="67"/>
      <c r="EUC457" s="67"/>
      <c r="EUD457" s="67"/>
      <c r="EUE457" s="67"/>
      <c r="EUF457" s="67"/>
      <c r="EUG457" s="67"/>
      <c r="EUH457" s="67"/>
      <c r="EUI457" s="67"/>
      <c r="EUJ457" s="67"/>
      <c r="EUK457" s="67"/>
      <c r="EUL457" s="67"/>
      <c r="EUM457" s="67"/>
      <c r="EUN457" s="67"/>
      <c r="EUO457" s="67"/>
      <c r="EUP457" s="67"/>
      <c r="EUQ457" s="67"/>
      <c r="EUR457" s="67"/>
      <c r="EUS457" s="67"/>
      <c r="EUT457" s="67"/>
      <c r="EUU457" s="67"/>
      <c r="EUV457" s="67"/>
      <c r="EUW457" s="67"/>
      <c r="EUX457" s="67"/>
      <c r="EUY457" s="67"/>
      <c r="EUZ457" s="67"/>
      <c r="EVA457" s="67"/>
      <c r="EVB457" s="67"/>
      <c r="EVC457" s="67"/>
      <c r="EVD457" s="67"/>
      <c r="EVE457" s="67"/>
      <c r="EVF457" s="67"/>
      <c r="EVG457" s="67"/>
      <c r="EVH457" s="67"/>
      <c r="EVI457" s="67"/>
      <c r="EVJ457" s="67"/>
      <c r="EVK457" s="67"/>
      <c r="EVL457" s="67"/>
      <c r="EVM457" s="67"/>
      <c r="EVN457" s="67"/>
      <c r="EVO457" s="67"/>
      <c r="EVP457" s="67"/>
      <c r="EVQ457" s="67"/>
      <c r="EVR457" s="67"/>
      <c r="EVS457" s="67"/>
      <c r="EVT457" s="67"/>
      <c r="EVU457" s="67"/>
      <c r="EVV457" s="67"/>
      <c r="EVW457" s="67"/>
      <c r="EVX457" s="67"/>
      <c r="EVY457" s="67"/>
      <c r="EVZ457" s="67"/>
      <c r="EWA457" s="67"/>
      <c r="EWB457" s="67"/>
      <c r="EWC457" s="67"/>
      <c r="EWD457" s="67"/>
      <c r="EWE457" s="67"/>
      <c r="EWF457" s="67"/>
      <c r="EWG457" s="67"/>
      <c r="EWH457" s="67"/>
      <c r="EWI457" s="67"/>
      <c r="EWJ457" s="67"/>
      <c r="EWK457" s="67"/>
      <c r="EWL457" s="67"/>
      <c r="EWM457" s="67"/>
      <c r="EWN457" s="67"/>
      <c r="EWO457" s="67"/>
      <c r="EWP457" s="67"/>
      <c r="EWQ457" s="67"/>
      <c r="EWR457" s="67"/>
      <c r="EWS457" s="67"/>
      <c r="EWT457" s="67"/>
      <c r="EWU457" s="67"/>
      <c r="EWV457" s="67"/>
      <c r="EWW457" s="67"/>
      <c r="EWX457" s="67"/>
      <c r="EWY457" s="67"/>
      <c r="EWZ457" s="67"/>
      <c r="EXA457" s="67"/>
      <c r="EXB457" s="67"/>
      <c r="EXC457" s="67"/>
      <c r="EXD457" s="67"/>
      <c r="EXE457" s="67"/>
      <c r="EXF457" s="67"/>
      <c r="EXG457" s="67"/>
      <c r="EXH457" s="67"/>
      <c r="EXI457" s="67"/>
      <c r="EXJ457" s="67"/>
      <c r="EXK457" s="67"/>
      <c r="EXL457" s="67"/>
      <c r="EXM457" s="67"/>
      <c r="EXN457" s="67"/>
      <c r="EXO457" s="67"/>
      <c r="EXP457" s="67"/>
      <c r="EXQ457" s="67"/>
      <c r="EXR457" s="67"/>
      <c r="EXS457" s="67"/>
      <c r="EXT457" s="67"/>
      <c r="EXU457" s="67"/>
      <c r="EXV457" s="67"/>
      <c r="EXW457" s="67"/>
      <c r="EXX457" s="67"/>
      <c r="EXY457" s="67"/>
      <c r="EXZ457" s="67"/>
      <c r="EYA457" s="67"/>
      <c r="EYB457" s="67"/>
      <c r="EYC457" s="67"/>
      <c r="EYD457" s="67"/>
      <c r="EYE457" s="67"/>
      <c r="EYF457" s="67"/>
      <c r="EYG457" s="67"/>
      <c r="EYH457" s="67"/>
      <c r="EYI457" s="67"/>
      <c r="EYJ457" s="67"/>
      <c r="EYK457" s="67"/>
      <c r="EYL457" s="67"/>
      <c r="EYM457" s="67"/>
      <c r="EYN457" s="67"/>
      <c r="EYO457" s="67"/>
      <c r="EYP457" s="67"/>
      <c r="EYQ457" s="67"/>
      <c r="EYR457" s="67"/>
      <c r="EYS457" s="67"/>
      <c r="EYT457" s="67"/>
      <c r="EYU457" s="67"/>
      <c r="EYV457" s="67"/>
      <c r="EYW457" s="67"/>
      <c r="EYX457" s="67"/>
      <c r="EYY457" s="67"/>
      <c r="EYZ457" s="67"/>
      <c r="EZA457" s="67"/>
      <c r="EZB457" s="67"/>
      <c r="EZC457" s="67"/>
      <c r="EZD457" s="67"/>
      <c r="EZE457" s="67"/>
      <c r="EZF457" s="67"/>
      <c r="EZG457" s="67"/>
      <c r="EZH457" s="67"/>
      <c r="EZI457" s="67"/>
      <c r="EZJ457" s="67"/>
      <c r="EZK457" s="67"/>
      <c r="EZL457" s="67"/>
      <c r="EZM457" s="67"/>
      <c r="EZN457" s="67"/>
      <c r="EZO457" s="67"/>
      <c r="EZP457" s="67"/>
      <c r="EZQ457" s="67"/>
      <c r="EZR457" s="67"/>
      <c r="EZS457" s="67"/>
      <c r="EZT457" s="67"/>
      <c r="EZU457" s="67"/>
      <c r="EZV457" s="67"/>
      <c r="EZW457" s="67"/>
      <c r="EZX457" s="67"/>
      <c r="EZY457" s="67"/>
      <c r="EZZ457" s="67"/>
      <c r="FAA457" s="67"/>
      <c r="FAB457" s="67"/>
      <c r="FAC457" s="67"/>
      <c r="FAD457" s="67"/>
      <c r="FAE457" s="67"/>
      <c r="FAF457" s="67"/>
      <c r="FAG457" s="67"/>
      <c r="FAH457" s="67"/>
      <c r="FAI457" s="67"/>
      <c r="FAJ457" s="67"/>
      <c r="FAK457" s="67"/>
      <c r="FAL457" s="67"/>
      <c r="FAM457" s="67"/>
      <c r="FAN457" s="67"/>
      <c r="FAO457" s="67"/>
      <c r="FAP457" s="67"/>
      <c r="FAQ457" s="67"/>
      <c r="FAR457" s="67"/>
      <c r="FAS457" s="67"/>
      <c r="FAT457" s="67"/>
      <c r="FAU457" s="67"/>
      <c r="FAV457" s="67"/>
      <c r="FAW457" s="67"/>
      <c r="FAX457" s="67"/>
      <c r="FAY457" s="67"/>
      <c r="FAZ457" s="67"/>
      <c r="FBA457" s="67"/>
      <c r="FBB457" s="67"/>
      <c r="FBC457" s="67"/>
      <c r="FBD457" s="67"/>
      <c r="FBE457" s="67"/>
      <c r="FBF457" s="67"/>
      <c r="FBG457" s="67"/>
      <c r="FBH457" s="67"/>
      <c r="FBI457" s="67"/>
      <c r="FBJ457" s="67"/>
      <c r="FBK457" s="67"/>
      <c r="FBL457" s="67"/>
      <c r="FBM457" s="67"/>
      <c r="FBN457" s="67"/>
      <c r="FBO457" s="67"/>
      <c r="FBP457" s="67"/>
      <c r="FBQ457" s="67"/>
      <c r="FBR457" s="67"/>
      <c r="FBS457" s="67"/>
      <c r="FBT457" s="67"/>
      <c r="FBU457" s="67"/>
      <c r="FBV457" s="67"/>
      <c r="FBW457" s="67"/>
      <c r="FBX457" s="67"/>
      <c r="FBY457" s="67"/>
      <c r="FBZ457" s="67"/>
      <c r="FCA457" s="67"/>
      <c r="FCB457" s="67"/>
      <c r="FCC457" s="67"/>
      <c r="FCD457" s="67"/>
      <c r="FCE457" s="67"/>
      <c r="FCF457" s="67"/>
      <c r="FCG457" s="67"/>
      <c r="FCH457" s="67"/>
      <c r="FCI457" s="67"/>
      <c r="FCJ457" s="67"/>
      <c r="FCK457" s="67"/>
      <c r="FCL457" s="67"/>
      <c r="FCM457" s="67"/>
      <c r="FCN457" s="67"/>
      <c r="FCO457" s="67"/>
      <c r="FCP457" s="67"/>
      <c r="FCQ457" s="67"/>
      <c r="FCR457" s="67"/>
      <c r="FCS457" s="67"/>
      <c r="FCT457" s="67"/>
      <c r="FCU457" s="67"/>
      <c r="FCV457" s="67"/>
      <c r="FCW457" s="67"/>
      <c r="FCX457" s="67"/>
      <c r="FCY457" s="67"/>
      <c r="FCZ457" s="67"/>
      <c r="FDA457" s="67"/>
      <c r="FDB457" s="67"/>
      <c r="FDC457" s="67"/>
      <c r="FDD457" s="67"/>
      <c r="FDE457" s="67"/>
      <c r="FDF457" s="67"/>
      <c r="FDG457" s="67"/>
      <c r="FDH457" s="67"/>
      <c r="FDI457" s="67"/>
      <c r="FDJ457" s="67"/>
      <c r="FDK457" s="67"/>
      <c r="FDL457" s="67"/>
      <c r="FDM457" s="67"/>
      <c r="FDN457" s="67"/>
      <c r="FDO457" s="67"/>
      <c r="FDP457" s="67"/>
      <c r="FDQ457" s="67"/>
      <c r="FDR457" s="67"/>
      <c r="FDS457" s="67"/>
      <c r="FDT457" s="67"/>
      <c r="FDU457" s="67"/>
      <c r="FDV457" s="67"/>
      <c r="FDW457" s="67"/>
      <c r="FDX457" s="67"/>
      <c r="FDY457" s="67"/>
      <c r="FDZ457" s="67"/>
      <c r="FEA457" s="67"/>
      <c r="FEB457" s="67"/>
      <c r="FEC457" s="67"/>
      <c r="FED457" s="67"/>
      <c r="FEE457" s="67"/>
      <c r="FEF457" s="67"/>
      <c r="FEG457" s="67"/>
      <c r="FEH457" s="67"/>
      <c r="FEI457" s="67"/>
      <c r="FEJ457" s="67"/>
      <c r="FEK457" s="67"/>
      <c r="FEL457" s="67"/>
      <c r="FEM457" s="67"/>
      <c r="FEN457" s="67"/>
      <c r="FEO457" s="67"/>
      <c r="FEP457" s="67"/>
      <c r="FEQ457" s="67"/>
      <c r="FER457" s="67"/>
      <c r="FES457" s="67"/>
      <c r="FET457" s="67"/>
      <c r="FEU457" s="67"/>
      <c r="FEV457" s="67"/>
      <c r="FEW457" s="67"/>
      <c r="FEX457" s="67"/>
      <c r="FEY457" s="67"/>
      <c r="FEZ457" s="67"/>
      <c r="FFA457" s="67"/>
      <c r="FFB457" s="67"/>
      <c r="FFC457" s="67"/>
      <c r="FFD457" s="67"/>
      <c r="FFE457" s="67"/>
      <c r="FFF457" s="67"/>
      <c r="FFG457" s="67"/>
      <c r="FFH457" s="67"/>
      <c r="FFI457" s="67"/>
      <c r="FFJ457" s="67"/>
      <c r="FFK457" s="67"/>
      <c r="FFL457" s="67"/>
      <c r="FFM457" s="67"/>
      <c r="FFN457" s="67"/>
      <c r="FFO457" s="67"/>
      <c r="FFP457" s="67"/>
      <c r="FFQ457" s="67"/>
      <c r="FFR457" s="67"/>
      <c r="FFS457" s="67"/>
      <c r="FFT457" s="67"/>
      <c r="FFU457" s="67"/>
      <c r="FFV457" s="67"/>
      <c r="FFW457" s="67"/>
      <c r="FFX457" s="67"/>
      <c r="FFY457" s="67"/>
      <c r="FFZ457" s="67"/>
      <c r="FGA457" s="67"/>
      <c r="FGB457" s="67"/>
      <c r="FGC457" s="67"/>
      <c r="FGD457" s="67"/>
      <c r="FGE457" s="67"/>
      <c r="FGF457" s="67"/>
      <c r="FGG457" s="67"/>
      <c r="FGH457" s="67"/>
      <c r="FGI457" s="67"/>
      <c r="FGJ457" s="67"/>
      <c r="FGK457" s="67"/>
      <c r="FGL457" s="67"/>
      <c r="FGM457" s="67"/>
      <c r="FGN457" s="67"/>
      <c r="FGO457" s="67"/>
      <c r="FGP457" s="67"/>
      <c r="FGQ457" s="67"/>
      <c r="FGR457" s="67"/>
      <c r="FGS457" s="67"/>
      <c r="FGT457" s="67"/>
      <c r="FGU457" s="67"/>
      <c r="FGV457" s="67"/>
      <c r="FGW457" s="67"/>
      <c r="FGX457" s="67"/>
      <c r="FGY457" s="67"/>
      <c r="FGZ457" s="67"/>
      <c r="FHA457" s="67"/>
      <c r="FHB457" s="67"/>
      <c r="FHC457" s="67"/>
      <c r="FHD457" s="67"/>
      <c r="FHE457" s="67"/>
      <c r="FHF457" s="67"/>
      <c r="FHG457" s="67"/>
      <c r="FHH457" s="67"/>
      <c r="FHI457" s="67"/>
      <c r="FHJ457" s="67"/>
      <c r="FHK457" s="67"/>
      <c r="FHL457" s="67"/>
      <c r="FHM457" s="67"/>
      <c r="FHN457" s="67"/>
      <c r="FHO457" s="67"/>
      <c r="FHP457" s="67"/>
      <c r="FHQ457" s="67"/>
      <c r="FHR457" s="67"/>
      <c r="FHS457" s="67"/>
      <c r="FHT457" s="67"/>
      <c r="FHU457" s="67"/>
      <c r="FHV457" s="67"/>
      <c r="FHW457" s="67"/>
      <c r="FHX457" s="67"/>
      <c r="FHY457" s="67"/>
      <c r="FHZ457" s="67"/>
      <c r="FIA457" s="67"/>
      <c r="FIB457" s="67"/>
      <c r="FIC457" s="67"/>
      <c r="FID457" s="67"/>
      <c r="FIE457" s="67"/>
      <c r="FIF457" s="67"/>
      <c r="FIG457" s="67"/>
      <c r="FIH457" s="67"/>
      <c r="FII457" s="67"/>
      <c r="FIJ457" s="67"/>
      <c r="FIK457" s="67"/>
      <c r="FIL457" s="67"/>
      <c r="FIM457" s="67"/>
      <c r="FIN457" s="67"/>
      <c r="FIO457" s="67"/>
      <c r="FIP457" s="67"/>
      <c r="FIQ457" s="67"/>
      <c r="FIR457" s="67"/>
      <c r="FIS457" s="67"/>
      <c r="FIT457" s="67"/>
      <c r="FIU457" s="67"/>
      <c r="FIV457" s="67"/>
      <c r="FIW457" s="67"/>
      <c r="FIX457" s="67"/>
      <c r="FIY457" s="67"/>
      <c r="FIZ457" s="67"/>
      <c r="FJA457" s="67"/>
      <c r="FJB457" s="67"/>
      <c r="FJC457" s="67"/>
      <c r="FJD457" s="67"/>
      <c r="FJE457" s="67"/>
      <c r="FJF457" s="67"/>
      <c r="FJG457" s="67"/>
      <c r="FJH457" s="67"/>
      <c r="FJI457" s="67"/>
      <c r="FJJ457" s="67"/>
      <c r="FJK457" s="67"/>
      <c r="FJL457" s="67"/>
      <c r="FJM457" s="67"/>
      <c r="FJN457" s="67"/>
      <c r="FJO457" s="67"/>
      <c r="FJP457" s="67"/>
      <c r="FJQ457" s="67"/>
      <c r="FJR457" s="67"/>
      <c r="FJS457" s="67"/>
      <c r="FJT457" s="67"/>
      <c r="FJU457" s="67"/>
      <c r="FJV457" s="67"/>
      <c r="FJW457" s="67"/>
      <c r="FJX457" s="67"/>
      <c r="FJY457" s="67"/>
      <c r="FJZ457" s="67"/>
      <c r="FKA457" s="67"/>
      <c r="FKB457" s="67"/>
      <c r="FKC457" s="67"/>
      <c r="FKD457" s="67"/>
      <c r="FKE457" s="67"/>
      <c r="FKF457" s="67"/>
      <c r="FKG457" s="67"/>
      <c r="FKH457" s="67"/>
      <c r="FKI457" s="67"/>
      <c r="FKJ457" s="67"/>
      <c r="FKK457" s="67"/>
      <c r="FKL457" s="67"/>
      <c r="FKM457" s="67"/>
      <c r="FKN457" s="67"/>
      <c r="FKO457" s="67"/>
      <c r="FKP457" s="67"/>
      <c r="FKQ457" s="67"/>
      <c r="FKR457" s="67"/>
      <c r="FKS457" s="67"/>
      <c r="FKT457" s="67"/>
      <c r="FKU457" s="67"/>
      <c r="FKV457" s="67"/>
      <c r="FKW457" s="67"/>
      <c r="FKX457" s="67"/>
      <c r="FKY457" s="67"/>
      <c r="FKZ457" s="67"/>
      <c r="FLA457" s="67"/>
      <c r="FLB457" s="67"/>
      <c r="FLC457" s="67"/>
      <c r="FLD457" s="67"/>
      <c r="FLE457" s="67"/>
      <c r="FLF457" s="67"/>
      <c r="FLG457" s="67"/>
      <c r="FLH457" s="67"/>
      <c r="FLI457" s="67"/>
      <c r="FLJ457" s="67"/>
      <c r="FLK457" s="67"/>
      <c r="FLL457" s="67"/>
      <c r="FLM457" s="67"/>
      <c r="FLN457" s="67"/>
      <c r="FLO457" s="67"/>
      <c r="FLP457" s="67"/>
      <c r="FLQ457" s="67"/>
      <c r="FLR457" s="67"/>
      <c r="FLS457" s="67"/>
      <c r="FLT457" s="67"/>
      <c r="FLU457" s="67"/>
      <c r="FLV457" s="67"/>
      <c r="FLW457" s="67"/>
      <c r="FLX457" s="67"/>
      <c r="FLY457" s="67"/>
      <c r="FLZ457" s="67"/>
      <c r="FMA457" s="67"/>
      <c r="FMB457" s="67"/>
      <c r="FMC457" s="67"/>
      <c r="FMD457" s="67"/>
      <c r="FME457" s="67"/>
      <c r="FMF457" s="67"/>
      <c r="FMG457" s="67"/>
      <c r="FMH457" s="67"/>
      <c r="FMI457" s="67"/>
      <c r="FMJ457" s="67"/>
      <c r="FMK457" s="67"/>
      <c r="FML457" s="67"/>
      <c r="FMM457" s="67"/>
      <c r="FMN457" s="67"/>
      <c r="FMO457" s="67"/>
      <c r="FMP457" s="67"/>
      <c r="FMQ457" s="67"/>
      <c r="FMR457" s="67"/>
      <c r="FMS457" s="67"/>
      <c r="FMT457" s="67"/>
      <c r="FMU457" s="67"/>
      <c r="FMV457" s="67"/>
      <c r="FMW457" s="67"/>
      <c r="FMX457" s="67"/>
      <c r="FMY457" s="67"/>
      <c r="FMZ457" s="67"/>
      <c r="FNA457" s="67"/>
      <c r="FNB457" s="67"/>
      <c r="FNC457" s="67"/>
      <c r="FND457" s="67"/>
      <c r="FNE457" s="67"/>
      <c r="FNF457" s="67"/>
      <c r="FNG457" s="67"/>
      <c r="FNH457" s="67"/>
      <c r="FNI457" s="67"/>
      <c r="FNJ457" s="67"/>
      <c r="FNK457" s="67"/>
      <c r="FNL457" s="67"/>
      <c r="FNM457" s="67"/>
      <c r="FNN457" s="67"/>
      <c r="FNO457" s="67"/>
      <c r="FNP457" s="67"/>
      <c r="FNQ457" s="67"/>
      <c r="FNR457" s="67"/>
      <c r="FNS457" s="67"/>
      <c r="FNT457" s="67"/>
      <c r="FNU457" s="67"/>
      <c r="FNV457" s="67"/>
      <c r="FNW457" s="67"/>
      <c r="FNX457" s="67"/>
      <c r="FNY457" s="67"/>
      <c r="FNZ457" s="67"/>
      <c r="FOA457" s="67"/>
      <c r="FOB457" s="67"/>
      <c r="FOC457" s="67"/>
      <c r="FOD457" s="67"/>
      <c r="FOE457" s="67"/>
      <c r="FOF457" s="67"/>
      <c r="FOG457" s="67"/>
      <c r="FOH457" s="67"/>
      <c r="FOI457" s="67"/>
      <c r="FOJ457" s="67"/>
      <c r="FOK457" s="67"/>
      <c r="FOL457" s="67"/>
      <c r="FOM457" s="67"/>
      <c r="FON457" s="67"/>
      <c r="FOO457" s="67"/>
      <c r="FOP457" s="67"/>
      <c r="FOQ457" s="67"/>
      <c r="FOR457" s="67"/>
      <c r="FOS457" s="67"/>
      <c r="FOT457" s="67"/>
      <c r="FOU457" s="67"/>
      <c r="FOV457" s="67"/>
      <c r="FOW457" s="67"/>
      <c r="FOX457" s="67"/>
      <c r="FOY457" s="67"/>
      <c r="FOZ457" s="67"/>
      <c r="FPA457" s="67"/>
      <c r="FPB457" s="67"/>
      <c r="FPC457" s="67"/>
      <c r="FPD457" s="67"/>
      <c r="FPE457" s="67"/>
      <c r="FPF457" s="67"/>
      <c r="FPG457" s="67"/>
      <c r="FPH457" s="67"/>
      <c r="FPI457" s="67"/>
      <c r="FPJ457" s="67"/>
      <c r="FPK457" s="67"/>
      <c r="FPL457" s="67"/>
      <c r="FPM457" s="67"/>
      <c r="FPN457" s="67"/>
      <c r="FPO457" s="67"/>
      <c r="FPP457" s="67"/>
      <c r="FPQ457" s="67"/>
      <c r="FPR457" s="67"/>
      <c r="FPS457" s="67"/>
      <c r="FPT457" s="67"/>
      <c r="FPU457" s="67"/>
      <c r="FPV457" s="67"/>
      <c r="FPW457" s="67"/>
      <c r="FPX457" s="67"/>
      <c r="FPY457" s="67"/>
      <c r="FPZ457" s="67"/>
      <c r="FQA457" s="67"/>
      <c r="FQB457" s="67"/>
      <c r="FQC457" s="67"/>
      <c r="FQD457" s="67"/>
      <c r="FQE457" s="67"/>
      <c r="FQF457" s="67"/>
      <c r="FQG457" s="67"/>
      <c r="FQH457" s="67"/>
      <c r="FQI457" s="67"/>
      <c r="FQJ457" s="67"/>
      <c r="FQK457" s="67"/>
      <c r="FQL457" s="67"/>
      <c r="FQM457" s="67"/>
      <c r="FQN457" s="67"/>
      <c r="FQO457" s="67"/>
      <c r="FQP457" s="67"/>
      <c r="FQQ457" s="67"/>
      <c r="FQR457" s="67"/>
      <c r="FQS457" s="67"/>
      <c r="FQT457" s="67"/>
      <c r="FQU457" s="67"/>
      <c r="FQV457" s="67"/>
      <c r="FQW457" s="67"/>
      <c r="FQX457" s="67"/>
      <c r="FQY457" s="67"/>
      <c r="FQZ457" s="67"/>
      <c r="FRA457" s="67"/>
      <c r="FRB457" s="67"/>
      <c r="FRC457" s="67"/>
      <c r="FRD457" s="67"/>
      <c r="FRE457" s="67"/>
      <c r="FRF457" s="67"/>
      <c r="FRG457" s="67"/>
      <c r="FRH457" s="67"/>
      <c r="FRI457" s="67"/>
      <c r="FRJ457" s="67"/>
      <c r="FRK457" s="67"/>
      <c r="FRL457" s="67"/>
      <c r="FRM457" s="67"/>
      <c r="FRN457" s="67"/>
      <c r="FRO457" s="67"/>
      <c r="FRP457" s="67"/>
      <c r="FRQ457" s="67"/>
      <c r="FRR457" s="67"/>
      <c r="FRS457" s="67"/>
      <c r="FRT457" s="67"/>
      <c r="FRU457" s="67"/>
      <c r="FRV457" s="67"/>
      <c r="FRW457" s="67"/>
      <c r="FRX457" s="67"/>
      <c r="FRY457" s="67"/>
      <c r="FRZ457" s="67"/>
      <c r="FSA457" s="67"/>
      <c r="FSB457" s="67"/>
      <c r="FSC457" s="67"/>
      <c r="FSD457" s="67"/>
      <c r="FSE457" s="67"/>
      <c r="FSF457" s="67"/>
      <c r="FSG457" s="67"/>
      <c r="FSH457" s="67"/>
      <c r="FSI457" s="67"/>
      <c r="FSJ457" s="67"/>
      <c r="FSK457" s="67"/>
      <c r="FSL457" s="67"/>
      <c r="FSM457" s="67"/>
      <c r="FSN457" s="67"/>
      <c r="FSO457" s="67"/>
      <c r="FSP457" s="67"/>
      <c r="FSQ457" s="67"/>
      <c r="FSR457" s="67"/>
      <c r="FSS457" s="67"/>
      <c r="FST457" s="67"/>
      <c r="FSU457" s="67"/>
      <c r="FSV457" s="67"/>
      <c r="FSW457" s="67"/>
      <c r="FSX457" s="67"/>
      <c r="FSY457" s="67"/>
      <c r="FSZ457" s="67"/>
      <c r="FTA457" s="67"/>
      <c r="FTB457" s="67"/>
      <c r="FTC457" s="67"/>
      <c r="FTD457" s="67"/>
      <c r="FTE457" s="67"/>
      <c r="FTF457" s="67"/>
      <c r="FTG457" s="67"/>
      <c r="FTH457" s="67"/>
      <c r="FTI457" s="67"/>
      <c r="FTJ457" s="67"/>
      <c r="FTK457" s="67"/>
      <c r="FTL457" s="67"/>
      <c r="FTM457" s="67"/>
      <c r="FTN457" s="67"/>
      <c r="FTO457" s="67"/>
      <c r="FTP457" s="67"/>
      <c r="FTQ457" s="67"/>
      <c r="FTR457" s="67"/>
      <c r="FTS457" s="67"/>
      <c r="FTT457" s="67"/>
      <c r="FTU457" s="67"/>
      <c r="FTV457" s="67"/>
      <c r="FTW457" s="67"/>
      <c r="FTX457" s="67"/>
      <c r="FTY457" s="67"/>
      <c r="FTZ457" s="67"/>
      <c r="FUA457" s="67"/>
      <c r="FUB457" s="67"/>
      <c r="FUC457" s="67"/>
      <c r="FUD457" s="67"/>
      <c r="FUE457" s="67"/>
      <c r="FUF457" s="67"/>
      <c r="FUG457" s="67"/>
      <c r="FUH457" s="67"/>
      <c r="FUI457" s="67"/>
      <c r="FUJ457" s="67"/>
      <c r="FUK457" s="67"/>
      <c r="FUL457" s="67"/>
      <c r="FUM457" s="67"/>
      <c r="FUN457" s="67"/>
      <c r="FUO457" s="67"/>
      <c r="FUP457" s="67"/>
      <c r="FUQ457" s="67"/>
      <c r="FUR457" s="67"/>
      <c r="FUS457" s="67"/>
      <c r="FUT457" s="67"/>
      <c r="FUU457" s="67"/>
      <c r="FUV457" s="67"/>
      <c r="FUW457" s="67"/>
      <c r="FUX457" s="67"/>
      <c r="FUY457" s="67"/>
      <c r="FUZ457" s="67"/>
      <c r="FVA457" s="67"/>
      <c r="FVB457" s="67"/>
      <c r="FVC457" s="67"/>
      <c r="FVD457" s="67"/>
      <c r="FVE457" s="67"/>
      <c r="FVF457" s="67"/>
      <c r="FVG457" s="67"/>
      <c r="FVH457" s="67"/>
      <c r="FVI457" s="67"/>
      <c r="FVJ457" s="67"/>
      <c r="FVK457" s="67"/>
      <c r="FVL457" s="67"/>
      <c r="FVM457" s="67"/>
      <c r="FVN457" s="67"/>
      <c r="FVO457" s="67"/>
      <c r="FVP457" s="67"/>
      <c r="FVQ457" s="67"/>
      <c r="FVR457" s="67"/>
      <c r="FVS457" s="67"/>
      <c r="FVT457" s="67"/>
      <c r="FVU457" s="67"/>
      <c r="FVV457" s="67"/>
      <c r="FVW457" s="67"/>
      <c r="FVX457" s="67"/>
      <c r="FVY457" s="67"/>
      <c r="FVZ457" s="67"/>
      <c r="FWA457" s="67"/>
      <c r="FWB457" s="67"/>
      <c r="FWC457" s="67"/>
      <c r="FWD457" s="67"/>
      <c r="FWE457" s="67"/>
      <c r="FWF457" s="67"/>
      <c r="FWG457" s="67"/>
      <c r="FWH457" s="67"/>
      <c r="FWI457" s="67"/>
      <c r="FWJ457" s="67"/>
      <c r="FWK457" s="67"/>
      <c r="FWL457" s="67"/>
      <c r="FWM457" s="67"/>
      <c r="FWN457" s="67"/>
      <c r="FWO457" s="67"/>
      <c r="FWP457" s="67"/>
      <c r="FWQ457" s="67"/>
      <c r="FWR457" s="67"/>
      <c r="FWS457" s="67"/>
      <c r="FWT457" s="67"/>
      <c r="FWU457" s="67"/>
      <c r="FWV457" s="67"/>
      <c r="FWW457" s="67"/>
      <c r="FWX457" s="67"/>
      <c r="FWY457" s="67"/>
      <c r="FWZ457" s="67"/>
      <c r="FXA457" s="67"/>
      <c r="FXB457" s="67"/>
      <c r="FXC457" s="67"/>
      <c r="FXD457" s="67"/>
      <c r="FXE457" s="67"/>
      <c r="FXF457" s="67"/>
      <c r="FXG457" s="67"/>
      <c r="FXH457" s="67"/>
      <c r="FXI457" s="67"/>
      <c r="FXJ457" s="67"/>
      <c r="FXK457" s="67"/>
      <c r="FXL457" s="67"/>
      <c r="FXM457" s="67"/>
      <c r="FXN457" s="67"/>
      <c r="FXO457" s="67"/>
      <c r="FXP457" s="67"/>
      <c r="FXQ457" s="67"/>
      <c r="FXR457" s="67"/>
      <c r="FXS457" s="67"/>
      <c r="FXT457" s="67"/>
      <c r="FXU457" s="67"/>
      <c r="FXV457" s="67"/>
      <c r="FXW457" s="67"/>
      <c r="FXX457" s="67"/>
      <c r="FXY457" s="67"/>
      <c r="FXZ457" s="67"/>
      <c r="FYA457" s="67"/>
      <c r="FYB457" s="67"/>
      <c r="FYC457" s="67"/>
      <c r="FYD457" s="67"/>
      <c r="FYE457" s="67"/>
      <c r="FYF457" s="67"/>
      <c r="FYG457" s="67"/>
      <c r="FYH457" s="67"/>
      <c r="FYI457" s="67"/>
      <c r="FYJ457" s="67"/>
      <c r="FYK457" s="67"/>
      <c r="FYL457" s="67"/>
      <c r="FYM457" s="67"/>
      <c r="FYN457" s="67"/>
      <c r="FYO457" s="67"/>
      <c r="FYP457" s="67"/>
      <c r="FYQ457" s="67"/>
      <c r="FYR457" s="67"/>
      <c r="FYS457" s="67"/>
      <c r="FYT457" s="67"/>
      <c r="FYU457" s="67"/>
      <c r="FYV457" s="67"/>
      <c r="FYW457" s="67"/>
      <c r="FYX457" s="67"/>
      <c r="FYY457" s="67"/>
      <c r="FYZ457" s="67"/>
      <c r="FZA457" s="67"/>
      <c r="FZB457" s="67"/>
      <c r="FZC457" s="67"/>
      <c r="FZD457" s="67"/>
      <c r="FZE457" s="67"/>
      <c r="FZF457" s="67"/>
      <c r="FZG457" s="67"/>
      <c r="FZH457" s="67"/>
      <c r="FZI457" s="67"/>
      <c r="FZJ457" s="67"/>
      <c r="FZK457" s="67"/>
      <c r="FZL457" s="67"/>
      <c r="FZM457" s="67"/>
      <c r="FZN457" s="67"/>
      <c r="FZO457" s="67"/>
      <c r="FZP457" s="67"/>
      <c r="FZQ457" s="67"/>
      <c r="FZR457" s="67"/>
      <c r="FZS457" s="67"/>
      <c r="FZT457" s="67"/>
      <c r="FZU457" s="67"/>
      <c r="FZV457" s="67"/>
      <c r="FZW457" s="67"/>
      <c r="FZX457" s="67"/>
      <c r="FZY457" s="67"/>
      <c r="FZZ457" s="67"/>
      <c r="GAA457" s="67"/>
      <c r="GAB457" s="67"/>
      <c r="GAC457" s="67"/>
      <c r="GAD457" s="67"/>
      <c r="GAE457" s="67"/>
      <c r="GAF457" s="67"/>
      <c r="GAG457" s="67"/>
      <c r="GAH457" s="67"/>
      <c r="GAI457" s="67"/>
      <c r="GAJ457" s="67"/>
      <c r="GAK457" s="67"/>
      <c r="GAL457" s="67"/>
      <c r="GAM457" s="67"/>
      <c r="GAN457" s="67"/>
      <c r="GAO457" s="67"/>
      <c r="GAP457" s="67"/>
      <c r="GAQ457" s="67"/>
      <c r="GAR457" s="67"/>
      <c r="GAS457" s="67"/>
      <c r="GAT457" s="67"/>
      <c r="GAU457" s="67"/>
      <c r="GAV457" s="67"/>
      <c r="GAW457" s="67"/>
      <c r="GAX457" s="67"/>
      <c r="GAY457" s="67"/>
      <c r="GAZ457" s="67"/>
      <c r="GBA457" s="67"/>
      <c r="GBB457" s="67"/>
      <c r="GBC457" s="67"/>
      <c r="GBD457" s="67"/>
      <c r="GBE457" s="67"/>
      <c r="GBF457" s="67"/>
      <c r="GBG457" s="67"/>
      <c r="GBH457" s="67"/>
      <c r="GBI457" s="67"/>
      <c r="GBJ457" s="67"/>
      <c r="GBK457" s="67"/>
      <c r="GBL457" s="67"/>
      <c r="GBM457" s="67"/>
      <c r="GBN457" s="67"/>
      <c r="GBO457" s="67"/>
      <c r="GBP457" s="67"/>
      <c r="GBQ457" s="67"/>
      <c r="GBR457" s="67"/>
      <c r="GBS457" s="67"/>
      <c r="GBT457" s="67"/>
      <c r="GBU457" s="67"/>
      <c r="GBV457" s="67"/>
      <c r="GBW457" s="67"/>
      <c r="GBX457" s="67"/>
      <c r="GBY457" s="67"/>
      <c r="GBZ457" s="67"/>
      <c r="GCA457" s="67"/>
      <c r="GCB457" s="67"/>
      <c r="GCC457" s="67"/>
      <c r="GCD457" s="67"/>
      <c r="GCE457" s="67"/>
      <c r="GCF457" s="67"/>
      <c r="GCG457" s="67"/>
      <c r="GCH457" s="67"/>
      <c r="GCI457" s="67"/>
      <c r="GCJ457" s="67"/>
      <c r="GCK457" s="67"/>
      <c r="GCL457" s="67"/>
      <c r="GCM457" s="67"/>
      <c r="GCN457" s="67"/>
      <c r="GCO457" s="67"/>
      <c r="GCP457" s="67"/>
      <c r="GCQ457" s="67"/>
      <c r="GCR457" s="67"/>
      <c r="GCS457" s="67"/>
      <c r="GCT457" s="67"/>
      <c r="GCU457" s="67"/>
      <c r="GCV457" s="67"/>
      <c r="GCW457" s="67"/>
      <c r="GCX457" s="67"/>
      <c r="GCY457" s="67"/>
      <c r="GCZ457" s="67"/>
      <c r="GDA457" s="67"/>
      <c r="GDB457" s="67"/>
      <c r="GDC457" s="67"/>
      <c r="GDD457" s="67"/>
      <c r="GDE457" s="67"/>
      <c r="GDF457" s="67"/>
      <c r="GDG457" s="67"/>
      <c r="GDH457" s="67"/>
      <c r="GDI457" s="67"/>
      <c r="GDJ457" s="67"/>
      <c r="GDK457" s="67"/>
      <c r="GDL457" s="67"/>
      <c r="GDM457" s="67"/>
      <c r="GDN457" s="67"/>
      <c r="GDO457" s="67"/>
      <c r="GDP457" s="67"/>
      <c r="GDQ457" s="67"/>
      <c r="GDR457" s="67"/>
      <c r="GDS457" s="67"/>
      <c r="GDT457" s="67"/>
      <c r="GDU457" s="67"/>
      <c r="GDV457" s="67"/>
      <c r="GDW457" s="67"/>
      <c r="GDX457" s="67"/>
      <c r="GDY457" s="67"/>
      <c r="GDZ457" s="67"/>
      <c r="GEA457" s="67"/>
      <c r="GEB457" s="67"/>
      <c r="GEC457" s="67"/>
      <c r="GED457" s="67"/>
      <c r="GEE457" s="67"/>
      <c r="GEF457" s="67"/>
      <c r="GEG457" s="67"/>
      <c r="GEH457" s="67"/>
      <c r="GEI457" s="67"/>
      <c r="GEJ457" s="67"/>
      <c r="GEK457" s="67"/>
      <c r="GEL457" s="67"/>
      <c r="GEM457" s="67"/>
      <c r="GEN457" s="67"/>
      <c r="GEO457" s="67"/>
      <c r="GEP457" s="67"/>
      <c r="GEQ457" s="67"/>
      <c r="GER457" s="67"/>
      <c r="GES457" s="67"/>
      <c r="GET457" s="67"/>
      <c r="GEU457" s="67"/>
      <c r="GEV457" s="67"/>
      <c r="GEW457" s="67"/>
      <c r="GEX457" s="67"/>
      <c r="GEY457" s="67"/>
      <c r="GEZ457" s="67"/>
      <c r="GFA457" s="67"/>
      <c r="GFB457" s="67"/>
      <c r="GFC457" s="67"/>
      <c r="GFD457" s="67"/>
      <c r="GFE457" s="67"/>
      <c r="GFF457" s="67"/>
      <c r="GFG457" s="67"/>
      <c r="GFH457" s="67"/>
      <c r="GFI457" s="67"/>
      <c r="GFJ457" s="67"/>
      <c r="GFK457" s="67"/>
      <c r="GFL457" s="67"/>
      <c r="GFM457" s="67"/>
      <c r="GFN457" s="67"/>
      <c r="GFO457" s="67"/>
      <c r="GFP457" s="67"/>
      <c r="GFQ457" s="67"/>
      <c r="GFR457" s="67"/>
      <c r="GFS457" s="67"/>
      <c r="GFT457" s="67"/>
      <c r="GFU457" s="67"/>
      <c r="GFV457" s="67"/>
      <c r="GFW457" s="67"/>
      <c r="GFX457" s="67"/>
      <c r="GFY457" s="67"/>
      <c r="GFZ457" s="67"/>
      <c r="GGA457" s="67"/>
      <c r="GGB457" s="67"/>
      <c r="GGC457" s="67"/>
      <c r="GGD457" s="67"/>
      <c r="GGE457" s="67"/>
      <c r="GGF457" s="67"/>
      <c r="GGG457" s="67"/>
      <c r="GGH457" s="67"/>
      <c r="GGI457" s="67"/>
      <c r="GGJ457" s="67"/>
      <c r="GGK457" s="67"/>
      <c r="GGL457" s="67"/>
      <c r="GGM457" s="67"/>
      <c r="GGN457" s="67"/>
      <c r="GGO457" s="67"/>
      <c r="GGP457" s="67"/>
      <c r="GGQ457" s="67"/>
      <c r="GGR457" s="67"/>
      <c r="GGS457" s="67"/>
      <c r="GGT457" s="67"/>
      <c r="GGU457" s="67"/>
      <c r="GGV457" s="67"/>
      <c r="GGW457" s="67"/>
      <c r="GGX457" s="67"/>
      <c r="GGY457" s="67"/>
      <c r="GGZ457" s="67"/>
      <c r="GHA457" s="67"/>
      <c r="GHB457" s="67"/>
      <c r="GHC457" s="67"/>
      <c r="GHD457" s="67"/>
      <c r="GHE457" s="67"/>
      <c r="GHF457" s="67"/>
      <c r="GHG457" s="67"/>
      <c r="GHH457" s="67"/>
      <c r="GHI457" s="67"/>
      <c r="GHJ457" s="67"/>
      <c r="GHK457" s="67"/>
      <c r="GHL457" s="67"/>
      <c r="GHM457" s="67"/>
      <c r="GHN457" s="67"/>
      <c r="GHO457" s="67"/>
      <c r="GHP457" s="67"/>
      <c r="GHQ457" s="67"/>
      <c r="GHR457" s="67"/>
      <c r="GHS457" s="67"/>
      <c r="GHT457" s="67"/>
      <c r="GHU457" s="67"/>
      <c r="GHV457" s="67"/>
      <c r="GHW457" s="67"/>
      <c r="GHX457" s="67"/>
      <c r="GHY457" s="67"/>
      <c r="GHZ457" s="67"/>
      <c r="GIA457" s="67"/>
      <c r="GIB457" s="67"/>
      <c r="GIC457" s="67"/>
      <c r="GID457" s="67"/>
      <c r="GIE457" s="67"/>
      <c r="GIF457" s="67"/>
      <c r="GIG457" s="67"/>
      <c r="GIH457" s="67"/>
      <c r="GII457" s="67"/>
      <c r="GIJ457" s="67"/>
      <c r="GIK457" s="67"/>
      <c r="GIL457" s="67"/>
      <c r="GIM457" s="67"/>
      <c r="GIN457" s="67"/>
      <c r="GIO457" s="67"/>
      <c r="GIP457" s="67"/>
      <c r="GIQ457" s="67"/>
      <c r="GIR457" s="67"/>
      <c r="GIS457" s="67"/>
      <c r="GIT457" s="67"/>
      <c r="GIU457" s="67"/>
      <c r="GIV457" s="67"/>
      <c r="GIW457" s="67"/>
      <c r="GIX457" s="67"/>
      <c r="GIY457" s="67"/>
      <c r="GIZ457" s="67"/>
      <c r="GJA457" s="67"/>
      <c r="GJB457" s="67"/>
      <c r="GJC457" s="67"/>
      <c r="GJD457" s="67"/>
      <c r="GJE457" s="67"/>
      <c r="GJF457" s="67"/>
      <c r="GJG457" s="67"/>
      <c r="GJH457" s="67"/>
      <c r="GJI457" s="67"/>
      <c r="GJJ457" s="67"/>
      <c r="GJK457" s="67"/>
      <c r="GJL457" s="67"/>
      <c r="GJM457" s="67"/>
      <c r="GJN457" s="67"/>
      <c r="GJO457" s="67"/>
      <c r="GJP457" s="67"/>
      <c r="GJQ457" s="67"/>
      <c r="GJR457" s="67"/>
      <c r="GJS457" s="67"/>
      <c r="GJT457" s="67"/>
      <c r="GJU457" s="67"/>
      <c r="GJV457" s="67"/>
      <c r="GJW457" s="67"/>
      <c r="GJX457" s="67"/>
      <c r="GJY457" s="67"/>
      <c r="GJZ457" s="67"/>
      <c r="GKA457" s="67"/>
      <c r="GKB457" s="67"/>
      <c r="GKC457" s="67"/>
      <c r="GKD457" s="67"/>
      <c r="GKE457" s="67"/>
      <c r="GKF457" s="67"/>
      <c r="GKG457" s="67"/>
      <c r="GKH457" s="67"/>
      <c r="GKI457" s="67"/>
      <c r="GKJ457" s="67"/>
      <c r="GKK457" s="67"/>
      <c r="GKL457" s="67"/>
      <c r="GKM457" s="67"/>
      <c r="GKN457" s="67"/>
      <c r="GKO457" s="67"/>
      <c r="GKP457" s="67"/>
      <c r="GKQ457" s="67"/>
      <c r="GKR457" s="67"/>
      <c r="GKS457" s="67"/>
      <c r="GKT457" s="67"/>
      <c r="GKU457" s="67"/>
      <c r="GKV457" s="67"/>
      <c r="GKW457" s="67"/>
      <c r="GKX457" s="67"/>
      <c r="GKY457" s="67"/>
      <c r="GKZ457" s="67"/>
      <c r="GLA457" s="67"/>
      <c r="GLB457" s="67"/>
      <c r="GLC457" s="67"/>
      <c r="GLD457" s="67"/>
      <c r="GLE457" s="67"/>
      <c r="GLF457" s="67"/>
      <c r="GLG457" s="67"/>
      <c r="GLH457" s="67"/>
      <c r="GLI457" s="67"/>
      <c r="GLJ457" s="67"/>
      <c r="GLK457" s="67"/>
      <c r="GLL457" s="67"/>
      <c r="GLM457" s="67"/>
      <c r="GLN457" s="67"/>
      <c r="GLO457" s="67"/>
      <c r="GLP457" s="67"/>
      <c r="GLQ457" s="67"/>
      <c r="GLR457" s="67"/>
      <c r="GLS457" s="67"/>
      <c r="GLT457" s="67"/>
      <c r="GLU457" s="67"/>
      <c r="GLV457" s="67"/>
      <c r="GLW457" s="67"/>
      <c r="GLX457" s="67"/>
      <c r="GLY457" s="67"/>
      <c r="GLZ457" s="67"/>
      <c r="GMA457" s="67"/>
      <c r="GMB457" s="67"/>
      <c r="GMC457" s="67"/>
      <c r="GMD457" s="67"/>
      <c r="GME457" s="67"/>
      <c r="GMF457" s="67"/>
      <c r="GMG457" s="67"/>
      <c r="GMH457" s="67"/>
      <c r="GMI457" s="67"/>
      <c r="GMJ457" s="67"/>
      <c r="GMK457" s="67"/>
      <c r="GML457" s="67"/>
      <c r="GMM457" s="67"/>
      <c r="GMN457" s="67"/>
      <c r="GMO457" s="67"/>
      <c r="GMP457" s="67"/>
      <c r="GMQ457" s="67"/>
      <c r="GMR457" s="67"/>
      <c r="GMS457" s="67"/>
      <c r="GMT457" s="67"/>
      <c r="GMU457" s="67"/>
      <c r="GMV457" s="67"/>
      <c r="GMW457" s="67"/>
      <c r="GMX457" s="67"/>
      <c r="GMY457" s="67"/>
      <c r="GMZ457" s="67"/>
      <c r="GNA457" s="67"/>
      <c r="GNB457" s="67"/>
      <c r="GNC457" s="67"/>
      <c r="GND457" s="67"/>
      <c r="GNE457" s="67"/>
      <c r="GNF457" s="67"/>
      <c r="GNG457" s="67"/>
      <c r="GNH457" s="67"/>
      <c r="GNI457" s="67"/>
      <c r="GNJ457" s="67"/>
      <c r="GNK457" s="67"/>
      <c r="GNL457" s="67"/>
      <c r="GNM457" s="67"/>
      <c r="GNN457" s="67"/>
      <c r="GNO457" s="67"/>
      <c r="GNP457" s="67"/>
      <c r="GNQ457" s="67"/>
      <c r="GNR457" s="67"/>
      <c r="GNS457" s="67"/>
      <c r="GNT457" s="67"/>
      <c r="GNU457" s="67"/>
      <c r="GNV457" s="67"/>
      <c r="GNW457" s="67"/>
      <c r="GNX457" s="67"/>
      <c r="GNY457" s="67"/>
      <c r="GNZ457" s="67"/>
      <c r="GOA457" s="67"/>
      <c r="GOB457" s="67"/>
      <c r="GOC457" s="67"/>
      <c r="GOD457" s="67"/>
      <c r="GOE457" s="67"/>
      <c r="GOF457" s="67"/>
      <c r="GOG457" s="67"/>
      <c r="GOH457" s="67"/>
      <c r="GOI457" s="67"/>
      <c r="GOJ457" s="67"/>
      <c r="GOK457" s="67"/>
      <c r="GOL457" s="67"/>
      <c r="GOM457" s="67"/>
      <c r="GON457" s="67"/>
      <c r="GOO457" s="67"/>
      <c r="GOP457" s="67"/>
      <c r="GOQ457" s="67"/>
      <c r="GOR457" s="67"/>
      <c r="GOS457" s="67"/>
      <c r="GOT457" s="67"/>
      <c r="GOU457" s="67"/>
      <c r="GOV457" s="67"/>
      <c r="GOW457" s="67"/>
      <c r="GOX457" s="67"/>
      <c r="GOY457" s="67"/>
      <c r="GOZ457" s="67"/>
      <c r="GPA457" s="67"/>
      <c r="GPB457" s="67"/>
      <c r="GPC457" s="67"/>
      <c r="GPD457" s="67"/>
      <c r="GPE457" s="67"/>
      <c r="GPF457" s="67"/>
      <c r="GPG457" s="67"/>
      <c r="GPH457" s="67"/>
      <c r="GPI457" s="67"/>
      <c r="GPJ457" s="67"/>
      <c r="GPK457" s="67"/>
      <c r="GPL457" s="67"/>
      <c r="GPM457" s="67"/>
      <c r="GPN457" s="67"/>
      <c r="GPO457" s="67"/>
      <c r="GPP457" s="67"/>
      <c r="GPQ457" s="67"/>
      <c r="GPR457" s="67"/>
      <c r="GPS457" s="67"/>
      <c r="GPT457" s="67"/>
      <c r="GPU457" s="67"/>
      <c r="GPV457" s="67"/>
      <c r="GPW457" s="67"/>
      <c r="GPX457" s="67"/>
      <c r="GPY457" s="67"/>
      <c r="GPZ457" s="67"/>
      <c r="GQA457" s="67"/>
      <c r="GQB457" s="67"/>
      <c r="GQC457" s="67"/>
      <c r="GQD457" s="67"/>
      <c r="GQE457" s="67"/>
      <c r="GQF457" s="67"/>
      <c r="GQG457" s="67"/>
      <c r="GQH457" s="67"/>
      <c r="GQI457" s="67"/>
      <c r="GQJ457" s="67"/>
      <c r="GQK457" s="67"/>
      <c r="GQL457" s="67"/>
      <c r="GQM457" s="67"/>
      <c r="GQN457" s="67"/>
      <c r="GQO457" s="67"/>
      <c r="GQP457" s="67"/>
      <c r="GQQ457" s="67"/>
      <c r="GQR457" s="67"/>
      <c r="GQS457" s="67"/>
      <c r="GQT457" s="67"/>
      <c r="GQU457" s="67"/>
      <c r="GQV457" s="67"/>
      <c r="GQW457" s="67"/>
      <c r="GQX457" s="67"/>
      <c r="GQY457" s="67"/>
      <c r="GQZ457" s="67"/>
      <c r="GRA457" s="67"/>
      <c r="GRB457" s="67"/>
      <c r="GRC457" s="67"/>
      <c r="GRD457" s="67"/>
      <c r="GRE457" s="67"/>
      <c r="GRF457" s="67"/>
      <c r="GRG457" s="67"/>
      <c r="GRH457" s="67"/>
      <c r="GRI457" s="67"/>
      <c r="GRJ457" s="67"/>
      <c r="GRK457" s="67"/>
      <c r="GRL457" s="67"/>
      <c r="GRM457" s="67"/>
      <c r="GRN457" s="67"/>
      <c r="GRO457" s="67"/>
      <c r="GRP457" s="67"/>
      <c r="GRQ457" s="67"/>
      <c r="GRR457" s="67"/>
      <c r="GRS457" s="67"/>
      <c r="GRT457" s="67"/>
      <c r="GRU457" s="67"/>
      <c r="GRV457" s="67"/>
      <c r="GRW457" s="67"/>
      <c r="GRX457" s="67"/>
      <c r="GRY457" s="67"/>
      <c r="GRZ457" s="67"/>
      <c r="GSA457" s="67"/>
      <c r="GSB457" s="67"/>
      <c r="GSC457" s="67"/>
      <c r="GSD457" s="67"/>
      <c r="GSE457" s="67"/>
      <c r="GSF457" s="67"/>
      <c r="GSG457" s="67"/>
      <c r="GSH457" s="67"/>
      <c r="GSI457" s="67"/>
      <c r="GSJ457" s="67"/>
      <c r="GSK457" s="67"/>
      <c r="GSL457" s="67"/>
      <c r="GSM457" s="67"/>
      <c r="GSN457" s="67"/>
      <c r="GSO457" s="67"/>
      <c r="GSP457" s="67"/>
      <c r="GSQ457" s="67"/>
      <c r="GSR457" s="67"/>
      <c r="GSS457" s="67"/>
      <c r="GST457" s="67"/>
      <c r="GSU457" s="67"/>
      <c r="GSV457" s="67"/>
      <c r="GSW457" s="67"/>
      <c r="GSX457" s="67"/>
      <c r="GSY457" s="67"/>
      <c r="GSZ457" s="67"/>
      <c r="GTA457" s="67"/>
      <c r="GTB457" s="67"/>
      <c r="GTC457" s="67"/>
      <c r="GTD457" s="67"/>
      <c r="GTE457" s="67"/>
      <c r="GTF457" s="67"/>
      <c r="GTG457" s="67"/>
      <c r="GTH457" s="67"/>
      <c r="GTI457" s="67"/>
      <c r="GTJ457" s="67"/>
      <c r="GTK457" s="67"/>
      <c r="GTL457" s="67"/>
      <c r="GTM457" s="67"/>
      <c r="GTN457" s="67"/>
      <c r="GTO457" s="67"/>
      <c r="GTP457" s="67"/>
      <c r="GTQ457" s="67"/>
      <c r="GTR457" s="67"/>
      <c r="GTS457" s="67"/>
      <c r="GTT457" s="67"/>
      <c r="GTU457" s="67"/>
      <c r="GTV457" s="67"/>
      <c r="GTW457" s="67"/>
      <c r="GTX457" s="67"/>
      <c r="GTY457" s="67"/>
      <c r="GTZ457" s="67"/>
      <c r="GUA457" s="67"/>
      <c r="GUB457" s="67"/>
      <c r="GUC457" s="67"/>
      <c r="GUD457" s="67"/>
      <c r="GUE457" s="67"/>
      <c r="GUF457" s="67"/>
      <c r="GUG457" s="67"/>
      <c r="GUH457" s="67"/>
      <c r="GUI457" s="67"/>
      <c r="GUJ457" s="67"/>
      <c r="GUK457" s="67"/>
      <c r="GUL457" s="67"/>
      <c r="GUM457" s="67"/>
      <c r="GUN457" s="67"/>
      <c r="GUO457" s="67"/>
      <c r="GUP457" s="67"/>
      <c r="GUQ457" s="67"/>
      <c r="GUR457" s="67"/>
      <c r="GUS457" s="67"/>
      <c r="GUT457" s="67"/>
      <c r="GUU457" s="67"/>
      <c r="GUV457" s="67"/>
      <c r="GUW457" s="67"/>
      <c r="GUX457" s="67"/>
      <c r="GUY457" s="67"/>
      <c r="GUZ457" s="67"/>
      <c r="GVA457" s="67"/>
      <c r="GVB457" s="67"/>
      <c r="GVC457" s="67"/>
      <c r="GVD457" s="67"/>
      <c r="GVE457" s="67"/>
      <c r="GVF457" s="67"/>
      <c r="GVG457" s="67"/>
      <c r="GVH457" s="67"/>
      <c r="GVI457" s="67"/>
      <c r="GVJ457" s="67"/>
      <c r="GVK457" s="67"/>
      <c r="GVL457" s="67"/>
      <c r="GVM457" s="67"/>
      <c r="GVN457" s="67"/>
      <c r="GVO457" s="67"/>
      <c r="GVP457" s="67"/>
      <c r="GVQ457" s="67"/>
      <c r="GVR457" s="67"/>
      <c r="GVS457" s="67"/>
      <c r="GVT457" s="67"/>
      <c r="GVU457" s="67"/>
      <c r="GVV457" s="67"/>
      <c r="GVW457" s="67"/>
      <c r="GVX457" s="67"/>
      <c r="GVY457" s="67"/>
      <c r="GVZ457" s="67"/>
      <c r="GWA457" s="67"/>
      <c r="GWB457" s="67"/>
      <c r="GWC457" s="67"/>
      <c r="GWD457" s="67"/>
      <c r="GWE457" s="67"/>
      <c r="GWF457" s="67"/>
      <c r="GWG457" s="67"/>
      <c r="GWH457" s="67"/>
      <c r="GWI457" s="67"/>
      <c r="GWJ457" s="67"/>
      <c r="GWK457" s="67"/>
      <c r="GWL457" s="67"/>
      <c r="GWM457" s="67"/>
      <c r="GWN457" s="67"/>
      <c r="GWO457" s="67"/>
      <c r="GWP457" s="67"/>
      <c r="GWQ457" s="67"/>
      <c r="GWR457" s="67"/>
      <c r="GWS457" s="67"/>
      <c r="GWT457" s="67"/>
      <c r="GWU457" s="67"/>
      <c r="GWV457" s="67"/>
      <c r="GWW457" s="67"/>
      <c r="GWX457" s="67"/>
      <c r="GWY457" s="67"/>
      <c r="GWZ457" s="67"/>
      <c r="GXA457" s="67"/>
      <c r="GXB457" s="67"/>
      <c r="GXC457" s="67"/>
      <c r="GXD457" s="67"/>
      <c r="GXE457" s="67"/>
      <c r="GXF457" s="67"/>
      <c r="GXG457" s="67"/>
      <c r="GXH457" s="67"/>
      <c r="GXI457" s="67"/>
      <c r="GXJ457" s="67"/>
      <c r="GXK457" s="67"/>
      <c r="GXL457" s="67"/>
      <c r="GXM457" s="67"/>
      <c r="GXN457" s="67"/>
      <c r="GXO457" s="67"/>
      <c r="GXP457" s="67"/>
      <c r="GXQ457" s="67"/>
      <c r="GXR457" s="67"/>
      <c r="GXS457" s="67"/>
      <c r="GXT457" s="67"/>
      <c r="GXU457" s="67"/>
      <c r="GXV457" s="67"/>
      <c r="GXW457" s="67"/>
      <c r="GXX457" s="67"/>
      <c r="GXY457" s="67"/>
      <c r="GXZ457" s="67"/>
      <c r="GYA457" s="67"/>
      <c r="GYB457" s="67"/>
      <c r="GYC457" s="67"/>
      <c r="GYD457" s="67"/>
      <c r="GYE457" s="67"/>
      <c r="GYF457" s="67"/>
      <c r="GYG457" s="67"/>
      <c r="GYH457" s="67"/>
      <c r="GYI457" s="67"/>
      <c r="GYJ457" s="67"/>
      <c r="GYK457" s="67"/>
      <c r="GYL457" s="67"/>
      <c r="GYM457" s="67"/>
      <c r="GYN457" s="67"/>
      <c r="GYO457" s="67"/>
      <c r="GYP457" s="67"/>
      <c r="GYQ457" s="67"/>
      <c r="GYR457" s="67"/>
      <c r="GYS457" s="67"/>
      <c r="GYT457" s="67"/>
      <c r="GYU457" s="67"/>
      <c r="GYV457" s="67"/>
      <c r="GYW457" s="67"/>
      <c r="GYX457" s="67"/>
      <c r="GYY457" s="67"/>
      <c r="GYZ457" s="67"/>
      <c r="GZA457" s="67"/>
      <c r="GZB457" s="67"/>
      <c r="GZC457" s="67"/>
      <c r="GZD457" s="67"/>
      <c r="GZE457" s="67"/>
      <c r="GZF457" s="67"/>
      <c r="GZG457" s="67"/>
      <c r="GZH457" s="67"/>
      <c r="GZI457" s="67"/>
      <c r="GZJ457" s="67"/>
      <c r="GZK457" s="67"/>
      <c r="GZL457" s="67"/>
      <c r="GZM457" s="67"/>
      <c r="GZN457" s="67"/>
      <c r="GZO457" s="67"/>
      <c r="GZP457" s="67"/>
      <c r="GZQ457" s="67"/>
      <c r="GZR457" s="67"/>
      <c r="GZS457" s="67"/>
      <c r="GZT457" s="67"/>
      <c r="GZU457" s="67"/>
      <c r="GZV457" s="67"/>
      <c r="GZW457" s="67"/>
      <c r="GZX457" s="67"/>
      <c r="GZY457" s="67"/>
      <c r="GZZ457" s="67"/>
      <c r="HAA457" s="67"/>
      <c r="HAB457" s="67"/>
      <c r="HAC457" s="67"/>
      <c r="HAD457" s="67"/>
      <c r="HAE457" s="67"/>
      <c r="HAF457" s="67"/>
      <c r="HAG457" s="67"/>
      <c r="HAH457" s="67"/>
      <c r="HAI457" s="67"/>
      <c r="HAJ457" s="67"/>
      <c r="HAK457" s="67"/>
      <c r="HAL457" s="67"/>
      <c r="HAM457" s="67"/>
      <c r="HAN457" s="67"/>
      <c r="HAO457" s="67"/>
      <c r="HAP457" s="67"/>
      <c r="HAQ457" s="67"/>
      <c r="HAR457" s="67"/>
      <c r="HAS457" s="67"/>
      <c r="HAT457" s="67"/>
      <c r="HAU457" s="67"/>
      <c r="HAV457" s="67"/>
      <c r="HAW457" s="67"/>
      <c r="HAX457" s="67"/>
      <c r="HAY457" s="67"/>
      <c r="HAZ457" s="67"/>
      <c r="HBA457" s="67"/>
      <c r="HBB457" s="67"/>
      <c r="HBC457" s="67"/>
      <c r="HBD457" s="67"/>
      <c r="HBE457" s="67"/>
      <c r="HBF457" s="67"/>
      <c r="HBG457" s="67"/>
      <c r="HBH457" s="67"/>
      <c r="HBI457" s="67"/>
      <c r="HBJ457" s="67"/>
      <c r="HBK457" s="67"/>
      <c r="HBL457" s="67"/>
      <c r="HBM457" s="67"/>
      <c r="HBN457" s="67"/>
      <c r="HBO457" s="67"/>
      <c r="HBP457" s="67"/>
      <c r="HBQ457" s="67"/>
      <c r="HBR457" s="67"/>
      <c r="HBS457" s="67"/>
      <c r="HBT457" s="67"/>
      <c r="HBU457" s="67"/>
      <c r="HBV457" s="67"/>
      <c r="HBW457" s="67"/>
      <c r="HBX457" s="67"/>
      <c r="HBY457" s="67"/>
      <c r="HBZ457" s="67"/>
      <c r="HCA457" s="67"/>
      <c r="HCB457" s="67"/>
      <c r="HCC457" s="67"/>
      <c r="HCD457" s="67"/>
      <c r="HCE457" s="67"/>
      <c r="HCF457" s="67"/>
      <c r="HCG457" s="67"/>
      <c r="HCH457" s="67"/>
      <c r="HCI457" s="67"/>
      <c r="HCJ457" s="67"/>
      <c r="HCK457" s="67"/>
      <c r="HCL457" s="67"/>
      <c r="HCM457" s="67"/>
      <c r="HCN457" s="67"/>
      <c r="HCO457" s="67"/>
      <c r="HCP457" s="67"/>
      <c r="HCQ457" s="67"/>
      <c r="HCR457" s="67"/>
      <c r="HCS457" s="67"/>
      <c r="HCT457" s="67"/>
      <c r="HCU457" s="67"/>
      <c r="HCV457" s="67"/>
      <c r="HCW457" s="67"/>
      <c r="HCX457" s="67"/>
      <c r="HCY457" s="67"/>
      <c r="HCZ457" s="67"/>
      <c r="HDA457" s="67"/>
      <c r="HDB457" s="67"/>
      <c r="HDC457" s="67"/>
      <c r="HDD457" s="67"/>
      <c r="HDE457" s="67"/>
      <c r="HDF457" s="67"/>
      <c r="HDG457" s="67"/>
      <c r="HDH457" s="67"/>
      <c r="HDI457" s="67"/>
      <c r="HDJ457" s="67"/>
      <c r="HDK457" s="67"/>
      <c r="HDL457" s="67"/>
      <c r="HDM457" s="67"/>
      <c r="HDN457" s="67"/>
      <c r="HDO457" s="67"/>
      <c r="HDP457" s="67"/>
      <c r="HDQ457" s="67"/>
      <c r="HDR457" s="67"/>
      <c r="HDS457" s="67"/>
      <c r="HDT457" s="67"/>
      <c r="HDU457" s="67"/>
      <c r="HDV457" s="67"/>
      <c r="HDW457" s="67"/>
      <c r="HDX457" s="67"/>
      <c r="HDY457" s="67"/>
      <c r="HDZ457" s="67"/>
      <c r="HEA457" s="67"/>
      <c r="HEB457" s="67"/>
      <c r="HEC457" s="67"/>
      <c r="HED457" s="67"/>
      <c r="HEE457" s="67"/>
      <c r="HEF457" s="67"/>
      <c r="HEG457" s="67"/>
      <c r="HEH457" s="67"/>
      <c r="HEI457" s="67"/>
      <c r="HEJ457" s="67"/>
      <c r="HEK457" s="67"/>
      <c r="HEL457" s="67"/>
      <c r="HEM457" s="67"/>
      <c r="HEN457" s="67"/>
      <c r="HEO457" s="67"/>
      <c r="HEP457" s="67"/>
      <c r="HEQ457" s="67"/>
      <c r="HER457" s="67"/>
      <c r="HES457" s="67"/>
      <c r="HET457" s="67"/>
      <c r="HEU457" s="67"/>
      <c r="HEV457" s="67"/>
      <c r="HEW457" s="67"/>
      <c r="HEX457" s="67"/>
      <c r="HEY457" s="67"/>
      <c r="HEZ457" s="67"/>
      <c r="HFA457" s="67"/>
      <c r="HFB457" s="67"/>
      <c r="HFC457" s="67"/>
      <c r="HFD457" s="67"/>
      <c r="HFE457" s="67"/>
      <c r="HFF457" s="67"/>
      <c r="HFG457" s="67"/>
      <c r="HFH457" s="67"/>
      <c r="HFI457" s="67"/>
      <c r="HFJ457" s="67"/>
      <c r="HFK457" s="67"/>
      <c r="HFL457" s="67"/>
      <c r="HFM457" s="67"/>
      <c r="HFN457" s="67"/>
      <c r="HFO457" s="67"/>
      <c r="HFP457" s="67"/>
      <c r="HFQ457" s="67"/>
      <c r="HFR457" s="67"/>
      <c r="HFS457" s="67"/>
      <c r="HFT457" s="67"/>
      <c r="HFU457" s="67"/>
      <c r="HFV457" s="67"/>
      <c r="HFW457" s="67"/>
      <c r="HFX457" s="67"/>
      <c r="HFY457" s="67"/>
      <c r="HFZ457" s="67"/>
      <c r="HGA457" s="67"/>
      <c r="HGB457" s="67"/>
      <c r="HGC457" s="67"/>
      <c r="HGD457" s="67"/>
      <c r="HGE457" s="67"/>
      <c r="HGF457" s="67"/>
      <c r="HGG457" s="67"/>
      <c r="HGH457" s="67"/>
      <c r="HGI457" s="67"/>
      <c r="HGJ457" s="67"/>
      <c r="HGK457" s="67"/>
      <c r="HGL457" s="67"/>
      <c r="HGM457" s="67"/>
      <c r="HGN457" s="67"/>
      <c r="HGO457" s="67"/>
      <c r="HGP457" s="67"/>
      <c r="HGQ457" s="67"/>
      <c r="HGR457" s="67"/>
      <c r="HGS457" s="67"/>
      <c r="HGT457" s="67"/>
      <c r="HGU457" s="67"/>
      <c r="HGV457" s="67"/>
      <c r="HGW457" s="67"/>
      <c r="HGX457" s="67"/>
      <c r="HGY457" s="67"/>
      <c r="HGZ457" s="67"/>
      <c r="HHA457" s="67"/>
      <c r="HHB457" s="67"/>
      <c r="HHC457" s="67"/>
      <c r="HHD457" s="67"/>
      <c r="HHE457" s="67"/>
      <c r="HHF457" s="67"/>
      <c r="HHG457" s="67"/>
      <c r="HHH457" s="67"/>
      <c r="HHI457" s="67"/>
      <c r="HHJ457" s="67"/>
      <c r="HHK457" s="67"/>
      <c r="HHL457" s="67"/>
      <c r="HHM457" s="67"/>
      <c r="HHN457" s="67"/>
      <c r="HHO457" s="67"/>
      <c r="HHP457" s="67"/>
      <c r="HHQ457" s="67"/>
      <c r="HHR457" s="67"/>
      <c r="HHS457" s="67"/>
      <c r="HHT457" s="67"/>
      <c r="HHU457" s="67"/>
      <c r="HHV457" s="67"/>
      <c r="HHW457" s="67"/>
      <c r="HHX457" s="67"/>
      <c r="HHY457" s="67"/>
      <c r="HHZ457" s="67"/>
      <c r="HIA457" s="67"/>
      <c r="HIB457" s="67"/>
      <c r="HIC457" s="67"/>
      <c r="HID457" s="67"/>
      <c r="HIE457" s="67"/>
      <c r="HIF457" s="67"/>
      <c r="HIG457" s="67"/>
      <c r="HIH457" s="67"/>
      <c r="HII457" s="67"/>
      <c r="HIJ457" s="67"/>
      <c r="HIK457" s="67"/>
      <c r="HIL457" s="67"/>
      <c r="HIM457" s="67"/>
      <c r="HIN457" s="67"/>
      <c r="HIO457" s="67"/>
      <c r="HIP457" s="67"/>
      <c r="HIQ457" s="67"/>
      <c r="HIR457" s="67"/>
      <c r="HIS457" s="67"/>
      <c r="HIT457" s="67"/>
      <c r="HIU457" s="67"/>
      <c r="HIV457" s="67"/>
      <c r="HIW457" s="67"/>
      <c r="HIX457" s="67"/>
      <c r="HIY457" s="67"/>
      <c r="HIZ457" s="67"/>
      <c r="HJA457" s="67"/>
      <c r="HJB457" s="67"/>
      <c r="HJC457" s="67"/>
      <c r="HJD457" s="67"/>
      <c r="HJE457" s="67"/>
      <c r="HJF457" s="67"/>
      <c r="HJG457" s="67"/>
      <c r="HJH457" s="67"/>
      <c r="HJI457" s="67"/>
      <c r="HJJ457" s="67"/>
      <c r="HJK457" s="67"/>
      <c r="HJL457" s="67"/>
      <c r="HJM457" s="67"/>
      <c r="HJN457" s="67"/>
      <c r="HJO457" s="67"/>
      <c r="HJP457" s="67"/>
      <c r="HJQ457" s="67"/>
      <c r="HJR457" s="67"/>
      <c r="HJS457" s="67"/>
      <c r="HJT457" s="67"/>
      <c r="HJU457" s="67"/>
      <c r="HJV457" s="67"/>
      <c r="HJW457" s="67"/>
      <c r="HJX457" s="67"/>
      <c r="HJY457" s="67"/>
      <c r="HJZ457" s="67"/>
      <c r="HKA457" s="67"/>
      <c r="HKB457" s="67"/>
      <c r="HKC457" s="67"/>
      <c r="HKD457" s="67"/>
      <c r="HKE457" s="67"/>
      <c r="HKF457" s="67"/>
      <c r="HKG457" s="67"/>
      <c r="HKH457" s="67"/>
      <c r="HKI457" s="67"/>
      <c r="HKJ457" s="67"/>
      <c r="HKK457" s="67"/>
      <c r="HKL457" s="67"/>
      <c r="HKM457" s="67"/>
      <c r="HKN457" s="67"/>
      <c r="HKO457" s="67"/>
      <c r="HKP457" s="67"/>
      <c r="HKQ457" s="67"/>
      <c r="HKR457" s="67"/>
      <c r="HKS457" s="67"/>
      <c r="HKT457" s="67"/>
      <c r="HKU457" s="67"/>
      <c r="HKV457" s="67"/>
      <c r="HKW457" s="67"/>
      <c r="HKX457" s="67"/>
      <c r="HKY457" s="67"/>
      <c r="HKZ457" s="67"/>
      <c r="HLA457" s="67"/>
      <c r="HLB457" s="67"/>
      <c r="HLC457" s="67"/>
      <c r="HLD457" s="67"/>
      <c r="HLE457" s="67"/>
      <c r="HLF457" s="67"/>
      <c r="HLG457" s="67"/>
      <c r="HLH457" s="67"/>
      <c r="HLI457" s="67"/>
      <c r="HLJ457" s="67"/>
      <c r="HLK457" s="67"/>
      <c r="HLL457" s="67"/>
      <c r="HLM457" s="67"/>
      <c r="HLN457" s="67"/>
      <c r="HLO457" s="67"/>
      <c r="HLP457" s="67"/>
      <c r="HLQ457" s="67"/>
      <c r="HLR457" s="67"/>
      <c r="HLS457" s="67"/>
      <c r="HLT457" s="67"/>
      <c r="HLU457" s="67"/>
      <c r="HLV457" s="67"/>
      <c r="HLW457" s="67"/>
      <c r="HLX457" s="67"/>
      <c r="HLY457" s="67"/>
      <c r="HLZ457" s="67"/>
      <c r="HMA457" s="67"/>
      <c r="HMB457" s="67"/>
      <c r="HMC457" s="67"/>
      <c r="HMD457" s="67"/>
      <c r="HME457" s="67"/>
      <c r="HMF457" s="67"/>
      <c r="HMG457" s="67"/>
      <c r="HMH457" s="67"/>
      <c r="HMI457" s="67"/>
      <c r="HMJ457" s="67"/>
      <c r="HMK457" s="67"/>
      <c r="HML457" s="67"/>
      <c r="HMM457" s="67"/>
      <c r="HMN457" s="67"/>
      <c r="HMO457" s="67"/>
      <c r="HMP457" s="67"/>
      <c r="HMQ457" s="67"/>
      <c r="HMR457" s="67"/>
      <c r="HMS457" s="67"/>
      <c r="HMT457" s="67"/>
      <c r="HMU457" s="67"/>
      <c r="HMV457" s="67"/>
      <c r="HMW457" s="67"/>
      <c r="HMX457" s="67"/>
      <c r="HMY457" s="67"/>
      <c r="HMZ457" s="67"/>
      <c r="HNA457" s="67"/>
      <c r="HNB457" s="67"/>
      <c r="HNC457" s="67"/>
      <c r="HND457" s="67"/>
      <c r="HNE457" s="67"/>
      <c r="HNF457" s="67"/>
      <c r="HNG457" s="67"/>
      <c r="HNH457" s="67"/>
      <c r="HNI457" s="67"/>
      <c r="HNJ457" s="67"/>
      <c r="HNK457" s="67"/>
      <c r="HNL457" s="67"/>
      <c r="HNM457" s="67"/>
      <c r="HNN457" s="67"/>
      <c r="HNO457" s="67"/>
      <c r="HNP457" s="67"/>
      <c r="HNQ457" s="67"/>
      <c r="HNR457" s="67"/>
      <c r="HNS457" s="67"/>
      <c r="HNT457" s="67"/>
      <c r="HNU457" s="67"/>
      <c r="HNV457" s="67"/>
      <c r="HNW457" s="67"/>
      <c r="HNX457" s="67"/>
      <c r="HNY457" s="67"/>
      <c r="HNZ457" s="67"/>
      <c r="HOA457" s="67"/>
      <c r="HOB457" s="67"/>
      <c r="HOC457" s="67"/>
      <c r="HOD457" s="67"/>
      <c r="HOE457" s="67"/>
      <c r="HOF457" s="67"/>
      <c r="HOG457" s="67"/>
      <c r="HOH457" s="67"/>
      <c r="HOI457" s="67"/>
      <c r="HOJ457" s="67"/>
      <c r="HOK457" s="67"/>
      <c r="HOL457" s="67"/>
      <c r="HOM457" s="67"/>
      <c r="HON457" s="67"/>
      <c r="HOO457" s="67"/>
      <c r="HOP457" s="67"/>
      <c r="HOQ457" s="67"/>
      <c r="HOR457" s="67"/>
      <c r="HOS457" s="67"/>
      <c r="HOT457" s="67"/>
      <c r="HOU457" s="67"/>
      <c r="HOV457" s="67"/>
      <c r="HOW457" s="67"/>
      <c r="HOX457" s="67"/>
      <c r="HOY457" s="67"/>
      <c r="HOZ457" s="67"/>
      <c r="HPA457" s="67"/>
      <c r="HPB457" s="67"/>
      <c r="HPC457" s="67"/>
      <c r="HPD457" s="67"/>
      <c r="HPE457" s="67"/>
      <c r="HPF457" s="67"/>
      <c r="HPG457" s="67"/>
      <c r="HPH457" s="67"/>
      <c r="HPI457" s="67"/>
      <c r="HPJ457" s="67"/>
      <c r="HPK457" s="67"/>
      <c r="HPL457" s="67"/>
      <c r="HPM457" s="67"/>
      <c r="HPN457" s="67"/>
      <c r="HPO457" s="67"/>
      <c r="HPP457" s="67"/>
      <c r="HPQ457" s="67"/>
      <c r="HPR457" s="67"/>
      <c r="HPS457" s="67"/>
      <c r="HPT457" s="67"/>
      <c r="HPU457" s="67"/>
      <c r="HPV457" s="67"/>
      <c r="HPW457" s="67"/>
      <c r="HPX457" s="67"/>
      <c r="HPY457" s="67"/>
      <c r="HPZ457" s="67"/>
      <c r="HQA457" s="67"/>
      <c r="HQB457" s="67"/>
      <c r="HQC457" s="67"/>
      <c r="HQD457" s="67"/>
      <c r="HQE457" s="67"/>
      <c r="HQF457" s="67"/>
      <c r="HQG457" s="67"/>
      <c r="HQH457" s="67"/>
      <c r="HQI457" s="67"/>
      <c r="HQJ457" s="67"/>
      <c r="HQK457" s="67"/>
      <c r="HQL457" s="67"/>
      <c r="HQM457" s="67"/>
      <c r="HQN457" s="67"/>
      <c r="HQO457" s="67"/>
      <c r="HQP457" s="67"/>
      <c r="HQQ457" s="67"/>
      <c r="HQR457" s="67"/>
      <c r="HQS457" s="67"/>
      <c r="HQT457" s="67"/>
      <c r="HQU457" s="67"/>
      <c r="HQV457" s="67"/>
      <c r="HQW457" s="67"/>
      <c r="HQX457" s="67"/>
      <c r="HQY457" s="67"/>
      <c r="HQZ457" s="67"/>
      <c r="HRA457" s="67"/>
      <c r="HRB457" s="67"/>
      <c r="HRC457" s="67"/>
      <c r="HRD457" s="67"/>
      <c r="HRE457" s="67"/>
      <c r="HRF457" s="67"/>
      <c r="HRG457" s="67"/>
      <c r="HRH457" s="67"/>
      <c r="HRI457" s="67"/>
      <c r="HRJ457" s="67"/>
      <c r="HRK457" s="67"/>
      <c r="HRL457" s="67"/>
      <c r="HRM457" s="67"/>
      <c r="HRN457" s="67"/>
      <c r="HRO457" s="67"/>
      <c r="HRP457" s="67"/>
      <c r="HRQ457" s="67"/>
      <c r="HRR457" s="67"/>
      <c r="HRS457" s="67"/>
      <c r="HRT457" s="67"/>
      <c r="HRU457" s="67"/>
      <c r="HRV457" s="67"/>
      <c r="HRW457" s="67"/>
      <c r="HRX457" s="67"/>
      <c r="HRY457" s="67"/>
      <c r="HRZ457" s="67"/>
      <c r="HSA457" s="67"/>
      <c r="HSB457" s="67"/>
      <c r="HSC457" s="67"/>
      <c r="HSD457" s="67"/>
      <c r="HSE457" s="67"/>
      <c r="HSF457" s="67"/>
      <c r="HSG457" s="67"/>
      <c r="HSH457" s="67"/>
      <c r="HSI457" s="67"/>
      <c r="HSJ457" s="67"/>
      <c r="HSK457" s="67"/>
      <c r="HSL457" s="67"/>
      <c r="HSM457" s="67"/>
      <c r="HSN457" s="67"/>
      <c r="HSO457" s="67"/>
      <c r="HSP457" s="67"/>
      <c r="HSQ457" s="67"/>
      <c r="HSR457" s="67"/>
      <c r="HSS457" s="67"/>
      <c r="HST457" s="67"/>
      <c r="HSU457" s="67"/>
      <c r="HSV457" s="67"/>
      <c r="HSW457" s="67"/>
      <c r="HSX457" s="67"/>
      <c r="HSY457" s="67"/>
      <c r="HSZ457" s="67"/>
      <c r="HTA457" s="67"/>
      <c r="HTB457" s="67"/>
      <c r="HTC457" s="67"/>
      <c r="HTD457" s="67"/>
      <c r="HTE457" s="67"/>
      <c r="HTF457" s="67"/>
      <c r="HTG457" s="67"/>
      <c r="HTH457" s="67"/>
      <c r="HTI457" s="67"/>
      <c r="HTJ457" s="67"/>
      <c r="HTK457" s="67"/>
      <c r="HTL457" s="67"/>
      <c r="HTM457" s="67"/>
      <c r="HTN457" s="67"/>
      <c r="HTO457" s="67"/>
      <c r="HTP457" s="67"/>
      <c r="HTQ457" s="67"/>
      <c r="HTR457" s="67"/>
      <c r="HTS457" s="67"/>
      <c r="HTT457" s="67"/>
      <c r="HTU457" s="67"/>
      <c r="HTV457" s="67"/>
      <c r="HTW457" s="67"/>
      <c r="HTX457" s="67"/>
      <c r="HTY457" s="67"/>
      <c r="HTZ457" s="67"/>
      <c r="HUA457" s="67"/>
      <c r="HUB457" s="67"/>
      <c r="HUC457" s="67"/>
      <c r="HUD457" s="67"/>
      <c r="HUE457" s="67"/>
      <c r="HUF457" s="67"/>
      <c r="HUG457" s="67"/>
      <c r="HUH457" s="67"/>
      <c r="HUI457" s="67"/>
      <c r="HUJ457" s="67"/>
      <c r="HUK457" s="67"/>
      <c r="HUL457" s="67"/>
      <c r="HUM457" s="67"/>
      <c r="HUN457" s="67"/>
      <c r="HUO457" s="67"/>
      <c r="HUP457" s="67"/>
      <c r="HUQ457" s="67"/>
      <c r="HUR457" s="67"/>
      <c r="HUS457" s="67"/>
      <c r="HUT457" s="67"/>
      <c r="HUU457" s="67"/>
      <c r="HUV457" s="67"/>
      <c r="HUW457" s="67"/>
      <c r="HUX457" s="67"/>
      <c r="HUY457" s="67"/>
      <c r="HUZ457" s="67"/>
      <c r="HVA457" s="67"/>
      <c r="HVB457" s="67"/>
      <c r="HVC457" s="67"/>
      <c r="HVD457" s="67"/>
      <c r="HVE457" s="67"/>
      <c r="HVF457" s="67"/>
      <c r="HVG457" s="67"/>
      <c r="HVH457" s="67"/>
      <c r="HVI457" s="67"/>
      <c r="HVJ457" s="67"/>
      <c r="HVK457" s="67"/>
      <c r="HVL457" s="67"/>
      <c r="HVM457" s="67"/>
      <c r="HVN457" s="67"/>
      <c r="HVO457" s="67"/>
      <c r="HVP457" s="67"/>
      <c r="HVQ457" s="67"/>
      <c r="HVR457" s="67"/>
      <c r="HVS457" s="67"/>
      <c r="HVT457" s="67"/>
      <c r="HVU457" s="67"/>
      <c r="HVV457" s="67"/>
      <c r="HVW457" s="67"/>
      <c r="HVX457" s="67"/>
      <c r="HVY457" s="67"/>
      <c r="HVZ457" s="67"/>
      <c r="HWA457" s="67"/>
      <c r="HWB457" s="67"/>
      <c r="HWC457" s="67"/>
      <c r="HWD457" s="67"/>
      <c r="HWE457" s="67"/>
      <c r="HWF457" s="67"/>
      <c r="HWG457" s="67"/>
      <c r="HWH457" s="67"/>
      <c r="HWI457" s="67"/>
      <c r="HWJ457" s="67"/>
      <c r="HWK457" s="67"/>
      <c r="HWL457" s="67"/>
      <c r="HWM457" s="67"/>
      <c r="HWN457" s="67"/>
      <c r="HWO457" s="67"/>
      <c r="HWP457" s="67"/>
      <c r="HWQ457" s="67"/>
      <c r="HWR457" s="67"/>
      <c r="HWS457" s="67"/>
      <c r="HWT457" s="67"/>
      <c r="HWU457" s="67"/>
      <c r="HWV457" s="67"/>
      <c r="HWW457" s="67"/>
      <c r="HWX457" s="67"/>
      <c r="HWY457" s="67"/>
      <c r="HWZ457" s="67"/>
      <c r="HXA457" s="67"/>
      <c r="HXB457" s="67"/>
      <c r="HXC457" s="67"/>
      <c r="HXD457" s="67"/>
      <c r="HXE457" s="67"/>
      <c r="HXF457" s="67"/>
      <c r="HXG457" s="67"/>
      <c r="HXH457" s="67"/>
      <c r="HXI457" s="67"/>
      <c r="HXJ457" s="67"/>
      <c r="HXK457" s="67"/>
      <c r="HXL457" s="67"/>
      <c r="HXM457" s="67"/>
      <c r="HXN457" s="67"/>
      <c r="HXO457" s="67"/>
      <c r="HXP457" s="67"/>
      <c r="HXQ457" s="67"/>
      <c r="HXR457" s="67"/>
      <c r="HXS457" s="67"/>
      <c r="HXT457" s="67"/>
      <c r="HXU457" s="67"/>
      <c r="HXV457" s="67"/>
      <c r="HXW457" s="67"/>
      <c r="HXX457" s="67"/>
      <c r="HXY457" s="67"/>
      <c r="HXZ457" s="67"/>
      <c r="HYA457" s="67"/>
      <c r="HYB457" s="67"/>
      <c r="HYC457" s="67"/>
      <c r="HYD457" s="67"/>
      <c r="HYE457" s="67"/>
      <c r="HYF457" s="67"/>
      <c r="HYG457" s="67"/>
      <c r="HYH457" s="67"/>
      <c r="HYI457" s="67"/>
      <c r="HYJ457" s="67"/>
      <c r="HYK457" s="67"/>
      <c r="HYL457" s="67"/>
      <c r="HYM457" s="67"/>
      <c r="HYN457" s="67"/>
      <c r="HYO457" s="67"/>
      <c r="HYP457" s="67"/>
      <c r="HYQ457" s="67"/>
      <c r="HYR457" s="67"/>
      <c r="HYS457" s="67"/>
      <c r="HYT457" s="67"/>
      <c r="HYU457" s="67"/>
      <c r="HYV457" s="67"/>
      <c r="HYW457" s="67"/>
      <c r="HYX457" s="67"/>
      <c r="HYY457" s="67"/>
      <c r="HYZ457" s="67"/>
      <c r="HZA457" s="67"/>
      <c r="HZB457" s="67"/>
      <c r="HZC457" s="67"/>
      <c r="HZD457" s="67"/>
      <c r="HZE457" s="67"/>
      <c r="HZF457" s="67"/>
      <c r="HZG457" s="67"/>
      <c r="HZH457" s="67"/>
      <c r="HZI457" s="67"/>
      <c r="HZJ457" s="67"/>
      <c r="HZK457" s="67"/>
      <c r="HZL457" s="67"/>
      <c r="HZM457" s="67"/>
      <c r="HZN457" s="67"/>
      <c r="HZO457" s="67"/>
      <c r="HZP457" s="67"/>
      <c r="HZQ457" s="67"/>
      <c r="HZR457" s="67"/>
      <c r="HZS457" s="67"/>
      <c r="HZT457" s="67"/>
      <c r="HZU457" s="67"/>
      <c r="HZV457" s="67"/>
      <c r="HZW457" s="67"/>
      <c r="HZX457" s="67"/>
      <c r="HZY457" s="67"/>
      <c r="HZZ457" s="67"/>
      <c r="IAA457" s="67"/>
      <c r="IAB457" s="67"/>
      <c r="IAC457" s="67"/>
      <c r="IAD457" s="67"/>
      <c r="IAE457" s="67"/>
      <c r="IAF457" s="67"/>
      <c r="IAG457" s="67"/>
      <c r="IAH457" s="67"/>
      <c r="IAI457" s="67"/>
      <c r="IAJ457" s="67"/>
      <c r="IAK457" s="67"/>
      <c r="IAL457" s="67"/>
      <c r="IAM457" s="67"/>
      <c r="IAN457" s="67"/>
      <c r="IAO457" s="67"/>
      <c r="IAP457" s="67"/>
      <c r="IAQ457" s="67"/>
      <c r="IAR457" s="67"/>
      <c r="IAS457" s="67"/>
      <c r="IAT457" s="67"/>
      <c r="IAU457" s="67"/>
      <c r="IAV457" s="67"/>
      <c r="IAW457" s="67"/>
      <c r="IAX457" s="67"/>
      <c r="IAY457" s="67"/>
      <c r="IAZ457" s="67"/>
      <c r="IBA457" s="67"/>
      <c r="IBB457" s="67"/>
      <c r="IBC457" s="67"/>
      <c r="IBD457" s="67"/>
      <c r="IBE457" s="67"/>
      <c r="IBF457" s="67"/>
      <c r="IBG457" s="67"/>
      <c r="IBH457" s="67"/>
      <c r="IBI457" s="67"/>
      <c r="IBJ457" s="67"/>
      <c r="IBK457" s="67"/>
      <c r="IBL457" s="67"/>
      <c r="IBM457" s="67"/>
      <c r="IBN457" s="67"/>
      <c r="IBO457" s="67"/>
      <c r="IBP457" s="67"/>
      <c r="IBQ457" s="67"/>
      <c r="IBR457" s="67"/>
      <c r="IBS457" s="67"/>
      <c r="IBT457" s="67"/>
      <c r="IBU457" s="67"/>
      <c r="IBV457" s="67"/>
      <c r="IBW457" s="67"/>
      <c r="IBX457" s="67"/>
      <c r="IBY457" s="67"/>
      <c r="IBZ457" s="67"/>
      <c r="ICA457" s="67"/>
      <c r="ICB457" s="67"/>
      <c r="ICC457" s="67"/>
      <c r="ICD457" s="67"/>
      <c r="ICE457" s="67"/>
      <c r="ICF457" s="67"/>
      <c r="ICG457" s="67"/>
      <c r="ICH457" s="67"/>
      <c r="ICI457" s="67"/>
      <c r="ICJ457" s="67"/>
      <c r="ICK457" s="67"/>
      <c r="ICL457" s="67"/>
      <c r="ICM457" s="67"/>
      <c r="ICN457" s="67"/>
      <c r="ICO457" s="67"/>
      <c r="ICP457" s="67"/>
      <c r="ICQ457" s="67"/>
      <c r="ICR457" s="67"/>
      <c r="ICS457" s="67"/>
      <c r="ICT457" s="67"/>
      <c r="ICU457" s="67"/>
      <c r="ICV457" s="67"/>
      <c r="ICW457" s="67"/>
      <c r="ICX457" s="67"/>
      <c r="ICY457" s="67"/>
      <c r="ICZ457" s="67"/>
      <c r="IDA457" s="67"/>
      <c r="IDB457" s="67"/>
      <c r="IDC457" s="67"/>
      <c r="IDD457" s="67"/>
      <c r="IDE457" s="67"/>
      <c r="IDF457" s="67"/>
      <c r="IDG457" s="67"/>
      <c r="IDH457" s="67"/>
      <c r="IDI457" s="67"/>
      <c r="IDJ457" s="67"/>
      <c r="IDK457" s="67"/>
      <c r="IDL457" s="67"/>
      <c r="IDM457" s="67"/>
      <c r="IDN457" s="67"/>
      <c r="IDO457" s="67"/>
      <c r="IDP457" s="67"/>
      <c r="IDQ457" s="67"/>
      <c r="IDR457" s="67"/>
      <c r="IDS457" s="67"/>
      <c r="IDT457" s="67"/>
      <c r="IDU457" s="67"/>
      <c r="IDV457" s="67"/>
      <c r="IDW457" s="67"/>
      <c r="IDX457" s="67"/>
      <c r="IDY457" s="67"/>
      <c r="IDZ457" s="67"/>
      <c r="IEA457" s="67"/>
      <c r="IEB457" s="67"/>
      <c r="IEC457" s="67"/>
      <c r="IED457" s="67"/>
      <c r="IEE457" s="67"/>
      <c r="IEF457" s="67"/>
      <c r="IEG457" s="67"/>
      <c r="IEH457" s="67"/>
      <c r="IEI457" s="67"/>
      <c r="IEJ457" s="67"/>
      <c r="IEK457" s="67"/>
      <c r="IEL457" s="67"/>
      <c r="IEM457" s="67"/>
      <c r="IEN457" s="67"/>
      <c r="IEO457" s="67"/>
      <c r="IEP457" s="67"/>
      <c r="IEQ457" s="67"/>
      <c r="IER457" s="67"/>
      <c r="IES457" s="67"/>
      <c r="IET457" s="67"/>
      <c r="IEU457" s="67"/>
      <c r="IEV457" s="67"/>
      <c r="IEW457" s="67"/>
      <c r="IEX457" s="67"/>
      <c r="IEY457" s="67"/>
      <c r="IEZ457" s="67"/>
      <c r="IFA457" s="67"/>
      <c r="IFB457" s="67"/>
      <c r="IFC457" s="67"/>
      <c r="IFD457" s="67"/>
      <c r="IFE457" s="67"/>
      <c r="IFF457" s="67"/>
      <c r="IFG457" s="67"/>
      <c r="IFH457" s="67"/>
      <c r="IFI457" s="67"/>
      <c r="IFJ457" s="67"/>
      <c r="IFK457" s="67"/>
      <c r="IFL457" s="67"/>
      <c r="IFM457" s="67"/>
      <c r="IFN457" s="67"/>
      <c r="IFO457" s="67"/>
      <c r="IFP457" s="67"/>
      <c r="IFQ457" s="67"/>
      <c r="IFR457" s="67"/>
      <c r="IFS457" s="67"/>
      <c r="IFT457" s="67"/>
      <c r="IFU457" s="67"/>
      <c r="IFV457" s="67"/>
      <c r="IFW457" s="67"/>
      <c r="IFX457" s="67"/>
      <c r="IFY457" s="67"/>
      <c r="IFZ457" s="67"/>
      <c r="IGA457" s="67"/>
      <c r="IGB457" s="67"/>
      <c r="IGC457" s="67"/>
      <c r="IGD457" s="67"/>
      <c r="IGE457" s="67"/>
      <c r="IGF457" s="67"/>
      <c r="IGG457" s="67"/>
      <c r="IGH457" s="67"/>
      <c r="IGI457" s="67"/>
      <c r="IGJ457" s="67"/>
      <c r="IGK457" s="67"/>
      <c r="IGL457" s="67"/>
      <c r="IGM457" s="67"/>
      <c r="IGN457" s="67"/>
      <c r="IGO457" s="67"/>
      <c r="IGP457" s="67"/>
      <c r="IGQ457" s="67"/>
      <c r="IGR457" s="67"/>
      <c r="IGS457" s="67"/>
      <c r="IGT457" s="67"/>
      <c r="IGU457" s="67"/>
      <c r="IGV457" s="67"/>
      <c r="IGW457" s="67"/>
      <c r="IGX457" s="67"/>
      <c r="IGY457" s="67"/>
      <c r="IGZ457" s="67"/>
      <c r="IHA457" s="67"/>
      <c r="IHB457" s="67"/>
      <c r="IHC457" s="67"/>
      <c r="IHD457" s="67"/>
      <c r="IHE457" s="67"/>
      <c r="IHF457" s="67"/>
      <c r="IHG457" s="67"/>
      <c r="IHH457" s="67"/>
      <c r="IHI457" s="67"/>
      <c r="IHJ457" s="67"/>
      <c r="IHK457" s="67"/>
      <c r="IHL457" s="67"/>
      <c r="IHM457" s="67"/>
      <c r="IHN457" s="67"/>
      <c r="IHO457" s="67"/>
      <c r="IHP457" s="67"/>
      <c r="IHQ457" s="67"/>
      <c r="IHR457" s="67"/>
      <c r="IHS457" s="67"/>
      <c r="IHT457" s="67"/>
      <c r="IHU457" s="67"/>
      <c r="IHV457" s="67"/>
      <c r="IHW457" s="67"/>
      <c r="IHX457" s="67"/>
      <c r="IHY457" s="67"/>
      <c r="IHZ457" s="67"/>
      <c r="IIA457" s="67"/>
      <c r="IIB457" s="67"/>
      <c r="IIC457" s="67"/>
      <c r="IID457" s="67"/>
      <c r="IIE457" s="67"/>
      <c r="IIF457" s="67"/>
      <c r="IIG457" s="67"/>
      <c r="IIH457" s="67"/>
      <c r="III457" s="67"/>
      <c r="IIJ457" s="67"/>
      <c r="IIK457" s="67"/>
      <c r="IIL457" s="67"/>
      <c r="IIM457" s="67"/>
      <c r="IIN457" s="67"/>
      <c r="IIO457" s="67"/>
      <c r="IIP457" s="67"/>
      <c r="IIQ457" s="67"/>
      <c r="IIR457" s="67"/>
      <c r="IIS457" s="67"/>
      <c r="IIT457" s="67"/>
      <c r="IIU457" s="67"/>
      <c r="IIV457" s="67"/>
      <c r="IIW457" s="67"/>
      <c r="IIX457" s="67"/>
      <c r="IIY457" s="67"/>
      <c r="IIZ457" s="67"/>
      <c r="IJA457" s="67"/>
      <c r="IJB457" s="67"/>
      <c r="IJC457" s="67"/>
      <c r="IJD457" s="67"/>
      <c r="IJE457" s="67"/>
      <c r="IJF457" s="67"/>
      <c r="IJG457" s="67"/>
      <c r="IJH457" s="67"/>
      <c r="IJI457" s="67"/>
      <c r="IJJ457" s="67"/>
      <c r="IJK457" s="67"/>
      <c r="IJL457" s="67"/>
      <c r="IJM457" s="67"/>
      <c r="IJN457" s="67"/>
      <c r="IJO457" s="67"/>
      <c r="IJP457" s="67"/>
      <c r="IJQ457" s="67"/>
      <c r="IJR457" s="67"/>
      <c r="IJS457" s="67"/>
      <c r="IJT457" s="67"/>
      <c r="IJU457" s="67"/>
      <c r="IJV457" s="67"/>
      <c r="IJW457" s="67"/>
      <c r="IJX457" s="67"/>
      <c r="IJY457" s="67"/>
      <c r="IJZ457" s="67"/>
      <c r="IKA457" s="67"/>
      <c r="IKB457" s="67"/>
      <c r="IKC457" s="67"/>
      <c r="IKD457" s="67"/>
      <c r="IKE457" s="67"/>
      <c r="IKF457" s="67"/>
      <c r="IKG457" s="67"/>
      <c r="IKH457" s="67"/>
      <c r="IKI457" s="67"/>
      <c r="IKJ457" s="67"/>
      <c r="IKK457" s="67"/>
      <c r="IKL457" s="67"/>
      <c r="IKM457" s="67"/>
      <c r="IKN457" s="67"/>
      <c r="IKO457" s="67"/>
      <c r="IKP457" s="67"/>
      <c r="IKQ457" s="67"/>
      <c r="IKR457" s="67"/>
      <c r="IKS457" s="67"/>
      <c r="IKT457" s="67"/>
      <c r="IKU457" s="67"/>
      <c r="IKV457" s="67"/>
      <c r="IKW457" s="67"/>
      <c r="IKX457" s="67"/>
      <c r="IKY457" s="67"/>
      <c r="IKZ457" s="67"/>
      <c r="ILA457" s="67"/>
      <c r="ILB457" s="67"/>
      <c r="ILC457" s="67"/>
      <c r="ILD457" s="67"/>
      <c r="ILE457" s="67"/>
      <c r="ILF457" s="67"/>
      <c r="ILG457" s="67"/>
      <c r="ILH457" s="67"/>
      <c r="ILI457" s="67"/>
      <c r="ILJ457" s="67"/>
      <c r="ILK457" s="67"/>
      <c r="ILL457" s="67"/>
      <c r="ILM457" s="67"/>
      <c r="ILN457" s="67"/>
      <c r="ILO457" s="67"/>
      <c r="ILP457" s="67"/>
      <c r="ILQ457" s="67"/>
      <c r="ILR457" s="67"/>
      <c r="ILS457" s="67"/>
      <c r="ILT457" s="67"/>
      <c r="ILU457" s="67"/>
      <c r="ILV457" s="67"/>
      <c r="ILW457" s="67"/>
      <c r="ILX457" s="67"/>
      <c r="ILY457" s="67"/>
      <c r="ILZ457" s="67"/>
      <c r="IMA457" s="67"/>
      <c r="IMB457" s="67"/>
      <c r="IMC457" s="67"/>
      <c r="IMD457" s="67"/>
      <c r="IME457" s="67"/>
      <c r="IMF457" s="67"/>
      <c r="IMG457" s="67"/>
      <c r="IMH457" s="67"/>
      <c r="IMI457" s="67"/>
      <c r="IMJ457" s="67"/>
      <c r="IMK457" s="67"/>
      <c r="IML457" s="67"/>
      <c r="IMM457" s="67"/>
      <c r="IMN457" s="67"/>
      <c r="IMO457" s="67"/>
      <c r="IMP457" s="67"/>
      <c r="IMQ457" s="67"/>
      <c r="IMR457" s="67"/>
      <c r="IMS457" s="67"/>
      <c r="IMT457" s="67"/>
      <c r="IMU457" s="67"/>
      <c r="IMV457" s="67"/>
      <c r="IMW457" s="67"/>
      <c r="IMX457" s="67"/>
      <c r="IMY457" s="67"/>
      <c r="IMZ457" s="67"/>
      <c r="INA457" s="67"/>
      <c r="INB457" s="67"/>
      <c r="INC457" s="67"/>
      <c r="IND457" s="67"/>
      <c r="INE457" s="67"/>
      <c r="INF457" s="67"/>
      <c r="ING457" s="67"/>
      <c r="INH457" s="67"/>
      <c r="INI457" s="67"/>
      <c r="INJ457" s="67"/>
      <c r="INK457" s="67"/>
      <c r="INL457" s="67"/>
      <c r="INM457" s="67"/>
      <c r="INN457" s="67"/>
      <c r="INO457" s="67"/>
      <c r="INP457" s="67"/>
      <c r="INQ457" s="67"/>
      <c r="INR457" s="67"/>
      <c r="INS457" s="67"/>
      <c r="INT457" s="67"/>
      <c r="INU457" s="67"/>
      <c r="INV457" s="67"/>
      <c r="INW457" s="67"/>
      <c r="INX457" s="67"/>
      <c r="INY457" s="67"/>
      <c r="INZ457" s="67"/>
      <c r="IOA457" s="67"/>
      <c r="IOB457" s="67"/>
      <c r="IOC457" s="67"/>
      <c r="IOD457" s="67"/>
      <c r="IOE457" s="67"/>
      <c r="IOF457" s="67"/>
      <c r="IOG457" s="67"/>
      <c r="IOH457" s="67"/>
      <c r="IOI457" s="67"/>
      <c r="IOJ457" s="67"/>
      <c r="IOK457" s="67"/>
      <c r="IOL457" s="67"/>
      <c r="IOM457" s="67"/>
      <c r="ION457" s="67"/>
      <c r="IOO457" s="67"/>
      <c r="IOP457" s="67"/>
      <c r="IOQ457" s="67"/>
      <c r="IOR457" s="67"/>
      <c r="IOS457" s="67"/>
      <c r="IOT457" s="67"/>
      <c r="IOU457" s="67"/>
      <c r="IOV457" s="67"/>
      <c r="IOW457" s="67"/>
      <c r="IOX457" s="67"/>
      <c r="IOY457" s="67"/>
      <c r="IOZ457" s="67"/>
      <c r="IPA457" s="67"/>
      <c r="IPB457" s="67"/>
      <c r="IPC457" s="67"/>
      <c r="IPD457" s="67"/>
      <c r="IPE457" s="67"/>
      <c r="IPF457" s="67"/>
      <c r="IPG457" s="67"/>
      <c r="IPH457" s="67"/>
      <c r="IPI457" s="67"/>
      <c r="IPJ457" s="67"/>
      <c r="IPK457" s="67"/>
      <c r="IPL457" s="67"/>
      <c r="IPM457" s="67"/>
      <c r="IPN457" s="67"/>
      <c r="IPO457" s="67"/>
      <c r="IPP457" s="67"/>
      <c r="IPQ457" s="67"/>
      <c r="IPR457" s="67"/>
      <c r="IPS457" s="67"/>
      <c r="IPT457" s="67"/>
      <c r="IPU457" s="67"/>
      <c r="IPV457" s="67"/>
      <c r="IPW457" s="67"/>
      <c r="IPX457" s="67"/>
      <c r="IPY457" s="67"/>
      <c r="IPZ457" s="67"/>
      <c r="IQA457" s="67"/>
      <c r="IQB457" s="67"/>
      <c r="IQC457" s="67"/>
      <c r="IQD457" s="67"/>
      <c r="IQE457" s="67"/>
      <c r="IQF457" s="67"/>
      <c r="IQG457" s="67"/>
      <c r="IQH457" s="67"/>
      <c r="IQI457" s="67"/>
      <c r="IQJ457" s="67"/>
      <c r="IQK457" s="67"/>
      <c r="IQL457" s="67"/>
      <c r="IQM457" s="67"/>
      <c r="IQN457" s="67"/>
      <c r="IQO457" s="67"/>
      <c r="IQP457" s="67"/>
      <c r="IQQ457" s="67"/>
      <c r="IQR457" s="67"/>
      <c r="IQS457" s="67"/>
      <c r="IQT457" s="67"/>
      <c r="IQU457" s="67"/>
      <c r="IQV457" s="67"/>
      <c r="IQW457" s="67"/>
      <c r="IQX457" s="67"/>
      <c r="IQY457" s="67"/>
      <c r="IQZ457" s="67"/>
      <c r="IRA457" s="67"/>
      <c r="IRB457" s="67"/>
      <c r="IRC457" s="67"/>
      <c r="IRD457" s="67"/>
      <c r="IRE457" s="67"/>
      <c r="IRF457" s="67"/>
      <c r="IRG457" s="67"/>
      <c r="IRH457" s="67"/>
      <c r="IRI457" s="67"/>
      <c r="IRJ457" s="67"/>
      <c r="IRK457" s="67"/>
      <c r="IRL457" s="67"/>
      <c r="IRM457" s="67"/>
      <c r="IRN457" s="67"/>
      <c r="IRO457" s="67"/>
      <c r="IRP457" s="67"/>
      <c r="IRQ457" s="67"/>
      <c r="IRR457" s="67"/>
      <c r="IRS457" s="67"/>
      <c r="IRT457" s="67"/>
      <c r="IRU457" s="67"/>
      <c r="IRV457" s="67"/>
      <c r="IRW457" s="67"/>
      <c r="IRX457" s="67"/>
      <c r="IRY457" s="67"/>
      <c r="IRZ457" s="67"/>
      <c r="ISA457" s="67"/>
      <c r="ISB457" s="67"/>
      <c r="ISC457" s="67"/>
      <c r="ISD457" s="67"/>
      <c r="ISE457" s="67"/>
      <c r="ISF457" s="67"/>
      <c r="ISG457" s="67"/>
      <c r="ISH457" s="67"/>
      <c r="ISI457" s="67"/>
      <c r="ISJ457" s="67"/>
      <c r="ISK457" s="67"/>
      <c r="ISL457" s="67"/>
      <c r="ISM457" s="67"/>
      <c r="ISN457" s="67"/>
      <c r="ISO457" s="67"/>
      <c r="ISP457" s="67"/>
      <c r="ISQ457" s="67"/>
      <c r="ISR457" s="67"/>
      <c r="ISS457" s="67"/>
      <c r="IST457" s="67"/>
      <c r="ISU457" s="67"/>
      <c r="ISV457" s="67"/>
      <c r="ISW457" s="67"/>
      <c r="ISX457" s="67"/>
      <c r="ISY457" s="67"/>
      <c r="ISZ457" s="67"/>
      <c r="ITA457" s="67"/>
      <c r="ITB457" s="67"/>
      <c r="ITC457" s="67"/>
      <c r="ITD457" s="67"/>
      <c r="ITE457" s="67"/>
      <c r="ITF457" s="67"/>
      <c r="ITG457" s="67"/>
      <c r="ITH457" s="67"/>
      <c r="ITI457" s="67"/>
      <c r="ITJ457" s="67"/>
      <c r="ITK457" s="67"/>
      <c r="ITL457" s="67"/>
      <c r="ITM457" s="67"/>
      <c r="ITN457" s="67"/>
      <c r="ITO457" s="67"/>
      <c r="ITP457" s="67"/>
      <c r="ITQ457" s="67"/>
      <c r="ITR457" s="67"/>
      <c r="ITS457" s="67"/>
      <c r="ITT457" s="67"/>
      <c r="ITU457" s="67"/>
      <c r="ITV457" s="67"/>
      <c r="ITW457" s="67"/>
      <c r="ITX457" s="67"/>
      <c r="ITY457" s="67"/>
      <c r="ITZ457" s="67"/>
      <c r="IUA457" s="67"/>
      <c r="IUB457" s="67"/>
      <c r="IUC457" s="67"/>
      <c r="IUD457" s="67"/>
      <c r="IUE457" s="67"/>
      <c r="IUF457" s="67"/>
      <c r="IUG457" s="67"/>
      <c r="IUH457" s="67"/>
      <c r="IUI457" s="67"/>
      <c r="IUJ457" s="67"/>
      <c r="IUK457" s="67"/>
      <c r="IUL457" s="67"/>
      <c r="IUM457" s="67"/>
      <c r="IUN457" s="67"/>
      <c r="IUO457" s="67"/>
      <c r="IUP457" s="67"/>
      <c r="IUQ457" s="67"/>
      <c r="IUR457" s="67"/>
      <c r="IUS457" s="67"/>
      <c r="IUT457" s="67"/>
      <c r="IUU457" s="67"/>
      <c r="IUV457" s="67"/>
      <c r="IUW457" s="67"/>
      <c r="IUX457" s="67"/>
      <c r="IUY457" s="67"/>
      <c r="IUZ457" s="67"/>
      <c r="IVA457" s="67"/>
      <c r="IVB457" s="67"/>
      <c r="IVC457" s="67"/>
      <c r="IVD457" s="67"/>
      <c r="IVE457" s="67"/>
      <c r="IVF457" s="67"/>
      <c r="IVG457" s="67"/>
      <c r="IVH457" s="67"/>
      <c r="IVI457" s="67"/>
      <c r="IVJ457" s="67"/>
      <c r="IVK457" s="67"/>
      <c r="IVL457" s="67"/>
      <c r="IVM457" s="67"/>
      <c r="IVN457" s="67"/>
      <c r="IVO457" s="67"/>
      <c r="IVP457" s="67"/>
      <c r="IVQ457" s="67"/>
      <c r="IVR457" s="67"/>
      <c r="IVS457" s="67"/>
      <c r="IVT457" s="67"/>
      <c r="IVU457" s="67"/>
      <c r="IVV457" s="67"/>
      <c r="IVW457" s="67"/>
      <c r="IVX457" s="67"/>
      <c r="IVY457" s="67"/>
      <c r="IVZ457" s="67"/>
      <c r="IWA457" s="67"/>
      <c r="IWB457" s="67"/>
      <c r="IWC457" s="67"/>
      <c r="IWD457" s="67"/>
      <c r="IWE457" s="67"/>
      <c r="IWF457" s="67"/>
      <c r="IWG457" s="67"/>
      <c r="IWH457" s="67"/>
      <c r="IWI457" s="67"/>
      <c r="IWJ457" s="67"/>
      <c r="IWK457" s="67"/>
      <c r="IWL457" s="67"/>
      <c r="IWM457" s="67"/>
      <c r="IWN457" s="67"/>
      <c r="IWO457" s="67"/>
      <c r="IWP457" s="67"/>
      <c r="IWQ457" s="67"/>
      <c r="IWR457" s="67"/>
      <c r="IWS457" s="67"/>
      <c r="IWT457" s="67"/>
      <c r="IWU457" s="67"/>
      <c r="IWV457" s="67"/>
      <c r="IWW457" s="67"/>
      <c r="IWX457" s="67"/>
      <c r="IWY457" s="67"/>
      <c r="IWZ457" s="67"/>
      <c r="IXA457" s="67"/>
      <c r="IXB457" s="67"/>
      <c r="IXC457" s="67"/>
      <c r="IXD457" s="67"/>
      <c r="IXE457" s="67"/>
      <c r="IXF457" s="67"/>
      <c r="IXG457" s="67"/>
      <c r="IXH457" s="67"/>
      <c r="IXI457" s="67"/>
      <c r="IXJ457" s="67"/>
      <c r="IXK457" s="67"/>
      <c r="IXL457" s="67"/>
      <c r="IXM457" s="67"/>
      <c r="IXN457" s="67"/>
      <c r="IXO457" s="67"/>
      <c r="IXP457" s="67"/>
      <c r="IXQ457" s="67"/>
      <c r="IXR457" s="67"/>
      <c r="IXS457" s="67"/>
      <c r="IXT457" s="67"/>
      <c r="IXU457" s="67"/>
      <c r="IXV457" s="67"/>
      <c r="IXW457" s="67"/>
      <c r="IXX457" s="67"/>
      <c r="IXY457" s="67"/>
      <c r="IXZ457" s="67"/>
      <c r="IYA457" s="67"/>
      <c r="IYB457" s="67"/>
      <c r="IYC457" s="67"/>
      <c r="IYD457" s="67"/>
      <c r="IYE457" s="67"/>
      <c r="IYF457" s="67"/>
      <c r="IYG457" s="67"/>
      <c r="IYH457" s="67"/>
      <c r="IYI457" s="67"/>
      <c r="IYJ457" s="67"/>
      <c r="IYK457" s="67"/>
      <c r="IYL457" s="67"/>
      <c r="IYM457" s="67"/>
      <c r="IYN457" s="67"/>
      <c r="IYO457" s="67"/>
      <c r="IYP457" s="67"/>
      <c r="IYQ457" s="67"/>
      <c r="IYR457" s="67"/>
      <c r="IYS457" s="67"/>
      <c r="IYT457" s="67"/>
      <c r="IYU457" s="67"/>
      <c r="IYV457" s="67"/>
      <c r="IYW457" s="67"/>
      <c r="IYX457" s="67"/>
      <c r="IYY457" s="67"/>
      <c r="IYZ457" s="67"/>
      <c r="IZA457" s="67"/>
      <c r="IZB457" s="67"/>
      <c r="IZC457" s="67"/>
      <c r="IZD457" s="67"/>
      <c r="IZE457" s="67"/>
      <c r="IZF457" s="67"/>
      <c r="IZG457" s="67"/>
      <c r="IZH457" s="67"/>
      <c r="IZI457" s="67"/>
      <c r="IZJ457" s="67"/>
      <c r="IZK457" s="67"/>
      <c r="IZL457" s="67"/>
      <c r="IZM457" s="67"/>
      <c r="IZN457" s="67"/>
      <c r="IZO457" s="67"/>
      <c r="IZP457" s="67"/>
      <c r="IZQ457" s="67"/>
      <c r="IZR457" s="67"/>
      <c r="IZS457" s="67"/>
      <c r="IZT457" s="67"/>
      <c r="IZU457" s="67"/>
      <c r="IZV457" s="67"/>
      <c r="IZW457" s="67"/>
      <c r="IZX457" s="67"/>
      <c r="IZY457" s="67"/>
      <c r="IZZ457" s="67"/>
      <c r="JAA457" s="67"/>
      <c r="JAB457" s="67"/>
      <c r="JAC457" s="67"/>
      <c r="JAD457" s="67"/>
      <c r="JAE457" s="67"/>
      <c r="JAF457" s="67"/>
      <c r="JAG457" s="67"/>
      <c r="JAH457" s="67"/>
      <c r="JAI457" s="67"/>
      <c r="JAJ457" s="67"/>
      <c r="JAK457" s="67"/>
      <c r="JAL457" s="67"/>
      <c r="JAM457" s="67"/>
      <c r="JAN457" s="67"/>
      <c r="JAO457" s="67"/>
      <c r="JAP457" s="67"/>
      <c r="JAQ457" s="67"/>
      <c r="JAR457" s="67"/>
      <c r="JAS457" s="67"/>
      <c r="JAT457" s="67"/>
      <c r="JAU457" s="67"/>
      <c r="JAV457" s="67"/>
      <c r="JAW457" s="67"/>
      <c r="JAX457" s="67"/>
      <c r="JAY457" s="67"/>
      <c r="JAZ457" s="67"/>
      <c r="JBA457" s="67"/>
      <c r="JBB457" s="67"/>
      <c r="JBC457" s="67"/>
      <c r="JBD457" s="67"/>
      <c r="JBE457" s="67"/>
      <c r="JBF457" s="67"/>
      <c r="JBG457" s="67"/>
      <c r="JBH457" s="67"/>
      <c r="JBI457" s="67"/>
      <c r="JBJ457" s="67"/>
      <c r="JBK457" s="67"/>
      <c r="JBL457" s="67"/>
      <c r="JBM457" s="67"/>
      <c r="JBN457" s="67"/>
      <c r="JBO457" s="67"/>
      <c r="JBP457" s="67"/>
      <c r="JBQ457" s="67"/>
      <c r="JBR457" s="67"/>
      <c r="JBS457" s="67"/>
      <c r="JBT457" s="67"/>
      <c r="JBU457" s="67"/>
      <c r="JBV457" s="67"/>
      <c r="JBW457" s="67"/>
      <c r="JBX457" s="67"/>
      <c r="JBY457" s="67"/>
      <c r="JBZ457" s="67"/>
      <c r="JCA457" s="67"/>
      <c r="JCB457" s="67"/>
      <c r="JCC457" s="67"/>
      <c r="JCD457" s="67"/>
      <c r="JCE457" s="67"/>
      <c r="JCF457" s="67"/>
      <c r="JCG457" s="67"/>
      <c r="JCH457" s="67"/>
      <c r="JCI457" s="67"/>
      <c r="JCJ457" s="67"/>
      <c r="JCK457" s="67"/>
      <c r="JCL457" s="67"/>
      <c r="JCM457" s="67"/>
      <c r="JCN457" s="67"/>
      <c r="JCO457" s="67"/>
      <c r="JCP457" s="67"/>
      <c r="JCQ457" s="67"/>
      <c r="JCR457" s="67"/>
      <c r="JCS457" s="67"/>
      <c r="JCT457" s="67"/>
      <c r="JCU457" s="67"/>
      <c r="JCV457" s="67"/>
      <c r="JCW457" s="67"/>
      <c r="JCX457" s="67"/>
      <c r="JCY457" s="67"/>
      <c r="JCZ457" s="67"/>
      <c r="JDA457" s="67"/>
      <c r="JDB457" s="67"/>
      <c r="JDC457" s="67"/>
      <c r="JDD457" s="67"/>
      <c r="JDE457" s="67"/>
      <c r="JDF457" s="67"/>
      <c r="JDG457" s="67"/>
      <c r="JDH457" s="67"/>
      <c r="JDI457" s="67"/>
      <c r="JDJ457" s="67"/>
      <c r="JDK457" s="67"/>
      <c r="JDL457" s="67"/>
      <c r="JDM457" s="67"/>
      <c r="JDN457" s="67"/>
      <c r="JDO457" s="67"/>
      <c r="JDP457" s="67"/>
      <c r="JDQ457" s="67"/>
      <c r="JDR457" s="67"/>
      <c r="JDS457" s="67"/>
      <c r="JDT457" s="67"/>
      <c r="JDU457" s="67"/>
      <c r="JDV457" s="67"/>
      <c r="JDW457" s="67"/>
      <c r="JDX457" s="67"/>
      <c r="JDY457" s="67"/>
      <c r="JDZ457" s="67"/>
      <c r="JEA457" s="67"/>
      <c r="JEB457" s="67"/>
      <c r="JEC457" s="67"/>
      <c r="JED457" s="67"/>
      <c r="JEE457" s="67"/>
      <c r="JEF457" s="67"/>
      <c r="JEG457" s="67"/>
      <c r="JEH457" s="67"/>
      <c r="JEI457" s="67"/>
      <c r="JEJ457" s="67"/>
      <c r="JEK457" s="67"/>
      <c r="JEL457" s="67"/>
      <c r="JEM457" s="67"/>
      <c r="JEN457" s="67"/>
      <c r="JEO457" s="67"/>
      <c r="JEP457" s="67"/>
      <c r="JEQ457" s="67"/>
      <c r="JER457" s="67"/>
      <c r="JES457" s="67"/>
      <c r="JET457" s="67"/>
      <c r="JEU457" s="67"/>
      <c r="JEV457" s="67"/>
      <c r="JEW457" s="67"/>
      <c r="JEX457" s="67"/>
      <c r="JEY457" s="67"/>
      <c r="JEZ457" s="67"/>
      <c r="JFA457" s="67"/>
      <c r="JFB457" s="67"/>
      <c r="JFC457" s="67"/>
      <c r="JFD457" s="67"/>
      <c r="JFE457" s="67"/>
      <c r="JFF457" s="67"/>
      <c r="JFG457" s="67"/>
      <c r="JFH457" s="67"/>
      <c r="JFI457" s="67"/>
      <c r="JFJ457" s="67"/>
      <c r="JFK457" s="67"/>
      <c r="JFL457" s="67"/>
      <c r="JFM457" s="67"/>
      <c r="JFN457" s="67"/>
      <c r="JFO457" s="67"/>
      <c r="JFP457" s="67"/>
      <c r="JFQ457" s="67"/>
      <c r="JFR457" s="67"/>
      <c r="JFS457" s="67"/>
      <c r="JFT457" s="67"/>
      <c r="JFU457" s="67"/>
      <c r="JFV457" s="67"/>
      <c r="JFW457" s="67"/>
      <c r="JFX457" s="67"/>
      <c r="JFY457" s="67"/>
      <c r="JFZ457" s="67"/>
      <c r="JGA457" s="67"/>
      <c r="JGB457" s="67"/>
      <c r="JGC457" s="67"/>
      <c r="JGD457" s="67"/>
      <c r="JGE457" s="67"/>
      <c r="JGF457" s="67"/>
      <c r="JGG457" s="67"/>
      <c r="JGH457" s="67"/>
      <c r="JGI457" s="67"/>
      <c r="JGJ457" s="67"/>
      <c r="JGK457" s="67"/>
      <c r="JGL457" s="67"/>
      <c r="JGM457" s="67"/>
      <c r="JGN457" s="67"/>
      <c r="JGO457" s="67"/>
      <c r="JGP457" s="67"/>
      <c r="JGQ457" s="67"/>
      <c r="JGR457" s="67"/>
      <c r="JGS457" s="67"/>
      <c r="JGT457" s="67"/>
      <c r="JGU457" s="67"/>
      <c r="JGV457" s="67"/>
      <c r="JGW457" s="67"/>
      <c r="JGX457" s="67"/>
      <c r="JGY457" s="67"/>
      <c r="JGZ457" s="67"/>
      <c r="JHA457" s="67"/>
      <c r="JHB457" s="67"/>
      <c r="JHC457" s="67"/>
      <c r="JHD457" s="67"/>
      <c r="JHE457" s="67"/>
      <c r="JHF457" s="67"/>
      <c r="JHG457" s="67"/>
      <c r="JHH457" s="67"/>
      <c r="JHI457" s="67"/>
      <c r="JHJ457" s="67"/>
      <c r="JHK457" s="67"/>
      <c r="JHL457" s="67"/>
      <c r="JHM457" s="67"/>
      <c r="JHN457" s="67"/>
      <c r="JHO457" s="67"/>
      <c r="JHP457" s="67"/>
      <c r="JHQ457" s="67"/>
      <c r="JHR457" s="67"/>
      <c r="JHS457" s="67"/>
      <c r="JHT457" s="67"/>
      <c r="JHU457" s="67"/>
      <c r="JHV457" s="67"/>
      <c r="JHW457" s="67"/>
      <c r="JHX457" s="67"/>
      <c r="JHY457" s="67"/>
      <c r="JHZ457" s="67"/>
      <c r="JIA457" s="67"/>
      <c r="JIB457" s="67"/>
      <c r="JIC457" s="67"/>
      <c r="JID457" s="67"/>
      <c r="JIE457" s="67"/>
      <c r="JIF457" s="67"/>
      <c r="JIG457" s="67"/>
      <c r="JIH457" s="67"/>
      <c r="JII457" s="67"/>
      <c r="JIJ457" s="67"/>
      <c r="JIK457" s="67"/>
      <c r="JIL457" s="67"/>
      <c r="JIM457" s="67"/>
      <c r="JIN457" s="67"/>
      <c r="JIO457" s="67"/>
      <c r="JIP457" s="67"/>
      <c r="JIQ457" s="67"/>
      <c r="JIR457" s="67"/>
      <c r="JIS457" s="67"/>
      <c r="JIT457" s="67"/>
      <c r="JIU457" s="67"/>
      <c r="JIV457" s="67"/>
      <c r="JIW457" s="67"/>
      <c r="JIX457" s="67"/>
      <c r="JIY457" s="67"/>
      <c r="JIZ457" s="67"/>
      <c r="JJA457" s="67"/>
      <c r="JJB457" s="67"/>
      <c r="JJC457" s="67"/>
      <c r="JJD457" s="67"/>
      <c r="JJE457" s="67"/>
      <c r="JJF457" s="67"/>
      <c r="JJG457" s="67"/>
      <c r="JJH457" s="67"/>
      <c r="JJI457" s="67"/>
      <c r="JJJ457" s="67"/>
      <c r="JJK457" s="67"/>
      <c r="JJL457" s="67"/>
      <c r="JJM457" s="67"/>
      <c r="JJN457" s="67"/>
      <c r="JJO457" s="67"/>
      <c r="JJP457" s="67"/>
      <c r="JJQ457" s="67"/>
      <c r="JJR457" s="67"/>
      <c r="JJS457" s="67"/>
      <c r="JJT457" s="67"/>
      <c r="JJU457" s="67"/>
      <c r="JJV457" s="67"/>
      <c r="JJW457" s="67"/>
      <c r="JJX457" s="67"/>
      <c r="JJY457" s="67"/>
      <c r="JJZ457" s="67"/>
      <c r="JKA457" s="67"/>
      <c r="JKB457" s="67"/>
      <c r="JKC457" s="67"/>
      <c r="JKD457" s="67"/>
      <c r="JKE457" s="67"/>
      <c r="JKF457" s="67"/>
      <c r="JKG457" s="67"/>
      <c r="JKH457" s="67"/>
      <c r="JKI457" s="67"/>
      <c r="JKJ457" s="67"/>
      <c r="JKK457" s="67"/>
      <c r="JKL457" s="67"/>
      <c r="JKM457" s="67"/>
      <c r="JKN457" s="67"/>
      <c r="JKO457" s="67"/>
      <c r="JKP457" s="67"/>
      <c r="JKQ457" s="67"/>
      <c r="JKR457" s="67"/>
      <c r="JKS457" s="67"/>
      <c r="JKT457" s="67"/>
      <c r="JKU457" s="67"/>
      <c r="JKV457" s="67"/>
      <c r="JKW457" s="67"/>
      <c r="JKX457" s="67"/>
      <c r="JKY457" s="67"/>
      <c r="JKZ457" s="67"/>
      <c r="JLA457" s="67"/>
      <c r="JLB457" s="67"/>
      <c r="JLC457" s="67"/>
      <c r="JLD457" s="67"/>
      <c r="JLE457" s="67"/>
      <c r="JLF457" s="67"/>
      <c r="JLG457" s="67"/>
      <c r="JLH457" s="67"/>
      <c r="JLI457" s="67"/>
      <c r="JLJ457" s="67"/>
      <c r="JLK457" s="67"/>
      <c r="JLL457" s="67"/>
      <c r="JLM457" s="67"/>
      <c r="JLN457" s="67"/>
      <c r="JLO457" s="67"/>
      <c r="JLP457" s="67"/>
      <c r="JLQ457" s="67"/>
      <c r="JLR457" s="67"/>
      <c r="JLS457" s="67"/>
      <c r="JLT457" s="67"/>
      <c r="JLU457" s="67"/>
      <c r="JLV457" s="67"/>
      <c r="JLW457" s="67"/>
      <c r="JLX457" s="67"/>
      <c r="JLY457" s="67"/>
      <c r="JLZ457" s="67"/>
      <c r="JMA457" s="67"/>
      <c r="JMB457" s="67"/>
      <c r="JMC457" s="67"/>
      <c r="JMD457" s="67"/>
      <c r="JME457" s="67"/>
      <c r="JMF457" s="67"/>
      <c r="JMG457" s="67"/>
      <c r="JMH457" s="67"/>
      <c r="JMI457" s="67"/>
      <c r="JMJ457" s="67"/>
      <c r="JMK457" s="67"/>
      <c r="JML457" s="67"/>
      <c r="JMM457" s="67"/>
      <c r="JMN457" s="67"/>
      <c r="JMO457" s="67"/>
      <c r="JMP457" s="67"/>
      <c r="JMQ457" s="67"/>
      <c r="JMR457" s="67"/>
      <c r="JMS457" s="67"/>
      <c r="JMT457" s="67"/>
      <c r="JMU457" s="67"/>
      <c r="JMV457" s="67"/>
      <c r="JMW457" s="67"/>
      <c r="JMX457" s="67"/>
      <c r="JMY457" s="67"/>
      <c r="JMZ457" s="67"/>
      <c r="JNA457" s="67"/>
      <c r="JNB457" s="67"/>
      <c r="JNC457" s="67"/>
      <c r="JND457" s="67"/>
      <c r="JNE457" s="67"/>
      <c r="JNF457" s="67"/>
      <c r="JNG457" s="67"/>
      <c r="JNH457" s="67"/>
      <c r="JNI457" s="67"/>
      <c r="JNJ457" s="67"/>
      <c r="JNK457" s="67"/>
      <c r="JNL457" s="67"/>
      <c r="JNM457" s="67"/>
      <c r="JNN457" s="67"/>
      <c r="JNO457" s="67"/>
      <c r="JNP457" s="67"/>
      <c r="JNQ457" s="67"/>
      <c r="JNR457" s="67"/>
      <c r="JNS457" s="67"/>
      <c r="JNT457" s="67"/>
      <c r="JNU457" s="67"/>
      <c r="JNV457" s="67"/>
      <c r="JNW457" s="67"/>
      <c r="JNX457" s="67"/>
      <c r="JNY457" s="67"/>
      <c r="JNZ457" s="67"/>
      <c r="JOA457" s="67"/>
      <c r="JOB457" s="67"/>
      <c r="JOC457" s="67"/>
      <c r="JOD457" s="67"/>
      <c r="JOE457" s="67"/>
      <c r="JOF457" s="67"/>
      <c r="JOG457" s="67"/>
      <c r="JOH457" s="67"/>
      <c r="JOI457" s="67"/>
      <c r="JOJ457" s="67"/>
      <c r="JOK457" s="67"/>
      <c r="JOL457" s="67"/>
      <c r="JOM457" s="67"/>
      <c r="JON457" s="67"/>
      <c r="JOO457" s="67"/>
      <c r="JOP457" s="67"/>
      <c r="JOQ457" s="67"/>
      <c r="JOR457" s="67"/>
      <c r="JOS457" s="67"/>
      <c r="JOT457" s="67"/>
      <c r="JOU457" s="67"/>
      <c r="JOV457" s="67"/>
      <c r="JOW457" s="67"/>
      <c r="JOX457" s="67"/>
      <c r="JOY457" s="67"/>
      <c r="JOZ457" s="67"/>
      <c r="JPA457" s="67"/>
      <c r="JPB457" s="67"/>
      <c r="JPC457" s="67"/>
      <c r="JPD457" s="67"/>
      <c r="JPE457" s="67"/>
      <c r="JPF457" s="67"/>
      <c r="JPG457" s="67"/>
      <c r="JPH457" s="67"/>
      <c r="JPI457" s="67"/>
      <c r="JPJ457" s="67"/>
      <c r="JPK457" s="67"/>
      <c r="JPL457" s="67"/>
      <c r="JPM457" s="67"/>
      <c r="JPN457" s="67"/>
      <c r="JPO457" s="67"/>
      <c r="JPP457" s="67"/>
      <c r="JPQ457" s="67"/>
      <c r="JPR457" s="67"/>
      <c r="JPS457" s="67"/>
      <c r="JPT457" s="67"/>
      <c r="JPU457" s="67"/>
      <c r="JPV457" s="67"/>
      <c r="JPW457" s="67"/>
      <c r="JPX457" s="67"/>
      <c r="JPY457" s="67"/>
      <c r="JPZ457" s="67"/>
      <c r="JQA457" s="67"/>
      <c r="JQB457" s="67"/>
      <c r="JQC457" s="67"/>
      <c r="JQD457" s="67"/>
      <c r="JQE457" s="67"/>
      <c r="JQF457" s="67"/>
      <c r="JQG457" s="67"/>
      <c r="JQH457" s="67"/>
      <c r="JQI457" s="67"/>
      <c r="JQJ457" s="67"/>
      <c r="JQK457" s="67"/>
      <c r="JQL457" s="67"/>
      <c r="JQM457" s="67"/>
      <c r="JQN457" s="67"/>
      <c r="JQO457" s="67"/>
      <c r="JQP457" s="67"/>
      <c r="JQQ457" s="67"/>
      <c r="JQR457" s="67"/>
      <c r="JQS457" s="67"/>
      <c r="JQT457" s="67"/>
      <c r="JQU457" s="67"/>
      <c r="JQV457" s="67"/>
      <c r="JQW457" s="67"/>
      <c r="JQX457" s="67"/>
      <c r="JQY457" s="67"/>
      <c r="JQZ457" s="67"/>
      <c r="JRA457" s="67"/>
      <c r="JRB457" s="67"/>
      <c r="JRC457" s="67"/>
      <c r="JRD457" s="67"/>
      <c r="JRE457" s="67"/>
      <c r="JRF457" s="67"/>
      <c r="JRG457" s="67"/>
      <c r="JRH457" s="67"/>
      <c r="JRI457" s="67"/>
      <c r="JRJ457" s="67"/>
      <c r="JRK457" s="67"/>
      <c r="JRL457" s="67"/>
      <c r="JRM457" s="67"/>
      <c r="JRN457" s="67"/>
      <c r="JRO457" s="67"/>
      <c r="JRP457" s="67"/>
      <c r="JRQ457" s="67"/>
      <c r="JRR457" s="67"/>
      <c r="JRS457" s="67"/>
      <c r="JRT457" s="67"/>
      <c r="JRU457" s="67"/>
      <c r="JRV457" s="67"/>
      <c r="JRW457" s="67"/>
      <c r="JRX457" s="67"/>
      <c r="JRY457" s="67"/>
      <c r="JRZ457" s="67"/>
      <c r="JSA457" s="67"/>
      <c r="JSB457" s="67"/>
      <c r="JSC457" s="67"/>
      <c r="JSD457" s="67"/>
      <c r="JSE457" s="67"/>
      <c r="JSF457" s="67"/>
      <c r="JSG457" s="67"/>
      <c r="JSH457" s="67"/>
      <c r="JSI457" s="67"/>
      <c r="JSJ457" s="67"/>
      <c r="JSK457" s="67"/>
      <c r="JSL457" s="67"/>
      <c r="JSM457" s="67"/>
      <c r="JSN457" s="67"/>
      <c r="JSO457" s="67"/>
      <c r="JSP457" s="67"/>
      <c r="JSQ457" s="67"/>
      <c r="JSR457" s="67"/>
      <c r="JSS457" s="67"/>
      <c r="JST457" s="67"/>
      <c r="JSU457" s="67"/>
      <c r="JSV457" s="67"/>
      <c r="JSW457" s="67"/>
      <c r="JSX457" s="67"/>
      <c r="JSY457" s="67"/>
      <c r="JSZ457" s="67"/>
      <c r="JTA457" s="67"/>
      <c r="JTB457" s="67"/>
      <c r="JTC457" s="67"/>
      <c r="JTD457" s="67"/>
      <c r="JTE457" s="67"/>
      <c r="JTF457" s="67"/>
      <c r="JTG457" s="67"/>
      <c r="JTH457" s="67"/>
      <c r="JTI457" s="67"/>
      <c r="JTJ457" s="67"/>
      <c r="JTK457" s="67"/>
      <c r="JTL457" s="67"/>
      <c r="JTM457" s="67"/>
      <c r="JTN457" s="67"/>
      <c r="JTO457" s="67"/>
      <c r="JTP457" s="67"/>
      <c r="JTQ457" s="67"/>
      <c r="JTR457" s="67"/>
      <c r="JTS457" s="67"/>
      <c r="JTT457" s="67"/>
      <c r="JTU457" s="67"/>
      <c r="JTV457" s="67"/>
      <c r="JTW457" s="67"/>
      <c r="JTX457" s="67"/>
      <c r="JTY457" s="67"/>
      <c r="JTZ457" s="67"/>
      <c r="JUA457" s="67"/>
      <c r="JUB457" s="67"/>
      <c r="JUC457" s="67"/>
      <c r="JUD457" s="67"/>
      <c r="JUE457" s="67"/>
      <c r="JUF457" s="67"/>
      <c r="JUG457" s="67"/>
      <c r="JUH457" s="67"/>
      <c r="JUI457" s="67"/>
      <c r="JUJ457" s="67"/>
      <c r="JUK457" s="67"/>
      <c r="JUL457" s="67"/>
      <c r="JUM457" s="67"/>
      <c r="JUN457" s="67"/>
      <c r="JUO457" s="67"/>
      <c r="JUP457" s="67"/>
      <c r="JUQ457" s="67"/>
      <c r="JUR457" s="67"/>
      <c r="JUS457" s="67"/>
      <c r="JUT457" s="67"/>
      <c r="JUU457" s="67"/>
      <c r="JUV457" s="67"/>
      <c r="JUW457" s="67"/>
      <c r="JUX457" s="67"/>
      <c r="JUY457" s="67"/>
      <c r="JUZ457" s="67"/>
      <c r="JVA457" s="67"/>
      <c r="JVB457" s="67"/>
      <c r="JVC457" s="67"/>
      <c r="JVD457" s="67"/>
      <c r="JVE457" s="67"/>
      <c r="JVF457" s="67"/>
      <c r="JVG457" s="67"/>
      <c r="JVH457" s="67"/>
      <c r="JVI457" s="67"/>
      <c r="JVJ457" s="67"/>
      <c r="JVK457" s="67"/>
      <c r="JVL457" s="67"/>
      <c r="JVM457" s="67"/>
      <c r="JVN457" s="67"/>
      <c r="JVO457" s="67"/>
      <c r="JVP457" s="67"/>
      <c r="JVQ457" s="67"/>
      <c r="JVR457" s="67"/>
      <c r="JVS457" s="67"/>
      <c r="JVT457" s="67"/>
      <c r="JVU457" s="67"/>
      <c r="JVV457" s="67"/>
      <c r="JVW457" s="67"/>
      <c r="JVX457" s="67"/>
      <c r="JVY457" s="67"/>
      <c r="JVZ457" s="67"/>
      <c r="JWA457" s="67"/>
      <c r="JWB457" s="67"/>
      <c r="JWC457" s="67"/>
      <c r="JWD457" s="67"/>
      <c r="JWE457" s="67"/>
      <c r="JWF457" s="67"/>
      <c r="JWG457" s="67"/>
      <c r="JWH457" s="67"/>
      <c r="JWI457" s="67"/>
      <c r="JWJ457" s="67"/>
      <c r="JWK457" s="67"/>
      <c r="JWL457" s="67"/>
      <c r="JWM457" s="67"/>
      <c r="JWN457" s="67"/>
      <c r="JWO457" s="67"/>
      <c r="JWP457" s="67"/>
      <c r="JWQ457" s="67"/>
      <c r="JWR457" s="67"/>
      <c r="JWS457" s="67"/>
      <c r="JWT457" s="67"/>
      <c r="JWU457" s="67"/>
      <c r="JWV457" s="67"/>
      <c r="JWW457" s="67"/>
      <c r="JWX457" s="67"/>
      <c r="JWY457" s="67"/>
      <c r="JWZ457" s="67"/>
      <c r="JXA457" s="67"/>
      <c r="JXB457" s="67"/>
      <c r="JXC457" s="67"/>
      <c r="JXD457" s="67"/>
      <c r="JXE457" s="67"/>
      <c r="JXF457" s="67"/>
      <c r="JXG457" s="67"/>
      <c r="JXH457" s="67"/>
      <c r="JXI457" s="67"/>
      <c r="JXJ457" s="67"/>
      <c r="JXK457" s="67"/>
      <c r="JXL457" s="67"/>
      <c r="JXM457" s="67"/>
      <c r="JXN457" s="67"/>
      <c r="JXO457" s="67"/>
      <c r="JXP457" s="67"/>
      <c r="JXQ457" s="67"/>
      <c r="JXR457" s="67"/>
      <c r="JXS457" s="67"/>
      <c r="JXT457" s="67"/>
      <c r="JXU457" s="67"/>
      <c r="JXV457" s="67"/>
      <c r="JXW457" s="67"/>
      <c r="JXX457" s="67"/>
      <c r="JXY457" s="67"/>
      <c r="JXZ457" s="67"/>
      <c r="JYA457" s="67"/>
      <c r="JYB457" s="67"/>
      <c r="JYC457" s="67"/>
      <c r="JYD457" s="67"/>
      <c r="JYE457" s="67"/>
      <c r="JYF457" s="67"/>
      <c r="JYG457" s="67"/>
      <c r="JYH457" s="67"/>
      <c r="JYI457" s="67"/>
      <c r="JYJ457" s="67"/>
      <c r="JYK457" s="67"/>
      <c r="JYL457" s="67"/>
      <c r="JYM457" s="67"/>
      <c r="JYN457" s="67"/>
      <c r="JYO457" s="67"/>
      <c r="JYP457" s="67"/>
      <c r="JYQ457" s="67"/>
      <c r="JYR457" s="67"/>
      <c r="JYS457" s="67"/>
      <c r="JYT457" s="67"/>
      <c r="JYU457" s="67"/>
      <c r="JYV457" s="67"/>
      <c r="JYW457" s="67"/>
      <c r="JYX457" s="67"/>
      <c r="JYY457" s="67"/>
      <c r="JYZ457" s="67"/>
      <c r="JZA457" s="67"/>
      <c r="JZB457" s="67"/>
      <c r="JZC457" s="67"/>
      <c r="JZD457" s="67"/>
      <c r="JZE457" s="67"/>
      <c r="JZF457" s="67"/>
      <c r="JZG457" s="67"/>
      <c r="JZH457" s="67"/>
      <c r="JZI457" s="67"/>
      <c r="JZJ457" s="67"/>
      <c r="JZK457" s="67"/>
      <c r="JZL457" s="67"/>
      <c r="JZM457" s="67"/>
      <c r="JZN457" s="67"/>
      <c r="JZO457" s="67"/>
      <c r="JZP457" s="67"/>
      <c r="JZQ457" s="67"/>
      <c r="JZR457" s="67"/>
      <c r="JZS457" s="67"/>
      <c r="JZT457" s="67"/>
      <c r="JZU457" s="67"/>
      <c r="JZV457" s="67"/>
      <c r="JZW457" s="67"/>
      <c r="JZX457" s="67"/>
      <c r="JZY457" s="67"/>
      <c r="JZZ457" s="67"/>
      <c r="KAA457" s="67"/>
      <c r="KAB457" s="67"/>
      <c r="KAC457" s="67"/>
      <c r="KAD457" s="67"/>
      <c r="KAE457" s="67"/>
      <c r="KAF457" s="67"/>
      <c r="KAG457" s="67"/>
      <c r="KAH457" s="67"/>
      <c r="KAI457" s="67"/>
      <c r="KAJ457" s="67"/>
      <c r="KAK457" s="67"/>
      <c r="KAL457" s="67"/>
      <c r="KAM457" s="67"/>
      <c r="KAN457" s="67"/>
      <c r="KAO457" s="67"/>
      <c r="KAP457" s="67"/>
      <c r="KAQ457" s="67"/>
      <c r="KAR457" s="67"/>
      <c r="KAS457" s="67"/>
      <c r="KAT457" s="67"/>
      <c r="KAU457" s="67"/>
      <c r="KAV457" s="67"/>
      <c r="KAW457" s="67"/>
      <c r="KAX457" s="67"/>
      <c r="KAY457" s="67"/>
      <c r="KAZ457" s="67"/>
      <c r="KBA457" s="67"/>
      <c r="KBB457" s="67"/>
      <c r="KBC457" s="67"/>
      <c r="KBD457" s="67"/>
      <c r="KBE457" s="67"/>
      <c r="KBF457" s="67"/>
      <c r="KBG457" s="67"/>
      <c r="KBH457" s="67"/>
      <c r="KBI457" s="67"/>
      <c r="KBJ457" s="67"/>
      <c r="KBK457" s="67"/>
      <c r="KBL457" s="67"/>
      <c r="KBM457" s="67"/>
      <c r="KBN457" s="67"/>
      <c r="KBO457" s="67"/>
      <c r="KBP457" s="67"/>
      <c r="KBQ457" s="67"/>
      <c r="KBR457" s="67"/>
      <c r="KBS457" s="67"/>
      <c r="KBT457" s="67"/>
      <c r="KBU457" s="67"/>
      <c r="KBV457" s="67"/>
      <c r="KBW457" s="67"/>
      <c r="KBX457" s="67"/>
      <c r="KBY457" s="67"/>
      <c r="KBZ457" s="67"/>
      <c r="KCA457" s="67"/>
      <c r="KCB457" s="67"/>
      <c r="KCC457" s="67"/>
      <c r="KCD457" s="67"/>
      <c r="KCE457" s="67"/>
      <c r="KCF457" s="67"/>
      <c r="KCG457" s="67"/>
      <c r="KCH457" s="67"/>
      <c r="KCI457" s="67"/>
      <c r="KCJ457" s="67"/>
      <c r="KCK457" s="67"/>
      <c r="KCL457" s="67"/>
      <c r="KCM457" s="67"/>
      <c r="KCN457" s="67"/>
      <c r="KCO457" s="67"/>
      <c r="KCP457" s="67"/>
      <c r="KCQ457" s="67"/>
      <c r="KCR457" s="67"/>
      <c r="KCS457" s="67"/>
      <c r="KCT457" s="67"/>
      <c r="KCU457" s="67"/>
      <c r="KCV457" s="67"/>
      <c r="KCW457" s="67"/>
      <c r="KCX457" s="67"/>
      <c r="KCY457" s="67"/>
      <c r="KCZ457" s="67"/>
      <c r="KDA457" s="67"/>
      <c r="KDB457" s="67"/>
      <c r="KDC457" s="67"/>
      <c r="KDD457" s="67"/>
      <c r="KDE457" s="67"/>
      <c r="KDF457" s="67"/>
      <c r="KDG457" s="67"/>
      <c r="KDH457" s="67"/>
      <c r="KDI457" s="67"/>
      <c r="KDJ457" s="67"/>
      <c r="KDK457" s="67"/>
      <c r="KDL457" s="67"/>
      <c r="KDM457" s="67"/>
      <c r="KDN457" s="67"/>
      <c r="KDO457" s="67"/>
      <c r="KDP457" s="67"/>
      <c r="KDQ457" s="67"/>
      <c r="KDR457" s="67"/>
      <c r="KDS457" s="67"/>
      <c r="KDT457" s="67"/>
      <c r="KDU457" s="67"/>
      <c r="KDV457" s="67"/>
      <c r="KDW457" s="67"/>
      <c r="KDX457" s="67"/>
      <c r="KDY457" s="67"/>
      <c r="KDZ457" s="67"/>
      <c r="KEA457" s="67"/>
      <c r="KEB457" s="67"/>
      <c r="KEC457" s="67"/>
      <c r="KED457" s="67"/>
      <c r="KEE457" s="67"/>
      <c r="KEF457" s="67"/>
      <c r="KEG457" s="67"/>
      <c r="KEH457" s="67"/>
      <c r="KEI457" s="67"/>
      <c r="KEJ457" s="67"/>
      <c r="KEK457" s="67"/>
      <c r="KEL457" s="67"/>
      <c r="KEM457" s="67"/>
      <c r="KEN457" s="67"/>
      <c r="KEO457" s="67"/>
      <c r="KEP457" s="67"/>
      <c r="KEQ457" s="67"/>
      <c r="KER457" s="67"/>
      <c r="KES457" s="67"/>
      <c r="KET457" s="67"/>
      <c r="KEU457" s="67"/>
      <c r="KEV457" s="67"/>
      <c r="KEW457" s="67"/>
      <c r="KEX457" s="67"/>
      <c r="KEY457" s="67"/>
      <c r="KEZ457" s="67"/>
      <c r="KFA457" s="67"/>
      <c r="KFB457" s="67"/>
      <c r="KFC457" s="67"/>
      <c r="KFD457" s="67"/>
      <c r="KFE457" s="67"/>
      <c r="KFF457" s="67"/>
      <c r="KFG457" s="67"/>
      <c r="KFH457" s="67"/>
      <c r="KFI457" s="67"/>
      <c r="KFJ457" s="67"/>
      <c r="KFK457" s="67"/>
      <c r="KFL457" s="67"/>
      <c r="KFM457" s="67"/>
      <c r="KFN457" s="67"/>
      <c r="KFO457" s="67"/>
      <c r="KFP457" s="67"/>
      <c r="KFQ457" s="67"/>
      <c r="KFR457" s="67"/>
      <c r="KFS457" s="67"/>
      <c r="KFT457" s="67"/>
      <c r="KFU457" s="67"/>
      <c r="KFV457" s="67"/>
      <c r="KFW457" s="67"/>
      <c r="KFX457" s="67"/>
      <c r="KFY457" s="67"/>
      <c r="KFZ457" s="67"/>
      <c r="KGA457" s="67"/>
      <c r="KGB457" s="67"/>
      <c r="KGC457" s="67"/>
      <c r="KGD457" s="67"/>
      <c r="KGE457" s="67"/>
      <c r="KGF457" s="67"/>
      <c r="KGG457" s="67"/>
      <c r="KGH457" s="67"/>
      <c r="KGI457" s="67"/>
      <c r="KGJ457" s="67"/>
      <c r="KGK457" s="67"/>
      <c r="KGL457" s="67"/>
      <c r="KGM457" s="67"/>
      <c r="KGN457" s="67"/>
      <c r="KGO457" s="67"/>
      <c r="KGP457" s="67"/>
      <c r="KGQ457" s="67"/>
      <c r="KGR457" s="67"/>
      <c r="KGS457" s="67"/>
      <c r="KGT457" s="67"/>
      <c r="KGU457" s="67"/>
      <c r="KGV457" s="67"/>
      <c r="KGW457" s="67"/>
      <c r="KGX457" s="67"/>
      <c r="KGY457" s="67"/>
      <c r="KGZ457" s="67"/>
      <c r="KHA457" s="67"/>
      <c r="KHB457" s="67"/>
      <c r="KHC457" s="67"/>
      <c r="KHD457" s="67"/>
      <c r="KHE457" s="67"/>
      <c r="KHF457" s="67"/>
      <c r="KHG457" s="67"/>
      <c r="KHH457" s="67"/>
      <c r="KHI457" s="67"/>
      <c r="KHJ457" s="67"/>
      <c r="KHK457" s="67"/>
      <c r="KHL457" s="67"/>
      <c r="KHM457" s="67"/>
      <c r="KHN457" s="67"/>
      <c r="KHO457" s="67"/>
      <c r="KHP457" s="67"/>
      <c r="KHQ457" s="67"/>
      <c r="KHR457" s="67"/>
      <c r="KHS457" s="67"/>
      <c r="KHT457" s="67"/>
      <c r="KHU457" s="67"/>
      <c r="KHV457" s="67"/>
      <c r="KHW457" s="67"/>
      <c r="KHX457" s="67"/>
      <c r="KHY457" s="67"/>
      <c r="KHZ457" s="67"/>
      <c r="KIA457" s="67"/>
      <c r="KIB457" s="67"/>
      <c r="KIC457" s="67"/>
      <c r="KID457" s="67"/>
      <c r="KIE457" s="67"/>
      <c r="KIF457" s="67"/>
      <c r="KIG457" s="67"/>
      <c r="KIH457" s="67"/>
      <c r="KII457" s="67"/>
      <c r="KIJ457" s="67"/>
      <c r="KIK457" s="67"/>
      <c r="KIL457" s="67"/>
      <c r="KIM457" s="67"/>
      <c r="KIN457" s="67"/>
      <c r="KIO457" s="67"/>
      <c r="KIP457" s="67"/>
      <c r="KIQ457" s="67"/>
      <c r="KIR457" s="67"/>
      <c r="KIS457" s="67"/>
      <c r="KIT457" s="67"/>
      <c r="KIU457" s="67"/>
      <c r="KIV457" s="67"/>
      <c r="KIW457" s="67"/>
      <c r="KIX457" s="67"/>
      <c r="KIY457" s="67"/>
      <c r="KIZ457" s="67"/>
      <c r="KJA457" s="67"/>
      <c r="KJB457" s="67"/>
      <c r="KJC457" s="67"/>
      <c r="KJD457" s="67"/>
      <c r="KJE457" s="67"/>
      <c r="KJF457" s="67"/>
      <c r="KJG457" s="67"/>
      <c r="KJH457" s="67"/>
      <c r="KJI457" s="67"/>
      <c r="KJJ457" s="67"/>
      <c r="KJK457" s="67"/>
      <c r="KJL457" s="67"/>
      <c r="KJM457" s="67"/>
      <c r="KJN457" s="67"/>
      <c r="KJO457" s="67"/>
      <c r="KJP457" s="67"/>
      <c r="KJQ457" s="67"/>
      <c r="KJR457" s="67"/>
      <c r="KJS457" s="67"/>
      <c r="KJT457" s="67"/>
      <c r="KJU457" s="67"/>
      <c r="KJV457" s="67"/>
      <c r="KJW457" s="67"/>
      <c r="KJX457" s="67"/>
      <c r="KJY457" s="67"/>
      <c r="KJZ457" s="67"/>
      <c r="KKA457" s="67"/>
      <c r="KKB457" s="67"/>
      <c r="KKC457" s="67"/>
      <c r="KKD457" s="67"/>
      <c r="KKE457" s="67"/>
      <c r="KKF457" s="67"/>
      <c r="KKG457" s="67"/>
      <c r="KKH457" s="67"/>
      <c r="KKI457" s="67"/>
      <c r="KKJ457" s="67"/>
      <c r="KKK457" s="67"/>
      <c r="KKL457" s="67"/>
      <c r="KKM457" s="67"/>
      <c r="KKN457" s="67"/>
      <c r="KKO457" s="67"/>
      <c r="KKP457" s="67"/>
      <c r="KKQ457" s="67"/>
      <c r="KKR457" s="67"/>
      <c r="KKS457" s="67"/>
      <c r="KKT457" s="67"/>
      <c r="KKU457" s="67"/>
      <c r="KKV457" s="67"/>
      <c r="KKW457" s="67"/>
      <c r="KKX457" s="67"/>
      <c r="KKY457" s="67"/>
      <c r="KKZ457" s="67"/>
      <c r="KLA457" s="67"/>
      <c r="KLB457" s="67"/>
      <c r="KLC457" s="67"/>
      <c r="KLD457" s="67"/>
      <c r="KLE457" s="67"/>
      <c r="KLF457" s="67"/>
      <c r="KLG457" s="67"/>
      <c r="KLH457" s="67"/>
      <c r="KLI457" s="67"/>
      <c r="KLJ457" s="67"/>
      <c r="KLK457" s="67"/>
      <c r="KLL457" s="67"/>
      <c r="KLM457" s="67"/>
      <c r="KLN457" s="67"/>
      <c r="KLO457" s="67"/>
      <c r="KLP457" s="67"/>
      <c r="KLQ457" s="67"/>
      <c r="KLR457" s="67"/>
      <c r="KLS457" s="67"/>
      <c r="KLT457" s="67"/>
      <c r="KLU457" s="67"/>
      <c r="KLV457" s="67"/>
      <c r="KLW457" s="67"/>
      <c r="KLX457" s="67"/>
      <c r="KLY457" s="67"/>
      <c r="KLZ457" s="67"/>
      <c r="KMA457" s="67"/>
      <c r="KMB457" s="67"/>
      <c r="KMC457" s="67"/>
      <c r="KMD457" s="67"/>
      <c r="KME457" s="67"/>
      <c r="KMF457" s="67"/>
      <c r="KMG457" s="67"/>
      <c r="KMH457" s="67"/>
      <c r="KMI457" s="67"/>
      <c r="KMJ457" s="67"/>
      <c r="KMK457" s="67"/>
      <c r="KML457" s="67"/>
      <c r="KMM457" s="67"/>
      <c r="KMN457" s="67"/>
      <c r="KMO457" s="67"/>
      <c r="KMP457" s="67"/>
      <c r="KMQ457" s="67"/>
      <c r="KMR457" s="67"/>
      <c r="KMS457" s="67"/>
      <c r="KMT457" s="67"/>
      <c r="KMU457" s="67"/>
      <c r="KMV457" s="67"/>
      <c r="KMW457" s="67"/>
      <c r="KMX457" s="67"/>
      <c r="KMY457" s="67"/>
      <c r="KMZ457" s="67"/>
      <c r="KNA457" s="67"/>
      <c r="KNB457" s="67"/>
      <c r="KNC457" s="67"/>
      <c r="KND457" s="67"/>
      <c r="KNE457" s="67"/>
      <c r="KNF457" s="67"/>
      <c r="KNG457" s="67"/>
      <c r="KNH457" s="67"/>
      <c r="KNI457" s="67"/>
      <c r="KNJ457" s="67"/>
      <c r="KNK457" s="67"/>
      <c r="KNL457" s="67"/>
      <c r="KNM457" s="67"/>
      <c r="KNN457" s="67"/>
      <c r="KNO457" s="67"/>
      <c r="KNP457" s="67"/>
      <c r="KNQ457" s="67"/>
      <c r="KNR457" s="67"/>
      <c r="KNS457" s="67"/>
      <c r="KNT457" s="67"/>
      <c r="KNU457" s="67"/>
      <c r="KNV457" s="67"/>
      <c r="KNW457" s="67"/>
      <c r="KNX457" s="67"/>
      <c r="KNY457" s="67"/>
      <c r="KNZ457" s="67"/>
      <c r="KOA457" s="67"/>
      <c r="KOB457" s="67"/>
      <c r="KOC457" s="67"/>
      <c r="KOD457" s="67"/>
      <c r="KOE457" s="67"/>
      <c r="KOF457" s="67"/>
      <c r="KOG457" s="67"/>
      <c r="KOH457" s="67"/>
      <c r="KOI457" s="67"/>
      <c r="KOJ457" s="67"/>
      <c r="KOK457" s="67"/>
      <c r="KOL457" s="67"/>
      <c r="KOM457" s="67"/>
      <c r="KON457" s="67"/>
      <c r="KOO457" s="67"/>
      <c r="KOP457" s="67"/>
      <c r="KOQ457" s="67"/>
      <c r="KOR457" s="67"/>
      <c r="KOS457" s="67"/>
      <c r="KOT457" s="67"/>
      <c r="KOU457" s="67"/>
      <c r="KOV457" s="67"/>
      <c r="KOW457" s="67"/>
      <c r="KOX457" s="67"/>
      <c r="KOY457" s="67"/>
      <c r="KOZ457" s="67"/>
      <c r="KPA457" s="67"/>
      <c r="KPB457" s="67"/>
      <c r="KPC457" s="67"/>
      <c r="KPD457" s="67"/>
      <c r="KPE457" s="67"/>
      <c r="KPF457" s="67"/>
      <c r="KPG457" s="67"/>
      <c r="KPH457" s="67"/>
      <c r="KPI457" s="67"/>
      <c r="KPJ457" s="67"/>
      <c r="KPK457" s="67"/>
      <c r="KPL457" s="67"/>
      <c r="KPM457" s="67"/>
      <c r="KPN457" s="67"/>
      <c r="KPO457" s="67"/>
      <c r="KPP457" s="67"/>
      <c r="KPQ457" s="67"/>
      <c r="KPR457" s="67"/>
      <c r="KPS457" s="67"/>
      <c r="KPT457" s="67"/>
      <c r="KPU457" s="67"/>
      <c r="KPV457" s="67"/>
      <c r="KPW457" s="67"/>
      <c r="KPX457" s="67"/>
      <c r="KPY457" s="67"/>
      <c r="KPZ457" s="67"/>
      <c r="KQA457" s="67"/>
      <c r="KQB457" s="67"/>
      <c r="KQC457" s="67"/>
      <c r="KQD457" s="67"/>
      <c r="KQE457" s="67"/>
      <c r="KQF457" s="67"/>
      <c r="KQG457" s="67"/>
      <c r="KQH457" s="67"/>
      <c r="KQI457" s="67"/>
      <c r="KQJ457" s="67"/>
      <c r="KQK457" s="67"/>
      <c r="KQL457" s="67"/>
      <c r="KQM457" s="67"/>
      <c r="KQN457" s="67"/>
      <c r="KQO457" s="67"/>
      <c r="KQP457" s="67"/>
      <c r="KQQ457" s="67"/>
      <c r="KQR457" s="67"/>
      <c r="KQS457" s="67"/>
      <c r="KQT457" s="67"/>
      <c r="KQU457" s="67"/>
      <c r="KQV457" s="67"/>
      <c r="KQW457" s="67"/>
      <c r="KQX457" s="67"/>
      <c r="KQY457" s="67"/>
      <c r="KQZ457" s="67"/>
      <c r="KRA457" s="67"/>
      <c r="KRB457" s="67"/>
      <c r="KRC457" s="67"/>
      <c r="KRD457" s="67"/>
      <c r="KRE457" s="67"/>
      <c r="KRF457" s="67"/>
      <c r="KRG457" s="67"/>
      <c r="KRH457" s="67"/>
      <c r="KRI457" s="67"/>
      <c r="KRJ457" s="67"/>
      <c r="KRK457" s="67"/>
      <c r="KRL457" s="67"/>
      <c r="KRM457" s="67"/>
      <c r="KRN457" s="67"/>
      <c r="KRO457" s="67"/>
      <c r="KRP457" s="67"/>
      <c r="KRQ457" s="67"/>
      <c r="KRR457" s="67"/>
      <c r="KRS457" s="67"/>
      <c r="KRT457" s="67"/>
      <c r="KRU457" s="67"/>
      <c r="KRV457" s="67"/>
      <c r="KRW457" s="67"/>
      <c r="KRX457" s="67"/>
      <c r="KRY457" s="67"/>
      <c r="KRZ457" s="67"/>
      <c r="KSA457" s="67"/>
      <c r="KSB457" s="67"/>
      <c r="KSC457" s="67"/>
      <c r="KSD457" s="67"/>
      <c r="KSE457" s="67"/>
      <c r="KSF457" s="67"/>
      <c r="KSG457" s="67"/>
      <c r="KSH457" s="67"/>
      <c r="KSI457" s="67"/>
      <c r="KSJ457" s="67"/>
      <c r="KSK457" s="67"/>
      <c r="KSL457" s="67"/>
      <c r="KSM457" s="67"/>
      <c r="KSN457" s="67"/>
      <c r="KSO457" s="67"/>
      <c r="KSP457" s="67"/>
      <c r="KSQ457" s="67"/>
      <c r="KSR457" s="67"/>
      <c r="KSS457" s="67"/>
      <c r="KST457" s="67"/>
      <c r="KSU457" s="67"/>
      <c r="KSV457" s="67"/>
      <c r="KSW457" s="67"/>
      <c r="KSX457" s="67"/>
      <c r="KSY457" s="67"/>
      <c r="KSZ457" s="67"/>
      <c r="KTA457" s="67"/>
      <c r="KTB457" s="67"/>
      <c r="KTC457" s="67"/>
      <c r="KTD457" s="67"/>
      <c r="KTE457" s="67"/>
      <c r="KTF457" s="67"/>
      <c r="KTG457" s="67"/>
      <c r="KTH457" s="67"/>
      <c r="KTI457" s="67"/>
      <c r="KTJ457" s="67"/>
      <c r="KTK457" s="67"/>
      <c r="KTL457" s="67"/>
      <c r="KTM457" s="67"/>
      <c r="KTN457" s="67"/>
      <c r="KTO457" s="67"/>
      <c r="KTP457" s="67"/>
      <c r="KTQ457" s="67"/>
      <c r="KTR457" s="67"/>
      <c r="KTS457" s="67"/>
      <c r="KTT457" s="67"/>
      <c r="KTU457" s="67"/>
      <c r="KTV457" s="67"/>
      <c r="KTW457" s="67"/>
      <c r="KTX457" s="67"/>
      <c r="KTY457" s="67"/>
      <c r="KTZ457" s="67"/>
      <c r="KUA457" s="67"/>
      <c r="KUB457" s="67"/>
      <c r="KUC457" s="67"/>
      <c r="KUD457" s="67"/>
      <c r="KUE457" s="67"/>
      <c r="KUF457" s="67"/>
      <c r="KUG457" s="67"/>
      <c r="KUH457" s="67"/>
      <c r="KUI457" s="67"/>
      <c r="KUJ457" s="67"/>
      <c r="KUK457" s="67"/>
      <c r="KUL457" s="67"/>
      <c r="KUM457" s="67"/>
      <c r="KUN457" s="67"/>
      <c r="KUO457" s="67"/>
      <c r="KUP457" s="67"/>
      <c r="KUQ457" s="67"/>
      <c r="KUR457" s="67"/>
      <c r="KUS457" s="67"/>
      <c r="KUT457" s="67"/>
      <c r="KUU457" s="67"/>
      <c r="KUV457" s="67"/>
      <c r="KUW457" s="67"/>
      <c r="KUX457" s="67"/>
      <c r="KUY457" s="67"/>
      <c r="KUZ457" s="67"/>
      <c r="KVA457" s="67"/>
      <c r="KVB457" s="67"/>
      <c r="KVC457" s="67"/>
      <c r="KVD457" s="67"/>
      <c r="KVE457" s="67"/>
      <c r="KVF457" s="67"/>
      <c r="KVG457" s="67"/>
      <c r="KVH457" s="67"/>
      <c r="KVI457" s="67"/>
      <c r="KVJ457" s="67"/>
      <c r="KVK457" s="67"/>
      <c r="KVL457" s="67"/>
      <c r="KVM457" s="67"/>
      <c r="KVN457" s="67"/>
      <c r="KVO457" s="67"/>
      <c r="KVP457" s="67"/>
      <c r="KVQ457" s="67"/>
      <c r="KVR457" s="67"/>
      <c r="KVS457" s="67"/>
      <c r="KVT457" s="67"/>
      <c r="KVU457" s="67"/>
      <c r="KVV457" s="67"/>
      <c r="KVW457" s="67"/>
      <c r="KVX457" s="67"/>
      <c r="KVY457" s="67"/>
      <c r="KVZ457" s="67"/>
      <c r="KWA457" s="67"/>
      <c r="KWB457" s="67"/>
      <c r="KWC457" s="67"/>
      <c r="KWD457" s="67"/>
      <c r="KWE457" s="67"/>
      <c r="KWF457" s="67"/>
      <c r="KWG457" s="67"/>
      <c r="KWH457" s="67"/>
      <c r="KWI457" s="67"/>
      <c r="KWJ457" s="67"/>
      <c r="KWK457" s="67"/>
      <c r="KWL457" s="67"/>
      <c r="KWM457" s="67"/>
      <c r="KWN457" s="67"/>
      <c r="KWO457" s="67"/>
      <c r="KWP457" s="67"/>
      <c r="KWQ457" s="67"/>
      <c r="KWR457" s="67"/>
      <c r="KWS457" s="67"/>
      <c r="KWT457" s="67"/>
      <c r="KWU457" s="67"/>
      <c r="KWV457" s="67"/>
      <c r="KWW457" s="67"/>
      <c r="KWX457" s="67"/>
      <c r="KWY457" s="67"/>
      <c r="KWZ457" s="67"/>
      <c r="KXA457" s="67"/>
      <c r="KXB457" s="67"/>
      <c r="KXC457" s="67"/>
      <c r="KXD457" s="67"/>
      <c r="KXE457" s="67"/>
      <c r="KXF457" s="67"/>
      <c r="KXG457" s="67"/>
      <c r="KXH457" s="67"/>
      <c r="KXI457" s="67"/>
      <c r="KXJ457" s="67"/>
      <c r="KXK457" s="67"/>
      <c r="KXL457" s="67"/>
      <c r="KXM457" s="67"/>
      <c r="KXN457" s="67"/>
      <c r="KXO457" s="67"/>
      <c r="KXP457" s="67"/>
      <c r="KXQ457" s="67"/>
      <c r="KXR457" s="67"/>
      <c r="KXS457" s="67"/>
      <c r="KXT457" s="67"/>
      <c r="KXU457" s="67"/>
      <c r="KXV457" s="67"/>
      <c r="KXW457" s="67"/>
      <c r="KXX457" s="67"/>
      <c r="KXY457" s="67"/>
      <c r="KXZ457" s="67"/>
      <c r="KYA457" s="67"/>
      <c r="KYB457" s="67"/>
      <c r="KYC457" s="67"/>
      <c r="KYD457" s="67"/>
      <c r="KYE457" s="67"/>
      <c r="KYF457" s="67"/>
      <c r="KYG457" s="67"/>
      <c r="KYH457" s="67"/>
      <c r="KYI457" s="67"/>
      <c r="KYJ457" s="67"/>
      <c r="KYK457" s="67"/>
      <c r="KYL457" s="67"/>
      <c r="KYM457" s="67"/>
      <c r="KYN457" s="67"/>
      <c r="KYO457" s="67"/>
      <c r="KYP457" s="67"/>
      <c r="KYQ457" s="67"/>
      <c r="KYR457" s="67"/>
      <c r="KYS457" s="67"/>
      <c r="KYT457" s="67"/>
      <c r="KYU457" s="67"/>
      <c r="KYV457" s="67"/>
      <c r="KYW457" s="67"/>
      <c r="KYX457" s="67"/>
      <c r="KYY457" s="67"/>
      <c r="KYZ457" s="67"/>
      <c r="KZA457" s="67"/>
      <c r="KZB457" s="67"/>
      <c r="KZC457" s="67"/>
      <c r="KZD457" s="67"/>
      <c r="KZE457" s="67"/>
      <c r="KZF457" s="67"/>
      <c r="KZG457" s="67"/>
      <c r="KZH457" s="67"/>
      <c r="KZI457" s="67"/>
      <c r="KZJ457" s="67"/>
      <c r="KZK457" s="67"/>
      <c r="KZL457" s="67"/>
      <c r="KZM457" s="67"/>
      <c r="KZN457" s="67"/>
      <c r="KZO457" s="67"/>
      <c r="KZP457" s="67"/>
      <c r="KZQ457" s="67"/>
      <c r="KZR457" s="67"/>
      <c r="KZS457" s="67"/>
      <c r="KZT457" s="67"/>
      <c r="KZU457" s="67"/>
      <c r="KZV457" s="67"/>
      <c r="KZW457" s="67"/>
      <c r="KZX457" s="67"/>
      <c r="KZY457" s="67"/>
      <c r="KZZ457" s="67"/>
      <c r="LAA457" s="67"/>
      <c r="LAB457" s="67"/>
      <c r="LAC457" s="67"/>
      <c r="LAD457" s="67"/>
      <c r="LAE457" s="67"/>
      <c r="LAF457" s="67"/>
      <c r="LAG457" s="67"/>
      <c r="LAH457" s="67"/>
      <c r="LAI457" s="67"/>
      <c r="LAJ457" s="67"/>
      <c r="LAK457" s="67"/>
      <c r="LAL457" s="67"/>
      <c r="LAM457" s="67"/>
      <c r="LAN457" s="67"/>
      <c r="LAO457" s="67"/>
      <c r="LAP457" s="67"/>
      <c r="LAQ457" s="67"/>
      <c r="LAR457" s="67"/>
      <c r="LAS457" s="67"/>
      <c r="LAT457" s="67"/>
      <c r="LAU457" s="67"/>
      <c r="LAV457" s="67"/>
      <c r="LAW457" s="67"/>
      <c r="LAX457" s="67"/>
      <c r="LAY457" s="67"/>
      <c r="LAZ457" s="67"/>
      <c r="LBA457" s="67"/>
      <c r="LBB457" s="67"/>
      <c r="LBC457" s="67"/>
      <c r="LBD457" s="67"/>
      <c r="LBE457" s="67"/>
      <c r="LBF457" s="67"/>
      <c r="LBG457" s="67"/>
      <c r="LBH457" s="67"/>
      <c r="LBI457" s="67"/>
      <c r="LBJ457" s="67"/>
      <c r="LBK457" s="67"/>
      <c r="LBL457" s="67"/>
      <c r="LBM457" s="67"/>
      <c r="LBN457" s="67"/>
      <c r="LBO457" s="67"/>
      <c r="LBP457" s="67"/>
      <c r="LBQ457" s="67"/>
      <c r="LBR457" s="67"/>
      <c r="LBS457" s="67"/>
      <c r="LBT457" s="67"/>
      <c r="LBU457" s="67"/>
      <c r="LBV457" s="67"/>
      <c r="LBW457" s="67"/>
      <c r="LBX457" s="67"/>
      <c r="LBY457" s="67"/>
      <c r="LBZ457" s="67"/>
      <c r="LCA457" s="67"/>
      <c r="LCB457" s="67"/>
      <c r="LCC457" s="67"/>
      <c r="LCD457" s="67"/>
      <c r="LCE457" s="67"/>
      <c r="LCF457" s="67"/>
      <c r="LCG457" s="67"/>
      <c r="LCH457" s="67"/>
      <c r="LCI457" s="67"/>
      <c r="LCJ457" s="67"/>
      <c r="LCK457" s="67"/>
      <c r="LCL457" s="67"/>
      <c r="LCM457" s="67"/>
      <c r="LCN457" s="67"/>
      <c r="LCO457" s="67"/>
      <c r="LCP457" s="67"/>
      <c r="LCQ457" s="67"/>
      <c r="LCR457" s="67"/>
      <c r="LCS457" s="67"/>
      <c r="LCT457" s="67"/>
      <c r="LCU457" s="67"/>
      <c r="LCV457" s="67"/>
      <c r="LCW457" s="67"/>
      <c r="LCX457" s="67"/>
      <c r="LCY457" s="67"/>
      <c r="LCZ457" s="67"/>
      <c r="LDA457" s="67"/>
      <c r="LDB457" s="67"/>
      <c r="LDC457" s="67"/>
      <c r="LDD457" s="67"/>
      <c r="LDE457" s="67"/>
      <c r="LDF457" s="67"/>
      <c r="LDG457" s="67"/>
      <c r="LDH457" s="67"/>
      <c r="LDI457" s="67"/>
      <c r="LDJ457" s="67"/>
      <c r="LDK457" s="67"/>
      <c r="LDL457" s="67"/>
      <c r="LDM457" s="67"/>
      <c r="LDN457" s="67"/>
      <c r="LDO457" s="67"/>
      <c r="LDP457" s="67"/>
      <c r="LDQ457" s="67"/>
      <c r="LDR457" s="67"/>
      <c r="LDS457" s="67"/>
      <c r="LDT457" s="67"/>
      <c r="LDU457" s="67"/>
      <c r="LDV457" s="67"/>
      <c r="LDW457" s="67"/>
      <c r="LDX457" s="67"/>
      <c r="LDY457" s="67"/>
      <c r="LDZ457" s="67"/>
      <c r="LEA457" s="67"/>
      <c r="LEB457" s="67"/>
      <c r="LEC457" s="67"/>
      <c r="LED457" s="67"/>
      <c r="LEE457" s="67"/>
      <c r="LEF457" s="67"/>
      <c r="LEG457" s="67"/>
      <c r="LEH457" s="67"/>
      <c r="LEI457" s="67"/>
      <c r="LEJ457" s="67"/>
      <c r="LEK457" s="67"/>
      <c r="LEL457" s="67"/>
      <c r="LEM457" s="67"/>
      <c r="LEN457" s="67"/>
      <c r="LEO457" s="67"/>
      <c r="LEP457" s="67"/>
      <c r="LEQ457" s="67"/>
      <c r="LER457" s="67"/>
      <c r="LES457" s="67"/>
      <c r="LET457" s="67"/>
      <c r="LEU457" s="67"/>
      <c r="LEV457" s="67"/>
      <c r="LEW457" s="67"/>
      <c r="LEX457" s="67"/>
      <c r="LEY457" s="67"/>
      <c r="LEZ457" s="67"/>
      <c r="LFA457" s="67"/>
      <c r="LFB457" s="67"/>
      <c r="LFC457" s="67"/>
      <c r="LFD457" s="67"/>
      <c r="LFE457" s="67"/>
      <c r="LFF457" s="67"/>
      <c r="LFG457" s="67"/>
      <c r="LFH457" s="67"/>
      <c r="LFI457" s="67"/>
      <c r="LFJ457" s="67"/>
      <c r="LFK457" s="67"/>
      <c r="LFL457" s="67"/>
      <c r="LFM457" s="67"/>
      <c r="LFN457" s="67"/>
      <c r="LFO457" s="67"/>
      <c r="LFP457" s="67"/>
      <c r="LFQ457" s="67"/>
      <c r="LFR457" s="67"/>
      <c r="LFS457" s="67"/>
      <c r="LFT457" s="67"/>
      <c r="LFU457" s="67"/>
      <c r="LFV457" s="67"/>
      <c r="LFW457" s="67"/>
      <c r="LFX457" s="67"/>
      <c r="LFY457" s="67"/>
      <c r="LFZ457" s="67"/>
      <c r="LGA457" s="67"/>
      <c r="LGB457" s="67"/>
      <c r="LGC457" s="67"/>
      <c r="LGD457" s="67"/>
      <c r="LGE457" s="67"/>
      <c r="LGF457" s="67"/>
      <c r="LGG457" s="67"/>
      <c r="LGH457" s="67"/>
      <c r="LGI457" s="67"/>
      <c r="LGJ457" s="67"/>
      <c r="LGK457" s="67"/>
      <c r="LGL457" s="67"/>
      <c r="LGM457" s="67"/>
      <c r="LGN457" s="67"/>
      <c r="LGO457" s="67"/>
      <c r="LGP457" s="67"/>
      <c r="LGQ457" s="67"/>
      <c r="LGR457" s="67"/>
      <c r="LGS457" s="67"/>
      <c r="LGT457" s="67"/>
      <c r="LGU457" s="67"/>
      <c r="LGV457" s="67"/>
      <c r="LGW457" s="67"/>
      <c r="LGX457" s="67"/>
      <c r="LGY457" s="67"/>
      <c r="LGZ457" s="67"/>
      <c r="LHA457" s="67"/>
      <c r="LHB457" s="67"/>
      <c r="LHC457" s="67"/>
      <c r="LHD457" s="67"/>
      <c r="LHE457" s="67"/>
      <c r="LHF457" s="67"/>
      <c r="LHG457" s="67"/>
      <c r="LHH457" s="67"/>
      <c r="LHI457" s="67"/>
      <c r="LHJ457" s="67"/>
      <c r="LHK457" s="67"/>
      <c r="LHL457" s="67"/>
      <c r="LHM457" s="67"/>
      <c r="LHN457" s="67"/>
      <c r="LHO457" s="67"/>
      <c r="LHP457" s="67"/>
      <c r="LHQ457" s="67"/>
      <c r="LHR457" s="67"/>
      <c r="LHS457" s="67"/>
      <c r="LHT457" s="67"/>
      <c r="LHU457" s="67"/>
      <c r="LHV457" s="67"/>
      <c r="LHW457" s="67"/>
      <c r="LHX457" s="67"/>
      <c r="LHY457" s="67"/>
      <c r="LHZ457" s="67"/>
      <c r="LIA457" s="67"/>
      <c r="LIB457" s="67"/>
      <c r="LIC457" s="67"/>
      <c r="LID457" s="67"/>
      <c r="LIE457" s="67"/>
      <c r="LIF457" s="67"/>
      <c r="LIG457" s="67"/>
      <c r="LIH457" s="67"/>
      <c r="LII457" s="67"/>
      <c r="LIJ457" s="67"/>
      <c r="LIK457" s="67"/>
      <c r="LIL457" s="67"/>
      <c r="LIM457" s="67"/>
      <c r="LIN457" s="67"/>
      <c r="LIO457" s="67"/>
      <c r="LIP457" s="67"/>
      <c r="LIQ457" s="67"/>
      <c r="LIR457" s="67"/>
      <c r="LIS457" s="67"/>
      <c r="LIT457" s="67"/>
      <c r="LIU457" s="67"/>
      <c r="LIV457" s="67"/>
      <c r="LIW457" s="67"/>
      <c r="LIX457" s="67"/>
      <c r="LIY457" s="67"/>
      <c r="LIZ457" s="67"/>
      <c r="LJA457" s="67"/>
      <c r="LJB457" s="67"/>
      <c r="LJC457" s="67"/>
      <c r="LJD457" s="67"/>
      <c r="LJE457" s="67"/>
      <c r="LJF457" s="67"/>
      <c r="LJG457" s="67"/>
      <c r="LJH457" s="67"/>
      <c r="LJI457" s="67"/>
      <c r="LJJ457" s="67"/>
      <c r="LJK457" s="67"/>
      <c r="LJL457" s="67"/>
      <c r="LJM457" s="67"/>
      <c r="LJN457" s="67"/>
      <c r="LJO457" s="67"/>
      <c r="LJP457" s="67"/>
      <c r="LJQ457" s="67"/>
      <c r="LJR457" s="67"/>
      <c r="LJS457" s="67"/>
      <c r="LJT457" s="67"/>
      <c r="LJU457" s="67"/>
      <c r="LJV457" s="67"/>
      <c r="LJW457" s="67"/>
      <c r="LJX457" s="67"/>
      <c r="LJY457" s="67"/>
      <c r="LJZ457" s="67"/>
      <c r="LKA457" s="67"/>
      <c r="LKB457" s="67"/>
      <c r="LKC457" s="67"/>
      <c r="LKD457" s="67"/>
      <c r="LKE457" s="67"/>
      <c r="LKF457" s="67"/>
      <c r="LKG457" s="67"/>
      <c r="LKH457" s="67"/>
      <c r="LKI457" s="67"/>
      <c r="LKJ457" s="67"/>
      <c r="LKK457" s="67"/>
      <c r="LKL457" s="67"/>
      <c r="LKM457" s="67"/>
      <c r="LKN457" s="67"/>
      <c r="LKO457" s="67"/>
      <c r="LKP457" s="67"/>
      <c r="LKQ457" s="67"/>
      <c r="LKR457" s="67"/>
      <c r="LKS457" s="67"/>
      <c r="LKT457" s="67"/>
      <c r="LKU457" s="67"/>
      <c r="LKV457" s="67"/>
      <c r="LKW457" s="67"/>
      <c r="LKX457" s="67"/>
      <c r="LKY457" s="67"/>
      <c r="LKZ457" s="67"/>
      <c r="LLA457" s="67"/>
      <c r="LLB457" s="67"/>
      <c r="LLC457" s="67"/>
      <c r="LLD457" s="67"/>
      <c r="LLE457" s="67"/>
      <c r="LLF457" s="67"/>
      <c r="LLG457" s="67"/>
      <c r="LLH457" s="67"/>
      <c r="LLI457" s="67"/>
      <c r="LLJ457" s="67"/>
      <c r="LLK457" s="67"/>
      <c r="LLL457" s="67"/>
      <c r="LLM457" s="67"/>
      <c r="LLN457" s="67"/>
      <c r="LLO457" s="67"/>
      <c r="LLP457" s="67"/>
      <c r="LLQ457" s="67"/>
      <c r="LLR457" s="67"/>
      <c r="LLS457" s="67"/>
      <c r="LLT457" s="67"/>
      <c r="LLU457" s="67"/>
      <c r="LLV457" s="67"/>
      <c r="LLW457" s="67"/>
      <c r="LLX457" s="67"/>
      <c r="LLY457" s="67"/>
      <c r="LLZ457" s="67"/>
      <c r="LMA457" s="67"/>
      <c r="LMB457" s="67"/>
      <c r="LMC457" s="67"/>
      <c r="LMD457" s="67"/>
      <c r="LME457" s="67"/>
      <c r="LMF457" s="67"/>
      <c r="LMG457" s="67"/>
      <c r="LMH457" s="67"/>
      <c r="LMI457" s="67"/>
      <c r="LMJ457" s="67"/>
      <c r="LMK457" s="67"/>
      <c r="LML457" s="67"/>
      <c r="LMM457" s="67"/>
      <c r="LMN457" s="67"/>
      <c r="LMO457" s="67"/>
      <c r="LMP457" s="67"/>
      <c r="LMQ457" s="67"/>
      <c r="LMR457" s="67"/>
      <c r="LMS457" s="67"/>
      <c r="LMT457" s="67"/>
      <c r="LMU457" s="67"/>
      <c r="LMV457" s="67"/>
      <c r="LMW457" s="67"/>
      <c r="LMX457" s="67"/>
      <c r="LMY457" s="67"/>
      <c r="LMZ457" s="67"/>
      <c r="LNA457" s="67"/>
      <c r="LNB457" s="67"/>
      <c r="LNC457" s="67"/>
      <c r="LND457" s="67"/>
      <c r="LNE457" s="67"/>
      <c r="LNF457" s="67"/>
      <c r="LNG457" s="67"/>
      <c r="LNH457" s="67"/>
      <c r="LNI457" s="67"/>
      <c r="LNJ457" s="67"/>
      <c r="LNK457" s="67"/>
      <c r="LNL457" s="67"/>
      <c r="LNM457" s="67"/>
      <c r="LNN457" s="67"/>
      <c r="LNO457" s="67"/>
      <c r="LNP457" s="67"/>
      <c r="LNQ457" s="67"/>
      <c r="LNR457" s="67"/>
      <c r="LNS457" s="67"/>
      <c r="LNT457" s="67"/>
      <c r="LNU457" s="67"/>
      <c r="LNV457" s="67"/>
      <c r="LNW457" s="67"/>
      <c r="LNX457" s="67"/>
      <c r="LNY457" s="67"/>
      <c r="LNZ457" s="67"/>
      <c r="LOA457" s="67"/>
      <c r="LOB457" s="67"/>
      <c r="LOC457" s="67"/>
      <c r="LOD457" s="67"/>
      <c r="LOE457" s="67"/>
      <c r="LOF457" s="67"/>
      <c r="LOG457" s="67"/>
      <c r="LOH457" s="67"/>
      <c r="LOI457" s="67"/>
      <c r="LOJ457" s="67"/>
      <c r="LOK457" s="67"/>
      <c r="LOL457" s="67"/>
      <c r="LOM457" s="67"/>
      <c r="LON457" s="67"/>
      <c r="LOO457" s="67"/>
      <c r="LOP457" s="67"/>
      <c r="LOQ457" s="67"/>
      <c r="LOR457" s="67"/>
      <c r="LOS457" s="67"/>
      <c r="LOT457" s="67"/>
      <c r="LOU457" s="67"/>
      <c r="LOV457" s="67"/>
      <c r="LOW457" s="67"/>
      <c r="LOX457" s="67"/>
      <c r="LOY457" s="67"/>
      <c r="LOZ457" s="67"/>
      <c r="LPA457" s="67"/>
      <c r="LPB457" s="67"/>
      <c r="LPC457" s="67"/>
      <c r="LPD457" s="67"/>
      <c r="LPE457" s="67"/>
      <c r="LPF457" s="67"/>
      <c r="LPG457" s="67"/>
      <c r="LPH457" s="67"/>
      <c r="LPI457" s="67"/>
      <c r="LPJ457" s="67"/>
      <c r="LPK457" s="67"/>
      <c r="LPL457" s="67"/>
      <c r="LPM457" s="67"/>
      <c r="LPN457" s="67"/>
      <c r="LPO457" s="67"/>
      <c r="LPP457" s="67"/>
      <c r="LPQ457" s="67"/>
      <c r="LPR457" s="67"/>
      <c r="LPS457" s="67"/>
      <c r="LPT457" s="67"/>
      <c r="LPU457" s="67"/>
      <c r="LPV457" s="67"/>
      <c r="LPW457" s="67"/>
      <c r="LPX457" s="67"/>
      <c r="LPY457" s="67"/>
      <c r="LPZ457" s="67"/>
      <c r="LQA457" s="67"/>
      <c r="LQB457" s="67"/>
      <c r="LQC457" s="67"/>
      <c r="LQD457" s="67"/>
      <c r="LQE457" s="67"/>
      <c r="LQF457" s="67"/>
      <c r="LQG457" s="67"/>
      <c r="LQH457" s="67"/>
      <c r="LQI457" s="67"/>
      <c r="LQJ457" s="67"/>
      <c r="LQK457" s="67"/>
      <c r="LQL457" s="67"/>
      <c r="LQM457" s="67"/>
      <c r="LQN457" s="67"/>
      <c r="LQO457" s="67"/>
      <c r="LQP457" s="67"/>
      <c r="LQQ457" s="67"/>
      <c r="LQR457" s="67"/>
      <c r="LQS457" s="67"/>
      <c r="LQT457" s="67"/>
      <c r="LQU457" s="67"/>
      <c r="LQV457" s="67"/>
      <c r="LQW457" s="67"/>
      <c r="LQX457" s="67"/>
      <c r="LQY457" s="67"/>
      <c r="LQZ457" s="67"/>
      <c r="LRA457" s="67"/>
      <c r="LRB457" s="67"/>
      <c r="LRC457" s="67"/>
      <c r="LRD457" s="67"/>
      <c r="LRE457" s="67"/>
      <c r="LRF457" s="67"/>
      <c r="LRG457" s="67"/>
      <c r="LRH457" s="67"/>
      <c r="LRI457" s="67"/>
      <c r="LRJ457" s="67"/>
      <c r="LRK457" s="67"/>
      <c r="LRL457" s="67"/>
      <c r="LRM457" s="67"/>
      <c r="LRN457" s="67"/>
      <c r="LRO457" s="67"/>
      <c r="LRP457" s="67"/>
      <c r="LRQ457" s="67"/>
      <c r="LRR457" s="67"/>
      <c r="LRS457" s="67"/>
      <c r="LRT457" s="67"/>
      <c r="LRU457" s="67"/>
      <c r="LRV457" s="67"/>
      <c r="LRW457" s="67"/>
      <c r="LRX457" s="67"/>
      <c r="LRY457" s="67"/>
      <c r="LRZ457" s="67"/>
      <c r="LSA457" s="67"/>
      <c r="LSB457" s="67"/>
      <c r="LSC457" s="67"/>
      <c r="LSD457" s="67"/>
      <c r="LSE457" s="67"/>
      <c r="LSF457" s="67"/>
      <c r="LSG457" s="67"/>
      <c r="LSH457" s="67"/>
      <c r="LSI457" s="67"/>
      <c r="LSJ457" s="67"/>
      <c r="LSK457" s="67"/>
      <c r="LSL457" s="67"/>
      <c r="LSM457" s="67"/>
      <c r="LSN457" s="67"/>
      <c r="LSO457" s="67"/>
      <c r="LSP457" s="67"/>
      <c r="LSQ457" s="67"/>
      <c r="LSR457" s="67"/>
      <c r="LSS457" s="67"/>
      <c r="LST457" s="67"/>
      <c r="LSU457" s="67"/>
      <c r="LSV457" s="67"/>
      <c r="LSW457" s="67"/>
      <c r="LSX457" s="67"/>
      <c r="LSY457" s="67"/>
      <c r="LSZ457" s="67"/>
      <c r="LTA457" s="67"/>
      <c r="LTB457" s="67"/>
      <c r="LTC457" s="67"/>
      <c r="LTD457" s="67"/>
      <c r="LTE457" s="67"/>
      <c r="LTF457" s="67"/>
      <c r="LTG457" s="67"/>
      <c r="LTH457" s="67"/>
      <c r="LTI457" s="67"/>
      <c r="LTJ457" s="67"/>
      <c r="LTK457" s="67"/>
      <c r="LTL457" s="67"/>
      <c r="LTM457" s="67"/>
      <c r="LTN457" s="67"/>
      <c r="LTO457" s="67"/>
      <c r="LTP457" s="67"/>
      <c r="LTQ457" s="67"/>
      <c r="LTR457" s="67"/>
      <c r="LTS457" s="67"/>
      <c r="LTT457" s="67"/>
      <c r="LTU457" s="67"/>
      <c r="LTV457" s="67"/>
      <c r="LTW457" s="67"/>
      <c r="LTX457" s="67"/>
      <c r="LTY457" s="67"/>
      <c r="LTZ457" s="67"/>
      <c r="LUA457" s="67"/>
      <c r="LUB457" s="67"/>
      <c r="LUC457" s="67"/>
      <c r="LUD457" s="67"/>
      <c r="LUE457" s="67"/>
      <c r="LUF457" s="67"/>
      <c r="LUG457" s="67"/>
      <c r="LUH457" s="67"/>
      <c r="LUI457" s="67"/>
      <c r="LUJ457" s="67"/>
      <c r="LUK457" s="67"/>
      <c r="LUL457" s="67"/>
      <c r="LUM457" s="67"/>
      <c r="LUN457" s="67"/>
      <c r="LUO457" s="67"/>
      <c r="LUP457" s="67"/>
      <c r="LUQ457" s="67"/>
      <c r="LUR457" s="67"/>
      <c r="LUS457" s="67"/>
      <c r="LUT457" s="67"/>
      <c r="LUU457" s="67"/>
      <c r="LUV457" s="67"/>
      <c r="LUW457" s="67"/>
      <c r="LUX457" s="67"/>
      <c r="LUY457" s="67"/>
      <c r="LUZ457" s="67"/>
      <c r="LVA457" s="67"/>
      <c r="LVB457" s="67"/>
      <c r="LVC457" s="67"/>
      <c r="LVD457" s="67"/>
      <c r="LVE457" s="67"/>
      <c r="LVF457" s="67"/>
      <c r="LVG457" s="67"/>
      <c r="LVH457" s="67"/>
      <c r="LVI457" s="67"/>
      <c r="LVJ457" s="67"/>
      <c r="LVK457" s="67"/>
      <c r="LVL457" s="67"/>
      <c r="LVM457" s="67"/>
      <c r="LVN457" s="67"/>
      <c r="LVO457" s="67"/>
      <c r="LVP457" s="67"/>
      <c r="LVQ457" s="67"/>
      <c r="LVR457" s="67"/>
      <c r="LVS457" s="67"/>
      <c r="LVT457" s="67"/>
      <c r="LVU457" s="67"/>
      <c r="LVV457" s="67"/>
      <c r="LVW457" s="67"/>
      <c r="LVX457" s="67"/>
      <c r="LVY457" s="67"/>
      <c r="LVZ457" s="67"/>
      <c r="LWA457" s="67"/>
      <c r="LWB457" s="67"/>
      <c r="LWC457" s="67"/>
      <c r="LWD457" s="67"/>
      <c r="LWE457" s="67"/>
      <c r="LWF457" s="67"/>
      <c r="LWG457" s="67"/>
      <c r="LWH457" s="67"/>
      <c r="LWI457" s="67"/>
      <c r="LWJ457" s="67"/>
      <c r="LWK457" s="67"/>
      <c r="LWL457" s="67"/>
      <c r="LWM457" s="67"/>
      <c r="LWN457" s="67"/>
      <c r="LWO457" s="67"/>
      <c r="LWP457" s="67"/>
      <c r="LWQ457" s="67"/>
      <c r="LWR457" s="67"/>
      <c r="LWS457" s="67"/>
      <c r="LWT457" s="67"/>
      <c r="LWU457" s="67"/>
      <c r="LWV457" s="67"/>
      <c r="LWW457" s="67"/>
      <c r="LWX457" s="67"/>
      <c r="LWY457" s="67"/>
      <c r="LWZ457" s="67"/>
      <c r="LXA457" s="67"/>
      <c r="LXB457" s="67"/>
      <c r="LXC457" s="67"/>
      <c r="LXD457" s="67"/>
      <c r="LXE457" s="67"/>
      <c r="LXF457" s="67"/>
      <c r="LXG457" s="67"/>
      <c r="LXH457" s="67"/>
      <c r="LXI457" s="67"/>
      <c r="LXJ457" s="67"/>
      <c r="LXK457" s="67"/>
      <c r="LXL457" s="67"/>
      <c r="LXM457" s="67"/>
      <c r="LXN457" s="67"/>
      <c r="LXO457" s="67"/>
      <c r="LXP457" s="67"/>
      <c r="LXQ457" s="67"/>
      <c r="LXR457" s="67"/>
      <c r="LXS457" s="67"/>
      <c r="LXT457" s="67"/>
      <c r="LXU457" s="67"/>
      <c r="LXV457" s="67"/>
      <c r="LXW457" s="67"/>
      <c r="LXX457" s="67"/>
      <c r="LXY457" s="67"/>
      <c r="LXZ457" s="67"/>
      <c r="LYA457" s="67"/>
      <c r="LYB457" s="67"/>
      <c r="LYC457" s="67"/>
      <c r="LYD457" s="67"/>
      <c r="LYE457" s="67"/>
      <c r="LYF457" s="67"/>
      <c r="LYG457" s="67"/>
      <c r="LYH457" s="67"/>
      <c r="LYI457" s="67"/>
      <c r="LYJ457" s="67"/>
      <c r="LYK457" s="67"/>
      <c r="LYL457" s="67"/>
      <c r="LYM457" s="67"/>
      <c r="LYN457" s="67"/>
      <c r="LYO457" s="67"/>
      <c r="LYP457" s="67"/>
      <c r="LYQ457" s="67"/>
      <c r="LYR457" s="67"/>
      <c r="LYS457" s="67"/>
      <c r="LYT457" s="67"/>
      <c r="LYU457" s="67"/>
      <c r="LYV457" s="67"/>
      <c r="LYW457" s="67"/>
      <c r="LYX457" s="67"/>
      <c r="LYY457" s="67"/>
      <c r="LYZ457" s="67"/>
      <c r="LZA457" s="67"/>
      <c r="LZB457" s="67"/>
      <c r="LZC457" s="67"/>
      <c r="LZD457" s="67"/>
      <c r="LZE457" s="67"/>
      <c r="LZF457" s="67"/>
      <c r="LZG457" s="67"/>
      <c r="LZH457" s="67"/>
      <c r="LZI457" s="67"/>
      <c r="LZJ457" s="67"/>
      <c r="LZK457" s="67"/>
      <c r="LZL457" s="67"/>
      <c r="LZM457" s="67"/>
      <c r="LZN457" s="67"/>
      <c r="LZO457" s="67"/>
      <c r="LZP457" s="67"/>
      <c r="LZQ457" s="67"/>
      <c r="LZR457" s="67"/>
      <c r="LZS457" s="67"/>
      <c r="LZT457" s="67"/>
      <c r="LZU457" s="67"/>
      <c r="LZV457" s="67"/>
      <c r="LZW457" s="67"/>
      <c r="LZX457" s="67"/>
      <c r="LZY457" s="67"/>
      <c r="LZZ457" s="67"/>
      <c r="MAA457" s="67"/>
      <c r="MAB457" s="67"/>
      <c r="MAC457" s="67"/>
      <c r="MAD457" s="67"/>
      <c r="MAE457" s="67"/>
      <c r="MAF457" s="67"/>
      <c r="MAG457" s="67"/>
      <c r="MAH457" s="67"/>
      <c r="MAI457" s="67"/>
      <c r="MAJ457" s="67"/>
      <c r="MAK457" s="67"/>
      <c r="MAL457" s="67"/>
      <c r="MAM457" s="67"/>
      <c r="MAN457" s="67"/>
      <c r="MAO457" s="67"/>
      <c r="MAP457" s="67"/>
      <c r="MAQ457" s="67"/>
      <c r="MAR457" s="67"/>
      <c r="MAS457" s="67"/>
      <c r="MAT457" s="67"/>
      <c r="MAU457" s="67"/>
      <c r="MAV457" s="67"/>
      <c r="MAW457" s="67"/>
      <c r="MAX457" s="67"/>
      <c r="MAY457" s="67"/>
      <c r="MAZ457" s="67"/>
      <c r="MBA457" s="67"/>
      <c r="MBB457" s="67"/>
      <c r="MBC457" s="67"/>
      <c r="MBD457" s="67"/>
      <c r="MBE457" s="67"/>
      <c r="MBF457" s="67"/>
      <c r="MBG457" s="67"/>
      <c r="MBH457" s="67"/>
      <c r="MBI457" s="67"/>
      <c r="MBJ457" s="67"/>
      <c r="MBK457" s="67"/>
      <c r="MBL457" s="67"/>
      <c r="MBM457" s="67"/>
      <c r="MBN457" s="67"/>
      <c r="MBO457" s="67"/>
      <c r="MBP457" s="67"/>
      <c r="MBQ457" s="67"/>
      <c r="MBR457" s="67"/>
      <c r="MBS457" s="67"/>
      <c r="MBT457" s="67"/>
      <c r="MBU457" s="67"/>
      <c r="MBV457" s="67"/>
      <c r="MBW457" s="67"/>
      <c r="MBX457" s="67"/>
      <c r="MBY457" s="67"/>
      <c r="MBZ457" s="67"/>
      <c r="MCA457" s="67"/>
      <c r="MCB457" s="67"/>
      <c r="MCC457" s="67"/>
      <c r="MCD457" s="67"/>
      <c r="MCE457" s="67"/>
      <c r="MCF457" s="67"/>
      <c r="MCG457" s="67"/>
      <c r="MCH457" s="67"/>
      <c r="MCI457" s="67"/>
      <c r="MCJ457" s="67"/>
      <c r="MCK457" s="67"/>
      <c r="MCL457" s="67"/>
      <c r="MCM457" s="67"/>
      <c r="MCN457" s="67"/>
      <c r="MCO457" s="67"/>
      <c r="MCP457" s="67"/>
      <c r="MCQ457" s="67"/>
      <c r="MCR457" s="67"/>
      <c r="MCS457" s="67"/>
      <c r="MCT457" s="67"/>
      <c r="MCU457" s="67"/>
      <c r="MCV457" s="67"/>
      <c r="MCW457" s="67"/>
      <c r="MCX457" s="67"/>
      <c r="MCY457" s="67"/>
      <c r="MCZ457" s="67"/>
      <c r="MDA457" s="67"/>
      <c r="MDB457" s="67"/>
      <c r="MDC457" s="67"/>
      <c r="MDD457" s="67"/>
      <c r="MDE457" s="67"/>
      <c r="MDF457" s="67"/>
      <c r="MDG457" s="67"/>
      <c r="MDH457" s="67"/>
      <c r="MDI457" s="67"/>
      <c r="MDJ457" s="67"/>
      <c r="MDK457" s="67"/>
      <c r="MDL457" s="67"/>
      <c r="MDM457" s="67"/>
      <c r="MDN457" s="67"/>
      <c r="MDO457" s="67"/>
      <c r="MDP457" s="67"/>
      <c r="MDQ457" s="67"/>
      <c r="MDR457" s="67"/>
      <c r="MDS457" s="67"/>
      <c r="MDT457" s="67"/>
      <c r="MDU457" s="67"/>
      <c r="MDV457" s="67"/>
      <c r="MDW457" s="67"/>
      <c r="MDX457" s="67"/>
      <c r="MDY457" s="67"/>
      <c r="MDZ457" s="67"/>
      <c r="MEA457" s="67"/>
      <c r="MEB457" s="67"/>
      <c r="MEC457" s="67"/>
      <c r="MED457" s="67"/>
      <c r="MEE457" s="67"/>
      <c r="MEF457" s="67"/>
      <c r="MEG457" s="67"/>
      <c r="MEH457" s="67"/>
      <c r="MEI457" s="67"/>
      <c r="MEJ457" s="67"/>
      <c r="MEK457" s="67"/>
      <c r="MEL457" s="67"/>
      <c r="MEM457" s="67"/>
      <c r="MEN457" s="67"/>
      <c r="MEO457" s="67"/>
      <c r="MEP457" s="67"/>
      <c r="MEQ457" s="67"/>
      <c r="MER457" s="67"/>
      <c r="MES457" s="67"/>
      <c r="MET457" s="67"/>
      <c r="MEU457" s="67"/>
      <c r="MEV457" s="67"/>
      <c r="MEW457" s="67"/>
      <c r="MEX457" s="67"/>
      <c r="MEY457" s="67"/>
      <c r="MEZ457" s="67"/>
      <c r="MFA457" s="67"/>
      <c r="MFB457" s="67"/>
      <c r="MFC457" s="67"/>
      <c r="MFD457" s="67"/>
      <c r="MFE457" s="67"/>
      <c r="MFF457" s="67"/>
      <c r="MFG457" s="67"/>
      <c r="MFH457" s="67"/>
      <c r="MFI457" s="67"/>
      <c r="MFJ457" s="67"/>
      <c r="MFK457" s="67"/>
      <c r="MFL457" s="67"/>
      <c r="MFM457" s="67"/>
      <c r="MFN457" s="67"/>
      <c r="MFO457" s="67"/>
      <c r="MFP457" s="67"/>
      <c r="MFQ457" s="67"/>
      <c r="MFR457" s="67"/>
      <c r="MFS457" s="67"/>
      <c r="MFT457" s="67"/>
      <c r="MFU457" s="67"/>
      <c r="MFV457" s="67"/>
      <c r="MFW457" s="67"/>
      <c r="MFX457" s="67"/>
      <c r="MFY457" s="67"/>
      <c r="MFZ457" s="67"/>
      <c r="MGA457" s="67"/>
      <c r="MGB457" s="67"/>
      <c r="MGC457" s="67"/>
      <c r="MGD457" s="67"/>
      <c r="MGE457" s="67"/>
      <c r="MGF457" s="67"/>
      <c r="MGG457" s="67"/>
      <c r="MGH457" s="67"/>
      <c r="MGI457" s="67"/>
      <c r="MGJ457" s="67"/>
      <c r="MGK457" s="67"/>
      <c r="MGL457" s="67"/>
      <c r="MGM457" s="67"/>
      <c r="MGN457" s="67"/>
      <c r="MGO457" s="67"/>
      <c r="MGP457" s="67"/>
      <c r="MGQ457" s="67"/>
      <c r="MGR457" s="67"/>
      <c r="MGS457" s="67"/>
      <c r="MGT457" s="67"/>
      <c r="MGU457" s="67"/>
      <c r="MGV457" s="67"/>
      <c r="MGW457" s="67"/>
      <c r="MGX457" s="67"/>
      <c r="MGY457" s="67"/>
      <c r="MGZ457" s="67"/>
      <c r="MHA457" s="67"/>
      <c r="MHB457" s="67"/>
      <c r="MHC457" s="67"/>
      <c r="MHD457" s="67"/>
      <c r="MHE457" s="67"/>
      <c r="MHF457" s="67"/>
      <c r="MHG457" s="67"/>
      <c r="MHH457" s="67"/>
      <c r="MHI457" s="67"/>
      <c r="MHJ457" s="67"/>
      <c r="MHK457" s="67"/>
      <c r="MHL457" s="67"/>
      <c r="MHM457" s="67"/>
      <c r="MHN457" s="67"/>
      <c r="MHO457" s="67"/>
      <c r="MHP457" s="67"/>
      <c r="MHQ457" s="67"/>
      <c r="MHR457" s="67"/>
      <c r="MHS457" s="67"/>
      <c r="MHT457" s="67"/>
      <c r="MHU457" s="67"/>
      <c r="MHV457" s="67"/>
      <c r="MHW457" s="67"/>
      <c r="MHX457" s="67"/>
      <c r="MHY457" s="67"/>
      <c r="MHZ457" s="67"/>
      <c r="MIA457" s="67"/>
      <c r="MIB457" s="67"/>
      <c r="MIC457" s="67"/>
      <c r="MID457" s="67"/>
      <c r="MIE457" s="67"/>
      <c r="MIF457" s="67"/>
      <c r="MIG457" s="67"/>
      <c r="MIH457" s="67"/>
      <c r="MII457" s="67"/>
      <c r="MIJ457" s="67"/>
      <c r="MIK457" s="67"/>
      <c r="MIL457" s="67"/>
      <c r="MIM457" s="67"/>
      <c r="MIN457" s="67"/>
      <c r="MIO457" s="67"/>
      <c r="MIP457" s="67"/>
      <c r="MIQ457" s="67"/>
      <c r="MIR457" s="67"/>
      <c r="MIS457" s="67"/>
      <c r="MIT457" s="67"/>
      <c r="MIU457" s="67"/>
      <c r="MIV457" s="67"/>
      <c r="MIW457" s="67"/>
      <c r="MIX457" s="67"/>
      <c r="MIY457" s="67"/>
      <c r="MIZ457" s="67"/>
      <c r="MJA457" s="67"/>
      <c r="MJB457" s="67"/>
      <c r="MJC457" s="67"/>
      <c r="MJD457" s="67"/>
      <c r="MJE457" s="67"/>
      <c r="MJF457" s="67"/>
      <c r="MJG457" s="67"/>
      <c r="MJH457" s="67"/>
      <c r="MJI457" s="67"/>
      <c r="MJJ457" s="67"/>
      <c r="MJK457" s="67"/>
      <c r="MJL457" s="67"/>
      <c r="MJM457" s="67"/>
      <c r="MJN457" s="67"/>
      <c r="MJO457" s="67"/>
      <c r="MJP457" s="67"/>
      <c r="MJQ457" s="67"/>
      <c r="MJR457" s="67"/>
      <c r="MJS457" s="67"/>
      <c r="MJT457" s="67"/>
      <c r="MJU457" s="67"/>
      <c r="MJV457" s="67"/>
      <c r="MJW457" s="67"/>
      <c r="MJX457" s="67"/>
      <c r="MJY457" s="67"/>
      <c r="MJZ457" s="67"/>
      <c r="MKA457" s="67"/>
      <c r="MKB457" s="67"/>
      <c r="MKC457" s="67"/>
      <c r="MKD457" s="67"/>
      <c r="MKE457" s="67"/>
      <c r="MKF457" s="67"/>
      <c r="MKG457" s="67"/>
      <c r="MKH457" s="67"/>
      <c r="MKI457" s="67"/>
      <c r="MKJ457" s="67"/>
      <c r="MKK457" s="67"/>
      <c r="MKL457" s="67"/>
      <c r="MKM457" s="67"/>
      <c r="MKN457" s="67"/>
      <c r="MKO457" s="67"/>
      <c r="MKP457" s="67"/>
      <c r="MKQ457" s="67"/>
      <c r="MKR457" s="67"/>
      <c r="MKS457" s="67"/>
      <c r="MKT457" s="67"/>
      <c r="MKU457" s="67"/>
      <c r="MKV457" s="67"/>
      <c r="MKW457" s="67"/>
      <c r="MKX457" s="67"/>
      <c r="MKY457" s="67"/>
      <c r="MKZ457" s="67"/>
      <c r="MLA457" s="67"/>
      <c r="MLB457" s="67"/>
      <c r="MLC457" s="67"/>
      <c r="MLD457" s="67"/>
      <c r="MLE457" s="67"/>
      <c r="MLF457" s="67"/>
      <c r="MLG457" s="67"/>
      <c r="MLH457" s="67"/>
      <c r="MLI457" s="67"/>
      <c r="MLJ457" s="67"/>
      <c r="MLK457" s="67"/>
      <c r="MLL457" s="67"/>
      <c r="MLM457" s="67"/>
      <c r="MLN457" s="67"/>
      <c r="MLO457" s="67"/>
      <c r="MLP457" s="67"/>
      <c r="MLQ457" s="67"/>
      <c r="MLR457" s="67"/>
      <c r="MLS457" s="67"/>
      <c r="MLT457" s="67"/>
      <c r="MLU457" s="67"/>
      <c r="MLV457" s="67"/>
      <c r="MLW457" s="67"/>
      <c r="MLX457" s="67"/>
      <c r="MLY457" s="67"/>
      <c r="MLZ457" s="67"/>
      <c r="MMA457" s="67"/>
      <c r="MMB457" s="67"/>
      <c r="MMC457" s="67"/>
      <c r="MMD457" s="67"/>
      <c r="MME457" s="67"/>
      <c r="MMF457" s="67"/>
      <c r="MMG457" s="67"/>
      <c r="MMH457" s="67"/>
      <c r="MMI457" s="67"/>
      <c r="MMJ457" s="67"/>
      <c r="MMK457" s="67"/>
      <c r="MML457" s="67"/>
      <c r="MMM457" s="67"/>
      <c r="MMN457" s="67"/>
      <c r="MMO457" s="67"/>
      <c r="MMP457" s="67"/>
      <c r="MMQ457" s="67"/>
      <c r="MMR457" s="67"/>
      <c r="MMS457" s="67"/>
      <c r="MMT457" s="67"/>
      <c r="MMU457" s="67"/>
      <c r="MMV457" s="67"/>
      <c r="MMW457" s="67"/>
      <c r="MMX457" s="67"/>
      <c r="MMY457" s="67"/>
      <c r="MMZ457" s="67"/>
      <c r="MNA457" s="67"/>
      <c r="MNB457" s="67"/>
      <c r="MNC457" s="67"/>
      <c r="MND457" s="67"/>
      <c r="MNE457" s="67"/>
      <c r="MNF457" s="67"/>
      <c r="MNG457" s="67"/>
      <c r="MNH457" s="67"/>
      <c r="MNI457" s="67"/>
      <c r="MNJ457" s="67"/>
      <c r="MNK457" s="67"/>
      <c r="MNL457" s="67"/>
      <c r="MNM457" s="67"/>
      <c r="MNN457" s="67"/>
      <c r="MNO457" s="67"/>
      <c r="MNP457" s="67"/>
      <c r="MNQ457" s="67"/>
      <c r="MNR457" s="67"/>
      <c r="MNS457" s="67"/>
      <c r="MNT457" s="67"/>
      <c r="MNU457" s="67"/>
      <c r="MNV457" s="67"/>
      <c r="MNW457" s="67"/>
      <c r="MNX457" s="67"/>
      <c r="MNY457" s="67"/>
      <c r="MNZ457" s="67"/>
      <c r="MOA457" s="67"/>
      <c r="MOB457" s="67"/>
      <c r="MOC457" s="67"/>
      <c r="MOD457" s="67"/>
      <c r="MOE457" s="67"/>
      <c r="MOF457" s="67"/>
      <c r="MOG457" s="67"/>
      <c r="MOH457" s="67"/>
      <c r="MOI457" s="67"/>
      <c r="MOJ457" s="67"/>
      <c r="MOK457" s="67"/>
      <c r="MOL457" s="67"/>
      <c r="MOM457" s="67"/>
      <c r="MON457" s="67"/>
      <c r="MOO457" s="67"/>
      <c r="MOP457" s="67"/>
      <c r="MOQ457" s="67"/>
      <c r="MOR457" s="67"/>
      <c r="MOS457" s="67"/>
      <c r="MOT457" s="67"/>
      <c r="MOU457" s="67"/>
      <c r="MOV457" s="67"/>
      <c r="MOW457" s="67"/>
      <c r="MOX457" s="67"/>
      <c r="MOY457" s="67"/>
      <c r="MOZ457" s="67"/>
      <c r="MPA457" s="67"/>
      <c r="MPB457" s="67"/>
      <c r="MPC457" s="67"/>
      <c r="MPD457" s="67"/>
      <c r="MPE457" s="67"/>
      <c r="MPF457" s="67"/>
      <c r="MPG457" s="67"/>
      <c r="MPH457" s="67"/>
      <c r="MPI457" s="67"/>
      <c r="MPJ457" s="67"/>
      <c r="MPK457" s="67"/>
      <c r="MPL457" s="67"/>
      <c r="MPM457" s="67"/>
      <c r="MPN457" s="67"/>
      <c r="MPO457" s="67"/>
      <c r="MPP457" s="67"/>
      <c r="MPQ457" s="67"/>
      <c r="MPR457" s="67"/>
      <c r="MPS457" s="67"/>
      <c r="MPT457" s="67"/>
      <c r="MPU457" s="67"/>
      <c r="MPV457" s="67"/>
      <c r="MPW457" s="67"/>
      <c r="MPX457" s="67"/>
      <c r="MPY457" s="67"/>
      <c r="MPZ457" s="67"/>
      <c r="MQA457" s="67"/>
      <c r="MQB457" s="67"/>
      <c r="MQC457" s="67"/>
      <c r="MQD457" s="67"/>
      <c r="MQE457" s="67"/>
      <c r="MQF457" s="67"/>
      <c r="MQG457" s="67"/>
      <c r="MQH457" s="67"/>
      <c r="MQI457" s="67"/>
      <c r="MQJ457" s="67"/>
      <c r="MQK457" s="67"/>
      <c r="MQL457" s="67"/>
      <c r="MQM457" s="67"/>
      <c r="MQN457" s="67"/>
      <c r="MQO457" s="67"/>
      <c r="MQP457" s="67"/>
      <c r="MQQ457" s="67"/>
      <c r="MQR457" s="67"/>
      <c r="MQS457" s="67"/>
      <c r="MQT457" s="67"/>
      <c r="MQU457" s="67"/>
      <c r="MQV457" s="67"/>
      <c r="MQW457" s="67"/>
      <c r="MQX457" s="67"/>
      <c r="MQY457" s="67"/>
      <c r="MQZ457" s="67"/>
      <c r="MRA457" s="67"/>
      <c r="MRB457" s="67"/>
      <c r="MRC457" s="67"/>
      <c r="MRD457" s="67"/>
      <c r="MRE457" s="67"/>
      <c r="MRF457" s="67"/>
      <c r="MRG457" s="67"/>
      <c r="MRH457" s="67"/>
      <c r="MRI457" s="67"/>
      <c r="MRJ457" s="67"/>
      <c r="MRK457" s="67"/>
      <c r="MRL457" s="67"/>
      <c r="MRM457" s="67"/>
      <c r="MRN457" s="67"/>
      <c r="MRO457" s="67"/>
      <c r="MRP457" s="67"/>
      <c r="MRQ457" s="67"/>
      <c r="MRR457" s="67"/>
      <c r="MRS457" s="67"/>
      <c r="MRT457" s="67"/>
      <c r="MRU457" s="67"/>
      <c r="MRV457" s="67"/>
      <c r="MRW457" s="67"/>
      <c r="MRX457" s="67"/>
      <c r="MRY457" s="67"/>
      <c r="MRZ457" s="67"/>
      <c r="MSA457" s="67"/>
      <c r="MSB457" s="67"/>
      <c r="MSC457" s="67"/>
      <c r="MSD457" s="67"/>
      <c r="MSE457" s="67"/>
      <c r="MSF457" s="67"/>
      <c r="MSG457" s="67"/>
      <c r="MSH457" s="67"/>
      <c r="MSI457" s="67"/>
      <c r="MSJ457" s="67"/>
      <c r="MSK457" s="67"/>
      <c r="MSL457" s="67"/>
      <c r="MSM457" s="67"/>
      <c r="MSN457" s="67"/>
      <c r="MSO457" s="67"/>
      <c r="MSP457" s="67"/>
      <c r="MSQ457" s="67"/>
      <c r="MSR457" s="67"/>
      <c r="MSS457" s="67"/>
      <c r="MST457" s="67"/>
      <c r="MSU457" s="67"/>
      <c r="MSV457" s="67"/>
      <c r="MSW457" s="67"/>
      <c r="MSX457" s="67"/>
      <c r="MSY457" s="67"/>
      <c r="MSZ457" s="67"/>
      <c r="MTA457" s="67"/>
      <c r="MTB457" s="67"/>
      <c r="MTC457" s="67"/>
      <c r="MTD457" s="67"/>
      <c r="MTE457" s="67"/>
      <c r="MTF457" s="67"/>
      <c r="MTG457" s="67"/>
      <c r="MTH457" s="67"/>
      <c r="MTI457" s="67"/>
      <c r="MTJ457" s="67"/>
      <c r="MTK457" s="67"/>
      <c r="MTL457" s="67"/>
      <c r="MTM457" s="67"/>
      <c r="MTN457" s="67"/>
      <c r="MTO457" s="67"/>
      <c r="MTP457" s="67"/>
      <c r="MTQ457" s="67"/>
      <c r="MTR457" s="67"/>
      <c r="MTS457" s="67"/>
      <c r="MTT457" s="67"/>
      <c r="MTU457" s="67"/>
      <c r="MTV457" s="67"/>
      <c r="MTW457" s="67"/>
      <c r="MTX457" s="67"/>
      <c r="MTY457" s="67"/>
      <c r="MTZ457" s="67"/>
      <c r="MUA457" s="67"/>
      <c r="MUB457" s="67"/>
      <c r="MUC457" s="67"/>
      <c r="MUD457" s="67"/>
      <c r="MUE457" s="67"/>
      <c r="MUF457" s="67"/>
      <c r="MUG457" s="67"/>
      <c r="MUH457" s="67"/>
      <c r="MUI457" s="67"/>
      <c r="MUJ457" s="67"/>
      <c r="MUK457" s="67"/>
      <c r="MUL457" s="67"/>
      <c r="MUM457" s="67"/>
      <c r="MUN457" s="67"/>
      <c r="MUO457" s="67"/>
      <c r="MUP457" s="67"/>
      <c r="MUQ457" s="67"/>
      <c r="MUR457" s="67"/>
      <c r="MUS457" s="67"/>
      <c r="MUT457" s="67"/>
      <c r="MUU457" s="67"/>
      <c r="MUV457" s="67"/>
      <c r="MUW457" s="67"/>
      <c r="MUX457" s="67"/>
      <c r="MUY457" s="67"/>
      <c r="MUZ457" s="67"/>
      <c r="MVA457" s="67"/>
      <c r="MVB457" s="67"/>
      <c r="MVC457" s="67"/>
      <c r="MVD457" s="67"/>
      <c r="MVE457" s="67"/>
      <c r="MVF457" s="67"/>
      <c r="MVG457" s="67"/>
      <c r="MVH457" s="67"/>
      <c r="MVI457" s="67"/>
      <c r="MVJ457" s="67"/>
      <c r="MVK457" s="67"/>
      <c r="MVL457" s="67"/>
      <c r="MVM457" s="67"/>
      <c r="MVN457" s="67"/>
      <c r="MVO457" s="67"/>
      <c r="MVP457" s="67"/>
      <c r="MVQ457" s="67"/>
      <c r="MVR457" s="67"/>
      <c r="MVS457" s="67"/>
      <c r="MVT457" s="67"/>
      <c r="MVU457" s="67"/>
      <c r="MVV457" s="67"/>
      <c r="MVW457" s="67"/>
      <c r="MVX457" s="67"/>
      <c r="MVY457" s="67"/>
      <c r="MVZ457" s="67"/>
      <c r="MWA457" s="67"/>
      <c r="MWB457" s="67"/>
      <c r="MWC457" s="67"/>
      <c r="MWD457" s="67"/>
      <c r="MWE457" s="67"/>
      <c r="MWF457" s="67"/>
      <c r="MWG457" s="67"/>
      <c r="MWH457" s="67"/>
      <c r="MWI457" s="67"/>
      <c r="MWJ457" s="67"/>
      <c r="MWK457" s="67"/>
      <c r="MWL457" s="67"/>
      <c r="MWM457" s="67"/>
      <c r="MWN457" s="67"/>
      <c r="MWO457" s="67"/>
      <c r="MWP457" s="67"/>
      <c r="MWQ457" s="67"/>
      <c r="MWR457" s="67"/>
      <c r="MWS457" s="67"/>
      <c r="MWT457" s="67"/>
      <c r="MWU457" s="67"/>
      <c r="MWV457" s="67"/>
      <c r="MWW457" s="67"/>
      <c r="MWX457" s="67"/>
      <c r="MWY457" s="67"/>
      <c r="MWZ457" s="67"/>
      <c r="MXA457" s="67"/>
      <c r="MXB457" s="67"/>
      <c r="MXC457" s="67"/>
      <c r="MXD457" s="67"/>
      <c r="MXE457" s="67"/>
      <c r="MXF457" s="67"/>
      <c r="MXG457" s="67"/>
      <c r="MXH457" s="67"/>
      <c r="MXI457" s="67"/>
      <c r="MXJ457" s="67"/>
      <c r="MXK457" s="67"/>
      <c r="MXL457" s="67"/>
      <c r="MXM457" s="67"/>
      <c r="MXN457" s="67"/>
      <c r="MXO457" s="67"/>
      <c r="MXP457" s="67"/>
      <c r="MXQ457" s="67"/>
      <c r="MXR457" s="67"/>
      <c r="MXS457" s="67"/>
      <c r="MXT457" s="67"/>
      <c r="MXU457" s="67"/>
      <c r="MXV457" s="67"/>
      <c r="MXW457" s="67"/>
      <c r="MXX457" s="67"/>
      <c r="MXY457" s="67"/>
      <c r="MXZ457" s="67"/>
      <c r="MYA457" s="67"/>
      <c r="MYB457" s="67"/>
      <c r="MYC457" s="67"/>
      <c r="MYD457" s="67"/>
      <c r="MYE457" s="67"/>
      <c r="MYF457" s="67"/>
      <c r="MYG457" s="67"/>
      <c r="MYH457" s="67"/>
      <c r="MYI457" s="67"/>
      <c r="MYJ457" s="67"/>
      <c r="MYK457" s="67"/>
      <c r="MYL457" s="67"/>
      <c r="MYM457" s="67"/>
      <c r="MYN457" s="67"/>
      <c r="MYO457" s="67"/>
      <c r="MYP457" s="67"/>
      <c r="MYQ457" s="67"/>
      <c r="MYR457" s="67"/>
      <c r="MYS457" s="67"/>
      <c r="MYT457" s="67"/>
      <c r="MYU457" s="67"/>
      <c r="MYV457" s="67"/>
      <c r="MYW457" s="67"/>
      <c r="MYX457" s="67"/>
      <c r="MYY457" s="67"/>
      <c r="MYZ457" s="67"/>
      <c r="MZA457" s="67"/>
      <c r="MZB457" s="67"/>
      <c r="MZC457" s="67"/>
      <c r="MZD457" s="67"/>
      <c r="MZE457" s="67"/>
      <c r="MZF457" s="67"/>
      <c r="MZG457" s="67"/>
      <c r="MZH457" s="67"/>
      <c r="MZI457" s="67"/>
      <c r="MZJ457" s="67"/>
      <c r="MZK457" s="67"/>
      <c r="MZL457" s="67"/>
      <c r="MZM457" s="67"/>
      <c r="MZN457" s="67"/>
      <c r="MZO457" s="67"/>
      <c r="MZP457" s="67"/>
      <c r="MZQ457" s="67"/>
      <c r="MZR457" s="67"/>
      <c r="MZS457" s="67"/>
      <c r="MZT457" s="67"/>
      <c r="MZU457" s="67"/>
      <c r="MZV457" s="67"/>
      <c r="MZW457" s="67"/>
      <c r="MZX457" s="67"/>
      <c r="MZY457" s="67"/>
      <c r="MZZ457" s="67"/>
      <c r="NAA457" s="67"/>
      <c r="NAB457" s="67"/>
      <c r="NAC457" s="67"/>
      <c r="NAD457" s="67"/>
      <c r="NAE457" s="67"/>
      <c r="NAF457" s="67"/>
      <c r="NAG457" s="67"/>
      <c r="NAH457" s="67"/>
      <c r="NAI457" s="67"/>
      <c r="NAJ457" s="67"/>
      <c r="NAK457" s="67"/>
      <c r="NAL457" s="67"/>
      <c r="NAM457" s="67"/>
      <c r="NAN457" s="67"/>
      <c r="NAO457" s="67"/>
      <c r="NAP457" s="67"/>
      <c r="NAQ457" s="67"/>
      <c r="NAR457" s="67"/>
      <c r="NAS457" s="67"/>
      <c r="NAT457" s="67"/>
      <c r="NAU457" s="67"/>
      <c r="NAV457" s="67"/>
      <c r="NAW457" s="67"/>
      <c r="NAX457" s="67"/>
      <c r="NAY457" s="67"/>
      <c r="NAZ457" s="67"/>
      <c r="NBA457" s="67"/>
      <c r="NBB457" s="67"/>
      <c r="NBC457" s="67"/>
      <c r="NBD457" s="67"/>
      <c r="NBE457" s="67"/>
      <c r="NBF457" s="67"/>
      <c r="NBG457" s="67"/>
      <c r="NBH457" s="67"/>
      <c r="NBI457" s="67"/>
      <c r="NBJ457" s="67"/>
      <c r="NBK457" s="67"/>
      <c r="NBL457" s="67"/>
      <c r="NBM457" s="67"/>
      <c r="NBN457" s="67"/>
      <c r="NBO457" s="67"/>
      <c r="NBP457" s="67"/>
      <c r="NBQ457" s="67"/>
      <c r="NBR457" s="67"/>
      <c r="NBS457" s="67"/>
      <c r="NBT457" s="67"/>
      <c r="NBU457" s="67"/>
      <c r="NBV457" s="67"/>
      <c r="NBW457" s="67"/>
      <c r="NBX457" s="67"/>
      <c r="NBY457" s="67"/>
      <c r="NBZ457" s="67"/>
      <c r="NCA457" s="67"/>
      <c r="NCB457" s="67"/>
      <c r="NCC457" s="67"/>
      <c r="NCD457" s="67"/>
      <c r="NCE457" s="67"/>
      <c r="NCF457" s="67"/>
      <c r="NCG457" s="67"/>
      <c r="NCH457" s="67"/>
      <c r="NCI457" s="67"/>
      <c r="NCJ457" s="67"/>
      <c r="NCK457" s="67"/>
      <c r="NCL457" s="67"/>
      <c r="NCM457" s="67"/>
      <c r="NCN457" s="67"/>
      <c r="NCO457" s="67"/>
      <c r="NCP457" s="67"/>
      <c r="NCQ457" s="67"/>
      <c r="NCR457" s="67"/>
      <c r="NCS457" s="67"/>
      <c r="NCT457" s="67"/>
      <c r="NCU457" s="67"/>
      <c r="NCV457" s="67"/>
      <c r="NCW457" s="67"/>
      <c r="NCX457" s="67"/>
      <c r="NCY457" s="67"/>
      <c r="NCZ457" s="67"/>
      <c r="NDA457" s="67"/>
      <c r="NDB457" s="67"/>
      <c r="NDC457" s="67"/>
      <c r="NDD457" s="67"/>
      <c r="NDE457" s="67"/>
      <c r="NDF457" s="67"/>
      <c r="NDG457" s="67"/>
      <c r="NDH457" s="67"/>
      <c r="NDI457" s="67"/>
      <c r="NDJ457" s="67"/>
      <c r="NDK457" s="67"/>
      <c r="NDL457" s="67"/>
      <c r="NDM457" s="67"/>
      <c r="NDN457" s="67"/>
      <c r="NDO457" s="67"/>
      <c r="NDP457" s="67"/>
      <c r="NDQ457" s="67"/>
      <c r="NDR457" s="67"/>
      <c r="NDS457" s="67"/>
      <c r="NDT457" s="67"/>
      <c r="NDU457" s="67"/>
      <c r="NDV457" s="67"/>
      <c r="NDW457" s="67"/>
      <c r="NDX457" s="67"/>
      <c r="NDY457" s="67"/>
      <c r="NDZ457" s="67"/>
      <c r="NEA457" s="67"/>
      <c r="NEB457" s="67"/>
      <c r="NEC457" s="67"/>
      <c r="NED457" s="67"/>
      <c r="NEE457" s="67"/>
      <c r="NEF457" s="67"/>
      <c r="NEG457" s="67"/>
      <c r="NEH457" s="67"/>
      <c r="NEI457" s="67"/>
      <c r="NEJ457" s="67"/>
      <c r="NEK457" s="67"/>
      <c r="NEL457" s="67"/>
      <c r="NEM457" s="67"/>
      <c r="NEN457" s="67"/>
      <c r="NEO457" s="67"/>
      <c r="NEP457" s="67"/>
      <c r="NEQ457" s="67"/>
      <c r="NER457" s="67"/>
      <c r="NES457" s="67"/>
      <c r="NET457" s="67"/>
      <c r="NEU457" s="67"/>
      <c r="NEV457" s="67"/>
      <c r="NEW457" s="67"/>
      <c r="NEX457" s="67"/>
      <c r="NEY457" s="67"/>
      <c r="NEZ457" s="67"/>
      <c r="NFA457" s="67"/>
      <c r="NFB457" s="67"/>
      <c r="NFC457" s="67"/>
      <c r="NFD457" s="67"/>
      <c r="NFE457" s="67"/>
      <c r="NFF457" s="67"/>
      <c r="NFG457" s="67"/>
      <c r="NFH457" s="67"/>
      <c r="NFI457" s="67"/>
      <c r="NFJ457" s="67"/>
      <c r="NFK457" s="67"/>
      <c r="NFL457" s="67"/>
      <c r="NFM457" s="67"/>
      <c r="NFN457" s="67"/>
      <c r="NFO457" s="67"/>
      <c r="NFP457" s="67"/>
      <c r="NFQ457" s="67"/>
      <c r="NFR457" s="67"/>
      <c r="NFS457" s="67"/>
      <c r="NFT457" s="67"/>
      <c r="NFU457" s="67"/>
      <c r="NFV457" s="67"/>
      <c r="NFW457" s="67"/>
      <c r="NFX457" s="67"/>
      <c r="NFY457" s="67"/>
      <c r="NFZ457" s="67"/>
      <c r="NGA457" s="67"/>
      <c r="NGB457" s="67"/>
      <c r="NGC457" s="67"/>
      <c r="NGD457" s="67"/>
      <c r="NGE457" s="67"/>
      <c r="NGF457" s="67"/>
      <c r="NGG457" s="67"/>
      <c r="NGH457" s="67"/>
      <c r="NGI457" s="67"/>
      <c r="NGJ457" s="67"/>
      <c r="NGK457" s="67"/>
      <c r="NGL457" s="67"/>
      <c r="NGM457" s="67"/>
      <c r="NGN457" s="67"/>
      <c r="NGO457" s="67"/>
      <c r="NGP457" s="67"/>
      <c r="NGQ457" s="67"/>
      <c r="NGR457" s="67"/>
      <c r="NGS457" s="67"/>
      <c r="NGT457" s="67"/>
      <c r="NGU457" s="67"/>
      <c r="NGV457" s="67"/>
      <c r="NGW457" s="67"/>
      <c r="NGX457" s="67"/>
      <c r="NGY457" s="67"/>
      <c r="NGZ457" s="67"/>
      <c r="NHA457" s="67"/>
      <c r="NHB457" s="67"/>
      <c r="NHC457" s="67"/>
      <c r="NHD457" s="67"/>
      <c r="NHE457" s="67"/>
      <c r="NHF457" s="67"/>
      <c r="NHG457" s="67"/>
      <c r="NHH457" s="67"/>
      <c r="NHI457" s="67"/>
      <c r="NHJ457" s="67"/>
      <c r="NHK457" s="67"/>
      <c r="NHL457" s="67"/>
      <c r="NHM457" s="67"/>
      <c r="NHN457" s="67"/>
      <c r="NHO457" s="67"/>
      <c r="NHP457" s="67"/>
      <c r="NHQ457" s="67"/>
      <c r="NHR457" s="67"/>
      <c r="NHS457" s="67"/>
      <c r="NHT457" s="67"/>
      <c r="NHU457" s="67"/>
      <c r="NHV457" s="67"/>
      <c r="NHW457" s="67"/>
      <c r="NHX457" s="67"/>
      <c r="NHY457" s="67"/>
      <c r="NHZ457" s="67"/>
      <c r="NIA457" s="67"/>
      <c r="NIB457" s="67"/>
      <c r="NIC457" s="67"/>
      <c r="NID457" s="67"/>
      <c r="NIE457" s="67"/>
      <c r="NIF457" s="67"/>
      <c r="NIG457" s="67"/>
      <c r="NIH457" s="67"/>
      <c r="NII457" s="67"/>
      <c r="NIJ457" s="67"/>
      <c r="NIK457" s="67"/>
      <c r="NIL457" s="67"/>
      <c r="NIM457" s="67"/>
      <c r="NIN457" s="67"/>
      <c r="NIO457" s="67"/>
      <c r="NIP457" s="67"/>
      <c r="NIQ457" s="67"/>
      <c r="NIR457" s="67"/>
      <c r="NIS457" s="67"/>
      <c r="NIT457" s="67"/>
      <c r="NIU457" s="67"/>
      <c r="NIV457" s="67"/>
      <c r="NIW457" s="67"/>
      <c r="NIX457" s="67"/>
      <c r="NIY457" s="67"/>
      <c r="NIZ457" s="67"/>
      <c r="NJA457" s="67"/>
      <c r="NJB457" s="67"/>
      <c r="NJC457" s="67"/>
      <c r="NJD457" s="67"/>
      <c r="NJE457" s="67"/>
      <c r="NJF457" s="67"/>
      <c r="NJG457" s="67"/>
      <c r="NJH457" s="67"/>
      <c r="NJI457" s="67"/>
      <c r="NJJ457" s="67"/>
      <c r="NJK457" s="67"/>
      <c r="NJL457" s="67"/>
      <c r="NJM457" s="67"/>
      <c r="NJN457" s="67"/>
      <c r="NJO457" s="67"/>
      <c r="NJP457" s="67"/>
      <c r="NJQ457" s="67"/>
      <c r="NJR457" s="67"/>
      <c r="NJS457" s="67"/>
      <c r="NJT457" s="67"/>
      <c r="NJU457" s="67"/>
      <c r="NJV457" s="67"/>
      <c r="NJW457" s="67"/>
      <c r="NJX457" s="67"/>
      <c r="NJY457" s="67"/>
      <c r="NJZ457" s="67"/>
      <c r="NKA457" s="67"/>
      <c r="NKB457" s="67"/>
      <c r="NKC457" s="67"/>
      <c r="NKD457" s="67"/>
      <c r="NKE457" s="67"/>
      <c r="NKF457" s="67"/>
      <c r="NKG457" s="67"/>
      <c r="NKH457" s="67"/>
      <c r="NKI457" s="67"/>
      <c r="NKJ457" s="67"/>
      <c r="NKK457" s="67"/>
      <c r="NKL457" s="67"/>
      <c r="NKM457" s="67"/>
      <c r="NKN457" s="67"/>
      <c r="NKO457" s="67"/>
      <c r="NKP457" s="67"/>
      <c r="NKQ457" s="67"/>
      <c r="NKR457" s="67"/>
      <c r="NKS457" s="67"/>
      <c r="NKT457" s="67"/>
      <c r="NKU457" s="67"/>
      <c r="NKV457" s="67"/>
      <c r="NKW457" s="67"/>
      <c r="NKX457" s="67"/>
      <c r="NKY457" s="67"/>
      <c r="NKZ457" s="67"/>
      <c r="NLA457" s="67"/>
      <c r="NLB457" s="67"/>
      <c r="NLC457" s="67"/>
      <c r="NLD457" s="67"/>
      <c r="NLE457" s="67"/>
      <c r="NLF457" s="67"/>
      <c r="NLG457" s="67"/>
      <c r="NLH457" s="67"/>
      <c r="NLI457" s="67"/>
      <c r="NLJ457" s="67"/>
      <c r="NLK457" s="67"/>
      <c r="NLL457" s="67"/>
      <c r="NLM457" s="67"/>
      <c r="NLN457" s="67"/>
      <c r="NLO457" s="67"/>
      <c r="NLP457" s="67"/>
      <c r="NLQ457" s="67"/>
      <c r="NLR457" s="67"/>
      <c r="NLS457" s="67"/>
      <c r="NLT457" s="67"/>
      <c r="NLU457" s="67"/>
      <c r="NLV457" s="67"/>
      <c r="NLW457" s="67"/>
      <c r="NLX457" s="67"/>
      <c r="NLY457" s="67"/>
      <c r="NLZ457" s="67"/>
      <c r="NMA457" s="67"/>
      <c r="NMB457" s="67"/>
      <c r="NMC457" s="67"/>
      <c r="NMD457" s="67"/>
      <c r="NME457" s="67"/>
      <c r="NMF457" s="67"/>
      <c r="NMG457" s="67"/>
      <c r="NMH457" s="67"/>
      <c r="NMI457" s="67"/>
      <c r="NMJ457" s="67"/>
      <c r="NMK457" s="67"/>
      <c r="NML457" s="67"/>
      <c r="NMM457" s="67"/>
      <c r="NMN457" s="67"/>
      <c r="NMO457" s="67"/>
      <c r="NMP457" s="67"/>
      <c r="NMQ457" s="67"/>
      <c r="NMR457" s="67"/>
      <c r="NMS457" s="67"/>
      <c r="NMT457" s="67"/>
      <c r="NMU457" s="67"/>
      <c r="NMV457" s="67"/>
      <c r="NMW457" s="67"/>
      <c r="NMX457" s="67"/>
      <c r="NMY457" s="67"/>
      <c r="NMZ457" s="67"/>
      <c r="NNA457" s="67"/>
      <c r="NNB457" s="67"/>
      <c r="NNC457" s="67"/>
      <c r="NND457" s="67"/>
      <c r="NNE457" s="67"/>
      <c r="NNF457" s="67"/>
      <c r="NNG457" s="67"/>
      <c r="NNH457" s="67"/>
      <c r="NNI457" s="67"/>
      <c r="NNJ457" s="67"/>
      <c r="NNK457" s="67"/>
      <c r="NNL457" s="67"/>
      <c r="NNM457" s="67"/>
      <c r="NNN457" s="67"/>
      <c r="NNO457" s="67"/>
      <c r="NNP457" s="67"/>
      <c r="NNQ457" s="67"/>
      <c r="NNR457" s="67"/>
      <c r="NNS457" s="67"/>
      <c r="NNT457" s="67"/>
      <c r="NNU457" s="67"/>
      <c r="NNV457" s="67"/>
      <c r="NNW457" s="67"/>
      <c r="NNX457" s="67"/>
      <c r="NNY457" s="67"/>
      <c r="NNZ457" s="67"/>
      <c r="NOA457" s="67"/>
      <c r="NOB457" s="67"/>
      <c r="NOC457" s="67"/>
      <c r="NOD457" s="67"/>
      <c r="NOE457" s="67"/>
      <c r="NOF457" s="67"/>
      <c r="NOG457" s="67"/>
      <c r="NOH457" s="67"/>
      <c r="NOI457" s="67"/>
      <c r="NOJ457" s="67"/>
      <c r="NOK457" s="67"/>
      <c r="NOL457" s="67"/>
      <c r="NOM457" s="67"/>
      <c r="NON457" s="67"/>
      <c r="NOO457" s="67"/>
      <c r="NOP457" s="67"/>
      <c r="NOQ457" s="67"/>
      <c r="NOR457" s="67"/>
      <c r="NOS457" s="67"/>
      <c r="NOT457" s="67"/>
      <c r="NOU457" s="67"/>
      <c r="NOV457" s="67"/>
      <c r="NOW457" s="67"/>
      <c r="NOX457" s="67"/>
      <c r="NOY457" s="67"/>
      <c r="NOZ457" s="67"/>
      <c r="NPA457" s="67"/>
      <c r="NPB457" s="67"/>
      <c r="NPC457" s="67"/>
      <c r="NPD457" s="67"/>
      <c r="NPE457" s="67"/>
      <c r="NPF457" s="67"/>
      <c r="NPG457" s="67"/>
      <c r="NPH457" s="67"/>
      <c r="NPI457" s="67"/>
      <c r="NPJ457" s="67"/>
      <c r="NPK457" s="67"/>
      <c r="NPL457" s="67"/>
      <c r="NPM457" s="67"/>
      <c r="NPN457" s="67"/>
      <c r="NPO457" s="67"/>
      <c r="NPP457" s="67"/>
      <c r="NPQ457" s="67"/>
      <c r="NPR457" s="67"/>
      <c r="NPS457" s="67"/>
      <c r="NPT457" s="67"/>
      <c r="NPU457" s="67"/>
      <c r="NPV457" s="67"/>
      <c r="NPW457" s="67"/>
      <c r="NPX457" s="67"/>
      <c r="NPY457" s="67"/>
      <c r="NPZ457" s="67"/>
      <c r="NQA457" s="67"/>
      <c r="NQB457" s="67"/>
      <c r="NQC457" s="67"/>
      <c r="NQD457" s="67"/>
      <c r="NQE457" s="67"/>
      <c r="NQF457" s="67"/>
      <c r="NQG457" s="67"/>
      <c r="NQH457" s="67"/>
      <c r="NQI457" s="67"/>
      <c r="NQJ457" s="67"/>
      <c r="NQK457" s="67"/>
      <c r="NQL457" s="67"/>
      <c r="NQM457" s="67"/>
      <c r="NQN457" s="67"/>
      <c r="NQO457" s="67"/>
      <c r="NQP457" s="67"/>
      <c r="NQQ457" s="67"/>
      <c r="NQR457" s="67"/>
      <c r="NQS457" s="67"/>
      <c r="NQT457" s="67"/>
      <c r="NQU457" s="67"/>
      <c r="NQV457" s="67"/>
      <c r="NQW457" s="67"/>
      <c r="NQX457" s="67"/>
      <c r="NQY457" s="67"/>
      <c r="NQZ457" s="67"/>
      <c r="NRA457" s="67"/>
      <c r="NRB457" s="67"/>
      <c r="NRC457" s="67"/>
      <c r="NRD457" s="67"/>
      <c r="NRE457" s="67"/>
      <c r="NRF457" s="67"/>
      <c r="NRG457" s="67"/>
      <c r="NRH457" s="67"/>
      <c r="NRI457" s="67"/>
      <c r="NRJ457" s="67"/>
      <c r="NRK457" s="67"/>
      <c r="NRL457" s="67"/>
      <c r="NRM457" s="67"/>
      <c r="NRN457" s="67"/>
      <c r="NRO457" s="67"/>
      <c r="NRP457" s="67"/>
      <c r="NRQ457" s="67"/>
      <c r="NRR457" s="67"/>
      <c r="NRS457" s="67"/>
      <c r="NRT457" s="67"/>
      <c r="NRU457" s="67"/>
      <c r="NRV457" s="67"/>
      <c r="NRW457" s="67"/>
      <c r="NRX457" s="67"/>
      <c r="NRY457" s="67"/>
      <c r="NRZ457" s="67"/>
      <c r="NSA457" s="67"/>
      <c r="NSB457" s="67"/>
      <c r="NSC457" s="67"/>
      <c r="NSD457" s="67"/>
      <c r="NSE457" s="67"/>
      <c r="NSF457" s="67"/>
      <c r="NSG457" s="67"/>
      <c r="NSH457" s="67"/>
      <c r="NSI457" s="67"/>
      <c r="NSJ457" s="67"/>
      <c r="NSK457" s="67"/>
      <c r="NSL457" s="67"/>
      <c r="NSM457" s="67"/>
      <c r="NSN457" s="67"/>
      <c r="NSO457" s="67"/>
      <c r="NSP457" s="67"/>
      <c r="NSQ457" s="67"/>
      <c r="NSR457" s="67"/>
      <c r="NSS457" s="67"/>
      <c r="NST457" s="67"/>
      <c r="NSU457" s="67"/>
      <c r="NSV457" s="67"/>
      <c r="NSW457" s="67"/>
      <c r="NSX457" s="67"/>
      <c r="NSY457" s="67"/>
      <c r="NSZ457" s="67"/>
      <c r="NTA457" s="67"/>
      <c r="NTB457" s="67"/>
      <c r="NTC457" s="67"/>
      <c r="NTD457" s="67"/>
      <c r="NTE457" s="67"/>
      <c r="NTF457" s="67"/>
      <c r="NTG457" s="67"/>
      <c r="NTH457" s="67"/>
      <c r="NTI457" s="67"/>
      <c r="NTJ457" s="67"/>
      <c r="NTK457" s="67"/>
      <c r="NTL457" s="67"/>
      <c r="NTM457" s="67"/>
      <c r="NTN457" s="67"/>
      <c r="NTO457" s="67"/>
      <c r="NTP457" s="67"/>
      <c r="NTQ457" s="67"/>
      <c r="NTR457" s="67"/>
      <c r="NTS457" s="67"/>
      <c r="NTT457" s="67"/>
      <c r="NTU457" s="67"/>
      <c r="NTV457" s="67"/>
      <c r="NTW457" s="67"/>
      <c r="NTX457" s="67"/>
      <c r="NTY457" s="67"/>
      <c r="NTZ457" s="67"/>
      <c r="NUA457" s="67"/>
      <c r="NUB457" s="67"/>
      <c r="NUC457" s="67"/>
      <c r="NUD457" s="67"/>
      <c r="NUE457" s="67"/>
      <c r="NUF457" s="67"/>
      <c r="NUG457" s="67"/>
      <c r="NUH457" s="67"/>
      <c r="NUI457" s="67"/>
      <c r="NUJ457" s="67"/>
      <c r="NUK457" s="67"/>
      <c r="NUL457" s="67"/>
      <c r="NUM457" s="67"/>
      <c r="NUN457" s="67"/>
      <c r="NUO457" s="67"/>
      <c r="NUP457" s="67"/>
      <c r="NUQ457" s="67"/>
      <c r="NUR457" s="67"/>
      <c r="NUS457" s="67"/>
      <c r="NUT457" s="67"/>
      <c r="NUU457" s="67"/>
      <c r="NUV457" s="67"/>
      <c r="NUW457" s="67"/>
      <c r="NUX457" s="67"/>
      <c r="NUY457" s="67"/>
      <c r="NUZ457" s="67"/>
      <c r="NVA457" s="67"/>
      <c r="NVB457" s="67"/>
      <c r="NVC457" s="67"/>
      <c r="NVD457" s="67"/>
      <c r="NVE457" s="67"/>
      <c r="NVF457" s="67"/>
      <c r="NVG457" s="67"/>
      <c r="NVH457" s="67"/>
      <c r="NVI457" s="67"/>
      <c r="NVJ457" s="67"/>
      <c r="NVK457" s="67"/>
      <c r="NVL457" s="67"/>
      <c r="NVM457" s="67"/>
      <c r="NVN457" s="67"/>
      <c r="NVO457" s="67"/>
      <c r="NVP457" s="67"/>
      <c r="NVQ457" s="67"/>
      <c r="NVR457" s="67"/>
      <c r="NVS457" s="67"/>
      <c r="NVT457" s="67"/>
      <c r="NVU457" s="67"/>
      <c r="NVV457" s="67"/>
      <c r="NVW457" s="67"/>
      <c r="NVX457" s="67"/>
      <c r="NVY457" s="67"/>
      <c r="NVZ457" s="67"/>
      <c r="NWA457" s="67"/>
      <c r="NWB457" s="67"/>
      <c r="NWC457" s="67"/>
      <c r="NWD457" s="67"/>
      <c r="NWE457" s="67"/>
      <c r="NWF457" s="67"/>
      <c r="NWG457" s="67"/>
      <c r="NWH457" s="67"/>
      <c r="NWI457" s="67"/>
      <c r="NWJ457" s="67"/>
      <c r="NWK457" s="67"/>
      <c r="NWL457" s="67"/>
      <c r="NWM457" s="67"/>
      <c r="NWN457" s="67"/>
      <c r="NWO457" s="67"/>
      <c r="NWP457" s="67"/>
      <c r="NWQ457" s="67"/>
      <c r="NWR457" s="67"/>
      <c r="NWS457" s="67"/>
      <c r="NWT457" s="67"/>
      <c r="NWU457" s="67"/>
      <c r="NWV457" s="67"/>
      <c r="NWW457" s="67"/>
      <c r="NWX457" s="67"/>
      <c r="NWY457" s="67"/>
      <c r="NWZ457" s="67"/>
      <c r="NXA457" s="67"/>
      <c r="NXB457" s="67"/>
      <c r="NXC457" s="67"/>
      <c r="NXD457" s="67"/>
      <c r="NXE457" s="67"/>
      <c r="NXF457" s="67"/>
      <c r="NXG457" s="67"/>
      <c r="NXH457" s="67"/>
      <c r="NXI457" s="67"/>
      <c r="NXJ457" s="67"/>
      <c r="NXK457" s="67"/>
      <c r="NXL457" s="67"/>
      <c r="NXM457" s="67"/>
      <c r="NXN457" s="67"/>
      <c r="NXO457" s="67"/>
      <c r="NXP457" s="67"/>
      <c r="NXQ457" s="67"/>
      <c r="NXR457" s="67"/>
      <c r="NXS457" s="67"/>
      <c r="NXT457" s="67"/>
      <c r="NXU457" s="67"/>
      <c r="NXV457" s="67"/>
      <c r="NXW457" s="67"/>
      <c r="NXX457" s="67"/>
      <c r="NXY457" s="67"/>
      <c r="NXZ457" s="67"/>
      <c r="NYA457" s="67"/>
      <c r="NYB457" s="67"/>
      <c r="NYC457" s="67"/>
      <c r="NYD457" s="67"/>
      <c r="NYE457" s="67"/>
      <c r="NYF457" s="67"/>
      <c r="NYG457" s="67"/>
      <c r="NYH457" s="67"/>
      <c r="NYI457" s="67"/>
      <c r="NYJ457" s="67"/>
      <c r="NYK457" s="67"/>
      <c r="NYL457" s="67"/>
      <c r="NYM457" s="67"/>
      <c r="NYN457" s="67"/>
      <c r="NYO457" s="67"/>
      <c r="NYP457" s="67"/>
      <c r="NYQ457" s="67"/>
      <c r="NYR457" s="67"/>
      <c r="NYS457" s="67"/>
      <c r="NYT457" s="67"/>
      <c r="NYU457" s="67"/>
      <c r="NYV457" s="67"/>
      <c r="NYW457" s="67"/>
      <c r="NYX457" s="67"/>
      <c r="NYY457" s="67"/>
      <c r="NYZ457" s="67"/>
      <c r="NZA457" s="67"/>
      <c r="NZB457" s="67"/>
      <c r="NZC457" s="67"/>
      <c r="NZD457" s="67"/>
      <c r="NZE457" s="67"/>
      <c r="NZF457" s="67"/>
      <c r="NZG457" s="67"/>
      <c r="NZH457" s="67"/>
      <c r="NZI457" s="67"/>
      <c r="NZJ457" s="67"/>
      <c r="NZK457" s="67"/>
      <c r="NZL457" s="67"/>
      <c r="NZM457" s="67"/>
      <c r="NZN457" s="67"/>
      <c r="NZO457" s="67"/>
      <c r="NZP457" s="67"/>
      <c r="NZQ457" s="67"/>
      <c r="NZR457" s="67"/>
      <c r="NZS457" s="67"/>
      <c r="NZT457" s="67"/>
      <c r="NZU457" s="67"/>
      <c r="NZV457" s="67"/>
      <c r="NZW457" s="67"/>
      <c r="NZX457" s="67"/>
      <c r="NZY457" s="67"/>
      <c r="NZZ457" s="67"/>
      <c r="OAA457" s="67"/>
      <c r="OAB457" s="67"/>
      <c r="OAC457" s="67"/>
      <c r="OAD457" s="67"/>
      <c r="OAE457" s="67"/>
      <c r="OAF457" s="67"/>
      <c r="OAG457" s="67"/>
      <c r="OAH457" s="67"/>
      <c r="OAI457" s="67"/>
      <c r="OAJ457" s="67"/>
      <c r="OAK457" s="67"/>
      <c r="OAL457" s="67"/>
      <c r="OAM457" s="67"/>
      <c r="OAN457" s="67"/>
      <c r="OAO457" s="67"/>
      <c r="OAP457" s="67"/>
      <c r="OAQ457" s="67"/>
      <c r="OAR457" s="67"/>
      <c r="OAS457" s="67"/>
      <c r="OAT457" s="67"/>
      <c r="OAU457" s="67"/>
      <c r="OAV457" s="67"/>
      <c r="OAW457" s="67"/>
      <c r="OAX457" s="67"/>
      <c r="OAY457" s="67"/>
      <c r="OAZ457" s="67"/>
      <c r="OBA457" s="67"/>
      <c r="OBB457" s="67"/>
      <c r="OBC457" s="67"/>
      <c r="OBD457" s="67"/>
      <c r="OBE457" s="67"/>
      <c r="OBF457" s="67"/>
      <c r="OBG457" s="67"/>
      <c r="OBH457" s="67"/>
      <c r="OBI457" s="67"/>
      <c r="OBJ457" s="67"/>
      <c r="OBK457" s="67"/>
      <c r="OBL457" s="67"/>
      <c r="OBM457" s="67"/>
      <c r="OBN457" s="67"/>
      <c r="OBO457" s="67"/>
      <c r="OBP457" s="67"/>
      <c r="OBQ457" s="67"/>
      <c r="OBR457" s="67"/>
      <c r="OBS457" s="67"/>
      <c r="OBT457" s="67"/>
      <c r="OBU457" s="67"/>
      <c r="OBV457" s="67"/>
      <c r="OBW457" s="67"/>
      <c r="OBX457" s="67"/>
      <c r="OBY457" s="67"/>
      <c r="OBZ457" s="67"/>
      <c r="OCA457" s="67"/>
      <c r="OCB457" s="67"/>
      <c r="OCC457" s="67"/>
      <c r="OCD457" s="67"/>
      <c r="OCE457" s="67"/>
      <c r="OCF457" s="67"/>
      <c r="OCG457" s="67"/>
      <c r="OCH457" s="67"/>
      <c r="OCI457" s="67"/>
      <c r="OCJ457" s="67"/>
      <c r="OCK457" s="67"/>
      <c r="OCL457" s="67"/>
      <c r="OCM457" s="67"/>
      <c r="OCN457" s="67"/>
      <c r="OCO457" s="67"/>
      <c r="OCP457" s="67"/>
      <c r="OCQ457" s="67"/>
      <c r="OCR457" s="67"/>
      <c r="OCS457" s="67"/>
      <c r="OCT457" s="67"/>
      <c r="OCU457" s="67"/>
      <c r="OCV457" s="67"/>
      <c r="OCW457" s="67"/>
      <c r="OCX457" s="67"/>
      <c r="OCY457" s="67"/>
      <c r="OCZ457" s="67"/>
      <c r="ODA457" s="67"/>
      <c r="ODB457" s="67"/>
      <c r="ODC457" s="67"/>
      <c r="ODD457" s="67"/>
      <c r="ODE457" s="67"/>
      <c r="ODF457" s="67"/>
      <c r="ODG457" s="67"/>
      <c r="ODH457" s="67"/>
      <c r="ODI457" s="67"/>
      <c r="ODJ457" s="67"/>
      <c r="ODK457" s="67"/>
      <c r="ODL457" s="67"/>
      <c r="ODM457" s="67"/>
      <c r="ODN457" s="67"/>
      <c r="ODO457" s="67"/>
      <c r="ODP457" s="67"/>
      <c r="ODQ457" s="67"/>
      <c r="ODR457" s="67"/>
      <c r="ODS457" s="67"/>
      <c r="ODT457" s="67"/>
      <c r="ODU457" s="67"/>
      <c r="ODV457" s="67"/>
      <c r="ODW457" s="67"/>
      <c r="ODX457" s="67"/>
      <c r="ODY457" s="67"/>
      <c r="ODZ457" s="67"/>
      <c r="OEA457" s="67"/>
      <c r="OEB457" s="67"/>
      <c r="OEC457" s="67"/>
      <c r="OED457" s="67"/>
      <c r="OEE457" s="67"/>
      <c r="OEF457" s="67"/>
      <c r="OEG457" s="67"/>
      <c r="OEH457" s="67"/>
      <c r="OEI457" s="67"/>
      <c r="OEJ457" s="67"/>
      <c r="OEK457" s="67"/>
      <c r="OEL457" s="67"/>
      <c r="OEM457" s="67"/>
      <c r="OEN457" s="67"/>
      <c r="OEO457" s="67"/>
      <c r="OEP457" s="67"/>
      <c r="OEQ457" s="67"/>
      <c r="OER457" s="67"/>
      <c r="OES457" s="67"/>
      <c r="OET457" s="67"/>
      <c r="OEU457" s="67"/>
      <c r="OEV457" s="67"/>
      <c r="OEW457" s="67"/>
      <c r="OEX457" s="67"/>
      <c r="OEY457" s="67"/>
      <c r="OEZ457" s="67"/>
      <c r="OFA457" s="67"/>
      <c r="OFB457" s="67"/>
      <c r="OFC457" s="67"/>
      <c r="OFD457" s="67"/>
      <c r="OFE457" s="67"/>
      <c r="OFF457" s="67"/>
      <c r="OFG457" s="67"/>
      <c r="OFH457" s="67"/>
      <c r="OFI457" s="67"/>
      <c r="OFJ457" s="67"/>
      <c r="OFK457" s="67"/>
      <c r="OFL457" s="67"/>
      <c r="OFM457" s="67"/>
      <c r="OFN457" s="67"/>
      <c r="OFO457" s="67"/>
      <c r="OFP457" s="67"/>
      <c r="OFQ457" s="67"/>
      <c r="OFR457" s="67"/>
      <c r="OFS457" s="67"/>
      <c r="OFT457" s="67"/>
      <c r="OFU457" s="67"/>
      <c r="OFV457" s="67"/>
      <c r="OFW457" s="67"/>
      <c r="OFX457" s="67"/>
      <c r="OFY457" s="67"/>
      <c r="OFZ457" s="67"/>
      <c r="OGA457" s="67"/>
      <c r="OGB457" s="67"/>
      <c r="OGC457" s="67"/>
      <c r="OGD457" s="67"/>
      <c r="OGE457" s="67"/>
      <c r="OGF457" s="67"/>
      <c r="OGG457" s="67"/>
      <c r="OGH457" s="67"/>
      <c r="OGI457" s="67"/>
      <c r="OGJ457" s="67"/>
      <c r="OGK457" s="67"/>
      <c r="OGL457" s="67"/>
      <c r="OGM457" s="67"/>
      <c r="OGN457" s="67"/>
      <c r="OGO457" s="67"/>
      <c r="OGP457" s="67"/>
      <c r="OGQ457" s="67"/>
      <c r="OGR457" s="67"/>
      <c r="OGS457" s="67"/>
      <c r="OGT457" s="67"/>
      <c r="OGU457" s="67"/>
      <c r="OGV457" s="67"/>
      <c r="OGW457" s="67"/>
      <c r="OGX457" s="67"/>
      <c r="OGY457" s="67"/>
      <c r="OGZ457" s="67"/>
      <c r="OHA457" s="67"/>
      <c r="OHB457" s="67"/>
      <c r="OHC457" s="67"/>
      <c r="OHD457" s="67"/>
      <c r="OHE457" s="67"/>
      <c r="OHF457" s="67"/>
      <c r="OHG457" s="67"/>
      <c r="OHH457" s="67"/>
      <c r="OHI457" s="67"/>
      <c r="OHJ457" s="67"/>
      <c r="OHK457" s="67"/>
      <c r="OHL457" s="67"/>
      <c r="OHM457" s="67"/>
      <c r="OHN457" s="67"/>
      <c r="OHO457" s="67"/>
      <c r="OHP457" s="67"/>
      <c r="OHQ457" s="67"/>
      <c r="OHR457" s="67"/>
      <c r="OHS457" s="67"/>
      <c r="OHT457" s="67"/>
      <c r="OHU457" s="67"/>
      <c r="OHV457" s="67"/>
      <c r="OHW457" s="67"/>
      <c r="OHX457" s="67"/>
      <c r="OHY457" s="67"/>
      <c r="OHZ457" s="67"/>
      <c r="OIA457" s="67"/>
      <c r="OIB457" s="67"/>
      <c r="OIC457" s="67"/>
      <c r="OID457" s="67"/>
      <c r="OIE457" s="67"/>
      <c r="OIF457" s="67"/>
      <c r="OIG457" s="67"/>
      <c r="OIH457" s="67"/>
      <c r="OII457" s="67"/>
      <c r="OIJ457" s="67"/>
      <c r="OIK457" s="67"/>
      <c r="OIL457" s="67"/>
      <c r="OIM457" s="67"/>
      <c r="OIN457" s="67"/>
      <c r="OIO457" s="67"/>
      <c r="OIP457" s="67"/>
      <c r="OIQ457" s="67"/>
      <c r="OIR457" s="67"/>
      <c r="OIS457" s="67"/>
      <c r="OIT457" s="67"/>
      <c r="OIU457" s="67"/>
      <c r="OIV457" s="67"/>
      <c r="OIW457" s="67"/>
      <c r="OIX457" s="67"/>
      <c r="OIY457" s="67"/>
      <c r="OIZ457" s="67"/>
      <c r="OJA457" s="67"/>
      <c r="OJB457" s="67"/>
      <c r="OJC457" s="67"/>
      <c r="OJD457" s="67"/>
      <c r="OJE457" s="67"/>
      <c r="OJF457" s="67"/>
      <c r="OJG457" s="67"/>
      <c r="OJH457" s="67"/>
      <c r="OJI457" s="67"/>
      <c r="OJJ457" s="67"/>
      <c r="OJK457" s="67"/>
      <c r="OJL457" s="67"/>
      <c r="OJM457" s="67"/>
      <c r="OJN457" s="67"/>
      <c r="OJO457" s="67"/>
      <c r="OJP457" s="67"/>
      <c r="OJQ457" s="67"/>
      <c r="OJR457" s="67"/>
      <c r="OJS457" s="67"/>
      <c r="OJT457" s="67"/>
      <c r="OJU457" s="67"/>
      <c r="OJV457" s="67"/>
      <c r="OJW457" s="67"/>
      <c r="OJX457" s="67"/>
      <c r="OJY457" s="67"/>
      <c r="OJZ457" s="67"/>
      <c r="OKA457" s="67"/>
      <c r="OKB457" s="67"/>
      <c r="OKC457" s="67"/>
      <c r="OKD457" s="67"/>
      <c r="OKE457" s="67"/>
      <c r="OKF457" s="67"/>
      <c r="OKG457" s="67"/>
      <c r="OKH457" s="67"/>
      <c r="OKI457" s="67"/>
      <c r="OKJ457" s="67"/>
      <c r="OKK457" s="67"/>
      <c r="OKL457" s="67"/>
      <c r="OKM457" s="67"/>
      <c r="OKN457" s="67"/>
      <c r="OKO457" s="67"/>
      <c r="OKP457" s="67"/>
      <c r="OKQ457" s="67"/>
      <c r="OKR457" s="67"/>
      <c r="OKS457" s="67"/>
      <c r="OKT457" s="67"/>
      <c r="OKU457" s="67"/>
      <c r="OKV457" s="67"/>
      <c r="OKW457" s="67"/>
      <c r="OKX457" s="67"/>
      <c r="OKY457" s="67"/>
      <c r="OKZ457" s="67"/>
      <c r="OLA457" s="67"/>
      <c r="OLB457" s="67"/>
      <c r="OLC457" s="67"/>
      <c r="OLD457" s="67"/>
      <c r="OLE457" s="67"/>
      <c r="OLF457" s="67"/>
      <c r="OLG457" s="67"/>
      <c r="OLH457" s="67"/>
      <c r="OLI457" s="67"/>
      <c r="OLJ457" s="67"/>
      <c r="OLK457" s="67"/>
      <c r="OLL457" s="67"/>
      <c r="OLM457" s="67"/>
      <c r="OLN457" s="67"/>
      <c r="OLO457" s="67"/>
      <c r="OLP457" s="67"/>
      <c r="OLQ457" s="67"/>
      <c r="OLR457" s="67"/>
      <c r="OLS457" s="67"/>
      <c r="OLT457" s="67"/>
      <c r="OLU457" s="67"/>
      <c r="OLV457" s="67"/>
      <c r="OLW457" s="67"/>
      <c r="OLX457" s="67"/>
      <c r="OLY457" s="67"/>
      <c r="OLZ457" s="67"/>
      <c r="OMA457" s="67"/>
      <c r="OMB457" s="67"/>
      <c r="OMC457" s="67"/>
      <c r="OMD457" s="67"/>
      <c r="OME457" s="67"/>
      <c r="OMF457" s="67"/>
      <c r="OMG457" s="67"/>
      <c r="OMH457" s="67"/>
      <c r="OMI457" s="67"/>
      <c r="OMJ457" s="67"/>
      <c r="OMK457" s="67"/>
      <c r="OML457" s="67"/>
      <c r="OMM457" s="67"/>
      <c r="OMN457" s="67"/>
      <c r="OMO457" s="67"/>
      <c r="OMP457" s="67"/>
      <c r="OMQ457" s="67"/>
      <c r="OMR457" s="67"/>
      <c r="OMS457" s="67"/>
      <c r="OMT457" s="67"/>
      <c r="OMU457" s="67"/>
      <c r="OMV457" s="67"/>
      <c r="OMW457" s="67"/>
      <c r="OMX457" s="67"/>
      <c r="OMY457" s="67"/>
      <c r="OMZ457" s="67"/>
      <c r="ONA457" s="67"/>
      <c r="ONB457" s="67"/>
      <c r="ONC457" s="67"/>
      <c r="OND457" s="67"/>
      <c r="ONE457" s="67"/>
      <c r="ONF457" s="67"/>
      <c r="ONG457" s="67"/>
      <c r="ONH457" s="67"/>
      <c r="ONI457" s="67"/>
      <c r="ONJ457" s="67"/>
      <c r="ONK457" s="67"/>
      <c r="ONL457" s="67"/>
      <c r="ONM457" s="67"/>
      <c r="ONN457" s="67"/>
      <c r="ONO457" s="67"/>
      <c r="ONP457" s="67"/>
      <c r="ONQ457" s="67"/>
      <c r="ONR457" s="67"/>
      <c r="ONS457" s="67"/>
      <c r="ONT457" s="67"/>
      <c r="ONU457" s="67"/>
      <c r="ONV457" s="67"/>
      <c r="ONW457" s="67"/>
      <c r="ONX457" s="67"/>
      <c r="ONY457" s="67"/>
      <c r="ONZ457" s="67"/>
      <c r="OOA457" s="67"/>
      <c r="OOB457" s="67"/>
      <c r="OOC457" s="67"/>
      <c r="OOD457" s="67"/>
      <c r="OOE457" s="67"/>
      <c r="OOF457" s="67"/>
      <c r="OOG457" s="67"/>
      <c r="OOH457" s="67"/>
      <c r="OOI457" s="67"/>
      <c r="OOJ457" s="67"/>
      <c r="OOK457" s="67"/>
      <c r="OOL457" s="67"/>
      <c r="OOM457" s="67"/>
      <c r="OON457" s="67"/>
      <c r="OOO457" s="67"/>
      <c r="OOP457" s="67"/>
      <c r="OOQ457" s="67"/>
      <c r="OOR457" s="67"/>
      <c r="OOS457" s="67"/>
      <c r="OOT457" s="67"/>
      <c r="OOU457" s="67"/>
      <c r="OOV457" s="67"/>
      <c r="OOW457" s="67"/>
      <c r="OOX457" s="67"/>
      <c r="OOY457" s="67"/>
      <c r="OOZ457" s="67"/>
      <c r="OPA457" s="67"/>
      <c r="OPB457" s="67"/>
      <c r="OPC457" s="67"/>
      <c r="OPD457" s="67"/>
      <c r="OPE457" s="67"/>
      <c r="OPF457" s="67"/>
      <c r="OPG457" s="67"/>
      <c r="OPH457" s="67"/>
      <c r="OPI457" s="67"/>
      <c r="OPJ457" s="67"/>
      <c r="OPK457" s="67"/>
      <c r="OPL457" s="67"/>
      <c r="OPM457" s="67"/>
      <c r="OPN457" s="67"/>
      <c r="OPO457" s="67"/>
      <c r="OPP457" s="67"/>
      <c r="OPQ457" s="67"/>
      <c r="OPR457" s="67"/>
      <c r="OPS457" s="67"/>
      <c r="OPT457" s="67"/>
      <c r="OPU457" s="67"/>
      <c r="OPV457" s="67"/>
      <c r="OPW457" s="67"/>
      <c r="OPX457" s="67"/>
      <c r="OPY457" s="67"/>
      <c r="OPZ457" s="67"/>
      <c r="OQA457" s="67"/>
      <c r="OQB457" s="67"/>
      <c r="OQC457" s="67"/>
      <c r="OQD457" s="67"/>
      <c r="OQE457" s="67"/>
      <c r="OQF457" s="67"/>
      <c r="OQG457" s="67"/>
      <c r="OQH457" s="67"/>
      <c r="OQI457" s="67"/>
      <c r="OQJ457" s="67"/>
      <c r="OQK457" s="67"/>
      <c r="OQL457" s="67"/>
      <c r="OQM457" s="67"/>
      <c r="OQN457" s="67"/>
      <c r="OQO457" s="67"/>
      <c r="OQP457" s="67"/>
      <c r="OQQ457" s="67"/>
      <c r="OQR457" s="67"/>
      <c r="OQS457" s="67"/>
      <c r="OQT457" s="67"/>
      <c r="OQU457" s="67"/>
      <c r="OQV457" s="67"/>
      <c r="OQW457" s="67"/>
      <c r="OQX457" s="67"/>
      <c r="OQY457" s="67"/>
      <c r="OQZ457" s="67"/>
      <c r="ORA457" s="67"/>
      <c r="ORB457" s="67"/>
      <c r="ORC457" s="67"/>
      <c r="ORD457" s="67"/>
      <c r="ORE457" s="67"/>
      <c r="ORF457" s="67"/>
      <c r="ORG457" s="67"/>
      <c r="ORH457" s="67"/>
      <c r="ORI457" s="67"/>
      <c r="ORJ457" s="67"/>
      <c r="ORK457" s="67"/>
      <c r="ORL457" s="67"/>
      <c r="ORM457" s="67"/>
      <c r="ORN457" s="67"/>
      <c r="ORO457" s="67"/>
      <c r="ORP457" s="67"/>
      <c r="ORQ457" s="67"/>
      <c r="ORR457" s="67"/>
      <c r="ORS457" s="67"/>
      <c r="ORT457" s="67"/>
      <c r="ORU457" s="67"/>
      <c r="ORV457" s="67"/>
      <c r="ORW457" s="67"/>
      <c r="ORX457" s="67"/>
      <c r="ORY457" s="67"/>
      <c r="ORZ457" s="67"/>
      <c r="OSA457" s="67"/>
      <c r="OSB457" s="67"/>
      <c r="OSC457" s="67"/>
      <c r="OSD457" s="67"/>
      <c r="OSE457" s="67"/>
      <c r="OSF457" s="67"/>
      <c r="OSG457" s="67"/>
      <c r="OSH457" s="67"/>
      <c r="OSI457" s="67"/>
      <c r="OSJ457" s="67"/>
      <c r="OSK457" s="67"/>
      <c r="OSL457" s="67"/>
      <c r="OSM457" s="67"/>
      <c r="OSN457" s="67"/>
      <c r="OSO457" s="67"/>
      <c r="OSP457" s="67"/>
      <c r="OSQ457" s="67"/>
      <c r="OSR457" s="67"/>
      <c r="OSS457" s="67"/>
      <c r="OST457" s="67"/>
      <c r="OSU457" s="67"/>
      <c r="OSV457" s="67"/>
      <c r="OSW457" s="67"/>
      <c r="OSX457" s="67"/>
      <c r="OSY457" s="67"/>
      <c r="OSZ457" s="67"/>
      <c r="OTA457" s="67"/>
      <c r="OTB457" s="67"/>
      <c r="OTC457" s="67"/>
      <c r="OTD457" s="67"/>
      <c r="OTE457" s="67"/>
      <c r="OTF457" s="67"/>
      <c r="OTG457" s="67"/>
      <c r="OTH457" s="67"/>
      <c r="OTI457" s="67"/>
      <c r="OTJ457" s="67"/>
      <c r="OTK457" s="67"/>
      <c r="OTL457" s="67"/>
      <c r="OTM457" s="67"/>
      <c r="OTN457" s="67"/>
      <c r="OTO457" s="67"/>
      <c r="OTP457" s="67"/>
      <c r="OTQ457" s="67"/>
      <c r="OTR457" s="67"/>
      <c r="OTS457" s="67"/>
      <c r="OTT457" s="67"/>
      <c r="OTU457" s="67"/>
      <c r="OTV457" s="67"/>
      <c r="OTW457" s="67"/>
      <c r="OTX457" s="67"/>
      <c r="OTY457" s="67"/>
      <c r="OTZ457" s="67"/>
      <c r="OUA457" s="67"/>
      <c r="OUB457" s="67"/>
      <c r="OUC457" s="67"/>
      <c r="OUD457" s="67"/>
      <c r="OUE457" s="67"/>
      <c r="OUF457" s="67"/>
      <c r="OUG457" s="67"/>
      <c r="OUH457" s="67"/>
      <c r="OUI457" s="67"/>
      <c r="OUJ457" s="67"/>
      <c r="OUK457" s="67"/>
      <c r="OUL457" s="67"/>
      <c r="OUM457" s="67"/>
      <c r="OUN457" s="67"/>
      <c r="OUO457" s="67"/>
      <c r="OUP457" s="67"/>
      <c r="OUQ457" s="67"/>
      <c r="OUR457" s="67"/>
      <c r="OUS457" s="67"/>
      <c r="OUT457" s="67"/>
      <c r="OUU457" s="67"/>
      <c r="OUV457" s="67"/>
      <c r="OUW457" s="67"/>
      <c r="OUX457" s="67"/>
      <c r="OUY457" s="67"/>
      <c r="OUZ457" s="67"/>
      <c r="OVA457" s="67"/>
      <c r="OVB457" s="67"/>
      <c r="OVC457" s="67"/>
      <c r="OVD457" s="67"/>
      <c r="OVE457" s="67"/>
      <c r="OVF457" s="67"/>
      <c r="OVG457" s="67"/>
      <c r="OVH457" s="67"/>
      <c r="OVI457" s="67"/>
      <c r="OVJ457" s="67"/>
      <c r="OVK457" s="67"/>
      <c r="OVL457" s="67"/>
      <c r="OVM457" s="67"/>
      <c r="OVN457" s="67"/>
      <c r="OVO457" s="67"/>
      <c r="OVP457" s="67"/>
      <c r="OVQ457" s="67"/>
      <c r="OVR457" s="67"/>
      <c r="OVS457" s="67"/>
      <c r="OVT457" s="67"/>
      <c r="OVU457" s="67"/>
      <c r="OVV457" s="67"/>
      <c r="OVW457" s="67"/>
      <c r="OVX457" s="67"/>
      <c r="OVY457" s="67"/>
      <c r="OVZ457" s="67"/>
      <c r="OWA457" s="67"/>
      <c r="OWB457" s="67"/>
      <c r="OWC457" s="67"/>
      <c r="OWD457" s="67"/>
      <c r="OWE457" s="67"/>
      <c r="OWF457" s="67"/>
      <c r="OWG457" s="67"/>
      <c r="OWH457" s="67"/>
      <c r="OWI457" s="67"/>
      <c r="OWJ457" s="67"/>
      <c r="OWK457" s="67"/>
      <c r="OWL457" s="67"/>
      <c r="OWM457" s="67"/>
      <c r="OWN457" s="67"/>
      <c r="OWO457" s="67"/>
      <c r="OWP457" s="67"/>
      <c r="OWQ457" s="67"/>
      <c r="OWR457" s="67"/>
      <c r="OWS457" s="67"/>
      <c r="OWT457" s="67"/>
      <c r="OWU457" s="67"/>
      <c r="OWV457" s="67"/>
      <c r="OWW457" s="67"/>
      <c r="OWX457" s="67"/>
      <c r="OWY457" s="67"/>
      <c r="OWZ457" s="67"/>
      <c r="OXA457" s="67"/>
      <c r="OXB457" s="67"/>
      <c r="OXC457" s="67"/>
      <c r="OXD457" s="67"/>
      <c r="OXE457" s="67"/>
      <c r="OXF457" s="67"/>
      <c r="OXG457" s="67"/>
      <c r="OXH457" s="67"/>
      <c r="OXI457" s="67"/>
      <c r="OXJ457" s="67"/>
      <c r="OXK457" s="67"/>
      <c r="OXL457" s="67"/>
      <c r="OXM457" s="67"/>
      <c r="OXN457" s="67"/>
      <c r="OXO457" s="67"/>
      <c r="OXP457" s="67"/>
      <c r="OXQ457" s="67"/>
      <c r="OXR457" s="67"/>
      <c r="OXS457" s="67"/>
      <c r="OXT457" s="67"/>
      <c r="OXU457" s="67"/>
      <c r="OXV457" s="67"/>
      <c r="OXW457" s="67"/>
      <c r="OXX457" s="67"/>
      <c r="OXY457" s="67"/>
      <c r="OXZ457" s="67"/>
      <c r="OYA457" s="67"/>
      <c r="OYB457" s="67"/>
      <c r="OYC457" s="67"/>
      <c r="OYD457" s="67"/>
      <c r="OYE457" s="67"/>
      <c r="OYF457" s="67"/>
      <c r="OYG457" s="67"/>
      <c r="OYH457" s="67"/>
      <c r="OYI457" s="67"/>
      <c r="OYJ457" s="67"/>
      <c r="OYK457" s="67"/>
      <c r="OYL457" s="67"/>
      <c r="OYM457" s="67"/>
      <c r="OYN457" s="67"/>
      <c r="OYO457" s="67"/>
      <c r="OYP457" s="67"/>
      <c r="OYQ457" s="67"/>
      <c r="OYR457" s="67"/>
      <c r="OYS457" s="67"/>
      <c r="OYT457" s="67"/>
      <c r="OYU457" s="67"/>
      <c r="OYV457" s="67"/>
      <c r="OYW457" s="67"/>
      <c r="OYX457" s="67"/>
      <c r="OYY457" s="67"/>
      <c r="OYZ457" s="67"/>
      <c r="OZA457" s="67"/>
      <c r="OZB457" s="67"/>
      <c r="OZC457" s="67"/>
      <c r="OZD457" s="67"/>
      <c r="OZE457" s="67"/>
      <c r="OZF457" s="67"/>
      <c r="OZG457" s="67"/>
      <c r="OZH457" s="67"/>
      <c r="OZI457" s="67"/>
      <c r="OZJ457" s="67"/>
      <c r="OZK457" s="67"/>
      <c r="OZL457" s="67"/>
      <c r="OZM457" s="67"/>
      <c r="OZN457" s="67"/>
      <c r="OZO457" s="67"/>
      <c r="OZP457" s="67"/>
      <c r="OZQ457" s="67"/>
      <c r="OZR457" s="67"/>
      <c r="OZS457" s="67"/>
      <c r="OZT457" s="67"/>
      <c r="OZU457" s="67"/>
      <c r="OZV457" s="67"/>
      <c r="OZW457" s="67"/>
      <c r="OZX457" s="67"/>
      <c r="OZY457" s="67"/>
      <c r="OZZ457" s="67"/>
      <c r="PAA457" s="67"/>
      <c r="PAB457" s="67"/>
      <c r="PAC457" s="67"/>
      <c r="PAD457" s="67"/>
      <c r="PAE457" s="67"/>
      <c r="PAF457" s="67"/>
      <c r="PAG457" s="67"/>
      <c r="PAH457" s="67"/>
      <c r="PAI457" s="67"/>
      <c r="PAJ457" s="67"/>
      <c r="PAK457" s="67"/>
      <c r="PAL457" s="67"/>
      <c r="PAM457" s="67"/>
      <c r="PAN457" s="67"/>
      <c r="PAO457" s="67"/>
      <c r="PAP457" s="67"/>
      <c r="PAQ457" s="67"/>
      <c r="PAR457" s="67"/>
      <c r="PAS457" s="67"/>
      <c r="PAT457" s="67"/>
      <c r="PAU457" s="67"/>
      <c r="PAV457" s="67"/>
      <c r="PAW457" s="67"/>
      <c r="PAX457" s="67"/>
      <c r="PAY457" s="67"/>
      <c r="PAZ457" s="67"/>
      <c r="PBA457" s="67"/>
      <c r="PBB457" s="67"/>
      <c r="PBC457" s="67"/>
      <c r="PBD457" s="67"/>
      <c r="PBE457" s="67"/>
      <c r="PBF457" s="67"/>
      <c r="PBG457" s="67"/>
      <c r="PBH457" s="67"/>
      <c r="PBI457" s="67"/>
      <c r="PBJ457" s="67"/>
      <c r="PBK457" s="67"/>
      <c r="PBL457" s="67"/>
      <c r="PBM457" s="67"/>
      <c r="PBN457" s="67"/>
      <c r="PBO457" s="67"/>
      <c r="PBP457" s="67"/>
      <c r="PBQ457" s="67"/>
      <c r="PBR457" s="67"/>
      <c r="PBS457" s="67"/>
      <c r="PBT457" s="67"/>
      <c r="PBU457" s="67"/>
      <c r="PBV457" s="67"/>
      <c r="PBW457" s="67"/>
      <c r="PBX457" s="67"/>
      <c r="PBY457" s="67"/>
      <c r="PBZ457" s="67"/>
      <c r="PCA457" s="67"/>
      <c r="PCB457" s="67"/>
      <c r="PCC457" s="67"/>
      <c r="PCD457" s="67"/>
      <c r="PCE457" s="67"/>
      <c r="PCF457" s="67"/>
      <c r="PCG457" s="67"/>
      <c r="PCH457" s="67"/>
      <c r="PCI457" s="67"/>
      <c r="PCJ457" s="67"/>
      <c r="PCK457" s="67"/>
      <c r="PCL457" s="67"/>
      <c r="PCM457" s="67"/>
      <c r="PCN457" s="67"/>
      <c r="PCO457" s="67"/>
      <c r="PCP457" s="67"/>
      <c r="PCQ457" s="67"/>
      <c r="PCR457" s="67"/>
      <c r="PCS457" s="67"/>
      <c r="PCT457" s="67"/>
      <c r="PCU457" s="67"/>
      <c r="PCV457" s="67"/>
      <c r="PCW457" s="67"/>
      <c r="PCX457" s="67"/>
      <c r="PCY457" s="67"/>
      <c r="PCZ457" s="67"/>
      <c r="PDA457" s="67"/>
      <c r="PDB457" s="67"/>
      <c r="PDC457" s="67"/>
      <c r="PDD457" s="67"/>
      <c r="PDE457" s="67"/>
      <c r="PDF457" s="67"/>
      <c r="PDG457" s="67"/>
      <c r="PDH457" s="67"/>
      <c r="PDI457" s="67"/>
      <c r="PDJ457" s="67"/>
      <c r="PDK457" s="67"/>
      <c r="PDL457" s="67"/>
      <c r="PDM457" s="67"/>
      <c r="PDN457" s="67"/>
      <c r="PDO457" s="67"/>
      <c r="PDP457" s="67"/>
      <c r="PDQ457" s="67"/>
      <c r="PDR457" s="67"/>
      <c r="PDS457" s="67"/>
      <c r="PDT457" s="67"/>
      <c r="PDU457" s="67"/>
      <c r="PDV457" s="67"/>
      <c r="PDW457" s="67"/>
      <c r="PDX457" s="67"/>
      <c r="PDY457" s="67"/>
      <c r="PDZ457" s="67"/>
      <c r="PEA457" s="67"/>
      <c r="PEB457" s="67"/>
      <c r="PEC457" s="67"/>
      <c r="PED457" s="67"/>
      <c r="PEE457" s="67"/>
      <c r="PEF457" s="67"/>
      <c r="PEG457" s="67"/>
      <c r="PEH457" s="67"/>
      <c r="PEI457" s="67"/>
      <c r="PEJ457" s="67"/>
      <c r="PEK457" s="67"/>
      <c r="PEL457" s="67"/>
      <c r="PEM457" s="67"/>
      <c r="PEN457" s="67"/>
      <c r="PEO457" s="67"/>
      <c r="PEP457" s="67"/>
      <c r="PEQ457" s="67"/>
      <c r="PER457" s="67"/>
      <c r="PES457" s="67"/>
      <c r="PET457" s="67"/>
      <c r="PEU457" s="67"/>
      <c r="PEV457" s="67"/>
      <c r="PEW457" s="67"/>
      <c r="PEX457" s="67"/>
      <c r="PEY457" s="67"/>
      <c r="PEZ457" s="67"/>
      <c r="PFA457" s="67"/>
      <c r="PFB457" s="67"/>
      <c r="PFC457" s="67"/>
      <c r="PFD457" s="67"/>
      <c r="PFE457" s="67"/>
      <c r="PFF457" s="67"/>
      <c r="PFG457" s="67"/>
      <c r="PFH457" s="67"/>
      <c r="PFI457" s="67"/>
      <c r="PFJ457" s="67"/>
      <c r="PFK457" s="67"/>
      <c r="PFL457" s="67"/>
      <c r="PFM457" s="67"/>
      <c r="PFN457" s="67"/>
      <c r="PFO457" s="67"/>
      <c r="PFP457" s="67"/>
      <c r="PFQ457" s="67"/>
      <c r="PFR457" s="67"/>
      <c r="PFS457" s="67"/>
      <c r="PFT457" s="67"/>
      <c r="PFU457" s="67"/>
      <c r="PFV457" s="67"/>
      <c r="PFW457" s="67"/>
      <c r="PFX457" s="67"/>
      <c r="PFY457" s="67"/>
      <c r="PFZ457" s="67"/>
      <c r="PGA457" s="67"/>
      <c r="PGB457" s="67"/>
      <c r="PGC457" s="67"/>
      <c r="PGD457" s="67"/>
      <c r="PGE457" s="67"/>
      <c r="PGF457" s="67"/>
      <c r="PGG457" s="67"/>
      <c r="PGH457" s="67"/>
      <c r="PGI457" s="67"/>
      <c r="PGJ457" s="67"/>
      <c r="PGK457" s="67"/>
      <c r="PGL457" s="67"/>
      <c r="PGM457" s="67"/>
      <c r="PGN457" s="67"/>
      <c r="PGO457" s="67"/>
      <c r="PGP457" s="67"/>
      <c r="PGQ457" s="67"/>
      <c r="PGR457" s="67"/>
      <c r="PGS457" s="67"/>
      <c r="PGT457" s="67"/>
      <c r="PGU457" s="67"/>
      <c r="PGV457" s="67"/>
      <c r="PGW457" s="67"/>
      <c r="PGX457" s="67"/>
      <c r="PGY457" s="67"/>
      <c r="PGZ457" s="67"/>
      <c r="PHA457" s="67"/>
      <c r="PHB457" s="67"/>
      <c r="PHC457" s="67"/>
      <c r="PHD457" s="67"/>
      <c r="PHE457" s="67"/>
      <c r="PHF457" s="67"/>
      <c r="PHG457" s="67"/>
      <c r="PHH457" s="67"/>
      <c r="PHI457" s="67"/>
      <c r="PHJ457" s="67"/>
      <c r="PHK457" s="67"/>
      <c r="PHL457" s="67"/>
      <c r="PHM457" s="67"/>
      <c r="PHN457" s="67"/>
      <c r="PHO457" s="67"/>
      <c r="PHP457" s="67"/>
      <c r="PHQ457" s="67"/>
      <c r="PHR457" s="67"/>
      <c r="PHS457" s="67"/>
      <c r="PHT457" s="67"/>
      <c r="PHU457" s="67"/>
      <c r="PHV457" s="67"/>
      <c r="PHW457" s="67"/>
      <c r="PHX457" s="67"/>
      <c r="PHY457" s="67"/>
      <c r="PHZ457" s="67"/>
      <c r="PIA457" s="67"/>
      <c r="PIB457" s="67"/>
      <c r="PIC457" s="67"/>
      <c r="PID457" s="67"/>
      <c r="PIE457" s="67"/>
      <c r="PIF457" s="67"/>
      <c r="PIG457" s="67"/>
      <c r="PIH457" s="67"/>
      <c r="PII457" s="67"/>
      <c r="PIJ457" s="67"/>
      <c r="PIK457" s="67"/>
      <c r="PIL457" s="67"/>
      <c r="PIM457" s="67"/>
      <c r="PIN457" s="67"/>
      <c r="PIO457" s="67"/>
      <c r="PIP457" s="67"/>
      <c r="PIQ457" s="67"/>
      <c r="PIR457" s="67"/>
      <c r="PIS457" s="67"/>
      <c r="PIT457" s="67"/>
      <c r="PIU457" s="67"/>
      <c r="PIV457" s="67"/>
      <c r="PIW457" s="67"/>
      <c r="PIX457" s="67"/>
      <c r="PIY457" s="67"/>
      <c r="PIZ457" s="67"/>
      <c r="PJA457" s="67"/>
      <c r="PJB457" s="67"/>
      <c r="PJC457" s="67"/>
      <c r="PJD457" s="67"/>
      <c r="PJE457" s="67"/>
      <c r="PJF457" s="67"/>
      <c r="PJG457" s="67"/>
      <c r="PJH457" s="67"/>
      <c r="PJI457" s="67"/>
      <c r="PJJ457" s="67"/>
      <c r="PJK457" s="67"/>
      <c r="PJL457" s="67"/>
      <c r="PJM457" s="67"/>
      <c r="PJN457" s="67"/>
      <c r="PJO457" s="67"/>
      <c r="PJP457" s="67"/>
      <c r="PJQ457" s="67"/>
      <c r="PJR457" s="67"/>
      <c r="PJS457" s="67"/>
      <c r="PJT457" s="67"/>
      <c r="PJU457" s="67"/>
      <c r="PJV457" s="67"/>
      <c r="PJW457" s="67"/>
      <c r="PJX457" s="67"/>
      <c r="PJY457" s="67"/>
      <c r="PJZ457" s="67"/>
      <c r="PKA457" s="67"/>
      <c r="PKB457" s="67"/>
      <c r="PKC457" s="67"/>
      <c r="PKD457" s="67"/>
      <c r="PKE457" s="67"/>
      <c r="PKF457" s="67"/>
      <c r="PKG457" s="67"/>
      <c r="PKH457" s="67"/>
      <c r="PKI457" s="67"/>
      <c r="PKJ457" s="67"/>
      <c r="PKK457" s="67"/>
      <c r="PKL457" s="67"/>
      <c r="PKM457" s="67"/>
      <c r="PKN457" s="67"/>
      <c r="PKO457" s="67"/>
      <c r="PKP457" s="67"/>
      <c r="PKQ457" s="67"/>
      <c r="PKR457" s="67"/>
      <c r="PKS457" s="67"/>
      <c r="PKT457" s="67"/>
      <c r="PKU457" s="67"/>
      <c r="PKV457" s="67"/>
      <c r="PKW457" s="67"/>
      <c r="PKX457" s="67"/>
      <c r="PKY457" s="67"/>
      <c r="PKZ457" s="67"/>
      <c r="PLA457" s="67"/>
      <c r="PLB457" s="67"/>
      <c r="PLC457" s="67"/>
      <c r="PLD457" s="67"/>
      <c r="PLE457" s="67"/>
      <c r="PLF457" s="67"/>
      <c r="PLG457" s="67"/>
      <c r="PLH457" s="67"/>
      <c r="PLI457" s="67"/>
      <c r="PLJ457" s="67"/>
      <c r="PLK457" s="67"/>
      <c r="PLL457" s="67"/>
      <c r="PLM457" s="67"/>
      <c r="PLN457" s="67"/>
      <c r="PLO457" s="67"/>
      <c r="PLP457" s="67"/>
      <c r="PLQ457" s="67"/>
      <c r="PLR457" s="67"/>
      <c r="PLS457" s="67"/>
      <c r="PLT457" s="67"/>
      <c r="PLU457" s="67"/>
      <c r="PLV457" s="67"/>
      <c r="PLW457" s="67"/>
      <c r="PLX457" s="67"/>
      <c r="PLY457" s="67"/>
      <c r="PLZ457" s="67"/>
      <c r="PMA457" s="67"/>
      <c r="PMB457" s="67"/>
      <c r="PMC457" s="67"/>
      <c r="PMD457" s="67"/>
      <c r="PME457" s="67"/>
      <c r="PMF457" s="67"/>
      <c r="PMG457" s="67"/>
      <c r="PMH457" s="67"/>
      <c r="PMI457" s="67"/>
      <c r="PMJ457" s="67"/>
      <c r="PMK457" s="67"/>
      <c r="PML457" s="67"/>
      <c r="PMM457" s="67"/>
      <c r="PMN457" s="67"/>
      <c r="PMO457" s="67"/>
      <c r="PMP457" s="67"/>
      <c r="PMQ457" s="67"/>
      <c r="PMR457" s="67"/>
      <c r="PMS457" s="67"/>
      <c r="PMT457" s="67"/>
      <c r="PMU457" s="67"/>
      <c r="PMV457" s="67"/>
      <c r="PMW457" s="67"/>
      <c r="PMX457" s="67"/>
      <c r="PMY457" s="67"/>
      <c r="PMZ457" s="67"/>
      <c r="PNA457" s="67"/>
      <c r="PNB457" s="67"/>
      <c r="PNC457" s="67"/>
      <c r="PND457" s="67"/>
      <c r="PNE457" s="67"/>
      <c r="PNF457" s="67"/>
      <c r="PNG457" s="67"/>
      <c r="PNH457" s="67"/>
      <c r="PNI457" s="67"/>
      <c r="PNJ457" s="67"/>
      <c r="PNK457" s="67"/>
      <c r="PNL457" s="67"/>
      <c r="PNM457" s="67"/>
      <c r="PNN457" s="67"/>
      <c r="PNO457" s="67"/>
      <c r="PNP457" s="67"/>
      <c r="PNQ457" s="67"/>
      <c r="PNR457" s="67"/>
      <c r="PNS457" s="67"/>
      <c r="PNT457" s="67"/>
      <c r="PNU457" s="67"/>
      <c r="PNV457" s="67"/>
      <c r="PNW457" s="67"/>
      <c r="PNX457" s="67"/>
      <c r="PNY457" s="67"/>
      <c r="PNZ457" s="67"/>
      <c r="POA457" s="67"/>
      <c r="POB457" s="67"/>
      <c r="POC457" s="67"/>
      <c r="POD457" s="67"/>
      <c r="POE457" s="67"/>
      <c r="POF457" s="67"/>
      <c r="POG457" s="67"/>
      <c r="POH457" s="67"/>
      <c r="POI457" s="67"/>
      <c r="POJ457" s="67"/>
      <c r="POK457" s="67"/>
      <c r="POL457" s="67"/>
      <c r="POM457" s="67"/>
      <c r="PON457" s="67"/>
      <c r="POO457" s="67"/>
      <c r="POP457" s="67"/>
      <c r="POQ457" s="67"/>
      <c r="POR457" s="67"/>
      <c r="POS457" s="67"/>
      <c r="POT457" s="67"/>
      <c r="POU457" s="67"/>
      <c r="POV457" s="67"/>
      <c r="POW457" s="67"/>
      <c r="POX457" s="67"/>
      <c r="POY457" s="67"/>
      <c r="POZ457" s="67"/>
      <c r="PPA457" s="67"/>
      <c r="PPB457" s="67"/>
      <c r="PPC457" s="67"/>
      <c r="PPD457" s="67"/>
      <c r="PPE457" s="67"/>
      <c r="PPF457" s="67"/>
      <c r="PPG457" s="67"/>
      <c r="PPH457" s="67"/>
      <c r="PPI457" s="67"/>
      <c r="PPJ457" s="67"/>
      <c r="PPK457" s="67"/>
      <c r="PPL457" s="67"/>
      <c r="PPM457" s="67"/>
      <c r="PPN457" s="67"/>
      <c r="PPO457" s="67"/>
      <c r="PPP457" s="67"/>
      <c r="PPQ457" s="67"/>
      <c r="PPR457" s="67"/>
      <c r="PPS457" s="67"/>
      <c r="PPT457" s="67"/>
      <c r="PPU457" s="67"/>
      <c r="PPV457" s="67"/>
      <c r="PPW457" s="67"/>
      <c r="PPX457" s="67"/>
      <c r="PPY457" s="67"/>
      <c r="PPZ457" s="67"/>
      <c r="PQA457" s="67"/>
      <c r="PQB457" s="67"/>
      <c r="PQC457" s="67"/>
      <c r="PQD457" s="67"/>
      <c r="PQE457" s="67"/>
      <c r="PQF457" s="67"/>
      <c r="PQG457" s="67"/>
      <c r="PQH457" s="67"/>
      <c r="PQI457" s="67"/>
      <c r="PQJ457" s="67"/>
      <c r="PQK457" s="67"/>
      <c r="PQL457" s="67"/>
      <c r="PQM457" s="67"/>
      <c r="PQN457" s="67"/>
      <c r="PQO457" s="67"/>
      <c r="PQP457" s="67"/>
      <c r="PQQ457" s="67"/>
      <c r="PQR457" s="67"/>
      <c r="PQS457" s="67"/>
      <c r="PQT457" s="67"/>
      <c r="PQU457" s="67"/>
      <c r="PQV457" s="67"/>
      <c r="PQW457" s="67"/>
      <c r="PQX457" s="67"/>
      <c r="PQY457" s="67"/>
      <c r="PQZ457" s="67"/>
      <c r="PRA457" s="67"/>
      <c r="PRB457" s="67"/>
      <c r="PRC457" s="67"/>
      <c r="PRD457" s="67"/>
      <c r="PRE457" s="67"/>
      <c r="PRF457" s="67"/>
      <c r="PRG457" s="67"/>
      <c r="PRH457" s="67"/>
      <c r="PRI457" s="67"/>
      <c r="PRJ457" s="67"/>
      <c r="PRK457" s="67"/>
      <c r="PRL457" s="67"/>
      <c r="PRM457" s="67"/>
      <c r="PRN457" s="67"/>
      <c r="PRO457" s="67"/>
      <c r="PRP457" s="67"/>
      <c r="PRQ457" s="67"/>
      <c r="PRR457" s="67"/>
      <c r="PRS457" s="67"/>
      <c r="PRT457" s="67"/>
      <c r="PRU457" s="67"/>
      <c r="PRV457" s="67"/>
      <c r="PRW457" s="67"/>
      <c r="PRX457" s="67"/>
      <c r="PRY457" s="67"/>
      <c r="PRZ457" s="67"/>
      <c r="PSA457" s="67"/>
      <c r="PSB457" s="67"/>
      <c r="PSC457" s="67"/>
      <c r="PSD457" s="67"/>
      <c r="PSE457" s="67"/>
      <c r="PSF457" s="67"/>
      <c r="PSG457" s="67"/>
      <c r="PSH457" s="67"/>
      <c r="PSI457" s="67"/>
      <c r="PSJ457" s="67"/>
      <c r="PSK457" s="67"/>
      <c r="PSL457" s="67"/>
      <c r="PSM457" s="67"/>
      <c r="PSN457" s="67"/>
      <c r="PSO457" s="67"/>
      <c r="PSP457" s="67"/>
      <c r="PSQ457" s="67"/>
      <c r="PSR457" s="67"/>
      <c r="PSS457" s="67"/>
      <c r="PST457" s="67"/>
      <c r="PSU457" s="67"/>
      <c r="PSV457" s="67"/>
      <c r="PSW457" s="67"/>
      <c r="PSX457" s="67"/>
      <c r="PSY457" s="67"/>
      <c r="PSZ457" s="67"/>
      <c r="PTA457" s="67"/>
      <c r="PTB457" s="67"/>
      <c r="PTC457" s="67"/>
      <c r="PTD457" s="67"/>
      <c r="PTE457" s="67"/>
      <c r="PTF457" s="67"/>
      <c r="PTG457" s="67"/>
      <c r="PTH457" s="67"/>
      <c r="PTI457" s="67"/>
      <c r="PTJ457" s="67"/>
      <c r="PTK457" s="67"/>
      <c r="PTL457" s="67"/>
      <c r="PTM457" s="67"/>
      <c r="PTN457" s="67"/>
      <c r="PTO457" s="67"/>
      <c r="PTP457" s="67"/>
      <c r="PTQ457" s="67"/>
      <c r="PTR457" s="67"/>
      <c r="PTS457" s="67"/>
      <c r="PTT457" s="67"/>
      <c r="PTU457" s="67"/>
      <c r="PTV457" s="67"/>
      <c r="PTW457" s="67"/>
      <c r="PTX457" s="67"/>
      <c r="PTY457" s="67"/>
      <c r="PTZ457" s="67"/>
      <c r="PUA457" s="67"/>
      <c r="PUB457" s="67"/>
      <c r="PUC457" s="67"/>
      <c r="PUD457" s="67"/>
      <c r="PUE457" s="67"/>
      <c r="PUF457" s="67"/>
      <c r="PUG457" s="67"/>
      <c r="PUH457" s="67"/>
      <c r="PUI457" s="67"/>
      <c r="PUJ457" s="67"/>
      <c r="PUK457" s="67"/>
      <c r="PUL457" s="67"/>
      <c r="PUM457" s="67"/>
      <c r="PUN457" s="67"/>
      <c r="PUO457" s="67"/>
      <c r="PUP457" s="67"/>
      <c r="PUQ457" s="67"/>
      <c r="PUR457" s="67"/>
      <c r="PUS457" s="67"/>
      <c r="PUT457" s="67"/>
      <c r="PUU457" s="67"/>
      <c r="PUV457" s="67"/>
      <c r="PUW457" s="67"/>
      <c r="PUX457" s="67"/>
      <c r="PUY457" s="67"/>
      <c r="PUZ457" s="67"/>
      <c r="PVA457" s="67"/>
      <c r="PVB457" s="67"/>
      <c r="PVC457" s="67"/>
      <c r="PVD457" s="67"/>
      <c r="PVE457" s="67"/>
      <c r="PVF457" s="67"/>
      <c r="PVG457" s="67"/>
      <c r="PVH457" s="67"/>
      <c r="PVI457" s="67"/>
      <c r="PVJ457" s="67"/>
      <c r="PVK457" s="67"/>
      <c r="PVL457" s="67"/>
      <c r="PVM457" s="67"/>
      <c r="PVN457" s="67"/>
      <c r="PVO457" s="67"/>
      <c r="PVP457" s="67"/>
      <c r="PVQ457" s="67"/>
      <c r="PVR457" s="67"/>
      <c r="PVS457" s="67"/>
      <c r="PVT457" s="67"/>
      <c r="PVU457" s="67"/>
      <c r="PVV457" s="67"/>
      <c r="PVW457" s="67"/>
      <c r="PVX457" s="67"/>
      <c r="PVY457" s="67"/>
      <c r="PVZ457" s="67"/>
      <c r="PWA457" s="67"/>
      <c r="PWB457" s="67"/>
      <c r="PWC457" s="67"/>
      <c r="PWD457" s="67"/>
      <c r="PWE457" s="67"/>
      <c r="PWF457" s="67"/>
      <c r="PWG457" s="67"/>
      <c r="PWH457" s="67"/>
      <c r="PWI457" s="67"/>
      <c r="PWJ457" s="67"/>
      <c r="PWK457" s="67"/>
      <c r="PWL457" s="67"/>
      <c r="PWM457" s="67"/>
      <c r="PWN457" s="67"/>
      <c r="PWO457" s="67"/>
      <c r="PWP457" s="67"/>
      <c r="PWQ457" s="67"/>
      <c r="PWR457" s="67"/>
      <c r="PWS457" s="67"/>
      <c r="PWT457" s="67"/>
      <c r="PWU457" s="67"/>
      <c r="PWV457" s="67"/>
      <c r="PWW457" s="67"/>
      <c r="PWX457" s="67"/>
      <c r="PWY457" s="67"/>
      <c r="PWZ457" s="67"/>
      <c r="PXA457" s="67"/>
      <c r="PXB457" s="67"/>
      <c r="PXC457" s="67"/>
      <c r="PXD457" s="67"/>
      <c r="PXE457" s="67"/>
      <c r="PXF457" s="67"/>
      <c r="PXG457" s="67"/>
      <c r="PXH457" s="67"/>
      <c r="PXI457" s="67"/>
      <c r="PXJ457" s="67"/>
      <c r="PXK457" s="67"/>
      <c r="PXL457" s="67"/>
      <c r="PXM457" s="67"/>
      <c r="PXN457" s="67"/>
      <c r="PXO457" s="67"/>
      <c r="PXP457" s="67"/>
      <c r="PXQ457" s="67"/>
      <c r="PXR457" s="67"/>
      <c r="PXS457" s="67"/>
      <c r="PXT457" s="67"/>
      <c r="PXU457" s="67"/>
      <c r="PXV457" s="67"/>
      <c r="PXW457" s="67"/>
      <c r="PXX457" s="67"/>
      <c r="PXY457" s="67"/>
      <c r="PXZ457" s="67"/>
      <c r="PYA457" s="67"/>
      <c r="PYB457" s="67"/>
      <c r="PYC457" s="67"/>
      <c r="PYD457" s="67"/>
      <c r="PYE457" s="67"/>
      <c r="PYF457" s="67"/>
      <c r="PYG457" s="67"/>
      <c r="PYH457" s="67"/>
      <c r="PYI457" s="67"/>
      <c r="PYJ457" s="67"/>
      <c r="PYK457" s="67"/>
      <c r="PYL457" s="67"/>
      <c r="PYM457" s="67"/>
      <c r="PYN457" s="67"/>
      <c r="PYO457" s="67"/>
      <c r="PYP457" s="67"/>
      <c r="PYQ457" s="67"/>
      <c r="PYR457" s="67"/>
      <c r="PYS457" s="67"/>
      <c r="PYT457" s="67"/>
      <c r="PYU457" s="67"/>
      <c r="PYV457" s="67"/>
      <c r="PYW457" s="67"/>
      <c r="PYX457" s="67"/>
      <c r="PYY457" s="67"/>
      <c r="PYZ457" s="67"/>
      <c r="PZA457" s="67"/>
      <c r="PZB457" s="67"/>
      <c r="PZC457" s="67"/>
      <c r="PZD457" s="67"/>
      <c r="PZE457" s="67"/>
      <c r="PZF457" s="67"/>
      <c r="PZG457" s="67"/>
      <c r="PZH457" s="67"/>
      <c r="PZI457" s="67"/>
      <c r="PZJ457" s="67"/>
      <c r="PZK457" s="67"/>
      <c r="PZL457" s="67"/>
      <c r="PZM457" s="67"/>
      <c r="PZN457" s="67"/>
      <c r="PZO457" s="67"/>
      <c r="PZP457" s="67"/>
      <c r="PZQ457" s="67"/>
      <c r="PZR457" s="67"/>
      <c r="PZS457" s="67"/>
      <c r="PZT457" s="67"/>
      <c r="PZU457" s="67"/>
      <c r="PZV457" s="67"/>
      <c r="PZW457" s="67"/>
      <c r="PZX457" s="67"/>
      <c r="PZY457" s="67"/>
      <c r="PZZ457" s="67"/>
      <c r="QAA457" s="67"/>
      <c r="QAB457" s="67"/>
      <c r="QAC457" s="67"/>
      <c r="QAD457" s="67"/>
      <c r="QAE457" s="67"/>
      <c r="QAF457" s="67"/>
      <c r="QAG457" s="67"/>
      <c r="QAH457" s="67"/>
      <c r="QAI457" s="67"/>
      <c r="QAJ457" s="67"/>
      <c r="QAK457" s="67"/>
      <c r="QAL457" s="67"/>
      <c r="QAM457" s="67"/>
      <c r="QAN457" s="67"/>
      <c r="QAO457" s="67"/>
      <c r="QAP457" s="67"/>
      <c r="QAQ457" s="67"/>
      <c r="QAR457" s="67"/>
      <c r="QAS457" s="67"/>
      <c r="QAT457" s="67"/>
      <c r="QAU457" s="67"/>
      <c r="QAV457" s="67"/>
      <c r="QAW457" s="67"/>
      <c r="QAX457" s="67"/>
      <c r="QAY457" s="67"/>
      <c r="QAZ457" s="67"/>
      <c r="QBA457" s="67"/>
      <c r="QBB457" s="67"/>
      <c r="QBC457" s="67"/>
      <c r="QBD457" s="67"/>
      <c r="QBE457" s="67"/>
      <c r="QBF457" s="67"/>
      <c r="QBG457" s="67"/>
      <c r="QBH457" s="67"/>
      <c r="QBI457" s="67"/>
      <c r="QBJ457" s="67"/>
      <c r="QBK457" s="67"/>
      <c r="QBL457" s="67"/>
      <c r="QBM457" s="67"/>
      <c r="QBN457" s="67"/>
      <c r="QBO457" s="67"/>
      <c r="QBP457" s="67"/>
      <c r="QBQ457" s="67"/>
      <c r="QBR457" s="67"/>
      <c r="QBS457" s="67"/>
      <c r="QBT457" s="67"/>
      <c r="QBU457" s="67"/>
      <c r="QBV457" s="67"/>
      <c r="QBW457" s="67"/>
      <c r="QBX457" s="67"/>
      <c r="QBY457" s="67"/>
      <c r="QBZ457" s="67"/>
      <c r="QCA457" s="67"/>
      <c r="QCB457" s="67"/>
      <c r="QCC457" s="67"/>
      <c r="QCD457" s="67"/>
      <c r="QCE457" s="67"/>
      <c r="QCF457" s="67"/>
      <c r="QCG457" s="67"/>
      <c r="QCH457" s="67"/>
      <c r="QCI457" s="67"/>
      <c r="QCJ457" s="67"/>
      <c r="QCK457" s="67"/>
      <c r="QCL457" s="67"/>
      <c r="QCM457" s="67"/>
      <c r="QCN457" s="67"/>
      <c r="QCO457" s="67"/>
      <c r="QCP457" s="67"/>
      <c r="QCQ457" s="67"/>
      <c r="QCR457" s="67"/>
      <c r="QCS457" s="67"/>
      <c r="QCT457" s="67"/>
      <c r="QCU457" s="67"/>
      <c r="QCV457" s="67"/>
      <c r="QCW457" s="67"/>
      <c r="QCX457" s="67"/>
      <c r="QCY457" s="67"/>
      <c r="QCZ457" s="67"/>
      <c r="QDA457" s="67"/>
      <c r="QDB457" s="67"/>
      <c r="QDC457" s="67"/>
      <c r="QDD457" s="67"/>
      <c r="QDE457" s="67"/>
      <c r="QDF457" s="67"/>
      <c r="QDG457" s="67"/>
      <c r="QDH457" s="67"/>
      <c r="QDI457" s="67"/>
      <c r="QDJ457" s="67"/>
      <c r="QDK457" s="67"/>
      <c r="QDL457" s="67"/>
      <c r="QDM457" s="67"/>
      <c r="QDN457" s="67"/>
      <c r="QDO457" s="67"/>
      <c r="QDP457" s="67"/>
      <c r="QDQ457" s="67"/>
      <c r="QDR457" s="67"/>
      <c r="QDS457" s="67"/>
      <c r="QDT457" s="67"/>
      <c r="QDU457" s="67"/>
      <c r="QDV457" s="67"/>
      <c r="QDW457" s="67"/>
      <c r="QDX457" s="67"/>
      <c r="QDY457" s="67"/>
      <c r="QDZ457" s="67"/>
      <c r="QEA457" s="67"/>
      <c r="QEB457" s="67"/>
      <c r="QEC457" s="67"/>
      <c r="QED457" s="67"/>
      <c r="QEE457" s="67"/>
      <c r="QEF457" s="67"/>
      <c r="QEG457" s="67"/>
      <c r="QEH457" s="67"/>
      <c r="QEI457" s="67"/>
      <c r="QEJ457" s="67"/>
      <c r="QEK457" s="67"/>
      <c r="QEL457" s="67"/>
      <c r="QEM457" s="67"/>
      <c r="QEN457" s="67"/>
      <c r="QEO457" s="67"/>
      <c r="QEP457" s="67"/>
      <c r="QEQ457" s="67"/>
      <c r="QER457" s="67"/>
      <c r="QES457" s="67"/>
      <c r="QET457" s="67"/>
      <c r="QEU457" s="67"/>
      <c r="QEV457" s="67"/>
      <c r="QEW457" s="67"/>
      <c r="QEX457" s="67"/>
      <c r="QEY457" s="67"/>
      <c r="QEZ457" s="67"/>
      <c r="QFA457" s="67"/>
      <c r="QFB457" s="67"/>
      <c r="QFC457" s="67"/>
      <c r="QFD457" s="67"/>
      <c r="QFE457" s="67"/>
      <c r="QFF457" s="67"/>
      <c r="QFG457" s="67"/>
      <c r="QFH457" s="67"/>
      <c r="QFI457" s="67"/>
      <c r="QFJ457" s="67"/>
      <c r="QFK457" s="67"/>
      <c r="QFL457" s="67"/>
      <c r="QFM457" s="67"/>
      <c r="QFN457" s="67"/>
      <c r="QFO457" s="67"/>
      <c r="QFP457" s="67"/>
      <c r="QFQ457" s="67"/>
      <c r="QFR457" s="67"/>
      <c r="QFS457" s="67"/>
      <c r="QFT457" s="67"/>
      <c r="QFU457" s="67"/>
      <c r="QFV457" s="67"/>
      <c r="QFW457" s="67"/>
      <c r="QFX457" s="67"/>
      <c r="QFY457" s="67"/>
      <c r="QFZ457" s="67"/>
      <c r="QGA457" s="67"/>
      <c r="QGB457" s="67"/>
      <c r="QGC457" s="67"/>
      <c r="QGD457" s="67"/>
      <c r="QGE457" s="67"/>
      <c r="QGF457" s="67"/>
      <c r="QGG457" s="67"/>
      <c r="QGH457" s="67"/>
      <c r="QGI457" s="67"/>
      <c r="QGJ457" s="67"/>
      <c r="QGK457" s="67"/>
      <c r="QGL457" s="67"/>
      <c r="QGM457" s="67"/>
      <c r="QGN457" s="67"/>
      <c r="QGO457" s="67"/>
      <c r="QGP457" s="67"/>
      <c r="QGQ457" s="67"/>
      <c r="QGR457" s="67"/>
      <c r="QGS457" s="67"/>
      <c r="QGT457" s="67"/>
      <c r="QGU457" s="67"/>
      <c r="QGV457" s="67"/>
      <c r="QGW457" s="67"/>
      <c r="QGX457" s="67"/>
      <c r="QGY457" s="67"/>
      <c r="QGZ457" s="67"/>
      <c r="QHA457" s="67"/>
      <c r="QHB457" s="67"/>
      <c r="QHC457" s="67"/>
      <c r="QHD457" s="67"/>
      <c r="QHE457" s="67"/>
      <c r="QHF457" s="67"/>
      <c r="QHG457" s="67"/>
      <c r="QHH457" s="67"/>
      <c r="QHI457" s="67"/>
      <c r="QHJ457" s="67"/>
      <c r="QHK457" s="67"/>
      <c r="QHL457" s="67"/>
      <c r="QHM457" s="67"/>
      <c r="QHN457" s="67"/>
      <c r="QHO457" s="67"/>
      <c r="QHP457" s="67"/>
      <c r="QHQ457" s="67"/>
      <c r="QHR457" s="67"/>
      <c r="QHS457" s="67"/>
      <c r="QHT457" s="67"/>
      <c r="QHU457" s="67"/>
      <c r="QHV457" s="67"/>
      <c r="QHW457" s="67"/>
      <c r="QHX457" s="67"/>
      <c r="QHY457" s="67"/>
      <c r="QHZ457" s="67"/>
      <c r="QIA457" s="67"/>
      <c r="QIB457" s="67"/>
      <c r="QIC457" s="67"/>
      <c r="QID457" s="67"/>
      <c r="QIE457" s="67"/>
      <c r="QIF457" s="67"/>
      <c r="QIG457" s="67"/>
      <c r="QIH457" s="67"/>
      <c r="QII457" s="67"/>
      <c r="QIJ457" s="67"/>
      <c r="QIK457" s="67"/>
      <c r="QIL457" s="67"/>
      <c r="QIM457" s="67"/>
      <c r="QIN457" s="67"/>
      <c r="QIO457" s="67"/>
      <c r="QIP457" s="67"/>
      <c r="QIQ457" s="67"/>
      <c r="QIR457" s="67"/>
      <c r="QIS457" s="67"/>
      <c r="QIT457" s="67"/>
      <c r="QIU457" s="67"/>
      <c r="QIV457" s="67"/>
      <c r="QIW457" s="67"/>
      <c r="QIX457" s="67"/>
      <c r="QIY457" s="67"/>
      <c r="QIZ457" s="67"/>
      <c r="QJA457" s="67"/>
      <c r="QJB457" s="67"/>
      <c r="QJC457" s="67"/>
      <c r="QJD457" s="67"/>
      <c r="QJE457" s="67"/>
      <c r="QJF457" s="67"/>
      <c r="QJG457" s="67"/>
      <c r="QJH457" s="67"/>
      <c r="QJI457" s="67"/>
      <c r="QJJ457" s="67"/>
      <c r="QJK457" s="67"/>
      <c r="QJL457" s="67"/>
      <c r="QJM457" s="67"/>
      <c r="QJN457" s="67"/>
      <c r="QJO457" s="67"/>
      <c r="QJP457" s="67"/>
      <c r="QJQ457" s="67"/>
      <c r="QJR457" s="67"/>
      <c r="QJS457" s="67"/>
      <c r="QJT457" s="67"/>
      <c r="QJU457" s="67"/>
      <c r="QJV457" s="67"/>
      <c r="QJW457" s="67"/>
      <c r="QJX457" s="67"/>
      <c r="QJY457" s="67"/>
      <c r="QJZ457" s="67"/>
      <c r="QKA457" s="67"/>
      <c r="QKB457" s="67"/>
      <c r="QKC457" s="67"/>
      <c r="QKD457" s="67"/>
      <c r="QKE457" s="67"/>
      <c r="QKF457" s="67"/>
      <c r="QKG457" s="67"/>
      <c r="QKH457" s="67"/>
      <c r="QKI457" s="67"/>
      <c r="QKJ457" s="67"/>
      <c r="QKK457" s="67"/>
      <c r="QKL457" s="67"/>
      <c r="QKM457" s="67"/>
      <c r="QKN457" s="67"/>
      <c r="QKO457" s="67"/>
      <c r="QKP457" s="67"/>
      <c r="QKQ457" s="67"/>
      <c r="QKR457" s="67"/>
      <c r="QKS457" s="67"/>
      <c r="QKT457" s="67"/>
      <c r="QKU457" s="67"/>
      <c r="QKV457" s="67"/>
      <c r="QKW457" s="67"/>
      <c r="QKX457" s="67"/>
      <c r="QKY457" s="67"/>
      <c r="QKZ457" s="67"/>
      <c r="QLA457" s="67"/>
      <c r="QLB457" s="67"/>
      <c r="QLC457" s="67"/>
      <c r="QLD457" s="67"/>
      <c r="QLE457" s="67"/>
      <c r="QLF457" s="67"/>
      <c r="QLG457" s="67"/>
      <c r="QLH457" s="67"/>
      <c r="QLI457" s="67"/>
      <c r="QLJ457" s="67"/>
      <c r="QLK457" s="67"/>
      <c r="QLL457" s="67"/>
      <c r="QLM457" s="67"/>
      <c r="QLN457" s="67"/>
      <c r="QLO457" s="67"/>
      <c r="QLP457" s="67"/>
      <c r="QLQ457" s="67"/>
      <c r="QLR457" s="67"/>
      <c r="QLS457" s="67"/>
      <c r="QLT457" s="67"/>
      <c r="QLU457" s="67"/>
      <c r="QLV457" s="67"/>
      <c r="QLW457" s="67"/>
      <c r="QLX457" s="67"/>
      <c r="QLY457" s="67"/>
      <c r="QLZ457" s="67"/>
      <c r="QMA457" s="67"/>
      <c r="QMB457" s="67"/>
      <c r="QMC457" s="67"/>
      <c r="QMD457" s="67"/>
      <c r="QME457" s="67"/>
      <c r="QMF457" s="67"/>
      <c r="QMG457" s="67"/>
      <c r="QMH457" s="67"/>
      <c r="QMI457" s="67"/>
      <c r="QMJ457" s="67"/>
      <c r="QMK457" s="67"/>
      <c r="QML457" s="67"/>
      <c r="QMM457" s="67"/>
      <c r="QMN457" s="67"/>
      <c r="QMO457" s="67"/>
      <c r="QMP457" s="67"/>
      <c r="QMQ457" s="67"/>
      <c r="QMR457" s="67"/>
      <c r="QMS457" s="67"/>
      <c r="QMT457" s="67"/>
      <c r="QMU457" s="67"/>
      <c r="QMV457" s="67"/>
      <c r="QMW457" s="67"/>
      <c r="QMX457" s="67"/>
      <c r="QMY457" s="67"/>
      <c r="QMZ457" s="67"/>
      <c r="QNA457" s="67"/>
      <c r="QNB457" s="67"/>
      <c r="QNC457" s="67"/>
      <c r="QND457" s="67"/>
      <c r="QNE457" s="67"/>
      <c r="QNF457" s="67"/>
      <c r="QNG457" s="67"/>
      <c r="QNH457" s="67"/>
      <c r="QNI457" s="67"/>
      <c r="QNJ457" s="67"/>
      <c r="QNK457" s="67"/>
      <c r="QNL457" s="67"/>
      <c r="QNM457" s="67"/>
      <c r="QNN457" s="67"/>
      <c r="QNO457" s="67"/>
      <c r="QNP457" s="67"/>
      <c r="QNQ457" s="67"/>
      <c r="QNR457" s="67"/>
      <c r="QNS457" s="67"/>
      <c r="QNT457" s="67"/>
      <c r="QNU457" s="67"/>
      <c r="QNV457" s="67"/>
      <c r="QNW457" s="67"/>
      <c r="QNX457" s="67"/>
      <c r="QNY457" s="67"/>
      <c r="QNZ457" s="67"/>
      <c r="QOA457" s="67"/>
      <c r="QOB457" s="67"/>
      <c r="QOC457" s="67"/>
      <c r="QOD457" s="67"/>
      <c r="QOE457" s="67"/>
      <c r="QOF457" s="67"/>
      <c r="QOG457" s="67"/>
      <c r="QOH457" s="67"/>
      <c r="QOI457" s="67"/>
      <c r="QOJ457" s="67"/>
      <c r="QOK457" s="67"/>
      <c r="QOL457" s="67"/>
      <c r="QOM457" s="67"/>
      <c r="QON457" s="67"/>
      <c r="QOO457" s="67"/>
      <c r="QOP457" s="67"/>
      <c r="QOQ457" s="67"/>
      <c r="QOR457" s="67"/>
      <c r="QOS457" s="67"/>
      <c r="QOT457" s="67"/>
      <c r="QOU457" s="67"/>
      <c r="QOV457" s="67"/>
      <c r="QOW457" s="67"/>
      <c r="QOX457" s="67"/>
      <c r="QOY457" s="67"/>
      <c r="QOZ457" s="67"/>
      <c r="QPA457" s="67"/>
      <c r="QPB457" s="67"/>
      <c r="QPC457" s="67"/>
      <c r="QPD457" s="67"/>
      <c r="QPE457" s="67"/>
      <c r="QPF457" s="67"/>
      <c r="QPG457" s="67"/>
      <c r="QPH457" s="67"/>
      <c r="QPI457" s="67"/>
      <c r="QPJ457" s="67"/>
      <c r="QPK457" s="67"/>
      <c r="QPL457" s="67"/>
      <c r="QPM457" s="67"/>
      <c r="QPN457" s="67"/>
      <c r="QPO457" s="67"/>
      <c r="QPP457" s="67"/>
      <c r="QPQ457" s="67"/>
      <c r="QPR457" s="67"/>
      <c r="QPS457" s="67"/>
      <c r="QPT457" s="67"/>
      <c r="QPU457" s="67"/>
      <c r="QPV457" s="67"/>
      <c r="QPW457" s="67"/>
      <c r="QPX457" s="67"/>
      <c r="QPY457" s="67"/>
      <c r="QPZ457" s="67"/>
      <c r="QQA457" s="67"/>
      <c r="QQB457" s="67"/>
      <c r="QQC457" s="67"/>
      <c r="QQD457" s="67"/>
      <c r="QQE457" s="67"/>
      <c r="QQF457" s="67"/>
      <c r="QQG457" s="67"/>
      <c r="QQH457" s="67"/>
      <c r="QQI457" s="67"/>
      <c r="QQJ457" s="67"/>
      <c r="QQK457" s="67"/>
      <c r="QQL457" s="67"/>
      <c r="QQM457" s="67"/>
      <c r="QQN457" s="67"/>
      <c r="QQO457" s="67"/>
      <c r="QQP457" s="67"/>
      <c r="QQQ457" s="67"/>
      <c r="QQR457" s="67"/>
      <c r="QQS457" s="67"/>
      <c r="QQT457" s="67"/>
      <c r="QQU457" s="67"/>
      <c r="QQV457" s="67"/>
      <c r="QQW457" s="67"/>
      <c r="QQX457" s="67"/>
      <c r="QQY457" s="67"/>
      <c r="QQZ457" s="67"/>
      <c r="QRA457" s="67"/>
      <c r="QRB457" s="67"/>
      <c r="QRC457" s="67"/>
      <c r="QRD457" s="67"/>
      <c r="QRE457" s="67"/>
      <c r="QRF457" s="67"/>
      <c r="QRG457" s="67"/>
      <c r="QRH457" s="67"/>
      <c r="QRI457" s="67"/>
      <c r="QRJ457" s="67"/>
      <c r="QRK457" s="67"/>
      <c r="QRL457" s="67"/>
      <c r="QRM457" s="67"/>
      <c r="QRN457" s="67"/>
      <c r="QRO457" s="67"/>
      <c r="QRP457" s="67"/>
      <c r="QRQ457" s="67"/>
      <c r="QRR457" s="67"/>
      <c r="QRS457" s="67"/>
      <c r="QRT457" s="67"/>
      <c r="QRU457" s="67"/>
      <c r="QRV457" s="67"/>
      <c r="QRW457" s="67"/>
      <c r="QRX457" s="67"/>
      <c r="QRY457" s="67"/>
      <c r="QRZ457" s="67"/>
      <c r="QSA457" s="67"/>
      <c r="QSB457" s="67"/>
      <c r="QSC457" s="67"/>
      <c r="QSD457" s="67"/>
      <c r="QSE457" s="67"/>
      <c r="QSF457" s="67"/>
      <c r="QSG457" s="67"/>
      <c r="QSH457" s="67"/>
      <c r="QSI457" s="67"/>
      <c r="QSJ457" s="67"/>
      <c r="QSK457" s="67"/>
      <c r="QSL457" s="67"/>
      <c r="QSM457" s="67"/>
      <c r="QSN457" s="67"/>
      <c r="QSO457" s="67"/>
      <c r="QSP457" s="67"/>
      <c r="QSQ457" s="67"/>
      <c r="QSR457" s="67"/>
      <c r="QSS457" s="67"/>
      <c r="QST457" s="67"/>
      <c r="QSU457" s="67"/>
      <c r="QSV457" s="67"/>
      <c r="QSW457" s="67"/>
      <c r="QSX457" s="67"/>
      <c r="QSY457" s="67"/>
      <c r="QSZ457" s="67"/>
      <c r="QTA457" s="67"/>
      <c r="QTB457" s="67"/>
      <c r="QTC457" s="67"/>
      <c r="QTD457" s="67"/>
      <c r="QTE457" s="67"/>
      <c r="QTF457" s="67"/>
      <c r="QTG457" s="67"/>
      <c r="QTH457" s="67"/>
      <c r="QTI457" s="67"/>
      <c r="QTJ457" s="67"/>
      <c r="QTK457" s="67"/>
      <c r="QTL457" s="67"/>
      <c r="QTM457" s="67"/>
      <c r="QTN457" s="67"/>
      <c r="QTO457" s="67"/>
      <c r="QTP457" s="67"/>
      <c r="QTQ457" s="67"/>
      <c r="QTR457" s="67"/>
      <c r="QTS457" s="67"/>
      <c r="QTT457" s="67"/>
      <c r="QTU457" s="67"/>
      <c r="QTV457" s="67"/>
      <c r="QTW457" s="67"/>
      <c r="QTX457" s="67"/>
      <c r="QTY457" s="67"/>
      <c r="QTZ457" s="67"/>
      <c r="QUA457" s="67"/>
      <c r="QUB457" s="67"/>
      <c r="QUC457" s="67"/>
      <c r="QUD457" s="67"/>
      <c r="QUE457" s="67"/>
      <c r="QUF457" s="67"/>
      <c r="QUG457" s="67"/>
      <c r="QUH457" s="67"/>
      <c r="QUI457" s="67"/>
      <c r="QUJ457" s="67"/>
      <c r="QUK457" s="67"/>
      <c r="QUL457" s="67"/>
      <c r="QUM457" s="67"/>
      <c r="QUN457" s="67"/>
      <c r="QUO457" s="67"/>
      <c r="QUP457" s="67"/>
      <c r="QUQ457" s="67"/>
      <c r="QUR457" s="67"/>
      <c r="QUS457" s="67"/>
      <c r="QUT457" s="67"/>
      <c r="QUU457" s="67"/>
      <c r="QUV457" s="67"/>
      <c r="QUW457" s="67"/>
      <c r="QUX457" s="67"/>
      <c r="QUY457" s="67"/>
      <c r="QUZ457" s="67"/>
      <c r="QVA457" s="67"/>
      <c r="QVB457" s="67"/>
      <c r="QVC457" s="67"/>
      <c r="QVD457" s="67"/>
      <c r="QVE457" s="67"/>
      <c r="QVF457" s="67"/>
      <c r="QVG457" s="67"/>
      <c r="QVH457" s="67"/>
      <c r="QVI457" s="67"/>
      <c r="QVJ457" s="67"/>
      <c r="QVK457" s="67"/>
      <c r="QVL457" s="67"/>
      <c r="QVM457" s="67"/>
      <c r="QVN457" s="67"/>
      <c r="QVO457" s="67"/>
      <c r="QVP457" s="67"/>
      <c r="QVQ457" s="67"/>
      <c r="QVR457" s="67"/>
      <c r="QVS457" s="67"/>
      <c r="QVT457" s="67"/>
      <c r="QVU457" s="67"/>
      <c r="QVV457" s="67"/>
      <c r="QVW457" s="67"/>
      <c r="QVX457" s="67"/>
      <c r="QVY457" s="67"/>
      <c r="QVZ457" s="67"/>
      <c r="QWA457" s="67"/>
      <c r="QWB457" s="67"/>
      <c r="QWC457" s="67"/>
      <c r="QWD457" s="67"/>
      <c r="QWE457" s="67"/>
      <c r="QWF457" s="67"/>
      <c r="QWG457" s="67"/>
      <c r="QWH457" s="67"/>
      <c r="QWI457" s="67"/>
      <c r="QWJ457" s="67"/>
      <c r="QWK457" s="67"/>
      <c r="QWL457" s="67"/>
      <c r="QWM457" s="67"/>
      <c r="QWN457" s="67"/>
      <c r="QWO457" s="67"/>
      <c r="QWP457" s="67"/>
      <c r="QWQ457" s="67"/>
      <c r="QWR457" s="67"/>
      <c r="QWS457" s="67"/>
      <c r="QWT457" s="67"/>
      <c r="QWU457" s="67"/>
      <c r="QWV457" s="67"/>
      <c r="QWW457" s="67"/>
      <c r="QWX457" s="67"/>
      <c r="QWY457" s="67"/>
      <c r="QWZ457" s="67"/>
      <c r="QXA457" s="67"/>
      <c r="QXB457" s="67"/>
      <c r="QXC457" s="67"/>
      <c r="QXD457" s="67"/>
      <c r="QXE457" s="67"/>
      <c r="QXF457" s="67"/>
      <c r="QXG457" s="67"/>
      <c r="QXH457" s="67"/>
      <c r="QXI457" s="67"/>
      <c r="QXJ457" s="67"/>
      <c r="QXK457" s="67"/>
      <c r="QXL457" s="67"/>
      <c r="QXM457" s="67"/>
      <c r="QXN457" s="67"/>
      <c r="QXO457" s="67"/>
      <c r="QXP457" s="67"/>
      <c r="QXQ457" s="67"/>
      <c r="QXR457" s="67"/>
      <c r="QXS457" s="67"/>
      <c r="QXT457" s="67"/>
      <c r="QXU457" s="67"/>
      <c r="QXV457" s="67"/>
      <c r="QXW457" s="67"/>
      <c r="QXX457" s="67"/>
      <c r="QXY457" s="67"/>
      <c r="QXZ457" s="67"/>
      <c r="QYA457" s="67"/>
      <c r="QYB457" s="67"/>
      <c r="QYC457" s="67"/>
      <c r="QYD457" s="67"/>
      <c r="QYE457" s="67"/>
      <c r="QYF457" s="67"/>
      <c r="QYG457" s="67"/>
      <c r="QYH457" s="67"/>
      <c r="QYI457" s="67"/>
      <c r="QYJ457" s="67"/>
      <c r="QYK457" s="67"/>
      <c r="QYL457" s="67"/>
      <c r="QYM457" s="67"/>
      <c r="QYN457" s="67"/>
      <c r="QYO457" s="67"/>
      <c r="QYP457" s="67"/>
      <c r="QYQ457" s="67"/>
      <c r="QYR457" s="67"/>
      <c r="QYS457" s="67"/>
      <c r="QYT457" s="67"/>
      <c r="QYU457" s="67"/>
      <c r="QYV457" s="67"/>
      <c r="QYW457" s="67"/>
      <c r="QYX457" s="67"/>
      <c r="QYY457" s="67"/>
      <c r="QYZ457" s="67"/>
      <c r="QZA457" s="67"/>
      <c r="QZB457" s="67"/>
      <c r="QZC457" s="67"/>
      <c r="QZD457" s="67"/>
      <c r="QZE457" s="67"/>
      <c r="QZF457" s="67"/>
      <c r="QZG457" s="67"/>
      <c r="QZH457" s="67"/>
      <c r="QZI457" s="67"/>
      <c r="QZJ457" s="67"/>
      <c r="QZK457" s="67"/>
      <c r="QZL457" s="67"/>
      <c r="QZM457" s="67"/>
      <c r="QZN457" s="67"/>
      <c r="QZO457" s="67"/>
      <c r="QZP457" s="67"/>
      <c r="QZQ457" s="67"/>
      <c r="QZR457" s="67"/>
      <c r="QZS457" s="67"/>
      <c r="QZT457" s="67"/>
      <c r="QZU457" s="67"/>
      <c r="QZV457" s="67"/>
      <c r="QZW457" s="67"/>
      <c r="QZX457" s="67"/>
      <c r="QZY457" s="67"/>
      <c r="QZZ457" s="67"/>
      <c r="RAA457" s="67"/>
      <c r="RAB457" s="67"/>
      <c r="RAC457" s="67"/>
      <c r="RAD457" s="67"/>
      <c r="RAE457" s="67"/>
      <c r="RAF457" s="67"/>
      <c r="RAG457" s="67"/>
      <c r="RAH457" s="67"/>
      <c r="RAI457" s="67"/>
      <c r="RAJ457" s="67"/>
      <c r="RAK457" s="67"/>
      <c r="RAL457" s="67"/>
      <c r="RAM457" s="67"/>
      <c r="RAN457" s="67"/>
      <c r="RAO457" s="67"/>
      <c r="RAP457" s="67"/>
      <c r="RAQ457" s="67"/>
      <c r="RAR457" s="67"/>
      <c r="RAS457" s="67"/>
      <c r="RAT457" s="67"/>
      <c r="RAU457" s="67"/>
      <c r="RAV457" s="67"/>
      <c r="RAW457" s="67"/>
      <c r="RAX457" s="67"/>
      <c r="RAY457" s="67"/>
      <c r="RAZ457" s="67"/>
      <c r="RBA457" s="67"/>
      <c r="RBB457" s="67"/>
      <c r="RBC457" s="67"/>
      <c r="RBD457" s="67"/>
      <c r="RBE457" s="67"/>
      <c r="RBF457" s="67"/>
      <c r="RBG457" s="67"/>
      <c r="RBH457" s="67"/>
      <c r="RBI457" s="67"/>
      <c r="RBJ457" s="67"/>
      <c r="RBK457" s="67"/>
      <c r="RBL457" s="67"/>
      <c r="RBM457" s="67"/>
      <c r="RBN457" s="67"/>
      <c r="RBO457" s="67"/>
      <c r="RBP457" s="67"/>
      <c r="RBQ457" s="67"/>
      <c r="RBR457" s="67"/>
      <c r="RBS457" s="67"/>
      <c r="RBT457" s="67"/>
      <c r="RBU457" s="67"/>
      <c r="RBV457" s="67"/>
      <c r="RBW457" s="67"/>
      <c r="RBX457" s="67"/>
      <c r="RBY457" s="67"/>
      <c r="RBZ457" s="67"/>
      <c r="RCA457" s="67"/>
      <c r="RCB457" s="67"/>
      <c r="RCC457" s="67"/>
      <c r="RCD457" s="67"/>
      <c r="RCE457" s="67"/>
      <c r="RCF457" s="67"/>
      <c r="RCG457" s="67"/>
      <c r="RCH457" s="67"/>
      <c r="RCI457" s="67"/>
      <c r="RCJ457" s="67"/>
      <c r="RCK457" s="67"/>
      <c r="RCL457" s="67"/>
      <c r="RCM457" s="67"/>
      <c r="RCN457" s="67"/>
      <c r="RCO457" s="67"/>
      <c r="RCP457" s="67"/>
      <c r="RCQ457" s="67"/>
      <c r="RCR457" s="67"/>
      <c r="RCS457" s="67"/>
      <c r="RCT457" s="67"/>
      <c r="RCU457" s="67"/>
      <c r="RCV457" s="67"/>
      <c r="RCW457" s="67"/>
      <c r="RCX457" s="67"/>
      <c r="RCY457" s="67"/>
      <c r="RCZ457" s="67"/>
      <c r="RDA457" s="67"/>
      <c r="RDB457" s="67"/>
      <c r="RDC457" s="67"/>
      <c r="RDD457" s="67"/>
      <c r="RDE457" s="67"/>
      <c r="RDF457" s="67"/>
      <c r="RDG457" s="67"/>
      <c r="RDH457" s="67"/>
      <c r="RDI457" s="67"/>
      <c r="RDJ457" s="67"/>
      <c r="RDK457" s="67"/>
      <c r="RDL457" s="67"/>
      <c r="RDM457" s="67"/>
      <c r="RDN457" s="67"/>
      <c r="RDO457" s="67"/>
      <c r="RDP457" s="67"/>
      <c r="RDQ457" s="67"/>
      <c r="RDR457" s="67"/>
      <c r="RDS457" s="67"/>
      <c r="RDT457" s="67"/>
      <c r="RDU457" s="67"/>
      <c r="RDV457" s="67"/>
      <c r="RDW457" s="67"/>
      <c r="RDX457" s="67"/>
      <c r="RDY457" s="67"/>
      <c r="RDZ457" s="67"/>
      <c r="REA457" s="67"/>
      <c r="REB457" s="67"/>
      <c r="REC457" s="67"/>
      <c r="RED457" s="67"/>
      <c r="REE457" s="67"/>
      <c r="REF457" s="67"/>
      <c r="REG457" s="67"/>
      <c r="REH457" s="67"/>
      <c r="REI457" s="67"/>
      <c r="REJ457" s="67"/>
      <c r="REK457" s="67"/>
      <c r="REL457" s="67"/>
      <c r="REM457" s="67"/>
      <c r="REN457" s="67"/>
      <c r="REO457" s="67"/>
      <c r="REP457" s="67"/>
      <c r="REQ457" s="67"/>
      <c r="RER457" s="67"/>
      <c r="RES457" s="67"/>
      <c r="RET457" s="67"/>
      <c r="REU457" s="67"/>
      <c r="REV457" s="67"/>
      <c r="REW457" s="67"/>
      <c r="REX457" s="67"/>
      <c r="REY457" s="67"/>
      <c r="REZ457" s="67"/>
      <c r="RFA457" s="67"/>
      <c r="RFB457" s="67"/>
      <c r="RFC457" s="67"/>
      <c r="RFD457" s="67"/>
      <c r="RFE457" s="67"/>
      <c r="RFF457" s="67"/>
      <c r="RFG457" s="67"/>
      <c r="RFH457" s="67"/>
      <c r="RFI457" s="67"/>
      <c r="RFJ457" s="67"/>
      <c r="RFK457" s="67"/>
      <c r="RFL457" s="67"/>
      <c r="RFM457" s="67"/>
      <c r="RFN457" s="67"/>
      <c r="RFO457" s="67"/>
      <c r="RFP457" s="67"/>
      <c r="RFQ457" s="67"/>
      <c r="RFR457" s="67"/>
      <c r="RFS457" s="67"/>
      <c r="RFT457" s="67"/>
      <c r="RFU457" s="67"/>
      <c r="RFV457" s="67"/>
      <c r="RFW457" s="67"/>
      <c r="RFX457" s="67"/>
      <c r="RFY457" s="67"/>
      <c r="RFZ457" s="67"/>
      <c r="RGA457" s="67"/>
      <c r="RGB457" s="67"/>
      <c r="RGC457" s="67"/>
      <c r="RGD457" s="67"/>
      <c r="RGE457" s="67"/>
      <c r="RGF457" s="67"/>
      <c r="RGG457" s="67"/>
      <c r="RGH457" s="67"/>
      <c r="RGI457" s="67"/>
      <c r="RGJ457" s="67"/>
      <c r="RGK457" s="67"/>
      <c r="RGL457" s="67"/>
      <c r="RGM457" s="67"/>
      <c r="RGN457" s="67"/>
      <c r="RGO457" s="67"/>
      <c r="RGP457" s="67"/>
      <c r="RGQ457" s="67"/>
      <c r="RGR457" s="67"/>
      <c r="RGS457" s="67"/>
      <c r="RGT457" s="67"/>
      <c r="RGU457" s="67"/>
      <c r="RGV457" s="67"/>
      <c r="RGW457" s="67"/>
      <c r="RGX457" s="67"/>
      <c r="RGY457" s="67"/>
      <c r="RGZ457" s="67"/>
      <c r="RHA457" s="67"/>
      <c r="RHB457" s="67"/>
      <c r="RHC457" s="67"/>
      <c r="RHD457" s="67"/>
      <c r="RHE457" s="67"/>
      <c r="RHF457" s="67"/>
      <c r="RHG457" s="67"/>
      <c r="RHH457" s="67"/>
      <c r="RHI457" s="67"/>
      <c r="RHJ457" s="67"/>
      <c r="RHK457" s="67"/>
      <c r="RHL457" s="67"/>
      <c r="RHM457" s="67"/>
      <c r="RHN457" s="67"/>
      <c r="RHO457" s="67"/>
      <c r="RHP457" s="67"/>
      <c r="RHQ457" s="67"/>
      <c r="RHR457" s="67"/>
      <c r="RHS457" s="67"/>
      <c r="RHT457" s="67"/>
      <c r="RHU457" s="67"/>
      <c r="RHV457" s="67"/>
      <c r="RHW457" s="67"/>
      <c r="RHX457" s="67"/>
      <c r="RHY457" s="67"/>
      <c r="RHZ457" s="67"/>
      <c r="RIA457" s="67"/>
      <c r="RIB457" s="67"/>
      <c r="RIC457" s="67"/>
      <c r="RID457" s="67"/>
      <c r="RIE457" s="67"/>
      <c r="RIF457" s="67"/>
      <c r="RIG457" s="67"/>
      <c r="RIH457" s="67"/>
      <c r="RII457" s="67"/>
      <c r="RIJ457" s="67"/>
      <c r="RIK457" s="67"/>
      <c r="RIL457" s="67"/>
      <c r="RIM457" s="67"/>
      <c r="RIN457" s="67"/>
      <c r="RIO457" s="67"/>
      <c r="RIP457" s="67"/>
      <c r="RIQ457" s="67"/>
      <c r="RIR457" s="67"/>
      <c r="RIS457" s="67"/>
      <c r="RIT457" s="67"/>
      <c r="RIU457" s="67"/>
      <c r="RIV457" s="67"/>
      <c r="RIW457" s="67"/>
      <c r="RIX457" s="67"/>
      <c r="RIY457" s="67"/>
      <c r="RIZ457" s="67"/>
      <c r="RJA457" s="67"/>
      <c r="RJB457" s="67"/>
      <c r="RJC457" s="67"/>
      <c r="RJD457" s="67"/>
      <c r="RJE457" s="67"/>
      <c r="RJF457" s="67"/>
      <c r="RJG457" s="67"/>
      <c r="RJH457" s="67"/>
      <c r="RJI457" s="67"/>
      <c r="RJJ457" s="67"/>
      <c r="RJK457" s="67"/>
      <c r="RJL457" s="67"/>
      <c r="RJM457" s="67"/>
      <c r="RJN457" s="67"/>
      <c r="RJO457" s="67"/>
      <c r="RJP457" s="67"/>
      <c r="RJQ457" s="67"/>
      <c r="RJR457" s="67"/>
      <c r="RJS457" s="67"/>
      <c r="RJT457" s="67"/>
      <c r="RJU457" s="67"/>
      <c r="RJV457" s="67"/>
      <c r="RJW457" s="67"/>
      <c r="RJX457" s="67"/>
      <c r="RJY457" s="67"/>
      <c r="RJZ457" s="67"/>
      <c r="RKA457" s="67"/>
      <c r="RKB457" s="67"/>
      <c r="RKC457" s="67"/>
      <c r="RKD457" s="67"/>
      <c r="RKE457" s="67"/>
      <c r="RKF457" s="67"/>
      <c r="RKG457" s="67"/>
      <c r="RKH457" s="67"/>
      <c r="RKI457" s="67"/>
      <c r="RKJ457" s="67"/>
      <c r="RKK457" s="67"/>
      <c r="RKL457" s="67"/>
      <c r="RKM457" s="67"/>
      <c r="RKN457" s="67"/>
      <c r="RKO457" s="67"/>
      <c r="RKP457" s="67"/>
      <c r="RKQ457" s="67"/>
      <c r="RKR457" s="67"/>
      <c r="RKS457" s="67"/>
      <c r="RKT457" s="67"/>
      <c r="RKU457" s="67"/>
      <c r="RKV457" s="67"/>
      <c r="RKW457" s="67"/>
      <c r="RKX457" s="67"/>
      <c r="RKY457" s="67"/>
      <c r="RKZ457" s="67"/>
      <c r="RLA457" s="67"/>
      <c r="RLB457" s="67"/>
      <c r="RLC457" s="67"/>
      <c r="RLD457" s="67"/>
      <c r="RLE457" s="67"/>
      <c r="RLF457" s="67"/>
      <c r="RLG457" s="67"/>
      <c r="RLH457" s="67"/>
      <c r="RLI457" s="67"/>
      <c r="RLJ457" s="67"/>
      <c r="RLK457" s="67"/>
      <c r="RLL457" s="67"/>
      <c r="RLM457" s="67"/>
      <c r="RLN457" s="67"/>
      <c r="RLO457" s="67"/>
      <c r="RLP457" s="67"/>
      <c r="RLQ457" s="67"/>
      <c r="RLR457" s="67"/>
      <c r="RLS457" s="67"/>
      <c r="RLT457" s="67"/>
      <c r="RLU457" s="67"/>
      <c r="RLV457" s="67"/>
      <c r="RLW457" s="67"/>
      <c r="RLX457" s="67"/>
      <c r="RLY457" s="67"/>
      <c r="RLZ457" s="67"/>
      <c r="RMA457" s="67"/>
      <c r="RMB457" s="67"/>
      <c r="RMC457" s="67"/>
      <c r="RMD457" s="67"/>
      <c r="RME457" s="67"/>
      <c r="RMF457" s="67"/>
      <c r="RMG457" s="67"/>
      <c r="RMH457" s="67"/>
      <c r="RMI457" s="67"/>
      <c r="RMJ457" s="67"/>
      <c r="RMK457" s="67"/>
      <c r="RML457" s="67"/>
      <c r="RMM457" s="67"/>
      <c r="RMN457" s="67"/>
      <c r="RMO457" s="67"/>
      <c r="RMP457" s="67"/>
      <c r="RMQ457" s="67"/>
      <c r="RMR457" s="67"/>
      <c r="RMS457" s="67"/>
      <c r="RMT457" s="67"/>
      <c r="RMU457" s="67"/>
      <c r="RMV457" s="67"/>
      <c r="RMW457" s="67"/>
      <c r="RMX457" s="67"/>
      <c r="RMY457" s="67"/>
      <c r="RMZ457" s="67"/>
      <c r="RNA457" s="67"/>
      <c r="RNB457" s="67"/>
      <c r="RNC457" s="67"/>
      <c r="RND457" s="67"/>
      <c r="RNE457" s="67"/>
      <c r="RNF457" s="67"/>
      <c r="RNG457" s="67"/>
      <c r="RNH457" s="67"/>
      <c r="RNI457" s="67"/>
      <c r="RNJ457" s="67"/>
      <c r="RNK457" s="67"/>
      <c r="RNL457" s="67"/>
      <c r="RNM457" s="67"/>
      <c r="RNN457" s="67"/>
      <c r="RNO457" s="67"/>
      <c r="RNP457" s="67"/>
      <c r="RNQ457" s="67"/>
      <c r="RNR457" s="67"/>
      <c r="RNS457" s="67"/>
      <c r="RNT457" s="67"/>
      <c r="RNU457" s="67"/>
      <c r="RNV457" s="67"/>
      <c r="RNW457" s="67"/>
      <c r="RNX457" s="67"/>
      <c r="RNY457" s="67"/>
      <c r="RNZ457" s="67"/>
      <c r="ROA457" s="67"/>
      <c r="ROB457" s="67"/>
      <c r="ROC457" s="67"/>
      <c r="ROD457" s="67"/>
      <c r="ROE457" s="67"/>
      <c r="ROF457" s="67"/>
      <c r="ROG457" s="67"/>
      <c r="ROH457" s="67"/>
      <c r="ROI457" s="67"/>
      <c r="ROJ457" s="67"/>
      <c r="ROK457" s="67"/>
      <c r="ROL457" s="67"/>
      <c r="ROM457" s="67"/>
      <c r="RON457" s="67"/>
      <c r="ROO457" s="67"/>
      <c r="ROP457" s="67"/>
      <c r="ROQ457" s="67"/>
      <c r="ROR457" s="67"/>
      <c r="ROS457" s="67"/>
      <c r="ROT457" s="67"/>
      <c r="ROU457" s="67"/>
      <c r="ROV457" s="67"/>
      <c r="ROW457" s="67"/>
      <c r="ROX457" s="67"/>
      <c r="ROY457" s="67"/>
      <c r="ROZ457" s="67"/>
      <c r="RPA457" s="67"/>
      <c r="RPB457" s="67"/>
      <c r="RPC457" s="67"/>
      <c r="RPD457" s="67"/>
      <c r="RPE457" s="67"/>
      <c r="RPF457" s="67"/>
      <c r="RPG457" s="67"/>
      <c r="RPH457" s="67"/>
      <c r="RPI457" s="67"/>
      <c r="RPJ457" s="67"/>
      <c r="RPK457" s="67"/>
      <c r="RPL457" s="67"/>
      <c r="RPM457" s="67"/>
      <c r="RPN457" s="67"/>
      <c r="RPO457" s="67"/>
      <c r="RPP457" s="67"/>
      <c r="RPQ457" s="67"/>
      <c r="RPR457" s="67"/>
      <c r="RPS457" s="67"/>
      <c r="RPT457" s="67"/>
      <c r="RPU457" s="67"/>
      <c r="RPV457" s="67"/>
      <c r="RPW457" s="67"/>
      <c r="RPX457" s="67"/>
      <c r="RPY457" s="67"/>
      <c r="RPZ457" s="67"/>
      <c r="RQA457" s="67"/>
      <c r="RQB457" s="67"/>
      <c r="RQC457" s="67"/>
      <c r="RQD457" s="67"/>
      <c r="RQE457" s="67"/>
      <c r="RQF457" s="67"/>
      <c r="RQG457" s="67"/>
      <c r="RQH457" s="67"/>
      <c r="RQI457" s="67"/>
      <c r="RQJ457" s="67"/>
      <c r="RQK457" s="67"/>
      <c r="RQL457" s="67"/>
      <c r="RQM457" s="67"/>
      <c r="RQN457" s="67"/>
      <c r="RQO457" s="67"/>
      <c r="RQP457" s="67"/>
      <c r="RQQ457" s="67"/>
      <c r="RQR457" s="67"/>
      <c r="RQS457" s="67"/>
      <c r="RQT457" s="67"/>
      <c r="RQU457" s="67"/>
      <c r="RQV457" s="67"/>
      <c r="RQW457" s="67"/>
      <c r="RQX457" s="67"/>
      <c r="RQY457" s="67"/>
      <c r="RQZ457" s="67"/>
      <c r="RRA457" s="67"/>
      <c r="RRB457" s="67"/>
      <c r="RRC457" s="67"/>
      <c r="RRD457" s="67"/>
      <c r="RRE457" s="67"/>
      <c r="RRF457" s="67"/>
      <c r="RRG457" s="67"/>
      <c r="RRH457" s="67"/>
      <c r="RRI457" s="67"/>
      <c r="RRJ457" s="67"/>
      <c r="RRK457" s="67"/>
      <c r="RRL457" s="67"/>
      <c r="RRM457" s="67"/>
      <c r="RRN457" s="67"/>
      <c r="RRO457" s="67"/>
      <c r="RRP457" s="67"/>
      <c r="RRQ457" s="67"/>
      <c r="RRR457" s="67"/>
      <c r="RRS457" s="67"/>
      <c r="RRT457" s="67"/>
      <c r="RRU457" s="67"/>
      <c r="RRV457" s="67"/>
      <c r="RRW457" s="67"/>
      <c r="RRX457" s="67"/>
      <c r="RRY457" s="67"/>
      <c r="RRZ457" s="67"/>
      <c r="RSA457" s="67"/>
      <c r="RSB457" s="67"/>
      <c r="RSC457" s="67"/>
      <c r="RSD457" s="67"/>
      <c r="RSE457" s="67"/>
      <c r="RSF457" s="67"/>
      <c r="RSG457" s="67"/>
      <c r="RSH457" s="67"/>
      <c r="RSI457" s="67"/>
      <c r="RSJ457" s="67"/>
      <c r="RSK457" s="67"/>
      <c r="RSL457" s="67"/>
      <c r="RSM457" s="67"/>
      <c r="RSN457" s="67"/>
      <c r="RSO457" s="67"/>
      <c r="RSP457" s="67"/>
      <c r="RSQ457" s="67"/>
      <c r="RSR457" s="67"/>
      <c r="RSS457" s="67"/>
      <c r="RST457" s="67"/>
      <c r="RSU457" s="67"/>
      <c r="RSV457" s="67"/>
      <c r="RSW457" s="67"/>
      <c r="RSX457" s="67"/>
      <c r="RSY457" s="67"/>
      <c r="RSZ457" s="67"/>
      <c r="RTA457" s="67"/>
      <c r="RTB457" s="67"/>
      <c r="RTC457" s="67"/>
      <c r="RTD457" s="67"/>
      <c r="RTE457" s="67"/>
      <c r="RTF457" s="67"/>
      <c r="RTG457" s="67"/>
      <c r="RTH457" s="67"/>
      <c r="RTI457" s="67"/>
      <c r="RTJ457" s="67"/>
      <c r="RTK457" s="67"/>
      <c r="RTL457" s="67"/>
      <c r="RTM457" s="67"/>
      <c r="RTN457" s="67"/>
      <c r="RTO457" s="67"/>
      <c r="RTP457" s="67"/>
      <c r="RTQ457" s="67"/>
      <c r="RTR457" s="67"/>
      <c r="RTS457" s="67"/>
      <c r="RTT457" s="67"/>
      <c r="RTU457" s="67"/>
      <c r="RTV457" s="67"/>
      <c r="RTW457" s="67"/>
      <c r="RTX457" s="67"/>
      <c r="RTY457" s="67"/>
      <c r="RTZ457" s="67"/>
      <c r="RUA457" s="67"/>
      <c r="RUB457" s="67"/>
      <c r="RUC457" s="67"/>
      <c r="RUD457" s="67"/>
      <c r="RUE457" s="67"/>
      <c r="RUF457" s="67"/>
      <c r="RUG457" s="67"/>
      <c r="RUH457" s="67"/>
      <c r="RUI457" s="67"/>
      <c r="RUJ457" s="67"/>
      <c r="RUK457" s="67"/>
      <c r="RUL457" s="67"/>
      <c r="RUM457" s="67"/>
      <c r="RUN457" s="67"/>
      <c r="RUO457" s="67"/>
      <c r="RUP457" s="67"/>
      <c r="RUQ457" s="67"/>
      <c r="RUR457" s="67"/>
      <c r="RUS457" s="67"/>
      <c r="RUT457" s="67"/>
      <c r="RUU457" s="67"/>
      <c r="RUV457" s="67"/>
      <c r="RUW457" s="67"/>
      <c r="RUX457" s="67"/>
      <c r="RUY457" s="67"/>
      <c r="RUZ457" s="67"/>
      <c r="RVA457" s="67"/>
      <c r="RVB457" s="67"/>
      <c r="RVC457" s="67"/>
      <c r="RVD457" s="67"/>
      <c r="RVE457" s="67"/>
      <c r="RVF457" s="67"/>
      <c r="RVG457" s="67"/>
      <c r="RVH457" s="67"/>
      <c r="RVI457" s="67"/>
      <c r="RVJ457" s="67"/>
      <c r="RVK457" s="67"/>
      <c r="RVL457" s="67"/>
      <c r="RVM457" s="67"/>
      <c r="RVN457" s="67"/>
      <c r="RVO457" s="67"/>
      <c r="RVP457" s="67"/>
      <c r="RVQ457" s="67"/>
      <c r="RVR457" s="67"/>
      <c r="RVS457" s="67"/>
      <c r="RVT457" s="67"/>
      <c r="RVU457" s="67"/>
      <c r="RVV457" s="67"/>
      <c r="RVW457" s="67"/>
      <c r="RVX457" s="67"/>
      <c r="RVY457" s="67"/>
      <c r="RVZ457" s="67"/>
      <c r="RWA457" s="67"/>
      <c r="RWB457" s="67"/>
      <c r="RWC457" s="67"/>
      <c r="RWD457" s="67"/>
      <c r="RWE457" s="67"/>
      <c r="RWF457" s="67"/>
      <c r="RWG457" s="67"/>
      <c r="RWH457" s="67"/>
      <c r="RWI457" s="67"/>
      <c r="RWJ457" s="67"/>
      <c r="RWK457" s="67"/>
      <c r="RWL457" s="67"/>
      <c r="RWM457" s="67"/>
      <c r="RWN457" s="67"/>
      <c r="RWO457" s="67"/>
      <c r="RWP457" s="67"/>
      <c r="RWQ457" s="67"/>
      <c r="RWR457" s="67"/>
      <c r="RWS457" s="67"/>
      <c r="RWT457" s="67"/>
      <c r="RWU457" s="67"/>
      <c r="RWV457" s="67"/>
      <c r="RWW457" s="67"/>
      <c r="RWX457" s="67"/>
      <c r="RWY457" s="67"/>
      <c r="RWZ457" s="67"/>
      <c r="RXA457" s="67"/>
      <c r="RXB457" s="67"/>
      <c r="RXC457" s="67"/>
      <c r="RXD457" s="67"/>
      <c r="RXE457" s="67"/>
      <c r="RXF457" s="67"/>
      <c r="RXG457" s="67"/>
      <c r="RXH457" s="67"/>
      <c r="RXI457" s="67"/>
      <c r="RXJ457" s="67"/>
      <c r="RXK457" s="67"/>
      <c r="RXL457" s="67"/>
      <c r="RXM457" s="67"/>
      <c r="RXN457" s="67"/>
      <c r="RXO457" s="67"/>
      <c r="RXP457" s="67"/>
      <c r="RXQ457" s="67"/>
      <c r="RXR457" s="67"/>
      <c r="RXS457" s="67"/>
      <c r="RXT457" s="67"/>
      <c r="RXU457" s="67"/>
      <c r="RXV457" s="67"/>
      <c r="RXW457" s="67"/>
      <c r="RXX457" s="67"/>
      <c r="RXY457" s="67"/>
      <c r="RXZ457" s="67"/>
      <c r="RYA457" s="67"/>
      <c r="RYB457" s="67"/>
      <c r="RYC457" s="67"/>
      <c r="RYD457" s="67"/>
      <c r="RYE457" s="67"/>
      <c r="RYF457" s="67"/>
      <c r="RYG457" s="67"/>
      <c r="RYH457" s="67"/>
      <c r="RYI457" s="67"/>
      <c r="RYJ457" s="67"/>
      <c r="RYK457" s="67"/>
      <c r="RYL457" s="67"/>
      <c r="RYM457" s="67"/>
      <c r="RYN457" s="67"/>
      <c r="RYO457" s="67"/>
      <c r="RYP457" s="67"/>
      <c r="RYQ457" s="67"/>
      <c r="RYR457" s="67"/>
      <c r="RYS457" s="67"/>
      <c r="RYT457" s="67"/>
      <c r="RYU457" s="67"/>
      <c r="RYV457" s="67"/>
      <c r="RYW457" s="67"/>
      <c r="RYX457" s="67"/>
      <c r="RYY457" s="67"/>
      <c r="RYZ457" s="67"/>
      <c r="RZA457" s="67"/>
      <c r="RZB457" s="67"/>
      <c r="RZC457" s="67"/>
      <c r="RZD457" s="67"/>
      <c r="RZE457" s="67"/>
      <c r="RZF457" s="67"/>
      <c r="RZG457" s="67"/>
      <c r="RZH457" s="67"/>
      <c r="RZI457" s="67"/>
      <c r="RZJ457" s="67"/>
      <c r="RZK457" s="67"/>
      <c r="RZL457" s="67"/>
      <c r="RZM457" s="67"/>
      <c r="RZN457" s="67"/>
      <c r="RZO457" s="67"/>
      <c r="RZP457" s="67"/>
      <c r="RZQ457" s="67"/>
      <c r="RZR457" s="67"/>
      <c r="RZS457" s="67"/>
      <c r="RZT457" s="67"/>
      <c r="RZU457" s="67"/>
      <c r="RZV457" s="67"/>
      <c r="RZW457" s="67"/>
      <c r="RZX457" s="67"/>
      <c r="RZY457" s="67"/>
      <c r="RZZ457" s="67"/>
      <c r="SAA457" s="67"/>
      <c r="SAB457" s="67"/>
      <c r="SAC457" s="67"/>
      <c r="SAD457" s="67"/>
      <c r="SAE457" s="67"/>
      <c r="SAF457" s="67"/>
      <c r="SAG457" s="67"/>
      <c r="SAH457" s="67"/>
      <c r="SAI457" s="67"/>
      <c r="SAJ457" s="67"/>
      <c r="SAK457" s="67"/>
      <c r="SAL457" s="67"/>
      <c r="SAM457" s="67"/>
      <c r="SAN457" s="67"/>
      <c r="SAO457" s="67"/>
      <c r="SAP457" s="67"/>
      <c r="SAQ457" s="67"/>
      <c r="SAR457" s="67"/>
      <c r="SAS457" s="67"/>
      <c r="SAT457" s="67"/>
      <c r="SAU457" s="67"/>
      <c r="SAV457" s="67"/>
      <c r="SAW457" s="67"/>
      <c r="SAX457" s="67"/>
      <c r="SAY457" s="67"/>
      <c r="SAZ457" s="67"/>
      <c r="SBA457" s="67"/>
      <c r="SBB457" s="67"/>
      <c r="SBC457" s="67"/>
      <c r="SBD457" s="67"/>
      <c r="SBE457" s="67"/>
      <c r="SBF457" s="67"/>
      <c r="SBG457" s="67"/>
      <c r="SBH457" s="67"/>
      <c r="SBI457" s="67"/>
      <c r="SBJ457" s="67"/>
      <c r="SBK457" s="67"/>
      <c r="SBL457" s="67"/>
      <c r="SBM457" s="67"/>
      <c r="SBN457" s="67"/>
      <c r="SBO457" s="67"/>
      <c r="SBP457" s="67"/>
      <c r="SBQ457" s="67"/>
      <c r="SBR457" s="67"/>
      <c r="SBS457" s="67"/>
      <c r="SBT457" s="67"/>
      <c r="SBU457" s="67"/>
      <c r="SBV457" s="67"/>
      <c r="SBW457" s="67"/>
      <c r="SBX457" s="67"/>
      <c r="SBY457" s="67"/>
      <c r="SBZ457" s="67"/>
      <c r="SCA457" s="67"/>
      <c r="SCB457" s="67"/>
      <c r="SCC457" s="67"/>
      <c r="SCD457" s="67"/>
      <c r="SCE457" s="67"/>
      <c r="SCF457" s="67"/>
      <c r="SCG457" s="67"/>
      <c r="SCH457" s="67"/>
      <c r="SCI457" s="67"/>
      <c r="SCJ457" s="67"/>
      <c r="SCK457" s="67"/>
      <c r="SCL457" s="67"/>
      <c r="SCM457" s="67"/>
      <c r="SCN457" s="67"/>
      <c r="SCO457" s="67"/>
      <c r="SCP457" s="67"/>
      <c r="SCQ457" s="67"/>
      <c r="SCR457" s="67"/>
      <c r="SCS457" s="67"/>
      <c r="SCT457" s="67"/>
      <c r="SCU457" s="67"/>
      <c r="SCV457" s="67"/>
      <c r="SCW457" s="67"/>
      <c r="SCX457" s="67"/>
      <c r="SCY457" s="67"/>
      <c r="SCZ457" s="67"/>
      <c r="SDA457" s="67"/>
      <c r="SDB457" s="67"/>
      <c r="SDC457" s="67"/>
      <c r="SDD457" s="67"/>
      <c r="SDE457" s="67"/>
      <c r="SDF457" s="67"/>
      <c r="SDG457" s="67"/>
      <c r="SDH457" s="67"/>
      <c r="SDI457" s="67"/>
      <c r="SDJ457" s="67"/>
      <c r="SDK457" s="67"/>
      <c r="SDL457" s="67"/>
      <c r="SDM457" s="67"/>
      <c r="SDN457" s="67"/>
      <c r="SDO457" s="67"/>
      <c r="SDP457" s="67"/>
      <c r="SDQ457" s="67"/>
      <c r="SDR457" s="67"/>
      <c r="SDS457" s="67"/>
      <c r="SDT457" s="67"/>
      <c r="SDU457" s="67"/>
      <c r="SDV457" s="67"/>
      <c r="SDW457" s="67"/>
      <c r="SDX457" s="67"/>
      <c r="SDY457" s="67"/>
      <c r="SDZ457" s="67"/>
      <c r="SEA457" s="67"/>
      <c r="SEB457" s="67"/>
      <c r="SEC457" s="67"/>
      <c r="SED457" s="67"/>
      <c r="SEE457" s="67"/>
      <c r="SEF457" s="67"/>
      <c r="SEG457" s="67"/>
      <c r="SEH457" s="67"/>
      <c r="SEI457" s="67"/>
      <c r="SEJ457" s="67"/>
      <c r="SEK457" s="67"/>
      <c r="SEL457" s="67"/>
      <c r="SEM457" s="67"/>
      <c r="SEN457" s="67"/>
      <c r="SEO457" s="67"/>
      <c r="SEP457" s="67"/>
      <c r="SEQ457" s="67"/>
      <c r="SER457" s="67"/>
      <c r="SES457" s="67"/>
      <c r="SET457" s="67"/>
      <c r="SEU457" s="67"/>
      <c r="SEV457" s="67"/>
      <c r="SEW457" s="67"/>
      <c r="SEX457" s="67"/>
      <c r="SEY457" s="67"/>
      <c r="SEZ457" s="67"/>
      <c r="SFA457" s="67"/>
      <c r="SFB457" s="67"/>
      <c r="SFC457" s="67"/>
      <c r="SFD457" s="67"/>
      <c r="SFE457" s="67"/>
      <c r="SFF457" s="67"/>
      <c r="SFG457" s="67"/>
      <c r="SFH457" s="67"/>
      <c r="SFI457" s="67"/>
      <c r="SFJ457" s="67"/>
      <c r="SFK457" s="67"/>
      <c r="SFL457" s="67"/>
      <c r="SFM457" s="67"/>
      <c r="SFN457" s="67"/>
      <c r="SFO457" s="67"/>
      <c r="SFP457" s="67"/>
      <c r="SFQ457" s="67"/>
      <c r="SFR457" s="67"/>
      <c r="SFS457" s="67"/>
      <c r="SFT457" s="67"/>
      <c r="SFU457" s="67"/>
      <c r="SFV457" s="67"/>
      <c r="SFW457" s="67"/>
      <c r="SFX457" s="67"/>
      <c r="SFY457" s="67"/>
      <c r="SFZ457" s="67"/>
      <c r="SGA457" s="67"/>
      <c r="SGB457" s="67"/>
      <c r="SGC457" s="67"/>
      <c r="SGD457" s="67"/>
      <c r="SGE457" s="67"/>
      <c r="SGF457" s="67"/>
      <c r="SGG457" s="67"/>
      <c r="SGH457" s="67"/>
      <c r="SGI457" s="67"/>
      <c r="SGJ457" s="67"/>
      <c r="SGK457" s="67"/>
      <c r="SGL457" s="67"/>
      <c r="SGM457" s="67"/>
      <c r="SGN457" s="67"/>
      <c r="SGO457" s="67"/>
      <c r="SGP457" s="67"/>
      <c r="SGQ457" s="67"/>
      <c r="SGR457" s="67"/>
      <c r="SGS457" s="67"/>
      <c r="SGT457" s="67"/>
      <c r="SGU457" s="67"/>
      <c r="SGV457" s="67"/>
      <c r="SGW457" s="67"/>
      <c r="SGX457" s="67"/>
      <c r="SGY457" s="67"/>
      <c r="SGZ457" s="67"/>
      <c r="SHA457" s="67"/>
      <c r="SHB457" s="67"/>
      <c r="SHC457" s="67"/>
      <c r="SHD457" s="67"/>
      <c r="SHE457" s="67"/>
      <c r="SHF457" s="67"/>
      <c r="SHG457" s="67"/>
      <c r="SHH457" s="67"/>
      <c r="SHI457" s="67"/>
      <c r="SHJ457" s="67"/>
      <c r="SHK457" s="67"/>
      <c r="SHL457" s="67"/>
      <c r="SHM457" s="67"/>
      <c r="SHN457" s="67"/>
      <c r="SHO457" s="67"/>
      <c r="SHP457" s="67"/>
      <c r="SHQ457" s="67"/>
      <c r="SHR457" s="67"/>
      <c r="SHS457" s="67"/>
      <c r="SHT457" s="67"/>
      <c r="SHU457" s="67"/>
      <c r="SHV457" s="67"/>
      <c r="SHW457" s="67"/>
      <c r="SHX457" s="67"/>
      <c r="SHY457" s="67"/>
      <c r="SHZ457" s="67"/>
      <c r="SIA457" s="67"/>
      <c r="SIB457" s="67"/>
      <c r="SIC457" s="67"/>
      <c r="SID457" s="67"/>
      <c r="SIE457" s="67"/>
      <c r="SIF457" s="67"/>
      <c r="SIG457" s="67"/>
      <c r="SIH457" s="67"/>
      <c r="SII457" s="67"/>
      <c r="SIJ457" s="67"/>
      <c r="SIK457" s="67"/>
      <c r="SIL457" s="67"/>
      <c r="SIM457" s="67"/>
      <c r="SIN457" s="67"/>
      <c r="SIO457" s="67"/>
      <c r="SIP457" s="67"/>
      <c r="SIQ457" s="67"/>
      <c r="SIR457" s="67"/>
      <c r="SIS457" s="67"/>
      <c r="SIT457" s="67"/>
      <c r="SIU457" s="67"/>
      <c r="SIV457" s="67"/>
      <c r="SIW457" s="67"/>
      <c r="SIX457" s="67"/>
      <c r="SIY457" s="67"/>
      <c r="SIZ457" s="67"/>
      <c r="SJA457" s="67"/>
      <c r="SJB457" s="67"/>
      <c r="SJC457" s="67"/>
      <c r="SJD457" s="67"/>
      <c r="SJE457" s="67"/>
      <c r="SJF457" s="67"/>
      <c r="SJG457" s="67"/>
      <c r="SJH457" s="67"/>
      <c r="SJI457" s="67"/>
      <c r="SJJ457" s="67"/>
      <c r="SJK457" s="67"/>
      <c r="SJL457" s="67"/>
      <c r="SJM457" s="67"/>
      <c r="SJN457" s="67"/>
      <c r="SJO457" s="67"/>
      <c r="SJP457" s="67"/>
      <c r="SJQ457" s="67"/>
      <c r="SJR457" s="67"/>
      <c r="SJS457" s="67"/>
      <c r="SJT457" s="67"/>
      <c r="SJU457" s="67"/>
      <c r="SJV457" s="67"/>
      <c r="SJW457" s="67"/>
      <c r="SJX457" s="67"/>
      <c r="SJY457" s="67"/>
      <c r="SJZ457" s="67"/>
      <c r="SKA457" s="67"/>
      <c r="SKB457" s="67"/>
      <c r="SKC457" s="67"/>
      <c r="SKD457" s="67"/>
      <c r="SKE457" s="67"/>
      <c r="SKF457" s="67"/>
      <c r="SKG457" s="67"/>
      <c r="SKH457" s="67"/>
      <c r="SKI457" s="67"/>
      <c r="SKJ457" s="67"/>
      <c r="SKK457" s="67"/>
      <c r="SKL457" s="67"/>
      <c r="SKM457" s="67"/>
      <c r="SKN457" s="67"/>
      <c r="SKO457" s="67"/>
      <c r="SKP457" s="67"/>
      <c r="SKQ457" s="67"/>
      <c r="SKR457" s="67"/>
      <c r="SKS457" s="67"/>
      <c r="SKT457" s="67"/>
      <c r="SKU457" s="67"/>
      <c r="SKV457" s="67"/>
      <c r="SKW457" s="67"/>
      <c r="SKX457" s="67"/>
      <c r="SKY457" s="67"/>
      <c r="SKZ457" s="67"/>
      <c r="SLA457" s="67"/>
      <c r="SLB457" s="67"/>
      <c r="SLC457" s="67"/>
      <c r="SLD457" s="67"/>
      <c r="SLE457" s="67"/>
      <c r="SLF457" s="67"/>
      <c r="SLG457" s="67"/>
      <c r="SLH457" s="67"/>
      <c r="SLI457" s="67"/>
      <c r="SLJ457" s="67"/>
      <c r="SLK457" s="67"/>
      <c r="SLL457" s="67"/>
      <c r="SLM457" s="67"/>
      <c r="SLN457" s="67"/>
      <c r="SLO457" s="67"/>
      <c r="SLP457" s="67"/>
      <c r="SLQ457" s="67"/>
      <c r="SLR457" s="67"/>
      <c r="SLS457" s="67"/>
      <c r="SLT457" s="67"/>
      <c r="SLU457" s="67"/>
      <c r="SLV457" s="67"/>
      <c r="SLW457" s="67"/>
      <c r="SLX457" s="67"/>
      <c r="SLY457" s="67"/>
      <c r="SLZ457" s="67"/>
      <c r="SMA457" s="67"/>
      <c r="SMB457" s="67"/>
      <c r="SMC457" s="67"/>
      <c r="SMD457" s="67"/>
      <c r="SME457" s="67"/>
      <c r="SMF457" s="67"/>
      <c r="SMG457" s="67"/>
      <c r="SMH457" s="67"/>
      <c r="SMI457" s="67"/>
      <c r="SMJ457" s="67"/>
      <c r="SMK457" s="67"/>
      <c r="SML457" s="67"/>
      <c r="SMM457" s="67"/>
      <c r="SMN457" s="67"/>
      <c r="SMO457" s="67"/>
      <c r="SMP457" s="67"/>
      <c r="SMQ457" s="67"/>
      <c r="SMR457" s="67"/>
      <c r="SMS457" s="67"/>
      <c r="SMT457" s="67"/>
      <c r="SMU457" s="67"/>
      <c r="SMV457" s="67"/>
      <c r="SMW457" s="67"/>
      <c r="SMX457" s="67"/>
      <c r="SMY457" s="67"/>
      <c r="SMZ457" s="67"/>
      <c r="SNA457" s="67"/>
      <c r="SNB457" s="67"/>
      <c r="SNC457" s="67"/>
      <c r="SND457" s="67"/>
      <c r="SNE457" s="67"/>
      <c r="SNF457" s="67"/>
      <c r="SNG457" s="67"/>
      <c r="SNH457" s="67"/>
      <c r="SNI457" s="67"/>
      <c r="SNJ457" s="67"/>
      <c r="SNK457" s="67"/>
      <c r="SNL457" s="67"/>
      <c r="SNM457" s="67"/>
      <c r="SNN457" s="67"/>
      <c r="SNO457" s="67"/>
      <c r="SNP457" s="67"/>
      <c r="SNQ457" s="67"/>
      <c r="SNR457" s="67"/>
      <c r="SNS457" s="67"/>
      <c r="SNT457" s="67"/>
      <c r="SNU457" s="67"/>
      <c r="SNV457" s="67"/>
      <c r="SNW457" s="67"/>
      <c r="SNX457" s="67"/>
      <c r="SNY457" s="67"/>
      <c r="SNZ457" s="67"/>
      <c r="SOA457" s="67"/>
      <c r="SOB457" s="67"/>
      <c r="SOC457" s="67"/>
      <c r="SOD457" s="67"/>
      <c r="SOE457" s="67"/>
      <c r="SOF457" s="67"/>
      <c r="SOG457" s="67"/>
      <c r="SOH457" s="67"/>
      <c r="SOI457" s="67"/>
      <c r="SOJ457" s="67"/>
      <c r="SOK457" s="67"/>
      <c r="SOL457" s="67"/>
      <c r="SOM457" s="67"/>
      <c r="SON457" s="67"/>
      <c r="SOO457" s="67"/>
      <c r="SOP457" s="67"/>
      <c r="SOQ457" s="67"/>
      <c r="SOR457" s="67"/>
      <c r="SOS457" s="67"/>
      <c r="SOT457" s="67"/>
      <c r="SOU457" s="67"/>
      <c r="SOV457" s="67"/>
      <c r="SOW457" s="67"/>
      <c r="SOX457" s="67"/>
      <c r="SOY457" s="67"/>
      <c r="SOZ457" s="67"/>
      <c r="SPA457" s="67"/>
      <c r="SPB457" s="67"/>
      <c r="SPC457" s="67"/>
      <c r="SPD457" s="67"/>
      <c r="SPE457" s="67"/>
      <c r="SPF457" s="67"/>
      <c r="SPG457" s="67"/>
      <c r="SPH457" s="67"/>
      <c r="SPI457" s="67"/>
      <c r="SPJ457" s="67"/>
      <c r="SPK457" s="67"/>
      <c r="SPL457" s="67"/>
      <c r="SPM457" s="67"/>
      <c r="SPN457" s="67"/>
      <c r="SPO457" s="67"/>
      <c r="SPP457" s="67"/>
      <c r="SPQ457" s="67"/>
      <c r="SPR457" s="67"/>
      <c r="SPS457" s="67"/>
      <c r="SPT457" s="67"/>
      <c r="SPU457" s="67"/>
      <c r="SPV457" s="67"/>
      <c r="SPW457" s="67"/>
      <c r="SPX457" s="67"/>
      <c r="SPY457" s="67"/>
      <c r="SPZ457" s="67"/>
      <c r="SQA457" s="67"/>
      <c r="SQB457" s="67"/>
      <c r="SQC457" s="67"/>
      <c r="SQD457" s="67"/>
      <c r="SQE457" s="67"/>
      <c r="SQF457" s="67"/>
      <c r="SQG457" s="67"/>
      <c r="SQH457" s="67"/>
      <c r="SQI457" s="67"/>
      <c r="SQJ457" s="67"/>
      <c r="SQK457" s="67"/>
      <c r="SQL457" s="67"/>
      <c r="SQM457" s="67"/>
      <c r="SQN457" s="67"/>
      <c r="SQO457" s="67"/>
      <c r="SQP457" s="67"/>
      <c r="SQQ457" s="67"/>
      <c r="SQR457" s="67"/>
      <c r="SQS457" s="67"/>
      <c r="SQT457" s="67"/>
      <c r="SQU457" s="67"/>
      <c r="SQV457" s="67"/>
      <c r="SQW457" s="67"/>
      <c r="SQX457" s="67"/>
      <c r="SQY457" s="67"/>
      <c r="SQZ457" s="67"/>
      <c r="SRA457" s="67"/>
      <c r="SRB457" s="67"/>
      <c r="SRC457" s="67"/>
      <c r="SRD457" s="67"/>
      <c r="SRE457" s="67"/>
      <c r="SRF457" s="67"/>
      <c r="SRG457" s="67"/>
      <c r="SRH457" s="67"/>
      <c r="SRI457" s="67"/>
      <c r="SRJ457" s="67"/>
      <c r="SRK457" s="67"/>
      <c r="SRL457" s="67"/>
      <c r="SRM457" s="67"/>
      <c r="SRN457" s="67"/>
      <c r="SRO457" s="67"/>
      <c r="SRP457" s="67"/>
      <c r="SRQ457" s="67"/>
      <c r="SRR457" s="67"/>
      <c r="SRS457" s="67"/>
      <c r="SRT457" s="67"/>
      <c r="SRU457" s="67"/>
      <c r="SRV457" s="67"/>
      <c r="SRW457" s="67"/>
      <c r="SRX457" s="67"/>
      <c r="SRY457" s="67"/>
      <c r="SRZ457" s="67"/>
      <c r="SSA457" s="67"/>
      <c r="SSB457" s="67"/>
      <c r="SSC457" s="67"/>
      <c r="SSD457" s="67"/>
      <c r="SSE457" s="67"/>
      <c r="SSF457" s="67"/>
      <c r="SSG457" s="67"/>
      <c r="SSH457" s="67"/>
      <c r="SSI457" s="67"/>
      <c r="SSJ457" s="67"/>
      <c r="SSK457" s="67"/>
      <c r="SSL457" s="67"/>
      <c r="SSM457" s="67"/>
      <c r="SSN457" s="67"/>
      <c r="SSO457" s="67"/>
      <c r="SSP457" s="67"/>
      <c r="SSQ457" s="67"/>
      <c r="SSR457" s="67"/>
      <c r="SSS457" s="67"/>
      <c r="SST457" s="67"/>
      <c r="SSU457" s="67"/>
      <c r="SSV457" s="67"/>
      <c r="SSW457" s="67"/>
      <c r="SSX457" s="67"/>
      <c r="SSY457" s="67"/>
      <c r="SSZ457" s="67"/>
      <c r="STA457" s="67"/>
      <c r="STB457" s="67"/>
      <c r="STC457" s="67"/>
      <c r="STD457" s="67"/>
      <c r="STE457" s="67"/>
      <c r="STF457" s="67"/>
      <c r="STG457" s="67"/>
      <c r="STH457" s="67"/>
      <c r="STI457" s="67"/>
      <c r="STJ457" s="67"/>
      <c r="STK457" s="67"/>
      <c r="STL457" s="67"/>
      <c r="STM457" s="67"/>
      <c r="STN457" s="67"/>
      <c r="STO457" s="67"/>
      <c r="STP457" s="67"/>
      <c r="STQ457" s="67"/>
      <c r="STR457" s="67"/>
      <c r="STS457" s="67"/>
      <c r="STT457" s="67"/>
      <c r="STU457" s="67"/>
      <c r="STV457" s="67"/>
      <c r="STW457" s="67"/>
      <c r="STX457" s="67"/>
      <c r="STY457" s="67"/>
      <c r="STZ457" s="67"/>
      <c r="SUA457" s="67"/>
      <c r="SUB457" s="67"/>
      <c r="SUC457" s="67"/>
      <c r="SUD457" s="67"/>
      <c r="SUE457" s="67"/>
      <c r="SUF457" s="67"/>
      <c r="SUG457" s="67"/>
      <c r="SUH457" s="67"/>
      <c r="SUI457" s="67"/>
      <c r="SUJ457" s="67"/>
      <c r="SUK457" s="67"/>
      <c r="SUL457" s="67"/>
      <c r="SUM457" s="67"/>
      <c r="SUN457" s="67"/>
      <c r="SUO457" s="67"/>
      <c r="SUP457" s="67"/>
      <c r="SUQ457" s="67"/>
      <c r="SUR457" s="67"/>
      <c r="SUS457" s="67"/>
      <c r="SUT457" s="67"/>
      <c r="SUU457" s="67"/>
      <c r="SUV457" s="67"/>
      <c r="SUW457" s="67"/>
      <c r="SUX457" s="67"/>
      <c r="SUY457" s="67"/>
      <c r="SUZ457" s="67"/>
      <c r="SVA457" s="67"/>
      <c r="SVB457" s="67"/>
      <c r="SVC457" s="67"/>
      <c r="SVD457" s="67"/>
      <c r="SVE457" s="67"/>
      <c r="SVF457" s="67"/>
      <c r="SVG457" s="67"/>
      <c r="SVH457" s="67"/>
      <c r="SVI457" s="67"/>
      <c r="SVJ457" s="67"/>
      <c r="SVK457" s="67"/>
      <c r="SVL457" s="67"/>
      <c r="SVM457" s="67"/>
      <c r="SVN457" s="67"/>
      <c r="SVO457" s="67"/>
      <c r="SVP457" s="67"/>
      <c r="SVQ457" s="67"/>
      <c r="SVR457" s="67"/>
      <c r="SVS457" s="67"/>
      <c r="SVT457" s="67"/>
      <c r="SVU457" s="67"/>
      <c r="SVV457" s="67"/>
      <c r="SVW457" s="67"/>
      <c r="SVX457" s="67"/>
      <c r="SVY457" s="67"/>
      <c r="SVZ457" s="67"/>
      <c r="SWA457" s="67"/>
      <c r="SWB457" s="67"/>
      <c r="SWC457" s="67"/>
      <c r="SWD457" s="67"/>
      <c r="SWE457" s="67"/>
      <c r="SWF457" s="67"/>
      <c r="SWG457" s="67"/>
      <c r="SWH457" s="67"/>
      <c r="SWI457" s="67"/>
      <c r="SWJ457" s="67"/>
      <c r="SWK457" s="67"/>
      <c r="SWL457" s="67"/>
      <c r="SWM457" s="67"/>
      <c r="SWN457" s="67"/>
      <c r="SWO457" s="67"/>
      <c r="SWP457" s="67"/>
      <c r="SWQ457" s="67"/>
      <c r="SWR457" s="67"/>
      <c r="SWS457" s="67"/>
      <c r="SWT457" s="67"/>
      <c r="SWU457" s="67"/>
      <c r="SWV457" s="67"/>
      <c r="SWW457" s="67"/>
      <c r="SWX457" s="67"/>
      <c r="SWY457" s="67"/>
      <c r="SWZ457" s="67"/>
      <c r="SXA457" s="67"/>
      <c r="SXB457" s="67"/>
      <c r="SXC457" s="67"/>
      <c r="SXD457" s="67"/>
      <c r="SXE457" s="67"/>
      <c r="SXF457" s="67"/>
      <c r="SXG457" s="67"/>
      <c r="SXH457" s="67"/>
      <c r="SXI457" s="67"/>
      <c r="SXJ457" s="67"/>
      <c r="SXK457" s="67"/>
      <c r="SXL457" s="67"/>
      <c r="SXM457" s="67"/>
      <c r="SXN457" s="67"/>
      <c r="SXO457" s="67"/>
      <c r="SXP457" s="67"/>
      <c r="SXQ457" s="67"/>
      <c r="SXR457" s="67"/>
      <c r="SXS457" s="67"/>
      <c r="SXT457" s="67"/>
      <c r="SXU457" s="67"/>
      <c r="SXV457" s="67"/>
      <c r="SXW457" s="67"/>
      <c r="SXX457" s="67"/>
      <c r="SXY457" s="67"/>
      <c r="SXZ457" s="67"/>
      <c r="SYA457" s="67"/>
      <c r="SYB457" s="67"/>
      <c r="SYC457" s="67"/>
      <c r="SYD457" s="67"/>
      <c r="SYE457" s="67"/>
      <c r="SYF457" s="67"/>
      <c r="SYG457" s="67"/>
      <c r="SYH457" s="67"/>
      <c r="SYI457" s="67"/>
      <c r="SYJ457" s="67"/>
      <c r="SYK457" s="67"/>
      <c r="SYL457" s="67"/>
      <c r="SYM457" s="67"/>
      <c r="SYN457" s="67"/>
      <c r="SYO457" s="67"/>
      <c r="SYP457" s="67"/>
      <c r="SYQ457" s="67"/>
      <c r="SYR457" s="67"/>
      <c r="SYS457" s="67"/>
      <c r="SYT457" s="67"/>
      <c r="SYU457" s="67"/>
      <c r="SYV457" s="67"/>
      <c r="SYW457" s="67"/>
      <c r="SYX457" s="67"/>
      <c r="SYY457" s="67"/>
      <c r="SYZ457" s="67"/>
      <c r="SZA457" s="67"/>
      <c r="SZB457" s="67"/>
      <c r="SZC457" s="67"/>
      <c r="SZD457" s="67"/>
      <c r="SZE457" s="67"/>
      <c r="SZF457" s="67"/>
      <c r="SZG457" s="67"/>
      <c r="SZH457" s="67"/>
      <c r="SZI457" s="67"/>
      <c r="SZJ457" s="67"/>
      <c r="SZK457" s="67"/>
      <c r="SZL457" s="67"/>
      <c r="SZM457" s="67"/>
      <c r="SZN457" s="67"/>
      <c r="SZO457" s="67"/>
      <c r="SZP457" s="67"/>
      <c r="SZQ457" s="67"/>
      <c r="SZR457" s="67"/>
      <c r="SZS457" s="67"/>
      <c r="SZT457" s="67"/>
      <c r="SZU457" s="67"/>
      <c r="SZV457" s="67"/>
      <c r="SZW457" s="67"/>
      <c r="SZX457" s="67"/>
      <c r="SZY457" s="67"/>
      <c r="SZZ457" s="67"/>
      <c r="TAA457" s="67"/>
      <c r="TAB457" s="67"/>
      <c r="TAC457" s="67"/>
      <c r="TAD457" s="67"/>
      <c r="TAE457" s="67"/>
      <c r="TAF457" s="67"/>
      <c r="TAG457" s="67"/>
      <c r="TAH457" s="67"/>
      <c r="TAI457" s="67"/>
      <c r="TAJ457" s="67"/>
      <c r="TAK457" s="67"/>
      <c r="TAL457" s="67"/>
      <c r="TAM457" s="67"/>
      <c r="TAN457" s="67"/>
      <c r="TAO457" s="67"/>
      <c r="TAP457" s="67"/>
      <c r="TAQ457" s="67"/>
      <c r="TAR457" s="67"/>
      <c r="TAS457" s="67"/>
      <c r="TAT457" s="67"/>
      <c r="TAU457" s="67"/>
      <c r="TAV457" s="67"/>
      <c r="TAW457" s="67"/>
      <c r="TAX457" s="67"/>
      <c r="TAY457" s="67"/>
      <c r="TAZ457" s="67"/>
      <c r="TBA457" s="67"/>
      <c r="TBB457" s="67"/>
      <c r="TBC457" s="67"/>
      <c r="TBD457" s="67"/>
      <c r="TBE457" s="67"/>
      <c r="TBF457" s="67"/>
      <c r="TBG457" s="67"/>
      <c r="TBH457" s="67"/>
      <c r="TBI457" s="67"/>
      <c r="TBJ457" s="67"/>
      <c r="TBK457" s="67"/>
      <c r="TBL457" s="67"/>
      <c r="TBM457" s="67"/>
      <c r="TBN457" s="67"/>
      <c r="TBO457" s="67"/>
      <c r="TBP457" s="67"/>
      <c r="TBQ457" s="67"/>
      <c r="TBR457" s="67"/>
      <c r="TBS457" s="67"/>
      <c r="TBT457" s="67"/>
      <c r="TBU457" s="67"/>
      <c r="TBV457" s="67"/>
      <c r="TBW457" s="67"/>
      <c r="TBX457" s="67"/>
      <c r="TBY457" s="67"/>
      <c r="TBZ457" s="67"/>
      <c r="TCA457" s="67"/>
      <c r="TCB457" s="67"/>
      <c r="TCC457" s="67"/>
      <c r="TCD457" s="67"/>
      <c r="TCE457" s="67"/>
      <c r="TCF457" s="67"/>
      <c r="TCG457" s="67"/>
      <c r="TCH457" s="67"/>
      <c r="TCI457" s="67"/>
      <c r="TCJ457" s="67"/>
      <c r="TCK457" s="67"/>
      <c r="TCL457" s="67"/>
      <c r="TCM457" s="67"/>
      <c r="TCN457" s="67"/>
      <c r="TCO457" s="67"/>
      <c r="TCP457" s="67"/>
      <c r="TCQ457" s="67"/>
      <c r="TCR457" s="67"/>
      <c r="TCS457" s="67"/>
      <c r="TCT457" s="67"/>
      <c r="TCU457" s="67"/>
      <c r="TCV457" s="67"/>
      <c r="TCW457" s="67"/>
      <c r="TCX457" s="67"/>
      <c r="TCY457" s="67"/>
      <c r="TCZ457" s="67"/>
      <c r="TDA457" s="67"/>
      <c r="TDB457" s="67"/>
      <c r="TDC457" s="67"/>
      <c r="TDD457" s="67"/>
      <c r="TDE457" s="67"/>
      <c r="TDF457" s="67"/>
      <c r="TDG457" s="67"/>
      <c r="TDH457" s="67"/>
      <c r="TDI457" s="67"/>
      <c r="TDJ457" s="67"/>
      <c r="TDK457" s="67"/>
      <c r="TDL457" s="67"/>
      <c r="TDM457" s="67"/>
      <c r="TDN457" s="67"/>
      <c r="TDO457" s="67"/>
      <c r="TDP457" s="67"/>
      <c r="TDQ457" s="67"/>
      <c r="TDR457" s="67"/>
      <c r="TDS457" s="67"/>
      <c r="TDT457" s="67"/>
      <c r="TDU457" s="67"/>
      <c r="TDV457" s="67"/>
      <c r="TDW457" s="67"/>
      <c r="TDX457" s="67"/>
      <c r="TDY457" s="67"/>
      <c r="TDZ457" s="67"/>
      <c r="TEA457" s="67"/>
      <c r="TEB457" s="67"/>
      <c r="TEC457" s="67"/>
      <c r="TED457" s="67"/>
      <c r="TEE457" s="67"/>
      <c r="TEF457" s="67"/>
      <c r="TEG457" s="67"/>
      <c r="TEH457" s="67"/>
      <c r="TEI457" s="67"/>
      <c r="TEJ457" s="67"/>
      <c r="TEK457" s="67"/>
      <c r="TEL457" s="67"/>
      <c r="TEM457" s="67"/>
      <c r="TEN457" s="67"/>
      <c r="TEO457" s="67"/>
      <c r="TEP457" s="67"/>
      <c r="TEQ457" s="67"/>
      <c r="TER457" s="67"/>
      <c r="TES457" s="67"/>
      <c r="TET457" s="67"/>
      <c r="TEU457" s="67"/>
      <c r="TEV457" s="67"/>
      <c r="TEW457" s="67"/>
      <c r="TEX457" s="67"/>
      <c r="TEY457" s="67"/>
      <c r="TEZ457" s="67"/>
      <c r="TFA457" s="67"/>
      <c r="TFB457" s="67"/>
      <c r="TFC457" s="67"/>
      <c r="TFD457" s="67"/>
      <c r="TFE457" s="67"/>
      <c r="TFF457" s="67"/>
      <c r="TFG457" s="67"/>
      <c r="TFH457" s="67"/>
      <c r="TFI457" s="67"/>
      <c r="TFJ457" s="67"/>
      <c r="TFK457" s="67"/>
      <c r="TFL457" s="67"/>
      <c r="TFM457" s="67"/>
      <c r="TFN457" s="67"/>
      <c r="TFO457" s="67"/>
      <c r="TFP457" s="67"/>
      <c r="TFQ457" s="67"/>
      <c r="TFR457" s="67"/>
      <c r="TFS457" s="67"/>
      <c r="TFT457" s="67"/>
      <c r="TFU457" s="67"/>
      <c r="TFV457" s="67"/>
      <c r="TFW457" s="67"/>
      <c r="TFX457" s="67"/>
      <c r="TFY457" s="67"/>
      <c r="TFZ457" s="67"/>
      <c r="TGA457" s="67"/>
      <c r="TGB457" s="67"/>
      <c r="TGC457" s="67"/>
      <c r="TGD457" s="67"/>
      <c r="TGE457" s="67"/>
      <c r="TGF457" s="67"/>
      <c r="TGG457" s="67"/>
      <c r="TGH457" s="67"/>
      <c r="TGI457" s="67"/>
      <c r="TGJ457" s="67"/>
      <c r="TGK457" s="67"/>
      <c r="TGL457" s="67"/>
      <c r="TGM457" s="67"/>
      <c r="TGN457" s="67"/>
      <c r="TGO457" s="67"/>
      <c r="TGP457" s="67"/>
      <c r="TGQ457" s="67"/>
      <c r="TGR457" s="67"/>
      <c r="TGS457" s="67"/>
      <c r="TGT457" s="67"/>
      <c r="TGU457" s="67"/>
      <c r="TGV457" s="67"/>
      <c r="TGW457" s="67"/>
      <c r="TGX457" s="67"/>
      <c r="TGY457" s="67"/>
      <c r="TGZ457" s="67"/>
      <c r="THA457" s="67"/>
      <c r="THB457" s="67"/>
      <c r="THC457" s="67"/>
      <c r="THD457" s="67"/>
      <c r="THE457" s="67"/>
      <c r="THF457" s="67"/>
      <c r="THG457" s="67"/>
      <c r="THH457" s="67"/>
      <c r="THI457" s="67"/>
      <c r="THJ457" s="67"/>
      <c r="THK457" s="67"/>
      <c r="THL457" s="67"/>
      <c r="THM457" s="67"/>
      <c r="THN457" s="67"/>
      <c r="THO457" s="67"/>
      <c r="THP457" s="67"/>
      <c r="THQ457" s="67"/>
      <c r="THR457" s="67"/>
      <c r="THS457" s="67"/>
      <c r="THT457" s="67"/>
      <c r="THU457" s="67"/>
      <c r="THV457" s="67"/>
      <c r="THW457" s="67"/>
      <c r="THX457" s="67"/>
      <c r="THY457" s="67"/>
      <c r="THZ457" s="67"/>
      <c r="TIA457" s="67"/>
      <c r="TIB457" s="67"/>
      <c r="TIC457" s="67"/>
      <c r="TID457" s="67"/>
      <c r="TIE457" s="67"/>
      <c r="TIF457" s="67"/>
      <c r="TIG457" s="67"/>
      <c r="TIH457" s="67"/>
      <c r="TII457" s="67"/>
      <c r="TIJ457" s="67"/>
      <c r="TIK457" s="67"/>
      <c r="TIL457" s="67"/>
      <c r="TIM457" s="67"/>
      <c r="TIN457" s="67"/>
      <c r="TIO457" s="67"/>
      <c r="TIP457" s="67"/>
      <c r="TIQ457" s="67"/>
      <c r="TIR457" s="67"/>
      <c r="TIS457" s="67"/>
      <c r="TIT457" s="67"/>
      <c r="TIU457" s="67"/>
      <c r="TIV457" s="67"/>
      <c r="TIW457" s="67"/>
      <c r="TIX457" s="67"/>
      <c r="TIY457" s="67"/>
      <c r="TIZ457" s="67"/>
      <c r="TJA457" s="67"/>
      <c r="TJB457" s="67"/>
      <c r="TJC457" s="67"/>
      <c r="TJD457" s="67"/>
      <c r="TJE457" s="67"/>
      <c r="TJF457" s="67"/>
      <c r="TJG457" s="67"/>
      <c r="TJH457" s="67"/>
      <c r="TJI457" s="67"/>
      <c r="TJJ457" s="67"/>
      <c r="TJK457" s="67"/>
      <c r="TJL457" s="67"/>
      <c r="TJM457" s="67"/>
      <c r="TJN457" s="67"/>
      <c r="TJO457" s="67"/>
      <c r="TJP457" s="67"/>
      <c r="TJQ457" s="67"/>
      <c r="TJR457" s="67"/>
      <c r="TJS457" s="67"/>
      <c r="TJT457" s="67"/>
      <c r="TJU457" s="67"/>
      <c r="TJV457" s="67"/>
      <c r="TJW457" s="67"/>
      <c r="TJX457" s="67"/>
      <c r="TJY457" s="67"/>
      <c r="TJZ457" s="67"/>
      <c r="TKA457" s="67"/>
      <c r="TKB457" s="67"/>
      <c r="TKC457" s="67"/>
      <c r="TKD457" s="67"/>
      <c r="TKE457" s="67"/>
      <c r="TKF457" s="67"/>
      <c r="TKG457" s="67"/>
      <c r="TKH457" s="67"/>
      <c r="TKI457" s="67"/>
      <c r="TKJ457" s="67"/>
      <c r="TKK457" s="67"/>
      <c r="TKL457" s="67"/>
      <c r="TKM457" s="67"/>
      <c r="TKN457" s="67"/>
      <c r="TKO457" s="67"/>
      <c r="TKP457" s="67"/>
      <c r="TKQ457" s="67"/>
      <c r="TKR457" s="67"/>
      <c r="TKS457" s="67"/>
      <c r="TKT457" s="67"/>
      <c r="TKU457" s="67"/>
      <c r="TKV457" s="67"/>
      <c r="TKW457" s="67"/>
      <c r="TKX457" s="67"/>
      <c r="TKY457" s="67"/>
      <c r="TKZ457" s="67"/>
      <c r="TLA457" s="67"/>
      <c r="TLB457" s="67"/>
      <c r="TLC457" s="67"/>
      <c r="TLD457" s="67"/>
      <c r="TLE457" s="67"/>
      <c r="TLF457" s="67"/>
      <c r="TLG457" s="67"/>
      <c r="TLH457" s="67"/>
      <c r="TLI457" s="67"/>
      <c r="TLJ457" s="67"/>
      <c r="TLK457" s="67"/>
      <c r="TLL457" s="67"/>
      <c r="TLM457" s="67"/>
      <c r="TLN457" s="67"/>
      <c r="TLO457" s="67"/>
      <c r="TLP457" s="67"/>
      <c r="TLQ457" s="67"/>
      <c r="TLR457" s="67"/>
      <c r="TLS457" s="67"/>
      <c r="TLT457" s="67"/>
      <c r="TLU457" s="67"/>
      <c r="TLV457" s="67"/>
      <c r="TLW457" s="67"/>
      <c r="TLX457" s="67"/>
      <c r="TLY457" s="67"/>
      <c r="TLZ457" s="67"/>
      <c r="TMA457" s="67"/>
      <c r="TMB457" s="67"/>
      <c r="TMC457" s="67"/>
      <c r="TMD457" s="67"/>
      <c r="TME457" s="67"/>
      <c r="TMF457" s="67"/>
      <c r="TMG457" s="67"/>
      <c r="TMH457" s="67"/>
      <c r="TMI457" s="67"/>
      <c r="TMJ457" s="67"/>
      <c r="TMK457" s="67"/>
      <c r="TML457" s="67"/>
      <c r="TMM457" s="67"/>
      <c r="TMN457" s="67"/>
      <c r="TMO457" s="67"/>
      <c r="TMP457" s="67"/>
      <c r="TMQ457" s="67"/>
      <c r="TMR457" s="67"/>
      <c r="TMS457" s="67"/>
      <c r="TMT457" s="67"/>
      <c r="TMU457" s="67"/>
      <c r="TMV457" s="67"/>
      <c r="TMW457" s="67"/>
      <c r="TMX457" s="67"/>
      <c r="TMY457" s="67"/>
      <c r="TMZ457" s="67"/>
      <c r="TNA457" s="67"/>
      <c r="TNB457" s="67"/>
      <c r="TNC457" s="67"/>
      <c r="TND457" s="67"/>
      <c r="TNE457" s="67"/>
      <c r="TNF457" s="67"/>
      <c r="TNG457" s="67"/>
      <c r="TNH457" s="67"/>
      <c r="TNI457" s="67"/>
      <c r="TNJ457" s="67"/>
      <c r="TNK457" s="67"/>
      <c r="TNL457" s="67"/>
      <c r="TNM457" s="67"/>
      <c r="TNN457" s="67"/>
      <c r="TNO457" s="67"/>
      <c r="TNP457" s="67"/>
      <c r="TNQ457" s="67"/>
      <c r="TNR457" s="67"/>
      <c r="TNS457" s="67"/>
      <c r="TNT457" s="67"/>
      <c r="TNU457" s="67"/>
      <c r="TNV457" s="67"/>
      <c r="TNW457" s="67"/>
      <c r="TNX457" s="67"/>
      <c r="TNY457" s="67"/>
      <c r="TNZ457" s="67"/>
      <c r="TOA457" s="67"/>
      <c r="TOB457" s="67"/>
      <c r="TOC457" s="67"/>
      <c r="TOD457" s="67"/>
      <c r="TOE457" s="67"/>
      <c r="TOF457" s="67"/>
      <c r="TOG457" s="67"/>
      <c r="TOH457" s="67"/>
      <c r="TOI457" s="67"/>
      <c r="TOJ457" s="67"/>
      <c r="TOK457" s="67"/>
      <c r="TOL457" s="67"/>
      <c r="TOM457" s="67"/>
      <c r="TON457" s="67"/>
      <c r="TOO457" s="67"/>
      <c r="TOP457" s="67"/>
      <c r="TOQ457" s="67"/>
      <c r="TOR457" s="67"/>
      <c r="TOS457" s="67"/>
      <c r="TOT457" s="67"/>
      <c r="TOU457" s="67"/>
      <c r="TOV457" s="67"/>
      <c r="TOW457" s="67"/>
      <c r="TOX457" s="67"/>
      <c r="TOY457" s="67"/>
      <c r="TOZ457" s="67"/>
      <c r="TPA457" s="67"/>
      <c r="TPB457" s="67"/>
      <c r="TPC457" s="67"/>
      <c r="TPD457" s="67"/>
      <c r="TPE457" s="67"/>
      <c r="TPF457" s="67"/>
      <c r="TPG457" s="67"/>
      <c r="TPH457" s="67"/>
      <c r="TPI457" s="67"/>
      <c r="TPJ457" s="67"/>
      <c r="TPK457" s="67"/>
      <c r="TPL457" s="67"/>
      <c r="TPM457" s="67"/>
      <c r="TPN457" s="67"/>
      <c r="TPO457" s="67"/>
      <c r="TPP457" s="67"/>
      <c r="TPQ457" s="67"/>
      <c r="TPR457" s="67"/>
      <c r="TPS457" s="67"/>
      <c r="TPT457" s="67"/>
      <c r="TPU457" s="67"/>
      <c r="TPV457" s="67"/>
      <c r="TPW457" s="67"/>
      <c r="TPX457" s="67"/>
      <c r="TPY457" s="67"/>
      <c r="TPZ457" s="67"/>
      <c r="TQA457" s="67"/>
      <c r="TQB457" s="67"/>
      <c r="TQC457" s="67"/>
      <c r="TQD457" s="67"/>
      <c r="TQE457" s="67"/>
      <c r="TQF457" s="67"/>
      <c r="TQG457" s="67"/>
      <c r="TQH457" s="67"/>
      <c r="TQI457" s="67"/>
      <c r="TQJ457" s="67"/>
      <c r="TQK457" s="67"/>
      <c r="TQL457" s="67"/>
      <c r="TQM457" s="67"/>
      <c r="TQN457" s="67"/>
      <c r="TQO457" s="67"/>
      <c r="TQP457" s="67"/>
      <c r="TQQ457" s="67"/>
      <c r="TQR457" s="67"/>
      <c r="TQS457" s="67"/>
      <c r="TQT457" s="67"/>
      <c r="TQU457" s="67"/>
      <c r="TQV457" s="67"/>
      <c r="TQW457" s="67"/>
      <c r="TQX457" s="67"/>
      <c r="TQY457" s="67"/>
      <c r="TQZ457" s="67"/>
      <c r="TRA457" s="67"/>
      <c r="TRB457" s="67"/>
      <c r="TRC457" s="67"/>
      <c r="TRD457" s="67"/>
      <c r="TRE457" s="67"/>
      <c r="TRF457" s="67"/>
      <c r="TRG457" s="67"/>
      <c r="TRH457" s="67"/>
      <c r="TRI457" s="67"/>
      <c r="TRJ457" s="67"/>
      <c r="TRK457" s="67"/>
      <c r="TRL457" s="67"/>
      <c r="TRM457" s="67"/>
      <c r="TRN457" s="67"/>
      <c r="TRO457" s="67"/>
      <c r="TRP457" s="67"/>
      <c r="TRQ457" s="67"/>
      <c r="TRR457" s="67"/>
      <c r="TRS457" s="67"/>
      <c r="TRT457" s="67"/>
      <c r="TRU457" s="67"/>
      <c r="TRV457" s="67"/>
      <c r="TRW457" s="67"/>
      <c r="TRX457" s="67"/>
      <c r="TRY457" s="67"/>
      <c r="TRZ457" s="67"/>
      <c r="TSA457" s="67"/>
      <c r="TSB457" s="67"/>
      <c r="TSC457" s="67"/>
      <c r="TSD457" s="67"/>
      <c r="TSE457" s="67"/>
      <c r="TSF457" s="67"/>
      <c r="TSG457" s="67"/>
      <c r="TSH457" s="67"/>
      <c r="TSI457" s="67"/>
      <c r="TSJ457" s="67"/>
      <c r="TSK457" s="67"/>
      <c r="TSL457" s="67"/>
      <c r="TSM457" s="67"/>
      <c r="TSN457" s="67"/>
      <c r="TSO457" s="67"/>
      <c r="TSP457" s="67"/>
      <c r="TSQ457" s="67"/>
      <c r="TSR457" s="67"/>
      <c r="TSS457" s="67"/>
      <c r="TST457" s="67"/>
      <c r="TSU457" s="67"/>
      <c r="TSV457" s="67"/>
      <c r="TSW457" s="67"/>
      <c r="TSX457" s="67"/>
      <c r="TSY457" s="67"/>
      <c r="TSZ457" s="67"/>
      <c r="TTA457" s="67"/>
      <c r="TTB457" s="67"/>
      <c r="TTC457" s="67"/>
      <c r="TTD457" s="67"/>
      <c r="TTE457" s="67"/>
      <c r="TTF457" s="67"/>
      <c r="TTG457" s="67"/>
      <c r="TTH457" s="67"/>
      <c r="TTI457" s="67"/>
      <c r="TTJ457" s="67"/>
      <c r="TTK457" s="67"/>
      <c r="TTL457" s="67"/>
      <c r="TTM457" s="67"/>
      <c r="TTN457" s="67"/>
      <c r="TTO457" s="67"/>
      <c r="TTP457" s="67"/>
      <c r="TTQ457" s="67"/>
      <c r="TTR457" s="67"/>
      <c r="TTS457" s="67"/>
      <c r="TTT457" s="67"/>
      <c r="TTU457" s="67"/>
      <c r="TTV457" s="67"/>
      <c r="TTW457" s="67"/>
      <c r="TTX457" s="67"/>
      <c r="TTY457" s="67"/>
      <c r="TTZ457" s="67"/>
      <c r="TUA457" s="67"/>
      <c r="TUB457" s="67"/>
      <c r="TUC457" s="67"/>
      <c r="TUD457" s="67"/>
      <c r="TUE457" s="67"/>
      <c r="TUF457" s="67"/>
      <c r="TUG457" s="67"/>
      <c r="TUH457" s="67"/>
      <c r="TUI457" s="67"/>
      <c r="TUJ457" s="67"/>
      <c r="TUK457" s="67"/>
      <c r="TUL457" s="67"/>
      <c r="TUM457" s="67"/>
      <c r="TUN457" s="67"/>
      <c r="TUO457" s="67"/>
      <c r="TUP457" s="67"/>
      <c r="TUQ457" s="67"/>
      <c r="TUR457" s="67"/>
      <c r="TUS457" s="67"/>
      <c r="TUT457" s="67"/>
      <c r="TUU457" s="67"/>
      <c r="TUV457" s="67"/>
      <c r="TUW457" s="67"/>
      <c r="TUX457" s="67"/>
      <c r="TUY457" s="67"/>
      <c r="TUZ457" s="67"/>
      <c r="TVA457" s="67"/>
      <c r="TVB457" s="67"/>
      <c r="TVC457" s="67"/>
      <c r="TVD457" s="67"/>
      <c r="TVE457" s="67"/>
      <c r="TVF457" s="67"/>
      <c r="TVG457" s="67"/>
      <c r="TVH457" s="67"/>
      <c r="TVI457" s="67"/>
      <c r="TVJ457" s="67"/>
      <c r="TVK457" s="67"/>
      <c r="TVL457" s="67"/>
      <c r="TVM457" s="67"/>
      <c r="TVN457" s="67"/>
      <c r="TVO457" s="67"/>
      <c r="TVP457" s="67"/>
      <c r="TVQ457" s="67"/>
      <c r="TVR457" s="67"/>
      <c r="TVS457" s="67"/>
      <c r="TVT457" s="67"/>
      <c r="TVU457" s="67"/>
      <c r="TVV457" s="67"/>
      <c r="TVW457" s="67"/>
      <c r="TVX457" s="67"/>
      <c r="TVY457" s="67"/>
      <c r="TVZ457" s="67"/>
      <c r="TWA457" s="67"/>
      <c r="TWB457" s="67"/>
      <c r="TWC457" s="67"/>
      <c r="TWD457" s="67"/>
      <c r="TWE457" s="67"/>
      <c r="TWF457" s="67"/>
      <c r="TWG457" s="67"/>
      <c r="TWH457" s="67"/>
      <c r="TWI457" s="67"/>
      <c r="TWJ457" s="67"/>
      <c r="TWK457" s="67"/>
      <c r="TWL457" s="67"/>
      <c r="TWM457" s="67"/>
      <c r="TWN457" s="67"/>
      <c r="TWO457" s="67"/>
      <c r="TWP457" s="67"/>
      <c r="TWQ457" s="67"/>
      <c r="TWR457" s="67"/>
      <c r="TWS457" s="67"/>
      <c r="TWT457" s="67"/>
      <c r="TWU457" s="67"/>
      <c r="TWV457" s="67"/>
      <c r="TWW457" s="67"/>
      <c r="TWX457" s="67"/>
      <c r="TWY457" s="67"/>
      <c r="TWZ457" s="67"/>
      <c r="TXA457" s="67"/>
      <c r="TXB457" s="67"/>
      <c r="TXC457" s="67"/>
      <c r="TXD457" s="67"/>
      <c r="TXE457" s="67"/>
      <c r="TXF457" s="67"/>
      <c r="TXG457" s="67"/>
      <c r="TXH457" s="67"/>
      <c r="TXI457" s="67"/>
      <c r="TXJ457" s="67"/>
      <c r="TXK457" s="67"/>
      <c r="TXL457" s="67"/>
      <c r="TXM457" s="67"/>
      <c r="TXN457" s="67"/>
      <c r="TXO457" s="67"/>
      <c r="TXP457" s="67"/>
      <c r="TXQ457" s="67"/>
      <c r="TXR457" s="67"/>
      <c r="TXS457" s="67"/>
      <c r="TXT457" s="67"/>
      <c r="TXU457" s="67"/>
      <c r="TXV457" s="67"/>
      <c r="TXW457" s="67"/>
      <c r="TXX457" s="67"/>
      <c r="TXY457" s="67"/>
      <c r="TXZ457" s="67"/>
      <c r="TYA457" s="67"/>
      <c r="TYB457" s="67"/>
      <c r="TYC457" s="67"/>
      <c r="TYD457" s="67"/>
      <c r="TYE457" s="67"/>
      <c r="TYF457" s="67"/>
      <c r="TYG457" s="67"/>
      <c r="TYH457" s="67"/>
      <c r="TYI457" s="67"/>
      <c r="TYJ457" s="67"/>
      <c r="TYK457" s="67"/>
      <c r="TYL457" s="67"/>
      <c r="TYM457" s="67"/>
      <c r="TYN457" s="67"/>
      <c r="TYO457" s="67"/>
      <c r="TYP457" s="67"/>
      <c r="TYQ457" s="67"/>
      <c r="TYR457" s="67"/>
      <c r="TYS457" s="67"/>
      <c r="TYT457" s="67"/>
      <c r="TYU457" s="67"/>
      <c r="TYV457" s="67"/>
      <c r="TYW457" s="67"/>
      <c r="TYX457" s="67"/>
      <c r="TYY457" s="67"/>
      <c r="TYZ457" s="67"/>
      <c r="TZA457" s="67"/>
      <c r="TZB457" s="67"/>
      <c r="TZC457" s="67"/>
      <c r="TZD457" s="67"/>
      <c r="TZE457" s="67"/>
      <c r="TZF457" s="67"/>
      <c r="TZG457" s="67"/>
      <c r="TZH457" s="67"/>
      <c r="TZI457" s="67"/>
      <c r="TZJ457" s="67"/>
      <c r="TZK457" s="67"/>
      <c r="TZL457" s="67"/>
      <c r="TZM457" s="67"/>
      <c r="TZN457" s="67"/>
      <c r="TZO457" s="67"/>
      <c r="TZP457" s="67"/>
      <c r="TZQ457" s="67"/>
      <c r="TZR457" s="67"/>
      <c r="TZS457" s="67"/>
      <c r="TZT457" s="67"/>
      <c r="TZU457" s="67"/>
      <c r="TZV457" s="67"/>
      <c r="TZW457" s="67"/>
      <c r="TZX457" s="67"/>
      <c r="TZY457" s="67"/>
      <c r="TZZ457" s="67"/>
      <c r="UAA457" s="67"/>
      <c r="UAB457" s="67"/>
      <c r="UAC457" s="67"/>
      <c r="UAD457" s="67"/>
      <c r="UAE457" s="67"/>
      <c r="UAF457" s="67"/>
      <c r="UAG457" s="67"/>
      <c r="UAH457" s="67"/>
      <c r="UAI457" s="67"/>
      <c r="UAJ457" s="67"/>
      <c r="UAK457" s="67"/>
      <c r="UAL457" s="67"/>
      <c r="UAM457" s="67"/>
      <c r="UAN457" s="67"/>
      <c r="UAO457" s="67"/>
      <c r="UAP457" s="67"/>
      <c r="UAQ457" s="67"/>
      <c r="UAR457" s="67"/>
      <c r="UAS457" s="67"/>
      <c r="UAT457" s="67"/>
      <c r="UAU457" s="67"/>
      <c r="UAV457" s="67"/>
      <c r="UAW457" s="67"/>
      <c r="UAX457" s="67"/>
      <c r="UAY457" s="67"/>
      <c r="UAZ457" s="67"/>
      <c r="UBA457" s="67"/>
      <c r="UBB457" s="67"/>
      <c r="UBC457" s="67"/>
      <c r="UBD457" s="67"/>
      <c r="UBE457" s="67"/>
      <c r="UBF457" s="67"/>
      <c r="UBG457" s="67"/>
      <c r="UBH457" s="67"/>
      <c r="UBI457" s="67"/>
      <c r="UBJ457" s="67"/>
      <c r="UBK457" s="67"/>
      <c r="UBL457" s="67"/>
      <c r="UBM457" s="67"/>
      <c r="UBN457" s="67"/>
      <c r="UBO457" s="67"/>
      <c r="UBP457" s="67"/>
      <c r="UBQ457" s="67"/>
      <c r="UBR457" s="67"/>
      <c r="UBS457" s="67"/>
      <c r="UBT457" s="67"/>
      <c r="UBU457" s="67"/>
      <c r="UBV457" s="67"/>
      <c r="UBW457" s="67"/>
      <c r="UBX457" s="67"/>
      <c r="UBY457" s="67"/>
      <c r="UBZ457" s="67"/>
      <c r="UCA457" s="67"/>
      <c r="UCB457" s="67"/>
      <c r="UCC457" s="67"/>
      <c r="UCD457" s="67"/>
      <c r="UCE457" s="67"/>
      <c r="UCF457" s="67"/>
      <c r="UCG457" s="67"/>
      <c r="UCH457" s="67"/>
      <c r="UCI457" s="67"/>
      <c r="UCJ457" s="67"/>
      <c r="UCK457" s="67"/>
      <c r="UCL457" s="67"/>
      <c r="UCM457" s="67"/>
      <c r="UCN457" s="67"/>
      <c r="UCO457" s="67"/>
      <c r="UCP457" s="67"/>
      <c r="UCQ457" s="67"/>
      <c r="UCR457" s="67"/>
      <c r="UCS457" s="67"/>
      <c r="UCT457" s="67"/>
      <c r="UCU457" s="67"/>
      <c r="UCV457" s="67"/>
      <c r="UCW457" s="67"/>
      <c r="UCX457" s="67"/>
      <c r="UCY457" s="67"/>
      <c r="UCZ457" s="67"/>
      <c r="UDA457" s="67"/>
      <c r="UDB457" s="67"/>
      <c r="UDC457" s="67"/>
      <c r="UDD457" s="67"/>
      <c r="UDE457" s="67"/>
      <c r="UDF457" s="67"/>
      <c r="UDG457" s="67"/>
      <c r="UDH457" s="67"/>
      <c r="UDI457" s="67"/>
      <c r="UDJ457" s="67"/>
      <c r="UDK457" s="67"/>
      <c r="UDL457" s="67"/>
      <c r="UDM457" s="67"/>
      <c r="UDN457" s="67"/>
      <c r="UDO457" s="67"/>
      <c r="UDP457" s="67"/>
      <c r="UDQ457" s="67"/>
      <c r="UDR457" s="67"/>
      <c r="UDS457" s="67"/>
      <c r="UDT457" s="67"/>
      <c r="UDU457" s="67"/>
      <c r="UDV457" s="67"/>
      <c r="UDW457" s="67"/>
      <c r="UDX457" s="67"/>
      <c r="UDY457" s="67"/>
      <c r="UDZ457" s="67"/>
      <c r="UEA457" s="67"/>
      <c r="UEB457" s="67"/>
      <c r="UEC457" s="67"/>
      <c r="UED457" s="67"/>
      <c r="UEE457" s="67"/>
      <c r="UEF457" s="67"/>
      <c r="UEG457" s="67"/>
      <c r="UEH457" s="67"/>
      <c r="UEI457" s="67"/>
      <c r="UEJ457" s="67"/>
      <c r="UEK457" s="67"/>
      <c r="UEL457" s="67"/>
      <c r="UEM457" s="67"/>
      <c r="UEN457" s="67"/>
      <c r="UEO457" s="67"/>
      <c r="UEP457" s="67"/>
      <c r="UEQ457" s="67"/>
      <c r="UER457" s="67"/>
      <c r="UES457" s="67"/>
      <c r="UET457" s="67"/>
      <c r="UEU457" s="67"/>
      <c r="UEV457" s="67"/>
      <c r="UEW457" s="67"/>
      <c r="UEX457" s="67"/>
      <c r="UEY457" s="67"/>
      <c r="UEZ457" s="67"/>
      <c r="UFA457" s="67"/>
      <c r="UFB457" s="67"/>
      <c r="UFC457" s="67"/>
      <c r="UFD457" s="67"/>
      <c r="UFE457" s="67"/>
      <c r="UFF457" s="67"/>
      <c r="UFG457" s="67"/>
      <c r="UFH457" s="67"/>
      <c r="UFI457" s="67"/>
      <c r="UFJ457" s="67"/>
      <c r="UFK457" s="67"/>
      <c r="UFL457" s="67"/>
      <c r="UFM457" s="67"/>
      <c r="UFN457" s="67"/>
      <c r="UFO457" s="67"/>
      <c r="UFP457" s="67"/>
      <c r="UFQ457" s="67"/>
      <c r="UFR457" s="67"/>
      <c r="UFS457" s="67"/>
      <c r="UFT457" s="67"/>
      <c r="UFU457" s="67"/>
      <c r="UFV457" s="67"/>
      <c r="UFW457" s="67"/>
      <c r="UFX457" s="67"/>
      <c r="UFY457" s="67"/>
      <c r="UFZ457" s="67"/>
      <c r="UGA457" s="67"/>
      <c r="UGB457" s="67"/>
      <c r="UGC457" s="67"/>
      <c r="UGD457" s="67"/>
      <c r="UGE457" s="67"/>
      <c r="UGF457" s="67"/>
      <c r="UGG457" s="67"/>
      <c r="UGH457" s="67"/>
      <c r="UGI457" s="67"/>
      <c r="UGJ457" s="67"/>
      <c r="UGK457" s="67"/>
      <c r="UGL457" s="67"/>
      <c r="UGM457" s="67"/>
      <c r="UGN457" s="67"/>
      <c r="UGO457" s="67"/>
      <c r="UGP457" s="67"/>
      <c r="UGQ457" s="67"/>
      <c r="UGR457" s="67"/>
      <c r="UGS457" s="67"/>
      <c r="UGT457" s="67"/>
      <c r="UGU457" s="67"/>
      <c r="UGV457" s="67"/>
      <c r="UGW457" s="67"/>
      <c r="UGX457" s="67"/>
      <c r="UGY457" s="67"/>
      <c r="UGZ457" s="67"/>
      <c r="UHA457" s="67"/>
      <c r="UHB457" s="67"/>
      <c r="UHC457" s="67"/>
      <c r="UHD457" s="67"/>
      <c r="UHE457" s="67"/>
      <c r="UHF457" s="67"/>
      <c r="UHG457" s="67"/>
      <c r="UHH457" s="67"/>
      <c r="UHI457" s="67"/>
      <c r="UHJ457" s="67"/>
      <c r="UHK457" s="67"/>
      <c r="UHL457" s="67"/>
      <c r="UHM457" s="67"/>
      <c r="UHN457" s="67"/>
      <c r="UHO457" s="67"/>
      <c r="UHP457" s="67"/>
      <c r="UHQ457" s="67"/>
      <c r="UHR457" s="67"/>
      <c r="UHS457" s="67"/>
      <c r="UHT457" s="67"/>
      <c r="UHU457" s="67"/>
      <c r="UHV457" s="67"/>
      <c r="UHW457" s="67"/>
      <c r="UHX457" s="67"/>
      <c r="UHY457" s="67"/>
      <c r="UHZ457" s="67"/>
      <c r="UIA457" s="67"/>
      <c r="UIB457" s="67"/>
      <c r="UIC457" s="67"/>
      <c r="UID457" s="67"/>
      <c r="UIE457" s="67"/>
      <c r="UIF457" s="67"/>
      <c r="UIG457" s="67"/>
      <c r="UIH457" s="67"/>
      <c r="UII457" s="67"/>
      <c r="UIJ457" s="67"/>
      <c r="UIK457" s="67"/>
      <c r="UIL457" s="67"/>
      <c r="UIM457" s="67"/>
      <c r="UIN457" s="67"/>
      <c r="UIO457" s="67"/>
      <c r="UIP457" s="67"/>
      <c r="UIQ457" s="67"/>
      <c r="UIR457" s="67"/>
      <c r="UIS457" s="67"/>
      <c r="UIT457" s="67"/>
      <c r="UIU457" s="67"/>
      <c r="UIV457" s="67"/>
      <c r="UIW457" s="67"/>
      <c r="UIX457" s="67"/>
      <c r="UIY457" s="67"/>
      <c r="UIZ457" s="67"/>
      <c r="UJA457" s="67"/>
      <c r="UJB457" s="67"/>
      <c r="UJC457" s="67"/>
      <c r="UJD457" s="67"/>
      <c r="UJE457" s="67"/>
      <c r="UJF457" s="67"/>
      <c r="UJG457" s="67"/>
      <c r="UJH457" s="67"/>
      <c r="UJI457" s="67"/>
      <c r="UJJ457" s="67"/>
      <c r="UJK457" s="67"/>
      <c r="UJL457" s="67"/>
      <c r="UJM457" s="67"/>
      <c r="UJN457" s="67"/>
      <c r="UJO457" s="67"/>
      <c r="UJP457" s="67"/>
      <c r="UJQ457" s="67"/>
      <c r="UJR457" s="67"/>
      <c r="UJS457" s="67"/>
      <c r="UJT457" s="67"/>
      <c r="UJU457" s="67"/>
      <c r="UJV457" s="67"/>
      <c r="UJW457" s="67"/>
      <c r="UJX457" s="67"/>
      <c r="UJY457" s="67"/>
      <c r="UJZ457" s="67"/>
      <c r="UKA457" s="67"/>
      <c r="UKB457" s="67"/>
      <c r="UKC457" s="67"/>
      <c r="UKD457" s="67"/>
      <c r="UKE457" s="67"/>
      <c r="UKF457" s="67"/>
      <c r="UKG457" s="67"/>
      <c r="UKH457" s="67"/>
      <c r="UKI457" s="67"/>
      <c r="UKJ457" s="67"/>
      <c r="UKK457" s="67"/>
      <c r="UKL457" s="67"/>
      <c r="UKM457" s="67"/>
      <c r="UKN457" s="67"/>
      <c r="UKO457" s="67"/>
      <c r="UKP457" s="67"/>
      <c r="UKQ457" s="67"/>
      <c r="UKR457" s="67"/>
      <c r="UKS457" s="67"/>
      <c r="UKT457" s="67"/>
      <c r="UKU457" s="67"/>
      <c r="UKV457" s="67"/>
      <c r="UKW457" s="67"/>
      <c r="UKX457" s="67"/>
      <c r="UKY457" s="67"/>
      <c r="UKZ457" s="67"/>
      <c r="ULA457" s="67"/>
      <c r="ULB457" s="67"/>
      <c r="ULC457" s="67"/>
      <c r="ULD457" s="67"/>
      <c r="ULE457" s="67"/>
      <c r="ULF457" s="67"/>
      <c r="ULG457" s="67"/>
      <c r="ULH457" s="67"/>
      <c r="ULI457" s="67"/>
      <c r="ULJ457" s="67"/>
      <c r="ULK457" s="67"/>
      <c r="ULL457" s="67"/>
      <c r="ULM457" s="67"/>
      <c r="ULN457" s="67"/>
      <c r="ULO457" s="67"/>
      <c r="ULP457" s="67"/>
      <c r="ULQ457" s="67"/>
      <c r="ULR457" s="67"/>
      <c r="ULS457" s="67"/>
      <c r="ULT457" s="67"/>
      <c r="ULU457" s="67"/>
      <c r="ULV457" s="67"/>
      <c r="ULW457" s="67"/>
      <c r="ULX457" s="67"/>
      <c r="ULY457" s="67"/>
      <c r="ULZ457" s="67"/>
      <c r="UMA457" s="67"/>
      <c r="UMB457" s="67"/>
      <c r="UMC457" s="67"/>
      <c r="UMD457" s="67"/>
      <c r="UME457" s="67"/>
      <c r="UMF457" s="67"/>
      <c r="UMG457" s="67"/>
      <c r="UMH457" s="67"/>
      <c r="UMI457" s="67"/>
      <c r="UMJ457" s="67"/>
      <c r="UMK457" s="67"/>
      <c r="UML457" s="67"/>
      <c r="UMM457" s="67"/>
      <c r="UMN457" s="67"/>
      <c r="UMO457" s="67"/>
      <c r="UMP457" s="67"/>
      <c r="UMQ457" s="67"/>
      <c r="UMR457" s="67"/>
      <c r="UMS457" s="67"/>
      <c r="UMT457" s="67"/>
      <c r="UMU457" s="67"/>
      <c r="UMV457" s="67"/>
      <c r="UMW457" s="67"/>
      <c r="UMX457" s="67"/>
      <c r="UMY457" s="67"/>
      <c r="UMZ457" s="67"/>
      <c r="UNA457" s="67"/>
      <c r="UNB457" s="67"/>
      <c r="UNC457" s="67"/>
      <c r="UND457" s="67"/>
      <c r="UNE457" s="67"/>
      <c r="UNF457" s="67"/>
      <c r="UNG457" s="67"/>
      <c r="UNH457" s="67"/>
      <c r="UNI457" s="67"/>
      <c r="UNJ457" s="67"/>
      <c r="UNK457" s="67"/>
      <c r="UNL457" s="67"/>
      <c r="UNM457" s="67"/>
      <c r="UNN457" s="67"/>
      <c r="UNO457" s="67"/>
      <c r="UNP457" s="67"/>
      <c r="UNQ457" s="67"/>
      <c r="UNR457" s="67"/>
      <c r="UNS457" s="67"/>
      <c r="UNT457" s="67"/>
      <c r="UNU457" s="67"/>
      <c r="UNV457" s="67"/>
      <c r="UNW457" s="67"/>
      <c r="UNX457" s="67"/>
      <c r="UNY457" s="67"/>
      <c r="UNZ457" s="67"/>
      <c r="UOA457" s="67"/>
      <c r="UOB457" s="67"/>
      <c r="UOC457" s="67"/>
      <c r="UOD457" s="67"/>
      <c r="UOE457" s="67"/>
      <c r="UOF457" s="67"/>
      <c r="UOG457" s="67"/>
      <c r="UOH457" s="67"/>
      <c r="UOI457" s="67"/>
      <c r="UOJ457" s="67"/>
      <c r="UOK457" s="67"/>
      <c r="UOL457" s="67"/>
      <c r="UOM457" s="67"/>
      <c r="UON457" s="67"/>
      <c r="UOO457" s="67"/>
      <c r="UOP457" s="67"/>
      <c r="UOQ457" s="67"/>
      <c r="UOR457" s="67"/>
      <c r="UOS457" s="67"/>
      <c r="UOT457" s="67"/>
      <c r="UOU457" s="67"/>
      <c r="UOV457" s="67"/>
      <c r="UOW457" s="67"/>
      <c r="UOX457" s="67"/>
      <c r="UOY457" s="67"/>
      <c r="UOZ457" s="67"/>
      <c r="UPA457" s="67"/>
      <c r="UPB457" s="67"/>
      <c r="UPC457" s="67"/>
      <c r="UPD457" s="67"/>
      <c r="UPE457" s="67"/>
      <c r="UPF457" s="67"/>
      <c r="UPG457" s="67"/>
      <c r="UPH457" s="67"/>
      <c r="UPI457" s="67"/>
      <c r="UPJ457" s="67"/>
      <c r="UPK457" s="67"/>
      <c r="UPL457" s="67"/>
      <c r="UPM457" s="67"/>
      <c r="UPN457" s="67"/>
      <c r="UPO457" s="67"/>
      <c r="UPP457" s="67"/>
      <c r="UPQ457" s="67"/>
      <c r="UPR457" s="67"/>
      <c r="UPS457" s="67"/>
      <c r="UPT457" s="67"/>
      <c r="UPU457" s="67"/>
      <c r="UPV457" s="67"/>
      <c r="UPW457" s="67"/>
      <c r="UPX457" s="67"/>
      <c r="UPY457" s="67"/>
      <c r="UPZ457" s="67"/>
      <c r="UQA457" s="67"/>
      <c r="UQB457" s="67"/>
      <c r="UQC457" s="67"/>
      <c r="UQD457" s="67"/>
      <c r="UQE457" s="67"/>
      <c r="UQF457" s="67"/>
      <c r="UQG457" s="67"/>
      <c r="UQH457" s="67"/>
      <c r="UQI457" s="67"/>
      <c r="UQJ457" s="67"/>
      <c r="UQK457" s="67"/>
      <c r="UQL457" s="67"/>
      <c r="UQM457" s="67"/>
      <c r="UQN457" s="67"/>
      <c r="UQO457" s="67"/>
      <c r="UQP457" s="67"/>
      <c r="UQQ457" s="67"/>
      <c r="UQR457" s="67"/>
      <c r="UQS457" s="67"/>
      <c r="UQT457" s="67"/>
      <c r="UQU457" s="67"/>
      <c r="UQV457" s="67"/>
      <c r="UQW457" s="67"/>
      <c r="UQX457" s="67"/>
      <c r="UQY457" s="67"/>
      <c r="UQZ457" s="67"/>
      <c r="URA457" s="67"/>
      <c r="URB457" s="67"/>
      <c r="URC457" s="67"/>
      <c r="URD457" s="67"/>
      <c r="URE457" s="67"/>
      <c r="URF457" s="67"/>
      <c r="URG457" s="67"/>
      <c r="URH457" s="67"/>
      <c r="URI457" s="67"/>
      <c r="URJ457" s="67"/>
      <c r="URK457" s="67"/>
      <c r="URL457" s="67"/>
      <c r="URM457" s="67"/>
      <c r="URN457" s="67"/>
      <c r="URO457" s="67"/>
      <c r="URP457" s="67"/>
      <c r="URQ457" s="67"/>
      <c r="URR457" s="67"/>
      <c r="URS457" s="67"/>
      <c r="URT457" s="67"/>
      <c r="URU457" s="67"/>
      <c r="URV457" s="67"/>
      <c r="URW457" s="67"/>
      <c r="URX457" s="67"/>
      <c r="URY457" s="67"/>
      <c r="URZ457" s="67"/>
      <c r="USA457" s="67"/>
      <c r="USB457" s="67"/>
      <c r="USC457" s="67"/>
      <c r="USD457" s="67"/>
      <c r="USE457" s="67"/>
      <c r="USF457" s="67"/>
      <c r="USG457" s="67"/>
      <c r="USH457" s="67"/>
      <c r="USI457" s="67"/>
      <c r="USJ457" s="67"/>
      <c r="USK457" s="67"/>
      <c r="USL457" s="67"/>
      <c r="USM457" s="67"/>
      <c r="USN457" s="67"/>
      <c r="USO457" s="67"/>
      <c r="USP457" s="67"/>
      <c r="USQ457" s="67"/>
      <c r="USR457" s="67"/>
      <c r="USS457" s="67"/>
      <c r="UST457" s="67"/>
      <c r="USU457" s="67"/>
      <c r="USV457" s="67"/>
      <c r="USW457" s="67"/>
      <c r="USX457" s="67"/>
      <c r="USY457" s="67"/>
      <c r="USZ457" s="67"/>
      <c r="UTA457" s="67"/>
      <c r="UTB457" s="67"/>
      <c r="UTC457" s="67"/>
      <c r="UTD457" s="67"/>
      <c r="UTE457" s="67"/>
      <c r="UTF457" s="67"/>
      <c r="UTG457" s="67"/>
      <c r="UTH457" s="67"/>
      <c r="UTI457" s="67"/>
      <c r="UTJ457" s="67"/>
      <c r="UTK457" s="67"/>
      <c r="UTL457" s="67"/>
      <c r="UTM457" s="67"/>
      <c r="UTN457" s="67"/>
      <c r="UTO457" s="67"/>
      <c r="UTP457" s="67"/>
      <c r="UTQ457" s="67"/>
      <c r="UTR457" s="67"/>
      <c r="UTS457" s="67"/>
      <c r="UTT457" s="67"/>
      <c r="UTU457" s="67"/>
      <c r="UTV457" s="67"/>
      <c r="UTW457" s="67"/>
      <c r="UTX457" s="67"/>
      <c r="UTY457" s="67"/>
      <c r="UTZ457" s="67"/>
      <c r="UUA457" s="67"/>
      <c r="UUB457" s="67"/>
      <c r="UUC457" s="67"/>
      <c r="UUD457" s="67"/>
      <c r="UUE457" s="67"/>
      <c r="UUF457" s="67"/>
      <c r="UUG457" s="67"/>
      <c r="UUH457" s="67"/>
      <c r="UUI457" s="67"/>
      <c r="UUJ457" s="67"/>
      <c r="UUK457" s="67"/>
      <c r="UUL457" s="67"/>
      <c r="UUM457" s="67"/>
      <c r="UUN457" s="67"/>
      <c r="UUO457" s="67"/>
      <c r="UUP457" s="67"/>
      <c r="UUQ457" s="67"/>
      <c r="UUR457" s="67"/>
      <c r="UUS457" s="67"/>
      <c r="UUT457" s="67"/>
      <c r="UUU457" s="67"/>
      <c r="UUV457" s="67"/>
      <c r="UUW457" s="67"/>
      <c r="UUX457" s="67"/>
      <c r="UUY457" s="67"/>
      <c r="UUZ457" s="67"/>
      <c r="UVA457" s="67"/>
      <c r="UVB457" s="67"/>
      <c r="UVC457" s="67"/>
      <c r="UVD457" s="67"/>
      <c r="UVE457" s="67"/>
      <c r="UVF457" s="67"/>
      <c r="UVG457" s="67"/>
      <c r="UVH457" s="67"/>
      <c r="UVI457" s="67"/>
      <c r="UVJ457" s="67"/>
      <c r="UVK457" s="67"/>
      <c r="UVL457" s="67"/>
      <c r="UVM457" s="67"/>
      <c r="UVN457" s="67"/>
      <c r="UVO457" s="67"/>
      <c r="UVP457" s="67"/>
      <c r="UVQ457" s="67"/>
      <c r="UVR457" s="67"/>
      <c r="UVS457" s="67"/>
      <c r="UVT457" s="67"/>
      <c r="UVU457" s="67"/>
      <c r="UVV457" s="67"/>
      <c r="UVW457" s="67"/>
      <c r="UVX457" s="67"/>
      <c r="UVY457" s="67"/>
      <c r="UVZ457" s="67"/>
      <c r="UWA457" s="67"/>
      <c r="UWB457" s="67"/>
      <c r="UWC457" s="67"/>
      <c r="UWD457" s="67"/>
      <c r="UWE457" s="67"/>
      <c r="UWF457" s="67"/>
      <c r="UWG457" s="67"/>
      <c r="UWH457" s="67"/>
      <c r="UWI457" s="67"/>
      <c r="UWJ457" s="67"/>
      <c r="UWK457" s="67"/>
      <c r="UWL457" s="67"/>
      <c r="UWM457" s="67"/>
      <c r="UWN457" s="67"/>
      <c r="UWO457" s="67"/>
      <c r="UWP457" s="67"/>
      <c r="UWQ457" s="67"/>
      <c r="UWR457" s="67"/>
      <c r="UWS457" s="67"/>
      <c r="UWT457" s="67"/>
      <c r="UWU457" s="67"/>
      <c r="UWV457" s="67"/>
      <c r="UWW457" s="67"/>
      <c r="UWX457" s="67"/>
      <c r="UWY457" s="67"/>
      <c r="UWZ457" s="67"/>
      <c r="UXA457" s="67"/>
      <c r="UXB457" s="67"/>
      <c r="UXC457" s="67"/>
      <c r="UXD457" s="67"/>
      <c r="UXE457" s="67"/>
      <c r="UXF457" s="67"/>
      <c r="UXG457" s="67"/>
      <c r="UXH457" s="67"/>
      <c r="UXI457" s="67"/>
      <c r="UXJ457" s="67"/>
      <c r="UXK457" s="67"/>
      <c r="UXL457" s="67"/>
      <c r="UXM457" s="67"/>
      <c r="UXN457" s="67"/>
      <c r="UXO457" s="67"/>
      <c r="UXP457" s="67"/>
      <c r="UXQ457" s="67"/>
      <c r="UXR457" s="67"/>
      <c r="UXS457" s="67"/>
      <c r="UXT457" s="67"/>
      <c r="UXU457" s="67"/>
      <c r="UXV457" s="67"/>
      <c r="UXW457" s="67"/>
      <c r="UXX457" s="67"/>
      <c r="UXY457" s="67"/>
      <c r="UXZ457" s="67"/>
      <c r="UYA457" s="67"/>
      <c r="UYB457" s="67"/>
      <c r="UYC457" s="67"/>
      <c r="UYD457" s="67"/>
      <c r="UYE457" s="67"/>
      <c r="UYF457" s="67"/>
      <c r="UYG457" s="67"/>
      <c r="UYH457" s="67"/>
      <c r="UYI457" s="67"/>
      <c r="UYJ457" s="67"/>
      <c r="UYK457" s="67"/>
      <c r="UYL457" s="67"/>
      <c r="UYM457" s="67"/>
      <c r="UYN457" s="67"/>
      <c r="UYO457" s="67"/>
      <c r="UYP457" s="67"/>
      <c r="UYQ457" s="67"/>
      <c r="UYR457" s="67"/>
      <c r="UYS457" s="67"/>
      <c r="UYT457" s="67"/>
      <c r="UYU457" s="67"/>
      <c r="UYV457" s="67"/>
      <c r="UYW457" s="67"/>
      <c r="UYX457" s="67"/>
      <c r="UYY457" s="67"/>
      <c r="UYZ457" s="67"/>
      <c r="UZA457" s="67"/>
      <c r="UZB457" s="67"/>
      <c r="UZC457" s="67"/>
      <c r="UZD457" s="67"/>
      <c r="UZE457" s="67"/>
      <c r="UZF457" s="67"/>
      <c r="UZG457" s="67"/>
      <c r="UZH457" s="67"/>
      <c r="UZI457" s="67"/>
      <c r="UZJ457" s="67"/>
      <c r="UZK457" s="67"/>
      <c r="UZL457" s="67"/>
      <c r="UZM457" s="67"/>
      <c r="UZN457" s="67"/>
      <c r="UZO457" s="67"/>
      <c r="UZP457" s="67"/>
      <c r="UZQ457" s="67"/>
      <c r="UZR457" s="67"/>
      <c r="UZS457" s="67"/>
      <c r="UZT457" s="67"/>
      <c r="UZU457" s="67"/>
      <c r="UZV457" s="67"/>
      <c r="UZW457" s="67"/>
      <c r="UZX457" s="67"/>
      <c r="UZY457" s="67"/>
      <c r="UZZ457" s="67"/>
      <c r="VAA457" s="67"/>
      <c r="VAB457" s="67"/>
      <c r="VAC457" s="67"/>
      <c r="VAD457" s="67"/>
      <c r="VAE457" s="67"/>
      <c r="VAF457" s="67"/>
      <c r="VAG457" s="67"/>
      <c r="VAH457" s="67"/>
      <c r="VAI457" s="67"/>
      <c r="VAJ457" s="67"/>
      <c r="VAK457" s="67"/>
      <c r="VAL457" s="67"/>
      <c r="VAM457" s="67"/>
      <c r="VAN457" s="67"/>
      <c r="VAO457" s="67"/>
      <c r="VAP457" s="67"/>
      <c r="VAQ457" s="67"/>
      <c r="VAR457" s="67"/>
      <c r="VAS457" s="67"/>
      <c r="VAT457" s="67"/>
      <c r="VAU457" s="67"/>
      <c r="VAV457" s="67"/>
      <c r="VAW457" s="67"/>
      <c r="VAX457" s="67"/>
      <c r="VAY457" s="67"/>
      <c r="VAZ457" s="67"/>
      <c r="VBA457" s="67"/>
      <c r="VBB457" s="67"/>
      <c r="VBC457" s="67"/>
      <c r="VBD457" s="67"/>
      <c r="VBE457" s="67"/>
      <c r="VBF457" s="67"/>
      <c r="VBG457" s="67"/>
      <c r="VBH457" s="67"/>
      <c r="VBI457" s="67"/>
      <c r="VBJ457" s="67"/>
      <c r="VBK457" s="67"/>
      <c r="VBL457" s="67"/>
      <c r="VBM457" s="67"/>
      <c r="VBN457" s="67"/>
      <c r="VBO457" s="67"/>
      <c r="VBP457" s="67"/>
      <c r="VBQ457" s="67"/>
      <c r="VBR457" s="67"/>
      <c r="VBS457" s="67"/>
      <c r="VBT457" s="67"/>
      <c r="VBU457" s="67"/>
      <c r="VBV457" s="67"/>
      <c r="VBW457" s="67"/>
      <c r="VBX457" s="67"/>
      <c r="VBY457" s="67"/>
      <c r="VBZ457" s="67"/>
      <c r="VCA457" s="67"/>
      <c r="VCB457" s="67"/>
      <c r="VCC457" s="67"/>
      <c r="VCD457" s="67"/>
      <c r="VCE457" s="67"/>
      <c r="VCF457" s="67"/>
      <c r="VCG457" s="67"/>
      <c r="VCH457" s="67"/>
      <c r="VCI457" s="67"/>
      <c r="VCJ457" s="67"/>
      <c r="VCK457" s="67"/>
      <c r="VCL457" s="67"/>
      <c r="VCM457" s="67"/>
      <c r="VCN457" s="67"/>
      <c r="VCO457" s="67"/>
      <c r="VCP457" s="67"/>
      <c r="VCQ457" s="67"/>
      <c r="VCR457" s="67"/>
      <c r="VCS457" s="67"/>
      <c r="VCT457" s="67"/>
      <c r="VCU457" s="67"/>
      <c r="VCV457" s="67"/>
      <c r="VCW457" s="67"/>
      <c r="VCX457" s="67"/>
      <c r="VCY457" s="67"/>
      <c r="VCZ457" s="67"/>
      <c r="VDA457" s="67"/>
      <c r="VDB457" s="67"/>
      <c r="VDC457" s="67"/>
      <c r="VDD457" s="67"/>
      <c r="VDE457" s="67"/>
      <c r="VDF457" s="67"/>
      <c r="VDG457" s="67"/>
      <c r="VDH457" s="67"/>
      <c r="VDI457" s="67"/>
      <c r="VDJ457" s="67"/>
      <c r="VDK457" s="67"/>
      <c r="VDL457" s="67"/>
      <c r="VDM457" s="67"/>
      <c r="VDN457" s="67"/>
      <c r="VDO457" s="67"/>
      <c r="VDP457" s="67"/>
      <c r="VDQ457" s="67"/>
      <c r="VDR457" s="67"/>
      <c r="VDS457" s="67"/>
      <c r="VDT457" s="67"/>
      <c r="VDU457" s="67"/>
      <c r="VDV457" s="67"/>
      <c r="VDW457" s="67"/>
      <c r="VDX457" s="67"/>
      <c r="VDY457" s="67"/>
      <c r="VDZ457" s="67"/>
      <c r="VEA457" s="67"/>
      <c r="VEB457" s="67"/>
      <c r="VEC457" s="67"/>
      <c r="VED457" s="67"/>
      <c r="VEE457" s="67"/>
      <c r="VEF457" s="67"/>
      <c r="VEG457" s="67"/>
      <c r="VEH457" s="67"/>
      <c r="VEI457" s="67"/>
      <c r="VEJ457" s="67"/>
      <c r="VEK457" s="67"/>
      <c r="VEL457" s="67"/>
      <c r="VEM457" s="67"/>
      <c r="VEN457" s="67"/>
      <c r="VEO457" s="67"/>
      <c r="VEP457" s="67"/>
      <c r="VEQ457" s="67"/>
      <c r="VER457" s="67"/>
      <c r="VES457" s="67"/>
      <c r="VET457" s="67"/>
      <c r="VEU457" s="67"/>
      <c r="VEV457" s="67"/>
      <c r="VEW457" s="67"/>
      <c r="VEX457" s="67"/>
      <c r="VEY457" s="67"/>
      <c r="VEZ457" s="67"/>
      <c r="VFA457" s="67"/>
      <c r="VFB457" s="67"/>
      <c r="VFC457" s="67"/>
      <c r="VFD457" s="67"/>
      <c r="VFE457" s="67"/>
      <c r="VFF457" s="67"/>
      <c r="VFG457" s="67"/>
      <c r="VFH457" s="67"/>
      <c r="VFI457" s="67"/>
      <c r="VFJ457" s="67"/>
      <c r="VFK457" s="67"/>
      <c r="VFL457" s="67"/>
      <c r="VFM457" s="67"/>
      <c r="VFN457" s="67"/>
      <c r="VFO457" s="67"/>
      <c r="VFP457" s="67"/>
      <c r="VFQ457" s="67"/>
      <c r="VFR457" s="67"/>
      <c r="VFS457" s="67"/>
      <c r="VFT457" s="67"/>
      <c r="VFU457" s="67"/>
      <c r="VFV457" s="67"/>
      <c r="VFW457" s="67"/>
      <c r="VFX457" s="67"/>
      <c r="VFY457" s="67"/>
      <c r="VFZ457" s="67"/>
      <c r="VGA457" s="67"/>
      <c r="VGB457" s="67"/>
      <c r="VGC457" s="67"/>
      <c r="VGD457" s="67"/>
      <c r="VGE457" s="67"/>
      <c r="VGF457" s="67"/>
      <c r="VGG457" s="67"/>
      <c r="VGH457" s="67"/>
      <c r="VGI457" s="67"/>
      <c r="VGJ457" s="67"/>
      <c r="VGK457" s="67"/>
      <c r="VGL457" s="67"/>
      <c r="VGM457" s="67"/>
      <c r="VGN457" s="67"/>
      <c r="VGO457" s="67"/>
      <c r="VGP457" s="67"/>
      <c r="VGQ457" s="67"/>
      <c r="VGR457" s="67"/>
      <c r="VGS457" s="67"/>
      <c r="VGT457" s="67"/>
      <c r="VGU457" s="67"/>
      <c r="VGV457" s="67"/>
      <c r="VGW457" s="67"/>
      <c r="VGX457" s="67"/>
      <c r="VGY457" s="67"/>
      <c r="VGZ457" s="67"/>
      <c r="VHA457" s="67"/>
      <c r="VHB457" s="67"/>
      <c r="VHC457" s="67"/>
      <c r="VHD457" s="67"/>
      <c r="VHE457" s="67"/>
      <c r="VHF457" s="67"/>
      <c r="VHG457" s="67"/>
      <c r="VHH457" s="67"/>
      <c r="VHI457" s="67"/>
      <c r="VHJ457" s="67"/>
      <c r="VHK457" s="67"/>
      <c r="VHL457" s="67"/>
      <c r="VHM457" s="67"/>
      <c r="VHN457" s="67"/>
      <c r="VHO457" s="67"/>
      <c r="VHP457" s="67"/>
      <c r="VHQ457" s="67"/>
      <c r="VHR457" s="67"/>
      <c r="VHS457" s="67"/>
      <c r="VHT457" s="67"/>
      <c r="VHU457" s="67"/>
      <c r="VHV457" s="67"/>
      <c r="VHW457" s="67"/>
      <c r="VHX457" s="67"/>
      <c r="VHY457" s="67"/>
      <c r="VHZ457" s="67"/>
      <c r="VIA457" s="67"/>
      <c r="VIB457" s="67"/>
      <c r="VIC457" s="67"/>
      <c r="VID457" s="67"/>
      <c r="VIE457" s="67"/>
      <c r="VIF457" s="67"/>
      <c r="VIG457" s="67"/>
      <c r="VIH457" s="67"/>
      <c r="VII457" s="67"/>
      <c r="VIJ457" s="67"/>
      <c r="VIK457" s="67"/>
      <c r="VIL457" s="67"/>
      <c r="VIM457" s="67"/>
      <c r="VIN457" s="67"/>
      <c r="VIO457" s="67"/>
      <c r="VIP457" s="67"/>
      <c r="VIQ457" s="67"/>
      <c r="VIR457" s="67"/>
      <c r="VIS457" s="67"/>
      <c r="VIT457" s="67"/>
      <c r="VIU457" s="67"/>
      <c r="VIV457" s="67"/>
      <c r="VIW457" s="67"/>
      <c r="VIX457" s="67"/>
      <c r="VIY457" s="67"/>
      <c r="VIZ457" s="67"/>
      <c r="VJA457" s="67"/>
      <c r="VJB457" s="67"/>
      <c r="VJC457" s="67"/>
      <c r="VJD457" s="67"/>
      <c r="VJE457" s="67"/>
      <c r="VJF457" s="67"/>
      <c r="VJG457" s="67"/>
      <c r="VJH457" s="67"/>
      <c r="VJI457" s="67"/>
      <c r="VJJ457" s="67"/>
      <c r="VJK457" s="67"/>
      <c r="VJL457" s="67"/>
      <c r="VJM457" s="67"/>
      <c r="VJN457" s="67"/>
      <c r="VJO457" s="67"/>
      <c r="VJP457" s="67"/>
      <c r="VJQ457" s="67"/>
      <c r="VJR457" s="67"/>
      <c r="VJS457" s="67"/>
      <c r="VJT457" s="67"/>
      <c r="VJU457" s="67"/>
      <c r="VJV457" s="67"/>
      <c r="VJW457" s="67"/>
      <c r="VJX457" s="67"/>
      <c r="VJY457" s="67"/>
      <c r="VJZ457" s="67"/>
      <c r="VKA457" s="67"/>
      <c r="VKB457" s="67"/>
      <c r="VKC457" s="67"/>
      <c r="VKD457" s="67"/>
      <c r="VKE457" s="67"/>
      <c r="VKF457" s="67"/>
      <c r="VKG457" s="67"/>
      <c r="VKH457" s="67"/>
      <c r="VKI457" s="67"/>
      <c r="VKJ457" s="67"/>
      <c r="VKK457" s="67"/>
      <c r="VKL457" s="67"/>
      <c r="VKM457" s="67"/>
      <c r="VKN457" s="67"/>
      <c r="VKO457" s="67"/>
      <c r="VKP457" s="67"/>
      <c r="VKQ457" s="67"/>
      <c r="VKR457" s="67"/>
      <c r="VKS457" s="67"/>
      <c r="VKT457" s="67"/>
      <c r="VKU457" s="67"/>
      <c r="VKV457" s="67"/>
      <c r="VKW457" s="67"/>
      <c r="VKX457" s="67"/>
      <c r="VKY457" s="67"/>
      <c r="VKZ457" s="67"/>
      <c r="VLA457" s="67"/>
      <c r="VLB457" s="67"/>
      <c r="VLC457" s="67"/>
      <c r="VLD457" s="67"/>
      <c r="VLE457" s="67"/>
      <c r="VLF457" s="67"/>
      <c r="VLG457" s="67"/>
      <c r="VLH457" s="67"/>
      <c r="VLI457" s="67"/>
      <c r="VLJ457" s="67"/>
      <c r="VLK457" s="67"/>
      <c r="VLL457" s="67"/>
      <c r="VLM457" s="67"/>
      <c r="VLN457" s="67"/>
      <c r="VLO457" s="67"/>
      <c r="VLP457" s="67"/>
      <c r="VLQ457" s="67"/>
      <c r="VLR457" s="67"/>
      <c r="VLS457" s="67"/>
      <c r="VLT457" s="67"/>
      <c r="VLU457" s="67"/>
      <c r="VLV457" s="67"/>
      <c r="VLW457" s="67"/>
      <c r="VLX457" s="67"/>
      <c r="VLY457" s="67"/>
      <c r="VLZ457" s="67"/>
      <c r="VMA457" s="67"/>
      <c r="VMB457" s="67"/>
      <c r="VMC457" s="67"/>
      <c r="VMD457" s="67"/>
      <c r="VME457" s="67"/>
      <c r="VMF457" s="67"/>
      <c r="VMG457" s="67"/>
      <c r="VMH457" s="67"/>
      <c r="VMI457" s="67"/>
      <c r="VMJ457" s="67"/>
      <c r="VMK457" s="67"/>
      <c r="VML457" s="67"/>
      <c r="VMM457" s="67"/>
      <c r="VMN457" s="67"/>
      <c r="VMO457" s="67"/>
      <c r="VMP457" s="67"/>
      <c r="VMQ457" s="67"/>
      <c r="VMR457" s="67"/>
      <c r="VMS457" s="67"/>
      <c r="VMT457" s="67"/>
      <c r="VMU457" s="67"/>
      <c r="VMV457" s="67"/>
      <c r="VMW457" s="67"/>
      <c r="VMX457" s="67"/>
      <c r="VMY457" s="67"/>
      <c r="VMZ457" s="67"/>
      <c r="VNA457" s="67"/>
      <c r="VNB457" s="67"/>
      <c r="VNC457" s="67"/>
      <c r="VND457" s="67"/>
      <c r="VNE457" s="67"/>
      <c r="VNF457" s="67"/>
      <c r="VNG457" s="67"/>
      <c r="VNH457" s="67"/>
      <c r="VNI457" s="67"/>
      <c r="VNJ457" s="67"/>
      <c r="VNK457" s="67"/>
      <c r="VNL457" s="67"/>
      <c r="VNM457" s="67"/>
      <c r="VNN457" s="67"/>
      <c r="VNO457" s="67"/>
      <c r="VNP457" s="67"/>
      <c r="VNQ457" s="67"/>
      <c r="VNR457" s="67"/>
      <c r="VNS457" s="67"/>
      <c r="VNT457" s="67"/>
      <c r="VNU457" s="67"/>
      <c r="VNV457" s="67"/>
      <c r="VNW457" s="67"/>
      <c r="VNX457" s="67"/>
      <c r="VNY457" s="67"/>
      <c r="VNZ457" s="67"/>
      <c r="VOA457" s="67"/>
      <c r="VOB457" s="67"/>
      <c r="VOC457" s="67"/>
      <c r="VOD457" s="67"/>
      <c r="VOE457" s="67"/>
      <c r="VOF457" s="67"/>
      <c r="VOG457" s="67"/>
      <c r="VOH457" s="67"/>
      <c r="VOI457" s="67"/>
      <c r="VOJ457" s="67"/>
      <c r="VOK457" s="67"/>
      <c r="VOL457" s="67"/>
      <c r="VOM457" s="67"/>
      <c r="VON457" s="67"/>
      <c r="VOO457" s="67"/>
      <c r="VOP457" s="67"/>
      <c r="VOQ457" s="67"/>
      <c r="VOR457" s="67"/>
      <c r="VOS457" s="67"/>
      <c r="VOT457" s="67"/>
      <c r="VOU457" s="67"/>
      <c r="VOV457" s="67"/>
      <c r="VOW457" s="67"/>
      <c r="VOX457" s="67"/>
      <c r="VOY457" s="67"/>
      <c r="VOZ457" s="67"/>
      <c r="VPA457" s="67"/>
      <c r="VPB457" s="67"/>
      <c r="VPC457" s="67"/>
      <c r="VPD457" s="67"/>
      <c r="VPE457" s="67"/>
      <c r="VPF457" s="67"/>
      <c r="VPG457" s="67"/>
      <c r="VPH457" s="67"/>
      <c r="VPI457" s="67"/>
      <c r="VPJ457" s="67"/>
      <c r="VPK457" s="67"/>
      <c r="VPL457" s="67"/>
      <c r="VPM457" s="67"/>
      <c r="VPN457" s="67"/>
      <c r="VPO457" s="67"/>
      <c r="VPP457" s="67"/>
      <c r="VPQ457" s="67"/>
      <c r="VPR457" s="67"/>
      <c r="VPS457" s="67"/>
      <c r="VPT457" s="67"/>
      <c r="VPU457" s="67"/>
      <c r="VPV457" s="67"/>
      <c r="VPW457" s="67"/>
      <c r="VPX457" s="67"/>
      <c r="VPY457" s="67"/>
      <c r="VPZ457" s="67"/>
      <c r="VQA457" s="67"/>
      <c r="VQB457" s="67"/>
      <c r="VQC457" s="67"/>
      <c r="VQD457" s="67"/>
      <c r="VQE457" s="67"/>
      <c r="VQF457" s="67"/>
      <c r="VQG457" s="67"/>
      <c r="VQH457" s="67"/>
      <c r="VQI457" s="67"/>
      <c r="VQJ457" s="67"/>
      <c r="VQK457" s="67"/>
      <c r="VQL457" s="67"/>
      <c r="VQM457" s="67"/>
      <c r="VQN457" s="67"/>
      <c r="VQO457" s="67"/>
      <c r="VQP457" s="67"/>
      <c r="VQQ457" s="67"/>
      <c r="VQR457" s="67"/>
      <c r="VQS457" s="67"/>
      <c r="VQT457" s="67"/>
      <c r="VQU457" s="67"/>
      <c r="VQV457" s="67"/>
      <c r="VQW457" s="67"/>
      <c r="VQX457" s="67"/>
      <c r="VQY457" s="67"/>
      <c r="VQZ457" s="67"/>
      <c r="VRA457" s="67"/>
      <c r="VRB457" s="67"/>
      <c r="VRC457" s="67"/>
      <c r="VRD457" s="67"/>
      <c r="VRE457" s="67"/>
      <c r="VRF457" s="67"/>
      <c r="VRG457" s="67"/>
      <c r="VRH457" s="67"/>
      <c r="VRI457" s="67"/>
      <c r="VRJ457" s="67"/>
      <c r="VRK457" s="67"/>
      <c r="VRL457" s="67"/>
      <c r="VRM457" s="67"/>
      <c r="VRN457" s="67"/>
      <c r="VRO457" s="67"/>
      <c r="VRP457" s="67"/>
      <c r="VRQ457" s="67"/>
      <c r="VRR457" s="67"/>
      <c r="VRS457" s="67"/>
      <c r="VRT457" s="67"/>
      <c r="VRU457" s="67"/>
      <c r="VRV457" s="67"/>
      <c r="VRW457" s="67"/>
      <c r="VRX457" s="67"/>
      <c r="VRY457" s="67"/>
      <c r="VRZ457" s="67"/>
      <c r="VSA457" s="67"/>
      <c r="VSB457" s="67"/>
      <c r="VSC457" s="67"/>
      <c r="VSD457" s="67"/>
      <c r="VSE457" s="67"/>
      <c r="VSF457" s="67"/>
      <c r="VSG457" s="67"/>
      <c r="VSH457" s="67"/>
      <c r="VSI457" s="67"/>
      <c r="VSJ457" s="67"/>
      <c r="VSK457" s="67"/>
      <c r="VSL457" s="67"/>
      <c r="VSM457" s="67"/>
      <c r="VSN457" s="67"/>
      <c r="VSO457" s="67"/>
      <c r="VSP457" s="67"/>
      <c r="VSQ457" s="67"/>
      <c r="VSR457" s="67"/>
      <c r="VSS457" s="67"/>
      <c r="VST457" s="67"/>
      <c r="VSU457" s="67"/>
      <c r="VSV457" s="67"/>
      <c r="VSW457" s="67"/>
      <c r="VSX457" s="67"/>
      <c r="VSY457" s="67"/>
      <c r="VSZ457" s="67"/>
      <c r="VTA457" s="67"/>
      <c r="VTB457" s="67"/>
      <c r="VTC457" s="67"/>
      <c r="VTD457" s="67"/>
      <c r="VTE457" s="67"/>
      <c r="VTF457" s="67"/>
      <c r="VTG457" s="67"/>
      <c r="VTH457" s="67"/>
      <c r="VTI457" s="67"/>
      <c r="VTJ457" s="67"/>
      <c r="VTK457" s="67"/>
      <c r="VTL457" s="67"/>
      <c r="VTM457" s="67"/>
      <c r="VTN457" s="67"/>
      <c r="VTO457" s="67"/>
      <c r="VTP457" s="67"/>
      <c r="VTQ457" s="67"/>
      <c r="VTR457" s="67"/>
      <c r="VTS457" s="67"/>
      <c r="VTT457" s="67"/>
      <c r="VTU457" s="67"/>
      <c r="VTV457" s="67"/>
      <c r="VTW457" s="67"/>
      <c r="VTX457" s="67"/>
      <c r="VTY457" s="67"/>
      <c r="VTZ457" s="67"/>
      <c r="VUA457" s="67"/>
      <c r="VUB457" s="67"/>
      <c r="VUC457" s="67"/>
      <c r="VUD457" s="67"/>
      <c r="VUE457" s="67"/>
      <c r="VUF457" s="67"/>
      <c r="VUG457" s="67"/>
      <c r="VUH457" s="67"/>
      <c r="VUI457" s="67"/>
      <c r="VUJ457" s="67"/>
      <c r="VUK457" s="67"/>
      <c r="VUL457" s="67"/>
      <c r="VUM457" s="67"/>
      <c r="VUN457" s="67"/>
      <c r="VUO457" s="67"/>
      <c r="VUP457" s="67"/>
      <c r="VUQ457" s="67"/>
      <c r="VUR457" s="67"/>
      <c r="VUS457" s="67"/>
      <c r="VUT457" s="67"/>
      <c r="VUU457" s="67"/>
      <c r="VUV457" s="67"/>
      <c r="VUW457" s="67"/>
      <c r="VUX457" s="67"/>
      <c r="VUY457" s="67"/>
      <c r="VUZ457" s="67"/>
      <c r="VVA457" s="67"/>
      <c r="VVB457" s="67"/>
      <c r="VVC457" s="67"/>
      <c r="VVD457" s="67"/>
      <c r="VVE457" s="67"/>
      <c r="VVF457" s="67"/>
      <c r="VVG457" s="67"/>
      <c r="VVH457" s="67"/>
      <c r="VVI457" s="67"/>
      <c r="VVJ457" s="67"/>
      <c r="VVK457" s="67"/>
      <c r="VVL457" s="67"/>
      <c r="VVM457" s="67"/>
      <c r="VVN457" s="67"/>
      <c r="VVO457" s="67"/>
      <c r="VVP457" s="67"/>
      <c r="VVQ457" s="67"/>
      <c r="VVR457" s="67"/>
      <c r="VVS457" s="67"/>
      <c r="VVT457" s="67"/>
      <c r="VVU457" s="67"/>
      <c r="VVV457" s="67"/>
      <c r="VVW457" s="67"/>
      <c r="VVX457" s="67"/>
      <c r="VVY457" s="67"/>
      <c r="VVZ457" s="67"/>
      <c r="VWA457" s="67"/>
      <c r="VWB457" s="67"/>
      <c r="VWC457" s="67"/>
      <c r="VWD457" s="67"/>
      <c r="VWE457" s="67"/>
      <c r="VWF457" s="67"/>
      <c r="VWG457" s="67"/>
      <c r="VWH457" s="67"/>
      <c r="VWI457" s="67"/>
      <c r="VWJ457" s="67"/>
      <c r="VWK457" s="67"/>
      <c r="VWL457" s="67"/>
      <c r="VWM457" s="67"/>
      <c r="VWN457" s="67"/>
      <c r="VWO457" s="67"/>
      <c r="VWP457" s="67"/>
      <c r="VWQ457" s="67"/>
      <c r="VWR457" s="67"/>
      <c r="VWS457" s="67"/>
      <c r="VWT457" s="67"/>
      <c r="VWU457" s="67"/>
      <c r="VWV457" s="67"/>
      <c r="VWW457" s="67"/>
      <c r="VWX457" s="67"/>
      <c r="VWY457" s="67"/>
      <c r="VWZ457" s="67"/>
      <c r="VXA457" s="67"/>
      <c r="VXB457" s="67"/>
      <c r="VXC457" s="67"/>
      <c r="VXD457" s="67"/>
      <c r="VXE457" s="67"/>
      <c r="VXF457" s="67"/>
      <c r="VXG457" s="67"/>
      <c r="VXH457" s="67"/>
      <c r="VXI457" s="67"/>
      <c r="VXJ457" s="67"/>
      <c r="VXK457" s="67"/>
      <c r="VXL457" s="67"/>
      <c r="VXM457" s="67"/>
      <c r="VXN457" s="67"/>
      <c r="VXO457" s="67"/>
      <c r="VXP457" s="67"/>
      <c r="VXQ457" s="67"/>
      <c r="VXR457" s="67"/>
      <c r="VXS457" s="67"/>
      <c r="VXT457" s="67"/>
      <c r="VXU457" s="67"/>
      <c r="VXV457" s="67"/>
      <c r="VXW457" s="67"/>
      <c r="VXX457" s="67"/>
      <c r="VXY457" s="67"/>
      <c r="VXZ457" s="67"/>
      <c r="VYA457" s="67"/>
      <c r="VYB457" s="67"/>
      <c r="VYC457" s="67"/>
      <c r="VYD457" s="67"/>
      <c r="VYE457" s="67"/>
      <c r="VYF457" s="67"/>
      <c r="VYG457" s="67"/>
      <c r="VYH457" s="67"/>
      <c r="VYI457" s="67"/>
      <c r="VYJ457" s="67"/>
      <c r="VYK457" s="67"/>
      <c r="VYL457" s="67"/>
      <c r="VYM457" s="67"/>
      <c r="VYN457" s="67"/>
      <c r="VYO457" s="67"/>
      <c r="VYP457" s="67"/>
      <c r="VYQ457" s="67"/>
      <c r="VYR457" s="67"/>
      <c r="VYS457" s="67"/>
      <c r="VYT457" s="67"/>
      <c r="VYU457" s="67"/>
      <c r="VYV457" s="67"/>
      <c r="VYW457" s="67"/>
      <c r="VYX457" s="67"/>
      <c r="VYY457" s="67"/>
      <c r="VYZ457" s="67"/>
      <c r="VZA457" s="67"/>
      <c r="VZB457" s="67"/>
      <c r="VZC457" s="67"/>
      <c r="VZD457" s="67"/>
      <c r="VZE457" s="67"/>
      <c r="VZF457" s="67"/>
      <c r="VZG457" s="67"/>
      <c r="VZH457" s="67"/>
      <c r="VZI457" s="67"/>
      <c r="VZJ457" s="67"/>
      <c r="VZK457" s="67"/>
      <c r="VZL457" s="67"/>
      <c r="VZM457" s="67"/>
      <c r="VZN457" s="67"/>
      <c r="VZO457" s="67"/>
      <c r="VZP457" s="67"/>
      <c r="VZQ457" s="67"/>
      <c r="VZR457" s="67"/>
      <c r="VZS457" s="67"/>
      <c r="VZT457" s="67"/>
      <c r="VZU457" s="67"/>
      <c r="VZV457" s="67"/>
      <c r="VZW457" s="67"/>
      <c r="VZX457" s="67"/>
      <c r="VZY457" s="67"/>
      <c r="VZZ457" s="67"/>
      <c r="WAA457" s="67"/>
      <c r="WAB457" s="67"/>
      <c r="WAC457" s="67"/>
      <c r="WAD457" s="67"/>
      <c r="WAE457" s="67"/>
      <c r="WAF457" s="67"/>
      <c r="WAG457" s="67"/>
      <c r="WAH457" s="67"/>
      <c r="WAI457" s="67"/>
      <c r="WAJ457" s="67"/>
      <c r="WAK457" s="67"/>
      <c r="WAL457" s="67"/>
      <c r="WAM457" s="67"/>
      <c r="WAN457" s="67"/>
      <c r="WAO457" s="67"/>
      <c r="WAP457" s="67"/>
      <c r="WAQ457" s="67"/>
      <c r="WAR457" s="67"/>
      <c r="WAS457" s="67"/>
      <c r="WAT457" s="67"/>
      <c r="WAU457" s="67"/>
      <c r="WAV457" s="67"/>
      <c r="WAW457" s="67"/>
      <c r="WAX457" s="67"/>
      <c r="WAY457" s="67"/>
      <c r="WAZ457" s="67"/>
      <c r="WBA457" s="67"/>
      <c r="WBB457" s="67"/>
      <c r="WBC457" s="67"/>
      <c r="WBD457" s="67"/>
      <c r="WBE457" s="67"/>
      <c r="WBF457" s="67"/>
      <c r="WBG457" s="67"/>
      <c r="WBH457" s="67"/>
      <c r="WBI457" s="67"/>
      <c r="WBJ457" s="67"/>
      <c r="WBK457" s="67"/>
      <c r="WBL457" s="67"/>
      <c r="WBM457" s="67"/>
      <c r="WBN457" s="67"/>
      <c r="WBO457" s="67"/>
      <c r="WBP457" s="67"/>
      <c r="WBQ457" s="67"/>
      <c r="WBR457" s="67"/>
      <c r="WBS457" s="67"/>
      <c r="WBT457" s="67"/>
      <c r="WBU457" s="67"/>
      <c r="WBV457" s="67"/>
      <c r="WBW457" s="67"/>
      <c r="WBX457" s="67"/>
      <c r="WBY457" s="67"/>
      <c r="WBZ457" s="67"/>
      <c r="WCA457" s="67"/>
      <c r="WCB457" s="67"/>
      <c r="WCC457" s="67"/>
      <c r="WCD457" s="67"/>
      <c r="WCE457" s="67"/>
      <c r="WCF457" s="67"/>
      <c r="WCG457" s="67"/>
      <c r="WCH457" s="67"/>
      <c r="WCI457" s="67"/>
      <c r="WCJ457" s="67"/>
      <c r="WCK457" s="67"/>
      <c r="WCL457" s="67"/>
      <c r="WCM457" s="67"/>
      <c r="WCN457" s="67"/>
      <c r="WCO457" s="67"/>
      <c r="WCP457" s="67"/>
      <c r="WCQ457" s="67"/>
      <c r="WCR457" s="67"/>
      <c r="WCS457" s="67"/>
      <c r="WCT457" s="67"/>
      <c r="WCU457" s="67"/>
      <c r="WCV457" s="67"/>
      <c r="WCW457" s="67"/>
      <c r="WCX457" s="67"/>
      <c r="WCY457" s="67"/>
      <c r="WCZ457" s="67"/>
      <c r="WDA457" s="67"/>
      <c r="WDB457" s="67"/>
      <c r="WDC457" s="67"/>
      <c r="WDD457" s="67"/>
      <c r="WDE457" s="67"/>
      <c r="WDF457" s="67"/>
      <c r="WDG457" s="67"/>
      <c r="WDH457" s="67"/>
      <c r="WDI457" s="67"/>
      <c r="WDJ457" s="67"/>
      <c r="WDK457" s="67"/>
      <c r="WDL457" s="67"/>
      <c r="WDM457" s="67"/>
      <c r="WDN457" s="67"/>
      <c r="WDO457" s="67"/>
      <c r="WDP457" s="67"/>
      <c r="WDQ457" s="67"/>
      <c r="WDR457" s="67"/>
      <c r="WDS457" s="67"/>
      <c r="WDT457" s="67"/>
      <c r="WDU457" s="67"/>
      <c r="WDV457" s="67"/>
      <c r="WDW457" s="67"/>
      <c r="WDX457" s="67"/>
      <c r="WDY457" s="67"/>
      <c r="WDZ457" s="67"/>
      <c r="WEA457" s="67"/>
      <c r="WEB457" s="67"/>
      <c r="WEC457" s="67"/>
      <c r="WED457" s="67"/>
      <c r="WEE457" s="67"/>
      <c r="WEF457" s="67"/>
      <c r="WEG457" s="67"/>
      <c r="WEH457" s="67"/>
      <c r="WEI457" s="67"/>
      <c r="WEJ457" s="67"/>
      <c r="WEK457" s="67"/>
      <c r="WEL457" s="67"/>
      <c r="WEM457" s="67"/>
      <c r="WEN457" s="67"/>
      <c r="WEO457" s="67"/>
      <c r="WEP457" s="67"/>
      <c r="WEQ457" s="67"/>
      <c r="WER457" s="67"/>
      <c r="WES457" s="67"/>
      <c r="WET457" s="67"/>
      <c r="WEU457" s="67"/>
      <c r="WEV457" s="67"/>
      <c r="WEW457" s="67"/>
      <c r="WEX457" s="67"/>
      <c r="WEY457" s="67"/>
      <c r="WEZ457" s="67"/>
      <c r="WFA457" s="67"/>
      <c r="WFB457" s="67"/>
      <c r="WFC457" s="67"/>
      <c r="WFD457" s="67"/>
      <c r="WFE457" s="67"/>
      <c r="WFF457" s="67"/>
      <c r="WFG457" s="67"/>
      <c r="WFH457" s="67"/>
      <c r="WFI457" s="67"/>
      <c r="WFJ457" s="67"/>
      <c r="WFK457" s="67"/>
      <c r="WFL457" s="67"/>
      <c r="WFM457" s="67"/>
      <c r="WFN457" s="67"/>
      <c r="WFO457" s="67"/>
      <c r="WFP457" s="67"/>
      <c r="WFQ457" s="67"/>
      <c r="WFR457" s="67"/>
      <c r="WFS457" s="67"/>
      <c r="WFT457" s="67"/>
      <c r="WFU457" s="67"/>
      <c r="WFV457" s="67"/>
      <c r="WFW457" s="67"/>
      <c r="WFX457" s="67"/>
      <c r="WFY457" s="67"/>
      <c r="WFZ457" s="67"/>
      <c r="WGA457" s="67"/>
      <c r="WGB457" s="67"/>
      <c r="WGC457" s="67"/>
      <c r="WGD457" s="67"/>
      <c r="WGE457" s="67"/>
      <c r="WGF457" s="67"/>
      <c r="WGG457" s="67"/>
      <c r="WGH457" s="67"/>
      <c r="WGI457" s="67"/>
      <c r="WGJ457" s="67"/>
      <c r="WGK457" s="67"/>
      <c r="WGL457" s="67"/>
      <c r="WGM457" s="67"/>
      <c r="WGN457" s="67"/>
      <c r="WGO457" s="67"/>
      <c r="WGP457" s="67"/>
      <c r="WGQ457" s="67"/>
      <c r="WGR457" s="67"/>
      <c r="WGS457" s="67"/>
      <c r="WGT457" s="67"/>
      <c r="WGU457" s="67"/>
      <c r="WGV457" s="67"/>
      <c r="WGW457" s="67"/>
      <c r="WGX457" s="67"/>
      <c r="WGY457" s="67"/>
      <c r="WGZ457" s="67"/>
      <c r="WHA457" s="67"/>
      <c r="WHB457" s="67"/>
      <c r="WHC457" s="67"/>
      <c r="WHD457" s="67"/>
      <c r="WHE457" s="67"/>
      <c r="WHF457" s="67"/>
      <c r="WHG457" s="67"/>
      <c r="WHH457" s="67"/>
      <c r="WHI457" s="67"/>
      <c r="WHJ457" s="67"/>
      <c r="WHK457" s="67"/>
      <c r="WHL457" s="67"/>
      <c r="WHM457" s="67"/>
      <c r="WHN457" s="67"/>
      <c r="WHO457" s="67"/>
      <c r="WHP457" s="67"/>
      <c r="WHQ457" s="67"/>
      <c r="WHR457" s="67"/>
      <c r="WHS457" s="67"/>
      <c r="WHT457" s="67"/>
      <c r="WHU457" s="67"/>
      <c r="WHV457" s="67"/>
      <c r="WHW457" s="67"/>
      <c r="WHX457" s="67"/>
      <c r="WHY457" s="67"/>
      <c r="WHZ457" s="67"/>
      <c r="WIA457" s="67"/>
      <c r="WIB457" s="67"/>
      <c r="WIC457" s="67"/>
      <c r="WID457" s="67"/>
      <c r="WIE457" s="67"/>
      <c r="WIF457" s="67"/>
      <c r="WIG457" s="67"/>
      <c r="WIH457" s="67"/>
      <c r="WII457" s="67"/>
      <c r="WIJ457" s="67"/>
      <c r="WIK457" s="67"/>
      <c r="WIL457" s="67"/>
      <c r="WIM457" s="67"/>
      <c r="WIN457" s="67"/>
      <c r="WIO457" s="67"/>
      <c r="WIP457" s="67"/>
      <c r="WIQ457" s="67"/>
      <c r="WIR457" s="67"/>
      <c r="WIS457" s="67"/>
      <c r="WIT457" s="67"/>
      <c r="WIU457" s="67"/>
      <c r="WIV457" s="67"/>
      <c r="WIW457" s="67"/>
      <c r="WIX457" s="67"/>
      <c r="WIY457" s="67"/>
      <c r="WIZ457" s="67"/>
      <c r="WJA457" s="67"/>
      <c r="WJB457" s="67"/>
      <c r="WJC457" s="67"/>
      <c r="WJD457" s="67"/>
      <c r="WJE457" s="67"/>
      <c r="WJF457" s="67"/>
      <c r="WJG457" s="67"/>
      <c r="WJH457" s="67"/>
      <c r="WJI457" s="67"/>
      <c r="WJJ457" s="67"/>
      <c r="WJK457" s="67"/>
      <c r="WJL457" s="67"/>
      <c r="WJM457" s="67"/>
      <c r="WJN457" s="67"/>
      <c r="WJO457" s="67"/>
      <c r="WJP457" s="67"/>
      <c r="WJQ457" s="67"/>
      <c r="WJR457" s="67"/>
      <c r="WJS457" s="67"/>
      <c r="WJT457" s="67"/>
      <c r="WJU457" s="67"/>
      <c r="WJV457" s="67"/>
      <c r="WJW457" s="67"/>
      <c r="WJX457" s="67"/>
      <c r="WJY457" s="67"/>
      <c r="WJZ457" s="67"/>
      <c r="WKA457" s="67"/>
      <c r="WKB457" s="67"/>
      <c r="WKC457" s="67"/>
      <c r="WKD457" s="67"/>
      <c r="WKE457" s="67"/>
      <c r="WKF457" s="67"/>
      <c r="WKG457" s="67"/>
      <c r="WKH457" s="67"/>
      <c r="WKI457" s="67"/>
      <c r="WKJ457" s="67"/>
      <c r="WKK457" s="67"/>
      <c r="WKL457" s="67"/>
      <c r="WKM457" s="67"/>
      <c r="WKN457" s="67"/>
      <c r="WKO457" s="67"/>
      <c r="WKP457" s="67"/>
      <c r="WKQ457" s="67"/>
      <c r="WKR457" s="67"/>
      <c r="WKS457" s="67"/>
      <c r="WKT457" s="67"/>
      <c r="WKU457" s="67"/>
      <c r="WKV457" s="67"/>
      <c r="WKW457" s="67"/>
      <c r="WKX457" s="67"/>
      <c r="WKY457" s="67"/>
      <c r="WKZ457" s="67"/>
      <c r="WLA457" s="67"/>
      <c r="WLB457" s="67"/>
      <c r="WLC457" s="67"/>
      <c r="WLD457" s="67"/>
      <c r="WLE457" s="67"/>
      <c r="WLF457" s="67"/>
      <c r="WLG457" s="67"/>
      <c r="WLH457" s="67"/>
      <c r="WLI457" s="67"/>
      <c r="WLJ457" s="67"/>
      <c r="WLK457" s="67"/>
      <c r="WLL457" s="67"/>
      <c r="WLM457" s="67"/>
      <c r="WLN457" s="67"/>
      <c r="WLO457" s="67"/>
      <c r="WLP457" s="67"/>
      <c r="WLQ457" s="67"/>
      <c r="WLR457" s="67"/>
      <c r="WLS457" s="67"/>
      <c r="WLT457" s="67"/>
      <c r="WLU457" s="67"/>
      <c r="WLV457" s="67"/>
      <c r="WLW457" s="67"/>
      <c r="WLX457" s="67"/>
      <c r="WLY457" s="67"/>
      <c r="WLZ457" s="67"/>
      <c r="WMA457" s="67"/>
      <c r="WMB457" s="67"/>
      <c r="WMC457" s="67"/>
      <c r="WMD457" s="67"/>
      <c r="WME457" s="67"/>
      <c r="WMF457" s="67"/>
      <c r="WMG457" s="67"/>
      <c r="WMH457" s="67"/>
      <c r="WMI457" s="67"/>
      <c r="WMJ457" s="67"/>
      <c r="WMK457" s="67"/>
      <c r="WML457" s="67"/>
      <c r="WMM457" s="67"/>
      <c r="WMN457" s="67"/>
      <c r="WMO457" s="67"/>
      <c r="WMP457" s="67"/>
      <c r="WMQ457" s="67"/>
      <c r="WMR457" s="67"/>
      <c r="WMS457" s="67"/>
      <c r="WMT457" s="67"/>
      <c r="WMU457" s="67"/>
      <c r="WMV457" s="67"/>
      <c r="WMW457" s="67"/>
      <c r="WMX457" s="67"/>
      <c r="WMY457" s="67"/>
      <c r="WMZ457" s="67"/>
      <c r="WNA457" s="67"/>
      <c r="WNB457" s="67"/>
      <c r="WNC457" s="67"/>
      <c r="WND457" s="67"/>
      <c r="WNE457" s="67"/>
      <c r="WNF457" s="67"/>
      <c r="WNG457" s="67"/>
      <c r="WNH457" s="67"/>
      <c r="WNI457" s="67"/>
      <c r="WNJ457" s="67"/>
      <c r="WNK457" s="67"/>
      <c r="WNL457" s="67"/>
      <c r="WNM457" s="67"/>
      <c r="WNN457" s="67"/>
      <c r="WNO457" s="67"/>
      <c r="WNP457" s="67"/>
      <c r="WNQ457" s="67"/>
      <c r="WNR457" s="67"/>
      <c r="WNS457" s="67"/>
      <c r="WNT457" s="67"/>
      <c r="WNU457" s="67"/>
      <c r="WNV457" s="67"/>
      <c r="WNW457" s="67"/>
      <c r="WNX457" s="67"/>
      <c r="WNY457" s="67"/>
      <c r="WNZ457" s="67"/>
      <c r="WOA457" s="67"/>
      <c r="WOB457" s="67"/>
      <c r="WOC457" s="67"/>
      <c r="WOD457" s="67"/>
      <c r="WOE457" s="67"/>
      <c r="WOF457" s="67"/>
      <c r="WOG457" s="67"/>
      <c r="WOH457" s="67"/>
      <c r="WOI457" s="67"/>
      <c r="WOJ457" s="67"/>
      <c r="WOK457" s="67"/>
      <c r="WOL457" s="67"/>
      <c r="WOM457" s="67"/>
      <c r="WON457" s="67"/>
      <c r="WOO457" s="67"/>
      <c r="WOP457" s="67"/>
      <c r="WOQ457" s="67"/>
      <c r="WOR457" s="67"/>
      <c r="WOS457" s="67"/>
      <c r="WOT457" s="67"/>
      <c r="WOU457" s="67"/>
      <c r="WOV457" s="67"/>
      <c r="WOW457" s="67"/>
      <c r="WOX457" s="67"/>
      <c r="WOY457" s="67"/>
      <c r="WOZ457" s="67"/>
      <c r="WPA457" s="67"/>
      <c r="WPB457" s="67"/>
      <c r="WPC457" s="67"/>
      <c r="WPD457" s="67"/>
      <c r="WPE457" s="67"/>
      <c r="WPF457" s="67"/>
      <c r="WPG457" s="67"/>
      <c r="WPH457" s="67"/>
      <c r="WPI457" s="67"/>
      <c r="WPJ457" s="67"/>
      <c r="WPK457" s="67"/>
      <c r="WPL457" s="67"/>
      <c r="WPM457" s="67"/>
      <c r="WPN457" s="67"/>
      <c r="WPO457" s="67"/>
      <c r="WPP457" s="67"/>
      <c r="WPQ457" s="67"/>
      <c r="WPR457" s="67"/>
      <c r="WPS457" s="67"/>
      <c r="WPT457" s="67"/>
      <c r="WPU457" s="67"/>
      <c r="WPV457" s="67"/>
      <c r="WPW457" s="67"/>
      <c r="WPX457" s="67"/>
      <c r="WPY457" s="67"/>
      <c r="WPZ457" s="67"/>
      <c r="WQA457" s="67"/>
      <c r="WQB457" s="67"/>
      <c r="WQC457" s="67"/>
      <c r="WQD457" s="67"/>
      <c r="WQE457" s="67"/>
      <c r="WQF457" s="67"/>
      <c r="WQG457" s="67"/>
      <c r="WQH457" s="67"/>
      <c r="WQI457" s="67"/>
      <c r="WQJ457" s="67"/>
      <c r="WQK457" s="67"/>
      <c r="WQL457" s="67"/>
      <c r="WQM457" s="67"/>
      <c r="WQN457" s="67"/>
      <c r="WQO457" s="67"/>
      <c r="WQP457" s="67"/>
      <c r="WQQ457" s="67"/>
      <c r="WQR457" s="67"/>
      <c r="WQS457" s="67"/>
      <c r="WQT457" s="67"/>
      <c r="WQU457" s="67"/>
      <c r="WQV457" s="67"/>
      <c r="WQW457" s="67"/>
      <c r="WQX457" s="67"/>
      <c r="WQY457" s="67"/>
      <c r="WQZ457" s="67"/>
      <c r="WRA457" s="67"/>
      <c r="WRB457" s="67"/>
      <c r="WRC457" s="67"/>
      <c r="WRD457" s="67"/>
      <c r="WRE457" s="67"/>
      <c r="WRF457" s="67"/>
      <c r="WRG457" s="67"/>
      <c r="WRH457" s="67"/>
      <c r="WRI457" s="67"/>
      <c r="WRJ457" s="67"/>
      <c r="WRK457" s="67"/>
      <c r="WRL457" s="67"/>
      <c r="WRM457" s="67"/>
      <c r="WRN457" s="67"/>
      <c r="WRO457" s="67"/>
      <c r="WRP457" s="67"/>
      <c r="WRQ457" s="67"/>
      <c r="WRR457" s="67"/>
      <c r="WRS457" s="67"/>
      <c r="WRT457" s="67"/>
      <c r="WRU457" s="67"/>
      <c r="WRV457" s="67"/>
      <c r="WRW457" s="67"/>
      <c r="WRX457" s="67"/>
      <c r="WRY457" s="67"/>
      <c r="WRZ457" s="67"/>
      <c r="WSA457" s="67"/>
      <c r="WSB457" s="67"/>
      <c r="WSC457" s="67"/>
      <c r="WSD457" s="67"/>
      <c r="WSE457" s="67"/>
      <c r="WSF457" s="67"/>
      <c r="WSG457" s="67"/>
      <c r="WSH457" s="67"/>
      <c r="WSI457" s="67"/>
      <c r="WSJ457" s="67"/>
      <c r="WSK457" s="67"/>
      <c r="WSL457" s="67"/>
      <c r="WSM457" s="67"/>
      <c r="WSN457" s="67"/>
      <c r="WSO457" s="67"/>
      <c r="WSP457" s="67"/>
      <c r="WSQ457" s="67"/>
      <c r="WSR457" s="67"/>
      <c r="WSS457" s="67"/>
      <c r="WST457" s="67"/>
      <c r="WSU457" s="67"/>
      <c r="WSV457" s="67"/>
      <c r="WSW457" s="67"/>
      <c r="WSX457" s="67"/>
      <c r="WSY457" s="67"/>
      <c r="WSZ457" s="67"/>
      <c r="WTA457" s="67"/>
      <c r="WTB457" s="67"/>
      <c r="WTC457" s="67"/>
      <c r="WTD457" s="67"/>
      <c r="WTE457" s="67"/>
      <c r="WTF457" s="67"/>
      <c r="WTG457" s="67"/>
      <c r="WTH457" s="67"/>
      <c r="WTI457" s="67"/>
      <c r="WTJ457" s="67"/>
      <c r="WTK457" s="67"/>
      <c r="WTL457" s="67"/>
      <c r="WTM457" s="67"/>
      <c r="WTN457" s="67"/>
      <c r="WTO457" s="67"/>
      <c r="WTP457" s="67"/>
      <c r="WTQ457" s="67"/>
      <c r="WTR457" s="67"/>
      <c r="WTS457" s="67"/>
      <c r="WTT457" s="67"/>
      <c r="WTU457" s="67"/>
      <c r="WTV457" s="67"/>
      <c r="WTW457" s="67"/>
      <c r="WTX457" s="67"/>
      <c r="WTY457" s="67"/>
      <c r="WTZ457" s="67"/>
      <c r="WUA457" s="67"/>
      <c r="WUB457" s="67"/>
      <c r="WUC457" s="67"/>
      <c r="WUD457" s="67"/>
      <c r="WUE457" s="67"/>
      <c r="WUF457" s="67"/>
      <c r="WUG457" s="67"/>
      <c r="WUH457" s="67"/>
      <c r="WUI457" s="67"/>
      <c r="WUJ457" s="67"/>
      <c r="WUK457" s="67"/>
      <c r="WUL457" s="67"/>
      <c r="WUM457" s="67"/>
      <c r="WUN457" s="67"/>
      <c r="WUO457" s="67"/>
      <c r="WUP457" s="67"/>
      <c r="WUQ457" s="67"/>
      <c r="WUR457" s="67"/>
      <c r="WUS457" s="67"/>
      <c r="WUT457" s="67"/>
      <c r="WUU457" s="67"/>
      <c r="WUV457" s="67"/>
      <c r="WUW457" s="67"/>
      <c r="WUX457" s="67"/>
      <c r="WUY457" s="67"/>
      <c r="WUZ457" s="67"/>
      <c r="WVA457" s="67"/>
      <c r="WVB457" s="67"/>
      <c r="WVC457" s="67"/>
      <c r="WVD457" s="67"/>
      <c r="WVE457" s="67"/>
      <c r="WVF457" s="67"/>
      <c r="WVG457" s="67"/>
      <c r="WVH457" s="67"/>
      <c r="WVI457" s="67"/>
      <c r="WVJ457" s="67"/>
      <c r="WVK457" s="67"/>
      <c r="WVL457" s="67"/>
      <c r="WVM457" s="67"/>
      <c r="WVN457" s="67"/>
      <c r="WVO457" s="67"/>
      <c r="WVP457" s="67"/>
      <c r="WVQ457" s="67"/>
      <c r="WVR457" s="67"/>
      <c r="WVS457" s="67"/>
      <c r="WVT457" s="67"/>
      <c r="WVU457" s="67"/>
      <c r="WVV457" s="67"/>
      <c r="WVW457" s="67"/>
      <c r="WVX457" s="67"/>
      <c r="WVY457" s="67"/>
      <c r="WVZ457" s="67"/>
      <c r="WWA457" s="67"/>
      <c r="WWB457" s="67"/>
      <c r="WWC457" s="67"/>
      <c r="WWD457" s="67"/>
      <c r="WWE457" s="67"/>
      <c r="WWF457" s="67"/>
      <c r="WWG457" s="67"/>
      <c r="WWH457" s="67"/>
      <c r="WWI457" s="67"/>
      <c r="WWJ457" s="67"/>
      <c r="WWK457" s="67"/>
      <c r="WWL457" s="67"/>
      <c r="WWM457" s="67"/>
      <c r="WWN457" s="67"/>
      <c r="WWO457" s="67"/>
      <c r="WWP457" s="67"/>
      <c r="WWQ457" s="67"/>
      <c r="WWR457" s="67"/>
      <c r="WWS457" s="67"/>
      <c r="WWT457" s="67"/>
      <c r="WWU457" s="67"/>
      <c r="WWV457" s="67"/>
      <c r="WWW457" s="67"/>
      <c r="WWX457" s="67"/>
      <c r="WWY457" s="67"/>
      <c r="WWZ457" s="67"/>
      <c r="WXA457" s="67"/>
      <c r="WXB457" s="67"/>
      <c r="WXC457" s="67"/>
      <c r="WXD457" s="67"/>
      <c r="WXE457" s="67"/>
      <c r="WXF457" s="67"/>
      <c r="WXG457" s="67"/>
      <c r="WXH457" s="67"/>
      <c r="WXI457" s="67"/>
      <c r="WXJ457" s="67"/>
      <c r="WXK457" s="67"/>
      <c r="WXL457" s="67"/>
      <c r="WXM457" s="67"/>
      <c r="WXN457" s="67"/>
      <c r="WXO457" s="67"/>
      <c r="WXP457" s="67"/>
      <c r="WXQ457" s="67"/>
      <c r="WXR457" s="67"/>
      <c r="WXS457" s="67"/>
      <c r="WXT457" s="67"/>
      <c r="WXU457" s="67"/>
      <c r="WXV457" s="67"/>
      <c r="WXW457" s="67"/>
      <c r="WXX457" s="67"/>
      <c r="WXY457" s="67"/>
      <c r="WXZ457" s="67"/>
      <c r="WYA457" s="67"/>
      <c r="WYB457" s="67"/>
      <c r="WYC457" s="67"/>
      <c r="WYD457" s="67"/>
      <c r="WYE457" s="67"/>
      <c r="WYF457" s="67"/>
      <c r="WYG457" s="67"/>
      <c r="WYH457" s="67"/>
      <c r="WYI457" s="67"/>
      <c r="WYJ457" s="67"/>
      <c r="WYK457" s="67"/>
      <c r="WYL457" s="67"/>
      <c r="WYM457" s="67"/>
      <c r="WYN457" s="67"/>
      <c r="WYO457" s="67"/>
      <c r="WYP457" s="67"/>
      <c r="WYQ457" s="67"/>
      <c r="WYR457" s="67"/>
      <c r="WYS457" s="67"/>
      <c r="WYT457" s="67"/>
      <c r="WYU457" s="67"/>
      <c r="WYV457" s="67"/>
      <c r="WYW457" s="67"/>
      <c r="WYX457" s="67"/>
      <c r="WYY457" s="67"/>
      <c r="WYZ457" s="67"/>
      <c r="WZA457" s="67"/>
      <c r="WZB457" s="67"/>
      <c r="WZC457" s="67"/>
      <c r="WZD457" s="67"/>
      <c r="WZE457" s="67"/>
      <c r="WZF457" s="67"/>
      <c r="WZG457" s="67"/>
      <c r="WZH457" s="67"/>
      <c r="WZI457" s="67"/>
      <c r="WZJ457" s="67"/>
      <c r="WZK457" s="67"/>
      <c r="WZL457" s="67"/>
      <c r="WZM457" s="67"/>
      <c r="WZN457" s="67"/>
      <c r="WZO457" s="67"/>
      <c r="WZP457" s="67"/>
      <c r="WZQ457" s="67"/>
      <c r="WZR457" s="67"/>
      <c r="WZS457" s="67"/>
      <c r="WZT457" s="67"/>
      <c r="WZU457" s="67"/>
      <c r="WZV457" s="67"/>
      <c r="WZW457" s="67"/>
      <c r="WZX457" s="67"/>
      <c r="WZY457" s="67"/>
      <c r="WZZ457" s="67"/>
      <c r="XAA457" s="67"/>
      <c r="XAB457" s="67"/>
      <c r="XAC457" s="67"/>
      <c r="XAD457" s="67"/>
      <c r="XAE457" s="67"/>
      <c r="XAF457" s="67"/>
      <c r="XAG457" s="67"/>
      <c r="XAH457" s="67"/>
      <c r="XAI457" s="67"/>
      <c r="XAJ457" s="67"/>
      <c r="XAK457" s="67"/>
      <c r="XAL457" s="67"/>
      <c r="XAM457" s="67"/>
      <c r="XAN457" s="67"/>
      <c r="XAO457" s="67"/>
      <c r="XAP457" s="67"/>
      <c r="XAQ457" s="67"/>
      <c r="XAR457" s="67"/>
      <c r="XAS457" s="67"/>
      <c r="XAT457" s="67"/>
      <c r="XAU457" s="67"/>
      <c r="XAV457" s="67"/>
      <c r="XAW457" s="67"/>
      <c r="XAX457" s="67"/>
      <c r="XAY457" s="67"/>
      <c r="XAZ457" s="67"/>
      <c r="XBA457" s="67"/>
      <c r="XBB457" s="67"/>
      <c r="XBC457" s="67"/>
      <c r="XBD457" s="67"/>
      <c r="XBE457" s="67"/>
      <c r="XBF457" s="67"/>
      <c r="XBG457" s="67"/>
      <c r="XBH457" s="67"/>
      <c r="XBI457" s="67"/>
      <c r="XBJ457" s="67"/>
      <c r="XBK457" s="67"/>
      <c r="XBL457" s="67"/>
      <c r="XBM457" s="67"/>
      <c r="XBN457" s="67"/>
      <c r="XBO457" s="67"/>
      <c r="XBP457" s="67"/>
      <c r="XBQ457" s="67"/>
      <c r="XBR457" s="67"/>
      <c r="XBS457" s="67"/>
      <c r="XBT457" s="67"/>
      <c r="XBU457" s="67"/>
      <c r="XBV457" s="67"/>
      <c r="XBW457" s="67"/>
      <c r="XBX457" s="67"/>
      <c r="XBY457" s="67"/>
      <c r="XBZ457" s="67"/>
      <c r="XCA457" s="67"/>
      <c r="XCB457" s="67"/>
      <c r="XCC457" s="67"/>
      <c r="XCD457" s="67"/>
      <c r="XCE457" s="67"/>
      <c r="XCF457" s="67"/>
      <c r="XCG457" s="67"/>
      <c r="XCH457" s="67"/>
      <c r="XCI457" s="67"/>
      <c r="XCJ457" s="67"/>
      <c r="XCK457" s="67"/>
      <c r="XCL457" s="67"/>
      <c r="XCM457" s="67"/>
      <c r="XCN457" s="67"/>
      <c r="XCO457" s="67"/>
      <c r="XCP457" s="67"/>
      <c r="XCQ457" s="67"/>
      <c r="XCR457" s="67"/>
      <c r="XCS457" s="67"/>
      <c r="XCT457" s="67"/>
      <c r="XCU457" s="67"/>
      <c r="XCV457" s="67"/>
      <c r="XCW457" s="67"/>
      <c r="XCX457" s="67"/>
      <c r="XCY457" s="67"/>
      <c r="XCZ457" s="67"/>
      <c r="XDA457" s="67"/>
      <c r="XDB457" s="67"/>
      <c r="XDC457" s="67"/>
      <c r="XDD457" s="67"/>
      <c r="XDE457" s="67"/>
      <c r="XDF457" s="67"/>
      <c r="XDG457" s="67"/>
      <c r="XDH457" s="67"/>
      <c r="XDI457" s="67"/>
      <c r="XDJ457" s="67"/>
      <c r="XDK457" s="67"/>
      <c r="XDL457" s="67"/>
      <c r="XDM457" s="67"/>
      <c r="XDN457" s="67"/>
      <c r="XDO457" s="67"/>
      <c r="XDP457" s="67"/>
      <c r="XDQ457" s="67"/>
      <c r="XDR457" s="67"/>
      <c r="XDS457" s="67"/>
      <c r="XDT457" s="67"/>
      <c r="XDU457" s="67"/>
      <c r="XDV457" s="67"/>
      <c r="XDW457" s="67"/>
      <c r="XDX457" s="67"/>
      <c r="XDY457" s="67"/>
      <c r="XDZ457" s="67"/>
      <c r="XEA457" s="67"/>
      <c r="XEB457" s="67"/>
      <c r="XEC457" s="67"/>
      <c r="XED457" s="67"/>
      <c r="XEE457" s="67"/>
      <c r="XEF457" s="67"/>
      <c r="XEG457" s="67"/>
      <c r="XEH457" s="67"/>
      <c r="XEI457" s="67"/>
      <c r="XEJ457" s="67"/>
      <c r="XEK457" s="67"/>
      <c r="XEL457" s="67"/>
      <c r="XEM457" s="67"/>
      <c r="XEN457" s="67"/>
      <c r="XEO457" s="67"/>
      <c r="XEP457" s="67"/>
      <c r="XEQ457" s="67"/>
      <c r="XER457" s="67"/>
      <c r="XES457" s="67"/>
      <c r="XET457" s="67"/>
      <c r="XEU457" s="67"/>
      <c r="XEV457" s="67"/>
      <c r="XEW457" s="67"/>
    </row>
    <row r="458" spans="1:16377" s="14" customFormat="1" ht="15" customHeight="1" x14ac:dyDescent="0.25">
      <c r="A458" s="100">
        <v>45838</v>
      </c>
      <c r="B458" s="104">
        <v>4163</v>
      </c>
      <c r="C458" s="201" t="s">
        <v>580</v>
      </c>
      <c r="D458" s="104" t="s">
        <v>17</v>
      </c>
      <c r="E458" s="104" t="s">
        <v>493</v>
      </c>
      <c r="F458" s="104" t="s">
        <v>517</v>
      </c>
      <c r="G458" s="105">
        <v>1</v>
      </c>
      <c r="H458" s="99">
        <v>83</v>
      </c>
      <c r="I458" s="106"/>
      <c r="J458" s="107"/>
      <c r="K458" s="104"/>
      <c r="L458" s="103" t="str">
        <f t="shared" si="7"/>
        <v>Impayé</v>
      </c>
      <c r="N458" s="15"/>
    </row>
    <row r="459" spans="1:16377" s="14" customFormat="1" ht="15" customHeight="1" x14ac:dyDescent="0.25">
      <c r="A459" s="100">
        <v>45838</v>
      </c>
      <c r="B459" s="104">
        <v>4183</v>
      </c>
      <c r="C459" s="201" t="s">
        <v>583</v>
      </c>
      <c r="D459" s="104" t="s">
        <v>17</v>
      </c>
      <c r="E459" s="104" t="s">
        <v>493</v>
      </c>
      <c r="F459" s="104" t="s">
        <v>517</v>
      </c>
      <c r="G459" s="105">
        <v>1</v>
      </c>
      <c r="H459" s="99">
        <v>83</v>
      </c>
      <c r="I459" s="106"/>
      <c r="J459" s="107"/>
      <c r="K459" s="104"/>
      <c r="L459" s="103" t="str">
        <f t="shared" si="7"/>
        <v>Impayé</v>
      </c>
      <c r="N459" s="15"/>
    </row>
    <row r="460" spans="1:16377" s="14" customFormat="1" ht="15" customHeight="1" x14ac:dyDescent="0.25">
      <c r="A460" s="100">
        <v>45838</v>
      </c>
      <c r="B460" s="104">
        <v>5042</v>
      </c>
      <c r="C460" s="201" t="s">
        <v>648</v>
      </c>
      <c r="D460" s="104" t="s">
        <v>17</v>
      </c>
      <c r="E460" s="104" t="s">
        <v>493</v>
      </c>
      <c r="F460" s="104" t="s">
        <v>523</v>
      </c>
      <c r="G460" s="105">
        <v>1</v>
      </c>
      <c r="H460" s="99">
        <v>83</v>
      </c>
      <c r="I460" s="106"/>
      <c r="J460" s="107"/>
      <c r="K460" s="104"/>
      <c r="L460" s="103" t="str">
        <f t="shared" si="7"/>
        <v>Impayé</v>
      </c>
      <c r="N460" s="15"/>
    </row>
    <row r="461" spans="1:16377" s="14" customFormat="1" ht="15" customHeight="1" x14ac:dyDescent="0.25">
      <c r="A461" s="100">
        <v>45838</v>
      </c>
      <c r="B461" s="104">
        <v>6046</v>
      </c>
      <c r="C461" s="201" t="s">
        <v>642</v>
      </c>
      <c r="D461" s="104" t="s">
        <v>17</v>
      </c>
      <c r="E461" s="104" t="s">
        <v>493</v>
      </c>
      <c r="F461" s="104" t="s">
        <v>523</v>
      </c>
      <c r="G461" s="105">
        <v>1</v>
      </c>
      <c r="H461" s="99">
        <v>83</v>
      </c>
      <c r="I461" s="106"/>
      <c r="J461" s="107"/>
      <c r="K461" s="104"/>
      <c r="L461" s="103" t="str">
        <f t="shared" si="7"/>
        <v>Impayé</v>
      </c>
      <c r="N461" s="15"/>
    </row>
    <row r="462" spans="1:16377" s="14" customFormat="1" ht="15" customHeight="1" x14ac:dyDescent="0.25">
      <c r="A462" s="100">
        <v>45838</v>
      </c>
      <c r="B462" s="104">
        <v>4077</v>
      </c>
      <c r="C462" s="201" t="s">
        <v>578</v>
      </c>
      <c r="D462" s="104" t="s">
        <v>17</v>
      </c>
      <c r="E462" s="104" t="s">
        <v>493</v>
      </c>
      <c r="F462" s="104" t="s">
        <v>520</v>
      </c>
      <c r="G462" s="105">
        <v>1</v>
      </c>
      <c r="H462" s="99">
        <v>83</v>
      </c>
      <c r="I462" s="106"/>
      <c r="J462" s="107"/>
      <c r="K462" s="104"/>
      <c r="L462" s="103" t="str">
        <f t="shared" si="7"/>
        <v>Impayé</v>
      </c>
      <c r="N462" s="15"/>
    </row>
    <row r="463" spans="1:16377" s="14" customFormat="1" ht="15" customHeight="1" x14ac:dyDescent="0.25">
      <c r="A463" s="100">
        <v>45838</v>
      </c>
      <c r="B463" s="104">
        <v>6042</v>
      </c>
      <c r="C463" s="201" t="s">
        <v>640</v>
      </c>
      <c r="D463" s="104" t="s">
        <v>17</v>
      </c>
      <c r="E463" s="104" t="s">
        <v>493</v>
      </c>
      <c r="F463" s="104" t="s">
        <v>520</v>
      </c>
      <c r="G463" s="105">
        <v>2</v>
      </c>
      <c r="H463" s="99">
        <v>165</v>
      </c>
      <c r="I463" s="106"/>
      <c r="J463" s="107"/>
      <c r="K463" s="104"/>
      <c r="L463" s="103" t="str">
        <f t="shared" si="7"/>
        <v>Impayé</v>
      </c>
      <c r="N463" s="15"/>
    </row>
    <row r="464" spans="1:16377" s="14" customFormat="1" ht="15" customHeight="1" x14ac:dyDescent="0.25">
      <c r="A464" s="100">
        <v>45838</v>
      </c>
      <c r="B464" s="104">
        <v>6045</v>
      </c>
      <c r="C464" s="201" t="s">
        <v>641</v>
      </c>
      <c r="D464" s="104" t="s">
        <v>17</v>
      </c>
      <c r="E464" s="104" t="s">
        <v>493</v>
      </c>
      <c r="F464" s="104" t="s">
        <v>520</v>
      </c>
      <c r="G464" s="105">
        <v>2</v>
      </c>
      <c r="H464" s="99">
        <v>165</v>
      </c>
      <c r="I464" s="106"/>
      <c r="J464" s="107"/>
      <c r="K464" s="104"/>
      <c r="L464" s="103" t="str">
        <f t="shared" si="7"/>
        <v>Impayé</v>
      </c>
      <c r="N464" s="15"/>
    </row>
    <row r="465" spans="1:14" s="14" customFormat="1" ht="15" customHeight="1" x14ac:dyDescent="0.25">
      <c r="A465" s="100">
        <v>45838</v>
      </c>
      <c r="B465" s="145">
        <v>3617</v>
      </c>
      <c r="C465" s="200" t="s">
        <v>432</v>
      </c>
      <c r="D465" s="98" t="s">
        <v>17</v>
      </c>
      <c r="E465" s="99" t="s">
        <v>430</v>
      </c>
      <c r="F465" s="100">
        <v>45473</v>
      </c>
      <c r="G465" s="99">
        <v>2</v>
      </c>
      <c r="H465" s="108">
        <v>165.23036746875582</v>
      </c>
      <c r="I465" s="97"/>
      <c r="J465" s="109"/>
      <c r="K465" s="101"/>
      <c r="L465" s="103" t="str">
        <f t="shared" si="7"/>
        <v>Impayé</v>
      </c>
      <c r="N465" s="15"/>
    </row>
    <row r="466" spans="1:14" s="14" customFormat="1" ht="15" customHeight="1" x14ac:dyDescent="0.25">
      <c r="A466" s="100">
        <v>45838</v>
      </c>
      <c r="B466" s="145">
        <v>3600</v>
      </c>
      <c r="C466" s="200" t="s">
        <v>433</v>
      </c>
      <c r="D466" s="98" t="s">
        <v>17</v>
      </c>
      <c r="E466" s="99" t="s">
        <v>430</v>
      </c>
      <c r="F466" s="100">
        <v>45473</v>
      </c>
      <c r="G466" s="99">
        <v>1</v>
      </c>
      <c r="H466" s="108">
        <v>82.615183734377908</v>
      </c>
      <c r="I466" s="97"/>
      <c r="J466" s="109"/>
      <c r="K466" s="101"/>
      <c r="L466" s="103" t="str">
        <f t="shared" si="7"/>
        <v>Impayé</v>
      </c>
      <c r="M466" s="155"/>
      <c r="N466" s="15"/>
    </row>
    <row r="467" spans="1:14" s="14" customFormat="1" ht="15" customHeight="1" x14ac:dyDescent="0.25">
      <c r="A467" s="100">
        <v>45838</v>
      </c>
      <c r="B467" s="145"/>
      <c r="C467" s="200" t="s">
        <v>431</v>
      </c>
      <c r="D467" s="98" t="s">
        <v>17</v>
      </c>
      <c r="E467" s="99" t="s">
        <v>430</v>
      </c>
      <c r="F467" s="100">
        <v>45473</v>
      </c>
      <c r="G467" s="99">
        <v>1</v>
      </c>
      <c r="H467" s="108">
        <v>82.615183734377908</v>
      </c>
      <c r="I467" s="97"/>
      <c r="J467" s="109"/>
      <c r="K467" s="101"/>
      <c r="L467" s="103" t="str">
        <f t="shared" si="7"/>
        <v>Impayé</v>
      </c>
      <c r="M467" s="155"/>
      <c r="N467" s="15"/>
    </row>
    <row r="468" spans="1:14" s="14" customFormat="1" ht="15" customHeight="1" x14ac:dyDescent="0.25">
      <c r="A468" s="100">
        <v>45838</v>
      </c>
      <c r="B468" s="145">
        <v>1130</v>
      </c>
      <c r="C468" s="200" t="s">
        <v>79</v>
      </c>
      <c r="D468" s="98" t="s">
        <v>17</v>
      </c>
      <c r="E468" s="99" t="s">
        <v>76</v>
      </c>
      <c r="F468" s="100">
        <v>45473</v>
      </c>
      <c r="G468" s="99">
        <v>1</v>
      </c>
      <c r="H468" s="101">
        <v>71.7</v>
      </c>
      <c r="I468" s="97"/>
      <c r="J468" s="102"/>
      <c r="K468" s="101"/>
      <c r="L468" s="103" t="str">
        <f t="shared" si="7"/>
        <v>Impayé</v>
      </c>
      <c r="N468" s="15"/>
    </row>
    <row r="469" spans="1:14" s="14" customFormat="1" ht="15" customHeight="1" x14ac:dyDescent="0.25">
      <c r="A469" s="100">
        <v>45838</v>
      </c>
      <c r="B469" s="145">
        <v>1112</v>
      </c>
      <c r="C469" s="200" t="s">
        <v>75</v>
      </c>
      <c r="D469" s="98" t="s">
        <v>17</v>
      </c>
      <c r="E469" s="99" t="s">
        <v>76</v>
      </c>
      <c r="F469" s="100">
        <v>45473</v>
      </c>
      <c r="G469" s="99">
        <v>1</v>
      </c>
      <c r="H469" s="101">
        <v>71.7</v>
      </c>
      <c r="I469" s="97"/>
      <c r="J469" s="102"/>
      <c r="K469" s="101"/>
      <c r="L469" s="103" t="str">
        <f t="shared" si="7"/>
        <v>Impayé</v>
      </c>
      <c r="N469" s="15"/>
    </row>
    <row r="470" spans="1:14" s="14" customFormat="1" ht="15" customHeight="1" x14ac:dyDescent="0.25">
      <c r="A470" s="100">
        <v>45838</v>
      </c>
      <c r="B470" s="145">
        <v>1125</v>
      </c>
      <c r="C470" s="200" t="s">
        <v>78</v>
      </c>
      <c r="D470" s="98" t="s">
        <v>17</v>
      </c>
      <c r="E470" s="99" t="s">
        <v>76</v>
      </c>
      <c r="F470" s="100">
        <v>45473</v>
      </c>
      <c r="G470" s="99">
        <v>1</v>
      </c>
      <c r="H470" s="101">
        <v>71.7</v>
      </c>
      <c r="I470" s="97"/>
      <c r="J470" s="102"/>
      <c r="K470" s="101"/>
      <c r="L470" s="103" t="str">
        <f t="shared" si="7"/>
        <v>Impayé</v>
      </c>
      <c r="N470" s="15"/>
    </row>
    <row r="471" spans="1:14" s="14" customFormat="1" ht="15" customHeight="1" x14ac:dyDescent="0.25">
      <c r="A471" s="100">
        <v>45838</v>
      </c>
      <c r="B471" s="145">
        <v>1505</v>
      </c>
      <c r="C471" s="200" t="s">
        <v>383</v>
      </c>
      <c r="D471" s="98" t="s">
        <v>17</v>
      </c>
      <c r="E471" s="99" t="s">
        <v>225</v>
      </c>
      <c r="F471" s="100">
        <v>45473</v>
      </c>
      <c r="G471" s="99">
        <v>13</v>
      </c>
      <c r="H471" s="108">
        <v>1073.9973885469128</v>
      </c>
      <c r="I471" s="97">
        <v>45895</v>
      </c>
      <c r="J471" s="109">
        <v>0.72083333333333333</v>
      </c>
      <c r="K471" s="108">
        <v>1073.9973885469128</v>
      </c>
      <c r="L471" s="103" t="str">
        <f t="shared" si="7"/>
        <v>Payé</v>
      </c>
      <c r="N471" s="15"/>
    </row>
    <row r="472" spans="1:14" s="14" customFormat="1" ht="15" customHeight="1" x14ac:dyDescent="0.25">
      <c r="A472" s="100">
        <v>45838</v>
      </c>
      <c r="B472" s="145">
        <v>2963</v>
      </c>
      <c r="C472" s="200" t="s">
        <v>283</v>
      </c>
      <c r="D472" s="98" t="s">
        <v>17</v>
      </c>
      <c r="E472" s="99" t="s">
        <v>272</v>
      </c>
      <c r="F472" s="100">
        <v>45473</v>
      </c>
      <c r="G472" s="99">
        <v>1</v>
      </c>
      <c r="H472" s="101">
        <v>78.688677485543749</v>
      </c>
      <c r="I472" s="97"/>
      <c r="J472" s="102"/>
      <c r="K472" s="101"/>
      <c r="L472" s="103" t="str">
        <f t="shared" si="7"/>
        <v>Impayé</v>
      </c>
      <c r="N472" s="15"/>
    </row>
    <row r="473" spans="1:14" s="14" customFormat="1" ht="15" customHeight="1" x14ac:dyDescent="0.25">
      <c r="A473" s="100">
        <v>45838</v>
      </c>
      <c r="B473" s="145">
        <v>2937</v>
      </c>
      <c r="C473" s="200" t="s">
        <v>281</v>
      </c>
      <c r="D473" s="98" t="s">
        <v>17</v>
      </c>
      <c r="E473" s="99" t="s">
        <v>272</v>
      </c>
      <c r="F473" s="100">
        <v>45473</v>
      </c>
      <c r="G473" s="99">
        <v>1</v>
      </c>
      <c r="H473" s="101">
        <v>78.688677485543749</v>
      </c>
      <c r="I473" s="97"/>
      <c r="J473" s="102"/>
      <c r="K473" s="101"/>
      <c r="L473" s="103" t="str">
        <f t="shared" si="7"/>
        <v>Impayé</v>
      </c>
      <c r="N473" s="15"/>
    </row>
    <row r="474" spans="1:14" s="14" customFormat="1" ht="15" customHeight="1" x14ac:dyDescent="0.25">
      <c r="A474" s="100">
        <v>45838</v>
      </c>
      <c r="B474" s="145">
        <v>2961</v>
      </c>
      <c r="C474" s="200" t="s">
        <v>282</v>
      </c>
      <c r="D474" s="98" t="s">
        <v>17</v>
      </c>
      <c r="E474" s="99" t="s">
        <v>272</v>
      </c>
      <c r="F474" s="100">
        <v>45473</v>
      </c>
      <c r="G474" s="99">
        <v>1</v>
      </c>
      <c r="H474" s="101">
        <v>78.688677485543749</v>
      </c>
      <c r="I474" s="97"/>
      <c r="J474" s="102"/>
      <c r="K474" s="101"/>
      <c r="L474" s="103" t="str">
        <f t="shared" si="7"/>
        <v>Impayé</v>
      </c>
      <c r="N474" s="15"/>
    </row>
    <row r="475" spans="1:14" s="14" customFormat="1" ht="15" customHeight="1" x14ac:dyDescent="0.25">
      <c r="A475" s="100">
        <v>45838</v>
      </c>
      <c r="B475" s="145">
        <v>2990</v>
      </c>
      <c r="C475" s="200" t="s">
        <v>271</v>
      </c>
      <c r="D475" s="98" t="s">
        <v>17</v>
      </c>
      <c r="E475" s="99" t="s">
        <v>272</v>
      </c>
      <c r="F475" s="100">
        <v>45473</v>
      </c>
      <c r="G475" s="99">
        <v>1</v>
      </c>
      <c r="H475" s="101">
        <v>78.688677485543749</v>
      </c>
      <c r="I475" s="97"/>
      <c r="J475" s="102"/>
      <c r="K475" s="101"/>
      <c r="L475" s="103" t="str">
        <f t="shared" si="7"/>
        <v>Impayé</v>
      </c>
      <c r="N475" s="15"/>
    </row>
    <row r="476" spans="1:14" s="14" customFormat="1" ht="15" customHeight="1" x14ac:dyDescent="0.25">
      <c r="A476" s="100">
        <v>45838</v>
      </c>
      <c r="B476" s="104">
        <v>765</v>
      </c>
      <c r="C476" s="201" t="s">
        <v>460</v>
      </c>
      <c r="D476" s="104" t="s">
        <v>17</v>
      </c>
      <c r="E476" s="104" t="s">
        <v>73</v>
      </c>
      <c r="F476" s="100">
        <v>45473</v>
      </c>
      <c r="G476" s="105">
        <v>2</v>
      </c>
      <c r="H476" s="99">
        <v>165</v>
      </c>
      <c r="I476" s="106"/>
      <c r="J476" s="107"/>
      <c r="K476" s="104"/>
      <c r="L476" s="103" t="str">
        <f t="shared" si="7"/>
        <v>Impayé</v>
      </c>
      <c r="N476" s="15"/>
    </row>
    <row r="477" spans="1:14" s="14" customFormat="1" ht="15" customHeight="1" x14ac:dyDescent="0.25">
      <c r="A477" s="100">
        <v>45838</v>
      </c>
      <c r="B477" s="104">
        <v>974</v>
      </c>
      <c r="C477" s="201" t="s">
        <v>461</v>
      </c>
      <c r="D477" s="104" t="s">
        <v>17</v>
      </c>
      <c r="E477" s="104" t="s">
        <v>73</v>
      </c>
      <c r="F477" s="100">
        <v>45473</v>
      </c>
      <c r="G477" s="110">
        <v>1</v>
      </c>
      <c r="H477" s="99">
        <v>83</v>
      </c>
      <c r="I477" s="106"/>
      <c r="J477" s="107"/>
      <c r="K477" s="104"/>
      <c r="L477" s="103" t="str">
        <f t="shared" si="7"/>
        <v>Impayé</v>
      </c>
      <c r="N477" s="15"/>
    </row>
    <row r="478" spans="1:14" s="14" customFormat="1" ht="15" customHeight="1" x14ac:dyDescent="0.25">
      <c r="A478" s="100">
        <v>45838</v>
      </c>
      <c r="B478" s="104">
        <v>3742</v>
      </c>
      <c r="C478" s="201" t="s">
        <v>462</v>
      </c>
      <c r="D478" s="104" t="s">
        <v>17</v>
      </c>
      <c r="E478" s="104" t="s">
        <v>73</v>
      </c>
      <c r="F478" s="100">
        <v>45473</v>
      </c>
      <c r="G478" s="110">
        <v>2</v>
      </c>
      <c r="H478" s="99">
        <v>165</v>
      </c>
      <c r="I478" s="106"/>
      <c r="J478" s="107"/>
      <c r="K478" s="104"/>
      <c r="L478" s="103" t="str">
        <f t="shared" si="7"/>
        <v>Impayé</v>
      </c>
      <c r="N478" s="15"/>
    </row>
    <row r="479" spans="1:14" s="14" customFormat="1" ht="15" customHeight="1" x14ac:dyDescent="0.25">
      <c r="A479" s="100">
        <v>45838</v>
      </c>
      <c r="B479" s="104">
        <v>3744</v>
      </c>
      <c r="C479" s="201" t="s">
        <v>464</v>
      </c>
      <c r="D479" s="104" t="s">
        <v>17</v>
      </c>
      <c r="E479" s="104" t="s">
        <v>73</v>
      </c>
      <c r="F479" s="100">
        <v>45473</v>
      </c>
      <c r="G479" s="105">
        <v>1</v>
      </c>
      <c r="H479" s="99">
        <v>83</v>
      </c>
      <c r="I479" s="106"/>
      <c r="J479" s="107"/>
      <c r="K479" s="104"/>
      <c r="L479" s="103" t="str">
        <f t="shared" si="7"/>
        <v>Impayé</v>
      </c>
      <c r="N479" s="15"/>
    </row>
    <row r="480" spans="1:14" s="14" customFormat="1" ht="15" customHeight="1" x14ac:dyDescent="0.25">
      <c r="A480" s="100">
        <v>45838</v>
      </c>
      <c r="B480" s="145">
        <v>1057</v>
      </c>
      <c r="C480" s="200" t="s">
        <v>72</v>
      </c>
      <c r="D480" s="98" t="s">
        <v>17</v>
      </c>
      <c r="E480" s="99" t="s">
        <v>73</v>
      </c>
      <c r="F480" s="100">
        <v>45473</v>
      </c>
      <c r="G480" s="99">
        <v>1</v>
      </c>
      <c r="H480" s="101">
        <v>71.535161350494306</v>
      </c>
      <c r="I480" s="97"/>
      <c r="J480" s="102"/>
      <c r="K480" s="101"/>
      <c r="L480" s="103" t="str">
        <f t="shared" si="7"/>
        <v>Impayé</v>
      </c>
      <c r="N480" s="15"/>
    </row>
    <row r="481" spans="1:14" s="14" customFormat="1" ht="15" customHeight="1" x14ac:dyDescent="0.25">
      <c r="A481" s="100">
        <v>45838</v>
      </c>
      <c r="B481" s="104">
        <v>3944</v>
      </c>
      <c r="C481" s="201" t="s">
        <v>575</v>
      </c>
      <c r="D481" s="104" t="s">
        <v>17</v>
      </c>
      <c r="E481" s="104" t="s">
        <v>73</v>
      </c>
      <c r="F481" s="104" t="s">
        <v>517</v>
      </c>
      <c r="G481" s="105">
        <v>4</v>
      </c>
      <c r="H481" s="99">
        <v>330</v>
      </c>
      <c r="I481" s="106"/>
      <c r="J481" s="107"/>
      <c r="K481" s="104"/>
      <c r="L481" s="103" t="str">
        <f t="shared" si="7"/>
        <v>Impayé</v>
      </c>
      <c r="N481" s="15"/>
    </row>
    <row r="482" spans="1:14" s="14" customFormat="1" ht="15" customHeight="1" x14ac:dyDescent="0.25">
      <c r="A482" s="100">
        <v>45838</v>
      </c>
      <c r="B482" s="104">
        <v>3944</v>
      </c>
      <c r="C482" s="201" t="s">
        <v>575</v>
      </c>
      <c r="D482" s="104" t="s">
        <v>17</v>
      </c>
      <c r="E482" s="104" t="s">
        <v>73</v>
      </c>
      <c r="F482" s="104" t="s">
        <v>519</v>
      </c>
      <c r="G482" s="105">
        <v>1</v>
      </c>
      <c r="H482" s="99">
        <v>83</v>
      </c>
      <c r="I482" s="97"/>
      <c r="J482" s="107"/>
      <c r="K482" s="104"/>
      <c r="L482" s="103" t="str">
        <f t="shared" si="7"/>
        <v>Impayé</v>
      </c>
      <c r="N482" s="15"/>
    </row>
    <row r="483" spans="1:14" s="14" customFormat="1" ht="15" customHeight="1" x14ac:dyDescent="0.25">
      <c r="A483" s="100">
        <v>45838</v>
      </c>
      <c r="B483" s="104">
        <v>1026</v>
      </c>
      <c r="C483" s="201" t="s">
        <v>601</v>
      </c>
      <c r="D483" s="104" t="s">
        <v>17</v>
      </c>
      <c r="E483" s="104" t="s">
        <v>73</v>
      </c>
      <c r="F483" s="104" t="s">
        <v>521</v>
      </c>
      <c r="G483" s="105">
        <v>1</v>
      </c>
      <c r="H483" s="108">
        <v>83</v>
      </c>
      <c r="I483" s="106"/>
      <c r="J483" s="107"/>
      <c r="K483" s="104"/>
      <c r="L483" s="103" t="str">
        <f t="shared" si="7"/>
        <v>Impayé</v>
      </c>
      <c r="N483" s="15"/>
    </row>
    <row r="484" spans="1:14" s="14" customFormat="1" ht="15" customHeight="1" x14ac:dyDescent="0.25">
      <c r="A484" s="100">
        <v>45838</v>
      </c>
      <c r="B484" s="104">
        <v>4189</v>
      </c>
      <c r="C484" s="201" t="s">
        <v>608</v>
      </c>
      <c r="D484" s="104" t="s">
        <v>17</v>
      </c>
      <c r="E484" s="104" t="s">
        <v>73</v>
      </c>
      <c r="F484" s="104" t="s">
        <v>521</v>
      </c>
      <c r="G484" s="105">
        <v>2</v>
      </c>
      <c r="H484" s="108">
        <v>165</v>
      </c>
      <c r="I484" s="106"/>
      <c r="J484" s="107"/>
      <c r="K484" s="104"/>
      <c r="L484" s="103" t="str">
        <f t="shared" si="7"/>
        <v>Impayé</v>
      </c>
      <c r="N484" s="15"/>
    </row>
    <row r="485" spans="1:14" s="14" customFormat="1" ht="15" customHeight="1" x14ac:dyDescent="0.25">
      <c r="A485" s="100">
        <v>45838</v>
      </c>
      <c r="B485" s="104">
        <v>6049</v>
      </c>
      <c r="C485" s="201" t="s">
        <v>643</v>
      </c>
      <c r="D485" s="104" t="s">
        <v>17</v>
      </c>
      <c r="E485" s="104" t="s">
        <v>73</v>
      </c>
      <c r="F485" s="104" t="s">
        <v>521</v>
      </c>
      <c r="G485" s="105">
        <v>2</v>
      </c>
      <c r="H485" s="108">
        <v>165</v>
      </c>
      <c r="I485" s="106"/>
      <c r="J485" s="107"/>
      <c r="K485" s="104"/>
      <c r="L485" s="103" t="str">
        <f t="shared" si="7"/>
        <v>Impayé</v>
      </c>
      <c r="N485" s="15"/>
    </row>
    <row r="486" spans="1:14" s="14" customFormat="1" ht="15" customHeight="1" x14ac:dyDescent="0.25">
      <c r="A486" s="100">
        <v>45838</v>
      </c>
      <c r="B486" s="104">
        <v>1024</v>
      </c>
      <c r="C486" s="201" t="s">
        <v>600</v>
      </c>
      <c r="D486" s="104" t="s">
        <v>17</v>
      </c>
      <c r="E486" s="104" t="s">
        <v>73</v>
      </c>
      <c r="F486" s="104" t="s">
        <v>518</v>
      </c>
      <c r="G486" s="99">
        <v>3</v>
      </c>
      <c r="H486" s="99">
        <v>248</v>
      </c>
      <c r="I486" s="106"/>
      <c r="J486" s="107"/>
      <c r="K486" s="104"/>
      <c r="L486" s="103" t="str">
        <f t="shared" si="7"/>
        <v>Impayé</v>
      </c>
      <c r="N486" s="15"/>
    </row>
    <row r="487" spans="1:14" s="14" customFormat="1" ht="15" customHeight="1" x14ac:dyDescent="0.25">
      <c r="A487" s="100">
        <v>45838</v>
      </c>
      <c r="B487" s="104">
        <v>6049</v>
      </c>
      <c r="C487" s="201" t="s">
        <v>643</v>
      </c>
      <c r="D487" s="104" t="s">
        <v>17</v>
      </c>
      <c r="E487" s="104" t="s">
        <v>73</v>
      </c>
      <c r="F487" s="104" t="s">
        <v>520</v>
      </c>
      <c r="G487" s="105">
        <v>5</v>
      </c>
      <c r="H487" s="99">
        <v>413</v>
      </c>
      <c r="I487" s="106"/>
      <c r="J487" s="107"/>
      <c r="K487" s="104"/>
      <c r="L487" s="103" t="str">
        <f t="shared" si="7"/>
        <v>Impayé</v>
      </c>
      <c r="N487" s="15"/>
    </row>
    <row r="488" spans="1:14" s="14" customFormat="1" ht="15" customHeight="1" x14ac:dyDescent="0.25">
      <c r="A488" s="100">
        <v>45838</v>
      </c>
      <c r="B488" s="145">
        <v>1018</v>
      </c>
      <c r="C488" s="200" t="s">
        <v>70</v>
      </c>
      <c r="D488" s="98" t="s">
        <v>17</v>
      </c>
      <c r="E488" s="99" t="s">
        <v>71</v>
      </c>
      <c r="F488" s="100">
        <v>45473</v>
      </c>
      <c r="G488" s="99">
        <v>1</v>
      </c>
      <c r="H488" s="101">
        <v>72</v>
      </c>
      <c r="I488" s="97"/>
      <c r="J488" s="102"/>
      <c r="K488" s="101"/>
      <c r="L488" s="103" t="str">
        <f t="shared" ref="L488:L551" si="8">IF(ISBLANK(H488),"",IF(H488=K488,"Payé","Impayé"))</f>
        <v>Impayé</v>
      </c>
      <c r="N488" s="15"/>
    </row>
    <row r="489" spans="1:14" s="14" customFormat="1" ht="15" customHeight="1" x14ac:dyDescent="0.25">
      <c r="A489" s="100">
        <v>45838</v>
      </c>
      <c r="B489" s="145">
        <v>1018</v>
      </c>
      <c r="C489" s="200" t="s">
        <v>70</v>
      </c>
      <c r="D489" s="98" t="s">
        <v>17</v>
      </c>
      <c r="E489" s="99" t="s">
        <v>71</v>
      </c>
      <c r="F489" s="100">
        <v>45473</v>
      </c>
      <c r="G489" s="99">
        <v>1</v>
      </c>
      <c r="H489" s="101">
        <v>72</v>
      </c>
      <c r="I489" s="97"/>
      <c r="J489" s="102"/>
      <c r="K489" s="101"/>
      <c r="L489" s="103" t="str">
        <f t="shared" si="8"/>
        <v>Impayé</v>
      </c>
      <c r="N489" s="15"/>
    </row>
    <row r="490" spans="1:14" s="14" customFormat="1" ht="15" customHeight="1" x14ac:dyDescent="0.25">
      <c r="A490" s="100">
        <v>45838</v>
      </c>
      <c r="B490" s="104"/>
      <c r="C490" s="201" t="s">
        <v>784</v>
      </c>
      <c r="D490" s="104" t="s">
        <v>17</v>
      </c>
      <c r="E490" s="104" t="s">
        <v>797</v>
      </c>
      <c r="F490" s="104" t="s">
        <v>536</v>
      </c>
      <c r="G490" s="105">
        <v>1</v>
      </c>
      <c r="H490" s="99">
        <v>100</v>
      </c>
      <c r="I490" s="106"/>
      <c r="J490" s="107"/>
      <c r="K490" s="104"/>
      <c r="L490" s="103" t="str">
        <f t="shared" si="8"/>
        <v>Impayé</v>
      </c>
      <c r="N490" s="15"/>
    </row>
    <row r="491" spans="1:14" s="14" customFormat="1" ht="15" customHeight="1" x14ac:dyDescent="0.25">
      <c r="A491" s="100">
        <v>45838</v>
      </c>
      <c r="B491" s="104"/>
      <c r="C491" s="201" t="s">
        <v>785</v>
      </c>
      <c r="D491" s="104" t="s">
        <v>17</v>
      </c>
      <c r="E491" s="104" t="s">
        <v>797</v>
      </c>
      <c r="F491" s="104" t="s">
        <v>536</v>
      </c>
      <c r="G491" s="105">
        <v>1</v>
      </c>
      <c r="H491" s="99">
        <v>100</v>
      </c>
      <c r="I491" s="106"/>
      <c r="J491" s="107"/>
      <c r="K491" s="104"/>
      <c r="L491" s="103" t="str">
        <f t="shared" si="8"/>
        <v>Impayé</v>
      </c>
      <c r="N491" s="15"/>
    </row>
    <row r="492" spans="1:14" s="14" customFormat="1" ht="15" customHeight="1" x14ac:dyDescent="0.25">
      <c r="A492" s="100">
        <v>45838</v>
      </c>
      <c r="B492" s="104">
        <v>4988</v>
      </c>
      <c r="C492" s="201" t="s">
        <v>773</v>
      </c>
      <c r="D492" s="104" t="s">
        <v>17</v>
      </c>
      <c r="E492" s="104" t="s">
        <v>756</v>
      </c>
      <c r="F492" s="104" t="s">
        <v>536</v>
      </c>
      <c r="G492" s="105">
        <v>1</v>
      </c>
      <c r="H492" s="99">
        <v>100</v>
      </c>
      <c r="I492" s="106"/>
      <c r="J492" s="107"/>
      <c r="K492" s="104"/>
      <c r="L492" s="103" t="str">
        <f t="shared" si="8"/>
        <v>Impayé</v>
      </c>
      <c r="N492" s="15"/>
    </row>
    <row r="493" spans="1:14" s="14" customFormat="1" ht="15" customHeight="1" x14ac:dyDescent="0.25">
      <c r="A493" s="100">
        <v>45838</v>
      </c>
      <c r="B493" s="104">
        <v>5001</v>
      </c>
      <c r="C493" s="201" t="s">
        <v>774</v>
      </c>
      <c r="D493" s="104" t="s">
        <v>17</v>
      </c>
      <c r="E493" s="104" t="s">
        <v>756</v>
      </c>
      <c r="F493" s="104" t="s">
        <v>536</v>
      </c>
      <c r="G493" s="105">
        <v>1</v>
      </c>
      <c r="H493" s="99">
        <v>100</v>
      </c>
      <c r="I493" s="106"/>
      <c r="J493" s="107"/>
      <c r="K493" s="104"/>
      <c r="L493" s="103" t="str">
        <f t="shared" si="8"/>
        <v>Impayé</v>
      </c>
      <c r="N493" s="15"/>
    </row>
    <row r="494" spans="1:14" s="14" customFormat="1" ht="15" customHeight="1" x14ac:dyDescent="0.25">
      <c r="A494" s="100">
        <v>45838</v>
      </c>
      <c r="B494" s="104"/>
      <c r="C494" s="201" t="s">
        <v>790</v>
      </c>
      <c r="D494" s="104" t="s">
        <v>17</v>
      </c>
      <c r="E494" s="104" t="s">
        <v>756</v>
      </c>
      <c r="F494" s="104" t="s">
        <v>536</v>
      </c>
      <c r="G494" s="105">
        <v>1</v>
      </c>
      <c r="H494" s="99">
        <v>100</v>
      </c>
      <c r="I494" s="106"/>
      <c r="J494" s="107"/>
      <c r="K494" s="104"/>
      <c r="L494" s="103" t="str">
        <f t="shared" si="8"/>
        <v>Impayé</v>
      </c>
      <c r="N494" s="15"/>
    </row>
    <row r="495" spans="1:14" s="14" customFormat="1" ht="15" customHeight="1" x14ac:dyDescent="0.25">
      <c r="A495" s="100">
        <v>45838</v>
      </c>
      <c r="B495" s="104"/>
      <c r="C495" s="201" t="s">
        <v>791</v>
      </c>
      <c r="D495" s="104" t="s">
        <v>17</v>
      </c>
      <c r="E495" s="104" t="s">
        <v>756</v>
      </c>
      <c r="F495" s="104" t="s">
        <v>536</v>
      </c>
      <c r="G495" s="105">
        <v>1</v>
      </c>
      <c r="H495" s="99">
        <v>100</v>
      </c>
      <c r="I495" s="106"/>
      <c r="J495" s="107"/>
      <c r="K495" s="104"/>
      <c r="L495" s="103" t="str">
        <f t="shared" si="8"/>
        <v>Impayé</v>
      </c>
      <c r="N495" s="15"/>
    </row>
    <row r="496" spans="1:14" s="14" customFormat="1" ht="15" customHeight="1" x14ac:dyDescent="0.25">
      <c r="A496" s="100">
        <v>45838</v>
      </c>
      <c r="B496" s="104"/>
      <c r="C496" s="201" t="s">
        <v>814</v>
      </c>
      <c r="D496" s="104" t="s">
        <v>17</v>
      </c>
      <c r="E496" s="104" t="s">
        <v>756</v>
      </c>
      <c r="F496" s="104" t="s">
        <v>537</v>
      </c>
      <c r="G496" s="105">
        <v>2</v>
      </c>
      <c r="H496" s="99">
        <v>173</v>
      </c>
      <c r="I496" s="106"/>
      <c r="J496" s="107"/>
      <c r="K496" s="104"/>
      <c r="L496" s="103" t="str">
        <f t="shared" si="8"/>
        <v>Impayé</v>
      </c>
      <c r="N496" s="15"/>
    </row>
    <row r="497" spans="1:14" s="14" customFormat="1" ht="15" customHeight="1" x14ac:dyDescent="0.25">
      <c r="A497" s="100">
        <v>45838</v>
      </c>
      <c r="B497" s="145">
        <v>1892</v>
      </c>
      <c r="C497" s="200" t="s">
        <v>52</v>
      </c>
      <c r="D497" s="98" t="s">
        <v>17</v>
      </c>
      <c r="E497" s="99" t="s">
        <v>51</v>
      </c>
      <c r="F497" s="100">
        <v>45473</v>
      </c>
      <c r="G497" s="99">
        <v>1</v>
      </c>
      <c r="H497" s="101">
        <v>71.535161350494306</v>
      </c>
      <c r="I497" s="97"/>
      <c r="J497" s="102"/>
      <c r="K497" s="101"/>
      <c r="L497" s="103" t="str">
        <f t="shared" si="8"/>
        <v>Impayé</v>
      </c>
      <c r="N497" s="15"/>
    </row>
    <row r="498" spans="1:14" s="14" customFormat="1" ht="15" customHeight="1" x14ac:dyDescent="0.25">
      <c r="A498" s="100">
        <v>45838</v>
      </c>
      <c r="B498" s="145">
        <v>1892</v>
      </c>
      <c r="C498" s="200" t="s">
        <v>52</v>
      </c>
      <c r="D498" s="98" t="s">
        <v>17</v>
      </c>
      <c r="E498" s="99" t="s">
        <v>51</v>
      </c>
      <c r="F498" s="100">
        <v>45473</v>
      </c>
      <c r="G498" s="99">
        <v>2</v>
      </c>
      <c r="H498" s="101">
        <v>143.07032270098861</v>
      </c>
      <c r="I498" s="97"/>
      <c r="J498" s="102"/>
      <c r="K498" s="101"/>
      <c r="L498" s="103" t="str">
        <f t="shared" si="8"/>
        <v>Impayé</v>
      </c>
      <c r="N498" s="15"/>
    </row>
    <row r="499" spans="1:14" s="14" customFormat="1" ht="15" customHeight="1" x14ac:dyDescent="0.25">
      <c r="A499" s="100">
        <v>45838</v>
      </c>
      <c r="B499" s="145">
        <v>2540</v>
      </c>
      <c r="C499" s="200" t="s">
        <v>218</v>
      </c>
      <c r="D499" s="98" t="s">
        <v>17</v>
      </c>
      <c r="E499" s="99" t="s">
        <v>51</v>
      </c>
      <c r="F499" s="100">
        <v>45473</v>
      </c>
      <c r="G499" s="99">
        <v>1</v>
      </c>
      <c r="H499" s="101">
        <v>78.688677485543749</v>
      </c>
      <c r="I499" s="97"/>
      <c r="J499" s="102"/>
      <c r="K499" s="101"/>
      <c r="L499" s="103" t="str">
        <f t="shared" si="8"/>
        <v>Impayé</v>
      </c>
      <c r="N499" s="15"/>
    </row>
    <row r="500" spans="1:14" s="14" customFormat="1" ht="15" customHeight="1" x14ac:dyDescent="0.25">
      <c r="A500" s="100">
        <v>45838</v>
      </c>
      <c r="B500" s="145">
        <v>632</v>
      </c>
      <c r="C500" s="200" t="s">
        <v>53</v>
      </c>
      <c r="D500" s="98" t="s">
        <v>17</v>
      </c>
      <c r="E500" s="99" t="s">
        <v>51</v>
      </c>
      <c r="F500" s="100">
        <v>45473</v>
      </c>
      <c r="G500" s="99">
        <v>1</v>
      </c>
      <c r="H500" s="101">
        <v>71.535161350494306</v>
      </c>
      <c r="I500" s="97"/>
      <c r="J500" s="102"/>
      <c r="K500" s="101"/>
      <c r="L500" s="103" t="str">
        <f t="shared" si="8"/>
        <v>Impayé</v>
      </c>
      <c r="N500" s="15"/>
    </row>
    <row r="501" spans="1:14" s="14" customFormat="1" ht="15" customHeight="1" x14ac:dyDescent="0.25">
      <c r="A501" s="100">
        <v>45838</v>
      </c>
      <c r="B501" s="145">
        <v>2099</v>
      </c>
      <c r="C501" s="200" t="s">
        <v>55</v>
      </c>
      <c r="D501" s="98" t="s">
        <v>17</v>
      </c>
      <c r="E501" s="99" t="s">
        <v>51</v>
      </c>
      <c r="F501" s="100">
        <v>45473</v>
      </c>
      <c r="G501" s="99">
        <v>1</v>
      </c>
      <c r="H501" s="101">
        <v>71.535161350494306</v>
      </c>
      <c r="I501" s="97"/>
      <c r="J501" s="102"/>
      <c r="K501" s="101"/>
      <c r="L501" s="103" t="str">
        <f t="shared" si="8"/>
        <v>Impayé</v>
      </c>
      <c r="N501" s="15"/>
    </row>
    <row r="502" spans="1:14" s="14" customFormat="1" ht="15" customHeight="1" x14ac:dyDescent="0.25">
      <c r="A502" s="100">
        <v>45838</v>
      </c>
      <c r="B502" s="145">
        <v>1451</v>
      </c>
      <c r="C502" s="200" t="s">
        <v>50</v>
      </c>
      <c r="D502" s="98" t="s">
        <v>17</v>
      </c>
      <c r="E502" s="99" t="s">
        <v>51</v>
      </c>
      <c r="F502" s="100">
        <v>45473</v>
      </c>
      <c r="G502" s="99">
        <v>1</v>
      </c>
      <c r="H502" s="101">
        <v>71.535161350494306</v>
      </c>
      <c r="I502" s="97"/>
      <c r="J502" s="102"/>
      <c r="K502" s="101"/>
      <c r="L502" s="103" t="str">
        <f t="shared" si="8"/>
        <v>Impayé</v>
      </c>
      <c r="N502" s="15"/>
    </row>
    <row r="503" spans="1:14" s="14" customFormat="1" ht="15" customHeight="1" x14ac:dyDescent="0.25">
      <c r="A503" s="100">
        <v>45838</v>
      </c>
      <c r="B503" s="145">
        <v>1451</v>
      </c>
      <c r="C503" s="200" t="s">
        <v>50</v>
      </c>
      <c r="D503" s="98" t="s">
        <v>17</v>
      </c>
      <c r="E503" s="99" t="s">
        <v>51</v>
      </c>
      <c r="F503" s="100">
        <v>45473</v>
      </c>
      <c r="G503" s="99">
        <v>1</v>
      </c>
      <c r="H503" s="101">
        <v>71.535161350494306</v>
      </c>
      <c r="I503" s="97"/>
      <c r="J503" s="102"/>
      <c r="K503" s="101"/>
      <c r="L503" s="103" t="str">
        <f t="shared" si="8"/>
        <v>Impayé</v>
      </c>
      <c r="N503" s="15"/>
    </row>
    <row r="504" spans="1:14" s="14" customFormat="1" ht="15" customHeight="1" x14ac:dyDescent="0.25">
      <c r="A504" s="100">
        <v>45838</v>
      </c>
      <c r="B504" s="145">
        <v>1802</v>
      </c>
      <c r="C504" s="200" t="s">
        <v>143</v>
      </c>
      <c r="D504" s="98" t="s">
        <v>17</v>
      </c>
      <c r="E504" s="99" t="s">
        <v>51</v>
      </c>
      <c r="F504" s="100">
        <v>45473</v>
      </c>
      <c r="G504" s="99">
        <v>1</v>
      </c>
      <c r="H504" s="101">
        <v>71.535161350494306</v>
      </c>
      <c r="I504" s="97"/>
      <c r="J504" s="102"/>
      <c r="K504" s="101"/>
      <c r="L504" s="103" t="str">
        <f t="shared" si="8"/>
        <v>Impayé</v>
      </c>
      <c r="N504" s="15"/>
    </row>
    <row r="505" spans="1:14" s="14" customFormat="1" ht="15" customHeight="1" x14ac:dyDescent="0.25">
      <c r="A505" s="100">
        <v>45838</v>
      </c>
      <c r="B505" s="145">
        <v>2547</v>
      </c>
      <c r="C505" s="200" t="s">
        <v>223</v>
      </c>
      <c r="D505" s="98" t="s">
        <v>17</v>
      </c>
      <c r="E505" s="99" t="s">
        <v>51</v>
      </c>
      <c r="F505" s="100">
        <v>45473</v>
      </c>
      <c r="G505" s="99">
        <v>1</v>
      </c>
      <c r="H505" s="101">
        <v>78.688677485543749</v>
      </c>
      <c r="I505" s="97"/>
      <c r="J505" s="102"/>
      <c r="K505" s="101"/>
      <c r="L505" s="103" t="str">
        <f t="shared" si="8"/>
        <v>Impayé</v>
      </c>
      <c r="N505" s="15"/>
    </row>
    <row r="506" spans="1:14" s="14" customFormat="1" ht="15" customHeight="1" x14ac:dyDescent="0.25">
      <c r="A506" s="100">
        <v>45838</v>
      </c>
      <c r="B506" s="145">
        <v>2060</v>
      </c>
      <c r="C506" s="200" t="s">
        <v>54</v>
      </c>
      <c r="D506" s="98" t="s">
        <v>17</v>
      </c>
      <c r="E506" s="99" t="s">
        <v>51</v>
      </c>
      <c r="F506" s="100">
        <v>45473</v>
      </c>
      <c r="G506" s="99">
        <v>2</v>
      </c>
      <c r="H506" s="101">
        <v>143.07032270098861</v>
      </c>
      <c r="I506" s="97"/>
      <c r="J506" s="102"/>
      <c r="K506" s="101"/>
      <c r="L506" s="103" t="str">
        <f t="shared" si="8"/>
        <v>Impayé</v>
      </c>
      <c r="N506" s="15"/>
    </row>
    <row r="507" spans="1:14" s="14" customFormat="1" ht="15" customHeight="1" x14ac:dyDescent="0.25">
      <c r="A507" s="100">
        <v>45838</v>
      </c>
      <c r="B507" s="145">
        <v>1246</v>
      </c>
      <c r="C507" s="200" t="s">
        <v>56</v>
      </c>
      <c r="D507" s="98" t="s">
        <v>17</v>
      </c>
      <c r="E507" s="99" t="s">
        <v>51</v>
      </c>
      <c r="F507" s="100">
        <v>45473</v>
      </c>
      <c r="G507" s="99">
        <v>1</v>
      </c>
      <c r="H507" s="101">
        <v>71.535161350494306</v>
      </c>
      <c r="I507" s="97"/>
      <c r="J507" s="102"/>
      <c r="K507" s="101"/>
      <c r="L507" s="103" t="str">
        <f t="shared" si="8"/>
        <v>Impayé</v>
      </c>
      <c r="N507" s="15"/>
    </row>
    <row r="508" spans="1:14" s="14" customFormat="1" ht="15" customHeight="1" x14ac:dyDescent="0.25">
      <c r="A508" s="100">
        <v>45838</v>
      </c>
      <c r="B508" s="145">
        <v>1453</v>
      </c>
      <c r="C508" s="200" t="s">
        <v>111</v>
      </c>
      <c r="D508" s="98" t="s">
        <v>17</v>
      </c>
      <c r="E508" s="99" t="s">
        <v>51</v>
      </c>
      <c r="F508" s="100">
        <v>45473</v>
      </c>
      <c r="G508" s="99">
        <v>3</v>
      </c>
      <c r="H508" s="101">
        <v>215</v>
      </c>
      <c r="I508" s="97"/>
      <c r="J508" s="102"/>
      <c r="K508" s="101"/>
      <c r="L508" s="103" t="str">
        <f t="shared" si="8"/>
        <v>Impayé</v>
      </c>
      <c r="N508" s="15"/>
    </row>
    <row r="509" spans="1:14" s="14" customFormat="1" ht="15" customHeight="1" x14ac:dyDescent="0.25">
      <c r="A509" s="100">
        <v>45838</v>
      </c>
      <c r="B509" s="145">
        <v>1541</v>
      </c>
      <c r="C509" s="200" t="s">
        <v>119</v>
      </c>
      <c r="D509" s="98" t="s">
        <v>17</v>
      </c>
      <c r="E509" s="99" t="s">
        <v>51</v>
      </c>
      <c r="F509" s="100">
        <v>45473</v>
      </c>
      <c r="G509" s="99" t="s">
        <v>61</v>
      </c>
      <c r="H509" s="101">
        <v>71.53516135049432</v>
      </c>
      <c r="I509" s="97"/>
      <c r="J509" s="102"/>
      <c r="K509" s="101"/>
      <c r="L509" s="103" t="str">
        <f t="shared" si="8"/>
        <v>Impayé</v>
      </c>
      <c r="N509" s="15"/>
    </row>
    <row r="510" spans="1:14" s="14" customFormat="1" ht="15" customHeight="1" x14ac:dyDescent="0.25">
      <c r="A510" s="100">
        <v>45838</v>
      </c>
      <c r="B510" s="145">
        <v>1541</v>
      </c>
      <c r="C510" s="200" t="s">
        <v>119</v>
      </c>
      <c r="D510" s="98" t="s">
        <v>17</v>
      </c>
      <c r="E510" s="99" t="s">
        <v>51</v>
      </c>
      <c r="F510" s="100">
        <v>45473</v>
      </c>
      <c r="G510" s="99">
        <v>2</v>
      </c>
      <c r="H510" s="101">
        <v>143.07032270098861</v>
      </c>
      <c r="I510" s="97"/>
      <c r="J510" s="102"/>
      <c r="K510" s="101"/>
      <c r="L510" s="103" t="str">
        <f t="shared" si="8"/>
        <v>Impayé</v>
      </c>
      <c r="N510" s="15"/>
    </row>
    <row r="511" spans="1:14" s="14" customFormat="1" ht="15" customHeight="1" x14ac:dyDescent="0.25">
      <c r="A511" s="100">
        <v>45838</v>
      </c>
      <c r="B511" s="145">
        <v>1486</v>
      </c>
      <c r="C511" s="200" t="s">
        <v>113</v>
      </c>
      <c r="D511" s="98" t="s">
        <v>17</v>
      </c>
      <c r="E511" s="99" t="s">
        <v>51</v>
      </c>
      <c r="F511" s="100">
        <v>45473</v>
      </c>
      <c r="G511" s="99">
        <v>1</v>
      </c>
      <c r="H511" s="101">
        <v>72</v>
      </c>
      <c r="I511" s="97"/>
      <c r="J511" s="102"/>
      <c r="K511" s="101"/>
      <c r="L511" s="103" t="str">
        <f t="shared" si="8"/>
        <v>Impayé</v>
      </c>
      <c r="N511" s="15"/>
    </row>
    <row r="512" spans="1:14" s="14" customFormat="1" ht="15" customHeight="1" x14ac:dyDescent="0.25">
      <c r="A512" s="100">
        <v>45838</v>
      </c>
      <c r="B512" s="145">
        <v>3288</v>
      </c>
      <c r="C512" s="200" t="s">
        <v>356</v>
      </c>
      <c r="D512" s="98" t="s">
        <v>17</v>
      </c>
      <c r="E512" s="99" t="s">
        <v>336</v>
      </c>
      <c r="F512" s="100">
        <v>45473</v>
      </c>
      <c r="G512" s="99">
        <v>1</v>
      </c>
      <c r="H512" s="101">
        <v>78.688677485543749</v>
      </c>
      <c r="I512" s="97"/>
      <c r="J512" s="102"/>
      <c r="K512" s="101"/>
      <c r="L512" s="103" t="str">
        <f t="shared" si="8"/>
        <v>Impayé</v>
      </c>
      <c r="N512" s="15"/>
    </row>
    <row r="513" spans="1:14" s="14" customFormat="1" ht="15" customHeight="1" x14ac:dyDescent="0.25">
      <c r="A513" s="100">
        <v>45838</v>
      </c>
      <c r="B513" s="145">
        <v>3207</v>
      </c>
      <c r="C513" s="200" t="s">
        <v>352</v>
      </c>
      <c r="D513" s="98" t="s">
        <v>17</v>
      </c>
      <c r="E513" s="99" t="s">
        <v>336</v>
      </c>
      <c r="F513" s="100">
        <v>45473</v>
      </c>
      <c r="G513" s="99">
        <v>1</v>
      </c>
      <c r="H513" s="101">
        <v>78.688677485543749</v>
      </c>
      <c r="I513" s="97"/>
      <c r="J513" s="102"/>
      <c r="K513" s="101"/>
      <c r="L513" s="103" t="str">
        <f t="shared" si="8"/>
        <v>Impayé</v>
      </c>
      <c r="N513" s="15"/>
    </row>
    <row r="514" spans="1:14" s="14" customFormat="1" ht="15" customHeight="1" x14ac:dyDescent="0.25">
      <c r="A514" s="100">
        <v>45838</v>
      </c>
      <c r="B514" s="145">
        <v>3160</v>
      </c>
      <c r="C514" s="200" t="s">
        <v>354</v>
      </c>
      <c r="D514" s="98" t="s">
        <v>17</v>
      </c>
      <c r="E514" s="99" t="s">
        <v>336</v>
      </c>
      <c r="F514" s="100">
        <v>45473</v>
      </c>
      <c r="G514" s="99">
        <v>1</v>
      </c>
      <c r="H514" s="101">
        <v>78.688677485543749</v>
      </c>
      <c r="I514" s="97"/>
      <c r="J514" s="102"/>
      <c r="K514" s="101"/>
      <c r="L514" s="103" t="str">
        <f t="shared" si="8"/>
        <v>Impayé</v>
      </c>
      <c r="N514" s="15"/>
    </row>
    <row r="515" spans="1:14" s="14" customFormat="1" ht="15" customHeight="1" x14ac:dyDescent="0.25">
      <c r="A515" s="100">
        <v>45838</v>
      </c>
      <c r="B515" s="145">
        <v>3413</v>
      </c>
      <c r="C515" s="200" t="s">
        <v>337</v>
      </c>
      <c r="D515" s="98" t="s">
        <v>17</v>
      </c>
      <c r="E515" s="99" t="s">
        <v>336</v>
      </c>
      <c r="F515" s="100">
        <v>45473</v>
      </c>
      <c r="G515" s="99">
        <v>1</v>
      </c>
      <c r="H515" s="101">
        <v>78.688677485543749</v>
      </c>
      <c r="I515" s="97"/>
      <c r="J515" s="102"/>
      <c r="K515" s="101"/>
      <c r="L515" s="103" t="str">
        <f t="shared" si="8"/>
        <v>Impayé</v>
      </c>
      <c r="N515" s="15"/>
    </row>
    <row r="516" spans="1:14" s="14" customFormat="1" ht="15" customHeight="1" x14ac:dyDescent="0.25">
      <c r="A516" s="100">
        <v>45838</v>
      </c>
      <c r="B516" s="145">
        <v>3325</v>
      </c>
      <c r="C516" s="200" t="s">
        <v>358</v>
      </c>
      <c r="D516" s="98" t="s">
        <v>17</v>
      </c>
      <c r="E516" s="99" t="s">
        <v>336</v>
      </c>
      <c r="F516" s="100">
        <v>45473</v>
      </c>
      <c r="G516" s="99">
        <v>1</v>
      </c>
      <c r="H516" s="101">
        <v>78.688677485543749</v>
      </c>
      <c r="I516" s="97"/>
      <c r="J516" s="102"/>
      <c r="K516" s="101"/>
      <c r="L516" s="103" t="str">
        <f t="shared" si="8"/>
        <v>Impayé</v>
      </c>
      <c r="N516" s="15"/>
    </row>
    <row r="517" spans="1:14" s="14" customFormat="1" ht="15" customHeight="1" x14ac:dyDescent="0.25">
      <c r="A517" s="100">
        <v>45838</v>
      </c>
      <c r="B517" s="145">
        <v>3311</v>
      </c>
      <c r="C517" s="200" t="s">
        <v>357</v>
      </c>
      <c r="D517" s="98" t="s">
        <v>17</v>
      </c>
      <c r="E517" s="99" t="s">
        <v>336</v>
      </c>
      <c r="F517" s="100">
        <v>45473</v>
      </c>
      <c r="G517" s="99">
        <v>1</v>
      </c>
      <c r="H517" s="101">
        <v>78.688677485543749</v>
      </c>
      <c r="I517" s="97"/>
      <c r="J517" s="102"/>
      <c r="K517" s="101"/>
      <c r="L517" s="103" t="str">
        <f t="shared" si="8"/>
        <v>Impayé</v>
      </c>
      <c r="N517" s="15"/>
    </row>
    <row r="518" spans="1:14" s="14" customFormat="1" ht="15" customHeight="1" x14ac:dyDescent="0.25">
      <c r="A518" s="100">
        <v>45838</v>
      </c>
      <c r="B518" s="145">
        <v>3154</v>
      </c>
      <c r="C518" s="200" t="s">
        <v>353</v>
      </c>
      <c r="D518" s="98" t="s">
        <v>17</v>
      </c>
      <c r="E518" s="99" t="s">
        <v>336</v>
      </c>
      <c r="F518" s="100">
        <v>45473</v>
      </c>
      <c r="G518" s="99">
        <v>1</v>
      </c>
      <c r="H518" s="101">
        <v>78.688677485543749</v>
      </c>
      <c r="I518" s="97"/>
      <c r="J518" s="102"/>
      <c r="K518" s="101"/>
      <c r="L518" s="103" t="str">
        <f t="shared" si="8"/>
        <v>Impayé</v>
      </c>
      <c r="N518" s="15"/>
    </row>
    <row r="519" spans="1:14" s="14" customFormat="1" ht="15" customHeight="1" x14ac:dyDescent="0.25">
      <c r="A519" s="100">
        <v>45838</v>
      </c>
      <c r="B519" s="145">
        <v>3266</v>
      </c>
      <c r="C519" s="200" t="s">
        <v>355</v>
      </c>
      <c r="D519" s="98" t="s">
        <v>17</v>
      </c>
      <c r="E519" s="99" t="s">
        <v>336</v>
      </c>
      <c r="F519" s="100">
        <v>45473</v>
      </c>
      <c r="G519" s="99">
        <v>1</v>
      </c>
      <c r="H519" s="101">
        <v>78.688677485543749</v>
      </c>
      <c r="I519" s="97"/>
      <c r="J519" s="102"/>
      <c r="K519" s="101"/>
      <c r="L519" s="103" t="str">
        <f t="shared" si="8"/>
        <v>Impayé</v>
      </c>
      <c r="N519" s="15"/>
    </row>
    <row r="520" spans="1:14" s="14" customFormat="1" ht="15" customHeight="1" x14ac:dyDescent="0.25">
      <c r="A520" s="100">
        <v>45838</v>
      </c>
      <c r="B520" s="145">
        <v>3085</v>
      </c>
      <c r="C520" s="200" t="s">
        <v>359</v>
      </c>
      <c r="D520" s="98" t="s">
        <v>17</v>
      </c>
      <c r="E520" s="99" t="s">
        <v>336</v>
      </c>
      <c r="F520" s="100">
        <v>45473</v>
      </c>
      <c r="G520" s="99">
        <v>1</v>
      </c>
      <c r="H520" s="101">
        <v>78.688677485543749</v>
      </c>
      <c r="I520" s="97"/>
      <c r="J520" s="102"/>
      <c r="K520" s="101"/>
      <c r="L520" s="103" t="str">
        <f t="shared" si="8"/>
        <v>Impayé</v>
      </c>
      <c r="N520" s="15"/>
    </row>
    <row r="521" spans="1:14" s="14" customFormat="1" ht="15" customHeight="1" x14ac:dyDescent="0.25">
      <c r="A521" s="100">
        <v>45838</v>
      </c>
      <c r="B521" s="145">
        <v>3210</v>
      </c>
      <c r="C521" s="200" t="s">
        <v>335</v>
      </c>
      <c r="D521" s="98" t="s">
        <v>17</v>
      </c>
      <c r="E521" s="99" t="s">
        <v>336</v>
      </c>
      <c r="F521" s="100">
        <v>45473</v>
      </c>
      <c r="G521" s="99">
        <v>1</v>
      </c>
      <c r="H521" s="101">
        <v>78.688677485543749</v>
      </c>
      <c r="I521" s="97"/>
      <c r="J521" s="102"/>
      <c r="K521" s="101"/>
      <c r="L521" s="103" t="str">
        <f t="shared" si="8"/>
        <v>Impayé</v>
      </c>
      <c r="N521" s="15"/>
    </row>
    <row r="522" spans="1:14" s="14" customFormat="1" ht="15" customHeight="1" x14ac:dyDescent="0.25">
      <c r="A522" s="100">
        <v>45838</v>
      </c>
      <c r="B522" s="145">
        <v>3072</v>
      </c>
      <c r="C522" s="200" t="s">
        <v>306</v>
      </c>
      <c r="D522" s="98" t="s">
        <v>17</v>
      </c>
      <c r="E522" s="99" t="s">
        <v>269</v>
      </c>
      <c r="F522" s="100">
        <v>45473</v>
      </c>
      <c r="G522" s="99">
        <v>2</v>
      </c>
      <c r="H522" s="101">
        <v>157.3773549710875</v>
      </c>
      <c r="I522" s="97"/>
      <c r="J522" s="102"/>
      <c r="K522" s="101"/>
      <c r="L522" s="103" t="str">
        <f t="shared" si="8"/>
        <v>Impayé</v>
      </c>
      <c r="N522" s="15"/>
    </row>
    <row r="523" spans="1:14" s="14" customFormat="1" ht="15" customHeight="1" x14ac:dyDescent="0.25">
      <c r="A523" s="100">
        <v>45838</v>
      </c>
      <c r="B523" s="145">
        <v>3067</v>
      </c>
      <c r="C523" s="200" t="s">
        <v>287</v>
      </c>
      <c r="D523" s="98" t="s">
        <v>17</v>
      </c>
      <c r="E523" s="99" t="s">
        <v>269</v>
      </c>
      <c r="F523" s="100">
        <v>45473</v>
      </c>
      <c r="G523" s="99">
        <v>1</v>
      </c>
      <c r="H523" s="101">
        <v>78.688677485543749</v>
      </c>
      <c r="I523" s="97"/>
      <c r="J523" s="102"/>
      <c r="K523" s="101"/>
      <c r="L523" s="103" t="str">
        <f t="shared" si="8"/>
        <v>Impayé</v>
      </c>
      <c r="N523" s="15"/>
    </row>
    <row r="524" spans="1:14" s="14" customFormat="1" ht="15" customHeight="1" x14ac:dyDescent="0.25">
      <c r="A524" s="100">
        <v>45838</v>
      </c>
      <c r="B524" s="104">
        <v>4763</v>
      </c>
      <c r="C524" s="201" t="s">
        <v>694</v>
      </c>
      <c r="D524" s="104" t="s">
        <v>17</v>
      </c>
      <c r="E524" s="104" t="s">
        <v>667</v>
      </c>
      <c r="F524" s="104" t="s">
        <v>529</v>
      </c>
      <c r="G524" s="99">
        <v>1</v>
      </c>
      <c r="H524" s="99">
        <v>83</v>
      </c>
      <c r="I524" s="97">
        <v>45973</v>
      </c>
      <c r="J524" s="107">
        <v>0.65486111111111112</v>
      </c>
      <c r="K524" s="99">
        <v>83</v>
      </c>
      <c r="L524" s="103" t="str">
        <f t="shared" si="8"/>
        <v>Payé</v>
      </c>
      <c r="N524" s="15"/>
    </row>
    <row r="525" spans="1:14" s="14" customFormat="1" ht="15" customHeight="1" x14ac:dyDescent="0.25">
      <c r="A525" s="100">
        <v>45838</v>
      </c>
      <c r="B525" s="145">
        <v>3073</v>
      </c>
      <c r="C525" s="200" t="s">
        <v>288</v>
      </c>
      <c r="D525" s="98" t="s">
        <v>17</v>
      </c>
      <c r="E525" s="99" t="s">
        <v>269</v>
      </c>
      <c r="F525" s="100">
        <v>45473</v>
      </c>
      <c r="G525" s="99">
        <v>1</v>
      </c>
      <c r="H525" s="101">
        <v>78.688677485543749</v>
      </c>
      <c r="I525" s="97"/>
      <c r="J525" s="102"/>
      <c r="K525" s="101"/>
      <c r="L525" s="103" t="str">
        <f t="shared" si="8"/>
        <v>Impayé</v>
      </c>
      <c r="N525" s="15"/>
    </row>
    <row r="526" spans="1:14" s="14" customFormat="1" ht="15" customHeight="1" x14ac:dyDescent="0.25">
      <c r="A526" s="100">
        <v>45838</v>
      </c>
      <c r="B526" s="145">
        <v>2940</v>
      </c>
      <c r="C526" s="200" t="s">
        <v>268</v>
      </c>
      <c r="D526" s="98" t="s">
        <v>17</v>
      </c>
      <c r="E526" s="99" t="s">
        <v>269</v>
      </c>
      <c r="F526" s="100">
        <v>45473</v>
      </c>
      <c r="G526" s="99">
        <v>1</v>
      </c>
      <c r="H526" s="101">
        <v>78.688677485543749</v>
      </c>
      <c r="I526" s="97"/>
      <c r="J526" s="102"/>
      <c r="K526" s="101"/>
      <c r="L526" s="103" t="str">
        <f t="shared" si="8"/>
        <v>Impayé</v>
      </c>
      <c r="N526" s="15"/>
    </row>
    <row r="527" spans="1:14" s="14" customFormat="1" ht="15" customHeight="1" x14ac:dyDescent="0.25">
      <c r="A527" s="100">
        <v>45838</v>
      </c>
      <c r="B527" s="145">
        <v>2841</v>
      </c>
      <c r="C527" s="200" t="s">
        <v>270</v>
      </c>
      <c r="D527" s="98" t="s">
        <v>17</v>
      </c>
      <c r="E527" s="99" t="s">
        <v>269</v>
      </c>
      <c r="F527" s="100">
        <v>45473</v>
      </c>
      <c r="G527" s="99">
        <v>1</v>
      </c>
      <c r="H527" s="101">
        <v>78.688677485543749</v>
      </c>
      <c r="I527" s="97"/>
      <c r="J527" s="102"/>
      <c r="K527" s="101"/>
      <c r="L527" s="103" t="str">
        <f t="shared" si="8"/>
        <v>Impayé</v>
      </c>
      <c r="N527" s="15"/>
    </row>
    <row r="528" spans="1:14" s="14" customFormat="1" ht="15" customHeight="1" x14ac:dyDescent="0.25">
      <c r="A528" s="100">
        <v>45838</v>
      </c>
      <c r="B528" s="145">
        <v>3176</v>
      </c>
      <c r="C528" s="200" t="s">
        <v>312</v>
      </c>
      <c r="D528" s="98" t="s">
        <v>17</v>
      </c>
      <c r="E528" s="99" t="s">
        <v>313</v>
      </c>
      <c r="F528" s="100">
        <v>45473</v>
      </c>
      <c r="G528" s="99">
        <v>1</v>
      </c>
      <c r="H528" s="101">
        <v>78.688677485543749</v>
      </c>
      <c r="I528" s="97"/>
      <c r="J528" s="102"/>
      <c r="K528" s="101"/>
      <c r="L528" s="103" t="str">
        <f t="shared" si="8"/>
        <v>Impayé</v>
      </c>
      <c r="N528" s="15"/>
    </row>
    <row r="529" spans="1:14" s="14" customFormat="1" ht="15" customHeight="1" x14ac:dyDescent="0.25">
      <c r="A529" s="100">
        <v>45838</v>
      </c>
      <c r="B529" s="145">
        <v>3185</v>
      </c>
      <c r="C529" s="200" t="s">
        <v>314</v>
      </c>
      <c r="D529" s="98" t="s">
        <v>17</v>
      </c>
      <c r="E529" s="99" t="s">
        <v>313</v>
      </c>
      <c r="F529" s="100">
        <v>45473</v>
      </c>
      <c r="G529" s="99">
        <v>3</v>
      </c>
      <c r="H529" s="101">
        <v>236.06603245663123</v>
      </c>
      <c r="I529" s="97"/>
      <c r="J529" s="102"/>
      <c r="K529" s="101"/>
      <c r="L529" s="103" t="str">
        <f t="shared" si="8"/>
        <v>Impayé</v>
      </c>
      <c r="N529" s="15"/>
    </row>
    <row r="530" spans="1:14" s="14" customFormat="1" ht="15" customHeight="1" x14ac:dyDescent="0.25">
      <c r="A530" s="100">
        <v>45838</v>
      </c>
      <c r="B530" s="145">
        <v>3202</v>
      </c>
      <c r="C530" s="200" t="s">
        <v>320</v>
      </c>
      <c r="D530" s="98" t="s">
        <v>17</v>
      </c>
      <c r="E530" s="99" t="s">
        <v>313</v>
      </c>
      <c r="F530" s="100">
        <v>45473</v>
      </c>
      <c r="G530" s="99">
        <v>0.5</v>
      </c>
      <c r="H530" s="101">
        <v>39.344338742771875</v>
      </c>
      <c r="I530" s="97"/>
      <c r="J530" s="102"/>
      <c r="K530" s="101"/>
      <c r="L530" s="103" t="str">
        <f t="shared" si="8"/>
        <v>Impayé</v>
      </c>
      <c r="N530" s="15"/>
    </row>
    <row r="531" spans="1:14" s="14" customFormat="1" ht="15" customHeight="1" x14ac:dyDescent="0.25">
      <c r="A531" s="100">
        <v>45838</v>
      </c>
      <c r="B531" s="145">
        <v>440</v>
      </c>
      <c r="C531" s="200" t="s">
        <v>57</v>
      </c>
      <c r="D531" s="98" t="s">
        <v>17</v>
      </c>
      <c r="E531" s="99" t="s">
        <v>58</v>
      </c>
      <c r="F531" s="100">
        <v>45473</v>
      </c>
      <c r="G531" s="99">
        <v>2</v>
      </c>
      <c r="H531" s="101">
        <v>143.07032270098861</v>
      </c>
      <c r="I531" s="97"/>
      <c r="J531" s="102"/>
      <c r="K531" s="101"/>
      <c r="L531" s="103" t="str">
        <f t="shared" si="8"/>
        <v>Impayé</v>
      </c>
      <c r="N531" s="15"/>
    </row>
    <row r="532" spans="1:14" s="14" customFormat="1" ht="15" customHeight="1" x14ac:dyDescent="0.25">
      <c r="A532" s="100">
        <v>45838</v>
      </c>
      <c r="B532" s="145">
        <v>1374</v>
      </c>
      <c r="C532" s="200" t="s">
        <v>104</v>
      </c>
      <c r="D532" s="98" t="s">
        <v>17</v>
      </c>
      <c r="E532" s="99" t="s">
        <v>58</v>
      </c>
      <c r="F532" s="100">
        <v>45473</v>
      </c>
      <c r="G532" s="99">
        <v>10</v>
      </c>
      <c r="H532" s="101">
        <v>727.35161350494309</v>
      </c>
      <c r="I532" s="97"/>
      <c r="J532" s="102"/>
      <c r="K532" s="101"/>
      <c r="L532" s="103" t="str">
        <f t="shared" si="8"/>
        <v>Impayé</v>
      </c>
      <c r="N532" s="15"/>
    </row>
    <row r="533" spans="1:14" s="14" customFormat="1" ht="15" customHeight="1" x14ac:dyDescent="0.25">
      <c r="A533" s="100">
        <v>45838</v>
      </c>
      <c r="B533" s="104">
        <v>2705</v>
      </c>
      <c r="C533" s="201" t="s">
        <v>591</v>
      </c>
      <c r="D533" s="104"/>
      <c r="E533" s="104" t="s">
        <v>590</v>
      </c>
      <c r="F533" s="100">
        <v>45473</v>
      </c>
      <c r="G533" s="104"/>
      <c r="H533" s="105">
        <v>196</v>
      </c>
      <c r="I533" s="106"/>
      <c r="J533" s="107"/>
      <c r="K533" s="104"/>
      <c r="L533" s="103" t="str">
        <f t="shared" si="8"/>
        <v>Impayé</v>
      </c>
      <c r="N533" s="15"/>
    </row>
    <row r="534" spans="1:14" s="14" customFormat="1" ht="15" customHeight="1" x14ac:dyDescent="0.25">
      <c r="A534" s="100">
        <v>45838</v>
      </c>
      <c r="B534" s="145">
        <v>971</v>
      </c>
      <c r="C534" s="203" t="s">
        <v>593</v>
      </c>
      <c r="D534" s="104"/>
      <c r="E534" s="104" t="s">
        <v>590</v>
      </c>
      <c r="F534" s="100">
        <v>45473</v>
      </c>
      <c r="G534" s="104"/>
      <c r="H534" s="105">
        <v>444</v>
      </c>
      <c r="I534" s="106"/>
      <c r="J534" s="107"/>
      <c r="K534" s="104"/>
      <c r="L534" s="103" t="str">
        <f t="shared" si="8"/>
        <v>Impayé</v>
      </c>
      <c r="N534" s="15"/>
    </row>
    <row r="535" spans="1:14" s="14" customFormat="1" ht="15" customHeight="1" x14ac:dyDescent="0.25">
      <c r="A535" s="100">
        <v>45838</v>
      </c>
      <c r="B535" s="104">
        <v>570</v>
      </c>
      <c r="C535" s="201" t="s">
        <v>728</v>
      </c>
      <c r="D535" s="104" t="s">
        <v>730</v>
      </c>
      <c r="E535" s="104" t="s">
        <v>590</v>
      </c>
      <c r="F535" s="104" t="s">
        <v>533</v>
      </c>
      <c r="G535" s="104" t="s">
        <v>61</v>
      </c>
      <c r="H535" s="105">
        <v>413</v>
      </c>
      <c r="I535" s="106"/>
      <c r="J535" s="107"/>
      <c r="K535" s="104"/>
      <c r="L535" s="103" t="str">
        <f t="shared" si="8"/>
        <v>Impayé</v>
      </c>
      <c r="N535" s="15"/>
    </row>
    <row r="536" spans="1:14" s="14" customFormat="1" ht="15" customHeight="1" x14ac:dyDescent="0.25">
      <c r="A536" s="100">
        <v>45838</v>
      </c>
      <c r="B536" s="104">
        <v>4078</v>
      </c>
      <c r="C536" s="201" t="s">
        <v>729</v>
      </c>
      <c r="D536" s="104" t="s">
        <v>730</v>
      </c>
      <c r="E536" s="104" t="s">
        <v>590</v>
      </c>
      <c r="F536" s="104" t="s">
        <v>533</v>
      </c>
      <c r="G536" s="104" t="s">
        <v>61</v>
      </c>
      <c r="H536" s="105">
        <v>248</v>
      </c>
      <c r="I536" s="106"/>
      <c r="J536" s="107"/>
      <c r="K536" s="104"/>
      <c r="L536" s="103" t="str">
        <f t="shared" si="8"/>
        <v>Impayé</v>
      </c>
      <c r="N536" s="15"/>
    </row>
    <row r="537" spans="1:14" s="14" customFormat="1" ht="15" customHeight="1" x14ac:dyDescent="0.25">
      <c r="A537" s="100">
        <v>45838</v>
      </c>
      <c r="B537" s="104">
        <v>2704</v>
      </c>
      <c r="C537" s="201" t="s">
        <v>692</v>
      </c>
      <c r="D537" s="104" t="s">
        <v>730</v>
      </c>
      <c r="E537" s="104" t="s">
        <v>590</v>
      </c>
      <c r="F537" s="104" t="s">
        <v>533</v>
      </c>
      <c r="G537" s="104" t="s">
        <v>61</v>
      </c>
      <c r="H537" s="105">
        <v>413</v>
      </c>
      <c r="I537" s="106"/>
      <c r="J537" s="107"/>
      <c r="K537" s="104"/>
      <c r="L537" s="103" t="str">
        <f t="shared" si="8"/>
        <v>Impayé</v>
      </c>
      <c r="N537" s="15"/>
    </row>
    <row r="538" spans="1:14" s="14" customFormat="1" ht="15" customHeight="1" x14ac:dyDescent="0.25">
      <c r="A538" s="100">
        <v>45838</v>
      </c>
      <c r="B538" s="145">
        <v>3416</v>
      </c>
      <c r="C538" s="200" t="s">
        <v>338</v>
      </c>
      <c r="D538" s="98" t="s">
        <v>17</v>
      </c>
      <c r="E538" s="99" t="s">
        <v>339</v>
      </c>
      <c r="F538" s="100">
        <v>45473</v>
      </c>
      <c r="G538" s="99">
        <v>1</v>
      </c>
      <c r="H538" s="101">
        <v>78.688677485543749</v>
      </c>
      <c r="I538" s="97"/>
      <c r="J538" s="102"/>
      <c r="K538" s="101"/>
      <c r="L538" s="103" t="str">
        <f t="shared" si="8"/>
        <v>Impayé</v>
      </c>
      <c r="N538" s="15"/>
    </row>
    <row r="539" spans="1:14" s="14" customFormat="1" ht="15" customHeight="1" x14ac:dyDescent="0.25">
      <c r="A539" s="100">
        <v>45838</v>
      </c>
      <c r="B539" s="145"/>
      <c r="C539" s="200" t="s">
        <v>145</v>
      </c>
      <c r="D539" s="98" t="s">
        <v>146</v>
      </c>
      <c r="E539" s="99" t="s">
        <v>146</v>
      </c>
      <c r="F539" s="100">
        <v>45473</v>
      </c>
      <c r="G539" s="99">
        <v>1</v>
      </c>
      <c r="H539" s="101">
        <v>50</v>
      </c>
      <c r="I539" s="97"/>
      <c r="J539" s="102"/>
      <c r="K539" s="101"/>
      <c r="L539" s="103" t="str">
        <f t="shared" si="8"/>
        <v>Impayé</v>
      </c>
      <c r="N539" s="15"/>
    </row>
    <row r="540" spans="1:14" s="14" customFormat="1" ht="15" customHeight="1" x14ac:dyDescent="0.25">
      <c r="A540" s="100">
        <v>45838</v>
      </c>
      <c r="B540" s="145" t="s">
        <v>168</v>
      </c>
      <c r="C540" s="200" t="s">
        <v>169</v>
      </c>
      <c r="D540" s="98" t="s">
        <v>170</v>
      </c>
      <c r="E540" s="99" t="s">
        <v>146</v>
      </c>
      <c r="F540" s="100">
        <v>45473</v>
      </c>
      <c r="G540" s="99">
        <v>380</v>
      </c>
      <c r="H540" s="101">
        <v>750</v>
      </c>
      <c r="I540" s="97"/>
      <c r="J540" s="102"/>
      <c r="K540" s="101"/>
      <c r="L540" s="103" t="str">
        <f t="shared" si="8"/>
        <v>Impayé</v>
      </c>
      <c r="N540" s="15"/>
    </row>
    <row r="541" spans="1:14" s="14" customFormat="1" ht="15" customHeight="1" x14ac:dyDescent="0.25">
      <c r="A541" s="100">
        <v>45838</v>
      </c>
      <c r="B541" s="145"/>
      <c r="C541" s="200" t="s">
        <v>151</v>
      </c>
      <c r="D541" s="98" t="s">
        <v>146</v>
      </c>
      <c r="E541" s="99" t="s">
        <v>146</v>
      </c>
      <c r="F541" s="100">
        <v>45473</v>
      </c>
      <c r="G541" s="99">
        <v>1</v>
      </c>
      <c r="H541" s="101">
        <v>71.7</v>
      </c>
      <c r="I541" s="97"/>
      <c r="J541" s="102"/>
      <c r="K541" s="101"/>
      <c r="L541" s="103" t="str">
        <f t="shared" si="8"/>
        <v>Impayé</v>
      </c>
      <c r="N541" s="15"/>
    </row>
    <row r="542" spans="1:14" s="14" customFormat="1" ht="15" customHeight="1" x14ac:dyDescent="0.25">
      <c r="A542" s="100">
        <v>45838</v>
      </c>
      <c r="B542" s="145" t="s">
        <v>61</v>
      </c>
      <c r="C542" s="200" t="s">
        <v>150</v>
      </c>
      <c r="D542" s="98" t="s">
        <v>146</v>
      </c>
      <c r="E542" s="99" t="s">
        <v>146</v>
      </c>
      <c r="F542" s="100">
        <v>45473</v>
      </c>
      <c r="G542" s="99">
        <v>1</v>
      </c>
      <c r="H542" s="101">
        <v>71.540000000000006</v>
      </c>
      <c r="I542" s="97"/>
      <c r="J542" s="102"/>
      <c r="K542" s="101"/>
      <c r="L542" s="103" t="str">
        <f t="shared" si="8"/>
        <v>Impayé</v>
      </c>
      <c r="N542" s="15"/>
    </row>
    <row r="543" spans="1:14" s="14" customFormat="1" ht="15" customHeight="1" x14ac:dyDescent="0.25">
      <c r="A543" s="100">
        <v>45838</v>
      </c>
      <c r="B543" s="145" t="s">
        <v>61</v>
      </c>
      <c r="C543" s="200" t="s">
        <v>149</v>
      </c>
      <c r="D543" s="98" t="s">
        <v>146</v>
      </c>
      <c r="E543" s="99" t="s">
        <v>146</v>
      </c>
      <c r="F543" s="100">
        <v>45473</v>
      </c>
      <c r="G543" s="99">
        <v>4</v>
      </c>
      <c r="H543" s="101">
        <v>286.16000000000003</v>
      </c>
      <c r="I543" s="97"/>
      <c r="J543" s="102"/>
      <c r="K543" s="101"/>
      <c r="L543" s="103" t="str">
        <f t="shared" si="8"/>
        <v>Impayé</v>
      </c>
      <c r="N543" s="15"/>
    </row>
    <row r="544" spans="1:14" s="14" customFormat="1" ht="15" customHeight="1" x14ac:dyDescent="0.25">
      <c r="A544" s="100">
        <v>45838</v>
      </c>
      <c r="B544" s="145" t="s">
        <v>61</v>
      </c>
      <c r="C544" s="200" t="s">
        <v>148</v>
      </c>
      <c r="D544" s="98" t="s">
        <v>146</v>
      </c>
      <c r="E544" s="99" t="s">
        <v>146</v>
      </c>
      <c r="F544" s="100">
        <v>45473</v>
      </c>
      <c r="G544" s="99">
        <v>1</v>
      </c>
      <c r="H544" s="101">
        <v>71.540000000000006</v>
      </c>
      <c r="I544" s="97"/>
      <c r="J544" s="102"/>
      <c r="K544" s="101"/>
      <c r="L544" s="103" t="str">
        <f t="shared" si="8"/>
        <v>Impayé</v>
      </c>
      <c r="N544" s="15"/>
    </row>
    <row r="545" spans="1:14" s="14" customFormat="1" ht="15" customHeight="1" x14ac:dyDescent="0.25">
      <c r="A545" s="100">
        <v>45838</v>
      </c>
      <c r="B545" s="145"/>
      <c r="C545" s="200" t="s">
        <v>147</v>
      </c>
      <c r="D545" s="98" t="s">
        <v>146</v>
      </c>
      <c r="E545" s="99" t="s">
        <v>146</v>
      </c>
      <c r="F545" s="100">
        <v>45473</v>
      </c>
      <c r="G545" s="99">
        <v>0.5</v>
      </c>
      <c r="H545" s="101">
        <v>35.770000000000003</v>
      </c>
      <c r="I545" s="97"/>
      <c r="J545" s="102"/>
      <c r="K545" s="101"/>
      <c r="L545" s="103" t="str">
        <f t="shared" si="8"/>
        <v>Impayé</v>
      </c>
      <c r="N545" s="15"/>
    </row>
    <row r="546" spans="1:14" s="14" customFormat="1" ht="15" customHeight="1" x14ac:dyDescent="0.25">
      <c r="A546" s="100">
        <v>45838</v>
      </c>
      <c r="B546" s="145">
        <v>3471</v>
      </c>
      <c r="C546" s="200" t="s">
        <v>412</v>
      </c>
      <c r="D546" s="98" t="s">
        <v>17</v>
      </c>
      <c r="E546" s="99" t="s">
        <v>411</v>
      </c>
      <c r="F546" s="100">
        <v>45473</v>
      </c>
      <c r="G546" s="99">
        <v>1</v>
      </c>
      <c r="H546" s="101">
        <v>78.688677485543749</v>
      </c>
      <c r="I546" s="97"/>
      <c r="J546" s="109"/>
      <c r="K546" s="101"/>
      <c r="L546" s="103" t="str">
        <f t="shared" si="8"/>
        <v>Impayé</v>
      </c>
      <c r="N546" s="15"/>
    </row>
    <row r="547" spans="1:14" s="14" customFormat="1" ht="15" customHeight="1" x14ac:dyDescent="0.25">
      <c r="A547" s="100">
        <v>45838</v>
      </c>
      <c r="B547" s="145">
        <v>2471</v>
      </c>
      <c r="C547" s="200" t="s">
        <v>438</v>
      </c>
      <c r="D547" s="98" t="s">
        <v>17</v>
      </c>
      <c r="E547" s="99" t="s">
        <v>411</v>
      </c>
      <c r="F547" s="100">
        <v>45473</v>
      </c>
      <c r="G547" s="99">
        <v>1</v>
      </c>
      <c r="H547" s="108">
        <v>82.615183734377908</v>
      </c>
      <c r="I547" s="97"/>
      <c r="J547" s="109"/>
      <c r="K547" s="108"/>
      <c r="L547" s="103" t="str">
        <f t="shared" si="8"/>
        <v>Impayé</v>
      </c>
      <c r="N547" s="15"/>
    </row>
    <row r="548" spans="1:14" s="14" customFormat="1" ht="15" customHeight="1" x14ac:dyDescent="0.25">
      <c r="A548" s="100">
        <v>45838</v>
      </c>
      <c r="B548" s="145">
        <v>731</v>
      </c>
      <c r="C548" s="200" t="s">
        <v>62</v>
      </c>
      <c r="D548" s="98" t="s">
        <v>17</v>
      </c>
      <c r="E548" s="99" t="s">
        <v>63</v>
      </c>
      <c r="F548" s="100">
        <v>45473</v>
      </c>
      <c r="G548" s="99">
        <v>1</v>
      </c>
      <c r="H548" s="101">
        <v>72</v>
      </c>
      <c r="I548" s="97"/>
      <c r="J548" s="102"/>
      <c r="K548" s="101"/>
      <c r="L548" s="103" t="str">
        <f t="shared" si="8"/>
        <v>Impayé</v>
      </c>
      <c r="N548" s="15"/>
    </row>
    <row r="549" spans="1:14" s="14" customFormat="1" ht="15" customHeight="1" x14ac:dyDescent="0.25">
      <c r="A549" s="100">
        <v>45838</v>
      </c>
      <c r="B549" s="145">
        <v>455</v>
      </c>
      <c r="C549" s="200" t="s">
        <v>32</v>
      </c>
      <c r="D549" s="98" t="s">
        <v>17</v>
      </c>
      <c r="E549" s="99" t="s">
        <v>33</v>
      </c>
      <c r="F549" s="100">
        <v>45473</v>
      </c>
      <c r="G549" s="99">
        <v>2</v>
      </c>
      <c r="H549" s="101">
        <v>144</v>
      </c>
      <c r="I549" s="97"/>
      <c r="J549" s="102"/>
      <c r="K549" s="101"/>
      <c r="L549" s="103" t="str">
        <f t="shared" si="8"/>
        <v>Impayé</v>
      </c>
      <c r="N549" s="15"/>
    </row>
    <row r="550" spans="1:14" s="14" customFormat="1" ht="15" customHeight="1" x14ac:dyDescent="0.25">
      <c r="A550" s="100">
        <v>45838</v>
      </c>
      <c r="B550" s="145">
        <v>472</v>
      </c>
      <c r="C550" s="200" t="s">
        <v>155</v>
      </c>
      <c r="D550" s="98" t="s">
        <v>17</v>
      </c>
      <c r="E550" s="99" t="s">
        <v>33</v>
      </c>
      <c r="F550" s="100">
        <v>45473</v>
      </c>
      <c r="G550" s="99">
        <v>1</v>
      </c>
      <c r="H550" s="101">
        <v>71.535161350494306</v>
      </c>
      <c r="I550" s="97"/>
      <c r="J550" s="102"/>
      <c r="K550" s="101"/>
      <c r="L550" s="103" t="str">
        <f t="shared" si="8"/>
        <v>Impayé</v>
      </c>
      <c r="N550" s="15"/>
    </row>
    <row r="551" spans="1:14" s="14" customFormat="1" ht="15" customHeight="1" x14ac:dyDescent="0.25">
      <c r="A551" s="100">
        <v>45838</v>
      </c>
      <c r="B551" s="145">
        <v>622</v>
      </c>
      <c r="C551" s="200" t="s">
        <v>59</v>
      </c>
      <c r="D551" s="98" t="s">
        <v>17</v>
      </c>
      <c r="E551" s="99" t="s">
        <v>33</v>
      </c>
      <c r="F551" s="100">
        <v>45473</v>
      </c>
      <c r="G551" s="99">
        <v>1</v>
      </c>
      <c r="H551" s="101">
        <v>71.535161350494306</v>
      </c>
      <c r="I551" s="97"/>
      <c r="J551" s="102"/>
      <c r="K551" s="101"/>
      <c r="L551" s="103" t="str">
        <f t="shared" si="8"/>
        <v>Impayé</v>
      </c>
      <c r="N551" s="15"/>
    </row>
    <row r="552" spans="1:14" s="14" customFormat="1" ht="15" customHeight="1" x14ac:dyDescent="0.25">
      <c r="A552" s="100">
        <v>45838</v>
      </c>
      <c r="B552" s="145">
        <v>2689</v>
      </c>
      <c r="C552" s="200" t="s">
        <v>252</v>
      </c>
      <c r="D552" s="98" t="s">
        <v>17</v>
      </c>
      <c r="E552" s="99" t="s">
        <v>220</v>
      </c>
      <c r="F552" s="100">
        <v>45473</v>
      </c>
      <c r="G552" s="99">
        <v>1</v>
      </c>
      <c r="H552" s="101">
        <v>78.688677485543749</v>
      </c>
      <c r="I552" s="97"/>
      <c r="J552" s="102"/>
      <c r="K552" s="101"/>
      <c r="L552" s="103" t="str">
        <f t="shared" ref="L552:L605" si="9">IF(ISBLANK(H552),"",IF(H552=K552,"Payé","Impayé"))</f>
        <v>Impayé</v>
      </c>
      <c r="N552" s="15"/>
    </row>
    <row r="553" spans="1:14" s="14" customFormat="1" ht="15" customHeight="1" x14ac:dyDescent="0.25">
      <c r="A553" s="100">
        <v>45838</v>
      </c>
      <c r="B553" s="145">
        <v>2492</v>
      </c>
      <c r="C553" s="200" t="s">
        <v>219</v>
      </c>
      <c r="D553" s="98" t="s">
        <v>17</v>
      </c>
      <c r="E553" s="99" t="s">
        <v>220</v>
      </c>
      <c r="F553" s="100">
        <v>45473</v>
      </c>
      <c r="G553" s="99">
        <v>1</v>
      </c>
      <c r="H553" s="101">
        <v>78.688677485543749</v>
      </c>
      <c r="I553" s="97"/>
      <c r="J553" s="102"/>
      <c r="K553" s="101"/>
      <c r="L553" s="103" t="str">
        <f t="shared" si="9"/>
        <v>Impayé</v>
      </c>
      <c r="N553" s="15"/>
    </row>
    <row r="554" spans="1:14" s="14" customFormat="1" ht="15" customHeight="1" x14ac:dyDescent="0.25">
      <c r="A554" s="100">
        <v>45838</v>
      </c>
      <c r="B554" s="145">
        <v>2549</v>
      </c>
      <c r="C554" s="200" t="s">
        <v>341</v>
      </c>
      <c r="D554" s="98" t="s">
        <v>17</v>
      </c>
      <c r="E554" s="99" t="s">
        <v>220</v>
      </c>
      <c r="F554" s="100">
        <v>45473</v>
      </c>
      <c r="G554" s="99">
        <v>1</v>
      </c>
      <c r="H554" s="101">
        <v>78.688677485543749</v>
      </c>
      <c r="I554" s="97"/>
      <c r="J554" s="102"/>
      <c r="K554" s="101"/>
      <c r="L554" s="103" t="str">
        <f t="shared" si="9"/>
        <v>Impayé</v>
      </c>
      <c r="N554" s="15"/>
    </row>
    <row r="555" spans="1:14" s="14" customFormat="1" ht="15" customHeight="1" x14ac:dyDescent="0.25">
      <c r="A555" s="100">
        <v>45838</v>
      </c>
      <c r="B555" s="145">
        <v>2495</v>
      </c>
      <c r="C555" s="200" t="s">
        <v>340</v>
      </c>
      <c r="D555" s="98" t="s">
        <v>17</v>
      </c>
      <c r="E555" s="99" t="s">
        <v>220</v>
      </c>
      <c r="F555" s="100">
        <v>45473</v>
      </c>
      <c r="G555" s="99">
        <v>1</v>
      </c>
      <c r="H555" s="101">
        <v>78.688677485543749</v>
      </c>
      <c r="I555" s="97"/>
      <c r="J555" s="102"/>
      <c r="K555" s="101"/>
      <c r="L555" s="103" t="str">
        <f t="shared" si="9"/>
        <v>Impayé</v>
      </c>
      <c r="N555" s="15"/>
    </row>
    <row r="556" spans="1:14" s="14" customFormat="1" ht="15" customHeight="1" x14ac:dyDescent="0.25">
      <c r="A556" s="100">
        <v>45838</v>
      </c>
      <c r="B556" s="145">
        <v>2562</v>
      </c>
      <c r="C556" s="200" t="s">
        <v>342</v>
      </c>
      <c r="D556" s="98" t="s">
        <v>17</v>
      </c>
      <c r="E556" s="99" t="s">
        <v>220</v>
      </c>
      <c r="F556" s="100">
        <v>45473</v>
      </c>
      <c r="G556" s="99">
        <v>1</v>
      </c>
      <c r="H556" s="101">
        <v>78.688677485543749</v>
      </c>
      <c r="I556" s="97"/>
      <c r="J556" s="102"/>
      <c r="K556" s="101"/>
      <c r="L556" s="103" t="str">
        <f t="shared" si="9"/>
        <v>Impayé</v>
      </c>
      <c r="N556" s="15"/>
    </row>
    <row r="557" spans="1:14" s="14" customFormat="1" ht="15" customHeight="1" x14ac:dyDescent="0.25">
      <c r="A557" s="100">
        <v>45838</v>
      </c>
      <c r="B557" s="145">
        <v>622</v>
      </c>
      <c r="C557" s="200" t="s">
        <v>59</v>
      </c>
      <c r="D557" s="98" t="s">
        <v>17</v>
      </c>
      <c r="E557" s="99" t="s">
        <v>220</v>
      </c>
      <c r="F557" s="100">
        <v>45473</v>
      </c>
      <c r="G557" s="99">
        <v>1</v>
      </c>
      <c r="H557" s="101">
        <v>78.688677485543749</v>
      </c>
      <c r="I557" s="97"/>
      <c r="J557" s="102"/>
      <c r="K557" s="101"/>
      <c r="L557" s="103" t="str">
        <f t="shared" si="9"/>
        <v>Impayé</v>
      </c>
      <c r="N557" s="15"/>
    </row>
    <row r="558" spans="1:14" s="14" customFormat="1" ht="15" customHeight="1" x14ac:dyDescent="0.25">
      <c r="A558" s="100">
        <v>45838</v>
      </c>
      <c r="B558" s="104"/>
      <c r="C558" s="201" t="s">
        <v>780</v>
      </c>
      <c r="D558" s="104" t="s">
        <v>17</v>
      </c>
      <c r="E558" s="104" t="s">
        <v>796</v>
      </c>
      <c r="F558" s="104" t="s">
        <v>536</v>
      </c>
      <c r="G558" s="105">
        <v>1</v>
      </c>
      <c r="H558" s="99">
        <v>100</v>
      </c>
      <c r="I558" s="97">
        <v>45910</v>
      </c>
      <c r="J558" s="107">
        <v>0.71319444444444446</v>
      </c>
      <c r="K558" s="99">
        <v>100</v>
      </c>
      <c r="L558" s="103" t="str">
        <f t="shared" si="9"/>
        <v>Payé</v>
      </c>
      <c r="N558" s="15"/>
    </row>
    <row r="559" spans="1:14" s="14" customFormat="1" ht="15" customHeight="1" x14ac:dyDescent="0.25">
      <c r="A559" s="100">
        <v>45838</v>
      </c>
      <c r="B559" s="145">
        <v>2332</v>
      </c>
      <c r="C559" s="203" t="s">
        <v>592</v>
      </c>
      <c r="D559" s="104"/>
      <c r="E559" s="104" t="s">
        <v>590</v>
      </c>
      <c r="F559" s="100">
        <v>45473</v>
      </c>
      <c r="G559" s="104"/>
      <c r="H559" s="105">
        <v>773</v>
      </c>
      <c r="I559" s="97">
        <v>45882</v>
      </c>
      <c r="J559" s="107">
        <v>0.64722222222222225</v>
      </c>
      <c r="K559" s="105">
        <v>773</v>
      </c>
      <c r="L559" s="103" t="str">
        <f t="shared" si="9"/>
        <v>Payé</v>
      </c>
      <c r="N559" s="15"/>
    </row>
    <row r="560" spans="1:14" ht="15" customHeight="1" x14ac:dyDescent="0.25">
      <c r="A560" s="91" t="s">
        <v>849</v>
      </c>
      <c r="B560" s="90" t="s">
        <v>584</v>
      </c>
      <c r="C560" s="88" t="s">
        <v>585</v>
      </c>
      <c r="D560" s="89" t="s">
        <v>910</v>
      </c>
      <c r="E560" s="90" t="s">
        <v>61</v>
      </c>
      <c r="F560" s="91" t="s">
        <v>849</v>
      </c>
      <c r="G560" s="95">
        <v>217</v>
      </c>
      <c r="H560" s="92">
        <v>5425</v>
      </c>
      <c r="I560" s="91">
        <v>45879</v>
      </c>
      <c r="J560" s="165">
        <v>0.62083333333333335</v>
      </c>
      <c r="K560" s="92">
        <v>5425</v>
      </c>
      <c r="L560" s="72" t="str">
        <f t="shared" si="9"/>
        <v>Payé</v>
      </c>
    </row>
    <row r="561" spans="1:12" ht="15" customHeight="1" x14ac:dyDescent="0.25">
      <c r="A561" s="91" t="s">
        <v>849</v>
      </c>
      <c r="B561" s="90" t="s">
        <v>629</v>
      </c>
      <c r="C561" s="88" t="s">
        <v>630</v>
      </c>
      <c r="D561" s="89" t="s">
        <v>910</v>
      </c>
      <c r="E561" s="90" t="s">
        <v>61</v>
      </c>
      <c r="F561" s="91" t="s">
        <v>849</v>
      </c>
      <c r="G561" s="95">
        <v>65</v>
      </c>
      <c r="H561" s="92">
        <v>1625</v>
      </c>
      <c r="I561" s="91">
        <v>45879</v>
      </c>
      <c r="J561" s="165">
        <v>0.62083333333333335</v>
      </c>
      <c r="K561" s="92">
        <v>1625</v>
      </c>
      <c r="L561" s="72" t="str">
        <f t="shared" si="9"/>
        <v>Payé</v>
      </c>
    </row>
    <row r="562" spans="1:12" ht="15" customHeight="1" x14ac:dyDescent="0.25">
      <c r="A562" s="91" t="s">
        <v>849</v>
      </c>
      <c r="B562" s="90" t="s">
        <v>631</v>
      </c>
      <c r="C562" s="88" t="s">
        <v>548</v>
      </c>
      <c r="D562" s="89" t="s">
        <v>910</v>
      </c>
      <c r="E562" s="90" t="s">
        <v>61</v>
      </c>
      <c r="F562" s="91" t="s">
        <v>849</v>
      </c>
      <c r="G562" s="95">
        <v>246</v>
      </c>
      <c r="H562" s="92">
        <v>6150</v>
      </c>
      <c r="I562" s="91">
        <v>45879</v>
      </c>
      <c r="J562" s="165">
        <v>0.62083333333333335</v>
      </c>
      <c r="K562" s="92">
        <v>6150</v>
      </c>
      <c r="L562" s="72" t="str">
        <f t="shared" si="9"/>
        <v>Payé</v>
      </c>
    </row>
    <row r="563" spans="1:12" ht="15" customHeight="1" x14ac:dyDescent="0.25">
      <c r="A563" s="91" t="s">
        <v>849</v>
      </c>
      <c r="B563" s="90" t="s">
        <v>588</v>
      </c>
      <c r="C563" s="88" t="s">
        <v>589</v>
      </c>
      <c r="D563" s="89" t="s">
        <v>910</v>
      </c>
      <c r="E563" s="90" t="s">
        <v>61</v>
      </c>
      <c r="F563" s="91" t="s">
        <v>849</v>
      </c>
      <c r="G563" s="95">
        <v>232</v>
      </c>
      <c r="H563" s="92">
        <v>5800</v>
      </c>
      <c r="I563" s="91">
        <v>45879</v>
      </c>
      <c r="J563" s="165">
        <v>0.62083333333333335</v>
      </c>
      <c r="K563" s="92">
        <v>5800</v>
      </c>
      <c r="L563" s="72" t="str">
        <f t="shared" si="9"/>
        <v>Payé</v>
      </c>
    </row>
    <row r="564" spans="1:12" ht="15" customHeight="1" x14ac:dyDescent="0.25">
      <c r="A564" s="91" t="s">
        <v>849</v>
      </c>
      <c r="B564" s="90" t="s">
        <v>586</v>
      </c>
      <c r="C564" s="88" t="s">
        <v>587</v>
      </c>
      <c r="D564" s="89" t="s">
        <v>910</v>
      </c>
      <c r="E564" s="90" t="s">
        <v>61</v>
      </c>
      <c r="F564" s="91" t="s">
        <v>849</v>
      </c>
      <c r="G564" s="95">
        <v>312</v>
      </c>
      <c r="H564" s="92">
        <v>7800</v>
      </c>
      <c r="I564" s="91">
        <v>45879</v>
      </c>
      <c r="J564" s="165">
        <v>0.62083333333333335</v>
      </c>
      <c r="K564" s="92">
        <v>7800</v>
      </c>
      <c r="L564" s="72" t="str">
        <f t="shared" si="9"/>
        <v>Payé</v>
      </c>
    </row>
    <row r="565" spans="1:12" ht="15" customHeight="1" x14ac:dyDescent="0.25">
      <c r="A565" s="91" t="s">
        <v>849</v>
      </c>
      <c r="B565" s="90"/>
      <c r="C565" s="88" t="s">
        <v>761</v>
      </c>
      <c r="D565" s="89" t="s">
        <v>910</v>
      </c>
      <c r="E565" s="90" t="s">
        <v>61</v>
      </c>
      <c r="F565" s="91" t="s">
        <v>849</v>
      </c>
      <c r="G565" s="95">
        <v>269.5</v>
      </c>
      <c r="H565" s="92">
        <v>8085</v>
      </c>
      <c r="I565" s="91">
        <v>45879</v>
      </c>
      <c r="J565" s="165">
        <v>0.62083333333333335</v>
      </c>
      <c r="K565" s="92">
        <v>8085</v>
      </c>
      <c r="L565" s="72" t="str">
        <f t="shared" si="9"/>
        <v>Payé</v>
      </c>
    </row>
    <row r="566" spans="1:12" ht="15" customHeight="1" x14ac:dyDescent="0.25">
      <c r="A566" s="91" t="s">
        <v>849</v>
      </c>
      <c r="B566" s="90" t="s">
        <v>821</v>
      </c>
      <c r="C566" s="88" t="s">
        <v>911</v>
      </c>
      <c r="D566" s="89" t="s">
        <v>912</v>
      </c>
      <c r="E566" s="90" t="s">
        <v>61</v>
      </c>
      <c r="F566" s="91" t="s">
        <v>849</v>
      </c>
      <c r="G566" s="90">
        <v>3</v>
      </c>
      <c r="H566" s="92">
        <v>1350</v>
      </c>
      <c r="I566" s="91">
        <v>45879</v>
      </c>
      <c r="J566" s="165">
        <v>0.62083333333333335</v>
      </c>
      <c r="K566" s="92">
        <v>1350</v>
      </c>
      <c r="L566" s="72" t="str">
        <f t="shared" si="9"/>
        <v>Payé</v>
      </c>
    </row>
    <row r="567" spans="1:12" ht="15" customHeight="1" x14ac:dyDescent="0.25">
      <c r="A567" s="91" t="s">
        <v>849</v>
      </c>
      <c r="B567" s="90">
        <v>8</v>
      </c>
      <c r="C567" s="88" t="s">
        <v>543</v>
      </c>
      <c r="D567" s="90" t="s">
        <v>17</v>
      </c>
      <c r="E567" s="90" t="s">
        <v>371</v>
      </c>
      <c r="F567" s="91" t="s">
        <v>849</v>
      </c>
      <c r="G567" s="96">
        <v>14</v>
      </c>
      <c r="H567" s="94">
        <v>1275</v>
      </c>
      <c r="I567" s="91">
        <v>45879</v>
      </c>
      <c r="J567" s="165">
        <v>0.33333333333333331</v>
      </c>
      <c r="K567" s="94">
        <v>1275</v>
      </c>
      <c r="L567" s="72" t="str">
        <f t="shared" si="9"/>
        <v>Payé</v>
      </c>
    </row>
    <row r="568" spans="1:12" ht="15" customHeight="1" x14ac:dyDescent="0.25">
      <c r="A568" s="91" t="s">
        <v>849</v>
      </c>
      <c r="B568" s="90">
        <v>9</v>
      </c>
      <c r="C568" s="88" t="s">
        <v>544</v>
      </c>
      <c r="D568" s="90" t="s">
        <v>17</v>
      </c>
      <c r="E568" s="90" t="s">
        <v>371</v>
      </c>
      <c r="F568" s="91" t="s">
        <v>849</v>
      </c>
      <c r="G568" s="96">
        <v>14</v>
      </c>
      <c r="H568" s="94">
        <v>1214</v>
      </c>
      <c r="I568" s="91">
        <v>45879</v>
      </c>
      <c r="J568" s="165">
        <v>0.33333333333333331</v>
      </c>
      <c r="K568" s="94">
        <v>1214</v>
      </c>
      <c r="L568" s="72" t="str">
        <f t="shared" si="9"/>
        <v>Payé</v>
      </c>
    </row>
    <row r="569" spans="1:12" ht="15" customHeight="1" x14ac:dyDescent="0.25">
      <c r="A569" s="91" t="s">
        <v>849</v>
      </c>
      <c r="B569" s="90">
        <v>10</v>
      </c>
      <c r="C569" s="88" t="s">
        <v>840</v>
      </c>
      <c r="D569" s="90" t="s">
        <v>17</v>
      </c>
      <c r="E569" s="90" t="s">
        <v>371</v>
      </c>
      <c r="F569" s="91" t="s">
        <v>849</v>
      </c>
      <c r="G569" s="96">
        <v>13</v>
      </c>
      <c r="H569" s="94">
        <v>1128</v>
      </c>
      <c r="I569" s="91">
        <v>45879</v>
      </c>
      <c r="J569" s="165">
        <v>0.33333333333333331</v>
      </c>
      <c r="K569" s="94">
        <v>1128</v>
      </c>
      <c r="L569" s="72" t="str">
        <f t="shared" si="9"/>
        <v>Payé</v>
      </c>
    </row>
    <row r="570" spans="1:12" ht="15" customHeight="1" x14ac:dyDescent="0.25">
      <c r="A570" s="91" t="s">
        <v>849</v>
      </c>
      <c r="B570" s="90">
        <v>3412</v>
      </c>
      <c r="C570" s="88" t="s">
        <v>560</v>
      </c>
      <c r="D570" s="90" t="s">
        <v>17</v>
      </c>
      <c r="E570" s="90" t="s">
        <v>371</v>
      </c>
      <c r="F570" s="91" t="s">
        <v>849</v>
      </c>
      <c r="G570" s="96">
        <v>14</v>
      </c>
      <c r="H570" s="94">
        <v>1214</v>
      </c>
      <c r="I570" s="91">
        <v>45879</v>
      </c>
      <c r="J570" s="165">
        <v>0.33333333333333331</v>
      </c>
      <c r="K570" s="94">
        <v>1214</v>
      </c>
      <c r="L570" s="72" t="str">
        <f t="shared" si="9"/>
        <v>Payé</v>
      </c>
    </row>
    <row r="571" spans="1:12" ht="15" customHeight="1" x14ac:dyDescent="0.25">
      <c r="A571" s="91" t="s">
        <v>849</v>
      </c>
      <c r="B571" s="90">
        <v>1043</v>
      </c>
      <c r="C571" s="88" t="s">
        <v>421</v>
      </c>
      <c r="D571" s="90" t="s">
        <v>17</v>
      </c>
      <c r="E571" s="90" t="s">
        <v>613</v>
      </c>
      <c r="F571" s="91" t="s">
        <v>849</v>
      </c>
      <c r="G571" s="96">
        <v>13</v>
      </c>
      <c r="H571" s="94">
        <v>1324</v>
      </c>
      <c r="I571" s="91">
        <v>45879</v>
      </c>
      <c r="J571" s="165">
        <v>0.33333333333333331</v>
      </c>
      <c r="K571" s="94">
        <v>1324</v>
      </c>
      <c r="L571" s="72" t="str">
        <f t="shared" si="9"/>
        <v>Payé</v>
      </c>
    </row>
    <row r="572" spans="1:12" ht="15" customHeight="1" x14ac:dyDescent="0.25">
      <c r="A572" s="91" t="s">
        <v>849</v>
      </c>
      <c r="B572" s="90">
        <v>1043</v>
      </c>
      <c r="C572" s="88" t="s">
        <v>421</v>
      </c>
      <c r="D572" s="90" t="s">
        <v>17</v>
      </c>
      <c r="E572" s="90" t="s">
        <v>613</v>
      </c>
      <c r="F572" s="91" t="s">
        <v>849</v>
      </c>
      <c r="G572" s="96">
        <v>1</v>
      </c>
      <c r="H572" s="94">
        <v>87</v>
      </c>
      <c r="I572" s="91">
        <v>45879</v>
      </c>
      <c r="J572" s="165">
        <v>0.33333333333333331</v>
      </c>
      <c r="K572" s="94">
        <v>87</v>
      </c>
      <c r="L572" s="72" t="str">
        <f t="shared" si="9"/>
        <v>Payé</v>
      </c>
    </row>
    <row r="573" spans="1:12" ht="15" customHeight="1" x14ac:dyDescent="0.25">
      <c r="A573" s="91" t="s">
        <v>849</v>
      </c>
      <c r="B573" s="90">
        <v>4807</v>
      </c>
      <c r="C573" s="88" t="s">
        <v>825</v>
      </c>
      <c r="D573" s="90" t="s">
        <v>17</v>
      </c>
      <c r="E573" s="90" t="s">
        <v>613</v>
      </c>
      <c r="F573" s="91" t="s">
        <v>849</v>
      </c>
      <c r="G573" s="96">
        <v>12</v>
      </c>
      <c r="H573" s="94">
        <v>1041</v>
      </c>
      <c r="I573" s="91">
        <v>45879</v>
      </c>
      <c r="J573" s="165">
        <v>0.33333333333333331</v>
      </c>
      <c r="K573" s="94">
        <v>1041</v>
      </c>
      <c r="L573" s="72" t="str">
        <f t="shared" si="9"/>
        <v>Payé</v>
      </c>
    </row>
    <row r="574" spans="1:12" ht="15" customHeight="1" x14ac:dyDescent="0.25">
      <c r="A574" s="91" t="s">
        <v>849</v>
      </c>
      <c r="B574" s="90">
        <v>3398</v>
      </c>
      <c r="C574" s="88" t="s">
        <v>557</v>
      </c>
      <c r="D574" s="90" t="s">
        <v>17</v>
      </c>
      <c r="E574" s="90" t="s">
        <v>420</v>
      </c>
      <c r="F574" s="91" t="s">
        <v>849</v>
      </c>
      <c r="G574" s="96">
        <v>14</v>
      </c>
      <c r="H574" s="94">
        <v>1513</v>
      </c>
      <c r="I574" s="91">
        <v>45879</v>
      </c>
      <c r="J574" s="165">
        <v>0.33333333333333331</v>
      </c>
      <c r="K574" s="94">
        <v>1513</v>
      </c>
      <c r="L574" s="72" t="str">
        <f t="shared" si="9"/>
        <v>Payé</v>
      </c>
    </row>
    <row r="575" spans="1:12" ht="15" customHeight="1" x14ac:dyDescent="0.25">
      <c r="A575" s="91" t="s">
        <v>849</v>
      </c>
      <c r="B575" s="90">
        <v>3630</v>
      </c>
      <c r="C575" s="88" t="s">
        <v>568</v>
      </c>
      <c r="D575" s="90" t="s">
        <v>17</v>
      </c>
      <c r="E575" s="90" t="s">
        <v>420</v>
      </c>
      <c r="F575" s="91" t="s">
        <v>849</v>
      </c>
      <c r="G575" s="96">
        <v>14</v>
      </c>
      <c r="H575" s="94">
        <v>1513</v>
      </c>
      <c r="I575" s="91">
        <v>45879</v>
      </c>
      <c r="J575" s="165">
        <v>0.33333333333333331</v>
      </c>
      <c r="K575" s="94">
        <v>1513</v>
      </c>
      <c r="L575" s="72" t="str">
        <f t="shared" si="9"/>
        <v>Payé</v>
      </c>
    </row>
    <row r="576" spans="1:12" ht="15" customHeight="1" x14ac:dyDescent="0.25">
      <c r="A576" s="91" t="s">
        <v>849</v>
      </c>
      <c r="B576" s="90">
        <v>5</v>
      </c>
      <c r="C576" s="88" t="s">
        <v>456</v>
      </c>
      <c r="D576" s="90" t="s">
        <v>17</v>
      </c>
      <c r="E576" s="90" t="s">
        <v>81</v>
      </c>
      <c r="F576" s="91" t="s">
        <v>849</v>
      </c>
      <c r="G576" s="96">
        <v>13</v>
      </c>
      <c r="H576" s="94">
        <v>1370</v>
      </c>
      <c r="I576" s="91">
        <v>45879</v>
      </c>
      <c r="J576" s="165">
        <v>0.33333333333333331</v>
      </c>
      <c r="K576" s="94">
        <v>1370</v>
      </c>
      <c r="L576" s="72" t="str">
        <f t="shared" si="9"/>
        <v>Payé</v>
      </c>
    </row>
    <row r="577" spans="1:13" ht="15" customHeight="1" x14ac:dyDescent="0.25">
      <c r="A577" s="91" t="s">
        <v>849</v>
      </c>
      <c r="B577" s="90">
        <v>172</v>
      </c>
      <c r="C577" s="88" t="s">
        <v>595</v>
      </c>
      <c r="D577" s="90" t="s">
        <v>17</v>
      </c>
      <c r="E577" s="90" t="s">
        <v>81</v>
      </c>
      <c r="F577" s="91" t="s">
        <v>849</v>
      </c>
      <c r="G577" s="96">
        <v>12</v>
      </c>
      <c r="H577" s="94">
        <v>1213</v>
      </c>
      <c r="I577" s="91">
        <v>45879</v>
      </c>
      <c r="J577" s="165">
        <v>0.33333333333333331</v>
      </c>
      <c r="K577" s="94">
        <v>1213</v>
      </c>
      <c r="L577" s="72" t="str">
        <f t="shared" si="9"/>
        <v>Payé</v>
      </c>
    </row>
    <row r="578" spans="1:13" ht="15" customHeight="1" x14ac:dyDescent="0.25">
      <c r="A578" s="91" t="s">
        <v>849</v>
      </c>
      <c r="B578" s="90">
        <v>179</v>
      </c>
      <c r="C578" s="88" t="s">
        <v>596</v>
      </c>
      <c r="D578" s="90" t="s">
        <v>17</v>
      </c>
      <c r="E578" s="90" t="s">
        <v>81</v>
      </c>
      <c r="F578" s="91" t="s">
        <v>849</v>
      </c>
      <c r="G578" s="96">
        <v>13</v>
      </c>
      <c r="H578" s="94">
        <v>1314</v>
      </c>
      <c r="I578" s="91">
        <v>45879</v>
      </c>
      <c r="J578" s="165">
        <v>0.33333333333333331</v>
      </c>
      <c r="K578" s="94">
        <v>1314</v>
      </c>
      <c r="L578" s="72" t="str">
        <f t="shared" si="9"/>
        <v>Payé</v>
      </c>
    </row>
    <row r="579" spans="1:13" ht="15" customHeight="1" x14ac:dyDescent="0.25">
      <c r="A579" s="91" t="s">
        <v>849</v>
      </c>
      <c r="B579" s="90">
        <v>190</v>
      </c>
      <c r="C579" s="88" t="s">
        <v>597</v>
      </c>
      <c r="D579" s="90" t="s">
        <v>17</v>
      </c>
      <c r="E579" s="90" t="s">
        <v>81</v>
      </c>
      <c r="F579" s="91" t="s">
        <v>849</v>
      </c>
      <c r="G579" s="96">
        <v>12</v>
      </c>
      <c r="H579" s="94">
        <v>1273</v>
      </c>
      <c r="I579" s="91">
        <v>45879</v>
      </c>
      <c r="J579" s="165">
        <v>0.33333333333333331</v>
      </c>
      <c r="K579" s="94">
        <v>1273</v>
      </c>
      <c r="L579" s="72" t="str">
        <f t="shared" si="9"/>
        <v>Payé</v>
      </c>
    </row>
    <row r="580" spans="1:13" ht="15" customHeight="1" x14ac:dyDescent="0.25">
      <c r="A580" s="91" t="s">
        <v>849</v>
      </c>
      <c r="B580" s="90">
        <v>2311</v>
      </c>
      <c r="C580" s="88" t="s">
        <v>406</v>
      </c>
      <c r="D580" s="90" t="s">
        <v>17</v>
      </c>
      <c r="E580" s="90" t="s">
        <v>368</v>
      </c>
      <c r="F580" s="91" t="s">
        <v>849</v>
      </c>
      <c r="G580" s="96">
        <v>2</v>
      </c>
      <c r="H580" s="94">
        <v>182</v>
      </c>
      <c r="I580" s="91">
        <v>45882</v>
      </c>
      <c r="J580" s="165">
        <v>0.52500000000000002</v>
      </c>
      <c r="K580" s="94">
        <v>182</v>
      </c>
      <c r="L580" s="72" t="str">
        <f t="shared" si="9"/>
        <v>Payé</v>
      </c>
    </row>
    <row r="581" spans="1:13" ht="15" customHeight="1" x14ac:dyDescent="0.25">
      <c r="A581" s="91" t="s">
        <v>849</v>
      </c>
      <c r="B581" s="90">
        <v>41</v>
      </c>
      <c r="C581" s="88" t="s">
        <v>407</v>
      </c>
      <c r="D581" s="90" t="s">
        <v>17</v>
      </c>
      <c r="E581" s="90" t="s">
        <v>370</v>
      </c>
      <c r="F581" s="91" t="s">
        <v>849</v>
      </c>
      <c r="G581" s="96">
        <v>1</v>
      </c>
      <c r="H581" s="94">
        <v>87</v>
      </c>
      <c r="I581" s="91">
        <v>45879</v>
      </c>
      <c r="J581" s="165">
        <v>0.33333333333333331</v>
      </c>
      <c r="K581" s="94">
        <v>87</v>
      </c>
      <c r="L581" s="72" t="str">
        <f t="shared" si="9"/>
        <v>Payé</v>
      </c>
    </row>
    <row r="582" spans="1:13" ht="15" customHeight="1" x14ac:dyDescent="0.25">
      <c r="A582" s="91" t="s">
        <v>849</v>
      </c>
      <c r="B582" s="90">
        <v>752</v>
      </c>
      <c r="C582" s="88" t="s">
        <v>384</v>
      </c>
      <c r="D582" s="90" t="s">
        <v>17</v>
      </c>
      <c r="E582" s="90" t="s">
        <v>370</v>
      </c>
      <c r="F582" s="91" t="s">
        <v>849</v>
      </c>
      <c r="G582" s="96">
        <v>1</v>
      </c>
      <c r="H582" s="94">
        <v>87</v>
      </c>
      <c r="I582" s="91">
        <v>45879</v>
      </c>
      <c r="J582" s="165">
        <v>0.33333333333333331</v>
      </c>
      <c r="K582" s="94">
        <v>87</v>
      </c>
      <c r="L582" s="72" t="str">
        <f t="shared" si="9"/>
        <v>Payé</v>
      </c>
    </row>
    <row r="583" spans="1:13" ht="15" customHeight="1" x14ac:dyDescent="0.25">
      <c r="A583" s="91" t="s">
        <v>849</v>
      </c>
      <c r="B583" s="90">
        <v>198</v>
      </c>
      <c r="C583" s="88" t="s">
        <v>380</v>
      </c>
      <c r="D583" s="90" t="s">
        <v>17</v>
      </c>
      <c r="E583" s="90" t="s">
        <v>369</v>
      </c>
      <c r="F583" s="91" t="s">
        <v>849</v>
      </c>
      <c r="G583" s="96">
        <v>2</v>
      </c>
      <c r="H583" s="94">
        <v>182</v>
      </c>
      <c r="I583" s="91">
        <v>45879</v>
      </c>
      <c r="J583" s="165">
        <v>0.33333333333333331</v>
      </c>
      <c r="K583" s="94">
        <v>182</v>
      </c>
      <c r="L583" s="72" t="str">
        <f t="shared" si="9"/>
        <v>Payé</v>
      </c>
    </row>
    <row r="584" spans="1:13" ht="15" customHeight="1" x14ac:dyDescent="0.25">
      <c r="A584" s="91" t="s">
        <v>849</v>
      </c>
      <c r="B584" s="90">
        <v>1041</v>
      </c>
      <c r="C584" s="88" t="s">
        <v>387</v>
      </c>
      <c r="D584" s="90" t="s">
        <v>17</v>
      </c>
      <c r="E584" s="90" t="s">
        <v>369</v>
      </c>
      <c r="F584" s="91" t="s">
        <v>849</v>
      </c>
      <c r="G584" s="96">
        <v>1</v>
      </c>
      <c r="H584" s="94">
        <v>87</v>
      </c>
      <c r="I584" s="91">
        <v>45879</v>
      </c>
      <c r="J584" s="165">
        <v>0.33333333333333331</v>
      </c>
      <c r="K584" s="94">
        <v>87</v>
      </c>
      <c r="L584" s="72" t="str">
        <f t="shared" si="9"/>
        <v>Payé</v>
      </c>
    </row>
    <row r="585" spans="1:13" ht="15" customHeight="1" x14ac:dyDescent="0.25">
      <c r="A585" s="91" t="s">
        <v>849</v>
      </c>
      <c r="B585" s="90">
        <v>102</v>
      </c>
      <c r="C585" s="88" t="s">
        <v>594</v>
      </c>
      <c r="D585" s="90" t="s">
        <v>17</v>
      </c>
      <c r="E585" s="90" t="s">
        <v>103</v>
      </c>
      <c r="F585" s="91" t="s">
        <v>849</v>
      </c>
      <c r="G585" s="96">
        <v>14</v>
      </c>
      <c r="H585" s="94">
        <v>1415</v>
      </c>
      <c r="I585" s="91">
        <v>45879</v>
      </c>
      <c r="J585" s="165">
        <v>0.33333333333333331</v>
      </c>
      <c r="K585" s="94">
        <v>1415</v>
      </c>
      <c r="L585" s="72" t="str">
        <f t="shared" si="9"/>
        <v>Payé</v>
      </c>
    </row>
    <row r="586" spans="1:13" ht="15" customHeight="1" x14ac:dyDescent="0.25">
      <c r="A586" s="91" t="s">
        <v>849</v>
      </c>
      <c r="B586" s="90">
        <v>191</v>
      </c>
      <c r="C586" s="88" t="s">
        <v>545</v>
      </c>
      <c r="D586" s="90" t="s">
        <v>17</v>
      </c>
      <c r="E586" s="90" t="s">
        <v>103</v>
      </c>
      <c r="F586" s="91" t="s">
        <v>849</v>
      </c>
      <c r="G586" s="96">
        <v>10</v>
      </c>
      <c r="H586" s="94">
        <v>1061</v>
      </c>
      <c r="I586" s="91">
        <v>45879</v>
      </c>
      <c r="J586" s="165">
        <v>0.33333333333333331</v>
      </c>
      <c r="K586" s="94">
        <v>1061</v>
      </c>
      <c r="L586" s="72" t="str">
        <f t="shared" si="9"/>
        <v>Payé</v>
      </c>
    </row>
    <row r="587" spans="1:13" ht="15" customHeight="1" x14ac:dyDescent="0.25">
      <c r="A587" s="91" t="s">
        <v>849</v>
      </c>
      <c r="B587" s="90">
        <v>193</v>
      </c>
      <c r="C587" s="88" t="s">
        <v>598</v>
      </c>
      <c r="D587" s="90" t="s">
        <v>17</v>
      </c>
      <c r="E587" s="90" t="s">
        <v>103</v>
      </c>
      <c r="F587" s="91" t="s">
        <v>849</v>
      </c>
      <c r="G587" s="96">
        <v>11</v>
      </c>
      <c r="H587" s="94">
        <v>1112</v>
      </c>
      <c r="I587" s="91">
        <v>45879</v>
      </c>
      <c r="J587" s="165">
        <v>0.33333333333333331</v>
      </c>
      <c r="K587" s="94">
        <v>1112</v>
      </c>
      <c r="L587" s="72" t="str">
        <f t="shared" si="9"/>
        <v>Payé</v>
      </c>
    </row>
    <row r="588" spans="1:13" ht="15" customHeight="1" x14ac:dyDescent="0.25">
      <c r="A588" s="91" t="s">
        <v>849</v>
      </c>
      <c r="B588" s="90">
        <v>742</v>
      </c>
      <c r="C588" s="88" t="s">
        <v>615</v>
      </c>
      <c r="D588" s="90" t="s">
        <v>17</v>
      </c>
      <c r="E588" s="90" t="s">
        <v>103</v>
      </c>
      <c r="F588" s="91" t="s">
        <v>849</v>
      </c>
      <c r="G588" s="96">
        <v>13</v>
      </c>
      <c r="H588" s="94">
        <v>1314</v>
      </c>
      <c r="I588" s="91">
        <v>45879</v>
      </c>
      <c r="J588" s="165">
        <v>0.33333333333333331</v>
      </c>
      <c r="K588" s="94">
        <v>1314</v>
      </c>
      <c r="L588" s="72" t="str">
        <f t="shared" si="9"/>
        <v>Payé</v>
      </c>
    </row>
    <row r="589" spans="1:13" ht="15" customHeight="1" x14ac:dyDescent="0.25">
      <c r="A589" s="91" t="s">
        <v>849</v>
      </c>
      <c r="B589" s="90">
        <v>1588</v>
      </c>
      <c r="C589" s="88" t="s">
        <v>616</v>
      </c>
      <c r="D589" s="90" t="s">
        <v>17</v>
      </c>
      <c r="E589" s="90" t="s">
        <v>103</v>
      </c>
      <c r="F589" s="91" t="s">
        <v>849</v>
      </c>
      <c r="G589" s="96">
        <v>11</v>
      </c>
      <c r="H589" s="94">
        <v>1064</v>
      </c>
      <c r="I589" s="91">
        <v>45879</v>
      </c>
      <c r="J589" s="165">
        <v>0.33333333333333331</v>
      </c>
      <c r="K589" s="94">
        <v>1064</v>
      </c>
      <c r="L589" s="72" t="str">
        <f t="shared" si="9"/>
        <v>Payé</v>
      </c>
    </row>
    <row r="590" spans="1:13" ht="15" customHeight="1" x14ac:dyDescent="0.25">
      <c r="A590" s="91" t="s">
        <v>849</v>
      </c>
      <c r="B590" s="90">
        <v>2160</v>
      </c>
      <c r="C590" s="88" t="s">
        <v>602</v>
      </c>
      <c r="D590" s="90" t="s">
        <v>17</v>
      </c>
      <c r="E590" s="90" t="s">
        <v>103</v>
      </c>
      <c r="F590" s="91" t="s">
        <v>849</v>
      </c>
      <c r="G590" s="96">
        <v>13</v>
      </c>
      <c r="H590" s="94">
        <v>1314</v>
      </c>
      <c r="I590" s="91">
        <v>45879</v>
      </c>
      <c r="J590" s="165">
        <v>0.33333333333333331</v>
      </c>
      <c r="K590" s="94">
        <v>1314</v>
      </c>
      <c r="L590" s="72" t="str">
        <f t="shared" si="9"/>
        <v>Payé</v>
      </c>
      <c r="M590" s="69"/>
    </row>
    <row r="591" spans="1:13" ht="15" customHeight="1" x14ac:dyDescent="0.25">
      <c r="A591" s="91" t="s">
        <v>849</v>
      </c>
      <c r="B591" s="90">
        <v>2276</v>
      </c>
      <c r="C591" s="88" t="s">
        <v>367</v>
      </c>
      <c r="D591" s="90" t="s">
        <v>17</v>
      </c>
      <c r="E591" s="90" t="s">
        <v>103</v>
      </c>
      <c r="F591" s="91" t="s">
        <v>849</v>
      </c>
      <c r="G591" s="96">
        <v>12</v>
      </c>
      <c r="H591" s="94">
        <v>1161</v>
      </c>
      <c r="I591" s="91">
        <v>45879</v>
      </c>
      <c r="J591" s="165">
        <v>0.33333333333333331</v>
      </c>
      <c r="K591" s="94">
        <v>1161</v>
      </c>
      <c r="L591" s="72" t="str">
        <f t="shared" si="9"/>
        <v>Payé</v>
      </c>
      <c r="M591" s="69"/>
    </row>
    <row r="592" spans="1:13" ht="15" customHeight="1" x14ac:dyDescent="0.25">
      <c r="A592" s="91" t="s">
        <v>849</v>
      </c>
      <c r="B592" s="90">
        <v>3351</v>
      </c>
      <c r="C592" s="88" t="s">
        <v>617</v>
      </c>
      <c r="D592" s="90" t="s">
        <v>17</v>
      </c>
      <c r="E592" s="90" t="s">
        <v>103</v>
      </c>
      <c r="F592" s="91" t="s">
        <v>849</v>
      </c>
      <c r="G592" s="96">
        <v>13</v>
      </c>
      <c r="H592" s="94">
        <v>1258</v>
      </c>
      <c r="I592" s="91">
        <v>45879</v>
      </c>
      <c r="J592" s="165">
        <v>0.33333333333333331</v>
      </c>
      <c r="K592" s="94">
        <v>1258</v>
      </c>
      <c r="L592" s="72" t="str">
        <f t="shared" si="9"/>
        <v>Payé</v>
      </c>
      <c r="M592" s="69"/>
    </row>
    <row r="593" spans="1:13" ht="15" customHeight="1" x14ac:dyDescent="0.25">
      <c r="A593" s="91" t="s">
        <v>849</v>
      </c>
      <c r="B593" s="90">
        <v>95</v>
      </c>
      <c r="C593" s="88" t="s">
        <v>408</v>
      </c>
      <c r="D593" s="90" t="s">
        <v>17</v>
      </c>
      <c r="E593" s="90" t="s">
        <v>103</v>
      </c>
      <c r="F593" s="91" t="s">
        <v>849</v>
      </c>
      <c r="G593" s="96">
        <v>1</v>
      </c>
      <c r="H593" s="94">
        <v>87</v>
      </c>
      <c r="I593" s="91">
        <v>45879</v>
      </c>
      <c r="J593" s="165">
        <v>0.33333333333333331</v>
      </c>
      <c r="K593" s="94">
        <v>87</v>
      </c>
      <c r="L593" s="72" t="str">
        <f t="shared" si="9"/>
        <v>Payé</v>
      </c>
      <c r="M593" s="69"/>
    </row>
    <row r="594" spans="1:13" ht="15" customHeight="1" x14ac:dyDescent="0.25">
      <c r="A594" s="91" t="s">
        <v>849</v>
      </c>
      <c r="B594" s="90">
        <v>201</v>
      </c>
      <c r="C594" s="88" t="s">
        <v>599</v>
      </c>
      <c r="D594" s="90" t="s">
        <v>17</v>
      </c>
      <c r="E594" s="90" t="s">
        <v>391</v>
      </c>
      <c r="F594" s="91" t="s">
        <v>849</v>
      </c>
      <c r="G594" s="96">
        <v>12</v>
      </c>
      <c r="H594" s="94">
        <v>1213</v>
      </c>
      <c r="I594" s="91">
        <v>45879</v>
      </c>
      <c r="J594" s="165">
        <v>0.33333333333333331</v>
      </c>
      <c r="K594" s="94">
        <v>1213</v>
      </c>
      <c r="L594" s="72" t="str">
        <f t="shared" si="9"/>
        <v>Payé</v>
      </c>
      <c r="M594" s="69"/>
    </row>
    <row r="595" spans="1:13" ht="15" customHeight="1" x14ac:dyDescent="0.25">
      <c r="A595" s="91" t="s">
        <v>849</v>
      </c>
      <c r="B595" s="90">
        <v>2384</v>
      </c>
      <c r="C595" s="88" t="s">
        <v>541</v>
      </c>
      <c r="D595" s="90" t="s">
        <v>17</v>
      </c>
      <c r="E595" s="90" t="s">
        <v>107</v>
      </c>
      <c r="F595" s="91" t="s">
        <v>849</v>
      </c>
      <c r="G595" s="96">
        <v>2</v>
      </c>
      <c r="H595" s="94">
        <v>193</v>
      </c>
      <c r="I595" s="91">
        <v>45881</v>
      </c>
      <c r="J595" s="165">
        <v>0.5625</v>
      </c>
      <c r="K595" s="94">
        <v>193</v>
      </c>
      <c r="L595" s="72" t="str">
        <f t="shared" si="9"/>
        <v>Payé</v>
      </c>
      <c r="M595" s="69"/>
    </row>
    <row r="596" spans="1:13" ht="15" customHeight="1" x14ac:dyDescent="0.25">
      <c r="A596" s="91" t="s">
        <v>849</v>
      </c>
      <c r="B596" s="90">
        <v>2694</v>
      </c>
      <c r="C596" s="88" t="s">
        <v>547</v>
      </c>
      <c r="D596" s="90" t="s">
        <v>17</v>
      </c>
      <c r="E596" s="90" t="s">
        <v>123</v>
      </c>
      <c r="F596" s="91" t="s">
        <v>849</v>
      </c>
      <c r="G596" s="96">
        <v>11</v>
      </c>
      <c r="H596" s="94">
        <v>954</v>
      </c>
      <c r="I596" s="91">
        <v>45879</v>
      </c>
      <c r="J596" s="165">
        <v>0.33333333333333331</v>
      </c>
      <c r="K596" s="94">
        <v>954</v>
      </c>
      <c r="L596" s="72" t="str">
        <f t="shared" si="9"/>
        <v>Payé</v>
      </c>
      <c r="M596" s="69"/>
    </row>
    <row r="597" spans="1:13" ht="15" customHeight="1" x14ac:dyDescent="0.25">
      <c r="A597" s="91" t="s">
        <v>849</v>
      </c>
      <c r="B597" s="90">
        <v>3409</v>
      </c>
      <c r="C597" s="88" t="s">
        <v>559</v>
      </c>
      <c r="D597" s="90" t="s">
        <v>17</v>
      </c>
      <c r="E597" s="90" t="s">
        <v>123</v>
      </c>
      <c r="F597" s="91" t="s">
        <v>849</v>
      </c>
      <c r="G597" s="96">
        <v>10</v>
      </c>
      <c r="H597" s="94">
        <v>867</v>
      </c>
      <c r="I597" s="91">
        <v>45879</v>
      </c>
      <c r="J597" s="165">
        <v>0.33333333333333331</v>
      </c>
      <c r="K597" s="94">
        <v>867</v>
      </c>
      <c r="L597" s="72" t="str">
        <f t="shared" si="9"/>
        <v>Payé</v>
      </c>
      <c r="M597" s="69"/>
    </row>
    <row r="598" spans="1:13" ht="15" customHeight="1" x14ac:dyDescent="0.25">
      <c r="A598" s="91" t="s">
        <v>849</v>
      </c>
      <c r="B598" s="90">
        <v>3426</v>
      </c>
      <c r="C598" s="88" t="s">
        <v>604</v>
      </c>
      <c r="D598" s="90" t="s">
        <v>17</v>
      </c>
      <c r="E598" s="90" t="s">
        <v>123</v>
      </c>
      <c r="F598" s="91" t="s">
        <v>849</v>
      </c>
      <c r="G598" s="96">
        <v>7</v>
      </c>
      <c r="H598" s="94">
        <v>607</v>
      </c>
      <c r="I598" s="91">
        <v>45879</v>
      </c>
      <c r="J598" s="165">
        <v>0.33333333333333331</v>
      </c>
      <c r="K598" s="94">
        <v>607</v>
      </c>
      <c r="L598" s="72" t="str">
        <f t="shared" si="9"/>
        <v>Payé</v>
      </c>
      <c r="M598" s="69"/>
    </row>
    <row r="599" spans="1:13" ht="15" customHeight="1" x14ac:dyDescent="0.25">
      <c r="A599" s="91" t="s">
        <v>849</v>
      </c>
      <c r="B599" s="90">
        <v>3545</v>
      </c>
      <c r="C599" s="88" t="s">
        <v>606</v>
      </c>
      <c r="D599" s="90" t="s">
        <v>17</v>
      </c>
      <c r="E599" s="90" t="s">
        <v>123</v>
      </c>
      <c r="F599" s="91" t="s">
        <v>849</v>
      </c>
      <c r="G599" s="96">
        <v>2</v>
      </c>
      <c r="H599" s="94">
        <v>173</v>
      </c>
      <c r="I599" s="91">
        <v>45879</v>
      </c>
      <c r="J599" s="165">
        <v>0.33333333333333331</v>
      </c>
      <c r="K599" s="94">
        <v>173</v>
      </c>
      <c r="L599" s="72" t="str">
        <f t="shared" si="9"/>
        <v>Payé</v>
      </c>
    </row>
    <row r="600" spans="1:13" ht="15" customHeight="1" x14ac:dyDescent="0.25">
      <c r="A600" s="91" t="s">
        <v>849</v>
      </c>
      <c r="B600" s="90">
        <v>3726</v>
      </c>
      <c r="C600" s="88" t="s">
        <v>570</v>
      </c>
      <c r="D600" s="90" t="s">
        <v>17</v>
      </c>
      <c r="E600" s="90" t="s">
        <v>123</v>
      </c>
      <c r="F600" s="91" t="s">
        <v>849</v>
      </c>
      <c r="G600" s="96">
        <v>12</v>
      </c>
      <c r="H600" s="94">
        <v>1041</v>
      </c>
      <c r="I600" s="91">
        <v>45879</v>
      </c>
      <c r="J600" s="165">
        <v>0.33333333333333331</v>
      </c>
      <c r="K600" s="94">
        <v>1041</v>
      </c>
      <c r="L600" s="72" t="str">
        <f t="shared" si="9"/>
        <v>Payé</v>
      </c>
    </row>
    <row r="601" spans="1:13" ht="15" customHeight="1" x14ac:dyDescent="0.25">
      <c r="A601" s="91" t="s">
        <v>849</v>
      </c>
      <c r="B601" s="90">
        <v>3793</v>
      </c>
      <c r="C601" s="88" t="s">
        <v>572</v>
      </c>
      <c r="D601" s="90" t="s">
        <v>17</v>
      </c>
      <c r="E601" s="90" t="s">
        <v>123</v>
      </c>
      <c r="F601" s="91" t="s">
        <v>849</v>
      </c>
      <c r="G601" s="96">
        <v>10</v>
      </c>
      <c r="H601" s="94">
        <v>867</v>
      </c>
      <c r="I601" s="91">
        <v>45879</v>
      </c>
      <c r="J601" s="165">
        <v>0.33333333333333331</v>
      </c>
      <c r="K601" s="94">
        <v>867</v>
      </c>
      <c r="L601" s="72" t="str">
        <f t="shared" si="9"/>
        <v>Payé</v>
      </c>
    </row>
    <row r="602" spans="1:13" ht="15" customHeight="1" x14ac:dyDescent="0.25">
      <c r="A602" s="91" t="s">
        <v>849</v>
      </c>
      <c r="B602" s="90">
        <v>4415</v>
      </c>
      <c r="C602" s="88" t="s">
        <v>723</v>
      </c>
      <c r="D602" s="90" t="s">
        <v>17</v>
      </c>
      <c r="E602" s="90" t="s">
        <v>123</v>
      </c>
      <c r="F602" s="91" t="s">
        <v>849</v>
      </c>
      <c r="G602" s="96">
        <v>7</v>
      </c>
      <c r="H602" s="94">
        <v>607</v>
      </c>
      <c r="I602" s="91">
        <v>45879</v>
      </c>
      <c r="J602" s="165">
        <v>0.33333333333333331</v>
      </c>
      <c r="K602" s="94">
        <v>607</v>
      </c>
      <c r="L602" s="72" t="str">
        <f t="shared" si="9"/>
        <v>Payé</v>
      </c>
    </row>
    <row r="603" spans="1:13" ht="15" customHeight="1" x14ac:dyDescent="0.25">
      <c r="A603" s="91" t="s">
        <v>849</v>
      </c>
      <c r="B603" s="90">
        <v>4550</v>
      </c>
      <c r="C603" s="88" t="s">
        <v>739</v>
      </c>
      <c r="D603" s="90" t="s">
        <v>17</v>
      </c>
      <c r="E603" s="90" t="s">
        <v>847</v>
      </c>
      <c r="F603" s="91" t="s">
        <v>849</v>
      </c>
      <c r="G603" s="96">
        <v>10</v>
      </c>
      <c r="H603" s="94">
        <v>867</v>
      </c>
      <c r="I603" s="91">
        <v>45879</v>
      </c>
      <c r="J603" s="165">
        <v>0.33333333333333331</v>
      </c>
      <c r="K603" s="94">
        <v>867</v>
      </c>
      <c r="L603" s="72" t="str">
        <f t="shared" si="9"/>
        <v>Payé</v>
      </c>
    </row>
    <row r="604" spans="1:13" ht="15" customHeight="1" x14ac:dyDescent="0.25">
      <c r="A604" s="91" t="s">
        <v>849</v>
      </c>
      <c r="B604" s="90">
        <v>4806</v>
      </c>
      <c r="C604" s="88" t="s">
        <v>740</v>
      </c>
      <c r="D604" s="90" t="s">
        <v>17</v>
      </c>
      <c r="E604" s="90" t="s">
        <v>847</v>
      </c>
      <c r="F604" s="91" t="s">
        <v>849</v>
      </c>
      <c r="G604" s="96">
        <v>7</v>
      </c>
      <c r="H604" s="94">
        <v>607</v>
      </c>
      <c r="I604" s="91">
        <v>45881</v>
      </c>
      <c r="J604" s="165">
        <v>0.64861111111111114</v>
      </c>
      <c r="K604" s="94">
        <v>607</v>
      </c>
      <c r="L604" s="72" t="str">
        <f t="shared" si="9"/>
        <v>Payé</v>
      </c>
    </row>
    <row r="605" spans="1:13" ht="15" customHeight="1" x14ac:dyDescent="0.25">
      <c r="A605" s="91" t="s">
        <v>849</v>
      </c>
      <c r="B605" s="90"/>
      <c r="C605" s="88" t="s">
        <v>893</v>
      </c>
      <c r="D605" s="90" t="s">
        <v>17</v>
      </c>
      <c r="E605" s="90" t="s">
        <v>847</v>
      </c>
      <c r="F605" s="91" t="s">
        <v>849</v>
      </c>
      <c r="G605" s="96">
        <v>2</v>
      </c>
      <c r="H605" s="94">
        <v>173</v>
      </c>
      <c r="I605" s="91">
        <v>45879</v>
      </c>
      <c r="J605" s="165">
        <v>0.33333333333333331</v>
      </c>
      <c r="K605" s="94">
        <v>173</v>
      </c>
      <c r="L605" s="72" t="str">
        <f t="shared" si="9"/>
        <v>Payé</v>
      </c>
    </row>
    <row r="606" spans="1:13" ht="15" customHeight="1" x14ac:dyDescent="0.25">
      <c r="A606" s="91" t="s">
        <v>849</v>
      </c>
      <c r="B606" s="90">
        <v>3010</v>
      </c>
      <c r="C606" s="88" t="s">
        <v>549</v>
      </c>
      <c r="D606" s="90" t="s">
        <v>17</v>
      </c>
      <c r="E606" s="90" t="s">
        <v>649</v>
      </c>
      <c r="F606" s="91" t="s">
        <v>849</v>
      </c>
      <c r="G606" s="96">
        <v>10</v>
      </c>
      <c r="H606" s="94">
        <v>867</v>
      </c>
      <c r="I606" s="91">
        <v>45879</v>
      </c>
      <c r="J606" s="165">
        <v>0.33333333333333331</v>
      </c>
      <c r="K606" s="94">
        <v>867</v>
      </c>
      <c r="L606" s="72" t="str">
        <f t="shared" ref="L606:L669" si="10">IF(ISBLANK(H606),"",IF(H606=K606,"Payé","Impayé"))</f>
        <v>Payé</v>
      </c>
    </row>
    <row r="607" spans="1:13" ht="15" customHeight="1" x14ac:dyDescent="0.25">
      <c r="A607" s="91" t="s">
        <v>849</v>
      </c>
      <c r="B607" s="90">
        <v>3086</v>
      </c>
      <c r="C607" s="88" t="s">
        <v>551</v>
      </c>
      <c r="D607" s="90" t="s">
        <v>17</v>
      </c>
      <c r="E607" s="90" t="s">
        <v>649</v>
      </c>
      <c r="F607" s="91" t="s">
        <v>849</v>
      </c>
      <c r="G607" s="96">
        <v>9</v>
      </c>
      <c r="H607" s="94">
        <v>781</v>
      </c>
      <c r="I607" s="91">
        <v>45879</v>
      </c>
      <c r="J607" s="165">
        <v>0.33333333333333331</v>
      </c>
      <c r="K607" s="94">
        <v>781</v>
      </c>
      <c r="L607" s="72" t="str">
        <f t="shared" si="10"/>
        <v>Payé</v>
      </c>
    </row>
    <row r="608" spans="1:13" ht="15" customHeight="1" x14ac:dyDescent="0.25">
      <c r="A608" s="91" t="s">
        <v>849</v>
      </c>
      <c r="B608" s="90">
        <v>3113</v>
      </c>
      <c r="C608" s="88" t="s">
        <v>552</v>
      </c>
      <c r="D608" s="90" t="s">
        <v>17</v>
      </c>
      <c r="E608" s="90" t="s">
        <v>649</v>
      </c>
      <c r="F608" s="91" t="s">
        <v>849</v>
      </c>
      <c r="G608" s="96">
        <v>1</v>
      </c>
      <c r="H608" s="94">
        <v>87</v>
      </c>
      <c r="I608" s="91">
        <v>45879</v>
      </c>
      <c r="J608" s="165">
        <v>0.33333333333333331</v>
      </c>
      <c r="K608" s="94">
        <v>87</v>
      </c>
      <c r="L608" s="72" t="str">
        <f t="shared" si="10"/>
        <v>Payé</v>
      </c>
    </row>
    <row r="609" spans="1:12" ht="15" customHeight="1" x14ac:dyDescent="0.25">
      <c r="A609" s="91" t="s">
        <v>849</v>
      </c>
      <c r="B609" s="90">
        <v>3130</v>
      </c>
      <c r="C609" s="88" t="s">
        <v>553</v>
      </c>
      <c r="D609" s="90" t="s">
        <v>17</v>
      </c>
      <c r="E609" s="90" t="s">
        <v>649</v>
      </c>
      <c r="F609" s="91" t="s">
        <v>849</v>
      </c>
      <c r="G609" s="96">
        <v>9</v>
      </c>
      <c r="H609" s="94">
        <v>781</v>
      </c>
      <c r="I609" s="91">
        <v>45879</v>
      </c>
      <c r="J609" s="165">
        <v>0.33333333333333331</v>
      </c>
      <c r="K609" s="94">
        <v>781</v>
      </c>
      <c r="L609" s="72" t="str">
        <f t="shared" si="10"/>
        <v>Payé</v>
      </c>
    </row>
    <row r="610" spans="1:12" ht="15" customHeight="1" x14ac:dyDescent="0.25">
      <c r="A610" s="91" t="s">
        <v>849</v>
      </c>
      <c r="B610" s="90">
        <v>3133</v>
      </c>
      <c r="C610" s="88" t="s">
        <v>554</v>
      </c>
      <c r="D610" s="90" t="s">
        <v>17</v>
      </c>
      <c r="E610" s="90" t="s">
        <v>649</v>
      </c>
      <c r="F610" s="91" t="s">
        <v>849</v>
      </c>
      <c r="G610" s="96">
        <v>6</v>
      </c>
      <c r="H610" s="94">
        <v>520</v>
      </c>
      <c r="I610" s="91">
        <v>45879</v>
      </c>
      <c r="J610" s="165">
        <v>0.33333333333333331</v>
      </c>
      <c r="K610" s="94">
        <v>520</v>
      </c>
      <c r="L610" s="72" t="str">
        <f t="shared" si="10"/>
        <v>Payé</v>
      </c>
    </row>
    <row r="611" spans="1:12" ht="15" customHeight="1" x14ac:dyDescent="0.25">
      <c r="A611" s="91" t="s">
        <v>849</v>
      </c>
      <c r="B611" s="90">
        <v>3136</v>
      </c>
      <c r="C611" s="88" t="s">
        <v>377</v>
      </c>
      <c r="D611" s="90" t="s">
        <v>17</v>
      </c>
      <c r="E611" s="90" t="s">
        <v>649</v>
      </c>
      <c r="F611" s="91" t="s">
        <v>849</v>
      </c>
      <c r="G611" s="96">
        <v>9</v>
      </c>
      <c r="H611" s="94">
        <v>781</v>
      </c>
      <c r="I611" s="91">
        <v>45937</v>
      </c>
      <c r="J611" s="165">
        <v>0.57222222222222219</v>
      </c>
      <c r="K611" s="94">
        <v>781</v>
      </c>
      <c r="L611" s="72" t="str">
        <f t="shared" si="10"/>
        <v>Payé</v>
      </c>
    </row>
    <row r="612" spans="1:12" ht="15" customHeight="1" x14ac:dyDescent="0.25">
      <c r="A612" s="91" t="s">
        <v>849</v>
      </c>
      <c r="B612" s="90">
        <v>3149</v>
      </c>
      <c r="C612" s="88" t="s">
        <v>657</v>
      </c>
      <c r="D612" s="90" t="s">
        <v>17</v>
      </c>
      <c r="E612" s="90" t="s">
        <v>649</v>
      </c>
      <c r="F612" s="91" t="s">
        <v>849</v>
      </c>
      <c r="G612" s="96">
        <v>9</v>
      </c>
      <c r="H612" s="94">
        <v>781</v>
      </c>
      <c r="I612" s="91">
        <v>45879</v>
      </c>
      <c r="J612" s="165">
        <v>0.33333333333333331</v>
      </c>
      <c r="K612" s="94">
        <v>781</v>
      </c>
      <c r="L612" s="72" t="str">
        <f t="shared" si="10"/>
        <v>Payé</v>
      </c>
    </row>
    <row r="613" spans="1:12" ht="15" customHeight="1" x14ac:dyDescent="0.25">
      <c r="A613" s="91" t="s">
        <v>849</v>
      </c>
      <c r="B613" s="90">
        <v>3257</v>
      </c>
      <c r="C613" s="88" t="s">
        <v>603</v>
      </c>
      <c r="D613" s="90" t="s">
        <v>17</v>
      </c>
      <c r="E613" s="90" t="s">
        <v>649</v>
      </c>
      <c r="F613" s="91" t="s">
        <v>849</v>
      </c>
      <c r="G613" s="96">
        <v>5</v>
      </c>
      <c r="H613" s="94">
        <v>434</v>
      </c>
      <c r="I613" s="91">
        <v>45879</v>
      </c>
      <c r="J613" s="165">
        <v>0.33333333333333331</v>
      </c>
      <c r="K613" s="94">
        <v>434</v>
      </c>
      <c r="L613" s="72" t="str">
        <f t="shared" si="10"/>
        <v>Payé</v>
      </c>
    </row>
    <row r="614" spans="1:12" ht="15" customHeight="1" x14ac:dyDescent="0.25">
      <c r="A614" s="91" t="s">
        <v>849</v>
      </c>
      <c r="B614" s="90">
        <v>3337</v>
      </c>
      <c r="C614" s="88" t="s">
        <v>556</v>
      </c>
      <c r="D614" s="90" t="s">
        <v>17</v>
      </c>
      <c r="E614" s="90" t="s">
        <v>649</v>
      </c>
      <c r="F614" s="91" t="s">
        <v>849</v>
      </c>
      <c r="G614" s="96">
        <v>6</v>
      </c>
      <c r="H614" s="94">
        <v>520</v>
      </c>
      <c r="I614" s="91">
        <v>45879</v>
      </c>
      <c r="J614" s="165">
        <v>0.33333333333333331</v>
      </c>
      <c r="K614" s="94">
        <v>520</v>
      </c>
      <c r="L614" s="72" t="str">
        <f t="shared" si="10"/>
        <v>Payé</v>
      </c>
    </row>
    <row r="615" spans="1:12" ht="15" customHeight="1" x14ac:dyDescent="0.25">
      <c r="A615" s="91" t="s">
        <v>849</v>
      </c>
      <c r="B615" s="90">
        <v>3405</v>
      </c>
      <c r="C615" s="88" t="s">
        <v>558</v>
      </c>
      <c r="D615" s="90" t="s">
        <v>17</v>
      </c>
      <c r="E615" s="90" t="s">
        <v>649</v>
      </c>
      <c r="F615" s="91" t="s">
        <v>849</v>
      </c>
      <c r="G615" s="96">
        <v>8</v>
      </c>
      <c r="H615" s="94">
        <v>694</v>
      </c>
      <c r="I615" s="91">
        <v>45879</v>
      </c>
      <c r="J615" s="165">
        <v>0.33333333333333331</v>
      </c>
      <c r="K615" s="94">
        <v>694</v>
      </c>
      <c r="L615" s="72" t="str">
        <f t="shared" si="10"/>
        <v>Payé</v>
      </c>
    </row>
    <row r="616" spans="1:12" ht="15" customHeight="1" x14ac:dyDescent="0.25">
      <c r="A616" s="91" t="s">
        <v>849</v>
      </c>
      <c r="B616" s="90">
        <v>3627</v>
      </c>
      <c r="C616" s="88" t="s">
        <v>566</v>
      </c>
      <c r="D616" s="90" t="s">
        <v>17</v>
      </c>
      <c r="E616" s="90" t="s">
        <v>649</v>
      </c>
      <c r="F616" s="91" t="s">
        <v>849</v>
      </c>
      <c r="G616" s="96">
        <v>1</v>
      </c>
      <c r="H616" s="94">
        <v>87</v>
      </c>
      <c r="I616" s="91">
        <v>45879</v>
      </c>
      <c r="J616" s="165">
        <v>0.33333333333333331</v>
      </c>
      <c r="K616" s="94">
        <v>87</v>
      </c>
      <c r="L616" s="72" t="str">
        <f t="shared" si="10"/>
        <v>Payé</v>
      </c>
    </row>
    <row r="617" spans="1:12" ht="15" customHeight="1" x14ac:dyDescent="0.25">
      <c r="A617" s="91" t="s">
        <v>849</v>
      </c>
      <c r="B617" s="90">
        <v>4102</v>
      </c>
      <c r="C617" s="88" t="s">
        <v>579</v>
      </c>
      <c r="D617" s="90" t="s">
        <v>17</v>
      </c>
      <c r="E617" s="90" t="s">
        <v>649</v>
      </c>
      <c r="F617" s="91" t="s">
        <v>849</v>
      </c>
      <c r="G617" s="96">
        <v>6</v>
      </c>
      <c r="H617" s="94">
        <v>520</v>
      </c>
      <c r="I617" s="91">
        <v>45879</v>
      </c>
      <c r="J617" s="165">
        <v>0.33333333333333331</v>
      </c>
      <c r="K617" s="94">
        <v>520</v>
      </c>
      <c r="L617" s="72" t="str">
        <f t="shared" si="10"/>
        <v>Payé</v>
      </c>
    </row>
    <row r="618" spans="1:12" ht="15" customHeight="1" x14ac:dyDescent="0.25">
      <c r="A618" s="91" t="s">
        <v>849</v>
      </c>
      <c r="B618" s="90">
        <v>4202</v>
      </c>
      <c r="C618" s="88" t="s">
        <v>609</v>
      </c>
      <c r="D618" s="90" t="s">
        <v>17</v>
      </c>
      <c r="E618" s="90" t="s">
        <v>649</v>
      </c>
      <c r="F618" s="91" t="s">
        <v>849</v>
      </c>
      <c r="G618" s="96">
        <v>10</v>
      </c>
      <c r="H618" s="94">
        <v>867</v>
      </c>
      <c r="I618" s="91">
        <v>45879</v>
      </c>
      <c r="J618" s="165">
        <v>0.33333333333333331</v>
      </c>
      <c r="K618" s="94">
        <v>867</v>
      </c>
      <c r="L618" s="72" t="str">
        <f t="shared" si="10"/>
        <v>Payé</v>
      </c>
    </row>
    <row r="619" spans="1:12" ht="15" customHeight="1" x14ac:dyDescent="0.25">
      <c r="A619" s="91" t="s">
        <v>849</v>
      </c>
      <c r="B619" s="90">
        <v>4204</v>
      </c>
      <c r="C619" s="88" t="s">
        <v>610</v>
      </c>
      <c r="D619" s="90" t="s">
        <v>17</v>
      </c>
      <c r="E619" s="90" t="s">
        <v>649</v>
      </c>
      <c r="F619" s="91" t="s">
        <v>849</v>
      </c>
      <c r="G619" s="96">
        <v>10</v>
      </c>
      <c r="H619" s="94">
        <v>867</v>
      </c>
      <c r="I619" s="91">
        <v>45879</v>
      </c>
      <c r="J619" s="165">
        <v>0.33333333333333331</v>
      </c>
      <c r="K619" s="94">
        <v>867</v>
      </c>
      <c r="L619" s="72" t="str">
        <f t="shared" si="10"/>
        <v>Payé</v>
      </c>
    </row>
    <row r="620" spans="1:12" ht="15" customHeight="1" x14ac:dyDescent="0.25">
      <c r="A620" s="91" t="s">
        <v>849</v>
      </c>
      <c r="B620" s="90">
        <v>4265</v>
      </c>
      <c r="C620" s="88" t="s">
        <v>675</v>
      </c>
      <c r="D620" s="90" t="s">
        <v>17</v>
      </c>
      <c r="E620" s="90" t="s">
        <v>649</v>
      </c>
      <c r="F620" s="91" t="s">
        <v>849</v>
      </c>
      <c r="G620" s="96">
        <v>9</v>
      </c>
      <c r="H620" s="94">
        <v>781</v>
      </c>
      <c r="I620" s="91">
        <v>45879</v>
      </c>
      <c r="J620" s="165">
        <v>0.33333333333333331</v>
      </c>
      <c r="K620" s="94">
        <v>781</v>
      </c>
      <c r="L620" s="72" t="str">
        <f t="shared" si="10"/>
        <v>Payé</v>
      </c>
    </row>
    <row r="621" spans="1:12" ht="15" customHeight="1" x14ac:dyDescent="0.25">
      <c r="A621" s="91" t="s">
        <v>849</v>
      </c>
      <c r="B621" s="90">
        <v>4506</v>
      </c>
      <c r="C621" s="88" t="s">
        <v>764</v>
      </c>
      <c r="D621" s="90" t="s">
        <v>17</v>
      </c>
      <c r="E621" s="90" t="s">
        <v>649</v>
      </c>
      <c r="F621" s="91" t="s">
        <v>849</v>
      </c>
      <c r="G621" s="96">
        <v>3</v>
      </c>
      <c r="H621" s="94">
        <v>260</v>
      </c>
      <c r="I621" s="91">
        <v>45879</v>
      </c>
      <c r="J621" s="165">
        <v>0.33333333333333331</v>
      </c>
      <c r="K621" s="94">
        <v>260</v>
      </c>
      <c r="L621" s="72" t="str">
        <f t="shared" si="10"/>
        <v>Payé</v>
      </c>
    </row>
    <row r="622" spans="1:12" ht="15" customHeight="1" x14ac:dyDescent="0.25">
      <c r="A622" s="91" t="s">
        <v>849</v>
      </c>
      <c r="B622" s="90">
        <v>4730</v>
      </c>
      <c r="C622" s="88" t="s">
        <v>765</v>
      </c>
      <c r="D622" s="90" t="s">
        <v>17</v>
      </c>
      <c r="E622" s="90" t="s">
        <v>649</v>
      </c>
      <c r="F622" s="91" t="s">
        <v>849</v>
      </c>
      <c r="G622" s="96">
        <v>8</v>
      </c>
      <c r="H622" s="94">
        <v>694</v>
      </c>
      <c r="I622" s="91">
        <v>45879</v>
      </c>
      <c r="J622" s="165">
        <v>0.33333333333333331</v>
      </c>
      <c r="K622" s="94">
        <v>694</v>
      </c>
      <c r="L622" s="72" t="str">
        <f t="shared" si="10"/>
        <v>Payé</v>
      </c>
    </row>
    <row r="623" spans="1:12" ht="15" customHeight="1" x14ac:dyDescent="0.25">
      <c r="A623" s="91" t="s">
        <v>849</v>
      </c>
      <c r="B623" s="90">
        <v>5159</v>
      </c>
      <c r="C623" s="88" t="s">
        <v>829</v>
      </c>
      <c r="D623" s="90" t="s">
        <v>17</v>
      </c>
      <c r="E623" s="90" t="s">
        <v>649</v>
      </c>
      <c r="F623" s="91" t="s">
        <v>849</v>
      </c>
      <c r="G623" s="96">
        <v>8</v>
      </c>
      <c r="H623" s="94">
        <v>694</v>
      </c>
      <c r="I623" s="91">
        <v>45917</v>
      </c>
      <c r="J623" s="165">
        <v>0.59305555555555556</v>
      </c>
      <c r="K623" s="94">
        <v>694</v>
      </c>
      <c r="L623" s="72" t="str">
        <f t="shared" si="10"/>
        <v>Payé</v>
      </c>
    </row>
    <row r="624" spans="1:12" ht="15" customHeight="1" x14ac:dyDescent="0.25">
      <c r="A624" s="91" t="s">
        <v>849</v>
      </c>
      <c r="B624" s="90">
        <v>5195</v>
      </c>
      <c r="C624" s="88" t="s">
        <v>831</v>
      </c>
      <c r="D624" s="90" t="s">
        <v>17</v>
      </c>
      <c r="E624" s="90" t="s">
        <v>649</v>
      </c>
      <c r="F624" s="91" t="s">
        <v>849</v>
      </c>
      <c r="G624" s="96">
        <v>8</v>
      </c>
      <c r="H624" s="94">
        <v>694</v>
      </c>
      <c r="I624" s="91">
        <v>45879</v>
      </c>
      <c r="J624" s="165">
        <v>0.33333333333333331</v>
      </c>
      <c r="K624" s="94">
        <v>694</v>
      </c>
      <c r="L624" s="72" t="str">
        <f t="shared" si="10"/>
        <v>Payé</v>
      </c>
    </row>
    <row r="625" spans="1:12" ht="15" customHeight="1" x14ac:dyDescent="0.25">
      <c r="A625" s="91" t="s">
        <v>849</v>
      </c>
      <c r="B625" s="90">
        <v>5198</v>
      </c>
      <c r="C625" s="88" t="s">
        <v>832</v>
      </c>
      <c r="D625" s="90" t="s">
        <v>17</v>
      </c>
      <c r="E625" s="90" t="s">
        <v>649</v>
      </c>
      <c r="F625" s="91" t="s">
        <v>849</v>
      </c>
      <c r="G625" s="96">
        <v>9</v>
      </c>
      <c r="H625" s="94">
        <v>781</v>
      </c>
      <c r="I625" s="91">
        <v>45879</v>
      </c>
      <c r="J625" s="165">
        <v>0.33333333333333331</v>
      </c>
      <c r="K625" s="94">
        <v>781</v>
      </c>
      <c r="L625" s="72" t="str">
        <f t="shared" si="10"/>
        <v>Payé</v>
      </c>
    </row>
    <row r="626" spans="1:12" ht="15" customHeight="1" x14ac:dyDescent="0.25">
      <c r="A626" s="91" t="s">
        <v>849</v>
      </c>
      <c r="B626" s="90">
        <v>5205</v>
      </c>
      <c r="C626" s="88" t="s">
        <v>691</v>
      </c>
      <c r="D626" s="90" t="s">
        <v>17</v>
      </c>
      <c r="E626" s="90" t="s">
        <v>649</v>
      </c>
      <c r="F626" s="91" t="s">
        <v>849</v>
      </c>
      <c r="G626" s="96">
        <v>8</v>
      </c>
      <c r="H626" s="94">
        <v>694</v>
      </c>
      <c r="I626" s="91">
        <v>45879</v>
      </c>
      <c r="J626" s="165">
        <v>0.33333333333333331</v>
      </c>
      <c r="K626" s="94">
        <v>694</v>
      </c>
      <c r="L626" s="72" t="str">
        <f t="shared" si="10"/>
        <v>Payé</v>
      </c>
    </row>
    <row r="627" spans="1:12" ht="15" customHeight="1" x14ac:dyDescent="0.25">
      <c r="A627" s="91" t="s">
        <v>849</v>
      </c>
      <c r="B627" s="90">
        <v>5210</v>
      </c>
      <c r="C627" s="88" t="s">
        <v>836</v>
      </c>
      <c r="D627" s="90" t="s">
        <v>17</v>
      </c>
      <c r="E627" s="90" t="s">
        <v>649</v>
      </c>
      <c r="F627" s="91" t="s">
        <v>849</v>
      </c>
      <c r="G627" s="96">
        <v>2</v>
      </c>
      <c r="H627" s="94">
        <v>173</v>
      </c>
      <c r="I627" s="91">
        <v>45879</v>
      </c>
      <c r="J627" s="165">
        <v>0.33333333333333331</v>
      </c>
      <c r="K627" s="94">
        <v>173</v>
      </c>
      <c r="L627" s="72" t="str">
        <f t="shared" si="10"/>
        <v>Payé</v>
      </c>
    </row>
    <row r="628" spans="1:12" ht="15" customHeight="1" x14ac:dyDescent="0.25">
      <c r="A628" s="91" t="s">
        <v>849</v>
      </c>
      <c r="B628" s="90">
        <v>5214</v>
      </c>
      <c r="C628" s="88" t="s">
        <v>837</v>
      </c>
      <c r="D628" s="90" t="s">
        <v>17</v>
      </c>
      <c r="E628" s="90" t="s">
        <v>649</v>
      </c>
      <c r="F628" s="91" t="s">
        <v>849</v>
      </c>
      <c r="G628" s="96">
        <v>5</v>
      </c>
      <c r="H628" s="94">
        <v>434</v>
      </c>
      <c r="I628" s="91">
        <v>45879</v>
      </c>
      <c r="J628" s="165">
        <v>0.33333333333333331</v>
      </c>
      <c r="K628" s="94">
        <v>434</v>
      </c>
      <c r="L628" s="72" t="str">
        <f t="shared" si="10"/>
        <v>Payé</v>
      </c>
    </row>
    <row r="629" spans="1:12" ht="15" customHeight="1" x14ac:dyDescent="0.25">
      <c r="A629" s="91" t="s">
        <v>849</v>
      </c>
      <c r="B629" s="90">
        <v>5220</v>
      </c>
      <c r="C629" s="88" t="s">
        <v>838</v>
      </c>
      <c r="D629" s="90" t="s">
        <v>17</v>
      </c>
      <c r="E629" s="90" t="s">
        <v>649</v>
      </c>
      <c r="F629" s="91" t="s">
        <v>849</v>
      </c>
      <c r="G629" s="96">
        <v>9</v>
      </c>
      <c r="H629" s="94">
        <v>781</v>
      </c>
      <c r="I629" s="91">
        <v>45879</v>
      </c>
      <c r="J629" s="165">
        <v>0.33333333333333331</v>
      </c>
      <c r="K629" s="94">
        <v>781</v>
      </c>
      <c r="L629" s="72" t="str">
        <f t="shared" si="10"/>
        <v>Payé</v>
      </c>
    </row>
    <row r="630" spans="1:12" ht="15" customHeight="1" x14ac:dyDescent="0.25">
      <c r="A630" s="91" t="s">
        <v>849</v>
      </c>
      <c r="B630" s="90">
        <v>5228</v>
      </c>
      <c r="C630" s="88" t="s">
        <v>731</v>
      </c>
      <c r="D630" s="90" t="s">
        <v>17</v>
      </c>
      <c r="E630" s="90" t="s">
        <v>649</v>
      </c>
      <c r="F630" s="91" t="s">
        <v>849</v>
      </c>
      <c r="G630" s="96">
        <v>3</v>
      </c>
      <c r="H630" s="94">
        <v>260</v>
      </c>
      <c r="I630" s="91">
        <v>45879</v>
      </c>
      <c r="J630" s="165">
        <v>0.33333333333333331</v>
      </c>
      <c r="K630" s="94">
        <v>260</v>
      </c>
      <c r="L630" s="72" t="str">
        <f t="shared" si="10"/>
        <v>Payé</v>
      </c>
    </row>
    <row r="631" spans="1:12" ht="15" customHeight="1" x14ac:dyDescent="0.25">
      <c r="A631" s="91" t="s">
        <v>849</v>
      </c>
      <c r="B631" s="90">
        <v>5233</v>
      </c>
      <c r="C631" s="88" t="s">
        <v>880</v>
      </c>
      <c r="D631" s="90" t="s">
        <v>17</v>
      </c>
      <c r="E631" s="90" t="s">
        <v>649</v>
      </c>
      <c r="F631" s="91" t="s">
        <v>849</v>
      </c>
      <c r="G631" s="96">
        <v>7</v>
      </c>
      <c r="H631" s="94">
        <v>607</v>
      </c>
      <c r="I631" s="91">
        <v>45879</v>
      </c>
      <c r="J631" s="165">
        <v>0.33333333333333331</v>
      </c>
      <c r="K631" s="94">
        <v>607</v>
      </c>
      <c r="L631" s="72" t="str">
        <f t="shared" si="10"/>
        <v>Payé</v>
      </c>
    </row>
    <row r="632" spans="1:12" ht="15" customHeight="1" x14ac:dyDescent="0.25">
      <c r="A632" s="91" t="s">
        <v>849</v>
      </c>
      <c r="B632" s="90">
        <v>5237</v>
      </c>
      <c r="C632" s="88" t="s">
        <v>882</v>
      </c>
      <c r="D632" s="90" t="s">
        <v>17</v>
      </c>
      <c r="E632" s="90" t="s">
        <v>649</v>
      </c>
      <c r="F632" s="91" t="s">
        <v>849</v>
      </c>
      <c r="G632" s="96">
        <v>9</v>
      </c>
      <c r="H632" s="94">
        <v>781</v>
      </c>
      <c r="I632" s="91">
        <v>45879</v>
      </c>
      <c r="J632" s="165">
        <v>0.33333333333333331</v>
      </c>
      <c r="K632" s="94">
        <v>781</v>
      </c>
      <c r="L632" s="72" t="str">
        <f t="shared" si="10"/>
        <v>Payé</v>
      </c>
    </row>
    <row r="633" spans="1:12" ht="15" customHeight="1" x14ac:dyDescent="0.25">
      <c r="A633" s="91" t="s">
        <v>849</v>
      </c>
      <c r="B633" s="90"/>
      <c r="C633" s="88" t="s">
        <v>843</v>
      </c>
      <c r="D633" s="90" t="s">
        <v>17</v>
      </c>
      <c r="E633" s="90" t="s">
        <v>649</v>
      </c>
      <c r="F633" s="91" t="s">
        <v>849</v>
      </c>
      <c r="G633" s="96">
        <v>9</v>
      </c>
      <c r="H633" s="94">
        <v>781</v>
      </c>
      <c r="I633" s="91">
        <v>45879</v>
      </c>
      <c r="J633" s="165">
        <v>0.33333333333333331</v>
      </c>
      <c r="K633" s="94">
        <v>781</v>
      </c>
      <c r="L633" s="72" t="str">
        <f t="shared" si="10"/>
        <v>Payé</v>
      </c>
    </row>
    <row r="634" spans="1:12" ht="15" customHeight="1" x14ac:dyDescent="0.25">
      <c r="A634" s="91" t="s">
        <v>849</v>
      </c>
      <c r="B634" s="90"/>
      <c r="C634" s="88" t="s">
        <v>844</v>
      </c>
      <c r="D634" s="90" t="s">
        <v>17</v>
      </c>
      <c r="E634" s="90" t="s">
        <v>649</v>
      </c>
      <c r="F634" s="91" t="s">
        <v>849</v>
      </c>
      <c r="G634" s="96">
        <v>8</v>
      </c>
      <c r="H634" s="94">
        <v>694</v>
      </c>
      <c r="I634" s="91">
        <v>45879</v>
      </c>
      <c r="J634" s="165">
        <v>0.33333333333333331</v>
      </c>
      <c r="K634" s="94">
        <v>694</v>
      </c>
      <c r="L634" s="72" t="str">
        <f t="shared" si="10"/>
        <v>Payé</v>
      </c>
    </row>
    <row r="635" spans="1:12" ht="15" customHeight="1" x14ac:dyDescent="0.25">
      <c r="A635" s="91" t="s">
        <v>849</v>
      </c>
      <c r="B635" s="90"/>
      <c r="C635" s="88" t="s">
        <v>894</v>
      </c>
      <c r="D635" s="90" t="s">
        <v>17</v>
      </c>
      <c r="E635" s="90" t="s">
        <v>649</v>
      </c>
      <c r="F635" s="91" t="s">
        <v>849</v>
      </c>
      <c r="G635" s="96">
        <v>8</v>
      </c>
      <c r="H635" s="94">
        <v>694</v>
      </c>
      <c r="I635" s="91">
        <v>45879</v>
      </c>
      <c r="J635" s="165">
        <v>0.33333333333333331</v>
      </c>
      <c r="K635" s="94">
        <v>694</v>
      </c>
      <c r="L635" s="72" t="str">
        <f t="shared" si="10"/>
        <v>Payé</v>
      </c>
    </row>
    <row r="636" spans="1:12" ht="15" customHeight="1" x14ac:dyDescent="0.25">
      <c r="A636" s="91" t="s">
        <v>849</v>
      </c>
      <c r="B636" s="90"/>
      <c r="C636" s="88" t="s">
        <v>895</v>
      </c>
      <c r="D636" s="90" t="s">
        <v>17</v>
      </c>
      <c r="E636" s="90" t="s">
        <v>649</v>
      </c>
      <c r="F636" s="91" t="s">
        <v>849</v>
      </c>
      <c r="G636" s="96">
        <v>8</v>
      </c>
      <c r="H636" s="94">
        <v>694</v>
      </c>
      <c r="I636" s="91">
        <v>45879</v>
      </c>
      <c r="J636" s="165">
        <v>0.33333333333333331</v>
      </c>
      <c r="K636" s="94">
        <v>694</v>
      </c>
      <c r="L636" s="72" t="str">
        <f t="shared" si="10"/>
        <v>Payé</v>
      </c>
    </row>
    <row r="637" spans="1:12" ht="15" customHeight="1" x14ac:dyDescent="0.25">
      <c r="A637" s="91" t="s">
        <v>849</v>
      </c>
      <c r="B637" s="90"/>
      <c r="C637" s="88" t="s">
        <v>896</v>
      </c>
      <c r="D637" s="90" t="s">
        <v>17</v>
      </c>
      <c r="E637" s="90" t="s">
        <v>649</v>
      </c>
      <c r="F637" s="91" t="s">
        <v>849</v>
      </c>
      <c r="G637" s="96">
        <v>3</v>
      </c>
      <c r="H637" s="94">
        <v>260</v>
      </c>
      <c r="I637" s="91">
        <v>45881</v>
      </c>
      <c r="J637" s="165">
        <v>0.66041666666666665</v>
      </c>
      <c r="K637" s="94">
        <v>260</v>
      </c>
      <c r="L637" s="72" t="str">
        <f t="shared" si="10"/>
        <v>Payé</v>
      </c>
    </row>
    <row r="638" spans="1:12" ht="15" customHeight="1" x14ac:dyDescent="0.25">
      <c r="A638" s="91" t="s">
        <v>849</v>
      </c>
      <c r="B638" s="90"/>
      <c r="C638" s="88" t="s">
        <v>897</v>
      </c>
      <c r="D638" s="90" t="s">
        <v>17</v>
      </c>
      <c r="E638" s="90" t="s">
        <v>649</v>
      </c>
      <c r="F638" s="91" t="s">
        <v>849</v>
      </c>
      <c r="G638" s="96">
        <v>4</v>
      </c>
      <c r="H638" s="94">
        <v>347</v>
      </c>
      <c r="I638" s="91">
        <v>45879</v>
      </c>
      <c r="J638" s="165">
        <v>0.33333333333333331</v>
      </c>
      <c r="K638" s="94">
        <v>347</v>
      </c>
      <c r="L638" s="72" t="str">
        <f t="shared" si="10"/>
        <v>Payé</v>
      </c>
    </row>
    <row r="639" spans="1:12" ht="15" customHeight="1" x14ac:dyDescent="0.25">
      <c r="A639" s="91" t="s">
        <v>849</v>
      </c>
      <c r="B639" s="90">
        <v>233</v>
      </c>
      <c r="C639" s="88" t="s">
        <v>762</v>
      </c>
      <c r="D639" s="90" t="s">
        <v>17</v>
      </c>
      <c r="E639" s="90" t="s">
        <v>628</v>
      </c>
      <c r="F639" s="91" t="s">
        <v>849</v>
      </c>
      <c r="G639" s="96">
        <v>4</v>
      </c>
      <c r="H639" s="94">
        <v>347</v>
      </c>
      <c r="I639" s="91">
        <v>45879</v>
      </c>
      <c r="J639" s="165">
        <v>0.33333333333333331</v>
      </c>
      <c r="K639" s="94">
        <v>347</v>
      </c>
      <c r="L639" s="72" t="str">
        <f t="shared" si="10"/>
        <v>Payé</v>
      </c>
    </row>
    <row r="640" spans="1:12" ht="15" customHeight="1" x14ac:dyDescent="0.25">
      <c r="A640" s="91" t="s">
        <v>849</v>
      </c>
      <c r="B640" s="90">
        <v>234</v>
      </c>
      <c r="C640" s="88" t="s">
        <v>650</v>
      </c>
      <c r="D640" s="90" t="s">
        <v>17</v>
      </c>
      <c r="E640" s="90" t="s">
        <v>628</v>
      </c>
      <c r="F640" s="91" t="s">
        <v>849</v>
      </c>
      <c r="G640" s="96">
        <v>4</v>
      </c>
      <c r="H640" s="94">
        <v>364</v>
      </c>
      <c r="I640" s="91">
        <v>45879</v>
      </c>
      <c r="J640" s="165">
        <v>0.33333333333333331</v>
      </c>
      <c r="K640" s="94">
        <v>364</v>
      </c>
      <c r="L640" s="72" t="str">
        <f t="shared" si="10"/>
        <v>Payé</v>
      </c>
    </row>
    <row r="641" spans="1:12" ht="15" customHeight="1" x14ac:dyDescent="0.25">
      <c r="A641" s="91" t="s">
        <v>849</v>
      </c>
      <c r="B641" s="90">
        <v>291</v>
      </c>
      <c r="C641" s="88" t="s">
        <v>652</v>
      </c>
      <c r="D641" s="90" t="s">
        <v>17</v>
      </c>
      <c r="E641" s="90" t="s">
        <v>628</v>
      </c>
      <c r="F641" s="91" t="s">
        <v>849</v>
      </c>
      <c r="G641" s="96">
        <v>3</v>
      </c>
      <c r="H641" s="94">
        <v>273</v>
      </c>
      <c r="I641" s="91">
        <v>45879</v>
      </c>
      <c r="J641" s="165">
        <v>0.33333333333333331</v>
      </c>
      <c r="K641" s="94">
        <v>273</v>
      </c>
      <c r="L641" s="72" t="str">
        <f t="shared" si="10"/>
        <v>Payé</v>
      </c>
    </row>
    <row r="642" spans="1:12" ht="15" customHeight="1" x14ac:dyDescent="0.25">
      <c r="A642" s="91" t="s">
        <v>849</v>
      </c>
      <c r="B642" s="90">
        <v>372</v>
      </c>
      <c r="C642" s="88" t="s">
        <v>714</v>
      </c>
      <c r="D642" s="90" t="s">
        <v>17</v>
      </c>
      <c r="E642" s="90" t="s">
        <v>628</v>
      </c>
      <c r="F642" s="91" t="s">
        <v>849</v>
      </c>
      <c r="G642" s="96">
        <v>4</v>
      </c>
      <c r="H642" s="94">
        <v>364</v>
      </c>
      <c r="I642" s="91">
        <v>45879</v>
      </c>
      <c r="J642" s="165">
        <v>0.33333333333333331</v>
      </c>
      <c r="K642" s="94">
        <v>364</v>
      </c>
      <c r="L642" s="72" t="str">
        <f t="shared" si="10"/>
        <v>Payé</v>
      </c>
    </row>
    <row r="643" spans="1:12" ht="15" customHeight="1" x14ac:dyDescent="0.25">
      <c r="A643" s="91" t="s">
        <v>849</v>
      </c>
      <c r="B643" s="90">
        <v>2193</v>
      </c>
      <c r="C643" s="88" t="s">
        <v>653</v>
      </c>
      <c r="D643" s="90" t="s">
        <v>17</v>
      </c>
      <c r="E643" s="90" t="s">
        <v>628</v>
      </c>
      <c r="F643" s="91" t="s">
        <v>849</v>
      </c>
      <c r="G643" s="96">
        <v>3</v>
      </c>
      <c r="H643" s="94">
        <v>260</v>
      </c>
      <c r="I643" s="91">
        <v>45879</v>
      </c>
      <c r="J643" s="165">
        <v>0.33333333333333331</v>
      </c>
      <c r="K643" s="94">
        <v>260</v>
      </c>
      <c r="L643" s="72" t="str">
        <f t="shared" si="10"/>
        <v>Payé</v>
      </c>
    </row>
    <row r="644" spans="1:12" ht="15" customHeight="1" x14ac:dyDescent="0.25">
      <c r="A644" s="91" t="s">
        <v>849</v>
      </c>
      <c r="B644" s="90">
        <v>2195</v>
      </c>
      <c r="C644" s="88" t="s">
        <v>654</v>
      </c>
      <c r="D644" s="90" t="s">
        <v>17</v>
      </c>
      <c r="E644" s="90" t="s">
        <v>628</v>
      </c>
      <c r="F644" s="91" t="s">
        <v>849</v>
      </c>
      <c r="G644" s="96">
        <v>2</v>
      </c>
      <c r="H644" s="94">
        <v>173</v>
      </c>
      <c r="I644" s="91">
        <v>45879</v>
      </c>
      <c r="J644" s="165">
        <v>0.33333333333333331</v>
      </c>
      <c r="K644" s="94">
        <v>173</v>
      </c>
      <c r="L644" s="72" t="str">
        <f t="shared" si="10"/>
        <v>Payé</v>
      </c>
    </row>
    <row r="645" spans="1:12" ht="15" customHeight="1" x14ac:dyDescent="0.25">
      <c r="A645" s="91" t="s">
        <v>849</v>
      </c>
      <c r="B645" s="90">
        <v>2198</v>
      </c>
      <c r="C645" s="88" t="s">
        <v>655</v>
      </c>
      <c r="D645" s="90" t="s">
        <v>17</v>
      </c>
      <c r="E645" s="90" t="s">
        <v>628</v>
      </c>
      <c r="F645" s="91" t="s">
        <v>849</v>
      </c>
      <c r="G645" s="96">
        <v>3</v>
      </c>
      <c r="H645" s="94">
        <v>260</v>
      </c>
      <c r="I645" s="91">
        <v>45879</v>
      </c>
      <c r="J645" s="165">
        <v>0.33333333333333331</v>
      </c>
      <c r="K645" s="94">
        <v>260</v>
      </c>
      <c r="L645" s="72" t="str">
        <f t="shared" si="10"/>
        <v>Payé</v>
      </c>
    </row>
    <row r="646" spans="1:12" ht="15" customHeight="1" x14ac:dyDescent="0.25">
      <c r="A646" s="91" t="s">
        <v>849</v>
      </c>
      <c r="B646" s="90">
        <v>2296</v>
      </c>
      <c r="C646" s="88" t="s">
        <v>716</v>
      </c>
      <c r="D646" s="90" t="s">
        <v>17</v>
      </c>
      <c r="E646" s="90" t="s">
        <v>628</v>
      </c>
      <c r="F646" s="91" t="s">
        <v>849</v>
      </c>
      <c r="G646" s="96">
        <v>4</v>
      </c>
      <c r="H646" s="94">
        <v>347</v>
      </c>
      <c r="I646" s="91">
        <v>45879</v>
      </c>
      <c r="J646" s="165">
        <v>0.33333333333333331</v>
      </c>
      <c r="K646" s="94">
        <v>347</v>
      </c>
      <c r="L646" s="72" t="str">
        <f t="shared" si="10"/>
        <v>Payé</v>
      </c>
    </row>
    <row r="647" spans="1:12" ht="15" customHeight="1" x14ac:dyDescent="0.25">
      <c r="A647" s="91" t="s">
        <v>849</v>
      </c>
      <c r="B647" s="90">
        <v>2776</v>
      </c>
      <c r="C647" s="88" t="s">
        <v>656</v>
      </c>
      <c r="D647" s="90" t="s">
        <v>17</v>
      </c>
      <c r="E647" s="90" t="s">
        <v>628</v>
      </c>
      <c r="F647" s="91" t="s">
        <v>849</v>
      </c>
      <c r="G647" s="96">
        <v>3</v>
      </c>
      <c r="H647" s="94">
        <v>260</v>
      </c>
      <c r="I647" s="91">
        <v>45879</v>
      </c>
      <c r="J647" s="165">
        <v>0.33333333333333331</v>
      </c>
      <c r="K647" s="94">
        <v>260</v>
      </c>
      <c r="L647" s="72" t="str">
        <f t="shared" si="10"/>
        <v>Payé</v>
      </c>
    </row>
    <row r="648" spans="1:12" ht="15" customHeight="1" x14ac:dyDescent="0.25">
      <c r="A648" s="91" t="s">
        <v>849</v>
      </c>
      <c r="B648" s="90">
        <v>3590</v>
      </c>
      <c r="C648" s="88" t="s">
        <v>425</v>
      </c>
      <c r="D648" s="90" t="s">
        <v>17</v>
      </c>
      <c r="E648" s="90" t="s">
        <v>628</v>
      </c>
      <c r="F648" s="91" t="s">
        <v>849</v>
      </c>
      <c r="G648" s="96">
        <v>3</v>
      </c>
      <c r="H648" s="94">
        <v>260</v>
      </c>
      <c r="I648" s="91">
        <v>45879</v>
      </c>
      <c r="J648" s="165">
        <v>0.33333333333333331</v>
      </c>
      <c r="K648" s="94">
        <v>260</v>
      </c>
      <c r="L648" s="72" t="str">
        <f t="shared" si="10"/>
        <v>Payé</v>
      </c>
    </row>
    <row r="649" spans="1:12" ht="15" customHeight="1" x14ac:dyDescent="0.25">
      <c r="A649" s="91" t="s">
        <v>849</v>
      </c>
      <c r="B649" s="90">
        <v>4061</v>
      </c>
      <c r="C649" s="88" t="s">
        <v>619</v>
      </c>
      <c r="D649" s="90" t="s">
        <v>17</v>
      </c>
      <c r="E649" s="90" t="s">
        <v>628</v>
      </c>
      <c r="F649" s="91" t="s">
        <v>849</v>
      </c>
      <c r="G649" s="96">
        <v>4</v>
      </c>
      <c r="H649" s="94">
        <v>347</v>
      </c>
      <c r="I649" s="91">
        <v>45879</v>
      </c>
      <c r="J649" s="165">
        <v>0.33333333333333331</v>
      </c>
      <c r="K649" s="94">
        <v>347</v>
      </c>
      <c r="L649" s="72" t="str">
        <f t="shared" si="10"/>
        <v>Payé</v>
      </c>
    </row>
    <row r="650" spans="1:12" ht="15" customHeight="1" x14ac:dyDescent="0.25">
      <c r="A650" s="91" t="s">
        <v>849</v>
      </c>
      <c r="B650" s="90">
        <v>4310</v>
      </c>
      <c r="C650" s="88" t="s">
        <v>624</v>
      </c>
      <c r="D650" s="90" t="s">
        <v>17</v>
      </c>
      <c r="E650" s="90" t="s">
        <v>628</v>
      </c>
      <c r="F650" s="91" t="s">
        <v>849</v>
      </c>
      <c r="G650" s="96">
        <v>4</v>
      </c>
      <c r="H650" s="94">
        <v>347</v>
      </c>
      <c r="I650" s="91">
        <v>45879</v>
      </c>
      <c r="J650" s="165">
        <v>0.33333333333333331</v>
      </c>
      <c r="K650" s="94">
        <v>347</v>
      </c>
      <c r="L650" s="72" t="str">
        <f t="shared" si="10"/>
        <v>Payé</v>
      </c>
    </row>
    <row r="651" spans="1:12" ht="15" customHeight="1" x14ac:dyDescent="0.25">
      <c r="A651" s="91" t="s">
        <v>849</v>
      </c>
      <c r="B651" s="90">
        <v>4406</v>
      </c>
      <c r="C651" s="88" t="s">
        <v>689</v>
      </c>
      <c r="D651" s="90" t="s">
        <v>17</v>
      </c>
      <c r="E651" s="90" t="s">
        <v>628</v>
      </c>
      <c r="F651" s="91" t="s">
        <v>849</v>
      </c>
      <c r="G651" s="96">
        <v>2</v>
      </c>
      <c r="H651" s="94">
        <v>173</v>
      </c>
      <c r="I651" s="91">
        <v>45879</v>
      </c>
      <c r="J651" s="165">
        <v>0.33333333333333331</v>
      </c>
      <c r="K651" s="94">
        <v>173</v>
      </c>
      <c r="L651" s="72" t="str">
        <f t="shared" si="10"/>
        <v>Payé</v>
      </c>
    </row>
    <row r="652" spans="1:12" ht="15" customHeight="1" x14ac:dyDescent="0.25">
      <c r="A652" s="91" t="s">
        <v>849</v>
      </c>
      <c r="B652" s="90">
        <v>4509</v>
      </c>
      <c r="C652" s="88" t="s">
        <v>623</v>
      </c>
      <c r="D652" s="90" t="s">
        <v>17</v>
      </c>
      <c r="E652" s="90" t="s">
        <v>628</v>
      </c>
      <c r="F652" s="91" t="s">
        <v>849</v>
      </c>
      <c r="G652" s="96">
        <v>2</v>
      </c>
      <c r="H652" s="94">
        <v>173</v>
      </c>
      <c r="I652" s="91">
        <v>45879</v>
      </c>
      <c r="J652" s="165">
        <v>0.33333333333333331</v>
      </c>
      <c r="K652" s="94">
        <v>173</v>
      </c>
      <c r="L652" s="72" t="str">
        <f t="shared" si="10"/>
        <v>Payé</v>
      </c>
    </row>
    <row r="653" spans="1:12" ht="15" customHeight="1" x14ac:dyDescent="0.25">
      <c r="A653" s="91" t="s">
        <v>849</v>
      </c>
      <c r="B653" s="90">
        <v>4801</v>
      </c>
      <c r="C653" s="88" t="s">
        <v>706</v>
      </c>
      <c r="D653" s="90" t="s">
        <v>17</v>
      </c>
      <c r="E653" s="90" t="s">
        <v>628</v>
      </c>
      <c r="F653" s="91" t="s">
        <v>849</v>
      </c>
      <c r="G653" s="96">
        <v>4</v>
      </c>
      <c r="H653" s="94">
        <v>347</v>
      </c>
      <c r="I653" s="91">
        <v>45879</v>
      </c>
      <c r="J653" s="165">
        <v>0.33333333333333331</v>
      </c>
      <c r="K653" s="94">
        <v>347</v>
      </c>
      <c r="L653" s="72" t="str">
        <f t="shared" si="10"/>
        <v>Payé</v>
      </c>
    </row>
    <row r="654" spans="1:12" ht="15" customHeight="1" x14ac:dyDescent="0.25">
      <c r="A654" s="91" t="s">
        <v>849</v>
      </c>
      <c r="B654" s="90">
        <v>5121</v>
      </c>
      <c r="C654" s="88" t="s">
        <v>826</v>
      </c>
      <c r="D654" s="90" t="s">
        <v>17</v>
      </c>
      <c r="E654" s="90" t="s">
        <v>628</v>
      </c>
      <c r="F654" s="91" t="s">
        <v>849</v>
      </c>
      <c r="G654" s="96">
        <v>4</v>
      </c>
      <c r="H654" s="94">
        <v>347</v>
      </c>
      <c r="I654" s="91">
        <v>45879</v>
      </c>
      <c r="J654" s="165">
        <v>0.33333333333333331</v>
      </c>
      <c r="K654" s="94">
        <v>347</v>
      </c>
      <c r="L654" s="72" t="str">
        <f t="shared" si="10"/>
        <v>Payé</v>
      </c>
    </row>
    <row r="655" spans="1:12" ht="15" customHeight="1" x14ac:dyDescent="0.25">
      <c r="A655" s="91" t="s">
        <v>849</v>
      </c>
      <c r="B655" s="90">
        <v>5123</v>
      </c>
      <c r="C655" s="88" t="s">
        <v>827</v>
      </c>
      <c r="D655" s="90" t="s">
        <v>17</v>
      </c>
      <c r="E655" s="90" t="s">
        <v>628</v>
      </c>
      <c r="F655" s="91" t="s">
        <v>849</v>
      </c>
      <c r="G655" s="96">
        <v>2</v>
      </c>
      <c r="H655" s="94">
        <v>173</v>
      </c>
      <c r="I655" s="91">
        <v>45879</v>
      </c>
      <c r="J655" s="165">
        <v>0.33333333333333331</v>
      </c>
      <c r="K655" s="94">
        <v>173</v>
      </c>
      <c r="L655" s="72" t="str">
        <f t="shared" si="10"/>
        <v>Payé</v>
      </c>
    </row>
    <row r="656" spans="1:12" ht="15" customHeight="1" x14ac:dyDescent="0.25">
      <c r="A656" s="91" t="s">
        <v>849</v>
      </c>
      <c r="B656" s="90">
        <v>5126</v>
      </c>
      <c r="C656" s="88" t="s">
        <v>828</v>
      </c>
      <c r="D656" s="90" t="s">
        <v>17</v>
      </c>
      <c r="E656" s="90" t="s">
        <v>628</v>
      </c>
      <c r="F656" s="91" t="s">
        <v>849</v>
      </c>
      <c r="G656" s="96">
        <v>1</v>
      </c>
      <c r="H656" s="94">
        <v>87</v>
      </c>
      <c r="I656" s="91">
        <v>45879</v>
      </c>
      <c r="J656" s="165">
        <v>0.33333333333333331</v>
      </c>
      <c r="K656" s="94">
        <v>87</v>
      </c>
      <c r="L656" s="72" t="str">
        <f t="shared" si="10"/>
        <v>Payé</v>
      </c>
    </row>
    <row r="657" spans="1:12" ht="15" customHeight="1" x14ac:dyDescent="0.25">
      <c r="A657" s="91" t="s">
        <v>849</v>
      </c>
      <c r="B657" s="90">
        <v>8022</v>
      </c>
      <c r="C657" s="88" t="s">
        <v>707</v>
      </c>
      <c r="D657" s="90" t="s">
        <v>17</v>
      </c>
      <c r="E657" s="90" t="s">
        <v>628</v>
      </c>
      <c r="F657" s="91" t="s">
        <v>849</v>
      </c>
      <c r="G657" s="96">
        <v>4</v>
      </c>
      <c r="H657" s="94">
        <v>347</v>
      </c>
      <c r="I657" s="91">
        <v>45879</v>
      </c>
      <c r="J657" s="165">
        <v>0.33333333333333331</v>
      </c>
      <c r="K657" s="94">
        <v>347</v>
      </c>
      <c r="L657" s="72" t="str">
        <f t="shared" si="10"/>
        <v>Payé</v>
      </c>
    </row>
    <row r="658" spans="1:12" ht="15" customHeight="1" x14ac:dyDescent="0.25">
      <c r="A658" s="91" t="s">
        <v>849</v>
      </c>
      <c r="B658" s="90"/>
      <c r="C658" s="88" t="s">
        <v>898</v>
      </c>
      <c r="D658" s="90" t="s">
        <v>17</v>
      </c>
      <c r="E658" s="90" t="s">
        <v>628</v>
      </c>
      <c r="F658" s="91" t="s">
        <v>849</v>
      </c>
      <c r="G658" s="96">
        <v>4</v>
      </c>
      <c r="H658" s="94">
        <v>347</v>
      </c>
      <c r="I658" s="91">
        <v>45879</v>
      </c>
      <c r="J658" s="165">
        <v>0.33333333333333331</v>
      </c>
      <c r="K658" s="94">
        <v>347</v>
      </c>
      <c r="L658" s="72" t="str">
        <f t="shared" si="10"/>
        <v>Payé</v>
      </c>
    </row>
    <row r="659" spans="1:12" ht="15" customHeight="1" x14ac:dyDescent="0.25">
      <c r="A659" s="91" t="s">
        <v>849</v>
      </c>
      <c r="B659" s="90"/>
      <c r="C659" s="88" t="s">
        <v>620</v>
      </c>
      <c r="D659" s="90" t="s">
        <v>17</v>
      </c>
      <c r="E659" s="90" t="s">
        <v>628</v>
      </c>
      <c r="F659" s="91" t="s">
        <v>849</v>
      </c>
      <c r="G659" s="96">
        <v>1</v>
      </c>
      <c r="H659" s="94">
        <v>87</v>
      </c>
      <c r="I659" s="91">
        <v>45879</v>
      </c>
      <c r="J659" s="165">
        <v>0.33333333333333331</v>
      </c>
      <c r="K659" s="94">
        <v>87</v>
      </c>
      <c r="L659" s="72" t="str">
        <f t="shared" si="10"/>
        <v>Payé</v>
      </c>
    </row>
    <row r="660" spans="1:12" ht="15" customHeight="1" x14ac:dyDescent="0.25">
      <c r="A660" s="91" t="s">
        <v>849</v>
      </c>
      <c r="B660" s="90">
        <v>2943</v>
      </c>
      <c r="C660" s="88" t="s">
        <v>301</v>
      </c>
      <c r="D660" s="90" t="s">
        <v>17</v>
      </c>
      <c r="E660" s="90" t="s">
        <v>753</v>
      </c>
      <c r="F660" s="91" t="s">
        <v>849</v>
      </c>
      <c r="G660" s="96">
        <v>3</v>
      </c>
      <c r="H660" s="94">
        <v>260</v>
      </c>
      <c r="I660" s="91">
        <v>45888</v>
      </c>
      <c r="J660" s="165">
        <v>0.51874999999999993</v>
      </c>
      <c r="K660" s="94">
        <v>260</v>
      </c>
      <c r="L660" s="72" t="str">
        <f t="shared" si="10"/>
        <v>Payé</v>
      </c>
    </row>
    <row r="661" spans="1:12" ht="15" customHeight="1" x14ac:dyDescent="0.25">
      <c r="A661" s="91" t="s">
        <v>849</v>
      </c>
      <c r="B661" s="90">
        <v>2965</v>
      </c>
      <c r="C661" s="88" t="s">
        <v>813</v>
      </c>
      <c r="D661" s="90" t="s">
        <v>17</v>
      </c>
      <c r="E661" s="90" t="s">
        <v>753</v>
      </c>
      <c r="F661" s="91" t="s">
        <v>849</v>
      </c>
      <c r="G661" s="96">
        <v>10</v>
      </c>
      <c r="H661" s="94">
        <v>867</v>
      </c>
      <c r="I661" s="91">
        <v>45879</v>
      </c>
      <c r="J661" s="165">
        <v>0.33333333333333331</v>
      </c>
      <c r="K661" s="94">
        <v>867</v>
      </c>
      <c r="L661" s="72" t="str">
        <f t="shared" si="10"/>
        <v>Payé</v>
      </c>
    </row>
    <row r="662" spans="1:12" ht="15" customHeight="1" x14ac:dyDescent="0.25">
      <c r="A662" s="91" t="s">
        <v>849</v>
      </c>
      <c r="B662" s="90">
        <v>2983</v>
      </c>
      <c r="C662" s="88" t="s">
        <v>468</v>
      </c>
      <c r="D662" s="90" t="s">
        <v>17</v>
      </c>
      <c r="E662" s="90" t="s">
        <v>753</v>
      </c>
      <c r="F662" s="91" t="s">
        <v>849</v>
      </c>
      <c r="G662" s="96">
        <v>7</v>
      </c>
      <c r="H662" s="94">
        <v>607</v>
      </c>
      <c r="I662" s="91">
        <v>45879</v>
      </c>
      <c r="J662" s="165">
        <v>0.33333333333333331</v>
      </c>
      <c r="K662" s="94">
        <v>607</v>
      </c>
      <c r="L662" s="72" t="str">
        <f t="shared" si="10"/>
        <v>Payé</v>
      </c>
    </row>
    <row r="663" spans="1:12" ht="15" customHeight="1" x14ac:dyDescent="0.25">
      <c r="A663" s="91" t="s">
        <v>849</v>
      </c>
      <c r="B663" s="90">
        <v>2997</v>
      </c>
      <c r="C663" s="88" t="s">
        <v>719</v>
      </c>
      <c r="D663" s="90" t="s">
        <v>17</v>
      </c>
      <c r="E663" s="90" t="s">
        <v>753</v>
      </c>
      <c r="F663" s="91" t="s">
        <v>849</v>
      </c>
      <c r="G663" s="96">
        <v>12</v>
      </c>
      <c r="H663" s="94">
        <v>1161</v>
      </c>
      <c r="I663" s="91">
        <v>45879</v>
      </c>
      <c r="J663" s="165">
        <v>0.33333333333333331</v>
      </c>
      <c r="K663" s="94">
        <v>1161</v>
      </c>
      <c r="L663" s="72" t="str">
        <f t="shared" si="10"/>
        <v>Payé</v>
      </c>
    </row>
    <row r="664" spans="1:12" ht="15" customHeight="1" x14ac:dyDescent="0.25">
      <c r="A664" s="91" t="s">
        <v>849</v>
      </c>
      <c r="B664" s="90">
        <v>3001</v>
      </c>
      <c r="C664" s="88" t="s">
        <v>799</v>
      </c>
      <c r="D664" s="90" t="s">
        <v>17</v>
      </c>
      <c r="E664" s="90" t="s">
        <v>753</v>
      </c>
      <c r="F664" s="91" t="s">
        <v>849</v>
      </c>
      <c r="G664" s="96">
        <v>11</v>
      </c>
      <c r="H664" s="94">
        <v>954</v>
      </c>
      <c r="I664" s="91">
        <v>45879</v>
      </c>
      <c r="J664" s="165">
        <v>0.33333333333333331</v>
      </c>
      <c r="K664" s="94">
        <v>954</v>
      </c>
      <c r="L664" s="72" t="str">
        <f t="shared" si="10"/>
        <v>Payé</v>
      </c>
    </row>
    <row r="665" spans="1:12" ht="15" customHeight="1" x14ac:dyDescent="0.25">
      <c r="A665" s="91" t="s">
        <v>849</v>
      </c>
      <c r="B665" s="90">
        <v>3007</v>
      </c>
      <c r="C665" s="88" t="s">
        <v>720</v>
      </c>
      <c r="D665" s="90" t="s">
        <v>17</v>
      </c>
      <c r="E665" s="90" t="s">
        <v>753</v>
      </c>
      <c r="F665" s="91" t="s">
        <v>849</v>
      </c>
      <c r="G665" s="96">
        <v>8</v>
      </c>
      <c r="H665" s="94">
        <v>694</v>
      </c>
      <c r="I665" s="91">
        <v>45879</v>
      </c>
      <c r="J665" s="165">
        <v>0.33333333333333331</v>
      </c>
      <c r="K665" s="94">
        <v>694</v>
      </c>
      <c r="L665" s="72" t="str">
        <f t="shared" si="10"/>
        <v>Payé</v>
      </c>
    </row>
    <row r="666" spans="1:12" ht="15" customHeight="1" x14ac:dyDescent="0.25">
      <c r="A666" s="91" t="s">
        <v>849</v>
      </c>
      <c r="B666" s="90">
        <v>3823</v>
      </c>
      <c r="C666" s="88" t="s">
        <v>824</v>
      </c>
      <c r="D666" s="90" t="s">
        <v>17</v>
      </c>
      <c r="E666" s="90" t="s">
        <v>753</v>
      </c>
      <c r="F666" s="91" t="s">
        <v>849</v>
      </c>
      <c r="G666" s="96">
        <v>8</v>
      </c>
      <c r="H666" s="94">
        <v>694</v>
      </c>
      <c r="I666" s="91">
        <v>45879</v>
      </c>
      <c r="J666" s="165">
        <v>0.33333333333333331</v>
      </c>
      <c r="K666" s="94">
        <v>694</v>
      </c>
      <c r="L666" s="72" t="str">
        <f t="shared" si="10"/>
        <v>Payé</v>
      </c>
    </row>
    <row r="667" spans="1:12" ht="15" customHeight="1" x14ac:dyDescent="0.25">
      <c r="A667" s="91" t="s">
        <v>849</v>
      </c>
      <c r="B667" s="90">
        <v>3837</v>
      </c>
      <c r="C667" s="88" t="s">
        <v>763</v>
      </c>
      <c r="D667" s="90" t="s">
        <v>17</v>
      </c>
      <c r="E667" s="90" t="s">
        <v>753</v>
      </c>
      <c r="F667" s="91" t="s">
        <v>849</v>
      </c>
      <c r="G667" s="96">
        <v>1</v>
      </c>
      <c r="H667" s="94">
        <v>87</v>
      </c>
      <c r="I667" s="91">
        <v>45881</v>
      </c>
      <c r="J667" s="165">
        <v>0.65486111111111112</v>
      </c>
      <c r="K667" s="94">
        <v>87</v>
      </c>
      <c r="L667" s="72" t="str">
        <f t="shared" si="10"/>
        <v>Payé</v>
      </c>
    </row>
    <row r="668" spans="1:12" ht="15" customHeight="1" x14ac:dyDescent="0.25">
      <c r="A668" s="91" t="s">
        <v>849</v>
      </c>
      <c r="B668" s="90">
        <v>3903</v>
      </c>
      <c r="C668" s="88" t="s">
        <v>721</v>
      </c>
      <c r="D668" s="90" t="s">
        <v>17</v>
      </c>
      <c r="E668" s="90" t="s">
        <v>753</v>
      </c>
      <c r="F668" s="91" t="s">
        <v>849</v>
      </c>
      <c r="G668" s="96">
        <v>6</v>
      </c>
      <c r="H668" s="94">
        <v>520</v>
      </c>
      <c r="I668" s="91">
        <v>45879</v>
      </c>
      <c r="J668" s="165">
        <v>0.33333333333333331</v>
      </c>
      <c r="K668" s="94">
        <v>520</v>
      </c>
      <c r="L668" s="72" t="str">
        <f t="shared" si="10"/>
        <v>Payé</v>
      </c>
    </row>
    <row r="669" spans="1:12" ht="15" customHeight="1" x14ac:dyDescent="0.25">
      <c r="A669" s="91" t="s">
        <v>849</v>
      </c>
      <c r="B669" s="90">
        <v>4046</v>
      </c>
      <c r="C669" s="88" t="s">
        <v>722</v>
      </c>
      <c r="D669" s="90" t="s">
        <v>17</v>
      </c>
      <c r="E669" s="90" t="s">
        <v>753</v>
      </c>
      <c r="F669" s="91" t="s">
        <v>849</v>
      </c>
      <c r="G669" s="96">
        <v>10</v>
      </c>
      <c r="H669" s="94">
        <v>867</v>
      </c>
      <c r="I669" s="91">
        <v>45879</v>
      </c>
      <c r="J669" s="165">
        <v>0.33333333333333331</v>
      </c>
      <c r="K669" s="94">
        <v>867</v>
      </c>
      <c r="L669" s="72" t="str">
        <f t="shared" si="10"/>
        <v>Payé</v>
      </c>
    </row>
    <row r="670" spans="1:12" ht="15" customHeight="1" x14ac:dyDescent="0.25">
      <c r="A670" s="91" t="s">
        <v>849</v>
      </c>
      <c r="B670" s="90">
        <v>4868</v>
      </c>
      <c r="C670" s="88" t="s">
        <v>767</v>
      </c>
      <c r="D670" s="90" t="s">
        <v>17</v>
      </c>
      <c r="E670" s="90" t="s">
        <v>753</v>
      </c>
      <c r="F670" s="91" t="s">
        <v>849</v>
      </c>
      <c r="G670" s="96">
        <v>11</v>
      </c>
      <c r="H670" s="94">
        <v>954</v>
      </c>
      <c r="I670" s="91">
        <v>45879</v>
      </c>
      <c r="J670" s="165">
        <v>0.33333333333333331</v>
      </c>
      <c r="K670" s="94">
        <v>954</v>
      </c>
      <c r="L670" s="72" t="str">
        <f t="shared" ref="L670:L733" si="11">IF(ISBLANK(H670),"",IF(H670=K670,"Payé","Impayé"))</f>
        <v>Payé</v>
      </c>
    </row>
    <row r="671" spans="1:12" ht="15" customHeight="1" x14ac:dyDescent="0.25">
      <c r="A671" s="91" t="s">
        <v>849</v>
      </c>
      <c r="B671" s="90">
        <v>4887</v>
      </c>
      <c r="C671" s="88" t="s">
        <v>768</v>
      </c>
      <c r="D671" s="90" t="s">
        <v>17</v>
      </c>
      <c r="E671" s="90" t="s">
        <v>753</v>
      </c>
      <c r="F671" s="91" t="s">
        <v>849</v>
      </c>
      <c r="G671" s="96">
        <v>11</v>
      </c>
      <c r="H671" s="94">
        <v>954</v>
      </c>
      <c r="I671" s="91">
        <v>45879</v>
      </c>
      <c r="J671" s="165">
        <v>0.33333333333333331</v>
      </c>
      <c r="K671" s="94">
        <v>954</v>
      </c>
      <c r="L671" s="72" t="str">
        <f t="shared" si="11"/>
        <v>Payé</v>
      </c>
    </row>
    <row r="672" spans="1:12" ht="15" customHeight="1" x14ac:dyDescent="0.25">
      <c r="A672" s="91" t="s">
        <v>849</v>
      </c>
      <c r="B672" s="90">
        <v>4922</v>
      </c>
      <c r="C672" s="88" t="s">
        <v>751</v>
      </c>
      <c r="D672" s="90" t="s">
        <v>17</v>
      </c>
      <c r="E672" s="90" t="s">
        <v>753</v>
      </c>
      <c r="F672" s="91" t="s">
        <v>849</v>
      </c>
      <c r="G672" s="96">
        <v>9</v>
      </c>
      <c r="H672" s="94">
        <v>781</v>
      </c>
      <c r="I672" s="91">
        <v>45879</v>
      </c>
      <c r="J672" s="165">
        <v>0.33333333333333331</v>
      </c>
      <c r="K672" s="94">
        <v>781</v>
      </c>
      <c r="L672" s="72" t="str">
        <f t="shared" si="11"/>
        <v>Payé</v>
      </c>
    </row>
    <row r="673" spans="1:12" ht="15" customHeight="1" x14ac:dyDescent="0.25">
      <c r="A673" s="91" t="s">
        <v>849</v>
      </c>
      <c r="B673" s="90">
        <v>5194</v>
      </c>
      <c r="C673" s="88" t="s">
        <v>830</v>
      </c>
      <c r="D673" s="90" t="s">
        <v>17</v>
      </c>
      <c r="E673" s="90" t="s">
        <v>753</v>
      </c>
      <c r="F673" s="91" t="s">
        <v>849</v>
      </c>
      <c r="G673" s="96">
        <v>7</v>
      </c>
      <c r="H673" s="94">
        <v>607</v>
      </c>
      <c r="I673" s="91">
        <v>45879</v>
      </c>
      <c r="J673" s="165">
        <v>0.33333333333333331</v>
      </c>
      <c r="K673" s="94">
        <v>607</v>
      </c>
      <c r="L673" s="72" t="str">
        <f t="shared" si="11"/>
        <v>Payé</v>
      </c>
    </row>
    <row r="674" spans="1:12" ht="15" customHeight="1" x14ac:dyDescent="0.25">
      <c r="A674" s="91" t="s">
        <v>849</v>
      </c>
      <c r="B674" s="90">
        <v>5203</v>
      </c>
      <c r="C674" s="88" t="s">
        <v>834</v>
      </c>
      <c r="D674" s="90" t="s">
        <v>17</v>
      </c>
      <c r="E674" s="90" t="s">
        <v>753</v>
      </c>
      <c r="F674" s="91" t="s">
        <v>849</v>
      </c>
      <c r="G674" s="96">
        <v>12</v>
      </c>
      <c r="H674" s="94">
        <v>1041</v>
      </c>
      <c r="I674" s="91">
        <v>45879</v>
      </c>
      <c r="J674" s="165">
        <v>0.33333333333333331</v>
      </c>
      <c r="K674" s="94">
        <v>1041</v>
      </c>
      <c r="L674" s="72" t="str">
        <f t="shared" si="11"/>
        <v>Payé</v>
      </c>
    </row>
    <row r="675" spans="1:12" ht="15" customHeight="1" x14ac:dyDescent="0.25">
      <c r="A675" s="91" t="s">
        <v>849</v>
      </c>
      <c r="B675" s="90">
        <v>5209</v>
      </c>
      <c r="C675" s="88" t="s">
        <v>835</v>
      </c>
      <c r="D675" s="90" t="s">
        <v>17</v>
      </c>
      <c r="E675" s="90" t="s">
        <v>753</v>
      </c>
      <c r="F675" s="91" t="s">
        <v>849</v>
      </c>
      <c r="G675" s="96">
        <v>10</v>
      </c>
      <c r="H675" s="94">
        <v>867</v>
      </c>
      <c r="I675" s="91">
        <v>45879</v>
      </c>
      <c r="J675" s="165">
        <v>0.33333333333333331</v>
      </c>
      <c r="K675" s="94">
        <v>867</v>
      </c>
      <c r="L675" s="72" t="str">
        <f t="shared" si="11"/>
        <v>Payé</v>
      </c>
    </row>
    <row r="676" spans="1:12" ht="15" customHeight="1" x14ac:dyDescent="0.25">
      <c r="A676" s="91" t="s">
        <v>849</v>
      </c>
      <c r="B676" s="90">
        <v>5222</v>
      </c>
      <c r="C676" s="88" t="s">
        <v>839</v>
      </c>
      <c r="D676" s="90" t="s">
        <v>17</v>
      </c>
      <c r="E676" s="90" t="s">
        <v>753</v>
      </c>
      <c r="F676" s="91" t="s">
        <v>849</v>
      </c>
      <c r="G676" s="96">
        <v>12</v>
      </c>
      <c r="H676" s="94">
        <v>1041</v>
      </c>
      <c r="I676" s="91">
        <v>45881</v>
      </c>
      <c r="J676" s="165">
        <v>0.70347222222222217</v>
      </c>
      <c r="K676" s="94">
        <v>1041</v>
      </c>
      <c r="L676" s="72" t="str">
        <f t="shared" si="11"/>
        <v>Payé</v>
      </c>
    </row>
    <row r="677" spans="1:12" ht="15" customHeight="1" x14ac:dyDescent="0.25">
      <c r="A677" s="91" t="s">
        <v>849</v>
      </c>
      <c r="B677" s="90">
        <v>5236</v>
      </c>
      <c r="C677" s="88" t="s">
        <v>881</v>
      </c>
      <c r="D677" s="90" t="s">
        <v>17</v>
      </c>
      <c r="E677" s="90" t="s">
        <v>753</v>
      </c>
      <c r="F677" s="91" t="s">
        <v>849</v>
      </c>
      <c r="G677" s="96">
        <v>6</v>
      </c>
      <c r="H677" s="94">
        <v>520</v>
      </c>
      <c r="I677" s="91">
        <v>45881</v>
      </c>
      <c r="J677" s="165">
        <v>0.45694444444444443</v>
      </c>
      <c r="K677" s="94">
        <v>520</v>
      </c>
      <c r="L677" s="72" t="str">
        <f t="shared" si="11"/>
        <v>Payé</v>
      </c>
    </row>
    <row r="678" spans="1:12" ht="15" customHeight="1" x14ac:dyDescent="0.25">
      <c r="A678" s="91" t="s">
        <v>849</v>
      </c>
      <c r="B678" s="90">
        <v>5238</v>
      </c>
      <c r="C678" s="88" t="s">
        <v>883</v>
      </c>
      <c r="D678" s="90" t="s">
        <v>17</v>
      </c>
      <c r="E678" s="90" t="s">
        <v>753</v>
      </c>
      <c r="F678" s="91" t="s">
        <v>849</v>
      </c>
      <c r="G678" s="96">
        <v>12</v>
      </c>
      <c r="H678" s="94">
        <v>1041</v>
      </c>
      <c r="I678" s="91">
        <v>45879</v>
      </c>
      <c r="J678" s="165">
        <v>0.33333333333333331</v>
      </c>
      <c r="K678" s="94">
        <v>1041</v>
      </c>
      <c r="L678" s="72" t="str">
        <f t="shared" si="11"/>
        <v>Payé</v>
      </c>
    </row>
    <row r="679" spans="1:12" ht="15" customHeight="1" x14ac:dyDescent="0.25">
      <c r="A679" s="91" t="s">
        <v>849</v>
      </c>
      <c r="B679" s="90">
        <v>5239</v>
      </c>
      <c r="C679" s="88" t="s">
        <v>884</v>
      </c>
      <c r="D679" s="90" t="s">
        <v>17</v>
      </c>
      <c r="E679" s="90" t="s">
        <v>753</v>
      </c>
      <c r="F679" s="91" t="s">
        <v>849</v>
      </c>
      <c r="G679" s="96">
        <v>12</v>
      </c>
      <c r="H679" s="94">
        <v>1041</v>
      </c>
      <c r="I679" s="91">
        <v>45879</v>
      </c>
      <c r="J679" s="165">
        <v>0.33333333333333331</v>
      </c>
      <c r="K679" s="94">
        <v>1041</v>
      </c>
      <c r="L679" s="72" t="str">
        <f t="shared" si="11"/>
        <v>Payé</v>
      </c>
    </row>
    <row r="680" spans="1:12" ht="15" customHeight="1" x14ac:dyDescent="0.25">
      <c r="A680" s="91" t="s">
        <v>849</v>
      </c>
      <c r="B680" s="90">
        <v>5240</v>
      </c>
      <c r="C680" s="88" t="s">
        <v>885</v>
      </c>
      <c r="D680" s="90" t="s">
        <v>17</v>
      </c>
      <c r="E680" s="90" t="s">
        <v>753</v>
      </c>
      <c r="F680" s="91" t="s">
        <v>849</v>
      </c>
      <c r="G680" s="96">
        <v>11</v>
      </c>
      <c r="H680" s="94">
        <v>954</v>
      </c>
      <c r="I680" s="91">
        <v>45879</v>
      </c>
      <c r="J680" s="165">
        <v>0.33333333333333331</v>
      </c>
      <c r="K680" s="94">
        <v>954</v>
      </c>
      <c r="L680" s="72" t="str">
        <f t="shared" si="11"/>
        <v>Payé</v>
      </c>
    </row>
    <row r="681" spans="1:12" ht="15" customHeight="1" x14ac:dyDescent="0.25">
      <c r="A681" s="91" t="s">
        <v>849</v>
      </c>
      <c r="B681" s="90">
        <v>5241</v>
      </c>
      <c r="C681" s="88" t="s">
        <v>886</v>
      </c>
      <c r="D681" s="90" t="s">
        <v>17</v>
      </c>
      <c r="E681" s="90" t="s">
        <v>753</v>
      </c>
      <c r="F681" s="91" t="s">
        <v>849</v>
      </c>
      <c r="G681" s="96">
        <v>11</v>
      </c>
      <c r="H681" s="94">
        <v>954</v>
      </c>
      <c r="I681" s="91">
        <v>45879</v>
      </c>
      <c r="J681" s="165">
        <v>0.33333333333333331</v>
      </c>
      <c r="K681" s="94">
        <v>954</v>
      </c>
      <c r="L681" s="72" t="str">
        <f t="shared" si="11"/>
        <v>Payé</v>
      </c>
    </row>
    <row r="682" spans="1:12" ht="15" customHeight="1" x14ac:dyDescent="0.25">
      <c r="A682" s="91" t="s">
        <v>849</v>
      </c>
      <c r="B682" s="90">
        <v>5245</v>
      </c>
      <c r="C682" s="88" t="s">
        <v>889</v>
      </c>
      <c r="D682" s="90" t="s">
        <v>17</v>
      </c>
      <c r="E682" s="90" t="s">
        <v>753</v>
      </c>
      <c r="F682" s="91" t="s">
        <v>849</v>
      </c>
      <c r="G682" s="96">
        <v>5</v>
      </c>
      <c r="H682" s="94">
        <v>434</v>
      </c>
      <c r="I682" s="91">
        <v>45879</v>
      </c>
      <c r="J682" s="165">
        <v>0.33333333333333331</v>
      </c>
      <c r="K682" s="94">
        <v>434</v>
      </c>
      <c r="L682" s="72" t="str">
        <f t="shared" si="11"/>
        <v>Payé</v>
      </c>
    </row>
    <row r="683" spans="1:12" ht="15" customHeight="1" x14ac:dyDescent="0.25">
      <c r="A683" s="91" t="s">
        <v>849</v>
      </c>
      <c r="B683" s="90">
        <v>5251</v>
      </c>
      <c r="C683" s="88" t="s">
        <v>891</v>
      </c>
      <c r="D683" s="90" t="s">
        <v>17</v>
      </c>
      <c r="E683" s="90" t="s">
        <v>753</v>
      </c>
      <c r="F683" s="91" t="s">
        <v>849</v>
      </c>
      <c r="G683" s="96">
        <v>7</v>
      </c>
      <c r="H683" s="94">
        <v>607</v>
      </c>
      <c r="I683" s="91">
        <v>45879</v>
      </c>
      <c r="J683" s="165">
        <v>0.33333333333333331</v>
      </c>
      <c r="K683" s="94">
        <v>607</v>
      </c>
      <c r="L683" s="72" t="str">
        <f t="shared" si="11"/>
        <v>Payé</v>
      </c>
    </row>
    <row r="684" spans="1:12" ht="15" customHeight="1" x14ac:dyDescent="0.25">
      <c r="A684" s="91" t="s">
        <v>849</v>
      </c>
      <c r="B684" s="90">
        <v>5254</v>
      </c>
      <c r="C684" s="88" t="s">
        <v>892</v>
      </c>
      <c r="D684" s="90" t="s">
        <v>17</v>
      </c>
      <c r="E684" s="90" t="s">
        <v>753</v>
      </c>
      <c r="F684" s="91" t="s">
        <v>849</v>
      </c>
      <c r="G684" s="96">
        <v>7</v>
      </c>
      <c r="H684" s="94">
        <v>607</v>
      </c>
      <c r="I684" s="91">
        <v>45881</v>
      </c>
      <c r="J684" s="165">
        <v>0.6430555555555556</v>
      </c>
      <c r="K684" s="94">
        <v>607</v>
      </c>
      <c r="L684" s="72" t="str">
        <f t="shared" si="11"/>
        <v>Payé</v>
      </c>
    </row>
    <row r="685" spans="1:12" ht="15" customHeight="1" x14ac:dyDescent="0.25">
      <c r="A685" s="91" t="s">
        <v>849</v>
      </c>
      <c r="B685" s="90"/>
      <c r="C685" s="88" t="s">
        <v>845</v>
      </c>
      <c r="D685" s="90" t="s">
        <v>17</v>
      </c>
      <c r="E685" s="90" t="s">
        <v>753</v>
      </c>
      <c r="F685" s="91" t="s">
        <v>849</v>
      </c>
      <c r="G685" s="96">
        <v>8</v>
      </c>
      <c r="H685" s="94">
        <v>694</v>
      </c>
      <c r="I685" s="91">
        <v>45879</v>
      </c>
      <c r="J685" s="165">
        <v>0.33333333333333331</v>
      </c>
      <c r="K685" s="94">
        <v>694</v>
      </c>
      <c r="L685" s="72" t="str">
        <f t="shared" si="11"/>
        <v>Payé</v>
      </c>
    </row>
    <row r="686" spans="1:12" ht="15" customHeight="1" x14ac:dyDescent="0.25">
      <c r="A686" s="91" t="s">
        <v>849</v>
      </c>
      <c r="B686" s="90"/>
      <c r="C686" s="88" t="s">
        <v>750</v>
      </c>
      <c r="D686" s="90" t="s">
        <v>17</v>
      </c>
      <c r="E686" s="90" t="s">
        <v>753</v>
      </c>
      <c r="F686" s="91" t="s">
        <v>849</v>
      </c>
      <c r="G686" s="96">
        <v>10</v>
      </c>
      <c r="H686" s="94">
        <v>867</v>
      </c>
      <c r="I686" s="91">
        <v>45879</v>
      </c>
      <c r="J686" s="165">
        <v>0.33333333333333331</v>
      </c>
      <c r="K686" s="94">
        <v>867</v>
      </c>
      <c r="L686" s="72" t="str">
        <f t="shared" si="11"/>
        <v>Payé</v>
      </c>
    </row>
    <row r="687" spans="1:12" ht="15" customHeight="1" x14ac:dyDescent="0.25">
      <c r="A687" s="91" t="s">
        <v>849</v>
      </c>
      <c r="B687" s="90"/>
      <c r="C687" s="88" t="s">
        <v>899</v>
      </c>
      <c r="D687" s="90" t="s">
        <v>17</v>
      </c>
      <c r="E687" s="90" t="s">
        <v>753</v>
      </c>
      <c r="F687" s="91" t="s">
        <v>849</v>
      </c>
      <c r="G687" s="96">
        <v>8</v>
      </c>
      <c r="H687" s="94">
        <v>694</v>
      </c>
      <c r="I687" s="91">
        <v>45879</v>
      </c>
      <c r="J687" s="165">
        <v>0.33333333333333331</v>
      </c>
      <c r="K687" s="94">
        <v>694</v>
      </c>
      <c r="L687" s="72" t="str">
        <f t="shared" si="11"/>
        <v>Payé</v>
      </c>
    </row>
    <row r="688" spans="1:12" ht="15" customHeight="1" x14ac:dyDescent="0.25">
      <c r="A688" s="91" t="s">
        <v>849</v>
      </c>
      <c r="B688" s="90"/>
      <c r="C688" s="88" t="s">
        <v>901</v>
      </c>
      <c r="D688" s="90" t="s">
        <v>17</v>
      </c>
      <c r="E688" s="90" t="s">
        <v>753</v>
      </c>
      <c r="F688" s="91" t="s">
        <v>849</v>
      </c>
      <c r="G688" s="96">
        <v>9</v>
      </c>
      <c r="H688" s="94">
        <v>781</v>
      </c>
      <c r="I688" s="91">
        <v>45879</v>
      </c>
      <c r="J688" s="165">
        <v>0.33333333333333331</v>
      </c>
      <c r="K688" s="94">
        <v>781</v>
      </c>
      <c r="L688" s="72" t="str">
        <f t="shared" si="11"/>
        <v>Payé</v>
      </c>
    </row>
    <row r="689" spans="1:12" ht="15" customHeight="1" x14ac:dyDescent="0.25">
      <c r="A689" s="91" t="s">
        <v>849</v>
      </c>
      <c r="B689" s="90"/>
      <c r="C689" s="88" t="s">
        <v>902</v>
      </c>
      <c r="D689" s="90" t="s">
        <v>17</v>
      </c>
      <c r="E689" s="90" t="s">
        <v>753</v>
      </c>
      <c r="F689" s="91" t="s">
        <v>849</v>
      </c>
      <c r="G689" s="96">
        <v>4</v>
      </c>
      <c r="H689" s="94">
        <v>347</v>
      </c>
      <c r="I689" s="91">
        <v>45879</v>
      </c>
      <c r="J689" s="165">
        <v>0.33333333333333331</v>
      </c>
      <c r="K689" s="94">
        <v>347</v>
      </c>
      <c r="L689" s="72" t="str">
        <f t="shared" si="11"/>
        <v>Payé</v>
      </c>
    </row>
    <row r="690" spans="1:12" ht="15" customHeight="1" x14ac:dyDescent="0.25">
      <c r="A690" s="91" t="s">
        <v>849</v>
      </c>
      <c r="B690" s="90"/>
      <c r="C690" s="88" t="s">
        <v>903</v>
      </c>
      <c r="D690" s="90" t="s">
        <v>17</v>
      </c>
      <c r="E690" s="90" t="s">
        <v>753</v>
      </c>
      <c r="F690" s="91" t="s">
        <v>849</v>
      </c>
      <c r="G690" s="96">
        <v>6</v>
      </c>
      <c r="H690" s="94">
        <v>520</v>
      </c>
      <c r="I690" s="91">
        <v>45879</v>
      </c>
      <c r="J690" s="165">
        <v>0.33333333333333331</v>
      </c>
      <c r="K690" s="94">
        <v>520</v>
      </c>
      <c r="L690" s="72" t="str">
        <f t="shared" si="11"/>
        <v>Payé</v>
      </c>
    </row>
    <row r="691" spans="1:12" ht="15" customHeight="1" x14ac:dyDescent="0.25">
      <c r="A691" s="91" t="s">
        <v>849</v>
      </c>
      <c r="B691" s="90"/>
      <c r="C691" s="88" t="s">
        <v>904</v>
      </c>
      <c r="D691" s="90" t="s">
        <v>17</v>
      </c>
      <c r="E691" s="90" t="s">
        <v>753</v>
      </c>
      <c r="F691" s="91" t="s">
        <v>849</v>
      </c>
      <c r="G691" s="96">
        <v>3</v>
      </c>
      <c r="H691" s="94">
        <v>260</v>
      </c>
      <c r="I691" s="91">
        <v>45879</v>
      </c>
      <c r="J691" s="165">
        <v>0.33333333333333331</v>
      </c>
      <c r="K691" s="94">
        <v>260</v>
      </c>
      <c r="L691" s="72" t="str">
        <f t="shared" si="11"/>
        <v>Payé</v>
      </c>
    </row>
    <row r="692" spans="1:12" ht="15" customHeight="1" x14ac:dyDescent="0.25">
      <c r="A692" s="91" t="s">
        <v>849</v>
      </c>
      <c r="B692" s="90">
        <v>526</v>
      </c>
      <c r="C692" s="88" t="s">
        <v>874</v>
      </c>
      <c r="D692" s="90" t="s">
        <v>17</v>
      </c>
      <c r="E692" s="90" t="s">
        <v>646</v>
      </c>
      <c r="F692" s="91" t="s">
        <v>849</v>
      </c>
      <c r="G692" s="96">
        <v>9</v>
      </c>
      <c r="H692" s="94">
        <v>781</v>
      </c>
      <c r="I692" s="91">
        <v>45879</v>
      </c>
      <c r="J692" s="165">
        <v>0.33333333333333331</v>
      </c>
      <c r="K692" s="94">
        <v>781</v>
      </c>
      <c r="L692" s="72" t="str">
        <f t="shared" si="11"/>
        <v>Payé</v>
      </c>
    </row>
    <row r="693" spans="1:12" ht="15" customHeight="1" x14ac:dyDescent="0.25">
      <c r="A693" s="91" t="s">
        <v>849</v>
      </c>
      <c r="B693" s="90">
        <v>529</v>
      </c>
      <c r="C693" s="88" t="s">
        <v>702</v>
      </c>
      <c r="D693" s="90" t="s">
        <v>17</v>
      </c>
      <c r="E693" s="90" t="s">
        <v>646</v>
      </c>
      <c r="F693" s="91" t="s">
        <v>849</v>
      </c>
      <c r="G693" s="96">
        <v>4</v>
      </c>
      <c r="H693" s="94">
        <v>347</v>
      </c>
      <c r="I693" s="91">
        <v>45879</v>
      </c>
      <c r="J693" s="165">
        <v>0.33333333333333331</v>
      </c>
      <c r="K693" s="94">
        <v>347</v>
      </c>
      <c r="L693" s="72" t="str">
        <f t="shared" si="11"/>
        <v>Payé</v>
      </c>
    </row>
    <row r="694" spans="1:12" ht="15" customHeight="1" x14ac:dyDescent="0.25">
      <c r="A694" s="91" t="s">
        <v>849</v>
      </c>
      <c r="B694" s="90">
        <v>649</v>
      </c>
      <c r="C694" s="88" t="s">
        <v>715</v>
      </c>
      <c r="D694" s="90" t="s">
        <v>17</v>
      </c>
      <c r="E694" s="90" t="s">
        <v>646</v>
      </c>
      <c r="F694" s="91" t="s">
        <v>849</v>
      </c>
      <c r="G694" s="96">
        <v>2</v>
      </c>
      <c r="H694" s="94">
        <v>173</v>
      </c>
      <c r="I694" s="91">
        <v>45879</v>
      </c>
      <c r="J694" s="165">
        <v>0.33333333333333331</v>
      </c>
      <c r="K694" s="94">
        <v>173</v>
      </c>
      <c r="L694" s="72" t="str">
        <f t="shared" si="11"/>
        <v>Payé</v>
      </c>
    </row>
    <row r="695" spans="1:12" ht="15" customHeight="1" x14ac:dyDescent="0.25">
      <c r="A695" s="91" t="s">
        <v>849</v>
      </c>
      <c r="B695" s="90">
        <v>1377</v>
      </c>
      <c r="C695" s="88" t="s">
        <v>683</v>
      </c>
      <c r="D695" s="90" t="s">
        <v>17</v>
      </c>
      <c r="E695" s="90" t="s">
        <v>646</v>
      </c>
      <c r="F695" s="91" t="s">
        <v>849</v>
      </c>
      <c r="G695" s="96">
        <v>2</v>
      </c>
      <c r="H695" s="94">
        <v>173</v>
      </c>
      <c r="I695" s="91">
        <v>45879</v>
      </c>
      <c r="J695" s="165">
        <v>0.33333333333333331</v>
      </c>
      <c r="K695" s="94">
        <v>173</v>
      </c>
      <c r="L695" s="72" t="str">
        <f t="shared" si="11"/>
        <v>Payé</v>
      </c>
    </row>
    <row r="696" spans="1:12" ht="15" customHeight="1" x14ac:dyDescent="0.25">
      <c r="A696" s="91" t="s">
        <v>849</v>
      </c>
      <c r="B696" s="90">
        <v>1380</v>
      </c>
      <c r="C696" s="88" t="s">
        <v>632</v>
      </c>
      <c r="D696" s="90" t="s">
        <v>17</v>
      </c>
      <c r="E696" s="90" t="s">
        <v>646</v>
      </c>
      <c r="F696" s="91" t="s">
        <v>849</v>
      </c>
      <c r="G696" s="96">
        <v>2</v>
      </c>
      <c r="H696" s="94">
        <v>182</v>
      </c>
      <c r="I696" s="91">
        <v>45879</v>
      </c>
      <c r="J696" s="165">
        <v>0.33333333333333331</v>
      </c>
      <c r="K696" s="94">
        <v>182</v>
      </c>
      <c r="L696" s="72" t="str">
        <f t="shared" si="11"/>
        <v>Payé</v>
      </c>
    </row>
    <row r="697" spans="1:12" ht="15" customHeight="1" x14ac:dyDescent="0.25">
      <c r="A697" s="91" t="s">
        <v>849</v>
      </c>
      <c r="B697" s="90">
        <v>1384</v>
      </c>
      <c r="C697" s="88" t="s">
        <v>633</v>
      </c>
      <c r="D697" s="90" t="s">
        <v>17</v>
      </c>
      <c r="E697" s="90" t="s">
        <v>646</v>
      </c>
      <c r="F697" s="91" t="s">
        <v>849</v>
      </c>
      <c r="G697" s="96">
        <v>2</v>
      </c>
      <c r="H697" s="94">
        <v>173</v>
      </c>
      <c r="I697" s="91">
        <v>45879</v>
      </c>
      <c r="J697" s="165">
        <v>0.33333333333333331</v>
      </c>
      <c r="K697" s="94">
        <v>173</v>
      </c>
      <c r="L697" s="72" t="str">
        <f t="shared" si="11"/>
        <v>Payé</v>
      </c>
    </row>
    <row r="698" spans="1:12" ht="15" customHeight="1" x14ac:dyDescent="0.25">
      <c r="A698" s="91" t="s">
        <v>849</v>
      </c>
      <c r="B698" s="90">
        <v>1387</v>
      </c>
      <c r="C698" s="88" t="s">
        <v>634</v>
      </c>
      <c r="D698" s="90" t="s">
        <v>17</v>
      </c>
      <c r="E698" s="90" t="s">
        <v>646</v>
      </c>
      <c r="F698" s="91" t="s">
        <v>849</v>
      </c>
      <c r="G698" s="96">
        <v>2</v>
      </c>
      <c r="H698" s="94">
        <v>182</v>
      </c>
      <c r="I698" s="91">
        <v>45879</v>
      </c>
      <c r="J698" s="165">
        <v>0.33333333333333331</v>
      </c>
      <c r="K698" s="94">
        <v>182</v>
      </c>
      <c r="L698" s="72" t="str">
        <f t="shared" si="11"/>
        <v>Payé</v>
      </c>
    </row>
    <row r="699" spans="1:12" ht="15" customHeight="1" x14ac:dyDescent="0.25">
      <c r="A699" s="91" t="s">
        <v>849</v>
      </c>
      <c r="B699" s="90">
        <v>1504</v>
      </c>
      <c r="C699" s="88" t="s">
        <v>635</v>
      </c>
      <c r="D699" s="90" t="s">
        <v>17</v>
      </c>
      <c r="E699" s="90" t="s">
        <v>646</v>
      </c>
      <c r="F699" s="91" t="s">
        <v>849</v>
      </c>
      <c r="G699" s="96">
        <v>2</v>
      </c>
      <c r="H699" s="94">
        <v>182</v>
      </c>
      <c r="I699" s="91">
        <v>45879</v>
      </c>
      <c r="J699" s="165">
        <v>0.33333333333333331</v>
      </c>
      <c r="K699" s="94">
        <v>182</v>
      </c>
      <c r="L699" s="72" t="str">
        <f t="shared" si="11"/>
        <v>Payé</v>
      </c>
    </row>
    <row r="700" spans="1:12" ht="15" customHeight="1" x14ac:dyDescent="0.25">
      <c r="A700" s="91" t="s">
        <v>849</v>
      </c>
      <c r="B700" s="90">
        <v>1505</v>
      </c>
      <c r="C700" s="88" t="s">
        <v>383</v>
      </c>
      <c r="D700" s="90" t="s">
        <v>17</v>
      </c>
      <c r="E700" s="90" t="s">
        <v>646</v>
      </c>
      <c r="F700" s="91" t="s">
        <v>849</v>
      </c>
      <c r="G700" s="96">
        <v>11</v>
      </c>
      <c r="H700" s="94">
        <v>954</v>
      </c>
      <c r="I700" s="91">
        <v>45879</v>
      </c>
      <c r="J700" s="165">
        <v>0.33333333333333331</v>
      </c>
      <c r="K700" s="94">
        <v>954</v>
      </c>
      <c r="L700" s="72" t="str">
        <f t="shared" si="11"/>
        <v>Payé</v>
      </c>
    </row>
    <row r="701" spans="1:12" ht="15" customHeight="1" x14ac:dyDescent="0.25">
      <c r="A701" s="91" t="s">
        <v>849</v>
      </c>
      <c r="B701" s="90">
        <v>2161</v>
      </c>
      <c r="C701" s="88" t="s">
        <v>636</v>
      </c>
      <c r="D701" s="90" t="s">
        <v>17</v>
      </c>
      <c r="E701" s="90" t="s">
        <v>646</v>
      </c>
      <c r="F701" s="91" t="s">
        <v>849</v>
      </c>
      <c r="G701" s="96">
        <v>2</v>
      </c>
      <c r="H701" s="94">
        <v>173</v>
      </c>
      <c r="I701" s="91">
        <v>45879</v>
      </c>
      <c r="J701" s="165">
        <v>0.33333333333333331</v>
      </c>
      <c r="K701" s="94">
        <v>173</v>
      </c>
      <c r="L701" s="72" t="str">
        <f t="shared" si="11"/>
        <v>Payé</v>
      </c>
    </row>
    <row r="702" spans="1:12" ht="15" customHeight="1" x14ac:dyDescent="0.25">
      <c r="A702" s="91" t="s">
        <v>849</v>
      </c>
      <c r="B702" s="90">
        <v>2162</v>
      </c>
      <c r="C702" s="88" t="s">
        <v>647</v>
      </c>
      <c r="D702" s="90" t="s">
        <v>17</v>
      </c>
      <c r="E702" s="90" t="s">
        <v>646</v>
      </c>
      <c r="F702" s="91" t="s">
        <v>849</v>
      </c>
      <c r="G702" s="96">
        <v>3</v>
      </c>
      <c r="H702" s="94">
        <v>260</v>
      </c>
      <c r="I702" s="91">
        <v>45879</v>
      </c>
      <c r="J702" s="165">
        <v>0.33333333333333331</v>
      </c>
      <c r="K702" s="94">
        <v>260</v>
      </c>
      <c r="L702" s="72" t="str">
        <f t="shared" si="11"/>
        <v>Payé</v>
      </c>
    </row>
    <row r="703" spans="1:12" ht="15" customHeight="1" x14ac:dyDescent="0.25">
      <c r="A703" s="91" t="s">
        <v>849</v>
      </c>
      <c r="B703" s="90">
        <v>2514</v>
      </c>
      <c r="C703" s="88" t="s">
        <v>644</v>
      </c>
      <c r="D703" s="90" t="s">
        <v>17</v>
      </c>
      <c r="E703" s="90" t="s">
        <v>646</v>
      </c>
      <c r="F703" s="91" t="s">
        <v>849</v>
      </c>
      <c r="G703" s="96">
        <v>2</v>
      </c>
      <c r="H703" s="94">
        <v>173</v>
      </c>
      <c r="I703" s="91">
        <v>45879</v>
      </c>
      <c r="J703" s="165">
        <v>0.33333333333333331</v>
      </c>
      <c r="K703" s="94">
        <v>173</v>
      </c>
      <c r="L703" s="72" t="str">
        <f t="shared" si="11"/>
        <v>Payé</v>
      </c>
    </row>
    <row r="704" spans="1:12" ht="15" customHeight="1" x14ac:dyDescent="0.25">
      <c r="A704" s="91" t="s">
        <v>849</v>
      </c>
      <c r="B704" s="90">
        <v>2577</v>
      </c>
      <c r="C704" s="88" t="s">
        <v>637</v>
      </c>
      <c r="D704" s="90" t="s">
        <v>17</v>
      </c>
      <c r="E704" s="90" t="s">
        <v>646</v>
      </c>
      <c r="F704" s="91" t="s">
        <v>849</v>
      </c>
      <c r="G704" s="96">
        <v>2</v>
      </c>
      <c r="H704" s="94">
        <v>173</v>
      </c>
      <c r="I704" s="91">
        <v>45879</v>
      </c>
      <c r="J704" s="165">
        <v>0.33333333333333331</v>
      </c>
      <c r="K704" s="94">
        <v>173</v>
      </c>
      <c r="L704" s="72" t="str">
        <f t="shared" si="11"/>
        <v>Payé</v>
      </c>
    </row>
    <row r="705" spans="1:14" ht="15" customHeight="1" x14ac:dyDescent="0.25">
      <c r="A705" s="91" t="s">
        <v>849</v>
      </c>
      <c r="B705" s="90">
        <v>3529</v>
      </c>
      <c r="C705" s="88" t="s">
        <v>638</v>
      </c>
      <c r="D705" s="90" t="s">
        <v>17</v>
      </c>
      <c r="E705" s="90" t="s">
        <v>646</v>
      </c>
      <c r="F705" s="91" t="s">
        <v>849</v>
      </c>
      <c r="G705" s="96">
        <v>1</v>
      </c>
      <c r="H705" s="94">
        <v>87</v>
      </c>
      <c r="I705" s="91">
        <v>45879</v>
      </c>
      <c r="J705" s="165">
        <v>0.33333333333333331</v>
      </c>
      <c r="K705" s="94">
        <v>87</v>
      </c>
      <c r="L705" s="72" t="str">
        <f t="shared" si="11"/>
        <v>Payé</v>
      </c>
    </row>
    <row r="706" spans="1:14" ht="15" customHeight="1" x14ac:dyDescent="0.25">
      <c r="A706" s="91" t="s">
        <v>849</v>
      </c>
      <c r="B706" s="90">
        <v>3534</v>
      </c>
      <c r="C706" s="88" t="s">
        <v>563</v>
      </c>
      <c r="D706" s="90" t="s">
        <v>17</v>
      </c>
      <c r="E706" s="90" t="s">
        <v>646</v>
      </c>
      <c r="F706" s="91" t="s">
        <v>849</v>
      </c>
      <c r="G706" s="96">
        <v>15</v>
      </c>
      <c r="H706" s="94">
        <v>1301</v>
      </c>
      <c r="I706" s="91">
        <v>45879</v>
      </c>
      <c r="J706" s="165">
        <v>0.33333333333333331</v>
      </c>
      <c r="K706" s="94">
        <v>1301</v>
      </c>
      <c r="L706" s="72" t="str">
        <f t="shared" si="11"/>
        <v>Payé</v>
      </c>
    </row>
    <row r="707" spans="1:14" ht="15" customHeight="1" x14ac:dyDescent="0.25">
      <c r="A707" s="91" t="s">
        <v>849</v>
      </c>
      <c r="B707" s="90">
        <v>3535</v>
      </c>
      <c r="C707" s="88" t="s">
        <v>564</v>
      </c>
      <c r="D707" s="90" t="s">
        <v>17</v>
      </c>
      <c r="E707" s="90" t="s">
        <v>646</v>
      </c>
      <c r="F707" s="91" t="s">
        <v>849</v>
      </c>
      <c r="G707" s="96">
        <v>11</v>
      </c>
      <c r="H707" s="94">
        <v>954</v>
      </c>
      <c r="I707" s="91">
        <v>45879</v>
      </c>
      <c r="J707" s="165">
        <v>0.33333333333333331</v>
      </c>
      <c r="K707" s="94">
        <v>954</v>
      </c>
      <c r="L707" s="72" t="str">
        <f t="shared" si="11"/>
        <v>Payé</v>
      </c>
    </row>
    <row r="708" spans="1:14" ht="15" customHeight="1" x14ac:dyDescent="0.25">
      <c r="A708" s="91" t="s">
        <v>849</v>
      </c>
      <c r="B708" s="90">
        <v>3725</v>
      </c>
      <c r="C708" s="88" t="s">
        <v>569</v>
      </c>
      <c r="D708" s="90" t="s">
        <v>17</v>
      </c>
      <c r="E708" s="90" t="s">
        <v>646</v>
      </c>
      <c r="F708" s="91" t="s">
        <v>849</v>
      </c>
      <c r="G708" s="96">
        <v>14</v>
      </c>
      <c r="H708" s="94">
        <v>1214</v>
      </c>
      <c r="I708" s="91">
        <v>45879</v>
      </c>
      <c r="J708" s="165">
        <v>0.33333333333333331</v>
      </c>
      <c r="K708" s="94">
        <v>1214</v>
      </c>
      <c r="L708" s="72" t="str">
        <f t="shared" si="11"/>
        <v>Payé</v>
      </c>
    </row>
    <row r="709" spans="1:14" ht="15" customHeight="1" x14ac:dyDescent="0.25">
      <c r="A709" s="91" t="s">
        <v>849</v>
      </c>
      <c r="B709" s="90">
        <v>3825</v>
      </c>
      <c r="C709" s="88" t="s">
        <v>574</v>
      </c>
      <c r="D709" s="90" t="s">
        <v>17</v>
      </c>
      <c r="E709" s="90" t="s">
        <v>646</v>
      </c>
      <c r="F709" s="91" t="s">
        <v>849</v>
      </c>
      <c r="G709" s="96">
        <v>13</v>
      </c>
      <c r="H709" s="94">
        <v>1128</v>
      </c>
      <c r="I709" s="91">
        <v>45879</v>
      </c>
      <c r="J709" s="165">
        <v>0.33333333333333331</v>
      </c>
      <c r="K709" s="94">
        <v>1128</v>
      </c>
      <c r="L709" s="72" t="str">
        <f t="shared" si="11"/>
        <v>Payé</v>
      </c>
    </row>
    <row r="710" spans="1:14" ht="15" customHeight="1" x14ac:dyDescent="0.25">
      <c r="A710" s="91" t="s">
        <v>849</v>
      </c>
      <c r="B710" s="90">
        <v>3947</v>
      </c>
      <c r="C710" s="88" t="s">
        <v>576</v>
      </c>
      <c r="D710" s="90" t="s">
        <v>17</v>
      </c>
      <c r="E710" s="90" t="s">
        <v>646</v>
      </c>
      <c r="F710" s="91" t="s">
        <v>849</v>
      </c>
      <c r="G710" s="96">
        <v>15</v>
      </c>
      <c r="H710" s="94">
        <v>1301</v>
      </c>
      <c r="I710" s="91">
        <v>45879</v>
      </c>
      <c r="J710" s="165">
        <v>0.33333333333333331</v>
      </c>
      <c r="K710" s="94">
        <v>1301</v>
      </c>
      <c r="L710" s="72" t="str">
        <f t="shared" si="11"/>
        <v>Payé</v>
      </c>
    </row>
    <row r="711" spans="1:14" ht="15" customHeight="1" x14ac:dyDescent="0.25">
      <c r="A711" s="91" t="s">
        <v>849</v>
      </c>
      <c r="B711" s="90">
        <v>4405</v>
      </c>
      <c r="C711" s="88" t="s">
        <v>688</v>
      </c>
      <c r="D711" s="90" t="s">
        <v>17</v>
      </c>
      <c r="E711" s="90" t="s">
        <v>646</v>
      </c>
      <c r="F711" s="91" t="s">
        <v>849</v>
      </c>
      <c r="G711" s="96">
        <v>12</v>
      </c>
      <c r="H711" s="94">
        <v>1041</v>
      </c>
      <c r="I711" s="91">
        <v>45879</v>
      </c>
      <c r="J711" s="165">
        <v>0.33333333333333331</v>
      </c>
      <c r="K711" s="94">
        <v>1041</v>
      </c>
      <c r="L711" s="72" t="str">
        <f t="shared" si="11"/>
        <v>Payé</v>
      </c>
    </row>
    <row r="712" spans="1:14" ht="15" customHeight="1" x14ac:dyDescent="0.25">
      <c r="A712" s="91" t="s">
        <v>849</v>
      </c>
      <c r="B712" s="90">
        <v>5244</v>
      </c>
      <c r="C712" s="88" t="s">
        <v>888</v>
      </c>
      <c r="D712" s="90" t="s">
        <v>17</v>
      </c>
      <c r="E712" s="90" t="s">
        <v>646</v>
      </c>
      <c r="F712" s="91" t="s">
        <v>849</v>
      </c>
      <c r="G712" s="96">
        <v>13</v>
      </c>
      <c r="H712" s="94">
        <v>1128</v>
      </c>
      <c r="I712" s="91">
        <v>45879</v>
      </c>
      <c r="J712" s="165">
        <v>0.33333333333333331</v>
      </c>
      <c r="K712" s="94">
        <v>1128</v>
      </c>
      <c r="L712" s="72" t="str">
        <f t="shared" si="11"/>
        <v>Payé</v>
      </c>
    </row>
    <row r="713" spans="1:14" ht="15" customHeight="1" x14ac:dyDescent="0.25">
      <c r="A713" s="91" t="s">
        <v>849</v>
      </c>
      <c r="B713" s="90">
        <v>7012</v>
      </c>
      <c r="C713" s="88" t="s">
        <v>724</v>
      </c>
      <c r="D713" s="90" t="s">
        <v>17</v>
      </c>
      <c r="E713" s="90" t="s">
        <v>646</v>
      </c>
      <c r="F713" s="91" t="s">
        <v>849</v>
      </c>
      <c r="G713" s="96">
        <v>14</v>
      </c>
      <c r="H713" s="94">
        <v>1214</v>
      </c>
      <c r="I713" s="91">
        <v>45879</v>
      </c>
      <c r="J713" s="165">
        <v>0.33333333333333331</v>
      </c>
      <c r="K713" s="94">
        <v>1214</v>
      </c>
      <c r="L713" s="72" t="str">
        <f t="shared" si="11"/>
        <v>Payé</v>
      </c>
    </row>
    <row r="714" spans="1:14" ht="15" customHeight="1" x14ac:dyDescent="0.25">
      <c r="A714" s="91" t="s">
        <v>849</v>
      </c>
      <c r="B714" s="90"/>
      <c r="C714" s="88" t="s">
        <v>906</v>
      </c>
      <c r="D714" s="90" t="s">
        <v>17</v>
      </c>
      <c r="E714" s="90" t="s">
        <v>646</v>
      </c>
      <c r="F714" s="91" t="s">
        <v>849</v>
      </c>
      <c r="G714" s="96">
        <v>5</v>
      </c>
      <c r="H714" s="94">
        <v>434</v>
      </c>
      <c r="I714" s="91">
        <v>45879</v>
      </c>
      <c r="J714" s="165">
        <v>0.33333333333333331</v>
      </c>
      <c r="K714" s="94">
        <v>434</v>
      </c>
      <c r="L714" s="72" t="str">
        <f t="shared" si="11"/>
        <v>Payé</v>
      </c>
    </row>
    <row r="715" spans="1:14" ht="15" customHeight="1" x14ac:dyDescent="0.25">
      <c r="A715" s="91" t="s">
        <v>849</v>
      </c>
      <c r="B715" s="90"/>
      <c r="C715" s="88" t="s">
        <v>907</v>
      </c>
      <c r="D715" s="90" t="s">
        <v>17</v>
      </c>
      <c r="E715" s="90" t="s">
        <v>646</v>
      </c>
      <c r="F715" s="91" t="s">
        <v>849</v>
      </c>
      <c r="G715" s="96">
        <v>4</v>
      </c>
      <c r="H715" s="94">
        <v>347</v>
      </c>
      <c r="I715" s="91">
        <v>45879</v>
      </c>
      <c r="J715" s="165">
        <v>0.33333333333333331</v>
      </c>
      <c r="K715" s="94">
        <v>347</v>
      </c>
      <c r="L715" s="72" t="str">
        <f t="shared" si="11"/>
        <v>Payé</v>
      </c>
    </row>
    <row r="716" spans="1:14" ht="15" customHeight="1" x14ac:dyDescent="0.25">
      <c r="A716" s="91" t="s">
        <v>849</v>
      </c>
      <c r="B716" s="90"/>
      <c r="C716" s="88" t="s">
        <v>908</v>
      </c>
      <c r="D716" s="90" t="s">
        <v>17</v>
      </c>
      <c r="E716" s="90" t="s">
        <v>646</v>
      </c>
      <c r="F716" s="91" t="s">
        <v>849</v>
      </c>
      <c r="G716" s="96">
        <v>2</v>
      </c>
      <c r="H716" s="94">
        <v>173</v>
      </c>
      <c r="I716" s="91">
        <v>45879</v>
      </c>
      <c r="J716" s="165">
        <v>0.33333333333333331</v>
      </c>
      <c r="K716" s="94">
        <v>173</v>
      </c>
      <c r="L716" s="72" t="str">
        <f t="shared" si="11"/>
        <v>Payé</v>
      </c>
    </row>
    <row r="717" spans="1:14" ht="15" customHeight="1" x14ac:dyDescent="0.25">
      <c r="A717" s="91" t="s">
        <v>849</v>
      </c>
      <c r="B717" s="90"/>
      <c r="C717" s="88" t="s">
        <v>841</v>
      </c>
      <c r="D717" s="90" t="s">
        <v>17</v>
      </c>
      <c r="E717" s="90" t="s">
        <v>649</v>
      </c>
      <c r="F717" s="91" t="s">
        <v>849</v>
      </c>
      <c r="G717" s="96">
        <v>1</v>
      </c>
      <c r="H717" s="94">
        <v>87</v>
      </c>
      <c r="I717" s="91"/>
      <c r="J717" s="165"/>
      <c r="K717" s="92"/>
      <c r="L717" s="72" t="str">
        <f t="shared" si="11"/>
        <v>Impayé</v>
      </c>
    </row>
    <row r="718" spans="1:14" ht="15" customHeight="1" x14ac:dyDescent="0.25">
      <c r="A718" s="91" t="s">
        <v>849</v>
      </c>
      <c r="B718" s="90"/>
      <c r="C718" s="88" t="s">
        <v>842</v>
      </c>
      <c r="D718" s="90" t="s">
        <v>17</v>
      </c>
      <c r="E718" s="90" t="s">
        <v>649</v>
      </c>
      <c r="F718" s="91" t="s">
        <v>849</v>
      </c>
      <c r="G718" s="96">
        <v>1</v>
      </c>
      <c r="H718" s="94">
        <v>87</v>
      </c>
      <c r="I718" s="91"/>
      <c r="J718" s="165"/>
      <c r="K718" s="92"/>
      <c r="L718" s="72" t="str">
        <f t="shared" si="11"/>
        <v>Impayé</v>
      </c>
    </row>
    <row r="719" spans="1:14" ht="15" customHeight="1" x14ac:dyDescent="0.2">
      <c r="A719" s="91" t="s">
        <v>849</v>
      </c>
      <c r="B719" s="90"/>
      <c r="C719" s="88" t="s">
        <v>900</v>
      </c>
      <c r="D719" s="90" t="s">
        <v>17</v>
      </c>
      <c r="E719" s="90" t="s">
        <v>753</v>
      </c>
      <c r="F719" s="91" t="s">
        <v>849</v>
      </c>
      <c r="G719" s="96">
        <v>2</v>
      </c>
      <c r="H719" s="94">
        <v>173</v>
      </c>
      <c r="I719" s="91"/>
      <c r="J719" s="165"/>
      <c r="K719" s="92"/>
      <c r="L719" s="72" t="str">
        <f t="shared" si="11"/>
        <v>Impayé</v>
      </c>
      <c r="N719" s="185"/>
    </row>
    <row r="720" spans="1:14" ht="15" customHeight="1" x14ac:dyDescent="0.25">
      <c r="A720" s="91" t="s">
        <v>849</v>
      </c>
      <c r="B720" s="90"/>
      <c r="C720" s="88" t="s">
        <v>905</v>
      </c>
      <c r="D720" s="90" t="s">
        <v>17</v>
      </c>
      <c r="E720" s="90" t="s">
        <v>753</v>
      </c>
      <c r="F720" s="91" t="s">
        <v>849</v>
      </c>
      <c r="G720" s="96">
        <v>0.5</v>
      </c>
      <c r="H720" s="94">
        <v>43</v>
      </c>
      <c r="I720" s="91"/>
      <c r="J720" s="165"/>
      <c r="K720" s="92"/>
      <c r="L720" s="72" t="str">
        <f t="shared" si="11"/>
        <v>Impayé</v>
      </c>
    </row>
    <row r="721" spans="1:12" ht="15" customHeight="1" x14ac:dyDescent="0.25">
      <c r="A721" s="91" t="s">
        <v>849</v>
      </c>
      <c r="B721" s="90">
        <v>4794</v>
      </c>
      <c r="C721" s="88" t="s">
        <v>704</v>
      </c>
      <c r="D721" s="90" t="s">
        <v>17</v>
      </c>
      <c r="E721" s="90" t="s">
        <v>49</v>
      </c>
      <c r="F721" s="91" t="s">
        <v>849</v>
      </c>
      <c r="G721" s="96">
        <v>3</v>
      </c>
      <c r="H721" s="94">
        <v>260</v>
      </c>
      <c r="I721" s="91"/>
      <c r="J721" s="165"/>
      <c r="K721" s="92"/>
      <c r="L721" s="72" t="str">
        <f t="shared" si="11"/>
        <v>Impayé</v>
      </c>
    </row>
    <row r="722" spans="1:12" ht="15" customHeight="1" x14ac:dyDescent="0.25">
      <c r="A722" s="91" t="s">
        <v>849</v>
      </c>
      <c r="B722" s="90">
        <v>3246</v>
      </c>
      <c r="C722" s="88" t="s">
        <v>555</v>
      </c>
      <c r="D722" s="90" t="s">
        <v>17</v>
      </c>
      <c r="E722" s="90" t="s">
        <v>49</v>
      </c>
      <c r="F722" s="91" t="s">
        <v>849</v>
      </c>
      <c r="G722" s="96">
        <v>10</v>
      </c>
      <c r="H722" s="94">
        <v>867</v>
      </c>
      <c r="I722" s="91">
        <v>45879</v>
      </c>
      <c r="J722" s="165">
        <v>0.33333333333333331</v>
      </c>
      <c r="K722" s="94">
        <v>867</v>
      </c>
      <c r="L722" s="72" t="str">
        <f t="shared" si="11"/>
        <v>Payé</v>
      </c>
    </row>
    <row r="723" spans="1:12" ht="15" customHeight="1" x14ac:dyDescent="0.25">
      <c r="A723" s="91" t="s">
        <v>849</v>
      </c>
      <c r="B723" s="90">
        <v>3439</v>
      </c>
      <c r="C723" s="88" t="s">
        <v>875</v>
      </c>
      <c r="D723" s="90" t="s">
        <v>17</v>
      </c>
      <c r="E723" s="90" t="s">
        <v>49</v>
      </c>
      <c r="F723" s="91" t="s">
        <v>849</v>
      </c>
      <c r="G723" s="96">
        <v>8</v>
      </c>
      <c r="H723" s="94">
        <v>694</v>
      </c>
      <c r="I723" s="91">
        <v>45901</v>
      </c>
      <c r="J723" s="165">
        <v>0.61527777777777781</v>
      </c>
      <c r="K723" s="94">
        <v>694</v>
      </c>
      <c r="L723" s="72" t="str">
        <f t="shared" si="11"/>
        <v>Payé</v>
      </c>
    </row>
    <row r="724" spans="1:12" ht="15" customHeight="1" x14ac:dyDescent="0.25">
      <c r="A724" s="91" t="s">
        <v>849</v>
      </c>
      <c r="B724" s="90">
        <v>3440</v>
      </c>
      <c r="C724" s="88" t="s">
        <v>561</v>
      </c>
      <c r="D724" s="90" t="s">
        <v>17</v>
      </c>
      <c r="E724" s="90" t="s">
        <v>49</v>
      </c>
      <c r="F724" s="91" t="s">
        <v>849</v>
      </c>
      <c r="G724" s="96">
        <v>11</v>
      </c>
      <c r="H724" s="94">
        <v>954</v>
      </c>
      <c r="I724" s="91">
        <v>45879</v>
      </c>
      <c r="J724" s="165">
        <v>0.33333333333333331</v>
      </c>
      <c r="K724" s="94">
        <v>954</v>
      </c>
      <c r="L724" s="72" t="str">
        <f t="shared" si="11"/>
        <v>Payé</v>
      </c>
    </row>
    <row r="725" spans="1:12" ht="15" customHeight="1" x14ac:dyDescent="0.25">
      <c r="A725" s="91" t="s">
        <v>849</v>
      </c>
      <c r="B725" s="90">
        <v>3442</v>
      </c>
      <c r="C725" s="88" t="s">
        <v>876</v>
      </c>
      <c r="D725" s="90" t="s">
        <v>17</v>
      </c>
      <c r="E725" s="90" t="s">
        <v>49</v>
      </c>
      <c r="F725" s="91" t="s">
        <v>849</v>
      </c>
      <c r="G725" s="96">
        <v>12</v>
      </c>
      <c r="H725" s="94">
        <v>1041</v>
      </c>
      <c r="I725" s="91">
        <v>45879</v>
      </c>
      <c r="J725" s="165">
        <v>0.33333333333333331</v>
      </c>
      <c r="K725" s="94">
        <v>1041</v>
      </c>
      <c r="L725" s="72" t="str">
        <f t="shared" si="11"/>
        <v>Payé</v>
      </c>
    </row>
    <row r="726" spans="1:12" ht="15" customHeight="1" x14ac:dyDescent="0.25">
      <c r="A726" s="91" t="s">
        <v>849</v>
      </c>
      <c r="B726" s="90">
        <v>3460</v>
      </c>
      <c r="C726" s="88" t="s">
        <v>877</v>
      </c>
      <c r="D726" s="90" t="s">
        <v>17</v>
      </c>
      <c r="E726" s="90" t="s">
        <v>49</v>
      </c>
      <c r="F726" s="91" t="s">
        <v>849</v>
      </c>
      <c r="G726" s="96">
        <v>6</v>
      </c>
      <c r="H726" s="94">
        <v>520</v>
      </c>
      <c r="I726" s="91">
        <v>45879</v>
      </c>
      <c r="J726" s="165">
        <v>0.33333333333333331</v>
      </c>
      <c r="K726" s="94">
        <v>520</v>
      </c>
      <c r="L726" s="72" t="str">
        <f t="shared" si="11"/>
        <v>Payé</v>
      </c>
    </row>
    <row r="727" spans="1:12" ht="15" customHeight="1" x14ac:dyDescent="0.25">
      <c r="A727" s="91" t="s">
        <v>849</v>
      </c>
      <c r="B727" s="90">
        <v>3461</v>
      </c>
      <c r="C727" s="88" t="s">
        <v>878</v>
      </c>
      <c r="D727" s="90" t="s">
        <v>17</v>
      </c>
      <c r="E727" s="90" t="s">
        <v>49</v>
      </c>
      <c r="F727" s="91" t="s">
        <v>849</v>
      </c>
      <c r="G727" s="96">
        <v>7</v>
      </c>
      <c r="H727" s="94">
        <v>607</v>
      </c>
      <c r="I727" s="91">
        <v>45879</v>
      </c>
      <c r="J727" s="165">
        <v>0.33333333333333331</v>
      </c>
      <c r="K727" s="94">
        <v>607</v>
      </c>
      <c r="L727" s="72" t="str">
        <f t="shared" si="11"/>
        <v>Payé</v>
      </c>
    </row>
    <row r="728" spans="1:12" ht="15" customHeight="1" x14ac:dyDescent="0.25">
      <c r="A728" s="91" t="s">
        <v>849</v>
      </c>
      <c r="B728" s="90">
        <v>3751</v>
      </c>
      <c r="C728" s="88" t="s">
        <v>571</v>
      </c>
      <c r="D728" s="90" t="s">
        <v>17</v>
      </c>
      <c r="E728" s="90" t="s">
        <v>49</v>
      </c>
      <c r="F728" s="91" t="s">
        <v>849</v>
      </c>
      <c r="G728" s="96">
        <v>12</v>
      </c>
      <c r="H728" s="94">
        <v>1041</v>
      </c>
      <c r="I728" s="91">
        <v>45879</v>
      </c>
      <c r="J728" s="165">
        <v>0.33333333333333331</v>
      </c>
      <c r="K728" s="94">
        <v>1041</v>
      </c>
      <c r="L728" s="72" t="str">
        <f t="shared" si="11"/>
        <v>Payé</v>
      </c>
    </row>
    <row r="729" spans="1:12" ht="15" customHeight="1" x14ac:dyDescent="0.25">
      <c r="A729" s="91" t="s">
        <v>849</v>
      </c>
      <c r="B729" s="90">
        <v>3760</v>
      </c>
      <c r="C729" s="88" t="s">
        <v>465</v>
      </c>
      <c r="D729" s="90" t="s">
        <v>17</v>
      </c>
      <c r="E729" s="90" t="s">
        <v>49</v>
      </c>
      <c r="F729" s="91" t="s">
        <v>849</v>
      </c>
      <c r="G729" s="96">
        <v>10</v>
      </c>
      <c r="H729" s="94">
        <v>867</v>
      </c>
      <c r="I729" s="91">
        <v>45879</v>
      </c>
      <c r="J729" s="165">
        <v>0.33333333333333331</v>
      </c>
      <c r="K729" s="94">
        <v>867</v>
      </c>
      <c r="L729" s="72" t="str">
        <f t="shared" si="11"/>
        <v>Payé</v>
      </c>
    </row>
    <row r="730" spans="1:12" ht="15" customHeight="1" x14ac:dyDescent="0.25">
      <c r="A730" s="91" t="s">
        <v>849</v>
      </c>
      <c r="B730" s="90">
        <v>4281</v>
      </c>
      <c r="C730" s="88" t="s">
        <v>612</v>
      </c>
      <c r="D730" s="90" t="s">
        <v>17</v>
      </c>
      <c r="E730" s="90" t="s">
        <v>49</v>
      </c>
      <c r="F730" s="91" t="s">
        <v>849</v>
      </c>
      <c r="G730" s="96">
        <v>1</v>
      </c>
      <c r="H730" s="94">
        <v>87</v>
      </c>
      <c r="I730" s="91">
        <v>45879</v>
      </c>
      <c r="J730" s="165">
        <v>0.33333333333333331</v>
      </c>
      <c r="K730" s="94">
        <v>87</v>
      </c>
      <c r="L730" s="72" t="str">
        <f t="shared" si="11"/>
        <v>Payé</v>
      </c>
    </row>
    <row r="731" spans="1:12" ht="15" customHeight="1" x14ac:dyDescent="0.25">
      <c r="A731" s="91" t="s">
        <v>849</v>
      </c>
      <c r="B731" s="90">
        <v>4840</v>
      </c>
      <c r="C731" s="88" t="s">
        <v>766</v>
      </c>
      <c r="D731" s="90" t="s">
        <v>17</v>
      </c>
      <c r="E731" s="90" t="s">
        <v>49</v>
      </c>
      <c r="F731" s="91" t="s">
        <v>849</v>
      </c>
      <c r="G731" s="96">
        <v>12</v>
      </c>
      <c r="H731" s="94">
        <v>1041</v>
      </c>
      <c r="I731" s="91">
        <v>45879</v>
      </c>
      <c r="J731" s="165">
        <v>0.33333333333333331</v>
      </c>
      <c r="K731" s="94">
        <v>1041</v>
      </c>
      <c r="L731" s="72" t="str">
        <f t="shared" si="11"/>
        <v>Payé</v>
      </c>
    </row>
    <row r="732" spans="1:12" ht="15" customHeight="1" x14ac:dyDescent="0.25">
      <c r="A732" s="91" t="s">
        <v>849</v>
      </c>
      <c r="B732" s="90">
        <v>5229</v>
      </c>
      <c r="C732" s="88" t="s">
        <v>879</v>
      </c>
      <c r="D732" s="90" t="s">
        <v>17</v>
      </c>
      <c r="E732" s="90" t="s">
        <v>49</v>
      </c>
      <c r="F732" s="91" t="s">
        <v>849</v>
      </c>
      <c r="G732" s="96">
        <v>12</v>
      </c>
      <c r="H732" s="94">
        <v>1041</v>
      </c>
      <c r="I732" s="91">
        <v>45879</v>
      </c>
      <c r="J732" s="165">
        <v>0.33333333333333331</v>
      </c>
      <c r="K732" s="94">
        <v>1041</v>
      </c>
      <c r="L732" s="72" t="str">
        <f t="shared" si="11"/>
        <v>Payé</v>
      </c>
    </row>
    <row r="733" spans="1:12" ht="15" customHeight="1" x14ac:dyDescent="0.25">
      <c r="A733" s="91" t="s">
        <v>849</v>
      </c>
      <c r="B733" s="90">
        <v>5243</v>
      </c>
      <c r="C733" s="88" t="s">
        <v>887</v>
      </c>
      <c r="D733" s="90" t="s">
        <v>17</v>
      </c>
      <c r="E733" s="90" t="s">
        <v>49</v>
      </c>
      <c r="F733" s="91" t="s">
        <v>849</v>
      </c>
      <c r="G733" s="96">
        <v>11</v>
      </c>
      <c r="H733" s="94">
        <v>954</v>
      </c>
      <c r="I733" s="91">
        <v>45879</v>
      </c>
      <c r="J733" s="165">
        <v>0.33333333333333331</v>
      </c>
      <c r="K733" s="94">
        <v>954</v>
      </c>
      <c r="L733" s="72" t="str">
        <f t="shared" si="11"/>
        <v>Payé</v>
      </c>
    </row>
    <row r="734" spans="1:12" ht="15" customHeight="1" x14ac:dyDescent="0.25">
      <c r="A734" s="91" t="s">
        <v>849</v>
      </c>
      <c r="B734" s="90">
        <v>5246</v>
      </c>
      <c r="C734" s="88" t="s">
        <v>890</v>
      </c>
      <c r="D734" s="90" t="s">
        <v>17</v>
      </c>
      <c r="E734" s="90" t="s">
        <v>49</v>
      </c>
      <c r="F734" s="91" t="s">
        <v>849</v>
      </c>
      <c r="G734" s="96">
        <v>12</v>
      </c>
      <c r="H734" s="94">
        <v>1041</v>
      </c>
      <c r="I734" s="91">
        <v>45879</v>
      </c>
      <c r="J734" s="165">
        <v>0.33333333333333331</v>
      </c>
      <c r="K734" s="94">
        <v>1041</v>
      </c>
      <c r="L734" s="72" t="str">
        <f t="shared" ref="L734:L797" si="12">IF(ISBLANK(H734),"",IF(H734=K734,"Payé","Impayé"))</f>
        <v>Payé</v>
      </c>
    </row>
    <row r="735" spans="1:12" ht="15" customHeight="1" x14ac:dyDescent="0.25">
      <c r="A735" s="91" t="s">
        <v>849</v>
      </c>
      <c r="B735" s="90">
        <v>7004</v>
      </c>
      <c r="C735" s="88" t="s">
        <v>713</v>
      </c>
      <c r="D735" s="90" t="s">
        <v>17</v>
      </c>
      <c r="E735" s="90" t="s">
        <v>49</v>
      </c>
      <c r="F735" s="91" t="s">
        <v>849</v>
      </c>
      <c r="G735" s="96">
        <v>9</v>
      </c>
      <c r="H735" s="94">
        <v>781</v>
      </c>
      <c r="I735" s="91">
        <v>45879</v>
      </c>
      <c r="J735" s="165">
        <v>0.33333333333333331</v>
      </c>
      <c r="K735" s="94">
        <v>781</v>
      </c>
      <c r="L735" s="72" t="str">
        <f t="shared" si="12"/>
        <v>Payé</v>
      </c>
    </row>
    <row r="736" spans="1:12" ht="15" customHeight="1" x14ac:dyDescent="0.25">
      <c r="A736" s="91" t="s">
        <v>849</v>
      </c>
      <c r="B736" s="90">
        <v>9034</v>
      </c>
      <c r="C736" s="88" t="s">
        <v>736</v>
      </c>
      <c r="D736" s="90" t="s">
        <v>17</v>
      </c>
      <c r="E736" s="90" t="s">
        <v>49</v>
      </c>
      <c r="F736" s="91" t="s">
        <v>849</v>
      </c>
      <c r="G736" s="96">
        <v>11</v>
      </c>
      <c r="H736" s="94">
        <v>954</v>
      </c>
      <c r="I736" s="91">
        <v>45879</v>
      </c>
      <c r="J736" s="165">
        <v>0.33333333333333331</v>
      </c>
      <c r="K736" s="94">
        <v>954</v>
      </c>
      <c r="L736" s="72" t="str">
        <f t="shared" si="12"/>
        <v>Payé</v>
      </c>
    </row>
    <row r="737" spans="1:13" ht="15" customHeight="1" x14ac:dyDescent="0.25">
      <c r="A737" s="91" t="s">
        <v>849</v>
      </c>
      <c r="B737" s="90">
        <v>3507</v>
      </c>
      <c r="C737" s="88" t="s">
        <v>562</v>
      </c>
      <c r="D737" s="90" t="s">
        <v>17</v>
      </c>
      <c r="E737" s="90" t="s">
        <v>909</v>
      </c>
      <c r="F737" s="91" t="s">
        <v>849</v>
      </c>
      <c r="G737" s="90">
        <v>10</v>
      </c>
      <c r="H737" s="90">
        <v>868</v>
      </c>
      <c r="I737" s="91">
        <v>45879</v>
      </c>
      <c r="J737" s="165">
        <v>0.33333333333333331</v>
      </c>
      <c r="K737" s="90">
        <v>868</v>
      </c>
      <c r="L737" s="72" t="str">
        <f t="shared" si="12"/>
        <v>Payé</v>
      </c>
    </row>
    <row r="738" spans="1:13" ht="15" customHeight="1" x14ac:dyDescent="0.25">
      <c r="A738" s="91" t="s">
        <v>851</v>
      </c>
      <c r="B738" s="90">
        <v>3412</v>
      </c>
      <c r="C738" s="88" t="s">
        <v>560</v>
      </c>
      <c r="D738" s="90" t="s">
        <v>17</v>
      </c>
      <c r="E738" s="90" t="s">
        <v>371</v>
      </c>
      <c r="F738" s="91" t="s">
        <v>851</v>
      </c>
      <c r="G738" s="118">
        <v>2</v>
      </c>
      <c r="H738" s="94">
        <v>173</v>
      </c>
      <c r="I738" s="91">
        <v>45895</v>
      </c>
      <c r="J738" s="165">
        <v>0.59097222222222223</v>
      </c>
      <c r="K738" s="94">
        <v>173</v>
      </c>
      <c r="L738" s="72" t="str">
        <f t="shared" si="12"/>
        <v>Payé</v>
      </c>
    </row>
    <row r="739" spans="1:13" ht="15" customHeight="1" x14ac:dyDescent="0.25">
      <c r="A739" s="91" t="s">
        <v>851</v>
      </c>
      <c r="B739" s="90">
        <v>3607</v>
      </c>
      <c r="C739" s="88" t="s">
        <v>984</v>
      </c>
      <c r="D739" s="90" t="s">
        <v>17</v>
      </c>
      <c r="E739" s="90" t="s">
        <v>613</v>
      </c>
      <c r="F739" s="91" t="s">
        <v>851</v>
      </c>
      <c r="G739" s="118">
        <v>12</v>
      </c>
      <c r="H739" s="94">
        <v>1201</v>
      </c>
      <c r="I739" s="91">
        <v>45895</v>
      </c>
      <c r="J739" s="165">
        <v>0.64097222222222217</v>
      </c>
      <c r="K739" s="94">
        <v>1201</v>
      </c>
      <c r="L739" s="72" t="str">
        <f t="shared" si="12"/>
        <v>Payé</v>
      </c>
    </row>
    <row r="740" spans="1:13" ht="15" customHeight="1" x14ac:dyDescent="0.25">
      <c r="A740" s="91" t="s">
        <v>851</v>
      </c>
      <c r="B740" s="90">
        <v>3672</v>
      </c>
      <c r="C740" s="88" t="s">
        <v>568</v>
      </c>
      <c r="D740" s="90" t="s">
        <v>17</v>
      </c>
      <c r="E740" s="90" t="s">
        <v>613</v>
      </c>
      <c r="F740" s="91" t="s">
        <v>851</v>
      </c>
      <c r="G740" s="118">
        <v>16</v>
      </c>
      <c r="H740" s="94">
        <v>1769</v>
      </c>
      <c r="I740" s="91">
        <v>45895</v>
      </c>
      <c r="J740" s="165">
        <v>0.65763888888888888</v>
      </c>
      <c r="K740" s="94">
        <v>1769</v>
      </c>
      <c r="L740" s="72" t="str">
        <f t="shared" si="12"/>
        <v>Payé</v>
      </c>
    </row>
    <row r="741" spans="1:13" ht="15" customHeight="1" x14ac:dyDescent="0.25">
      <c r="A741" s="91" t="s">
        <v>851</v>
      </c>
      <c r="B741" s="90">
        <v>6</v>
      </c>
      <c r="C741" s="88" t="s">
        <v>542</v>
      </c>
      <c r="D741" s="90" t="s">
        <v>17</v>
      </c>
      <c r="E741" s="90" t="s">
        <v>420</v>
      </c>
      <c r="F741" s="91" t="s">
        <v>851</v>
      </c>
      <c r="G741" s="118">
        <v>16</v>
      </c>
      <c r="H741" s="94">
        <v>1687</v>
      </c>
      <c r="I741" s="91">
        <v>45895</v>
      </c>
      <c r="J741" s="165">
        <v>0.59097222222222223</v>
      </c>
      <c r="K741" s="94">
        <v>1687</v>
      </c>
      <c r="L741" s="72" t="str">
        <f t="shared" si="12"/>
        <v>Payé</v>
      </c>
    </row>
    <row r="742" spans="1:13" ht="15" customHeight="1" x14ac:dyDescent="0.25">
      <c r="A742" s="91" t="s">
        <v>851</v>
      </c>
      <c r="B742" s="90">
        <v>41</v>
      </c>
      <c r="C742" s="88" t="s">
        <v>407</v>
      </c>
      <c r="D742" s="90" t="s">
        <v>17</v>
      </c>
      <c r="E742" s="90" t="s">
        <v>420</v>
      </c>
      <c r="F742" s="91" t="s">
        <v>851</v>
      </c>
      <c r="G742" s="118">
        <v>14</v>
      </c>
      <c r="H742" s="94">
        <v>1415</v>
      </c>
      <c r="I742" s="91">
        <v>45895</v>
      </c>
      <c r="J742" s="165">
        <v>0.59375</v>
      </c>
      <c r="K742" s="94">
        <v>1415</v>
      </c>
      <c r="L742" s="72" t="str">
        <f t="shared" si="12"/>
        <v>Payé</v>
      </c>
    </row>
    <row r="743" spans="1:13" ht="15" customHeight="1" x14ac:dyDescent="0.25">
      <c r="A743" s="91" t="s">
        <v>851</v>
      </c>
      <c r="B743" s="90">
        <v>95</v>
      </c>
      <c r="C743" s="88" t="s">
        <v>408</v>
      </c>
      <c r="D743" s="90" t="s">
        <v>17</v>
      </c>
      <c r="E743" s="90" t="s">
        <v>81</v>
      </c>
      <c r="F743" s="91" t="s">
        <v>851</v>
      </c>
      <c r="G743" s="118">
        <v>16</v>
      </c>
      <c r="H743" s="94">
        <v>1617</v>
      </c>
      <c r="I743" s="91">
        <v>45895</v>
      </c>
      <c r="J743" s="165">
        <v>0.6020833333333333</v>
      </c>
      <c r="K743" s="94">
        <v>1617</v>
      </c>
      <c r="L743" s="72" t="str">
        <f t="shared" si="12"/>
        <v>Payé</v>
      </c>
    </row>
    <row r="744" spans="1:13" ht="15" customHeight="1" x14ac:dyDescent="0.25">
      <c r="A744" s="91" t="s">
        <v>851</v>
      </c>
      <c r="B744" s="90">
        <v>4373</v>
      </c>
      <c r="C744" s="88" t="s">
        <v>988</v>
      </c>
      <c r="D744" s="90" t="s">
        <v>17</v>
      </c>
      <c r="E744" s="90" t="s">
        <v>81</v>
      </c>
      <c r="F744" s="91" t="s">
        <v>851</v>
      </c>
      <c r="G744" s="118">
        <v>14</v>
      </c>
      <c r="H744" s="94">
        <v>1354</v>
      </c>
      <c r="I744" s="91">
        <v>45896</v>
      </c>
      <c r="J744" s="165">
        <v>0.45277777777777778</v>
      </c>
      <c r="K744" s="94">
        <v>1354</v>
      </c>
      <c r="L744" s="72" t="str">
        <f t="shared" si="12"/>
        <v>Payé</v>
      </c>
    </row>
    <row r="745" spans="1:13" ht="15" customHeight="1" x14ac:dyDescent="0.25">
      <c r="A745" s="91" t="s">
        <v>851</v>
      </c>
      <c r="B745" s="90">
        <v>4807</v>
      </c>
      <c r="C745" s="88" t="s">
        <v>825</v>
      </c>
      <c r="D745" s="90" t="s">
        <v>17</v>
      </c>
      <c r="E745" s="90" t="s">
        <v>81</v>
      </c>
      <c r="F745" s="91" t="s">
        <v>851</v>
      </c>
      <c r="G745" s="118">
        <v>13</v>
      </c>
      <c r="H745" s="94">
        <v>1258</v>
      </c>
      <c r="I745" s="91">
        <v>45895</v>
      </c>
      <c r="J745" s="165">
        <v>0.62013888888888891</v>
      </c>
      <c r="K745" s="94">
        <v>1258</v>
      </c>
      <c r="L745" s="72" t="str">
        <f t="shared" si="12"/>
        <v>Payé</v>
      </c>
    </row>
    <row r="746" spans="1:13" ht="15" customHeight="1" x14ac:dyDescent="0.25">
      <c r="A746" s="91" t="s">
        <v>851</v>
      </c>
      <c r="B746" s="90">
        <v>198</v>
      </c>
      <c r="C746" s="88" t="s">
        <v>380</v>
      </c>
      <c r="D746" s="90" t="s">
        <v>17</v>
      </c>
      <c r="E746" s="90" t="s">
        <v>370</v>
      </c>
      <c r="F746" s="91" t="s">
        <v>851</v>
      </c>
      <c r="G746" s="118">
        <v>16</v>
      </c>
      <c r="H746" s="94">
        <v>1617</v>
      </c>
      <c r="I746" s="91">
        <v>45895</v>
      </c>
      <c r="J746" s="165">
        <v>0.59097222222222223</v>
      </c>
      <c r="K746" s="94">
        <v>1617</v>
      </c>
      <c r="L746" s="72" t="str">
        <f t="shared" si="12"/>
        <v>Payé</v>
      </c>
    </row>
    <row r="747" spans="1:13" ht="15" customHeight="1" x14ac:dyDescent="0.25">
      <c r="A747" s="91" t="s">
        <v>851</v>
      </c>
      <c r="B747" s="90">
        <v>202</v>
      </c>
      <c r="C747" s="88" t="s">
        <v>948</v>
      </c>
      <c r="D747" s="90" t="s">
        <v>17</v>
      </c>
      <c r="E747" s="90" t="s">
        <v>370</v>
      </c>
      <c r="F747" s="91" t="s">
        <v>851</v>
      </c>
      <c r="G747" s="118">
        <v>14</v>
      </c>
      <c r="H747" s="94">
        <v>1415</v>
      </c>
      <c r="I747" s="91">
        <v>45895</v>
      </c>
      <c r="J747" s="165">
        <v>0.59375</v>
      </c>
      <c r="K747" s="94">
        <v>1415</v>
      </c>
      <c r="L747" s="72" t="str">
        <f t="shared" si="12"/>
        <v>Payé</v>
      </c>
    </row>
    <row r="748" spans="1:13" ht="15" customHeight="1" x14ac:dyDescent="0.25">
      <c r="A748" s="91" t="s">
        <v>851</v>
      </c>
      <c r="B748" s="90">
        <v>752</v>
      </c>
      <c r="C748" s="88" t="s">
        <v>384</v>
      </c>
      <c r="D748" s="90" t="s">
        <v>17</v>
      </c>
      <c r="E748" s="90" t="s">
        <v>369</v>
      </c>
      <c r="F748" s="91" t="s">
        <v>851</v>
      </c>
      <c r="G748" s="118">
        <v>14</v>
      </c>
      <c r="H748" s="94">
        <v>1415</v>
      </c>
      <c r="I748" s="91">
        <v>45895</v>
      </c>
      <c r="J748" s="165">
        <v>0.59375</v>
      </c>
      <c r="K748" s="94">
        <v>1415</v>
      </c>
      <c r="L748" s="72" t="str">
        <f t="shared" si="12"/>
        <v>Payé</v>
      </c>
    </row>
    <row r="749" spans="1:13" ht="15" customHeight="1" x14ac:dyDescent="0.25">
      <c r="A749" s="91" t="s">
        <v>851</v>
      </c>
      <c r="B749" s="90">
        <v>753</v>
      </c>
      <c r="C749" s="88" t="s">
        <v>956</v>
      </c>
      <c r="D749" s="90" t="s">
        <v>17</v>
      </c>
      <c r="E749" s="90" t="s">
        <v>369</v>
      </c>
      <c r="F749" s="91" t="s">
        <v>851</v>
      </c>
      <c r="G749" s="118">
        <v>14</v>
      </c>
      <c r="H749" s="94">
        <v>1415</v>
      </c>
      <c r="I749" s="91">
        <v>45896</v>
      </c>
      <c r="J749" s="165">
        <v>0.45277777777777778</v>
      </c>
      <c r="K749" s="94">
        <v>1415</v>
      </c>
      <c r="L749" s="72" t="str">
        <f t="shared" si="12"/>
        <v>Payé</v>
      </c>
    </row>
    <row r="750" spans="1:13" ht="15" customHeight="1" x14ac:dyDescent="0.25">
      <c r="A750" s="91" t="s">
        <v>851</v>
      </c>
      <c r="B750" s="90">
        <v>191</v>
      </c>
      <c r="C750" s="88" t="s">
        <v>545</v>
      </c>
      <c r="D750" s="90" t="s">
        <v>17</v>
      </c>
      <c r="E750" s="90" t="s">
        <v>103</v>
      </c>
      <c r="F750" s="91" t="s">
        <v>851</v>
      </c>
      <c r="G750" s="118">
        <v>1</v>
      </c>
      <c r="H750" s="94">
        <v>91</v>
      </c>
      <c r="I750" s="91">
        <v>45895</v>
      </c>
      <c r="J750" s="165">
        <v>0.6020833333333333</v>
      </c>
      <c r="K750" s="94">
        <v>91</v>
      </c>
      <c r="L750" s="72" t="str">
        <f t="shared" si="12"/>
        <v>Payé</v>
      </c>
      <c r="M750" s="84"/>
    </row>
    <row r="751" spans="1:13" ht="15" customHeight="1" x14ac:dyDescent="0.25">
      <c r="A751" s="91" t="s">
        <v>851</v>
      </c>
      <c r="B751" s="90">
        <v>994</v>
      </c>
      <c r="C751" s="88" t="s">
        <v>381</v>
      </c>
      <c r="D751" s="90" t="s">
        <v>17</v>
      </c>
      <c r="E751" s="90" t="s">
        <v>103</v>
      </c>
      <c r="F751" s="91" t="s">
        <v>851</v>
      </c>
      <c r="G751" s="118">
        <v>14</v>
      </c>
      <c r="H751" s="94">
        <v>1415</v>
      </c>
      <c r="I751" s="91">
        <v>45896</v>
      </c>
      <c r="J751" s="165">
        <v>0.45277777777777778</v>
      </c>
      <c r="K751" s="94">
        <v>1415</v>
      </c>
      <c r="L751" s="72" t="str">
        <f t="shared" si="12"/>
        <v>Payé</v>
      </c>
    </row>
    <row r="752" spans="1:13" ht="15" customHeight="1" x14ac:dyDescent="0.25">
      <c r="A752" s="91" t="s">
        <v>851</v>
      </c>
      <c r="B752" s="90">
        <v>1041</v>
      </c>
      <c r="C752" s="88" t="s">
        <v>387</v>
      </c>
      <c r="D752" s="90" t="s">
        <v>17</v>
      </c>
      <c r="E752" s="90" t="s">
        <v>103</v>
      </c>
      <c r="F752" s="91" t="s">
        <v>851</v>
      </c>
      <c r="G752" s="118">
        <v>14</v>
      </c>
      <c r="H752" s="94">
        <v>1415</v>
      </c>
      <c r="I752" s="91">
        <v>45895</v>
      </c>
      <c r="J752" s="165">
        <v>0.59097222222222223</v>
      </c>
      <c r="K752" s="94">
        <v>1415</v>
      </c>
      <c r="L752" s="72" t="str">
        <f t="shared" si="12"/>
        <v>Payé</v>
      </c>
    </row>
    <row r="753" spans="1:12" ht="15" customHeight="1" x14ac:dyDescent="0.25">
      <c r="A753" s="91" t="s">
        <v>851</v>
      </c>
      <c r="B753" s="90">
        <v>2321</v>
      </c>
      <c r="C753" s="88" t="s">
        <v>969</v>
      </c>
      <c r="D753" s="90" t="s">
        <v>17</v>
      </c>
      <c r="E753" s="90" t="s">
        <v>103</v>
      </c>
      <c r="F753" s="91" t="s">
        <v>851</v>
      </c>
      <c r="G753" s="118">
        <v>14</v>
      </c>
      <c r="H753" s="94">
        <v>1354</v>
      </c>
      <c r="I753" s="91">
        <v>45897</v>
      </c>
      <c r="J753" s="165">
        <v>0.58333333333333337</v>
      </c>
      <c r="K753" s="94">
        <v>1354</v>
      </c>
      <c r="L753" s="72" t="str">
        <f t="shared" si="12"/>
        <v>Payé</v>
      </c>
    </row>
    <row r="754" spans="1:12" ht="15" customHeight="1" x14ac:dyDescent="0.25">
      <c r="A754" s="91" t="s">
        <v>851</v>
      </c>
      <c r="B754" s="90">
        <v>2384</v>
      </c>
      <c r="C754" s="88" t="s">
        <v>541</v>
      </c>
      <c r="D754" s="90" t="s">
        <v>17</v>
      </c>
      <c r="E754" s="90" t="s">
        <v>103</v>
      </c>
      <c r="F754" s="91" t="s">
        <v>851</v>
      </c>
      <c r="G754" s="118">
        <v>13</v>
      </c>
      <c r="H754" s="94">
        <v>1258</v>
      </c>
      <c r="I754" s="91">
        <v>45895</v>
      </c>
      <c r="J754" s="165">
        <v>0.62013888888888891</v>
      </c>
      <c r="K754" s="94">
        <v>1258</v>
      </c>
      <c r="L754" s="72" t="str">
        <f t="shared" si="12"/>
        <v>Payé</v>
      </c>
    </row>
    <row r="755" spans="1:12" ht="15" customHeight="1" x14ac:dyDescent="0.25">
      <c r="A755" s="91" t="s">
        <v>851</v>
      </c>
      <c r="B755" s="90">
        <v>3504</v>
      </c>
      <c r="C755" s="88" t="s">
        <v>981</v>
      </c>
      <c r="D755" s="90" t="s">
        <v>17</v>
      </c>
      <c r="E755" s="90" t="s">
        <v>103</v>
      </c>
      <c r="F755" s="91" t="s">
        <v>851</v>
      </c>
      <c r="G755" s="118">
        <v>11</v>
      </c>
      <c r="H755" s="94">
        <v>1104</v>
      </c>
      <c r="I755" s="91">
        <v>45895</v>
      </c>
      <c r="J755" s="165">
        <v>0.64097222222222217</v>
      </c>
      <c r="K755" s="94">
        <v>1104</v>
      </c>
      <c r="L755" s="72" t="str">
        <f t="shared" si="12"/>
        <v>Payé</v>
      </c>
    </row>
    <row r="756" spans="1:12" ht="15" customHeight="1" x14ac:dyDescent="0.25">
      <c r="A756" s="91" t="s">
        <v>851</v>
      </c>
      <c r="B756" s="90">
        <v>2845</v>
      </c>
      <c r="C756" s="88" t="s">
        <v>975</v>
      </c>
      <c r="D756" s="90" t="s">
        <v>17</v>
      </c>
      <c r="E756" s="90" t="s">
        <v>391</v>
      </c>
      <c r="F756" s="91" t="s">
        <v>851</v>
      </c>
      <c r="G756" s="118">
        <v>12</v>
      </c>
      <c r="H756" s="94">
        <v>1490</v>
      </c>
      <c r="I756" s="91">
        <v>45895</v>
      </c>
      <c r="J756" s="165">
        <v>0.6020833333333333</v>
      </c>
      <c r="K756" s="94">
        <v>1490</v>
      </c>
      <c r="L756" s="72" t="str">
        <f t="shared" si="12"/>
        <v>Payé</v>
      </c>
    </row>
    <row r="757" spans="1:12" ht="15" customHeight="1" x14ac:dyDescent="0.25">
      <c r="A757" s="91" t="s">
        <v>851</v>
      </c>
      <c r="B757" s="90">
        <v>5270</v>
      </c>
      <c r="C757" s="88" t="s">
        <v>926</v>
      </c>
      <c r="D757" s="90" t="s">
        <v>17</v>
      </c>
      <c r="E757" s="90" t="s">
        <v>391</v>
      </c>
      <c r="F757" s="91" t="s">
        <v>851</v>
      </c>
      <c r="G757" s="118">
        <v>15</v>
      </c>
      <c r="H757" s="94">
        <v>1451</v>
      </c>
      <c r="I757" s="91">
        <v>45895</v>
      </c>
      <c r="J757" s="165">
        <v>0.62013888888888891</v>
      </c>
      <c r="K757" s="94">
        <v>1451</v>
      </c>
      <c r="L757" s="72" t="str">
        <f t="shared" si="12"/>
        <v>Payé</v>
      </c>
    </row>
    <row r="758" spans="1:12" ht="15" customHeight="1" x14ac:dyDescent="0.25">
      <c r="A758" s="91" t="s">
        <v>851</v>
      </c>
      <c r="B758" s="90">
        <v>3397</v>
      </c>
      <c r="C758" s="88" t="s">
        <v>976</v>
      </c>
      <c r="D758" s="90" t="s">
        <v>17</v>
      </c>
      <c r="E758" s="90" t="s">
        <v>107</v>
      </c>
      <c r="F758" s="91" t="s">
        <v>851</v>
      </c>
      <c r="G758" s="118">
        <v>13</v>
      </c>
      <c r="H758" s="94">
        <v>1258</v>
      </c>
      <c r="I758" s="91">
        <v>45896</v>
      </c>
      <c r="J758" s="165">
        <v>0.55833333333333335</v>
      </c>
      <c r="K758" s="94">
        <v>1258</v>
      </c>
      <c r="L758" s="72" t="str">
        <f t="shared" si="12"/>
        <v>Payé</v>
      </c>
    </row>
    <row r="759" spans="1:12" ht="15" customHeight="1" x14ac:dyDescent="0.25">
      <c r="A759" s="91" t="s">
        <v>851</v>
      </c>
      <c r="B759" s="90">
        <v>331</v>
      </c>
      <c r="C759" s="88" t="s">
        <v>949</v>
      </c>
      <c r="D759" s="90" t="s">
        <v>17</v>
      </c>
      <c r="E759" s="90" t="s">
        <v>944</v>
      </c>
      <c r="F759" s="91" t="s">
        <v>851</v>
      </c>
      <c r="G759" s="118">
        <v>6</v>
      </c>
      <c r="H759" s="94">
        <v>520</v>
      </c>
      <c r="I759" s="91">
        <v>45897</v>
      </c>
      <c r="J759" s="165">
        <v>0.52916666666666667</v>
      </c>
      <c r="K759" s="94">
        <v>520</v>
      </c>
      <c r="L759" s="72" t="str">
        <f t="shared" si="12"/>
        <v>Payé</v>
      </c>
    </row>
    <row r="760" spans="1:12" ht="15" customHeight="1" x14ac:dyDescent="0.25">
      <c r="A760" s="91" t="s">
        <v>851</v>
      </c>
      <c r="B760" s="90">
        <v>919</v>
      </c>
      <c r="C760" s="88" t="s">
        <v>242</v>
      </c>
      <c r="D760" s="90" t="s">
        <v>17</v>
      </c>
      <c r="E760" s="90" t="s">
        <v>944</v>
      </c>
      <c r="F760" s="91" t="s">
        <v>851</v>
      </c>
      <c r="G760" s="118">
        <v>6</v>
      </c>
      <c r="H760" s="94">
        <v>520</v>
      </c>
      <c r="I760" s="91">
        <v>45897</v>
      </c>
      <c r="J760" s="165">
        <v>0.53125</v>
      </c>
      <c r="K760" s="94">
        <v>520</v>
      </c>
      <c r="L760" s="72" t="str">
        <f t="shared" si="12"/>
        <v>Payé</v>
      </c>
    </row>
    <row r="761" spans="1:12" ht="15" customHeight="1" x14ac:dyDescent="0.25">
      <c r="A761" s="91" t="s">
        <v>851</v>
      </c>
      <c r="B761" s="90">
        <v>2089</v>
      </c>
      <c r="C761" s="88" t="s">
        <v>966</v>
      </c>
      <c r="D761" s="90" t="s">
        <v>17</v>
      </c>
      <c r="E761" s="90" t="s">
        <v>944</v>
      </c>
      <c r="F761" s="91" t="s">
        <v>851</v>
      </c>
      <c r="G761" s="118">
        <v>3</v>
      </c>
      <c r="H761" s="94">
        <v>260</v>
      </c>
      <c r="I761" s="91">
        <v>45897</v>
      </c>
      <c r="J761" s="165">
        <v>0.53125</v>
      </c>
      <c r="K761" s="94">
        <v>260</v>
      </c>
      <c r="L761" s="72" t="str">
        <f t="shared" si="12"/>
        <v>Payé</v>
      </c>
    </row>
    <row r="762" spans="1:12" ht="15" customHeight="1" x14ac:dyDescent="0.25">
      <c r="A762" s="91" t="s">
        <v>851</v>
      </c>
      <c r="B762" s="90">
        <v>2253</v>
      </c>
      <c r="C762" s="88" t="s">
        <v>967</v>
      </c>
      <c r="D762" s="90" t="s">
        <v>17</v>
      </c>
      <c r="E762" s="90" t="s">
        <v>944</v>
      </c>
      <c r="F762" s="91" t="s">
        <v>851</v>
      </c>
      <c r="G762" s="118">
        <v>5</v>
      </c>
      <c r="H762" s="94">
        <v>434</v>
      </c>
      <c r="I762" s="91">
        <v>45897</v>
      </c>
      <c r="J762" s="165">
        <v>0.53125</v>
      </c>
      <c r="K762" s="94">
        <v>434</v>
      </c>
      <c r="L762" s="72" t="str">
        <f t="shared" si="12"/>
        <v>Payé</v>
      </c>
    </row>
    <row r="763" spans="1:12" ht="15" customHeight="1" x14ac:dyDescent="0.25">
      <c r="A763" s="91" t="s">
        <v>851</v>
      </c>
      <c r="B763" s="90">
        <v>2411</v>
      </c>
      <c r="C763" s="88" t="s">
        <v>970</v>
      </c>
      <c r="D763" s="90" t="s">
        <v>17</v>
      </c>
      <c r="E763" s="90" t="s">
        <v>944</v>
      </c>
      <c r="F763" s="91" t="s">
        <v>851</v>
      </c>
      <c r="G763" s="118">
        <v>5</v>
      </c>
      <c r="H763" s="94">
        <v>434</v>
      </c>
      <c r="I763" s="91">
        <v>45897</v>
      </c>
      <c r="J763" s="165">
        <v>0.53125</v>
      </c>
      <c r="K763" s="94">
        <v>434</v>
      </c>
      <c r="L763" s="72" t="str">
        <f t="shared" si="12"/>
        <v>Payé</v>
      </c>
    </row>
    <row r="764" spans="1:12" ht="15" customHeight="1" x14ac:dyDescent="0.25">
      <c r="A764" s="91" t="s">
        <v>851</v>
      </c>
      <c r="B764" s="90">
        <v>2412</v>
      </c>
      <c r="C764" s="88" t="s">
        <v>971</v>
      </c>
      <c r="D764" s="90" t="s">
        <v>17</v>
      </c>
      <c r="E764" s="90" t="s">
        <v>944</v>
      </c>
      <c r="F764" s="91" t="s">
        <v>851</v>
      </c>
      <c r="G764" s="118">
        <v>13</v>
      </c>
      <c r="H764" s="94">
        <v>1258</v>
      </c>
      <c r="I764" s="91">
        <v>45897</v>
      </c>
      <c r="J764" s="165">
        <v>0.52916666666666667</v>
      </c>
      <c r="K764" s="94">
        <v>1258</v>
      </c>
      <c r="L764" s="72" t="str">
        <f t="shared" si="12"/>
        <v>Payé</v>
      </c>
    </row>
    <row r="765" spans="1:12" ht="15" customHeight="1" x14ac:dyDescent="0.25">
      <c r="A765" s="91" t="s">
        <v>851</v>
      </c>
      <c r="B765" s="90">
        <v>2638</v>
      </c>
      <c r="C765" s="88" t="s">
        <v>974</v>
      </c>
      <c r="D765" s="90" t="s">
        <v>17</v>
      </c>
      <c r="E765" s="90" t="s">
        <v>944</v>
      </c>
      <c r="F765" s="91" t="s">
        <v>851</v>
      </c>
      <c r="G765" s="118">
        <v>3</v>
      </c>
      <c r="H765" s="94">
        <v>260</v>
      </c>
      <c r="I765" s="91">
        <v>45897</v>
      </c>
      <c r="J765" s="165">
        <v>0.52916666666666667</v>
      </c>
      <c r="K765" s="94">
        <v>260</v>
      </c>
      <c r="L765" s="72" t="str">
        <f t="shared" si="12"/>
        <v>Payé</v>
      </c>
    </row>
    <row r="766" spans="1:12" ht="15" customHeight="1" x14ac:dyDescent="0.25">
      <c r="A766" s="91" t="s">
        <v>851</v>
      </c>
      <c r="B766" s="90">
        <v>5281</v>
      </c>
      <c r="C766" s="88" t="s">
        <v>995</v>
      </c>
      <c r="D766" s="90" t="s">
        <v>17</v>
      </c>
      <c r="E766" s="90" t="s">
        <v>944</v>
      </c>
      <c r="F766" s="91" t="s">
        <v>851</v>
      </c>
      <c r="G766" s="118">
        <v>5</v>
      </c>
      <c r="H766" s="94">
        <v>434</v>
      </c>
      <c r="I766" s="91">
        <v>45897</v>
      </c>
      <c r="J766" s="165">
        <v>0.53125</v>
      </c>
      <c r="K766" s="94">
        <v>434</v>
      </c>
      <c r="L766" s="72" t="str">
        <f t="shared" si="12"/>
        <v>Payé</v>
      </c>
    </row>
    <row r="767" spans="1:12" ht="15" customHeight="1" x14ac:dyDescent="0.25">
      <c r="A767" s="91" t="s">
        <v>851</v>
      </c>
      <c r="B767" s="90">
        <v>5282</v>
      </c>
      <c r="C767" s="88" t="s">
        <v>937</v>
      </c>
      <c r="D767" s="90" t="s">
        <v>17</v>
      </c>
      <c r="E767" s="90" t="s">
        <v>944</v>
      </c>
      <c r="F767" s="91" t="s">
        <v>851</v>
      </c>
      <c r="G767" s="118">
        <v>8</v>
      </c>
      <c r="H767" s="94">
        <v>694</v>
      </c>
      <c r="I767" s="91">
        <v>45897</v>
      </c>
      <c r="J767" s="165">
        <v>0.53125</v>
      </c>
      <c r="K767" s="94">
        <v>694</v>
      </c>
      <c r="L767" s="72" t="str">
        <f t="shared" si="12"/>
        <v>Payé</v>
      </c>
    </row>
    <row r="768" spans="1:12" ht="15" customHeight="1" x14ac:dyDescent="0.25">
      <c r="A768" s="91" t="s">
        <v>851</v>
      </c>
      <c r="B768" s="90">
        <v>5283</v>
      </c>
      <c r="C768" s="88" t="s">
        <v>936</v>
      </c>
      <c r="D768" s="90" t="s">
        <v>17</v>
      </c>
      <c r="E768" s="90" t="s">
        <v>944</v>
      </c>
      <c r="F768" s="91" t="s">
        <v>851</v>
      </c>
      <c r="G768" s="118">
        <v>11</v>
      </c>
      <c r="H768" s="94">
        <v>954</v>
      </c>
      <c r="I768" s="91">
        <v>45897</v>
      </c>
      <c r="J768" s="165">
        <v>0.52916666666666667</v>
      </c>
      <c r="K768" s="94">
        <v>954</v>
      </c>
      <c r="L768" s="72" t="str">
        <f t="shared" si="12"/>
        <v>Payé</v>
      </c>
    </row>
    <row r="769" spans="1:12" ht="15" customHeight="1" x14ac:dyDescent="0.25">
      <c r="A769" s="91" t="s">
        <v>851</v>
      </c>
      <c r="B769" s="90">
        <v>5286</v>
      </c>
      <c r="C769" s="88" t="s">
        <v>998</v>
      </c>
      <c r="D769" s="90" t="s">
        <v>17</v>
      </c>
      <c r="E769" s="90" t="s">
        <v>944</v>
      </c>
      <c r="F769" s="91" t="s">
        <v>851</v>
      </c>
      <c r="G769" s="118">
        <v>12</v>
      </c>
      <c r="H769" s="94">
        <v>1041</v>
      </c>
      <c r="I769" s="91">
        <v>45896</v>
      </c>
      <c r="J769" s="165">
        <v>0.53749999999999998</v>
      </c>
      <c r="K769" s="94">
        <v>1041</v>
      </c>
      <c r="L769" s="72" t="str">
        <f t="shared" si="12"/>
        <v>Payé</v>
      </c>
    </row>
    <row r="770" spans="1:12" ht="15" customHeight="1" x14ac:dyDescent="0.25">
      <c r="A770" s="91" t="s">
        <v>851</v>
      </c>
      <c r="B770" s="90">
        <v>5287</v>
      </c>
      <c r="C770" s="88" t="s">
        <v>999</v>
      </c>
      <c r="D770" s="90" t="s">
        <v>17</v>
      </c>
      <c r="E770" s="90" t="s">
        <v>944</v>
      </c>
      <c r="F770" s="91" t="s">
        <v>851</v>
      </c>
      <c r="G770" s="118">
        <v>10</v>
      </c>
      <c r="H770" s="94">
        <v>867</v>
      </c>
      <c r="I770" s="91">
        <v>45897</v>
      </c>
      <c r="J770" s="165">
        <v>0.52916666666666667</v>
      </c>
      <c r="K770" s="94">
        <v>867</v>
      </c>
      <c r="L770" s="72" t="str">
        <f t="shared" si="12"/>
        <v>Payé</v>
      </c>
    </row>
    <row r="771" spans="1:12" ht="15" customHeight="1" x14ac:dyDescent="0.25">
      <c r="A771" s="91" t="s">
        <v>851</v>
      </c>
      <c r="B771" s="90">
        <v>5288</v>
      </c>
      <c r="C771" s="88" t="s">
        <v>1000</v>
      </c>
      <c r="D771" s="90" t="s">
        <v>17</v>
      </c>
      <c r="E771" s="90" t="s">
        <v>944</v>
      </c>
      <c r="F771" s="91" t="s">
        <v>851</v>
      </c>
      <c r="G771" s="118">
        <v>4</v>
      </c>
      <c r="H771" s="94">
        <v>347</v>
      </c>
      <c r="I771" s="91">
        <v>45897</v>
      </c>
      <c r="J771" s="165">
        <v>0.53125</v>
      </c>
      <c r="K771" s="94">
        <v>347</v>
      </c>
      <c r="L771" s="72" t="str">
        <f t="shared" si="12"/>
        <v>Payé</v>
      </c>
    </row>
    <row r="772" spans="1:12" ht="15" customHeight="1" x14ac:dyDescent="0.25">
      <c r="A772" s="91" t="s">
        <v>851</v>
      </c>
      <c r="B772" s="90">
        <v>5289</v>
      </c>
      <c r="C772" s="88" t="s">
        <v>1001</v>
      </c>
      <c r="D772" s="90" t="s">
        <v>17</v>
      </c>
      <c r="E772" s="90" t="s">
        <v>944</v>
      </c>
      <c r="F772" s="91" t="s">
        <v>851</v>
      </c>
      <c r="G772" s="118">
        <v>10</v>
      </c>
      <c r="H772" s="94">
        <v>867</v>
      </c>
      <c r="I772" s="91">
        <v>45897</v>
      </c>
      <c r="J772" s="165">
        <v>0.52916666666666667</v>
      </c>
      <c r="K772" s="94">
        <v>867</v>
      </c>
      <c r="L772" s="72" t="str">
        <f t="shared" si="12"/>
        <v>Payé</v>
      </c>
    </row>
    <row r="773" spans="1:12" ht="15" customHeight="1" x14ac:dyDescent="0.25">
      <c r="A773" s="91" t="s">
        <v>851</v>
      </c>
      <c r="B773" s="90">
        <v>5291</v>
      </c>
      <c r="C773" s="88" t="s">
        <v>1002</v>
      </c>
      <c r="D773" s="90" t="s">
        <v>17</v>
      </c>
      <c r="E773" s="90" t="s">
        <v>944</v>
      </c>
      <c r="F773" s="91" t="s">
        <v>851</v>
      </c>
      <c r="G773" s="118">
        <v>4</v>
      </c>
      <c r="H773" s="94">
        <v>357</v>
      </c>
      <c r="I773" s="91">
        <v>45897</v>
      </c>
      <c r="J773" s="165">
        <v>0.53125</v>
      </c>
      <c r="K773" s="94">
        <v>357</v>
      </c>
      <c r="L773" s="72" t="str">
        <f t="shared" si="12"/>
        <v>Payé</v>
      </c>
    </row>
    <row r="774" spans="1:12" ht="15" customHeight="1" x14ac:dyDescent="0.25">
      <c r="A774" s="91" t="s">
        <v>851</v>
      </c>
      <c r="B774" s="90">
        <v>5304</v>
      </c>
      <c r="C774" s="88" t="s">
        <v>1015</v>
      </c>
      <c r="D774" s="90" t="s">
        <v>17</v>
      </c>
      <c r="E774" s="90" t="s">
        <v>944</v>
      </c>
      <c r="F774" s="91" t="s">
        <v>851</v>
      </c>
      <c r="G774" s="118">
        <v>6</v>
      </c>
      <c r="H774" s="94">
        <v>520</v>
      </c>
      <c r="I774" s="91">
        <v>45897</v>
      </c>
      <c r="J774" s="165">
        <v>0.53125</v>
      </c>
      <c r="K774" s="94">
        <v>520</v>
      </c>
      <c r="L774" s="72" t="str">
        <f t="shared" si="12"/>
        <v>Payé</v>
      </c>
    </row>
    <row r="775" spans="1:12" ht="15" customHeight="1" x14ac:dyDescent="0.25">
      <c r="A775" s="91" t="s">
        <v>851</v>
      </c>
      <c r="B775" s="90">
        <v>5305</v>
      </c>
      <c r="C775" s="88" t="s">
        <v>1016</v>
      </c>
      <c r="D775" s="90" t="s">
        <v>17</v>
      </c>
      <c r="E775" s="90" t="s">
        <v>944</v>
      </c>
      <c r="F775" s="91" t="s">
        <v>851</v>
      </c>
      <c r="G775" s="118">
        <v>6</v>
      </c>
      <c r="H775" s="94">
        <v>520</v>
      </c>
      <c r="I775" s="91">
        <v>45895</v>
      </c>
      <c r="J775" s="165">
        <v>0.55902777777777779</v>
      </c>
      <c r="K775" s="94">
        <v>520</v>
      </c>
      <c r="L775" s="72" t="str">
        <f t="shared" si="12"/>
        <v>Payé</v>
      </c>
    </row>
    <row r="776" spans="1:12" ht="15" customHeight="1" x14ac:dyDescent="0.25">
      <c r="A776" s="91" t="s">
        <v>851</v>
      </c>
      <c r="B776" s="90">
        <v>5306</v>
      </c>
      <c r="C776" s="88" t="s">
        <v>1017</v>
      </c>
      <c r="D776" s="90" t="s">
        <v>17</v>
      </c>
      <c r="E776" s="90" t="s">
        <v>944</v>
      </c>
      <c r="F776" s="91" t="s">
        <v>851</v>
      </c>
      <c r="G776" s="118">
        <v>9</v>
      </c>
      <c r="H776" s="94">
        <v>781</v>
      </c>
      <c r="I776" s="91">
        <v>45897</v>
      </c>
      <c r="J776" s="165">
        <v>0.52916666666666667</v>
      </c>
      <c r="K776" s="94">
        <v>781</v>
      </c>
      <c r="L776" s="72" t="str">
        <f t="shared" si="12"/>
        <v>Payé</v>
      </c>
    </row>
    <row r="777" spans="1:12" ht="15" customHeight="1" x14ac:dyDescent="0.25">
      <c r="A777" s="91" t="s">
        <v>851</v>
      </c>
      <c r="B777" s="90">
        <v>5307</v>
      </c>
      <c r="C777" s="88" t="s">
        <v>1018</v>
      </c>
      <c r="D777" s="90" t="s">
        <v>17</v>
      </c>
      <c r="E777" s="90" t="s">
        <v>944</v>
      </c>
      <c r="F777" s="91" t="s">
        <v>851</v>
      </c>
      <c r="G777" s="118">
        <v>5</v>
      </c>
      <c r="H777" s="94">
        <v>434</v>
      </c>
      <c r="I777" s="91">
        <v>45897</v>
      </c>
      <c r="J777" s="165">
        <v>0.52916666666666667</v>
      </c>
      <c r="K777" s="94">
        <v>434</v>
      </c>
      <c r="L777" s="72" t="str">
        <f t="shared" si="12"/>
        <v>Payé</v>
      </c>
    </row>
    <row r="778" spans="1:12" ht="15" customHeight="1" x14ac:dyDescent="0.25">
      <c r="A778" s="91" t="s">
        <v>851</v>
      </c>
      <c r="B778" s="90">
        <v>5311</v>
      </c>
      <c r="C778" s="88" t="s">
        <v>1021</v>
      </c>
      <c r="D778" s="90" t="s">
        <v>17</v>
      </c>
      <c r="E778" s="90" t="s">
        <v>944</v>
      </c>
      <c r="F778" s="91" t="s">
        <v>851</v>
      </c>
      <c r="G778" s="118">
        <v>6</v>
      </c>
      <c r="H778" s="94">
        <v>520</v>
      </c>
      <c r="I778" s="91">
        <v>45897</v>
      </c>
      <c r="J778" s="165">
        <v>0.52916666666666667</v>
      </c>
      <c r="K778" s="94">
        <v>520</v>
      </c>
      <c r="L778" s="72" t="str">
        <f t="shared" si="12"/>
        <v>Payé</v>
      </c>
    </row>
    <row r="779" spans="1:12" ht="15" customHeight="1" x14ac:dyDescent="0.25">
      <c r="A779" s="91" t="s">
        <v>851</v>
      </c>
      <c r="B779" s="90">
        <v>5312</v>
      </c>
      <c r="C779" s="88" t="s">
        <v>938</v>
      </c>
      <c r="D779" s="90" t="s">
        <v>17</v>
      </c>
      <c r="E779" s="90" t="s">
        <v>944</v>
      </c>
      <c r="F779" s="91" t="s">
        <v>851</v>
      </c>
      <c r="G779" s="118">
        <v>9</v>
      </c>
      <c r="H779" s="94">
        <v>781</v>
      </c>
      <c r="I779" s="91">
        <v>45897</v>
      </c>
      <c r="J779" s="165">
        <v>0.52916666666666667</v>
      </c>
      <c r="K779" s="94">
        <v>781</v>
      </c>
      <c r="L779" s="72" t="str">
        <f t="shared" si="12"/>
        <v>Payé</v>
      </c>
    </row>
    <row r="780" spans="1:12" ht="15" customHeight="1" x14ac:dyDescent="0.25">
      <c r="A780" s="91" t="s">
        <v>851</v>
      </c>
      <c r="B780" s="90">
        <v>5316</v>
      </c>
      <c r="C780" s="88" t="s">
        <v>1024</v>
      </c>
      <c r="D780" s="90" t="s">
        <v>17</v>
      </c>
      <c r="E780" s="90" t="s">
        <v>944</v>
      </c>
      <c r="F780" s="91" t="s">
        <v>851</v>
      </c>
      <c r="G780" s="118">
        <v>6</v>
      </c>
      <c r="H780" s="94">
        <v>520</v>
      </c>
      <c r="I780" s="91">
        <v>45897</v>
      </c>
      <c r="J780" s="165">
        <v>0.53125</v>
      </c>
      <c r="K780" s="94">
        <v>520</v>
      </c>
      <c r="L780" s="72" t="str">
        <f t="shared" si="12"/>
        <v>Payé</v>
      </c>
    </row>
    <row r="781" spans="1:12" ht="15" customHeight="1" x14ac:dyDescent="0.25">
      <c r="A781" s="91" t="s">
        <v>851</v>
      </c>
      <c r="B781" s="90">
        <v>5326</v>
      </c>
      <c r="C781" s="88" t="s">
        <v>1032</v>
      </c>
      <c r="D781" s="90" t="s">
        <v>17</v>
      </c>
      <c r="E781" s="90" t="s">
        <v>944</v>
      </c>
      <c r="F781" s="91" t="s">
        <v>851</v>
      </c>
      <c r="G781" s="118">
        <v>5</v>
      </c>
      <c r="H781" s="94">
        <v>434</v>
      </c>
      <c r="I781" s="91">
        <v>45897</v>
      </c>
      <c r="J781" s="165">
        <v>0.52916666666666667</v>
      </c>
      <c r="K781" s="94">
        <v>434</v>
      </c>
      <c r="L781" s="72" t="str">
        <f t="shared" si="12"/>
        <v>Payé</v>
      </c>
    </row>
    <row r="782" spans="1:12" ht="15" customHeight="1" x14ac:dyDescent="0.25">
      <c r="A782" s="91" t="s">
        <v>851</v>
      </c>
      <c r="B782" s="90">
        <v>5328</v>
      </c>
      <c r="C782" s="88" t="s">
        <v>1034</v>
      </c>
      <c r="D782" s="90" t="s">
        <v>17</v>
      </c>
      <c r="E782" s="90" t="s">
        <v>944</v>
      </c>
      <c r="F782" s="91" t="s">
        <v>851</v>
      </c>
      <c r="G782" s="118">
        <v>9</v>
      </c>
      <c r="H782" s="94">
        <v>781</v>
      </c>
      <c r="I782" s="91">
        <v>45897</v>
      </c>
      <c r="J782" s="165">
        <v>0.53125</v>
      </c>
      <c r="K782" s="94">
        <v>781</v>
      </c>
      <c r="L782" s="72" t="str">
        <f t="shared" si="12"/>
        <v>Payé</v>
      </c>
    </row>
    <row r="783" spans="1:12" ht="15" customHeight="1" x14ac:dyDescent="0.25">
      <c r="A783" s="91" t="s">
        <v>851</v>
      </c>
      <c r="B783" s="90">
        <v>5337</v>
      </c>
      <c r="C783" s="88" t="s">
        <v>1042</v>
      </c>
      <c r="D783" s="90" t="s">
        <v>17</v>
      </c>
      <c r="E783" s="90" t="s">
        <v>944</v>
      </c>
      <c r="F783" s="91" t="s">
        <v>851</v>
      </c>
      <c r="G783" s="118">
        <v>1</v>
      </c>
      <c r="H783" s="94">
        <v>87</v>
      </c>
      <c r="I783" s="91">
        <v>45897</v>
      </c>
      <c r="J783" s="165">
        <v>0.53125</v>
      </c>
      <c r="K783" s="94">
        <v>87</v>
      </c>
      <c r="L783" s="72" t="str">
        <f t="shared" si="12"/>
        <v>Payé</v>
      </c>
    </row>
    <row r="784" spans="1:12" ht="15" customHeight="1" x14ac:dyDescent="0.25">
      <c r="A784" s="91" t="s">
        <v>851</v>
      </c>
      <c r="B784" s="90">
        <v>5340</v>
      </c>
      <c r="C784" s="88" t="s">
        <v>1043</v>
      </c>
      <c r="D784" s="90" t="s">
        <v>17</v>
      </c>
      <c r="E784" s="90" t="s">
        <v>944</v>
      </c>
      <c r="F784" s="91" t="s">
        <v>851</v>
      </c>
      <c r="G784" s="118">
        <v>4</v>
      </c>
      <c r="H784" s="94">
        <v>347</v>
      </c>
      <c r="I784" s="91">
        <v>45897</v>
      </c>
      <c r="J784" s="165">
        <v>0.53125</v>
      </c>
      <c r="K784" s="94">
        <v>347</v>
      </c>
      <c r="L784" s="72" t="str">
        <f t="shared" si="12"/>
        <v>Payé</v>
      </c>
    </row>
    <row r="785" spans="1:12" ht="15" customHeight="1" x14ac:dyDescent="0.25">
      <c r="A785" s="91" t="s">
        <v>851</v>
      </c>
      <c r="B785" s="90"/>
      <c r="C785" s="88" t="s">
        <v>913</v>
      </c>
      <c r="D785" s="89" t="s">
        <v>910</v>
      </c>
      <c r="E785" s="90" t="s">
        <v>944</v>
      </c>
      <c r="F785" s="91" t="s">
        <v>851</v>
      </c>
      <c r="G785" s="95">
        <v>171</v>
      </c>
      <c r="H785" s="92">
        <v>4275</v>
      </c>
      <c r="I785" s="91">
        <v>45897</v>
      </c>
      <c r="J785" s="165">
        <v>0.52916666666666667</v>
      </c>
      <c r="K785" s="92">
        <v>4275</v>
      </c>
      <c r="L785" s="72" t="str">
        <f t="shared" si="12"/>
        <v>Payé</v>
      </c>
    </row>
    <row r="786" spans="1:12" ht="15" customHeight="1" x14ac:dyDescent="0.25">
      <c r="A786" s="91" t="s">
        <v>851</v>
      </c>
      <c r="B786" s="90">
        <v>346</v>
      </c>
      <c r="C786" s="88" t="s">
        <v>950</v>
      </c>
      <c r="D786" s="90" t="s">
        <v>17</v>
      </c>
      <c r="E786" s="90" t="s">
        <v>123</v>
      </c>
      <c r="F786" s="91" t="s">
        <v>851</v>
      </c>
      <c r="G786" s="118">
        <v>9</v>
      </c>
      <c r="H786" s="94">
        <v>820</v>
      </c>
      <c r="I786" s="91">
        <v>45916</v>
      </c>
      <c r="J786" s="165">
        <v>0.69930555555555562</v>
      </c>
      <c r="K786" s="94">
        <v>820</v>
      </c>
      <c r="L786" s="72" t="str">
        <f t="shared" si="12"/>
        <v>Payé</v>
      </c>
    </row>
    <row r="787" spans="1:12" ht="15" customHeight="1" x14ac:dyDescent="0.25">
      <c r="A787" s="91" t="s">
        <v>851</v>
      </c>
      <c r="B787" s="90">
        <v>348</v>
      </c>
      <c r="C787" s="88" t="s">
        <v>951</v>
      </c>
      <c r="D787" s="90" t="s">
        <v>17</v>
      </c>
      <c r="E787" s="90" t="s">
        <v>123</v>
      </c>
      <c r="F787" s="91" t="s">
        <v>851</v>
      </c>
      <c r="G787" s="118">
        <v>12</v>
      </c>
      <c r="H787" s="94">
        <v>1285</v>
      </c>
      <c r="I787" s="91">
        <v>45896</v>
      </c>
      <c r="J787" s="165">
        <v>0.48402777777777778</v>
      </c>
      <c r="K787" s="94">
        <v>1285</v>
      </c>
      <c r="L787" s="72" t="str">
        <f t="shared" si="12"/>
        <v>Payé</v>
      </c>
    </row>
    <row r="788" spans="1:12" ht="15" customHeight="1" x14ac:dyDescent="0.25">
      <c r="A788" s="91" t="s">
        <v>851</v>
      </c>
      <c r="B788" s="90">
        <v>354</v>
      </c>
      <c r="C788" s="88" t="s">
        <v>952</v>
      </c>
      <c r="D788" s="90" t="s">
        <v>17</v>
      </c>
      <c r="E788" s="90" t="s">
        <v>123</v>
      </c>
      <c r="F788" s="91" t="s">
        <v>851</v>
      </c>
      <c r="G788" s="118">
        <v>7</v>
      </c>
      <c r="H788" s="94">
        <v>638</v>
      </c>
      <c r="I788" s="91">
        <v>45904</v>
      </c>
      <c r="J788" s="165">
        <v>0.4680555555555555</v>
      </c>
      <c r="K788" s="94">
        <v>638</v>
      </c>
      <c r="L788" s="72" t="str">
        <f t="shared" si="12"/>
        <v>Payé</v>
      </c>
    </row>
    <row r="789" spans="1:12" ht="15" customHeight="1" x14ac:dyDescent="0.25">
      <c r="A789" s="91" t="s">
        <v>851</v>
      </c>
      <c r="B789" s="90">
        <v>360</v>
      </c>
      <c r="C789" s="88" t="s">
        <v>953</v>
      </c>
      <c r="D789" s="90" t="s">
        <v>17</v>
      </c>
      <c r="E789" s="90" t="s">
        <v>123</v>
      </c>
      <c r="F789" s="91" t="s">
        <v>851</v>
      </c>
      <c r="G789" s="118">
        <v>9</v>
      </c>
      <c r="H789" s="94">
        <v>964</v>
      </c>
      <c r="I789" s="91">
        <v>45904</v>
      </c>
      <c r="J789" s="165">
        <v>0.4680555555555555</v>
      </c>
      <c r="K789" s="94">
        <v>964</v>
      </c>
      <c r="L789" s="72" t="str">
        <f t="shared" si="12"/>
        <v>Payé</v>
      </c>
    </row>
    <row r="790" spans="1:12" ht="15" customHeight="1" x14ac:dyDescent="0.25">
      <c r="A790" s="91" t="s">
        <v>851</v>
      </c>
      <c r="B790" s="90">
        <v>520</v>
      </c>
      <c r="C790" s="88" t="s">
        <v>954</v>
      </c>
      <c r="D790" s="90" t="s">
        <v>17</v>
      </c>
      <c r="E790" s="90" t="s">
        <v>123</v>
      </c>
      <c r="F790" s="91" t="s">
        <v>851</v>
      </c>
      <c r="G790" s="118">
        <v>9</v>
      </c>
      <c r="H790" s="94">
        <v>820</v>
      </c>
      <c r="I790" s="91">
        <v>45904</v>
      </c>
      <c r="J790" s="165">
        <v>0.4680555555555555</v>
      </c>
      <c r="K790" s="94">
        <v>820</v>
      </c>
      <c r="L790" s="72" t="str">
        <f t="shared" si="12"/>
        <v>Payé</v>
      </c>
    </row>
    <row r="791" spans="1:12" ht="15" customHeight="1" x14ac:dyDescent="0.25">
      <c r="A791" s="91" t="s">
        <v>851</v>
      </c>
      <c r="B791" s="90">
        <v>521</v>
      </c>
      <c r="C791" s="88" t="s">
        <v>392</v>
      </c>
      <c r="D791" s="90" t="s">
        <v>17</v>
      </c>
      <c r="E791" s="90" t="s">
        <v>123</v>
      </c>
      <c r="F791" s="91" t="s">
        <v>851</v>
      </c>
      <c r="G791" s="118">
        <v>9</v>
      </c>
      <c r="H791" s="94">
        <v>820</v>
      </c>
      <c r="I791" s="91">
        <v>45911</v>
      </c>
      <c r="J791" s="166">
        <v>0.51597222222222217</v>
      </c>
      <c r="K791" s="94">
        <v>820</v>
      </c>
      <c r="L791" s="72" t="str">
        <f t="shared" si="12"/>
        <v>Payé</v>
      </c>
    </row>
    <row r="792" spans="1:12" ht="15" customHeight="1" x14ac:dyDescent="0.25">
      <c r="A792" s="91" t="s">
        <v>851</v>
      </c>
      <c r="B792" s="90">
        <v>559</v>
      </c>
      <c r="C792" s="88" t="s">
        <v>955</v>
      </c>
      <c r="D792" s="90" t="s">
        <v>17</v>
      </c>
      <c r="E792" s="90" t="s">
        <v>123</v>
      </c>
      <c r="F792" s="91" t="s">
        <v>851</v>
      </c>
      <c r="G792" s="118">
        <v>7</v>
      </c>
      <c r="H792" s="94">
        <v>638</v>
      </c>
      <c r="I792" s="91">
        <v>45916</v>
      </c>
      <c r="J792" s="165">
        <v>0.69930555555555562</v>
      </c>
      <c r="K792" s="94">
        <v>638</v>
      </c>
      <c r="L792" s="72" t="str">
        <f t="shared" si="12"/>
        <v>Payé</v>
      </c>
    </row>
    <row r="793" spans="1:12" ht="15" customHeight="1" x14ac:dyDescent="0.25">
      <c r="A793" s="91" t="s">
        <v>851</v>
      </c>
      <c r="B793" s="90">
        <v>845</v>
      </c>
      <c r="C793" s="88" t="s">
        <v>958</v>
      </c>
      <c r="D793" s="90" t="s">
        <v>17</v>
      </c>
      <c r="E793" s="90" t="s">
        <v>123</v>
      </c>
      <c r="F793" s="91" t="s">
        <v>851</v>
      </c>
      <c r="G793" s="118">
        <v>9</v>
      </c>
      <c r="H793" s="94">
        <v>820</v>
      </c>
      <c r="I793" s="91">
        <v>45916</v>
      </c>
      <c r="J793" s="165">
        <v>0.69930555555555562</v>
      </c>
      <c r="K793" s="94">
        <v>820</v>
      </c>
      <c r="L793" s="72" t="str">
        <f t="shared" si="12"/>
        <v>Payé</v>
      </c>
    </row>
    <row r="794" spans="1:12" ht="15" customHeight="1" x14ac:dyDescent="0.25">
      <c r="A794" s="91" t="s">
        <v>851</v>
      </c>
      <c r="B794" s="90">
        <v>1278</v>
      </c>
      <c r="C794" s="88" t="s">
        <v>962</v>
      </c>
      <c r="D794" s="90" t="s">
        <v>17</v>
      </c>
      <c r="E794" s="90" t="s">
        <v>123</v>
      </c>
      <c r="F794" s="91" t="s">
        <v>851</v>
      </c>
      <c r="G794" s="118">
        <v>6</v>
      </c>
      <c r="H794" s="94">
        <v>546</v>
      </c>
      <c r="I794" s="91">
        <v>45896</v>
      </c>
      <c r="J794" s="165">
        <v>0.48402777777777778</v>
      </c>
      <c r="K794" s="94">
        <v>546</v>
      </c>
      <c r="L794" s="72" t="str">
        <f t="shared" si="12"/>
        <v>Payé</v>
      </c>
    </row>
    <row r="795" spans="1:12" ht="15" customHeight="1" x14ac:dyDescent="0.25">
      <c r="A795" s="91" t="s">
        <v>851</v>
      </c>
      <c r="B795" s="90">
        <v>1593</v>
      </c>
      <c r="C795" s="88" t="s">
        <v>965</v>
      </c>
      <c r="D795" s="90" t="s">
        <v>17</v>
      </c>
      <c r="E795" s="90" t="s">
        <v>123</v>
      </c>
      <c r="F795" s="91" t="s">
        <v>851</v>
      </c>
      <c r="G795" s="118">
        <v>8</v>
      </c>
      <c r="H795" s="94">
        <v>694</v>
      </c>
      <c r="I795" s="91">
        <v>45925</v>
      </c>
      <c r="J795" s="165">
        <v>0.71180555555555547</v>
      </c>
      <c r="K795" s="94">
        <v>694</v>
      </c>
      <c r="L795" s="72" t="str">
        <f t="shared" si="12"/>
        <v>Payé</v>
      </c>
    </row>
    <row r="796" spans="1:12" ht="15" customHeight="1" x14ac:dyDescent="0.25">
      <c r="A796" s="91" t="s">
        <v>851</v>
      </c>
      <c r="B796" s="90">
        <v>1723</v>
      </c>
      <c r="C796" s="88" t="s">
        <v>395</v>
      </c>
      <c r="D796" s="90" t="s">
        <v>17</v>
      </c>
      <c r="E796" s="90" t="s">
        <v>123</v>
      </c>
      <c r="F796" s="91" t="s">
        <v>851</v>
      </c>
      <c r="G796" s="118">
        <v>15</v>
      </c>
      <c r="H796" s="94">
        <v>1536</v>
      </c>
      <c r="I796" s="91">
        <v>45895</v>
      </c>
      <c r="J796" s="165">
        <v>0.64166666666666672</v>
      </c>
      <c r="K796" s="94">
        <v>1536</v>
      </c>
      <c r="L796" s="72" t="str">
        <f t="shared" si="12"/>
        <v>Payé</v>
      </c>
    </row>
    <row r="797" spans="1:12" ht="15" customHeight="1" x14ac:dyDescent="0.25">
      <c r="A797" s="91" t="s">
        <v>851</v>
      </c>
      <c r="B797" s="90">
        <v>2664</v>
      </c>
      <c r="C797" s="88" t="s">
        <v>398</v>
      </c>
      <c r="D797" s="90" t="s">
        <v>17</v>
      </c>
      <c r="E797" s="90" t="s">
        <v>123</v>
      </c>
      <c r="F797" s="91" t="s">
        <v>851</v>
      </c>
      <c r="G797" s="118">
        <v>8</v>
      </c>
      <c r="H797" s="94">
        <v>694</v>
      </c>
      <c r="I797" s="91">
        <v>45896</v>
      </c>
      <c r="J797" s="165">
        <v>0.48402777777777778</v>
      </c>
      <c r="K797" s="94">
        <v>694</v>
      </c>
      <c r="L797" s="72" t="str">
        <f t="shared" si="12"/>
        <v>Payé</v>
      </c>
    </row>
    <row r="798" spans="1:12" ht="15" customHeight="1" x14ac:dyDescent="0.25">
      <c r="A798" s="91" t="s">
        <v>851</v>
      </c>
      <c r="B798" s="90">
        <v>2694</v>
      </c>
      <c r="C798" s="88" t="s">
        <v>547</v>
      </c>
      <c r="D798" s="90" t="s">
        <v>17</v>
      </c>
      <c r="E798" s="90" t="s">
        <v>123</v>
      </c>
      <c r="F798" s="91" t="s">
        <v>851</v>
      </c>
      <c r="G798" s="118">
        <v>8</v>
      </c>
      <c r="H798" s="94">
        <v>694</v>
      </c>
      <c r="I798" s="91">
        <v>45916</v>
      </c>
      <c r="J798" s="165">
        <v>0.69930555555555562</v>
      </c>
      <c r="K798" s="94">
        <v>694</v>
      </c>
      <c r="L798" s="72" t="str">
        <f t="shared" ref="L798:L861" si="13">IF(ISBLANK(H798),"",IF(H798=K798,"Payé","Impayé"))</f>
        <v>Payé</v>
      </c>
    </row>
    <row r="799" spans="1:12" ht="15" customHeight="1" x14ac:dyDescent="0.25">
      <c r="A799" s="91" t="s">
        <v>851</v>
      </c>
      <c r="B799" s="90">
        <v>3413</v>
      </c>
      <c r="C799" s="88" t="s">
        <v>978</v>
      </c>
      <c r="D799" s="90" t="s">
        <v>17</v>
      </c>
      <c r="E799" s="90" t="s">
        <v>123</v>
      </c>
      <c r="F799" s="91" t="s">
        <v>851</v>
      </c>
      <c r="G799" s="118">
        <v>8</v>
      </c>
      <c r="H799" s="94">
        <v>694</v>
      </c>
      <c r="I799" s="91">
        <v>45896</v>
      </c>
      <c r="J799" s="165">
        <v>0.48402777777777778</v>
      </c>
      <c r="K799" s="94">
        <v>694</v>
      </c>
      <c r="L799" s="72" t="str">
        <f t="shared" si="13"/>
        <v>Payé</v>
      </c>
    </row>
    <row r="800" spans="1:12" ht="15" customHeight="1" x14ac:dyDescent="0.25">
      <c r="A800" s="91" t="s">
        <v>851</v>
      </c>
      <c r="B800" s="90">
        <v>3426</v>
      </c>
      <c r="C800" s="88" t="s">
        <v>604</v>
      </c>
      <c r="D800" s="90" t="s">
        <v>17</v>
      </c>
      <c r="E800" s="90" t="s">
        <v>123</v>
      </c>
      <c r="F800" s="91" t="s">
        <v>851</v>
      </c>
      <c r="G800" s="118">
        <v>6</v>
      </c>
      <c r="H800" s="94">
        <v>520</v>
      </c>
      <c r="I800" s="91">
        <v>45904</v>
      </c>
      <c r="J800" s="165">
        <v>0.4680555555555555</v>
      </c>
      <c r="K800" s="94">
        <v>520</v>
      </c>
      <c r="L800" s="72" t="str">
        <f t="shared" si="13"/>
        <v>Payé</v>
      </c>
    </row>
    <row r="801" spans="1:12" ht="15" customHeight="1" x14ac:dyDescent="0.25">
      <c r="A801" s="91" t="s">
        <v>851</v>
      </c>
      <c r="B801" s="90">
        <v>3726</v>
      </c>
      <c r="C801" s="88" t="s">
        <v>570</v>
      </c>
      <c r="D801" s="90" t="s">
        <v>17</v>
      </c>
      <c r="E801" s="90" t="s">
        <v>123</v>
      </c>
      <c r="F801" s="91" t="s">
        <v>851</v>
      </c>
      <c r="G801" s="118">
        <v>9</v>
      </c>
      <c r="H801" s="94">
        <v>781</v>
      </c>
      <c r="I801" s="91">
        <v>45895</v>
      </c>
      <c r="J801" s="165">
        <v>0.64166666666666672</v>
      </c>
      <c r="K801" s="94">
        <v>781</v>
      </c>
      <c r="L801" s="72" t="str">
        <f t="shared" si="13"/>
        <v>Payé</v>
      </c>
    </row>
    <row r="802" spans="1:12" ht="15" customHeight="1" x14ac:dyDescent="0.25">
      <c r="A802" s="91" t="s">
        <v>851</v>
      </c>
      <c r="B802" s="90" t="s">
        <v>584</v>
      </c>
      <c r="C802" s="88" t="s">
        <v>585</v>
      </c>
      <c r="D802" s="89" t="s">
        <v>910</v>
      </c>
      <c r="E802" s="90" t="s">
        <v>123</v>
      </c>
      <c r="F802" s="91" t="s">
        <v>851</v>
      </c>
      <c r="G802" s="95">
        <v>163</v>
      </c>
      <c r="H802" s="92">
        <v>4075</v>
      </c>
      <c r="I802" s="91">
        <v>45926</v>
      </c>
      <c r="J802" s="165">
        <v>0.68125000000000002</v>
      </c>
      <c r="K802" s="92">
        <v>4075</v>
      </c>
      <c r="L802" s="72" t="str">
        <f t="shared" si="13"/>
        <v>Payé</v>
      </c>
    </row>
    <row r="803" spans="1:12" ht="15" customHeight="1" x14ac:dyDescent="0.25">
      <c r="A803" s="91" t="s">
        <v>851</v>
      </c>
      <c r="B803" s="90">
        <v>3427</v>
      </c>
      <c r="C803" s="88" t="s">
        <v>979</v>
      </c>
      <c r="D803" s="90" t="s">
        <v>17</v>
      </c>
      <c r="E803" s="90" t="s">
        <v>847</v>
      </c>
      <c r="F803" s="91" t="s">
        <v>851</v>
      </c>
      <c r="G803" s="118">
        <v>9</v>
      </c>
      <c r="H803" s="94">
        <v>781</v>
      </c>
      <c r="I803" s="91">
        <v>45904</v>
      </c>
      <c r="J803" s="165">
        <v>0.4680555555555555</v>
      </c>
      <c r="K803" s="94">
        <v>781</v>
      </c>
      <c r="L803" s="72" t="str">
        <f t="shared" si="13"/>
        <v>Payé</v>
      </c>
    </row>
    <row r="804" spans="1:12" ht="15" customHeight="1" x14ac:dyDescent="0.25">
      <c r="A804" s="91" t="s">
        <v>851</v>
      </c>
      <c r="B804" s="90">
        <v>4415</v>
      </c>
      <c r="C804" s="88" t="s">
        <v>723</v>
      </c>
      <c r="D804" s="90" t="s">
        <v>17</v>
      </c>
      <c r="E804" s="90" t="s">
        <v>847</v>
      </c>
      <c r="F804" s="91" t="s">
        <v>851</v>
      </c>
      <c r="G804" s="118">
        <v>4</v>
      </c>
      <c r="H804" s="94">
        <v>347</v>
      </c>
      <c r="I804" s="91">
        <v>45896</v>
      </c>
      <c r="J804" s="165">
        <v>0.48402777777777778</v>
      </c>
      <c r="K804" s="94">
        <v>347</v>
      </c>
      <c r="L804" s="72" t="str">
        <f t="shared" si="13"/>
        <v>Payé</v>
      </c>
    </row>
    <row r="805" spans="1:12" ht="15" customHeight="1" x14ac:dyDescent="0.25">
      <c r="A805" s="91" t="s">
        <v>851</v>
      </c>
      <c r="B805" s="90">
        <v>4550</v>
      </c>
      <c r="C805" s="88" t="s">
        <v>739</v>
      </c>
      <c r="D805" s="90" t="s">
        <v>17</v>
      </c>
      <c r="E805" s="90" t="s">
        <v>847</v>
      </c>
      <c r="F805" s="91" t="s">
        <v>851</v>
      </c>
      <c r="G805" s="118">
        <v>8</v>
      </c>
      <c r="H805" s="94">
        <v>694</v>
      </c>
      <c r="I805" s="91">
        <v>45895</v>
      </c>
      <c r="J805" s="165">
        <v>0.64166666666666672</v>
      </c>
      <c r="K805" s="94">
        <v>694</v>
      </c>
      <c r="L805" s="72" t="str">
        <f t="shared" si="13"/>
        <v>Payé</v>
      </c>
    </row>
    <row r="806" spans="1:12" ht="15" customHeight="1" x14ac:dyDescent="0.25">
      <c r="A806" s="91" t="s">
        <v>851</v>
      </c>
      <c r="B806" s="90">
        <v>5268</v>
      </c>
      <c r="C806" s="88" t="s">
        <v>924</v>
      </c>
      <c r="D806" s="90" t="s">
        <v>17</v>
      </c>
      <c r="E806" s="90" t="s">
        <v>847</v>
      </c>
      <c r="F806" s="91" t="s">
        <v>851</v>
      </c>
      <c r="G806" s="118">
        <v>7</v>
      </c>
      <c r="H806" s="94">
        <v>607</v>
      </c>
      <c r="I806" s="91">
        <v>45896</v>
      </c>
      <c r="J806" s="165">
        <v>0.48402777777777778</v>
      </c>
      <c r="K806" s="94">
        <v>607</v>
      </c>
      <c r="L806" s="72" t="str">
        <f t="shared" si="13"/>
        <v>Payé</v>
      </c>
    </row>
    <row r="807" spans="1:12" ht="15" customHeight="1" x14ac:dyDescent="0.25">
      <c r="A807" s="91" t="s">
        <v>851</v>
      </c>
      <c r="B807" s="90">
        <v>5274</v>
      </c>
      <c r="C807" s="88" t="s">
        <v>928</v>
      </c>
      <c r="D807" s="90" t="s">
        <v>17</v>
      </c>
      <c r="E807" s="90" t="s">
        <v>847</v>
      </c>
      <c r="F807" s="91" t="s">
        <v>851</v>
      </c>
      <c r="G807" s="118">
        <v>5</v>
      </c>
      <c r="H807" s="94">
        <v>434</v>
      </c>
      <c r="I807" s="91">
        <v>45896</v>
      </c>
      <c r="J807" s="165">
        <v>0.48402777777777778</v>
      </c>
      <c r="K807" s="94">
        <v>434</v>
      </c>
      <c r="L807" s="72" t="str">
        <f t="shared" si="13"/>
        <v>Payé</v>
      </c>
    </row>
    <row r="808" spans="1:12" ht="15" customHeight="1" x14ac:dyDescent="0.25">
      <c r="A808" s="91" t="s">
        <v>851</v>
      </c>
      <c r="B808" s="90">
        <v>2580</v>
      </c>
      <c r="C808" s="88" t="s">
        <v>972</v>
      </c>
      <c r="D808" s="90" t="s">
        <v>17</v>
      </c>
      <c r="E808" s="90" t="s">
        <v>254</v>
      </c>
      <c r="F808" s="91" t="s">
        <v>851</v>
      </c>
      <c r="G808" s="118">
        <v>1</v>
      </c>
      <c r="H808" s="94">
        <v>87</v>
      </c>
      <c r="I808" s="91">
        <v>45895</v>
      </c>
      <c r="J808" s="165">
        <v>0.54375000000000007</v>
      </c>
      <c r="K808" s="94">
        <v>87</v>
      </c>
      <c r="L808" s="72" t="str">
        <f t="shared" si="13"/>
        <v>Payé</v>
      </c>
    </row>
    <row r="809" spans="1:12" ht="15" customHeight="1" x14ac:dyDescent="0.25">
      <c r="A809" s="91" t="s">
        <v>851</v>
      </c>
      <c r="B809" s="90">
        <v>2589</v>
      </c>
      <c r="C809" s="88" t="s">
        <v>973</v>
      </c>
      <c r="D809" s="90" t="s">
        <v>17</v>
      </c>
      <c r="E809" s="90" t="s">
        <v>254</v>
      </c>
      <c r="F809" s="91" t="s">
        <v>851</v>
      </c>
      <c r="G809" s="118">
        <v>4</v>
      </c>
      <c r="H809" s="94">
        <v>347</v>
      </c>
      <c r="I809" s="91">
        <v>45895</v>
      </c>
      <c r="J809" s="165">
        <v>0.54375000000000007</v>
      </c>
      <c r="K809" s="94">
        <v>347</v>
      </c>
      <c r="L809" s="72" t="str">
        <f t="shared" si="13"/>
        <v>Payé</v>
      </c>
    </row>
    <row r="810" spans="1:12" ht="15" customHeight="1" x14ac:dyDescent="0.25">
      <c r="A810" s="91" t="s">
        <v>851</v>
      </c>
      <c r="B810" s="90">
        <v>5225</v>
      </c>
      <c r="C810" s="88" t="s">
        <v>993</v>
      </c>
      <c r="D810" s="90" t="s">
        <v>17</v>
      </c>
      <c r="E810" s="90" t="s">
        <v>254</v>
      </c>
      <c r="F810" s="91" t="s">
        <v>851</v>
      </c>
      <c r="G810" s="118">
        <v>2</v>
      </c>
      <c r="H810" s="94">
        <v>173</v>
      </c>
      <c r="I810" s="91">
        <v>45895</v>
      </c>
      <c r="J810" s="165">
        <v>0.54375000000000007</v>
      </c>
      <c r="K810" s="94">
        <v>173</v>
      </c>
      <c r="L810" s="72" t="str">
        <f t="shared" si="13"/>
        <v>Payé</v>
      </c>
    </row>
    <row r="811" spans="1:12" ht="15" customHeight="1" x14ac:dyDescent="0.25">
      <c r="A811" s="91" t="s">
        <v>851</v>
      </c>
      <c r="B811" s="90">
        <v>5332</v>
      </c>
      <c r="C811" s="88" t="s">
        <v>1038</v>
      </c>
      <c r="D811" s="90" t="s">
        <v>17</v>
      </c>
      <c r="E811" s="90" t="s">
        <v>254</v>
      </c>
      <c r="F811" s="91" t="s">
        <v>851</v>
      </c>
      <c r="G811" s="118">
        <v>4</v>
      </c>
      <c r="H811" s="94">
        <v>347</v>
      </c>
      <c r="I811" s="91">
        <v>45895</v>
      </c>
      <c r="J811" s="165">
        <v>0.54375000000000007</v>
      </c>
      <c r="K811" s="94">
        <v>347</v>
      </c>
      <c r="L811" s="72" t="str">
        <f t="shared" si="13"/>
        <v>Payé</v>
      </c>
    </row>
    <row r="812" spans="1:12" ht="15" customHeight="1" x14ac:dyDescent="0.25">
      <c r="A812" s="91" t="s">
        <v>851</v>
      </c>
      <c r="B812" s="90"/>
      <c r="C812" s="88" t="s">
        <v>1046</v>
      </c>
      <c r="D812" s="89" t="s">
        <v>910</v>
      </c>
      <c r="E812" s="90" t="s">
        <v>254</v>
      </c>
      <c r="F812" s="91" t="s">
        <v>851</v>
      </c>
      <c r="G812" s="95">
        <v>44</v>
      </c>
      <c r="H812" s="92">
        <v>1100</v>
      </c>
      <c r="I812" s="91">
        <v>45895</v>
      </c>
      <c r="J812" s="165">
        <v>0.54375000000000007</v>
      </c>
      <c r="K812" s="92">
        <v>1100</v>
      </c>
      <c r="L812" s="72" t="str">
        <f t="shared" si="13"/>
        <v>Payé</v>
      </c>
    </row>
    <row r="813" spans="1:12" ht="15" customHeight="1" x14ac:dyDescent="0.25">
      <c r="A813" s="91" t="s">
        <v>851</v>
      </c>
      <c r="B813" s="90">
        <v>2254</v>
      </c>
      <c r="C813" s="88" t="s">
        <v>968</v>
      </c>
      <c r="D813" s="90" t="s">
        <v>17</v>
      </c>
      <c r="E813" s="90" t="s">
        <v>649</v>
      </c>
      <c r="F813" s="91" t="s">
        <v>851</v>
      </c>
      <c r="G813" s="118">
        <v>5</v>
      </c>
      <c r="H813" s="94">
        <v>434</v>
      </c>
      <c r="I813" s="91">
        <v>45982</v>
      </c>
      <c r="J813" s="165">
        <v>0.62013888888888891</v>
      </c>
      <c r="K813" s="94">
        <v>434</v>
      </c>
      <c r="L813" s="72" t="str">
        <f t="shared" si="13"/>
        <v>Payé</v>
      </c>
    </row>
    <row r="814" spans="1:12" ht="15" customHeight="1" x14ac:dyDescent="0.25">
      <c r="A814" s="91" t="s">
        <v>851</v>
      </c>
      <c r="B814" s="90">
        <v>2436</v>
      </c>
      <c r="C814" s="88" t="s">
        <v>405</v>
      </c>
      <c r="D814" s="90" t="s">
        <v>17</v>
      </c>
      <c r="E814" s="90" t="s">
        <v>649</v>
      </c>
      <c r="F814" s="91" t="s">
        <v>851</v>
      </c>
      <c r="G814" s="118">
        <v>4</v>
      </c>
      <c r="H814" s="94">
        <v>347</v>
      </c>
      <c r="I814" s="91">
        <v>45895</v>
      </c>
      <c r="J814" s="165">
        <v>0.67291666666666661</v>
      </c>
      <c r="K814" s="94">
        <v>347</v>
      </c>
      <c r="L814" s="72" t="str">
        <f t="shared" si="13"/>
        <v>Payé</v>
      </c>
    </row>
    <row r="815" spans="1:12" ht="15" customHeight="1" x14ac:dyDescent="0.25">
      <c r="A815" s="91" t="s">
        <v>851</v>
      </c>
      <c r="B815" s="90">
        <v>2922</v>
      </c>
      <c r="C815" s="88" t="s">
        <v>548</v>
      </c>
      <c r="D815" s="90" t="s">
        <v>17</v>
      </c>
      <c r="E815" s="90" t="s">
        <v>649</v>
      </c>
      <c r="F815" s="91" t="s">
        <v>851</v>
      </c>
      <c r="G815" s="118">
        <v>4</v>
      </c>
      <c r="H815" s="94">
        <v>387</v>
      </c>
      <c r="I815" s="91">
        <v>45897</v>
      </c>
      <c r="J815" s="165">
        <v>0.53819444444444442</v>
      </c>
      <c r="K815" s="94">
        <v>387</v>
      </c>
      <c r="L815" s="72" t="str">
        <f t="shared" si="13"/>
        <v>Payé</v>
      </c>
    </row>
    <row r="816" spans="1:12" ht="15" customHeight="1" x14ac:dyDescent="0.25">
      <c r="A816" s="91" t="s">
        <v>851</v>
      </c>
      <c r="B816" s="90">
        <v>3010</v>
      </c>
      <c r="C816" s="88" t="s">
        <v>549</v>
      </c>
      <c r="D816" s="90" t="s">
        <v>17</v>
      </c>
      <c r="E816" s="90" t="s">
        <v>649</v>
      </c>
      <c r="F816" s="91" t="s">
        <v>851</v>
      </c>
      <c r="G816" s="118">
        <v>5</v>
      </c>
      <c r="H816" s="94">
        <v>434</v>
      </c>
      <c r="I816" s="91">
        <v>45915</v>
      </c>
      <c r="J816" s="165">
        <v>0.67291666666666661</v>
      </c>
      <c r="K816" s="94">
        <v>434</v>
      </c>
      <c r="L816" s="72" t="str">
        <f t="shared" si="13"/>
        <v>Payé</v>
      </c>
    </row>
    <row r="817" spans="1:12" ht="15" customHeight="1" x14ac:dyDescent="0.25">
      <c r="A817" s="91" t="s">
        <v>851</v>
      </c>
      <c r="B817" s="90">
        <v>3075</v>
      </c>
      <c r="C817" s="88" t="s">
        <v>550</v>
      </c>
      <c r="D817" s="90" t="s">
        <v>17</v>
      </c>
      <c r="E817" s="90" t="s">
        <v>649</v>
      </c>
      <c r="F817" s="91" t="s">
        <v>851</v>
      </c>
      <c r="G817" s="118">
        <v>5</v>
      </c>
      <c r="H817" s="94">
        <v>434</v>
      </c>
      <c r="I817" s="91">
        <v>45917</v>
      </c>
      <c r="J817" s="165">
        <v>0.59305555555555556</v>
      </c>
      <c r="K817" s="94">
        <v>434</v>
      </c>
      <c r="L817" s="72" t="str">
        <f t="shared" si="13"/>
        <v>Payé</v>
      </c>
    </row>
    <row r="818" spans="1:12" ht="15" customHeight="1" x14ac:dyDescent="0.25">
      <c r="A818" s="91" t="s">
        <v>851</v>
      </c>
      <c r="B818" s="90">
        <v>3086</v>
      </c>
      <c r="C818" s="88" t="s">
        <v>551</v>
      </c>
      <c r="D818" s="90" t="s">
        <v>17</v>
      </c>
      <c r="E818" s="90" t="s">
        <v>649</v>
      </c>
      <c r="F818" s="91" t="s">
        <v>851</v>
      </c>
      <c r="G818" s="118">
        <v>5</v>
      </c>
      <c r="H818" s="94">
        <v>434</v>
      </c>
      <c r="I818" s="91">
        <v>45897</v>
      </c>
      <c r="J818" s="165">
        <v>0.53819444444444442</v>
      </c>
      <c r="K818" s="94">
        <v>434</v>
      </c>
      <c r="L818" s="72" t="str">
        <f t="shared" si="13"/>
        <v>Payé</v>
      </c>
    </row>
    <row r="819" spans="1:12" ht="15" customHeight="1" x14ac:dyDescent="0.25">
      <c r="A819" s="91" t="s">
        <v>851</v>
      </c>
      <c r="B819" s="90">
        <v>3130</v>
      </c>
      <c r="C819" s="88" t="s">
        <v>553</v>
      </c>
      <c r="D819" s="90" t="s">
        <v>17</v>
      </c>
      <c r="E819" s="90" t="s">
        <v>649</v>
      </c>
      <c r="F819" s="91" t="s">
        <v>851</v>
      </c>
      <c r="G819" s="118">
        <v>5</v>
      </c>
      <c r="H819" s="94">
        <v>454</v>
      </c>
      <c r="I819" s="91">
        <v>45937</v>
      </c>
      <c r="J819" s="165">
        <v>0.57222222222222219</v>
      </c>
      <c r="K819" s="94">
        <v>454</v>
      </c>
      <c r="L819" s="72" t="str">
        <f t="shared" si="13"/>
        <v>Payé</v>
      </c>
    </row>
    <row r="820" spans="1:12" ht="15" customHeight="1" x14ac:dyDescent="0.25">
      <c r="A820" s="91" t="s">
        <v>851</v>
      </c>
      <c r="B820" s="90">
        <v>3133</v>
      </c>
      <c r="C820" s="88" t="s">
        <v>554</v>
      </c>
      <c r="D820" s="90" t="s">
        <v>17</v>
      </c>
      <c r="E820" s="90" t="s">
        <v>649</v>
      </c>
      <c r="F820" s="91" t="s">
        <v>851</v>
      </c>
      <c r="G820" s="118">
        <v>4</v>
      </c>
      <c r="H820" s="94">
        <v>347</v>
      </c>
      <c r="I820" s="91">
        <v>45937</v>
      </c>
      <c r="J820" s="165">
        <v>0.57222222222222219</v>
      </c>
      <c r="K820" s="94">
        <v>347</v>
      </c>
      <c r="L820" s="72" t="str">
        <f t="shared" si="13"/>
        <v>Payé</v>
      </c>
    </row>
    <row r="821" spans="1:12" ht="15" customHeight="1" x14ac:dyDescent="0.25">
      <c r="A821" s="91" t="s">
        <v>851</v>
      </c>
      <c r="B821" s="90">
        <v>3136</v>
      </c>
      <c r="C821" s="88" t="s">
        <v>377</v>
      </c>
      <c r="D821" s="90" t="s">
        <v>17</v>
      </c>
      <c r="E821" s="90" t="s">
        <v>649</v>
      </c>
      <c r="F821" s="91" t="s">
        <v>851</v>
      </c>
      <c r="G821" s="118">
        <v>3</v>
      </c>
      <c r="H821" s="94">
        <v>260</v>
      </c>
      <c r="I821" s="91">
        <v>45937</v>
      </c>
      <c r="J821" s="165">
        <v>0.57222222222222219</v>
      </c>
      <c r="K821" s="94">
        <v>260</v>
      </c>
      <c r="L821" s="72" t="str">
        <f t="shared" si="13"/>
        <v>Payé</v>
      </c>
    </row>
    <row r="822" spans="1:12" ht="15" customHeight="1" x14ac:dyDescent="0.25">
      <c r="A822" s="91" t="s">
        <v>851</v>
      </c>
      <c r="B822" s="90">
        <v>3400</v>
      </c>
      <c r="C822" s="88" t="s">
        <v>977</v>
      </c>
      <c r="D822" s="90" t="s">
        <v>17</v>
      </c>
      <c r="E822" s="90" t="s">
        <v>649</v>
      </c>
      <c r="F822" s="91" t="s">
        <v>851</v>
      </c>
      <c r="G822" s="118">
        <v>3</v>
      </c>
      <c r="H822" s="94">
        <v>260</v>
      </c>
      <c r="I822" s="91">
        <v>45930</v>
      </c>
      <c r="J822" s="165">
        <v>0.53472222222222221</v>
      </c>
      <c r="K822" s="94">
        <v>260</v>
      </c>
      <c r="L822" s="72" t="str">
        <f t="shared" si="13"/>
        <v>Payé</v>
      </c>
    </row>
    <row r="823" spans="1:12" ht="15" customHeight="1" x14ac:dyDescent="0.25">
      <c r="A823" s="91" t="s">
        <v>851</v>
      </c>
      <c r="B823" s="90">
        <v>3627</v>
      </c>
      <c r="C823" s="88" t="s">
        <v>566</v>
      </c>
      <c r="D823" s="90" t="s">
        <v>17</v>
      </c>
      <c r="E823" s="90" t="s">
        <v>649</v>
      </c>
      <c r="F823" s="91" t="s">
        <v>851</v>
      </c>
      <c r="G823" s="118">
        <v>2</v>
      </c>
      <c r="H823" s="94">
        <v>173</v>
      </c>
      <c r="I823" s="91">
        <v>45987</v>
      </c>
      <c r="J823" s="165">
        <v>0.66111111111111109</v>
      </c>
      <c r="K823" s="94">
        <v>173</v>
      </c>
      <c r="L823" s="72" t="str">
        <f t="shared" si="13"/>
        <v>Payé</v>
      </c>
    </row>
    <row r="824" spans="1:12" ht="15" customHeight="1" x14ac:dyDescent="0.25">
      <c r="A824" s="91" t="s">
        <v>851</v>
      </c>
      <c r="B824" s="90">
        <v>4177</v>
      </c>
      <c r="C824" s="88" t="s">
        <v>582</v>
      </c>
      <c r="D824" s="90" t="s">
        <v>17</v>
      </c>
      <c r="E824" s="90" t="s">
        <v>649</v>
      </c>
      <c r="F824" s="91" t="s">
        <v>851</v>
      </c>
      <c r="G824" s="118">
        <v>3</v>
      </c>
      <c r="H824" s="94">
        <v>260</v>
      </c>
      <c r="I824" s="91">
        <v>45972</v>
      </c>
      <c r="J824" s="165">
        <v>0.66041666666666665</v>
      </c>
      <c r="K824" s="94">
        <v>260</v>
      </c>
      <c r="L824" s="72" t="str">
        <f t="shared" si="13"/>
        <v>Payé</v>
      </c>
    </row>
    <row r="825" spans="1:12" ht="15" customHeight="1" x14ac:dyDescent="0.25">
      <c r="A825" s="91" t="s">
        <v>851</v>
      </c>
      <c r="B825" s="90">
        <v>4202</v>
      </c>
      <c r="C825" s="88" t="s">
        <v>609</v>
      </c>
      <c r="D825" s="90" t="s">
        <v>17</v>
      </c>
      <c r="E825" s="90" t="s">
        <v>649</v>
      </c>
      <c r="F825" s="91" t="s">
        <v>851</v>
      </c>
      <c r="G825" s="118">
        <v>2</v>
      </c>
      <c r="H825" s="94">
        <v>173</v>
      </c>
      <c r="I825" s="91">
        <v>45937</v>
      </c>
      <c r="J825" s="165">
        <v>0.57222222222222219</v>
      </c>
      <c r="K825" s="94">
        <v>173</v>
      </c>
      <c r="L825" s="72" t="str">
        <f t="shared" si="13"/>
        <v>Payé</v>
      </c>
    </row>
    <row r="826" spans="1:12" ht="15" customHeight="1" x14ac:dyDescent="0.25">
      <c r="A826" s="91" t="s">
        <v>851</v>
      </c>
      <c r="B826" s="90">
        <v>4204</v>
      </c>
      <c r="C826" s="88" t="s">
        <v>610</v>
      </c>
      <c r="D826" s="90" t="s">
        <v>17</v>
      </c>
      <c r="E826" s="90" t="s">
        <v>649</v>
      </c>
      <c r="F826" s="91" t="s">
        <v>851</v>
      </c>
      <c r="G826" s="118">
        <v>4</v>
      </c>
      <c r="H826" s="94">
        <v>347</v>
      </c>
      <c r="I826" s="91">
        <v>45937</v>
      </c>
      <c r="J826" s="165">
        <v>0.57222222222222219</v>
      </c>
      <c r="K826" s="94">
        <v>347</v>
      </c>
      <c r="L826" s="72" t="str">
        <f t="shared" si="13"/>
        <v>Payé</v>
      </c>
    </row>
    <row r="827" spans="1:12" ht="15" customHeight="1" x14ac:dyDescent="0.25">
      <c r="A827" s="91" t="s">
        <v>851</v>
      </c>
      <c r="B827" s="90">
        <v>4265</v>
      </c>
      <c r="C827" s="88" t="s">
        <v>675</v>
      </c>
      <c r="D827" s="90" t="s">
        <v>17</v>
      </c>
      <c r="E827" s="90" t="s">
        <v>649</v>
      </c>
      <c r="F827" s="91" t="s">
        <v>851</v>
      </c>
      <c r="G827" s="118">
        <v>3</v>
      </c>
      <c r="H827" s="94">
        <v>260</v>
      </c>
      <c r="I827" s="91">
        <v>45926</v>
      </c>
      <c r="J827" s="165">
        <v>0.70624999999999993</v>
      </c>
      <c r="K827" s="94">
        <v>260</v>
      </c>
      <c r="L827" s="72" t="str">
        <f t="shared" si="13"/>
        <v>Payé</v>
      </c>
    </row>
    <row r="828" spans="1:12" ht="15" customHeight="1" x14ac:dyDescent="0.25">
      <c r="A828" s="91" t="s">
        <v>851</v>
      </c>
      <c r="B828" s="90">
        <v>4506</v>
      </c>
      <c r="C828" s="88" t="s">
        <v>764</v>
      </c>
      <c r="D828" s="90" t="s">
        <v>17</v>
      </c>
      <c r="E828" s="90" t="s">
        <v>649</v>
      </c>
      <c r="F828" s="91" t="s">
        <v>851</v>
      </c>
      <c r="G828" s="118">
        <v>2</v>
      </c>
      <c r="H828" s="94">
        <v>173</v>
      </c>
      <c r="I828" s="91">
        <v>45915</v>
      </c>
      <c r="J828" s="165">
        <v>0.67291666666666661</v>
      </c>
      <c r="K828" s="94">
        <v>173</v>
      </c>
      <c r="L828" s="72" t="str">
        <f t="shared" si="13"/>
        <v>Payé</v>
      </c>
    </row>
    <row r="829" spans="1:12" ht="15" customHeight="1" x14ac:dyDescent="0.25">
      <c r="A829" s="91" t="s">
        <v>851</v>
      </c>
      <c r="B829" s="90">
        <v>4730</v>
      </c>
      <c r="C829" s="88" t="s">
        <v>765</v>
      </c>
      <c r="D829" s="90" t="s">
        <v>17</v>
      </c>
      <c r="E829" s="90" t="s">
        <v>649</v>
      </c>
      <c r="F829" s="91" t="s">
        <v>851</v>
      </c>
      <c r="G829" s="118">
        <v>5</v>
      </c>
      <c r="H829" s="94">
        <v>434</v>
      </c>
      <c r="I829" s="91">
        <v>45917</v>
      </c>
      <c r="J829" s="165">
        <v>0.59305555555555556</v>
      </c>
      <c r="K829" s="94">
        <v>434</v>
      </c>
      <c r="L829" s="72" t="str">
        <f t="shared" si="13"/>
        <v>Payé</v>
      </c>
    </row>
    <row r="830" spans="1:12" ht="15" customHeight="1" x14ac:dyDescent="0.25">
      <c r="A830" s="91" t="s">
        <v>851</v>
      </c>
      <c r="B830" s="90">
        <v>5195</v>
      </c>
      <c r="C830" s="88" t="s">
        <v>831</v>
      </c>
      <c r="D830" s="90" t="s">
        <v>17</v>
      </c>
      <c r="E830" s="90" t="s">
        <v>649</v>
      </c>
      <c r="F830" s="91" t="s">
        <v>851</v>
      </c>
      <c r="G830" s="118">
        <v>4</v>
      </c>
      <c r="H830" s="94">
        <v>347</v>
      </c>
      <c r="I830" s="91">
        <v>45926</v>
      </c>
      <c r="J830" s="165">
        <v>0.70624999999999993</v>
      </c>
      <c r="K830" s="94">
        <v>347</v>
      </c>
      <c r="L830" s="72" t="str">
        <f t="shared" si="13"/>
        <v>Payé</v>
      </c>
    </row>
    <row r="831" spans="1:12" ht="15" customHeight="1" x14ac:dyDescent="0.25">
      <c r="A831" s="91" t="s">
        <v>851</v>
      </c>
      <c r="B831" s="90">
        <v>5198</v>
      </c>
      <c r="C831" s="88" t="s">
        <v>832</v>
      </c>
      <c r="D831" s="90" t="s">
        <v>17</v>
      </c>
      <c r="E831" s="90" t="s">
        <v>649</v>
      </c>
      <c r="F831" s="91" t="s">
        <v>851</v>
      </c>
      <c r="G831" s="118">
        <v>4</v>
      </c>
      <c r="H831" s="94">
        <v>347</v>
      </c>
      <c r="I831" s="91">
        <v>45952</v>
      </c>
      <c r="J831" s="165">
        <v>0.48194444444444445</v>
      </c>
      <c r="K831" s="94">
        <v>347</v>
      </c>
      <c r="L831" s="72" t="str">
        <f t="shared" si="13"/>
        <v>Payé</v>
      </c>
    </row>
    <row r="832" spans="1:12" ht="15" customHeight="1" x14ac:dyDescent="0.25">
      <c r="A832" s="91" t="s">
        <v>851</v>
      </c>
      <c r="B832" s="90">
        <v>5237</v>
      </c>
      <c r="C832" s="88" t="s">
        <v>882</v>
      </c>
      <c r="D832" s="90" t="s">
        <v>17</v>
      </c>
      <c r="E832" s="90" t="s">
        <v>649</v>
      </c>
      <c r="F832" s="91" t="s">
        <v>851</v>
      </c>
      <c r="G832" s="118">
        <v>5</v>
      </c>
      <c r="H832" s="94">
        <v>434</v>
      </c>
      <c r="I832" s="91">
        <v>45917</v>
      </c>
      <c r="J832" s="165">
        <v>0.59305555555555556</v>
      </c>
      <c r="K832" s="94">
        <v>434</v>
      </c>
      <c r="L832" s="72" t="str">
        <f t="shared" si="13"/>
        <v>Payé</v>
      </c>
    </row>
    <row r="833" spans="1:12" ht="15" customHeight="1" x14ac:dyDescent="0.25">
      <c r="A833" s="91" t="s">
        <v>851</v>
      </c>
      <c r="B833" s="90">
        <v>5252</v>
      </c>
      <c r="C833" s="88" t="s">
        <v>994</v>
      </c>
      <c r="D833" s="90" t="s">
        <v>17</v>
      </c>
      <c r="E833" s="90" t="s">
        <v>649</v>
      </c>
      <c r="F833" s="91" t="s">
        <v>851</v>
      </c>
      <c r="G833" s="118">
        <v>1</v>
      </c>
      <c r="H833" s="94">
        <v>87</v>
      </c>
      <c r="I833" s="91">
        <v>45926</v>
      </c>
      <c r="J833" s="165">
        <v>0.68472222222222223</v>
      </c>
      <c r="K833" s="94">
        <v>87</v>
      </c>
      <c r="L833" s="72" t="str">
        <f t="shared" si="13"/>
        <v>Payé</v>
      </c>
    </row>
    <row r="834" spans="1:12" ht="15" customHeight="1" x14ac:dyDescent="0.25">
      <c r="A834" s="91" t="s">
        <v>851</v>
      </c>
      <c r="B834" s="90" t="s">
        <v>631</v>
      </c>
      <c r="C834" s="88" t="s">
        <v>548</v>
      </c>
      <c r="D834" s="89" t="s">
        <v>910</v>
      </c>
      <c r="E834" s="90" t="s">
        <v>649</v>
      </c>
      <c r="F834" s="91" t="s">
        <v>851</v>
      </c>
      <c r="G834" s="95">
        <v>90</v>
      </c>
      <c r="H834" s="92">
        <v>2250</v>
      </c>
      <c r="I834" s="91">
        <v>45897</v>
      </c>
      <c r="J834" s="165">
        <v>0.53819444444444442</v>
      </c>
      <c r="K834" s="92">
        <v>2250</v>
      </c>
      <c r="L834" s="72" t="str">
        <f t="shared" si="13"/>
        <v>Payé</v>
      </c>
    </row>
    <row r="835" spans="1:12" ht="15" customHeight="1" x14ac:dyDescent="0.25">
      <c r="A835" s="91" t="s">
        <v>851</v>
      </c>
      <c r="B835" s="90">
        <v>3486</v>
      </c>
      <c r="C835" s="88" t="s">
        <v>980</v>
      </c>
      <c r="D835" s="90" t="s">
        <v>17</v>
      </c>
      <c r="E835" s="90" t="s">
        <v>628</v>
      </c>
      <c r="F835" s="91" t="s">
        <v>851</v>
      </c>
      <c r="G835" s="118">
        <v>7</v>
      </c>
      <c r="H835" s="94">
        <v>607</v>
      </c>
      <c r="I835" s="91">
        <v>45896</v>
      </c>
      <c r="J835" s="165">
        <v>0.53194444444444444</v>
      </c>
      <c r="K835" s="94">
        <v>607</v>
      </c>
      <c r="L835" s="72" t="str">
        <f t="shared" si="13"/>
        <v>Payé</v>
      </c>
    </row>
    <row r="836" spans="1:12" ht="15" customHeight="1" x14ac:dyDescent="0.25">
      <c r="A836" s="91" t="s">
        <v>851</v>
      </c>
      <c r="B836" s="90">
        <v>3506</v>
      </c>
      <c r="C836" s="88" t="s">
        <v>982</v>
      </c>
      <c r="D836" s="90" t="s">
        <v>17</v>
      </c>
      <c r="E836" s="90" t="s">
        <v>628</v>
      </c>
      <c r="F836" s="91" t="s">
        <v>851</v>
      </c>
      <c r="G836" s="118">
        <v>1</v>
      </c>
      <c r="H836" s="94">
        <v>87</v>
      </c>
      <c r="I836" s="91">
        <v>45896</v>
      </c>
      <c r="J836" s="165">
        <v>0.53194444444444444</v>
      </c>
      <c r="K836" s="94">
        <v>87</v>
      </c>
      <c r="L836" s="72" t="str">
        <f t="shared" si="13"/>
        <v>Payé</v>
      </c>
    </row>
    <row r="837" spans="1:12" ht="15" customHeight="1" x14ac:dyDescent="0.25">
      <c r="A837" s="91" t="s">
        <v>851</v>
      </c>
      <c r="B837" s="90">
        <v>3590</v>
      </c>
      <c r="C837" s="88" t="s">
        <v>425</v>
      </c>
      <c r="D837" s="90" t="s">
        <v>17</v>
      </c>
      <c r="E837" s="90" t="s">
        <v>628</v>
      </c>
      <c r="F837" s="91" t="s">
        <v>851</v>
      </c>
      <c r="G837" s="118">
        <v>2</v>
      </c>
      <c r="H837" s="94">
        <v>173</v>
      </c>
      <c r="I837" s="91">
        <v>45896</v>
      </c>
      <c r="J837" s="165">
        <v>0.53194444444444444</v>
      </c>
      <c r="K837" s="94">
        <v>173</v>
      </c>
      <c r="L837" s="72" t="str">
        <f t="shared" si="13"/>
        <v>Payé</v>
      </c>
    </row>
    <row r="838" spans="1:12" ht="15" customHeight="1" x14ac:dyDescent="0.25">
      <c r="A838" s="91" t="s">
        <v>851</v>
      </c>
      <c r="B838" s="90">
        <v>4061</v>
      </c>
      <c r="C838" s="88" t="s">
        <v>619</v>
      </c>
      <c r="D838" s="90" t="s">
        <v>17</v>
      </c>
      <c r="E838" s="90" t="s">
        <v>628</v>
      </c>
      <c r="F838" s="91" t="s">
        <v>851</v>
      </c>
      <c r="G838" s="118">
        <v>2</v>
      </c>
      <c r="H838" s="94">
        <v>173</v>
      </c>
      <c r="I838" s="91">
        <v>45896</v>
      </c>
      <c r="J838" s="165">
        <v>0.53194444444444444</v>
      </c>
      <c r="K838" s="94">
        <v>173</v>
      </c>
      <c r="L838" s="72" t="str">
        <f t="shared" si="13"/>
        <v>Payé</v>
      </c>
    </row>
    <row r="839" spans="1:12" ht="15" customHeight="1" x14ac:dyDescent="0.25">
      <c r="A839" s="91" t="s">
        <v>851</v>
      </c>
      <c r="B839" s="90">
        <v>4090</v>
      </c>
      <c r="C839" s="88" t="s">
        <v>620</v>
      </c>
      <c r="D839" s="90" t="s">
        <v>17</v>
      </c>
      <c r="E839" s="90" t="s">
        <v>628</v>
      </c>
      <c r="F839" s="91" t="s">
        <v>851</v>
      </c>
      <c r="G839" s="118">
        <v>11</v>
      </c>
      <c r="H839" s="94">
        <v>954</v>
      </c>
      <c r="I839" s="91">
        <v>45896</v>
      </c>
      <c r="J839" s="165">
        <v>0.53194444444444444</v>
      </c>
      <c r="K839" s="94">
        <v>954</v>
      </c>
      <c r="L839" s="72" t="str">
        <f t="shared" si="13"/>
        <v>Payé</v>
      </c>
    </row>
    <row r="840" spans="1:12" ht="15" customHeight="1" x14ac:dyDescent="0.25">
      <c r="A840" s="91" t="s">
        <v>851</v>
      </c>
      <c r="B840" s="90">
        <v>4310</v>
      </c>
      <c r="C840" s="88" t="s">
        <v>624</v>
      </c>
      <c r="D840" s="90" t="s">
        <v>17</v>
      </c>
      <c r="E840" s="90" t="s">
        <v>628</v>
      </c>
      <c r="F840" s="91" t="s">
        <v>851</v>
      </c>
      <c r="G840" s="118">
        <v>8</v>
      </c>
      <c r="H840" s="94">
        <v>694</v>
      </c>
      <c r="I840" s="91">
        <v>45896</v>
      </c>
      <c r="J840" s="165">
        <v>0.53194444444444444</v>
      </c>
      <c r="K840" s="94">
        <v>694</v>
      </c>
      <c r="L840" s="72" t="str">
        <f t="shared" si="13"/>
        <v>Payé</v>
      </c>
    </row>
    <row r="841" spans="1:12" ht="15" customHeight="1" x14ac:dyDescent="0.25">
      <c r="A841" s="91" t="s">
        <v>851</v>
      </c>
      <c r="B841" s="90">
        <v>4333</v>
      </c>
      <c r="C841" s="88" t="s">
        <v>706</v>
      </c>
      <c r="D841" s="90" t="s">
        <v>17</v>
      </c>
      <c r="E841" s="90" t="s">
        <v>628</v>
      </c>
      <c r="F841" s="91" t="s">
        <v>851</v>
      </c>
      <c r="G841" s="118">
        <v>2</v>
      </c>
      <c r="H841" s="94">
        <v>173</v>
      </c>
      <c r="I841" s="91">
        <v>45896</v>
      </c>
      <c r="J841" s="165">
        <v>0.53194444444444444</v>
      </c>
      <c r="K841" s="94">
        <v>173</v>
      </c>
      <c r="L841" s="72" t="str">
        <f t="shared" si="13"/>
        <v>Payé</v>
      </c>
    </row>
    <row r="842" spans="1:12" ht="15" customHeight="1" x14ac:dyDescent="0.25">
      <c r="A842" s="91" t="s">
        <v>851</v>
      </c>
      <c r="B842" s="90">
        <v>4334</v>
      </c>
      <c r="C842" s="88" t="s">
        <v>622</v>
      </c>
      <c r="D842" s="90" t="s">
        <v>17</v>
      </c>
      <c r="E842" s="90" t="s">
        <v>628</v>
      </c>
      <c r="F842" s="91" t="s">
        <v>851</v>
      </c>
      <c r="G842" s="118">
        <v>7</v>
      </c>
      <c r="H842" s="94">
        <v>607</v>
      </c>
      <c r="I842" s="91">
        <v>45896</v>
      </c>
      <c r="J842" s="165">
        <v>0.53194444444444444</v>
      </c>
      <c r="K842" s="94">
        <v>607</v>
      </c>
      <c r="L842" s="72" t="str">
        <f t="shared" si="13"/>
        <v>Payé</v>
      </c>
    </row>
    <row r="843" spans="1:12" ht="15" customHeight="1" x14ac:dyDescent="0.25">
      <c r="A843" s="91" t="s">
        <v>851</v>
      </c>
      <c r="B843" s="90">
        <v>4470</v>
      </c>
      <c r="C843" s="88" t="s">
        <v>989</v>
      </c>
      <c r="D843" s="90" t="s">
        <v>17</v>
      </c>
      <c r="E843" s="90" t="s">
        <v>628</v>
      </c>
      <c r="F843" s="91" t="s">
        <v>851</v>
      </c>
      <c r="G843" s="118">
        <v>2</v>
      </c>
      <c r="H843" s="94">
        <v>173</v>
      </c>
      <c r="I843" s="91">
        <v>45896</v>
      </c>
      <c r="J843" s="165">
        <v>0.53194444444444444</v>
      </c>
      <c r="K843" s="94">
        <v>173</v>
      </c>
      <c r="L843" s="72" t="str">
        <f t="shared" si="13"/>
        <v>Payé</v>
      </c>
    </row>
    <row r="844" spans="1:12" ht="15" customHeight="1" x14ac:dyDescent="0.25">
      <c r="A844" s="91" t="s">
        <v>851</v>
      </c>
      <c r="B844" s="90">
        <v>4509</v>
      </c>
      <c r="C844" s="88" t="s">
        <v>623</v>
      </c>
      <c r="D844" s="90" t="s">
        <v>17</v>
      </c>
      <c r="E844" s="90" t="s">
        <v>628</v>
      </c>
      <c r="F844" s="91" t="s">
        <v>851</v>
      </c>
      <c r="G844" s="118">
        <v>12</v>
      </c>
      <c r="H844" s="94">
        <v>1041</v>
      </c>
      <c r="I844" s="91">
        <v>45896</v>
      </c>
      <c r="J844" s="165">
        <v>0.53194444444444444</v>
      </c>
      <c r="K844" s="94">
        <v>1041</v>
      </c>
      <c r="L844" s="72" t="str">
        <f t="shared" si="13"/>
        <v>Payé</v>
      </c>
    </row>
    <row r="845" spans="1:12" ht="15" customHeight="1" x14ac:dyDescent="0.25">
      <c r="A845" s="91" t="s">
        <v>851</v>
      </c>
      <c r="B845" s="90">
        <v>4801</v>
      </c>
      <c r="C845" s="88" t="s">
        <v>990</v>
      </c>
      <c r="D845" s="90" t="s">
        <v>17</v>
      </c>
      <c r="E845" s="90" t="s">
        <v>628</v>
      </c>
      <c r="F845" s="91" t="s">
        <v>851</v>
      </c>
      <c r="G845" s="118">
        <v>7</v>
      </c>
      <c r="H845" s="94">
        <v>607</v>
      </c>
      <c r="I845" s="91">
        <v>45896</v>
      </c>
      <c r="J845" s="165">
        <v>0.53194444444444444</v>
      </c>
      <c r="K845" s="94">
        <v>607</v>
      </c>
      <c r="L845" s="72" t="str">
        <f t="shared" si="13"/>
        <v>Payé</v>
      </c>
    </row>
    <row r="846" spans="1:12" ht="15" customHeight="1" x14ac:dyDescent="0.25">
      <c r="A846" s="91" t="s">
        <v>851</v>
      </c>
      <c r="B846" s="90">
        <v>5121</v>
      </c>
      <c r="C846" s="88" t="s">
        <v>826</v>
      </c>
      <c r="D846" s="90" t="s">
        <v>17</v>
      </c>
      <c r="E846" s="90" t="s">
        <v>628</v>
      </c>
      <c r="F846" s="91" t="s">
        <v>851</v>
      </c>
      <c r="G846" s="118">
        <v>5</v>
      </c>
      <c r="H846" s="94">
        <v>434</v>
      </c>
      <c r="I846" s="91">
        <v>45896</v>
      </c>
      <c r="J846" s="165">
        <v>0.53194444444444444</v>
      </c>
      <c r="K846" s="94">
        <v>434</v>
      </c>
      <c r="L846" s="72" t="str">
        <f t="shared" si="13"/>
        <v>Payé</v>
      </c>
    </row>
    <row r="847" spans="1:12" ht="15" customHeight="1" x14ac:dyDescent="0.25">
      <c r="A847" s="91" t="s">
        <v>851</v>
      </c>
      <c r="B847" s="90">
        <v>5123</v>
      </c>
      <c r="C847" s="88" t="s">
        <v>827</v>
      </c>
      <c r="D847" s="90" t="s">
        <v>17</v>
      </c>
      <c r="E847" s="90" t="s">
        <v>628</v>
      </c>
      <c r="F847" s="91" t="s">
        <v>851</v>
      </c>
      <c r="G847" s="118">
        <v>1</v>
      </c>
      <c r="H847" s="94">
        <v>87</v>
      </c>
      <c r="I847" s="91">
        <v>45896</v>
      </c>
      <c r="J847" s="165">
        <v>0.53194444444444444</v>
      </c>
      <c r="K847" s="94">
        <v>87</v>
      </c>
      <c r="L847" s="72" t="str">
        <f t="shared" si="13"/>
        <v>Payé</v>
      </c>
    </row>
    <row r="848" spans="1:12" ht="15" customHeight="1" x14ac:dyDescent="0.25">
      <c r="A848" s="91" t="s">
        <v>851</v>
      </c>
      <c r="B848" s="90">
        <v>5272</v>
      </c>
      <c r="C848" s="88" t="s">
        <v>639</v>
      </c>
      <c r="D848" s="90" t="s">
        <v>17</v>
      </c>
      <c r="E848" s="90" t="s">
        <v>628</v>
      </c>
      <c r="F848" s="91" t="s">
        <v>851</v>
      </c>
      <c r="G848" s="118">
        <v>7</v>
      </c>
      <c r="H848" s="94">
        <v>607</v>
      </c>
      <c r="I848" s="91">
        <v>45896</v>
      </c>
      <c r="J848" s="165">
        <v>0.53194444444444444</v>
      </c>
      <c r="K848" s="94">
        <v>607</v>
      </c>
      <c r="L848" s="72" t="str">
        <f t="shared" si="13"/>
        <v>Payé</v>
      </c>
    </row>
    <row r="849" spans="1:13" ht="15" customHeight="1" x14ac:dyDescent="0.25">
      <c r="A849" s="91" t="s">
        <v>851</v>
      </c>
      <c r="B849" s="90">
        <v>8022</v>
      </c>
      <c r="C849" s="88" t="s">
        <v>707</v>
      </c>
      <c r="D849" s="90" t="s">
        <v>17</v>
      </c>
      <c r="E849" s="90" t="s">
        <v>628</v>
      </c>
      <c r="F849" s="91" t="s">
        <v>851</v>
      </c>
      <c r="G849" s="118">
        <v>13</v>
      </c>
      <c r="H849" s="94">
        <v>1128</v>
      </c>
      <c r="I849" s="91">
        <v>45896</v>
      </c>
      <c r="J849" s="165">
        <v>0.53194444444444444</v>
      </c>
      <c r="K849" s="94">
        <v>1128</v>
      </c>
      <c r="L849" s="72" t="str">
        <f t="shared" si="13"/>
        <v>Payé</v>
      </c>
    </row>
    <row r="850" spans="1:13" ht="15" customHeight="1" x14ac:dyDescent="0.25">
      <c r="A850" s="91" t="s">
        <v>851</v>
      </c>
      <c r="B850" s="90"/>
      <c r="C850" s="88" t="s">
        <v>761</v>
      </c>
      <c r="D850" s="89" t="s">
        <v>910</v>
      </c>
      <c r="E850" s="90" t="s">
        <v>476</v>
      </c>
      <c r="F850" s="91" t="s">
        <v>851</v>
      </c>
      <c r="G850" s="95">
        <v>112</v>
      </c>
      <c r="H850" s="92">
        <v>3360</v>
      </c>
      <c r="I850" s="91">
        <v>45897</v>
      </c>
      <c r="J850" s="165">
        <v>0.60763888888888895</v>
      </c>
      <c r="K850" s="92">
        <v>3360</v>
      </c>
      <c r="L850" s="72" t="str">
        <f t="shared" si="13"/>
        <v>Payé</v>
      </c>
    </row>
    <row r="851" spans="1:13" ht="15" customHeight="1" x14ac:dyDescent="0.25">
      <c r="A851" s="91" t="s">
        <v>851</v>
      </c>
      <c r="B851" s="90">
        <v>2965</v>
      </c>
      <c r="C851" s="88" t="s">
        <v>813</v>
      </c>
      <c r="D851" s="90" t="s">
        <v>17</v>
      </c>
      <c r="E851" s="90" t="s">
        <v>753</v>
      </c>
      <c r="F851" s="91" t="s">
        <v>851</v>
      </c>
      <c r="G851" s="118">
        <v>8</v>
      </c>
      <c r="H851" s="94">
        <v>694</v>
      </c>
      <c r="I851" s="91">
        <v>45896</v>
      </c>
      <c r="J851" s="165">
        <v>0.60833333333333328</v>
      </c>
      <c r="K851" s="94">
        <v>694</v>
      </c>
      <c r="L851" s="72" t="str">
        <f t="shared" si="13"/>
        <v>Payé</v>
      </c>
    </row>
    <row r="852" spans="1:13" ht="15" customHeight="1" x14ac:dyDescent="0.25">
      <c r="A852" s="91" t="s">
        <v>851</v>
      </c>
      <c r="B852" s="90">
        <v>2997</v>
      </c>
      <c r="C852" s="88" t="s">
        <v>719</v>
      </c>
      <c r="D852" s="90" t="s">
        <v>17</v>
      </c>
      <c r="E852" s="90" t="s">
        <v>753</v>
      </c>
      <c r="F852" s="91" t="s">
        <v>851</v>
      </c>
      <c r="G852" s="118">
        <v>6</v>
      </c>
      <c r="H852" s="94">
        <v>580</v>
      </c>
      <c r="I852" s="91">
        <v>45896</v>
      </c>
      <c r="J852" s="165">
        <v>0.60833333333333328</v>
      </c>
      <c r="K852" s="94">
        <v>580</v>
      </c>
      <c r="L852" s="72" t="str">
        <f t="shared" si="13"/>
        <v>Payé</v>
      </c>
    </row>
    <row r="853" spans="1:13" ht="15" customHeight="1" x14ac:dyDescent="0.25">
      <c r="A853" s="91" t="s">
        <v>851</v>
      </c>
      <c r="B853" s="90">
        <v>3001</v>
      </c>
      <c r="C853" s="88" t="s">
        <v>799</v>
      </c>
      <c r="D853" s="90" t="s">
        <v>17</v>
      </c>
      <c r="E853" s="90" t="s">
        <v>753</v>
      </c>
      <c r="F853" s="91" t="s">
        <v>851</v>
      </c>
      <c r="G853" s="118">
        <v>8</v>
      </c>
      <c r="H853" s="94">
        <v>694</v>
      </c>
      <c r="I853" s="91">
        <v>45896</v>
      </c>
      <c r="J853" s="165">
        <v>0.60833333333333328</v>
      </c>
      <c r="K853" s="94">
        <v>694</v>
      </c>
      <c r="L853" s="72" t="str">
        <f t="shared" si="13"/>
        <v>Payé</v>
      </c>
    </row>
    <row r="854" spans="1:13" ht="15" customHeight="1" x14ac:dyDescent="0.25">
      <c r="A854" s="91" t="s">
        <v>851</v>
      </c>
      <c r="B854" s="90">
        <v>3903</v>
      </c>
      <c r="C854" s="88" t="s">
        <v>721</v>
      </c>
      <c r="D854" s="90" t="s">
        <v>17</v>
      </c>
      <c r="E854" s="90" t="s">
        <v>753</v>
      </c>
      <c r="F854" s="91" t="s">
        <v>851</v>
      </c>
      <c r="G854" s="118">
        <v>1</v>
      </c>
      <c r="H854" s="94">
        <v>87</v>
      </c>
      <c r="I854" s="91">
        <v>45896</v>
      </c>
      <c r="J854" s="165">
        <v>0.60833333333333328</v>
      </c>
      <c r="K854" s="94">
        <v>87</v>
      </c>
      <c r="L854" s="72" t="str">
        <f t="shared" si="13"/>
        <v>Payé</v>
      </c>
    </row>
    <row r="855" spans="1:13" ht="15" customHeight="1" x14ac:dyDescent="0.25">
      <c r="A855" s="91" t="s">
        <v>851</v>
      </c>
      <c r="B855" s="90">
        <v>4060</v>
      </c>
      <c r="C855" s="88" t="s">
        <v>986</v>
      </c>
      <c r="D855" s="90" t="s">
        <v>17</v>
      </c>
      <c r="E855" s="90" t="s">
        <v>753</v>
      </c>
      <c r="F855" s="91" t="s">
        <v>851</v>
      </c>
      <c r="G855" s="118">
        <v>8</v>
      </c>
      <c r="H855" s="94">
        <v>704</v>
      </c>
      <c r="I855" s="91">
        <v>45896</v>
      </c>
      <c r="J855" s="165">
        <v>0.60833333333333328</v>
      </c>
      <c r="K855" s="94">
        <v>704</v>
      </c>
      <c r="L855" s="72" t="str">
        <f t="shared" si="13"/>
        <v>Payé</v>
      </c>
    </row>
    <row r="856" spans="1:13" ht="15" customHeight="1" x14ac:dyDescent="0.25">
      <c r="A856" s="91" t="s">
        <v>851</v>
      </c>
      <c r="B856" s="90">
        <v>5076</v>
      </c>
      <c r="C856" s="88" t="s">
        <v>991</v>
      </c>
      <c r="D856" s="90" t="s">
        <v>17</v>
      </c>
      <c r="E856" s="90" t="s">
        <v>753</v>
      </c>
      <c r="F856" s="91" t="s">
        <v>851</v>
      </c>
      <c r="G856" s="118">
        <v>2</v>
      </c>
      <c r="H856" s="94">
        <v>183</v>
      </c>
      <c r="I856" s="91">
        <v>45916</v>
      </c>
      <c r="J856" s="165">
        <v>0.70624999999999993</v>
      </c>
      <c r="K856" s="94">
        <v>183</v>
      </c>
      <c r="L856" s="72" t="str">
        <f t="shared" si="13"/>
        <v>Payé</v>
      </c>
      <c r="M856" s="84"/>
    </row>
    <row r="857" spans="1:13" ht="15" customHeight="1" x14ac:dyDescent="0.25">
      <c r="A857" s="91" t="s">
        <v>851</v>
      </c>
      <c r="B857" s="90">
        <v>5203</v>
      </c>
      <c r="C857" s="88" t="s">
        <v>834</v>
      </c>
      <c r="D857" s="90" t="s">
        <v>17</v>
      </c>
      <c r="E857" s="90" t="s">
        <v>753</v>
      </c>
      <c r="F857" s="91" t="s">
        <v>851</v>
      </c>
      <c r="G857" s="118">
        <v>7</v>
      </c>
      <c r="H857" s="94">
        <v>607</v>
      </c>
      <c r="I857" s="91">
        <v>45896</v>
      </c>
      <c r="J857" s="165">
        <v>0.60833333333333328</v>
      </c>
      <c r="K857" s="94">
        <v>607</v>
      </c>
      <c r="L857" s="72" t="str">
        <f t="shared" si="13"/>
        <v>Payé</v>
      </c>
      <c r="M857" s="84"/>
    </row>
    <row r="858" spans="1:13" ht="15" customHeight="1" x14ac:dyDescent="0.25">
      <c r="A858" s="91" t="s">
        <v>851</v>
      </c>
      <c r="B858" s="90">
        <v>5209</v>
      </c>
      <c r="C858" s="88" t="s">
        <v>835</v>
      </c>
      <c r="D858" s="90" t="s">
        <v>17</v>
      </c>
      <c r="E858" s="90" t="s">
        <v>753</v>
      </c>
      <c r="F858" s="91" t="s">
        <v>851</v>
      </c>
      <c r="G858" s="118">
        <v>7</v>
      </c>
      <c r="H858" s="94">
        <v>607</v>
      </c>
      <c r="I858" s="91">
        <v>45896</v>
      </c>
      <c r="J858" s="165">
        <v>0.60833333333333328</v>
      </c>
      <c r="K858" s="94">
        <v>607</v>
      </c>
      <c r="L858" s="72" t="str">
        <f t="shared" si="13"/>
        <v>Payé</v>
      </c>
    </row>
    <row r="859" spans="1:13" ht="15" customHeight="1" x14ac:dyDescent="0.25">
      <c r="A859" s="91" t="s">
        <v>851</v>
      </c>
      <c r="B859" s="90">
        <v>5222</v>
      </c>
      <c r="C859" s="88" t="s">
        <v>839</v>
      </c>
      <c r="D859" s="90" t="s">
        <v>17</v>
      </c>
      <c r="E859" s="90" t="s">
        <v>753</v>
      </c>
      <c r="F859" s="91" t="s">
        <v>851</v>
      </c>
      <c r="G859" s="118">
        <v>1</v>
      </c>
      <c r="H859" s="94">
        <v>87</v>
      </c>
      <c r="I859" s="91">
        <v>45896</v>
      </c>
      <c r="J859" s="165">
        <v>0.60833333333333328</v>
      </c>
      <c r="K859" s="94">
        <v>87</v>
      </c>
      <c r="L859" s="72" t="str">
        <f t="shared" si="13"/>
        <v>Payé</v>
      </c>
    </row>
    <row r="860" spans="1:13" ht="15" customHeight="1" x14ac:dyDescent="0.25">
      <c r="A860" s="91" t="s">
        <v>851</v>
      </c>
      <c r="B860" s="90">
        <v>5238</v>
      </c>
      <c r="C860" s="88" t="s">
        <v>883</v>
      </c>
      <c r="D860" s="90" t="s">
        <v>17</v>
      </c>
      <c r="E860" s="90" t="s">
        <v>753</v>
      </c>
      <c r="F860" s="91" t="s">
        <v>851</v>
      </c>
      <c r="G860" s="118">
        <v>6</v>
      </c>
      <c r="H860" s="94">
        <v>520</v>
      </c>
      <c r="I860" s="91">
        <v>45896</v>
      </c>
      <c r="J860" s="165">
        <v>0.60833333333333328</v>
      </c>
      <c r="K860" s="94">
        <v>520</v>
      </c>
      <c r="L860" s="72" t="str">
        <f t="shared" si="13"/>
        <v>Payé</v>
      </c>
    </row>
    <row r="861" spans="1:13" ht="15" customHeight="1" x14ac:dyDescent="0.25">
      <c r="A861" s="91" t="s">
        <v>851</v>
      </c>
      <c r="B861" s="90">
        <v>5240</v>
      </c>
      <c r="C861" s="88" t="s">
        <v>885</v>
      </c>
      <c r="D861" s="90" t="s">
        <v>17</v>
      </c>
      <c r="E861" s="90" t="s">
        <v>753</v>
      </c>
      <c r="F861" s="91" t="s">
        <v>851</v>
      </c>
      <c r="G861" s="118">
        <v>7</v>
      </c>
      <c r="H861" s="94">
        <v>607</v>
      </c>
      <c r="I861" s="91">
        <v>45896</v>
      </c>
      <c r="J861" s="165">
        <v>0.60833333333333328</v>
      </c>
      <c r="K861" s="94">
        <v>607</v>
      </c>
      <c r="L861" s="72" t="str">
        <f t="shared" si="13"/>
        <v>Payé</v>
      </c>
    </row>
    <row r="862" spans="1:13" ht="15" customHeight="1" x14ac:dyDescent="0.25">
      <c r="A862" s="91" t="s">
        <v>851</v>
      </c>
      <c r="B862" s="90">
        <v>5241</v>
      </c>
      <c r="C862" s="88" t="s">
        <v>886</v>
      </c>
      <c r="D862" s="90" t="s">
        <v>17</v>
      </c>
      <c r="E862" s="90" t="s">
        <v>753</v>
      </c>
      <c r="F862" s="91" t="s">
        <v>851</v>
      </c>
      <c r="G862" s="118">
        <v>8</v>
      </c>
      <c r="H862" s="94">
        <v>694</v>
      </c>
      <c r="I862" s="91">
        <v>45896</v>
      </c>
      <c r="J862" s="165">
        <v>0.60833333333333328</v>
      </c>
      <c r="K862" s="94">
        <v>694</v>
      </c>
      <c r="L862" s="72" t="str">
        <f t="shared" ref="L862:L925" si="14">IF(ISBLANK(H862),"",IF(H862=K862,"Payé","Impayé"))</f>
        <v>Payé</v>
      </c>
    </row>
    <row r="863" spans="1:13" ht="15" customHeight="1" x14ac:dyDescent="0.25">
      <c r="A863" s="91" t="s">
        <v>851</v>
      </c>
      <c r="B863" s="90">
        <v>5248</v>
      </c>
      <c r="C863" s="88" t="s">
        <v>915</v>
      </c>
      <c r="D863" s="90" t="s">
        <v>17</v>
      </c>
      <c r="E863" s="90" t="s">
        <v>753</v>
      </c>
      <c r="F863" s="91" t="s">
        <v>851</v>
      </c>
      <c r="G863" s="118">
        <v>2</v>
      </c>
      <c r="H863" s="94">
        <v>173</v>
      </c>
      <c r="I863" s="91">
        <v>45896</v>
      </c>
      <c r="J863" s="165">
        <v>0.60833333333333328</v>
      </c>
      <c r="K863" s="94">
        <v>173</v>
      </c>
      <c r="L863" s="72" t="str">
        <f t="shared" si="14"/>
        <v>Payé</v>
      </c>
    </row>
    <row r="864" spans="1:13" ht="15" customHeight="1" x14ac:dyDescent="0.25">
      <c r="A864" s="91" t="s">
        <v>851</v>
      </c>
      <c r="B864" s="90">
        <v>5253</v>
      </c>
      <c r="C864" s="88" t="s">
        <v>902</v>
      </c>
      <c r="D864" s="90" t="s">
        <v>17</v>
      </c>
      <c r="E864" s="90" t="s">
        <v>753</v>
      </c>
      <c r="F864" s="91" t="s">
        <v>851</v>
      </c>
      <c r="G864" s="118">
        <v>8</v>
      </c>
      <c r="H864" s="94">
        <v>694</v>
      </c>
      <c r="I864" s="91">
        <v>45896</v>
      </c>
      <c r="J864" s="165">
        <v>0.60833333333333328</v>
      </c>
      <c r="K864" s="94">
        <v>694</v>
      </c>
      <c r="L864" s="72" t="str">
        <f t="shared" si="14"/>
        <v>Payé</v>
      </c>
    </row>
    <row r="865" spans="1:12" ht="15" customHeight="1" x14ac:dyDescent="0.25">
      <c r="A865" s="91" t="s">
        <v>851</v>
      </c>
      <c r="B865" s="90">
        <v>5255</v>
      </c>
      <c r="C865" s="88" t="s">
        <v>904</v>
      </c>
      <c r="D865" s="90" t="s">
        <v>17</v>
      </c>
      <c r="E865" s="90" t="s">
        <v>753</v>
      </c>
      <c r="F865" s="91" t="s">
        <v>851</v>
      </c>
      <c r="G865" s="118">
        <v>1</v>
      </c>
      <c r="H865" s="94">
        <v>87</v>
      </c>
      <c r="I865" s="91">
        <v>45896</v>
      </c>
      <c r="J865" s="165">
        <v>0.60833333333333328</v>
      </c>
      <c r="K865" s="94">
        <v>87</v>
      </c>
      <c r="L865" s="72" t="str">
        <f t="shared" si="14"/>
        <v>Payé</v>
      </c>
    </row>
    <row r="866" spans="1:12" ht="15" customHeight="1" x14ac:dyDescent="0.25">
      <c r="A866" s="91" t="s">
        <v>851</v>
      </c>
      <c r="B866" s="90">
        <v>5267</v>
      </c>
      <c r="C866" s="88" t="s">
        <v>923</v>
      </c>
      <c r="D866" s="90" t="s">
        <v>17</v>
      </c>
      <c r="E866" s="90" t="s">
        <v>753</v>
      </c>
      <c r="F866" s="91" t="s">
        <v>851</v>
      </c>
      <c r="G866" s="118">
        <v>6</v>
      </c>
      <c r="H866" s="94">
        <v>520</v>
      </c>
      <c r="I866" s="91">
        <v>45903</v>
      </c>
      <c r="J866" s="165">
        <v>0.63124999999999998</v>
      </c>
      <c r="K866" s="94">
        <v>520</v>
      </c>
      <c r="L866" s="72" t="str">
        <f t="shared" si="14"/>
        <v>Payé</v>
      </c>
    </row>
    <row r="867" spans="1:12" ht="15" customHeight="1" x14ac:dyDescent="0.25">
      <c r="A867" s="91" t="s">
        <v>851</v>
      </c>
      <c r="B867" s="90">
        <v>5293</v>
      </c>
      <c r="C867" s="88" t="s">
        <v>1004</v>
      </c>
      <c r="D867" s="90" t="s">
        <v>17</v>
      </c>
      <c r="E867" s="90" t="s">
        <v>753</v>
      </c>
      <c r="F867" s="91" t="s">
        <v>851</v>
      </c>
      <c r="G867" s="118">
        <v>6</v>
      </c>
      <c r="H867" s="94">
        <v>520</v>
      </c>
      <c r="I867" s="91">
        <v>45903</v>
      </c>
      <c r="J867" s="165">
        <v>0.63124999999999998</v>
      </c>
      <c r="K867" s="94">
        <v>520</v>
      </c>
      <c r="L867" s="72" t="str">
        <f t="shared" si="14"/>
        <v>Payé</v>
      </c>
    </row>
    <row r="868" spans="1:12" ht="15" customHeight="1" x14ac:dyDescent="0.25">
      <c r="A868" s="91" t="s">
        <v>851</v>
      </c>
      <c r="B868" s="90">
        <v>5300</v>
      </c>
      <c r="C868" s="88" t="s">
        <v>1011</v>
      </c>
      <c r="D868" s="90" t="s">
        <v>17</v>
      </c>
      <c r="E868" s="90" t="s">
        <v>753</v>
      </c>
      <c r="F868" s="91" t="s">
        <v>851</v>
      </c>
      <c r="G868" s="118">
        <v>5</v>
      </c>
      <c r="H868" s="94">
        <v>434</v>
      </c>
      <c r="I868" s="91">
        <v>45896</v>
      </c>
      <c r="J868" s="165">
        <v>0.60833333333333328</v>
      </c>
      <c r="K868" s="94">
        <v>434</v>
      </c>
      <c r="L868" s="72" t="str">
        <f t="shared" si="14"/>
        <v>Payé</v>
      </c>
    </row>
    <row r="869" spans="1:12" ht="15" customHeight="1" x14ac:dyDescent="0.25">
      <c r="A869" s="91" t="s">
        <v>851</v>
      </c>
      <c r="B869" s="90">
        <v>5327</v>
      </c>
      <c r="C869" s="88" t="s">
        <v>1033</v>
      </c>
      <c r="D869" s="90" t="s">
        <v>17</v>
      </c>
      <c r="E869" s="90" t="s">
        <v>753</v>
      </c>
      <c r="F869" s="91" t="s">
        <v>851</v>
      </c>
      <c r="G869" s="118">
        <v>4</v>
      </c>
      <c r="H869" s="94">
        <v>347</v>
      </c>
      <c r="I869" s="91">
        <v>45896</v>
      </c>
      <c r="J869" s="165">
        <v>0.60833333333333328</v>
      </c>
      <c r="K869" s="94">
        <v>347</v>
      </c>
      <c r="L869" s="72" t="str">
        <f t="shared" si="14"/>
        <v>Payé</v>
      </c>
    </row>
    <row r="870" spans="1:12" ht="15" customHeight="1" x14ac:dyDescent="0.25">
      <c r="A870" s="91" t="s">
        <v>851</v>
      </c>
      <c r="B870" s="90">
        <v>5330</v>
      </c>
      <c r="C870" s="88" t="s">
        <v>1036</v>
      </c>
      <c r="D870" s="90" t="s">
        <v>17</v>
      </c>
      <c r="E870" s="90" t="s">
        <v>753</v>
      </c>
      <c r="F870" s="91" t="s">
        <v>851</v>
      </c>
      <c r="G870" s="118">
        <v>2</v>
      </c>
      <c r="H870" s="94">
        <v>183</v>
      </c>
      <c r="I870" s="91">
        <v>45896</v>
      </c>
      <c r="J870" s="165">
        <v>0.60833333333333328</v>
      </c>
      <c r="K870" s="94">
        <v>183</v>
      </c>
      <c r="L870" s="72" t="str">
        <f t="shared" si="14"/>
        <v>Payé</v>
      </c>
    </row>
    <row r="871" spans="1:12" ht="15" customHeight="1" x14ac:dyDescent="0.25">
      <c r="A871" s="91" t="s">
        <v>851</v>
      </c>
      <c r="B871" s="90">
        <v>5331</v>
      </c>
      <c r="C871" s="88" t="s">
        <v>1037</v>
      </c>
      <c r="D871" s="90" t="s">
        <v>17</v>
      </c>
      <c r="E871" s="90" t="s">
        <v>753</v>
      </c>
      <c r="F871" s="91" t="s">
        <v>851</v>
      </c>
      <c r="G871" s="118">
        <v>3</v>
      </c>
      <c r="H871" s="94">
        <v>260</v>
      </c>
      <c r="I871" s="91">
        <v>45896</v>
      </c>
      <c r="J871" s="165">
        <v>0.60833333333333328</v>
      </c>
      <c r="K871" s="94">
        <v>260</v>
      </c>
      <c r="L871" s="72" t="str">
        <f t="shared" si="14"/>
        <v>Payé</v>
      </c>
    </row>
    <row r="872" spans="1:12" ht="15" customHeight="1" x14ac:dyDescent="0.25">
      <c r="A872" s="91" t="s">
        <v>851</v>
      </c>
      <c r="B872" s="90">
        <v>5334</v>
      </c>
      <c r="C872" s="88" t="s">
        <v>1039</v>
      </c>
      <c r="D872" s="90" t="s">
        <v>17</v>
      </c>
      <c r="E872" s="90" t="s">
        <v>753</v>
      </c>
      <c r="F872" s="91" t="s">
        <v>851</v>
      </c>
      <c r="G872" s="118">
        <v>1</v>
      </c>
      <c r="H872" s="94">
        <v>87</v>
      </c>
      <c r="I872" s="91">
        <v>45896</v>
      </c>
      <c r="J872" s="165">
        <v>0.60833333333333328</v>
      </c>
      <c r="K872" s="94">
        <v>87</v>
      </c>
      <c r="L872" s="72" t="str">
        <f t="shared" si="14"/>
        <v>Payé</v>
      </c>
    </row>
    <row r="873" spans="1:12" ht="15" customHeight="1" x14ac:dyDescent="0.25">
      <c r="A873" s="91" t="s">
        <v>851</v>
      </c>
      <c r="B873" s="90">
        <v>5335</v>
      </c>
      <c r="C873" s="88" t="s">
        <v>1040</v>
      </c>
      <c r="D873" s="90" t="s">
        <v>17</v>
      </c>
      <c r="E873" s="90" t="s">
        <v>753</v>
      </c>
      <c r="F873" s="91" t="s">
        <v>851</v>
      </c>
      <c r="G873" s="118">
        <v>2</v>
      </c>
      <c r="H873" s="94">
        <v>173</v>
      </c>
      <c r="I873" s="91">
        <v>45916</v>
      </c>
      <c r="J873" s="165">
        <v>0.64374999999999993</v>
      </c>
      <c r="K873" s="94">
        <v>173</v>
      </c>
      <c r="L873" s="72" t="str">
        <f t="shared" si="14"/>
        <v>Payé</v>
      </c>
    </row>
    <row r="874" spans="1:12" ht="15" customHeight="1" x14ac:dyDescent="0.25">
      <c r="A874" s="91" t="s">
        <v>851</v>
      </c>
      <c r="B874" s="90">
        <v>5336</v>
      </c>
      <c r="C874" s="88" t="s">
        <v>1041</v>
      </c>
      <c r="D874" s="90" t="s">
        <v>17</v>
      </c>
      <c r="E874" s="90" t="s">
        <v>753</v>
      </c>
      <c r="F874" s="91" t="s">
        <v>851</v>
      </c>
      <c r="G874" s="118">
        <v>2</v>
      </c>
      <c r="H874" s="94">
        <v>173</v>
      </c>
      <c r="I874" s="91">
        <v>45916</v>
      </c>
      <c r="J874" s="165">
        <v>0.64374999999999993</v>
      </c>
      <c r="K874" s="94">
        <v>173</v>
      </c>
      <c r="L874" s="72" t="str">
        <f t="shared" si="14"/>
        <v>Payé</v>
      </c>
    </row>
    <row r="875" spans="1:12" ht="15" customHeight="1" x14ac:dyDescent="0.25">
      <c r="A875" s="91" t="s">
        <v>851</v>
      </c>
      <c r="B875" s="90" t="s">
        <v>629</v>
      </c>
      <c r="C875" s="88" t="s">
        <v>630</v>
      </c>
      <c r="D875" s="89" t="s">
        <v>910</v>
      </c>
      <c r="E875" s="90" t="s">
        <v>1047</v>
      </c>
      <c r="F875" s="91" t="s">
        <v>851</v>
      </c>
      <c r="G875" s="95">
        <v>168</v>
      </c>
      <c r="H875" s="92">
        <v>4200</v>
      </c>
      <c r="I875" s="91">
        <v>45896</v>
      </c>
      <c r="J875" s="165">
        <v>0.5</v>
      </c>
      <c r="K875" s="92">
        <v>4200</v>
      </c>
      <c r="L875" s="72" t="str">
        <f t="shared" si="14"/>
        <v>Payé</v>
      </c>
    </row>
    <row r="876" spans="1:12" ht="15" customHeight="1" x14ac:dyDescent="0.25">
      <c r="A876" s="91" t="s">
        <v>851</v>
      </c>
      <c r="B876" s="90">
        <v>526</v>
      </c>
      <c r="C876" s="88" t="s">
        <v>874</v>
      </c>
      <c r="D876" s="90" t="s">
        <v>17</v>
      </c>
      <c r="E876" s="90" t="s">
        <v>646</v>
      </c>
      <c r="F876" s="91" t="s">
        <v>851</v>
      </c>
      <c r="G876" s="118">
        <v>8</v>
      </c>
      <c r="H876" s="94">
        <v>694</v>
      </c>
      <c r="I876" s="91">
        <v>45895</v>
      </c>
      <c r="J876" s="165">
        <v>0.6</v>
      </c>
      <c r="K876" s="94">
        <v>694</v>
      </c>
      <c r="L876" s="72" t="str">
        <f t="shared" si="14"/>
        <v>Payé</v>
      </c>
    </row>
    <row r="877" spans="1:12" ht="15" customHeight="1" x14ac:dyDescent="0.25">
      <c r="A877" s="91" t="s">
        <v>851</v>
      </c>
      <c r="B877" s="90">
        <v>529</v>
      </c>
      <c r="C877" s="88" t="s">
        <v>702</v>
      </c>
      <c r="D877" s="90" t="s">
        <v>17</v>
      </c>
      <c r="E877" s="90" t="s">
        <v>646</v>
      </c>
      <c r="F877" s="91" t="s">
        <v>851</v>
      </c>
      <c r="G877" s="118">
        <v>8</v>
      </c>
      <c r="H877" s="94">
        <v>694</v>
      </c>
      <c r="I877" s="91">
        <v>45895</v>
      </c>
      <c r="J877" s="165">
        <v>0.6</v>
      </c>
      <c r="K877" s="94">
        <v>694</v>
      </c>
      <c r="L877" s="72" t="str">
        <f t="shared" si="14"/>
        <v>Payé</v>
      </c>
    </row>
    <row r="878" spans="1:12" ht="15" customHeight="1" x14ac:dyDescent="0.25">
      <c r="A878" s="91" t="s">
        <v>851</v>
      </c>
      <c r="B878" s="90">
        <v>649</v>
      </c>
      <c r="C878" s="88" t="s">
        <v>715</v>
      </c>
      <c r="D878" s="90" t="s">
        <v>17</v>
      </c>
      <c r="E878" s="90" t="s">
        <v>646</v>
      </c>
      <c r="F878" s="91" t="s">
        <v>851</v>
      </c>
      <c r="G878" s="118">
        <v>8</v>
      </c>
      <c r="H878" s="94">
        <v>694</v>
      </c>
      <c r="I878" s="91">
        <v>45895</v>
      </c>
      <c r="J878" s="165">
        <v>0.6</v>
      </c>
      <c r="K878" s="94">
        <v>694</v>
      </c>
      <c r="L878" s="72" t="str">
        <f t="shared" si="14"/>
        <v>Payé</v>
      </c>
    </row>
    <row r="879" spans="1:12" ht="15" customHeight="1" x14ac:dyDescent="0.25">
      <c r="A879" s="91" t="s">
        <v>851</v>
      </c>
      <c r="B879" s="90">
        <v>1377</v>
      </c>
      <c r="C879" s="88" t="s">
        <v>683</v>
      </c>
      <c r="D879" s="90" t="s">
        <v>17</v>
      </c>
      <c r="E879" s="90" t="s">
        <v>646</v>
      </c>
      <c r="F879" s="91" t="s">
        <v>851</v>
      </c>
      <c r="G879" s="118">
        <v>11</v>
      </c>
      <c r="H879" s="94">
        <v>954</v>
      </c>
      <c r="I879" s="91">
        <v>45895</v>
      </c>
      <c r="J879" s="165">
        <v>0.6</v>
      </c>
      <c r="K879" s="94">
        <v>954</v>
      </c>
      <c r="L879" s="72" t="str">
        <f t="shared" si="14"/>
        <v>Payé</v>
      </c>
    </row>
    <row r="880" spans="1:12" ht="15" customHeight="1" x14ac:dyDescent="0.25">
      <c r="A880" s="91" t="s">
        <v>851</v>
      </c>
      <c r="B880" s="90">
        <v>1380</v>
      </c>
      <c r="C880" s="88" t="s">
        <v>632</v>
      </c>
      <c r="D880" s="90" t="s">
        <v>17</v>
      </c>
      <c r="E880" s="90" t="s">
        <v>646</v>
      </c>
      <c r="F880" s="91" t="s">
        <v>851</v>
      </c>
      <c r="G880" s="118">
        <v>12</v>
      </c>
      <c r="H880" s="94">
        <v>1213</v>
      </c>
      <c r="I880" s="91">
        <v>45895</v>
      </c>
      <c r="J880" s="165">
        <v>0.6</v>
      </c>
      <c r="K880" s="94">
        <v>1213</v>
      </c>
      <c r="L880" s="72" t="str">
        <f t="shared" si="14"/>
        <v>Payé</v>
      </c>
    </row>
    <row r="881" spans="1:12" ht="15" customHeight="1" x14ac:dyDescent="0.25">
      <c r="A881" s="91" t="s">
        <v>851</v>
      </c>
      <c r="B881" s="90">
        <v>1384</v>
      </c>
      <c r="C881" s="88" t="s">
        <v>633</v>
      </c>
      <c r="D881" s="90" t="s">
        <v>17</v>
      </c>
      <c r="E881" s="90" t="s">
        <v>646</v>
      </c>
      <c r="F881" s="91" t="s">
        <v>851</v>
      </c>
      <c r="G881" s="118">
        <v>11</v>
      </c>
      <c r="H881" s="94">
        <v>954</v>
      </c>
      <c r="I881" s="91">
        <v>45895</v>
      </c>
      <c r="J881" s="165">
        <v>0.6</v>
      </c>
      <c r="K881" s="94">
        <v>954</v>
      </c>
      <c r="L881" s="72" t="str">
        <f t="shared" si="14"/>
        <v>Payé</v>
      </c>
    </row>
    <row r="882" spans="1:12" ht="15" customHeight="1" x14ac:dyDescent="0.25">
      <c r="A882" s="91" t="s">
        <v>851</v>
      </c>
      <c r="B882" s="90">
        <v>1387</v>
      </c>
      <c r="C882" s="88" t="s">
        <v>634</v>
      </c>
      <c r="D882" s="90" t="s">
        <v>17</v>
      </c>
      <c r="E882" s="90" t="s">
        <v>646</v>
      </c>
      <c r="F882" s="91" t="s">
        <v>851</v>
      </c>
      <c r="G882" s="118">
        <v>11</v>
      </c>
      <c r="H882" s="94">
        <v>1002</v>
      </c>
      <c r="I882" s="91">
        <v>45895</v>
      </c>
      <c r="J882" s="165">
        <v>0.6</v>
      </c>
      <c r="K882" s="94">
        <v>1002</v>
      </c>
      <c r="L882" s="72" t="str">
        <f t="shared" si="14"/>
        <v>Payé</v>
      </c>
    </row>
    <row r="883" spans="1:12" ht="15" customHeight="1" x14ac:dyDescent="0.25">
      <c r="A883" s="91" t="s">
        <v>851</v>
      </c>
      <c r="B883" s="90">
        <v>1392</v>
      </c>
      <c r="C883" s="88" t="s">
        <v>963</v>
      </c>
      <c r="D883" s="90" t="s">
        <v>17</v>
      </c>
      <c r="E883" s="90" t="s">
        <v>646</v>
      </c>
      <c r="F883" s="91" t="s">
        <v>851</v>
      </c>
      <c r="G883" s="118">
        <v>11</v>
      </c>
      <c r="H883" s="94">
        <v>1002</v>
      </c>
      <c r="I883" s="91">
        <v>45895</v>
      </c>
      <c r="J883" s="165">
        <v>0.6</v>
      </c>
      <c r="K883" s="94">
        <v>1002</v>
      </c>
      <c r="L883" s="72" t="str">
        <f t="shared" si="14"/>
        <v>Payé</v>
      </c>
    </row>
    <row r="884" spans="1:12" ht="15" customHeight="1" x14ac:dyDescent="0.25">
      <c r="A884" s="91" t="s">
        <v>851</v>
      </c>
      <c r="B884" s="90">
        <v>1415</v>
      </c>
      <c r="C884" s="88" t="s">
        <v>964</v>
      </c>
      <c r="D884" s="90" t="s">
        <v>17</v>
      </c>
      <c r="E884" s="90" t="s">
        <v>646</v>
      </c>
      <c r="F884" s="91" t="s">
        <v>851</v>
      </c>
      <c r="G884" s="118">
        <v>9</v>
      </c>
      <c r="H884" s="94">
        <v>820</v>
      </c>
      <c r="I884" s="91">
        <v>45895</v>
      </c>
      <c r="J884" s="165">
        <v>0.6</v>
      </c>
      <c r="K884" s="94">
        <v>820</v>
      </c>
      <c r="L884" s="72" t="str">
        <f t="shared" si="14"/>
        <v>Payé</v>
      </c>
    </row>
    <row r="885" spans="1:12" ht="15" customHeight="1" x14ac:dyDescent="0.25">
      <c r="A885" s="91" t="s">
        <v>851</v>
      </c>
      <c r="B885" s="90">
        <v>1504</v>
      </c>
      <c r="C885" s="88" t="s">
        <v>635</v>
      </c>
      <c r="D885" s="90" t="s">
        <v>17</v>
      </c>
      <c r="E885" s="90" t="s">
        <v>646</v>
      </c>
      <c r="F885" s="91" t="s">
        <v>851</v>
      </c>
      <c r="G885" s="118">
        <v>7</v>
      </c>
      <c r="H885" s="94">
        <v>638</v>
      </c>
      <c r="I885" s="91">
        <v>45895</v>
      </c>
      <c r="J885" s="165">
        <v>0.6</v>
      </c>
      <c r="K885" s="94">
        <v>638</v>
      </c>
      <c r="L885" s="72" t="str">
        <f t="shared" si="14"/>
        <v>Payé</v>
      </c>
    </row>
    <row r="886" spans="1:12" ht="15" customHeight="1" x14ac:dyDescent="0.25">
      <c r="A886" s="91" t="s">
        <v>851</v>
      </c>
      <c r="B886" s="90">
        <v>1505</v>
      </c>
      <c r="C886" s="88" t="s">
        <v>383</v>
      </c>
      <c r="D886" s="90" t="s">
        <v>17</v>
      </c>
      <c r="E886" s="90" t="s">
        <v>646</v>
      </c>
      <c r="F886" s="91" t="s">
        <v>851</v>
      </c>
      <c r="G886" s="118">
        <v>12</v>
      </c>
      <c r="H886" s="94">
        <v>1041</v>
      </c>
      <c r="I886" s="91">
        <v>45895</v>
      </c>
      <c r="J886" s="165">
        <v>0.6</v>
      </c>
      <c r="K886" s="94">
        <v>1041</v>
      </c>
      <c r="L886" s="72" t="str">
        <f t="shared" si="14"/>
        <v>Payé</v>
      </c>
    </row>
    <row r="887" spans="1:12" ht="15" customHeight="1" x14ac:dyDescent="0.25">
      <c r="A887" s="91" t="s">
        <v>851</v>
      </c>
      <c r="B887" s="90">
        <v>2161</v>
      </c>
      <c r="C887" s="88" t="s">
        <v>636</v>
      </c>
      <c r="D887" s="90" t="s">
        <v>17</v>
      </c>
      <c r="E887" s="90" t="s">
        <v>646</v>
      </c>
      <c r="F887" s="91" t="s">
        <v>851</v>
      </c>
      <c r="G887" s="118">
        <v>12</v>
      </c>
      <c r="H887" s="94">
        <v>1041</v>
      </c>
      <c r="I887" s="91">
        <v>45895</v>
      </c>
      <c r="J887" s="165">
        <v>0.6</v>
      </c>
      <c r="K887" s="94">
        <v>1041</v>
      </c>
      <c r="L887" s="72" t="str">
        <f t="shared" si="14"/>
        <v>Payé</v>
      </c>
    </row>
    <row r="888" spans="1:12" ht="15" customHeight="1" x14ac:dyDescent="0.25">
      <c r="A888" s="91" t="s">
        <v>851</v>
      </c>
      <c r="B888" s="90">
        <v>2514</v>
      </c>
      <c r="C888" s="88" t="s">
        <v>644</v>
      </c>
      <c r="D888" s="90" t="s">
        <v>17</v>
      </c>
      <c r="E888" s="90" t="s">
        <v>646</v>
      </c>
      <c r="F888" s="91" t="s">
        <v>851</v>
      </c>
      <c r="G888" s="118">
        <v>12</v>
      </c>
      <c r="H888" s="94">
        <v>1041</v>
      </c>
      <c r="I888" s="91">
        <v>45895</v>
      </c>
      <c r="J888" s="165">
        <v>0.6</v>
      </c>
      <c r="K888" s="94">
        <v>1041</v>
      </c>
      <c r="L888" s="72" t="str">
        <f t="shared" si="14"/>
        <v>Payé</v>
      </c>
    </row>
    <row r="889" spans="1:12" ht="15" customHeight="1" x14ac:dyDescent="0.25">
      <c r="A889" s="91" t="s">
        <v>851</v>
      </c>
      <c r="B889" s="90">
        <v>2577</v>
      </c>
      <c r="C889" s="88" t="s">
        <v>637</v>
      </c>
      <c r="D889" s="90" t="s">
        <v>17</v>
      </c>
      <c r="E889" s="90" t="s">
        <v>646</v>
      </c>
      <c r="F889" s="91" t="s">
        <v>851</v>
      </c>
      <c r="G889" s="118">
        <v>12</v>
      </c>
      <c r="H889" s="94">
        <v>1041</v>
      </c>
      <c r="I889" s="91">
        <v>45895</v>
      </c>
      <c r="J889" s="165">
        <v>0.6</v>
      </c>
      <c r="K889" s="94">
        <v>1041</v>
      </c>
      <c r="L889" s="72" t="str">
        <f t="shared" si="14"/>
        <v>Payé</v>
      </c>
    </row>
    <row r="890" spans="1:12" ht="15" customHeight="1" x14ac:dyDescent="0.25">
      <c r="A890" s="91" t="s">
        <v>851</v>
      </c>
      <c r="B890" s="90">
        <v>3529</v>
      </c>
      <c r="C890" s="88" t="s">
        <v>638</v>
      </c>
      <c r="D890" s="90" t="s">
        <v>17</v>
      </c>
      <c r="E890" s="90" t="s">
        <v>646</v>
      </c>
      <c r="F890" s="91" t="s">
        <v>851</v>
      </c>
      <c r="G890" s="118">
        <v>11</v>
      </c>
      <c r="H890" s="94">
        <v>954</v>
      </c>
      <c r="I890" s="91">
        <v>45895</v>
      </c>
      <c r="J890" s="165">
        <v>0.6</v>
      </c>
      <c r="K890" s="94">
        <v>954</v>
      </c>
      <c r="L890" s="72" t="str">
        <f t="shared" si="14"/>
        <v>Payé</v>
      </c>
    </row>
    <row r="891" spans="1:12" ht="15" customHeight="1" x14ac:dyDescent="0.25">
      <c r="A891" s="91" t="s">
        <v>851</v>
      </c>
      <c r="B891" s="90">
        <v>3534</v>
      </c>
      <c r="C891" s="88" t="s">
        <v>563</v>
      </c>
      <c r="D891" s="90" t="s">
        <v>17</v>
      </c>
      <c r="E891" s="90" t="s">
        <v>646</v>
      </c>
      <c r="F891" s="91" t="s">
        <v>851</v>
      </c>
      <c r="G891" s="118">
        <v>6</v>
      </c>
      <c r="H891" s="94">
        <v>520</v>
      </c>
      <c r="I891" s="91">
        <v>45895</v>
      </c>
      <c r="J891" s="165">
        <v>0.6</v>
      </c>
      <c r="K891" s="94">
        <v>520</v>
      </c>
      <c r="L891" s="72" t="str">
        <f t="shared" si="14"/>
        <v>Payé</v>
      </c>
    </row>
    <row r="892" spans="1:12" ht="15" customHeight="1" x14ac:dyDescent="0.25">
      <c r="A892" s="91" t="s">
        <v>851</v>
      </c>
      <c r="B892" s="90">
        <v>3725</v>
      </c>
      <c r="C892" s="88" t="s">
        <v>569</v>
      </c>
      <c r="D892" s="90" t="s">
        <v>17</v>
      </c>
      <c r="E892" s="90" t="s">
        <v>646</v>
      </c>
      <c r="F892" s="91" t="s">
        <v>851</v>
      </c>
      <c r="G892" s="118">
        <v>10</v>
      </c>
      <c r="H892" s="94">
        <v>867</v>
      </c>
      <c r="I892" s="91">
        <v>45895</v>
      </c>
      <c r="J892" s="165">
        <v>0.6</v>
      </c>
      <c r="K892" s="94">
        <v>867</v>
      </c>
      <c r="L892" s="72" t="str">
        <f t="shared" si="14"/>
        <v>Payé</v>
      </c>
    </row>
    <row r="893" spans="1:12" ht="15" customHeight="1" x14ac:dyDescent="0.25">
      <c r="A893" s="91" t="s">
        <v>851</v>
      </c>
      <c r="B893" s="90">
        <v>3825</v>
      </c>
      <c r="C893" s="88" t="s">
        <v>574</v>
      </c>
      <c r="D893" s="90" t="s">
        <v>17</v>
      </c>
      <c r="E893" s="90" t="s">
        <v>646</v>
      </c>
      <c r="F893" s="91" t="s">
        <v>851</v>
      </c>
      <c r="G893" s="118">
        <v>10</v>
      </c>
      <c r="H893" s="94">
        <v>867</v>
      </c>
      <c r="I893" s="91">
        <v>45895</v>
      </c>
      <c r="J893" s="165">
        <v>0.6</v>
      </c>
      <c r="K893" s="94">
        <v>867</v>
      </c>
      <c r="L893" s="72" t="str">
        <f t="shared" si="14"/>
        <v>Payé</v>
      </c>
    </row>
    <row r="894" spans="1:12" ht="15" customHeight="1" x14ac:dyDescent="0.25">
      <c r="A894" s="91" t="s">
        <v>851</v>
      </c>
      <c r="B894" s="90">
        <v>4175</v>
      </c>
      <c r="C894" s="88" t="s">
        <v>987</v>
      </c>
      <c r="D894" s="90" t="s">
        <v>17</v>
      </c>
      <c r="E894" s="90" t="s">
        <v>646</v>
      </c>
      <c r="F894" s="91" t="s">
        <v>851</v>
      </c>
      <c r="G894" s="118">
        <v>9</v>
      </c>
      <c r="H894" s="94">
        <v>781</v>
      </c>
      <c r="I894" s="91">
        <v>45895</v>
      </c>
      <c r="J894" s="165">
        <v>0.6</v>
      </c>
      <c r="K894" s="94">
        <v>781</v>
      </c>
      <c r="L894" s="72" t="str">
        <f t="shared" si="14"/>
        <v>Payé</v>
      </c>
    </row>
    <row r="895" spans="1:12" ht="15" customHeight="1" x14ac:dyDescent="0.25">
      <c r="A895" s="91" t="s">
        <v>851</v>
      </c>
      <c r="B895" s="90">
        <v>4405</v>
      </c>
      <c r="C895" s="88" t="s">
        <v>688</v>
      </c>
      <c r="D895" s="90" t="s">
        <v>17</v>
      </c>
      <c r="E895" s="90" t="s">
        <v>646</v>
      </c>
      <c r="F895" s="91" t="s">
        <v>851</v>
      </c>
      <c r="G895" s="118">
        <v>8</v>
      </c>
      <c r="H895" s="94">
        <v>694</v>
      </c>
      <c r="I895" s="91">
        <v>45895</v>
      </c>
      <c r="J895" s="165">
        <v>0.6</v>
      </c>
      <c r="K895" s="94">
        <v>694</v>
      </c>
      <c r="L895" s="72" t="str">
        <f t="shared" si="14"/>
        <v>Payé</v>
      </c>
    </row>
    <row r="896" spans="1:12" ht="15" customHeight="1" x14ac:dyDescent="0.25">
      <c r="A896" s="91" t="s">
        <v>851</v>
      </c>
      <c r="B896" s="90">
        <v>5244</v>
      </c>
      <c r="C896" s="88" t="s">
        <v>888</v>
      </c>
      <c r="D896" s="90" t="s">
        <v>17</v>
      </c>
      <c r="E896" s="90" t="s">
        <v>646</v>
      </c>
      <c r="F896" s="91" t="s">
        <v>851</v>
      </c>
      <c r="G896" s="118">
        <v>12</v>
      </c>
      <c r="H896" s="94">
        <v>1041</v>
      </c>
      <c r="I896" s="91">
        <v>45895</v>
      </c>
      <c r="J896" s="165">
        <v>0.6</v>
      </c>
      <c r="K896" s="94">
        <v>1041</v>
      </c>
      <c r="L896" s="72" t="str">
        <f t="shared" si="14"/>
        <v>Payé</v>
      </c>
    </row>
    <row r="897" spans="1:12" ht="15" customHeight="1" x14ac:dyDescent="0.25">
      <c r="A897" s="91" t="s">
        <v>851</v>
      </c>
      <c r="B897" s="90">
        <v>5257</v>
      </c>
      <c r="C897" s="88" t="s">
        <v>907</v>
      </c>
      <c r="D897" s="90" t="s">
        <v>17</v>
      </c>
      <c r="E897" s="90" t="s">
        <v>646</v>
      </c>
      <c r="F897" s="91" t="s">
        <v>851</v>
      </c>
      <c r="G897" s="118">
        <v>7</v>
      </c>
      <c r="H897" s="94">
        <v>607</v>
      </c>
      <c r="I897" s="91">
        <v>45895</v>
      </c>
      <c r="J897" s="165">
        <v>0.6</v>
      </c>
      <c r="K897" s="94">
        <v>607</v>
      </c>
      <c r="L897" s="72" t="str">
        <f t="shared" si="14"/>
        <v>Payé</v>
      </c>
    </row>
    <row r="898" spans="1:12" ht="15" customHeight="1" x14ac:dyDescent="0.25">
      <c r="A898" s="91" t="s">
        <v>851</v>
      </c>
      <c r="B898" s="90">
        <v>5259</v>
      </c>
      <c r="C898" s="88" t="s">
        <v>908</v>
      </c>
      <c r="D898" s="90" t="s">
        <v>17</v>
      </c>
      <c r="E898" s="90" t="s">
        <v>646</v>
      </c>
      <c r="F898" s="91" t="s">
        <v>851</v>
      </c>
      <c r="G898" s="118">
        <v>11</v>
      </c>
      <c r="H898" s="94">
        <v>954</v>
      </c>
      <c r="I898" s="91">
        <v>45895</v>
      </c>
      <c r="J898" s="165">
        <v>0.6</v>
      </c>
      <c r="K898" s="94">
        <v>954</v>
      </c>
      <c r="L898" s="72" t="str">
        <f t="shared" si="14"/>
        <v>Payé</v>
      </c>
    </row>
    <row r="899" spans="1:12" ht="15" customHeight="1" x14ac:dyDescent="0.25">
      <c r="A899" s="91" t="s">
        <v>851</v>
      </c>
      <c r="B899" s="90">
        <v>5263</v>
      </c>
      <c r="C899" s="88" t="s">
        <v>919</v>
      </c>
      <c r="D899" s="90" t="s">
        <v>17</v>
      </c>
      <c r="E899" s="90" t="s">
        <v>646</v>
      </c>
      <c r="F899" s="91" t="s">
        <v>851</v>
      </c>
      <c r="G899" s="118">
        <v>11</v>
      </c>
      <c r="H899" s="94">
        <v>954</v>
      </c>
      <c r="I899" s="91">
        <v>45895</v>
      </c>
      <c r="J899" s="165">
        <v>0.6</v>
      </c>
      <c r="K899" s="94">
        <v>954</v>
      </c>
      <c r="L899" s="72" t="str">
        <f t="shared" si="14"/>
        <v>Payé</v>
      </c>
    </row>
    <row r="900" spans="1:12" ht="15" customHeight="1" x14ac:dyDescent="0.25">
      <c r="A900" s="91" t="s">
        <v>851</v>
      </c>
      <c r="B900" s="90">
        <v>5264</v>
      </c>
      <c r="C900" s="204" t="s">
        <v>920</v>
      </c>
      <c r="D900" s="90" t="s">
        <v>17</v>
      </c>
      <c r="E900" s="90" t="s">
        <v>646</v>
      </c>
      <c r="F900" s="91" t="s">
        <v>851</v>
      </c>
      <c r="G900" s="118">
        <v>10</v>
      </c>
      <c r="H900" s="94">
        <v>867</v>
      </c>
      <c r="I900" s="91">
        <v>45895</v>
      </c>
      <c r="J900" s="165">
        <v>0.6</v>
      </c>
      <c r="K900" s="94">
        <v>867</v>
      </c>
      <c r="L900" s="72" t="str">
        <f t="shared" si="14"/>
        <v>Payé</v>
      </c>
    </row>
    <row r="901" spans="1:12" ht="15" customHeight="1" x14ac:dyDescent="0.25">
      <c r="A901" s="91" t="s">
        <v>851</v>
      </c>
      <c r="B901" s="90">
        <v>5269</v>
      </c>
      <c r="C901" s="88" t="s">
        <v>925</v>
      </c>
      <c r="D901" s="90" t="s">
        <v>17</v>
      </c>
      <c r="E901" s="90" t="s">
        <v>646</v>
      </c>
      <c r="F901" s="91" t="s">
        <v>851</v>
      </c>
      <c r="G901" s="118">
        <v>12</v>
      </c>
      <c r="H901" s="94">
        <v>1041</v>
      </c>
      <c r="I901" s="91">
        <v>45895</v>
      </c>
      <c r="J901" s="165">
        <v>0.6</v>
      </c>
      <c r="K901" s="94">
        <v>1041</v>
      </c>
      <c r="L901" s="72" t="str">
        <f t="shared" si="14"/>
        <v>Payé</v>
      </c>
    </row>
    <row r="902" spans="1:12" ht="15" customHeight="1" x14ac:dyDescent="0.25">
      <c r="A902" s="91" t="s">
        <v>851</v>
      </c>
      <c r="B902" s="90">
        <v>5273</v>
      </c>
      <c r="C902" s="88" t="s">
        <v>927</v>
      </c>
      <c r="D902" s="90" t="s">
        <v>17</v>
      </c>
      <c r="E902" s="90" t="s">
        <v>646</v>
      </c>
      <c r="F902" s="91" t="s">
        <v>851</v>
      </c>
      <c r="G902" s="118">
        <v>12</v>
      </c>
      <c r="H902" s="94">
        <v>1041</v>
      </c>
      <c r="I902" s="91">
        <v>45895</v>
      </c>
      <c r="J902" s="165">
        <v>0.6</v>
      </c>
      <c r="K902" s="94">
        <v>1041</v>
      </c>
      <c r="L902" s="72" t="str">
        <f t="shared" si="14"/>
        <v>Payé</v>
      </c>
    </row>
    <row r="903" spans="1:12" ht="15" customHeight="1" x14ac:dyDescent="0.25">
      <c r="A903" s="91" t="s">
        <v>851</v>
      </c>
      <c r="B903" s="90">
        <v>5278</v>
      </c>
      <c r="C903" s="88" t="s">
        <v>932</v>
      </c>
      <c r="D903" s="90" t="s">
        <v>17</v>
      </c>
      <c r="E903" s="90" t="s">
        <v>646</v>
      </c>
      <c r="F903" s="91" t="s">
        <v>851</v>
      </c>
      <c r="G903" s="118">
        <v>11</v>
      </c>
      <c r="H903" s="94">
        <v>954</v>
      </c>
      <c r="I903" s="91">
        <v>45895</v>
      </c>
      <c r="J903" s="165">
        <v>0.6</v>
      </c>
      <c r="K903" s="94">
        <v>954</v>
      </c>
      <c r="L903" s="72" t="str">
        <f t="shared" si="14"/>
        <v>Payé</v>
      </c>
    </row>
    <row r="904" spans="1:12" ht="15" customHeight="1" x14ac:dyDescent="0.25">
      <c r="A904" s="91" t="s">
        <v>851</v>
      </c>
      <c r="B904" s="90">
        <v>5279</v>
      </c>
      <c r="C904" s="88" t="s">
        <v>933</v>
      </c>
      <c r="D904" s="90" t="s">
        <v>17</v>
      </c>
      <c r="E904" s="90" t="s">
        <v>646</v>
      </c>
      <c r="F904" s="91" t="s">
        <v>851</v>
      </c>
      <c r="G904" s="118">
        <v>11</v>
      </c>
      <c r="H904" s="94">
        <v>954</v>
      </c>
      <c r="I904" s="91">
        <v>45895</v>
      </c>
      <c r="J904" s="165">
        <v>0.6</v>
      </c>
      <c r="K904" s="94">
        <v>954</v>
      </c>
      <c r="L904" s="72" t="str">
        <f t="shared" si="14"/>
        <v>Payé</v>
      </c>
    </row>
    <row r="905" spans="1:12" ht="15" customHeight="1" x14ac:dyDescent="0.25">
      <c r="A905" s="91" t="s">
        <v>851</v>
      </c>
      <c r="B905" s="90">
        <v>5284</v>
      </c>
      <c r="C905" s="88" t="s">
        <v>996</v>
      </c>
      <c r="D905" s="90" t="s">
        <v>17</v>
      </c>
      <c r="E905" s="90" t="s">
        <v>646</v>
      </c>
      <c r="F905" s="91" t="s">
        <v>851</v>
      </c>
      <c r="G905" s="118">
        <v>12</v>
      </c>
      <c r="H905" s="94">
        <v>1041</v>
      </c>
      <c r="I905" s="91">
        <v>45895</v>
      </c>
      <c r="J905" s="165">
        <v>0.6</v>
      </c>
      <c r="K905" s="94">
        <v>1041</v>
      </c>
      <c r="L905" s="72" t="str">
        <f t="shared" si="14"/>
        <v>Payé</v>
      </c>
    </row>
    <row r="906" spans="1:12" ht="15" customHeight="1" x14ac:dyDescent="0.25">
      <c r="A906" s="91" t="s">
        <v>851</v>
      </c>
      <c r="B906" s="90">
        <v>5285</v>
      </c>
      <c r="C906" s="88" t="s">
        <v>997</v>
      </c>
      <c r="D906" s="90" t="s">
        <v>17</v>
      </c>
      <c r="E906" s="90" t="s">
        <v>646</v>
      </c>
      <c r="F906" s="91" t="s">
        <v>851</v>
      </c>
      <c r="G906" s="118">
        <v>11</v>
      </c>
      <c r="H906" s="94">
        <v>954</v>
      </c>
      <c r="I906" s="91">
        <v>45895</v>
      </c>
      <c r="J906" s="165">
        <v>0.6</v>
      </c>
      <c r="K906" s="94">
        <v>954</v>
      </c>
      <c r="L906" s="72" t="str">
        <f t="shared" si="14"/>
        <v>Payé</v>
      </c>
    </row>
    <row r="907" spans="1:12" ht="15" customHeight="1" x14ac:dyDescent="0.25">
      <c r="A907" s="91" t="s">
        <v>851</v>
      </c>
      <c r="B907" s="90">
        <v>5292</v>
      </c>
      <c r="C907" s="88" t="s">
        <v>1003</v>
      </c>
      <c r="D907" s="90" t="s">
        <v>17</v>
      </c>
      <c r="E907" s="90" t="s">
        <v>646</v>
      </c>
      <c r="F907" s="91" t="s">
        <v>851</v>
      </c>
      <c r="G907" s="118">
        <v>8</v>
      </c>
      <c r="H907" s="94">
        <v>694</v>
      </c>
      <c r="I907" s="91">
        <v>45895</v>
      </c>
      <c r="J907" s="165">
        <v>0.6</v>
      </c>
      <c r="K907" s="94">
        <v>694</v>
      </c>
      <c r="L907" s="72" t="str">
        <f t="shared" si="14"/>
        <v>Payé</v>
      </c>
    </row>
    <row r="908" spans="1:12" ht="15" customHeight="1" x14ac:dyDescent="0.25">
      <c r="A908" s="91" t="s">
        <v>851</v>
      </c>
      <c r="B908" s="90">
        <v>7012</v>
      </c>
      <c r="C908" s="88" t="s">
        <v>724</v>
      </c>
      <c r="D908" s="90" t="s">
        <v>17</v>
      </c>
      <c r="E908" s="90" t="s">
        <v>646</v>
      </c>
      <c r="F908" s="91" t="s">
        <v>851</v>
      </c>
      <c r="G908" s="118">
        <v>10</v>
      </c>
      <c r="H908" s="94">
        <v>867</v>
      </c>
      <c r="I908" s="91">
        <v>45895</v>
      </c>
      <c r="J908" s="165">
        <v>0.6</v>
      </c>
      <c r="K908" s="94">
        <v>867</v>
      </c>
      <c r="L908" s="72" t="str">
        <f t="shared" si="14"/>
        <v>Payé</v>
      </c>
    </row>
    <row r="909" spans="1:12" ht="15" customHeight="1" x14ac:dyDescent="0.25">
      <c r="A909" s="91" t="s">
        <v>851</v>
      </c>
      <c r="B909" s="90" t="s">
        <v>586</v>
      </c>
      <c r="C909" s="88" t="s">
        <v>587</v>
      </c>
      <c r="D909" s="89" t="s">
        <v>910</v>
      </c>
      <c r="E909" s="90" t="s">
        <v>646</v>
      </c>
      <c r="F909" s="91" t="s">
        <v>851</v>
      </c>
      <c r="G909" s="95">
        <v>336</v>
      </c>
      <c r="H909" s="92">
        <v>8400</v>
      </c>
      <c r="I909" s="91">
        <v>45895</v>
      </c>
      <c r="J909" s="165">
        <v>0.6</v>
      </c>
      <c r="K909" s="92">
        <v>8400</v>
      </c>
      <c r="L909" s="72" t="str">
        <f t="shared" si="14"/>
        <v>Payé</v>
      </c>
    </row>
    <row r="910" spans="1:12" ht="15" customHeight="1" x14ac:dyDescent="0.25">
      <c r="A910" s="91" t="s">
        <v>851</v>
      </c>
      <c r="B910" s="90">
        <v>5187</v>
      </c>
      <c r="C910" s="88" t="s">
        <v>992</v>
      </c>
      <c r="D910" s="90" t="s">
        <v>17</v>
      </c>
      <c r="E910" s="90" t="s">
        <v>254</v>
      </c>
      <c r="F910" s="91" t="s">
        <v>851</v>
      </c>
      <c r="G910" s="118">
        <v>6</v>
      </c>
      <c r="H910" s="94">
        <v>520</v>
      </c>
      <c r="I910" s="91"/>
      <c r="J910" s="165"/>
      <c r="K910" s="92"/>
      <c r="L910" s="72" t="str">
        <f t="shared" si="14"/>
        <v>Impayé</v>
      </c>
    </row>
    <row r="911" spans="1:12" ht="15" customHeight="1" x14ac:dyDescent="0.25">
      <c r="A911" s="91" t="s">
        <v>851</v>
      </c>
      <c r="B911" s="90">
        <v>4102</v>
      </c>
      <c r="C911" s="88" t="s">
        <v>579</v>
      </c>
      <c r="D911" s="90" t="s">
        <v>17</v>
      </c>
      <c r="E911" s="90" t="s">
        <v>649</v>
      </c>
      <c r="F911" s="91" t="s">
        <v>851</v>
      </c>
      <c r="G911" s="118">
        <v>5</v>
      </c>
      <c r="H911" s="94">
        <v>434</v>
      </c>
      <c r="I911" s="91"/>
      <c r="J911" s="165"/>
      <c r="K911" s="92"/>
      <c r="L911" s="72" t="str">
        <f t="shared" si="14"/>
        <v>Impayé</v>
      </c>
    </row>
    <row r="912" spans="1:12" ht="15" customHeight="1" x14ac:dyDescent="0.25">
      <c r="A912" s="91" t="s">
        <v>851</v>
      </c>
      <c r="B912" s="90">
        <v>5199</v>
      </c>
      <c r="C912" s="88" t="s">
        <v>833</v>
      </c>
      <c r="D912" s="90" t="s">
        <v>17</v>
      </c>
      <c r="E912" s="90" t="s">
        <v>649</v>
      </c>
      <c r="F912" s="91" t="s">
        <v>851</v>
      </c>
      <c r="G912" s="118">
        <v>4</v>
      </c>
      <c r="H912" s="94">
        <v>347</v>
      </c>
      <c r="I912" s="178">
        <v>46080</v>
      </c>
      <c r="J912" s="187">
        <v>0.51111111111111118</v>
      </c>
      <c r="K912" s="94">
        <v>347</v>
      </c>
      <c r="L912" s="72" t="str">
        <f t="shared" si="14"/>
        <v>Payé</v>
      </c>
    </row>
    <row r="913" spans="1:12" ht="15" customHeight="1" x14ac:dyDescent="0.25">
      <c r="A913" s="91" t="s">
        <v>851</v>
      </c>
      <c r="B913" s="90">
        <v>5210</v>
      </c>
      <c r="C913" s="88" t="s">
        <v>836</v>
      </c>
      <c r="D913" s="90" t="s">
        <v>17</v>
      </c>
      <c r="E913" s="90" t="s">
        <v>649</v>
      </c>
      <c r="F913" s="91" t="s">
        <v>851</v>
      </c>
      <c r="G913" s="118">
        <v>1</v>
      </c>
      <c r="H913" s="94">
        <v>87</v>
      </c>
      <c r="I913" s="91"/>
      <c r="J913" s="165"/>
      <c r="K913" s="92"/>
      <c r="L913" s="72" t="str">
        <f t="shared" si="14"/>
        <v>Impayé</v>
      </c>
    </row>
    <row r="914" spans="1:12" ht="15" customHeight="1" x14ac:dyDescent="0.25">
      <c r="A914" s="91" t="s">
        <v>851</v>
      </c>
      <c r="B914" s="90">
        <v>5261</v>
      </c>
      <c r="C914" s="88" t="s">
        <v>918</v>
      </c>
      <c r="D914" s="90" t="s">
        <v>17</v>
      </c>
      <c r="E914" s="90" t="s">
        <v>649</v>
      </c>
      <c r="F914" s="91" t="s">
        <v>851</v>
      </c>
      <c r="G914" s="118">
        <v>1</v>
      </c>
      <c r="H914" s="94">
        <v>87</v>
      </c>
      <c r="I914" s="91"/>
      <c r="J914" s="165"/>
      <c r="K914" s="92"/>
      <c r="L914" s="72" t="str">
        <f t="shared" si="14"/>
        <v>Impayé</v>
      </c>
    </row>
    <row r="915" spans="1:12" ht="15" customHeight="1" x14ac:dyDescent="0.25">
      <c r="A915" s="91" t="s">
        <v>851</v>
      </c>
      <c r="B915" s="90">
        <v>2943</v>
      </c>
      <c r="C915" s="88" t="s">
        <v>301</v>
      </c>
      <c r="D915" s="90" t="s">
        <v>17</v>
      </c>
      <c r="E915" s="90" t="s">
        <v>753</v>
      </c>
      <c r="F915" s="91" t="s">
        <v>851</v>
      </c>
      <c r="G915" s="118">
        <v>1</v>
      </c>
      <c r="H915" s="94">
        <v>87</v>
      </c>
      <c r="I915" s="91"/>
      <c r="J915" s="165"/>
      <c r="K915" s="92"/>
      <c r="L915" s="72" t="str">
        <f t="shared" si="14"/>
        <v>Impayé</v>
      </c>
    </row>
    <row r="916" spans="1:12" ht="15" customHeight="1" x14ac:dyDescent="0.25">
      <c r="A916" s="91" t="s">
        <v>851</v>
      </c>
      <c r="B916" s="90">
        <v>3814</v>
      </c>
      <c r="C916" s="88" t="s">
        <v>985</v>
      </c>
      <c r="D916" s="90" t="s">
        <v>17</v>
      </c>
      <c r="E916" s="90" t="s">
        <v>49</v>
      </c>
      <c r="F916" s="91" t="s">
        <v>851</v>
      </c>
      <c r="G916" s="118">
        <v>6</v>
      </c>
      <c r="H916" s="94">
        <v>520</v>
      </c>
      <c r="I916" s="91">
        <v>46045</v>
      </c>
      <c r="J916" s="165">
        <v>0.70972222222222225</v>
      </c>
      <c r="K916" s="94">
        <v>520</v>
      </c>
      <c r="L916" s="72" t="str">
        <f t="shared" si="14"/>
        <v>Payé</v>
      </c>
    </row>
    <row r="917" spans="1:12" ht="15" customHeight="1" x14ac:dyDescent="0.25">
      <c r="A917" s="91" t="s">
        <v>851</v>
      </c>
      <c r="B917" s="90">
        <v>5262</v>
      </c>
      <c r="C917" s="88" t="s">
        <v>735</v>
      </c>
      <c r="D917" s="90" t="s">
        <v>17</v>
      </c>
      <c r="E917" s="90" t="s">
        <v>649</v>
      </c>
      <c r="F917" s="91" t="s">
        <v>851</v>
      </c>
      <c r="G917" s="118">
        <v>1</v>
      </c>
      <c r="H917" s="94">
        <v>87</v>
      </c>
      <c r="I917" s="91">
        <v>46000</v>
      </c>
      <c r="J917" s="165">
        <v>0.71875</v>
      </c>
      <c r="K917" s="94">
        <v>87</v>
      </c>
      <c r="L917" s="72" t="str">
        <f t="shared" si="14"/>
        <v>Payé</v>
      </c>
    </row>
    <row r="918" spans="1:12" ht="15" customHeight="1" x14ac:dyDescent="0.25">
      <c r="A918" s="91" t="s">
        <v>851</v>
      </c>
      <c r="B918" s="90">
        <v>851</v>
      </c>
      <c r="C918" s="88" t="s">
        <v>403</v>
      </c>
      <c r="D918" s="90" t="s">
        <v>17</v>
      </c>
      <c r="E918" s="90" t="s">
        <v>49</v>
      </c>
      <c r="F918" s="91" t="s">
        <v>851</v>
      </c>
      <c r="G918" s="118">
        <v>9</v>
      </c>
      <c r="H918" s="94">
        <v>910</v>
      </c>
      <c r="I918" s="91">
        <v>45936</v>
      </c>
      <c r="J918" s="165">
        <v>0.72013888888888899</v>
      </c>
      <c r="K918" s="94">
        <v>910</v>
      </c>
      <c r="L918" s="72" t="str">
        <f t="shared" si="14"/>
        <v>Payé</v>
      </c>
    </row>
    <row r="919" spans="1:12" ht="15" customHeight="1" x14ac:dyDescent="0.25">
      <c r="A919" s="91" t="s">
        <v>851</v>
      </c>
      <c r="B919" s="90">
        <v>1134</v>
      </c>
      <c r="C919" s="88" t="s">
        <v>959</v>
      </c>
      <c r="D919" s="90" t="s">
        <v>17</v>
      </c>
      <c r="E919" s="90" t="s">
        <v>49</v>
      </c>
      <c r="F919" s="91" t="s">
        <v>851</v>
      </c>
      <c r="G919" s="118">
        <v>7</v>
      </c>
      <c r="H919" s="94">
        <v>607</v>
      </c>
      <c r="I919" s="91">
        <v>45911</v>
      </c>
      <c r="J919" s="165">
        <v>0.70486111111111116</v>
      </c>
      <c r="K919" s="94">
        <v>607</v>
      </c>
      <c r="L919" s="72" t="str">
        <f t="shared" si="14"/>
        <v>Payé</v>
      </c>
    </row>
    <row r="920" spans="1:12" ht="15" customHeight="1" x14ac:dyDescent="0.25">
      <c r="A920" s="91" t="s">
        <v>851</v>
      </c>
      <c r="B920" s="90">
        <v>3246</v>
      </c>
      <c r="C920" s="88" t="s">
        <v>555</v>
      </c>
      <c r="D920" s="90" t="s">
        <v>17</v>
      </c>
      <c r="E920" s="90" t="s">
        <v>49</v>
      </c>
      <c r="F920" s="91" t="s">
        <v>851</v>
      </c>
      <c r="G920" s="118">
        <v>6</v>
      </c>
      <c r="H920" s="94">
        <v>520</v>
      </c>
      <c r="I920" s="91">
        <v>45895</v>
      </c>
      <c r="J920" s="165">
        <v>0.64374999999999993</v>
      </c>
      <c r="K920" s="94">
        <v>520</v>
      </c>
      <c r="L920" s="72" t="str">
        <f t="shared" si="14"/>
        <v>Payé</v>
      </c>
    </row>
    <row r="921" spans="1:12" ht="15" customHeight="1" x14ac:dyDescent="0.25">
      <c r="A921" s="91" t="s">
        <v>851</v>
      </c>
      <c r="B921" s="90">
        <v>3439</v>
      </c>
      <c r="C921" s="88" t="s">
        <v>875</v>
      </c>
      <c r="D921" s="90" t="s">
        <v>17</v>
      </c>
      <c r="E921" s="90" t="s">
        <v>49</v>
      </c>
      <c r="F921" s="91" t="s">
        <v>851</v>
      </c>
      <c r="G921" s="118">
        <v>7</v>
      </c>
      <c r="H921" s="94">
        <v>607</v>
      </c>
      <c r="I921" s="91">
        <v>45901</v>
      </c>
      <c r="J921" s="165">
        <v>0.61527777777777781</v>
      </c>
      <c r="K921" s="94">
        <v>607</v>
      </c>
      <c r="L921" s="72" t="str">
        <f t="shared" si="14"/>
        <v>Payé</v>
      </c>
    </row>
    <row r="922" spans="1:12" ht="15" customHeight="1" x14ac:dyDescent="0.25">
      <c r="A922" s="91" t="s">
        <v>851</v>
      </c>
      <c r="B922" s="90">
        <v>3440</v>
      </c>
      <c r="C922" s="88" t="s">
        <v>561</v>
      </c>
      <c r="D922" s="90" t="s">
        <v>17</v>
      </c>
      <c r="E922" s="90" t="s">
        <v>49</v>
      </c>
      <c r="F922" s="91" t="s">
        <v>851</v>
      </c>
      <c r="G922" s="118">
        <v>8</v>
      </c>
      <c r="H922" s="94">
        <v>694</v>
      </c>
      <c r="I922" s="91">
        <v>45911</v>
      </c>
      <c r="J922" s="165">
        <v>0.51666666666666672</v>
      </c>
      <c r="K922" s="94">
        <v>694</v>
      </c>
      <c r="L922" s="72" t="str">
        <f t="shared" si="14"/>
        <v>Payé</v>
      </c>
    </row>
    <row r="923" spans="1:12" ht="15" customHeight="1" x14ac:dyDescent="0.25">
      <c r="A923" s="91" t="s">
        <v>851</v>
      </c>
      <c r="B923" s="90">
        <v>3442</v>
      </c>
      <c r="C923" s="88" t="s">
        <v>876</v>
      </c>
      <c r="D923" s="90" t="s">
        <v>17</v>
      </c>
      <c r="E923" s="90" t="s">
        <v>49</v>
      </c>
      <c r="F923" s="91" t="s">
        <v>851</v>
      </c>
      <c r="G923" s="118">
        <v>5</v>
      </c>
      <c r="H923" s="94">
        <v>434</v>
      </c>
      <c r="I923" s="91">
        <v>45901</v>
      </c>
      <c r="J923" s="165">
        <v>0.61527777777777781</v>
      </c>
      <c r="K923" s="94">
        <v>434</v>
      </c>
      <c r="L923" s="72" t="str">
        <f t="shared" si="14"/>
        <v>Payé</v>
      </c>
    </row>
    <row r="924" spans="1:12" ht="15" customHeight="1" x14ac:dyDescent="0.25">
      <c r="A924" s="91" t="s">
        <v>851</v>
      </c>
      <c r="B924" s="90">
        <v>3461</v>
      </c>
      <c r="C924" s="88" t="s">
        <v>878</v>
      </c>
      <c r="D924" s="90" t="s">
        <v>17</v>
      </c>
      <c r="E924" s="90" t="s">
        <v>49</v>
      </c>
      <c r="F924" s="91" t="s">
        <v>851</v>
      </c>
      <c r="G924" s="118">
        <v>8</v>
      </c>
      <c r="H924" s="94">
        <v>694</v>
      </c>
      <c r="I924" s="91">
        <v>45901</v>
      </c>
      <c r="J924" s="165">
        <v>0.6118055555555556</v>
      </c>
      <c r="K924" s="94">
        <v>694</v>
      </c>
      <c r="L924" s="72" t="str">
        <f t="shared" si="14"/>
        <v>Payé</v>
      </c>
    </row>
    <row r="925" spans="1:12" ht="15" customHeight="1" x14ac:dyDescent="0.25">
      <c r="A925" s="91" t="s">
        <v>851</v>
      </c>
      <c r="B925" s="90">
        <v>3751</v>
      </c>
      <c r="C925" s="88" t="s">
        <v>571</v>
      </c>
      <c r="D925" s="90" t="s">
        <v>17</v>
      </c>
      <c r="E925" s="90" t="s">
        <v>49</v>
      </c>
      <c r="F925" s="91" t="s">
        <v>851</v>
      </c>
      <c r="G925" s="118">
        <v>9</v>
      </c>
      <c r="H925" s="94">
        <v>781</v>
      </c>
      <c r="I925" s="91">
        <v>45910</v>
      </c>
      <c r="J925" s="165">
        <v>0.65277777777777779</v>
      </c>
      <c r="K925" s="94">
        <v>781</v>
      </c>
      <c r="L925" s="72" t="str">
        <f t="shared" si="14"/>
        <v>Payé</v>
      </c>
    </row>
    <row r="926" spans="1:12" ht="15" customHeight="1" x14ac:dyDescent="0.25">
      <c r="A926" s="91" t="s">
        <v>851</v>
      </c>
      <c r="B926" s="90">
        <v>3760</v>
      </c>
      <c r="C926" s="88" t="s">
        <v>465</v>
      </c>
      <c r="D926" s="90" t="s">
        <v>17</v>
      </c>
      <c r="E926" s="90" t="s">
        <v>49</v>
      </c>
      <c r="F926" s="91" t="s">
        <v>851</v>
      </c>
      <c r="G926" s="118">
        <v>8</v>
      </c>
      <c r="H926" s="94">
        <v>694</v>
      </c>
      <c r="I926" s="91">
        <v>45937</v>
      </c>
      <c r="J926" s="165">
        <v>0.69305555555555554</v>
      </c>
      <c r="K926" s="94">
        <v>694</v>
      </c>
      <c r="L926" s="72" t="str">
        <f t="shared" ref="L926:L989" si="15">IF(ISBLANK(H926),"",IF(H926=K926,"Payé","Impayé"))</f>
        <v>Payé</v>
      </c>
    </row>
    <row r="927" spans="1:12" ht="15" customHeight="1" x14ac:dyDescent="0.25">
      <c r="A927" s="91" t="s">
        <v>851</v>
      </c>
      <c r="B927" s="90">
        <v>4782</v>
      </c>
      <c r="C927" s="88" t="s">
        <v>698</v>
      </c>
      <c r="D927" s="90" t="s">
        <v>17</v>
      </c>
      <c r="E927" s="90" t="s">
        <v>49</v>
      </c>
      <c r="F927" s="91" t="s">
        <v>851</v>
      </c>
      <c r="G927" s="118">
        <v>6</v>
      </c>
      <c r="H927" s="94">
        <v>520</v>
      </c>
      <c r="I927" s="91">
        <v>45912</v>
      </c>
      <c r="J927" s="165">
        <v>0.51666666666666672</v>
      </c>
      <c r="K927" s="94">
        <v>520</v>
      </c>
      <c r="L927" s="72" t="str">
        <f t="shared" si="15"/>
        <v>Payé</v>
      </c>
    </row>
    <row r="928" spans="1:12" ht="15" customHeight="1" x14ac:dyDescent="0.25">
      <c r="A928" s="91" t="s">
        <v>851</v>
      </c>
      <c r="B928" s="90">
        <v>5229</v>
      </c>
      <c r="C928" s="88" t="s">
        <v>879</v>
      </c>
      <c r="D928" s="90" t="s">
        <v>17</v>
      </c>
      <c r="E928" s="90" t="s">
        <v>49</v>
      </c>
      <c r="F928" s="91" t="s">
        <v>851</v>
      </c>
      <c r="G928" s="118">
        <v>6</v>
      </c>
      <c r="H928" s="94">
        <v>520</v>
      </c>
      <c r="I928" s="91">
        <v>45901</v>
      </c>
      <c r="J928" s="165">
        <v>0.6118055555555556</v>
      </c>
      <c r="K928" s="94">
        <v>520</v>
      </c>
      <c r="L928" s="72" t="str">
        <f t="shared" si="15"/>
        <v>Payé</v>
      </c>
    </row>
    <row r="929" spans="1:12" ht="15" customHeight="1" x14ac:dyDescent="0.25">
      <c r="A929" s="91" t="s">
        <v>851</v>
      </c>
      <c r="B929" s="90">
        <v>5243</v>
      </c>
      <c r="C929" s="88" t="s">
        <v>887</v>
      </c>
      <c r="D929" s="90" t="s">
        <v>17</v>
      </c>
      <c r="E929" s="90" t="s">
        <v>49</v>
      </c>
      <c r="F929" s="91" t="s">
        <v>851</v>
      </c>
      <c r="G929" s="118">
        <v>7</v>
      </c>
      <c r="H929" s="94">
        <v>607</v>
      </c>
      <c r="I929" s="91">
        <v>45898</v>
      </c>
      <c r="J929" s="165">
        <v>0.63611111111111118</v>
      </c>
      <c r="K929" s="94">
        <v>607</v>
      </c>
      <c r="L929" s="72" t="str">
        <f t="shared" si="15"/>
        <v>Payé</v>
      </c>
    </row>
    <row r="930" spans="1:12" ht="15" customHeight="1" x14ac:dyDescent="0.25">
      <c r="A930" s="91" t="s">
        <v>851</v>
      </c>
      <c r="B930" s="90">
        <v>5246</v>
      </c>
      <c r="C930" s="88" t="s">
        <v>890</v>
      </c>
      <c r="D930" s="90" t="s">
        <v>17</v>
      </c>
      <c r="E930" s="90" t="s">
        <v>49</v>
      </c>
      <c r="F930" s="91" t="s">
        <v>851</v>
      </c>
      <c r="G930" s="118">
        <v>9</v>
      </c>
      <c r="H930" s="94">
        <v>871</v>
      </c>
      <c r="I930" s="91">
        <v>45897</v>
      </c>
      <c r="J930" s="165">
        <v>0.59930555555555554</v>
      </c>
      <c r="K930" s="94">
        <v>871</v>
      </c>
      <c r="L930" s="72" t="str">
        <f t="shared" si="15"/>
        <v>Payé</v>
      </c>
    </row>
    <row r="931" spans="1:12" ht="15" customHeight="1" x14ac:dyDescent="0.25">
      <c r="A931" s="91" t="s">
        <v>851</v>
      </c>
      <c r="B931" s="90">
        <v>7004</v>
      </c>
      <c r="C931" s="88" t="s">
        <v>713</v>
      </c>
      <c r="D931" s="90" t="s">
        <v>17</v>
      </c>
      <c r="E931" s="90" t="s">
        <v>49</v>
      </c>
      <c r="F931" s="91" t="s">
        <v>851</v>
      </c>
      <c r="G931" s="118">
        <v>9</v>
      </c>
      <c r="H931" s="94">
        <v>781</v>
      </c>
      <c r="I931" s="91">
        <v>45936</v>
      </c>
      <c r="J931" s="165">
        <v>0.71180555555555547</v>
      </c>
      <c r="K931" s="94">
        <v>781</v>
      </c>
      <c r="L931" s="72" t="str">
        <f t="shared" si="15"/>
        <v>Payé</v>
      </c>
    </row>
    <row r="932" spans="1:12" ht="15" customHeight="1" x14ac:dyDescent="0.25">
      <c r="A932" s="91" t="s">
        <v>851</v>
      </c>
      <c r="B932" s="90">
        <v>9034</v>
      </c>
      <c r="C932" s="88" t="s">
        <v>736</v>
      </c>
      <c r="D932" s="90" t="s">
        <v>17</v>
      </c>
      <c r="E932" s="90" t="s">
        <v>49</v>
      </c>
      <c r="F932" s="91" t="s">
        <v>851</v>
      </c>
      <c r="G932" s="118">
        <v>9</v>
      </c>
      <c r="H932" s="94">
        <v>781</v>
      </c>
      <c r="I932" s="91">
        <v>45896</v>
      </c>
      <c r="J932" s="165">
        <v>0.60902777777777783</v>
      </c>
      <c r="K932" s="94">
        <v>781</v>
      </c>
      <c r="L932" s="72" t="str">
        <f t="shared" si="15"/>
        <v>Payé</v>
      </c>
    </row>
    <row r="933" spans="1:12" ht="15" customHeight="1" x14ac:dyDescent="0.25">
      <c r="A933" s="91" t="s">
        <v>851</v>
      </c>
      <c r="B933" s="90" t="s">
        <v>588</v>
      </c>
      <c r="C933" s="88" t="s">
        <v>589</v>
      </c>
      <c r="D933" s="89" t="s">
        <v>910</v>
      </c>
      <c r="E933" s="90" t="s">
        <v>49</v>
      </c>
      <c r="F933" s="91" t="s">
        <v>851</v>
      </c>
      <c r="G933" s="95">
        <v>113</v>
      </c>
      <c r="H933" s="92">
        <v>2825</v>
      </c>
      <c r="I933" s="91">
        <v>45936</v>
      </c>
      <c r="J933" s="165">
        <v>0.71319444444444446</v>
      </c>
      <c r="K933" s="92">
        <v>2825</v>
      </c>
      <c r="L933" s="72" t="str">
        <f t="shared" si="15"/>
        <v>Payé</v>
      </c>
    </row>
    <row r="934" spans="1:12" ht="15" customHeight="1" x14ac:dyDescent="0.25">
      <c r="A934" s="91" t="s">
        <v>851</v>
      </c>
      <c r="B934" s="90"/>
      <c r="C934" s="88" t="s">
        <v>821</v>
      </c>
      <c r="D934" s="89" t="s">
        <v>912</v>
      </c>
      <c r="E934" s="90" t="s">
        <v>614</v>
      </c>
      <c r="F934" s="91" t="s">
        <v>851</v>
      </c>
      <c r="G934" s="94">
        <v>2</v>
      </c>
      <c r="H934" s="92">
        <v>900</v>
      </c>
      <c r="I934" s="91">
        <v>45895</v>
      </c>
      <c r="J934" s="165">
        <v>0.63402777777777775</v>
      </c>
      <c r="K934" s="92">
        <v>900</v>
      </c>
      <c r="L934" s="72" t="str">
        <f t="shared" si="15"/>
        <v>Payé</v>
      </c>
    </row>
    <row r="935" spans="1:12" ht="15" customHeight="1" x14ac:dyDescent="0.25">
      <c r="A935" s="91" t="s">
        <v>851</v>
      </c>
      <c r="B935" s="90">
        <v>834</v>
      </c>
      <c r="C935" s="88" t="s">
        <v>957</v>
      </c>
      <c r="D935" s="90" t="s">
        <v>17</v>
      </c>
      <c r="E935" s="90" t="s">
        <v>1045</v>
      </c>
      <c r="F935" s="91" t="s">
        <v>851</v>
      </c>
      <c r="G935" s="118">
        <v>7</v>
      </c>
      <c r="H935" s="94">
        <v>607</v>
      </c>
      <c r="I935" s="91">
        <v>45895</v>
      </c>
      <c r="J935" s="165">
        <v>0.54375000000000007</v>
      </c>
      <c r="K935" s="94">
        <v>607</v>
      </c>
      <c r="L935" s="72" t="str">
        <f t="shared" si="15"/>
        <v>Payé</v>
      </c>
    </row>
    <row r="936" spans="1:12" ht="15" customHeight="1" x14ac:dyDescent="0.25">
      <c r="A936" s="91" t="s">
        <v>851</v>
      </c>
      <c r="B936" s="90">
        <v>1169</v>
      </c>
      <c r="C936" s="88" t="s">
        <v>960</v>
      </c>
      <c r="D936" s="90" t="s">
        <v>17</v>
      </c>
      <c r="E936" s="90" t="s">
        <v>1045</v>
      </c>
      <c r="F936" s="91" t="s">
        <v>851</v>
      </c>
      <c r="G936" s="118">
        <v>6</v>
      </c>
      <c r="H936" s="94">
        <v>520</v>
      </c>
      <c r="I936" s="91">
        <v>45898</v>
      </c>
      <c r="J936" s="165">
        <v>0.56458333333333333</v>
      </c>
      <c r="K936" s="94">
        <v>520</v>
      </c>
      <c r="L936" s="72" t="str">
        <f t="shared" si="15"/>
        <v>Payé</v>
      </c>
    </row>
    <row r="937" spans="1:12" ht="15" customHeight="1" x14ac:dyDescent="0.25">
      <c r="A937" s="91" t="s">
        <v>851</v>
      </c>
      <c r="B937" s="90">
        <v>1182</v>
      </c>
      <c r="C937" s="88" t="s">
        <v>961</v>
      </c>
      <c r="D937" s="90" t="s">
        <v>17</v>
      </c>
      <c r="E937" s="90" t="s">
        <v>1045</v>
      </c>
      <c r="F937" s="91" t="s">
        <v>851</v>
      </c>
      <c r="G937" s="118">
        <v>8</v>
      </c>
      <c r="H937" s="94">
        <v>774</v>
      </c>
      <c r="I937" s="91">
        <v>45895</v>
      </c>
      <c r="J937" s="165">
        <v>0.54375000000000007</v>
      </c>
      <c r="K937" s="94">
        <v>774</v>
      </c>
      <c r="L937" s="72" t="str">
        <f t="shared" si="15"/>
        <v>Payé</v>
      </c>
    </row>
    <row r="938" spans="1:12" ht="15" customHeight="1" x14ac:dyDescent="0.25">
      <c r="A938" s="91" t="s">
        <v>851</v>
      </c>
      <c r="B938" s="90">
        <v>3527</v>
      </c>
      <c r="C938" s="88" t="s">
        <v>983</v>
      </c>
      <c r="D938" s="90" t="s">
        <v>17</v>
      </c>
      <c r="E938" s="90" t="s">
        <v>1045</v>
      </c>
      <c r="F938" s="91" t="s">
        <v>851</v>
      </c>
      <c r="G938" s="118">
        <v>5</v>
      </c>
      <c r="H938" s="94">
        <v>434</v>
      </c>
      <c r="I938" s="91">
        <v>45895</v>
      </c>
      <c r="J938" s="165">
        <v>0.54375000000000007</v>
      </c>
      <c r="K938" s="94">
        <v>434</v>
      </c>
      <c r="L938" s="72" t="str">
        <f t="shared" si="15"/>
        <v>Payé</v>
      </c>
    </row>
    <row r="939" spans="1:12" ht="15" customHeight="1" x14ac:dyDescent="0.25">
      <c r="A939" s="91" t="s">
        <v>851</v>
      </c>
      <c r="B939" s="90">
        <v>5294</v>
      </c>
      <c r="C939" s="88" t="s">
        <v>1005</v>
      </c>
      <c r="D939" s="90" t="s">
        <v>17</v>
      </c>
      <c r="E939" s="90" t="s">
        <v>1045</v>
      </c>
      <c r="F939" s="91" t="s">
        <v>851</v>
      </c>
      <c r="G939" s="118">
        <v>8</v>
      </c>
      <c r="H939" s="94">
        <v>694</v>
      </c>
      <c r="I939" s="91">
        <v>45896</v>
      </c>
      <c r="J939" s="165">
        <v>0.53749999999999998</v>
      </c>
      <c r="K939" s="94">
        <v>694</v>
      </c>
      <c r="L939" s="72" t="str">
        <f t="shared" si="15"/>
        <v>Payé</v>
      </c>
    </row>
    <row r="940" spans="1:12" ht="15" customHeight="1" x14ac:dyDescent="0.25">
      <c r="A940" s="91" t="s">
        <v>851</v>
      </c>
      <c r="B940" s="90">
        <v>5295</v>
      </c>
      <c r="C940" s="88" t="s">
        <v>1006</v>
      </c>
      <c r="D940" s="90" t="s">
        <v>17</v>
      </c>
      <c r="E940" s="90" t="s">
        <v>1045</v>
      </c>
      <c r="F940" s="91" t="s">
        <v>851</v>
      </c>
      <c r="G940" s="118">
        <v>7</v>
      </c>
      <c r="H940" s="94">
        <v>607</v>
      </c>
      <c r="I940" s="91">
        <v>45896</v>
      </c>
      <c r="J940" s="165">
        <v>0.53749999999999998</v>
      </c>
      <c r="K940" s="94">
        <v>607</v>
      </c>
      <c r="L940" s="72" t="str">
        <f t="shared" si="15"/>
        <v>Payé</v>
      </c>
    </row>
    <row r="941" spans="1:12" ht="15" customHeight="1" x14ac:dyDescent="0.25">
      <c r="A941" s="91" t="s">
        <v>851</v>
      </c>
      <c r="B941" s="90">
        <v>5296</v>
      </c>
      <c r="C941" s="88" t="s">
        <v>1007</v>
      </c>
      <c r="D941" s="90" t="s">
        <v>17</v>
      </c>
      <c r="E941" s="90" t="s">
        <v>1045</v>
      </c>
      <c r="F941" s="91" t="s">
        <v>851</v>
      </c>
      <c r="G941" s="118">
        <v>8</v>
      </c>
      <c r="H941" s="94">
        <v>694</v>
      </c>
      <c r="I941" s="91">
        <v>45895</v>
      </c>
      <c r="J941" s="165">
        <v>0.54375000000000007</v>
      </c>
      <c r="K941" s="94">
        <v>694</v>
      </c>
      <c r="L941" s="72" t="str">
        <f t="shared" si="15"/>
        <v>Payé</v>
      </c>
    </row>
    <row r="942" spans="1:12" ht="15" customHeight="1" x14ac:dyDescent="0.25">
      <c r="A942" s="91" t="s">
        <v>851</v>
      </c>
      <c r="B942" s="90">
        <v>5297</v>
      </c>
      <c r="C942" s="88" t="s">
        <v>1008</v>
      </c>
      <c r="D942" s="90" t="s">
        <v>17</v>
      </c>
      <c r="E942" s="90" t="s">
        <v>1045</v>
      </c>
      <c r="F942" s="91" t="s">
        <v>851</v>
      </c>
      <c r="G942" s="118">
        <v>7</v>
      </c>
      <c r="H942" s="94">
        <v>607</v>
      </c>
      <c r="I942" s="91">
        <v>45895</v>
      </c>
      <c r="J942" s="165">
        <v>0.54375000000000007</v>
      </c>
      <c r="K942" s="94">
        <v>607</v>
      </c>
      <c r="L942" s="72" t="str">
        <f t="shared" si="15"/>
        <v>Payé</v>
      </c>
    </row>
    <row r="943" spans="1:12" ht="15" customHeight="1" x14ac:dyDescent="0.25">
      <c r="A943" s="91" t="s">
        <v>851</v>
      </c>
      <c r="B943" s="90">
        <v>5298</v>
      </c>
      <c r="C943" s="88" t="s">
        <v>1009</v>
      </c>
      <c r="D943" s="90" t="s">
        <v>17</v>
      </c>
      <c r="E943" s="90" t="s">
        <v>1045</v>
      </c>
      <c r="F943" s="91" t="s">
        <v>851</v>
      </c>
      <c r="G943" s="118">
        <v>6</v>
      </c>
      <c r="H943" s="94">
        <v>520</v>
      </c>
      <c r="I943" s="91">
        <v>45895</v>
      </c>
      <c r="J943" s="165">
        <v>0.54375000000000007</v>
      </c>
      <c r="K943" s="94">
        <v>520</v>
      </c>
      <c r="L943" s="72" t="str">
        <f t="shared" si="15"/>
        <v>Payé</v>
      </c>
    </row>
    <row r="944" spans="1:12" ht="15" customHeight="1" x14ac:dyDescent="0.25">
      <c r="A944" s="91" t="s">
        <v>851</v>
      </c>
      <c r="B944" s="90">
        <v>5299</v>
      </c>
      <c r="C944" s="88" t="s">
        <v>1010</v>
      </c>
      <c r="D944" s="90" t="s">
        <v>17</v>
      </c>
      <c r="E944" s="90" t="s">
        <v>1045</v>
      </c>
      <c r="F944" s="91" t="s">
        <v>851</v>
      </c>
      <c r="G944" s="118">
        <v>8</v>
      </c>
      <c r="H944" s="94">
        <v>694</v>
      </c>
      <c r="I944" s="91">
        <v>45898</v>
      </c>
      <c r="J944" s="165">
        <v>0.56458333333333333</v>
      </c>
      <c r="K944" s="94">
        <v>694</v>
      </c>
      <c r="L944" s="72" t="str">
        <f t="shared" si="15"/>
        <v>Payé</v>
      </c>
    </row>
    <row r="945" spans="1:12" ht="15" customHeight="1" x14ac:dyDescent="0.25">
      <c r="A945" s="91" t="s">
        <v>851</v>
      </c>
      <c r="B945" s="90">
        <v>5301</v>
      </c>
      <c r="C945" s="88" t="s">
        <v>1012</v>
      </c>
      <c r="D945" s="90" t="s">
        <v>17</v>
      </c>
      <c r="E945" s="90" t="s">
        <v>1045</v>
      </c>
      <c r="F945" s="91" t="s">
        <v>851</v>
      </c>
      <c r="G945" s="118">
        <v>4</v>
      </c>
      <c r="H945" s="94">
        <v>347</v>
      </c>
      <c r="I945" s="91">
        <v>45898</v>
      </c>
      <c r="J945" s="165">
        <v>0.56458333333333333</v>
      </c>
      <c r="K945" s="94">
        <v>347</v>
      </c>
      <c r="L945" s="72" t="str">
        <f t="shared" si="15"/>
        <v>Payé</v>
      </c>
    </row>
    <row r="946" spans="1:12" ht="15" customHeight="1" x14ac:dyDescent="0.25">
      <c r="A946" s="91" t="s">
        <v>851</v>
      </c>
      <c r="B946" s="90">
        <v>5302</v>
      </c>
      <c r="C946" s="88" t="s">
        <v>1013</v>
      </c>
      <c r="D946" s="90" t="s">
        <v>17</v>
      </c>
      <c r="E946" s="90" t="s">
        <v>1045</v>
      </c>
      <c r="F946" s="91" t="s">
        <v>851</v>
      </c>
      <c r="G946" s="118">
        <v>7</v>
      </c>
      <c r="H946" s="94">
        <v>607</v>
      </c>
      <c r="I946" s="91">
        <v>45895</v>
      </c>
      <c r="J946" s="165">
        <v>0.54375000000000007</v>
      </c>
      <c r="K946" s="94">
        <v>607</v>
      </c>
      <c r="L946" s="72" t="str">
        <f t="shared" si="15"/>
        <v>Payé</v>
      </c>
    </row>
    <row r="947" spans="1:12" ht="15" customHeight="1" x14ac:dyDescent="0.25">
      <c r="A947" s="91" t="s">
        <v>851</v>
      </c>
      <c r="B947" s="90">
        <v>5303</v>
      </c>
      <c r="C947" s="88" t="s">
        <v>1014</v>
      </c>
      <c r="D947" s="90" t="s">
        <v>17</v>
      </c>
      <c r="E947" s="90" t="s">
        <v>1045</v>
      </c>
      <c r="F947" s="91" t="s">
        <v>851</v>
      </c>
      <c r="G947" s="118">
        <v>5</v>
      </c>
      <c r="H947" s="94">
        <v>434</v>
      </c>
      <c r="I947" s="91">
        <v>45896</v>
      </c>
      <c r="J947" s="165">
        <v>0.53749999999999998</v>
      </c>
      <c r="K947" s="94">
        <v>434</v>
      </c>
      <c r="L947" s="72" t="str">
        <f t="shared" si="15"/>
        <v>Payé</v>
      </c>
    </row>
    <row r="948" spans="1:12" ht="15" customHeight="1" x14ac:dyDescent="0.25">
      <c r="A948" s="91" t="s">
        <v>851</v>
      </c>
      <c r="B948" s="90">
        <v>5308</v>
      </c>
      <c r="C948" s="88" t="s">
        <v>1019</v>
      </c>
      <c r="D948" s="90" t="s">
        <v>17</v>
      </c>
      <c r="E948" s="90" t="s">
        <v>1045</v>
      </c>
      <c r="F948" s="91" t="s">
        <v>851</v>
      </c>
      <c r="G948" s="118">
        <v>6</v>
      </c>
      <c r="H948" s="94">
        <v>520</v>
      </c>
      <c r="I948" s="91">
        <v>45896</v>
      </c>
      <c r="J948" s="165">
        <v>0.53749999999999998</v>
      </c>
      <c r="K948" s="94">
        <v>520</v>
      </c>
      <c r="L948" s="72" t="str">
        <f t="shared" si="15"/>
        <v>Payé</v>
      </c>
    </row>
    <row r="949" spans="1:12" ht="15" customHeight="1" x14ac:dyDescent="0.25">
      <c r="A949" s="91" t="s">
        <v>851</v>
      </c>
      <c r="B949" s="90">
        <v>5309</v>
      </c>
      <c r="C949" s="88" t="s">
        <v>1020</v>
      </c>
      <c r="D949" s="90" t="s">
        <v>17</v>
      </c>
      <c r="E949" s="90" t="s">
        <v>1045</v>
      </c>
      <c r="F949" s="91" t="s">
        <v>851</v>
      </c>
      <c r="G949" s="118">
        <v>6</v>
      </c>
      <c r="H949" s="94">
        <v>520</v>
      </c>
      <c r="I949" s="91">
        <v>45911</v>
      </c>
      <c r="J949" s="165">
        <v>0.6777777777777777</v>
      </c>
      <c r="K949" s="94">
        <v>520</v>
      </c>
      <c r="L949" s="72" t="str">
        <f t="shared" si="15"/>
        <v>Payé</v>
      </c>
    </row>
    <row r="950" spans="1:12" ht="15" customHeight="1" x14ac:dyDescent="0.25">
      <c r="A950" s="91" t="s">
        <v>851</v>
      </c>
      <c r="B950" s="90">
        <v>5313</v>
      </c>
      <c r="C950" s="88" t="s">
        <v>1022</v>
      </c>
      <c r="D950" s="90" t="s">
        <v>17</v>
      </c>
      <c r="E950" s="90" t="s">
        <v>1045</v>
      </c>
      <c r="F950" s="91" t="s">
        <v>851</v>
      </c>
      <c r="G950" s="118">
        <v>2</v>
      </c>
      <c r="H950" s="94">
        <v>173</v>
      </c>
      <c r="I950" s="91">
        <v>45898</v>
      </c>
      <c r="J950" s="165">
        <v>0.56666666666666665</v>
      </c>
      <c r="K950" s="94">
        <v>173</v>
      </c>
      <c r="L950" s="72" t="str">
        <f t="shared" si="15"/>
        <v>Payé</v>
      </c>
    </row>
    <row r="951" spans="1:12" ht="15" customHeight="1" x14ac:dyDescent="0.25">
      <c r="A951" s="91" t="s">
        <v>851</v>
      </c>
      <c r="B951" s="90">
        <v>5314</v>
      </c>
      <c r="C951" s="88" t="s">
        <v>1023</v>
      </c>
      <c r="D951" s="90" t="s">
        <v>17</v>
      </c>
      <c r="E951" s="90" t="s">
        <v>1045</v>
      </c>
      <c r="F951" s="91" t="s">
        <v>851</v>
      </c>
      <c r="G951" s="118">
        <v>3</v>
      </c>
      <c r="H951" s="94">
        <v>260</v>
      </c>
      <c r="I951" s="91">
        <v>45895</v>
      </c>
      <c r="J951" s="165">
        <v>0.54375000000000007</v>
      </c>
      <c r="K951" s="94">
        <v>260</v>
      </c>
      <c r="L951" s="72" t="str">
        <f t="shared" si="15"/>
        <v>Payé</v>
      </c>
    </row>
    <row r="952" spans="1:12" ht="15" customHeight="1" x14ac:dyDescent="0.25">
      <c r="A952" s="91" t="s">
        <v>851</v>
      </c>
      <c r="B952" s="90">
        <v>5318</v>
      </c>
      <c r="C952" s="88" t="s">
        <v>1025</v>
      </c>
      <c r="D952" s="90" t="s">
        <v>17</v>
      </c>
      <c r="E952" s="90" t="s">
        <v>1045</v>
      </c>
      <c r="F952" s="91" t="s">
        <v>851</v>
      </c>
      <c r="G952" s="118">
        <v>4</v>
      </c>
      <c r="H952" s="94">
        <v>347</v>
      </c>
      <c r="I952" s="91">
        <v>45898</v>
      </c>
      <c r="J952" s="165">
        <v>0.56458333333333333</v>
      </c>
      <c r="K952" s="94">
        <v>347</v>
      </c>
      <c r="L952" s="72" t="str">
        <f t="shared" si="15"/>
        <v>Payé</v>
      </c>
    </row>
    <row r="953" spans="1:12" ht="15" customHeight="1" x14ac:dyDescent="0.25">
      <c r="A953" s="91" t="s">
        <v>851</v>
      </c>
      <c r="B953" s="90">
        <v>5319</v>
      </c>
      <c r="C953" s="88" t="s">
        <v>1026</v>
      </c>
      <c r="D953" s="90" t="s">
        <v>17</v>
      </c>
      <c r="E953" s="90" t="s">
        <v>1045</v>
      </c>
      <c r="F953" s="91" t="s">
        <v>851</v>
      </c>
      <c r="G953" s="118">
        <v>4</v>
      </c>
      <c r="H953" s="94">
        <v>347</v>
      </c>
      <c r="I953" s="91">
        <v>45898</v>
      </c>
      <c r="J953" s="165">
        <v>0.56458333333333333</v>
      </c>
      <c r="K953" s="94">
        <v>347</v>
      </c>
      <c r="L953" s="72" t="str">
        <f t="shared" si="15"/>
        <v>Payé</v>
      </c>
    </row>
    <row r="954" spans="1:12" ht="15" customHeight="1" x14ac:dyDescent="0.25">
      <c r="A954" s="91" t="s">
        <v>851</v>
      </c>
      <c r="B954" s="90">
        <v>5320</v>
      </c>
      <c r="C954" s="88" t="s">
        <v>1027</v>
      </c>
      <c r="D954" s="90" t="s">
        <v>17</v>
      </c>
      <c r="E954" s="90" t="s">
        <v>1045</v>
      </c>
      <c r="F954" s="91" t="s">
        <v>851</v>
      </c>
      <c r="G954" s="118">
        <v>1</v>
      </c>
      <c r="H954" s="94">
        <v>87</v>
      </c>
      <c r="I954" s="91">
        <v>45911</v>
      </c>
      <c r="J954" s="165">
        <v>0.6777777777777777</v>
      </c>
      <c r="K954" s="94">
        <v>87</v>
      </c>
      <c r="L954" s="72" t="str">
        <f t="shared" si="15"/>
        <v>Payé</v>
      </c>
    </row>
    <row r="955" spans="1:12" ht="15" customHeight="1" x14ac:dyDescent="0.25">
      <c r="A955" s="91" t="s">
        <v>851</v>
      </c>
      <c r="B955" s="90">
        <v>5321</v>
      </c>
      <c r="C955" s="88" t="s">
        <v>1028</v>
      </c>
      <c r="D955" s="90" t="s">
        <v>17</v>
      </c>
      <c r="E955" s="90" t="s">
        <v>1045</v>
      </c>
      <c r="F955" s="91" t="s">
        <v>851</v>
      </c>
      <c r="G955" s="118">
        <v>3</v>
      </c>
      <c r="H955" s="94">
        <v>260</v>
      </c>
      <c r="I955" s="91">
        <v>45895</v>
      </c>
      <c r="J955" s="165">
        <v>0.54375000000000007</v>
      </c>
      <c r="K955" s="94">
        <v>260</v>
      </c>
      <c r="L955" s="72" t="str">
        <f t="shared" si="15"/>
        <v>Payé</v>
      </c>
    </row>
    <row r="956" spans="1:12" ht="15" customHeight="1" x14ac:dyDescent="0.25">
      <c r="A956" s="91" t="s">
        <v>851</v>
      </c>
      <c r="B956" s="90">
        <v>5322</v>
      </c>
      <c r="C956" s="88" t="s">
        <v>1029</v>
      </c>
      <c r="D956" s="90" t="s">
        <v>17</v>
      </c>
      <c r="E956" s="90" t="s">
        <v>1045</v>
      </c>
      <c r="F956" s="91" t="s">
        <v>851</v>
      </c>
      <c r="G956" s="118">
        <v>2</v>
      </c>
      <c r="H956" s="94">
        <v>173</v>
      </c>
      <c r="I956" s="91">
        <v>45895</v>
      </c>
      <c r="J956" s="165">
        <v>0.54375000000000007</v>
      </c>
      <c r="K956" s="94">
        <v>173</v>
      </c>
      <c r="L956" s="72" t="str">
        <f t="shared" si="15"/>
        <v>Payé</v>
      </c>
    </row>
    <row r="957" spans="1:12" ht="15" customHeight="1" x14ac:dyDescent="0.25">
      <c r="A957" s="91" t="s">
        <v>851</v>
      </c>
      <c r="B957" s="90">
        <v>5323</v>
      </c>
      <c r="C957" s="88" t="s">
        <v>1030</v>
      </c>
      <c r="D957" s="90" t="s">
        <v>17</v>
      </c>
      <c r="E957" s="90" t="s">
        <v>1045</v>
      </c>
      <c r="F957" s="91" t="s">
        <v>851</v>
      </c>
      <c r="G957" s="118">
        <v>5</v>
      </c>
      <c r="H957" s="94">
        <v>434</v>
      </c>
      <c r="I957" s="91">
        <v>45898</v>
      </c>
      <c r="J957" s="165">
        <v>0.56666666666666665</v>
      </c>
      <c r="K957" s="94">
        <v>434</v>
      </c>
      <c r="L957" s="72" t="str">
        <f t="shared" si="15"/>
        <v>Payé</v>
      </c>
    </row>
    <row r="958" spans="1:12" ht="15" customHeight="1" x14ac:dyDescent="0.25">
      <c r="A958" s="91" t="s">
        <v>851</v>
      </c>
      <c r="B958" s="90">
        <v>5324</v>
      </c>
      <c r="C958" s="88" t="s">
        <v>1031</v>
      </c>
      <c r="D958" s="90" t="s">
        <v>17</v>
      </c>
      <c r="E958" s="90" t="s">
        <v>1045</v>
      </c>
      <c r="F958" s="91" t="s">
        <v>851</v>
      </c>
      <c r="G958" s="118">
        <v>3</v>
      </c>
      <c r="H958" s="94">
        <v>260</v>
      </c>
      <c r="I958" s="91">
        <v>45895</v>
      </c>
      <c r="J958" s="165">
        <v>0.54375000000000007</v>
      </c>
      <c r="K958" s="94">
        <v>260</v>
      </c>
      <c r="L958" s="72" t="str">
        <f t="shared" si="15"/>
        <v>Payé</v>
      </c>
    </row>
    <row r="959" spans="1:12" ht="15" customHeight="1" x14ac:dyDescent="0.25">
      <c r="A959" s="91" t="s">
        <v>851</v>
      </c>
      <c r="B959" s="90">
        <v>5329</v>
      </c>
      <c r="C959" s="88" t="s">
        <v>1035</v>
      </c>
      <c r="D959" s="90" t="s">
        <v>17</v>
      </c>
      <c r="E959" s="90" t="s">
        <v>1045</v>
      </c>
      <c r="F959" s="91" t="s">
        <v>851</v>
      </c>
      <c r="G959" s="118">
        <v>1</v>
      </c>
      <c r="H959" s="94">
        <v>87</v>
      </c>
      <c r="I959" s="91">
        <v>45898</v>
      </c>
      <c r="J959" s="165">
        <v>0.56666666666666665</v>
      </c>
      <c r="K959" s="94">
        <v>87</v>
      </c>
      <c r="L959" s="72" t="str">
        <f t="shared" si="15"/>
        <v>Payé</v>
      </c>
    </row>
    <row r="960" spans="1:12" ht="15" customHeight="1" x14ac:dyDescent="0.25">
      <c r="A960" s="91" t="s">
        <v>851</v>
      </c>
      <c r="B960" s="90"/>
      <c r="C960" s="88" t="s">
        <v>1044</v>
      </c>
      <c r="D960" s="90" t="s">
        <v>17</v>
      </c>
      <c r="E960" s="90" t="s">
        <v>1045</v>
      </c>
      <c r="F960" s="91" t="s">
        <v>851</v>
      </c>
      <c r="G960" s="118">
        <v>1</v>
      </c>
      <c r="H960" s="94">
        <v>87</v>
      </c>
      <c r="I960" s="91">
        <v>45898</v>
      </c>
      <c r="J960" s="165">
        <v>0.56666666666666665</v>
      </c>
      <c r="K960" s="94">
        <v>87</v>
      </c>
      <c r="L960" s="72" t="str">
        <f t="shared" si="15"/>
        <v>Payé</v>
      </c>
    </row>
    <row r="961" spans="1:12" ht="15" customHeight="1" x14ac:dyDescent="0.25">
      <c r="A961" s="91" t="s">
        <v>851</v>
      </c>
      <c r="B961" s="90"/>
      <c r="C961" s="88" t="s">
        <v>961</v>
      </c>
      <c r="D961" s="89" t="s">
        <v>910</v>
      </c>
      <c r="E961" s="90" t="s">
        <v>1048</v>
      </c>
      <c r="F961" s="91" t="s">
        <v>851</v>
      </c>
      <c r="G961" s="95">
        <v>127</v>
      </c>
      <c r="H961" s="92">
        <v>3175</v>
      </c>
      <c r="I961" s="91">
        <v>45896</v>
      </c>
      <c r="J961" s="165">
        <v>0.5</v>
      </c>
      <c r="K961" s="92">
        <v>3175</v>
      </c>
      <c r="L961" s="72" t="str">
        <f t="shared" si="15"/>
        <v>Payé</v>
      </c>
    </row>
    <row r="962" spans="1:12" ht="15" customHeight="1" x14ac:dyDescent="0.25">
      <c r="A962" s="90" t="s">
        <v>853</v>
      </c>
      <c r="B962" s="147">
        <v>10</v>
      </c>
      <c r="C962" s="205" t="s">
        <v>840</v>
      </c>
      <c r="D962" s="90" t="s">
        <v>17</v>
      </c>
      <c r="E962" s="90" t="s">
        <v>371</v>
      </c>
      <c r="F962" s="90" t="s">
        <v>853</v>
      </c>
      <c r="G962" s="137">
        <v>6</v>
      </c>
      <c r="H962" s="138">
        <v>520</v>
      </c>
      <c r="I962" s="91">
        <v>45931</v>
      </c>
      <c r="J962" s="165">
        <v>0.71458333333333324</v>
      </c>
      <c r="K962" s="138">
        <v>520</v>
      </c>
      <c r="L962" s="72" t="str">
        <f t="shared" si="15"/>
        <v>Payé</v>
      </c>
    </row>
    <row r="963" spans="1:12" ht="15" customHeight="1" x14ac:dyDescent="0.25">
      <c r="A963" s="90" t="s">
        <v>853</v>
      </c>
      <c r="B963" s="150">
        <v>3672</v>
      </c>
      <c r="C963" s="206" t="s">
        <v>568</v>
      </c>
      <c r="D963" s="90" t="s">
        <v>17</v>
      </c>
      <c r="E963" s="90" t="s">
        <v>613</v>
      </c>
      <c r="F963" s="90" t="s">
        <v>853</v>
      </c>
      <c r="G963" s="137">
        <v>16</v>
      </c>
      <c r="H963" s="138">
        <v>1729</v>
      </c>
      <c r="I963" s="91">
        <v>45925</v>
      </c>
      <c r="J963" s="165">
        <v>0.7006944444444444</v>
      </c>
      <c r="K963" s="138">
        <v>1729</v>
      </c>
      <c r="L963" s="72" t="str">
        <f t="shared" si="15"/>
        <v>Payé</v>
      </c>
    </row>
    <row r="964" spans="1:12" ht="15" customHeight="1" x14ac:dyDescent="0.25">
      <c r="A964" s="90" t="s">
        <v>853</v>
      </c>
      <c r="B964" s="150">
        <v>5344</v>
      </c>
      <c r="C964" s="206" t="s">
        <v>1079</v>
      </c>
      <c r="D964" s="90" t="s">
        <v>17</v>
      </c>
      <c r="E964" s="90" t="s">
        <v>613</v>
      </c>
      <c r="F964" s="90" t="s">
        <v>853</v>
      </c>
      <c r="G964" s="137">
        <v>5</v>
      </c>
      <c r="H964" s="138">
        <v>484</v>
      </c>
      <c r="I964" s="91">
        <v>45937</v>
      </c>
      <c r="J964" s="165">
        <v>0.7006944444444444</v>
      </c>
      <c r="K964" s="138">
        <v>484</v>
      </c>
      <c r="L964" s="72" t="str">
        <f t="shared" si="15"/>
        <v>Payé</v>
      </c>
    </row>
    <row r="965" spans="1:12" ht="15" customHeight="1" x14ac:dyDescent="0.25">
      <c r="A965" s="90" t="s">
        <v>853</v>
      </c>
      <c r="B965" s="146">
        <v>5</v>
      </c>
      <c r="C965" s="205" t="s">
        <v>456</v>
      </c>
      <c r="D965" s="90" t="s">
        <v>17</v>
      </c>
      <c r="E965" s="90" t="s">
        <v>81</v>
      </c>
      <c r="F965" s="90" t="s">
        <v>853</v>
      </c>
      <c r="G965" s="137">
        <v>1</v>
      </c>
      <c r="H965" s="138">
        <v>91</v>
      </c>
      <c r="I965" s="91">
        <v>45926</v>
      </c>
      <c r="J965" s="165">
        <v>0.69791666666666663</v>
      </c>
      <c r="K965" s="138">
        <v>91</v>
      </c>
      <c r="L965" s="72" t="str">
        <f t="shared" si="15"/>
        <v>Payé</v>
      </c>
    </row>
    <row r="966" spans="1:12" ht="15" customHeight="1" x14ac:dyDescent="0.25">
      <c r="A966" s="90" t="s">
        <v>853</v>
      </c>
      <c r="B966" s="147">
        <v>102</v>
      </c>
      <c r="C966" s="205" t="s">
        <v>594</v>
      </c>
      <c r="D966" s="90" t="s">
        <v>17</v>
      </c>
      <c r="E966" s="90" t="s">
        <v>81</v>
      </c>
      <c r="F966" s="90" t="s">
        <v>853</v>
      </c>
      <c r="G966" s="137">
        <v>2</v>
      </c>
      <c r="H966" s="138">
        <v>191</v>
      </c>
      <c r="I966" s="91">
        <v>45926</v>
      </c>
      <c r="J966" s="165">
        <v>0.69791666666666663</v>
      </c>
      <c r="K966" s="138">
        <v>191</v>
      </c>
      <c r="L966" s="72" t="str">
        <f t="shared" si="15"/>
        <v>Payé</v>
      </c>
    </row>
    <row r="967" spans="1:12" ht="15" customHeight="1" x14ac:dyDescent="0.25">
      <c r="A967" s="90" t="s">
        <v>853</v>
      </c>
      <c r="B967" s="150">
        <v>4807</v>
      </c>
      <c r="C967" s="206" t="s">
        <v>825</v>
      </c>
      <c r="D967" s="90" t="s">
        <v>17</v>
      </c>
      <c r="E967" s="90" t="s">
        <v>81</v>
      </c>
      <c r="F967" s="90" t="s">
        <v>853</v>
      </c>
      <c r="G967" s="137">
        <v>12</v>
      </c>
      <c r="H967" s="138">
        <v>1161</v>
      </c>
      <c r="I967" s="91">
        <v>45925</v>
      </c>
      <c r="J967" s="165">
        <v>0.7006944444444444</v>
      </c>
      <c r="K967" s="138">
        <v>1161</v>
      </c>
      <c r="L967" s="72" t="str">
        <f t="shared" si="15"/>
        <v>Payé</v>
      </c>
    </row>
    <row r="968" spans="1:12" ht="15" customHeight="1" x14ac:dyDescent="0.25">
      <c r="A968" s="90" t="s">
        <v>853</v>
      </c>
      <c r="B968" s="148">
        <v>6</v>
      </c>
      <c r="C968" s="205" t="s">
        <v>542</v>
      </c>
      <c r="D968" s="90" t="s">
        <v>17</v>
      </c>
      <c r="E968" s="90" t="s">
        <v>368</v>
      </c>
      <c r="F968" s="90" t="s">
        <v>853</v>
      </c>
      <c r="G968" s="137">
        <v>2</v>
      </c>
      <c r="H968" s="138">
        <v>191</v>
      </c>
      <c r="I968" s="91">
        <v>45925</v>
      </c>
      <c r="J968" s="165">
        <v>0.72430555555555554</v>
      </c>
      <c r="K968" s="138">
        <v>191</v>
      </c>
      <c r="L968" s="72" t="str">
        <f t="shared" si="15"/>
        <v>Payé</v>
      </c>
    </row>
    <row r="969" spans="1:12" ht="15" customHeight="1" x14ac:dyDescent="0.25">
      <c r="A969" s="90" t="s">
        <v>853</v>
      </c>
      <c r="B969" s="150">
        <v>1041</v>
      </c>
      <c r="C969" s="206" t="s">
        <v>387</v>
      </c>
      <c r="D969" s="90" t="s">
        <v>17</v>
      </c>
      <c r="E969" s="90" t="s">
        <v>368</v>
      </c>
      <c r="F969" s="90" t="s">
        <v>853</v>
      </c>
      <c r="G969" s="137">
        <v>1</v>
      </c>
      <c r="H969" s="138">
        <v>91</v>
      </c>
      <c r="I969" s="91">
        <v>45925</v>
      </c>
      <c r="J969" s="165">
        <v>0.72638888888888886</v>
      </c>
      <c r="K969" s="138">
        <v>91</v>
      </c>
      <c r="L969" s="72" t="str">
        <f t="shared" si="15"/>
        <v>Payé</v>
      </c>
    </row>
    <row r="970" spans="1:12" ht="15" customHeight="1" x14ac:dyDescent="0.25">
      <c r="A970" s="90" t="s">
        <v>853</v>
      </c>
      <c r="B970" s="149">
        <v>10007</v>
      </c>
      <c r="C970" s="207" t="s">
        <v>1133</v>
      </c>
      <c r="D970" s="90" t="s">
        <v>17</v>
      </c>
      <c r="E970" s="90" t="s">
        <v>368</v>
      </c>
      <c r="F970" s="90" t="s">
        <v>853</v>
      </c>
      <c r="G970" s="137">
        <v>3</v>
      </c>
      <c r="H970" s="138">
        <v>350</v>
      </c>
      <c r="I970" s="91">
        <v>45926</v>
      </c>
      <c r="J970" s="165">
        <v>0.69791666666666663</v>
      </c>
      <c r="K970" s="138">
        <v>350</v>
      </c>
      <c r="L970" s="72" t="str">
        <f t="shared" si="15"/>
        <v>Payé</v>
      </c>
    </row>
    <row r="971" spans="1:12" ht="15" customHeight="1" x14ac:dyDescent="0.25">
      <c r="A971" s="90" t="s">
        <v>853</v>
      </c>
      <c r="B971" s="147">
        <v>994</v>
      </c>
      <c r="C971" s="205" t="s">
        <v>381</v>
      </c>
      <c r="D971" s="90" t="s">
        <v>17</v>
      </c>
      <c r="E971" s="90" t="s">
        <v>370</v>
      </c>
      <c r="F971" s="90" t="s">
        <v>853</v>
      </c>
      <c r="G971" s="137">
        <v>2</v>
      </c>
      <c r="H971" s="138">
        <v>182</v>
      </c>
      <c r="I971" s="91">
        <v>45937</v>
      </c>
      <c r="J971" s="165">
        <v>0.59791666666666665</v>
      </c>
      <c r="K971" s="138">
        <v>182</v>
      </c>
      <c r="L971" s="72" t="str">
        <f t="shared" si="15"/>
        <v>Payé</v>
      </c>
    </row>
    <row r="972" spans="1:12" ht="15" customHeight="1" x14ac:dyDescent="0.25">
      <c r="A972" s="90" t="s">
        <v>853</v>
      </c>
      <c r="B972" s="150">
        <v>5348</v>
      </c>
      <c r="C972" s="207" t="s">
        <v>1083</v>
      </c>
      <c r="D972" s="90" t="s">
        <v>17</v>
      </c>
      <c r="E972" s="90" t="s">
        <v>370</v>
      </c>
      <c r="F972" s="90" t="s">
        <v>853</v>
      </c>
      <c r="G972" s="137">
        <v>16</v>
      </c>
      <c r="H972" s="138">
        <v>1868</v>
      </c>
      <c r="I972" s="91">
        <v>45927</v>
      </c>
      <c r="J972" s="165">
        <v>0.41736111111111113</v>
      </c>
      <c r="K972" s="138">
        <v>1868</v>
      </c>
      <c r="L972" s="72" t="str">
        <f t="shared" si="15"/>
        <v>Payé</v>
      </c>
    </row>
    <row r="973" spans="1:12" ht="15" customHeight="1" x14ac:dyDescent="0.25">
      <c r="A973" s="90" t="s">
        <v>853</v>
      </c>
      <c r="B973" s="149">
        <v>5365</v>
      </c>
      <c r="C973" s="207" t="s">
        <v>1123</v>
      </c>
      <c r="D973" s="90" t="s">
        <v>17</v>
      </c>
      <c r="E973" s="90" t="s">
        <v>370</v>
      </c>
      <c r="F973" s="90" t="s">
        <v>853</v>
      </c>
      <c r="G973" s="137">
        <v>15</v>
      </c>
      <c r="H973" s="138">
        <v>1950</v>
      </c>
      <c r="I973" s="91">
        <v>45927</v>
      </c>
      <c r="J973" s="165">
        <v>0.41736111111111113</v>
      </c>
      <c r="K973" s="138">
        <v>1950</v>
      </c>
      <c r="L973" s="72" t="str">
        <f t="shared" si="15"/>
        <v>Payé</v>
      </c>
    </row>
    <row r="974" spans="1:12" ht="15" customHeight="1" x14ac:dyDescent="0.25">
      <c r="A974" s="90" t="s">
        <v>853</v>
      </c>
      <c r="B974" s="149">
        <v>10004</v>
      </c>
      <c r="C974" s="207" t="s">
        <v>1130</v>
      </c>
      <c r="D974" s="90" t="s">
        <v>17</v>
      </c>
      <c r="E974" s="90" t="s">
        <v>370</v>
      </c>
      <c r="F974" s="90" t="s">
        <v>853</v>
      </c>
      <c r="G974" s="137">
        <v>7</v>
      </c>
      <c r="H974" s="138">
        <v>817</v>
      </c>
      <c r="I974" s="91">
        <v>45930</v>
      </c>
      <c r="J974" s="165">
        <v>0.53888888888888886</v>
      </c>
      <c r="K974" s="138">
        <v>817</v>
      </c>
      <c r="L974" s="72" t="str">
        <f t="shared" si="15"/>
        <v>Payé</v>
      </c>
    </row>
    <row r="975" spans="1:12" ht="15" customHeight="1" x14ac:dyDescent="0.25">
      <c r="A975" s="90" t="s">
        <v>853</v>
      </c>
      <c r="B975" s="149">
        <v>10006</v>
      </c>
      <c r="C975" s="207" t="s">
        <v>1132</v>
      </c>
      <c r="D975" s="90" t="s">
        <v>17</v>
      </c>
      <c r="E975" s="90" t="s">
        <v>370</v>
      </c>
      <c r="F975" s="90" t="s">
        <v>853</v>
      </c>
      <c r="G975" s="137">
        <v>4</v>
      </c>
      <c r="H975" s="138">
        <v>467</v>
      </c>
      <c r="I975" s="91">
        <v>45926</v>
      </c>
      <c r="J975" s="165">
        <v>0.69791666666666663</v>
      </c>
      <c r="K975" s="138">
        <v>467</v>
      </c>
      <c r="L975" s="72" t="str">
        <f t="shared" si="15"/>
        <v>Payé</v>
      </c>
    </row>
    <row r="976" spans="1:12" ht="15" customHeight="1" x14ac:dyDescent="0.25">
      <c r="A976" s="90" t="s">
        <v>853</v>
      </c>
      <c r="B976" s="148">
        <v>198</v>
      </c>
      <c r="C976" s="205" t="s">
        <v>380</v>
      </c>
      <c r="D976" s="90" t="s">
        <v>17</v>
      </c>
      <c r="E976" s="90" t="s">
        <v>369</v>
      </c>
      <c r="F976" s="90" t="s">
        <v>853</v>
      </c>
      <c r="G976" s="137">
        <v>2</v>
      </c>
      <c r="H976" s="138">
        <v>182</v>
      </c>
      <c r="I976" s="91">
        <v>45925</v>
      </c>
      <c r="J976" s="165">
        <v>0.72430555555555554</v>
      </c>
      <c r="K976" s="138">
        <v>182</v>
      </c>
      <c r="L976" s="72" t="str">
        <f t="shared" si="15"/>
        <v>Payé</v>
      </c>
    </row>
    <row r="977" spans="1:12" ht="15" customHeight="1" x14ac:dyDescent="0.25">
      <c r="A977" s="90" t="s">
        <v>853</v>
      </c>
      <c r="B977" s="148">
        <v>753</v>
      </c>
      <c r="C977" s="205" t="s">
        <v>956</v>
      </c>
      <c r="D977" s="90" t="s">
        <v>17</v>
      </c>
      <c r="E977" s="90" t="s">
        <v>369</v>
      </c>
      <c r="F977" s="90" t="s">
        <v>853</v>
      </c>
      <c r="G977" s="137">
        <v>1</v>
      </c>
      <c r="H977" s="138">
        <v>91</v>
      </c>
      <c r="I977" s="91">
        <v>45938</v>
      </c>
      <c r="J977" s="165">
        <v>0.46319444444444446</v>
      </c>
      <c r="K977" s="138">
        <v>91</v>
      </c>
      <c r="L977" s="72" t="str">
        <f t="shared" si="15"/>
        <v>Payé</v>
      </c>
    </row>
    <row r="978" spans="1:12" ht="15" customHeight="1" x14ac:dyDescent="0.25">
      <c r="A978" s="90" t="s">
        <v>853</v>
      </c>
      <c r="B978" s="149">
        <v>2300</v>
      </c>
      <c r="C978" s="207" t="s">
        <v>1115</v>
      </c>
      <c r="D978" s="90" t="s">
        <v>17</v>
      </c>
      <c r="E978" s="90" t="s">
        <v>369</v>
      </c>
      <c r="F978" s="90" t="s">
        <v>853</v>
      </c>
      <c r="G978" s="137">
        <v>6</v>
      </c>
      <c r="H978" s="138">
        <v>700</v>
      </c>
      <c r="I978" s="91">
        <v>45938</v>
      </c>
      <c r="J978" s="165">
        <v>0.53749999999999998</v>
      </c>
      <c r="K978" s="138">
        <v>700</v>
      </c>
      <c r="L978" s="72" t="str">
        <f t="shared" si="15"/>
        <v>Payé</v>
      </c>
    </row>
    <row r="979" spans="1:12" ht="15" customHeight="1" x14ac:dyDescent="0.25">
      <c r="A979" s="90" t="s">
        <v>853</v>
      </c>
      <c r="B979" s="148">
        <v>95</v>
      </c>
      <c r="C979" s="205" t="s">
        <v>408</v>
      </c>
      <c r="D979" s="90" t="s">
        <v>17</v>
      </c>
      <c r="E979" s="90" t="s">
        <v>103</v>
      </c>
      <c r="F979" s="90" t="s">
        <v>853</v>
      </c>
      <c r="G979" s="137">
        <v>2</v>
      </c>
      <c r="H979" s="138">
        <v>182</v>
      </c>
      <c r="I979" s="91">
        <v>45929</v>
      </c>
      <c r="J979" s="165">
        <v>0.4680555555555555</v>
      </c>
      <c r="K979" s="138">
        <v>182</v>
      </c>
      <c r="L979" s="72" t="str">
        <f t="shared" si="15"/>
        <v>Payé</v>
      </c>
    </row>
    <row r="980" spans="1:12" ht="15" customHeight="1" x14ac:dyDescent="0.25">
      <c r="A980" s="90" t="s">
        <v>853</v>
      </c>
      <c r="B980" s="150">
        <v>2321</v>
      </c>
      <c r="C980" s="206" t="s">
        <v>969</v>
      </c>
      <c r="D980" s="90" t="s">
        <v>17</v>
      </c>
      <c r="E980" s="90" t="s">
        <v>103</v>
      </c>
      <c r="F980" s="90" t="s">
        <v>853</v>
      </c>
      <c r="G980" s="137">
        <v>1</v>
      </c>
      <c r="H980" s="138">
        <v>87</v>
      </c>
      <c r="I980" s="91">
        <v>45925</v>
      </c>
      <c r="J980" s="165">
        <v>0.72638888888888886</v>
      </c>
      <c r="K980" s="138">
        <v>87</v>
      </c>
      <c r="L980" s="72" t="str">
        <f t="shared" si="15"/>
        <v>Payé</v>
      </c>
    </row>
    <row r="981" spans="1:12" ht="15" customHeight="1" x14ac:dyDescent="0.25">
      <c r="A981" s="90" t="s">
        <v>853</v>
      </c>
      <c r="B981" s="149">
        <v>5270</v>
      </c>
      <c r="C981" s="208" t="s">
        <v>926</v>
      </c>
      <c r="D981" s="90" t="s">
        <v>17</v>
      </c>
      <c r="E981" s="90" t="s">
        <v>391</v>
      </c>
      <c r="F981" s="90" t="s">
        <v>853</v>
      </c>
      <c r="G981" s="137">
        <v>13</v>
      </c>
      <c r="H981" s="138">
        <v>1258</v>
      </c>
      <c r="I981" s="91">
        <v>45926</v>
      </c>
      <c r="J981" s="165">
        <v>0.69791666666666663</v>
      </c>
      <c r="K981" s="138">
        <v>1258</v>
      </c>
      <c r="L981" s="72" t="str">
        <f t="shared" si="15"/>
        <v>Payé</v>
      </c>
    </row>
    <row r="982" spans="1:12" ht="15" customHeight="1" x14ac:dyDescent="0.25">
      <c r="A982" s="90" t="s">
        <v>853</v>
      </c>
      <c r="B982" s="149">
        <v>2411</v>
      </c>
      <c r="C982" s="207" t="s">
        <v>970</v>
      </c>
      <c r="D982" s="90" t="s">
        <v>17</v>
      </c>
      <c r="E982" s="90" t="s">
        <v>944</v>
      </c>
      <c r="F982" s="90" t="s">
        <v>853</v>
      </c>
      <c r="G982" s="137">
        <v>2</v>
      </c>
      <c r="H982" s="138">
        <v>183</v>
      </c>
      <c r="I982" s="91">
        <v>45943</v>
      </c>
      <c r="J982" s="165">
        <v>0.60347222222222219</v>
      </c>
      <c r="K982" s="138">
        <v>183</v>
      </c>
      <c r="L982" s="72" t="str">
        <f t="shared" si="15"/>
        <v>Payé</v>
      </c>
    </row>
    <row r="983" spans="1:12" ht="15" customHeight="1" x14ac:dyDescent="0.25">
      <c r="A983" s="90" t="s">
        <v>853</v>
      </c>
      <c r="B983" s="149">
        <v>2412</v>
      </c>
      <c r="C983" s="207" t="s">
        <v>971</v>
      </c>
      <c r="D983" s="90" t="s">
        <v>17</v>
      </c>
      <c r="E983" s="90" t="s">
        <v>944</v>
      </c>
      <c r="F983" s="90" t="s">
        <v>853</v>
      </c>
      <c r="G983" s="137">
        <v>4</v>
      </c>
      <c r="H983" s="138">
        <v>387</v>
      </c>
      <c r="I983" s="91">
        <v>45929</v>
      </c>
      <c r="J983" s="165">
        <v>0.66111111111111109</v>
      </c>
      <c r="K983" s="138">
        <v>387</v>
      </c>
      <c r="L983" s="72" t="str">
        <f t="shared" si="15"/>
        <v>Payé</v>
      </c>
    </row>
    <row r="984" spans="1:12" ht="15" customHeight="1" x14ac:dyDescent="0.25">
      <c r="A984" s="90" t="s">
        <v>853</v>
      </c>
      <c r="B984" s="151">
        <v>2638</v>
      </c>
      <c r="C984" s="208" t="s">
        <v>974</v>
      </c>
      <c r="D984" s="90" t="s">
        <v>17</v>
      </c>
      <c r="E984" s="90" t="s">
        <v>944</v>
      </c>
      <c r="F984" s="90" t="s">
        <v>853</v>
      </c>
      <c r="G984" s="137">
        <v>2</v>
      </c>
      <c r="H984" s="138">
        <v>173</v>
      </c>
      <c r="I984" s="91">
        <v>45927</v>
      </c>
      <c r="J984" s="165">
        <v>0.50208333333333333</v>
      </c>
      <c r="K984" s="138">
        <v>173</v>
      </c>
      <c r="L984" s="72" t="str">
        <f t="shared" si="15"/>
        <v>Payé</v>
      </c>
    </row>
    <row r="985" spans="1:12" ht="15" customHeight="1" x14ac:dyDescent="0.25">
      <c r="A985" s="90" t="s">
        <v>853</v>
      </c>
      <c r="B985" s="151">
        <v>5281</v>
      </c>
      <c r="C985" s="208" t="s">
        <v>995</v>
      </c>
      <c r="D985" s="90" t="s">
        <v>17</v>
      </c>
      <c r="E985" s="90" t="s">
        <v>944</v>
      </c>
      <c r="F985" s="90" t="s">
        <v>853</v>
      </c>
      <c r="G985" s="137">
        <v>1</v>
      </c>
      <c r="H985" s="138">
        <v>87</v>
      </c>
      <c r="I985" s="91">
        <v>45927</v>
      </c>
      <c r="J985" s="165">
        <v>0.50347222222222221</v>
      </c>
      <c r="K985" s="138">
        <v>87</v>
      </c>
      <c r="L985" s="72" t="str">
        <f t="shared" si="15"/>
        <v>Payé</v>
      </c>
    </row>
    <row r="986" spans="1:12" ht="15" customHeight="1" x14ac:dyDescent="0.25">
      <c r="A986" s="90" t="s">
        <v>853</v>
      </c>
      <c r="B986" s="149">
        <v>5283</v>
      </c>
      <c r="C986" s="207" t="s">
        <v>936</v>
      </c>
      <c r="D986" s="90" t="s">
        <v>17</v>
      </c>
      <c r="E986" s="90" t="s">
        <v>944</v>
      </c>
      <c r="F986" s="90" t="s">
        <v>853</v>
      </c>
      <c r="G986" s="137">
        <v>3</v>
      </c>
      <c r="H986" s="138">
        <v>260</v>
      </c>
      <c r="I986" s="91">
        <v>45927</v>
      </c>
      <c r="J986" s="165">
        <v>0.50763888888888886</v>
      </c>
      <c r="K986" s="138">
        <v>260</v>
      </c>
      <c r="L986" s="72" t="str">
        <f t="shared" si="15"/>
        <v>Payé</v>
      </c>
    </row>
    <row r="987" spans="1:12" ht="15" customHeight="1" x14ac:dyDescent="0.25">
      <c r="A987" s="90" t="s">
        <v>853</v>
      </c>
      <c r="B987" s="149">
        <v>5286</v>
      </c>
      <c r="C987" s="207" t="s">
        <v>998</v>
      </c>
      <c r="D987" s="90" t="s">
        <v>17</v>
      </c>
      <c r="E987" s="90" t="s">
        <v>944</v>
      </c>
      <c r="F987" s="90" t="s">
        <v>853</v>
      </c>
      <c r="G987" s="137">
        <v>3</v>
      </c>
      <c r="H987" s="138">
        <v>260</v>
      </c>
      <c r="I987" s="91">
        <v>45931</v>
      </c>
      <c r="J987" s="165">
        <v>0.56805555555555554</v>
      </c>
      <c r="K987" s="138">
        <v>260</v>
      </c>
      <c r="L987" s="72" t="str">
        <f t="shared" si="15"/>
        <v>Payé</v>
      </c>
    </row>
    <row r="988" spans="1:12" ht="15" customHeight="1" x14ac:dyDescent="0.25">
      <c r="A988" s="90" t="s">
        <v>853</v>
      </c>
      <c r="B988" s="149">
        <v>5289</v>
      </c>
      <c r="C988" s="207" t="s">
        <v>1001</v>
      </c>
      <c r="D988" s="90" t="s">
        <v>17</v>
      </c>
      <c r="E988" s="90" t="s">
        <v>944</v>
      </c>
      <c r="F988" s="90" t="s">
        <v>853</v>
      </c>
      <c r="G988" s="137">
        <v>2</v>
      </c>
      <c r="H988" s="138">
        <v>183</v>
      </c>
      <c r="I988" s="91">
        <v>45927</v>
      </c>
      <c r="J988" s="165">
        <v>0.50555555555555554</v>
      </c>
      <c r="K988" s="138">
        <v>183</v>
      </c>
      <c r="L988" s="72" t="str">
        <f t="shared" si="15"/>
        <v>Payé</v>
      </c>
    </row>
    <row r="989" spans="1:12" ht="15" customHeight="1" x14ac:dyDescent="0.25">
      <c r="A989" s="90" t="s">
        <v>853</v>
      </c>
      <c r="B989" s="149">
        <v>5304</v>
      </c>
      <c r="C989" s="207" t="s">
        <v>1015</v>
      </c>
      <c r="D989" s="90" t="s">
        <v>17</v>
      </c>
      <c r="E989" s="90" t="s">
        <v>944</v>
      </c>
      <c r="F989" s="90" t="s">
        <v>853</v>
      </c>
      <c r="G989" s="137">
        <v>2</v>
      </c>
      <c r="H989" s="138">
        <v>173</v>
      </c>
      <c r="I989" s="91">
        <v>45943</v>
      </c>
      <c r="J989" s="165">
        <v>0.60416666666666663</v>
      </c>
      <c r="K989" s="138">
        <v>173</v>
      </c>
      <c r="L989" s="72" t="str">
        <f t="shared" si="15"/>
        <v>Payé</v>
      </c>
    </row>
    <row r="990" spans="1:12" ht="15" customHeight="1" x14ac:dyDescent="0.25">
      <c r="A990" s="90" t="s">
        <v>853</v>
      </c>
      <c r="B990" s="149">
        <v>5306</v>
      </c>
      <c r="C990" s="207" t="s">
        <v>1017</v>
      </c>
      <c r="D990" s="90" t="s">
        <v>17</v>
      </c>
      <c r="E990" s="90" t="s">
        <v>944</v>
      </c>
      <c r="F990" s="90" t="s">
        <v>853</v>
      </c>
      <c r="G990" s="137">
        <v>4</v>
      </c>
      <c r="H990" s="138">
        <v>357</v>
      </c>
      <c r="I990" s="91">
        <v>45927</v>
      </c>
      <c r="J990" s="165">
        <v>0.51180555555555551</v>
      </c>
      <c r="K990" s="138">
        <v>357</v>
      </c>
      <c r="L990" s="72" t="str">
        <f t="shared" ref="L990:L1053" si="16">IF(ISBLANK(H990),"",IF(H990=K990,"Payé","Impayé"))</f>
        <v>Payé</v>
      </c>
    </row>
    <row r="991" spans="1:12" ht="15" customHeight="1" x14ac:dyDescent="0.25">
      <c r="A991" s="90" t="s">
        <v>853</v>
      </c>
      <c r="B991" s="149">
        <v>5311</v>
      </c>
      <c r="C991" s="207" t="s">
        <v>1021</v>
      </c>
      <c r="D991" s="90" t="s">
        <v>17</v>
      </c>
      <c r="E991" s="90" t="s">
        <v>944</v>
      </c>
      <c r="F991" s="90" t="s">
        <v>853</v>
      </c>
      <c r="G991" s="137">
        <v>2</v>
      </c>
      <c r="H991" s="138">
        <v>173</v>
      </c>
      <c r="I991" s="91">
        <v>45927</v>
      </c>
      <c r="J991" s="165">
        <v>0.50486111111111109</v>
      </c>
      <c r="K991" s="138">
        <v>173</v>
      </c>
      <c r="L991" s="72" t="str">
        <f t="shared" si="16"/>
        <v>Payé</v>
      </c>
    </row>
    <row r="992" spans="1:12" ht="15" customHeight="1" x14ac:dyDescent="0.25">
      <c r="A992" s="90" t="s">
        <v>853</v>
      </c>
      <c r="B992" s="149">
        <v>5312</v>
      </c>
      <c r="C992" s="207" t="s">
        <v>938</v>
      </c>
      <c r="D992" s="90" t="s">
        <v>17</v>
      </c>
      <c r="E992" s="90" t="s">
        <v>944</v>
      </c>
      <c r="F992" s="90" t="s">
        <v>853</v>
      </c>
      <c r="G992" s="137">
        <v>4</v>
      </c>
      <c r="H992" s="138">
        <v>347</v>
      </c>
      <c r="I992" s="91">
        <v>45958</v>
      </c>
      <c r="J992" s="165">
        <v>0.57986111111111105</v>
      </c>
      <c r="K992" s="138">
        <v>347</v>
      </c>
      <c r="L992" s="72" t="str">
        <f t="shared" si="16"/>
        <v>Payé</v>
      </c>
    </row>
    <row r="993" spans="1:12" ht="15" customHeight="1" x14ac:dyDescent="0.25">
      <c r="A993" s="90" t="s">
        <v>853</v>
      </c>
      <c r="B993" s="149">
        <v>5316</v>
      </c>
      <c r="C993" s="207" t="s">
        <v>1024</v>
      </c>
      <c r="D993" s="90" t="s">
        <v>17</v>
      </c>
      <c r="E993" s="90" t="s">
        <v>944</v>
      </c>
      <c r="F993" s="90" t="s">
        <v>853</v>
      </c>
      <c r="G993" s="137">
        <v>2</v>
      </c>
      <c r="H993" s="138">
        <v>173</v>
      </c>
      <c r="I993" s="91">
        <v>45927</v>
      </c>
      <c r="J993" s="165">
        <v>0.5083333333333333</v>
      </c>
      <c r="K993" s="138">
        <v>173</v>
      </c>
      <c r="L993" s="72" t="str">
        <f t="shared" si="16"/>
        <v>Payé</v>
      </c>
    </row>
    <row r="994" spans="1:12" ht="15" customHeight="1" x14ac:dyDescent="0.25">
      <c r="A994" s="90" t="s">
        <v>853</v>
      </c>
      <c r="B994" s="151">
        <v>5326</v>
      </c>
      <c r="C994" s="208" t="s">
        <v>1032</v>
      </c>
      <c r="D994" s="90" t="s">
        <v>17</v>
      </c>
      <c r="E994" s="90" t="s">
        <v>944</v>
      </c>
      <c r="F994" s="90" t="s">
        <v>853</v>
      </c>
      <c r="G994" s="137">
        <v>2</v>
      </c>
      <c r="H994" s="138">
        <v>173</v>
      </c>
      <c r="I994" s="91">
        <v>45929</v>
      </c>
      <c r="J994" s="165">
        <v>0.66111111111111109</v>
      </c>
      <c r="K994" s="138">
        <v>173</v>
      </c>
      <c r="L994" s="72" t="str">
        <f t="shared" si="16"/>
        <v>Payé</v>
      </c>
    </row>
    <row r="995" spans="1:12" ht="15" customHeight="1" x14ac:dyDescent="0.25">
      <c r="A995" s="90" t="s">
        <v>853</v>
      </c>
      <c r="B995" s="151">
        <v>5328</v>
      </c>
      <c r="C995" s="208" t="s">
        <v>1034</v>
      </c>
      <c r="D995" s="90" t="s">
        <v>17</v>
      </c>
      <c r="E995" s="90" t="s">
        <v>944</v>
      </c>
      <c r="F995" s="90" t="s">
        <v>853</v>
      </c>
      <c r="G995" s="137">
        <v>3</v>
      </c>
      <c r="H995" s="138">
        <v>260</v>
      </c>
      <c r="I995" s="91">
        <v>45927</v>
      </c>
      <c r="J995" s="165">
        <v>0.51041666666666663</v>
      </c>
      <c r="K995" s="138">
        <v>260</v>
      </c>
      <c r="L995" s="72" t="str">
        <f t="shared" si="16"/>
        <v>Payé</v>
      </c>
    </row>
    <row r="996" spans="1:12" ht="15" customHeight="1" x14ac:dyDescent="0.25">
      <c r="A996" s="90" t="s">
        <v>853</v>
      </c>
      <c r="B996" s="149">
        <v>5341</v>
      </c>
      <c r="C996" s="207" t="s">
        <v>1077</v>
      </c>
      <c r="D996" s="90" t="s">
        <v>17</v>
      </c>
      <c r="E996" s="90" t="s">
        <v>944</v>
      </c>
      <c r="F996" s="90" t="s">
        <v>853</v>
      </c>
      <c r="G996" s="137">
        <v>4</v>
      </c>
      <c r="H996" s="138">
        <v>347</v>
      </c>
      <c r="I996" s="91">
        <v>45943</v>
      </c>
      <c r="J996" s="165">
        <v>0.60277777777777775</v>
      </c>
      <c r="K996" s="138">
        <v>347</v>
      </c>
      <c r="L996" s="72" t="str">
        <f t="shared" si="16"/>
        <v>Payé</v>
      </c>
    </row>
    <row r="997" spans="1:12" ht="15" customHeight="1" x14ac:dyDescent="0.25">
      <c r="A997" s="90" t="s">
        <v>853</v>
      </c>
      <c r="B997" s="149">
        <v>5342</v>
      </c>
      <c r="C997" s="207" t="s">
        <v>1078</v>
      </c>
      <c r="D997" s="90" t="s">
        <v>17</v>
      </c>
      <c r="E997" s="90" t="s">
        <v>944</v>
      </c>
      <c r="F997" s="90" t="s">
        <v>853</v>
      </c>
      <c r="G997" s="137">
        <v>3</v>
      </c>
      <c r="H997" s="138">
        <v>260</v>
      </c>
      <c r="I997" s="91">
        <v>45943</v>
      </c>
      <c r="J997" s="165">
        <v>0.6</v>
      </c>
      <c r="K997" s="138">
        <v>260</v>
      </c>
      <c r="L997" s="72" t="str">
        <f t="shared" si="16"/>
        <v>Payé</v>
      </c>
    </row>
    <row r="998" spans="1:12" ht="15" customHeight="1" x14ac:dyDescent="0.25">
      <c r="A998" s="90" t="s">
        <v>853</v>
      </c>
      <c r="B998" s="151">
        <v>5345</v>
      </c>
      <c r="C998" s="208" t="s">
        <v>1080</v>
      </c>
      <c r="D998" s="90" t="s">
        <v>17</v>
      </c>
      <c r="E998" s="90" t="s">
        <v>944</v>
      </c>
      <c r="F998" s="90" t="s">
        <v>853</v>
      </c>
      <c r="G998" s="137">
        <v>3</v>
      </c>
      <c r="H998" s="138">
        <v>260</v>
      </c>
      <c r="I998" s="91">
        <v>45943</v>
      </c>
      <c r="J998" s="165">
        <v>0.60138888888888886</v>
      </c>
      <c r="K998" s="138">
        <v>260</v>
      </c>
      <c r="L998" s="72" t="str">
        <f t="shared" si="16"/>
        <v>Payé</v>
      </c>
    </row>
    <row r="999" spans="1:12" ht="15" customHeight="1" x14ac:dyDescent="0.25">
      <c r="A999" s="90" t="s">
        <v>853</v>
      </c>
      <c r="B999" s="149">
        <v>5350</v>
      </c>
      <c r="C999" s="207" t="s">
        <v>1085</v>
      </c>
      <c r="D999" s="90" t="s">
        <v>17</v>
      </c>
      <c r="E999" s="90" t="s">
        <v>944</v>
      </c>
      <c r="F999" s="90" t="s">
        <v>853</v>
      </c>
      <c r="G999" s="137">
        <v>1</v>
      </c>
      <c r="H999" s="138">
        <v>87</v>
      </c>
      <c r="I999" s="91">
        <v>45926</v>
      </c>
      <c r="J999" s="165">
        <v>0.69236111111111109</v>
      </c>
      <c r="K999" s="138">
        <v>87</v>
      </c>
      <c r="L999" s="72" t="str">
        <f t="shared" si="16"/>
        <v>Payé</v>
      </c>
    </row>
    <row r="1000" spans="1:12" ht="15" customHeight="1" x14ac:dyDescent="0.25">
      <c r="A1000" s="90" t="s">
        <v>853</v>
      </c>
      <c r="B1000" s="90"/>
      <c r="C1000" s="88" t="s">
        <v>913</v>
      </c>
      <c r="D1000" s="89" t="s">
        <v>910</v>
      </c>
      <c r="E1000" s="90" t="s">
        <v>944</v>
      </c>
      <c r="F1000" s="90" t="s">
        <v>853</v>
      </c>
      <c r="G1000" s="95">
        <v>54</v>
      </c>
      <c r="H1000" s="92">
        <v>1350</v>
      </c>
      <c r="I1000" s="91">
        <v>45929</v>
      </c>
      <c r="J1000" s="165">
        <v>0.66111111111111109</v>
      </c>
      <c r="K1000" s="92">
        <v>1350</v>
      </c>
      <c r="L1000" s="72" t="str">
        <f t="shared" si="16"/>
        <v>Payé</v>
      </c>
    </row>
    <row r="1001" spans="1:12" ht="15" customHeight="1" x14ac:dyDescent="0.25">
      <c r="A1001" s="90" t="s">
        <v>853</v>
      </c>
      <c r="B1001" s="150">
        <v>360</v>
      </c>
      <c r="C1001" s="206" t="s">
        <v>953</v>
      </c>
      <c r="D1001" s="90" t="s">
        <v>17</v>
      </c>
      <c r="E1001" s="90" t="s">
        <v>123</v>
      </c>
      <c r="F1001" s="90" t="s">
        <v>853</v>
      </c>
      <c r="G1001" s="137">
        <v>1</v>
      </c>
      <c r="H1001" s="138">
        <v>107</v>
      </c>
      <c r="I1001" s="91">
        <v>45925</v>
      </c>
      <c r="J1001" s="165">
        <v>0.71111111111111114</v>
      </c>
      <c r="K1001" s="138">
        <v>107</v>
      </c>
      <c r="L1001" s="72" t="str">
        <f t="shared" si="16"/>
        <v>Payé</v>
      </c>
    </row>
    <row r="1002" spans="1:12" ht="15" customHeight="1" x14ac:dyDescent="0.25">
      <c r="A1002" s="90" t="s">
        <v>853</v>
      </c>
      <c r="B1002" s="149">
        <v>487</v>
      </c>
      <c r="C1002" s="207" t="s">
        <v>1113</v>
      </c>
      <c r="D1002" s="90" t="s">
        <v>17</v>
      </c>
      <c r="E1002" s="90" t="s">
        <v>123</v>
      </c>
      <c r="F1002" s="90" t="s">
        <v>853</v>
      </c>
      <c r="G1002" s="137">
        <v>1</v>
      </c>
      <c r="H1002" s="138">
        <v>91</v>
      </c>
      <c r="I1002" s="91">
        <v>45925</v>
      </c>
      <c r="J1002" s="165">
        <v>0.71111111111111114</v>
      </c>
      <c r="K1002" s="138">
        <v>91</v>
      </c>
      <c r="L1002" s="72" t="str">
        <f t="shared" si="16"/>
        <v>Payé</v>
      </c>
    </row>
    <row r="1003" spans="1:12" ht="15" customHeight="1" x14ac:dyDescent="0.25">
      <c r="A1003" s="90" t="s">
        <v>853</v>
      </c>
      <c r="B1003" s="150">
        <v>1723</v>
      </c>
      <c r="C1003" s="206" t="s">
        <v>395</v>
      </c>
      <c r="D1003" s="90" t="s">
        <v>17</v>
      </c>
      <c r="E1003" s="90" t="s">
        <v>123</v>
      </c>
      <c r="F1003" s="90" t="s">
        <v>853</v>
      </c>
      <c r="G1003" s="137">
        <v>15</v>
      </c>
      <c r="H1003" s="138">
        <v>1506</v>
      </c>
      <c r="I1003" s="91">
        <v>45936</v>
      </c>
      <c r="J1003" s="165">
        <v>0.67013888888888884</v>
      </c>
      <c r="K1003" s="138">
        <v>1506</v>
      </c>
      <c r="L1003" s="72" t="str">
        <f t="shared" si="16"/>
        <v>Payé</v>
      </c>
    </row>
    <row r="1004" spans="1:12" ht="15" customHeight="1" x14ac:dyDescent="0.25">
      <c r="A1004" s="90" t="s">
        <v>853</v>
      </c>
      <c r="B1004" s="149">
        <v>2664</v>
      </c>
      <c r="C1004" s="207" t="s">
        <v>398</v>
      </c>
      <c r="D1004" s="90" t="s">
        <v>17</v>
      </c>
      <c r="E1004" s="90" t="s">
        <v>123</v>
      </c>
      <c r="F1004" s="90" t="s">
        <v>853</v>
      </c>
      <c r="G1004" s="137">
        <v>1</v>
      </c>
      <c r="H1004" s="138">
        <v>87</v>
      </c>
      <c r="I1004" s="91">
        <v>45925</v>
      </c>
      <c r="J1004" s="165">
        <v>0.71111111111111114</v>
      </c>
      <c r="K1004" s="138">
        <v>87</v>
      </c>
      <c r="L1004" s="72" t="str">
        <f t="shared" si="16"/>
        <v>Payé</v>
      </c>
    </row>
    <row r="1005" spans="1:12" ht="15" customHeight="1" x14ac:dyDescent="0.25">
      <c r="A1005" s="90" t="s">
        <v>853</v>
      </c>
      <c r="B1005" s="149">
        <v>2694</v>
      </c>
      <c r="C1005" s="207" t="s">
        <v>547</v>
      </c>
      <c r="D1005" s="90" t="s">
        <v>17</v>
      </c>
      <c r="E1005" s="90" t="s">
        <v>123</v>
      </c>
      <c r="F1005" s="90" t="s">
        <v>853</v>
      </c>
      <c r="G1005" s="137">
        <v>2</v>
      </c>
      <c r="H1005" s="138">
        <v>173</v>
      </c>
      <c r="I1005" s="91">
        <v>45925</v>
      </c>
      <c r="J1005" s="165">
        <v>0.71111111111111114</v>
      </c>
      <c r="K1005" s="138">
        <v>173</v>
      </c>
      <c r="L1005" s="72" t="str">
        <f t="shared" si="16"/>
        <v>Payé</v>
      </c>
    </row>
    <row r="1006" spans="1:12" ht="15" customHeight="1" x14ac:dyDescent="0.25">
      <c r="A1006" s="90" t="s">
        <v>853</v>
      </c>
      <c r="B1006" s="149">
        <v>3409</v>
      </c>
      <c r="C1006" s="207" t="s">
        <v>559</v>
      </c>
      <c r="D1006" s="90" t="s">
        <v>17</v>
      </c>
      <c r="E1006" s="90" t="s">
        <v>123</v>
      </c>
      <c r="F1006" s="90" t="s">
        <v>853</v>
      </c>
      <c r="G1006" s="137">
        <v>1</v>
      </c>
      <c r="H1006" s="138">
        <v>87</v>
      </c>
      <c r="I1006" s="91">
        <v>45925</v>
      </c>
      <c r="J1006" s="165">
        <v>0.71111111111111114</v>
      </c>
      <c r="K1006" s="138">
        <v>87</v>
      </c>
      <c r="L1006" s="72" t="str">
        <f t="shared" si="16"/>
        <v>Payé</v>
      </c>
    </row>
    <row r="1007" spans="1:12" ht="15" customHeight="1" x14ac:dyDescent="0.25">
      <c r="A1007" s="90" t="s">
        <v>853</v>
      </c>
      <c r="B1007" s="149">
        <v>3726</v>
      </c>
      <c r="C1007" s="207" t="s">
        <v>570</v>
      </c>
      <c r="D1007" s="90" t="s">
        <v>17</v>
      </c>
      <c r="E1007" s="90" t="s">
        <v>123</v>
      </c>
      <c r="F1007" s="90" t="s">
        <v>853</v>
      </c>
      <c r="G1007" s="137">
        <v>1</v>
      </c>
      <c r="H1007" s="138">
        <v>87</v>
      </c>
      <c r="I1007" s="91">
        <v>45925</v>
      </c>
      <c r="J1007" s="165">
        <v>0.71111111111111114</v>
      </c>
      <c r="K1007" s="138">
        <v>87</v>
      </c>
      <c r="L1007" s="72" t="str">
        <f t="shared" si="16"/>
        <v>Payé</v>
      </c>
    </row>
    <row r="1008" spans="1:12" ht="15" customHeight="1" x14ac:dyDescent="0.25">
      <c r="A1008" s="90" t="s">
        <v>853</v>
      </c>
      <c r="B1008" s="149">
        <v>3793</v>
      </c>
      <c r="C1008" s="207" t="s">
        <v>572</v>
      </c>
      <c r="D1008" s="90" t="s">
        <v>17</v>
      </c>
      <c r="E1008" s="90" t="s">
        <v>123</v>
      </c>
      <c r="F1008" s="90" t="s">
        <v>853</v>
      </c>
      <c r="G1008" s="137">
        <v>1</v>
      </c>
      <c r="H1008" s="138">
        <v>87</v>
      </c>
      <c r="I1008" s="91">
        <v>45925</v>
      </c>
      <c r="J1008" s="165">
        <v>0.71111111111111114</v>
      </c>
      <c r="K1008" s="138">
        <v>87</v>
      </c>
      <c r="L1008" s="72" t="str">
        <f t="shared" si="16"/>
        <v>Payé</v>
      </c>
    </row>
    <row r="1009" spans="1:12" ht="15" customHeight="1" x14ac:dyDescent="0.25">
      <c r="A1009" s="90" t="s">
        <v>853</v>
      </c>
      <c r="B1009" s="90" t="s">
        <v>584</v>
      </c>
      <c r="C1009" s="88" t="s">
        <v>585</v>
      </c>
      <c r="D1009" s="89" t="s">
        <v>910</v>
      </c>
      <c r="E1009" s="90" t="s">
        <v>123</v>
      </c>
      <c r="F1009" s="90" t="s">
        <v>853</v>
      </c>
      <c r="G1009" s="95">
        <v>11</v>
      </c>
      <c r="H1009" s="92">
        <v>275</v>
      </c>
      <c r="I1009" s="91">
        <v>45925</v>
      </c>
      <c r="J1009" s="165">
        <v>0.71111111111111114</v>
      </c>
      <c r="K1009" s="92">
        <v>275</v>
      </c>
      <c r="L1009" s="72" t="str">
        <f t="shared" si="16"/>
        <v>Payé</v>
      </c>
    </row>
    <row r="1010" spans="1:12" ht="15" customHeight="1" x14ac:dyDescent="0.25">
      <c r="A1010" s="90" t="s">
        <v>853</v>
      </c>
      <c r="B1010" s="150">
        <v>1134</v>
      </c>
      <c r="C1010" s="207" t="s">
        <v>1088</v>
      </c>
      <c r="D1010" s="90" t="s">
        <v>17</v>
      </c>
      <c r="E1010" s="90" t="s">
        <v>254</v>
      </c>
      <c r="F1010" s="90" t="s">
        <v>853</v>
      </c>
      <c r="G1010" s="137">
        <v>2</v>
      </c>
      <c r="H1010" s="138">
        <v>173</v>
      </c>
      <c r="I1010" s="91">
        <v>45931</v>
      </c>
      <c r="J1010" s="165">
        <v>0.56597222222222221</v>
      </c>
      <c r="K1010" s="138">
        <v>173</v>
      </c>
      <c r="L1010" s="72" t="str">
        <f t="shared" si="16"/>
        <v>Payé</v>
      </c>
    </row>
    <row r="1011" spans="1:12" ht="15" customHeight="1" x14ac:dyDescent="0.25">
      <c r="A1011" s="90" t="s">
        <v>853</v>
      </c>
      <c r="B1011" s="149">
        <v>1688</v>
      </c>
      <c r="C1011" s="207" t="s">
        <v>1114</v>
      </c>
      <c r="D1011" s="90" t="s">
        <v>17</v>
      </c>
      <c r="E1011" s="90" t="s">
        <v>254</v>
      </c>
      <c r="F1011" s="90" t="s">
        <v>853</v>
      </c>
      <c r="G1011" s="137">
        <v>5</v>
      </c>
      <c r="H1011" s="138">
        <v>434</v>
      </c>
      <c r="I1011" s="91">
        <v>45925</v>
      </c>
      <c r="J1011" s="165">
        <v>0.71944444444444444</v>
      </c>
      <c r="K1011" s="138">
        <v>434</v>
      </c>
      <c r="L1011" s="72" t="str">
        <f t="shared" si="16"/>
        <v>Payé</v>
      </c>
    </row>
    <row r="1012" spans="1:12" ht="15" customHeight="1" x14ac:dyDescent="0.25">
      <c r="A1012" s="90" t="s">
        <v>853</v>
      </c>
      <c r="B1012" s="149">
        <v>2465</v>
      </c>
      <c r="C1012" s="207" t="s">
        <v>1116</v>
      </c>
      <c r="D1012" s="90" t="s">
        <v>17</v>
      </c>
      <c r="E1012" s="90" t="s">
        <v>254</v>
      </c>
      <c r="F1012" s="90" t="s">
        <v>853</v>
      </c>
      <c r="G1012" s="137">
        <v>6</v>
      </c>
      <c r="H1012" s="138">
        <v>520</v>
      </c>
      <c r="I1012" s="91">
        <v>45925</v>
      </c>
      <c r="J1012" s="165">
        <v>0.72013888888888899</v>
      </c>
      <c r="K1012" s="138">
        <v>520</v>
      </c>
      <c r="L1012" s="72" t="str">
        <f t="shared" si="16"/>
        <v>Payé</v>
      </c>
    </row>
    <row r="1013" spans="1:12" ht="15" customHeight="1" x14ac:dyDescent="0.25">
      <c r="A1013" s="90" t="s">
        <v>853</v>
      </c>
      <c r="B1013" s="149">
        <v>2580</v>
      </c>
      <c r="C1013" s="207" t="s">
        <v>972</v>
      </c>
      <c r="D1013" s="90" t="s">
        <v>17</v>
      </c>
      <c r="E1013" s="90" t="s">
        <v>254</v>
      </c>
      <c r="F1013" s="90" t="s">
        <v>853</v>
      </c>
      <c r="G1013" s="137">
        <v>5</v>
      </c>
      <c r="H1013" s="138">
        <v>434</v>
      </c>
      <c r="I1013" s="91">
        <v>45925</v>
      </c>
      <c r="J1013" s="165">
        <v>0.72013888888888899</v>
      </c>
      <c r="K1013" s="138">
        <v>434</v>
      </c>
      <c r="L1013" s="72" t="str">
        <f t="shared" si="16"/>
        <v>Payé</v>
      </c>
    </row>
    <row r="1014" spans="1:12" ht="15" customHeight="1" x14ac:dyDescent="0.25">
      <c r="A1014" s="90" t="s">
        <v>853</v>
      </c>
      <c r="B1014" s="149">
        <v>2589</v>
      </c>
      <c r="C1014" s="207" t="s">
        <v>973</v>
      </c>
      <c r="D1014" s="90" t="s">
        <v>17</v>
      </c>
      <c r="E1014" s="90" t="s">
        <v>254</v>
      </c>
      <c r="F1014" s="90" t="s">
        <v>853</v>
      </c>
      <c r="G1014" s="137">
        <v>7</v>
      </c>
      <c r="H1014" s="138">
        <v>607</v>
      </c>
      <c r="I1014" s="91">
        <v>45925</v>
      </c>
      <c r="J1014" s="165">
        <v>0.71875</v>
      </c>
      <c r="K1014" s="138">
        <v>607</v>
      </c>
      <c r="L1014" s="72" t="str">
        <f t="shared" si="16"/>
        <v>Payé</v>
      </c>
    </row>
    <row r="1015" spans="1:12" ht="15" customHeight="1" x14ac:dyDescent="0.25">
      <c r="A1015" s="90" t="s">
        <v>853</v>
      </c>
      <c r="B1015" s="152">
        <v>2750</v>
      </c>
      <c r="C1015" s="208" t="s">
        <v>1093</v>
      </c>
      <c r="D1015" s="90" t="s">
        <v>17</v>
      </c>
      <c r="E1015" s="90" t="s">
        <v>254</v>
      </c>
      <c r="F1015" s="90" t="s">
        <v>853</v>
      </c>
      <c r="G1015" s="137">
        <v>7</v>
      </c>
      <c r="H1015" s="138">
        <v>607</v>
      </c>
      <c r="I1015" s="91">
        <v>45925</v>
      </c>
      <c r="J1015" s="165">
        <v>0.72013888888888899</v>
      </c>
      <c r="K1015" s="138">
        <v>607</v>
      </c>
      <c r="L1015" s="72" t="str">
        <f t="shared" si="16"/>
        <v>Payé</v>
      </c>
    </row>
    <row r="1016" spans="1:12" ht="15" customHeight="1" x14ac:dyDescent="0.25">
      <c r="A1016" s="90" t="s">
        <v>853</v>
      </c>
      <c r="B1016" s="149">
        <v>2751</v>
      </c>
      <c r="C1016" s="207" t="s">
        <v>1117</v>
      </c>
      <c r="D1016" s="90" t="s">
        <v>17</v>
      </c>
      <c r="E1016" s="90" t="s">
        <v>254</v>
      </c>
      <c r="F1016" s="90" t="s">
        <v>853</v>
      </c>
      <c r="G1016" s="137">
        <v>4</v>
      </c>
      <c r="H1016" s="138">
        <v>347</v>
      </c>
      <c r="I1016" s="91">
        <v>45925</v>
      </c>
      <c r="J1016" s="165">
        <v>0.71875</v>
      </c>
      <c r="K1016" s="138">
        <v>347</v>
      </c>
      <c r="L1016" s="72" t="str">
        <f t="shared" si="16"/>
        <v>Payé</v>
      </c>
    </row>
    <row r="1017" spans="1:12" ht="15" customHeight="1" x14ac:dyDescent="0.25">
      <c r="A1017" s="90" t="s">
        <v>853</v>
      </c>
      <c r="B1017" s="150">
        <v>2885</v>
      </c>
      <c r="C1017" s="208" t="s">
        <v>1061</v>
      </c>
      <c r="D1017" s="90" t="s">
        <v>17</v>
      </c>
      <c r="E1017" s="90" t="s">
        <v>254</v>
      </c>
      <c r="F1017" s="90" t="s">
        <v>853</v>
      </c>
      <c r="G1017" s="137">
        <v>8</v>
      </c>
      <c r="H1017" s="138">
        <v>694</v>
      </c>
      <c r="I1017" s="91">
        <v>45925</v>
      </c>
      <c r="J1017" s="165">
        <v>0.71875</v>
      </c>
      <c r="K1017" s="138">
        <v>694</v>
      </c>
      <c r="L1017" s="72" t="str">
        <f t="shared" si="16"/>
        <v>Payé</v>
      </c>
    </row>
    <row r="1018" spans="1:12" ht="15" customHeight="1" x14ac:dyDescent="0.25">
      <c r="A1018" s="90" t="s">
        <v>853</v>
      </c>
      <c r="B1018" s="149">
        <v>5332</v>
      </c>
      <c r="C1018" s="207" t="s">
        <v>1038</v>
      </c>
      <c r="D1018" s="90" t="s">
        <v>17</v>
      </c>
      <c r="E1018" s="90" t="s">
        <v>254</v>
      </c>
      <c r="F1018" s="90" t="s">
        <v>853</v>
      </c>
      <c r="G1018" s="137">
        <v>5</v>
      </c>
      <c r="H1018" s="138">
        <v>434</v>
      </c>
      <c r="I1018" s="91">
        <v>45926</v>
      </c>
      <c r="J1018" s="165">
        <v>0.70000000000000007</v>
      </c>
      <c r="K1018" s="138">
        <v>434</v>
      </c>
      <c r="L1018" s="72" t="str">
        <f t="shared" si="16"/>
        <v>Payé</v>
      </c>
    </row>
    <row r="1019" spans="1:12" ht="15" customHeight="1" x14ac:dyDescent="0.25">
      <c r="A1019" s="90" t="s">
        <v>853</v>
      </c>
      <c r="B1019" s="149">
        <v>5353</v>
      </c>
      <c r="C1019" s="206" t="s">
        <v>1122</v>
      </c>
      <c r="D1019" s="90" t="s">
        <v>17</v>
      </c>
      <c r="E1019" s="90" t="s">
        <v>254</v>
      </c>
      <c r="F1019" s="90" t="s">
        <v>853</v>
      </c>
      <c r="G1019" s="137">
        <v>8</v>
      </c>
      <c r="H1019" s="138">
        <v>694</v>
      </c>
      <c r="I1019" s="91">
        <v>45925</v>
      </c>
      <c r="J1019" s="165">
        <v>0.71875</v>
      </c>
      <c r="K1019" s="138">
        <v>694</v>
      </c>
      <c r="L1019" s="72" t="str">
        <f t="shared" si="16"/>
        <v>Payé</v>
      </c>
    </row>
    <row r="1020" spans="1:12" ht="15" customHeight="1" x14ac:dyDescent="0.25">
      <c r="A1020" s="90" t="s">
        <v>853</v>
      </c>
      <c r="B1020" s="152">
        <v>5359</v>
      </c>
      <c r="C1020" s="208" t="s">
        <v>1059</v>
      </c>
      <c r="D1020" s="90" t="s">
        <v>17</v>
      </c>
      <c r="E1020" s="90" t="s">
        <v>254</v>
      </c>
      <c r="F1020" s="90" t="s">
        <v>853</v>
      </c>
      <c r="G1020" s="137">
        <v>7</v>
      </c>
      <c r="H1020" s="138">
        <v>607</v>
      </c>
      <c r="I1020" s="91">
        <v>45925</v>
      </c>
      <c r="J1020" s="165">
        <v>0.71875</v>
      </c>
      <c r="K1020" s="138">
        <v>607</v>
      </c>
      <c r="L1020" s="72" t="str">
        <f t="shared" si="16"/>
        <v>Payé</v>
      </c>
    </row>
    <row r="1021" spans="1:12" ht="15" customHeight="1" x14ac:dyDescent="0.25">
      <c r="A1021" s="90" t="s">
        <v>853</v>
      </c>
      <c r="B1021" s="149">
        <v>10001</v>
      </c>
      <c r="C1021" s="207" t="s">
        <v>1127</v>
      </c>
      <c r="D1021" s="90" t="s">
        <v>17</v>
      </c>
      <c r="E1021" s="90" t="s">
        <v>254</v>
      </c>
      <c r="F1021" s="90" t="s">
        <v>853</v>
      </c>
      <c r="G1021" s="137">
        <v>5</v>
      </c>
      <c r="H1021" s="138">
        <v>434</v>
      </c>
      <c r="I1021" s="91">
        <v>45925</v>
      </c>
      <c r="J1021" s="165">
        <v>0.72013888888888899</v>
      </c>
      <c r="K1021" s="138">
        <v>434</v>
      </c>
      <c r="L1021" s="72" t="str">
        <f t="shared" si="16"/>
        <v>Payé</v>
      </c>
    </row>
    <row r="1022" spans="1:12" ht="15" customHeight="1" x14ac:dyDescent="0.25">
      <c r="A1022" s="90" t="s">
        <v>853</v>
      </c>
      <c r="B1022" s="90" t="s">
        <v>588</v>
      </c>
      <c r="C1022" s="88" t="s">
        <v>1136</v>
      </c>
      <c r="D1022" s="89" t="s">
        <v>910</v>
      </c>
      <c r="E1022" s="90" t="s">
        <v>254</v>
      </c>
      <c r="F1022" s="90" t="s">
        <v>853</v>
      </c>
      <c r="G1022" s="95">
        <v>104</v>
      </c>
      <c r="H1022" s="92">
        <v>2600</v>
      </c>
      <c r="I1022" s="91">
        <v>45925</v>
      </c>
      <c r="J1022" s="165">
        <v>0.71875</v>
      </c>
      <c r="K1022" s="92">
        <v>2600</v>
      </c>
      <c r="L1022" s="72" t="str">
        <f t="shared" si="16"/>
        <v>Payé</v>
      </c>
    </row>
    <row r="1023" spans="1:12" ht="15" customHeight="1" x14ac:dyDescent="0.25">
      <c r="A1023" s="90" t="s">
        <v>853</v>
      </c>
      <c r="B1023" s="149">
        <v>187</v>
      </c>
      <c r="C1023" s="207" t="s">
        <v>1057</v>
      </c>
      <c r="D1023" s="90" t="s">
        <v>17</v>
      </c>
      <c r="E1023" s="90" t="s">
        <v>1104</v>
      </c>
      <c r="F1023" s="90" t="s">
        <v>853</v>
      </c>
      <c r="G1023" s="137">
        <v>5</v>
      </c>
      <c r="H1023" s="138">
        <v>444</v>
      </c>
      <c r="I1023" s="91">
        <v>45929</v>
      </c>
      <c r="J1023" s="165">
        <v>0.53472222222222221</v>
      </c>
      <c r="K1023" s="138">
        <v>444</v>
      </c>
      <c r="L1023" s="72" t="str">
        <f t="shared" si="16"/>
        <v>Payé</v>
      </c>
    </row>
    <row r="1024" spans="1:12" ht="15" customHeight="1" x14ac:dyDescent="0.25">
      <c r="A1024" s="90" t="s">
        <v>853</v>
      </c>
      <c r="B1024" s="149">
        <v>5136</v>
      </c>
      <c r="C1024" s="207" t="s">
        <v>1067</v>
      </c>
      <c r="D1024" s="90" t="s">
        <v>17</v>
      </c>
      <c r="E1024" s="90" t="s">
        <v>1104</v>
      </c>
      <c r="F1024" s="90" t="s">
        <v>853</v>
      </c>
      <c r="G1024" s="137">
        <v>9</v>
      </c>
      <c r="H1024" s="138">
        <v>791</v>
      </c>
      <c r="I1024" s="91">
        <v>45925</v>
      </c>
      <c r="J1024" s="165">
        <v>0.71388888888888891</v>
      </c>
      <c r="K1024" s="138">
        <v>791</v>
      </c>
      <c r="L1024" s="72" t="str">
        <f t="shared" si="16"/>
        <v>Payé</v>
      </c>
    </row>
    <row r="1025" spans="1:12" ht="15" customHeight="1" x14ac:dyDescent="0.25">
      <c r="A1025" s="90" t="s">
        <v>853</v>
      </c>
      <c r="B1025" s="149">
        <v>5169</v>
      </c>
      <c r="C1025" s="207" t="s">
        <v>1068</v>
      </c>
      <c r="D1025" s="90" t="s">
        <v>17</v>
      </c>
      <c r="E1025" s="90" t="s">
        <v>1104</v>
      </c>
      <c r="F1025" s="90" t="s">
        <v>853</v>
      </c>
      <c r="G1025" s="137">
        <v>1.5</v>
      </c>
      <c r="H1025" s="138">
        <v>130</v>
      </c>
      <c r="I1025" s="91">
        <v>45929</v>
      </c>
      <c r="J1025" s="165">
        <v>0.53472222222222221</v>
      </c>
      <c r="K1025" s="138">
        <v>130</v>
      </c>
      <c r="L1025" s="72" t="str">
        <f t="shared" si="16"/>
        <v>Payé</v>
      </c>
    </row>
    <row r="1026" spans="1:12" ht="15" customHeight="1" x14ac:dyDescent="0.25">
      <c r="A1026" s="90" t="s">
        <v>853</v>
      </c>
      <c r="B1026" s="151">
        <v>5212</v>
      </c>
      <c r="C1026" s="208" t="s">
        <v>1070</v>
      </c>
      <c r="D1026" s="90" t="s">
        <v>17</v>
      </c>
      <c r="E1026" s="90" t="s">
        <v>1104</v>
      </c>
      <c r="F1026" s="90" t="s">
        <v>853</v>
      </c>
      <c r="G1026" s="137">
        <v>8</v>
      </c>
      <c r="H1026" s="138">
        <v>704</v>
      </c>
      <c r="I1026" s="91">
        <v>45929</v>
      </c>
      <c r="J1026" s="165">
        <v>0.53472222222222221</v>
      </c>
      <c r="K1026" s="138">
        <v>704</v>
      </c>
      <c r="L1026" s="72" t="str">
        <f t="shared" si="16"/>
        <v>Payé</v>
      </c>
    </row>
    <row r="1027" spans="1:12" ht="15" customHeight="1" x14ac:dyDescent="0.25">
      <c r="A1027" s="90" t="s">
        <v>853</v>
      </c>
      <c r="B1027" s="149">
        <v>5242</v>
      </c>
      <c r="C1027" s="207" t="s">
        <v>1074</v>
      </c>
      <c r="D1027" s="90" t="s">
        <v>17</v>
      </c>
      <c r="E1027" s="90" t="s">
        <v>1104</v>
      </c>
      <c r="F1027" s="90" t="s">
        <v>853</v>
      </c>
      <c r="G1027" s="137">
        <v>5</v>
      </c>
      <c r="H1027" s="138">
        <v>454</v>
      </c>
      <c r="I1027" s="91">
        <v>45929</v>
      </c>
      <c r="J1027" s="165">
        <v>0.53472222222222221</v>
      </c>
      <c r="K1027" s="138">
        <v>454</v>
      </c>
      <c r="L1027" s="72" t="str">
        <f t="shared" si="16"/>
        <v>Payé</v>
      </c>
    </row>
    <row r="1028" spans="1:12" ht="15" customHeight="1" x14ac:dyDescent="0.25">
      <c r="A1028" s="90" t="s">
        <v>853</v>
      </c>
      <c r="B1028" s="151">
        <v>5305</v>
      </c>
      <c r="C1028" s="208" t="s">
        <v>1016</v>
      </c>
      <c r="D1028" s="90" t="s">
        <v>17</v>
      </c>
      <c r="E1028" s="90" t="s">
        <v>1104</v>
      </c>
      <c r="F1028" s="90" t="s">
        <v>853</v>
      </c>
      <c r="G1028" s="137">
        <v>2</v>
      </c>
      <c r="H1028" s="138">
        <v>173</v>
      </c>
      <c r="I1028" s="91">
        <v>45925</v>
      </c>
      <c r="J1028" s="165">
        <v>0.71388888888888891</v>
      </c>
      <c r="K1028" s="138">
        <v>173</v>
      </c>
      <c r="L1028" s="72" t="str">
        <f t="shared" si="16"/>
        <v>Payé</v>
      </c>
    </row>
    <row r="1029" spans="1:12" ht="15" customHeight="1" x14ac:dyDescent="0.25">
      <c r="A1029" s="90" t="s">
        <v>853</v>
      </c>
      <c r="B1029" s="149">
        <v>5351</v>
      </c>
      <c r="C1029" s="209" t="s">
        <v>1086</v>
      </c>
      <c r="D1029" s="90" t="s">
        <v>17</v>
      </c>
      <c r="E1029" s="90" t="s">
        <v>1104</v>
      </c>
      <c r="F1029" s="90" t="s">
        <v>853</v>
      </c>
      <c r="G1029" s="137">
        <v>3</v>
      </c>
      <c r="H1029" s="138">
        <v>280</v>
      </c>
      <c r="I1029" s="91">
        <v>45929</v>
      </c>
      <c r="J1029" s="165">
        <v>0.53472222222222221</v>
      </c>
      <c r="K1029" s="138">
        <v>280</v>
      </c>
      <c r="L1029" s="72" t="str">
        <f t="shared" si="16"/>
        <v>Payé</v>
      </c>
    </row>
    <row r="1030" spans="1:12" ht="15" customHeight="1" x14ac:dyDescent="0.25">
      <c r="A1030" s="90" t="s">
        <v>853</v>
      </c>
      <c r="B1030" s="149">
        <v>5355</v>
      </c>
      <c r="C1030" s="207" t="s">
        <v>1090</v>
      </c>
      <c r="D1030" s="90" t="s">
        <v>17</v>
      </c>
      <c r="E1030" s="90" t="s">
        <v>1104</v>
      </c>
      <c r="F1030" s="90" t="s">
        <v>853</v>
      </c>
      <c r="G1030" s="137">
        <v>4</v>
      </c>
      <c r="H1030" s="138">
        <v>357</v>
      </c>
      <c r="I1030" s="91">
        <v>45929</v>
      </c>
      <c r="J1030" s="165">
        <v>0.53472222222222221</v>
      </c>
      <c r="K1030" s="138">
        <v>357</v>
      </c>
      <c r="L1030" s="72" t="str">
        <f t="shared" si="16"/>
        <v>Payé</v>
      </c>
    </row>
    <row r="1031" spans="1:12" ht="15" customHeight="1" x14ac:dyDescent="0.25">
      <c r="A1031" s="90" t="s">
        <v>853</v>
      </c>
      <c r="B1031" s="149">
        <v>5357</v>
      </c>
      <c r="C1031" s="207" t="s">
        <v>1091</v>
      </c>
      <c r="D1031" s="90" t="s">
        <v>17</v>
      </c>
      <c r="E1031" s="90" t="s">
        <v>1104</v>
      </c>
      <c r="F1031" s="90" t="s">
        <v>853</v>
      </c>
      <c r="G1031" s="137">
        <v>11</v>
      </c>
      <c r="H1031" s="138">
        <v>974</v>
      </c>
      <c r="I1031" s="91">
        <v>45925</v>
      </c>
      <c r="J1031" s="165">
        <v>0.71527777777777779</v>
      </c>
      <c r="K1031" s="138">
        <v>974</v>
      </c>
      <c r="L1031" s="72" t="str">
        <f t="shared" si="16"/>
        <v>Payé</v>
      </c>
    </row>
    <row r="1032" spans="1:12" ht="15" customHeight="1" x14ac:dyDescent="0.25">
      <c r="A1032" s="90" t="s">
        <v>853</v>
      </c>
      <c r="B1032" s="149">
        <v>5361</v>
      </c>
      <c r="C1032" s="207" t="s">
        <v>1095</v>
      </c>
      <c r="D1032" s="90" t="s">
        <v>17</v>
      </c>
      <c r="E1032" s="90" t="s">
        <v>1104</v>
      </c>
      <c r="F1032" s="90" t="s">
        <v>853</v>
      </c>
      <c r="G1032" s="137">
        <v>4</v>
      </c>
      <c r="H1032" s="138">
        <v>367</v>
      </c>
      <c r="I1032" s="91">
        <v>45929</v>
      </c>
      <c r="J1032" s="165">
        <v>0.53472222222222221</v>
      </c>
      <c r="K1032" s="138">
        <v>367</v>
      </c>
      <c r="L1032" s="72" t="str">
        <f t="shared" si="16"/>
        <v>Payé</v>
      </c>
    </row>
    <row r="1033" spans="1:12" ht="15" customHeight="1" x14ac:dyDescent="0.25">
      <c r="A1033" s="90" t="s">
        <v>853</v>
      </c>
      <c r="B1033" s="90"/>
      <c r="C1033" s="88" t="s">
        <v>406</v>
      </c>
      <c r="D1033" s="89" t="s">
        <v>910</v>
      </c>
      <c r="E1033" s="90" t="s">
        <v>1104</v>
      </c>
      <c r="F1033" s="90" t="s">
        <v>853</v>
      </c>
      <c r="G1033" s="95">
        <v>52.5</v>
      </c>
      <c r="H1033" s="92">
        <v>1312.5</v>
      </c>
      <c r="I1033" s="91">
        <v>45929</v>
      </c>
      <c r="J1033" s="165">
        <v>0.53472222222222221</v>
      </c>
      <c r="K1033" s="92">
        <v>1312.5</v>
      </c>
      <c r="L1033" s="72" t="str">
        <f t="shared" si="16"/>
        <v>Payé</v>
      </c>
    </row>
    <row r="1034" spans="1:12" ht="15" customHeight="1" x14ac:dyDescent="0.25">
      <c r="A1034" s="90" t="s">
        <v>853</v>
      </c>
      <c r="B1034" s="151">
        <v>3260</v>
      </c>
      <c r="C1034" s="208" t="s">
        <v>1119</v>
      </c>
      <c r="D1034" s="90" t="s">
        <v>17</v>
      </c>
      <c r="E1034" s="90" t="s">
        <v>628</v>
      </c>
      <c r="F1034" s="90" t="s">
        <v>853</v>
      </c>
      <c r="G1034" s="137">
        <v>8.5</v>
      </c>
      <c r="H1034" s="138">
        <v>737</v>
      </c>
      <c r="I1034" s="91">
        <v>45925</v>
      </c>
      <c r="J1034" s="165">
        <v>0.70624999999999993</v>
      </c>
      <c r="K1034" s="138">
        <v>737</v>
      </c>
      <c r="L1034" s="72" t="str">
        <f t="shared" si="16"/>
        <v>Payé</v>
      </c>
    </row>
    <row r="1035" spans="1:12" ht="15" customHeight="1" x14ac:dyDescent="0.25">
      <c r="A1035" s="90" t="s">
        <v>853</v>
      </c>
      <c r="B1035" s="149">
        <v>3445</v>
      </c>
      <c r="C1035" s="207" t="s">
        <v>1120</v>
      </c>
      <c r="D1035" s="90" t="s">
        <v>17</v>
      </c>
      <c r="E1035" s="90" t="s">
        <v>628</v>
      </c>
      <c r="F1035" s="90" t="s">
        <v>853</v>
      </c>
      <c r="G1035" s="137">
        <v>1</v>
      </c>
      <c r="H1035" s="138">
        <v>87</v>
      </c>
      <c r="I1035" s="91">
        <v>45925</v>
      </c>
      <c r="J1035" s="165">
        <v>0.70624999999999993</v>
      </c>
      <c r="K1035" s="138">
        <v>87</v>
      </c>
      <c r="L1035" s="72" t="str">
        <f t="shared" si="16"/>
        <v>Payé</v>
      </c>
    </row>
    <row r="1036" spans="1:12" ht="15" customHeight="1" x14ac:dyDescent="0.25">
      <c r="A1036" s="90" t="s">
        <v>853</v>
      </c>
      <c r="B1036" s="151">
        <v>3486</v>
      </c>
      <c r="C1036" s="208" t="s">
        <v>980</v>
      </c>
      <c r="D1036" s="90" t="s">
        <v>17</v>
      </c>
      <c r="E1036" s="90" t="s">
        <v>628</v>
      </c>
      <c r="F1036" s="90" t="s">
        <v>853</v>
      </c>
      <c r="G1036" s="137">
        <v>6</v>
      </c>
      <c r="H1036" s="138">
        <v>520</v>
      </c>
      <c r="I1036" s="91">
        <v>45925</v>
      </c>
      <c r="J1036" s="165">
        <v>0.70624999999999993</v>
      </c>
      <c r="K1036" s="138">
        <v>520</v>
      </c>
      <c r="L1036" s="72" t="str">
        <f t="shared" si="16"/>
        <v>Payé</v>
      </c>
    </row>
    <row r="1037" spans="1:12" ht="15" customHeight="1" x14ac:dyDescent="0.25">
      <c r="A1037" s="90" t="s">
        <v>853</v>
      </c>
      <c r="B1037" s="150">
        <v>3590</v>
      </c>
      <c r="C1037" s="206" t="s">
        <v>425</v>
      </c>
      <c r="D1037" s="90" t="s">
        <v>17</v>
      </c>
      <c r="E1037" s="90" t="s">
        <v>628</v>
      </c>
      <c r="F1037" s="90" t="s">
        <v>853</v>
      </c>
      <c r="G1037" s="137">
        <v>3</v>
      </c>
      <c r="H1037" s="138">
        <v>260</v>
      </c>
      <c r="I1037" s="91">
        <v>45925</v>
      </c>
      <c r="J1037" s="165">
        <v>0.70624999999999993</v>
      </c>
      <c r="K1037" s="138">
        <v>260</v>
      </c>
      <c r="L1037" s="72" t="str">
        <f t="shared" si="16"/>
        <v>Payé</v>
      </c>
    </row>
    <row r="1038" spans="1:12" ht="15" customHeight="1" x14ac:dyDescent="0.25">
      <c r="A1038" s="90" t="s">
        <v>853</v>
      </c>
      <c r="B1038" s="149">
        <v>4061</v>
      </c>
      <c r="C1038" s="207" t="s">
        <v>619</v>
      </c>
      <c r="D1038" s="90" t="s">
        <v>17</v>
      </c>
      <c r="E1038" s="90" t="s">
        <v>628</v>
      </c>
      <c r="F1038" s="90" t="s">
        <v>853</v>
      </c>
      <c r="G1038" s="137">
        <v>6.5</v>
      </c>
      <c r="H1038" s="138">
        <v>564</v>
      </c>
      <c r="I1038" s="91">
        <v>45925</v>
      </c>
      <c r="J1038" s="165">
        <v>0.70624999999999993</v>
      </c>
      <c r="K1038" s="138">
        <v>564</v>
      </c>
      <c r="L1038" s="72" t="str">
        <f t="shared" si="16"/>
        <v>Payé</v>
      </c>
    </row>
    <row r="1039" spans="1:12" ht="15" customHeight="1" x14ac:dyDescent="0.25">
      <c r="A1039" s="90" t="s">
        <v>853</v>
      </c>
      <c r="B1039" s="151">
        <v>4090</v>
      </c>
      <c r="C1039" s="208" t="s">
        <v>620</v>
      </c>
      <c r="D1039" s="90" t="s">
        <v>17</v>
      </c>
      <c r="E1039" s="90" t="s">
        <v>628</v>
      </c>
      <c r="F1039" s="90" t="s">
        <v>853</v>
      </c>
      <c r="G1039" s="137">
        <v>3</v>
      </c>
      <c r="H1039" s="138">
        <v>260</v>
      </c>
      <c r="I1039" s="91">
        <v>45925</v>
      </c>
      <c r="J1039" s="165">
        <v>0.70624999999999993</v>
      </c>
      <c r="K1039" s="138">
        <v>260</v>
      </c>
      <c r="L1039" s="72" t="str">
        <f t="shared" si="16"/>
        <v>Payé</v>
      </c>
    </row>
    <row r="1040" spans="1:12" ht="15" customHeight="1" x14ac:dyDescent="0.25">
      <c r="A1040" s="90" t="s">
        <v>853</v>
      </c>
      <c r="B1040" s="150">
        <v>4310</v>
      </c>
      <c r="C1040" s="206" t="s">
        <v>624</v>
      </c>
      <c r="D1040" s="90" t="s">
        <v>17</v>
      </c>
      <c r="E1040" s="90" t="s">
        <v>628</v>
      </c>
      <c r="F1040" s="90" t="s">
        <v>853</v>
      </c>
      <c r="G1040" s="137">
        <v>3</v>
      </c>
      <c r="H1040" s="138">
        <v>260</v>
      </c>
      <c r="I1040" s="91">
        <v>45925</v>
      </c>
      <c r="J1040" s="165">
        <v>0.70624999999999993</v>
      </c>
      <c r="K1040" s="138">
        <v>260</v>
      </c>
      <c r="L1040" s="72" t="str">
        <f t="shared" si="16"/>
        <v>Payé</v>
      </c>
    </row>
    <row r="1041" spans="1:12" ht="15" customHeight="1" x14ac:dyDescent="0.25">
      <c r="A1041" s="90" t="s">
        <v>853</v>
      </c>
      <c r="B1041" s="149">
        <v>4333</v>
      </c>
      <c r="C1041" s="207" t="s">
        <v>706</v>
      </c>
      <c r="D1041" s="90" t="s">
        <v>17</v>
      </c>
      <c r="E1041" s="90" t="s">
        <v>628</v>
      </c>
      <c r="F1041" s="90" t="s">
        <v>853</v>
      </c>
      <c r="G1041" s="137">
        <v>8.5</v>
      </c>
      <c r="H1041" s="138">
        <v>737</v>
      </c>
      <c r="I1041" s="91">
        <v>45925</v>
      </c>
      <c r="J1041" s="165">
        <v>0.70624999999999993</v>
      </c>
      <c r="K1041" s="138">
        <v>737</v>
      </c>
      <c r="L1041" s="72" t="str">
        <f t="shared" si="16"/>
        <v>Payé</v>
      </c>
    </row>
    <row r="1042" spans="1:12" ht="15" customHeight="1" x14ac:dyDescent="0.25">
      <c r="A1042" s="90" t="s">
        <v>853</v>
      </c>
      <c r="B1042" s="150">
        <v>4334</v>
      </c>
      <c r="C1042" s="206" t="s">
        <v>622</v>
      </c>
      <c r="D1042" s="90" t="s">
        <v>17</v>
      </c>
      <c r="E1042" s="90" t="s">
        <v>628</v>
      </c>
      <c r="F1042" s="90" t="s">
        <v>853</v>
      </c>
      <c r="G1042" s="137">
        <v>7</v>
      </c>
      <c r="H1042" s="138">
        <v>607</v>
      </c>
      <c r="I1042" s="91">
        <v>45925</v>
      </c>
      <c r="J1042" s="165">
        <v>0.70624999999999993</v>
      </c>
      <c r="K1042" s="138">
        <v>607</v>
      </c>
      <c r="L1042" s="72" t="str">
        <f t="shared" si="16"/>
        <v>Payé</v>
      </c>
    </row>
    <row r="1043" spans="1:12" ht="15" customHeight="1" x14ac:dyDescent="0.25">
      <c r="A1043" s="90" t="s">
        <v>853</v>
      </c>
      <c r="B1043" s="149">
        <v>4470</v>
      </c>
      <c r="C1043" s="207" t="s">
        <v>989</v>
      </c>
      <c r="D1043" s="90" t="s">
        <v>17</v>
      </c>
      <c r="E1043" s="90" t="s">
        <v>628</v>
      </c>
      <c r="F1043" s="90" t="s">
        <v>853</v>
      </c>
      <c r="G1043" s="137">
        <v>5.5</v>
      </c>
      <c r="H1043" s="138">
        <v>477</v>
      </c>
      <c r="I1043" s="91">
        <v>45925</v>
      </c>
      <c r="J1043" s="165">
        <v>0.70624999999999993</v>
      </c>
      <c r="K1043" s="138">
        <v>477</v>
      </c>
      <c r="L1043" s="72" t="str">
        <f t="shared" si="16"/>
        <v>Payé</v>
      </c>
    </row>
    <row r="1044" spans="1:12" ht="15" customHeight="1" x14ac:dyDescent="0.25">
      <c r="A1044" s="90" t="s">
        <v>853</v>
      </c>
      <c r="B1044" s="150">
        <v>4509</v>
      </c>
      <c r="C1044" s="206" t="s">
        <v>623</v>
      </c>
      <c r="D1044" s="90" t="s">
        <v>17</v>
      </c>
      <c r="E1044" s="90" t="s">
        <v>628</v>
      </c>
      <c r="F1044" s="90" t="s">
        <v>853</v>
      </c>
      <c r="G1044" s="137">
        <v>3.5</v>
      </c>
      <c r="H1044" s="138">
        <v>304</v>
      </c>
      <c r="I1044" s="91">
        <v>45925</v>
      </c>
      <c r="J1044" s="165">
        <v>0.70624999999999993</v>
      </c>
      <c r="K1044" s="138">
        <v>304</v>
      </c>
      <c r="L1044" s="72" t="str">
        <f t="shared" si="16"/>
        <v>Payé</v>
      </c>
    </row>
    <row r="1045" spans="1:12" ht="15" customHeight="1" x14ac:dyDescent="0.25">
      <c r="A1045" s="90" t="s">
        <v>853</v>
      </c>
      <c r="B1045" s="149">
        <v>4801</v>
      </c>
      <c r="C1045" s="207" t="s">
        <v>990</v>
      </c>
      <c r="D1045" s="90" t="s">
        <v>17</v>
      </c>
      <c r="E1045" s="90" t="s">
        <v>628</v>
      </c>
      <c r="F1045" s="90" t="s">
        <v>853</v>
      </c>
      <c r="G1045" s="137">
        <v>9</v>
      </c>
      <c r="H1045" s="138">
        <v>781</v>
      </c>
      <c r="I1045" s="91">
        <v>45925</v>
      </c>
      <c r="J1045" s="165">
        <v>0.70624999999999993</v>
      </c>
      <c r="K1045" s="138">
        <v>781</v>
      </c>
      <c r="L1045" s="72" t="str">
        <f t="shared" si="16"/>
        <v>Payé</v>
      </c>
    </row>
    <row r="1046" spans="1:12" ht="15" customHeight="1" x14ac:dyDescent="0.25">
      <c r="A1046" s="90" t="s">
        <v>853</v>
      </c>
      <c r="B1046" s="149">
        <v>4848</v>
      </c>
      <c r="C1046" s="207" t="s">
        <v>1064</v>
      </c>
      <c r="D1046" s="90" t="s">
        <v>17</v>
      </c>
      <c r="E1046" s="90" t="s">
        <v>628</v>
      </c>
      <c r="F1046" s="90" t="s">
        <v>853</v>
      </c>
      <c r="G1046" s="137">
        <v>4</v>
      </c>
      <c r="H1046" s="138">
        <v>347</v>
      </c>
      <c r="I1046" s="91">
        <v>45925</v>
      </c>
      <c r="J1046" s="165">
        <v>0.70624999999999993</v>
      </c>
      <c r="K1046" s="138">
        <v>347</v>
      </c>
      <c r="L1046" s="72" t="str">
        <f t="shared" si="16"/>
        <v>Payé</v>
      </c>
    </row>
    <row r="1047" spans="1:12" ht="15" customHeight="1" x14ac:dyDescent="0.25">
      <c r="A1047" s="90" t="s">
        <v>853</v>
      </c>
      <c r="B1047" s="150">
        <v>5123</v>
      </c>
      <c r="C1047" s="206" t="s">
        <v>827</v>
      </c>
      <c r="D1047" s="90" t="s">
        <v>17</v>
      </c>
      <c r="E1047" s="90" t="s">
        <v>628</v>
      </c>
      <c r="F1047" s="90" t="s">
        <v>853</v>
      </c>
      <c r="G1047" s="137">
        <v>9</v>
      </c>
      <c r="H1047" s="138">
        <v>781</v>
      </c>
      <c r="I1047" s="91">
        <v>45925</v>
      </c>
      <c r="J1047" s="165">
        <v>0.70624999999999993</v>
      </c>
      <c r="K1047" s="138">
        <v>781</v>
      </c>
      <c r="L1047" s="72" t="str">
        <f t="shared" si="16"/>
        <v>Payé</v>
      </c>
    </row>
    <row r="1048" spans="1:12" ht="15" customHeight="1" x14ac:dyDescent="0.25">
      <c r="A1048" s="90" t="s">
        <v>853</v>
      </c>
      <c r="B1048" s="149">
        <v>5272</v>
      </c>
      <c r="C1048" s="207" t="s">
        <v>639</v>
      </c>
      <c r="D1048" s="90" t="s">
        <v>17</v>
      </c>
      <c r="E1048" s="90" t="s">
        <v>628</v>
      </c>
      <c r="F1048" s="90" t="s">
        <v>853</v>
      </c>
      <c r="G1048" s="137">
        <v>9.5</v>
      </c>
      <c r="H1048" s="138">
        <v>824</v>
      </c>
      <c r="I1048" s="91">
        <v>45925</v>
      </c>
      <c r="J1048" s="165">
        <v>0.70624999999999993</v>
      </c>
      <c r="K1048" s="138">
        <v>824</v>
      </c>
      <c r="L1048" s="72" t="str">
        <f t="shared" si="16"/>
        <v>Payé</v>
      </c>
    </row>
    <row r="1049" spans="1:12" ht="15" customHeight="1" x14ac:dyDescent="0.25">
      <c r="A1049" s="90" t="s">
        <v>853</v>
      </c>
      <c r="B1049" s="150">
        <v>8022</v>
      </c>
      <c r="C1049" s="206" t="s">
        <v>707</v>
      </c>
      <c r="D1049" s="90" t="s">
        <v>17</v>
      </c>
      <c r="E1049" s="90" t="s">
        <v>628</v>
      </c>
      <c r="F1049" s="90" t="s">
        <v>853</v>
      </c>
      <c r="G1049" s="137">
        <v>10</v>
      </c>
      <c r="H1049" s="138">
        <v>867</v>
      </c>
      <c r="I1049" s="91">
        <v>45925</v>
      </c>
      <c r="J1049" s="165">
        <v>0.70624999999999993</v>
      </c>
      <c r="K1049" s="138">
        <v>867</v>
      </c>
      <c r="L1049" s="72" t="str">
        <f t="shared" si="16"/>
        <v>Payé</v>
      </c>
    </row>
    <row r="1050" spans="1:12" ht="15" customHeight="1" x14ac:dyDescent="0.25">
      <c r="A1050" s="90" t="s">
        <v>853</v>
      </c>
      <c r="B1050" s="149">
        <v>10008</v>
      </c>
      <c r="C1050" s="207" t="s">
        <v>1134</v>
      </c>
      <c r="D1050" s="90" t="s">
        <v>17</v>
      </c>
      <c r="E1050" s="90" t="s">
        <v>628</v>
      </c>
      <c r="F1050" s="90" t="s">
        <v>853</v>
      </c>
      <c r="G1050" s="137">
        <v>8</v>
      </c>
      <c r="H1050" s="138">
        <v>694</v>
      </c>
      <c r="I1050" s="91">
        <v>45925</v>
      </c>
      <c r="J1050" s="165">
        <v>0.70624999999999993</v>
      </c>
      <c r="K1050" s="138">
        <v>694</v>
      </c>
      <c r="L1050" s="72" t="str">
        <f t="shared" si="16"/>
        <v>Payé</v>
      </c>
    </row>
    <row r="1051" spans="1:12" ht="15" customHeight="1" x14ac:dyDescent="0.25">
      <c r="A1051" s="90" t="s">
        <v>853</v>
      </c>
      <c r="B1051" s="149">
        <v>3727</v>
      </c>
      <c r="C1051" s="207" t="s">
        <v>1121</v>
      </c>
      <c r="D1051" s="90" t="s">
        <v>17</v>
      </c>
      <c r="E1051" s="90" t="s">
        <v>1135</v>
      </c>
      <c r="F1051" s="90" t="s">
        <v>853</v>
      </c>
      <c r="G1051" s="137">
        <v>4</v>
      </c>
      <c r="H1051" s="138">
        <v>347</v>
      </c>
      <c r="I1051" s="91">
        <v>45937</v>
      </c>
      <c r="J1051" s="165">
        <v>0.63472222222222219</v>
      </c>
      <c r="K1051" s="138">
        <v>347</v>
      </c>
      <c r="L1051" s="72" t="str">
        <f t="shared" si="16"/>
        <v>Payé</v>
      </c>
    </row>
    <row r="1052" spans="1:12" ht="15" customHeight="1" x14ac:dyDescent="0.25">
      <c r="A1052" s="90" t="s">
        <v>853</v>
      </c>
      <c r="B1052" s="149">
        <v>4154</v>
      </c>
      <c r="C1052" s="207" t="s">
        <v>1062</v>
      </c>
      <c r="D1052" s="90" t="s">
        <v>17</v>
      </c>
      <c r="E1052" s="90" t="s">
        <v>1135</v>
      </c>
      <c r="F1052" s="90" t="s">
        <v>853</v>
      </c>
      <c r="G1052" s="137">
        <v>5</v>
      </c>
      <c r="H1052" s="138">
        <v>434</v>
      </c>
      <c r="I1052" s="91">
        <v>45937</v>
      </c>
      <c r="J1052" s="165">
        <v>0.63472222222222219</v>
      </c>
      <c r="K1052" s="138">
        <v>434</v>
      </c>
      <c r="L1052" s="72" t="str">
        <f t="shared" si="16"/>
        <v>Payé</v>
      </c>
    </row>
    <row r="1053" spans="1:12" ht="15" customHeight="1" x14ac:dyDescent="0.25">
      <c r="A1053" s="90" t="s">
        <v>853</v>
      </c>
      <c r="B1053" s="149">
        <v>4417</v>
      </c>
      <c r="C1053" s="207" t="s">
        <v>1063</v>
      </c>
      <c r="D1053" s="90" t="s">
        <v>17</v>
      </c>
      <c r="E1053" s="90" t="s">
        <v>1135</v>
      </c>
      <c r="F1053" s="90" t="s">
        <v>853</v>
      </c>
      <c r="G1053" s="137">
        <v>4</v>
      </c>
      <c r="H1053" s="138">
        <v>347</v>
      </c>
      <c r="I1053" s="91">
        <v>45937</v>
      </c>
      <c r="J1053" s="165">
        <v>0.63472222222222219</v>
      </c>
      <c r="K1053" s="138">
        <v>347</v>
      </c>
      <c r="L1053" s="72" t="str">
        <f t="shared" si="16"/>
        <v>Payé</v>
      </c>
    </row>
    <row r="1054" spans="1:12" ht="15" customHeight="1" x14ac:dyDescent="0.25">
      <c r="A1054" s="90" t="s">
        <v>853</v>
      </c>
      <c r="B1054" s="149">
        <v>5358</v>
      </c>
      <c r="C1054" s="207" t="s">
        <v>1092</v>
      </c>
      <c r="D1054" s="90" t="s">
        <v>17</v>
      </c>
      <c r="E1054" s="90" t="s">
        <v>1135</v>
      </c>
      <c r="F1054" s="90" t="s">
        <v>853</v>
      </c>
      <c r="G1054" s="137">
        <v>5</v>
      </c>
      <c r="H1054" s="138">
        <v>434</v>
      </c>
      <c r="I1054" s="91">
        <v>45937</v>
      </c>
      <c r="J1054" s="165">
        <v>0.63472222222222219</v>
      </c>
      <c r="K1054" s="138">
        <v>434</v>
      </c>
      <c r="L1054" s="72" t="str">
        <f t="shared" ref="L1054:L1117" si="17">IF(ISBLANK(H1054),"",IF(H1054=K1054,"Payé","Impayé"))</f>
        <v>Payé</v>
      </c>
    </row>
    <row r="1055" spans="1:12" ht="15" customHeight="1" x14ac:dyDescent="0.25">
      <c r="A1055" s="90" t="s">
        <v>853</v>
      </c>
      <c r="B1055" s="149">
        <v>7007</v>
      </c>
      <c r="C1055" s="207" t="s">
        <v>1125</v>
      </c>
      <c r="D1055" s="90" t="s">
        <v>17</v>
      </c>
      <c r="E1055" s="90" t="s">
        <v>1135</v>
      </c>
      <c r="F1055" s="90" t="s">
        <v>853</v>
      </c>
      <c r="G1055" s="137">
        <v>3</v>
      </c>
      <c r="H1055" s="138">
        <v>260</v>
      </c>
      <c r="I1055" s="91">
        <v>45937</v>
      </c>
      <c r="J1055" s="165">
        <v>0.63472222222222219</v>
      </c>
      <c r="K1055" s="138">
        <v>260</v>
      </c>
      <c r="L1055" s="72" t="str">
        <f t="shared" si="17"/>
        <v>Payé</v>
      </c>
    </row>
    <row r="1056" spans="1:12" ht="15" customHeight="1" x14ac:dyDescent="0.25">
      <c r="A1056" s="90" t="s">
        <v>853</v>
      </c>
      <c r="B1056" s="149">
        <v>9019</v>
      </c>
      <c r="C1056" s="207" t="s">
        <v>1099</v>
      </c>
      <c r="D1056" s="90" t="s">
        <v>17</v>
      </c>
      <c r="E1056" s="90" t="s">
        <v>1135</v>
      </c>
      <c r="F1056" s="90" t="s">
        <v>853</v>
      </c>
      <c r="G1056" s="137">
        <v>5</v>
      </c>
      <c r="H1056" s="138">
        <v>434</v>
      </c>
      <c r="I1056" s="91">
        <v>45937</v>
      </c>
      <c r="J1056" s="165">
        <v>0.63472222222222219</v>
      </c>
      <c r="K1056" s="138">
        <v>434</v>
      </c>
      <c r="L1056" s="72" t="str">
        <f t="shared" si="17"/>
        <v>Payé</v>
      </c>
    </row>
    <row r="1057" spans="1:12" ht="15" customHeight="1" x14ac:dyDescent="0.25">
      <c r="A1057" s="90" t="s">
        <v>853</v>
      </c>
      <c r="B1057" s="149">
        <v>9021</v>
      </c>
      <c r="C1057" s="207" t="s">
        <v>1100</v>
      </c>
      <c r="D1057" s="90" t="s">
        <v>17</v>
      </c>
      <c r="E1057" s="90" t="s">
        <v>1135</v>
      </c>
      <c r="F1057" s="90" t="s">
        <v>853</v>
      </c>
      <c r="G1057" s="137">
        <v>3</v>
      </c>
      <c r="H1057" s="138">
        <v>260</v>
      </c>
      <c r="I1057" s="91">
        <v>45937</v>
      </c>
      <c r="J1057" s="165">
        <v>0.63472222222222219</v>
      </c>
      <c r="K1057" s="138">
        <v>260</v>
      </c>
      <c r="L1057" s="72" t="str">
        <f t="shared" si="17"/>
        <v>Payé</v>
      </c>
    </row>
    <row r="1058" spans="1:12" ht="15" customHeight="1" x14ac:dyDescent="0.25">
      <c r="A1058" s="90" t="s">
        <v>853</v>
      </c>
      <c r="B1058" s="152">
        <v>9043</v>
      </c>
      <c r="C1058" s="210" t="s">
        <v>1101</v>
      </c>
      <c r="D1058" s="90" t="s">
        <v>17</v>
      </c>
      <c r="E1058" s="90" t="s">
        <v>1135</v>
      </c>
      <c r="F1058" s="90" t="s">
        <v>853</v>
      </c>
      <c r="G1058" s="137">
        <v>2</v>
      </c>
      <c r="H1058" s="138">
        <v>173</v>
      </c>
      <c r="I1058" s="91">
        <v>45937</v>
      </c>
      <c r="J1058" s="165">
        <v>0.63472222222222219</v>
      </c>
      <c r="K1058" s="138">
        <v>173</v>
      </c>
      <c r="L1058" s="72" t="str">
        <f t="shared" si="17"/>
        <v>Payé</v>
      </c>
    </row>
    <row r="1059" spans="1:12" ht="15" customHeight="1" x14ac:dyDescent="0.25">
      <c r="A1059" s="90" t="s">
        <v>853</v>
      </c>
      <c r="B1059" s="149">
        <v>9045</v>
      </c>
      <c r="C1059" s="207" t="s">
        <v>1102</v>
      </c>
      <c r="D1059" s="90" t="s">
        <v>17</v>
      </c>
      <c r="E1059" s="90" t="s">
        <v>1135</v>
      </c>
      <c r="F1059" s="90" t="s">
        <v>853</v>
      </c>
      <c r="G1059" s="137">
        <v>6</v>
      </c>
      <c r="H1059" s="138">
        <v>520</v>
      </c>
      <c r="I1059" s="91">
        <v>45937</v>
      </c>
      <c r="J1059" s="165">
        <v>0.63472222222222219</v>
      </c>
      <c r="K1059" s="138">
        <v>520</v>
      </c>
      <c r="L1059" s="72" t="str">
        <f t="shared" si="17"/>
        <v>Payé</v>
      </c>
    </row>
    <row r="1060" spans="1:12" ht="15" customHeight="1" x14ac:dyDescent="0.25">
      <c r="A1060" s="90" t="s">
        <v>853</v>
      </c>
      <c r="B1060" s="151">
        <v>9046</v>
      </c>
      <c r="C1060" s="208" t="s">
        <v>1126</v>
      </c>
      <c r="D1060" s="90" t="s">
        <v>17</v>
      </c>
      <c r="E1060" s="90" t="s">
        <v>1135</v>
      </c>
      <c r="F1060" s="90" t="s">
        <v>853</v>
      </c>
      <c r="G1060" s="137">
        <v>4</v>
      </c>
      <c r="H1060" s="138">
        <v>347</v>
      </c>
      <c r="I1060" s="91">
        <v>45937</v>
      </c>
      <c r="J1060" s="165">
        <v>0.63472222222222219</v>
      </c>
      <c r="K1060" s="138">
        <v>347</v>
      </c>
      <c r="L1060" s="72" t="str">
        <f t="shared" si="17"/>
        <v>Payé</v>
      </c>
    </row>
    <row r="1061" spans="1:12" ht="15" customHeight="1" x14ac:dyDescent="0.25">
      <c r="A1061" s="90" t="s">
        <v>853</v>
      </c>
      <c r="B1061" s="149">
        <v>10002</v>
      </c>
      <c r="C1061" s="207" t="s">
        <v>1128</v>
      </c>
      <c r="D1061" s="90" t="s">
        <v>17</v>
      </c>
      <c r="E1061" s="90" t="s">
        <v>1135</v>
      </c>
      <c r="F1061" s="90" t="s">
        <v>853</v>
      </c>
      <c r="G1061" s="137">
        <v>4</v>
      </c>
      <c r="H1061" s="138">
        <v>347</v>
      </c>
      <c r="I1061" s="91">
        <v>45937</v>
      </c>
      <c r="J1061" s="165">
        <v>0.63472222222222219</v>
      </c>
      <c r="K1061" s="138">
        <v>347</v>
      </c>
      <c r="L1061" s="72" t="str">
        <f t="shared" si="17"/>
        <v>Payé</v>
      </c>
    </row>
    <row r="1062" spans="1:12" ht="15" customHeight="1" x14ac:dyDescent="0.25">
      <c r="A1062" s="90" t="s">
        <v>853</v>
      </c>
      <c r="B1062" s="90" t="s">
        <v>586</v>
      </c>
      <c r="C1062" s="88" t="s">
        <v>1137</v>
      </c>
      <c r="D1062" s="89" t="s">
        <v>910</v>
      </c>
      <c r="E1062" s="90" t="s">
        <v>1135</v>
      </c>
      <c r="F1062" s="90" t="s">
        <v>853</v>
      </c>
      <c r="G1062" s="95">
        <v>80</v>
      </c>
      <c r="H1062" s="92">
        <v>2000</v>
      </c>
      <c r="I1062" s="91">
        <v>45930</v>
      </c>
      <c r="J1062" s="165">
        <v>0.53402777777777777</v>
      </c>
      <c r="K1062" s="92">
        <v>2000</v>
      </c>
      <c r="L1062" s="72" t="str">
        <f t="shared" si="17"/>
        <v>Payé</v>
      </c>
    </row>
    <row r="1063" spans="1:12" ht="15" customHeight="1" x14ac:dyDescent="0.25">
      <c r="A1063" s="90" t="s">
        <v>853</v>
      </c>
      <c r="B1063" s="149">
        <v>2978</v>
      </c>
      <c r="C1063" s="207" t="s">
        <v>1118</v>
      </c>
      <c r="D1063" s="90" t="s">
        <v>17</v>
      </c>
      <c r="E1063" s="90" t="s">
        <v>476</v>
      </c>
      <c r="F1063" s="90" t="s">
        <v>853</v>
      </c>
      <c r="G1063" s="137">
        <v>7</v>
      </c>
      <c r="H1063" s="138">
        <v>607</v>
      </c>
      <c r="I1063" s="91">
        <v>45954</v>
      </c>
      <c r="J1063" s="165">
        <v>0.50902777777777775</v>
      </c>
      <c r="K1063" s="138">
        <v>607</v>
      </c>
      <c r="L1063" s="72" t="str">
        <f t="shared" si="17"/>
        <v>Payé</v>
      </c>
    </row>
    <row r="1064" spans="1:12" ht="15" customHeight="1" x14ac:dyDescent="0.25">
      <c r="A1064" s="90" t="s">
        <v>853</v>
      </c>
      <c r="B1064" s="90"/>
      <c r="C1064" s="88" t="s">
        <v>1138</v>
      </c>
      <c r="D1064" s="89" t="s">
        <v>910</v>
      </c>
      <c r="E1064" s="90" t="s">
        <v>476</v>
      </c>
      <c r="F1064" s="90" t="s">
        <v>853</v>
      </c>
      <c r="G1064" s="95">
        <v>89</v>
      </c>
      <c r="H1064" s="92">
        <v>2670</v>
      </c>
      <c r="I1064" s="91">
        <v>45926</v>
      </c>
      <c r="J1064" s="165">
        <v>0.6791666666666667</v>
      </c>
      <c r="K1064" s="92">
        <v>2670</v>
      </c>
      <c r="L1064" s="72" t="str">
        <f t="shared" si="17"/>
        <v>Payé</v>
      </c>
    </row>
    <row r="1065" spans="1:12" ht="15" customHeight="1" x14ac:dyDescent="0.25">
      <c r="A1065" s="90" t="s">
        <v>853</v>
      </c>
      <c r="B1065" s="147">
        <v>2965</v>
      </c>
      <c r="C1065" s="205" t="s">
        <v>813</v>
      </c>
      <c r="D1065" s="90" t="s">
        <v>17</v>
      </c>
      <c r="E1065" s="90" t="s">
        <v>753</v>
      </c>
      <c r="F1065" s="90" t="s">
        <v>853</v>
      </c>
      <c r="G1065" s="137">
        <v>5</v>
      </c>
      <c r="H1065" s="138">
        <v>434</v>
      </c>
      <c r="I1065" s="91">
        <v>45926</v>
      </c>
      <c r="J1065" s="165">
        <v>0.69652777777777775</v>
      </c>
      <c r="K1065" s="138">
        <v>434</v>
      </c>
      <c r="L1065" s="72" t="str">
        <f t="shared" si="17"/>
        <v>Payé</v>
      </c>
    </row>
    <row r="1066" spans="1:12" ht="15" customHeight="1" x14ac:dyDescent="0.25">
      <c r="A1066" s="90" t="s">
        <v>853</v>
      </c>
      <c r="B1066" s="150">
        <v>2997</v>
      </c>
      <c r="C1066" s="206" t="s">
        <v>719</v>
      </c>
      <c r="D1066" s="90" t="s">
        <v>17</v>
      </c>
      <c r="E1066" s="90" t="s">
        <v>753</v>
      </c>
      <c r="F1066" s="90" t="s">
        <v>853</v>
      </c>
      <c r="G1066" s="137">
        <v>6</v>
      </c>
      <c r="H1066" s="138">
        <v>580</v>
      </c>
      <c r="I1066" s="91">
        <v>45926</v>
      </c>
      <c r="J1066" s="165">
        <v>0.69652777777777775</v>
      </c>
      <c r="K1066" s="138">
        <v>580</v>
      </c>
      <c r="L1066" s="72" t="str">
        <f t="shared" si="17"/>
        <v>Payé</v>
      </c>
    </row>
    <row r="1067" spans="1:12" ht="15" customHeight="1" x14ac:dyDescent="0.25">
      <c r="A1067" s="90" t="s">
        <v>853</v>
      </c>
      <c r="B1067" s="150">
        <v>3001</v>
      </c>
      <c r="C1067" s="206" t="s">
        <v>799</v>
      </c>
      <c r="D1067" s="90" t="s">
        <v>17</v>
      </c>
      <c r="E1067" s="90" t="s">
        <v>753</v>
      </c>
      <c r="F1067" s="90" t="s">
        <v>853</v>
      </c>
      <c r="G1067" s="137">
        <v>7</v>
      </c>
      <c r="H1067" s="138">
        <v>607</v>
      </c>
      <c r="I1067" s="91">
        <v>45929</v>
      </c>
      <c r="J1067" s="165">
        <v>0.54236111111111118</v>
      </c>
      <c r="K1067" s="138">
        <v>607</v>
      </c>
      <c r="L1067" s="72" t="str">
        <f t="shared" si="17"/>
        <v>Payé</v>
      </c>
    </row>
    <row r="1068" spans="1:12" ht="15" customHeight="1" x14ac:dyDescent="0.25">
      <c r="A1068" s="90" t="s">
        <v>853</v>
      </c>
      <c r="B1068" s="149">
        <v>4060</v>
      </c>
      <c r="C1068" s="207" t="s">
        <v>986</v>
      </c>
      <c r="D1068" s="90" t="s">
        <v>17</v>
      </c>
      <c r="E1068" s="90" t="s">
        <v>753</v>
      </c>
      <c r="F1068" s="90" t="s">
        <v>853</v>
      </c>
      <c r="G1068" s="137">
        <v>4</v>
      </c>
      <c r="H1068" s="138">
        <v>347</v>
      </c>
      <c r="I1068" s="91">
        <v>45926</v>
      </c>
      <c r="J1068" s="165">
        <v>0.69652777777777775</v>
      </c>
      <c r="K1068" s="138">
        <v>347</v>
      </c>
      <c r="L1068" s="72" t="str">
        <f t="shared" si="17"/>
        <v>Payé</v>
      </c>
    </row>
    <row r="1069" spans="1:12" ht="15" customHeight="1" x14ac:dyDescent="0.25">
      <c r="A1069" s="90" t="s">
        <v>853</v>
      </c>
      <c r="B1069" s="149">
        <v>4868</v>
      </c>
      <c r="C1069" s="207" t="s">
        <v>767</v>
      </c>
      <c r="D1069" s="90" t="s">
        <v>17</v>
      </c>
      <c r="E1069" s="90" t="s">
        <v>753</v>
      </c>
      <c r="F1069" s="90" t="s">
        <v>853</v>
      </c>
      <c r="G1069" s="137">
        <v>4</v>
      </c>
      <c r="H1069" s="138">
        <v>347</v>
      </c>
      <c r="I1069" s="91">
        <v>45926</v>
      </c>
      <c r="J1069" s="165">
        <v>0.69652777777777775</v>
      </c>
      <c r="K1069" s="138">
        <v>347</v>
      </c>
      <c r="L1069" s="72" t="str">
        <f t="shared" si="17"/>
        <v>Payé</v>
      </c>
    </row>
    <row r="1070" spans="1:12" ht="15" customHeight="1" x14ac:dyDescent="0.25">
      <c r="A1070" s="90" t="s">
        <v>853</v>
      </c>
      <c r="B1070" s="150">
        <v>5203</v>
      </c>
      <c r="C1070" s="206" t="s">
        <v>834</v>
      </c>
      <c r="D1070" s="90" t="s">
        <v>17</v>
      </c>
      <c r="E1070" s="90" t="s">
        <v>753</v>
      </c>
      <c r="F1070" s="90" t="s">
        <v>853</v>
      </c>
      <c r="G1070" s="137">
        <v>3</v>
      </c>
      <c r="H1070" s="138">
        <v>260</v>
      </c>
      <c r="I1070" s="91">
        <v>45926</v>
      </c>
      <c r="J1070" s="165">
        <v>0.68402777777777779</v>
      </c>
      <c r="K1070" s="138">
        <v>260</v>
      </c>
      <c r="L1070" s="72" t="str">
        <f t="shared" si="17"/>
        <v>Payé</v>
      </c>
    </row>
    <row r="1071" spans="1:12" ht="15" customHeight="1" x14ac:dyDescent="0.25">
      <c r="A1071" s="90" t="s">
        <v>853</v>
      </c>
      <c r="B1071" s="147">
        <v>5238</v>
      </c>
      <c r="C1071" s="205" t="s">
        <v>883</v>
      </c>
      <c r="D1071" s="90" t="s">
        <v>17</v>
      </c>
      <c r="E1071" s="90" t="s">
        <v>753</v>
      </c>
      <c r="F1071" s="90" t="s">
        <v>853</v>
      </c>
      <c r="G1071" s="137">
        <v>4</v>
      </c>
      <c r="H1071" s="138">
        <v>347</v>
      </c>
      <c r="I1071" s="91">
        <v>45926</v>
      </c>
      <c r="J1071" s="165">
        <v>0.69374999999999998</v>
      </c>
      <c r="K1071" s="138">
        <v>347</v>
      </c>
      <c r="L1071" s="72" t="str">
        <f t="shared" si="17"/>
        <v>Payé</v>
      </c>
    </row>
    <row r="1072" spans="1:12" ht="15" customHeight="1" x14ac:dyDescent="0.25">
      <c r="A1072" s="90" t="s">
        <v>853</v>
      </c>
      <c r="B1072" s="147">
        <v>5240</v>
      </c>
      <c r="C1072" s="205" t="s">
        <v>885</v>
      </c>
      <c r="D1072" s="90" t="s">
        <v>17</v>
      </c>
      <c r="E1072" s="90" t="s">
        <v>753</v>
      </c>
      <c r="F1072" s="90" t="s">
        <v>853</v>
      </c>
      <c r="G1072" s="137">
        <v>7</v>
      </c>
      <c r="H1072" s="138">
        <v>607</v>
      </c>
      <c r="I1072" s="91">
        <v>45926</v>
      </c>
      <c r="J1072" s="165">
        <v>0.69652777777777775</v>
      </c>
      <c r="K1072" s="138">
        <v>607</v>
      </c>
      <c r="L1072" s="72" t="str">
        <f t="shared" si="17"/>
        <v>Payé</v>
      </c>
    </row>
    <row r="1073" spans="1:12" ht="15" customHeight="1" x14ac:dyDescent="0.25">
      <c r="A1073" s="90" t="s">
        <v>853</v>
      </c>
      <c r="B1073" s="149">
        <v>5253</v>
      </c>
      <c r="C1073" s="207" t="s">
        <v>902</v>
      </c>
      <c r="D1073" s="90" t="s">
        <v>17</v>
      </c>
      <c r="E1073" s="90" t="s">
        <v>753</v>
      </c>
      <c r="F1073" s="90" t="s">
        <v>853</v>
      </c>
      <c r="G1073" s="137">
        <v>7</v>
      </c>
      <c r="H1073" s="138">
        <v>607</v>
      </c>
      <c r="I1073" s="91">
        <v>45926</v>
      </c>
      <c r="J1073" s="165">
        <v>0.69652777777777775</v>
      </c>
      <c r="K1073" s="138">
        <v>607</v>
      </c>
      <c r="L1073" s="72" t="str">
        <f t="shared" si="17"/>
        <v>Payé</v>
      </c>
    </row>
    <row r="1074" spans="1:12" ht="15" customHeight="1" x14ac:dyDescent="0.25">
      <c r="A1074" s="90" t="s">
        <v>853</v>
      </c>
      <c r="B1074" s="149">
        <v>5255</v>
      </c>
      <c r="C1074" s="207" t="s">
        <v>904</v>
      </c>
      <c r="D1074" s="90" t="s">
        <v>17</v>
      </c>
      <c r="E1074" s="90" t="s">
        <v>753</v>
      </c>
      <c r="F1074" s="90" t="s">
        <v>853</v>
      </c>
      <c r="G1074" s="137">
        <v>6</v>
      </c>
      <c r="H1074" s="138">
        <v>520</v>
      </c>
      <c r="I1074" s="91">
        <v>45926</v>
      </c>
      <c r="J1074" s="165">
        <v>0.69374999999999998</v>
      </c>
      <c r="K1074" s="138">
        <v>520</v>
      </c>
      <c r="L1074" s="72" t="str">
        <f t="shared" si="17"/>
        <v>Payé</v>
      </c>
    </row>
    <row r="1075" spans="1:12" ht="15" customHeight="1" x14ac:dyDescent="0.25">
      <c r="A1075" s="90" t="s">
        <v>853</v>
      </c>
      <c r="B1075" s="149">
        <v>5267</v>
      </c>
      <c r="C1075" s="207" t="s">
        <v>923</v>
      </c>
      <c r="D1075" s="90" t="s">
        <v>17</v>
      </c>
      <c r="E1075" s="90" t="s">
        <v>753</v>
      </c>
      <c r="F1075" s="90" t="s">
        <v>853</v>
      </c>
      <c r="G1075" s="137">
        <v>2</v>
      </c>
      <c r="H1075" s="138">
        <v>173</v>
      </c>
      <c r="I1075" s="91">
        <v>45926</v>
      </c>
      <c r="J1075" s="165">
        <v>0.68541666666666667</v>
      </c>
      <c r="K1075" s="138">
        <v>173</v>
      </c>
      <c r="L1075" s="72" t="str">
        <f t="shared" si="17"/>
        <v>Payé</v>
      </c>
    </row>
    <row r="1076" spans="1:12" ht="15" customHeight="1" x14ac:dyDescent="0.25">
      <c r="A1076" s="90" t="s">
        <v>853</v>
      </c>
      <c r="B1076" s="149">
        <v>5300</v>
      </c>
      <c r="C1076" s="207" t="s">
        <v>1011</v>
      </c>
      <c r="D1076" s="90" t="s">
        <v>17</v>
      </c>
      <c r="E1076" s="90" t="s">
        <v>753</v>
      </c>
      <c r="F1076" s="90" t="s">
        <v>853</v>
      </c>
      <c r="G1076" s="137">
        <v>3</v>
      </c>
      <c r="H1076" s="138">
        <v>260</v>
      </c>
      <c r="I1076" s="91">
        <v>45926</v>
      </c>
      <c r="J1076" s="165">
        <v>0.69652777777777775</v>
      </c>
      <c r="K1076" s="138">
        <v>260</v>
      </c>
      <c r="L1076" s="72" t="str">
        <f t="shared" si="17"/>
        <v>Payé</v>
      </c>
    </row>
    <row r="1077" spans="1:12" ht="15" customHeight="1" x14ac:dyDescent="0.25">
      <c r="A1077" s="90" t="s">
        <v>853</v>
      </c>
      <c r="B1077" s="149">
        <v>5327</v>
      </c>
      <c r="C1077" s="207" t="s">
        <v>1033</v>
      </c>
      <c r="D1077" s="90" t="s">
        <v>17</v>
      </c>
      <c r="E1077" s="90" t="s">
        <v>753</v>
      </c>
      <c r="F1077" s="90" t="s">
        <v>853</v>
      </c>
      <c r="G1077" s="137">
        <v>5</v>
      </c>
      <c r="H1077" s="138">
        <v>434</v>
      </c>
      <c r="I1077" s="91">
        <v>45926</v>
      </c>
      <c r="J1077" s="165">
        <v>0.69652777777777775</v>
      </c>
      <c r="K1077" s="138">
        <v>434</v>
      </c>
      <c r="L1077" s="72" t="str">
        <f t="shared" si="17"/>
        <v>Payé</v>
      </c>
    </row>
    <row r="1078" spans="1:12" ht="15" customHeight="1" x14ac:dyDescent="0.25">
      <c r="A1078" s="90" t="s">
        <v>853</v>
      </c>
      <c r="B1078" s="149">
        <v>5352</v>
      </c>
      <c r="C1078" s="207" t="s">
        <v>1087</v>
      </c>
      <c r="D1078" s="90" t="s">
        <v>17</v>
      </c>
      <c r="E1078" s="90" t="s">
        <v>753</v>
      </c>
      <c r="F1078" s="90" t="s">
        <v>853</v>
      </c>
      <c r="G1078" s="137">
        <v>7</v>
      </c>
      <c r="H1078" s="138">
        <v>607</v>
      </c>
      <c r="I1078" s="91">
        <v>45926</v>
      </c>
      <c r="J1078" s="165">
        <v>0.69374999999999998</v>
      </c>
      <c r="K1078" s="138">
        <v>607</v>
      </c>
      <c r="L1078" s="72" t="str">
        <f t="shared" si="17"/>
        <v>Payé</v>
      </c>
    </row>
    <row r="1079" spans="1:12" ht="15" customHeight="1" x14ac:dyDescent="0.25">
      <c r="A1079" s="90" t="s">
        <v>853</v>
      </c>
      <c r="B1079" s="149">
        <v>10003</v>
      </c>
      <c r="C1079" s="207" t="s">
        <v>1129</v>
      </c>
      <c r="D1079" s="90" t="s">
        <v>17</v>
      </c>
      <c r="E1079" s="90" t="s">
        <v>753</v>
      </c>
      <c r="F1079" s="90" t="s">
        <v>853</v>
      </c>
      <c r="G1079" s="137">
        <v>2</v>
      </c>
      <c r="H1079" s="138">
        <v>173</v>
      </c>
      <c r="I1079" s="91">
        <v>45926</v>
      </c>
      <c r="J1079" s="165">
        <v>0.69652777777777775</v>
      </c>
      <c r="K1079" s="138">
        <v>173</v>
      </c>
      <c r="L1079" s="72" t="str">
        <f t="shared" si="17"/>
        <v>Payé</v>
      </c>
    </row>
    <row r="1080" spans="1:12" ht="15" customHeight="1" x14ac:dyDescent="0.25">
      <c r="A1080" s="90" t="s">
        <v>853</v>
      </c>
      <c r="B1080" s="149">
        <v>10005</v>
      </c>
      <c r="C1080" s="207" t="s">
        <v>1131</v>
      </c>
      <c r="D1080" s="90" t="s">
        <v>17</v>
      </c>
      <c r="E1080" s="90" t="s">
        <v>753</v>
      </c>
      <c r="F1080" s="90" t="s">
        <v>853</v>
      </c>
      <c r="G1080" s="137">
        <v>3</v>
      </c>
      <c r="H1080" s="138">
        <v>260</v>
      </c>
      <c r="I1080" s="91">
        <v>45926</v>
      </c>
      <c r="J1080" s="165">
        <v>0.69652777777777775</v>
      </c>
      <c r="K1080" s="138">
        <v>260</v>
      </c>
      <c r="L1080" s="72" t="str">
        <f t="shared" si="17"/>
        <v>Payé</v>
      </c>
    </row>
    <row r="1081" spans="1:12" ht="15" customHeight="1" x14ac:dyDescent="0.25">
      <c r="A1081" s="90" t="s">
        <v>853</v>
      </c>
      <c r="B1081" s="90" t="s">
        <v>629</v>
      </c>
      <c r="C1081" s="88" t="s">
        <v>630</v>
      </c>
      <c r="D1081" s="89" t="s">
        <v>910</v>
      </c>
      <c r="E1081" s="90" t="s">
        <v>1047</v>
      </c>
      <c r="F1081" s="90" t="s">
        <v>853</v>
      </c>
      <c r="G1081" s="95">
        <v>201</v>
      </c>
      <c r="H1081" s="92">
        <v>5025</v>
      </c>
      <c r="I1081" s="91">
        <v>45925</v>
      </c>
      <c r="J1081" s="165">
        <v>0.70624999999999993</v>
      </c>
      <c r="K1081" s="92">
        <v>5025</v>
      </c>
      <c r="L1081" s="72" t="str">
        <f t="shared" si="17"/>
        <v>Payé</v>
      </c>
    </row>
    <row r="1082" spans="1:12" ht="15" customHeight="1" x14ac:dyDescent="0.25">
      <c r="A1082" s="90" t="s">
        <v>853</v>
      </c>
      <c r="B1082" s="151">
        <v>2089</v>
      </c>
      <c r="C1082" s="208" t="s">
        <v>966</v>
      </c>
      <c r="D1082" s="90" t="s">
        <v>17</v>
      </c>
      <c r="E1082" s="90" t="s">
        <v>944</v>
      </c>
      <c r="F1082" s="90" t="s">
        <v>853</v>
      </c>
      <c r="G1082" s="137">
        <v>1</v>
      </c>
      <c r="H1082" s="138">
        <v>87</v>
      </c>
      <c r="I1082" s="91"/>
      <c r="J1082" s="165"/>
      <c r="K1082" s="92"/>
      <c r="L1082" s="72" t="str">
        <f t="shared" si="17"/>
        <v>Impayé</v>
      </c>
    </row>
    <row r="1083" spans="1:12" ht="15" customHeight="1" x14ac:dyDescent="0.25">
      <c r="A1083" s="90" t="s">
        <v>853</v>
      </c>
      <c r="B1083" s="151">
        <v>5291</v>
      </c>
      <c r="C1083" s="208" t="s">
        <v>1002</v>
      </c>
      <c r="D1083" s="90" t="s">
        <v>17</v>
      </c>
      <c r="E1083" s="90" t="s">
        <v>944</v>
      </c>
      <c r="F1083" s="90" t="s">
        <v>853</v>
      </c>
      <c r="G1083" s="137">
        <v>2</v>
      </c>
      <c r="H1083" s="138">
        <v>173</v>
      </c>
      <c r="I1083" s="91"/>
      <c r="J1083" s="165"/>
      <c r="K1083" s="92"/>
      <c r="L1083" s="72" t="str">
        <f t="shared" si="17"/>
        <v>Impayé</v>
      </c>
    </row>
    <row r="1084" spans="1:12" ht="15" customHeight="1" x14ac:dyDescent="0.25">
      <c r="A1084" s="90" t="s">
        <v>853</v>
      </c>
      <c r="B1084" s="149">
        <v>5346</v>
      </c>
      <c r="C1084" s="207" t="s">
        <v>1081</v>
      </c>
      <c r="D1084" s="90" t="s">
        <v>17</v>
      </c>
      <c r="E1084" s="90" t="s">
        <v>944</v>
      </c>
      <c r="F1084" s="90" t="s">
        <v>853</v>
      </c>
      <c r="G1084" s="137">
        <v>2</v>
      </c>
      <c r="H1084" s="138">
        <v>173</v>
      </c>
      <c r="I1084" s="91"/>
      <c r="J1084" s="165"/>
      <c r="K1084" s="92"/>
      <c r="L1084" s="72" t="str">
        <f t="shared" si="17"/>
        <v>Impayé</v>
      </c>
    </row>
    <row r="1085" spans="1:12" ht="15" customHeight="1" x14ac:dyDescent="0.25">
      <c r="A1085" s="90" t="s">
        <v>853</v>
      </c>
      <c r="B1085" s="151">
        <v>5360</v>
      </c>
      <c r="C1085" s="208" t="s">
        <v>1094</v>
      </c>
      <c r="D1085" s="90" t="s">
        <v>17</v>
      </c>
      <c r="E1085" s="90" t="s">
        <v>944</v>
      </c>
      <c r="F1085" s="90" t="s">
        <v>853</v>
      </c>
      <c r="G1085" s="137">
        <v>1</v>
      </c>
      <c r="H1085" s="138">
        <v>87</v>
      </c>
      <c r="I1085" s="91"/>
      <c r="J1085" s="165"/>
      <c r="K1085" s="92"/>
      <c r="L1085" s="72" t="str">
        <f t="shared" si="17"/>
        <v>Impayé</v>
      </c>
    </row>
    <row r="1086" spans="1:12" ht="15" customHeight="1" x14ac:dyDescent="0.25">
      <c r="A1086" s="90" t="s">
        <v>853</v>
      </c>
      <c r="B1086" s="149">
        <v>3007</v>
      </c>
      <c r="C1086" s="207" t="s">
        <v>720</v>
      </c>
      <c r="D1086" s="90" t="s">
        <v>17</v>
      </c>
      <c r="E1086" s="90" t="s">
        <v>476</v>
      </c>
      <c r="F1086" s="90" t="s">
        <v>853</v>
      </c>
      <c r="G1086" s="137">
        <v>2</v>
      </c>
      <c r="H1086" s="138">
        <v>173</v>
      </c>
      <c r="I1086" s="91">
        <v>46120</v>
      </c>
      <c r="J1086" s="165">
        <v>0.6958333333333333</v>
      </c>
      <c r="K1086" s="138">
        <v>173</v>
      </c>
      <c r="L1086" s="72" t="str">
        <f t="shared" si="17"/>
        <v>Payé</v>
      </c>
    </row>
    <row r="1087" spans="1:12" ht="15" customHeight="1" x14ac:dyDescent="0.25">
      <c r="A1087" s="90" t="s">
        <v>853</v>
      </c>
      <c r="B1087" s="149">
        <v>5366</v>
      </c>
      <c r="C1087" s="207" t="s">
        <v>1124</v>
      </c>
      <c r="D1087" s="90" t="s">
        <v>17</v>
      </c>
      <c r="E1087" s="90" t="s">
        <v>476</v>
      </c>
      <c r="F1087" s="90" t="s">
        <v>853</v>
      </c>
      <c r="G1087" s="137">
        <v>1</v>
      </c>
      <c r="H1087" s="138">
        <v>87</v>
      </c>
      <c r="I1087" s="91"/>
      <c r="J1087" s="165"/>
      <c r="K1087" s="92"/>
      <c r="L1087" s="72" t="str">
        <f t="shared" si="17"/>
        <v>Impayé</v>
      </c>
    </row>
    <row r="1088" spans="1:12" ht="15" customHeight="1" x14ac:dyDescent="0.25">
      <c r="A1088" s="90" t="s">
        <v>853</v>
      </c>
      <c r="B1088" s="149">
        <v>3005</v>
      </c>
      <c r="C1088" s="207" t="s">
        <v>1076</v>
      </c>
      <c r="D1088" s="90" t="s">
        <v>17</v>
      </c>
      <c r="E1088" s="90" t="s">
        <v>753</v>
      </c>
      <c r="F1088" s="90" t="s">
        <v>853</v>
      </c>
      <c r="G1088" s="137">
        <v>1</v>
      </c>
      <c r="H1088" s="138">
        <v>87</v>
      </c>
      <c r="I1088" s="91">
        <v>46022</v>
      </c>
      <c r="J1088" s="165">
        <v>0.39166666666666666</v>
      </c>
      <c r="K1088" s="138">
        <v>87</v>
      </c>
      <c r="L1088" s="72" t="str">
        <f t="shared" si="17"/>
        <v>Payé</v>
      </c>
    </row>
    <row r="1089" spans="1:12" ht="15" customHeight="1" x14ac:dyDescent="0.25">
      <c r="A1089" s="90" t="s">
        <v>853</v>
      </c>
      <c r="B1089" s="150">
        <v>3751</v>
      </c>
      <c r="C1089" s="206" t="s">
        <v>562</v>
      </c>
      <c r="D1089" s="90" t="s">
        <v>17</v>
      </c>
      <c r="E1089" s="90" t="s">
        <v>49</v>
      </c>
      <c r="F1089" s="90" t="s">
        <v>853</v>
      </c>
      <c r="G1089" s="137">
        <v>7</v>
      </c>
      <c r="H1089" s="138">
        <v>607</v>
      </c>
      <c r="I1089" s="91">
        <v>45925</v>
      </c>
      <c r="J1089" s="165">
        <v>0.5625</v>
      </c>
      <c r="K1089" s="138">
        <v>607</v>
      </c>
      <c r="L1089" s="72" t="str">
        <f t="shared" si="17"/>
        <v>Payé</v>
      </c>
    </row>
    <row r="1090" spans="1:12" ht="15" customHeight="1" x14ac:dyDescent="0.25">
      <c r="A1090" s="90" t="s">
        <v>853</v>
      </c>
      <c r="B1090" s="149">
        <v>3823</v>
      </c>
      <c r="C1090" s="207" t="s">
        <v>824</v>
      </c>
      <c r="D1090" s="90" t="s">
        <v>17</v>
      </c>
      <c r="E1090" s="90"/>
      <c r="F1090" s="90" t="s">
        <v>853</v>
      </c>
      <c r="G1090" s="137">
        <v>4</v>
      </c>
      <c r="H1090" s="138">
        <v>347</v>
      </c>
      <c r="I1090" s="91">
        <v>45944</v>
      </c>
      <c r="J1090" s="165">
        <v>0.5625</v>
      </c>
      <c r="K1090" s="138">
        <v>347</v>
      </c>
      <c r="L1090" s="72" t="str">
        <f t="shared" si="17"/>
        <v>Payé</v>
      </c>
    </row>
    <row r="1091" spans="1:12" ht="15" customHeight="1" x14ac:dyDescent="0.25">
      <c r="A1091" s="90" t="s">
        <v>853</v>
      </c>
      <c r="B1091" s="90" t="s">
        <v>821</v>
      </c>
      <c r="C1091" s="88" t="s">
        <v>911</v>
      </c>
      <c r="D1091" s="89" t="s">
        <v>912</v>
      </c>
      <c r="E1091" s="90"/>
      <c r="F1091" s="90" t="s">
        <v>853</v>
      </c>
      <c r="G1091" s="94">
        <v>3</v>
      </c>
      <c r="H1091" s="92">
        <v>1350</v>
      </c>
      <c r="I1091" s="91">
        <v>45927</v>
      </c>
      <c r="J1091" s="165">
        <v>0.49791666666666662</v>
      </c>
      <c r="K1091" s="92">
        <v>1350</v>
      </c>
      <c r="L1091" s="72" t="str">
        <f t="shared" si="17"/>
        <v>Payé</v>
      </c>
    </row>
    <row r="1092" spans="1:12" ht="15" customHeight="1" x14ac:dyDescent="0.25">
      <c r="A1092" s="90" t="s">
        <v>853</v>
      </c>
      <c r="B1092" s="90" t="s">
        <v>1139</v>
      </c>
      <c r="C1092" s="88" t="s">
        <v>1140</v>
      </c>
      <c r="D1092" s="89" t="s">
        <v>912</v>
      </c>
      <c r="E1092" s="90"/>
      <c r="F1092" s="90" t="s">
        <v>853</v>
      </c>
      <c r="G1092" s="94">
        <v>350</v>
      </c>
      <c r="H1092" s="92">
        <v>38500</v>
      </c>
      <c r="I1092" s="91">
        <v>45925</v>
      </c>
      <c r="J1092" s="165">
        <v>0.69930555555555562</v>
      </c>
      <c r="K1092" s="92">
        <v>38500</v>
      </c>
      <c r="L1092" s="72" t="str">
        <f t="shared" si="17"/>
        <v>Payé</v>
      </c>
    </row>
    <row r="1093" spans="1:12" ht="15" customHeight="1" x14ac:dyDescent="0.25">
      <c r="A1093" s="90" t="s">
        <v>855</v>
      </c>
      <c r="B1093" s="90">
        <v>3672</v>
      </c>
      <c r="C1093" s="88" t="s">
        <v>568</v>
      </c>
      <c r="D1093" s="90" t="s">
        <v>17</v>
      </c>
      <c r="E1093" s="90" t="s">
        <v>613</v>
      </c>
      <c r="F1093" s="90" t="s">
        <v>855</v>
      </c>
      <c r="G1093" s="137">
        <v>14</v>
      </c>
      <c r="H1093" s="94">
        <v>1558</v>
      </c>
      <c r="I1093" s="91">
        <v>45952</v>
      </c>
      <c r="J1093" s="165">
        <v>0.68541666666666667</v>
      </c>
      <c r="K1093" s="94">
        <v>1558</v>
      </c>
      <c r="L1093" s="72" t="str">
        <f t="shared" si="17"/>
        <v>Payé</v>
      </c>
    </row>
    <row r="1094" spans="1:12" ht="15" customHeight="1" x14ac:dyDescent="0.25">
      <c r="A1094" s="90" t="s">
        <v>855</v>
      </c>
      <c r="B1094" s="90">
        <v>2311</v>
      </c>
      <c r="C1094" s="88" t="s">
        <v>406</v>
      </c>
      <c r="D1094" s="90" t="s">
        <v>17</v>
      </c>
      <c r="E1094" s="90" t="s">
        <v>420</v>
      </c>
      <c r="F1094" s="90" t="s">
        <v>855</v>
      </c>
      <c r="G1094" s="137">
        <v>1</v>
      </c>
      <c r="H1094" s="94">
        <v>91</v>
      </c>
      <c r="I1094" s="91">
        <v>45972</v>
      </c>
      <c r="J1094" s="165">
        <v>0.60833333333333328</v>
      </c>
      <c r="K1094" s="94">
        <v>91</v>
      </c>
      <c r="L1094" s="72" t="str">
        <f t="shared" si="17"/>
        <v>Payé</v>
      </c>
    </row>
    <row r="1095" spans="1:12" ht="15" customHeight="1" x14ac:dyDescent="0.25">
      <c r="A1095" s="90" t="s">
        <v>855</v>
      </c>
      <c r="B1095" s="90">
        <v>102</v>
      </c>
      <c r="C1095" s="88" t="s">
        <v>594</v>
      </c>
      <c r="D1095" s="90" t="s">
        <v>17</v>
      </c>
      <c r="E1095" s="90" t="s">
        <v>81</v>
      </c>
      <c r="F1095" s="90" t="s">
        <v>855</v>
      </c>
      <c r="G1095" s="137">
        <v>2</v>
      </c>
      <c r="H1095" s="94">
        <v>191</v>
      </c>
      <c r="I1095" s="91">
        <v>45955</v>
      </c>
      <c r="J1095" s="165">
        <v>0.54861111111111105</v>
      </c>
      <c r="K1095" s="94">
        <v>191</v>
      </c>
      <c r="L1095" s="72" t="str">
        <f t="shared" si="17"/>
        <v>Payé</v>
      </c>
    </row>
    <row r="1096" spans="1:12" ht="15" customHeight="1" x14ac:dyDescent="0.25">
      <c r="A1096" s="90" t="s">
        <v>855</v>
      </c>
      <c r="B1096" s="90">
        <v>6</v>
      </c>
      <c r="C1096" s="88" t="s">
        <v>542</v>
      </c>
      <c r="D1096" s="90" t="s">
        <v>17</v>
      </c>
      <c r="E1096" s="90" t="s">
        <v>368</v>
      </c>
      <c r="F1096" s="90" t="s">
        <v>855</v>
      </c>
      <c r="G1096" s="137">
        <v>2</v>
      </c>
      <c r="H1096" s="94">
        <v>191</v>
      </c>
      <c r="I1096" s="91">
        <v>45952</v>
      </c>
      <c r="J1096" s="165">
        <v>0.74930555555555556</v>
      </c>
      <c r="K1096" s="94">
        <v>191</v>
      </c>
      <c r="L1096" s="72" t="str">
        <f t="shared" si="17"/>
        <v>Payé</v>
      </c>
    </row>
    <row r="1097" spans="1:12" ht="15" customHeight="1" x14ac:dyDescent="0.25">
      <c r="A1097" s="90" t="s">
        <v>855</v>
      </c>
      <c r="B1097" s="90">
        <v>10007</v>
      </c>
      <c r="C1097" s="88" t="s">
        <v>1133</v>
      </c>
      <c r="D1097" s="90" t="s">
        <v>17</v>
      </c>
      <c r="E1097" s="90" t="s">
        <v>368</v>
      </c>
      <c r="F1097" s="90" t="s">
        <v>855</v>
      </c>
      <c r="G1097" s="137">
        <v>15</v>
      </c>
      <c r="H1097" s="94">
        <v>1800</v>
      </c>
      <c r="I1097" s="91">
        <v>45952</v>
      </c>
      <c r="J1097" s="165">
        <v>0.66249999999999998</v>
      </c>
      <c r="K1097" s="94">
        <v>1800</v>
      </c>
      <c r="L1097" s="72" t="str">
        <f t="shared" si="17"/>
        <v>Payé</v>
      </c>
    </row>
    <row r="1098" spans="1:12" ht="15" customHeight="1" x14ac:dyDescent="0.25">
      <c r="A1098" s="90" t="s">
        <v>855</v>
      </c>
      <c r="B1098" s="90">
        <v>994</v>
      </c>
      <c r="C1098" s="88" t="s">
        <v>381</v>
      </c>
      <c r="D1098" s="90" t="s">
        <v>17</v>
      </c>
      <c r="E1098" s="90" t="s">
        <v>370</v>
      </c>
      <c r="F1098" s="90" t="s">
        <v>855</v>
      </c>
      <c r="G1098" s="137">
        <v>2</v>
      </c>
      <c r="H1098" s="94">
        <v>182</v>
      </c>
      <c r="I1098" s="91">
        <v>45972</v>
      </c>
      <c r="J1098" s="165">
        <v>0.5708333333333333</v>
      </c>
      <c r="K1098" s="94">
        <v>182</v>
      </c>
      <c r="L1098" s="72" t="str">
        <f t="shared" si="17"/>
        <v>Payé</v>
      </c>
    </row>
    <row r="1099" spans="1:12" ht="15" customHeight="1" x14ac:dyDescent="0.25">
      <c r="A1099" s="90" t="s">
        <v>855</v>
      </c>
      <c r="B1099" s="90">
        <v>2299</v>
      </c>
      <c r="C1099" s="88" t="s">
        <v>1144</v>
      </c>
      <c r="D1099" s="90" t="s">
        <v>17</v>
      </c>
      <c r="E1099" s="90" t="s">
        <v>370</v>
      </c>
      <c r="F1099" s="90" t="s">
        <v>855</v>
      </c>
      <c r="G1099" s="137">
        <v>15</v>
      </c>
      <c r="H1099" s="94">
        <v>1500</v>
      </c>
      <c r="I1099" s="91">
        <v>45964</v>
      </c>
      <c r="J1099" s="165">
        <v>0.40902777777777777</v>
      </c>
      <c r="K1099" s="94">
        <v>1500</v>
      </c>
      <c r="L1099" s="72" t="str">
        <f t="shared" si="17"/>
        <v>Payé</v>
      </c>
    </row>
    <row r="1100" spans="1:12" ht="15" customHeight="1" x14ac:dyDescent="0.25">
      <c r="A1100" s="90" t="s">
        <v>855</v>
      </c>
      <c r="B1100" s="90">
        <v>5348</v>
      </c>
      <c r="C1100" s="88" t="s">
        <v>1083</v>
      </c>
      <c r="D1100" s="90" t="s">
        <v>17</v>
      </c>
      <c r="E1100" s="90" t="s">
        <v>370</v>
      </c>
      <c r="F1100" s="90" t="s">
        <v>855</v>
      </c>
      <c r="G1100" s="137">
        <v>2</v>
      </c>
      <c r="H1100" s="94">
        <v>173</v>
      </c>
      <c r="I1100" s="91">
        <v>45972</v>
      </c>
      <c r="J1100" s="165">
        <v>0.57013888888888886</v>
      </c>
      <c r="K1100" s="94">
        <v>173</v>
      </c>
      <c r="L1100" s="72" t="str">
        <f t="shared" si="17"/>
        <v>Payé</v>
      </c>
    </row>
    <row r="1101" spans="1:12" ht="15" customHeight="1" x14ac:dyDescent="0.25">
      <c r="A1101" s="90" t="s">
        <v>855</v>
      </c>
      <c r="B1101" s="90">
        <v>5365</v>
      </c>
      <c r="C1101" s="88" t="s">
        <v>1123</v>
      </c>
      <c r="D1101" s="90" t="s">
        <v>17</v>
      </c>
      <c r="E1101" s="90" t="s">
        <v>370</v>
      </c>
      <c r="F1101" s="90" t="s">
        <v>855</v>
      </c>
      <c r="G1101" s="137">
        <v>15</v>
      </c>
      <c r="H1101" s="94">
        <v>1901</v>
      </c>
      <c r="I1101" s="91">
        <v>45952</v>
      </c>
      <c r="J1101" s="165">
        <v>0.61597222222222225</v>
      </c>
      <c r="K1101" s="94">
        <v>1901</v>
      </c>
      <c r="L1101" s="72" t="str">
        <f t="shared" si="17"/>
        <v>Payé</v>
      </c>
    </row>
    <row r="1102" spans="1:12" ht="15" customHeight="1" x14ac:dyDescent="0.25">
      <c r="A1102" s="90" t="s">
        <v>855</v>
      </c>
      <c r="B1102" s="90">
        <v>10004</v>
      </c>
      <c r="C1102" s="88" t="s">
        <v>1130</v>
      </c>
      <c r="D1102" s="90" t="s">
        <v>17</v>
      </c>
      <c r="E1102" s="90" t="s">
        <v>370</v>
      </c>
      <c r="F1102" s="90" t="s">
        <v>855</v>
      </c>
      <c r="G1102" s="137">
        <v>15</v>
      </c>
      <c r="H1102" s="94">
        <v>1800</v>
      </c>
      <c r="I1102" s="91">
        <v>45953</v>
      </c>
      <c r="J1102" s="165">
        <v>0.5805555555555556</v>
      </c>
      <c r="K1102" s="94">
        <v>1800</v>
      </c>
      <c r="L1102" s="72" t="str">
        <f t="shared" si="17"/>
        <v>Payé</v>
      </c>
    </row>
    <row r="1103" spans="1:12" ht="15" customHeight="1" x14ac:dyDescent="0.25">
      <c r="A1103" s="90" t="s">
        <v>855</v>
      </c>
      <c r="B1103" s="90">
        <v>10006</v>
      </c>
      <c r="C1103" s="88" t="s">
        <v>1132</v>
      </c>
      <c r="D1103" s="90" t="s">
        <v>17</v>
      </c>
      <c r="E1103" s="90" t="s">
        <v>370</v>
      </c>
      <c r="F1103" s="90" t="s">
        <v>855</v>
      </c>
      <c r="G1103" s="137">
        <v>15</v>
      </c>
      <c r="H1103" s="94">
        <v>1800</v>
      </c>
      <c r="I1103" s="91">
        <v>45952</v>
      </c>
      <c r="J1103" s="165">
        <v>0.61597222222222225</v>
      </c>
      <c r="K1103" s="94">
        <v>1800</v>
      </c>
      <c r="L1103" s="72" t="str">
        <f t="shared" si="17"/>
        <v>Payé</v>
      </c>
    </row>
    <row r="1104" spans="1:12" ht="15" customHeight="1" x14ac:dyDescent="0.25">
      <c r="A1104" s="90" t="s">
        <v>855</v>
      </c>
      <c r="B1104" s="90">
        <v>198</v>
      </c>
      <c r="C1104" s="88" t="s">
        <v>380</v>
      </c>
      <c r="D1104" s="90" t="s">
        <v>17</v>
      </c>
      <c r="E1104" s="90" t="s">
        <v>369</v>
      </c>
      <c r="F1104" s="90" t="s">
        <v>855</v>
      </c>
      <c r="G1104" s="137">
        <v>2</v>
      </c>
      <c r="H1104" s="94">
        <v>182</v>
      </c>
      <c r="I1104" s="91">
        <v>45952</v>
      </c>
      <c r="J1104" s="165">
        <v>0.74930555555555556</v>
      </c>
      <c r="K1104" s="94">
        <v>182</v>
      </c>
      <c r="L1104" s="72" t="str">
        <f t="shared" si="17"/>
        <v>Payé</v>
      </c>
    </row>
    <row r="1105" spans="1:12" ht="15" customHeight="1" x14ac:dyDescent="0.25">
      <c r="A1105" s="90" t="s">
        <v>855</v>
      </c>
      <c r="B1105" s="90">
        <v>2300</v>
      </c>
      <c r="C1105" s="88" t="s">
        <v>1115</v>
      </c>
      <c r="D1105" s="90" t="s">
        <v>17</v>
      </c>
      <c r="E1105" s="90" t="s">
        <v>369</v>
      </c>
      <c r="F1105" s="90" t="s">
        <v>855</v>
      </c>
      <c r="G1105" s="137">
        <v>15</v>
      </c>
      <c r="H1105" s="94">
        <v>1800</v>
      </c>
      <c r="I1105" s="91">
        <v>45953</v>
      </c>
      <c r="J1105" s="165">
        <v>0.55208333333333337</v>
      </c>
      <c r="K1105" s="94">
        <v>1800</v>
      </c>
      <c r="L1105" s="72" t="str">
        <f t="shared" si="17"/>
        <v>Payé</v>
      </c>
    </row>
    <row r="1106" spans="1:12" ht="15" customHeight="1" x14ac:dyDescent="0.25">
      <c r="A1106" s="90" t="s">
        <v>855</v>
      </c>
      <c r="B1106" s="90">
        <v>10035</v>
      </c>
      <c r="C1106" s="88" t="s">
        <v>1181</v>
      </c>
      <c r="D1106" s="90" t="s">
        <v>17</v>
      </c>
      <c r="E1106" s="90" t="s">
        <v>369</v>
      </c>
      <c r="F1106" s="90" t="s">
        <v>855</v>
      </c>
      <c r="G1106" s="137">
        <v>15</v>
      </c>
      <c r="H1106" s="94">
        <v>1500</v>
      </c>
      <c r="I1106" s="91">
        <v>45952</v>
      </c>
      <c r="J1106" s="165">
        <v>0.61597222222222225</v>
      </c>
      <c r="K1106" s="94">
        <v>1500</v>
      </c>
      <c r="L1106" s="72" t="str">
        <f t="shared" si="17"/>
        <v>Payé</v>
      </c>
    </row>
    <row r="1107" spans="1:12" ht="15" customHeight="1" x14ac:dyDescent="0.25">
      <c r="A1107" s="90" t="s">
        <v>855</v>
      </c>
      <c r="B1107" s="90">
        <v>10038</v>
      </c>
      <c r="C1107" s="88" t="s">
        <v>1182</v>
      </c>
      <c r="D1107" s="90" t="s">
        <v>17</v>
      </c>
      <c r="E1107" s="90" t="s">
        <v>369</v>
      </c>
      <c r="F1107" s="90" t="s">
        <v>855</v>
      </c>
      <c r="G1107" s="137">
        <v>15</v>
      </c>
      <c r="H1107" s="94">
        <v>1500</v>
      </c>
      <c r="I1107" s="91">
        <v>45952</v>
      </c>
      <c r="J1107" s="165">
        <v>0.74930555555555556</v>
      </c>
      <c r="K1107" s="94">
        <v>1500</v>
      </c>
      <c r="L1107" s="72" t="str">
        <f t="shared" si="17"/>
        <v>Payé</v>
      </c>
    </row>
    <row r="1108" spans="1:12" ht="15" customHeight="1" x14ac:dyDescent="0.25">
      <c r="A1108" s="90" t="s">
        <v>855</v>
      </c>
      <c r="B1108" s="90">
        <v>95</v>
      </c>
      <c r="C1108" s="88" t="s">
        <v>408</v>
      </c>
      <c r="D1108" s="90" t="s">
        <v>17</v>
      </c>
      <c r="E1108" s="90" t="s">
        <v>103</v>
      </c>
      <c r="F1108" s="90" t="s">
        <v>855</v>
      </c>
      <c r="G1108" s="137">
        <v>2</v>
      </c>
      <c r="H1108" s="94">
        <v>182</v>
      </c>
      <c r="I1108" s="91">
        <v>45952</v>
      </c>
      <c r="J1108" s="165">
        <v>0.68541666666666667</v>
      </c>
      <c r="K1108" s="94">
        <v>182</v>
      </c>
      <c r="L1108" s="72" t="str">
        <f t="shared" si="17"/>
        <v>Payé</v>
      </c>
    </row>
    <row r="1109" spans="1:12" ht="15" customHeight="1" x14ac:dyDescent="0.25">
      <c r="A1109" s="90" t="s">
        <v>855</v>
      </c>
      <c r="B1109" s="90">
        <v>2625</v>
      </c>
      <c r="C1109" s="88" t="s">
        <v>1145</v>
      </c>
      <c r="D1109" s="90" t="s">
        <v>17</v>
      </c>
      <c r="E1109" s="90" t="s">
        <v>103</v>
      </c>
      <c r="F1109" s="90" t="s">
        <v>855</v>
      </c>
      <c r="G1109" s="137">
        <v>15</v>
      </c>
      <c r="H1109" s="94">
        <v>1500</v>
      </c>
      <c r="I1109" s="91">
        <v>45952</v>
      </c>
      <c r="J1109" s="165">
        <v>0.74930555555555556</v>
      </c>
      <c r="K1109" s="94">
        <v>1500</v>
      </c>
      <c r="L1109" s="72" t="str">
        <f t="shared" si="17"/>
        <v>Payé</v>
      </c>
    </row>
    <row r="1110" spans="1:12" ht="15" customHeight="1" x14ac:dyDescent="0.25">
      <c r="A1110" s="90" t="s">
        <v>855</v>
      </c>
      <c r="B1110" s="90">
        <v>348</v>
      </c>
      <c r="C1110" s="88" t="s">
        <v>951</v>
      </c>
      <c r="D1110" s="90" t="s">
        <v>17</v>
      </c>
      <c r="E1110" s="90" t="s">
        <v>123</v>
      </c>
      <c r="F1110" s="90" t="s">
        <v>855</v>
      </c>
      <c r="G1110" s="137">
        <v>2</v>
      </c>
      <c r="H1110" s="94">
        <v>182</v>
      </c>
      <c r="I1110" s="91">
        <v>45952</v>
      </c>
      <c r="J1110" s="165">
        <v>0.72083333333333333</v>
      </c>
      <c r="K1110" s="94">
        <v>182</v>
      </c>
      <c r="L1110" s="72" t="str">
        <f t="shared" si="17"/>
        <v>Payé</v>
      </c>
    </row>
    <row r="1111" spans="1:12" ht="15" customHeight="1" x14ac:dyDescent="0.25">
      <c r="A1111" s="90" t="s">
        <v>855</v>
      </c>
      <c r="B1111" s="90">
        <v>1723</v>
      </c>
      <c r="C1111" s="88" t="s">
        <v>395</v>
      </c>
      <c r="D1111" s="90" t="s">
        <v>17</v>
      </c>
      <c r="E1111" s="90" t="s">
        <v>123</v>
      </c>
      <c r="F1111" s="90" t="s">
        <v>855</v>
      </c>
      <c r="G1111" s="137">
        <v>1</v>
      </c>
      <c r="H1111" s="94">
        <v>91</v>
      </c>
      <c r="I1111" s="91">
        <v>45982</v>
      </c>
      <c r="J1111" s="165">
        <v>0.5229166666666667</v>
      </c>
      <c r="K1111" s="94">
        <v>91</v>
      </c>
      <c r="L1111" s="72" t="str">
        <f t="shared" si="17"/>
        <v>Payé</v>
      </c>
    </row>
    <row r="1112" spans="1:12" ht="15" customHeight="1" x14ac:dyDescent="0.25">
      <c r="A1112" s="90" t="s">
        <v>855</v>
      </c>
      <c r="B1112" s="90">
        <v>2403</v>
      </c>
      <c r="C1112" s="88" t="s">
        <v>1207</v>
      </c>
      <c r="D1112" s="90" t="s">
        <v>17</v>
      </c>
      <c r="E1112" s="90" t="s">
        <v>123</v>
      </c>
      <c r="F1112" s="90" t="s">
        <v>855</v>
      </c>
      <c r="G1112" s="137">
        <v>10</v>
      </c>
      <c r="H1112" s="94">
        <v>900</v>
      </c>
      <c r="I1112" s="91">
        <v>45952</v>
      </c>
      <c r="J1112" s="165">
        <v>0.72083333333333333</v>
      </c>
      <c r="K1112" s="94">
        <v>900</v>
      </c>
      <c r="L1112" s="72" t="str">
        <f t="shared" si="17"/>
        <v>Payé</v>
      </c>
    </row>
    <row r="1113" spans="1:12" ht="15" customHeight="1" x14ac:dyDescent="0.25">
      <c r="A1113" s="90" t="s">
        <v>855</v>
      </c>
      <c r="B1113" s="90">
        <v>2694</v>
      </c>
      <c r="C1113" s="88" t="s">
        <v>547</v>
      </c>
      <c r="D1113" s="90" t="s">
        <v>17</v>
      </c>
      <c r="E1113" s="90" t="s">
        <v>123</v>
      </c>
      <c r="F1113" s="90" t="s">
        <v>855</v>
      </c>
      <c r="G1113" s="137">
        <v>2</v>
      </c>
      <c r="H1113" s="94">
        <v>180</v>
      </c>
      <c r="I1113" s="91">
        <v>45952</v>
      </c>
      <c r="J1113" s="165">
        <v>0.72083333333333333</v>
      </c>
      <c r="K1113" s="94">
        <v>180</v>
      </c>
      <c r="L1113" s="72" t="str">
        <f t="shared" si="17"/>
        <v>Payé</v>
      </c>
    </row>
    <row r="1114" spans="1:12" ht="15" customHeight="1" x14ac:dyDescent="0.25">
      <c r="A1114" s="90" t="s">
        <v>855</v>
      </c>
      <c r="B1114" s="90">
        <v>3409</v>
      </c>
      <c r="C1114" s="88" t="s">
        <v>559</v>
      </c>
      <c r="D1114" s="90" t="s">
        <v>17</v>
      </c>
      <c r="E1114" s="90" t="s">
        <v>123</v>
      </c>
      <c r="F1114" s="90" t="s">
        <v>855</v>
      </c>
      <c r="G1114" s="137">
        <v>12</v>
      </c>
      <c r="H1114" s="94">
        <v>1140</v>
      </c>
      <c r="I1114" s="91">
        <v>45952</v>
      </c>
      <c r="J1114" s="165">
        <v>0.72083333333333333</v>
      </c>
      <c r="K1114" s="94">
        <v>1140</v>
      </c>
      <c r="L1114" s="72" t="str">
        <f t="shared" si="17"/>
        <v>Payé</v>
      </c>
    </row>
    <row r="1115" spans="1:12" ht="15" customHeight="1" x14ac:dyDescent="0.25">
      <c r="A1115" s="90" t="s">
        <v>855</v>
      </c>
      <c r="B1115" s="90">
        <v>3793</v>
      </c>
      <c r="C1115" s="88" t="s">
        <v>572</v>
      </c>
      <c r="D1115" s="90" t="s">
        <v>17</v>
      </c>
      <c r="E1115" s="90" t="s">
        <v>123</v>
      </c>
      <c r="F1115" s="90" t="s">
        <v>855</v>
      </c>
      <c r="G1115" s="137">
        <v>13</v>
      </c>
      <c r="H1115" s="94">
        <v>1250</v>
      </c>
      <c r="I1115" s="91">
        <v>45952</v>
      </c>
      <c r="J1115" s="165">
        <v>0.72083333333333333</v>
      </c>
      <c r="K1115" s="94">
        <v>1250</v>
      </c>
      <c r="L1115" s="72" t="str">
        <f t="shared" si="17"/>
        <v>Payé</v>
      </c>
    </row>
    <row r="1116" spans="1:12" ht="15" customHeight="1" x14ac:dyDescent="0.25">
      <c r="A1116" s="90" t="s">
        <v>855</v>
      </c>
      <c r="B1116" s="90">
        <v>5258</v>
      </c>
      <c r="C1116" s="88" t="s">
        <v>893</v>
      </c>
      <c r="D1116" s="90" t="s">
        <v>17</v>
      </c>
      <c r="E1116" s="90" t="s">
        <v>123</v>
      </c>
      <c r="F1116" s="90" t="s">
        <v>855</v>
      </c>
      <c r="G1116" s="137">
        <v>12</v>
      </c>
      <c r="H1116" s="94">
        <v>1100</v>
      </c>
      <c r="I1116" s="91">
        <v>45952</v>
      </c>
      <c r="J1116" s="165">
        <v>0.72083333333333333</v>
      </c>
      <c r="K1116" s="94">
        <v>1100</v>
      </c>
      <c r="L1116" s="72" t="str">
        <f t="shared" si="17"/>
        <v>Payé</v>
      </c>
    </row>
    <row r="1117" spans="1:12" ht="15" customHeight="1" x14ac:dyDescent="0.25">
      <c r="A1117" s="90" t="s">
        <v>855</v>
      </c>
      <c r="B1117" s="90">
        <v>10045</v>
      </c>
      <c r="C1117" s="88" t="s">
        <v>1216</v>
      </c>
      <c r="D1117" s="90" t="s">
        <v>17</v>
      </c>
      <c r="E1117" s="90" t="s">
        <v>123</v>
      </c>
      <c r="F1117" s="90" t="s">
        <v>855</v>
      </c>
      <c r="G1117" s="137">
        <v>3</v>
      </c>
      <c r="H1117" s="94">
        <v>270</v>
      </c>
      <c r="I1117" s="91">
        <v>45952</v>
      </c>
      <c r="J1117" s="165">
        <v>0.72083333333333333</v>
      </c>
      <c r="K1117" s="94">
        <v>270</v>
      </c>
      <c r="L1117" s="72" t="str">
        <f t="shared" si="17"/>
        <v>Payé</v>
      </c>
    </row>
    <row r="1118" spans="1:12" ht="15" customHeight="1" x14ac:dyDescent="0.25">
      <c r="A1118" s="90" t="s">
        <v>855</v>
      </c>
      <c r="B1118" s="90" t="s">
        <v>585</v>
      </c>
      <c r="C1118" s="88" t="s">
        <v>585</v>
      </c>
      <c r="D1118" s="89" t="s">
        <v>910</v>
      </c>
      <c r="E1118" s="90" t="s">
        <v>123</v>
      </c>
      <c r="F1118" s="90" t="s">
        <v>855</v>
      </c>
      <c r="G1118" s="95">
        <v>125</v>
      </c>
      <c r="H1118" s="92">
        <v>3750</v>
      </c>
      <c r="I1118" s="91">
        <v>45952</v>
      </c>
      <c r="J1118" s="165">
        <v>0.72361111111111109</v>
      </c>
      <c r="K1118" s="92">
        <v>3750</v>
      </c>
      <c r="L1118" s="72" t="str">
        <f t="shared" ref="L1118:L1181" si="18">IF(ISBLANK(H1118),"",IF(H1118=K1118,"Payé","Impayé"))</f>
        <v>Payé</v>
      </c>
    </row>
    <row r="1119" spans="1:12" ht="15" customHeight="1" x14ac:dyDescent="0.25">
      <c r="A1119" s="90" t="s">
        <v>855</v>
      </c>
      <c r="B1119" s="90">
        <v>2589</v>
      </c>
      <c r="C1119" s="88" t="s">
        <v>973</v>
      </c>
      <c r="D1119" s="90" t="s">
        <v>17</v>
      </c>
      <c r="E1119" s="90" t="s">
        <v>254</v>
      </c>
      <c r="F1119" s="90" t="s">
        <v>855</v>
      </c>
      <c r="G1119" s="137">
        <v>7</v>
      </c>
      <c r="H1119" s="94">
        <v>650</v>
      </c>
      <c r="I1119" s="91">
        <v>45952</v>
      </c>
      <c r="J1119" s="165">
        <v>0.71180555555555547</v>
      </c>
      <c r="K1119" s="94">
        <v>650</v>
      </c>
      <c r="L1119" s="72" t="str">
        <f t="shared" si="18"/>
        <v>Payé</v>
      </c>
    </row>
    <row r="1120" spans="1:12" ht="15" customHeight="1" x14ac:dyDescent="0.25">
      <c r="A1120" s="90" t="s">
        <v>855</v>
      </c>
      <c r="B1120" s="90">
        <v>2750</v>
      </c>
      <c r="C1120" s="88" t="s">
        <v>1093</v>
      </c>
      <c r="D1120" s="90" t="s">
        <v>17</v>
      </c>
      <c r="E1120" s="90" t="s">
        <v>254</v>
      </c>
      <c r="F1120" s="90" t="s">
        <v>855</v>
      </c>
      <c r="G1120" s="137">
        <v>6</v>
      </c>
      <c r="H1120" s="94">
        <v>560</v>
      </c>
      <c r="I1120" s="91">
        <v>45966</v>
      </c>
      <c r="J1120" s="165">
        <v>0.43194444444444446</v>
      </c>
      <c r="K1120" s="94">
        <v>560</v>
      </c>
      <c r="L1120" s="72" t="str">
        <f t="shared" si="18"/>
        <v>Payé</v>
      </c>
    </row>
    <row r="1121" spans="1:12" ht="15" customHeight="1" x14ac:dyDescent="0.25">
      <c r="A1121" s="90" t="s">
        <v>855</v>
      </c>
      <c r="B1121" s="90">
        <v>2751</v>
      </c>
      <c r="C1121" s="88" t="s">
        <v>1117</v>
      </c>
      <c r="D1121" s="90" t="s">
        <v>17</v>
      </c>
      <c r="E1121" s="90" t="s">
        <v>254</v>
      </c>
      <c r="F1121" s="90" t="s">
        <v>855</v>
      </c>
      <c r="G1121" s="137">
        <v>9</v>
      </c>
      <c r="H1121" s="94">
        <v>810</v>
      </c>
      <c r="I1121" s="91">
        <v>45952</v>
      </c>
      <c r="J1121" s="165">
        <v>0.7090277777777777</v>
      </c>
      <c r="K1121" s="94">
        <v>810</v>
      </c>
      <c r="L1121" s="72" t="str">
        <f t="shared" si="18"/>
        <v>Payé</v>
      </c>
    </row>
    <row r="1122" spans="1:12" ht="15" customHeight="1" x14ac:dyDescent="0.25">
      <c r="A1122" s="90" t="s">
        <v>855</v>
      </c>
      <c r="B1122" s="90">
        <v>2953</v>
      </c>
      <c r="C1122" s="88" t="s">
        <v>1146</v>
      </c>
      <c r="D1122" s="90" t="s">
        <v>17</v>
      </c>
      <c r="E1122" s="90" t="s">
        <v>254</v>
      </c>
      <c r="F1122" s="90" t="s">
        <v>855</v>
      </c>
      <c r="G1122" s="137">
        <v>10</v>
      </c>
      <c r="H1122" s="94">
        <v>900</v>
      </c>
      <c r="I1122" s="91">
        <v>45952</v>
      </c>
      <c r="J1122" s="165">
        <v>0.7090277777777777</v>
      </c>
      <c r="K1122" s="94">
        <v>900</v>
      </c>
      <c r="L1122" s="72" t="str">
        <f t="shared" si="18"/>
        <v>Payé</v>
      </c>
    </row>
    <row r="1123" spans="1:12" ht="15" customHeight="1" x14ac:dyDescent="0.25">
      <c r="A1123" s="90" t="s">
        <v>855</v>
      </c>
      <c r="B1123" s="90">
        <v>3644</v>
      </c>
      <c r="C1123" s="88" t="s">
        <v>1060</v>
      </c>
      <c r="D1123" s="90" t="s">
        <v>17</v>
      </c>
      <c r="E1123" s="90" t="s">
        <v>254</v>
      </c>
      <c r="F1123" s="90" t="s">
        <v>855</v>
      </c>
      <c r="G1123" s="137">
        <v>3</v>
      </c>
      <c r="H1123" s="94">
        <v>270</v>
      </c>
      <c r="I1123" s="91">
        <v>45953</v>
      </c>
      <c r="J1123" s="165">
        <v>0.66805555555555562</v>
      </c>
      <c r="K1123" s="94">
        <v>270</v>
      </c>
      <c r="L1123" s="72" t="str">
        <f t="shared" si="18"/>
        <v>Payé</v>
      </c>
    </row>
    <row r="1124" spans="1:12" ht="15" customHeight="1" x14ac:dyDescent="0.25">
      <c r="A1124" s="90" t="s">
        <v>855</v>
      </c>
      <c r="B1124" s="90">
        <v>4759</v>
      </c>
      <c r="C1124" s="88" t="s">
        <v>1150</v>
      </c>
      <c r="D1124" s="90" t="s">
        <v>17</v>
      </c>
      <c r="E1124" s="90" t="s">
        <v>254</v>
      </c>
      <c r="F1124" s="90" t="s">
        <v>855</v>
      </c>
      <c r="G1124" s="137">
        <v>11</v>
      </c>
      <c r="H1124" s="94">
        <v>1110</v>
      </c>
      <c r="I1124" s="91">
        <v>45952</v>
      </c>
      <c r="J1124" s="165">
        <v>0.7090277777777777</v>
      </c>
      <c r="K1124" s="94">
        <v>1110</v>
      </c>
      <c r="L1124" s="72" t="str">
        <f t="shared" si="18"/>
        <v>Payé</v>
      </c>
    </row>
    <row r="1125" spans="1:12" ht="15" customHeight="1" x14ac:dyDescent="0.25">
      <c r="A1125" s="90" t="s">
        <v>855</v>
      </c>
      <c r="B1125" s="90">
        <v>3518</v>
      </c>
      <c r="C1125" s="88" t="s">
        <v>1061</v>
      </c>
      <c r="D1125" s="90" t="s">
        <v>17</v>
      </c>
      <c r="E1125" s="90" t="s">
        <v>254</v>
      </c>
      <c r="F1125" s="90" t="s">
        <v>855</v>
      </c>
      <c r="G1125" s="137">
        <v>13</v>
      </c>
      <c r="H1125" s="94">
        <v>1230</v>
      </c>
      <c r="I1125" s="91">
        <v>45952</v>
      </c>
      <c r="J1125" s="165">
        <v>0.7090277777777777</v>
      </c>
      <c r="K1125" s="94">
        <v>1230</v>
      </c>
      <c r="L1125" s="72" t="str">
        <f t="shared" si="18"/>
        <v>Payé</v>
      </c>
    </row>
    <row r="1126" spans="1:12" ht="15" customHeight="1" x14ac:dyDescent="0.25">
      <c r="A1126" s="90" t="s">
        <v>855</v>
      </c>
      <c r="B1126" s="90">
        <v>5356</v>
      </c>
      <c r="C1126" s="88" t="s">
        <v>993</v>
      </c>
      <c r="D1126" s="90" t="s">
        <v>17</v>
      </c>
      <c r="E1126" s="90" t="s">
        <v>254</v>
      </c>
      <c r="F1126" s="90" t="s">
        <v>855</v>
      </c>
      <c r="G1126" s="137">
        <v>1</v>
      </c>
      <c r="H1126" s="94">
        <v>90</v>
      </c>
      <c r="I1126" s="91">
        <v>45958</v>
      </c>
      <c r="J1126" s="165">
        <v>0.61319444444444449</v>
      </c>
      <c r="K1126" s="94">
        <v>90</v>
      </c>
      <c r="L1126" s="72" t="str">
        <f t="shared" si="18"/>
        <v>Payé</v>
      </c>
    </row>
    <row r="1127" spans="1:12" ht="15" customHeight="1" x14ac:dyDescent="0.25">
      <c r="A1127" s="90" t="s">
        <v>855</v>
      </c>
      <c r="B1127" s="90">
        <v>5359</v>
      </c>
      <c r="C1127" s="88" t="s">
        <v>1059</v>
      </c>
      <c r="D1127" s="90" t="s">
        <v>17</v>
      </c>
      <c r="E1127" s="90" t="s">
        <v>254</v>
      </c>
      <c r="F1127" s="90" t="s">
        <v>855</v>
      </c>
      <c r="G1127" s="137">
        <v>4</v>
      </c>
      <c r="H1127" s="94">
        <v>360</v>
      </c>
      <c r="I1127" s="91">
        <v>45953</v>
      </c>
      <c r="J1127" s="165">
        <v>0.58333333333333337</v>
      </c>
      <c r="K1127" s="94">
        <v>360</v>
      </c>
      <c r="L1127" s="72" t="str">
        <f t="shared" si="18"/>
        <v>Payé</v>
      </c>
    </row>
    <row r="1128" spans="1:12" ht="15" customHeight="1" x14ac:dyDescent="0.25">
      <c r="A1128" s="90" t="s">
        <v>855</v>
      </c>
      <c r="B1128" s="90">
        <v>10034</v>
      </c>
      <c r="C1128" s="88" t="s">
        <v>1180</v>
      </c>
      <c r="D1128" s="90" t="s">
        <v>17</v>
      </c>
      <c r="E1128" s="90" t="s">
        <v>254</v>
      </c>
      <c r="F1128" s="90" t="s">
        <v>855</v>
      </c>
      <c r="G1128" s="137">
        <v>7</v>
      </c>
      <c r="H1128" s="94">
        <v>650</v>
      </c>
      <c r="I1128" s="91">
        <v>45952</v>
      </c>
      <c r="J1128" s="165">
        <v>0.71180555555555547</v>
      </c>
      <c r="K1128" s="94">
        <v>650</v>
      </c>
      <c r="L1128" s="72" t="str">
        <f t="shared" si="18"/>
        <v>Payé</v>
      </c>
    </row>
    <row r="1129" spans="1:12" ht="15" customHeight="1" x14ac:dyDescent="0.25">
      <c r="A1129" s="90" t="s">
        <v>855</v>
      </c>
      <c r="B1129" s="90">
        <v>10064</v>
      </c>
      <c r="C1129" s="88" t="s">
        <v>1228</v>
      </c>
      <c r="D1129" s="90" t="s">
        <v>17</v>
      </c>
      <c r="E1129" s="90" t="s">
        <v>254</v>
      </c>
      <c r="F1129" s="90" t="s">
        <v>855</v>
      </c>
      <c r="G1129" s="137">
        <v>1</v>
      </c>
      <c r="H1129" s="94">
        <v>90</v>
      </c>
      <c r="I1129" s="91">
        <v>45958</v>
      </c>
      <c r="J1129" s="165">
        <v>0.61319444444444449</v>
      </c>
      <c r="K1129" s="94">
        <v>90</v>
      </c>
      <c r="L1129" s="72" t="str">
        <f t="shared" si="18"/>
        <v>Payé</v>
      </c>
    </row>
    <row r="1130" spans="1:12" ht="15" customHeight="1" x14ac:dyDescent="0.25">
      <c r="A1130" s="90" t="s">
        <v>855</v>
      </c>
      <c r="B1130" s="90">
        <v>10065</v>
      </c>
      <c r="C1130" s="88" t="s">
        <v>1229</v>
      </c>
      <c r="D1130" s="90" t="s">
        <v>17</v>
      </c>
      <c r="E1130" s="90" t="s">
        <v>254</v>
      </c>
      <c r="F1130" s="90" t="s">
        <v>855</v>
      </c>
      <c r="G1130" s="137">
        <v>2</v>
      </c>
      <c r="H1130" s="94">
        <v>180</v>
      </c>
      <c r="I1130" s="91">
        <v>45952</v>
      </c>
      <c r="J1130" s="165">
        <v>0.7090277777777777</v>
      </c>
      <c r="K1130" s="94">
        <v>180</v>
      </c>
      <c r="L1130" s="72" t="str">
        <f t="shared" si="18"/>
        <v>Payé</v>
      </c>
    </row>
    <row r="1131" spans="1:12" ht="15" customHeight="1" x14ac:dyDescent="0.25">
      <c r="A1131" s="90" t="s">
        <v>855</v>
      </c>
      <c r="B1131" s="90">
        <v>10068</v>
      </c>
      <c r="C1131" s="88" t="s">
        <v>1231</v>
      </c>
      <c r="D1131" s="90" t="s">
        <v>17</v>
      </c>
      <c r="E1131" s="90" t="s">
        <v>254</v>
      </c>
      <c r="F1131" s="90" t="s">
        <v>855</v>
      </c>
      <c r="G1131" s="137">
        <v>1</v>
      </c>
      <c r="H1131" s="94">
        <v>90</v>
      </c>
      <c r="I1131" s="91">
        <v>45953</v>
      </c>
      <c r="J1131" s="165">
        <v>0.66805555555555562</v>
      </c>
      <c r="K1131" s="94">
        <v>90</v>
      </c>
      <c r="L1131" s="72" t="str">
        <f t="shared" si="18"/>
        <v>Payé</v>
      </c>
    </row>
    <row r="1132" spans="1:12" ht="15" customHeight="1" x14ac:dyDescent="0.25">
      <c r="A1132" s="90" t="s">
        <v>855</v>
      </c>
      <c r="B1132" s="90">
        <v>2885</v>
      </c>
      <c r="C1132" s="88" t="s">
        <v>1122</v>
      </c>
      <c r="D1132" s="90" t="s">
        <v>17</v>
      </c>
      <c r="E1132" s="90" t="s">
        <v>254</v>
      </c>
      <c r="F1132" s="90" t="s">
        <v>855</v>
      </c>
      <c r="G1132" s="90">
        <v>11</v>
      </c>
      <c r="H1132" s="90">
        <v>1010</v>
      </c>
      <c r="I1132" s="91">
        <v>45952</v>
      </c>
      <c r="J1132" s="165">
        <v>0.7090277777777777</v>
      </c>
      <c r="K1132" s="90">
        <v>1010</v>
      </c>
      <c r="L1132" s="72" t="str">
        <f t="shared" si="18"/>
        <v>Payé</v>
      </c>
    </row>
    <row r="1133" spans="1:12" ht="15" customHeight="1" x14ac:dyDescent="0.25">
      <c r="A1133" s="90" t="s">
        <v>855</v>
      </c>
      <c r="B1133" s="90">
        <v>2497</v>
      </c>
      <c r="C1133" s="88" t="s">
        <v>330</v>
      </c>
      <c r="D1133" s="90" t="s">
        <v>17</v>
      </c>
      <c r="E1133" s="90" t="s">
        <v>254</v>
      </c>
      <c r="F1133" s="90" t="s">
        <v>855</v>
      </c>
      <c r="G1133" s="90">
        <v>11</v>
      </c>
      <c r="H1133" s="90">
        <v>1029</v>
      </c>
      <c r="I1133" s="91">
        <v>45952</v>
      </c>
      <c r="J1133" s="165">
        <v>0.7090277777777777</v>
      </c>
      <c r="K1133" s="90">
        <v>1029</v>
      </c>
      <c r="L1133" s="72" t="str">
        <f t="shared" si="18"/>
        <v>Payé</v>
      </c>
    </row>
    <row r="1134" spans="1:12" ht="15" customHeight="1" x14ac:dyDescent="0.25">
      <c r="A1134" s="90" t="s">
        <v>855</v>
      </c>
      <c r="B1134" s="90" t="s">
        <v>1188</v>
      </c>
      <c r="C1134" s="88" t="s">
        <v>1188</v>
      </c>
      <c r="D1134" s="89" t="s">
        <v>910</v>
      </c>
      <c r="E1134" s="90" t="s">
        <v>254</v>
      </c>
      <c r="F1134" s="90" t="s">
        <v>855</v>
      </c>
      <c r="G1134" s="95">
        <v>149</v>
      </c>
      <c r="H1134" s="92">
        <v>4470</v>
      </c>
      <c r="I1134" s="91">
        <v>45952</v>
      </c>
      <c r="J1134" s="165">
        <v>0.71388888888888891</v>
      </c>
      <c r="K1134" s="92">
        <v>4470</v>
      </c>
      <c r="L1134" s="72" t="str">
        <f t="shared" si="18"/>
        <v>Payé</v>
      </c>
    </row>
    <row r="1135" spans="1:12" ht="15" customHeight="1" x14ac:dyDescent="0.25">
      <c r="A1135" s="90" t="s">
        <v>855</v>
      </c>
      <c r="B1135" s="90" t="s">
        <v>406</v>
      </c>
      <c r="C1135" s="88" t="s">
        <v>406</v>
      </c>
      <c r="D1135" s="89" t="s">
        <v>910</v>
      </c>
      <c r="E1135" s="90" t="s">
        <v>1191</v>
      </c>
      <c r="F1135" s="90" t="s">
        <v>855</v>
      </c>
      <c r="G1135" s="95">
        <v>109</v>
      </c>
      <c r="H1135" s="92">
        <v>3270</v>
      </c>
      <c r="I1135" s="91">
        <v>45953</v>
      </c>
      <c r="J1135" s="165">
        <v>0.42222222222222222</v>
      </c>
      <c r="K1135" s="92">
        <v>3270</v>
      </c>
      <c r="L1135" s="72" t="str">
        <f t="shared" si="18"/>
        <v>Payé</v>
      </c>
    </row>
    <row r="1136" spans="1:12" ht="15" customHeight="1" x14ac:dyDescent="0.25">
      <c r="A1136" s="90" t="s">
        <v>855</v>
      </c>
      <c r="B1136" s="90">
        <v>5136</v>
      </c>
      <c r="C1136" s="88" t="s">
        <v>1067</v>
      </c>
      <c r="D1136" s="90" t="s">
        <v>17</v>
      </c>
      <c r="E1136" s="90" t="s">
        <v>1104</v>
      </c>
      <c r="F1136" s="90" t="s">
        <v>855</v>
      </c>
      <c r="G1136" s="137">
        <v>15</v>
      </c>
      <c r="H1136" s="94">
        <v>1350</v>
      </c>
      <c r="I1136" s="91">
        <v>45952</v>
      </c>
      <c r="J1136" s="165">
        <v>0.73541666666666661</v>
      </c>
      <c r="K1136" s="94">
        <v>1350</v>
      </c>
      <c r="L1136" s="72" t="str">
        <f t="shared" si="18"/>
        <v>Payé</v>
      </c>
    </row>
    <row r="1137" spans="1:12" ht="15" customHeight="1" x14ac:dyDescent="0.25">
      <c r="A1137" s="90" t="s">
        <v>855</v>
      </c>
      <c r="B1137" s="90">
        <v>5305</v>
      </c>
      <c r="C1137" s="88" t="s">
        <v>1016</v>
      </c>
      <c r="D1137" s="90" t="s">
        <v>17</v>
      </c>
      <c r="E1137" s="90" t="s">
        <v>1104</v>
      </c>
      <c r="F1137" s="90" t="s">
        <v>855</v>
      </c>
      <c r="G1137" s="137">
        <v>10</v>
      </c>
      <c r="H1137" s="94">
        <v>900</v>
      </c>
      <c r="I1137" s="91">
        <v>45952</v>
      </c>
      <c r="J1137" s="165">
        <v>0.73541666666666661</v>
      </c>
      <c r="K1137" s="94">
        <v>900</v>
      </c>
      <c r="L1137" s="72" t="str">
        <f t="shared" si="18"/>
        <v>Payé</v>
      </c>
    </row>
    <row r="1138" spans="1:12" ht="15" customHeight="1" x14ac:dyDescent="0.25">
      <c r="A1138" s="90" t="s">
        <v>855</v>
      </c>
      <c r="B1138" s="90">
        <v>5355</v>
      </c>
      <c r="C1138" s="88" t="s">
        <v>1090</v>
      </c>
      <c r="D1138" s="90" t="s">
        <v>17</v>
      </c>
      <c r="E1138" s="90" t="s">
        <v>1104</v>
      </c>
      <c r="F1138" s="90" t="s">
        <v>855</v>
      </c>
      <c r="G1138" s="137">
        <v>10</v>
      </c>
      <c r="H1138" s="94">
        <v>900</v>
      </c>
      <c r="I1138" s="91">
        <v>45952</v>
      </c>
      <c r="J1138" s="165">
        <v>0.73541666666666661</v>
      </c>
      <c r="K1138" s="94">
        <v>900</v>
      </c>
      <c r="L1138" s="72" t="str">
        <f t="shared" si="18"/>
        <v>Payé</v>
      </c>
    </row>
    <row r="1139" spans="1:12" ht="15" customHeight="1" x14ac:dyDescent="0.25">
      <c r="A1139" s="90" t="s">
        <v>855</v>
      </c>
      <c r="B1139" s="90">
        <v>10017</v>
      </c>
      <c r="C1139" s="88" t="s">
        <v>1164</v>
      </c>
      <c r="D1139" s="90" t="s">
        <v>17</v>
      </c>
      <c r="E1139" s="90" t="s">
        <v>1104</v>
      </c>
      <c r="F1139" s="90" t="s">
        <v>855</v>
      </c>
      <c r="G1139" s="137">
        <v>8</v>
      </c>
      <c r="H1139" s="94">
        <v>720</v>
      </c>
      <c r="I1139" s="91">
        <v>45953</v>
      </c>
      <c r="J1139" s="165">
        <v>0.58333333333333337</v>
      </c>
      <c r="K1139" s="94">
        <v>720</v>
      </c>
      <c r="L1139" s="72" t="str">
        <f t="shared" si="18"/>
        <v>Payé</v>
      </c>
    </row>
    <row r="1140" spans="1:12" ht="15" customHeight="1" x14ac:dyDescent="0.25">
      <c r="A1140" s="90" t="s">
        <v>855</v>
      </c>
      <c r="B1140" s="90">
        <v>10026</v>
      </c>
      <c r="C1140" s="88" t="s">
        <v>1172</v>
      </c>
      <c r="D1140" s="90" t="s">
        <v>17</v>
      </c>
      <c r="E1140" s="90" t="s">
        <v>1104</v>
      </c>
      <c r="F1140" s="90" t="s">
        <v>855</v>
      </c>
      <c r="G1140" s="137">
        <v>2</v>
      </c>
      <c r="H1140" s="94">
        <v>190</v>
      </c>
      <c r="I1140" s="91">
        <v>45952</v>
      </c>
      <c r="J1140" s="165">
        <v>0.61388888888888882</v>
      </c>
      <c r="K1140" s="94">
        <v>190</v>
      </c>
      <c r="L1140" s="72" t="str">
        <f t="shared" si="18"/>
        <v>Payé</v>
      </c>
    </row>
    <row r="1141" spans="1:12" ht="15" customHeight="1" x14ac:dyDescent="0.25">
      <c r="A1141" s="90" t="s">
        <v>855</v>
      </c>
      <c r="B1141" s="90">
        <v>10027</v>
      </c>
      <c r="C1141" s="88" t="s">
        <v>1173</v>
      </c>
      <c r="D1141" s="90" t="s">
        <v>17</v>
      </c>
      <c r="E1141" s="90" t="s">
        <v>1104</v>
      </c>
      <c r="F1141" s="90" t="s">
        <v>855</v>
      </c>
      <c r="G1141" s="137">
        <v>8</v>
      </c>
      <c r="H1141" s="94">
        <v>720</v>
      </c>
      <c r="I1141" s="91">
        <v>45952</v>
      </c>
      <c r="J1141" s="165">
        <v>0.66111111111111109</v>
      </c>
      <c r="K1141" s="94">
        <v>720</v>
      </c>
      <c r="L1141" s="72" t="str">
        <f t="shared" si="18"/>
        <v>Payé</v>
      </c>
    </row>
    <row r="1142" spans="1:12" ht="15" customHeight="1" x14ac:dyDescent="0.25">
      <c r="A1142" s="90" t="s">
        <v>855</v>
      </c>
      <c r="B1142" s="90">
        <v>10028</v>
      </c>
      <c r="C1142" s="88" t="s">
        <v>1174</v>
      </c>
      <c r="D1142" s="90" t="s">
        <v>17</v>
      </c>
      <c r="E1142" s="90" t="s">
        <v>1104</v>
      </c>
      <c r="F1142" s="90" t="s">
        <v>855</v>
      </c>
      <c r="G1142" s="137">
        <v>4</v>
      </c>
      <c r="H1142" s="94">
        <v>380</v>
      </c>
      <c r="I1142" s="91">
        <v>45952</v>
      </c>
      <c r="J1142" s="165">
        <v>0.61388888888888882</v>
      </c>
      <c r="K1142" s="94">
        <v>380</v>
      </c>
      <c r="L1142" s="72" t="str">
        <f t="shared" si="18"/>
        <v>Payé</v>
      </c>
    </row>
    <row r="1143" spans="1:12" ht="15" customHeight="1" x14ac:dyDescent="0.25">
      <c r="A1143" s="90" t="s">
        <v>855</v>
      </c>
      <c r="B1143" s="90">
        <v>10043</v>
      </c>
      <c r="C1143" s="88" t="s">
        <v>1214</v>
      </c>
      <c r="D1143" s="90" t="s">
        <v>17</v>
      </c>
      <c r="E1143" s="90" t="s">
        <v>1104</v>
      </c>
      <c r="F1143" s="90" t="s">
        <v>855</v>
      </c>
      <c r="G1143" s="137">
        <v>4</v>
      </c>
      <c r="H1143" s="94">
        <v>360</v>
      </c>
      <c r="I1143" s="91">
        <v>45952</v>
      </c>
      <c r="J1143" s="165">
        <v>0.73541666666666661</v>
      </c>
      <c r="K1143" s="94">
        <v>360</v>
      </c>
      <c r="L1143" s="72" t="str">
        <f t="shared" si="18"/>
        <v>Payé</v>
      </c>
    </row>
    <row r="1144" spans="1:12" ht="15" customHeight="1" x14ac:dyDescent="0.25">
      <c r="A1144" s="90" t="s">
        <v>855</v>
      </c>
      <c r="B1144" s="90">
        <v>10044</v>
      </c>
      <c r="C1144" s="88" t="s">
        <v>1215</v>
      </c>
      <c r="D1144" s="90" t="s">
        <v>17</v>
      </c>
      <c r="E1144" s="90" t="s">
        <v>1104</v>
      </c>
      <c r="F1144" s="90" t="s">
        <v>855</v>
      </c>
      <c r="G1144" s="137">
        <v>10</v>
      </c>
      <c r="H1144" s="94">
        <v>900</v>
      </c>
      <c r="I1144" s="91">
        <v>45952</v>
      </c>
      <c r="J1144" s="165">
        <v>0.73541666666666661</v>
      </c>
      <c r="K1144" s="94">
        <v>900</v>
      </c>
      <c r="L1144" s="72" t="str">
        <f t="shared" si="18"/>
        <v>Payé</v>
      </c>
    </row>
    <row r="1145" spans="1:12" ht="15" customHeight="1" x14ac:dyDescent="0.25">
      <c r="A1145" s="90" t="s">
        <v>855</v>
      </c>
      <c r="B1145" s="90">
        <v>10048</v>
      </c>
      <c r="C1145" s="88" t="s">
        <v>1218</v>
      </c>
      <c r="D1145" s="90" t="s">
        <v>17</v>
      </c>
      <c r="E1145" s="90" t="s">
        <v>1104</v>
      </c>
      <c r="F1145" s="90" t="s">
        <v>855</v>
      </c>
      <c r="G1145" s="137">
        <v>14</v>
      </c>
      <c r="H1145" s="94">
        <v>1330</v>
      </c>
      <c r="I1145" s="91">
        <v>45952</v>
      </c>
      <c r="J1145" s="165">
        <v>0.73541666666666661</v>
      </c>
      <c r="K1145" s="94">
        <v>1330</v>
      </c>
      <c r="L1145" s="72" t="str">
        <f t="shared" si="18"/>
        <v>Payé</v>
      </c>
    </row>
    <row r="1146" spans="1:12" ht="15" customHeight="1" x14ac:dyDescent="0.25">
      <c r="A1146" s="90" t="s">
        <v>855</v>
      </c>
      <c r="B1146" s="90">
        <v>10049</v>
      </c>
      <c r="C1146" s="88" t="s">
        <v>1219</v>
      </c>
      <c r="D1146" s="90" t="s">
        <v>17</v>
      </c>
      <c r="E1146" s="90" t="s">
        <v>1104</v>
      </c>
      <c r="F1146" s="90" t="s">
        <v>855</v>
      </c>
      <c r="G1146" s="137">
        <v>13</v>
      </c>
      <c r="H1146" s="94">
        <v>1170</v>
      </c>
      <c r="I1146" s="91">
        <v>45952</v>
      </c>
      <c r="J1146" s="165">
        <v>0.73541666666666661</v>
      </c>
      <c r="K1146" s="94">
        <v>1170</v>
      </c>
      <c r="L1146" s="72" t="str">
        <f t="shared" si="18"/>
        <v>Payé</v>
      </c>
    </row>
    <row r="1147" spans="1:12" ht="15" customHeight="1" x14ac:dyDescent="0.25">
      <c r="A1147" s="90" t="s">
        <v>855</v>
      </c>
      <c r="B1147" s="90">
        <v>10054</v>
      </c>
      <c r="C1147" s="88" t="s">
        <v>1222</v>
      </c>
      <c r="D1147" s="90" t="s">
        <v>17</v>
      </c>
      <c r="E1147" s="90" t="s">
        <v>1104</v>
      </c>
      <c r="F1147" s="90" t="s">
        <v>855</v>
      </c>
      <c r="G1147" s="137">
        <v>9</v>
      </c>
      <c r="H1147" s="94">
        <v>810</v>
      </c>
      <c r="I1147" s="91">
        <v>45952</v>
      </c>
      <c r="J1147" s="165">
        <v>0.73541666666666661</v>
      </c>
      <c r="K1147" s="94">
        <v>810</v>
      </c>
      <c r="L1147" s="72" t="str">
        <f t="shared" si="18"/>
        <v>Payé</v>
      </c>
    </row>
    <row r="1148" spans="1:12" ht="15" customHeight="1" x14ac:dyDescent="0.25">
      <c r="A1148" s="90" t="s">
        <v>855</v>
      </c>
      <c r="B1148" s="90">
        <v>10066</v>
      </c>
      <c r="C1148" s="88" t="s">
        <v>1230</v>
      </c>
      <c r="D1148" s="90" t="s">
        <v>17</v>
      </c>
      <c r="E1148" s="90" t="s">
        <v>1104</v>
      </c>
      <c r="F1148" s="90" t="s">
        <v>855</v>
      </c>
      <c r="G1148" s="137">
        <v>2</v>
      </c>
      <c r="H1148" s="94">
        <v>180</v>
      </c>
      <c r="I1148" s="91">
        <v>45953</v>
      </c>
      <c r="J1148" s="165">
        <v>0.69166666666666676</v>
      </c>
      <c r="K1148" s="94">
        <v>180</v>
      </c>
      <c r="L1148" s="72" t="str">
        <f t="shared" si="18"/>
        <v>Payé</v>
      </c>
    </row>
    <row r="1149" spans="1:12" ht="15" customHeight="1" x14ac:dyDescent="0.25">
      <c r="A1149" s="90" t="s">
        <v>855</v>
      </c>
      <c r="B1149" s="90">
        <v>231</v>
      </c>
      <c r="C1149" s="88" t="s">
        <v>628</v>
      </c>
      <c r="D1149" s="90" t="s">
        <v>17</v>
      </c>
      <c r="E1149" s="90" t="s">
        <v>628</v>
      </c>
      <c r="F1149" s="90" t="s">
        <v>855</v>
      </c>
      <c r="G1149" s="137">
        <v>2</v>
      </c>
      <c r="H1149" s="94">
        <v>182</v>
      </c>
      <c r="I1149" s="91">
        <v>45954</v>
      </c>
      <c r="J1149" s="165">
        <v>0.62013888888888891</v>
      </c>
      <c r="K1149" s="94">
        <v>182</v>
      </c>
      <c r="L1149" s="72" t="str">
        <f t="shared" si="18"/>
        <v>Payé</v>
      </c>
    </row>
    <row r="1150" spans="1:12" ht="15" customHeight="1" x14ac:dyDescent="0.25">
      <c r="A1150" s="90" t="s">
        <v>855</v>
      </c>
      <c r="B1150" s="90">
        <v>3260</v>
      </c>
      <c r="C1150" s="88" t="s">
        <v>1119</v>
      </c>
      <c r="D1150" s="90" t="s">
        <v>17</v>
      </c>
      <c r="E1150" s="90" t="s">
        <v>628</v>
      </c>
      <c r="F1150" s="90" t="s">
        <v>855</v>
      </c>
      <c r="G1150" s="137">
        <v>11</v>
      </c>
      <c r="H1150" s="94">
        <v>1090</v>
      </c>
      <c r="I1150" s="91">
        <v>45954</v>
      </c>
      <c r="J1150" s="165">
        <v>0.62013888888888891</v>
      </c>
      <c r="K1150" s="94">
        <v>1090</v>
      </c>
      <c r="L1150" s="72" t="str">
        <f t="shared" si="18"/>
        <v>Payé</v>
      </c>
    </row>
    <row r="1151" spans="1:12" ht="15" customHeight="1" x14ac:dyDescent="0.25">
      <c r="A1151" s="90" t="s">
        <v>855</v>
      </c>
      <c r="B1151" s="90">
        <v>3486</v>
      </c>
      <c r="C1151" s="88" t="s">
        <v>980</v>
      </c>
      <c r="D1151" s="90" t="s">
        <v>17</v>
      </c>
      <c r="E1151" s="90" t="s">
        <v>628</v>
      </c>
      <c r="F1151" s="90" t="s">
        <v>855</v>
      </c>
      <c r="G1151" s="137">
        <v>11</v>
      </c>
      <c r="H1151" s="94">
        <v>1090</v>
      </c>
      <c r="I1151" s="91">
        <v>45954</v>
      </c>
      <c r="J1151" s="165">
        <v>0.62013888888888891</v>
      </c>
      <c r="K1151" s="94">
        <v>1090</v>
      </c>
      <c r="L1151" s="72" t="str">
        <f t="shared" si="18"/>
        <v>Payé</v>
      </c>
    </row>
    <row r="1152" spans="1:12" ht="15" customHeight="1" x14ac:dyDescent="0.25">
      <c r="A1152" s="90" t="s">
        <v>855</v>
      </c>
      <c r="B1152" s="90">
        <v>3590</v>
      </c>
      <c r="C1152" s="88" t="s">
        <v>425</v>
      </c>
      <c r="D1152" s="90" t="s">
        <v>17</v>
      </c>
      <c r="E1152" s="90" t="s">
        <v>628</v>
      </c>
      <c r="F1152" s="90" t="s">
        <v>855</v>
      </c>
      <c r="G1152" s="137">
        <v>10</v>
      </c>
      <c r="H1152" s="94">
        <v>1269</v>
      </c>
      <c r="I1152" s="91">
        <v>45954</v>
      </c>
      <c r="J1152" s="165">
        <v>0.62013888888888891</v>
      </c>
      <c r="K1152" s="94">
        <v>1269</v>
      </c>
      <c r="L1152" s="72" t="str">
        <f t="shared" si="18"/>
        <v>Payé</v>
      </c>
    </row>
    <row r="1153" spans="1:12" ht="15" customHeight="1" x14ac:dyDescent="0.25">
      <c r="A1153" s="90" t="s">
        <v>855</v>
      </c>
      <c r="B1153" s="90">
        <v>4333</v>
      </c>
      <c r="C1153" s="88" t="s">
        <v>706</v>
      </c>
      <c r="D1153" s="90" t="s">
        <v>17</v>
      </c>
      <c r="E1153" s="90" t="s">
        <v>628</v>
      </c>
      <c r="F1153" s="90" t="s">
        <v>855</v>
      </c>
      <c r="G1153" s="137">
        <v>14</v>
      </c>
      <c r="H1153" s="94">
        <v>1280</v>
      </c>
      <c r="I1153" s="91">
        <v>45954</v>
      </c>
      <c r="J1153" s="165">
        <v>0.62013888888888891</v>
      </c>
      <c r="K1153" s="94">
        <v>1280</v>
      </c>
      <c r="L1153" s="72" t="str">
        <f t="shared" si="18"/>
        <v>Payé</v>
      </c>
    </row>
    <row r="1154" spans="1:12" ht="15" customHeight="1" x14ac:dyDescent="0.25">
      <c r="A1154" s="90" t="s">
        <v>855</v>
      </c>
      <c r="B1154" s="90">
        <v>4334</v>
      </c>
      <c r="C1154" s="88" t="s">
        <v>622</v>
      </c>
      <c r="D1154" s="90" t="s">
        <v>17</v>
      </c>
      <c r="E1154" s="90" t="s">
        <v>628</v>
      </c>
      <c r="F1154" s="90" t="s">
        <v>855</v>
      </c>
      <c r="G1154" s="137">
        <v>13</v>
      </c>
      <c r="H1154" s="94">
        <v>1530</v>
      </c>
      <c r="I1154" s="91">
        <v>45954</v>
      </c>
      <c r="J1154" s="165">
        <v>0.62013888888888891</v>
      </c>
      <c r="K1154" s="94">
        <v>1530</v>
      </c>
      <c r="L1154" s="72" t="str">
        <f t="shared" si="18"/>
        <v>Payé</v>
      </c>
    </row>
    <row r="1155" spans="1:12" ht="15" customHeight="1" x14ac:dyDescent="0.25">
      <c r="A1155" s="90" t="s">
        <v>855</v>
      </c>
      <c r="B1155" s="90">
        <v>4801</v>
      </c>
      <c r="C1155" s="88" t="s">
        <v>990</v>
      </c>
      <c r="D1155" s="90" t="s">
        <v>17</v>
      </c>
      <c r="E1155" s="90" t="s">
        <v>628</v>
      </c>
      <c r="F1155" s="90" t="s">
        <v>855</v>
      </c>
      <c r="G1155" s="137">
        <v>1</v>
      </c>
      <c r="H1155" s="94">
        <v>90</v>
      </c>
      <c r="I1155" s="91">
        <v>45954</v>
      </c>
      <c r="J1155" s="165">
        <v>0.62013888888888891</v>
      </c>
      <c r="K1155" s="94">
        <v>90</v>
      </c>
      <c r="L1155" s="72" t="str">
        <f t="shared" si="18"/>
        <v>Payé</v>
      </c>
    </row>
    <row r="1156" spans="1:12" ht="15" customHeight="1" x14ac:dyDescent="0.25">
      <c r="A1156" s="90" t="s">
        <v>855</v>
      </c>
      <c r="B1156" s="90">
        <v>5123</v>
      </c>
      <c r="C1156" s="88" t="s">
        <v>827</v>
      </c>
      <c r="D1156" s="90" t="s">
        <v>17</v>
      </c>
      <c r="E1156" s="90" t="s">
        <v>628</v>
      </c>
      <c r="F1156" s="90" t="s">
        <v>855</v>
      </c>
      <c r="G1156" s="137">
        <v>13</v>
      </c>
      <c r="H1156" s="94">
        <v>1250</v>
      </c>
      <c r="I1156" s="91">
        <v>45954</v>
      </c>
      <c r="J1156" s="165">
        <v>0.62013888888888891</v>
      </c>
      <c r="K1156" s="94">
        <v>1250</v>
      </c>
      <c r="L1156" s="72" t="str">
        <f t="shared" si="18"/>
        <v>Payé</v>
      </c>
    </row>
    <row r="1157" spans="1:12" ht="15" customHeight="1" x14ac:dyDescent="0.25">
      <c r="A1157" s="90" t="s">
        <v>855</v>
      </c>
      <c r="B1157" s="90">
        <v>6034</v>
      </c>
      <c r="C1157" s="88" t="s">
        <v>1152</v>
      </c>
      <c r="D1157" s="90" t="s">
        <v>17</v>
      </c>
      <c r="E1157" s="90" t="s">
        <v>628</v>
      </c>
      <c r="F1157" s="90" t="s">
        <v>855</v>
      </c>
      <c r="G1157" s="137">
        <v>5</v>
      </c>
      <c r="H1157" s="94">
        <v>450</v>
      </c>
      <c r="I1157" s="91">
        <v>45954</v>
      </c>
      <c r="J1157" s="165">
        <v>0.62013888888888891</v>
      </c>
      <c r="K1157" s="94">
        <v>450</v>
      </c>
      <c r="L1157" s="72" t="str">
        <f t="shared" si="18"/>
        <v>Payé</v>
      </c>
    </row>
    <row r="1158" spans="1:12" ht="15" customHeight="1" x14ac:dyDescent="0.25">
      <c r="A1158" s="90" t="s">
        <v>855</v>
      </c>
      <c r="B1158" s="90">
        <v>8022</v>
      </c>
      <c r="C1158" s="88" t="s">
        <v>707</v>
      </c>
      <c r="D1158" s="90" t="s">
        <v>17</v>
      </c>
      <c r="E1158" s="90" t="s">
        <v>628</v>
      </c>
      <c r="F1158" s="90" t="s">
        <v>855</v>
      </c>
      <c r="G1158" s="137">
        <v>10</v>
      </c>
      <c r="H1158" s="94">
        <v>960</v>
      </c>
      <c r="I1158" s="91">
        <v>45954</v>
      </c>
      <c r="J1158" s="165">
        <v>0.62013888888888891</v>
      </c>
      <c r="K1158" s="94">
        <v>960</v>
      </c>
      <c r="L1158" s="72" t="str">
        <f t="shared" si="18"/>
        <v>Payé</v>
      </c>
    </row>
    <row r="1159" spans="1:12" ht="15" customHeight="1" x14ac:dyDescent="0.25">
      <c r="A1159" s="90" t="s">
        <v>855</v>
      </c>
      <c r="B1159" s="90">
        <v>10008</v>
      </c>
      <c r="C1159" s="88" t="s">
        <v>1134</v>
      </c>
      <c r="D1159" s="90" t="s">
        <v>17</v>
      </c>
      <c r="E1159" s="90" t="s">
        <v>628</v>
      </c>
      <c r="F1159" s="90" t="s">
        <v>855</v>
      </c>
      <c r="G1159" s="137">
        <v>13</v>
      </c>
      <c r="H1159" s="94">
        <v>1290</v>
      </c>
      <c r="I1159" s="91">
        <v>45954</v>
      </c>
      <c r="J1159" s="165">
        <v>0.62013888888888891</v>
      </c>
      <c r="K1159" s="94">
        <v>1290</v>
      </c>
      <c r="L1159" s="72" t="str">
        <f t="shared" si="18"/>
        <v>Payé</v>
      </c>
    </row>
    <row r="1160" spans="1:12" ht="15" customHeight="1" x14ac:dyDescent="0.25">
      <c r="A1160" s="90" t="s">
        <v>855</v>
      </c>
      <c r="B1160" s="90">
        <v>10009</v>
      </c>
      <c r="C1160" s="88" t="s">
        <v>1157</v>
      </c>
      <c r="D1160" s="90" t="s">
        <v>17</v>
      </c>
      <c r="E1160" s="90" t="s">
        <v>628</v>
      </c>
      <c r="F1160" s="90" t="s">
        <v>855</v>
      </c>
      <c r="G1160" s="137">
        <v>15</v>
      </c>
      <c r="H1160" s="94">
        <v>1410</v>
      </c>
      <c r="I1160" s="91">
        <v>45954</v>
      </c>
      <c r="J1160" s="165">
        <v>0.62013888888888891</v>
      </c>
      <c r="K1160" s="94">
        <v>1410</v>
      </c>
      <c r="L1160" s="72" t="str">
        <f t="shared" si="18"/>
        <v>Payé</v>
      </c>
    </row>
    <row r="1161" spans="1:12" ht="15" customHeight="1" x14ac:dyDescent="0.25">
      <c r="A1161" s="90" t="s">
        <v>855</v>
      </c>
      <c r="B1161" s="90" t="s">
        <v>719</v>
      </c>
      <c r="C1161" s="88" t="s">
        <v>719</v>
      </c>
      <c r="D1161" s="89" t="s">
        <v>910</v>
      </c>
      <c r="E1161" s="90" t="s">
        <v>476</v>
      </c>
      <c r="F1161" s="90" t="s">
        <v>855</v>
      </c>
      <c r="G1161" s="95">
        <v>128</v>
      </c>
      <c r="H1161" s="92">
        <v>3840</v>
      </c>
      <c r="I1161" s="91">
        <v>45952</v>
      </c>
      <c r="J1161" s="165">
        <v>0.6166666666666667</v>
      </c>
      <c r="K1161" s="92">
        <v>3840</v>
      </c>
      <c r="L1161" s="72" t="str">
        <f t="shared" si="18"/>
        <v>Payé</v>
      </c>
    </row>
    <row r="1162" spans="1:12" ht="15" customHeight="1" x14ac:dyDescent="0.25">
      <c r="A1162" s="90" t="s">
        <v>855</v>
      </c>
      <c r="B1162" s="90">
        <v>2965</v>
      </c>
      <c r="C1162" s="88" t="s">
        <v>813</v>
      </c>
      <c r="D1162" s="90" t="s">
        <v>17</v>
      </c>
      <c r="E1162" s="90" t="s">
        <v>753</v>
      </c>
      <c r="F1162" s="90" t="s">
        <v>855</v>
      </c>
      <c r="G1162" s="137">
        <v>2</v>
      </c>
      <c r="H1162" s="94">
        <v>180</v>
      </c>
      <c r="I1162" s="91">
        <v>45953</v>
      </c>
      <c r="J1162" s="165">
        <v>0.67847222222222225</v>
      </c>
      <c r="K1162" s="94">
        <v>180</v>
      </c>
      <c r="L1162" s="72" t="str">
        <f t="shared" si="18"/>
        <v>Payé</v>
      </c>
    </row>
    <row r="1163" spans="1:12" ht="15" customHeight="1" x14ac:dyDescent="0.25">
      <c r="A1163" s="90" t="s">
        <v>855</v>
      </c>
      <c r="B1163" s="90">
        <v>2997</v>
      </c>
      <c r="C1163" s="88" t="s">
        <v>719</v>
      </c>
      <c r="D1163" s="90" t="s">
        <v>17</v>
      </c>
      <c r="E1163" s="90" t="s">
        <v>753</v>
      </c>
      <c r="F1163" s="90" t="s">
        <v>855</v>
      </c>
      <c r="G1163" s="137">
        <v>6</v>
      </c>
      <c r="H1163" s="94">
        <v>600</v>
      </c>
      <c r="I1163" s="91">
        <v>45952</v>
      </c>
      <c r="J1163" s="165">
        <v>0.71597222222222223</v>
      </c>
      <c r="K1163" s="94">
        <v>600</v>
      </c>
      <c r="L1163" s="72" t="str">
        <f t="shared" si="18"/>
        <v>Payé</v>
      </c>
    </row>
    <row r="1164" spans="1:12" ht="15" customHeight="1" x14ac:dyDescent="0.25">
      <c r="A1164" s="90" t="s">
        <v>855</v>
      </c>
      <c r="B1164" s="90">
        <v>3001</v>
      </c>
      <c r="C1164" s="88" t="s">
        <v>799</v>
      </c>
      <c r="D1164" s="90" t="s">
        <v>17</v>
      </c>
      <c r="E1164" s="90" t="s">
        <v>753</v>
      </c>
      <c r="F1164" s="90" t="s">
        <v>855</v>
      </c>
      <c r="G1164" s="137">
        <v>4</v>
      </c>
      <c r="H1164" s="94">
        <v>360</v>
      </c>
      <c r="I1164" s="91">
        <v>45952</v>
      </c>
      <c r="J1164" s="165">
        <v>0.71597222222222223</v>
      </c>
      <c r="K1164" s="94">
        <v>360</v>
      </c>
      <c r="L1164" s="72" t="str">
        <f t="shared" si="18"/>
        <v>Payé</v>
      </c>
    </row>
    <row r="1165" spans="1:12" ht="15" customHeight="1" x14ac:dyDescent="0.25">
      <c r="A1165" s="90" t="s">
        <v>855</v>
      </c>
      <c r="B1165" s="90">
        <v>3313</v>
      </c>
      <c r="C1165" s="88" t="s">
        <v>1209</v>
      </c>
      <c r="D1165" s="90" t="s">
        <v>17</v>
      </c>
      <c r="E1165" s="90" t="s">
        <v>753</v>
      </c>
      <c r="F1165" s="90" t="s">
        <v>855</v>
      </c>
      <c r="G1165" s="137">
        <v>1</v>
      </c>
      <c r="H1165" s="94">
        <v>90</v>
      </c>
      <c r="I1165" s="91">
        <v>45953</v>
      </c>
      <c r="J1165" s="165">
        <v>0.60277777777777775</v>
      </c>
      <c r="K1165" s="94">
        <v>90</v>
      </c>
      <c r="L1165" s="72" t="str">
        <f t="shared" si="18"/>
        <v>Payé</v>
      </c>
    </row>
    <row r="1166" spans="1:12" ht="15" customHeight="1" x14ac:dyDescent="0.25">
      <c r="A1166" s="90" t="s">
        <v>855</v>
      </c>
      <c r="B1166" s="90">
        <v>3823</v>
      </c>
      <c r="C1166" s="88" t="s">
        <v>824</v>
      </c>
      <c r="D1166" s="90" t="s">
        <v>17</v>
      </c>
      <c r="E1166" s="90" t="s">
        <v>753</v>
      </c>
      <c r="F1166" s="90" t="s">
        <v>855</v>
      </c>
      <c r="G1166" s="137">
        <v>3</v>
      </c>
      <c r="H1166" s="94">
        <v>270</v>
      </c>
      <c r="I1166" s="91">
        <v>45953</v>
      </c>
      <c r="J1166" s="165">
        <v>0.68125000000000002</v>
      </c>
      <c r="K1166" s="94">
        <v>270</v>
      </c>
      <c r="L1166" s="72" t="str">
        <f t="shared" si="18"/>
        <v>Payé</v>
      </c>
    </row>
    <row r="1167" spans="1:12" ht="15" customHeight="1" x14ac:dyDescent="0.25">
      <c r="A1167" s="90" t="s">
        <v>855</v>
      </c>
      <c r="B1167" s="90">
        <v>3903</v>
      </c>
      <c r="C1167" s="88" t="s">
        <v>721</v>
      </c>
      <c r="D1167" s="90" t="s">
        <v>17</v>
      </c>
      <c r="E1167" s="90" t="s">
        <v>753</v>
      </c>
      <c r="F1167" s="90" t="s">
        <v>855</v>
      </c>
      <c r="G1167" s="137">
        <v>5</v>
      </c>
      <c r="H1167" s="94">
        <v>450</v>
      </c>
      <c r="I1167" s="91">
        <v>45953</v>
      </c>
      <c r="J1167" s="165">
        <v>0.60277777777777775</v>
      </c>
      <c r="K1167" s="94">
        <v>450</v>
      </c>
      <c r="L1167" s="72" t="str">
        <f t="shared" si="18"/>
        <v>Payé</v>
      </c>
    </row>
    <row r="1168" spans="1:12" ht="15" customHeight="1" x14ac:dyDescent="0.25">
      <c r="A1168" s="90" t="s">
        <v>855</v>
      </c>
      <c r="B1168" s="90">
        <v>3920</v>
      </c>
      <c r="C1168" s="88" t="s">
        <v>488</v>
      </c>
      <c r="D1168" s="90" t="s">
        <v>17</v>
      </c>
      <c r="E1168" s="90" t="s">
        <v>753</v>
      </c>
      <c r="F1168" s="90" t="s">
        <v>855</v>
      </c>
      <c r="G1168" s="137">
        <v>3</v>
      </c>
      <c r="H1168" s="94">
        <v>270</v>
      </c>
      <c r="I1168" s="91">
        <v>45952</v>
      </c>
      <c r="J1168" s="165">
        <v>0.76666666666666661</v>
      </c>
      <c r="K1168" s="94">
        <v>270</v>
      </c>
      <c r="L1168" s="72" t="str">
        <f t="shared" si="18"/>
        <v>Payé</v>
      </c>
    </row>
    <row r="1169" spans="1:12" ht="15" customHeight="1" x14ac:dyDescent="0.25">
      <c r="A1169" s="90" t="s">
        <v>855</v>
      </c>
      <c r="B1169" s="90">
        <v>4027</v>
      </c>
      <c r="C1169" s="88" t="s">
        <v>1210</v>
      </c>
      <c r="D1169" s="90" t="s">
        <v>17</v>
      </c>
      <c r="E1169" s="90" t="s">
        <v>753</v>
      </c>
      <c r="F1169" s="90" t="s">
        <v>855</v>
      </c>
      <c r="G1169" s="137">
        <v>4</v>
      </c>
      <c r="H1169" s="94">
        <v>360</v>
      </c>
      <c r="I1169" s="91">
        <v>45953</v>
      </c>
      <c r="J1169" s="165">
        <v>0.60277777777777775</v>
      </c>
      <c r="K1169" s="94">
        <v>360</v>
      </c>
      <c r="L1169" s="72" t="str">
        <f t="shared" si="18"/>
        <v>Payé</v>
      </c>
    </row>
    <row r="1170" spans="1:12" ht="15" customHeight="1" x14ac:dyDescent="0.25">
      <c r="A1170" s="90" t="s">
        <v>855</v>
      </c>
      <c r="B1170" s="90">
        <v>4060</v>
      </c>
      <c r="C1170" s="88" t="s">
        <v>986</v>
      </c>
      <c r="D1170" s="90" t="s">
        <v>17</v>
      </c>
      <c r="E1170" s="90" t="s">
        <v>753</v>
      </c>
      <c r="F1170" s="90" t="s">
        <v>855</v>
      </c>
      <c r="G1170" s="137">
        <v>4</v>
      </c>
      <c r="H1170" s="94">
        <v>360</v>
      </c>
      <c r="I1170" s="91">
        <v>45953</v>
      </c>
      <c r="J1170" s="165">
        <v>0.60277777777777775</v>
      </c>
      <c r="K1170" s="94">
        <v>360</v>
      </c>
      <c r="L1170" s="72" t="str">
        <f t="shared" si="18"/>
        <v>Payé</v>
      </c>
    </row>
    <row r="1171" spans="1:12" ht="15" customHeight="1" x14ac:dyDescent="0.25">
      <c r="A1171" s="90" t="s">
        <v>855</v>
      </c>
      <c r="B1171" s="90">
        <v>4868</v>
      </c>
      <c r="C1171" s="88" t="s">
        <v>767</v>
      </c>
      <c r="D1171" s="90" t="s">
        <v>17</v>
      </c>
      <c r="E1171" s="90" t="s">
        <v>753</v>
      </c>
      <c r="F1171" s="90" t="s">
        <v>855</v>
      </c>
      <c r="G1171" s="137">
        <v>5</v>
      </c>
      <c r="H1171" s="94">
        <v>450</v>
      </c>
      <c r="I1171" s="91">
        <v>45952</v>
      </c>
      <c r="J1171" s="165">
        <v>0.73125000000000007</v>
      </c>
      <c r="K1171" s="94">
        <v>450</v>
      </c>
      <c r="L1171" s="72" t="str">
        <f t="shared" si="18"/>
        <v>Payé</v>
      </c>
    </row>
    <row r="1172" spans="1:12" ht="15" customHeight="1" x14ac:dyDescent="0.25">
      <c r="A1172" s="90" t="s">
        <v>855</v>
      </c>
      <c r="B1172" s="90">
        <v>5076</v>
      </c>
      <c r="C1172" s="88" t="s">
        <v>991</v>
      </c>
      <c r="D1172" s="90" t="s">
        <v>17</v>
      </c>
      <c r="E1172" s="90" t="s">
        <v>753</v>
      </c>
      <c r="F1172" s="90" t="s">
        <v>855</v>
      </c>
      <c r="G1172" s="137">
        <v>5</v>
      </c>
      <c r="H1172" s="94">
        <v>450</v>
      </c>
      <c r="I1172" s="91">
        <v>45952</v>
      </c>
      <c r="J1172" s="165">
        <v>0.73125000000000007</v>
      </c>
      <c r="K1172" s="94">
        <v>450</v>
      </c>
      <c r="L1172" s="72" t="str">
        <f t="shared" si="18"/>
        <v>Payé</v>
      </c>
    </row>
    <row r="1173" spans="1:12" ht="15" customHeight="1" x14ac:dyDescent="0.25">
      <c r="A1173" s="90" t="s">
        <v>855</v>
      </c>
      <c r="B1173" s="90">
        <v>5186</v>
      </c>
      <c r="C1173" s="88" t="s">
        <v>1211</v>
      </c>
      <c r="D1173" s="90" t="s">
        <v>17</v>
      </c>
      <c r="E1173" s="90" t="s">
        <v>753</v>
      </c>
      <c r="F1173" s="90" t="s">
        <v>855</v>
      </c>
      <c r="G1173" s="137">
        <v>3</v>
      </c>
      <c r="H1173" s="94">
        <v>270</v>
      </c>
      <c r="I1173" s="91">
        <v>45952</v>
      </c>
      <c r="J1173" s="165">
        <v>0.73125000000000007</v>
      </c>
      <c r="K1173" s="94">
        <v>270</v>
      </c>
      <c r="L1173" s="72" t="str">
        <f t="shared" si="18"/>
        <v>Payé</v>
      </c>
    </row>
    <row r="1174" spans="1:12" ht="15" customHeight="1" x14ac:dyDescent="0.25">
      <c r="A1174" s="90" t="s">
        <v>855</v>
      </c>
      <c r="B1174" s="90">
        <v>5209</v>
      </c>
      <c r="C1174" s="88" t="s">
        <v>835</v>
      </c>
      <c r="D1174" s="90" t="s">
        <v>17</v>
      </c>
      <c r="E1174" s="90" t="s">
        <v>753</v>
      </c>
      <c r="F1174" s="90" t="s">
        <v>855</v>
      </c>
      <c r="G1174" s="137">
        <v>4</v>
      </c>
      <c r="H1174" s="94">
        <v>360</v>
      </c>
      <c r="I1174" s="91">
        <v>45952</v>
      </c>
      <c r="J1174" s="165">
        <v>0.73125000000000007</v>
      </c>
      <c r="K1174" s="94">
        <v>360</v>
      </c>
      <c r="L1174" s="72" t="str">
        <f t="shared" si="18"/>
        <v>Payé</v>
      </c>
    </row>
    <row r="1175" spans="1:12" ht="15" customHeight="1" x14ac:dyDescent="0.25">
      <c r="A1175" s="90" t="s">
        <v>855</v>
      </c>
      <c r="B1175" s="90">
        <v>5240</v>
      </c>
      <c r="C1175" s="88" t="s">
        <v>885</v>
      </c>
      <c r="D1175" s="90" t="s">
        <v>17</v>
      </c>
      <c r="E1175" s="90" t="s">
        <v>753</v>
      </c>
      <c r="F1175" s="90" t="s">
        <v>855</v>
      </c>
      <c r="G1175" s="137">
        <v>5</v>
      </c>
      <c r="H1175" s="94">
        <v>450</v>
      </c>
      <c r="I1175" s="91">
        <v>45953</v>
      </c>
      <c r="J1175" s="165">
        <v>0.68125000000000002</v>
      </c>
      <c r="K1175" s="94">
        <v>450</v>
      </c>
      <c r="L1175" s="72" t="str">
        <f t="shared" si="18"/>
        <v>Payé</v>
      </c>
    </row>
    <row r="1176" spans="1:12" ht="15" customHeight="1" x14ac:dyDescent="0.25">
      <c r="A1176" s="90" t="s">
        <v>855</v>
      </c>
      <c r="B1176" s="90">
        <v>5253</v>
      </c>
      <c r="C1176" s="88" t="s">
        <v>902</v>
      </c>
      <c r="D1176" s="90" t="s">
        <v>17</v>
      </c>
      <c r="E1176" s="90" t="s">
        <v>753</v>
      </c>
      <c r="F1176" s="90" t="s">
        <v>855</v>
      </c>
      <c r="G1176" s="137">
        <v>5</v>
      </c>
      <c r="H1176" s="94">
        <v>450</v>
      </c>
      <c r="I1176" s="91">
        <v>45952</v>
      </c>
      <c r="J1176" s="165">
        <v>0.73125000000000007</v>
      </c>
      <c r="K1176" s="94">
        <v>450</v>
      </c>
      <c r="L1176" s="72" t="str">
        <f t="shared" si="18"/>
        <v>Payé</v>
      </c>
    </row>
    <row r="1177" spans="1:12" ht="15" customHeight="1" x14ac:dyDescent="0.25">
      <c r="A1177" s="90" t="s">
        <v>855</v>
      </c>
      <c r="B1177" s="90">
        <v>5300</v>
      </c>
      <c r="C1177" s="88" t="s">
        <v>1011</v>
      </c>
      <c r="D1177" s="90" t="s">
        <v>17</v>
      </c>
      <c r="E1177" s="90" t="s">
        <v>753</v>
      </c>
      <c r="F1177" s="90" t="s">
        <v>855</v>
      </c>
      <c r="G1177" s="137">
        <v>1</v>
      </c>
      <c r="H1177" s="94">
        <v>90</v>
      </c>
      <c r="I1177" s="91">
        <v>45953</v>
      </c>
      <c r="J1177" s="165">
        <v>0.67847222222222225</v>
      </c>
      <c r="K1177" s="94">
        <v>90</v>
      </c>
      <c r="L1177" s="72" t="str">
        <f t="shared" si="18"/>
        <v>Payé</v>
      </c>
    </row>
    <row r="1178" spans="1:12" ht="15" customHeight="1" x14ac:dyDescent="0.25">
      <c r="A1178" s="90" t="s">
        <v>855</v>
      </c>
      <c r="B1178" s="90">
        <v>5327</v>
      </c>
      <c r="C1178" s="88" t="s">
        <v>1033</v>
      </c>
      <c r="D1178" s="90" t="s">
        <v>17</v>
      </c>
      <c r="E1178" s="90" t="s">
        <v>753</v>
      </c>
      <c r="F1178" s="90" t="s">
        <v>855</v>
      </c>
      <c r="G1178" s="137">
        <v>4</v>
      </c>
      <c r="H1178" s="94">
        <v>360</v>
      </c>
      <c r="I1178" s="91">
        <v>45952</v>
      </c>
      <c r="J1178" s="165">
        <v>0.73125000000000007</v>
      </c>
      <c r="K1178" s="94">
        <v>360</v>
      </c>
      <c r="L1178" s="72" t="str">
        <f t="shared" si="18"/>
        <v>Payé</v>
      </c>
    </row>
    <row r="1179" spans="1:12" ht="15" customHeight="1" x14ac:dyDescent="0.25">
      <c r="A1179" s="90" t="s">
        <v>855</v>
      </c>
      <c r="B1179" s="90">
        <v>5335</v>
      </c>
      <c r="C1179" s="88" t="s">
        <v>1040</v>
      </c>
      <c r="D1179" s="90" t="s">
        <v>17</v>
      </c>
      <c r="E1179" s="90" t="s">
        <v>753</v>
      </c>
      <c r="F1179" s="90" t="s">
        <v>855</v>
      </c>
      <c r="G1179" s="137">
        <v>5</v>
      </c>
      <c r="H1179" s="94">
        <v>450</v>
      </c>
      <c r="I1179" s="91">
        <v>45954</v>
      </c>
      <c r="J1179" s="165">
        <v>0.5493055555555556</v>
      </c>
      <c r="K1179" s="94">
        <v>450</v>
      </c>
      <c r="L1179" s="72" t="str">
        <f t="shared" si="18"/>
        <v>Payé</v>
      </c>
    </row>
    <row r="1180" spans="1:12" ht="15" customHeight="1" x14ac:dyDescent="0.25">
      <c r="A1180" s="90" t="s">
        <v>855</v>
      </c>
      <c r="B1180" s="90">
        <v>5336</v>
      </c>
      <c r="C1180" s="88" t="s">
        <v>1041</v>
      </c>
      <c r="D1180" s="90" t="s">
        <v>17</v>
      </c>
      <c r="E1180" s="90" t="s">
        <v>753</v>
      </c>
      <c r="F1180" s="90" t="s">
        <v>855</v>
      </c>
      <c r="G1180" s="137">
        <v>5</v>
      </c>
      <c r="H1180" s="94">
        <v>450</v>
      </c>
      <c r="I1180" s="91">
        <v>45953</v>
      </c>
      <c r="J1180" s="165">
        <v>0.68125000000000002</v>
      </c>
      <c r="K1180" s="94">
        <v>450</v>
      </c>
      <c r="L1180" s="72" t="str">
        <f t="shared" si="18"/>
        <v>Payé</v>
      </c>
    </row>
    <row r="1181" spans="1:12" ht="15" customHeight="1" x14ac:dyDescent="0.25">
      <c r="A1181" s="90" t="s">
        <v>855</v>
      </c>
      <c r="B1181" s="90">
        <v>10003</v>
      </c>
      <c r="C1181" s="88" t="s">
        <v>1129</v>
      </c>
      <c r="D1181" s="90" t="s">
        <v>17</v>
      </c>
      <c r="E1181" s="90" t="s">
        <v>753</v>
      </c>
      <c r="F1181" s="90" t="s">
        <v>855</v>
      </c>
      <c r="G1181" s="137">
        <v>3</v>
      </c>
      <c r="H1181" s="94">
        <v>270</v>
      </c>
      <c r="I1181" s="91">
        <v>45952</v>
      </c>
      <c r="J1181" s="165">
        <v>0.73125000000000007</v>
      </c>
      <c r="K1181" s="94">
        <v>270</v>
      </c>
      <c r="L1181" s="72" t="str">
        <f t="shared" si="18"/>
        <v>Payé</v>
      </c>
    </row>
    <row r="1182" spans="1:12" ht="15" customHeight="1" x14ac:dyDescent="0.25">
      <c r="A1182" s="90" t="s">
        <v>855</v>
      </c>
      <c r="B1182" s="90">
        <v>10010</v>
      </c>
      <c r="C1182" s="88" t="s">
        <v>1158</v>
      </c>
      <c r="D1182" s="90" t="s">
        <v>17</v>
      </c>
      <c r="E1182" s="90" t="s">
        <v>753</v>
      </c>
      <c r="F1182" s="90" t="s">
        <v>855</v>
      </c>
      <c r="G1182" s="137">
        <v>3</v>
      </c>
      <c r="H1182" s="94">
        <v>270</v>
      </c>
      <c r="I1182" s="91">
        <v>45953</v>
      </c>
      <c r="J1182" s="165">
        <v>0.67847222222222225</v>
      </c>
      <c r="K1182" s="94">
        <v>270</v>
      </c>
      <c r="L1182" s="72" t="str">
        <f t="shared" ref="L1182:L1245" si="19">IF(ISBLANK(H1182),"",IF(H1182=K1182,"Payé","Impayé"))</f>
        <v>Payé</v>
      </c>
    </row>
    <row r="1183" spans="1:12" ht="15" customHeight="1" x14ac:dyDescent="0.25">
      <c r="A1183" s="90" t="s">
        <v>855</v>
      </c>
      <c r="B1183" s="90">
        <v>10011</v>
      </c>
      <c r="C1183" s="88" t="s">
        <v>1159</v>
      </c>
      <c r="D1183" s="90" t="s">
        <v>17</v>
      </c>
      <c r="E1183" s="90" t="s">
        <v>753</v>
      </c>
      <c r="F1183" s="90" t="s">
        <v>855</v>
      </c>
      <c r="G1183" s="137">
        <v>6</v>
      </c>
      <c r="H1183" s="94">
        <v>540</v>
      </c>
      <c r="I1183" s="91">
        <v>45952</v>
      </c>
      <c r="J1183" s="165">
        <v>0.73125000000000007</v>
      </c>
      <c r="K1183" s="94">
        <v>540</v>
      </c>
      <c r="L1183" s="72" t="str">
        <f t="shared" si="19"/>
        <v>Payé</v>
      </c>
    </row>
    <row r="1184" spans="1:12" ht="15" customHeight="1" x14ac:dyDescent="0.25">
      <c r="A1184" s="90" t="s">
        <v>855</v>
      </c>
      <c r="B1184" s="90">
        <v>10012</v>
      </c>
      <c r="C1184" s="88" t="s">
        <v>1160</v>
      </c>
      <c r="D1184" s="90" t="s">
        <v>17</v>
      </c>
      <c r="E1184" s="90" t="s">
        <v>753</v>
      </c>
      <c r="F1184" s="90" t="s">
        <v>855</v>
      </c>
      <c r="G1184" s="137">
        <v>3</v>
      </c>
      <c r="H1184" s="94">
        <v>270</v>
      </c>
      <c r="I1184" s="91">
        <v>45952</v>
      </c>
      <c r="J1184" s="165">
        <v>0.73125000000000007</v>
      </c>
      <c r="K1184" s="94">
        <v>270</v>
      </c>
      <c r="L1184" s="72" t="str">
        <f t="shared" si="19"/>
        <v>Payé</v>
      </c>
    </row>
    <row r="1185" spans="1:12" ht="15" customHeight="1" x14ac:dyDescent="0.25">
      <c r="A1185" s="90" t="s">
        <v>855</v>
      </c>
      <c r="B1185" s="90">
        <v>10016</v>
      </c>
      <c r="C1185" s="88" t="s">
        <v>1163</v>
      </c>
      <c r="D1185" s="90" t="s">
        <v>17</v>
      </c>
      <c r="E1185" s="90" t="s">
        <v>753</v>
      </c>
      <c r="F1185" s="90" t="s">
        <v>855</v>
      </c>
      <c r="G1185" s="137">
        <v>2</v>
      </c>
      <c r="H1185" s="94">
        <v>180</v>
      </c>
      <c r="I1185" s="91">
        <v>45953</v>
      </c>
      <c r="J1185" s="165">
        <v>0.67847222222222225</v>
      </c>
      <c r="K1185" s="94">
        <v>180</v>
      </c>
      <c r="L1185" s="72" t="str">
        <f t="shared" si="19"/>
        <v>Payé</v>
      </c>
    </row>
    <row r="1186" spans="1:12" ht="15" customHeight="1" x14ac:dyDescent="0.25">
      <c r="A1186" s="90" t="s">
        <v>855</v>
      </c>
      <c r="B1186" s="90">
        <v>10030</v>
      </c>
      <c r="C1186" s="88" t="s">
        <v>1176</v>
      </c>
      <c r="D1186" s="90" t="s">
        <v>17</v>
      </c>
      <c r="E1186" s="90" t="s">
        <v>753</v>
      </c>
      <c r="F1186" s="90" t="s">
        <v>855</v>
      </c>
      <c r="G1186" s="137">
        <v>6</v>
      </c>
      <c r="H1186" s="94">
        <v>540</v>
      </c>
      <c r="I1186" s="91">
        <v>45952</v>
      </c>
      <c r="J1186" s="165">
        <v>0.73125000000000007</v>
      </c>
      <c r="K1186" s="94">
        <v>540</v>
      </c>
      <c r="L1186" s="72" t="str">
        <f t="shared" si="19"/>
        <v>Payé</v>
      </c>
    </row>
    <row r="1187" spans="1:12" ht="15" customHeight="1" x14ac:dyDescent="0.25">
      <c r="A1187" s="90" t="s">
        <v>855</v>
      </c>
      <c r="B1187" s="90">
        <v>10031</v>
      </c>
      <c r="C1187" s="88" t="s">
        <v>1177</v>
      </c>
      <c r="D1187" s="90" t="s">
        <v>17</v>
      </c>
      <c r="E1187" s="90" t="s">
        <v>753</v>
      </c>
      <c r="F1187" s="90" t="s">
        <v>855</v>
      </c>
      <c r="G1187" s="137">
        <v>6</v>
      </c>
      <c r="H1187" s="94">
        <v>540</v>
      </c>
      <c r="I1187" s="91">
        <v>45952</v>
      </c>
      <c r="J1187" s="165">
        <v>0.73125000000000007</v>
      </c>
      <c r="K1187" s="94">
        <v>540</v>
      </c>
      <c r="L1187" s="72" t="str">
        <f t="shared" si="19"/>
        <v>Payé</v>
      </c>
    </row>
    <row r="1188" spans="1:12" ht="15" customHeight="1" x14ac:dyDescent="0.25">
      <c r="A1188" s="90" t="s">
        <v>855</v>
      </c>
      <c r="B1188" s="90">
        <v>10032</v>
      </c>
      <c r="C1188" s="88" t="s">
        <v>1178</v>
      </c>
      <c r="D1188" s="90" t="s">
        <v>17</v>
      </c>
      <c r="E1188" s="90" t="s">
        <v>753</v>
      </c>
      <c r="F1188" s="90" t="s">
        <v>855</v>
      </c>
      <c r="G1188" s="137">
        <v>4</v>
      </c>
      <c r="H1188" s="94">
        <v>360</v>
      </c>
      <c r="I1188" s="91">
        <v>45952</v>
      </c>
      <c r="J1188" s="165">
        <v>0.73125000000000007</v>
      </c>
      <c r="K1188" s="94">
        <v>360</v>
      </c>
      <c r="L1188" s="72" t="str">
        <f t="shared" si="19"/>
        <v>Payé</v>
      </c>
    </row>
    <row r="1189" spans="1:12" ht="15" customHeight="1" x14ac:dyDescent="0.25">
      <c r="A1189" s="90" t="s">
        <v>855</v>
      </c>
      <c r="B1189" s="90">
        <v>10039</v>
      </c>
      <c r="C1189" s="88" t="s">
        <v>1183</v>
      </c>
      <c r="D1189" s="90" t="s">
        <v>17</v>
      </c>
      <c r="E1189" s="90" t="s">
        <v>753</v>
      </c>
      <c r="F1189" s="90" t="s">
        <v>855</v>
      </c>
      <c r="G1189" s="137">
        <v>6</v>
      </c>
      <c r="H1189" s="94">
        <v>540</v>
      </c>
      <c r="I1189" s="91">
        <v>45952</v>
      </c>
      <c r="J1189" s="165">
        <v>0.73125000000000007</v>
      </c>
      <c r="K1189" s="94">
        <v>540</v>
      </c>
      <c r="L1189" s="72" t="str">
        <f t="shared" si="19"/>
        <v>Payé</v>
      </c>
    </row>
    <row r="1190" spans="1:12" ht="15" customHeight="1" x14ac:dyDescent="0.25">
      <c r="A1190" s="90" t="s">
        <v>855</v>
      </c>
      <c r="B1190" s="90">
        <v>10041</v>
      </c>
      <c r="C1190" s="88" t="s">
        <v>1213</v>
      </c>
      <c r="D1190" s="90" t="s">
        <v>17</v>
      </c>
      <c r="E1190" s="90" t="s">
        <v>753</v>
      </c>
      <c r="F1190" s="90" t="s">
        <v>855</v>
      </c>
      <c r="G1190" s="137">
        <v>5</v>
      </c>
      <c r="H1190" s="94">
        <v>450</v>
      </c>
      <c r="I1190" s="91">
        <v>45952</v>
      </c>
      <c r="J1190" s="165">
        <v>0.73125000000000007</v>
      </c>
      <c r="K1190" s="94">
        <v>450</v>
      </c>
      <c r="L1190" s="72" t="str">
        <f t="shared" si="19"/>
        <v>Payé</v>
      </c>
    </row>
    <row r="1191" spans="1:12" ht="15" customHeight="1" x14ac:dyDescent="0.25">
      <c r="A1191" s="90" t="s">
        <v>855</v>
      </c>
      <c r="B1191" s="90">
        <v>10051</v>
      </c>
      <c r="C1191" s="88" t="s">
        <v>1220</v>
      </c>
      <c r="D1191" s="90" t="s">
        <v>17</v>
      </c>
      <c r="E1191" s="90" t="s">
        <v>753</v>
      </c>
      <c r="F1191" s="90" t="s">
        <v>855</v>
      </c>
      <c r="G1191" s="137">
        <v>2</v>
      </c>
      <c r="H1191" s="94">
        <v>180</v>
      </c>
      <c r="I1191" s="91">
        <v>45952</v>
      </c>
      <c r="J1191" s="165">
        <v>0.76666666666666661</v>
      </c>
      <c r="K1191" s="94">
        <v>180</v>
      </c>
      <c r="L1191" s="72" t="str">
        <f t="shared" si="19"/>
        <v>Payé</v>
      </c>
    </row>
    <row r="1192" spans="1:12" ht="15" customHeight="1" x14ac:dyDescent="0.25">
      <c r="A1192" s="90" t="s">
        <v>855</v>
      </c>
      <c r="B1192" s="90">
        <v>10060</v>
      </c>
      <c r="C1192" s="88" t="s">
        <v>1224</v>
      </c>
      <c r="D1192" s="90" t="s">
        <v>17</v>
      </c>
      <c r="E1192" s="90" t="s">
        <v>753</v>
      </c>
      <c r="F1192" s="90" t="s">
        <v>855</v>
      </c>
      <c r="G1192" s="137">
        <v>1</v>
      </c>
      <c r="H1192" s="94">
        <v>90</v>
      </c>
      <c r="I1192" s="91">
        <v>45952</v>
      </c>
      <c r="J1192" s="165">
        <v>0.73125000000000007</v>
      </c>
      <c r="K1192" s="94">
        <v>90</v>
      </c>
      <c r="L1192" s="72" t="str">
        <f t="shared" si="19"/>
        <v>Payé</v>
      </c>
    </row>
    <row r="1193" spans="1:12" ht="15" customHeight="1" x14ac:dyDescent="0.25">
      <c r="A1193" s="90" t="s">
        <v>855</v>
      </c>
      <c r="B1193" s="90">
        <v>10061</v>
      </c>
      <c r="C1193" s="88" t="s">
        <v>1225</v>
      </c>
      <c r="D1193" s="90" t="s">
        <v>17</v>
      </c>
      <c r="E1193" s="90" t="s">
        <v>753</v>
      </c>
      <c r="F1193" s="90" t="s">
        <v>855</v>
      </c>
      <c r="G1193" s="137">
        <v>1</v>
      </c>
      <c r="H1193" s="94">
        <v>90</v>
      </c>
      <c r="I1193" s="91">
        <v>45952</v>
      </c>
      <c r="J1193" s="165">
        <v>0.73125000000000007</v>
      </c>
      <c r="K1193" s="94">
        <v>90</v>
      </c>
      <c r="L1193" s="72" t="str">
        <f t="shared" si="19"/>
        <v>Payé</v>
      </c>
    </row>
    <row r="1194" spans="1:12" ht="15" customHeight="1" x14ac:dyDescent="0.25">
      <c r="A1194" s="90" t="s">
        <v>855</v>
      </c>
      <c r="B1194" s="90">
        <v>10062</v>
      </c>
      <c r="C1194" s="88" t="s">
        <v>1226</v>
      </c>
      <c r="D1194" s="90" t="s">
        <v>17</v>
      </c>
      <c r="E1194" s="90" t="s">
        <v>753</v>
      </c>
      <c r="F1194" s="90" t="s">
        <v>855</v>
      </c>
      <c r="G1194" s="137">
        <v>2</v>
      </c>
      <c r="H1194" s="94">
        <v>180</v>
      </c>
      <c r="I1194" s="91">
        <v>45952</v>
      </c>
      <c r="J1194" s="165">
        <v>0.76666666666666661</v>
      </c>
      <c r="K1194" s="94">
        <v>180</v>
      </c>
      <c r="L1194" s="72" t="str">
        <f t="shared" si="19"/>
        <v>Payé</v>
      </c>
    </row>
    <row r="1195" spans="1:12" ht="15" customHeight="1" x14ac:dyDescent="0.25">
      <c r="A1195" s="90" t="s">
        <v>855</v>
      </c>
      <c r="B1195" s="90">
        <v>10063</v>
      </c>
      <c r="C1195" s="88" t="s">
        <v>1227</v>
      </c>
      <c r="D1195" s="90" t="s">
        <v>17</v>
      </c>
      <c r="E1195" s="90" t="s">
        <v>753</v>
      </c>
      <c r="F1195" s="90" t="s">
        <v>855</v>
      </c>
      <c r="G1195" s="137">
        <v>1</v>
      </c>
      <c r="H1195" s="94">
        <v>90</v>
      </c>
      <c r="I1195" s="91">
        <v>45952</v>
      </c>
      <c r="J1195" s="165">
        <v>0.76666666666666661</v>
      </c>
      <c r="K1195" s="94">
        <v>90</v>
      </c>
      <c r="L1195" s="72" t="str">
        <f t="shared" si="19"/>
        <v>Payé</v>
      </c>
    </row>
    <row r="1196" spans="1:12" ht="15" customHeight="1" x14ac:dyDescent="0.25">
      <c r="A1196" s="90" t="s">
        <v>855</v>
      </c>
      <c r="B1196" s="90" t="s">
        <v>630</v>
      </c>
      <c r="C1196" s="88" t="s">
        <v>630</v>
      </c>
      <c r="D1196" s="89" t="s">
        <v>910</v>
      </c>
      <c r="E1196" s="90" t="s">
        <v>1047</v>
      </c>
      <c r="F1196" s="90" t="s">
        <v>855</v>
      </c>
      <c r="G1196" s="95">
        <v>294</v>
      </c>
      <c r="H1196" s="92">
        <v>8820</v>
      </c>
      <c r="I1196" s="91">
        <v>45952</v>
      </c>
      <c r="J1196" s="165">
        <v>0.6166666666666667</v>
      </c>
      <c r="K1196" s="92">
        <v>8820</v>
      </c>
      <c r="L1196" s="72" t="str">
        <f t="shared" si="19"/>
        <v>Payé</v>
      </c>
    </row>
    <row r="1197" spans="1:12" ht="15" customHeight="1" x14ac:dyDescent="0.25">
      <c r="A1197" s="90" t="s">
        <v>855</v>
      </c>
      <c r="B1197" s="90" t="s">
        <v>1196</v>
      </c>
      <c r="C1197" s="88" t="s">
        <v>1195</v>
      </c>
      <c r="D1197" s="89" t="s">
        <v>912</v>
      </c>
      <c r="E1197" s="90" t="s">
        <v>1196</v>
      </c>
      <c r="F1197" s="90" t="s">
        <v>855</v>
      </c>
      <c r="G1197" s="94">
        <v>2</v>
      </c>
      <c r="H1197" s="92">
        <v>900</v>
      </c>
      <c r="I1197" s="91">
        <v>45952</v>
      </c>
      <c r="J1197" s="165">
        <v>0.6645833333333333</v>
      </c>
      <c r="K1197" s="92">
        <v>900</v>
      </c>
      <c r="L1197" s="72" t="str">
        <f t="shared" si="19"/>
        <v>Payé</v>
      </c>
    </row>
    <row r="1198" spans="1:12" ht="15" customHeight="1" x14ac:dyDescent="0.25">
      <c r="A1198" s="90" t="s">
        <v>855</v>
      </c>
      <c r="B1198" s="90" t="s">
        <v>1190</v>
      </c>
      <c r="C1198" s="88" t="s">
        <v>1190</v>
      </c>
      <c r="D1198" s="89" t="s">
        <v>910</v>
      </c>
      <c r="E1198" s="90" t="s">
        <v>646</v>
      </c>
      <c r="F1198" s="90" t="s">
        <v>855</v>
      </c>
      <c r="G1198" s="95">
        <v>258</v>
      </c>
      <c r="H1198" s="92">
        <v>7740</v>
      </c>
      <c r="I1198" s="91">
        <v>45952</v>
      </c>
      <c r="J1198" s="165">
        <v>0.74305555555555547</v>
      </c>
      <c r="K1198" s="92">
        <v>7740</v>
      </c>
      <c r="L1198" s="72" t="str">
        <f t="shared" si="19"/>
        <v>Payé</v>
      </c>
    </row>
    <row r="1199" spans="1:12" ht="15" customHeight="1" x14ac:dyDescent="0.25">
      <c r="A1199" s="90" t="s">
        <v>855</v>
      </c>
      <c r="B1199" s="90">
        <v>1505</v>
      </c>
      <c r="C1199" s="88" t="s">
        <v>383</v>
      </c>
      <c r="D1199" s="90" t="s">
        <v>17</v>
      </c>
      <c r="E1199" s="90" t="s">
        <v>1187</v>
      </c>
      <c r="F1199" s="90" t="s">
        <v>855</v>
      </c>
      <c r="G1199" s="137">
        <v>12</v>
      </c>
      <c r="H1199" s="94">
        <v>1080</v>
      </c>
      <c r="I1199" s="91">
        <v>45952</v>
      </c>
      <c r="J1199" s="165">
        <v>0.74236111111111114</v>
      </c>
      <c r="K1199" s="94">
        <v>1080</v>
      </c>
      <c r="L1199" s="72" t="str">
        <f t="shared" si="19"/>
        <v>Payé</v>
      </c>
    </row>
    <row r="1200" spans="1:12" ht="15" customHeight="1" x14ac:dyDescent="0.25">
      <c r="A1200" s="90" t="s">
        <v>855</v>
      </c>
      <c r="B1200" s="90">
        <v>3534</v>
      </c>
      <c r="C1200" s="88" t="s">
        <v>563</v>
      </c>
      <c r="D1200" s="90" t="s">
        <v>17</v>
      </c>
      <c r="E1200" s="90" t="s">
        <v>1187</v>
      </c>
      <c r="F1200" s="90" t="s">
        <v>855</v>
      </c>
      <c r="G1200" s="137">
        <v>13</v>
      </c>
      <c r="H1200" s="94">
        <v>1190</v>
      </c>
      <c r="I1200" s="91">
        <v>45952</v>
      </c>
      <c r="J1200" s="165">
        <v>0.74236111111111114</v>
      </c>
      <c r="K1200" s="94">
        <v>1190</v>
      </c>
      <c r="L1200" s="72" t="str">
        <f t="shared" si="19"/>
        <v>Payé</v>
      </c>
    </row>
    <row r="1201" spans="1:12" ht="15" customHeight="1" x14ac:dyDescent="0.25">
      <c r="A1201" s="90" t="s">
        <v>855</v>
      </c>
      <c r="B1201" s="90">
        <v>3535</v>
      </c>
      <c r="C1201" s="88" t="s">
        <v>564</v>
      </c>
      <c r="D1201" s="90" t="s">
        <v>17</v>
      </c>
      <c r="E1201" s="90" t="s">
        <v>1187</v>
      </c>
      <c r="F1201" s="90" t="s">
        <v>855</v>
      </c>
      <c r="G1201" s="137">
        <v>9</v>
      </c>
      <c r="H1201" s="94">
        <v>810</v>
      </c>
      <c r="I1201" s="91">
        <v>45952</v>
      </c>
      <c r="J1201" s="165">
        <v>0.74236111111111114</v>
      </c>
      <c r="K1201" s="94">
        <v>810</v>
      </c>
      <c r="L1201" s="72" t="str">
        <f t="shared" si="19"/>
        <v>Payé</v>
      </c>
    </row>
    <row r="1202" spans="1:12" ht="15" customHeight="1" x14ac:dyDescent="0.25">
      <c r="A1202" s="90" t="s">
        <v>855</v>
      </c>
      <c r="B1202" s="90">
        <v>3825</v>
      </c>
      <c r="C1202" s="88" t="s">
        <v>574</v>
      </c>
      <c r="D1202" s="90" t="s">
        <v>17</v>
      </c>
      <c r="E1202" s="90" t="s">
        <v>1187</v>
      </c>
      <c r="F1202" s="90" t="s">
        <v>855</v>
      </c>
      <c r="G1202" s="137">
        <v>12</v>
      </c>
      <c r="H1202" s="94">
        <v>1080</v>
      </c>
      <c r="I1202" s="91">
        <v>45952</v>
      </c>
      <c r="J1202" s="165">
        <v>0.74236111111111114</v>
      </c>
      <c r="K1202" s="94">
        <v>1080</v>
      </c>
      <c r="L1202" s="72" t="str">
        <f t="shared" si="19"/>
        <v>Payé</v>
      </c>
    </row>
    <row r="1203" spans="1:12" ht="15" customHeight="1" x14ac:dyDescent="0.25">
      <c r="A1203" s="90" t="s">
        <v>855</v>
      </c>
      <c r="B1203" s="90">
        <v>3947</v>
      </c>
      <c r="C1203" s="88" t="s">
        <v>576</v>
      </c>
      <c r="D1203" s="90" t="s">
        <v>17</v>
      </c>
      <c r="E1203" s="90" t="s">
        <v>1187</v>
      </c>
      <c r="F1203" s="90" t="s">
        <v>855</v>
      </c>
      <c r="G1203" s="137">
        <v>7</v>
      </c>
      <c r="H1203" s="94">
        <v>630</v>
      </c>
      <c r="I1203" s="91">
        <v>45952</v>
      </c>
      <c r="J1203" s="165">
        <v>0.74236111111111114</v>
      </c>
      <c r="K1203" s="94">
        <v>630</v>
      </c>
      <c r="L1203" s="72" t="str">
        <f t="shared" si="19"/>
        <v>Payé</v>
      </c>
    </row>
    <row r="1204" spans="1:12" ht="15" customHeight="1" x14ac:dyDescent="0.25">
      <c r="A1204" s="90" t="s">
        <v>855</v>
      </c>
      <c r="B1204" s="90">
        <v>5259</v>
      </c>
      <c r="C1204" s="88" t="s">
        <v>908</v>
      </c>
      <c r="D1204" s="90" t="s">
        <v>17</v>
      </c>
      <c r="E1204" s="90" t="s">
        <v>1187</v>
      </c>
      <c r="F1204" s="90" t="s">
        <v>855</v>
      </c>
      <c r="G1204" s="137">
        <v>4</v>
      </c>
      <c r="H1204" s="94">
        <v>360</v>
      </c>
      <c r="I1204" s="91">
        <v>45952</v>
      </c>
      <c r="J1204" s="165">
        <v>0.74236111111111114</v>
      </c>
      <c r="K1204" s="94">
        <v>360</v>
      </c>
      <c r="L1204" s="72" t="str">
        <f t="shared" si="19"/>
        <v>Payé</v>
      </c>
    </row>
    <row r="1205" spans="1:12" ht="15" customHeight="1" x14ac:dyDescent="0.25">
      <c r="A1205" s="90" t="s">
        <v>855</v>
      </c>
      <c r="B1205" s="90">
        <v>5269</v>
      </c>
      <c r="C1205" s="88" t="s">
        <v>925</v>
      </c>
      <c r="D1205" s="90" t="s">
        <v>17</v>
      </c>
      <c r="E1205" s="90" t="s">
        <v>1187</v>
      </c>
      <c r="F1205" s="90" t="s">
        <v>855</v>
      </c>
      <c r="G1205" s="137">
        <v>7</v>
      </c>
      <c r="H1205" s="94">
        <v>630</v>
      </c>
      <c r="I1205" s="91">
        <v>45952</v>
      </c>
      <c r="J1205" s="165">
        <v>0.74236111111111114</v>
      </c>
      <c r="K1205" s="94">
        <v>630</v>
      </c>
      <c r="L1205" s="72" t="str">
        <f t="shared" si="19"/>
        <v>Payé</v>
      </c>
    </row>
    <row r="1206" spans="1:12" ht="15" customHeight="1" x14ac:dyDescent="0.25">
      <c r="A1206" s="90" t="s">
        <v>855</v>
      </c>
      <c r="B1206" s="90">
        <v>5278</v>
      </c>
      <c r="C1206" s="88" t="s">
        <v>932</v>
      </c>
      <c r="D1206" s="90" t="s">
        <v>17</v>
      </c>
      <c r="E1206" s="90" t="s">
        <v>1187</v>
      </c>
      <c r="F1206" s="90" t="s">
        <v>855</v>
      </c>
      <c r="G1206" s="137">
        <v>10</v>
      </c>
      <c r="H1206" s="94">
        <v>900</v>
      </c>
      <c r="I1206" s="91">
        <v>45952</v>
      </c>
      <c r="J1206" s="165">
        <v>0.74236111111111114</v>
      </c>
      <c r="K1206" s="94">
        <v>900</v>
      </c>
      <c r="L1206" s="72" t="str">
        <f t="shared" si="19"/>
        <v>Payé</v>
      </c>
    </row>
    <row r="1207" spans="1:12" ht="15" customHeight="1" x14ac:dyDescent="0.25">
      <c r="A1207" s="90" t="s">
        <v>855</v>
      </c>
      <c r="B1207" s="90">
        <v>5292</v>
      </c>
      <c r="C1207" s="88" t="s">
        <v>1003</v>
      </c>
      <c r="D1207" s="90" t="s">
        <v>17</v>
      </c>
      <c r="E1207" s="90" t="s">
        <v>1187</v>
      </c>
      <c r="F1207" s="90" t="s">
        <v>855</v>
      </c>
      <c r="G1207" s="137">
        <v>11</v>
      </c>
      <c r="H1207" s="94">
        <v>990</v>
      </c>
      <c r="I1207" s="91">
        <v>45952</v>
      </c>
      <c r="J1207" s="165">
        <v>0.74236111111111114</v>
      </c>
      <c r="K1207" s="94">
        <v>990</v>
      </c>
      <c r="L1207" s="72" t="str">
        <f t="shared" si="19"/>
        <v>Payé</v>
      </c>
    </row>
    <row r="1208" spans="1:12" ht="15" customHeight="1" x14ac:dyDescent="0.25">
      <c r="A1208" s="90" t="s">
        <v>855</v>
      </c>
      <c r="B1208" s="90">
        <v>7012</v>
      </c>
      <c r="C1208" s="88" t="s">
        <v>724</v>
      </c>
      <c r="D1208" s="90" t="s">
        <v>17</v>
      </c>
      <c r="E1208" s="90" t="s">
        <v>1187</v>
      </c>
      <c r="F1208" s="90" t="s">
        <v>855</v>
      </c>
      <c r="G1208" s="137">
        <v>13</v>
      </c>
      <c r="H1208" s="94">
        <v>1170</v>
      </c>
      <c r="I1208" s="91">
        <v>45952</v>
      </c>
      <c r="J1208" s="165">
        <v>0.74236111111111114</v>
      </c>
      <c r="K1208" s="94">
        <v>1170</v>
      </c>
      <c r="L1208" s="72" t="str">
        <f t="shared" si="19"/>
        <v>Payé</v>
      </c>
    </row>
    <row r="1209" spans="1:12" ht="15" customHeight="1" x14ac:dyDescent="0.25">
      <c r="A1209" s="90" t="s">
        <v>855</v>
      </c>
      <c r="B1209" s="90">
        <v>10029</v>
      </c>
      <c r="C1209" s="88" t="s">
        <v>1175</v>
      </c>
      <c r="D1209" s="90" t="s">
        <v>17</v>
      </c>
      <c r="E1209" s="90" t="s">
        <v>1187</v>
      </c>
      <c r="F1209" s="90" t="s">
        <v>855</v>
      </c>
      <c r="G1209" s="137">
        <v>12</v>
      </c>
      <c r="H1209" s="94">
        <v>1080</v>
      </c>
      <c r="I1209" s="91">
        <v>45952</v>
      </c>
      <c r="J1209" s="165">
        <v>0.74236111111111114</v>
      </c>
      <c r="K1209" s="94">
        <v>1080</v>
      </c>
      <c r="L1209" s="72" t="str">
        <f t="shared" si="19"/>
        <v>Payé</v>
      </c>
    </row>
    <row r="1210" spans="1:12" ht="15" customHeight="1" x14ac:dyDescent="0.25">
      <c r="A1210" s="90" t="s">
        <v>855</v>
      </c>
      <c r="B1210" s="90">
        <v>10040</v>
      </c>
      <c r="C1210" s="88" t="s">
        <v>1184</v>
      </c>
      <c r="D1210" s="90" t="s">
        <v>17</v>
      </c>
      <c r="E1210" s="90" t="s">
        <v>1187</v>
      </c>
      <c r="F1210" s="90" t="s">
        <v>855</v>
      </c>
      <c r="G1210" s="137">
        <v>10</v>
      </c>
      <c r="H1210" s="94">
        <v>900</v>
      </c>
      <c r="I1210" s="91">
        <v>45952</v>
      </c>
      <c r="J1210" s="165">
        <v>0.74236111111111114</v>
      </c>
      <c r="K1210" s="94">
        <v>900</v>
      </c>
      <c r="L1210" s="72" t="str">
        <f t="shared" si="19"/>
        <v>Payé</v>
      </c>
    </row>
    <row r="1211" spans="1:12" ht="15" customHeight="1" x14ac:dyDescent="0.25">
      <c r="A1211" s="90" t="s">
        <v>855</v>
      </c>
      <c r="B1211" s="90">
        <v>10053</v>
      </c>
      <c r="C1211" s="88" t="s">
        <v>1221</v>
      </c>
      <c r="D1211" s="90" t="s">
        <v>17</v>
      </c>
      <c r="E1211" s="90" t="s">
        <v>1187</v>
      </c>
      <c r="F1211" s="90" t="s">
        <v>855</v>
      </c>
      <c r="G1211" s="137">
        <v>7</v>
      </c>
      <c r="H1211" s="94">
        <v>630</v>
      </c>
      <c r="I1211" s="91">
        <v>45952</v>
      </c>
      <c r="J1211" s="165">
        <v>0.74236111111111114</v>
      </c>
      <c r="K1211" s="94">
        <v>630</v>
      </c>
      <c r="L1211" s="72" t="str">
        <f t="shared" si="19"/>
        <v>Payé</v>
      </c>
    </row>
    <row r="1212" spans="1:12" ht="15" customHeight="1" x14ac:dyDescent="0.25">
      <c r="A1212" s="90" t="s">
        <v>855</v>
      </c>
      <c r="B1212" s="90">
        <v>10020</v>
      </c>
      <c r="C1212" s="88" t="s">
        <v>1166</v>
      </c>
      <c r="D1212" s="90" t="s">
        <v>17</v>
      </c>
      <c r="E1212" s="90" t="s">
        <v>753</v>
      </c>
      <c r="F1212" s="90" t="s">
        <v>855</v>
      </c>
      <c r="G1212" s="137">
        <v>2</v>
      </c>
      <c r="H1212" s="94">
        <v>180</v>
      </c>
      <c r="I1212" s="91">
        <v>46003</v>
      </c>
      <c r="J1212" s="165">
        <v>0.48194444444444445</v>
      </c>
      <c r="K1212" s="94">
        <v>180</v>
      </c>
      <c r="L1212" s="72" t="str">
        <f t="shared" si="19"/>
        <v>Payé</v>
      </c>
    </row>
    <row r="1213" spans="1:12" ht="15" customHeight="1" x14ac:dyDescent="0.25">
      <c r="A1213" s="90" t="s">
        <v>855</v>
      </c>
      <c r="B1213" s="90">
        <v>10055</v>
      </c>
      <c r="C1213" s="88" t="s">
        <v>1223</v>
      </c>
      <c r="D1213" s="90" t="s">
        <v>17</v>
      </c>
      <c r="E1213" s="90" t="s">
        <v>753</v>
      </c>
      <c r="F1213" s="90" t="s">
        <v>855</v>
      </c>
      <c r="G1213" s="137">
        <v>1</v>
      </c>
      <c r="H1213" s="94">
        <v>90</v>
      </c>
      <c r="I1213" s="91"/>
      <c r="J1213" s="165"/>
      <c r="K1213" s="92"/>
      <c r="L1213" s="72" t="str">
        <f t="shared" si="19"/>
        <v>Impayé</v>
      </c>
    </row>
    <row r="1214" spans="1:12" ht="15" customHeight="1" x14ac:dyDescent="0.25">
      <c r="A1214" s="90" t="s">
        <v>855</v>
      </c>
      <c r="B1214" s="90">
        <v>851</v>
      </c>
      <c r="C1214" s="88" t="s">
        <v>403</v>
      </c>
      <c r="D1214" s="90" t="s">
        <v>17</v>
      </c>
      <c r="E1214" s="90" t="s">
        <v>49</v>
      </c>
      <c r="F1214" s="90" t="s">
        <v>855</v>
      </c>
      <c r="G1214" s="137">
        <v>2</v>
      </c>
      <c r="H1214" s="94">
        <v>182</v>
      </c>
      <c r="I1214" s="91">
        <v>45952</v>
      </c>
      <c r="J1214" s="165">
        <v>0.70208333333333339</v>
      </c>
      <c r="K1214" s="94">
        <v>182</v>
      </c>
      <c r="L1214" s="72" t="str">
        <f t="shared" si="19"/>
        <v>Payé</v>
      </c>
    </row>
    <row r="1215" spans="1:12" ht="15" customHeight="1" x14ac:dyDescent="0.25">
      <c r="A1215" s="90" t="s">
        <v>855</v>
      </c>
      <c r="B1215" s="90">
        <v>1134</v>
      </c>
      <c r="C1215" s="88" t="s">
        <v>959</v>
      </c>
      <c r="D1215" s="90" t="s">
        <v>17</v>
      </c>
      <c r="E1215" s="90" t="s">
        <v>49</v>
      </c>
      <c r="F1215" s="90" t="s">
        <v>855</v>
      </c>
      <c r="G1215" s="137">
        <v>1</v>
      </c>
      <c r="H1215" s="94">
        <v>271</v>
      </c>
      <c r="I1215" s="91">
        <v>45952</v>
      </c>
      <c r="J1215" s="165">
        <v>0.70416666666666661</v>
      </c>
      <c r="K1215" s="94">
        <v>271</v>
      </c>
      <c r="L1215" s="72" t="str">
        <f t="shared" si="19"/>
        <v>Payé</v>
      </c>
    </row>
    <row r="1216" spans="1:12" ht="15" customHeight="1" x14ac:dyDescent="0.25">
      <c r="A1216" s="90" t="s">
        <v>855</v>
      </c>
      <c r="B1216" s="90">
        <v>2702</v>
      </c>
      <c r="C1216" s="88" t="s">
        <v>1208</v>
      </c>
      <c r="D1216" s="90" t="s">
        <v>17</v>
      </c>
      <c r="E1216" s="90" t="s">
        <v>49</v>
      </c>
      <c r="F1216" s="90" t="s">
        <v>855</v>
      </c>
      <c r="G1216" s="137">
        <v>1</v>
      </c>
      <c r="H1216" s="94">
        <v>87</v>
      </c>
      <c r="I1216" s="91">
        <v>45952</v>
      </c>
      <c r="J1216" s="165">
        <v>0.70208333333333339</v>
      </c>
      <c r="K1216" s="94">
        <v>87</v>
      </c>
      <c r="L1216" s="72" t="str">
        <f t="shared" si="19"/>
        <v>Payé</v>
      </c>
    </row>
    <row r="1217" spans="1:12" ht="15" customHeight="1" x14ac:dyDescent="0.25">
      <c r="A1217" s="90" t="s">
        <v>855</v>
      </c>
      <c r="B1217" s="90">
        <v>3439</v>
      </c>
      <c r="C1217" s="88" t="s">
        <v>875</v>
      </c>
      <c r="D1217" s="90" t="s">
        <v>17</v>
      </c>
      <c r="E1217" s="90" t="s">
        <v>49</v>
      </c>
      <c r="F1217" s="90" t="s">
        <v>855</v>
      </c>
      <c r="G1217" s="137">
        <v>6</v>
      </c>
      <c r="H1217" s="94">
        <v>540</v>
      </c>
      <c r="I1217" s="91">
        <v>45952</v>
      </c>
      <c r="J1217" s="165">
        <v>0.70208333333333339</v>
      </c>
      <c r="K1217" s="94">
        <v>540</v>
      </c>
      <c r="L1217" s="72" t="str">
        <f t="shared" si="19"/>
        <v>Payé</v>
      </c>
    </row>
    <row r="1218" spans="1:12" ht="15" customHeight="1" x14ac:dyDescent="0.25">
      <c r="A1218" s="90" t="s">
        <v>855</v>
      </c>
      <c r="B1218" s="90">
        <v>3440</v>
      </c>
      <c r="C1218" s="88" t="s">
        <v>561</v>
      </c>
      <c r="D1218" s="90" t="s">
        <v>17</v>
      </c>
      <c r="E1218" s="90" t="s">
        <v>49</v>
      </c>
      <c r="F1218" s="90" t="s">
        <v>855</v>
      </c>
      <c r="G1218" s="137">
        <v>15</v>
      </c>
      <c r="H1218" s="94">
        <v>1450</v>
      </c>
      <c r="I1218" s="91">
        <v>45952</v>
      </c>
      <c r="J1218" s="165">
        <v>0.70208333333333339</v>
      </c>
      <c r="K1218" s="94">
        <v>1450</v>
      </c>
      <c r="L1218" s="72" t="str">
        <f t="shared" si="19"/>
        <v>Payé</v>
      </c>
    </row>
    <row r="1219" spans="1:12" ht="15" customHeight="1" x14ac:dyDescent="0.25">
      <c r="A1219" s="90" t="s">
        <v>855</v>
      </c>
      <c r="B1219" s="90">
        <v>3751</v>
      </c>
      <c r="C1219" s="88" t="s">
        <v>571</v>
      </c>
      <c r="D1219" s="90" t="s">
        <v>17</v>
      </c>
      <c r="E1219" s="90" t="s">
        <v>49</v>
      </c>
      <c r="F1219" s="90" t="s">
        <v>855</v>
      </c>
      <c r="G1219" s="137">
        <v>15</v>
      </c>
      <c r="H1219" s="94">
        <v>1370</v>
      </c>
      <c r="I1219" s="91">
        <v>45952</v>
      </c>
      <c r="J1219" s="165">
        <v>0.70416666666666661</v>
      </c>
      <c r="K1219" s="94">
        <v>1370</v>
      </c>
      <c r="L1219" s="72" t="str">
        <f t="shared" si="19"/>
        <v>Payé</v>
      </c>
    </row>
    <row r="1220" spans="1:12" ht="15" customHeight="1" x14ac:dyDescent="0.25">
      <c r="A1220" s="90" t="s">
        <v>855</v>
      </c>
      <c r="B1220" s="90">
        <v>3760</v>
      </c>
      <c r="C1220" s="88" t="s">
        <v>465</v>
      </c>
      <c r="D1220" s="90" t="s">
        <v>17</v>
      </c>
      <c r="E1220" s="90" t="s">
        <v>49</v>
      </c>
      <c r="F1220" s="90" t="s">
        <v>855</v>
      </c>
      <c r="G1220" s="137">
        <v>12</v>
      </c>
      <c r="H1220" s="94">
        <v>1080</v>
      </c>
      <c r="I1220" s="91">
        <v>45952</v>
      </c>
      <c r="J1220" s="165">
        <v>0.70208333333333339</v>
      </c>
      <c r="K1220" s="94">
        <v>1080</v>
      </c>
      <c r="L1220" s="72" t="str">
        <f t="shared" si="19"/>
        <v>Payé</v>
      </c>
    </row>
    <row r="1221" spans="1:12" ht="15" customHeight="1" x14ac:dyDescent="0.25">
      <c r="A1221" s="90" t="s">
        <v>855</v>
      </c>
      <c r="B1221" s="90">
        <v>4130</v>
      </c>
      <c r="C1221" s="88" t="s">
        <v>1148</v>
      </c>
      <c r="D1221" s="90" t="s">
        <v>17</v>
      </c>
      <c r="E1221" s="90" t="s">
        <v>49</v>
      </c>
      <c r="F1221" s="90" t="s">
        <v>855</v>
      </c>
      <c r="G1221" s="137">
        <v>2</v>
      </c>
      <c r="H1221" s="94">
        <v>173</v>
      </c>
      <c r="I1221" s="91">
        <v>45952</v>
      </c>
      <c r="J1221" s="165">
        <v>0.70277777777777783</v>
      </c>
      <c r="K1221" s="94">
        <v>173</v>
      </c>
      <c r="L1221" s="72" t="str">
        <f t="shared" si="19"/>
        <v>Payé</v>
      </c>
    </row>
    <row r="1222" spans="1:12" ht="15" customHeight="1" x14ac:dyDescent="0.25">
      <c r="A1222" s="90" t="s">
        <v>855</v>
      </c>
      <c r="B1222" s="90">
        <v>4429</v>
      </c>
      <c r="C1222" s="88" t="s">
        <v>1149</v>
      </c>
      <c r="D1222" s="90" t="s">
        <v>17</v>
      </c>
      <c r="E1222" s="90" t="s">
        <v>49</v>
      </c>
      <c r="F1222" s="90" t="s">
        <v>855</v>
      </c>
      <c r="G1222" s="137">
        <v>12</v>
      </c>
      <c r="H1222" s="94">
        <v>1120</v>
      </c>
      <c r="I1222" s="91">
        <v>45952</v>
      </c>
      <c r="J1222" s="165">
        <v>0.70416666666666661</v>
      </c>
      <c r="K1222" s="94">
        <v>1120</v>
      </c>
      <c r="L1222" s="72" t="str">
        <f t="shared" si="19"/>
        <v>Payé</v>
      </c>
    </row>
    <row r="1223" spans="1:12" ht="15" customHeight="1" x14ac:dyDescent="0.25">
      <c r="A1223" s="90" t="s">
        <v>855</v>
      </c>
      <c r="B1223" s="90">
        <v>4782</v>
      </c>
      <c r="C1223" s="88" t="s">
        <v>698</v>
      </c>
      <c r="D1223" s="90" t="s">
        <v>17</v>
      </c>
      <c r="E1223" s="90" t="s">
        <v>49</v>
      </c>
      <c r="F1223" s="90" t="s">
        <v>855</v>
      </c>
      <c r="G1223" s="137">
        <v>1</v>
      </c>
      <c r="H1223" s="94">
        <v>87</v>
      </c>
      <c r="I1223" s="91">
        <v>45952</v>
      </c>
      <c r="J1223" s="165">
        <v>0.70208333333333339</v>
      </c>
      <c r="K1223" s="94">
        <v>87</v>
      </c>
      <c r="L1223" s="72" t="str">
        <f t="shared" si="19"/>
        <v>Payé</v>
      </c>
    </row>
    <row r="1224" spans="1:12" ht="15" customHeight="1" x14ac:dyDescent="0.25">
      <c r="A1224" s="90" t="s">
        <v>855</v>
      </c>
      <c r="B1224" s="90">
        <v>4840</v>
      </c>
      <c r="C1224" s="88" t="s">
        <v>766</v>
      </c>
      <c r="D1224" s="90" t="s">
        <v>17</v>
      </c>
      <c r="E1224" s="90" t="s">
        <v>49</v>
      </c>
      <c r="F1224" s="90" t="s">
        <v>855</v>
      </c>
      <c r="G1224" s="137">
        <v>15</v>
      </c>
      <c r="H1224" s="94">
        <v>1550</v>
      </c>
      <c r="I1224" s="91">
        <v>45952</v>
      </c>
      <c r="J1224" s="165">
        <v>0.70208333333333339</v>
      </c>
      <c r="K1224" s="94">
        <v>1550</v>
      </c>
      <c r="L1224" s="72" t="str">
        <f t="shared" si="19"/>
        <v>Payé</v>
      </c>
    </row>
    <row r="1225" spans="1:12" ht="15" customHeight="1" x14ac:dyDescent="0.25">
      <c r="A1225" s="90" t="s">
        <v>855</v>
      </c>
      <c r="B1225" s="90">
        <v>6070</v>
      </c>
      <c r="C1225" s="88" t="s">
        <v>1153</v>
      </c>
      <c r="D1225" s="90" t="s">
        <v>17</v>
      </c>
      <c r="E1225" s="90" t="s">
        <v>49</v>
      </c>
      <c r="F1225" s="90" t="s">
        <v>855</v>
      </c>
      <c r="G1225" s="137">
        <v>10</v>
      </c>
      <c r="H1225" s="94">
        <v>900</v>
      </c>
      <c r="I1225" s="91">
        <v>45952</v>
      </c>
      <c r="J1225" s="165">
        <v>0.70208333333333339</v>
      </c>
      <c r="K1225" s="94">
        <v>900</v>
      </c>
      <c r="L1225" s="72" t="str">
        <f t="shared" si="19"/>
        <v>Payé</v>
      </c>
    </row>
    <row r="1226" spans="1:12" ht="15" customHeight="1" x14ac:dyDescent="0.25">
      <c r="A1226" s="90" t="s">
        <v>855</v>
      </c>
      <c r="B1226" s="90">
        <v>6077</v>
      </c>
      <c r="C1226" s="88" t="s">
        <v>1212</v>
      </c>
      <c r="D1226" s="90" t="s">
        <v>17</v>
      </c>
      <c r="E1226" s="90" t="s">
        <v>49</v>
      </c>
      <c r="F1226" s="90" t="s">
        <v>855</v>
      </c>
      <c r="G1226" s="137">
        <v>2</v>
      </c>
      <c r="H1226" s="94">
        <v>173</v>
      </c>
      <c r="I1226" s="91">
        <v>45952</v>
      </c>
      <c r="J1226" s="165">
        <v>0.70208333333333339</v>
      </c>
      <c r="K1226" s="94">
        <v>173</v>
      </c>
      <c r="L1226" s="72" t="str">
        <f t="shared" si="19"/>
        <v>Payé</v>
      </c>
    </row>
    <row r="1227" spans="1:12" ht="15" customHeight="1" x14ac:dyDescent="0.25">
      <c r="A1227" s="90" t="s">
        <v>855</v>
      </c>
      <c r="B1227" s="90">
        <v>7004</v>
      </c>
      <c r="C1227" s="88" t="s">
        <v>713</v>
      </c>
      <c r="D1227" s="90" t="s">
        <v>17</v>
      </c>
      <c r="E1227" s="90" t="s">
        <v>49</v>
      </c>
      <c r="F1227" s="90" t="s">
        <v>855</v>
      </c>
      <c r="G1227" s="137">
        <v>7</v>
      </c>
      <c r="H1227" s="94">
        <v>670</v>
      </c>
      <c r="I1227" s="91">
        <v>45958</v>
      </c>
      <c r="J1227" s="165">
        <v>0.6694444444444444</v>
      </c>
      <c r="K1227" s="94">
        <v>670</v>
      </c>
      <c r="L1227" s="72" t="str">
        <f t="shared" si="19"/>
        <v>Payé</v>
      </c>
    </row>
    <row r="1228" spans="1:12" ht="15" customHeight="1" x14ac:dyDescent="0.25">
      <c r="A1228" s="90" t="s">
        <v>855</v>
      </c>
      <c r="B1228" s="90">
        <v>9034</v>
      </c>
      <c r="C1228" s="88" t="s">
        <v>736</v>
      </c>
      <c r="D1228" s="90" t="s">
        <v>17</v>
      </c>
      <c r="E1228" s="90" t="s">
        <v>49</v>
      </c>
      <c r="F1228" s="90" t="s">
        <v>855</v>
      </c>
      <c r="G1228" s="137">
        <v>14</v>
      </c>
      <c r="H1228" s="94">
        <v>1280</v>
      </c>
      <c r="I1228" s="91">
        <v>45952</v>
      </c>
      <c r="J1228" s="165">
        <v>0.70208333333333339</v>
      </c>
      <c r="K1228" s="94">
        <v>1280</v>
      </c>
      <c r="L1228" s="72" t="str">
        <f t="shared" si="19"/>
        <v>Payé</v>
      </c>
    </row>
    <row r="1229" spans="1:12" ht="15" customHeight="1" x14ac:dyDescent="0.25">
      <c r="A1229" s="90" t="s">
        <v>855</v>
      </c>
      <c r="B1229" s="90">
        <v>10019</v>
      </c>
      <c r="C1229" s="88" t="s">
        <v>1165</v>
      </c>
      <c r="D1229" s="90" t="s">
        <v>17</v>
      </c>
      <c r="E1229" s="90" t="s">
        <v>49</v>
      </c>
      <c r="F1229" s="90" t="s">
        <v>855</v>
      </c>
      <c r="G1229" s="137">
        <v>4</v>
      </c>
      <c r="H1229" s="94">
        <v>400</v>
      </c>
      <c r="I1229" s="91">
        <v>45972</v>
      </c>
      <c r="J1229" s="165">
        <v>0.70208333333333339</v>
      </c>
      <c r="K1229" s="94">
        <v>400</v>
      </c>
      <c r="L1229" s="72" t="str">
        <f t="shared" si="19"/>
        <v>Payé</v>
      </c>
    </row>
    <row r="1230" spans="1:12" ht="15" customHeight="1" x14ac:dyDescent="0.25">
      <c r="A1230" s="90" t="s">
        <v>855</v>
      </c>
      <c r="B1230" s="90">
        <v>10023</v>
      </c>
      <c r="C1230" s="88" t="s">
        <v>1169</v>
      </c>
      <c r="D1230" s="90" t="s">
        <v>17</v>
      </c>
      <c r="E1230" s="90" t="s">
        <v>49</v>
      </c>
      <c r="F1230" s="90" t="s">
        <v>855</v>
      </c>
      <c r="G1230" s="137">
        <v>1</v>
      </c>
      <c r="H1230" s="94">
        <v>90</v>
      </c>
      <c r="I1230" s="91">
        <v>45972</v>
      </c>
      <c r="J1230" s="165">
        <v>0.70208333333333339</v>
      </c>
      <c r="K1230" s="94">
        <v>90</v>
      </c>
      <c r="L1230" s="72" t="str">
        <f t="shared" si="19"/>
        <v>Payé</v>
      </c>
    </row>
    <row r="1231" spans="1:12" ht="15" customHeight="1" x14ac:dyDescent="0.25">
      <c r="A1231" s="90" t="s">
        <v>855</v>
      </c>
      <c r="B1231" s="90">
        <v>10046</v>
      </c>
      <c r="C1231" s="88" t="s">
        <v>1217</v>
      </c>
      <c r="D1231" s="90" t="s">
        <v>17</v>
      </c>
      <c r="E1231" s="90" t="s">
        <v>49</v>
      </c>
      <c r="F1231" s="90" t="s">
        <v>855</v>
      </c>
      <c r="G1231" s="137">
        <v>7</v>
      </c>
      <c r="H1231" s="94">
        <v>650</v>
      </c>
      <c r="I1231" s="91">
        <v>45952</v>
      </c>
      <c r="J1231" s="165">
        <v>0.70208333333333339</v>
      </c>
      <c r="K1231" s="94">
        <v>650</v>
      </c>
      <c r="L1231" s="72" t="str">
        <f t="shared" si="19"/>
        <v>Payé</v>
      </c>
    </row>
    <row r="1232" spans="1:12" ht="15" customHeight="1" x14ac:dyDescent="0.25">
      <c r="A1232" s="90" t="s">
        <v>855</v>
      </c>
      <c r="B1232" s="90" t="s">
        <v>1189</v>
      </c>
      <c r="C1232" s="88" t="s">
        <v>1189</v>
      </c>
      <c r="D1232" s="89" t="s">
        <v>910</v>
      </c>
      <c r="E1232" s="90" t="s">
        <v>49</v>
      </c>
      <c r="F1232" s="90" t="s">
        <v>855</v>
      </c>
      <c r="G1232" s="95">
        <v>265</v>
      </c>
      <c r="H1232" s="92">
        <v>7950</v>
      </c>
      <c r="I1232" s="91">
        <v>45952</v>
      </c>
      <c r="J1232" s="165">
        <v>0.71666666666666667</v>
      </c>
      <c r="K1232" s="92">
        <v>7950</v>
      </c>
      <c r="L1232" s="72" t="str">
        <f t="shared" si="19"/>
        <v>Payé</v>
      </c>
    </row>
    <row r="1233" spans="1:14" ht="15" customHeight="1" x14ac:dyDescent="0.25">
      <c r="A1233" s="90" t="s">
        <v>855</v>
      </c>
      <c r="B1233" s="90" t="s">
        <v>1232</v>
      </c>
      <c r="C1233" s="88" t="s">
        <v>945</v>
      </c>
      <c r="D1233" s="89" t="s">
        <v>912</v>
      </c>
      <c r="E1233" s="90" t="s">
        <v>1232</v>
      </c>
      <c r="F1233" s="90" t="s">
        <v>855</v>
      </c>
      <c r="G1233" s="94">
        <v>17</v>
      </c>
      <c r="H1233" s="92">
        <v>6800</v>
      </c>
      <c r="I1233" s="91">
        <v>45953</v>
      </c>
      <c r="J1233" s="165">
        <v>0.6743055555555556</v>
      </c>
      <c r="K1233" s="92">
        <v>6800</v>
      </c>
      <c r="L1233" s="72" t="str">
        <f t="shared" si="19"/>
        <v>Payé</v>
      </c>
    </row>
    <row r="1234" spans="1:14" ht="15" customHeight="1" x14ac:dyDescent="0.25">
      <c r="A1234" s="90" t="s">
        <v>855</v>
      </c>
      <c r="B1234" s="90" t="s">
        <v>1232</v>
      </c>
      <c r="C1234" s="88" t="s">
        <v>945</v>
      </c>
      <c r="D1234" s="89" t="s">
        <v>912</v>
      </c>
      <c r="E1234" s="90" t="s">
        <v>1232</v>
      </c>
      <c r="F1234" s="90" t="s">
        <v>855</v>
      </c>
      <c r="G1234" s="94">
        <v>1</v>
      </c>
      <c r="H1234" s="92">
        <v>150</v>
      </c>
      <c r="I1234" s="91">
        <v>45953</v>
      </c>
      <c r="J1234" s="165">
        <v>0.6743055555555556</v>
      </c>
      <c r="K1234" s="92">
        <v>150</v>
      </c>
      <c r="L1234" s="72" t="str">
        <f t="shared" si="19"/>
        <v>Payé</v>
      </c>
    </row>
    <row r="1235" spans="1:14" ht="15" customHeight="1" x14ac:dyDescent="0.25">
      <c r="A1235" s="90" t="s">
        <v>855</v>
      </c>
      <c r="B1235" s="90" t="s">
        <v>1232</v>
      </c>
      <c r="C1235" s="88" t="s">
        <v>945</v>
      </c>
      <c r="D1235" s="89" t="s">
        <v>912</v>
      </c>
      <c r="E1235" s="90" t="s">
        <v>1232</v>
      </c>
      <c r="F1235" s="90" t="s">
        <v>855</v>
      </c>
      <c r="G1235" s="94">
        <v>1</v>
      </c>
      <c r="H1235" s="92">
        <v>150</v>
      </c>
      <c r="I1235" s="91">
        <v>45953</v>
      </c>
      <c r="J1235" s="165">
        <v>0.6743055555555556</v>
      </c>
      <c r="K1235" s="92">
        <v>150</v>
      </c>
      <c r="L1235" s="72" t="str">
        <f t="shared" si="19"/>
        <v>Payé</v>
      </c>
    </row>
    <row r="1236" spans="1:14" s="14" customFormat="1" ht="15" customHeight="1" x14ac:dyDescent="0.25">
      <c r="A1236" s="90" t="s">
        <v>857</v>
      </c>
      <c r="B1236" s="90" t="s">
        <v>1351</v>
      </c>
      <c r="C1236" s="88" t="s">
        <v>1195</v>
      </c>
      <c r="D1236" s="89" t="s">
        <v>912</v>
      </c>
      <c r="E1236" s="90" t="s">
        <v>61</v>
      </c>
      <c r="F1236" s="90" t="s">
        <v>857</v>
      </c>
      <c r="G1236" s="94">
        <v>1</v>
      </c>
      <c r="H1236" s="92">
        <v>450</v>
      </c>
      <c r="I1236" s="87">
        <v>45985</v>
      </c>
      <c r="J1236" s="93">
        <v>0.60138888888888886</v>
      </c>
      <c r="K1236" s="92">
        <v>450</v>
      </c>
      <c r="L1236" s="72" t="str">
        <f t="shared" si="19"/>
        <v>Payé</v>
      </c>
      <c r="N1236" s="15"/>
    </row>
    <row r="1237" spans="1:14" s="14" customFormat="1" ht="15" customHeight="1" x14ac:dyDescent="0.25">
      <c r="A1237" s="90" t="s">
        <v>857</v>
      </c>
      <c r="B1237" s="90" t="s">
        <v>1352</v>
      </c>
      <c r="C1237" s="88" t="s">
        <v>1195</v>
      </c>
      <c r="D1237" s="89" t="s">
        <v>912</v>
      </c>
      <c r="E1237" s="90" t="s">
        <v>61</v>
      </c>
      <c r="F1237" s="90" t="s">
        <v>857</v>
      </c>
      <c r="G1237" s="94">
        <v>1</v>
      </c>
      <c r="H1237" s="92">
        <v>450</v>
      </c>
      <c r="I1237" s="87">
        <v>45985</v>
      </c>
      <c r="J1237" s="93">
        <v>0.55069444444444449</v>
      </c>
      <c r="K1237" s="92">
        <v>450</v>
      </c>
      <c r="L1237" s="72" t="str">
        <f t="shared" si="19"/>
        <v>Payé</v>
      </c>
      <c r="N1237" s="15"/>
    </row>
    <row r="1238" spans="1:14" s="14" customFormat="1" ht="15" customHeight="1" x14ac:dyDescent="0.25">
      <c r="A1238" s="90" t="s">
        <v>857</v>
      </c>
      <c r="B1238" s="90" t="s">
        <v>1346</v>
      </c>
      <c r="C1238" s="88" t="s">
        <v>1283</v>
      </c>
      <c r="D1238" s="89" t="s">
        <v>912</v>
      </c>
      <c r="E1238" s="90" t="s">
        <v>61</v>
      </c>
      <c r="F1238" s="90" t="s">
        <v>857</v>
      </c>
      <c r="G1238" s="94">
        <v>8</v>
      </c>
      <c r="H1238" s="92">
        <v>1200</v>
      </c>
      <c r="I1238" s="87">
        <v>45982</v>
      </c>
      <c r="J1238" s="93">
        <v>0.64861111111111114</v>
      </c>
      <c r="K1238" s="92">
        <v>1200</v>
      </c>
      <c r="L1238" s="72" t="str">
        <f t="shared" si="19"/>
        <v>Payé</v>
      </c>
      <c r="N1238" s="15"/>
    </row>
    <row r="1239" spans="1:14" s="14" customFormat="1" ht="15" customHeight="1" x14ac:dyDescent="0.25">
      <c r="A1239" s="90" t="s">
        <v>857</v>
      </c>
      <c r="B1239" s="90" t="s">
        <v>1353</v>
      </c>
      <c r="C1239" s="88" t="s">
        <v>1198</v>
      </c>
      <c r="D1239" s="89" t="s">
        <v>912</v>
      </c>
      <c r="E1239" s="90" t="s">
        <v>61</v>
      </c>
      <c r="F1239" s="90" t="s">
        <v>857</v>
      </c>
      <c r="G1239" s="94">
        <v>22</v>
      </c>
      <c r="H1239" s="92">
        <v>8800</v>
      </c>
      <c r="I1239" s="87">
        <v>45982</v>
      </c>
      <c r="J1239" s="93">
        <v>0.67152777777777783</v>
      </c>
      <c r="K1239" s="92">
        <v>8800</v>
      </c>
      <c r="L1239" s="72" t="str">
        <f t="shared" si="19"/>
        <v>Payé</v>
      </c>
      <c r="N1239" s="15"/>
    </row>
    <row r="1240" spans="1:14" s="14" customFormat="1" ht="15" customHeight="1" x14ac:dyDescent="0.25">
      <c r="A1240" s="90" t="s">
        <v>857</v>
      </c>
      <c r="B1240" s="90" t="s">
        <v>1201</v>
      </c>
      <c r="C1240" s="88" t="s">
        <v>1202</v>
      </c>
      <c r="D1240" s="89" t="s">
        <v>912</v>
      </c>
      <c r="E1240" s="90" t="s">
        <v>61</v>
      </c>
      <c r="F1240" s="90" t="s">
        <v>857</v>
      </c>
      <c r="G1240" s="94">
        <v>27.5</v>
      </c>
      <c r="H1240" s="92">
        <v>6875</v>
      </c>
      <c r="I1240" s="87">
        <v>45982</v>
      </c>
      <c r="J1240" s="93">
        <v>0.49305555555555558</v>
      </c>
      <c r="K1240" s="92">
        <v>6875</v>
      </c>
      <c r="L1240" s="72" t="str">
        <f t="shared" si="19"/>
        <v>Payé</v>
      </c>
      <c r="N1240" s="15"/>
    </row>
    <row r="1241" spans="1:14" s="14" customFormat="1" ht="15" customHeight="1" x14ac:dyDescent="0.25">
      <c r="A1241" s="90" t="s">
        <v>857</v>
      </c>
      <c r="B1241" s="90" t="s">
        <v>1354</v>
      </c>
      <c r="C1241" s="88" t="s">
        <v>1284</v>
      </c>
      <c r="D1241" s="89" t="s">
        <v>912</v>
      </c>
      <c r="E1241" s="90" t="s">
        <v>61</v>
      </c>
      <c r="F1241" s="90" t="s">
        <v>857</v>
      </c>
      <c r="G1241" s="94">
        <v>3</v>
      </c>
      <c r="H1241" s="92">
        <v>1200</v>
      </c>
      <c r="I1241" s="87">
        <v>45982</v>
      </c>
      <c r="J1241" s="93">
        <v>0.64027777777777783</v>
      </c>
      <c r="K1241" s="92">
        <v>1200</v>
      </c>
      <c r="L1241" s="72" t="str">
        <f t="shared" si="19"/>
        <v>Payé</v>
      </c>
      <c r="N1241" s="15"/>
    </row>
    <row r="1242" spans="1:14" s="14" customFormat="1" ht="15" customHeight="1" x14ac:dyDescent="0.25">
      <c r="A1242" s="90" t="s">
        <v>857</v>
      </c>
      <c r="B1242" s="90" t="s">
        <v>1355</v>
      </c>
      <c r="C1242" s="88" t="s">
        <v>1284</v>
      </c>
      <c r="D1242" s="89" t="s">
        <v>912</v>
      </c>
      <c r="E1242" s="90" t="s">
        <v>61</v>
      </c>
      <c r="F1242" s="90" t="s">
        <v>857</v>
      </c>
      <c r="G1242" s="94">
        <v>16</v>
      </c>
      <c r="H1242" s="92">
        <v>8000</v>
      </c>
      <c r="I1242" s="87">
        <v>45986</v>
      </c>
      <c r="J1242" s="93">
        <v>0.5131944444444444</v>
      </c>
      <c r="K1242" s="92">
        <v>8000</v>
      </c>
      <c r="L1242" s="72" t="str">
        <f t="shared" si="19"/>
        <v>Payé</v>
      </c>
      <c r="N1242" s="15"/>
    </row>
    <row r="1243" spans="1:14" s="14" customFormat="1" ht="15" customHeight="1" x14ac:dyDescent="0.25">
      <c r="A1243" s="90" t="s">
        <v>857</v>
      </c>
      <c r="B1243" s="90" t="s">
        <v>1355</v>
      </c>
      <c r="C1243" s="88" t="s">
        <v>1283</v>
      </c>
      <c r="D1243" s="89" t="s">
        <v>912</v>
      </c>
      <c r="E1243" s="90" t="s">
        <v>61</v>
      </c>
      <c r="F1243" s="90" t="s">
        <v>857</v>
      </c>
      <c r="G1243" s="94">
        <v>1</v>
      </c>
      <c r="H1243" s="92">
        <v>500</v>
      </c>
      <c r="I1243" s="87">
        <v>45986</v>
      </c>
      <c r="J1243" s="93">
        <v>0.5131944444444444</v>
      </c>
      <c r="K1243" s="92">
        <v>500</v>
      </c>
      <c r="L1243" s="72" t="str">
        <f t="shared" si="19"/>
        <v>Payé</v>
      </c>
      <c r="N1243" s="15"/>
    </row>
    <row r="1244" spans="1:14" s="14" customFormat="1" ht="15" customHeight="1" x14ac:dyDescent="0.25">
      <c r="A1244" s="90" t="s">
        <v>857</v>
      </c>
      <c r="B1244" s="90">
        <v>3672</v>
      </c>
      <c r="C1244" s="88" t="s">
        <v>568</v>
      </c>
      <c r="D1244" s="90" t="s">
        <v>17</v>
      </c>
      <c r="E1244" s="90" t="s">
        <v>613</v>
      </c>
      <c r="F1244" s="90" t="s">
        <v>857</v>
      </c>
      <c r="G1244" s="137">
        <v>16</v>
      </c>
      <c r="H1244" s="94">
        <v>1781</v>
      </c>
      <c r="I1244" s="87">
        <v>45982</v>
      </c>
      <c r="J1244" s="93">
        <v>0.69444444444444453</v>
      </c>
      <c r="K1244" s="94">
        <v>1781</v>
      </c>
      <c r="L1244" s="72" t="str">
        <f t="shared" si="19"/>
        <v>Payé</v>
      </c>
      <c r="N1244" s="15"/>
    </row>
    <row r="1245" spans="1:14" s="14" customFormat="1" ht="15" customHeight="1" x14ac:dyDescent="0.25">
      <c r="A1245" s="90" t="s">
        <v>857</v>
      </c>
      <c r="B1245" s="90">
        <v>2311</v>
      </c>
      <c r="C1245" s="88" t="s">
        <v>406</v>
      </c>
      <c r="D1245" s="90" t="s">
        <v>17</v>
      </c>
      <c r="E1245" s="90" t="s">
        <v>420</v>
      </c>
      <c r="F1245" s="90" t="s">
        <v>857</v>
      </c>
      <c r="G1245" s="137">
        <v>1</v>
      </c>
      <c r="H1245" s="94">
        <v>91</v>
      </c>
      <c r="I1245" s="87">
        <v>45982</v>
      </c>
      <c r="J1245" s="93">
        <v>0.57361111111111118</v>
      </c>
      <c r="K1245" s="94">
        <v>91</v>
      </c>
      <c r="L1245" s="72" t="str">
        <f t="shared" si="19"/>
        <v>Payé</v>
      </c>
      <c r="N1245" s="15"/>
    </row>
    <row r="1246" spans="1:14" s="14" customFormat="1" ht="15" customHeight="1" x14ac:dyDescent="0.25">
      <c r="A1246" s="90" t="s">
        <v>857</v>
      </c>
      <c r="B1246" s="90">
        <v>3398</v>
      </c>
      <c r="C1246" s="88" t="s">
        <v>557</v>
      </c>
      <c r="D1246" s="90" t="s">
        <v>17</v>
      </c>
      <c r="E1246" s="90" t="s">
        <v>420</v>
      </c>
      <c r="F1246" s="90" t="s">
        <v>857</v>
      </c>
      <c r="G1246" s="137">
        <v>2</v>
      </c>
      <c r="H1246" s="94">
        <v>173</v>
      </c>
      <c r="I1246" s="87">
        <v>45983</v>
      </c>
      <c r="J1246" s="93">
        <v>0.4861111111111111</v>
      </c>
      <c r="K1246" s="94">
        <v>173</v>
      </c>
      <c r="L1246" s="72" t="str">
        <f t="shared" ref="L1246:L1309" si="20">IF(ISBLANK(H1246),"",IF(H1246=K1246,"Payé","Impayé"))</f>
        <v>Payé</v>
      </c>
      <c r="N1246" s="15"/>
    </row>
    <row r="1247" spans="1:14" s="14" customFormat="1" ht="15" customHeight="1" x14ac:dyDescent="0.25">
      <c r="A1247" s="90" t="s">
        <v>857</v>
      </c>
      <c r="B1247" s="90">
        <v>5</v>
      </c>
      <c r="C1247" s="88" t="s">
        <v>456</v>
      </c>
      <c r="D1247" s="90" t="s">
        <v>17</v>
      </c>
      <c r="E1247" s="90" t="s">
        <v>81</v>
      </c>
      <c r="F1247" s="90" t="s">
        <v>857</v>
      </c>
      <c r="G1247" s="137">
        <v>1</v>
      </c>
      <c r="H1247" s="94">
        <v>95</v>
      </c>
      <c r="I1247" s="87">
        <v>45985</v>
      </c>
      <c r="J1247" s="93">
        <v>0.61249999999999993</v>
      </c>
      <c r="K1247" s="94">
        <v>95</v>
      </c>
      <c r="L1247" s="72" t="str">
        <f t="shared" si="20"/>
        <v>Payé</v>
      </c>
      <c r="N1247" s="15"/>
    </row>
    <row r="1248" spans="1:14" s="14" customFormat="1" ht="15" customHeight="1" x14ac:dyDescent="0.25">
      <c r="A1248" s="90" t="s">
        <v>857</v>
      </c>
      <c r="B1248" s="90">
        <v>102</v>
      </c>
      <c r="C1248" s="88" t="s">
        <v>594</v>
      </c>
      <c r="D1248" s="90" t="s">
        <v>17</v>
      </c>
      <c r="E1248" s="90" t="s">
        <v>81</v>
      </c>
      <c r="F1248" s="90" t="s">
        <v>857</v>
      </c>
      <c r="G1248" s="137">
        <v>2</v>
      </c>
      <c r="H1248" s="94">
        <v>191</v>
      </c>
      <c r="I1248" s="87">
        <v>45992</v>
      </c>
      <c r="J1248" s="93">
        <v>0.54791666666666672</v>
      </c>
      <c r="K1248" s="94">
        <v>191</v>
      </c>
      <c r="L1248" s="72" t="str">
        <f t="shared" si="20"/>
        <v>Payé</v>
      </c>
      <c r="N1248" s="15"/>
    </row>
    <row r="1249" spans="1:14" s="14" customFormat="1" ht="15" customHeight="1" x14ac:dyDescent="0.25">
      <c r="A1249" s="90" t="s">
        <v>857</v>
      </c>
      <c r="B1249" s="90">
        <v>179</v>
      </c>
      <c r="C1249" s="88" t="s">
        <v>596</v>
      </c>
      <c r="D1249" s="90" t="s">
        <v>17</v>
      </c>
      <c r="E1249" s="90" t="s">
        <v>81</v>
      </c>
      <c r="F1249" s="90" t="s">
        <v>857</v>
      </c>
      <c r="G1249" s="137">
        <v>2</v>
      </c>
      <c r="H1249" s="94">
        <v>182</v>
      </c>
      <c r="I1249" s="87">
        <v>45983</v>
      </c>
      <c r="J1249" s="93">
        <v>0.4861111111111111</v>
      </c>
      <c r="K1249" s="94">
        <v>182</v>
      </c>
      <c r="L1249" s="72" t="str">
        <f t="shared" si="20"/>
        <v>Payé</v>
      </c>
      <c r="N1249" s="15"/>
    </row>
    <row r="1250" spans="1:14" s="14" customFormat="1" ht="15" customHeight="1" x14ac:dyDescent="0.25">
      <c r="A1250" s="90" t="s">
        <v>857</v>
      </c>
      <c r="B1250" s="90">
        <v>201</v>
      </c>
      <c r="C1250" s="88" t="s">
        <v>599</v>
      </c>
      <c r="D1250" s="90" t="s">
        <v>17</v>
      </c>
      <c r="E1250" s="90" t="s">
        <v>81</v>
      </c>
      <c r="F1250" s="90" t="s">
        <v>857</v>
      </c>
      <c r="G1250" s="137">
        <v>1</v>
      </c>
      <c r="H1250" s="94">
        <v>91</v>
      </c>
      <c r="I1250" s="87">
        <v>45983</v>
      </c>
      <c r="J1250" s="93">
        <v>0.4861111111111111</v>
      </c>
      <c r="K1250" s="94">
        <v>91</v>
      </c>
      <c r="L1250" s="72" t="str">
        <f t="shared" si="20"/>
        <v>Payé</v>
      </c>
      <c r="N1250" s="15"/>
    </row>
    <row r="1251" spans="1:14" s="14" customFormat="1" ht="15" customHeight="1" x14ac:dyDescent="0.25">
      <c r="A1251" s="90" t="s">
        <v>857</v>
      </c>
      <c r="B1251" s="90">
        <v>6</v>
      </c>
      <c r="C1251" s="88" t="s">
        <v>542</v>
      </c>
      <c r="D1251" s="90" t="s">
        <v>17</v>
      </c>
      <c r="E1251" s="90" t="s">
        <v>368</v>
      </c>
      <c r="F1251" s="90" t="s">
        <v>857</v>
      </c>
      <c r="G1251" s="137">
        <v>2</v>
      </c>
      <c r="H1251" s="94">
        <v>191</v>
      </c>
      <c r="I1251" s="87">
        <v>45986</v>
      </c>
      <c r="J1251" s="93">
        <v>0.51874999999999993</v>
      </c>
      <c r="K1251" s="94">
        <v>191</v>
      </c>
      <c r="L1251" s="72" t="str">
        <f t="shared" si="20"/>
        <v>Payé</v>
      </c>
      <c r="N1251" s="15"/>
    </row>
    <row r="1252" spans="1:14" s="14" customFormat="1" ht="15" customHeight="1" x14ac:dyDescent="0.25">
      <c r="A1252" s="90" t="s">
        <v>857</v>
      </c>
      <c r="B1252" s="90">
        <v>10007</v>
      </c>
      <c r="C1252" s="88" t="s">
        <v>1133</v>
      </c>
      <c r="D1252" s="90" t="s">
        <v>17</v>
      </c>
      <c r="E1252" s="90" t="s">
        <v>368</v>
      </c>
      <c r="F1252" s="90" t="s">
        <v>857</v>
      </c>
      <c r="G1252" s="137">
        <v>11</v>
      </c>
      <c r="H1252" s="94">
        <v>1320</v>
      </c>
      <c r="I1252" s="87">
        <v>45982</v>
      </c>
      <c r="J1252" s="93">
        <v>0.62083333333333335</v>
      </c>
      <c r="K1252" s="94">
        <v>1320</v>
      </c>
      <c r="L1252" s="72" t="str">
        <f t="shared" si="20"/>
        <v>Payé</v>
      </c>
      <c r="N1252" s="15"/>
    </row>
    <row r="1253" spans="1:14" s="14" customFormat="1" ht="15" customHeight="1" x14ac:dyDescent="0.25">
      <c r="A1253" s="90" t="s">
        <v>857</v>
      </c>
      <c r="B1253" s="90">
        <v>2299</v>
      </c>
      <c r="C1253" s="88" t="s">
        <v>1144</v>
      </c>
      <c r="D1253" s="90" t="s">
        <v>17</v>
      </c>
      <c r="E1253" s="90" t="s">
        <v>370</v>
      </c>
      <c r="F1253" s="90" t="s">
        <v>857</v>
      </c>
      <c r="G1253" s="137">
        <v>15</v>
      </c>
      <c r="H1253" s="94">
        <v>1500</v>
      </c>
      <c r="I1253" s="87">
        <v>45983</v>
      </c>
      <c r="J1253" s="93">
        <v>0.46736111111111112</v>
      </c>
      <c r="K1253" s="94">
        <v>1500</v>
      </c>
      <c r="L1253" s="72" t="str">
        <f t="shared" si="20"/>
        <v>Payé</v>
      </c>
      <c r="N1253" s="15"/>
    </row>
    <row r="1254" spans="1:14" s="14" customFormat="1" ht="15" customHeight="1" x14ac:dyDescent="0.25">
      <c r="A1254" s="90" t="s">
        <v>857</v>
      </c>
      <c r="B1254" s="90">
        <v>5365</v>
      </c>
      <c r="C1254" s="88" t="s">
        <v>1123</v>
      </c>
      <c r="D1254" s="90" t="s">
        <v>17</v>
      </c>
      <c r="E1254" s="90" t="s">
        <v>370</v>
      </c>
      <c r="F1254" s="90" t="s">
        <v>857</v>
      </c>
      <c r="G1254" s="137">
        <v>16</v>
      </c>
      <c r="H1254" s="94">
        <v>2028</v>
      </c>
      <c r="I1254" s="87">
        <v>45982</v>
      </c>
      <c r="J1254" s="93">
        <v>0.62083333333333335</v>
      </c>
      <c r="K1254" s="94">
        <v>2028</v>
      </c>
      <c r="L1254" s="72" t="str">
        <f t="shared" si="20"/>
        <v>Payé</v>
      </c>
      <c r="N1254" s="15"/>
    </row>
    <row r="1255" spans="1:14" s="14" customFormat="1" ht="15" customHeight="1" x14ac:dyDescent="0.25">
      <c r="A1255" s="90" t="s">
        <v>857</v>
      </c>
      <c r="B1255" s="90">
        <v>10004</v>
      </c>
      <c r="C1255" s="88" t="s">
        <v>1130</v>
      </c>
      <c r="D1255" s="90" t="s">
        <v>17</v>
      </c>
      <c r="E1255" s="90" t="s">
        <v>370</v>
      </c>
      <c r="F1255" s="90" t="s">
        <v>857</v>
      </c>
      <c r="G1255" s="137">
        <v>16</v>
      </c>
      <c r="H1255" s="94">
        <v>1920</v>
      </c>
      <c r="I1255" s="87">
        <v>45982</v>
      </c>
      <c r="J1255" s="93">
        <v>0.62083333333333335</v>
      </c>
      <c r="K1255" s="94">
        <v>1920</v>
      </c>
      <c r="L1255" s="72" t="str">
        <f t="shared" si="20"/>
        <v>Payé</v>
      </c>
      <c r="N1255" s="15"/>
    </row>
    <row r="1256" spans="1:14" s="14" customFormat="1" ht="15" customHeight="1" x14ac:dyDescent="0.25">
      <c r="A1256" s="90" t="s">
        <v>857</v>
      </c>
      <c r="B1256" s="90">
        <v>10006</v>
      </c>
      <c r="C1256" s="88" t="s">
        <v>1132</v>
      </c>
      <c r="D1256" s="90" t="s">
        <v>17</v>
      </c>
      <c r="E1256" s="90" t="s">
        <v>370</v>
      </c>
      <c r="F1256" s="90" t="s">
        <v>857</v>
      </c>
      <c r="G1256" s="137">
        <v>16</v>
      </c>
      <c r="H1256" s="94">
        <v>1920</v>
      </c>
      <c r="I1256" s="87">
        <v>45982</v>
      </c>
      <c r="J1256" s="93">
        <v>0.62083333333333335</v>
      </c>
      <c r="K1256" s="94">
        <v>1920</v>
      </c>
      <c r="L1256" s="72" t="str">
        <f t="shared" si="20"/>
        <v>Payé</v>
      </c>
      <c r="N1256" s="15"/>
    </row>
    <row r="1257" spans="1:14" s="14" customFormat="1" ht="15" customHeight="1" x14ac:dyDescent="0.25">
      <c r="A1257" s="90" t="s">
        <v>857</v>
      </c>
      <c r="B1257" s="90">
        <v>198</v>
      </c>
      <c r="C1257" s="88" t="s">
        <v>380</v>
      </c>
      <c r="D1257" s="90" t="s">
        <v>17</v>
      </c>
      <c r="E1257" s="90" t="s">
        <v>369</v>
      </c>
      <c r="F1257" s="90" t="s">
        <v>857</v>
      </c>
      <c r="G1257" s="137">
        <v>2</v>
      </c>
      <c r="H1257" s="94">
        <v>182</v>
      </c>
      <c r="I1257" s="87">
        <v>45985</v>
      </c>
      <c r="J1257" s="93">
        <v>0.50972222222222219</v>
      </c>
      <c r="K1257" s="94">
        <v>182</v>
      </c>
      <c r="L1257" s="72" t="str">
        <f t="shared" si="20"/>
        <v>Payé</v>
      </c>
      <c r="N1257" s="15"/>
    </row>
    <row r="1258" spans="1:14" s="14" customFormat="1" ht="15" customHeight="1" x14ac:dyDescent="0.25">
      <c r="A1258" s="90" t="s">
        <v>857</v>
      </c>
      <c r="B1258" s="90">
        <v>753</v>
      </c>
      <c r="C1258" s="88" t="s">
        <v>956</v>
      </c>
      <c r="D1258" s="90" t="s">
        <v>17</v>
      </c>
      <c r="E1258" s="90" t="s">
        <v>369</v>
      </c>
      <c r="F1258" s="90" t="s">
        <v>857</v>
      </c>
      <c r="G1258" s="137">
        <v>1</v>
      </c>
      <c r="H1258" s="94">
        <v>91</v>
      </c>
      <c r="I1258" s="87">
        <v>45986</v>
      </c>
      <c r="J1258" s="93">
        <v>0.3659722222222222</v>
      </c>
      <c r="K1258" s="94">
        <v>91</v>
      </c>
      <c r="L1258" s="72" t="str">
        <f t="shared" si="20"/>
        <v>Payé</v>
      </c>
      <c r="N1258" s="15"/>
    </row>
    <row r="1259" spans="1:14" s="14" customFormat="1" ht="15" customHeight="1" x14ac:dyDescent="0.25">
      <c r="A1259" s="90" t="s">
        <v>857</v>
      </c>
      <c r="B1259" s="90">
        <v>2300</v>
      </c>
      <c r="C1259" s="88" t="s">
        <v>1115</v>
      </c>
      <c r="D1259" s="90" t="s">
        <v>17</v>
      </c>
      <c r="E1259" s="90" t="s">
        <v>369</v>
      </c>
      <c r="F1259" s="90" t="s">
        <v>857</v>
      </c>
      <c r="G1259" s="137">
        <v>1</v>
      </c>
      <c r="H1259" s="94">
        <v>120</v>
      </c>
      <c r="I1259" s="87">
        <v>45985</v>
      </c>
      <c r="J1259" s="93">
        <v>0.50972222222222219</v>
      </c>
      <c r="K1259" s="94">
        <v>120</v>
      </c>
      <c r="L1259" s="72" t="str">
        <f t="shared" si="20"/>
        <v>Payé</v>
      </c>
      <c r="N1259" s="15"/>
    </row>
    <row r="1260" spans="1:14" s="14" customFormat="1" ht="15" customHeight="1" x14ac:dyDescent="0.25">
      <c r="A1260" s="90" t="s">
        <v>857</v>
      </c>
      <c r="B1260" s="90">
        <v>10035</v>
      </c>
      <c r="C1260" s="88" t="s">
        <v>1181</v>
      </c>
      <c r="D1260" s="90" t="s">
        <v>17</v>
      </c>
      <c r="E1260" s="90" t="s">
        <v>369</v>
      </c>
      <c r="F1260" s="90" t="s">
        <v>857</v>
      </c>
      <c r="G1260" s="137">
        <v>14</v>
      </c>
      <c r="H1260" s="94">
        <v>1400</v>
      </c>
      <c r="I1260" s="87">
        <v>45982</v>
      </c>
      <c r="J1260" s="93">
        <v>0.62083333333333335</v>
      </c>
      <c r="K1260" s="94">
        <v>1400</v>
      </c>
      <c r="L1260" s="72" t="str">
        <f t="shared" si="20"/>
        <v>Payé</v>
      </c>
      <c r="N1260" s="15"/>
    </row>
    <row r="1261" spans="1:14" s="14" customFormat="1" ht="15" customHeight="1" x14ac:dyDescent="0.25">
      <c r="A1261" s="90" t="s">
        <v>857</v>
      </c>
      <c r="B1261" s="90">
        <v>10038</v>
      </c>
      <c r="C1261" s="88" t="s">
        <v>1182</v>
      </c>
      <c r="D1261" s="90" t="s">
        <v>17</v>
      </c>
      <c r="E1261" s="90" t="s">
        <v>369</v>
      </c>
      <c r="F1261" s="90" t="s">
        <v>857</v>
      </c>
      <c r="G1261" s="137">
        <v>1</v>
      </c>
      <c r="H1261" s="94">
        <v>100</v>
      </c>
      <c r="I1261" s="87">
        <v>45982</v>
      </c>
      <c r="J1261" s="93">
        <v>0.69513888888888886</v>
      </c>
      <c r="K1261" s="94">
        <v>100</v>
      </c>
      <c r="L1261" s="72" t="str">
        <f t="shared" si="20"/>
        <v>Payé</v>
      </c>
      <c r="N1261" s="15"/>
    </row>
    <row r="1262" spans="1:14" s="14" customFormat="1" ht="15" customHeight="1" x14ac:dyDescent="0.25">
      <c r="A1262" s="90" t="s">
        <v>857</v>
      </c>
      <c r="B1262" s="90">
        <v>95</v>
      </c>
      <c r="C1262" s="88" t="s">
        <v>408</v>
      </c>
      <c r="D1262" s="90" t="s">
        <v>17</v>
      </c>
      <c r="E1262" s="90" t="s">
        <v>103</v>
      </c>
      <c r="F1262" s="90" t="s">
        <v>857</v>
      </c>
      <c r="G1262" s="137">
        <v>2</v>
      </c>
      <c r="H1262" s="94">
        <v>182</v>
      </c>
      <c r="I1262" s="87">
        <v>45985</v>
      </c>
      <c r="J1262" s="93">
        <v>0.61249999999999993</v>
      </c>
      <c r="K1262" s="94">
        <v>182</v>
      </c>
      <c r="L1262" s="72" t="str">
        <f t="shared" si="20"/>
        <v>Payé</v>
      </c>
      <c r="N1262" s="15"/>
    </row>
    <row r="1263" spans="1:14" s="14" customFormat="1" ht="15" customHeight="1" x14ac:dyDescent="0.25">
      <c r="A1263" s="90" t="s">
        <v>857</v>
      </c>
      <c r="B1263" s="90">
        <v>191</v>
      </c>
      <c r="C1263" s="88" t="s">
        <v>545</v>
      </c>
      <c r="D1263" s="90" t="s">
        <v>17</v>
      </c>
      <c r="E1263" s="90" t="s">
        <v>103</v>
      </c>
      <c r="F1263" s="90" t="s">
        <v>857</v>
      </c>
      <c r="G1263" s="137">
        <v>1</v>
      </c>
      <c r="H1263" s="94">
        <v>91</v>
      </c>
      <c r="I1263" s="87">
        <v>45985</v>
      </c>
      <c r="J1263" s="93">
        <v>0.61249999999999993</v>
      </c>
      <c r="K1263" s="94">
        <v>91</v>
      </c>
      <c r="L1263" s="72" t="str">
        <f t="shared" si="20"/>
        <v>Payé</v>
      </c>
      <c r="N1263" s="15"/>
    </row>
    <row r="1264" spans="1:14" s="14" customFormat="1" ht="15" customHeight="1" x14ac:dyDescent="0.25">
      <c r="A1264" s="90" t="s">
        <v>857</v>
      </c>
      <c r="B1264" s="90">
        <v>2384</v>
      </c>
      <c r="C1264" s="88" t="s">
        <v>541</v>
      </c>
      <c r="D1264" s="90" t="s">
        <v>17</v>
      </c>
      <c r="E1264" s="90" t="s">
        <v>103</v>
      </c>
      <c r="F1264" s="90" t="s">
        <v>857</v>
      </c>
      <c r="G1264" s="137">
        <v>1</v>
      </c>
      <c r="H1264" s="94">
        <v>87</v>
      </c>
      <c r="I1264" s="87">
        <v>45986</v>
      </c>
      <c r="J1264" s="93">
        <v>0.51874999999999993</v>
      </c>
      <c r="K1264" s="94">
        <v>87</v>
      </c>
      <c r="L1264" s="72" t="str">
        <f t="shared" si="20"/>
        <v>Payé</v>
      </c>
      <c r="N1264" s="15"/>
    </row>
    <row r="1265" spans="1:14" s="14" customFormat="1" ht="15" customHeight="1" x14ac:dyDescent="0.25">
      <c r="A1265" s="90" t="s">
        <v>857</v>
      </c>
      <c r="B1265" s="90">
        <v>2625</v>
      </c>
      <c r="C1265" s="88" t="s">
        <v>1145</v>
      </c>
      <c r="D1265" s="90" t="s">
        <v>17</v>
      </c>
      <c r="E1265" s="90" t="s">
        <v>103</v>
      </c>
      <c r="F1265" s="90" t="s">
        <v>857</v>
      </c>
      <c r="G1265" s="137">
        <v>16</v>
      </c>
      <c r="H1265" s="94">
        <v>1600</v>
      </c>
      <c r="I1265" s="87">
        <v>45982</v>
      </c>
      <c r="J1265" s="93">
        <v>0.69513888888888886</v>
      </c>
      <c r="K1265" s="94">
        <v>1600</v>
      </c>
      <c r="L1265" s="72" t="str">
        <f t="shared" si="20"/>
        <v>Payé</v>
      </c>
      <c r="N1265" s="15"/>
    </row>
    <row r="1266" spans="1:14" s="14" customFormat="1" ht="15" customHeight="1" x14ac:dyDescent="0.25">
      <c r="A1266" s="90" t="s">
        <v>857</v>
      </c>
      <c r="B1266" s="90">
        <v>348</v>
      </c>
      <c r="C1266" s="88" t="s">
        <v>951</v>
      </c>
      <c r="D1266" s="90" t="s">
        <v>17</v>
      </c>
      <c r="E1266" s="90" t="s">
        <v>123</v>
      </c>
      <c r="F1266" s="90" t="s">
        <v>857</v>
      </c>
      <c r="G1266" s="137">
        <v>2</v>
      </c>
      <c r="H1266" s="94">
        <v>182</v>
      </c>
      <c r="I1266" s="87">
        <v>45983</v>
      </c>
      <c r="J1266" s="93">
        <v>0.47083333333333338</v>
      </c>
      <c r="K1266" s="94">
        <v>182</v>
      </c>
      <c r="L1266" s="72" t="str">
        <f t="shared" si="20"/>
        <v>Payé</v>
      </c>
      <c r="N1266" s="15"/>
    </row>
    <row r="1267" spans="1:14" s="14" customFormat="1" ht="15" customHeight="1" x14ac:dyDescent="0.25">
      <c r="A1267" s="90" t="s">
        <v>857</v>
      </c>
      <c r="B1267" s="90">
        <v>1611</v>
      </c>
      <c r="C1267" s="88" t="s">
        <v>1234</v>
      </c>
      <c r="D1267" s="90" t="s">
        <v>17</v>
      </c>
      <c r="E1267" s="90" t="s">
        <v>123</v>
      </c>
      <c r="F1267" s="90" t="s">
        <v>857</v>
      </c>
      <c r="G1267" s="137">
        <v>16</v>
      </c>
      <c r="H1267" s="94">
        <v>1580</v>
      </c>
      <c r="I1267" s="87">
        <v>45982</v>
      </c>
      <c r="J1267" s="93">
        <v>0.6791666666666667</v>
      </c>
      <c r="K1267" s="94">
        <v>1580</v>
      </c>
      <c r="L1267" s="72" t="str">
        <f t="shared" si="20"/>
        <v>Payé</v>
      </c>
      <c r="N1267" s="15"/>
    </row>
    <row r="1268" spans="1:14" s="14" customFormat="1" ht="15" customHeight="1" x14ac:dyDescent="0.25">
      <c r="A1268" s="90" t="s">
        <v>857</v>
      </c>
      <c r="B1268" s="90">
        <v>1723</v>
      </c>
      <c r="C1268" s="88" t="s">
        <v>395</v>
      </c>
      <c r="D1268" s="90" t="s">
        <v>17</v>
      </c>
      <c r="E1268" s="90" t="s">
        <v>123</v>
      </c>
      <c r="F1268" s="90" t="s">
        <v>857</v>
      </c>
      <c r="G1268" s="137">
        <v>2</v>
      </c>
      <c r="H1268" s="94">
        <v>182</v>
      </c>
      <c r="I1268" s="87">
        <v>45988</v>
      </c>
      <c r="J1268" s="93">
        <v>0.64166666666666672</v>
      </c>
      <c r="K1268" s="94">
        <v>182</v>
      </c>
      <c r="L1268" s="72" t="str">
        <f t="shared" si="20"/>
        <v>Payé</v>
      </c>
      <c r="N1268" s="15"/>
    </row>
    <row r="1269" spans="1:14" s="14" customFormat="1" ht="15" customHeight="1" x14ac:dyDescent="0.25">
      <c r="A1269" s="90" t="s">
        <v>857</v>
      </c>
      <c r="B1269" s="90">
        <v>2403</v>
      </c>
      <c r="C1269" s="88" t="s">
        <v>1207</v>
      </c>
      <c r="D1269" s="90" t="s">
        <v>17</v>
      </c>
      <c r="E1269" s="90" t="s">
        <v>123</v>
      </c>
      <c r="F1269" s="90" t="s">
        <v>857</v>
      </c>
      <c r="G1269" s="137">
        <v>12</v>
      </c>
      <c r="H1269" s="94">
        <v>1080</v>
      </c>
      <c r="I1269" s="87">
        <v>45982</v>
      </c>
      <c r="J1269" s="93">
        <v>0.66180555555555554</v>
      </c>
      <c r="K1269" s="94">
        <v>1080</v>
      </c>
      <c r="L1269" s="72" t="str">
        <f t="shared" si="20"/>
        <v>Payé</v>
      </c>
      <c r="N1269" s="15"/>
    </row>
    <row r="1270" spans="1:14" s="14" customFormat="1" ht="15" customHeight="1" x14ac:dyDescent="0.25">
      <c r="A1270" s="90" t="s">
        <v>857</v>
      </c>
      <c r="B1270" s="90">
        <v>2856</v>
      </c>
      <c r="C1270" s="88" t="s">
        <v>1288</v>
      </c>
      <c r="D1270" s="90" t="s">
        <v>17</v>
      </c>
      <c r="E1270" s="90" t="s">
        <v>123</v>
      </c>
      <c r="F1270" s="90" t="s">
        <v>857</v>
      </c>
      <c r="G1270" s="137">
        <v>5</v>
      </c>
      <c r="H1270" s="94">
        <v>500</v>
      </c>
      <c r="I1270" s="87">
        <v>45987</v>
      </c>
      <c r="J1270" s="93">
        <v>0.64583333333333337</v>
      </c>
      <c r="K1270" s="94">
        <v>500</v>
      </c>
      <c r="L1270" s="72" t="str">
        <f t="shared" si="20"/>
        <v>Payé</v>
      </c>
      <c r="N1270" s="15"/>
    </row>
    <row r="1271" spans="1:14" s="14" customFormat="1" ht="15" customHeight="1" x14ac:dyDescent="0.25">
      <c r="A1271" s="90" t="s">
        <v>857</v>
      </c>
      <c r="B1271" s="90">
        <v>3409</v>
      </c>
      <c r="C1271" s="88" t="s">
        <v>559</v>
      </c>
      <c r="D1271" s="90" t="s">
        <v>17</v>
      </c>
      <c r="E1271" s="90" t="s">
        <v>123</v>
      </c>
      <c r="F1271" s="90" t="s">
        <v>857</v>
      </c>
      <c r="G1271" s="137">
        <v>14.5</v>
      </c>
      <c r="H1271" s="94">
        <v>1385</v>
      </c>
      <c r="I1271" s="87">
        <v>45983</v>
      </c>
      <c r="J1271" s="93">
        <v>0.47083333333333338</v>
      </c>
      <c r="K1271" s="94">
        <v>1385</v>
      </c>
      <c r="L1271" s="72" t="str">
        <f t="shared" si="20"/>
        <v>Payé</v>
      </c>
      <c r="N1271" s="15"/>
    </row>
    <row r="1272" spans="1:14" s="14" customFormat="1" ht="15" customHeight="1" x14ac:dyDescent="0.25">
      <c r="A1272" s="90" t="s">
        <v>857</v>
      </c>
      <c r="B1272" s="90">
        <v>3793</v>
      </c>
      <c r="C1272" s="88" t="s">
        <v>572</v>
      </c>
      <c r="D1272" s="90" t="s">
        <v>17</v>
      </c>
      <c r="E1272" s="90" t="s">
        <v>123</v>
      </c>
      <c r="F1272" s="90" t="s">
        <v>857</v>
      </c>
      <c r="G1272" s="137">
        <v>15</v>
      </c>
      <c r="H1272" s="94">
        <v>1370</v>
      </c>
      <c r="I1272" s="87">
        <v>45983</v>
      </c>
      <c r="J1272" s="93">
        <v>0.47083333333333338</v>
      </c>
      <c r="K1272" s="94">
        <v>1370</v>
      </c>
      <c r="L1272" s="72" t="str">
        <f t="shared" si="20"/>
        <v>Payé</v>
      </c>
      <c r="N1272" s="15"/>
    </row>
    <row r="1273" spans="1:14" s="14" customFormat="1" ht="15" customHeight="1" x14ac:dyDescent="0.25">
      <c r="A1273" s="90" t="s">
        <v>857</v>
      </c>
      <c r="B1273" s="90">
        <v>4373</v>
      </c>
      <c r="C1273" s="88" t="s">
        <v>988</v>
      </c>
      <c r="D1273" s="90" t="s">
        <v>17</v>
      </c>
      <c r="E1273" s="90" t="s">
        <v>123</v>
      </c>
      <c r="F1273" s="90" t="s">
        <v>857</v>
      </c>
      <c r="G1273" s="137">
        <v>2</v>
      </c>
      <c r="H1273" s="94">
        <v>180</v>
      </c>
      <c r="I1273" s="87">
        <v>45982</v>
      </c>
      <c r="J1273" s="93">
        <v>0.64236111111111105</v>
      </c>
      <c r="K1273" s="94">
        <v>180</v>
      </c>
      <c r="L1273" s="72" t="str">
        <f t="shared" si="20"/>
        <v>Payé</v>
      </c>
      <c r="N1273" s="15"/>
    </row>
    <row r="1274" spans="1:14" s="14" customFormat="1" ht="15" customHeight="1" x14ac:dyDescent="0.25">
      <c r="A1274" s="90" t="s">
        <v>857</v>
      </c>
      <c r="B1274" s="156">
        <v>5258</v>
      </c>
      <c r="C1274" s="88" t="s">
        <v>893</v>
      </c>
      <c r="D1274" s="90" t="s">
        <v>17</v>
      </c>
      <c r="E1274" s="90" t="s">
        <v>123</v>
      </c>
      <c r="F1274" s="90" t="s">
        <v>857</v>
      </c>
      <c r="G1274" s="137">
        <v>8</v>
      </c>
      <c r="H1274" s="94">
        <v>720</v>
      </c>
      <c r="I1274" s="87">
        <v>45982</v>
      </c>
      <c r="J1274" s="93">
        <v>0.66180555555555554</v>
      </c>
      <c r="K1274" s="94">
        <v>720</v>
      </c>
      <c r="L1274" s="72" t="str">
        <f t="shared" si="20"/>
        <v>Payé</v>
      </c>
      <c r="N1274" s="15"/>
    </row>
    <row r="1275" spans="1:14" s="14" customFormat="1" ht="15" customHeight="1" x14ac:dyDescent="0.25">
      <c r="A1275" s="90" t="s">
        <v>857</v>
      </c>
      <c r="B1275" s="90">
        <v>5344</v>
      </c>
      <c r="C1275" s="211" t="s">
        <v>1079</v>
      </c>
      <c r="D1275" s="90" t="s">
        <v>17</v>
      </c>
      <c r="E1275" s="90" t="s">
        <v>123</v>
      </c>
      <c r="F1275" s="90" t="s">
        <v>857</v>
      </c>
      <c r="G1275" s="137">
        <v>4</v>
      </c>
      <c r="H1275" s="94">
        <v>370</v>
      </c>
      <c r="I1275" s="87">
        <v>45982</v>
      </c>
      <c r="J1275" s="93">
        <v>0.69791666666666663</v>
      </c>
      <c r="K1275" s="94">
        <v>370</v>
      </c>
      <c r="L1275" s="72" t="str">
        <f t="shared" si="20"/>
        <v>Payé</v>
      </c>
      <c r="N1275" s="15"/>
    </row>
    <row r="1276" spans="1:14" s="14" customFormat="1" ht="15" customHeight="1" x14ac:dyDescent="0.25">
      <c r="A1276" s="90" t="s">
        <v>857</v>
      </c>
      <c r="B1276" s="90"/>
      <c r="C1276" s="88" t="s">
        <v>585</v>
      </c>
      <c r="D1276" s="89" t="s">
        <v>910</v>
      </c>
      <c r="E1276" s="90" t="s">
        <v>123</v>
      </c>
      <c r="F1276" s="90" t="s">
        <v>857</v>
      </c>
      <c r="G1276" s="95">
        <v>145.5</v>
      </c>
      <c r="H1276" s="92">
        <v>4365</v>
      </c>
      <c r="I1276" s="87">
        <v>45982</v>
      </c>
      <c r="J1276" s="93">
        <v>0.65902777777777777</v>
      </c>
      <c r="K1276" s="92">
        <v>4365</v>
      </c>
      <c r="L1276" s="72" t="str">
        <f t="shared" si="20"/>
        <v>Payé</v>
      </c>
      <c r="N1276" s="15"/>
    </row>
    <row r="1277" spans="1:14" s="14" customFormat="1" ht="15" customHeight="1" x14ac:dyDescent="0.25">
      <c r="A1277" s="90" t="s">
        <v>857</v>
      </c>
      <c r="B1277" s="90">
        <v>5136</v>
      </c>
      <c r="C1277" s="88" t="s">
        <v>1067</v>
      </c>
      <c r="D1277" s="90" t="s">
        <v>17</v>
      </c>
      <c r="E1277" s="90" t="s">
        <v>1104</v>
      </c>
      <c r="F1277" s="90" t="s">
        <v>857</v>
      </c>
      <c r="G1277" s="137">
        <v>14</v>
      </c>
      <c r="H1277" s="94">
        <v>1270</v>
      </c>
      <c r="I1277" s="87">
        <v>45982</v>
      </c>
      <c r="J1277" s="93">
        <v>0.69791666666666663</v>
      </c>
      <c r="K1277" s="94">
        <v>1270</v>
      </c>
      <c r="L1277" s="72" t="str">
        <f t="shared" si="20"/>
        <v>Payé</v>
      </c>
      <c r="N1277" s="15"/>
    </row>
    <row r="1278" spans="1:14" s="14" customFormat="1" ht="15" customHeight="1" x14ac:dyDescent="0.25">
      <c r="A1278" s="90" t="s">
        <v>857</v>
      </c>
      <c r="B1278" s="90">
        <v>5305</v>
      </c>
      <c r="C1278" s="88" t="s">
        <v>1016</v>
      </c>
      <c r="D1278" s="90" t="s">
        <v>17</v>
      </c>
      <c r="E1278" s="90" t="s">
        <v>1104</v>
      </c>
      <c r="F1278" s="90" t="s">
        <v>857</v>
      </c>
      <c r="G1278" s="137">
        <v>9</v>
      </c>
      <c r="H1278" s="94">
        <v>810</v>
      </c>
      <c r="I1278" s="87">
        <v>45985</v>
      </c>
      <c r="J1278" s="93" t="s">
        <v>1356</v>
      </c>
      <c r="K1278" s="94">
        <v>810</v>
      </c>
      <c r="L1278" s="72" t="str">
        <f t="shared" si="20"/>
        <v>Payé</v>
      </c>
      <c r="N1278" s="15"/>
    </row>
    <row r="1279" spans="1:14" s="14" customFormat="1" ht="15" customHeight="1" x14ac:dyDescent="0.25">
      <c r="A1279" s="90" t="s">
        <v>857</v>
      </c>
      <c r="B1279" s="90">
        <v>5355</v>
      </c>
      <c r="C1279" s="88" t="s">
        <v>1090</v>
      </c>
      <c r="D1279" s="90" t="s">
        <v>17</v>
      </c>
      <c r="E1279" s="90" t="s">
        <v>1104</v>
      </c>
      <c r="F1279" s="90" t="s">
        <v>857</v>
      </c>
      <c r="G1279" s="137">
        <v>7</v>
      </c>
      <c r="H1279" s="94">
        <v>630</v>
      </c>
      <c r="I1279" s="87">
        <v>45982</v>
      </c>
      <c r="J1279" s="93">
        <v>0.69791666666666663</v>
      </c>
      <c r="K1279" s="94">
        <v>630</v>
      </c>
      <c r="L1279" s="72" t="str">
        <f t="shared" si="20"/>
        <v>Payé</v>
      </c>
      <c r="N1279" s="15"/>
    </row>
    <row r="1280" spans="1:14" s="14" customFormat="1" ht="15" customHeight="1" x14ac:dyDescent="0.25">
      <c r="A1280" s="90" t="s">
        <v>857</v>
      </c>
      <c r="B1280" s="90">
        <v>10028</v>
      </c>
      <c r="C1280" s="88" t="s">
        <v>1174</v>
      </c>
      <c r="D1280" s="90" t="s">
        <v>17</v>
      </c>
      <c r="E1280" s="90" t="s">
        <v>1104</v>
      </c>
      <c r="F1280" s="90" t="s">
        <v>857</v>
      </c>
      <c r="G1280" s="137">
        <v>9</v>
      </c>
      <c r="H1280" s="94">
        <v>810</v>
      </c>
      <c r="I1280" s="87">
        <v>45982</v>
      </c>
      <c r="J1280" s="93">
        <v>0.69791666666666663</v>
      </c>
      <c r="K1280" s="94">
        <v>810</v>
      </c>
      <c r="L1280" s="72" t="str">
        <f t="shared" si="20"/>
        <v>Payé</v>
      </c>
      <c r="N1280" s="15"/>
    </row>
    <row r="1281" spans="1:14" s="14" customFormat="1" ht="15" customHeight="1" x14ac:dyDescent="0.25">
      <c r="A1281" s="90" t="s">
        <v>857</v>
      </c>
      <c r="B1281" s="90">
        <v>10043</v>
      </c>
      <c r="C1281" s="88" t="s">
        <v>1214</v>
      </c>
      <c r="D1281" s="90" t="s">
        <v>17</v>
      </c>
      <c r="E1281" s="90" t="s">
        <v>1104</v>
      </c>
      <c r="F1281" s="90" t="s">
        <v>857</v>
      </c>
      <c r="G1281" s="137">
        <v>9</v>
      </c>
      <c r="H1281" s="94">
        <v>810</v>
      </c>
      <c r="I1281" s="87">
        <v>45985</v>
      </c>
      <c r="J1281" s="93" t="s">
        <v>1356</v>
      </c>
      <c r="K1281" s="94">
        <v>810</v>
      </c>
      <c r="L1281" s="72" t="str">
        <f t="shared" si="20"/>
        <v>Payé</v>
      </c>
      <c r="N1281" s="15"/>
    </row>
    <row r="1282" spans="1:14" s="14" customFormat="1" ht="15" customHeight="1" x14ac:dyDescent="0.25">
      <c r="A1282" s="90" t="s">
        <v>857</v>
      </c>
      <c r="B1282" s="90">
        <v>10044</v>
      </c>
      <c r="C1282" s="88" t="s">
        <v>1215</v>
      </c>
      <c r="D1282" s="90" t="s">
        <v>17</v>
      </c>
      <c r="E1282" s="90" t="s">
        <v>1104</v>
      </c>
      <c r="F1282" s="90" t="s">
        <v>857</v>
      </c>
      <c r="G1282" s="137">
        <v>9</v>
      </c>
      <c r="H1282" s="94">
        <v>810</v>
      </c>
      <c r="I1282" s="87">
        <v>45985</v>
      </c>
      <c r="J1282" s="93" t="s">
        <v>1356</v>
      </c>
      <c r="K1282" s="94">
        <v>810</v>
      </c>
      <c r="L1282" s="72" t="str">
        <f t="shared" si="20"/>
        <v>Payé</v>
      </c>
      <c r="N1282" s="15"/>
    </row>
    <row r="1283" spans="1:14" s="14" customFormat="1" ht="15" customHeight="1" x14ac:dyDescent="0.25">
      <c r="A1283" s="90" t="s">
        <v>857</v>
      </c>
      <c r="B1283" s="90">
        <v>10048</v>
      </c>
      <c r="C1283" s="88" t="s">
        <v>1218</v>
      </c>
      <c r="D1283" s="90" t="s">
        <v>17</v>
      </c>
      <c r="E1283" s="90" t="s">
        <v>1104</v>
      </c>
      <c r="F1283" s="90" t="s">
        <v>857</v>
      </c>
      <c r="G1283" s="137">
        <v>14</v>
      </c>
      <c r="H1283" s="94">
        <v>1270</v>
      </c>
      <c r="I1283" s="87">
        <v>45982</v>
      </c>
      <c r="J1283" s="93">
        <v>0.69791666666666663</v>
      </c>
      <c r="K1283" s="94">
        <v>1270</v>
      </c>
      <c r="L1283" s="72" t="str">
        <f t="shared" si="20"/>
        <v>Payé</v>
      </c>
      <c r="N1283" s="15"/>
    </row>
    <row r="1284" spans="1:14" s="14" customFormat="1" ht="15" customHeight="1" x14ac:dyDescent="0.25">
      <c r="A1284" s="90" t="s">
        <v>857</v>
      </c>
      <c r="B1284" s="90">
        <v>10049</v>
      </c>
      <c r="C1284" s="88" t="s">
        <v>1219</v>
      </c>
      <c r="D1284" s="90" t="s">
        <v>17</v>
      </c>
      <c r="E1284" s="90" t="s">
        <v>1104</v>
      </c>
      <c r="F1284" s="90" t="s">
        <v>857</v>
      </c>
      <c r="G1284" s="137">
        <v>2</v>
      </c>
      <c r="H1284" s="94">
        <v>180</v>
      </c>
      <c r="I1284" s="87">
        <v>45985</v>
      </c>
      <c r="J1284" s="93" t="s">
        <v>1356</v>
      </c>
      <c r="K1284" s="94">
        <v>180</v>
      </c>
      <c r="L1284" s="72" t="str">
        <f t="shared" si="20"/>
        <v>Payé</v>
      </c>
      <c r="N1284" s="15"/>
    </row>
    <row r="1285" spans="1:14" s="14" customFormat="1" ht="15" customHeight="1" x14ac:dyDescent="0.25">
      <c r="A1285" s="90" t="s">
        <v>857</v>
      </c>
      <c r="B1285" s="90">
        <v>10054</v>
      </c>
      <c r="C1285" s="88" t="s">
        <v>1222</v>
      </c>
      <c r="D1285" s="90" t="s">
        <v>17</v>
      </c>
      <c r="E1285" s="90" t="s">
        <v>1104</v>
      </c>
      <c r="F1285" s="90" t="s">
        <v>857</v>
      </c>
      <c r="G1285" s="137">
        <v>14</v>
      </c>
      <c r="H1285" s="94">
        <v>1290</v>
      </c>
      <c r="I1285" s="87">
        <v>45982</v>
      </c>
      <c r="J1285" s="93">
        <v>0.69791666666666663</v>
      </c>
      <c r="K1285" s="94">
        <v>1290</v>
      </c>
      <c r="L1285" s="72" t="str">
        <f t="shared" si="20"/>
        <v>Payé</v>
      </c>
      <c r="N1285" s="15"/>
    </row>
    <row r="1286" spans="1:14" s="14" customFormat="1" ht="15" customHeight="1" x14ac:dyDescent="0.25">
      <c r="A1286" s="90" t="s">
        <v>857</v>
      </c>
      <c r="B1286" s="90">
        <v>10164</v>
      </c>
      <c r="C1286" s="88" t="s">
        <v>1343</v>
      </c>
      <c r="D1286" s="90" t="s">
        <v>17</v>
      </c>
      <c r="E1286" s="90" t="s">
        <v>1104</v>
      </c>
      <c r="F1286" s="90" t="s">
        <v>857</v>
      </c>
      <c r="G1286" s="137">
        <v>6</v>
      </c>
      <c r="H1286" s="94">
        <v>540</v>
      </c>
      <c r="I1286" s="87">
        <v>45982</v>
      </c>
      <c r="J1286" s="93">
        <v>0.69791666666666663</v>
      </c>
      <c r="K1286" s="94">
        <v>540</v>
      </c>
      <c r="L1286" s="72" t="str">
        <f t="shared" si="20"/>
        <v>Payé</v>
      </c>
      <c r="N1286" s="15"/>
    </row>
    <row r="1287" spans="1:14" s="14" customFormat="1" ht="15" customHeight="1" x14ac:dyDescent="0.25">
      <c r="A1287" s="90" t="s">
        <v>857</v>
      </c>
      <c r="B1287" s="90">
        <v>2986</v>
      </c>
      <c r="C1287" s="88" t="s">
        <v>1236</v>
      </c>
      <c r="D1287" s="90" t="s">
        <v>17</v>
      </c>
      <c r="E1287" s="90" t="s">
        <v>649</v>
      </c>
      <c r="F1287" s="90" t="s">
        <v>857</v>
      </c>
      <c r="G1287" s="137">
        <v>4</v>
      </c>
      <c r="H1287" s="94">
        <v>360</v>
      </c>
      <c r="I1287" s="87">
        <v>45982</v>
      </c>
      <c r="J1287" s="153">
        <v>0.61388888888888882</v>
      </c>
      <c r="K1287" s="94">
        <v>360</v>
      </c>
      <c r="L1287" s="72" t="str">
        <f t="shared" si="20"/>
        <v>Payé</v>
      </c>
      <c r="N1287" s="15"/>
    </row>
    <row r="1288" spans="1:14" s="14" customFormat="1" ht="15" customHeight="1" x14ac:dyDescent="0.25">
      <c r="A1288" s="90" t="s">
        <v>857</v>
      </c>
      <c r="B1288" s="90">
        <v>3020</v>
      </c>
      <c r="C1288" s="88" t="s">
        <v>693</v>
      </c>
      <c r="D1288" s="90" t="s">
        <v>17</v>
      </c>
      <c r="E1288" s="90" t="s">
        <v>649</v>
      </c>
      <c r="F1288" s="90" t="s">
        <v>857</v>
      </c>
      <c r="G1288" s="137">
        <v>6</v>
      </c>
      <c r="H1288" s="94">
        <v>540</v>
      </c>
      <c r="I1288" s="87">
        <v>45982</v>
      </c>
      <c r="J1288" s="153">
        <v>0.61388888888888882</v>
      </c>
      <c r="K1288" s="94">
        <v>540</v>
      </c>
      <c r="L1288" s="72" t="str">
        <f t="shared" si="20"/>
        <v>Payé</v>
      </c>
      <c r="N1288" s="15"/>
    </row>
    <row r="1289" spans="1:14" s="14" customFormat="1" ht="15" customHeight="1" x14ac:dyDescent="0.25">
      <c r="A1289" s="90" t="s">
        <v>857</v>
      </c>
      <c r="B1289" s="90">
        <v>3087</v>
      </c>
      <c r="C1289" s="88" t="s">
        <v>1238</v>
      </c>
      <c r="D1289" s="90" t="s">
        <v>17</v>
      </c>
      <c r="E1289" s="90" t="s">
        <v>649</v>
      </c>
      <c r="F1289" s="90" t="s">
        <v>857</v>
      </c>
      <c r="G1289" s="137">
        <v>11</v>
      </c>
      <c r="H1289" s="94">
        <v>990</v>
      </c>
      <c r="I1289" s="87">
        <v>45982</v>
      </c>
      <c r="J1289" s="153">
        <v>0.61388888888888882</v>
      </c>
      <c r="K1289" s="94">
        <v>990</v>
      </c>
      <c r="L1289" s="72" t="str">
        <f t="shared" si="20"/>
        <v>Payé</v>
      </c>
      <c r="N1289" s="15"/>
    </row>
    <row r="1290" spans="1:14" s="14" customFormat="1" ht="15" customHeight="1" x14ac:dyDescent="0.25">
      <c r="A1290" s="90" t="s">
        <v>857</v>
      </c>
      <c r="B1290" s="90">
        <v>3130</v>
      </c>
      <c r="C1290" s="88" t="s">
        <v>553</v>
      </c>
      <c r="D1290" s="90" t="s">
        <v>17</v>
      </c>
      <c r="E1290" s="90" t="s">
        <v>649</v>
      </c>
      <c r="F1290" s="90" t="s">
        <v>857</v>
      </c>
      <c r="G1290" s="137">
        <v>12</v>
      </c>
      <c r="H1290" s="94">
        <v>1080</v>
      </c>
      <c r="I1290" s="87">
        <v>45982</v>
      </c>
      <c r="J1290" s="153">
        <v>0.61388888888888882</v>
      </c>
      <c r="K1290" s="94">
        <v>1080</v>
      </c>
      <c r="L1290" s="72" t="str">
        <f t="shared" si="20"/>
        <v>Payé</v>
      </c>
      <c r="N1290" s="15"/>
    </row>
    <row r="1291" spans="1:14" s="14" customFormat="1" ht="15" customHeight="1" x14ac:dyDescent="0.25">
      <c r="A1291" s="90" t="s">
        <v>857</v>
      </c>
      <c r="B1291" s="90">
        <v>3960</v>
      </c>
      <c r="C1291" s="88" t="s">
        <v>1242</v>
      </c>
      <c r="D1291" s="90" t="s">
        <v>17</v>
      </c>
      <c r="E1291" s="90" t="s">
        <v>649</v>
      </c>
      <c r="F1291" s="90" t="s">
        <v>857</v>
      </c>
      <c r="G1291" s="137">
        <v>7</v>
      </c>
      <c r="H1291" s="94">
        <v>630</v>
      </c>
      <c r="I1291" s="87">
        <v>45986</v>
      </c>
      <c r="J1291" s="93">
        <v>0.43055555555555558</v>
      </c>
      <c r="K1291" s="94">
        <v>630</v>
      </c>
      <c r="L1291" s="72" t="str">
        <f t="shared" si="20"/>
        <v>Payé</v>
      </c>
      <c r="N1291" s="15"/>
    </row>
    <row r="1292" spans="1:14" s="14" customFormat="1" ht="15" customHeight="1" x14ac:dyDescent="0.25">
      <c r="A1292" s="90" t="s">
        <v>857</v>
      </c>
      <c r="B1292" s="90">
        <v>4177</v>
      </c>
      <c r="C1292" s="88" t="s">
        <v>582</v>
      </c>
      <c r="D1292" s="90" t="s">
        <v>17</v>
      </c>
      <c r="E1292" s="90" t="s">
        <v>649</v>
      </c>
      <c r="F1292" s="90" t="s">
        <v>857</v>
      </c>
      <c r="G1292" s="137">
        <v>12</v>
      </c>
      <c r="H1292" s="94">
        <v>1080</v>
      </c>
      <c r="I1292" s="87">
        <v>45982</v>
      </c>
      <c r="J1292" s="153">
        <v>0.61388888888888882</v>
      </c>
      <c r="K1292" s="94">
        <v>1080</v>
      </c>
      <c r="L1292" s="72" t="str">
        <f t="shared" si="20"/>
        <v>Payé</v>
      </c>
      <c r="N1292" s="15"/>
    </row>
    <row r="1293" spans="1:14" s="14" customFormat="1" ht="15" customHeight="1" x14ac:dyDescent="0.25">
      <c r="A1293" s="90" t="s">
        <v>857</v>
      </c>
      <c r="B1293" s="90">
        <v>4204</v>
      </c>
      <c r="C1293" s="88" t="s">
        <v>610</v>
      </c>
      <c r="D1293" s="90" t="s">
        <v>17</v>
      </c>
      <c r="E1293" s="90" t="s">
        <v>649</v>
      </c>
      <c r="F1293" s="90" t="s">
        <v>857</v>
      </c>
      <c r="G1293" s="137">
        <v>12</v>
      </c>
      <c r="H1293" s="94">
        <v>1080</v>
      </c>
      <c r="I1293" s="87">
        <v>45982</v>
      </c>
      <c r="J1293" s="93">
        <v>0.61458333333333337</v>
      </c>
      <c r="K1293" s="94">
        <v>1080</v>
      </c>
      <c r="L1293" s="72" t="str">
        <f t="shared" si="20"/>
        <v>Payé</v>
      </c>
      <c r="N1293" s="15"/>
    </row>
    <row r="1294" spans="1:14" s="14" customFormat="1" ht="15" customHeight="1" x14ac:dyDescent="0.25">
      <c r="A1294" s="90" t="s">
        <v>857</v>
      </c>
      <c r="B1294" s="90">
        <v>4263</v>
      </c>
      <c r="C1294" s="88" t="s">
        <v>1245</v>
      </c>
      <c r="D1294" s="90" t="s">
        <v>17</v>
      </c>
      <c r="E1294" s="90" t="s">
        <v>649</v>
      </c>
      <c r="F1294" s="90" t="s">
        <v>857</v>
      </c>
      <c r="G1294" s="137">
        <v>3</v>
      </c>
      <c r="H1294" s="94">
        <v>270</v>
      </c>
      <c r="I1294" s="87">
        <v>45982</v>
      </c>
      <c r="J1294" s="153">
        <v>0.61388888888888882</v>
      </c>
      <c r="K1294" s="94">
        <v>270</v>
      </c>
      <c r="L1294" s="72" t="str">
        <f t="shared" si="20"/>
        <v>Payé</v>
      </c>
      <c r="N1294" s="15"/>
    </row>
    <row r="1295" spans="1:14" s="14" customFormat="1" ht="15" customHeight="1" x14ac:dyDescent="0.25">
      <c r="A1295" s="90" t="s">
        <v>857</v>
      </c>
      <c r="B1295" s="90">
        <v>4282</v>
      </c>
      <c r="C1295" s="88" t="s">
        <v>1246</v>
      </c>
      <c r="D1295" s="90" t="s">
        <v>17</v>
      </c>
      <c r="E1295" s="90" t="s">
        <v>649</v>
      </c>
      <c r="F1295" s="90" t="s">
        <v>857</v>
      </c>
      <c r="G1295" s="137">
        <v>11</v>
      </c>
      <c r="H1295" s="94">
        <v>990</v>
      </c>
      <c r="I1295" s="87">
        <v>45982</v>
      </c>
      <c r="J1295" s="153">
        <v>0.61388888888888882</v>
      </c>
      <c r="K1295" s="94">
        <v>990</v>
      </c>
      <c r="L1295" s="72" t="str">
        <f t="shared" si="20"/>
        <v>Payé</v>
      </c>
      <c r="N1295" s="15"/>
    </row>
    <row r="1296" spans="1:14" s="14" customFormat="1" ht="15" customHeight="1" x14ac:dyDescent="0.25">
      <c r="A1296" s="90" t="s">
        <v>857</v>
      </c>
      <c r="B1296" s="90">
        <v>5050</v>
      </c>
      <c r="C1296" s="88" t="s">
        <v>1292</v>
      </c>
      <c r="D1296" s="90" t="s">
        <v>17</v>
      </c>
      <c r="E1296" s="90" t="s">
        <v>649</v>
      </c>
      <c r="F1296" s="90" t="s">
        <v>857</v>
      </c>
      <c r="G1296" s="137">
        <v>11</v>
      </c>
      <c r="H1296" s="94">
        <v>990</v>
      </c>
      <c r="I1296" s="87">
        <v>45982</v>
      </c>
      <c r="J1296" s="153">
        <v>0.61388888888888882</v>
      </c>
      <c r="K1296" s="94">
        <v>990</v>
      </c>
      <c r="L1296" s="72" t="str">
        <f t="shared" si="20"/>
        <v>Payé</v>
      </c>
      <c r="N1296" s="15"/>
    </row>
    <row r="1297" spans="1:14" s="14" customFormat="1" ht="15" customHeight="1" x14ac:dyDescent="0.25">
      <c r="A1297" s="90" t="s">
        <v>857</v>
      </c>
      <c r="B1297" s="90">
        <v>5260</v>
      </c>
      <c r="C1297" s="88" t="s">
        <v>917</v>
      </c>
      <c r="D1297" s="90" t="s">
        <v>17</v>
      </c>
      <c r="E1297" s="90" t="s">
        <v>649</v>
      </c>
      <c r="F1297" s="90" t="s">
        <v>857</v>
      </c>
      <c r="G1297" s="137">
        <v>9</v>
      </c>
      <c r="H1297" s="94">
        <v>810</v>
      </c>
      <c r="I1297" s="87">
        <v>45987</v>
      </c>
      <c r="J1297" s="93">
        <v>0.66111111111111109</v>
      </c>
      <c r="K1297" s="94">
        <v>810</v>
      </c>
      <c r="L1297" s="72" t="str">
        <f t="shared" si="20"/>
        <v>Payé</v>
      </c>
      <c r="N1297" s="15"/>
    </row>
    <row r="1298" spans="1:14" s="14" customFormat="1" ht="15" customHeight="1" x14ac:dyDescent="0.25">
      <c r="A1298" s="90" t="s">
        <v>857</v>
      </c>
      <c r="B1298" s="90">
        <v>5317</v>
      </c>
      <c r="C1298" s="88" t="s">
        <v>551</v>
      </c>
      <c r="D1298" s="90" t="s">
        <v>17</v>
      </c>
      <c r="E1298" s="90" t="s">
        <v>649</v>
      </c>
      <c r="F1298" s="90" t="s">
        <v>857</v>
      </c>
      <c r="G1298" s="137">
        <v>12</v>
      </c>
      <c r="H1298" s="94">
        <v>1080</v>
      </c>
      <c r="I1298" s="87">
        <v>45982</v>
      </c>
      <c r="J1298" s="153">
        <v>0.61388888888888882</v>
      </c>
      <c r="K1298" s="94">
        <v>1080</v>
      </c>
      <c r="L1298" s="72" t="str">
        <f t="shared" si="20"/>
        <v>Payé</v>
      </c>
      <c r="N1298" s="15"/>
    </row>
    <row r="1299" spans="1:14" s="14" customFormat="1" ht="15" customHeight="1" x14ac:dyDescent="0.25">
      <c r="A1299" s="90" t="s">
        <v>857</v>
      </c>
      <c r="B1299" s="90">
        <v>7084</v>
      </c>
      <c r="C1299" s="88" t="s">
        <v>1248</v>
      </c>
      <c r="D1299" s="90" t="s">
        <v>17</v>
      </c>
      <c r="E1299" s="90" t="s">
        <v>649</v>
      </c>
      <c r="F1299" s="90" t="s">
        <v>857</v>
      </c>
      <c r="G1299" s="137">
        <v>9</v>
      </c>
      <c r="H1299" s="94">
        <v>810</v>
      </c>
      <c r="I1299" s="87">
        <v>45982</v>
      </c>
      <c r="J1299" s="153">
        <v>0.61388888888888882</v>
      </c>
      <c r="K1299" s="94">
        <v>810</v>
      </c>
      <c r="L1299" s="72" t="str">
        <f t="shared" si="20"/>
        <v>Payé</v>
      </c>
      <c r="N1299" s="15"/>
    </row>
    <row r="1300" spans="1:14" s="14" customFormat="1" ht="15" customHeight="1" x14ac:dyDescent="0.25">
      <c r="A1300" s="90" t="s">
        <v>857</v>
      </c>
      <c r="B1300" s="90">
        <v>10083</v>
      </c>
      <c r="C1300" s="88" t="s">
        <v>1260</v>
      </c>
      <c r="D1300" s="90" t="s">
        <v>17</v>
      </c>
      <c r="E1300" s="90" t="s">
        <v>649</v>
      </c>
      <c r="F1300" s="90" t="s">
        <v>857</v>
      </c>
      <c r="G1300" s="137">
        <v>8</v>
      </c>
      <c r="H1300" s="94">
        <v>720</v>
      </c>
      <c r="I1300" s="87">
        <v>45982</v>
      </c>
      <c r="J1300" s="153">
        <v>0.61388888888888882</v>
      </c>
      <c r="K1300" s="94">
        <v>720</v>
      </c>
      <c r="L1300" s="72" t="str">
        <f t="shared" si="20"/>
        <v>Payé</v>
      </c>
      <c r="N1300" s="15"/>
    </row>
    <row r="1301" spans="1:14" s="14" customFormat="1" ht="15" customHeight="1" x14ac:dyDescent="0.25">
      <c r="A1301" s="90" t="s">
        <v>857</v>
      </c>
      <c r="B1301" s="90">
        <v>10104</v>
      </c>
      <c r="C1301" s="88" t="s">
        <v>1299</v>
      </c>
      <c r="D1301" s="90" t="s">
        <v>17</v>
      </c>
      <c r="E1301" s="90" t="s">
        <v>649</v>
      </c>
      <c r="F1301" s="90" t="s">
        <v>857</v>
      </c>
      <c r="G1301" s="137">
        <v>5</v>
      </c>
      <c r="H1301" s="94">
        <v>450</v>
      </c>
      <c r="I1301" s="87">
        <v>45996</v>
      </c>
      <c r="J1301" s="93">
        <v>0.6430555555555556</v>
      </c>
      <c r="K1301" s="94">
        <v>450</v>
      </c>
      <c r="L1301" s="72" t="str">
        <f t="shared" si="20"/>
        <v>Payé</v>
      </c>
      <c r="N1301" s="15"/>
    </row>
    <row r="1302" spans="1:14" s="14" customFormat="1" ht="15" customHeight="1" x14ac:dyDescent="0.25">
      <c r="A1302" s="90" t="s">
        <v>857</v>
      </c>
      <c r="B1302" s="90">
        <v>10105</v>
      </c>
      <c r="C1302" s="88" t="s">
        <v>1300</v>
      </c>
      <c r="D1302" s="90" t="s">
        <v>17</v>
      </c>
      <c r="E1302" s="90" t="s">
        <v>649</v>
      </c>
      <c r="F1302" s="90" t="s">
        <v>857</v>
      </c>
      <c r="G1302" s="137">
        <v>11</v>
      </c>
      <c r="H1302" s="94">
        <v>990</v>
      </c>
      <c r="I1302" s="87">
        <v>45982</v>
      </c>
      <c r="J1302" s="153">
        <v>0.61388888888888882</v>
      </c>
      <c r="K1302" s="94">
        <v>990</v>
      </c>
      <c r="L1302" s="72" t="str">
        <f t="shared" si="20"/>
        <v>Payé</v>
      </c>
      <c r="N1302" s="15"/>
    </row>
    <row r="1303" spans="1:14" s="14" customFormat="1" ht="15" customHeight="1" x14ac:dyDescent="0.25">
      <c r="A1303" s="90" t="s">
        <v>857</v>
      </c>
      <c r="B1303" s="90">
        <v>10111</v>
      </c>
      <c r="C1303" s="88" t="s">
        <v>694</v>
      </c>
      <c r="D1303" s="90" t="s">
        <v>17</v>
      </c>
      <c r="E1303" s="90" t="s">
        <v>649</v>
      </c>
      <c r="F1303" s="90" t="s">
        <v>857</v>
      </c>
      <c r="G1303" s="137">
        <v>4</v>
      </c>
      <c r="H1303" s="94">
        <v>360</v>
      </c>
      <c r="I1303" s="87">
        <v>45987</v>
      </c>
      <c r="J1303" s="93">
        <v>0.66111111111111109</v>
      </c>
      <c r="K1303" s="94">
        <v>360</v>
      </c>
      <c r="L1303" s="72" t="str">
        <f t="shared" si="20"/>
        <v>Payé</v>
      </c>
      <c r="N1303" s="15"/>
    </row>
    <row r="1304" spans="1:14" s="14" customFormat="1" ht="15" customHeight="1" x14ac:dyDescent="0.25">
      <c r="A1304" s="90" t="s">
        <v>857</v>
      </c>
      <c r="B1304" s="90">
        <v>10155</v>
      </c>
      <c r="C1304" s="88" t="s">
        <v>1336</v>
      </c>
      <c r="D1304" s="90" t="s">
        <v>17</v>
      </c>
      <c r="E1304" s="90" t="s">
        <v>649</v>
      </c>
      <c r="F1304" s="90" t="s">
        <v>857</v>
      </c>
      <c r="G1304" s="137">
        <v>2</v>
      </c>
      <c r="H1304" s="94">
        <v>180</v>
      </c>
      <c r="I1304" s="87">
        <v>45982</v>
      </c>
      <c r="J1304" s="153">
        <v>0.61388888888888882</v>
      </c>
      <c r="K1304" s="94">
        <v>180</v>
      </c>
      <c r="L1304" s="72" t="str">
        <f t="shared" si="20"/>
        <v>Payé</v>
      </c>
      <c r="N1304" s="15"/>
    </row>
    <row r="1305" spans="1:14" s="14" customFormat="1" ht="15" customHeight="1" x14ac:dyDescent="0.25">
      <c r="A1305" s="90" t="s">
        <v>857</v>
      </c>
      <c r="B1305" s="90">
        <v>10162</v>
      </c>
      <c r="C1305" s="88" t="s">
        <v>1277</v>
      </c>
      <c r="D1305" s="90" t="s">
        <v>17</v>
      </c>
      <c r="E1305" s="90" t="s">
        <v>649</v>
      </c>
      <c r="F1305" s="90" t="s">
        <v>857</v>
      </c>
      <c r="G1305" s="137">
        <v>7</v>
      </c>
      <c r="H1305" s="94">
        <v>630</v>
      </c>
      <c r="I1305" s="87">
        <v>45982</v>
      </c>
      <c r="J1305" s="153">
        <v>0.61388888888888882</v>
      </c>
      <c r="K1305" s="94">
        <v>630</v>
      </c>
      <c r="L1305" s="72" t="str">
        <f t="shared" si="20"/>
        <v>Payé</v>
      </c>
      <c r="N1305" s="15"/>
    </row>
    <row r="1306" spans="1:14" s="14" customFormat="1" ht="15" customHeight="1" x14ac:dyDescent="0.25">
      <c r="A1306" s="90" t="s">
        <v>857</v>
      </c>
      <c r="B1306" s="90">
        <v>10163</v>
      </c>
      <c r="C1306" s="88" t="s">
        <v>1342</v>
      </c>
      <c r="D1306" s="90" t="s">
        <v>17</v>
      </c>
      <c r="E1306" s="90" t="s">
        <v>649</v>
      </c>
      <c r="F1306" s="90" t="s">
        <v>857</v>
      </c>
      <c r="G1306" s="137">
        <v>8</v>
      </c>
      <c r="H1306" s="94">
        <v>720</v>
      </c>
      <c r="I1306" s="87">
        <v>45982</v>
      </c>
      <c r="J1306" s="153">
        <v>0.61388888888888882</v>
      </c>
      <c r="K1306" s="94">
        <v>720</v>
      </c>
      <c r="L1306" s="72" t="str">
        <f t="shared" si="20"/>
        <v>Payé</v>
      </c>
      <c r="N1306" s="15"/>
    </row>
    <row r="1307" spans="1:14" s="14" customFormat="1" ht="15" customHeight="1" x14ac:dyDescent="0.25">
      <c r="A1307" s="90" t="s">
        <v>857</v>
      </c>
      <c r="B1307" s="90"/>
      <c r="C1307" s="88" t="s">
        <v>1346</v>
      </c>
      <c r="D1307" s="89" t="s">
        <v>910</v>
      </c>
      <c r="E1307" s="90" t="s">
        <v>649</v>
      </c>
      <c r="F1307" s="90" t="s">
        <v>857</v>
      </c>
      <c r="G1307" s="95">
        <v>165</v>
      </c>
      <c r="H1307" s="92">
        <v>4950</v>
      </c>
      <c r="I1307" s="87">
        <v>45982</v>
      </c>
      <c r="J1307" s="153">
        <v>0.61388888888888882</v>
      </c>
      <c r="K1307" s="92">
        <v>4950</v>
      </c>
      <c r="L1307" s="72" t="str">
        <f t="shared" si="20"/>
        <v>Payé</v>
      </c>
      <c r="N1307" s="15"/>
    </row>
    <row r="1308" spans="1:14" s="14" customFormat="1" ht="15" customHeight="1" x14ac:dyDescent="0.25">
      <c r="A1308" s="90" t="s">
        <v>857</v>
      </c>
      <c r="B1308" s="90">
        <v>2776</v>
      </c>
      <c r="C1308" s="88" t="s">
        <v>656</v>
      </c>
      <c r="D1308" s="90" t="s">
        <v>17</v>
      </c>
      <c r="E1308" s="90" t="s">
        <v>628</v>
      </c>
      <c r="F1308" s="90" t="s">
        <v>857</v>
      </c>
      <c r="G1308" s="137">
        <v>1</v>
      </c>
      <c r="H1308" s="94">
        <v>87</v>
      </c>
      <c r="I1308" s="87">
        <v>45983</v>
      </c>
      <c r="J1308" s="93">
        <v>0.46249999999999997</v>
      </c>
      <c r="K1308" s="94">
        <v>87</v>
      </c>
      <c r="L1308" s="72" t="str">
        <f t="shared" si="20"/>
        <v>Payé</v>
      </c>
      <c r="N1308" s="15"/>
    </row>
    <row r="1309" spans="1:14" s="14" customFormat="1" ht="15" customHeight="1" x14ac:dyDescent="0.25">
      <c r="A1309" s="90" t="s">
        <v>857</v>
      </c>
      <c r="B1309" s="90">
        <v>3260</v>
      </c>
      <c r="C1309" s="88" t="s">
        <v>1119</v>
      </c>
      <c r="D1309" s="90" t="s">
        <v>17</v>
      </c>
      <c r="E1309" s="90" t="s">
        <v>628</v>
      </c>
      <c r="F1309" s="90" t="s">
        <v>857</v>
      </c>
      <c r="G1309" s="137">
        <v>7</v>
      </c>
      <c r="H1309" s="94">
        <v>670</v>
      </c>
      <c r="I1309" s="87">
        <v>45983</v>
      </c>
      <c r="J1309" s="93">
        <v>0.46249999999999997</v>
      </c>
      <c r="K1309" s="94">
        <v>670</v>
      </c>
      <c r="L1309" s="72" t="str">
        <f t="shared" si="20"/>
        <v>Payé</v>
      </c>
      <c r="N1309" s="15"/>
    </row>
    <row r="1310" spans="1:14" s="14" customFormat="1" ht="15" customHeight="1" x14ac:dyDescent="0.25">
      <c r="A1310" s="90" t="s">
        <v>857</v>
      </c>
      <c r="B1310" s="90">
        <v>4090</v>
      </c>
      <c r="C1310" s="88" t="s">
        <v>620</v>
      </c>
      <c r="D1310" s="90" t="s">
        <v>17</v>
      </c>
      <c r="E1310" s="90" t="s">
        <v>628</v>
      </c>
      <c r="F1310" s="90" t="s">
        <v>857</v>
      </c>
      <c r="G1310" s="137">
        <v>1</v>
      </c>
      <c r="H1310" s="94">
        <v>90</v>
      </c>
      <c r="I1310" s="87">
        <v>45983</v>
      </c>
      <c r="J1310" s="93">
        <v>0.46249999999999997</v>
      </c>
      <c r="K1310" s="94">
        <v>90</v>
      </c>
      <c r="L1310" s="72" t="str">
        <f t="shared" ref="L1310:L1373" si="21">IF(ISBLANK(H1310),"",IF(H1310=K1310,"Payé","Impayé"))</f>
        <v>Payé</v>
      </c>
      <c r="N1310" s="15"/>
    </row>
    <row r="1311" spans="1:14" s="14" customFormat="1" ht="15" customHeight="1" x14ac:dyDescent="0.25">
      <c r="A1311" s="90" t="s">
        <v>857</v>
      </c>
      <c r="B1311" s="90">
        <v>4333</v>
      </c>
      <c r="C1311" s="88" t="s">
        <v>706</v>
      </c>
      <c r="D1311" s="90" t="s">
        <v>17</v>
      </c>
      <c r="E1311" s="90" t="s">
        <v>628</v>
      </c>
      <c r="F1311" s="90" t="s">
        <v>857</v>
      </c>
      <c r="G1311" s="137">
        <v>14</v>
      </c>
      <c r="H1311" s="94">
        <v>1520</v>
      </c>
      <c r="I1311" s="87">
        <v>45983</v>
      </c>
      <c r="J1311" s="93">
        <v>0.46249999999999997</v>
      </c>
      <c r="K1311" s="94">
        <v>1520</v>
      </c>
      <c r="L1311" s="72" t="str">
        <f t="shared" si="21"/>
        <v>Payé</v>
      </c>
      <c r="N1311" s="15"/>
    </row>
    <row r="1312" spans="1:14" s="14" customFormat="1" ht="15" customHeight="1" x14ac:dyDescent="0.25">
      <c r="A1312" s="90" t="s">
        <v>857</v>
      </c>
      <c r="B1312" s="90">
        <v>4334</v>
      </c>
      <c r="C1312" s="88" t="s">
        <v>622</v>
      </c>
      <c r="D1312" s="90" t="s">
        <v>17</v>
      </c>
      <c r="E1312" s="90" t="s">
        <v>628</v>
      </c>
      <c r="F1312" s="90" t="s">
        <v>857</v>
      </c>
      <c r="G1312" s="137">
        <v>11</v>
      </c>
      <c r="H1312" s="94">
        <v>1190</v>
      </c>
      <c r="I1312" s="87">
        <v>45983</v>
      </c>
      <c r="J1312" s="93">
        <v>0.46249999999999997</v>
      </c>
      <c r="K1312" s="94">
        <v>1190</v>
      </c>
      <c r="L1312" s="72" t="str">
        <f t="shared" si="21"/>
        <v>Payé</v>
      </c>
      <c r="N1312" s="15"/>
    </row>
    <row r="1313" spans="1:14" s="14" customFormat="1" ht="15" customHeight="1" x14ac:dyDescent="0.25">
      <c r="A1313" s="90" t="s">
        <v>857</v>
      </c>
      <c r="B1313" s="90">
        <v>4470</v>
      </c>
      <c r="C1313" s="88" t="s">
        <v>989</v>
      </c>
      <c r="D1313" s="90" t="s">
        <v>17</v>
      </c>
      <c r="E1313" s="90" t="s">
        <v>628</v>
      </c>
      <c r="F1313" s="90" t="s">
        <v>857</v>
      </c>
      <c r="G1313" s="137">
        <v>1</v>
      </c>
      <c r="H1313" s="94">
        <v>90</v>
      </c>
      <c r="I1313" s="87">
        <v>45983</v>
      </c>
      <c r="J1313" s="93">
        <v>0.46249999999999997</v>
      </c>
      <c r="K1313" s="94">
        <v>90</v>
      </c>
      <c r="L1313" s="72" t="str">
        <f t="shared" si="21"/>
        <v>Payé</v>
      </c>
      <c r="N1313" s="15"/>
    </row>
    <row r="1314" spans="1:14" s="14" customFormat="1" ht="15" customHeight="1" x14ac:dyDescent="0.25">
      <c r="A1314" s="90" t="s">
        <v>857</v>
      </c>
      <c r="B1314" s="90">
        <v>4473</v>
      </c>
      <c r="C1314" s="88" t="s">
        <v>623</v>
      </c>
      <c r="D1314" s="90" t="s">
        <v>17</v>
      </c>
      <c r="E1314" s="90" t="s">
        <v>628</v>
      </c>
      <c r="F1314" s="90" t="s">
        <v>857</v>
      </c>
      <c r="G1314" s="137">
        <v>6</v>
      </c>
      <c r="H1314" s="94">
        <v>680</v>
      </c>
      <c r="I1314" s="87">
        <v>45983</v>
      </c>
      <c r="J1314" s="93">
        <v>0.46249999999999997</v>
      </c>
      <c r="K1314" s="94">
        <v>680</v>
      </c>
      <c r="L1314" s="72" t="str">
        <f t="shared" si="21"/>
        <v>Payé</v>
      </c>
      <c r="N1314" s="15"/>
    </row>
    <row r="1315" spans="1:14" s="14" customFormat="1" ht="15" customHeight="1" x14ac:dyDescent="0.25">
      <c r="A1315" s="90" t="s">
        <v>857</v>
      </c>
      <c r="B1315" s="90">
        <v>4801</v>
      </c>
      <c r="C1315" s="88" t="s">
        <v>990</v>
      </c>
      <c r="D1315" s="90" t="s">
        <v>17</v>
      </c>
      <c r="E1315" s="90" t="s">
        <v>628</v>
      </c>
      <c r="F1315" s="90" t="s">
        <v>857</v>
      </c>
      <c r="G1315" s="137">
        <v>4</v>
      </c>
      <c r="H1315" s="94">
        <v>360</v>
      </c>
      <c r="I1315" s="87">
        <v>45983</v>
      </c>
      <c r="J1315" s="93">
        <v>0.46249999999999997</v>
      </c>
      <c r="K1315" s="94">
        <v>360</v>
      </c>
      <c r="L1315" s="72" t="str">
        <f t="shared" si="21"/>
        <v>Payé</v>
      </c>
      <c r="N1315" s="15"/>
    </row>
    <row r="1316" spans="1:14" s="14" customFormat="1" ht="15" customHeight="1" x14ac:dyDescent="0.25">
      <c r="A1316" s="90" t="s">
        <v>857</v>
      </c>
      <c r="B1316" s="90">
        <v>5123</v>
      </c>
      <c r="C1316" s="88" t="s">
        <v>827</v>
      </c>
      <c r="D1316" s="90" t="s">
        <v>17</v>
      </c>
      <c r="E1316" s="90" t="s">
        <v>628</v>
      </c>
      <c r="F1316" s="90" t="s">
        <v>857</v>
      </c>
      <c r="G1316" s="137">
        <v>11</v>
      </c>
      <c r="H1316" s="94">
        <v>1110</v>
      </c>
      <c r="I1316" s="87">
        <v>45983</v>
      </c>
      <c r="J1316" s="93">
        <v>0.46249999999999997</v>
      </c>
      <c r="K1316" s="94">
        <v>1110</v>
      </c>
      <c r="L1316" s="72" t="str">
        <f t="shared" si="21"/>
        <v>Payé</v>
      </c>
      <c r="N1316" s="15"/>
    </row>
    <row r="1317" spans="1:14" s="14" customFormat="1" ht="15" customHeight="1" x14ac:dyDescent="0.25">
      <c r="A1317" s="90" t="s">
        <v>857</v>
      </c>
      <c r="B1317" s="90">
        <v>8022</v>
      </c>
      <c r="C1317" s="88" t="s">
        <v>707</v>
      </c>
      <c r="D1317" s="90" t="s">
        <v>17</v>
      </c>
      <c r="E1317" s="90" t="s">
        <v>628</v>
      </c>
      <c r="F1317" s="90" t="s">
        <v>857</v>
      </c>
      <c r="G1317" s="137">
        <v>15</v>
      </c>
      <c r="H1317" s="94">
        <v>1570</v>
      </c>
      <c r="I1317" s="87">
        <v>45983</v>
      </c>
      <c r="J1317" s="93">
        <v>0.46249999999999997</v>
      </c>
      <c r="K1317" s="94">
        <v>1570</v>
      </c>
      <c r="L1317" s="72" t="str">
        <f t="shared" si="21"/>
        <v>Payé</v>
      </c>
      <c r="N1317" s="15"/>
    </row>
    <row r="1318" spans="1:14" s="14" customFormat="1" ht="15" customHeight="1" x14ac:dyDescent="0.25">
      <c r="A1318" s="90" t="s">
        <v>857</v>
      </c>
      <c r="B1318" s="90">
        <v>10008</v>
      </c>
      <c r="C1318" s="88" t="s">
        <v>1134</v>
      </c>
      <c r="D1318" s="90" t="s">
        <v>17</v>
      </c>
      <c r="E1318" s="90" t="s">
        <v>628</v>
      </c>
      <c r="F1318" s="90" t="s">
        <v>857</v>
      </c>
      <c r="G1318" s="137">
        <v>11</v>
      </c>
      <c r="H1318" s="94">
        <v>1050</v>
      </c>
      <c r="I1318" s="87">
        <v>45983</v>
      </c>
      <c r="J1318" s="93">
        <v>0.46249999999999997</v>
      </c>
      <c r="K1318" s="94">
        <v>1050</v>
      </c>
      <c r="L1318" s="72" t="str">
        <f t="shared" si="21"/>
        <v>Payé</v>
      </c>
      <c r="N1318" s="15"/>
    </row>
    <row r="1319" spans="1:14" s="14" customFormat="1" ht="15" customHeight="1" x14ac:dyDescent="0.25">
      <c r="A1319" s="90" t="s">
        <v>857</v>
      </c>
      <c r="B1319" s="90"/>
      <c r="C1319" s="88" t="s">
        <v>719</v>
      </c>
      <c r="D1319" s="89" t="s">
        <v>910</v>
      </c>
      <c r="E1319" s="90" t="s">
        <v>1349</v>
      </c>
      <c r="F1319" s="90" t="s">
        <v>857</v>
      </c>
      <c r="G1319" s="95">
        <v>220</v>
      </c>
      <c r="H1319" s="92">
        <v>6600</v>
      </c>
      <c r="I1319" s="87">
        <v>45982</v>
      </c>
      <c r="J1319" s="93">
        <v>0.62708333333333333</v>
      </c>
      <c r="K1319" s="92">
        <v>6600</v>
      </c>
      <c r="L1319" s="72" t="str">
        <f t="shared" si="21"/>
        <v>Payé</v>
      </c>
      <c r="N1319" s="15"/>
    </row>
    <row r="1320" spans="1:14" s="14" customFormat="1" ht="15" customHeight="1" x14ac:dyDescent="0.25">
      <c r="A1320" s="90" t="s">
        <v>857</v>
      </c>
      <c r="B1320" s="90"/>
      <c r="C1320" s="88" t="s">
        <v>406</v>
      </c>
      <c r="D1320" s="89" t="s">
        <v>910</v>
      </c>
      <c r="E1320" s="90" t="s">
        <v>476</v>
      </c>
      <c r="F1320" s="90" t="s">
        <v>857</v>
      </c>
      <c r="G1320" s="95">
        <v>93</v>
      </c>
      <c r="H1320" s="92">
        <v>2790</v>
      </c>
      <c r="I1320" s="87">
        <v>45982</v>
      </c>
      <c r="J1320" s="93">
        <v>0.57291666666666663</v>
      </c>
      <c r="K1320" s="92">
        <v>2790</v>
      </c>
      <c r="L1320" s="72" t="str">
        <f t="shared" si="21"/>
        <v>Payé</v>
      </c>
      <c r="N1320" s="15"/>
    </row>
    <row r="1321" spans="1:14" s="14" customFormat="1" ht="15" customHeight="1" x14ac:dyDescent="0.25">
      <c r="A1321" s="90" t="s">
        <v>857</v>
      </c>
      <c r="B1321" s="90">
        <v>2670</v>
      </c>
      <c r="C1321" s="88" t="s">
        <v>1286</v>
      </c>
      <c r="D1321" s="90" t="s">
        <v>17</v>
      </c>
      <c r="E1321" s="90" t="s">
        <v>753</v>
      </c>
      <c r="F1321" s="90" t="s">
        <v>857</v>
      </c>
      <c r="G1321" s="137">
        <v>6</v>
      </c>
      <c r="H1321" s="94">
        <v>540</v>
      </c>
      <c r="I1321" s="87">
        <v>45985</v>
      </c>
      <c r="J1321" s="93">
        <v>0.5083333333333333</v>
      </c>
      <c r="K1321" s="94">
        <v>540</v>
      </c>
      <c r="L1321" s="72" t="str">
        <f t="shared" si="21"/>
        <v>Payé</v>
      </c>
      <c r="N1321" s="15"/>
    </row>
    <row r="1322" spans="1:14" s="14" customFormat="1" ht="15" customHeight="1" x14ac:dyDescent="0.25">
      <c r="A1322" s="90" t="s">
        <v>857</v>
      </c>
      <c r="B1322" s="90">
        <v>2987</v>
      </c>
      <c r="C1322" s="88" t="s">
        <v>1289</v>
      </c>
      <c r="D1322" s="90" t="s">
        <v>17</v>
      </c>
      <c r="E1322" s="90" t="s">
        <v>753</v>
      </c>
      <c r="F1322" s="90" t="s">
        <v>857</v>
      </c>
      <c r="G1322" s="137">
        <v>7</v>
      </c>
      <c r="H1322" s="94">
        <v>630</v>
      </c>
      <c r="I1322" s="87">
        <v>45983</v>
      </c>
      <c r="J1322" s="93">
        <v>0.4777777777777778</v>
      </c>
      <c r="K1322" s="94">
        <v>630</v>
      </c>
      <c r="L1322" s="72" t="str">
        <f t="shared" si="21"/>
        <v>Payé</v>
      </c>
      <c r="N1322" s="15"/>
    </row>
    <row r="1323" spans="1:14" s="14" customFormat="1" ht="15" customHeight="1" x14ac:dyDescent="0.25">
      <c r="A1323" s="90" t="s">
        <v>857</v>
      </c>
      <c r="B1323" s="90">
        <v>2997</v>
      </c>
      <c r="C1323" s="88" t="s">
        <v>719</v>
      </c>
      <c r="D1323" s="90" t="s">
        <v>17</v>
      </c>
      <c r="E1323" s="90" t="s">
        <v>753</v>
      </c>
      <c r="F1323" s="90" t="s">
        <v>857</v>
      </c>
      <c r="G1323" s="137">
        <v>11</v>
      </c>
      <c r="H1323" s="94">
        <v>1100</v>
      </c>
      <c r="I1323" s="87">
        <v>45982</v>
      </c>
      <c r="J1323" s="93">
        <v>0.6381944444444444</v>
      </c>
      <c r="K1323" s="94">
        <v>1100</v>
      </c>
      <c r="L1323" s="72" t="str">
        <f t="shared" si="21"/>
        <v>Payé</v>
      </c>
      <c r="N1323" s="15"/>
    </row>
    <row r="1324" spans="1:14" s="14" customFormat="1" ht="15" customHeight="1" x14ac:dyDescent="0.25">
      <c r="A1324" s="90" t="s">
        <v>857</v>
      </c>
      <c r="B1324" s="90">
        <v>3001</v>
      </c>
      <c r="C1324" s="88" t="s">
        <v>799</v>
      </c>
      <c r="D1324" s="90" t="s">
        <v>17</v>
      </c>
      <c r="E1324" s="90" t="s">
        <v>753</v>
      </c>
      <c r="F1324" s="90" t="s">
        <v>857</v>
      </c>
      <c r="G1324" s="137">
        <v>10</v>
      </c>
      <c r="H1324" s="94">
        <v>920</v>
      </c>
      <c r="I1324" s="87">
        <v>45997</v>
      </c>
      <c r="J1324" s="93">
        <v>0.60138888888888886</v>
      </c>
      <c r="K1324" s="94">
        <v>920</v>
      </c>
      <c r="L1324" s="72" t="str">
        <f t="shared" si="21"/>
        <v>Payé</v>
      </c>
      <c r="N1324" s="15"/>
    </row>
    <row r="1325" spans="1:14" s="14" customFormat="1" ht="15" customHeight="1" x14ac:dyDescent="0.25">
      <c r="A1325" s="90" t="s">
        <v>857</v>
      </c>
      <c r="B1325" s="90">
        <v>3009</v>
      </c>
      <c r="C1325" s="88" t="s">
        <v>1237</v>
      </c>
      <c r="D1325" s="90" t="s">
        <v>17</v>
      </c>
      <c r="E1325" s="90" t="s">
        <v>753</v>
      </c>
      <c r="F1325" s="90" t="s">
        <v>857</v>
      </c>
      <c r="G1325" s="137">
        <v>9</v>
      </c>
      <c r="H1325" s="94">
        <v>810</v>
      </c>
      <c r="I1325" s="87">
        <v>45982</v>
      </c>
      <c r="J1325" s="93">
        <v>0.6381944444444444</v>
      </c>
      <c r="K1325" s="94">
        <v>810</v>
      </c>
      <c r="L1325" s="72" t="str">
        <f t="shared" si="21"/>
        <v>Payé</v>
      </c>
      <c r="N1325" s="15"/>
    </row>
    <row r="1326" spans="1:14" s="14" customFormat="1" ht="15" customHeight="1" x14ac:dyDescent="0.25">
      <c r="A1326" s="90" t="s">
        <v>857</v>
      </c>
      <c r="B1326" s="90">
        <v>3031</v>
      </c>
      <c r="C1326" s="88" t="s">
        <v>1290</v>
      </c>
      <c r="D1326" s="90" t="s">
        <v>17</v>
      </c>
      <c r="E1326" s="90" t="s">
        <v>753</v>
      </c>
      <c r="F1326" s="90" t="s">
        <v>857</v>
      </c>
      <c r="G1326" s="137">
        <v>7</v>
      </c>
      <c r="H1326" s="94">
        <v>630</v>
      </c>
      <c r="I1326" s="87">
        <v>45982</v>
      </c>
      <c r="J1326" s="93">
        <v>0.6381944444444444</v>
      </c>
      <c r="K1326" s="94">
        <v>630</v>
      </c>
      <c r="L1326" s="72" t="str">
        <f t="shared" si="21"/>
        <v>Payé</v>
      </c>
      <c r="N1326" s="15"/>
    </row>
    <row r="1327" spans="1:14" s="14" customFormat="1" ht="15" customHeight="1" x14ac:dyDescent="0.25">
      <c r="A1327" s="90" t="s">
        <v>857</v>
      </c>
      <c r="B1327" s="90">
        <v>3313</v>
      </c>
      <c r="C1327" s="88" t="s">
        <v>1209</v>
      </c>
      <c r="D1327" s="90" t="s">
        <v>17</v>
      </c>
      <c r="E1327" s="90" t="s">
        <v>753</v>
      </c>
      <c r="F1327" s="90" t="s">
        <v>857</v>
      </c>
      <c r="G1327" s="137">
        <v>11</v>
      </c>
      <c r="H1327" s="94">
        <v>990</v>
      </c>
      <c r="I1327" s="87">
        <v>45982</v>
      </c>
      <c r="J1327" s="93">
        <v>0.6381944444444444</v>
      </c>
      <c r="K1327" s="94">
        <v>990</v>
      </c>
      <c r="L1327" s="72" t="str">
        <f t="shared" si="21"/>
        <v>Payé</v>
      </c>
      <c r="N1327" s="15"/>
    </row>
    <row r="1328" spans="1:14" s="14" customFormat="1" ht="15" customHeight="1" x14ac:dyDescent="0.25">
      <c r="A1328" s="90" t="s">
        <v>857</v>
      </c>
      <c r="B1328" s="90">
        <v>3903</v>
      </c>
      <c r="C1328" s="88" t="s">
        <v>721</v>
      </c>
      <c r="D1328" s="90" t="s">
        <v>17</v>
      </c>
      <c r="E1328" s="90" t="s">
        <v>753</v>
      </c>
      <c r="F1328" s="90" t="s">
        <v>857</v>
      </c>
      <c r="G1328" s="137">
        <v>8</v>
      </c>
      <c r="H1328" s="94">
        <v>720</v>
      </c>
      <c r="I1328" s="87">
        <v>45982</v>
      </c>
      <c r="J1328" s="93">
        <v>0.6381944444444444</v>
      </c>
      <c r="K1328" s="94">
        <v>720</v>
      </c>
      <c r="L1328" s="72" t="str">
        <f t="shared" si="21"/>
        <v>Payé</v>
      </c>
      <c r="N1328" s="15"/>
    </row>
    <row r="1329" spans="1:14" s="14" customFormat="1" ht="15" customHeight="1" x14ac:dyDescent="0.25">
      <c r="A1329" s="90" t="s">
        <v>857</v>
      </c>
      <c r="B1329" s="90">
        <v>4027</v>
      </c>
      <c r="C1329" s="88" t="s">
        <v>1210</v>
      </c>
      <c r="D1329" s="90" t="s">
        <v>17</v>
      </c>
      <c r="E1329" s="90" t="s">
        <v>753</v>
      </c>
      <c r="F1329" s="90" t="s">
        <v>857</v>
      </c>
      <c r="G1329" s="137">
        <v>12</v>
      </c>
      <c r="H1329" s="94">
        <v>1080</v>
      </c>
      <c r="I1329" s="87">
        <v>45982</v>
      </c>
      <c r="J1329" s="93">
        <v>0.6381944444444444</v>
      </c>
      <c r="K1329" s="94">
        <v>1080</v>
      </c>
      <c r="L1329" s="72" t="str">
        <f t="shared" si="21"/>
        <v>Payé</v>
      </c>
      <c r="N1329" s="15"/>
    </row>
    <row r="1330" spans="1:14" s="14" customFormat="1" ht="15" customHeight="1" x14ac:dyDescent="0.25">
      <c r="A1330" s="90" t="s">
        <v>857</v>
      </c>
      <c r="B1330" s="90">
        <v>4868</v>
      </c>
      <c r="C1330" s="88" t="s">
        <v>767</v>
      </c>
      <c r="D1330" s="90" t="s">
        <v>17</v>
      </c>
      <c r="E1330" s="90" t="s">
        <v>753</v>
      </c>
      <c r="F1330" s="90" t="s">
        <v>857</v>
      </c>
      <c r="G1330" s="137">
        <v>7</v>
      </c>
      <c r="H1330" s="94">
        <v>630</v>
      </c>
      <c r="I1330" s="87">
        <v>45985</v>
      </c>
      <c r="J1330" s="93">
        <v>0.60347222222222219</v>
      </c>
      <c r="K1330" s="94">
        <v>630</v>
      </c>
      <c r="L1330" s="72" t="str">
        <f t="shared" si="21"/>
        <v>Payé</v>
      </c>
      <c r="N1330" s="15"/>
    </row>
    <row r="1331" spans="1:14" s="14" customFormat="1" ht="15" customHeight="1" x14ac:dyDescent="0.25">
      <c r="A1331" s="90" t="s">
        <v>857</v>
      </c>
      <c r="B1331" s="90">
        <v>5076</v>
      </c>
      <c r="C1331" s="88" t="s">
        <v>991</v>
      </c>
      <c r="D1331" s="90" t="s">
        <v>17</v>
      </c>
      <c r="E1331" s="90" t="s">
        <v>753</v>
      </c>
      <c r="F1331" s="90" t="s">
        <v>857</v>
      </c>
      <c r="G1331" s="137">
        <v>9</v>
      </c>
      <c r="H1331" s="94">
        <v>810</v>
      </c>
      <c r="I1331" s="87">
        <v>45982</v>
      </c>
      <c r="J1331" s="93">
        <v>0.6381944444444444</v>
      </c>
      <c r="K1331" s="94">
        <v>810</v>
      </c>
      <c r="L1331" s="72" t="str">
        <f t="shared" si="21"/>
        <v>Payé</v>
      </c>
      <c r="N1331" s="15"/>
    </row>
    <row r="1332" spans="1:14" s="14" customFormat="1" ht="15" customHeight="1" x14ac:dyDescent="0.25">
      <c r="A1332" s="90" t="s">
        <v>857</v>
      </c>
      <c r="B1332" s="90">
        <v>5186</v>
      </c>
      <c r="C1332" s="88" t="s">
        <v>1211</v>
      </c>
      <c r="D1332" s="90" t="s">
        <v>17</v>
      </c>
      <c r="E1332" s="90" t="s">
        <v>753</v>
      </c>
      <c r="F1332" s="90" t="s">
        <v>857</v>
      </c>
      <c r="G1332" s="137">
        <v>3</v>
      </c>
      <c r="H1332" s="94">
        <v>270</v>
      </c>
      <c r="I1332" s="87">
        <v>45982</v>
      </c>
      <c r="J1332" s="93">
        <v>0.6381944444444444</v>
      </c>
      <c r="K1332" s="94">
        <v>270</v>
      </c>
      <c r="L1332" s="72" t="str">
        <f t="shared" si="21"/>
        <v>Payé</v>
      </c>
      <c r="N1332" s="15"/>
    </row>
    <row r="1333" spans="1:14" s="14" customFormat="1" ht="15" customHeight="1" x14ac:dyDescent="0.25">
      <c r="A1333" s="90" t="s">
        <v>857</v>
      </c>
      <c r="B1333" s="90">
        <v>5209</v>
      </c>
      <c r="C1333" s="88" t="s">
        <v>835</v>
      </c>
      <c r="D1333" s="90" t="s">
        <v>17</v>
      </c>
      <c r="E1333" s="90" t="s">
        <v>753</v>
      </c>
      <c r="F1333" s="90" t="s">
        <v>857</v>
      </c>
      <c r="G1333" s="137">
        <v>7</v>
      </c>
      <c r="H1333" s="94">
        <v>630</v>
      </c>
      <c r="I1333" s="87">
        <v>45988</v>
      </c>
      <c r="J1333" s="93">
        <v>0.65972222222222221</v>
      </c>
      <c r="K1333" s="94">
        <v>630</v>
      </c>
      <c r="L1333" s="72" t="str">
        <f t="shared" si="21"/>
        <v>Payé</v>
      </c>
      <c r="N1333" s="15"/>
    </row>
    <row r="1334" spans="1:14" s="14" customFormat="1" ht="15" customHeight="1" x14ac:dyDescent="0.25">
      <c r="A1334" s="90" t="s">
        <v>857</v>
      </c>
      <c r="B1334" s="90">
        <v>5240</v>
      </c>
      <c r="C1334" s="88" t="s">
        <v>885</v>
      </c>
      <c r="D1334" s="90" t="s">
        <v>17</v>
      </c>
      <c r="E1334" s="90" t="s">
        <v>753</v>
      </c>
      <c r="F1334" s="90" t="s">
        <v>857</v>
      </c>
      <c r="G1334" s="137">
        <v>9</v>
      </c>
      <c r="H1334" s="94">
        <v>810</v>
      </c>
      <c r="I1334" s="87">
        <v>45982</v>
      </c>
      <c r="J1334" s="93">
        <v>0.6381944444444444</v>
      </c>
      <c r="K1334" s="94">
        <v>810</v>
      </c>
      <c r="L1334" s="72" t="str">
        <f t="shared" si="21"/>
        <v>Payé</v>
      </c>
      <c r="N1334" s="15"/>
    </row>
    <row r="1335" spans="1:14" s="14" customFormat="1" ht="15" customHeight="1" x14ac:dyDescent="0.25">
      <c r="A1335" s="90" t="s">
        <v>857</v>
      </c>
      <c r="B1335" s="90">
        <v>5253</v>
      </c>
      <c r="C1335" s="88" t="s">
        <v>902</v>
      </c>
      <c r="D1335" s="90" t="s">
        <v>17</v>
      </c>
      <c r="E1335" s="90" t="s">
        <v>753</v>
      </c>
      <c r="F1335" s="90" t="s">
        <v>857</v>
      </c>
      <c r="G1335" s="137">
        <v>9</v>
      </c>
      <c r="H1335" s="94">
        <v>810</v>
      </c>
      <c r="I1335" s="87">
        <v>45982</v>
      </c>
      <c r="J1335" s="93">
        <v>0.6381944444444444</v>
      </c>
      <c r="K1335" s="94">
        <v>810</v>
      </c>
      <c r="L1335" s="72" t="str">
        <f t="shared" si="21"/>
        <v>Payé</v>
      </c>
      <c r="N1335" s="15"/>
    </row>
    <row r="1336" spans="1:14" s="14" customFormat="1" ht="15" customHeight="1" x14ac:dyDescent="0.25">
      <c r="A1336" s="90" t="s">
        <v>857</v>
      </c>
      <c r="B1336" s="90">
        <v>5327</v>
      </c>
      <c r="C1336" s="88" t="s">
        <v>1033</v>
      </c>
      <c r="D1336" s="90" t="s">
        <v>17</v>
      </c>
      <c r="E1336" s="90" t="s">
        <v>753</v>
      </c>
      <c r="F1336" s="90" t="s">
        <v>857</v>
      </c>
      <c r="G1336" s="137">
        <v>9</v>
      </c>
      <c r="H1336" s="94">
        <v>810</v>
      </c>
      <c r="I1336" s="87">
        <v>45982</v>
      </c>
      <c r="J1336" s="93">
        <v>0.6381944444444444</v>
      </c>
      <c r="K1336" s="94">
        <v>810</v>
      </c>
      <c r="L1336" s="72" t="str">
        <f t="shared" si="21"/>
        <v>Payé</v>
      </c>
      <c r="N1336" s="15"/>
    </row>
    <row r="1337" spans="1:14" s="14" customFormat="1" ht="15" customHeight="1" x14ac:dyDescent="0.25">
      <c r="A1337" s="90" t="s">
        <v>857</v>
      </c>
      <c r="B1337" s="90">
        <v>5335</v>
      </c>
      <c r="C1337" s="88" t="s">
        <v>1040</v>
      </c>
      <c r="D1337" s="90" t="s">
        <v>17</v>
      </c>
      <c r="E1337" s="90" t="s">
        <v>753</v>
      </c>
      <c r="F1337" s="90" t="s">
        <v>857</v>
      </c>
      <c r="G1337" s="137">
        <v>6</v>
      </c>
      <c r="H1337" s="94">
        <v>540</v>
      </c>
      <c r="I1337" s="87">
        <v>45982</v>
      </c>
      <c r="J1337" s="93">
        <v>0.6381944444444444</v>
      </c>
      <c r="K1337" s="94">
        <v>540</v>
      </c>
      <c r="L1337" s="72" t="str">
        <f t="shared" si="21"/>
        <v>Payé</v>
      </c>
      <c r="N1337" s="15"/>
    </row>
    <row r="1338" spans="1:14" s="14" customFormat="1" ht="15" customHeight="1" x14ac:dyDescent="0.25">
      <c r="A1338" s="90" t="s">
        <v>857</v>
      </c>
      <c r="B1338" s="90">
        <v>10003</v>
      </c>
      <c r="C1338" s="88" t="s">
        <v>1129</v>
      </c>
      <c r="D1338" s="90" t="s">
        <v>17</v>
      </c>
      <c r="E1338" s="90" t="s">
        <v>753</v>
      </c>
      <c r="F1338" s="90" t="s">
        <v>857</v>
      </c>
      <c r="G1338" s="137">
        <v>9</v>
      </c>
      <c r="H1338" s="94">
        <v>810</v>
      </c>
      <c r="I1338" s="87">
        <v>45982</v>
      </c>
      <c r="J1338" s="93">
        <v>0.6381944444444444</v>
      </c>
      <c r="K1338" s="94">
        <v>810</v>
      </c>
      <c r="L1338" s="72" t="str">
        <f t="shared" si="21"/>
        <v>Payé</v>
      </c>
      <c r="N1338" s="15"/>
    </row>
    <row r="1339" spans="1:14" s="14" customFormat="1" ht="15" customHeight="1" x14ac:dyDescent="0.25">
      <c r="A1339" s="90" t="s">
        <v>857</v>
      </c>
      <c r="B1339" s="90">
        <v>10011</v>
      </c>
      <c r="C1339" s="88" t="s">
        <v>1159</v>
      </c>
      <c r="D1339" s="90" t="s">
        <v>17</v>
      </c>
      <c r="E1339" s="90" t="s">
        <v>753</v>
      </c>
      <c r="F1339" s="90" t="s">
        <v>857</v>
      </c>
      <c r="G1339" s="137">
        <v>8</v>
      </c>
      <c r="H1339" s="94">
        <v>720</v>
      </c>
      <c r="I1339" s="87">
        <v>45982</v>
      </c>
      <c r="J1339" s="93">
        <v>0.6381944444444444</v>
      </c>
      <c r="K1339" s="94">
        <v>720</v>
      </c>
      <c r="L1339" s="72" t="str">
        <f t="shared" si="21"/>
        <v>Payé</v>
      </c>
      <c r="N1339" s="15"/>
    </row>
    <row r="1340" spans="1:14" s="14" customFormat="1" ht="15" customHeight="1" x14ac:dyDescent="0.25">
      <c r="A1340" s="90" t="s">
        <v>857</v>
      </c>
      <c r="B1340" s="90">
        <v>10030</v>
      </c>
      <c r="C1340" s="88" t="s">
        <v>1176</v>
      </c>
      <c r="D1340" s="90" t="s">
        <v>17</v>
      </c>
      <c r="E1340" s="90" t="s">
        <v>753</v>
      </c>
      <c r="F1340" s="90" t="s">
        <v>857</v>
      </c>
      <c r="G1340" s="137">
        <v>12</v>
      </c>
      <c r="H1340" s="94">
        <v>1080</v>
      </c>
      <c r="I1340" s="87">
        <v>45982</v>
      </c>
      <c r="J1340" s="93">
        <v>0.6381944444444444</v>
      </c>
      <c r="K1340" s="94">
        <v>1080</v>
      </c>
      <c r="L1340" s="72" t="str">
        <f t="shared" si="21"/>
        <v>Payé</v>
      </c>
      <c r="N1340" s="15"/>
    </row>
    <row r="1341" spans="1:14" s="14" customFormat="1" ht="15" customHeight="1" x14ac:dyDescent="0.25">
      <c r="A1341" s="90" t="s">
        <v>857</v>
      </c>
      <c r="B1341" s="90">
        <v>10031</v>
      </c>
      <c r="C1341" s="88" t="s">
        <v>1177</v>
      </c>
      <c r="D1341" s="90" t="s">
        <v>17</v>
      </c>
      <c r="E1341" s="90" t="s">
        <v>753</v>
      </c>
      <c r="F1341" s="90" t="s">
        <v>857</v>
      </c>
      <c r="G1341" s="137">
        <v>11</v>
      </c>
      <c r="H1341" s="94">
        <v>990</v>
      </c>
      <c r="I1341" s="87">
        <v>45992</v>
      </c>
      <c r="J1341" s="93">
        <v>0.56597222222222221</v>
      </c>
      <c r="K1341" s="94">
        <v>990</v>
      </c>
      <c r="L1341" s="72" t="str">
        <f t="shared" si="21"/>
        <v>Payé</v>
      </c>
      <c r="N1341" s="15"/>
    </row>
    <row r="1342" spans="1:14" s="14" customFormat="1" ht="15" customHeight="1" x14ac:dyDescent="0.25">
      <c r="A1342" s="90" t="s">
        <v>857</v>
      </c>
      <c r="B1342" s="90">
        <v>10032</v>
      </c>
      <c r="C1342" s="88" t="s">
        <v>1178</v>
      </c>
      <c r="D1342" s="90" t="s">
        <v>17</v>
      </c>
      <c r="E1342" s="90" t="s">
        <v>753</v>
      </c>
      <c r="F1342" s="90" t="s">
        <v>857</v>
      </c>
      <c r="G1342" s="137">
        <v>12</v>
      </c>
      <c r="H1342" s="94">
        <v>1080</v>
      </c>
      <c r="I1342" s="87">
        <v>45982</v>
      </c>
      <c r="J1342" s="93">
        <v>0.6381944444444444</v>
      </c>
      <c r="K1342" s="94">
        <v>1080</v>
      </c>
      <c r="L1342" s="72" t="str">
        <f t="shared" si="21"/>
        <v>Payé</v>
      </c>
      <c r="N1342" s="15"/>
    </row>
    <row r="1343" spans="1:14" s="14" customFormat="1" ht="15" customHeight="1" x14ac:dyDescent="0.25">
      <c r="A1343" s="90" t="s">
        <v>857</v>
      </c>
      <c r="B1343" s="90">
        <v>10041</v>
      </c>
      <c r="C1343" s="88" t="s">
        <v>1213</v>
      </c>
      <c r="D1343" s="90" t="s">
        <v>17</v>
      </c>
      <c r="E1343" s="90" t="s">
        <v>753</v>
      </c>
      <c r="F1343" s="90" t="s">
        <v>857</v>
      </c>
      <c r="G1343" s="137">
        <v>2</v>
      </c>
      <c r="H1343" s="94">
        <v>190</v>
      </c>
      <c r="I1343" s="87">
        <v>45988</v>
      </c>
      <c r="J1343" s="93">
        <v>0.65972222222222221</v>
      </c>
      <c r="K1343" s="94">
        <v>190</v>
      </c>
      <c r="L1343" s="72" t="str">
        <f t="shared" si="21"/>
        <v>Payé</v>
      </c>
      <c r="N1343" s="15"/>
    </row>
    <row r="1344" spans="1:14" s="14" customFormat="1" ht="15" customHeight="1" x14ac:dyDescent="0.25">
      <c r="A1344" s="90" t="s">
        <v>857</v>
      </c>
      <c r="B1344" s="90">
        <v>10069</v>
      </c>
      <c r="C1344" s="88" t="s">
        <v>1249</v>
      </c>
      <c r="D1344" s="90" t="s">
        <v>17</v>
      </c>
      <c r="E1344" s="90" t="s">
        <v>753</v>
      </c>
      <c r="F1344" s="90" t="s">
        <v>857</v>
      </c>
      <c r="G1344" s="137">
        <v>8</v>
      </c>
      <c r="H1344" s="94">
        <v>720</v>
      </c>
      <c r="I1344" s="87">
        <v>45982</v>
      </c>
      <c r="J1344" s="93">
        <v>0.6381944444444444</v>
      </c>
      <c r="K1344" s="94">
        <v>720</v>
      </c>
      <c r="L1344" s="72" t="str">
        <f t="shared" si="21"/>
        <v>Payé</v>
      </c>
      <c r="N1344" s="15"/>
    </row>
    <row r="1345" spans="1:14" s="14" customFormat="1" ht="15" customHeight="1" x14ac:dyDescent="0.25">
      <c r="A1345" s="90" t="s">
        <v>857</v>
      </c>
      <c r="B1345" s="90">
        <v>10133</v>
      </c>
      <c r="C1345" s="88" t="s">
        <v>1325</v>
      </c>
      <c r="D1345" s="90" t="s">
        <v>17</v>
      </c>
      <c r="E1345" s="90" t="s">
        <v>753</v>
      </c>
      <c r="F1345" s="90" t="s">
        <v>857</v>
      </c>
      <c r="G1345" s="137">
        <v>3</v>
      </c>
      <c r="H1345" s="94">
        <v>270</v>
      </c>
      <c r="I1345" s="87">
        <v>45985</v>
      </c>
      <c r="J1345" s="93">
        <v>0.60347222222222219</v>
      </c>
      <c r="K1345" s="94">
        <v>270</v>
      </c>
      <c r="L1345" s="72" t="str">
        <f t="shared" si="21"/>
        <v>Payé</v>
      </c>
      <c r="N1345" s="15"/>
    </row>
    <row r="1346" spans="1:14" s="14" customFormat="1" ht="15" customHeight="1" x14ac:dyDescent="0.25">
      <c r="A1346" s="90" t="s">
        <v>857</v>
      </c>
      <c r="B1346" s="90">
        <v>10138</v>
      </c>
      <c r="C1346" s="88" t="s">
        <v>1328</v>
      </c>
      <c r="D1346" s="90" t="s">
        <v>17</v>
      </c>
      <c r="E1346" s="90" t="s">
        <v>753</v>
      </c>
      <c r="F1346" s="90" t="s">
        <v>857</v>
      </c>
      <c r="G1346" s="137">
        <v>3</v>
      </c>
      <c r="H1346" s="94">
        <v>270</v>
      </c>
      <c r="I1346" s="87">
        <v>45982</v>
      </c>
      <c r="J1346" s="93">
        <v>0.6381944444444444</v>
      </c>
      <c r="K1346" s="94">
        <v>270</v>
      </c>
      <c r="L1346" s="72" t="str">
        <f t="shared" si="21"/>
        <v>Payé</v>
      </c>
      <c r="N1346" s="15"/>
    </row>
    <row r="1347" spans="1:14" s="14" customFormat="1" ht="15" customHeight="1" x14ac:dyDescent="0.25">
      <c r="A1347" s="90" t="s">
        <v>857</v>
      </c>
      <c r="B1347" s="90">
        <v>10161</v>
      </c>
      <c r="C1347" s="88" t="s">
        <v>1341</v>
      </c>
      <c r="D1347" s="90" t="s">
        <v>17</v>
      </c>
      <c r="E1347" s="90" t="s">
        <v>753</v>
      </c>
      <c r="F1347" s="90" t="s">
        <v>857</v>
      </c>
      <c r="G1347" s="137">
        <v>1</v>
      </c>
      <c r="H1347" s="94">
        <v>90</v>
      </c>
      <c r="I1347" s="87">
        <v>45992</v>
      </c>
      <c r="J1347" s="93">
        <v>0.56597222222222221</v>
      </c>
      <c r="K1347" s="94">
        <v>90</v>
      </c>
      <c r="L1347" s="72" t="str">
        <f t="shared" si="21"/>
        <v>Payé</v>
      </c>
      <c r="N1347" s="15"/>
    </row>
    <row r="1348" spans="1:14" s="14" customFormat="1" ht="15" customHeight="1" x14ac:dyDescent="0.25">
      <c r="A1348" s="90" t="s">
        <v>857</v>
      </c>
      <c r="B1348" s="90"/>
      <c r="C1348" s="88" t="s">
        <v>630</v>
      </c>
      <c r="D1348" s="89" t="s">
        <v>910</v>
      </c>
      <c r="E1348" s="90" t="s">
        <v>1047</v>
      </c>
      <c r="F1348" s="90" t="s">
        <v>857</v>
      </c>
      <c r="G1348" s="95">
        <v>232</v>
      </c>
      <c r="H1348" s="92">
        <v>6960</v>
      </c>
      <c r="I1348" s="87">
        <v>45983</v>
      </c>
      <c r="J1348" s="93">
        <v>0.45902777777777781</v>
      </c>
      <c r="K1348" s="92">
        <v>6960</v>
      </c>
      <c r="L1348" s="72" t="str">
        <f t="shared" si="21"/>
        <v>Payé</v>
      </c>
      <c r="N1348" s="15"/>
    </row>
    <row r="1349" spans="1:14" s="14" customFormat="1" ht="15" customHeight="1" x14ac:dyDescent="0.25">
      <c r="A1349" s="90" t="s">
        <v>857</v>
      </c>
      <c r="B1349" s="90">
        <v>1380</v>
      </c>
      <c r="C1349" s="88" t="s">
        <v>632</v>
      </c>
      <c r="D1349" s="90" t="s">
        <v>17</v>
      </c>
      <c r="E1349" s="90" t="s">
        <v>1187</v>
      </c>
      <c r="F1349" s="90" t="s">
        <v>857</v>
      </c>
      <c r="G1349" s="137">
        <v>1</v>
      </c>
      <c r="H1349" s="94">
        <v>91</v>
      </c>
      <c r="I1349" s="87">
        <v>45982</v>
      </c>
      <c r="J1349" s="93">
        <v>0.67013888888888884</v>
      </c>
      <c r="K1349" s="94">
        <v>91</v>
      </c>
      <c r="L1349" s="72" t="str">
        <f t="shared" si="21"/>
        <v>Payé</v>
      </c>
      <c r="N1349" s="15"/>
    </row>
    <row r="1350" spans="1:14" s="14" customFormat="1" ht="15" customHeight="1" x14ac:dyDescent="0.25">
      <c r="A1350" s="90" t="s">
        <v>857</v>
      </c>
      <c r="B1350" s="90">
        <v>1384</v>
      </c>
      <c r="C1350" s="88" t="s">
        <v>633</v>
      </c>
      <c r="D1350" s="90" t="s">
        <v>17</v>
      </c>
      <c r="E1350" s="90" t="s">
        <v>1187</v>
      </c>
      <c r="F1350" s="90" t="s">
        <v>857</v>
      </c>
      <c r="G1350" s="137">
        <v>1</v>
      </c>
      <c r="H1350" s="94">
        <v>87</v>
      </c>
      <c r="I1350" s="87">
        <v>45982</v>
      </c>
      <c r="J1350" s="93">
        <v>0.67013888888888884</v>
      </c>
      <c r="K1350" s="94">
        <v>87</v>
      </c>
      <c r="L1350" s="72" t="str">
        <f t="shared" si="21"/>
        <v>Payé</v>
      </c>
      <c r="N1350" s="15"/>
    </row>
    <row r="1351" spans="1:14" s="14" customFormat="1" ht="15" customHeight="1" x14ac:dyDescent="0.25">
      <c r="A1351" s="90" t="s">
        <v>857</v>
      </c>
      <c r="B1351" s="90">
        <v>1387</v>
      </c>
      <c r="C1351" s="88" t="s">
        <v>634</v>
      </c>
      <c r="D1351" s="90" t="s">
        <v>17</v>
      </c>
      <c r="E1351" s="90" t="s">
        <v>1187</v>
      </c>
      <c r="F1351" s="90" t="s">
        <v>857</v>
      </c>
      <c r="G1351" s="137">
        <v>1</v>
      </c>
      <c r="H1351" s="94">
        <v>91</v>
      </c>
      <c r="I1351" s="87">
        <v>45982</v>
      </c>
      <c r="J1351" s="93">
        <v>0.67013888888888884</v>
      </c>
      <c r="K1351" s="94">
        <v>91</v>
      </c>
      <c r="L1351" s="72" t="str">
        <f t="shared" si="21"/>
        <v>Payé</v>
      </c>
      <c r="N1351" s="15"/>
    </row>
    <row r="1352" spans="1:14" s="14" customFormat="1" ht="15" customHeight="1" x14ac:dyDescent="0.25">
      <c r="A1352" s="90" t="s">
        <v>857</v>
      </c>
      <c r="B1352" s="90">
        <v>1504</v>
      </c>
      <c r="C1352" s="88" t="s">
        <v>635</v>
      </c>
      <c r="D1352" s="90" t="s">
        <v>17</v>
      </c>
      <c r="E1352" s="90" t="s">
        <v>1187</v>
      </c>
      <c r="F1352" s="90" t="s">
        <v>857</v>
      </c>
      <c r="G1352" s="137">
        <v>1</v>
      </c>
      <c r="H1352" s="94">
        <v>91</v>
      </c>
      <c r="I1352" s="87">
        <v>45982</v>
      </c>
      <c r="J1352" s="93">
        <v>0.67013888888888884</v>
      </c>
      <c r="K1352" s="94">
        <v>91</v>
      </c>
      <c r="L1352" s="72" t="str">
        <f t="shared" si="21"/>
        <v>Payé</v>
      </c>
      <c r="N1352" s="15"/>
    </row>
    <row r="1353" spans="1:14" s="14" customFormat="1" ht="15" customHeight="1" x14ac:dyDescent="0.25">
      <c r="A1353" s="90" t="s">
        <v>857</v>
      </c>
      <c r="B1353" s="90">
        <v>1505</v>
      </c>
      <c r="C1353" s="88" t="s">
        <v>383</v>
      </c>
      <c r="D1353" s="90" t="s">
        <v>17</v>
      </c>
      <c r="E1353" s="90" t="s">
        <v>1187</v>
      </c>
      <c r="F1353" s="90" t="s">
        <v>857</v>
      </c>
      <c r="G1353" s="137">
        <v>15</v>
      </c>
      <c r="H1353" s="94">
        <v>1470</v>
      </c>
      <c r="I1353" s="87">
        <v>45982</v>
      </c>
      <c r="J1353" s="93">
        <v>0.67013888888888884</v>
      </c>
      <c r="K1353" s="94">
        <v>1470</v>
      </c>
      <c r="L1353" s="72" t="str">
        <f t="shared" si="21"/>
        <v>Payé</v>
      </c>
      <c r="N1353" s="15"/>
    </row>
    <row r="1354" spans="1:14" s="14" customFormat="1" ht="15" customHeight="1" x14ac:dyDescent="0.25">
      <c r="A1354" s="90" t="s">
        <v>857</v>
      </c>
      <c r="B1354" s="90">
        <v>2577</v>
      </c>
      <c r="C1354" s="88" t="s">
        <v>637</v>
      </c>
      <c r="D1354" s="90" t="s">
        <v>17</v>
      </c>
      <c r="E1354" s="90" t="s">
        <v>1187</v>
      </c>
      <c r="F1354" s="90" t="s">
        <v>857</v>
      </c>
      <c r="G1354" s="137">
        <v>1</v>
      </c>
      <c r="H1354" s="94">
        <v>91</v>
      </c>
      <c r="I1354" s="87">
        <v>45982</v>
      </c>
      <c r="J1354" s="93">
        <v>0.67013888888888884</v>
      </c>
      <c r="K1354" s="94">
        <v>91</v>
      </c>
      <c r="L1354" s="72" t="str">
        <f t="shared" si="21"/>
        <v>Payé</v>
      </c>
      <c r="N1354" s="15"/>
    </row>
    <row r="1355" spans="1:14" s="14" customFormat="1" ht="15" customHeight="1" x14ac:dyDescent="0.25">
      <c r="A1355" s="90" t="s">
        <v>857</v>
      </c>
      <c r="B1355" s="90">
        <v>3534</v>
      </c>
      <c r="C1355" s="88" t="s">
        <v>563</v>
      </c>
      <c r="D1355" s="90" t="s">
        <v>17</v>
      </c>
      <c r="E1355" s="90" t="s">
        <v>1187</v>
      </c>
      <c r="F1355" s="90" t="s">
        <v>857</v>
      </c>
      <c r="G1355" s="137">
        <v>14</v>
      </c>
      <c r="H1355" s="94">
        <v>1647</v>
      </c>
      <c r="I1355" s="87">
        <v>45982</v>
      </c>
      <c r="J1355" s="93">
        <v>0.67013888888888884</v>
      </c>
      <c r="K1355" s="94">
        <v>1647</v>
      </c>
      <c r="L1355" s="72" t="str">
        <f t="shared" si="21"/>
        <v>Payé</v>
      </c>
      <c r="N1355" s="15"/>
    </row>
    <row r="1356" spans="1:14" s="14" customFormat="1" ht="15" customHeight="1" x14ac:dyDescent="0.25">
      <c r="A1356" s="90" t="s">
        <v>857</v>
      </c>
      <c r="B1356" s="90">
        <v>3535</v>
      </c>
      <c r="C1356" s="88" t="s">
        <v>564</v>
      </c>
      <c r="D1356" s="90" t="s">
        <v>17</v>
      </c>
      <c r="E1356" s="90" t="s">
        <v>1187</v>
      </c>
      <c r="F1356" s="90" t="s">
        <v>857</v>
      </c>
      <c r="G1356" s="137">
        <v>11</v>
      </c>
      <c r="H1356" s="94">
        <v>1195</v>
      </c>
      <c r="I1356" s="87">
        <v>45982</v>
      </c>
      <c r="J1356" s="93">
        <v>0.67013888888888884</v>
      </c>
      <c r="K1356" s="94">
        <v>1195</v>
      </c>
      <c r="L1356" s="72" t="str">
        <f t="shared" si="21"/>
        <v>Payé</v>
      </c>
      <c r="N1356" s="15"/>
    </row>
    <row r="1357" spans="1:14" s="14" customFormat="1" ht="15" customHeight="1" x14ac:dyDescent="0.25">
      <c r="A1357" s="90" t="s">
        <v>857</v>
      </c>
      <c r="B1357" s="90">
        <v>3825</v>
      </c>
      <c r="C1357" s="88" t="s">
        <v>574</v>
      </c>
      <c r="D1357" s="90" t="s">
        <v>17</v>
      </c>
      <c r="E1357" s="90" t="s">
        <v>1187</v>
      </c>
      <c r="F1357" s="90" t="s">
        <v>857</v>
      </c>
      <c r="G1357" s="137">
        <v>10</v>
      </c>
      <c r="H1357" s="94">
        <v>1094</v>
      </c>
      <c r="I1357" s="87">
        <v>45982</v>
      </c>
      <c r="J1357" s="93">
        <v>0.67013888888888884</v>
      </c>
      <c r="K1357" s="94">
        <v>1094</v>
      </c>
      <c r="L1357" s="72" t="str">
        <f t="shared" si="21"/>
        <v>Payé</v>
      </c>
      <c r="N1357" s="15"/>
    </row>
    <row r="1358" spans="1:14" s="14" customFormat="1" ht="15" customHeight="1" x14ac:dyDescent="0.25">
      <c r="A1358" s="90" t="s">
        <v>857</v>
      </c>
      <c r="B1358" s="90">
        <v>3947</v>
      </c>
      <c r="C1358" s="88" t="s">
        <v>576</v>
      </c>
      <c r="D1358" s="90" t="s">
        <v>17</v>
      </c>
      <c r="E1358" s="90" t="s">
        <v>1187</v>
      </c>
      <c r="F1358" s="90" t="s">
        <v>857</v>
      </c>
      <c r="G1358" s="137">
        <v>11</v>
      </c>
      <c r="H1358" s="94">
        <v>1130</v>
      </c>
      <c r="I1358" s="87">
        <v>45982</v>
      </c>
      <c r="J1358" s="93">
        <v>0.67013888888888884</v>
      </c>
      <c r="K1358" s="94">
        <v>1130</v>
      </c>
      <c r="L1358" s="72" t="str">
        <f t="shared" si="21"/>
        <v>Payé</v>
      </c>
      <c r="N1358" s="15"/>
    </row>
    <row r="1359" spans="1:14" s="14" customFormat="1" ht="15" customHeight="1" x14ac:dyDescent="0.25">
      <c r="A1359" s="90" t="s">
        <v>857</v>
      </c>
      <c r="B1359" s="90">
        <v>5259</v>
      </c>
      <c r="C1359" s="88" t="s">
        <v>908</v>
      </c>
      <c r="D1359" s="90" t="s">
        <v>17</v>
      </c>
      <c r="E1359" s="90" t="s">
        <v>1187</v>
      </c>
      <c r="F1359" s="90" t="s">
        <v>857</v>
      </c>
      <c r="G1359" s="137">
        <v>15</v>
      </c>
      <c r="H1359" s="94">
        <v>1510</v>
      </c>
      <c r="I1359" s="87">
        <v>45982</v>
      </c>
      <c r="J1359" s="93">
        <v>0.67013888888888884</v>
      </c>
      <c r="K1359" s="94">
        <v>1510</v>
      </c>
      <c r="L1359" s="72" t="str">
        <f t="shared" si="21"/>
        <v>Payé</v>
      </c>
      <c r="N1359" s="15"/>
    </row>
    <row r="1360" spans="1:14" s="14" customFormat="1" ht="15" customHeight="1" x14ac:dyDescent="0.25">
      <c r="A1360" s="90" t="s">
        <v>857</v>
      </c>
      <c r="B1360" s="90">
        <v>5269</v>
      </c>
      <c r="C1360" s="88" t="s">
        <v>925</v>
      </c>
      <c r="D1360" s="90" t="s">
        <v>17</v>
      </c>
      <c r="E1360" s="90" t="s">
        <v>1187</v>
      </c>
      <c r="F1360" s="90" t="s">
        <v>857</v>
      </c>
      <c r="G1360" s="137">
        <v>15</v>
      </c>
      <c r="H1360" s="94">
        <v>1590</v>
      </c>
      <c r="I1360" s="87">
        <v>45982</v>
      </c>
      <c r="J1360" s="93">
        <v>0.67013888888888884</v>
      </c>
      <c r="K1360" s="94">
        <v>1590</v>
      </c>
      <c r="L1360" s="72" t="str">
        <f t="shared" si="21"/>
        <v>Payé</v>
      </c>
      <c r="N1360" s="15"/>
    </row>
    <row r="1361" spans="1:14" s="14" customFormat="1" ht="15" customHeight="1" x14ac:dyDescent="0.25">
      <c r="A1361" s="90" t="s">
        <v>857</v>
      </c>
      <c r="B1361" s="90">
        <v>5278</v>
      </c>
      <c r="C1361" s="88" t="s">
        <v>932</v>
      </c>
      <c r="D1361" s="90" t="s">
        <v>17</v>
      </c>
      <c r="E1361" s="90" t="s">
        <v>1187</v>
      </c>
      <c r="F1361" s="90" t="s">
        <v>857</v>
      </c>
      <c r="G1361" s="137">
        <v>13</v>
      </c>
      <c r="H1361" s="94">
        <v>1170</v>
      </c>
      <c r="I1361" s="87">
        <v>45982</v>
      </c>
      <c r="J1361" s="93">
        <v>0.67013888888888884</v>
      </c>
      <c r="K1361" s="94">
        <v>1170</v>
      </c>
      <c r="L1361" s="72" t="str">
        <f t="shared" si="21"/>
        <v>Payé</v>
      </c>
      <c r="N1361" s="15"/>
    </row>
    <row r="1362" spans="1:14" s="14" customFormat="1" ht="15" customHeight="1" x14ac:dyDescent="0.25">
      <c r="A1362" s="90" t="s">
        <v>857</v>
      </c>
      <c r="B1362" s="90">
        <v>5292</v>
      </c>
      <c r="C1362" s="88" t="s">
        <v>1003</v>
      </c>
      <c r="D1362" s="90" t="s">
        <v>17</v>
      </c>
      <c r="E1362" s="90" t="s">
        <v>1187</v>
      </c>
      <c r="F1362" s="90" t="s">
        <v>857</v>
      </c>
      <c r="G1362" s="137">
        <v>13</v>
      </c>
      <c r="H1362" s="94">
        <v>1210</v>
      </c>
      <c r="I1362" s="87">
        <v>45982</v>
      </c>
      <c r="J1362" s="93">
        <v>0.67013888888888884</v>
      </c>
      <c r="K1362" s="94">
        <v>1210</v>
      </c>
      <c r="L1362" s="72" t="str">
        <f t="shared" si="21"/>
        <v>Payé</v>
      </c>
      <c r="N1362" s="15"/>
    </row>
    <row r="1363" spans="1:14" s="14" customFormat="1" ht="15" customHeight="1" x14ac:dyDescent="0.25">
      <c r="A1363" s="90" t="s">
        <v>857</v>
      </c>
      <c r="B1363" s="90">
        <v>7012</v>
      </c>
      <c r="C1363" s="88" t="s">
        <v>724</v>
      </c>
      <c r="D1363" s="90" t="s">
        <v>17</v>
      </c>
      <c r="E1363" s="90" t="s">
        <v>1187</v>
      </c>
      <c r="F1363" s="90" t="s">
        <v>857</v>
      </c>
      <c r="G1363" s="137">
        <v>14</v>
      </c>
      <c r="H1363" s="94">
        <v>1520</v>
      </c>
      <c r="I1363" s="87">
        <v>45982</v>
      </c>
      <c r="J1363" s="93">
        <v>0.67013888888888884</v>
      </c>
      <c r="K1363" s="94">
        <v>1520</v>
      </c>
      <c r="L1363" s="72" t="str">
        <f t="shared" si="21"/>
        <v>Payé</v>
      </c>
      <c r="N1363" s="15"/>
    </row>
    <row r="1364" spans="1:14" s="14" customFormat="1" ht="15" customHeight="1" x14ac:dyDescent="0.25">
      <c r="A1364" s="90" t="s">
        <v>857</v>
      </c>
      <c r="B1364" s="90">
        <v>10040</v>
      </c>
      <c r="C1364" s="88" t="s">
        <v>1184</v>
      </c>
      <c r="D1364" s="90" t="s">
        <v>17</v>
      </c>
      <c r="E1364" s="90" t="s">
        <v>1187</v>
      </c>
      <c r="F1364" s="90" t="s">
        <v>857</v>
      </c>
      <c r="G1364" s="137">
        <v>13</v>
      </c>
      <c r="H1364" s="94">
        <v>1310</v>
      </c>
      <c r="I1364" s="87">
        <v>45982</v>
      </c>
      <c r="J1364" s="93">
        <v>0.67013888888888884</v>
      </c>
      <c r="K1364" s="94">
        <v>1310</v>
      </c>
      <c r="L1364" s="72" t="str">
        <f t="shared" si="21"/>
        <v>Payé</v>
      </c>
      <c r="N1364" s="15"/>
    </row>
    <row r="1365" spans="1:14" s="14" customFormat="1" ht="15" customHeight="1" x14ac:dyDescent="0.25">
      <c r="A1365" s="90" t="s">
        <v>857</v>
      </c>
      <c r="B1365" s="90">
        <v>3021</v>
      </c>
      <c r="C1365" s="88" t="s">
        <v>304</v>
      </c>
      <c r="D1365" s="90" t="s">
        <v>17</v>
      </c>
      <c r="E1365" s="90" t="s">
        <v>667</v>
      </c>
      <c r="F1365" s="90" t="s">
        <v>857</v>
      </c>
      <c r="G1365" s="137">
        <v>6</v>
      </c>
      <c r="H1365" s="94">
        <v>540</v>
      </c>
      <c r="I1365" s="87">
        <v>45982</v>
      </c>
      <c r="J1365" s="93">
        <v>0.6777777777777777</v>
      </c>
      <c r="K1365" s="94">
        <v>540</v>
      </c>
      <c r="L1365" s="72" t="str">
        <f t="shared" si="21"/>
        <v>Payé</v>
      </c>
      <c r="N1365" s="15"/>
    </row>
    <row r="1366" spans="1:14" s="14" customFormat="1" ht="15" customHeight="1" x14ac:dyDescent="0.25">
      <c r="A1366" s="90" t="s">
        <v>857</v>
      </c>
      <c r="B1366" s="90">
        <v>10084</v>
      </c>
      <c r="C1366" s="88" t="s">
        <v>1261</v>
      </c>
      <c r="D1366" s="90" t="s">
        <v>17</v>
      </c>
      <c r="E1366" s="90" t="s">
        <v>667</v>
      </c>
      <c r="F1366" s="90" t="s">
        <v>857</v>
      </c>
      <c r="G1366" s="137">
        <v>12</v>
      </c>
      <c r="H1366" s="94">
        <v>1080</v>
      </c>
      <c r="I1366" s="87">
        <v>45982</v>
      </c>
      <c r="J1366" s="93">
        <v>0.6777777777777777</v>
      </c>
      <c r="K1366" s="94">
        <v>1080</v>
      </c>
      <c r="L1366" s="72" t="str">
        <f t="shared" si="21"/>
        <v>Payé</v>
      </c>
      <c r="N1366" s="15"/>
    </row>
    <row r="1367" spans="1:14" s="14" customFormat="1" ht="15" customHeight="1" x14ac:dyDescent="0.25">
      <c r="A1367" s="90" t="s">
        <v>857</v>
      </c>
      <c r="B1367" s="90">
        <v>10086</v>
      </c>
      <c r="C1367" s="88" t="s">
        <v>1262</v>
      </c>
      <c r="D1367" s="90" t="s">
        <v>17</v>
      </c>
      <c r="E1367" s="90" t="s">
        <v>667</v>
      </c>
      <c r="F1367" s="90" t="s">
        <v>857</v>
      </c>
      <c r="G1367" s="137">
        <v>15</v>
      </c>
      <c r="H1367" s="94">
        <v>1557</v>
      </c>
      <c r="I1367" s="87">
        <v>45982</v>
      </c>
      <c r="J1367" s="93">
        <v>0.6777777777777777</v>
      </c>
      <c r="K1367" s="94">
        <v>1557</v>
      </c>
      <c r="L1367" s="72" t="str">
        <f t="shared" si="21"/>
        <v>Payé</v>
      </c>
      <c r="N1367" s="15"/>
    </row>
    <row r="1368" spans="1:14" s="14" customFormat="1" ht="15" customHeight="1" x14ac:dyDescent="0.25">
      <c r="A1368" s="90" t="s">
        <v>857</v>
      </c>
      <c r="B1368" s="90">
        <v>10087</v>
      </c>
      <c r="C1368" s="88" t="s">
        <v>1263</v>
      </c>
      <c r="D1368" s="90" t="s">
        <v>17</v>
      </c>
      <c r="E1368" s="90" t="s">
        <v>667</v>
      </c>
      <c r="F1368" s="90" t="s">
        <v>857</v>
      </c>
      <c r="G1368" s="137">
        <v>15</v>
      </c>
      <c r="H1368" s="94">
        <v>1390</v>
      </c>
      <c r="I1368" s="87">
        <v>45982</v>
      </c>
      <c r="J1368" s="93">
        <v>0.6777777777777777</v>
      </c>
      <c r="K1368" s="94">
        <v>1390</v>
      </c>
      <c r="L1368" s="72" t="str">
        <f t="shared" si="21"/>
        <v>Payé</v>
      </c>
      <c r="N1368" s="15"/>
    </row>
    <row r="1369" spans="1:14" s="14" customFormat="1" ht="15" customHeight="1" x14ac:dyDescent="0.25">
      <c r="A1369" s="90" t="s">
        <v>857</v>
      </c>
      <c r="B1369" s="90">
        <v>10090</v>
      </c>
      <c r="C1369" s="88" t="s">
        <v>1266</v>
      </c>
      <c r="D1369" s="90" t="s">
        <v>17</v>
      </c>
      <c r="E1369" s="90" t="s">
        <v>667</v>
      </c>
      <c r="F1369" s="90" t="s">
        <v>857</v>
      </c>
      <c r="G1369" s="137">
        <v>6</v>
      </c>
      <c r="H1369" s="94">
        <v>540</v>
      </c>
      <c r="I1369" s="87">
        <v>45988</v>
      </c>
      <c r="J1369" s="93">
        <v>0.66388888888888886</v>
      </c>
      <c r="K1369" s="94">
        <v>540</v>
      </c>
      <c r="L1369" s="72" t="str">
        <f t="shared" si="21"/>
        <v>Payé</v>
      </c>
      <c r="N1369" s="15"/>
    </row>
    <row r="1370" spans="1:14" s="14" customFormat="1" ht="15" customHeight="1" x14ac:dyDescent="0.25">
      <c r="A1370" s="90" t="s">
        <v>857</v>
      </c>
      <c r="B1370" s="90">
        <v>10091</v>
      </c>
      <c r="C1370" s="88" t="s">
        <v>1267</v>
      </c>
      <c r="D1370" s="90" t="s">
        <v>17</v>
      </c>
      <c r="E1370" s="90" t="s">
        <v>667</v>
      </c>
      <c r="F1370" s="90" t="s">
        <v>857</v>
      </c>
      <c r="G1370" s="137">
        <v>3</v>
      </c>
      <c r="H1370" s="94">
        <v>270</v>
      </c>
      <c r="I1370" s="87">
        <v>45999</v>
      </c>
      <c r="J1370" s="93">
        <v>0.59166666666666667</v>
      </c>
      <c r="K1370" s="94">
        <v>270</v>
      </c>
      <c r="L1370" s="72" t="str">
        <f t="shared" si="21"/>
        <v>Payé</v>
      </c>
      <c r="N1370" s="15"/>
    </row>
    <row r="1371" spans="1:14" s="14" customFormat="1" ht="15" customHeight="1" x14ac:dyDescent="0.25">
      <c r="A1371" s="90" t="s">
        <v>857</v>
      </c>
      <c r="B1371" s="90">
        <v>10092</v>
      </c>
      <c r="C1371" s="88" t="s">
        <v>1268</v>
      </c>
      <c r="D1371" s="90" t="s">
        <v>17</v>
      </c>
      <c r="E1371" s="90" t="s">
        <v>667</v>
      </c>
      <c r="F1371" s="90" t="s">
        <v>857</v>
      </c>
      <c r="G1371" s="137">
        <v>15</v>
      </c>
      <c r="H1371" s="94">
        <v>1390</v>
      </c>
      <c r="I1371" s="87">
        <v>45988</v>
      </c>
      <c r="J1371" s="93">
        <v>0.66388888888888886</v>
      </c>
      <c r="K1371" s="94">
        <v>1390</v>
      </c>
      <c r="L1371" s="72" t="str">
        <f t="shared" si="21"/>
        <v>Payé</v>
      </c>
      <c r="N1371" s="15"/>
    </row>
    <row r="1372" spans="1:14" s="14" customFormat="1" ht="15" customHeight="1" x14ac:dyDescent="0.25">
      <c r="A1372" s="90" t="s">
        <v>857</v>
      </c>
      <c r="B1372" s="90">
        <v>10093</v>
      </c>
      <c r="C1372" s="88" t="s">
        <v>1269</v>
      </c>
      <c r="D1372" s="90" t="s">
        <v>17</v>
      </c>
      <c r="E1372" s="90" t="s">
        <v>667</v>
      </c>
      <c r="F1372" s="90" t="s">
        <v>857</v>
      </c>
      <c r="G1372" s="137">
        <v>13</v>
      </c>
      <c r="H1372" s="94">
        <v>1190</v>
      </c>
      <c r="I1372" s="87">
        <v>45988</v>
      </c>
      <c r="J1372" s="93">
        <v>0.66388888888888886</v>
      </c>
      <c r="K1372" s="94">
        <v>1190</v>
      </c>
      <c r="L1372" s="72" t="str">
        <f t="shared" si="21"/>
        <v>Payé</v>
      </c>
      <c r="N1372" s="15"/>
    </row>
    <row r="1373" spans="1:14" s="14" customFormat="1" ht="15" customHeight="1" x14ac:dyDescent="0.25">
      <c r="A1373" s="90" t="s">
        <v>857</v>
      </c>
      <c r="B1373" s="90">
        <v>10094</v>
      </c>
      <c r="C1373" s="88" t="s">
        <v>1270</v>
      </c>
      <c r="D1373" s="90" t="s">
        <v>17</v>
      </c>
      <c r="E1373" s="90" t="s">
        <v>667</v>
      </c>
      <c r="F1373" s="90" t="s">
        <v>857</v>
      </c>
      <c r="G1373" s="137">
        <v>12</v>
      </c>
      <c r="H1373" s="94">
        <v>1100</v>
      </c>
      <c r="I1373" s="87">
        <v>45982</v>
      </c>
      <c r="J1373" s="93">
        <v>0.6777777777777777</v>
      </c>
      <c r="K1373" s="94">
        <v>1100</v>
      </c>
      <c r="L1373" s="72" t="str">
        <f t="shared" si="21"/>
        <v>Payé</v>
      </c>
      <c r="N1373" s="15"/>
    </row>
    <row r="1374" spans="1:14" s="14" customFormat="1" ht="15" customHeight="1" x14ac:dyDescent="0.25">
      <c r="A1374" s="90" t="s">
        <v>857</v>
      </c>
      <c r="B1374" s="90">
        <v>10095</v>
      </c>
      <c r="C1374" s="88" t="s">
        <v>1271</v>
      </c>
      <c r="D1374" s="90" t="s">
        <v>17</v>
      </c>
      <c r="E1374" s="90" t="s">
        <v>667</v>
      </c>
      <c r="F1374" s="90" t="s">
        <v>857</v>
      </c>
      <c r="G1374" s="137">
        <v>12</v>
      </c>
      <c r="H1374" s="94">
        <v>1080</v>
      </c>
      <c r="I1374" s="87">
        <v>45982</v>
      </c>
      <c r="J1374" s="93">
        <v>0.6777777777777777</v>
      </c>
      <c r="K1374" s="94">
        <v>1080</v>
      </c>
      <c r="L1374" s="72" t="str">
        <f t="shared" ref="L1374:L1437" si="22">IF(ISBLANK(H1374),"",IF(H1374=K1374,"Payé","Impayé"))</f>
        <v>Payé</v>
      </c>
      <c r="N1374" s="15"/>
    </row>
    <row r="1375" spans="1:14" s="14" customFormat="1" ht="15" customHeight="1" x14ac:dyDescent="0.25">
      <c r="A1375" s="90" t="s">
        <v>857</v>
      </c>
      <c r="B1375" s="90">
        <v>10096</v>
      </c>
      <c r="C1375" s="88" t="s">
        <v>1293</v>
      </c>
      <c r="D1375" s="90" t="s">
        <v>17</v>
      </c>
      <c r="E1375" s="90" t="s">
        <v>667</v>
      </c>
      <c r="F1375" s="90" t="s">
        <v>857</v>
      </c>
      <c r="G1375" s="137">
        <v>15</v>
      </c>
      <c r="H1375" s="94">
        <v>1370</v>
      </c>
      <c r="I1375" s="87">
        <v>45982</v>
      </c>
      <c r="J1375" s="93">
        <v>0.6777777777777777</v>
      </c>
      <c r="K1375" s="94">
        <v>1370</v>
      </c>
      <c r="L1375" s="72" t="str">
        <f t="shared" si="22"/>
        <v>Payé</v>
      </c>
      <c r="N1375" s="15"/>
    </row>
    <row r="1376" spans="1:14" s="14" customFormat="1" ht="15" customHeight="1" x14ac:dyDescent="0.25">
      <c r="A1376" s="90" t="s">
        <v>857</v>
      </c>
      <c r="B1376" s="90">
        <v>10098</v>
      </c>
      <c r="C1376" s="88" t="s">
        <v>1295</v>
      </c>
      <c r="D1376" s="90" t="s">
        <v>17</v>
      </c>
      <c r="E1376" s="90" t="s">
        <v>667</v>
      </c>
      <c r="F1376" s="90" t="s">
        <v>857</v>
      </c>
      <c r="G1376" s="137">
        <v>2</v>
      </c>
      <c r="H1376" s="94">
        <v>180</v>
      </c>
      <c r="I1376" s="87">
        <v>45988</v>
      </c>
      <c r="J1376" s="93">
        <v>0.66388888888888886</v>
      </c>
      <c r="K1376" s="94">
        <v>180</v>
      </c>
      <c r="L1376" s="72" t="str">
        <f t="shared" si="22"/>
        <v>Payé</v>
      </c>
      <c r="N1376" s="15"/>
    </row>
    <row r="1377" spans="1:14" s="14" customFormat="1" ht="15" customHeight="1" x14ac:dyDescent="0.25">
      <c r="A1377" s="90" t="s">
        <v>857</v>
      </c>
      <c r="B1377" s="90">
        <v>10099</v>
      </c>
      <c r="C1377" s="88" t="s">
        <v>1296</v>
      </c>
      <c r="D1377" s="90" t="s">
        <v>17</v>
      </c>
      <c r="E1377" s="90" t="s">
        <v>667</v>
      </c>
      <c r="F1377" s="90" t="s">
        <v>857</v>
      </c>
      <c r="G1377" s="137">
        <v>2</v>
      </c>
      <c r="H1377" s="94">
        <v>180</v>
      </c>
      <c r="I1377" s="87">
        <v>45983</v>
      </c>
      <c r="J1377" s="93">
        <v>0.47916666666666669</v>
      </c>
      <c r="K1377" s="94">
        <v>180</v>
      </c>
      <c r="L1377" s="72" t="str">
        <f t="shared" si="22"/>
        <v>Payé</v>
      </c>
      <c r="N1377" s="15"/>
    </row>
    <row r="1378" spans="1:14" s="14" customFormat="1" ht="15" customHeight="1" x14ac:dyDescent="0.25">
      <c r="A1378" s="90" t="s">
        <v>857</v>
      </c>
      <c r="B1378" s="90">
        <v>10101</v>
      </c>
      <c r="C1378" s="88" t="s">
        <v>1298</v>
      </c>
      <c r="D1378" s="90" t="s">
        <v>17</v>
      </c>
      <c r="E1378" s="90" t="s">
        <v>667</v>
      </c>
      <c r="F1378" s="90" t="s">
        <v>857</v>
      </c>
      <c r="G1378" s="137">
        <v>12</v>
      </c>
      <c r="H1378" s="94">
        <v>1080</v>
      </c>
      <c r="I1378" s="87">
        <v>45982</v>
      </c>
      <c r="J1378" s="93">
        <v>0.6777777777777777</v>
      </c>
      <c r="K1378" s="94">
        <v>1080</v>
      </c>
      <c r="L1378" s="72" t="str">
        <f t="shared" si="22"/>
        <v>Payé</v>
      </c>
      <c r="N1378" s="15"/>
    </row>
    <row r="1379" spans="1:14" s="14" customFormat="1" ht="15" customHeight="1" x14ac:dyDescent="0.25">
      <c r="A1379" s="90" t="s">
        <v>857</v>
      </c>
      <c r="B1379" s="90">
        <v>10106</v>
      </c>
      <c r="C1379" s="88" t="s">
        <v>1301</v>
      </c>
      <c r="D1379" s="90" t="s">
        <v>17</v>
      </c>
      <c r="E1379" s="90" t="s">
        <v>667</v>
      </c>
      <c r="F1379" s="90" t="s">
        <v>857</v>
      </c>
      <c r="G1379" s="137">
        <v>7</v>
      </c>
      <c r="H1379" s="94">
        <v>630</v>
      </c>
      <c r="I1379" s="87">
        <v>45983</v>
      </c>
      <c r="J1379" s="93">
        <v>0.3527777777777778</v>
      </c>
      <c r="K1379" s="94">
        <v>630</v>
      </c>
      <c r="L1379" s="72" t="str">
        <f t="shared" si="22"/>
        <v>Payé</v>
      </c>
      <c r="N1379" s="15"/>
    </row>
    <row r="1380" spans="1:14" s="14" customFormat="1" ht="15" customHeight="1" x14ac:dyDescent="0.25">
      <c r="A1380" s="90" t="s">
        <v>857</v>
      </c>
      <c r="B1380" s="90">
        <v>10107</v>
      </c>
      <c r="C1380" s="88" t="s">
        <v>1302</v>
      </c>
      <c r="D1380" s="90" t="s">
        <v>17</v>
      </c>
      <c r="E1380" s="90" t="s">
        <v>667</v>
      </c>
      <c r="F1380" s="90" t="s">
        <v>857</v>
      </c>
      <c r="G1380" s="137">
        <v>8</v>
      </c>
      <c r="H1380" s="94">
        <v>720</v>
      </c>
      <c r="I1380" s="87">
        <v>45982</v>
      </c>
      <c r="J1380" s="93">
        <v>0.6777777777777777</v>
      </c>
      <c r="K1380" s="94">
        <v>720</v>
      </c>
      <c r="L1380" s="72" t="str">
        <f t="shared" si="22"/>
        <v>Payé</v>
      </c>
      <c r="N1380" s="15"/>
    </row>
    <row r="1381" spans="1:14" s="14" customFormat="1" ht="15" customHeight="1" x14ac:dyDescent="0.25">
      <c r="A1381" s="90" t="s">
        <v>857</v>
      </c>
      <c r="B1381" s="90">
        <v>10108</v>
      </c>
      <c r="C1381" s="88" t="s">
        <v>1303</v>
      </c>
      <c r="D1381" s="90" t="s">
        <v>17</v>
      </c>
      <c r="E1381" s="90" t="s">
        <v>667</v>
      </c>
      <c r="F1381" s="90" t="s">
        <v>857</v>
      </c>
      <c r="G1381" s="137">
        <v>9</v>
      </c>
      <c r="H1381" s="94">
        <v>810</v>
      </c>
      <c r="I1381" s="87">
        <v>45983</v>
      </c>
      <c r="J1381" s="93">
        <v>0.47638888888888892</v>
      </c>
      <c r="K1381" s="94">
        <v>810</v>
      </c>
      <c r="L1381" s="72" t="str">
        <f t="shared" si="22"/>
        <v>Payé</v>
      </c>
      <c r="N1381" s="15"/>
    </row>
    <row r="1382" spans="1:14" s="14" customFormat="1" ht="15" customHeight="1" x14ac:dyDescent="0.25">
      <c r="A1382" s="90" t="s">
        <v>857</v>
      </c>
      <c r="B1382" s="90">
        <v>10110</v>
      </c>
      <c r="C1382" s="88" t="s">
        <v>1305</v>
      </c>
      <c r="D1382" s="90" t="s">
        <v>17</v>
      </c>
      <c r="E1382" s="90" t="s">
        <v>667</v>
      </c>
      <c r="F1382" s="90" t="s">
        <v>857</v>
      </c>
      <c r="G1382" s="137">
        <v>5</v>
      </c>
      <c r="H1382" s="94">
        <v>450</v>
      </c>
      <c r="I1382" s="87">
        <v>45982</v>
      </c>
      <c r="J1382" s="93">
        <v>0.6777777777777777</v>
      </c>
      <c r="K1382" s="94">
        <v>450</v>
      </c>
      <c r="L1382" s="72" t="str">
        <f t="shared" si="22"/>
        <v>Payé</v>
      </c>
      <c r="N1382" s="15"/>
    </row>
    <row r="1383" spans="1:14" s="14" customFormat="1" ht="15" customHeight="1" x14ac:dyDescent="0.25">
      <c r="A1383" s="90" t="s">
        <v>857</v>
      </c>
      <c r="B1383" s="90">
        <v>10112</v>
      </c>
      <c r="C1383" s="88" t="s">
        <v>1306</v>
      </c>
      <c r="D1383" s="90" t="s">
        <v>17</v>
      </c>
      <c r="E1383" s="90" t="s">
        <v>667</v>
      </c>
      <c r="F1383" s="90" t="s">
        <v>857</v>
      </c>
      <c r="G1383" s="137">
        <v>4</v>
      </c>
      <c r="H1383" s="94">
        <v>360</v>
      </c>
      <c r="I1383" s="87">
        <v>45983</v>
      </c>
      <c r="J1383" s="93">
        <v>0.3527777777777778</v>
      </c>
      <c r="K1383" s="94">
        <v>360</v>
      </c>
      <c r="L1383" s="72" t="str">
        <f t="shared" si="22"/>
        <v>Payé</v>
      </c>
      <c r="N1383" s="15"/>
    </row>
    <row r="1384" spans="1:14" s="14" customFormat="1" ht="15" customHeight="1" x14ac:dyDescent="0.25">
      <c r="A1384" s="90" t="s">
        <v>857</v>
      </c>
      <c r="B1384" s="90">
        <v>10113</v>
      </c>
      <c r="C1384" s="88" t="s">
        <v>1307</v>
      </c>
      <c r="D1384" s="90" t="s">
        <v>17</v>
      </c>
      <c r="E1384" s="90" t="s">
        <v>667</v>
      </c>
      <c r="F1384" s="90" t="s">
        <v>857</v>
      </c>
      <c r="G1384" s="137">
        <v>4</v>
      </c>
      <c r="H1384" s="94">
        <v>360</v>
      </c>
      <c r="I1384" s="87">
        <v>45982</v>
      </c>
      <c r="J1384" s="93">
        <v>0.6777777777777777</v>
      </c>
      <c r="K1384" s="94">
        <v>360</v>
      </c>
      <c r="L1384" s="72" t="str">
        <f t="shared" si="22"/>
        <v>Payé</v>
      </c>
      <c r="N1384" s="15"/>
    </row>
    <row r="1385" spans="1:14" s="14" customFormat="1" ht="15" customHeight="1" x14ac:dyDescent="0.25">
      <c r="A1385" s="90" t="s">
        <v>857</v>
      </c>
      <c r="B1385" s="90">
        <v>10141</v>
      </c>
      <c r="C1385" s="88" t="s">
        <v>1330</v>
      </c>
      <c r="D1385" s="90" t="s">
        <v>17</v>
      </c>
      <c r="E1385" s="90" t="s">
        <v>667</v>
      </c>
      <c r="F1385" s="90" t="s">
        <v>857</v>
      </c>
      <c r="G1385" s="137">
        <v>2</v>
      </c>
      <c r="H1385" s="94">
        <v>180</v>
      </c>
      <c r="I1385" s="87">
        <v>45982</v>
      </c>
      <c r="J1385" s="93">
        <v>0.6777777777777777</v>
      </c>
      <c r="K1385" s="94">
        <v>180</v>
      </c>
      <c r="L1385" s="72" t="str">
        <f t="shared" si="22"/>
        <v>Payé</v>
      </c>
      <c r="N1385" s="15"/>
    </row>
    <row r="1386" spans="1:14" s="14" customFormat="1" ht="15" customHeight="1" x14ac:dyDescent="0.25">
      <c r="A1386" s="90" t="s">
        <v>857</v>
      </c>
      <c r="B1386" s="90">
        <v>10156</v>
      </c>
      <c r="C1386" s="88" t="s">
        <v>1337</v>
      </c>
      <c r="D1386" s="90" t="s">
        <v>17</v>
      </c>
      <c r="E1386" s="90" t="s">
        <v>667</v>
      </c>
      <c r="F1386" s="90" t="s">
        <v>857</v>
      </c>
      <c r="G1386" s="137">
        <v>3</v>
      </c>
      <c r="H1386" s="94">
        <v>270</v>
      </c>
      <c r="I1386" s="87">
        <v>45982</v>
      </c>
      <c r="J1386" s="93">
        <v>0.6777777777777777</v>
      </c>
      <c r="K1386" s="94">
        <v>270</v>
      </c>
      <c r="L1386" s="72" t="str">
        <f t="shared" si="22"/>
        <v>Payé</v>
      </c>
      <c r="N1386" s="15"/>
    </row>
    <row r="1387" spans="1:14" s="14" customFormat="1" ht="15" customHeight="1" x14ac:dyDescent="0.25">
      <c r="A1387" s="90" t="s">
        <v>857</v>
      </c>
      <c r="B1387" s="90">
        <v>10158</v>
      </c>
      <c r="C1387" s="88" t="s">
        <v>1339</v>
      </c>
      <c r="D1387" s="90" t="s">
        <v>17</v>
      </c>
      <c r="E1387" s="90" t="s">
        <v>667</v>
      </c>
      <c r="F1387" s="90" t="s">
        <v>857</v>
      </c>
      <c r="G1387" s="137">
        <v>2</v>
      </c>
      <c r="H1387" s="94">
        <v>180</v>
      </c>
      <c r="I1387" s="87">
        <v>45982</v>
      </c>
      <c r="J1387" s="93">
        <v>0.6777777777777777</v>
      </c>
      <c r="K1387" s="94">
        <v>180</v>
      </c>
      <c r="L1387" s="72" t="str">
        <f t="shared" si="22"/>
        <v>Payé</v>
      </c>
      <c r="N1387" s="15"/>
    </row>
    <row r="1388" spans="1:14" s="14" customFormat="1" ht="15" customHeight="1" x14ac:dyDescent="0.25">
      <c r="A1388" s="90" t="s">
        <v>857</v>
      </c>
      <c r="B1388" s="90"/>
      <c r="C1388" s="88" t="s">
        <v>1347</v>
      </c>
      <c r="D1388" s="89" t="s">
        <v>910</v>
      </c>
      <c r="E1388" s="90" t="s">
        <v>667</v>
      </c>
      <c r="F1388" s="90" t="s">
        <v>857</v>
      </c>
      <c r="G1388" s="95">
        <v>197</v>
      </c>
      <c r="H1388" s="92">
        <v>5910</v>
      </c>
      <c r="I1388" s="87">
        <v>45982</v>
      </c>
      <c r="J1388" s="93">
        <v>0.62708333333333333</v>
      </c>
      <c r="K1388" s="92">
        <v>5910</v>
      </c>
      <c r="L1388" s="72" t="str">
        <f t="shared" si="22"/>
        <v>Payé</v>
      </c>
      <c r="N1388" s="15"/>
    </row>
    <row r="1389" spans="1:14" s="14" customFormat="1" ht="15" customHeight="1" x14ac:dyDescent="0.25">
      <c r="A1389" s="90" t="s">
        <v>857</v>
      </c>
      <c r="B1389" s="90"/>
      <c r="C1389" s="88" t="s">
        <v>1190</v>
      </c>
      <c r="D1389" s="89" t="s">
        <v>910</v>
      </c>
      <c r="E1389" s="90" t="s">
        <v>1350</v>
      </c>
      <c r="F1389" s="90" t="s">
        <v>857</v>
      </c>
      <c r="G1389" s="95">
        <v>276</v>
      </c>
      <c r="H1389" s="92">
        <v>8280</v>
      </c>
      <c r="I1389" s="87">
        <v>45982</v>
      </c>
      <c r="J1389" s="93">
        <v>0.64722222222222225</v>
      </c>
      <c r="K1389" s="92">
        <v>8280</v>
      </c>
      <c r="L1389" s="72" t="str">
        <f t="shared" si="22"/>
        <v>Payé</v>
      </c>
      <c r="N1389" s="15"/>
    </row>
    <row r="1390" spans="1:14" s="14" customFormat="1" ht="15" customHeight="1" x14ac:dyDescent="0.25">
      <c r="A1390" s="90" t="s">
        <v>857</v>
      </c>
      <c r="B1390" s="90">
        <v>41</v>
      </c>
      <c r="C1390" s="88" t="s">
        <v>407</v>
      </c>
      <c r="D1390" s="90" t="s">
        <v>17</v>
      </c>
      <c r="E1390" s="90" t="s">
        <v>370</v>
      </c>
      <c r="F1390" s="90" t="s">
        <v>857</v>
      </c>
      <c r="G1390" s="137">
        <v>2</v>
      </c>
      <c r="H1390" s="94">
        <v>191</v>
      </c>
      <c r="I1390" s="87">
        <v>46031</v>
      </c>
      <c r="J1390" s="93">
        <v>0.5625</v>
      </c>
      <c r="K1390" s="94">
        <v>191</v>
      </c>
      <c r="L1390" s="72" t="str">
        <f t="shared" si="22"/>
        <v>Payé</v>
      </c>
      <c r="N1390" s="15"/>
    </row>
    <row r="1391" spans="1:14" s="14" customFormat="1" ht="15" customHeight="1" x14ac:dyDescent="0.25">
      <c r="A1391" s="90" t="s">
        <v>857</v>
      </c>
      <c r="B1391" s="90">
        <v>994</v>
      </c>
      <c r="C1391" s="88" t="s">
        <v>381</v>
      </c>
      <c r="D1391" s="90" t="s">
        <v>17</v>
      </c>
      <c r="E1391" s="90" t="s">
        <v>370</v>
      </c>
      <c r="F1391" s="90" t="s">
        <v>857</v>
      </c>
      <c r="G1391" s="137">
        <v>2</v>
      </c>
      <c r="H1391" s="94">
        <v>182</v>
      </c>
      <c r="I1391" s="87">
        <v>46003</v>
      </c>
      <c r="J1391" s="93">
        <v>0.40625</v>
      </c>
      <c r="K1391" s="94">
        <v>182</v>
      </c>
      <c r="L1391" s="72" t="str">
        <f t="shared" si="22"/>
        <v>Payé</v>
      </c>
      <c r="N1391" s="15"/>
    </row>
    <row r="1392" spans="1:14" s="14" customFormat="1" ht="15" customHeight="1" x14ac:dyDescent="0.25">
      <c r="A1392" s="90" t="s">
        <v>857</v>
      </c>
      <c r="B1392" s="90">
        <v>5348</v>
      </c>
      <c r="C1392" s="88" t="s">
        <v>1083</v>
      </c>
      <c r="D1392" s="90" t="s">
        <v>17</v>
      </c>
      <c r="E1392" s="90" t="s">
        <v>370</v>
      </c>
      <c r="F1392" s="90" t="s">
        <v>857</v>
      </c>
      <c r="G1392" s="137">
        <v>2</v>
      </c>
      <c r="H1392" s="94">
        <v>173</v>
      </c>
      <c r="I1392" s="87">
        <v>46003</v>
      </c>
      <c r="J1392" s="93">
        <v>0.40625</v>
      </c>
      <c r="K1392" s="94">
        <v>173</v>
      </c>
      <c r="L1392" s="72" t="str">
        <f t="shared" si="22"/>
        <v>Payé</v>
      </c>
      <c r="N1392" s="15"/>
    </row>
    <row r="1393" spans="1:14" s="14" customFormat="1" ht="15" customHeight="1" x14ac:dyDescent="0.25">
      <c r="A1393" s="90" t="s">
        <v>857</v>
      </c>
      <c r="B1393" s="90">
        <v>2700</v>
      </c>
      <c r="C1393" s="88" t="s">
        <v>1287</v>
      </c>
      <c r="D1393" s="90" t="s">
        <v>17</v>
      </c>
      <c r="E1393" s="90" t="s">
        <v>649</v>
      </c>
      <c r="F1393" s="90" t="s">
        <v>857</v>
      </c>
      <c r="G1393" s="137">
        <v>4</v>
      </c>
      <c r="H1393" s="94">
        <v>360</v>
      </c>
      <c r="I1393" s="87">
        <v>46002</v>
      </c>
      <c r="J1393" s="93">
        <v>0.3833333333333333</v>
      </c>
      <c r="K1393" s="94">
        <v>360</v>
      </c>
      <c r="L1393" s="72" t="str">
        <f t="shared" si="22"/>
        <v>Payé</v>
      </c>
      <c r="N1393" s="15"/>
    </row>
    <row r="1394" spans="1:14" s="14" customFormat="1" ht="15" customHeight="1" x14ac:dyDescent="0.25">
      <c r="A1394" s="90" t="s">
        <v>857</v>
      </c>
      <c r="B1394" s="90">
        <v>10039</v>
      </c>
      <c r="C1394" s="88" t="s">
        <v>1183</v>
      </c>
      <c r="D1394" s="90" t="s">
        <v>17</v>
      </c>
      <c r="E1394" s="90" t="s">
        <v>753</v>
      </c>
      <c r="F1394" s="90" t="s">
        <v>857</v>
      </c>
      <c r="G1394" s="137">
        <v>7</v>
      </c>
      <c r="H1394" s="94">
        <v>630</v>
      </c>
      <c r="I1394" s="87">
        <v>46014</v>
      </c>
      <c r="J1394" s="93">
        <v>0.60763888888888895</v>
      </c>
      <c r="K1394" s="94">
        <v>630</v>
      </c>
      <c r="L1394" s="72" t="str">
        <f t="shared" si="22"/>
        <v>Payé</v>
      </c>
      <c r="N1394" s="15"/>
    </row>
    <row r="1395" spans="1:14" s="14" customFormat="1" ht="15" customHeight="1" x14ac:dyDescent="0.25">
      <c r="A1395" s="90" t="s">
        <v>857</v>
      </c>
      <c r="B1395" s="90">
        <v>10157</v>
      </c>
      <c r="C1395" s="88" t="s">
        <v>1338</v>
      </c>
      <c r="D1395" s="90" t="s">
        <v>17</v>
      </c>
      <c r="E1395" s="90" t="s">
        <v>753</v>
      </c>
      <c r="F1395" s="90" t="s">
        <v>857</v>
      </c>
      <c r="G1395" s="137">
        <v>1</v>
      </c>
      <c r="H1395" s="94">
        <v>90</v>
      </c>
      <c r="I1395" s="87">
        <v>46003</v>
      </c>
      <c r="J1395" s="93">
        <v>0.46388888888888885</v>
      </c>
      <c r="K1395" s="94">
        <v>90</v>
      </c>
      <c r="L1395" s="72" t="str">
        <f t="shared" si="22"/>
        <v>Payé</v>
      </c>
      <c r="N1395" s="15"/>
    </row>
    <row r="1396" spans="1:14" s="14" customFormat="1" ht="15" customHeight="1" x14ac:dyDescent="0.25">
      <c r="A1396" s="90" t="s">
        <v>857</v>
      </c>
      <c r="B1396" s="90">
        <v>10088</v>
      </c>
      <c r="C1396" s="88" t="s">
        <v>1264</v>
      </c>
      <c r="D1396" s="90" t="s">
        <v>17</v>
      </c>
      <c r="E1396" s="90" t="s">
        <v>667</v>
      </c>
      <c r="F1396" s="90" t="s">
        <v>857</v>
      </c>
      <c r="G1396" s="137">
        <v>13</v>
      </c>
      <c r="H1396" s="94">
        <v>1235</v>
      </c>
      <c r="I1396" s="87">
        <v>46003</v>
      </c>
      <c r="J1396" s="93">
        <v>0.65138888888888891</v>
      </c>
      <c r="K1396" s="94">
        <v>1235</v>
      </c>
      <c r="L1396" s="72" t="str">
        <f t="shared" si="22"/>
        <v>Payé</v>
      </c>
      <c r="N1396" s="15"/>
    </row>
    <row r="1397" spans="1:14" s="14" customFormat="1" ht="15" customHeight="1" x14ac:dyDescent="0.25">
      <c r="A1397" s="90" t="s">
        <v>857</v>
      </c>
      <c r="B1397" s="90">
        <v>10097</v>
      </c>
      <c r="C1397" s="88" t="s">
        <v>1294</v>
      </c>
      <c r="D1397" s="90" t="s">
        <v>17</v>
      </c>
      <c r="E1397" s="90" t="s">
        <v>667</v>
      </c>
      <c r="F1397" s="90" t="s">
        <v>857</v>
      </c>
      <c r="G1397" s="137">
        <v>4</v>
      </c>
      <c r="H1397" s="94">
        <v>360</v>
      </c>
      <c r="I1397" s="87">
        <v>46017</v>
      </c>
      <c r="J1397" s="93">
        <v>0.37152777777777773</v>
      </c>
      <c r="K1397" s="94">
        <v>360</v>
      </c>
      <c r="L1397" s="72" t="str">
        <f t="shared" si="22"/>
        <v>Payé</v>
      </c>
      <c r="N1397" s="15"/>
    </row>
    <row r="1398" spans="1:14" s="14" customFormat="1" ht="15" customHeight="1" x14ac:dyDescent="0.25">
      <c r="A1398" s="90" t="s">
        <v>857</v>
      </c>
      <c r="B1398" s="90">
        <v>10100</v>
      </c>
      <c r="C1398" s="88" t="s">
        <v>1297</v>
      </c>
      <c r="D1398" s="90" t="s">
        <v>17</v>
      </c>
      <c r="E1398" s="90" t="s">
        <v>667</v>
      </c>
      <c r="F1398" s="90" t="s">
        <v>857</v>
      </c>
      <c r="G1398" s="137">
        <v>1</v>
      </c>
      <c r="H1398" s="94">
        <v>90</v>
      </c>
      <c r="I1398" s="87">
        <v>46003</v>
      </c>
      <c r="J1398" s="93">
        <v>0.65138888888888891</v>
      </c>
      <c r="K1398" s="94">
        <v>90</v>
      </c>
      <c r="L1398" s="72" t="str">
        <f t="shared" si="22"/>
        <v>Payé</v>
      </c>
      <c r="N1398" s="15"/>
    </row>
    <row r="1399" spans="1:14" s="14" customFormat="1" ht="15" customHeight="1" x14ac:dyDescent="0.25">
      <c r="A1399" s="90" t="s">
        <v>857</v>
      </c>
      <c r="B1399" s="90">
        <v>10109</v>
      </c>
      <c r="C1399" s="88" t="s">
        <v>1304</v>
      </c>
      <c r="D1399" s="90" t="s">
        <v>17</v>
      </c>
      <c r="E1399" s="90" t="s">
        <v>667</v>
      </c>
      <c r="F1399" s="90" t="s">
        <v>857</v>
      </c>
      <c r="G1399" s="137">
        <v>6</v>
      </c>
      <c r="H1399" s="94">
        <v>540</v>
      </c>
      <c r="I1399" s="87">
        <v>46003</v>
      </c>
      <c r="J1399" s="93">
        <v>0.65138888888888891</v>
      </c>
      <c r="K1399" s="94">
        <v>540</v>
      </c>
      <c r="L1399" s="72" t="str">
        <f t="shared" si="22"/>
        <v>Payé</v>
      </c>
      <c r="N1399" s="15"/>
    </row>
    <row r="1400" spans="1:14" s="14" customFormat="1" ht="15" customHeight="1" x14ac:dyDescent="0.25">
      <c r="A1400" s="90" t="s">
        <v>857</v>
      </c>
      <c r="B1400" s="90">
        <v>851</v>
      </c>
      <c r="C1400" s="88" t="s">
        <v>403</v>
      </c>
      <c r="D1400" s="90" t="s">
        <v>17</v>
      </c>
      <c r="E1400" s="90" t="s">
        <v>49</v>
      </c>
      <c r="F1400" s="90" t="s">
        <v>857</v>
      </c>
      <c r="G1400" s="137">
        <v>2</v>
      </c>
      <c r="H1400" s="94">
        <v>182</v>
      </c>
      <c r="I1400" s="87">
        <v>45982</v>
      </c>
      <c r="J1400" s="93">
        <v>0.68611111111111101</v>
      </c>
      <c r="K1400" s="94">
        <v>182</v>
      </c>
      <c r="L1400" s="72" t="str">
        <f t="shared" si="22"/>
        <v>Payé</v>
      </c>
      <c r="N1400" s="15"/>
    </row>
    <row r="1401" spans="1:14" s="14" customFormat="1" ht="15" customHeight="1" x14ac:dyDescent="0.25">
      <c r="A1401" s="90" t="s">
        <v>857</v>
      </c>
      <c r="B1401" s="90">
        <v>1134</v>
      </c>
      <c r="C1401" s="88" t="s">
        <v>959</v>
      </c>
      <c r="D1401" s="90" t="s">
        <v>17</v>
      </c>
      <c r="E1401" s="90" t="s">
        <v>49</v>
      </c>
      <c r="F1401" s="90" t="s">
        <v>857</v>
      </c>
      <c r="G1401" s="137">
        <v>1</v>
      </c>
      <c r="H1401" s="94">
        <v>91</v>
      </c>
      <c r="I1401" s="87">
        <v>45982</v>
      </c>
      <c r="J1401" s="93">
        <v>0.68611111111111101</v>
      </c>
      <c r="K1401" s="94">
        <v>91</v>
      </c>
      <c r="L1401" s="72" t="str">
        <f t="shared" si="22"/>
        <v>Payé</v>
      </c>
      <c r="N1401" s="15"/>
    </row>
    <row r="1402" spans="1:14" s="14" customFormat="1" ht="15" customHeight="1" x14ac:dyDescent="0.25">
      <c r="A1402" s="90" t="s">
        <v>857</v>
      </c>
      <c r="B1402" s="90">
        <v>3416</v>
      </c>
      <c r="C1402" s="88" t="s">
        <v>1291</v>
      </c>
      <c r="D1402" s="90" t="s">
        <v>17</v>
      </c>
      <c r="E1402" s="90" t="s">
        <v>49</v>
      </c>
      <c r="F1402" s="90" t="s">
        <v>857</v>
      </c>
      <c r="G1402" s="137">
        <v>12</v>
      </c>
      <c r="H1402" s="94">
        <v>1080</v>
      </c>
      <c r="I1402" s="87">
        <v>45982</v>
      </c>
      <c r="J1402" s="93">
        <v>0.68611111111111101</v>
      </c>
      <c r="K1402" s="94">
        <v>1080</v>
      </c>
      <c r="L1402" s="72" t="str">
        <f t="shared" si="22"/>
        <v>Payé</v>
      </c>
      <c r="N1402" s="15"/>
    </row>
    <row r="1403" spans="1:14" s="14" customFormat="1" ht="15" customHeight="1" x14ac:dyDescent="0.25">
      <c r="A1403" s="90" t="s">
        <v>857</v>
      </c>
      <c r="B1403" s="90">
        <v>3440</v>
      </c>
      <c r="C1403" s="88" t="s">
        <v>561</v>
      </c>
      <c r="D1403" s="90" t="s">
        <v>17</v>
      </c>
      <c r="E1403" s="90" t="s">
        <v>49</v>
      </c>
      <c r="F1403" s="90" t="s">
        <v>857</v>
      </c>
      <c r="G1403" s="137">
        <v>14</v>
      </c>
      <c r="H1403" s="94">
        <v>1280</v>
      </c>
      <c r="I1403" s="87">
        <v>45982</v>
      </c>
      <c r="J1403" s="93">
        <v>0.68611111111111101</v>
      </c>
      <c r="K1403" s="94">
        <v>1280</v>
      </c>
      <c r="L1403" s="72" t="str">
        <f t="shared" si="22"/>
        <v>Payé</v>
      </c>
      <c r="N1403" s="15"/>
    </row>
    <row r="1404" spans="1:14" s="14" customFormat="1" ht="15" customHeight="1" x14ac:dyDescent="0.25">
      <c r="A1404" s="90" t="s">
        <v>857</v>
      </c>
      <c r="B1404" s="90">
        <v>3751</v>
      </c>
      <c r="C1404" s="88" t="s">
        <v>571</v>
      </c>
      <c r="D1404" s="90" t="s">
        <v>17</v>
      </c>
      <c r="E1404" s="90" t="s">
        <v>49</v>
      </c>
      <c r="F1404" s="90" t="s">
        <v>857</v>
      </c>
      <c r="G1404" s="137">
        <v>3</v>
      </c>
      <c r="H1404" s="94">
        <v>270</v>
      </c>
      <c r="I1404" s="87">
        <v>45982</v>
      </c>
      <c r="J1404" s="93">
        <v>0.68611111111111101</v>
      </c>
      <c r="K1404" s="94">
        <v>270</v>
      </c>
      <c r="L1404" s="72" t="str">
        <f t="shared" si="22"/>
        <v>Payé</v>
      </c>
      <c r="N1404" s="15"/>
    </row>
    <row r="1405" spans="1:14" s="14" customFormat="1" ht="15" customHeight="1" x14ac:dyDescent="0.25">
      <c r="A1405" s="90" t="s">
        <v>857</v>
      </c>
      <c r="B1405" s="90">
        <v>3760</v>
      </c>
      <c r="C1405" s="88" t="s">
        <v>465</v>
      </c>
      <c r="D1405" s="90" t="s">
        <v>17</v>
      </c>
      <c r="E1405" s="90" t="s">
        <v>49</v>
      </c>
      <c r="F1405" s="90" t="s">
        <v>857</v>
      </c>
      <c r="G1405" s="137">
        <v>6</v>
      </c>
      <c r="H1405" s="94">
        <v>540</v>
      </c>
      <c r="I1405" s="87">
        <v>45982</v>
      </c>
      <c r="J1405" s="93">
        <v>0.68611111111111101</v>
      </c>
      <c r="K1405" s="94">
        <v>540</v>
      </c>
      <c r="L1405" s="72" t="str">
        <f t="shared" si="22"/>
        <v>Payé</v>
      </c>
      <c r="N1405" s="15"/>
    </row>
    <row r="1406" spans="1:14" s="14" customFormat="1" ht="15" customHeight="1" x14ac:dyDescent="0.25">
      <c r="A1406" s="90" t="s">
        <v>857</v>
      </c>
      <c r="B1406" s="90">
        <v>4130</v>
      </c>
      <c r="C1406" s="88" t="s">
        <v>1148</v>
      </c>
      <c r="D1406" s="90" t="s">
        <v>17</v>
      </c>
      <c r="E1406" s="90" t="s">
        <v>49</v>
      </c>
      <c r="F1406" s="90" t="s">
        <v>857</v>
      </c>
      <c r="G1406" s="137">
        <v>2</v>
      </c>
      <c r="H1406" s="94">
        <v>173</v>
      </c>
      <c r="I1406" s="87">
        <v>45982</v>
      </c>
      <c r="J1406" s="93">
        <v>0.68611111111111101</v>
      </c>
      <c r="K1406" s="94">
        <v>173</v>
      </c>
      <c r="L1406" s="72" t="str">
        <f t="shared" si="22"/>
        <v>Payé</v>
      </c>
      <c r="N1406" s="15"/>
    </row>
    <row r="1407" spans="1:14" s="14" customFormat="1" ht="15" customHeight="1" x14ac:dyDescent="0.25">
      <c r="A1407" s="90" t="s">
        <v>857</v>
      </c>
      <c r="B1407" s="90">
        <v>4429</v>
      </c>
      <c r="C1407" s="88" t="s">
        <v>1149</v>
      </c>
      <c r="D1407" s="90" t="s">
        <v>17</v>
      </c>
      <c r="E1407" s="90" t="s">
        <v>49</v>
      </c>
      <c r="F1407" s="90" t="s">
        <v>857</v>
      </c>
      <c r="G1407" s="137">
        <v>9</v>
      </c>
      <c r="H1407" s="94">
        <v>830</v>
      </c>
      <c r="I1407" s="87">
        <v>45982</v>
      </c>
      <c r="J1407" s="93">
        <v>0.68611111111111101</v>
      </c>
      <c r="K1407" s="94">
        <v>830</v>
      </c>
      <c r="L1407" s="72" t="str">
        <f t="shared" si="22"/>
        <v>Payé</v>
      </c>
      <c r="N1407" s="15"/>
    </row>
    <row r="1408" spans="1:14" s="14" customFormat="1" ht="15" customHeight="1" x14ac:dyDescent="0.25">
      <c r="A1408" s="90" t="s">
        <v>857</v>
      </c>
      <c r="B1408" s="90">
        <v>4782</v>
      </c>
      <c r="C1408" s="88" t="s">
        <v>698</v>
      </c>
      <c r="D1408" s="90" t="s">
        <v>17</v>
      </c>
      <c r="E1408" s="90" t="s">
        <v>49</v>
      </c>
      <c r="F1408" s="90" t="s">
        <v>857</v>
      </c>
      <c r="G1408" s="137">
        <v>1</v>
      </c>
      <c r="H1408" s="94">
        <v>87</v>
      </c>
      <c r="I1408" s="87">
        <v>45982</v>
      </c>
      <c r="J1408" s="93">
        <v>0.68611111111111101</v>
      </c>
      <c r="K1408" s="94">
        <v>87</v>
      </c>
      <c r="L1408" s="72" t="str">
        <f t="shared" si="22"/>
        <v>Payé</v>
      </c>
      <c r="N1408" s="15"/>
    </row>
    <row r="1409" spans="1:14" s="14" customFormat="1" ht="15" customHeight="1" x14ac:dyDescent="0.25">
      <c r="A1409" s="90" t="s">
        <v>857</v>
      </c>
      <c r="B1409" s="90">
        <v>4840</v>
      </c>
      <c r="C1409" s="88" t="s">
        <v>766</v>
      </c>
      <c r="D1409" s="90" t="s">
        <v>17</v>
      </c>
      <c r="E1409" s="90" t="s">
        <v>49</v>
      </c>
      <c r="F1409" s="90" t="s">
        <v>857</v>
      </c>
      <c r="G1409" s="137">
        <v>14</v>
      </c>
      <c r="H1409" s="94">
        <v>1360</v>
      </c>
      <c r="I1409" s="87">
        <v>45982</v>
      </c>
      <c r="J1409" s="93">
        <v>0.68611111111111101</v>
      </c>
      <c r="K1409" s="94">
        <v>1360</v>
      </c>
      <c r="L1409" s="72" t="str">
        <f t="shared" si="22"/>
        <v>Payé</v>
      </c>
      <c r="N1409" s="15"/>
    </row>
    <row r="1410" spans="1:14" s="14" customFormat="1" ht="15" customHeight="1" x14ac:dyDescent="0.25">
      <c r="A1410" s="90" t="s">
        <v>857</v>
      </c>
      <c r="B1410" s="90">
        <v>6070</v>
      </c>
      <c r="C1410" s="88" t="s">
        <v>1153</v>
      </c>
      <c r="D1410" s="90" t="s">
        <v>17</v>
      </c>
      <c r="E1410" s="90" t="s">
        <v>49</v>
      </c>
      <c r="F1410" s="90" t="s">
        <v>857</v>
      </c>
      <c r="G1410" s="137">
        <v>12</v>
      </c>
      <c r="H1410" s="94">
        <v>1080</v>
      </c>
      <c r="I1410" s="87">
        <v>45982</v>
      </c>
      <c r="J1410" s="93">
        <v>0.68611111111111101</v>
      </c>
      <c r="K1410" s="94">
        <v>1080</v>
      </c>
      <c r="L1410" s="72" t="str">
        <f t="shared" si="22"/>
        <v>Payé</v>
      </c>
      <c r="N1410" s="15"/>
    </row>
    <row r="1411" spans="1:14" s="14" customFormat="1" ht="15" customHeight="1" x14ac:dyDescent="0.25">
      <c r="A1411" s="90" t="s">
        <v>857</v>
      </c>
      <c r="B1411" s="90">
        <v>6077</v>
      </c>
      <c r="C1411" s="88" t="s">
        <v>1212</v>
      </c>
      <c r="D1411" s="90" t="s">
        <v>17</v>
      </c>
      <c r="E1411" s="90" t="s">
        <v>49</v>
      </c>
      <c r="F1411" s="90" t="s">
        <v>857</v>
      </c>
      <c r="G1411" s="137">
        <v>1</v>
      </c>
      <c r="H1411" s="94">
        <v>87</v>
      </c>
      <c r="I1411" s="87">
        <v>45982</v>
      </c>
      <c r="J1411" s="93">
        <v>0.68611111111111101</v>
      </c>
      <c r="K1411" s="94">
        <v>87</v>
      </c>
      <c r="L1411" s="72" t="str">
        <f t="shared" si="22"/>
        <v>Payé</v>
      </c>
      <c r="N1411" s="15"/>
    </row>
    <row r="1412" spans="1:14" s="14" customFormat="1" ht="15" customHeight="1" x14ac:dyDescent="0.25">
      <c r="A1412" s="90" t="s">
        <v>857</v>
      </c>
      <c r="B1412" s="90">
        <v>7004</v>
      </c>
      <c r="C1412" s="88" t="s">
        <v>713</v>
      </c>
      <c r="D1412" s="90" t="s">
        <v>17</v>
      </c>
      <c r="E1412" s="90" t="s">
        <v>49</v>
      </c>
      <c r="F1412" s="90" t="s">
        <v>857</v>
      </c>
      <c r="G1412" s="137">
        <v>11</v>
      </c>
      <c r="H1412" s="94">
        <v>1010</v>
      </c>
      <c r="I1412" s="87">
        <v>45982</v>
      </c>
      <c r="J1412" s="93">
        <v>0.68611111111111101</v>
      </c>
      <c r="K1412" s="94">
        <v>1010</v>
      </c>
      <c r="L1412" s="72" t="str">
        <f t="shared" si="22"/>
        <v>Payé</v>
      </c>
      <c r="N1412" s="15"/>
    </row>
    <row r="1413" spans="1:14" s="14" customFormat="1" ht="15" customHeight="1" x14ac:dyDescent="0.25">
      <c r="A1413" s="90" t="s">
        <v>857</v>
      </c>
      <c r="B1413" s="90">
        <v>9034</v>
      </c>
      <c r="C1413" s="88" t="s">
        <v>736</v>
      </c>
      <c r="D1413" s="90" t="s">
        <v>17</v>
      </c>
      <c r="E1413" s="90" t="s">
        <v>49</v>
      </c>
      <c r="F1413" s="90" t="s">
        <v>857</v>
      </c>
      <c r="G1413" s="137">
        <v>2</v>
      </c>
      <c r="H1413" s="94">
        <v>180</v>
      </c>
      <c r="I1413" s="87">
        <v>45982</v>
      </c>
      <c r="J1413" s="93">
        <v>0.68611111111111101</v>
      </c>
      <c r="K1413" s="94">
        <v>180</v>
      </c>
      <c r="L1413" s="72" t="str">
        <f t="shared" si="22"/>
        <v>Payé</v>
      </c>
      <c r="N1413" s="15"/>
    </row>
    <row r="1414" spans="1:14" s="14" customFormat="1" ht="15" customHeight="1" x14ac:dyDescent="0.25">
      <c r="A1414" s="90" t="s">
        <v>857</v>
      </c>
      <c r="B1414" s="90">
        <v>10046</v>
      </c>
      <c r="C1414" s="88" t="s">
        <v>1217</v>
      </c>
      <c r="D1414" s="90" t="s">
        <v>17</v>
      </c>
      <c r="E1414" s="90" t="s">
        <v>49</v>
      </c>
      <c r="F1414" s="90" t="s">
        <v>857</v>
      </c>
      <c r="G1414" s="137">
        <v>6</v>
      </c>
      <c r="H1414" s="94">
        <v>600</v>
      </c>
      <c r="I1414" s="87">
        <v>45982</v>
      </c>
      <c r="J1414" s="93">
        <v>0.68611111111111101</v>
      </c>
      <c r="K1414" s="94">
        <v>600</v>
      </c>
      <c r="L1414" s="72" t="str">
        <f t="shared" si="22"/>
        <v>Payé</v>
      </c>
      <c r="N1414" s="15"/>
    </row>
    <row r="1415" spans="1:14" s="14" customFormat="1" ht="15" customHeight="1" x14ac:dyDescent="0.25">
      <c r="A1415" s="90" t="s">
        <v>857</v>
      </c>
      <c r="B1415" s="90">
        <v>10081</v>
      </c>
      <c r="C1415" s="88" t="s">
        <v>1258</v>
      </c>
      <c r="D1415" s="90" t="s">
        <v>17</v>
      </c>
      <c r="E1415" s="90" t="s">
        <v>49</v>
      </c>
      <c r="F1415" s="90" t="s">
        <v>857</v>
      </c>
      <c r="G1415" s="137">
        <v>15</v>
      </c>
      <c r="H1415" s="94">
        <v>1520</v>
      </c>
      <c r="I1415" s="87">
        <v>45982</v>
      </c>
      <c r="J1415" s="93">
        <v>0.64583333333333337</v>
      </c>
      <c r="K1415" s="94">
        <v>1520</v>
      </c>
      <c r="L1415" s="72" t="str">
        <f t="shared" si="22"/>
        <v>Payé</v>
      </c>
      <c r="N1415" s="15"/>
    </row>
    <row r="1416" spans="1:14" s="14" customFormat="1" ht="15" customHeight="1" x14ac:dyDescent="0.25">
      <c r="A1416" s="90" t="s">
        <v>857</v>
      </c>
      <c r="B1416" s="90">
        <v>10103</v>
      </c>
      <c r="C1416" s="88" t="s">
        <v>1275</v>
      </c>
      <c r="D1416" s="90" t="s">
        <v>17</v>
      </c>
      <c r="E1416" s="90" t="s">
        <v>49</v>
      </c>
      <c r="F1416" s="90" t="s">
        <v>857</v>
      </c>
      <c r="G1416" s="137">
        <v>5</v>
      </c>
      <c r="H1416" s="94">
        <v>450</v>
      </c>
      <c r="I1416" s="87">
        <v>45982</v>
      </c>
      <c r="J1416" s="93">
        <v>0.60763888888888895</v>
      </c>
      <c r="K1416" s="94">
        <v>450</v>
      </c>
      <c r="L1416" s="72" t="str">
        <f t="shared" si="22"/>
        <v>Payé</v>
      </c>
      <c r="N1416" s="15"/>
    </row>
    <row r="1417" spans="1:14" s="14" customFormat="1" ht="15" customHeight="1" x14ac:dyDescent="0.25">
      <c r="A1417" s="90" t="s">
        <v>857</v>
      </c>
      <c r="B1417" s="90">
        <v>3439</v>
      </c>
      <c r="C1417" s="88" t="s">
        <v>875</v>
      </c>
      <c r="D1417" s="90" t="s">
        <v>17</v>
      </c>
      <c r="E1417" s="90" t="s">
        <v>49</v>
      </c>
      <c r="F1417" s="90" t="s">
        <v>857</v>
      </c>
      <c r="G1417" s="137">
        <v>10</v>
      </c>
      <c r="H1417" s="94">
        <v>900</v>
      </c>
      <c r="I1417" s="87">
        <v>45982</v>
      </c>
      <c r="J1417" s="93">
        <v>0.68611111111111101</v>
      </c>
      <c r="K1417" s="94">
        <v>900</v>
      </c>
      <c r="L1417" s="72" t="str">
        <f t="shared" si="22"/>
        <v>Payé</v>
      </c>
      <c r="N1417" s="15"/>
    </row>
    <row r="1418" spans="1:14" s="14" customFormat="1" ht="15" customHeight="1" x14ac:dyDescent="0.25">
      <c r="A1418" s="90" t="s">
        <v>857</v>
      </c>
      <c r="B1418" s="90"/>
      <c r="C1418" s="88" t="s">
        <v>1189</v>
      </c>
      <c r="D1418" s="89" t="s">
        <v>910</v>
      </c>
      <c r="E1418" s="90" t="s">
        <v>49</v>
      </c>
      <c r="F1418" s="90" t="s">
        <v>857</v>
      </c>
      <c r="G1418" s="95">
        <v>215</v>
      </c>
      <c r="H1418" s="92">
        <v>6450</v>
      </c>
      <c r="I1418" s="87">
        <v>45982</v>
      </c>
      <c r="J1418" s="93">
        <v>0.68819444444444444</v>
      </c>
      <c r="K1418" s="92">
        <v>6450</v>
      </c>
      <c r="L1418" s="72" t="str">
        <f t="shared" si="22"/>
        <v>Payé</v>
      </c>
      <c r="N1418" s="15"/>
    </row>
    <row r="1419" spans="1:14" s="14" customFormat="1" ht="15" customHeight="1" x14ac:dyDescent="0.25">
      <c r="A1419" s="90" t="s">
        <v>857</v>
      </c>
      <c r="B1419" s="90">
        <v>5336</v>
      </c>
      <c r="C1419" s="88" t="s">
        <v>1041</v>
      </c>
      <c r="D1419" s="90" t="s">
        <v>17</v>
      </c>
      <c r="E1419" s="90" t="s">
        <v>753</v>
      </c>
      <c r="F1419" s="90" t="s">
        <v>857</v>
      </c>
      <c r="G1419" s="137">
        <v>2</v>
      </c>
      <c r="H1419" s="94">
        <v>180</v>
      </c>
      <c r="I1419" s="87">
        <v>46001</v>
      </c>
      <c r="J1419" s="93">
        <v>0.62777777777777777</v>
      </c>
      <c r="K1419" s="94">
        <v>180</v>
      </c>
      <c r="L1419" s="72" t="str">
        <f t="shared" si="22"/>
        <v>Payé</v>
      </c>
      <c r="N1419" s="15"/>
    </row>
    <row r="1420" spans="1:14" s="14" customFormat="1" ht="15" customHeight="1" x14ac:dyDescent="0.25">
      <c r="A1420" s="90" t="s">
        <v>857</v>
      </c>
      <c r="B1420" s="90">
        <v>10160</v>
      </c>
      <c r="C1420" s="88" t="s">
        <v>1340</v>
      </c>
      <c r="D1420" s="90" t="s">
        <v>17</v>
      </c>
      <c r="E1420" s="90" t="s">
        <v>753</v>
      </c>
      <c r="F1420" s="90" t="s">
        <v>857</v>
      </c>
      <c r="G1420" s="137">
        <v>1</v>
      </c>
      <c r="H1420" s="94">
        <v>90</v>
      </c>
      <c r="I1420" s="87">
        <v>46001</v>
      </c>
      <c r="J1420" s="93">
        <v>0.66319444444444442</v>
      </c>
      <c r="K1420" s="94">
        <v>90</v>
      </c>
      <c r="L1420" s="72" t="str">
        <f t="shared" si="22"/>
        <v>Payé</v>
      </c>
      <c r="N1420" s="15"/>
    </row>
    <row r="1421" spans="1:14" s="14" customFormat="1" ht="15" customHeight="1" x14ac:dyDescent="0.25">
      <c r="A1421" s="90" t="s">
        <v>857</v>
      </c>
      <c r="B1421" s="90"/>
      <c r="C1421" s="88" t="s">
        <v>1345</v>
      </c>
      <c r="D1421" s="89" t="s">
        <v>910</v>
      </c>
      <c r="E1421" s="90" t="s">
        <v>1348</v>
      </c>
      <c r="F1421" s="90" t="s">
        <v>857</v>
      </c>
      <c r="G1421" s="95">
        <v>78</v>
      </c>
      <c r="H1421" s="92">
        <v>2340</v>
      </c>
      <c r="I1421" s="87">
        <v>45986</v>
      </c>
      <c r="J1421" s="93">
        <v>0.51388888888888895</v>
      </c>
      <c r="K1421" s="92">
        <v>2340</v>
      </c>
      <c r="L1421" s="72" t="str">
        <f t="shared" si="22"/>
        <v>Payé</v>
      </c>
      <c r="N1421" s="15"/>
    </row>
    <row r="1422" spans="1:14" s="14" customFormat="1" ht="15" customHeight="1" x14ac:dyDescent="0.25">
      <c r="A1422" s="90" t="s">
        <v>857</v>
      </c>
      <c r="B1422" s="90">
        <v>10114</v>
      </c>
      <c r="C1422" s="88" t="s">
        <v>1308</v>
      </c>
      <c r="D1422" s="90" t="s">
        <v>17</v>
      </c>
      <c r="E1422" s="90" t="s">
        <v>1344</v>
      </c>
      <c r="F1422" s="90" t="s">
        <v>857</v>
      </c>
      <c r="G1422" s="137">
        <v>5</v>
      </c>
      <c r="H1422" s="94">
        <v>530</v>
      </c>
      <c r="I1422" s="87">
        <v>45982</v>
      </c>
      <c r="J1422" s="93">
        <v>0.69374999999999998</v>
      </c>
      <c r="K1422" s="94">
        <v>530</v>
      </c>
      <c r="L1422" s="72" t="str">
        <f t="shared" si="22"/>
        <v>Payé</v>
      </c>
      <c r="N1422" s="15"/>
    </row>
    <row r="1423" spans="1:14" s="14" customFormat="1" ht="15" customHeight="1" x14ac:dyDescent="0.25">
      <c r="A1423" s="90" t="s">
        <v>857</v>
      </c>
      <c r="B1423" s="90">
        <v>10115</v>
      </c>
      <c r="C1423" s="88" t="s">
        <v>1309</v>
      </c>
      <c r="D1423" s="90" t="s">
        <v>17</v>
      </c>
      <c r="E1423" s="90" t="s">
        <v>1344</v>
      </c>
      <c r="F1423" s="90" t="s">
        <v>857</v>
      </c>
      <c r="G1423" s="137">
        <v>5</v>
      </c>
      <c r="H1423" s="94">
        <v>450</v>
      </c>
      <c r="I1423" s="87">
        <v>45982</v>
      </c>
      <c r="J1423" s="93">
        <v>0.69374999999999998</v>
      </c>
      <c r="K1423" s="94">
        <v>450</v>
      </c>
      <c r="L1423" s="72" t="str">
        <f t="shared" si="22"/>
        <v>Payé</v>
      </c>
      <c r="N1423" s="15"/>
    </row>
    <row r="1424" spans="1:14" s="14" customFormat="1" ht="15" customHeight="1" x14ac:dyDescent="0.25">
      <c r="A1424" s="90" t="s">
        <v>857</v>
      </c>
      <c r="B1424" s="90">
        <v>10116</v>
      </c>
      <c r="C1424" s="88" t="s">
        <v>1310</v>
      </c>
      <c r="D1424" s="90" t="s">
        <v>17</v>
      </c>
      <c r="E1424" s="90" t="s">
        <v>1344</v>
      </c>
      <c r="F1424" s="90" t="s">
        <v>857</v>
      </c>
      <c r="G1424" s="137">
        <v>4</v>
      </c>
      <c r="H1424" s="94">
        <v>360</v>
      </c>
      <c r="I1424" s="87">
        <v>45983</v>
      </c>
      <c r="J1424" s="93">
        <v>0.48819444444444443</v>
      </c>
      <c r="K1424" s="94">
        <v>360</v>
      </c>
      <c r="L1424" s="72" t="str">
        <f t="shared" si="22"/>
        <v>Payé</v>
      </c>
      <c r="N1424" s="15"/>
    </row>
    <row r="1425" spans="1:14" s="14" customFormat="1" ht="15" customHeight="1" x14ac:dyDescent="0.25">
      <c r="A1425" s="90" t="s">
        <v>857</v>
      </c>
      <c r="B1425" s="90">
        <v>10117</v>
      </c>
      <c r="C1425" s="88" t="s">
        <v>1311</v>
      </c>
      <c r="D1425" s="90" t="s">
        <v>17</v>
      </c>
      <c r="E1425" s="90" t="s">
        <v>1344</v>
      </c>
      <c r="F1425" s="90" t="s">
        <v>857</v>
      </c>
      <c r="G1425" s="137">
        <v>5</v>
      </c>
      <c r="H1425" s="94">
        <v>450</v>
      </c>
      <c r="I1425" s="87">
        <v>45982</v>
      </c>
      <c r="J1425" s="93">
        <v>0.69374999999999998</v>
      </c>
      <c r="K1425" s="94">
        <v>450</v>
      </c>
      <c r="L1425" s="72" t="str">
        <f t="shared" si="22"/>
        <v>Payé</v>
      </c>
      <c r="N1425" s="15"/>
    </row>
    <row r="1426" spans="1:14" s="14" customFormat="1" ht="15" customHeight="1" x14ac:dyDescent="0.25">
      <c r="A1426" s="90" t="s">
        <v>857</v>
      </c>
      <c r="B1426" s="90">
        <v>10121</v>
      </c>
      <c r="C1426" s="88" t="s">
        <v>1314</v>
      </c>
      <c r="D1426" s="90" t="s">
        <v>17</v>
      </c>
      <c r="E1426" s="90" t="s">
        <v>1344</v>
      </c>
      <c r="F1426" s="90" t="s">
        <v>857</v>
      </c>
      <c r="G1426" s="137">
        <v>3</v>
      </c>
      <c r="H1426" s="94">
        <v>270</v>
      </c>
      <c r="I1426" s="87">
        <v>45986</v>
      </c>
      <c r="J1426" s="93">
        <v>0.52916666666666667</v>
      </c>
      <c r="K1426" s="94">
        <v>270</v>
      </c>
      <c r="L1426" s="72" t="str">
        <f t="shared" si="22"/>
        <v>Payé</v>
      </c>
      <c r="N1426" s="15"/>
    </row>
    <row r="1427" spans="1:14" s="14" customFormat="1" ht="15" customHeight="1" x14ac:dyDescent="0.25">
      <c r="A1427" s="90" t="s">
        <v>857</v>
      </c>
      <c r="B1427" s="90">
        <v>10122</v>
      </c>
      <c r="C1427" s="88" t="s">
        <v>1315</v>
      </c>
      <c r="D1427" s="90" t="s">
        <v>17</v>
      </c>
      <c r="E1427" s="90" t="s">
        <v>1344</v>
      </c>
      <c r="F1427" s="90" t="s">
        <v>857</v>
      </c>
      <c r="G1427" s="137">
        <v>4</v>
      </c>
      <c r="H1427" s="94">
        <v>380</v>
      </c>
      <c r="I1427" s="87">
        <v>45982</v>
      </c>
      <c r="J1427" s="93">
        <v>0.69374999999999998</v>
      </c>
      <c r="K1427" s="94">
        <v>380</v>
      </c>
      <c r="L1427" s="72" t="str">
        <f t="shared" si="22"/>
        <v>Payé</v>
      </c>
      <c r="N1427" s="15"/>
    </row>
    <row r="1428" spans="1:14" s="14" customFormat="1" ht="15" customHeight="1" x14ac:dyDescent="0.25">
      <c r="A1428" s="90" t="s">
        <v>857</v>
      </c>
      <c r="B1428" s="90">
        <v>10124</v>
      </c>
      <c r="C1428" s="88" t="s">
        <v>1316</v>
      </c>
      <c r="D1428" s="90" t="s">
        <v>17</v>
      </c>
      <c r="E1428" s="90" t="s">
        <v>1344</v>
      </c>
      <c r="F1428" s="90" t="s">
        <v>857</v>
      </c>
      <c r="G1428" s="137">
        <v>2</v>
      </c>
      <c r="H1428" s="94">
        <v>180</v>
      </c>
      <c r="I1428" s="87">
        <v>45982</v>
      </c>
      <c r="J1428" s="93">
        <v>0.69374999999999998</v>
      </c>
      <c r="K1428" s="94">
        <v>180</v>
      </c>
      <c r="L1428" s="72" t="str">
        <f t="shared" si="22"/>
        <v>Payé</v>
      </c>
      <c r="N1428" s="15"/>
    </row>
    <row r="1429" spans="1:14" s="14" customFormat="1" ht="15" customHeight="1" x14ac:dyDescent="0.25">
      <c r="A1429" s="90" t="s">
        <v>857</v>
      </c>
      <c r="B1429" s="90">
        <v>10125</v>
      </c>
      <c r="C1429" s="88" t="s">
        <v>1317</v>
      </c>
      <c r="D1429" s="90" t="s">
        <v>17</v>
      </c>
      <c r="E1429" s="90" t="s">
        <v>1344</v>
      </c>
      <c r="F1429" s="90" t="s">
        <v>857</v>
      </c>
      <c r="G1429" s="137">
        <v>5</v>
      </c>
      <c r="H1429" s="94">
        <v>450</v>
      </c>
      <c r="I1429" s="87">
        <v>45982</v>
      </c>
      <c r="J1429" s="93">
        <v>0.69374999999999998</v>
      </c>
      <c r="K1429" s="94">
        <v>450</v>
      </c>
      <c r="L1429" s="72" t="str">
        <f t="shared" si="22"/>
        <v>Payé</v>
      </c>
      <c r="N1429" s="15"/>
    </row>
    <row r="1430" spans="1:14" s="14" customFormat="1" ht="15" customHeight="1" x14ac:dyDescent="0.25">
      <c r="A1430" s="90" t="s">
        <v>857</v>
      </c>
      <c r="B1430" s="90">
        <v>10126</v>
      </c>
      <c r="C1430" s="88" t="s">
        <v>1318</v>
      </c>
      <c r="D1430" s="90" t="s">
        <v>17</v>
      </c>
      <c r="E1430" s="90" t="s">
        <v>1344</v>
      </c>
      <c r="F1430" s="90" t="s">
        <v>857</v>
      </c>
      <c r="G1430" s="137">
        <v>5</v>
      </c>
      <c r="H1430" s="94">
        <v>450</v>
      </c>
      <c r="I1430" s="87">
        <v>45982</v>
      </c>
      <c r="J1430" s="93">
        <v>0.69374999999999998</v>
      </c>
      <c r="K1430" s="94">
        <v>450</v>
      </c>
      <c r="L1430" s="72" t="str">
        <f t="shared" si="22"/>
        <v>Payé</v>
      </c>
      <c r="N1430" s="15"/>
    </row>
    <row r="1431" spans="1:14" s="14" customFormat="1" ht="15" customHeight="1" x14ac:dyDescent="0.25">
      <c r="A1431" s="90" t="s">
        <v>857</v>
      </c>
      <c r="B1431" s="90">
        <v>10128</v>
      </c>
      <c r="C1431" s="88" t="s">
        <v>1320</v>
      </c>
      <c r="D1431" s="90" t="s">
        <v>17</v>
      </c>
      <c r="E1431" s="90" t="s">
        <v>1344</v>
      </c>
      <c r="F1431" s="90" t="s">
        <v>857</v>
      </c>
      <c r="G1431" s="137">
        <v>5</v>
      </c>
      <c r="H1431" s="94">
        <v>450</v>
      </c>
      <c r="I1431" s="87">
        <v>45982</v>
      </c>
      <c r="J1431" s="93">
        <v>0.69374999999999998</v>
      </c>
      <c r="K1431" s="94">
        <v>450</v>
      </c>
      <c r="L1431" s="72" t="str">
        <f t="shared" si="22"/>
        <v>Payé</v>
      </c>
      <c r="N1431" s="15"/>
    </row>
    <row r="1432" spans="1:14" s="14" customFormat="1" ht="15" customHeight="1" x14ac:dyDescent="0.25">
      <c r="A1432" s="90" t="s">
        <v>857</v>
      </c>
      <c r="B1432" s="90">
        <v>10129</v>
      </c>
      <c r="C1432" s="88" t="s">
        <v>1321</v>
      </c>
      <c r="D1432" s="90" t="s">
        <v>17</v>
      </c>
      <c r="E1432" s="90" t="s">
        <v>1344</v>
      </c>
      <c r="F1432" s="90" t="s">
        <v>857</v>
      </c>
      <c r="G1432" s="137">
        <v>3</v>
      </c>
      <c r="H1432" s="94">
        <v>270</v>
      </c>
      <c r="I1432" s="87">
        <v>45982</v>
      </c>
      <c r="J1432" s="93">
        <v>0.69374999999999998</v>
      </c>
      <c r="K1432" s="94">
        <v>270</v>
      </c>
      <c r="L1432" s="72" t="str">
        <f t="shared" si="22"/>
        <v>Payé</v>
      </c>
      <c r="N1432" s="15"/>
    </row>
    <row r="1433" spans="1:14" s="14" customFormat="1" ht="15" customHeight="1" x14ac:dyDescent="0.25">
      <c r="A1433" s="90" t="s">
        <v>857</v>
      </c>
      <c r="B1433" s="90">
        <v>10130</v>
      </c>
      <c r="C1433" s="88" t="s">
        <v>1322</v>
      </c>
      <c r="D1433" s="90" t="s">
        <v>17</v>
      </c>
      <c r="E1433" s="90" t="s">
        <v>1344</v>
      </c>
      <c r="F1433" s="90" t="s">
        <v>857</v>
      </c>
      <c r="G1433" s="137">
        <v>4</v>
      </c>
      <c r="H1433" s="94">
        <v>360</v>
      </c>
      <c r="I1433" s="87">
        <v>45982</v>
      </c>
      <c r="J1433" s="93">
        <v>0.69374999999999998</v>
      </c>
      <c r="K1433" s="94">
        <v>360</v>
      </c>
      <c r="L1433" s="72" t="str">
        <f t="shared" si="22"/>
        <v>Payé</v>
      </c>
      <c r="N1433" s="15"/>
    </row>
    <row r="1434" spans="1:14" s="14" customFormat="1" ht="15" customHeight="1" x14ac:dyDescent="0.25">
      <c r="A1434" s="90" t="s">
        <v>857</v>
      </c>
      <c r="B1434" s="90">
        <v>10131</v>
      </c>
      <c r="C1434" s="88" t="s">
        <v>1323</v>
      </c>
      <c r="D1434" s="90" t="s">
        <v>17</v>
      </c>
      <c r="E1434" s="90" t="s">
        <v>1344</v>
      </c>
      <c r="F1434" s="90" t="s">
        <v>857</v>
      </c>
      <c r="G1434" s="137">
        <v>3</v>
      </c>
      <c r="H1434" s="94">
        <v>270</v>
      </c>
      <c r="I1434" s="87">
        <v>45982</v>
      </c>
      <c r="J1434" s="93">
        <v>0.69374999999999998</v>
      </c>
      <c r="K1434" s="94">
        <v>270</v>
      </c>
      <c r="L1434" s="72" t="str">
        <f t="shared" si="22"/>
        <v>Payé</v>
      </c>
      <c r="N1434" s="15"/>
    </row>
    <row r="1435" spans="1:14" s="14" customFormat="1" ht="15" customHeight="1" x14ac:dyDescent="0.25">
      <c r="A1435" s="90" t="s">
        <v>857</v>
      </c>
      <c r="B1435" s="90">
        <v>10136</v>
      </c>
      <c r="C1435" s="88" t="s">
        <v>1326</v>
      </c>
      <c r="D1435" s="90" t="s">
        <v>17</v>
      </c>
      <c r="E1435" s="90" t="s">
        <v>1344</v>
      </c>
      <c r="F1435" s="90" t="s">
        <v>857</v>
      </c>
      <c r="G1435" s="137">
        <v>1</v>
      </c>
      <c r="H1435" s="94">
        <v>90</v>
      </c>
      <c r="I1435" s="87">
        <v>45985</v>
      </c>
      <c r="J1435" s="93">
        <v>0.54722222222222217</v>
      </c>
      <c r="K1435" s="94">
        <v>90</v>
      </c>
      <c r="L1435" s="72" t="str">
        <f t="shared" si="22"/>
        <v>Payé</v>
      </c>
      <c r="N1435" s="15"/>
    </row>
    <row r="1436" spans="1:14" s="14" customFormat="1" ht="15" customHeight="1" x14ac:dyDescent="0.25">
      <c r="A1436" s="90" t="s">
        <v>857</v>
      </c>
      <c r="B1436" s="90">
        <v>10137</v>
      </c>
      <c r="C1436" s="88" t="s">
        <v>1327</v>
      </c>
      <c r="D1436" s="90" t="s">
        <v>17</v>
      </c>
      <c r="E1436" s="90" t="s">
        <v>1344</v>
      </c>
      <c r="F1436" s="90" t="s">
        <v>857</v>
      </c>
      <c r="G1436" s="137">
        <v>3</v>
      </c>
      <c r="H1436" s="94">
        <v>290</v>
      </c>
      <c r="I1436" s="87">
        <v>45982</v>
      </c>
      <c r="J1436" s="93">
        <v>0.69374999999999998</v>
      </c>
      <c r="K1436" s="94">
        <v>290</v>
      </c>
      <c r="L1436" s="72" t="str">
        <f t="shared" si="22"/>
        <v>Payé</v>
      </c>
      <c r="N1436" s="15"/>
    </row>
    <row r="1437" spans="1:14" s="14" customFormat="1" ht="15" customHeight="1" x14ac:dyDescent="0.25">
      <c r="A1437" s="90" t="s">
        <v>857</v>
      </c>
      <c r="B1437" s="90">
        <v>10140</v>
      </c>
      <c r="C1437" s="88" t="s">
        <v>1329</v>
      </c>
      <c r="D1437" s="90" t="s">
        <v>17</v>
      </c>
      <c r="E1437" s="90" t="s">
        <v>1344</v>
      </c>
      <c r="F1437" s="90" t="s">
        <v>857</v>
      </c>
      <c r="G1437" s="137">
        <v>1</v>
      </c>
      <c r="H1437" s="94">
        <v>90</v>
      </c>
      <c r="I1437" s="87">
        <v>45982</v>
      </c>
      <c r="J1437" s="93">
        <v>0.68055555555555547</v>
      </c>
      <c r="K1437" s="94">
        <v>90</v>
      </c>
      <c r="L1437" s="72" t="str">
        <f t="shared" si="22"/>
        <v>Payé</v>
      </c>
      <c r="N1437" s="15"/>
    </row>
    <row r="1438" spans="1:14" s="14" customFormat="1" ht="15" customHeight="1" x14ac:dyDescent="0.25">
      <c r="A1438" s="90" t="s">
        <v>857</v>
      </c>
      <c r="B1438" s="90">
        <v>10150</v>
      </c>
      <c r="C1438" s="88" t="s">
        <v>1331</v>
      </c>
      <c r="D1438" s="90" t="s">
        <v>17</v>
      </c>
      <c r="E1438" s="90" t="s">
        <v>1344</v>
      </c>
      <c r="F1438" s="90" t="s">
        <v>857</v>
      </c>
      <c r="G1438" s="137">
        <v>3</v>
      </c>
      <c r="H1438" s="94">
        <v>270</v>
      </c>
      <c r="I1438" s="87">
        <v>45982</v>
      </c>
      <c r="J1438" s="93">
        <v>0.69374999999999998</v>
      </c>
      <c r="K1438" s="94">
        <v>270</v>
      </c>
      <c r="L1438" s="72" t="str">
        <f t="shared" ref="L1438:L1501" si="23">IF(ISBLANK(H1438),"",IF(H1438=K1438,"Payé","Impayé"))</f>
        <v>Payé</v>
      </c>
      <c r="N1438" s="15"/>
    </row>
    <row r="1439" spans="1:14" s="14" customFormat="1" ht="15" customHeight="1" x14ac:dyDescent="0.25">
      <c r="A1439" s="90" t="s">
        <v>857</v>
      </c>
      <c r="B1439" s="90">
        <v>10153</v>
      </c>
      <c r="C1439" s="88" t="s">
        <v>1334</v>
      </c>
      <c r="D1439" s="90" t="s">
        <v>17</v>
      </c>
      <c r="E1439" s="90" t="s">
        <v>1344</v>
      </c>
      <c r="F1439" s="90" t="s">
        <v>857</v>
      </c>
      <c r="G1439" s="137">
        <v>5</v>
      </c>
      <c r="H1439" s="94">
        <v>450</v>
      </c>
      <c r="I1439" s="87">
        <v>45982</v>
      </c>
      <c r="J1439" s="93">
        <v>0.69374999999999998</v>
      </c>
      <c r="K1439" s="94">
        <v>450</v>
      </c>
      <c r="L1439" s="72" t="str">
        <f t="shared" si="23"/>
        <v>Payé</v>
      </c>
      <c r="N1439" s="15"/>
    </row>
    <row r="1440" spans="1:14" s="14" customFormat="1" ht="15" customHeight="1" x14ac:dyDescent="0.25">
      <c r="A1440" s="90" t="s">
        <v>857</v>
      </c>
      <c r="B1440" s="90">
        <v>10119</v>
      </c>
      <c r="C1440" s="88" t="s">
        <v>1312</v>
      </c>
      <c r="D1440" s="90" t="s">
        <v>17</v>
      </c>
      <c r="E1440" s="90" t="s">
        <v>1344</v>
      </c>
      <c r="F1440" s="90" t="s">
        <v>857</v>
      </c>
      <c r="G1440" s="137">
        <v>3</v>
      </c>
      <c r="H1440" s="94">
        <v>270</v>
      </c>
      <c r="I1440" s="87">
        <v>46001</v>
      </c>
      <c r="J1440" s="93">
        <v>0.62847222222222221</v>
      </c>
      <c r="K1440" s="94">
        <v>270</v>
      </c>
      <c r="L1440" s="72" t="str">
        <f t="shared" si="23"/>
        <v>Payé</v>
      </c>
      <c r="N1440" s="15"/>
    </row>
    <row r="1441" spans="1:14" s="14" customFormat="1" ht="15" customHeight="1" x14ac:dyDescent="0.25">
      <c r="A1441" s="90" t="s">
        <v>857</v>
      </c>
      <c r="B1441" s="90">
        <v>10120</v>
      </c>
      <c r="C1441" s="88" t="s">
        <v>1313</v>
      </c>
      <c r="D1441" s="90" t="s">
        <v>17</v>
      </c>
      <c r="E1441" s="90" t="s">
        <v>1344</v>
      </c>
      <c r="F1441" s="90" t="s">
        <v>857</v>
      </c>
      <c r="G1441" s="137">
        <v>2</v>
      </c>
      <c r="H1441" s="94">
        <v>180</v>
      </c>
      <c r="I1441" s="87">
        <v>46001</v>
      </c>
      <c r="J1441" s="93">
        <v>0.62847222222222221</v>
      </c>
      <c r="K1441" s="94">
        <v>180</v>
      </c>
      <c r="L1441" s="72" t="str">
        <f t="shared" si="23"/>
        <v>Payé</v>
      </c>
      <c r="N1441" s="15"/>
    </row>
    <row r="1442" spans="1:14" s="14" customFormat="1" ht="15" customHeight="1" x14ac:dyDescent="0.25">
      <c r="A1442" s="90" t="s">
        <v>857</v>
      </c>
      <c r="B1442" s="90">
        <v>10127</v>
      </c>
      <c r="C1442" s="88" t="s">
        <v>1319</v>
      </c>
      <c r="D1442" s="90" t="s">
        <v>17</v>
      </c>
      <c r="E1442" s="90" t="s">
        <v>1344</v>
      </c>
      <c r="F1442" s="90" t="s">
        <v>857</v>
      </c>
      <c r="G1442" s="137">
        <v>1</v>
      </c>
      <c r="H1442" s="94">
        <v>90</v>
      </c>
      <c r="I1442" s="87">
        <v>46001</v>
      </c>
      <c r="J1442" s="93">
        <v>0.62847222222222221</v>
      </c>
      <c r="K1442" s="94">
        <v>90</v>
      </c>
      <c r="L1442" s="72" t="str">
        <f t="shared" si="23"/>
        <v>Payé</v>
      </c>
      <c r="N1442" s="15"/>
    </row>
    <row r="1443" spans="1:14" s="14" customFormat="1" ht="15" customHeight="1" x14ac:dyDescent="0.25">
      <c r="A1443" s="90" t="s">
        <v>857</v>
      </c>
      <c r="B1443" s="90">
        <v>10132</v>
      </c>
      <c r="C1443" s="88" t="s">
        <v>1324</v>
      </c>
      <c r="D1443" s="90" t="s">
        <v>17</v>
      </c>
      <c r="E1443" s="90" t="s">
        <v>1344</v>
      </c>
      <c r="F1443" s="90" t="s">
        <v>857</v>
      </c>
      <c r="G1443" s="137">
        <v>1</v>
      </c>
      <c r="H1443" s="94">
        <v>90</v>
      </c>
      <c r="I1443" s="87">
        <v>46001</v>
      </c>
      <c r="J1443" s="93">
        <v>0.62847222222222221</v>
      </c>
      <c r="K1443" s="94">
        <v>90</v>
      </c>
      <c r="L1443" s="72" t="str">
        <f t="shared" si="23"/>
        <v>Payé</v>
      </c>
      <c r="N1443" s="15"/>
    </row>
    <row r="1444" spans="1:14" s="14" customFormat="1" ht="15" customHeight="1" x14ac:dyDescent="0.25">
      <c r="A1444" s="90" t="s">
        <v>857</v>
      </c>
      <c r="B1444" s="90">
        <v>10151</v>
      </c>
      <c r="C1444" s="88" t="s">
        <v>1332</v>
      </c>
      <c r="D1444" s="90" t="s">
        <v>17</v>
      </c>
      <c r="E1444" s="90" t="s">
        <v>1344</v>
      </c>
      <c r="F1444" s="90" t="s">
        <v>857</v>
      </c>
      <c r="G1444" s="137">
        <v>2</v>
      </c>
      <c r="H1444" s="94">
        <v>180</v>
      </c>
      <c r="I1444" s="87">
        <v>46001</v>
      </c>
      <c r="J1444" s="93">
        <v>0.62847222222222221</v>
      </c>
      <c r="K1444" s="94">
        <v>180</v>
      </c>
      <c r="L1444" s="72" t="str">
        <f t="shared" si="23"/>
        <v>Payé</v>
      </c>
      <c r="N1444" s="15"/>
    </row>
    <row r="1445" spans="1:14" s="14" customFormat="1" ht="15" customHeight="1" x14ac:dyDescent="0.25">
      <c r="A1445" s="90" t="s">
        <v>857</v>
      </c>
      <c r="B1445" s="90">
        <v>10152</v>
      </c>
      <c r="C1445" s="88" t="s">
        <v>1333</v>
      </c>
      <c r="D1445" s="90" t="s">
        <v>17</v>
      </c>
      <c r="E1445" s="90" t="s">
        <v>1344</v>
      </c>
      <c r="F1445" s="90" t="s">
        <v>857</v>
      </c>
      <c r="G1445" s="137">
        <v>1</v>
      </c>
      <c r="H1445" s="94">
        <v>90</v>
      </c>
      <c r="I1445" s="87">
        <v>46001</v>
      </c>
      <c r="J1445" s="93">
        <v>0.62847222222222221</v>
      </c>
      <c r="K1445" s="94">
        <v>90</v>
      </c>
      <c r="L1445" s="72" t="str">
        <f t="shared" si="23"/>
        <v>Payé</v>
      </c>
      <c r="N1445" s="15"/>
    </row>
    <row r="1446" spans="1:14" s="14" customFormat="1" ht="15" customHeight="1" x14ac:dyDescent="0.25">
      <c r="A1446" s="90" t="s">
        <v>857</v>
      </c>
      <c r="B1446" s="90">
        <v>10154</v>
      </c>
      <c r="C1446" s="88" t="s">
        <v>1335</v>
      </c>
      <c r="D1446" s="90" t="s">
        <v>17</v>
      </c>
      <c r="E1446" s="90" t="s">
        <v>1344</v>
      </c>
      <c r="F1446" s="90" t="s">
        <v>857</v>
      </c>
      <c r="G1446" s="137">
        <v>2</v>
      </c>
      <c r="H1446" s="94">
        <v>180</v>
      </c>
      <c r="I1446" s="87">
        <v>46001</v>
      </c>
      <c r="J1446" s="93">
        <v>0.62847222222222221</v>
      </c>
      <c r="K1446" s="94">
        <v>180</v>
      </c>
      <c r="L1446" s="72" t="str">
        <f t="shared" si="23"/>
        <v>Payé</v>
      </c>
      <c r="N1446" s="15"/>
    </row>
    <row r="1447" spans="1:14" ht="15" customHeight="1" x14ac:dyDescent="0.25">
      <c r="A1447" s="91" t="s">
        <v>850</v>
      </c>
      <c r="B1447" s="90" t="s">
        <v>584</v>
      </c>
      <c r="C1447" s="88" t="s">
        <v>585</v>
      </c>
      <c r="D1447" s="89" t="s">
        <v>910</v>
      </c>
      <c r="E1447" s="90" t="s">
        <v>61</v>
      </c>
      <c r="F1447" s="91" t="s">
        <v>850</v>
      </c>
      <c r="G1447" s="95">
        <v>219.5</v>
      </c>
      <c r="H1447" s="92">
        <v>5487.5</v>
      </c>
      <c r="I1447" s="91">
        <v>45926</v>
      </c>
      <c r="J1447" s="165">
        <v>0.68125000000000002</v>
      </c>
      <c r="K1447" s="92">
        <v>5487.5</v>
      </c>
      <c r="L1447" s="72" t="str">
        <f t="shared" si="23"/>
        <v>Payé</v>
      </c>
    </row>
    <row r="1448" spans="1:14" ht="15" customHeight="1" x14ac:dyDescent="0.25">
      <c r="A1448" s="91" t="s">
        <v>850</v>
      </c>
      <c r="B1448" s="90" t="s">
        <v>629</v>
      </c>
      <c r="C1448" s="88" t="s">
        <v>630</v>
      </c>
      <c r="D1448" s="89" t="s">
        <v>910</v>
      </c>
      <c r="E1448" s="90" t="s">
        <v>61</v>
      </c>
      <c r="F1448" s="91" t="s">
        <v>850</v>
      </c>
      <c r="G1448" s="95">
        <v>95</v>
      </c>
      <c r="H1448" s="92">
        <v>2375</v>
      </c>
      <c r="I1448" s="91">
        <v>45881</v>
      </c>
      <c r="J1448" s="165">
        <v>0.66388888888888886</v>
      </c>
      <c r="K1448" s="92">
        <v>2375</v>
      </c>
      <c r="L1448" s="72" t="str">
        <f t="shared" si="23"/>
        <v>Payé</v>
      </c>
    </row>
    <row r="1449" spans="1:14" ht="15" customHeight="1" x14ac:dyDescent="0.25">
      <c r="A1449" s="91" t="s">
        <v>850</v>
      </c>
      <c r="B1449" s="90" t="s">
        <v>631</v>
      </c>
      <c r="C1449" s="88" t="s">
        <v>548</v>
      </c>
      <c r="D1449" s="89" t="s">
        <v>910</v>
      </c>
      <c r="E1449" s="90" t="s">
        <v>61</v>
      </c>
      <c r="F1449" s="91" t="s">
        <v>850</v>
      </c>
      <c r="G1449" s="95">
        <v>219</v>
      </c>
      <c r="H1449" s="92">
        <v>5475</v>
      </c>
      <c r="I1449" s="91">
        <v>45881</v>
      </c>
      <c r="J1449" s="165">
        <v>0.66388888888888886</v>
      </c>
      <c r="K1449" s="92">
        <v>5475</v>
      </c>
      <c r="L1449" s="72" t="str">
        <f t="shared" si="23"/>
        <v>Payé</v>
      </c>
    </row>
    <row r="1450" spans="1:14" ht="15" customHeight="1" x14ac:dyDescent="0.25">
      <c r="A1450" s="91" t="s">
        <v>850</v>
      </c>
      <c r="B1450" s="90" t="s">
        <v>588</v>
      </c>
      <c r="C1450" s="88" t="s">
        <v>589</v>
      </c>
      <c r="D1450" s="89" t="s">
        <v>910</v>
      </c>
      <c r="E1450" s="90" t="s">
        <v>61</v>
      </c>
      <c r="F1450" s="91" t="s">
        <v>850</v>
      </c>
      <c r="G1450" s="95">
        <v>187</v>
      </c>
      <c r="H1450" s="92">
        <v>4675</v>
      </c>
      <c r="I1450" s="91">
        <v>45888</v>
      </c>
      <c r="J1450" s="165">
        <v>0.54791666666666672</v>
      </c>
      <c r="K1450" s="92">
        <v>4675</v>
      </c>
      <c r="L1450" s="72" t="str">
        <f t="shared" si="23"/>
        <v>Payé</v>
      </c>
    </row>
    <row r="1451" spans="1:14" ht="15" customHeight="1" x14ac:dyDescent="0.25">
      <c r="A1451" s="91" t="s">
        <v>850</v>
      </c>
      <c r="B1451" s="90" t="s">
        <v>586</v>
      </c>
      <c r="C1451" s="88" t="s">
        <v>587</v>
      </c>
      <c r="D1451" s="89" t="s">
        <v>910</v>
      </c>
      <c r="E1451" s="90" t="s">
        <v>61</v>
      </c>
      <c r="F1451" s="91" t="s">
        <v>850</v>
      </c>
      <c r="G1451" s="95">
        <v>317</v>
      </c>
      <c r="H1451" s="92">
        <v>7925</v>
      </c>
      <c r="I1451" s="91">
        <v>45881</v>
      </c>
      <c r="J1451" s="165">
        <v>0.66388888888888886</v>
      </c>
      <c r="K1451" s="92">
        <v>7925</v>
      </c>
      <c r="L1451" s="72" t="str">
        <f t="shared" si="23"/>
        <v>Payé</v>
      </c>
    </row>
    <row r="1452" spans="1:14" ht="15" customHeight="1" x14ac:dyDescent="0.25">
      <c r="A1452" s="91" t="s">
        <v>850</v>
      </c>
      <c r="B1452" s="90"/>
      <c r="C1452" s="88" t="s">
        <v>761</v>
      </c>
      <c r="D1452" s="89" t="s">
        <v>910</v>
      </c>
      <c r="E1452" s="90" t="s">
        <v>61</v>
      </c>
      <c r="F1452" s="91" t="s">
        <v>850</v>
      </c>
      <c r="G1452" s="95">
        <v>80</v>
      </c>
      <c r="H1452" s="92">
        <v>2400</v>
      </c>
      <c r="I1452" s="91">
        <v>45912</v>
      </c>
      <c r="J1452" s="165">
        <v>0.70972222222222225</v>
      </c>
      <c r="K1452" s="92">
        <v>2400</v>
      </c>
      <c r="L1452" s="72" t="str">
        <f t="shared" si="23"/>
        <v>Payé</v>
      </c>
    </row>
    <row r="1453" spans="1:14" ht="15" customHeight="1" x14ac:dyDescent="0.25">
      <c r="A1453" s="91" t="s">
        <v>850</v>
      </c>
      <c r="C1453" s="197" t="s">
        <v>913</v>
      </c>
      <c r="D1453" s="89" t="s">
        <v>910</v>
      </c>
      <c r="E1453" s="90" t="s">
        <v>61</v>
      </c>
      <c r="F1453" s="91" t="s">
        <v>850</v>
      </c>
      <c r="G1453" s="95">
        <v>11</v>
      </c>
      <c r="H1453" s="92">
        <v>275</v>
      </c>
      <c r="I1453" s="91">
        <v>45881</v>
      </c>
      <c r="J1453" s="165">
        <v>0.66388888888888886</v>
      </c>
      <c r="K1453" s="92">
        <v>275</v>
      </c>
      <c r="L1453" s="72" t="str">
        <f t="shared" si="23"/>
        <v>Payé</v>
      </c>
    </row>
    <row r="1454" spans="1:14" ht="15" customHeight="1" x14ac:dyDescent="0.25">
      <c r="A1454" s="91" t="s">
        <v>850</v>
      </c>
      <c r="B1454" s="90">
        <v>8</v>
      </c>
      <c r="C1454" s="88" t="s">
        <v>543</v>
      </c>
      <c r="D1454" s="90" t="s">
        <v>17</v>
      </c>
      <c r="E1454" s="90" t="s">
        <v>371</v>
      </c>
      <c r="F1454" s="91" t="s">
        <v>850</v>
      </c>
      <c r="G1454" s="95">
        <v>1</v>
      </c>
      <c r="H1454" s="94">
        <v>91</v>
      </c>
      <c r="I1454" s="91">
        <v>45881</v>
      </c>
      <c r="J1454" s="165">
        <v>0.63958333333333328</v>
      </c>
      <c r="K1454" s="94">
        <v>91</v>
      </c>
      <c r="L1454" s="72" t="str">
        <f t="shared" si="23"/>
        <v>Payé</v>
      </c>
    </row>
    <row r="1455" spans="1:14" ht="15" customHeight="1" x14ac:dyDescent="0.25">
      <c r="A1455" s="91" t="s">
        <v>850</v>
      </c>
      <c r="B1455" s="90">
        <v>9</v>
      </c>
      <c r="C1455" s="88" t="s">
        <v>544</v>
      </c>
      <c r="D1455" s="90" t="s">
        <v>17</v>
      </c>
      <c r="E1455" s="90" t="s">
        <v>371</v>
      </c>
      <c r="F1455" s="91" t="s">
        <v>850</v>
      </c>
      <c r="G1455" s="95">
        <v>0.5</v>
      </c>
      <c r="H1455" s="94">
        <v>43</v>
      </c>
      <c r="I1455" s="91">
        <v>45881</v>
      </c>
      <c r="J1455" s="165">
        <v>0.63958333333333328</v>
      </c>
      <c r="K1455" s="94">
        <v>43</v>
      </c>
      <c r="L1455" s="72" t="str">
        <f t="shared" si="23"/>
        <v>Payé</v>
      </c>
    </row>
    <row r="1456" spans="1:14" ht="15" customHeight="1" x14ac:dyDescent="0.25">
      <c r="A1456" s="91" t="s">
        <v>850</v>
      </c>
      <c r="B1456" s="90">
        <v>10</v>
      </c>
      <c r="C1456" s="88" t="s">
        <v>840</v>
      </c>
      <c r="D1456" s="90" t="s">
        <v>17</v>
      </c>
      <c r="E1456" s="90" t="s">
        <v>371</v>
      </c>
      <c r="F1456" s="91" t="s">
        <v>850</v>
      </c>
      <c r="G1456" s="95">
        <v>1</v>
      </c>
      <c r="H1456" s="94">
        <v>87</v>
      </c>
      <c r="I1456" s="91">
        <v>45881</v>
      </c>
      <c r="J1456" s="165">
        <v>0.63958333333333328</v>
      </c>
      <c r="K1456" s="94">
        <v>87</v>
      </c>
      <c r="L1456" s="72" t="str">
        <f t="shared" si="23"/>
        <v>Payé</v>
      </c>
    </row>
    <row r="1457" spans="1:12" ht="15" customHeight="1" x14ac:dyDescent="0.25">
      <c r="A1457" s="91" t="s">
        <v>850</v>
      </c>
      <c r="B1457" s="90">
        <v>3412</v>
      </c>
      <c r="C1457" s="88" t="s">
        <v>560</v>
      </c>
      <c r="D1457" s="90" t="s">
        <v>17</v>
      </c>
      <c r="E1457" s="90" t="s">
        <v>371</v>
      </c>
      <c r="F1457" s="91" t="s">
        <v>850</v>
      </c>
      <c r="G1457" s="95">
        <v>1</v>
      </c>
      <c r="H1457" s="94">
        <v>87</v>
      </c>
      <c r="I1457" s="91">
        <v>45881</v>
      </c>
      <c r="J1457" s="165">
        <v>0.7090277777777777</v>
      </c>
      <c r="K1457" s="94">
        <v>87</v>
      </c>
      <c r="L1457" s="72" t="str">
        <f t="shared" si="23"/>
        <v>Payé</v>
      </c>
    </row>
    <row r="1458" spans="1:12" ht="15" customHeight="1" x14ac:dyDescent="0.25">
      <c r="A1458" s="91" t="s">
        <v>850</v>
      </c>
      <c r="B1458" s="90">
        <v>3630</v>
      </c>
      <c r="C1458" s="88" t="s">
        <v>568</v>
      </c>
      <c r="D1458" s="90" t="s">
        <v>17</v>
      </c>
      <c r="E1458" s="90" t="s">
        <v>613</v>
      </c>
      <c r="F1458" s="91" t="s">
        <v>850</v>
      </c>
      <c r="G1458" s="95">
        <v>17</v>
      </c>
      <c r="H1458" s="94">
        <v>1835</v>
      </c>
      <c r="I1458" s="91">
        <v>45881</v>
      </c>
      <c r="J1458" s="165">
        <v>0.66875000000000007</v>
      </c>
      <c r="K1458" s="94">
        <v>1835</v>
      </c>
      <c r="L1458" s="72" t="str">
        <f t="shared" si="23"/>
        <v>Payé</v>
      </c>
    </row>
    <row r="1459" spans="1:12" ht="15" customHeight="1" x14ac:dyDescent="0.25">
      <c r="A1459" s="91" t="s">
        <v>850</v>
      </c>
      <c r="B1459" s="90">
        <v>6</v>
      </c>
      <c r="C1459" s="88" t="s">
        <v>542</v>
      </c>
      <c r="D1459" s="90" t="s">
        <v>17</v>
      </c>
      <c r="E1459" s="90" t="s">
        <v>420</v>
      </c>
      <c r="F1459" s="91" t="s">
        <v>850</v>
      </c>
      <c r="G1459" s="95">
        <v>1</v>
      </c>
      <c r="H1459" s="94">
        <v>91</v>
      </c>
      <c r="I1459" s="91">
        <v>45881</v>
      </c>
      <c r="J1459" s="165">
        <v>0.7090277777777777</v>
      </c>
      <c r="K1459" s="94">
        <v>91</v>
      </c>
      <c r="L1459" s="72" t="str">
        <f t="shared" si="23"/>
        <v>Payé</v>
      </c>
    </row>
    <row r="1460" spans="1:12" ht="15" customHeight="1" x14ac:dyDescent="0.25">
      <c r="A1460" s="91" t="s">
        <v>850</v>
      </c>
      <c r="B1460" s="90">
        <v>41</v>
      </c>
      <c r="C1460" s="88" t="s">
        <v>407</v>
      </c>
      <c r="D1460" s="90" t="s">
        <v>17</v>
      </c>
      <c r="E1460" s="90" t="s">
        <v>420</v>
      </c>
      <c r="F1460" s="91" t="s">
        <v>850</v>
      </c>
      <c r="G1460" s="95">
        <v>2</v>
      </c>
      <c r="H1460" s="94">
        <v>182</v>
      </c>
      <c r="I1460" s="91">
        <v>45881</v>
      </c>
      <c r="J1460" s="165">
        <v>0.63958333333333328</v>
      </c>
      <c r="K1460" s="94">
        <v>182</v>
      </c>
      <c r="L1460" s="72" t="str">
        <f t="shared" si="23"/>
        <v>Payé</v>
      </c>
    </row>
    <row r="1461" spans="1:12" ht="15" customHeight="1" x14ac:dyDescent="0.25">
      <c r="A1461" s="91" t="s">
        <v>850</v>
      </c>
      <c r="B1461" s="90">
        <v>95</v>
      </c>
      <c r="C1461" s="88" t="s">
        <v>408</v>
      </c>
      <c r="D1461" s="90" t="s">
        <v>17</v>
      </c>
      <c r="E1461" s="90" t="s">
        <v>81</v>
      </c>
      <c r="F1461" s="91" t="s">
        <v>850</v>
      </c>
      <c r="G1461" s="95">
        <v>2</v>
      </c>
      <c r="H1461" s="94">
        <v>182</v>
      </c>
      <c r="I1461" s="91">
        <v>45881</v>
      </c>
      <c r="J1461" s="165">
        <v>0.63958333333333328</v>
      </c>
      <c r="K1461" s="94">
        <v>182</v>
      </c>
      <c r="L1461" s="72" t="str">
        <f t="shared" si="23"/>
        <v>Payé</v>
      </c>
    </row>
    <row r="1462" spans="1:12" ht="15" customHeight="1" x14ac:dyDescent="0.25">
      <c r="A1462" s="91" t="s">
        <v>850</v>
      </c>
      <c r="B1462" s="90">
        <v>4807</v>
      </c>
      <c r="C1462" s="88" t="s">
        <v>825</v>
      </c>
      <c r="D1462" s="90" t="s">
        <v>17</v>
      </c>
      <c r="E1462" s="90" t="s">
        <v>81</v>
      </c>
      <c r="F1462" s="91" t="s">
        <v>850</v>
      </c>
      <c r="G1462" s="95">
        <v>16</v>
      </c>
      <c r="H1462" s="94">
        <v>1388</v>
      </c>
      <c r="I1462" s="91">
        <v>45881</v>
      </c>
      <c r="J1462" s="165">
        <v>0.65</v>
      </c>
      <c r="K1462" s="94">
        <v>1388</v>
      </c>
      <c r="L1462" s="72" t="str">
        <f t="shared" si="23"/>
        <v>Payé</v>
      </c>
    </row>
    <row r="1463" spans="1:12" ht="15" customHeight="1" x14ac:dyDescent="0.25">
      <c r="A1463" s="91" t="s">
        <v>850</v>
      </c>
      <c r="B1463" s="90">
        <v>198</v>
      </c>
      <c r="C1463" s="88" t="s">
        <v>380</v>
      </c>
      <c r="D1463" s="90" t="s">
        <v>17</v>
      </c>
      <c r="E1463" s="90" t="s">
        <v>370</v>
      </c>
      <c r="F1463" s="91" t="s">
        <v>850</v>
      </c>
      <c r="G1463" s="95">
        <v>2</v>
      </c>
      <c r="H1463" s="94">
        <v>182</v>
      </c>
      <c r="I1463" s="91">
        <v>45881</v>
      </c>
      <c r="J1463" s="165">
        <v>0.7090277777777777</v>
      </c>
      <c r="K1463" s="94">
        <v>182</v>
      </c>
      <c r="L1463" s="72" t="str">
        <f t="shared" si="23"/>
        <v>Payé</v>
      </c>
    </row>
    <row r="1464" spans="1:12" ht="15" customHeight="1" x14ac:dyDescent="0.25">
      <c r="A1464" s="91" t="s">
        <v>850</v>
      </c>
      <c r="B1464" s="90">
        <v>752</v>
      </c>
      <c r="C1464" s="88" t="s">
        <v>384</v>
      </c>
      <c r="D1464" s="90" t="s">
        <v>17</v>
      </c>
      <c r="E1464" s="90" t="s">
        <v>369</v>
      </c>
      <c r="F1464" s="91" t="s">
        <v>850</v>
      </c>
      <c r="G1464" s="95">
        <v>2</v>
      </c>
      <c r="H1464" s="94">
        <v>182</v>
      </c>
      <c r="I1464" s="91">
        <v>45881</v>
      </c>
      <c r="J1464" s="165">
        <v>0.63958333333333328</v>
      </c>
      <c r="K1464" s="94">
        <v>182</v>
      </c>
      <c r="L1464" s="72" t="str">
        <f t="shared" si="23"/>
        <v>Payé</v>
      </c>
    </row>
    <row r="1465" spans="1:12" ht="15" customHeight="1" x14ac:dyDescent="0.25">
      <c r="A1465" s="91" t="s">
        <v>850</v>
      </c>
      <c r="B1465" s="90">
        <v>2311</v>
      </c>
      <c r="C1465" s="88" t="s">
        <v>406</v>
      </c>
      <c r="D1465" s="90" t="s">
        <v>17</v>
      </c>
      <c r="E1465" s="90" t="s">
        <v>103</v>
      </c>
      <c r="F1465" s="91" t="s">
        <v>850</v>
      </c>
      <c r="G1465" s="95">
        <v>1</v>
      </c>
      <c r="H1465" s="94">
        <v>91</v>
      </c>
      <c r="I1465" s="91">
        <v>45882</v>
      </c>
      <c r="J1465" s="165">
        <v>0.52500000000000002</v>
      </c>
      <c r="K1465" s="94">
        <v>91</v>
      </c>
      <c r="L1465" s="72" t="str">
        <f t="shared" si="23"/>
        <v>Payé</v>
      </c>
    </row>
    <row r="1466" spans="1:12" ht="15" customHeight="1" x14ac:dyDescent="0.25">
      <c r="A1466" s="91" t="s">
        <v>850</v>
      </c>
      <c r="B1466" s="90">
        <v>2384</v>
      </c>
      <c r="C1466" s="88" t="s">
        <v>541</v>
      </c>
      <c r="D1466" s="90" t="s">
        <v>17</v>
      </c>
      <c r="E1466" s="90" t="s">
        <v>103</v>
      </c>
      <c r="F1466" s="91" t="s">
        <v>850</v>
      </c>
      <c r="G1466" s="95">
        <v>1</v>
      </c>
      <c r="H1466" s="94">
        <v>97</v>
      </c>
      <c r="I1466" s="91">
        <v>45881</v>
      </c>
      <c r="J1466" s="165">
        <v>0.5625</v>
      </c>
      <c r="K1466" s="94">
        <v>97</v>
      </c>
      <c r="L1466" s="72" t="str">
        <f t="shared" si="23"/>
        <v>Payé</v>
      </c>
    </row>
    <row r="1467" spans="1:12" ht="15" customHeight="1" x14ac:dyDescent="0.25">
      <c r="A1467" s="91" t="s">
        <v>850</v>
      </c>
      <c r="B1467" s="90">
        <v>5270</v>
      </c>
      <c r="C1467" s="88" t="s">
        <v>926</v>
      </c>
      <c r="D1467" s="90" t="s">
        <v>17</v>
      </c>
      <c r="E1467" s="90" t="s">
        <v>391</v>
      </c>
      <c r="F1467" s="91" t="s">
        <v>850</v>
      </c>
      <c r="G1467" s="95">
        <v>7</v>
      </c>
      <c r="H1467" s="94">
        <v>607</v>
      </c>
      <c r="I1467" s="91">
        <v>45881</v>
      </c>
      <c r="J1467" s="165">
        <v>0.69930555555555562</v>
      </c>
      <c r="K1467" s="94">
        <v>607</v>
      </c>
      <c r="L1467" s="72" t="str">
        <f t="shared" si="23"/>
        <v>Payé</v>
      </c>
    </row>
    <row r="1468" spans="1:12" ht="15" customHeight="1" x14ac:dyDescent="0.25">
      <c r="A1468" s="91" t="s">
        <v>850</v>
      </c>
      <c r="B1468" s="90">
        <v>3351</v>
      </c>
      <c r="C1468" s="88" t="s">
        <v>617</v>
      </c>
      <c r="D1468" s="90" t="s">
        <v>17</v>
      </c>
      <c r="E1468" s="90" t="s">
        <v>107</v>
      </c>
      <c r="F1468" s="91" t="s">
        <v>850</v>
      </c>
      <c r="G1468" s="95">
        <v>1</v>
      </c>
      <c r="H1468" s="94">
        <v>87</v>
      </c>
      <c r="I1468" s="91">
        <v>45913</v>
      </c>
      <c r="J1468" s="165">
        <v>0.66805555555555562</v>
      </c>
      <c r="K1468" s="94">
        <v>87</v>
      </c>
      <c r="L1468" s="72" t="str">
        <f t="shared" si="23"/>
        <v>Payé</v>
      </c>
    </row>
    <row r="1469" spans="1:12" ht="15" customHeight="1" x14ac:dyDescent="0.25">
      <c r="A1469" s="91" t="s">
        <v>850</v>
      </c>
      <c r="B1469" s="90">
        <v>2412</v>
      </c>
      <c r="C1469" s="88" t="s">
        <v>913</v>
      </c>
      <c r="D1469" s="90" t="s">
        <v>17</v>
      </c>
      <c r="E1469" s="90" t="s">
        <v>944</v>
      </c>
      <c r="F1469" s="91" t="s">
        <v>850</v>
      </c>
      <c r="G1469" s="95">
        <v>1</v>
      </c>
      <c r="H1469" s="94">
        <v>97</v>
      </c>
      <c r="I1469" s="91">
        <v>45881</v>
      </c>
      <c r="J1469" s="165">
        <v>0.7006944444444444</v>
      </c>
      <c r="K1469" s="94">
        <v>97</v>
      </c>
      <c r="L1469" s="72" t="str">
        <f t="shared" si="23"/>
        <v>Payé</v>
      </c>
    </row>
    <row r="1470" spans="1:12" ht="15" customHeight="1" x14ac:dyDescent="0.25">
      <c r="A1470" s="91" t="s">
        <v>850</v>
      </c>
      <c r="B1470" s="90"/>
      <c r="C1470" s="88" t="s">
        <v>935</v>
      </c>
      <c r="D1470" s="90" t="s">
        <v>17</v>
      </c>
      <c r="E1470" s="90" t="s">
        <v>944</v>
      </c>
      <c r="F1470" s="91" t="s">
        <v>850</v>
      </c>
      <c r="G1470" s="95">
        <v>1</v>
      </c>
      <c r="H1470" s="94">
        <v>87</v>
      </c>
      <c r="I1470" s="91">
        <v>45881</v>
      </c>
      <c r="J1470" s="165">
        <v>0.7006944444444444</v>
      </c>
      <c r="K1470" s="94">
        <v>87</v>
      </c>
      <c r="L1470" s="72" t="str">
        <f t="shared" si="23"/>
        <v>Payé</v>
      </c>
    </row>
    <row r="1471" spans="1:12" ht="15" customHeight="1" x14ac:dyDescent="0.25">
      <c r="A1471" s="91" t="s">
        <v>850</v>
      </c>
      <c r="B1471" s="90"/>
      <c r="C1471" s="88" t="s">
        <v>936</v>
      </c>
      <c r="D1471" s="90" t="s">
        <v>17</v>
      </c>
      <c r="E1471" s="90" t="s">
        <v>944</v>
      </c>
      <c r="F1471" s="91" t="s">
        <v>850</v>
      </c>
      <c r="G1471" s="95">
        <v>1</v>
      </c>
      <c r="H1471" s="94">
        <v>87</v>
      </c>
      <c r="I1471" s="91">
        <v>45881</v>
      </c>
      <c r="J1471" s="165">
        <v>0.7006944444444444</v>
      </c>
      <c r="K1471" s="94">
        <v>87</v>
      </c>
      <c r="L1471" s="72" t="str">
        <f t="shared" si="23"/>
        <v>Payé</v>
      </c>
    </row>
    <row r="1472" spans="1:12" ht="15" customHeight="1" x14ac:dyDescent="0.25">
      <c r="A1472" s="91" t="s">
        <v>850</v>
      </c>
      <c r="B1472" s="90"/>
      <c r="C1472" s="88" t="s">
        <v>242</v>
      </c>
      <c r="D1472" s="90" t="s">
        <v>17</v>
      </c>
      <c r="E1472" s="90" t="s">
        <v>944</v>
      </c>
      <c r="F1472" s="91" t="s">
        <v>850</v>
      </c>
      <c r="G1472" s="95">
        <v>1</v>
      </c>
      <c r="H1472" s="94">
        <v>87</v>
      </c>
      <c r="I1472" s="91">
        <v>45881</v>
      </c>
      <c r="J1472" s="165">
        <v>0.7006944444444444</v>
      </c>
      <c r="K1472" s="94">
        <v>87</v>
      </c>
      <c r="L1472" s="72" t="str">
        <f t="shared" si="23"/>
        <v>Payé</v>
      </c>
    </row>
    <row r="1473" spans="1:12" ht="15" customHeight="1" x14ac:dyDescent="0.25">
      <c r="A1473" s="91" t="s">
        <v>850</v>
      </c>
      <c r="B1473" s="90"/>
      <c r="C1473" s="88" t="s">
        <v>937</v>
      </c>
      <c r="D1473" s="90" t="s">
        <v>17</v>
      </c>
      <c r="E1473" s="90" t="s">
        <v>944</v>
      </c>
      <c r="F1473" s="91" t="s">
        <v>850</v>
      </c>
      <c r="G1473" s="95">
        <v>1</v>
      </c>
      <c r="H1473" s="94">
        <v>87</v>
      </c>
      <c r="I1473" s="91">
        <v>45881</v>
      </c>
      <c r="J1473" s="165">
        <v>0.7006944444444444</v>
      </c>
      <c r="K1473" s="94">
        <v>87</v>
      </c>
      <c r="L1473" s="72" t="str">
        <f t="shared" si="23"/>
        <v>Payé</v>
      </c>
    </row>
    <row r="1474" spans="1:12" ht="15" customHeight="1" x14ac:dyDescent="0.25">
      <c r="A1474" s="91" t="s">
        <v>850</v>
      </c>
      <c r="B1474" s="90"/>
      <c r="C1474" s="88" t="s">
        <v>938</v>
      </c>
      <c r="D1474" s="90" t="s">
        <v>17</v>
      </c>
      <c r="E1474" s="90" t="s">
        <v>944</v>
      </c>
      <c r="F1474" s="91" t="s">
        <v>850</v>
      </c>
      <c r="G1474" s="95">
        <v>1</v>
      </c>
      <c r="H1474" s="94">
        <v>87</v>
      </c>
      <c r="I1474" s="91">
        <v>45881</v>
      </c>
      <c r="J1474" s="165">
        <v>0.7006944444444444</v>
      </c>
      <c r="K1474" s="94">
        <v>87</v>
      </c>
      <c r="L1474" s="72" t="str">
        <f t="shared" si="23"/>
        <v>Payé</v>
      </c>
    </row>
    <row r="1475" spans="1:12" ht="15" customHeight="1" x14ac:dyDescent="0.25">
      <c r="A1475" s="91" t="s">
        <v>850</v>
      </c>
      <c r="B1475" s="90"/>
      <c r="C1475" s="88" t="s">
        <v>939</v>
      </c>
      <c r="D1475" s="90" t="s">
        <v>17</v>
      </c>
      <c r="E1475" s="90" t="s">
        <v>944</v>
      </c>
      <c r="F1475" s="91" t="s">
        <v>850</v>
      </c>
      <c r="G1475" s="95">
        <v>1</v>
      </c>
      <c r="H1475" s="94">
        <v>87</v>
      </c>
      <c r="I1475" s="91">
        <v>45881</v>
      </c>
      <c r="J1475" s="165">
        <v>0.7006944444444444</v>
      </c>
      <c r="K1475" s="94">
        <v>87</v>
      </c>
      <c r="L1475" s="72" t="str">
        <f t="shared" si="23"/>
        <v>Payé</v>
      </c>
    </row>
    <row r="1476" spans="1:12" ht="15" customHeight="1" x14ac:dyDescent="0.25">
      <c r="A1476" s="91" t="s">
        <v>850</v>
      </c>
      <c r="B1476" s="90"/>
      <c r="C1476" s="88" t="s">
        <v>940</v>
      </c>
      <c r="D1476" s="90" t="s">
        <v>17</v>
      </c>
      <c r="E1476" s="90" t="s">
        <v>944</v>
      </c>
      <c r="F1476" s="91" t="s">
        <v>850</v>
      </c>
      <c r="G1476" s="95">
        <v>1</v>
      </c>
      <c r="H1476" s="94">
        <v>87</v>
      </c>
      <c r="I1476" s="91">
        <v>45881</v>
      </c>
      <c r="J1476" s="165">
        <v>0.7006944444444444</v>
      </c>
      <c r="K1476" s="94">
        <v>87</v>
      </c>
      <c r="L1476" s="72" t="str">
        <f t="shared" si="23"/>
        <v>Payé</v>
      </c>
    </row>
    <row r="1477" spans="1:12" ht="15" customHeight="1" x14ac:dyDescent="0.25">
      <c r="A1477" s="91" t="s">
        <v>850</v>
      </c>
      <c r="B1477" s="90"/>
      <c r="C1477" s="88" t="s">
        <v>941</v>
      </c>
      <c r="D1477" s="90" t="s">
        <v>17</v>
      </c>
      <c r="E1477" s="90" t="s">
        <v>944</v>
      </c>
      <c r="F1477" s="91" t="s">
        <v>850</v>
      </c>
      <c r="G1477" s="95">
        <v>1</v>
      </c>
      <c r="H1477" s="94">
        <v>87</v>
      </c>
      <c r="I1477" s="91">
        <v>45881</v>
      </c>
      <c r="J1477" s="165">
        <v>0.7006944444444444</v>
      </c>
      <c r="K1477" s="94">
        <v>87</v>
      </c>
      <c r="L1477" s="72" t="str">
        <f t="shared" si="23"/>
        <v>Payé</v>
      </c>
    </row>
    <row r="1478" spans="1:12" ht="15" customHeight="1" x14ac:dyDescent="0.25">
      <c r="A1478" s="91" t="s">
        <v>850</v>
      </c>
      <c r="B1478" s="90"/>
      <c r="C1478" s="88" t="s">
        <v>942</v>
      </c>
      <c r="D1478" s="90" t="s">
        <v>17</v>
      </c>
      <c r="E1478" s="90" t="s">
        <v>944</v>
      </c>
      <c r="F1478" s="91" t="s">
        <v>850</v>
      </c>
      <c r="G1478" s="95">
        <v>1</v>
      </c>
      <c r="H1478" s="94">
        <v>87</v>
      </c>
      <c r="I1478" s="91">
        <v>45881</v>
      </c>
      <c r="J1478" s="165">
        <v>0.7006944444444444</v>
      </c>
      <c r="K1478" s="94">
        <v>87</v>
      </c>
      <c r="L1478" s="72" t="str">
        <f t="shared" si="23"/>
        <v>Payé</v>
      </c>
    </row>
    <row r="1479" spans="1:12" ht="15" customHeight="1" x14ac:dyDescent="0.25">
      <c r="A1479" s="91" t="s">
        <v>850</v>
      </c>
      <c r="B1479" s="90"/>
      <c r="C1479" s="88" t="s">
        <v>943</v>
      </c>
      <c r="D1479" s="90" t="s">
        <v>17</v>
      </c>
      <c r="E1479" s="90" t="s">
        <v>944</v>
      </c>
      <c r="F1479" s="91" t="s">
        <v>850</v>
      </c>
      <c r="G1479" s="95">
        <v>1</v>
      </c>
      <c r="H1479" s="94">
        <v>87</v>
      </c>
      <c r="I1479" s="91">
        <v>45881</v>
      </c>
      <c r="J1479" s="165">
        <v>0.7006944444444444</v>
      </c>
      <c r="K1479" s="94">
        <v>87</v>
      </c>
      <c r="L1479" s="72" t="str">
        <f t="shared" si="23"/>
        <v>Payé</v>
      </c>
    </row>
    <row r="1480" spans="1:12" ht="15" customHeight="1" x14ac:dyDescent="0.25">
      <c r="A1480" s="91" t="s">
        <v>850</v>
      </c>
      <c r="B1480" s="90">
        <v>2694</v>
      </c>
      <c r="C1480" s="88" t="s">
        <v>547</v>
      </c>
      <c r="D1480" s="90" t="s">
        <v>17</v>
      </c>
      <c r="E1480" s="90" t="s">
        <v>123</v>
      </c>
      <c r="F1480" s="91" t="s">
        <v>850</v>
      </c>
      <c r="G1480" s="95">
        <v>10.5</v>
      </c>
      <c r="H1480" s="94">
        <v>911</v>
      </c>
      <c r="I1480" s="91">
        <v>45884</v>
      </c>
      <c r="J1480" s="165">
        <v>0.66597222222222219</v>
      </c>
      <c r="K1480" s="94">
        <v>911</v>
      </c>
      <c r="L1480" s="72" t="str">
        <f t="shared" si="23"/>
        <v>Payé</v>
      </c>
    </row>
    <row r="1481" spans="1:12" ht="15" customHeight="1" x14ac:dyDescent="0.25">
      <c r="A1481" s="91" t="s">
        <v>850</v>
      </c>
      <c r="B1481" s="90">
        <v>3409</v>
      </c>
      <c r="C1481" s="88" t="s">
        <v>559</v>
      </c>
      <c r="D1481" s="90" t="s">
        <v>17</v>
      </c>
      <c r="E1481" s="90" t="s">
        <v>123</v>
      </c>
      <c r="F1481" s="91" t="s">
        <v>850</v>
      </c>
      <c r="G1481" s="95">
        <v>2.5</v>
      </c>
      <c r="H1481" s="94">
        <v>217</v>
      </c>
      <c r="I1481" s="91">
        <v>45884</v>
      </c>
      <c r="J1481" s="165">
        <v>0.66597222222222219</v>
      </c>
      <c r="K1481" s="94">
        <v>217</v>
      </c>
      <c r="L1481" s="72" t="str">
        <f t="shared" si="23"/>
        <v>Payé</v>
      </c>
    </row>
    <row r="1482" spans="1:12" ht="15" customHeight="1" x14ac:dyDescent="0.25">
      <c r="A1482" s="91" t="s">
        <v>850</v>
      </c>
      <c r="B1482" s="90">
        <v>3426</v>
      </c>
      <c r="C1482" s="88" t="s">
        <v>604</v>
      </c>
      <c r="D1482" s="90" t="s">
        <v>17</v>
      </c>
      <c r="E1482" s="90" t="s">
        <v>123</v>
      </c>
      <c r="F1482" s="91" t="s">
        <v>850</v>
      </c>
      <c r="G1482" s="95">
        <v>5</v>
      </c>
      <c r="H1482" s="94">
        <v>434</v>
      </c>
      <c r="I1482" s="91">
        <v>45904</v>
      </c>
      <c r="J1482" s="165">
        <v>0.4680555555555555</v>
      </c>
      <c r="K1482" s="94">
        <v>434</v>
      </c>
      <c r="L1482" s="72" t="str">
        <f t="shared" si="23"/>
        <v>Payé</v>
      </c>
    </row>
    <row r="1483" spans="1:12" ht="15" customHeight="1" x14ac:dyDescent="0.25">
      <c r="A1483" s="91" t="s">
        <v>850</v>
      </c>
      <c r="B1483" s="90">
        <v>3726</v>
      </c>
      <c r="C1483" s="88" t="s">
        <v>570</v>
      </c>
      <c r="D1483" s="90" t="s">
        <v>17</v>
      </c>
      <c r="E1483" s="90" t="s">
        <v>123</v>
      </c>
      <c r="F1483" s="91" t="s">
        <v>850</v>
      </c>
      <c r="G1483" s="95">
        <v>11</v>
      </c>
      <c r="H1483" s="94">
        <v>954</v>
      </c>
      <c r="I1483" s="91">
        <v>45881</v>
      </c>
      <c r="J1483" s="165">
        <v>0.67222222222222217</v>
      </c>
      <c r="K1483" s="94">
        <v>954</v>
      </c>
      <c r="L1483" s="72" t="str">
        <f t="shared" si="23"/>
        <v>Payé</v>
      </c>
    </row>
    <row r="1484" spans="1:12" ht="15" customHeight="1" x14ac:dyDescent="0.25">
      <c r="A1484" s="91" t="s">
        <v>850</v>
      </c>
      <c r="B1484" s="90">
        <v>3793</v>
      </c>
      <c r="C1484" s="88" t="s">
        <v>572</v>
      </c>
      <c r="D1484" s="90" t="s">
        <v>17</v>
      </c>
      <c r="E1484" s="90" t="s">
        <v>123</v>
      </c>
      <c r="F1484" s="91" t="s">
        <v>850</v>
      </c>
      <c r="G1484" s="95">
        <v>4</v>
      </c>
      <c r="H1484" s="94">
        <v>347</v>
      </c>
      <c r="I1484" s="91">
        <v>45884</v>
      </c>
      <c r="J1484" s="165">
        <v>0.66597222222222219</v>
      </c>
      <c r="K1484" s="94">
        <v>347</v>
      </c>
      <c r="L1484" s="72" t="str">
        <f t="shared" si="23"/>
        <v>Payé</v>
      </c>
    </row>
    <row r="1485" spans="1:12" ht="15" customHeight="1" x14ac:dyDescent="0.25">
      <c r="A1485" s="91" t="s">
        <v>850</v>
      </c>
      <c r="B1485" s="90">
        <v>4415</v>
      </c>
      <c r="C1485" s="88" t="s">
        <v>723</v>
      </c>
      <c r="D1485" s="90" t="s">
        <v>17</v>
      </c>
      <c r="E1485" s="90" t="s">
        <v>123</v>
      </c>
      <c r="F1485" s="91" t="s">
        <v>850</v>
      </c>
      <c r="G1485" s="95">
        <v>11</v>
      </c>
      <c r="H1485" s="94">
        <v>954</v>
      </c>
      <c r="I1485" s="91">
        <v>45897</v>
      </c>
      <c r="J1485" s="165">
        <v>0.625</v>
      </c>
      <c r="K1485" s="94">
        <v>954</v>
      </c>
      <c r="L1485" s="72" t="str">
        <f t="shared" si="23"/>
        <v>Payé</v>
      </c>
    </row>
    <row r="1486" spans="1:12" ht="15" customHeight="1" x14ac:dyDescent="0.25">
      <c r="A1486" s="91" t="s">
        <v>850</v>
      </c>
      <c r="B1486" s="90">
        <v>4550</v>
      </c>
      <c r="C1486" s="88" t="s">
        <v>739</v>
      </c>
      <c r="D1486" s="90" t="s">
        <v>17</v>
      </c>
      <c r="E1486" s="90" t="s">
        <v>847</v>
      </c>
      <c r="F1486" s="91" t="s">
        <v>850</v>
      </c>
      <c r="G1486" s="95">
        <v>10</v>
      </c>
      <c r="H1486" s="94">
        <v>867</v>
      </c>
      <c r="I1486" s="91">
        <v>45881</v>
      </c>
      <c r="J1486" s="165">
        <v>0.67222222222222217</v>
      </c>
      <c r="K1486" s="94">
        <v>867</v>
      </c>
      <c r="L1486" s="72" t="str">
        <f t="shared" si="23"/>
        <v>Payé</v>
      </c>
    </row>
    <row r="1487" spans="1:12" ht="15" customHeight="1" x14ac:dyDescent="0.25">
      <c r="A1487" s="91" t="s">
        <v>850</v>
      </c>
      <c r="B1487" s="90">
        <v>4806</v>
      </c>
      <c r="C1487" s="88" t="s">
        <v>740</v>
      </c>
      <c r="D1487" s="90" t="s">
        <v>17</v>
      </c>
      <c r="E1487" s="90" t="s">
        <v>847</v>
      </c>
      <c r="F1487" s="91" t="s">
        <v>850</v>
      </c>
      <c r="G1487" s="95">
        <v>1</v>
      </c>
      <c r="H1487" s="94">
        <v>87</v>
      </c>
      <c r="I1487" s="91">
        <v>45881</v>
      </c>
      <c r="J1487" s="165">
        <v>0.64861111111111114</v>
      </c>
      <c r="K1487" s="94">
        <v>87</v>
      </c>
      <c r="L1487" s="72" t="str">
        <f t="shared" si="23"/>
        <v>Payé</v>
      </c>
    </row>
    <row r="1488" spans="1:12" ht="15" customHeight="1" x14ac:dyDescent="0.25">
      <c r="A1488" s="91" t="s">
        <v>850</v>
      </c>
      <c r="B1488" s="90">
        <v>5258</v>
      </c>
      <c r="C1488" s="88" t="s">
        <v>893</v>
      </c>
      <c r="D1488" s="90" t="s">
        <v>17</v>
      </c>
      <c r="E1488" s="90" t="s">
        <v>847</v>
      </c>
      <c r="F1488" s="91" t="s">
        <v>850</v>
      </c>
      <c r="G1488" s="95">
        <v>6</v>
      </c>
      <c r="H1488" s="94">
        <v>520</v>
      </c>
      <c r="I1488" s="91">
        <v>45887</v>
      </c>
      <c r="J1488" s="165">
        <v>0.50763888888888886</v>
      </c>
      <c r="K1488" s="94">
        <v>520</v>
      </c>
      <c r="L1488" s="72" t="str">
        <f t="shared" si="23"/>
        <v>Payé</v>
      </c>
    </row>
    <row r="1489" spans="1:12" ht="15" customHeight="1" x14ac:dyDescent="0.25">
      <c r="A1489" s="91" t="s">
        <v>850</v>
      </c>
      <c r="B1489" s="90">
        <v>5268</v>
      </c>
      <c r="C1489" s="88" t="s">
        <v>924</v>
      </c>
      <c r="D1489" s="90" t="s">
        <v>17</v>
      </c>
      <c r="E1489" s="90" t="s">
        <v>847</v>
      </c>
      <c r="F1489" s="91" t="s">
        <v>850</v>
      </c>
      <c r="G1489" s="95">
        <v>9</v>
      </c>
      <c r="H1489" s="94">
        <v>781</v>
      </c>
      <c r="I1489" s="91">
        <v>45897</v>
      </c>
      <c r="J1489" s="165">
        <v>0.625</v>
      </c>
      <c r="K1489" s="94">
        <v>781</v>
      </c>
      <c r="L1489" s="72" t="str">
        <f t="shared" si="23"/>
        <v>Payé</v>
      </c>
    </row>
    <row r="1490" spans="1:12" ht="15" customHeight="1" x14ac:dyDescent="0.25">
      <c r="A1490" s="91" t="s">
        <v>850</v>
      </c>
      <c r="B1490" s="90">
        <v>5274</v>
      </c>
      <c r="C1490" s="88" t="s">
        <v>928</v>
      </c>
      <c r="D1490" s="90" t="s">
        <v>17</v>
      </c>
      <c r="E1490" s="90" t="s">
        <v>847</v>
      </c>
      <c r="F1490" s="91" t="s">
        <v>850</v>
      </c>
      <c r="G1490" s="95">
        <v>3</v>
      </c>
      <c r="H1490" s="94">
        <v>260</v>
      </c>
      <c r="I1490" s="91">
        <v>45887</v>
      </c>
      <c r="J1490" s="165">
        <v>0.45416666666666666</v>
      </c>
      <c r="K1490" s="94">
        <v>260</v>
      </c>
      <c r="L1490" s="72" t="str">
        <f t="shared" si="23"/>
        <v>Payé</v>
      </c>
    </row>
    <row r="1491" spans="1:12" ht="15" customHeight="1" x14ac:dyDescent="0.25">
      <c r="A1491" s="91" t="s">
        <v>850</v>
      </c>
      <c r="B1491" s="136" t="s">
        <v>822</v>
      </c>
      <c r="C1491" s="212" t="s">
        <v>945</v>
      </c>
      <c r="D1491" s="89" t="s">
        <v>912</v>
      </c>
      <c r="E1491" s="90" t="s">
        <v>946</v>
      </c>
      <c r="F1491" s="91" t="s">
        <v>850</v>
      </c>
      <c r="G1491" s="94">
        <v>3</v>
      </c>
      <c r="H1491" s="92">
        <v>450</v>
      </c>
      <c r="I1491" s="91">
        <v>45887</v>
      </c>
      <c r="J1491" s="165">
        <v>0.54027777777777775</v>
      </c>
      <c r="K1491" s="92">
        <v>450</v>
      </c>
      <c r="L1491" s="72" t="str">
        <f t="shared" si="23"/>
        <v>Payé</v>
      </c>
    </row>
    <row r="1492" spans="1:12" ht="15" customHeight="1" x14ac:dyDescent="0.25">
      <c r="A1492" s="90" t="s">
        <v>859</v>
      </c>
      <c r="B1492" s="90">
        <v>3020</v>
      </c>
      <c r="C1492" s="88" t="s">
        <v>693</v>
      </c>
      <c r="D1492" s="90" t="s">
        <v>17</v>
      </c>
      <c r="E1492" s="90" t="s">
        <v>649</v>
      </c>
      <c r="F1492" s="90" t="s">
        <v>859</v>
      </c>
      <c r="G1492" s="137">
        <v>6</v>
      </c>
      <c r="H1492" s="94">
        <v>540</v>
      </c>
      <c r="I1492" s="91">
        <v>46014</v>
      </c>
      <c r="J1492" s="165">
        <v>0.67013888888888884</v>
      </c>
      <c r="K1492" s="94">
        <v>540</v>
      </c>
      <c r="L1492" s="72" t="str">
        <f t="shared" si="23"/>
        <v>Payé</v>
      </c>
    </row>
    <row r="1493" spans="1:12" ht="15" customHeight="1" x14ac:dyDescent="0.25">
      <c r="A1493" s="90" t="s">
        <v>859</v>
      </c>
      <c r="B1493" s="90">
        <v>3087</v>
      </c>
      <c r="C1493" s="88" t="s">
        <v>1238</v>
      </c>
      <c r="D1493" s="90" t="s">
        <v>17</v>
      </c>
      <c r="E1493" s="90" t="s">
        <v>649</v>
      </c>
      <c r="F1493" s="90" t="s">
        <v>859</v>
      </c>
      <c r="G1493" s="137">
        <v>7</v>
      </c>
      <c r="H1493" s="94">
        <v>630</v>
      </c>
      <c r="I1493" s="91">
        <v>46014</v>
      </c>
      <c r="J1493" s="165">
        <v>0.67013888888888884</v>
      </c>
      <c r="K1493" s="94">
        <v>630</v>
      </c>
      <c r="L1493" s="72" t="str">
        <f t="shared" si="23"/>
        <v>Payé</v>
      </c>
    </row>
    <row r="1494" spans="1:12" ht="15" customHeight="1" x14ac:dyDescent="0.25">
      <c r="A1494" s="90" t="s">
        <v>859</v>
      </c>
      <c r="B1494" s="90">
        <v>3130</v>
      </c>
      <c r="C1494" s="88" t="s">
        <v>553</v>
      </c>
      <c r="D1494" s="90" t="s">
        <v>17</v>
      </c>
      <c r="E1494" s="90" t="s">
        <v>649</v>
      </c>
      <c r="F1494" s="90" t="s">
        <v>859</v>
      </c>
      <c r="G1494" s="137">
        <v>9</v>
      </c>
      <c r="H1494" s="94">
        <v>810</v>
      </c>
      <c r="I1494" s="91">
        <v>46014</v>
      </c>
      <c r="J1494" s="165">
        <v>0.67013888888888884</v>
      </c>
      <c r="K1494" s="94">
        <v>810</v>
      </c>
      <c r="L1494" s="72" t="str">
        <f t="shared" si="23"/>
        <v>Payé</v>
      </c>
    </row>
    <row r="1495" spans="1:12" ht="15" customHeight="1" x14ac:dyDescent="0.25">
      <c r="A1495" s="90" t="s">
        <v>859</v>
      </c>
      <c r="B1495" s="90">
        <v>4177</v>
      </c>
      <c r="C1495" s="88" t="s">
        <v>582</v>
      </c>
      <c r="D1495" s="90" t="s">
        <v>17</v>
      </c>
      <c r="E1495" s="90" t="s">
        <v>649</v>
      </c>
      <c r="F1495" s="90" t="s">
        <v>859</v>
      </c>
      <c r="G1495" s="137">
        <v>8</v>
      </c>
      <c r="H1495" s="94">
        <v>720</v>
      </c>
      <c r="I1495" s="91">
        <v>46014</v>
      </c>
      <c r="J1495" s="165">
        <v>0.67013888888888884</v>
      </c>
      <c r="K1495" s="94">
        <v>720</v>
      </c>
      <c r="L1495" s="72" t="str">
        <f t="shared" si="23"/>
        <v>Payé</v>
      </c>
    </row>
    <row r="1496" spans="1:12" ht="15" customHeight="1" x14ac:dyDescent="0.25">
      <c r="A1496" s="90" t="s">
        <v>859</v>
      </c>
      <c r="B1496" s="90">
        <v>4204</v>
      </c>
      <c r="C1496" s="88" t="s">
        <v>610</v>
      </c>
      <c r="D1496" s="90" t="s">
        <v>17</v>
      </c>
      <c r="E1496" s="90" t="s">
        <v>649</v>
      </c>
      <c r="F1496" s="90" t="s">
        <v>859</v>
      </c>
      <c r="G1496" s="137">
        <v>9</v>
      </c>
      <c r="H1496" s="94">
        <v>810</v>
      </c>
      <c r="I1496" s="91">
        <v>46014</v>
      </c>
      <c r="J1496" s="165">
        <v>0.67013888888888884</v>
      </c>
      <c r="K1496" s="94">
        <v>810</v>
      </c>
      <c r="L1496" s="72" t="str">
        <f t="shared" si="23"/>
        <v>Payé</v>
      </c>
    </row>
    <row r="1497" spans="1:12" ht="15" customHeight="1" x14ac:dyDescent="0.25">
      <c r="A1497" s="90" t="s">
        <v>859</v>
      </c>
      <c r="B1497" s="90">
        <v>4263</v>
      </c>
      <c r="C1497" s="88" t="s">
        <v>1245</v>
      </c>
      <c r="D1497" s="90" t="s">
        <v>17</v>
      </c>
      <c r="E1497" s="90" t="s">
        <v>649</v>
      </c>
      <c r="F1497" s="90" t="s">
        <v>859</v>
      </c>
      <c r="G1497" s="137">
        <v>7</v>
      </c>
      <c r="H1497" s="94">
        <v>630</v>
      </c>
      <c r="I1497" s="91">
        <v>46014</v>
      </c>
      <c r="J1497" s="165">
        <v>0.67013888888888884</v>
      </c>
      <c r="K1497" s="94">
        <v>630</v>
      </c>
      <c r="L1497" s="72" t="str">
        <f t="shared" si="23"/>
        <v>Payé</v>
      </c>
    </row>
    <row r="1498" spans="1:12" ht="15" customHeight="1" x14ac:dyDescent="0.25">
      <c r="A1498" s="90" t="s">
        <v>859</v>
      </c>
      <c r="B1498" s="90">
        <v>4282</v>
      </c>
      <c r="C1498" s="88" t="s">
        <v>1246</v>
      </c>
      <c r="D1498" s="90" t="s">
        <v>17</v>
      </c>
      <c r="E1498" s="90" t="s">
        <v>649</v>
      </c>
      <c r="F1498" s="90" t="s">
        <v>859</v>
      </c>
      <c r="G1498" s="137">
        <v>7</v>
      </c>
      <c r="H1498" s="94">
        <v>630</v>
      </c>
      <c r="I1498" s="91">
        <v>46016</v>
      </c>
      <c r="J1498" s="165">
        <v>0.64861111111111114</v>
      </c>
      <c r="K1498" s="94">
        <v>630</v>
      </c>
      <c r="L1498" s="72" t="str">
        <f t="shared" si="23"/>
        <v>Payé</v>
      </c>
    </row>
    <row r="1499" spans="1:12" ht="15" customHeight="1" x14ac:dyDescent="0.25">
      <c r="A1499" s="90" t="s">
        <v>859</v>
      </c>
      <c r="B1499" s="90">
        <v>5050</v>
      </c>
      <c r="C1499" s="88" t="s">
        <v>1292</v>
      </c>
      <c r="D1499" s="90" t="s">
        <v>17</v>
      </c>
      <c r="E1499" s="90" t="s">
        <v>649</v>
      </c>
      <c r="F1499" s="90" t="s">
        <v>859</v>
      </c>
      <c r="G1499" s="137">
        <v>8</v>
      </c>
      <c r="H1499" s="94">
        <v>720</v>
      </c>
      <c r="I1499" s="91">
        <v>46014</v>
      </c>
      <c r="J1499" s="165">
        <v>0.67013888888888884</v>
      </c>
      <c r="K1499" s="94">
        <v>720</v>
      </c>
      <c r="L1499" s="72" t="str">
        <f t="shared" si="23"/>
        <v>Payé</v>
      </c>
    </row>
    <row r="1500" spans="1:12" ht="15" customHeight="1" x14ac:dyDescent="0.25">
      <c r="A1500" s="90" t="s">
        <v>859</v>
      </c>
      <c r="B1500" s="90">
        <v>10262</v>
      </c>
      <c r="C1500" s="88" t="s">
        <v>1424</v>
      </c>
      <c r="D1500" s="90" t="s">
        <v>17</v>
      </c>
      <c r="E1500" s="90" t="s">
        <v>649</v>
      </c>
      <c r="F1500" s="90" t="s">
        <v>859</v>
      </c>
      <c r="G1500" s="137">
        <v>3</v>
      </c>
      <c r="H1500" s="94">
        <v>270</v>
      </c>
      <c r="I1500" s="91">
        <v>46016</v>
      </c>
      <c r="J1500" s="165">
        <v>0.64861111111111114</v>
      </c>
      <c r="K1500" s="94">
        <v>270</v>
      </c>
      <c r="L1500" s="72" t="str">
        <f t="shared" si="23"/>
        <v>Payé</v>
      </c>
    </row>
    <row r="1501" spans="1:12" ht="15" customHeight="1" x14ac:dyDescent="0.25">
      <c r="A1501" s="90" t="s">
        <v>859</v>
      </c>
      <c r="B1501" s="90">
        <v>4758</v>
      </c>
      <c r="C1501" s="88" t="s">
        <v>1425</v>
      </c>
      <c r="D1501" s="90" t="s">
        <v>17</v>
      </c>
      <c r="E1501" s="90" t="s">
        <v>649</v>
      </c>
      <c r="F1501" s="90" t="s">
        <v>859</v>
      </c>
      <c r="G1501" s="137">
        <v>5</v>
      </c>
      <c r="H1501" s="94">
        <v>450</v>
      </c>
      <c r="I1501" s="91">
        <v>46014</v>
      </c>
      <c r="J1501" s="165">
        <v>0.65486111111111112</v>
      </c>
      <c r="K1501" s="94">
        <v>450</v>
      </c>
      <c r="L1501" s="72" t="str">
        <f t="shared" si="23"/>
        <v>Payé</v>
      </c>
    </row>
    <row r="1502" spans="1:12" ht="15" customHeight="1" x14ac:dyDescent="0.25">
      <c r="A1502" s="90" t="s">
        <v>859</v>
      </c>
      <c r="B1502" s="90">
        <v>5317</v>
      </c>
      <c r="C1502" s="88" t="s">
        <v>551</v>
      </c>
      <c r="D1502" s="90" t="s">
        <v>17</v>
      </c>
      <c r="E1502" s="90" t="s">
        <v>649</v>
      </c>
      <c r="F1502" s="90" t="s">
        <v>859</v>
      </c>
      <c r="G1502" s="137">
        <v>9</v>
      </c>
      <c r="H1502" s="94">
        <v>810</v>
      </c>
      <c r="I1502" s="91">
        <v>46014</v>
      </c>
      <c r="J1502" s="165">
        <v>0.67013888888888884</v>
      </c>
      <c r="K1502" s="94">
        <v>810</v>
      </c>
      <c r="L1502" s="72" t="str">
        <f t="shared" ref="L1502:L1565" si="24">IF(ISBLANK(H1502),"",IF(H1502=K1502,"Payé","Impayé"))</f>
        <v>Payé</v>
      </c>
    </row>
    <row r="1503" spans="1:12" ht="15" customHeight="1" x14ac:dyDescent="0.25">
      <c r="A1503" s="90" t="s">
        <v>859</v>
      </c>
      <c r="B1503" s="90">
        <v>10083</v>
      </c>
      <c r="C1503" s="88" t="s">
        <v>1260</v>
      </c>
      <c r="D1503" s="90" t="s">
        <v>17</v>
      </c>
      <c r="E1503" s="90" t="s">
        <v>649</v>
      </c>
      <c r="F1503" s="90" t="s">
        <v>859</v>
      </c>
      <c r="G1503" s="137">
        <v>7</v>
      </c>
      <c r="H1503" s="94">
        <v>630</v>
      </c>
      <c r="I1503" s="91">
        <v>46015</v>
      </c>
      <c r="J1503" s="165">
        <v>0.45833333333333331</v>
      </c>
      <c r="K1503" s="94">
        <v>630</v>
      </c>
      <c r="L1503" s="72" t="str">
        <f t="shared" si="24"/>
        <v>Payé</v>
      </c>
    </row>
    <row r="1504" spans="1:12" ht="15" customHeight="1" x14ac:dyDescent="0.25">
      <c r="A1504" s="90" t="s">
        <v>859</v>
      </c>
      <c r="B1504" s="90">
        <v>10104</v>
      </c>
      <c r="C1504" s="88" t="s">
        <v>1299</v>
      </c>
      <c r="D1504" s="90" t="s">
        <v>17</v>
      </c>
      <c r="E1504" s="90" t="s">
        <v>649</v>
      </c>
      <c r="F1504" s="90" t="s">
        <v>859</v>
      </c>
      <c r="G1504" s="137">
        <v>4</v>
      </c>
      <c r="H1504" s="94">
        <v>360</v>
      </c>
      <c r="I1504" s="91">
        <v>46016</v>
      </c>
      <c r="J1504" s="165">
        <v>0.64861111111111114</v>
      </c>
      <c r="K1504" s="94">
        <v>360</v>
      </c>
      <c r="L1504" s="72" t="str">
        <f t="shared" si="24"/>
        <v>Payé</v>
      </c>
    </row>
    <row r="1505" spans="1:13" ht="15" customHeight="1" x14ac:dyDescent="0.25">
      <c r="A1505" s="90" t="s">
        <v>859</v>
      </c>
      <c r="B1505" s="90">
        <v>10105</v>
      </c>
      <c r="C1505" s="88" t="s">
        <v>1300</v>
      </c>
      <c r="D1505" s="90" t="s">
        <v>17</v>
      </c>
      <c r="E1505" s="90" t="s">
        <v>649</v>
      </c>
      <c r="F1505" s="90" t="s">
        <v>859</v>
      </c>
      <c r="G1505" s="137">
        <v>9</v>
      </c>
      <c r="H1505" s="94">
        <v>810</v>
      </c>
      <c r="I1505" s="91">
        <v>46014</v>
      </c>
      <c r="J1505" s="165">
        <v>0.67013888888888884</v>
      </c>
      <c r="K1505" s="94">
        <v>810</v>
      </c>
      <c r="L1505" s="72" t="str">
        <f t="shared" si="24"/>
        <v>Payé</v>
      </c>
      <c r="M1505" s="155"/>
    </row>
    <row r="1506" spans="1:13" ht="15" customHeight="1" x14ac:dyDescent="0.25">
      <c r="A1506" s="90" t="s">
        <v>859</v>
      </c>
      <c r="B1506" s="90">
        <v>10085</v>
      </c>
      <c r="C1506" s="88" t="s">
        <v>1361</v>
      </c>
      <c r="D1506" s="90" t="s">
        <v>17</v>
      </c>
      <c r="E1506" s="90" t="s">
        <v>649</v>
      </c>
      <c r="F1506" s="90" t="s">
        <v>859</v>
      </c>
      <c r="G1506" s="137">
        <v>7</v>
      </c>
      <c r="H1506" s="94">
        <v>630</v>
      </c>
      <c r="I1506" s="91">
        <v>46014</v>
      </c>
      <c r="J1506" s="165">
        <v>0.67013888888888884</v>
      </c>
      <c r="K1506" s="94">
        <v>630</v>
      </c>
      <c r="L1506" s="72" t="str">
        <f t="shared" si="24"/>
        <v>Payé</v>
      </c>
    </row>
    <row r="1507" spans="1:13" ht="15" customHeight="1" x14ac:dyDescent="0.25">
      <c r="A1507" s="90" t="s">
        <v>859</v>
      </c>
      <c r="B1507" s="90">
        <v>3337</v>
      </c>
      <c r="C1507" s="88" t="s">
        <v>556</v>
      </c>
      <c r="D1507" s="90" t="s">
        <v>17</v>
      </c>
      <c r="E1507" s="90" t="s">
        <v>649</v>
      </c>
      <c r="F1507" s="90" t="s">
        <v>859</v>
      </c>
      <c r="G1507" s="137">
        <v>7</v>
      </c>
      <c r="H1507" s="94">
        <v>630</v>
      </c>
      <c r="I1507" s="91">
        <v>46016</v>
      </c>
      <c r="J1507" s="165">
        <v>0.64861111111111114</v>
      </c>
      <c r="K1507" s="94">
        <v>630</v>
      </c>
      <c r="L1507" s="72" t="str">
        <f t="shared" si="24"/>
        <v>Payé</v>
      </c>
    </row>
    <row r="1508" spans="1:13" ht="15" customHeight="1" x14ac:dyDescent="0.25">
      <c r="A1508" s="90" t="s">
        <v>859</v>
      </c>
      <c r="B1508" s="90">
        <v>4337</v>
      </c>
      <c r="C1508" s="88" t="s">
        <v>1426</v>
      </c>
      <c r="D1508" s="90" t="s">
        <v>17</v>
      </c>
      <c r="E1508" s="90" t="s">
        <v>649</v>
      </c>
      <c r="F1508" s="90" t="s">
        <v>859</v>
      </c>
      <c r="G1508" s="137">
        <v>6</v>
      </c>
      <c r="H1508" s="94">
        <v>540</v>
      </c>
      <c r="I1508" s="91">
        <v>46014</v>
      </c>
      <c r="J1508" s="165">
        <v>0.65486111111111112</v>
      </c>
      <c r="K1508" s="94">
        <v>540</v>
      </c>
      <c r="L1508" s="72" t="str">
        <f t="shared" si="24"/>
        <v>Payé</v>
      </c>
    </row>
    <row r="1509" spans="1:13" ht="15" customHeight="1" x14ac:dyDescent="0.25">
      <c r="A1509" s="90" t="s">
        <v>859</v>
      </c>
      <c r="B1509" s="90">
        <v>4202</v>
      </c>
      <c r="C1509" s="88" t="s">
        <v>609</v>
      </c>
      <c r="D1509" s="90" t="s">
        <v>17</v>
      </c>
      <c r="E1509" s="90" t="s">
        <v>649</v>
      </c>
      <c r="F1509" s="90" t="s">
        <v>859</v>
      </c>
      <c r="G1509" s="137">
        <v>1</v>
      </c>
      <c r="H1509" s="94">
        <v>90</v>
      </c>
      <c r="I1509" s="91">
        <v>46016</v>
      </c>
      <c r="J1509" s="165">
        <v>0.64861111111111114</v>
      </c>
      <c r="K1509" s="94">
        <v>90</v>
      </c>
      <c r="L1509" s="72" t="str">
        <f t="shared" si="24"/>
        <v>Payé</v>
      </c>
    </row>
    <row r="1510" spans="1:13" ht="15" customHeight="1" x14ac:dyDescent="0.25">
      <c r="A1510" s="90" t="s">
        <v>859</v>
      </c>
      <c r="B1510" s="90">
        <v>10369</v>
      </c>
      <c r="C1510" s="88" t="s">
        <v>1427</v>
      </c>
      <c r="D1510" s="90" t="s">
        <v>17</v>
      </c>
      <c r="E1510" s="90" t="s">
        <v>649</v>
      </c>
      <c r="F1510" s="90" t="s">
        <v>859</v>
      </c>
      <c r="G1510" s="137">
        <v>1</v>
      </c>
      <c r="H1510" s="94">
        <v>90</v>
      </c>
      <c r="I1510" s="91">
        <v>46016</v>
      </c>
      <c r="J1510" s="165">
        <v>0.64861111111111114</v>
      </c>
      <c r="K1510" s="94">
        <v>90</v>
      </c>
      <c r="L1510" s="72" t="str">
        <f t="shared" si="24"/>
        <v>Payé</v>
      </c>
    </row>
    <row r="1511" spans="1:13" ht="15" customHeight="1" x14ac:dyDescent="0.25">
      <c r="A1511" s="90" t="s">
        <v>859</v>
      </c>
      <c r="B1511" s="90">
        <v>3257</v>
      </c>
      <c r="C1511" s="88" t="s">
        <v>603</v>
      </c>
      <c r="D1511" s="90" t="s">
        <v>17</v>
      </c>
      <c r="E1511" s="90" t="s">
        <v>649</v>
      </c>
      <c r="F1511" s="90" t="s">
        <v>859</v>
      </c>
      <c r="G1511" s="137">
        <v>4</v>
      </c>
      <c r="H1511" s="94">
        <v>360</v>
      </c>
      <c r="I1511" s="91">
        <v>46016</v>
      </c>
      <c r="J1511" s="165">
        <v>0.64861111111111114</v>
      </c>
      <c r="K1511" s="94">
        <v>360</v>
      </c>
      <c r="L1511" s="72" t="str">
        <f t="shared" si="24"/>
        <v>Payé</v>
      </c>
    </row>
    <row r="1512" spans="1:13" ht="15" customHeight="1" x14ac:dyDescent="0.25">
      <c r="A1512" s="90" t="s">
        <v>859</v>
      </c>
      <c r="B1512" s="90">
        <v>10267</v>
      </c>
      <c r="C1512" s="88" t="s">
        <v>1428</v>
      </c>
      <c r="D1512" s="90" t="s">
        <v>17</v>
      </c>
      <c r="E1512" s="90" t="s">
        <v>649</v>
      </c>
      <c r="F1512" s="90" t="s">
        <v>859</v>
      </c>
      <c r="G1512" s="137">
        <v>3</v>
      </c>
      <c r="H1512" s="94">
        <v>270</v>
      </c>
      <c r="I1512" s="91">
        <v>46016</v>
      </c>
      <c r="J1512" s="165">
        <v>0.64861111111111114</v>
      </c>
      <c r="K1512" s="94">
        <v>270</v>
      </c>
      <c r="L1512" s="72" t="str">
        <f t="shared" si="24"/>
        <v>Payé</v>
      </c>
    </row>
    <row r="1513" spans="1:13" ht="15" customHeight="1" x14ac:dyDescent="0.25">
      <c r="A1513" s="90" t="s">
        <v>859</v>
      </c>
      <c r="B1513" s="90">
        <v>10268</v>
      </c>
      <c r="C1513" s="88" t="s">
        <v>1429</v>
      </c>
      <c r="D1513" s="90" t="s">
        <v>17</v>
      </c>
      <c r="E1513" s="90" t="s">
        <v>649</v>
      </c>
      <c r="F1513" s="90" t="s">
        <v>859</v>
      </c>
      <c r="G1513" s="137">
        <v>2</v>
      </c>
      <c r="H1513" s="94">
        <v>180</v>
      </c>
      <c r="I1513" s="91">
        <v>46014</v>
      </c>
      <c r="J1513" s="165">
        <v>0.65486111111111112</v>
      </c>
      <c r="K1513" s="94">
        <v>180</v>
      </c>
      <c r="L1513" s="72" t="str">
        <f t="shared" si="24"/>
        <v>Payé</v>
      </c>
    </row>
    <row r="1514" spans="1:13" ht="15" customHeight="1" x14ac:dyDescent="0.25">
      <c r="A1514" s="90" t="s">
        <v>859</v>
      </c>
      <c r="B1514" s="90">
        <v>10269</v>
      </c>
      <c r="C1514" s="88" t="s">
        <v>1430</v>
      </c>
      <c r="D1514" s="90" t="s">
        <v>17</v>
      </c>
      <c r="E1514" s="90" t="s">
        <v>649</v>
      </c>
      <c r="F1514" s="90" t="s">
        <v>859</v>
      </c>
      <c r="G1514" s="137">
        <v>5</v>
      </c>
      <c r="H1514" s="94">
        <v>450</v>
      </c>
      <c r="I1514" s="91">
        <v>46016</v>
      </c>
      <c r="J1514" s="165">
        <v>0.64861111111111114</v>
      </c>
      <c r="K1514" s="94">
        <v>450</v>
      </c>
      <c r="L1514" s="72" t="str">
        <f t="shared" si="24"/>
        <v>Payé</v>
      </c>
    </row>
    <row r="1515" spans="1:13" ht="15" customHeight="1" x14ac:dyDescent="0.25">
      <c r="A1515" s="90" t="s">
        <v>859</v>
      </c>
      <c r="B1515" s="90">
        <v>5262</v>
      </c>
      <c r="C1515" s="88" t="s">
        <v>735</v>
      </c>
      <c r="D1515" s="90" t="s">
        <v>17</v>
      </c>
      <c r="E1515" s="90" t="s">
        <v>649</v>
      </c>
      <c r="F1515" s="90" t="s">
        <v>859</v>
      </c>
      <c r="G1515" s="137">
        <v>5</v>
      </c>
      <c r="H1515" s="94">
        <v>450</v>
      </c>
      <c r="I1515" s="91">
        <v>46016</v>
      </c>
      <c r="J1515" s="165">
        <v>0.64861111111111114</v>
      </c>
      <c r="K1515" s="94">
        <v>450</v>
      </c>
      <c r="L1515" s="72" t="str">
        <f t="shared" si="24"/>
        <v>Payé</v>
      </c>
      <c r="M1515" s="155"/>
    </row>
    <row r="1516" spans="1:13" ht="15" customHeight="1" x14ac:dyDescent="0.25">
      <c r="A1516" s="90" t="s">
        <v>859</v>
      </c>
      <c r="B1516" s="90">
        <v>10261</v>
      </c>
      <c r="C1516" s="88" t="s">
        <v>1431</v>
      </c>
      <c r="D1516" s="90" t="s">
        <v>17</v>
      </c>
      <c r="E1516" s="90" t="s">
        <v>649</v>
      </c>
      <c r="F1516" s="90" t="s">
        <v>859</v>
      </c>
      <c r="G1516" s="137">
        <v>5</v>
      </c>
      <c r="H1516" s="94">
        <v>450</v>
      </c>
      <c r="I1516" s="91">
        <v>46016</v>
      </c>
      <c r="J1516" s="165">
        <v>0.64861111111111114</v>
      </c>
      <c r="K1516" s="94">
        <v>450</v>
      </c>
      <c r="L1516" s="72" t="str">
        <f t="shared" si="24"/>
        <v>Payé</v>
      </c>
      <c r="M1516" s="155"/>
    </row>
    <row r="1517" spans="1:13" ht="15" customHeight="1" x14ac:dyDescent="0.25">
      <c r="A1517" s="90" t="s">
        <v>859</v>
      </c>
      <c r="B1517" s="90">
        <v>10240</v>
      </c>
      <c r="C1517" s="88" t="s">
        <v>1409</v>
      </c>
      <c r="D1517" s="90" t="s">
        <v>17</v>
      </c>
      <c r="E1517" s="90" t="s">
        <v>649</v>
      </c>
      <c r="F1517" s="90" t="s">
        <v>859</v>
      </c>
      <c r="G1517" s="137">
        <v>5</v>
      </c>
      <c r="H1517" s="94">
        <v>450</v>
      </c>
      <c r="I1517" s="91">
        <v>46014</v>
      </c>
      <c r="J1517" s="165">
        <v>0.67013888888888884</v>
      </c>
      <c r="K1517" s="94">
        <v>450</v>
      </c>
      <c r="L1517" s="72" t="str">
        <f t="shared" si="24"/>
        <v>Payé</v>
      </c>
    </row>
    <row r="1518" spans="1:13" ht="15" customHeight="1" x14ac:dyDescent="0.25">
      <c r="A1518" s="90" t="s">
        <v>859</v>
      </c>
      <c r="B1518" s="90">
        <v>10111</v>
      </c>
      <c r="C1518" s="88" t="s">
        <v>694</v>
      </c>
      <c r="D1518" s="90" t="s">
        <v>17</v>
      </c>
      <c r="E1518" s="90" t="s">
        <v>649</v>
      </c>
      <c r="F1518" s="90" t="s">
        <v>859</v>
      </c>
      <c r="G1518" s="137">
        <v>5</v>
      </c>
      <c r="H1518" s="94">
        <v>450</v>
      </c>
      <c r="I1518" s="91">
        <v>46015</v>
      </c>
      <c r="J1518" s="165">
        <v>0.45833333333333331</v>
      </c>
      <c r="K1518" s="94">
        <v>450</v>
      </c>
      <c r="L1518" s="72" t="str">
        <f t="shared" si="24"/>
        <v>Payé</v>
      </c>
    </row>
    <row r="1519" spans="1:13" ht="15" customHeight="1" x14ac:dyDescent="0.25">
      <c r="A1519" s="90" t="s">
        <v>859</v>
      </c>
      <c r="B1519" s="90">
        <v>5159</v>
      </c>
      <c r="C1519" s="88" t="s">
        <v>829</v>
      </c>
      <c r="D1519" s="90" t="s">
        <v>17</v>
      </c>
      <c r="E1519" s="90" t="s">
        <v>649</v>
      </c>
      <c r="F1519" s="90" t="s">
        <v>859</v>
      </c>
      <c r="G1519" s="137">
        <v>3</v>
      </c>
      <c r="H1519" s="94">
        <v>270</v>
      </c>
      <c r="I1519" s="91">
        <v>46016</v>
      </c>
      <c r="J1519" s="165">
        <v>0.64861111111111114</v>
      </c>
      <c r="K1519" s="94">
        <v>270</v>
      </c>
      <c r="L1519" s="72" t="str">
        <f t="shared" si="24"/>
        <v>Payé</v>
      </c>
    </row>
    <row r="1520" spans="1:13" ht="15" customHeight="1" x14ac:dyDescent="0.25">
      <c r="A1520" s="90" t="s">
        <v>859</v>
      </c>
      <c r="B1520" s="90">
        <v>10341</v>
      </c>
      <c r="C1520" s="88" t="s">
        <v>1432</v>
      </c>
      <c r="D1520" s="90" t="s">
        <v>17</v>
      </c>
      <c r="E1520" s="90" t="s">
        <v>649</v>
      </c>
      <c r="F1520" s="90" t="s">
        <v>859</v>
      </c>
      <c r="G1520" s="137">
        <v>3</v>
      </c>
      <c r="H1520" s="94">
        <v>270</v>
      </c>
      <c r="I1520" s="91">
        <v>46016</v>
      </c>
      <c r="J1520" s="165">
        <v>0.64861111111111114</v>
      </c>
      <c r="K1520" s="94">
        <v>270</v>
      </c>
      <c r="L1520" s="72" t="str">
        <f t="shared" si="24"/>
        <v>Payé</v>
      </c>
    </row>
    <row r="1521" spans="1:12" ht="15" customHeight="1" x14ac:dyDescent="0.25">
      <c r="A1521" s="90" t="s">
        <v>859</v>
      </c>
      <c r="B1521" s="90">
        <v>10342</v>
      </c>
      <c r="C1521" s="88" t="s">
        <v>1433</v>
      </c>
      <c r="D1521" s="90" t="s">
        <v>17</v>
      </c>
      <c r="E1521" s="90" t="s">
        <v>649</v>
      </c>
      <c r="F1521" s="90" t="s">
        <v>859</v>
      </c>
      <c r="G1521" s="137">
        <v>2</v>
      </c>
      <c r="H1521" s="94">
        <v>180</v>
      </c>
      <c r="I1521" s="91">
        <v>46016</v>
      </c>
      <c r="J1521" s="165">
        <v>0.64861111111111114</v>
      </c>
      <c r="K1521" s="94">
        <v>180</v>
      </c>
      <c r="L1521" s="72" t="str">
        <f t="shared" si="24"/>
        <v>Payé</v>
      </c>
    </row>
    <row r="1522" spans="1:12" ht="15" customHeight="1" x14ac:dyDescent="0.25">
      <c r="A1522" s="90" t="s">
        <v>859</v>
      </c>
      <c r="B1522" s="90">
        <v>10203</v>
      </c>
      <c r="C1522" s="88" t="s">
        <v>778</v>
      </c>
      <c r="D1522" s="90" t="s">
        <v>17</v>
      </c>
      <c r="E1522" s="90" t="s">
        <v>649</v>
      </c>
      <c r="F1522" s="90" t="s">
        <v>859</v>
      </c>
      <c r="G1522" s="137">
        <v>2</v>
      </c>
      <c r="H1522" s="94">
        <v>180</v>
      </c>
      <c r="I1522" s="91">
        <v>46016</v>
      </c>
      <c r="J1522" s="165">
        <v>0.64861111111111114</v>
      </c>
      <c r="K1522" s="94">
        <v>180</v>
      </c>
      <c r="L1522" s="72" t="str">
        <f t="shared" si="24"/>
        <v>Payé</v>
      </c>
    </row>
    <row r="1523" spans="1:12" ht="15" customHeight="1" x14ac:dyDescent="0.25">
      <c r="A1523" s="91" t="s">
        <v>850</v>
      </c>
      <c r="B1523" s="90">
        <v>231</v>
      </c>
      <c r="C1523" s="88" t="s">
        <v>628</v>
      </c>
      <c r="D1523" s="90" t="s">
        <v>17</v>
      </c>
      <c r="E1523" s="90" t="s">
        <v>628</v>
      </c>
      <c r="F1523" s="91" t="s">
        <v>850</v>
      </c>
      <c r="G1523" s="95">
        <v>2</v>
      </c>
      <c r="H1523" s="94">
        <v>182</v>
      </c>
      <c r="I1523" s="91">
        <v>45881</v>
      </c>
      <c r="J1523" s="165">
        <v>0.67847222222222225</v>
      </c>
      <c r="K1523" s="94">
        <v>182</v>
      </c>
      <c r="L1523" s="72" t="str">
        <f t="shared" si="24"/>
        <v>Payé</v>
      </c>
    </row>
    <row r="1524" spans="1:12" ht="15" customHeight="1" x14ac:dyDescent="0.25">
      <c r="A1524" s="91" t="s">
        <v>850</v>
      </c>
      <c r="B1524" s="90">
        <v>234</v>
      </c>
      <c r="C1524" s="88" t="s">
        <v>650</v>
      </c>
      <c r="D1524" s="90" t="s">
        <v>17</v>
      </c>
      <c r="E1524" s="90" t="s">
        <v>628</v>
      </c>
      <c r="F1524" s="91" t="s">
        <v>850</v>
      </c>
      <c r="G1524" s="95">
        <v>6</v>
      </c>
      <c r="H1524" s="94">
        <v>546</v>
      </c>
      <c r="I1524" s="91">
        <v>45881</v>
      </c>
      <c r="J1524" s="165">
        <v>0.67847222222222225</v>
      </c>
      <c r="K1524" s="94">
        <v>546</v>
      </c>
      <c r="L1524" s="72" t="str">
        <f t="shared" si="24"/>
        <v>Payé</v>
      </c>
    </row>
    <row r="1525" spans="1:12" ht="15" customHeight="1" x14ac:dyDescent="0.25">
      <c r="A1525" s="91" t="s">
        <v>850</v>
      </c>
      <c r="B1525" s="90">
        <v>242</v>
      </c>
      <c r="C1525" s="88" t="s">
        <v>651</v>
      </c>
      <c r="D1525" s="90" t="s">
        <v>17</v>
      </c>
      <c r="E1525" s="90" t="s">
        <v>628</v>
      </c>
      <c r="F1525" s="91" t="s">
        <v>850</v>
      </c>
      <c r="G1525" s="95">
        <v>6</v>
      </c>
      <c r="H1525" s="94">
        <v>546</v>
      </c>
      <c r="I1525" s="91">
        <v>45881</v>
      </c>
      <c r="J1525" s="165">
        <v>0.67847222222222225</v>
      </c>
      <c r="K1525" s="94">
        <v>546</v>
      </c>
      <c r="L1525" s="72" t="str">
        <f t="shared" si="24"/>
        <v>Payé</v>
      </c>
    </row>
    <row r="1526" spans="1:12" ht="15" customHeight="1" x14ac:dyDescent="0.25">
      <c r="A1526" s="91" t="s">
        <v>850</v>
      </c>
      <c r="B1526" s="90">
        <v>291</v>
      </c>
      <c r="C1526" s="88" t="s">
        <v>652</v>
      </c>
      <c r="D1526" s="90" t="s">
        <v>17</v>
      </c>
      <c r="E1526" s="90" t="s">
        <v>628</v>
      </c>
      <c r="F1526" s="91" t="s">
        <v>850</v>
      </c>
      <c r="G1526" s="95">
        <v>2</v>
      </c>
      <c r="H1526" s="94">
        <v>182</v>
      </c>
      <c r="I1526" s="91">
        <v>45881</v>
      </c>
      <c r="J1526" s="165">
        <v>0.67847222222222225</v>
      </c>
      <c r="K1526" s="94">
        <v>182</v>
      </c>
      <c r="L1526" s="72" t="str">
        <f t="shared" si="24"/>
        <v>Payé</v>
      </c>
    </row>
    <row r="1527" spans="1:12" ht="15" customHeight="1" x14ac:dyDescent="0.25">
      <c r="A1527" s="91" t="s">
        <v>850</v>
      </c>
      <c r="B1527" s="90">
        <v>372</v>
      </c>
      <c r="C1527" s="88" t="s">
        <v>714</v>
      </c>
      <c r="D1527" s="90" t="s">
        <v>17</v>
      </c>
      <c r="E1527" s="90" t="s">
        <v>628</v>
      </c>
      <c r="F1527" s="91" t="s">
        <v>850</v>
      </c>
      <c r="G1527" s="95">
        <v>5</v>
      </c>
      <c r="H1527" s="94">
        <v>455</v>
      </c>
      <c r="I1527" s="91">
        <v>45881</v>
      </c>
      <c r="J1527" s="165">
        <v>0.67847222222222225</v>
      </c>
      <c r="K1527" s="94">
        <v>455</v>
      </c>
      <c r="L1527" s="72" t="str">
        <f t="shared" si="24"/>
        <v>Payé</v>
      </c>
    </row>
    <row r="1528" spans="1:12" ht="15" customHeight="1" x14ac:dyDescent="0.25">
      <c r="A1528" s="91" t="s">
        <v>850</v>
      </c>
      <c r="B1528" s="90">
        <v>2193</v>
      </c>
      <c r="C1528" s="88" t="s">
        <v>653</v>
      </c>
      <c r="D1528" s="90" t="s">
        <v>17</v>
      </c>
      <c r="E1528" s="90" t="s">
        <v>628</v>
      </c>
      <c r="F1528" s="91" t="s">
        <v>850</v>
      </c>
      <c r="G1528" s="95">
        <v>5</v>
      </c>
      <c r="H1528" s="94">
        <v>434</v>
      </c>
      <c r="I1528" s="91">
        <v>45881</v>
      </c>
      <c r="J1528" s="165">
        <v>0.67847222222222225</v>
      </c>
      <c r="K1528" s="94">
        <v>434</v>
      </c>
      <c r="L1528" s="72" t="str">
        <f t="shared" si="24"/>
        <v>Payé</v>
      </c>
    </row>
    <row r="1529" spans="1:12" ht="15" customHeight="1" x14ac:dyDescent="0.25">
      <c r="A1529" s="91" t="s">
        <v>850</v>
      </c>
      <c r="B1529" s="90">
        <v>2195</v>
      </c>
      <c r="C1529" s="88" t="s">
        <v>654</v>
      </c>
      <c r="D1529" s="90" t="s">
        <v>17</v>
      </c>
      <c r="E1529" s="90" t="s">
        <v>628</v>
      </c>
      <c r="F1529" s="91" t="s">
        <v>850</v>
      </c>
      <c r="G1529" s="95">
        <v>2</v>
      </c>
      <c r="H1529" s="94">
        <v>173</v>
      </c>
      <c r="I1529" s="91">
        <v>45881</v>
      </c>
      <c r="J1529" s="165">
        <v>0.67847222222222225</v>
      </c>
      <c r="K1529" s="94">
        <v>173</v>
      </c>
      <c r="L1529" s="72" t="str">
        <f t="shared" si="24"/>
        <v>Payé</v>
      </c>
    </row>
    <row r="1530" spans="1:12" ht="15" customHeight="1" x14ac:dyDescent="0.25">
      <c r="A1530" s="91" t="s">
        <v>850</v>
      </c>
      <c r="B1530" s="90">
        <v>2198</v>
      </c>
      <c r="C1530" s="88" t="s">
        <v>655</v>
      </c>
      <c r="D1530" s="90" t="s">
        <v>17</v>
      </c>
      <c r="E1530" s="90" t="s">
        <v>628</v>
      </c>
      <c r="F1530" s="91" t="s">
        <v>850</v>
      </c>
      <c r="G1530" s="95">
        <v>1</v>
      </c>
      <c r="H1530" s="94">
        <v>87</v>
      </c>
      <c r="I1530" s="91">
        <v>45881</v>
      </c>
      <c r="J1530" s="165">
        <v>0.67847222222222225</v>
      </c>
      <c r="K1530" s="94">
        <v>87</v>
      </c>
      <c r="L1530" s="72" t="str">
        <f t="shared" si="24"/>
        <v>Payé</v>
      </c>
    </row>
    <row r="1531" spans="1:12" ht="15" customHeight="1" x14ac:dyDescent="0.25">
      <c r="A1531" s="91" t="s">
        <v>850</v>
      </c>
      <c r="B1531" s="90">
        <v>2209</v>
      </c>
      <c r="C1531" s="88" t="s">
        <v>760</v>
      </c>
      <c r="D1531" s="90" t="s">
        <v>17</v>
      </c>
      <c r="E1531" s="90" t="s">
        <v>628</v>
      </c>
      <c r="F1531" s="91" t="s">
        <v>850</v>
      </c>
      <c r="G1531" s="95">
        <v>2</v>
      </c>
      <c r="H1531" s="94">
        <v>173</v>
      </c>
      <c r="I1531" s="91">
        <v>45881</v>
      </c>
      <c r="J1531" s="165">
        <v>0.67847222222222225</v>
      </c>
      <c r="K1531" s="94">
        <v>173</v>
      </c>
      <c r="L1531" s="72" t="str">
        <f t="shared" si="24"/>
        <v>Payé</v>
      </c>
    </row>
    <row r="1532" spans="1:12" ht="15" customHeight="1" x14ac:dyDescent="0.25">
      <c r="A1532" s="91" t="s">
        <v>850</v>
      </c>
      <c r="B1532" s="90">
        <v>2296</v>
      </c>
      <c r="C1532" s="88" t="s">
        <v>716</v>
      </c>
      <c r="D1532" s="90" t="s">
        <v>17</v>
      </c>
      <c r="E1532" s="90" t="s">
        <v>628</v>
      </c>
      <c r="F1532" s="91" t="s">
        <v>850</v>
      </c>
      <c r="G1532" s="95">
        <v>6</v>
      </c>
      <c r="H1532" s="94">
        <v>520</v>
      </c>
      <c r="I1532" s="91">
        <v>45881</v>
      </c>
      <c r="J1532" s="165">
        <v>0.67847222222222225</v>
      </c>
      <c r="K1532" s="94">
        <v>520</v>
      </c>
      <c r="L1532" s="72" t="str">
        <f t="shared" si="24"/>
        <v>Payé</v>
      </c>
    </row>
    <row r="1533" spans="1:12" ht="15" customHeight="1" x14ac:dyDescent="0.25">
      <c r="A1533" s="91" t="s">
        <v>850</v>
      </c>
      <c r="B1533" s="90">
        <v>2776</v>
      </c>
      <c r="C1533" s="88" t="s">
        <v>656</v>
      </c>
      <c r="D1533" s="90" t="s">
        <v>17</v>
      </c>
      <c r="E1533" s="90" t="s">
        <v>628</v>
      </c>
      <c r="F1533" s="91" t="s">
        <v>850</v>
      </c>
      <c r="G1533" s="95">
        <v>6</v>
      </c>
      <c r="H1533" s="94">
        <v>520</v>
      </c>
      <c r="I1533" s="91">
        <v>45881</v>
      </c>
      <c r="J1533" s="165">
        <v>0.67847222222222225</v>
      </c>
      <c r="K1533" s="94">
        <v>520</v>
      </c>
      <c r="L1533" s="72" t="str">
        <f t="shared" si="24"/>
        <v>Payé</v>
      </c>
    </row>
    <row r="1534" spans="1:12" ht="15" customHeight="1" x14ac:dyDescent="0.25">
      <c r="A1534" s="91" t="s">
        <v>850</v>
      </c>
      <c r="B1534" s="90">
        <v>3590</v>
      </c>
      <c r="C1534" s="88" t="s">
        <v>425</v>
      </c>
      <c r="D1534" s="90" t="s">
        <v>17</v>
      </c>
      <c r="E1534" s="90" t="s">
        <v>628</v>
      </c>
      <c r="F1534" s="91" t="s">
        <v>850</v>
      </c>
      <c r="G1534" s="95">
        <v>3</v>
      </c>
      <c r="H1534" s="94">
        <v>260</v>
      </c>
      <c r="I1534" s="91">
        <v>45881</v>
      </c>
      <c r="J1534" s="165">
        <v>0.67847222222222225</v>
      </c>
      <c r="K1534" s="94">
        <v>260</v>
      </c>
      <c r="L1534" s="72" t="str">
        <f t="shared" si="24"/>
        <v>Payé</v>
      </c>
    </row>
    <row r="1535" spans="1:12" ht="15" customHeight="1" x14ac:dyDescent="0.25">
      <c r="A1535" s="91" t="s">
        <v>850</v>
      </c>
      <c r="B1535" s="90">
        <v>4061</v>
      </c>
      <c r="C1535" s="88" t="s">
        <v>619</v>
      </c>
      <c r="D1535" s="90" t="s">
        <v>17</v>
      </c>
      <c r="E1535" s="90" t="s">
        <v>628</v>
      </c>
      <c r="F1535" s="91" t="s">
        <v>850</v>
      </c>
      <c r="G1535" s="95">
        <v>4</v>
      </c>
      <c r="H1535" s="94">
        <v>347</v>
      </c>
      <c r="I1535" s="91">
        <v>45881</v>
      </c>
      <c r="J1535" s="165">
        <v>0.67847222222222225</v>
      </c>
      <c r="K1535" s="94">
        <v>347</v>
      </c>
      <c r="L1535" s="72" t="str">
        <f t="shared" si="24"/>
        <v>Payé</v>
      </c>
    </row>
    <row r="1536" spans="1:12" ht="15" customHeight="1" x14ac:dyDescent="0.25">
      <c r="A1536" s="91" t="s">
        <v>850</v>
      </c>
      <c r="B1536" s="90">
        <v>4310</v>
      </c>
      <c r="C1536" s="88" t="s">
        <v>624</v>
      </c>
      <c r="D1536" s="90" t="s">
        <v>17</v>
      </c>
      <c r="E1536" s="90" t="s">
        <v>628</v>
      </c>
      <c r="F1536" s="91" t="s">
        <v>850</v>
      </c>
      <c r="G1536" s="95">
        <v>6</v>
      </c>
      <c r="H1536" s="94">
        <v>520</v>
      </c>
      <c r="I1536" s="91">
        <v>45881</v>
      </c>
      <c r="J1536" s="165">
        <v>0.67847222222222225</v>
      </c>
      <c r="K1536" s="94">
        <v>520</v>
      </c>
      <c r="L1536" s="72" t="str">
        <f t="shared" si="24"/>
        <v>Payé</v>
      </c>
    </row>
    <row r="1537" spans="1:13" ht="15" customHeight="1" x14ac:dyDescent="0.25">
      <c r="A1537" s="91" t="s">
        <v>850</v>
      </c>
      <c r="B1537" s="90">
        <v>4334</v>
      </c>
      <c r="C1537" s="88" t="s">
        <v>622</v>
      </c>
      <c r="D1537" s="90" t="s">
        <v>17</v>
      </c>
      <c r="E1537" s="90" t="s">
        <v>628</v>
      </c>
      <c r="F1537" s="91" t="s">
        <v>850</v>
      </c>
      <c r="G1537" s="95">
        <v>5</v>
      </c>
      <c r="H1537" s="94">
        <v>434</v>
      </c>
      <c r="I1537" s="91">
        <v>45881</v>
      </c>
      <c r="J1537" s="165">
        <v>0.67847222222222225</v>
      </c>
      <c r="K1537" s="94">
        <v>434</v>
      </c>
      <c r="L1537" s="72" t="str">
        <f t="shared" si="24"/>
        <v>Payé</v>
      </c>
    </row>
    <row r="1538" spans="1:13" ht="15" customHeight="1" x14ac:dyDescent="0.25">
      <c r="A1538" s="91" t="s">
        <v>850</v>
      </c>
      <c r="B1538" s="90">
        <v>4509</v>
      </c>
      <c r="C1538" s="88" t="s">
        <v>623</v>
      </c>
      <c r="D1538" s="90" t="s">
        <v>17</v>
      </c>
      <c r="E1538" s="90" t="s">
        <v>628</v>
      </c>
      <c r="F1538" s="91" t="s">
        <v>850</v>
      </c>
      <c r="G1538" s="95">
        <v>6</v>
      </c>
      <c r="H1538" s="94">
        <v>520</v>
      </c>
      <c r="I1538" s="91">
        <v>45881</v>
      </c>
      <c r="J1538" s="165">
        <v>0.67847222222222225</v>
      </c>
      <c r="K1538" s="94">
        <v>520</v>
      </c>
      <c r="L1538" s="72" t="str">
        <f t="shared" si="24"/>
        <v>Payé</v>
      </c>
    </row>
    <row r="1539" spans="1:13" ht="15" customHeight="1" x14ac:dyDescent="0.25">
      <c r="A1539" s="91" t="s">
        <v>850</v>
      </c>
      <c r="B1539" s="90">
        <v>4801</v>
      </c>
      <c r="C1539" s="88" t="s">
        <v>706</v>
      </c>
      <c r="D1539" s="90" t="s">
        <v>17</v>
      </c>
      <c r="E1539" s="90" t="s">
        <v>628</v>
      </c>
      <c r="F1539" s="91" t="s">
        <v>850</v>
      </c>
      <c r="G1539" s="95">
        <v>6</v>
      </c>
      <c r="H1539" s="94">
        <v>520</v>
      </c>
      <c r="I1539" s="91">
        <v>45881</v>
      </c>
      <c r="J1539" s="165">
        <v>0.67847222222222225</v>
      </c>
      <c r="K1539" s="94">
        <v>520</v>
      </c>
      <c r="L1539" s="72" t="str">
        <f t="shared" si="24"/>
        <v>Payé</v>
      </c>
    </row>
    <row r="1540" spans="1:13" ht="15" customHeight="1" x14ac:dyDescent="0.25">
      <c r="A1540" s="91" t="s">
        <v>850</v>
      </c>
      <c r="B1540" s="90">
        <v>5121</v>
      </c>
      <c r="C1540" s="88" t="s">
        <v>826</v>
      </c>
      <c r="D1540" s="90" t="s">
        <v>17</v>
      </c>
      <c r="E1540" s="90" t="s">
        <v>628</v>
      </c>
      <c r="F1540" s="91" t="s">
        <v>850</v>
      </c>
      <c r="G1540" s="95">
        <v>6</v>
      </c>
      <c r="H1540" s="94">
        <v>520</v>
      </c>
      <c r="I1540" s="91">
        <v>45881</v>
      </c>
      <c r="J1540" s="165">
        <v>0.67847222222222225</v>
      </c>
      <c r="K1540" s="94">
        <v>520</v>
      </c>
      <c r="L1540" s="72" t="str">
        <f t="shared" si="24"/>
        <v>Payé</v>
      </c>
    </row>
    <row r="1541" spans="1:13" ht="15" customHeight="1" x14ac:dyDescent="0.25">
      <c r="A1541" s="91" t="s">
        <v>850</v>
      </c>
      <c r="B1541" s="90">
        <v>5123</v>
      </c>
      <c r="C1541" s="88" t="s">
        <v>827</v>
      </c>
      <c r="D1541" s="90" t="s">
        <v>17</v>
      </c>
      <c r="E1541" s="90" t="s">
        <v>628</v>
      </c>
      <c r="F1541" s="91" t="s">
        <v>850</v>
      </c>
      <c r="G1541" s="95">
        <v>5</v>
      </c>
      <c r="H1541" s="94">
        <v>434</v>
      </c>
      <c r="I1541" s="91">
        <v>45881</v>
      </c>
      <c r="J1541" s="165">
        <v>0.67847222222222225</v>
      </c>
      <c r="K1541" s="94">
        <v>434</v>
      </c>
      <c r="L1541" s="72" t="str">
        <f t="shared" si="24"/>
        <v>Payé</v>
      </c>
    </row>
    <row r="1542" spans="1:13" ht="15" customHeight="1" x14ac:dyDescent="0.25">
      <c r="A1542" s="91" t="s">
        <v>850</v>
      </c>
      <c r="B1542" s="90">
        <v>5272</v>
      </c>
      <c r="C1542" s="88" t="s">
        <v>639</v>
      </c>
      <c r="D1542" s="90" t="s">
        <v>17</v>
      </c>
      <c r="E1542" s="90" t="s">
        <v>628</v>
      </c>
      <c r="F1542" s="91" t="s">
        <v>850</v>
      </c>
      <c r="G1542" s="95">
        <v>1</v>
      </c>
      <c r="H1542" s="94">
        <v>87</v>
      </c>
      <c r="I1542" s="91">
        <v>45881</v>
      </c>
      <c r="J1542" s="165">
        <v>0.67847222222222225</v>
      </c>
      <c r="K1542" s="94">
        <v>87</v>
      </c>
      <c r="L1542" s="72" t="str">
        <f t="shared" si="24"/>
        <v>Payé</v>
      </c>
    </row>
    <row r="1543" spans="1:13" ht="15" customHeight="1" x14ac:dyDescent="0.25">
      <c r="A1543" s="91" t="s">
        <v>850</v>
      </c>
      <c r="B1543" s="90">
        <v>8022</v>
      </c>
      <c r="C1543" s="88" t="s">
        <v>707</v>
      </c>
      <c r="D1543" s="90" t="s">
        <v>17</v>
      </c>
      <c r="E1543" s="90" t="s">
        <v>628</v>
      </c>
      <c r="F1543" s="91" t="s">
        <v>850</v>
      </c>
      <c r="G1543" s="95">
        <v>5</v>
      </c>
      <c r="H1543" s="94">
        <v>434</v>
      </c>
      <c r="I1543" s="91">
        <v>45881</v>
      </c>
      <c r="J1543" s="165">
        <v>0.67847222222222225</v>
      </c>
      <c r="K1543" s="94">
        <v>434</v>
      </c>
      <c r="L1543" s="72" t="str">
        <f t="shared" si="24"/>
        <v>Payé</v>
      </c>
    </row>
    <row r="1544" spans="1:13" ht="15" customHeight="1" x14ac:dyDescent="0.25">
      <c r="A1544" s="91" t="s">
        <v>850</v>
      </c>
      <c r="B1544" s="90"/>
      <c r="C1544" s="88" t="s">
        <v>934</v>
      </c>
      <c r="D1544" s="90" t="s">
        <v>17</v>
      </c>
      <c r="E1544" s="90" t="s">
        <v>628</v>
      </c>
      <c r="F1544" s="91" t="s">
        <v>850</v>
      </c>
      <c r="G1544" s="95">
        <v>1</v>
      </c>
      <c r="H1544" s="94">
        <v>87</v>
      </c>
      <c r="I1544" s="91">
        <v>45881</v>
      </c>
      <c r="J1544" s="165">
        <v>0.67847222222222225</v>
      </c>
      <c r="K1544" s="94">
        <v>87</v>
      </c>
      <c r="L1544" s="72" t="str">
        <f t="shared" si="24"/>
        <v>Payé</v>
      </c>
    </row>
    <row r="1545" spans="1:13" ht="15" customHeight="1" x14ac:dyDescent="0.25">
      <c r="A1545" s="91" t="s">
        <v>850</v>
      </c>
      <c r="B1545" s="90"/>
      <c r="C1545" s="88" t="s">
        <v>620</v>
      </c>
      <c r="D1545" s="90" t="s">
        <v>17</v>
      </c>
      <c r="E1545" s="90" t="s">
        <v>628</v>
      </c>
      <c r="F1545" s="91" t="s">
        <v>850</v>
      </c>
      <c r="G1545" s="95">
        <v>4</v>
      </c>
      <c r="H1545" s="94">
        <v>347</v>
      </c>
      <c r="I1545" s="91">
        <v>45881</v>
      </c>
      <c r="J1545" s="165">
        <v>0.67847222222222225</v>
      </c>
      <c r="K1545" s="94">
        <v>347</v>
      </c>
      <c r="L1545" s="72" t="str">
        <f t="shared" si="24"/>
        <v>Payé</v>
      </c>
    </row>
    <row r="1546" spans="1:13" ht="15" customHeight="1" x14ac:dyDescent="0.25">
      <c r="A1546" s="91" t="s">
        <v>850</v>
      </c>
      <c r="B1546" s="90">
        <v>2943</v>
      </c>
      <c r="C1546" s="88" t="s">
        <v>301</v>
      </c>
      <c r="D1546" s="90" t="s">
        <v>17</v>
      </c>
      <c r="E1546" s="90" t="s">
        <v>753</v>
      </c>
      <c r="F1546" s="91" t="s">
        <v>850</v>
      </c>
      <c r="G1546" s="95">
        <v>1</v>
      </c>
      <c r="H1546" s="94">
        <v>87</v>
      </c>
      <c r="I1546" s="91">
        <v>45888</v>
      </c>
      <c r="J1546" s="165">
        <v>0.51874999999999993</v>
      </c>
      <c r="K1546" s="94">
        <v>87</v>
      </c>
      <c r="L1546" s="72" t="str">
        <f t="shared" si="24"/>
        <v>Payé</v>
      </c>
    </row>
    <row r="1547" spans="1:13" ht="15" customHeight="1" x14ac:dyDescent="0.25">
      <c r="A1547" s="91" t="s">
        <v>850</v>
      </c>
      <c r="B1547" s="90">
        <v>2965</v>
      </c>
      <c r="C1547" s="88" t="s">
        <v>813</v>
      </c>
      <c r="D1547" s="90" t="s">
        <v>17</v>
      </c>
      <c r="E1547" s="90" t="s">
        <v>753</v>
      </c>
      <c r="F1547" s="91" t="s">
        <v>850</v>
      </c>
      <c r="G1547" s="95">
        <v>2</v>
      </c>
      <c r="H1547" s="94">
        <v>173</v>
      </c>
      <c r="I1547" s="91">
        <v>45881</v>
      </c>
      <c r="J1547" s="165">
        <v>0.66597222222222219</v>
      </c>
      <c r="K1547" s="94">
        <v>173</v>
      </c>
      <c r="L1547" s="72" t="str">
        <f t="shared" si="24"/>
        <v>Payé</v>
      </c>
    </row>
    <row r="1548" spans="1:13" ht="15" customHeight="1" x14ac:dyDescent="0.25">
      <c r="A1548" s="91" t="s">
        <v>850</v>
      </c>
      <c r="B1548" s="90">
        <v>2997</v>
      </c>
      <c r="C1548" s="88" t="s">
        <v>719</v>
      </c>
      <c r="D1548" s="90" t="s">
        <v>17</v>
      </c>
      <c r="E1548" s="90" t="s">
        <v>753</v>
      </c>
      <c r="F1548" s="91" t="s">
        <v>850</v>
      </c>
      <c r="G1548" s="95">
        <v>4</v>
      </c>
      <c r="H1548" s="94">
        <v>387</v>
      </c>
      <c r="I1548" s="91">
        <v>45888</v>
      </c>
      <c r="J1548" s="165">
        <v>0.51874999999999993</v>
      </c>
      <c r="K1548" s="94">
        <v>387</v>
      </c>
      <c r="L1548" s="72" t="str">
        <f t="shared" si="24"/>
        <v>Payé</v>
      </c>
    </row>
    <row r="1549" spans="1:13" ht="15" customHeight="1" x14ac:dyDescent="0.25">
      <c r="A1549" s="91" t="s">
        <v>850</v>
      </c>
      <c r="B1549" s="90">
        <v>3001</v>
      </c>
      <c r="C1549" s="88" t="s">
        <v>799</v>
      </c>
      <c r="D1549" s="90" t="s">
        <v>17</v>
      </c>
      <c r="E1549" s="90" t="s">
        <v>753</v>
      </c>
      <c r="F1549" s="91" t="s">
        <v>850</v>
      </c>
      <c r="G1549" s="95">
        <v>4</v>
      </c>
      <c r="H1549" s="94">
        <v>347</v>
      </c>
      <c r="I1549" s="91">
        <v>45881</v>
      </c>
      <c r="J1549" s="165">
        <v>0.66597222222222219</v>
      </c>
      <c r="K1549" s="94">
        <v>347</v>
      </c>
      <c r="L1549" s="72" t="str">
        <f t="shared" si="24"/>
        <v>Payé</v>
      </c>
    </row>
    <row r="1550" spans="1:13" ht="15" customHeight="1" x14ac:dyDescent="0.25">
      <c r="A1550" s="91" t="s">
        <v>850</v>
      </c>
      <c r="B1550" s="90">
        <v>3837</v>
      </c>
      <c r="C1550" s="88" t="s">
        <v>763</v>
      </c>
      <c r="D1550" s="90" t="s">
        <v>17</v>
      </c>
      <c r="E1550" s="90" t="s">
        <v>753</v>
      </c>
      <c r="F1550" s="91" t="s">
        <v>850</v>
      </c>
      <c r="G1550" s="95">
        <v>1</v>
      </c>
      <c r="H1550" s="94">
        <v>87</v>
      </c>
      <c r="I1550" s="91">
        <v>45881</v>
      </c>
      <c r="J1550" s="165">
        <v>0.65486111111111112</v>
      </c>
      <c r="K1550" s="94">
        <v>87</v>
      </c>
      <c r="L1550" s="72" t="str">
        <f t="shared" si="24"/>
        <v>Payé</v>
      </c>
    </row>
    <row r="1551" spans="1:13" ht="15" customHeight="1" x14ac:dyDescent="0.25">
      <c r="A1551" s="91" t="s">
        <v>850</v>
      </c>
      <c r="B1551" s="90">
        <v>4046</v>
      </c>
      <c r="C1551" s="88" t="s">
        <v>722</v>
      </c>
      <c r="D1551" s="90" t="s">
        <v>17</v>
      </c>
      <c r="E1551" s="90" t="s">
        <v>753</v>
      </c>
      <c r="F1551" s="91" t="s">
        <v>850</v>
      </c>
      <c r="G1551" s="95">
        <v>2</v>
      </c>
      <c r="H1551" s="94">
        <v>173</v>
      </c>
      <c r="I1551" s="91">
        <v>45884</v>
      </c>
      <c r="J1551" s="165">
        <v>0.66875000000000007</v>
      </c>
      <c r="K1551" s="94">
        <v>173</v>
      </c>
      <c r="L1551" s="72" t="str">
        <f t="shared" si="24"/>
        <v>Payé</v>
      </c>
    </row>
    <row r="1552" spans="1:13" ht="15" customHeight="1" x14ac:dyDescent="0.25">
      <c r="A1552" s="91" t="s">
        <v>850</v>
      </c>
      <c r="B1552" s="90">
        <v>4887</v>
      </c>
      <c r="C1552" s="88" t="s">
        <v>768</v>
      </c>
      <c r="D1552" s="90" t="s">
        <v>17</v>
      </c>
      <c r="E1552" s="90" t="s">
        <v>753</v>
      </c>
      <c r="F1552" s="91" t="s">
        <v>850</v>
      </c>
      <c r="G1552" s="95">
        <v>3</v>
      </c>
      <c r="H1552" s="94">
        <v>260</v>
      </c>
      <c r="I1552" s="91">
        <v>45881</v>
      </c>
      <c r="J1552" s="165" t="s">
        <v>947</v>
      </c>
      <c r="K1552" s="94">
        <v>260</v>
      </c>
      <c r="L1552" s="72" t="str">
        <f t="shared" si="24"/>
        <v>Payé</v>
      </c>
      <c r="M1552" s="157"/>
    </row>
    <row r="1553" spans="1:14" ht="15" customHeight="1" x14ac:dyDescent="0.25">
      <c r="A1553" s="91" t="s">
        <v>850</v>
      </c>
      <c r="B1553" s="90">
        <v>4922</v>
      </c>
      <c r="C1553" s="88" t="s">
        <v>751</v>
      </c>
      <c r="D1553" s="90" t="s">
        <v>17</v>
      </c>
      <c r="E1553" s="90" t="s">
        <v>753</v>
      </c>
      <c r="F1553" s="91" t="s">
        <v>850</v>
      </c>
      <c r="G1553" s="95">
        <v>3</v>
      </c>
      <c r="H1553" s="94">
        <v>260</v>
      </c>
      <c r="I1553" s="91">
        <v>45884</v>
      </c>
      <c r="J1553" s="165">
        <v>0.66875000000000007</v>
      </c>
      <c r="K1553" s="94">
        <v>260</v>
      </c>
      <c r="L1553" s="72" t="str">
        <f t="shared" si="24"/>
        <v>Payé</v>
      </c>
    </row>
    <row r="1554" spans="1:14" ht="15" customHeight="1" x14ac:dyDescent="0.25">
      <c r="A1554" s="91" t="s">
        <v>850</v>
      </c>
      <c r="B1554" s="90">
        <v>5194</v>
      </c>
      <c r="C1554" s="88" t="s">
        <v>830</v>
      </c>
      <c r="D1554" s="90" t="s">
        <v>17</v>
      </c>
      <c r="E1554" s="90" t="s">
        <v>753</v>
      </c>
      <c r="F1554" s="91" t="s">
        <v>850</v>
      </c>
      <c r="G1554" s="95">
        <v>4</v>
      </c>
      <c r="H1554" s="94">
        <v>347</v>
      </c>
      <c r="I1554" s="91">
        <v>45881</v>
      </c>
      <c r="J1554" s="165">
        <v>0.45416666666666666</v>
      </c>
      <c r="K1554" s="94">
        <v>347</v>
      </c>
      <c r="L1554" s="72" t="str">
        <f t="shared" si="24"/>
        <v>Payé</v>
      </c>
    </row>
    <row r="1555" spans="1:14" ht="15" customHeight="1" x14ac:dyDescent="0.25">
      <c r="A1555" s="91" t="s">
        <v>850</v>
      </c>
      <c r="B1555" s="90">
        <v>5203</v>
      </c>
      <c r="C1555" s="88" t="s">
        <v>834</v>
      </c>
      <c r="D1555" s="90" t="s">
        <v>17</v>
      </c>
      <c r="E1555" s="90" t="s">
        <v>753</v>
      </c>
      <c r="F1555" s="91" t="s">
        <v>850</v>
      </c>
      <c r="G1555" s="95">
        <v>4</v>
      </c>
      <c r="H1555" s="94">
        <v>347</v>
      </c>
      <c r="I1555" s="91">
        <v>45881</v>
      </c>
      <c r="J1555" s="165">
        <v>0.66597222222222219</v>
      </c>
      <c r="K1555" s="94">
        <v>347</v>
      </c>
      <c r="L1555" s="72" t="str">
        <f t="shared" si="24"/>
        <v>Payé</v>
      </c>
    </row>
    <row r="1556" spans="1:14" ht="15" customHeight="1" x14ac:dyDescent="0.25">
      <c r="A1556" s="91" t="s">
        <v>850</v>
      </c>
      <c r="B1556" s="90">
        <v>5209</v>
      </c>
      <c r="C1556" s="88" t="s">
        <v>835</v>
      </c>
      <c r="D1556" s="90" t="s">
        <v>17</v>
      </c>
      <c r="E1556" s="90" t="s">
        <v>753</v>
      </c>
      <c r="F1556" s="91" t="s">
        <v>850</v>
      </c>
      <c r="G1556" s="95">
        <v>3</v>
      </c>
      <c r="H1556" s="94">
        <v>260</v>
      </c>
      <c r="I1556" s="91">
        <v>45881</v>
      </c>
      <c r="J1556" s="165">
        <v>0.66597222222222219</v>
      </c>
      <c r="K1556" s="94">
        <v>260</v>
      </c>
      <c r="L1556" s="72" t="str">
        <f t="shared" si="24"/>
        <v>Payé</v>
      </c>
    </row>
    <row r="1557" spans="1:14" s="169" customFormat="1" ht="15" customHeight="1" x14ac:dyDescent="0.25">
      <c r="A1557" s="91" t="s">
        <v>850</v>
      </c>
      <c r="B1557" s="90">
        <v>5222</v>
      </c>
      <c r="C1557" s="88" t="s">
        <v>839</v>
      </c>
      <c r="D1557" s="90" t="s">
        <v>17</v>
      </c>
      <c r="E1557" s="90" t="s">
        <v>753</v>
      </c>
      <c r="F1557" s="91" t="s">
        <v>850</v>
      </c>
      <c r="G1557" s="95">
        <v>4</v>
      </c>
      <c r="H1557" s="94">
        <v>347</v>
      </c>
      <c r="I1557" s="91">
        <v>45881</v>
      </c>
      <c r="J1557" s="165">
        <v>0.70347222222222217</v>
      </c>
      <c r="K1557" s="94">
        <v>347</v>
      </c>
      <c r="L1557" s="72" t="str">
        <f t="shared" si="24"/>
        <v>Payé</v>
      </c>
      <c r="M1557" s="14"/>
      <c r="N1557" s="159"/>
    </row>
    <row r="1558" spans="1:14" ht="15" customHeight="1" x14ac:dyDescent="0.25">
      <c r="A1558" s="91" t="s">
        <v>850</v>
      </c>
      <c r="B1558" s="90">
        <v>5236</v>
      </c>
      <c r="C1558" s="88" t="s">
        <v>881</v>
      </c>
      <c r="D1558" s="90" t="s">
        <v>17</v>
      </c>
      <c r="E1558" s="90" t="s">
        <v>753</v>
      </c>
      <c r="F1558" s="91" t="s">
        <v>850</v>
      </c>
      <c r="G1558" s="95">
        <v>4</v>
      </c>
      <c r="H1558" s="94">
        <v>347</v>
      </c>
      <c r="I1558" s="91">
        <v>45881</v>
      </c>
      <c r="J1558" s="165">
        <v>0.45416666666666666</v>
      </c>
      <c r="K1558" s="94">
        <v>347</v>
      </c>
      <c r="L1558" s="72" t="str">
        <f t="shared" si="24"/>
        <v>Payé</v>
      </c>
    </row>
    <row r="1559" spans="1:14" ht="15" customHeight="1" x14ac:dyDescent="0.25">
      <c r="A1559" s="91" t="s">
        <v>850</v>
      </c>
      <c r="B1559" s="90">
        <v>5238</v>
      </c>
      <c r="C1559" s="88" t="s">
        <v>883</v>
      </c>
      <c r="D1559" s="90" t="s">
        <v>17</v>
      </c>
      <c r="E1559" s="90" t="s">
        <v>753</v>
      </c>
      <c r="F1559" s="91" t="s">
        <v>850</v>
      </c>
      <c r="G1559" s="95">
        <v>2</v>
      </c>
      <c r="H1559" s="94">
        <v>173</v>
      </c>
      <c r="I1559" s="91">
        <v>45881</v>
      </c>
      <c r="J1559" s="165">
        <v>0.70347222222222217</v>
      </c>
      <c r="K1559" s="94">
        <v>173</v>
      </c>
      <c r="L1559" s="72" t="str">
        <f t="shared" si="24"/>
        <v>Payé</v>
      </c>
    </row>
    <row r="1560" spans="1:14" ht="15" customHeight="1" x14ac:dyDescent="0.25">
      <c r="A1560" s="91" t="s">
        <v>850</v>
      </c>
      <c r="B1560" s="90">
        <v>5239</v>
      </c>
      <c r="C1560" s="88" t="s">
        <v>884</v>
      </c>
      <c r="D1560" s="90" t="s">
        <v>17</v>
      </c>
      <c r="E1560" s="90" t="s">
        <v>753</v>
      </c>
      <c r="F1560" s="91" t="s">
        <v>850</v>
      </c>
      <c r="G1560" s="95">
        <v>4</v>
      </c>
      <c r="H1560" s="94">
        <v>347</v>
      </c>
      <c r="I1560" s="91">
        <v>45881</v>
      </c>
      <c r="J1560" s="165">
        <v>0.45416666666666666</v>
      </c>
      <c r="K1560" s="94">
        <v>347</v>
      </c>
      <c r="L1560" s="72" t="str">
        <f t="shared" si="24"/>
        <v>Payé</v>
      </c>
    </row>
    <row r="1561" spans="1:14" ht="15" customHeight="1" x14ac:dyDescent="0.25">
      <c r="A1561" s="91" t="s">
        <v>850</v>
      </c>
      <c r="B1561" s="90">
        <v>5240</v>
      </c>
      <c r="C1561" s="88" t="s">
        <v>885</v>
      </c>
      <c r="D1561" s="90" t="s">
        <v>17</v>
      </c>
      <c r="E1561" s="90" t="s">
        <v>753</v>
      </c>
      <c r="F1561" s="91" t="s">
        <v>850</v>
      </c>
      <c r="G1561" s="95">
        <v>4</v>
      </c>
      <c r="H1561" s="94">
        <v>347</v>
      </c>
      <c r="I1561" s="91">
        <v>45887</v>
      </c>
      <c r="J1561" s="165">
        <v>0.67083333333333339</v>
      </c>
      <c r="K1561" s="94">
        <v>347</v>
      </c>
      <c r="L1561" s="72" t="str">
        <f t="shared" si="24"/>
        <v>Payé</v>
      </c>
    </row>
    <row r="1562" spans="1:14" ht="15" customHeight="1" x14ac:dyDescent="0.25">
      <c r="A1562" s="91" t="s">
        <v>850</v>
      </c>
      <c r="B1562" s="90">
        <v>5241</v>
      </c>
      <c r="C1562" s="88" t="s">
        <v>886</v>
      </c>
      <c r="D1562" s="90" t="s">
        <v>17</v>
      </c>
      <c r="E1562" s="90" t="s">
        <v>753</v>
      </c>
      <c r="F1562" s="91" t="s">
        <v>850</v>
      </c>
      <c r="G1562" s="95">
        <v>4</v>
      </c>
      <c r="H1562" s="94">
        <v>347</v>
      </c>
      <c r="I1562" s="91">
        <v>45881</v>
      </c>
      <c r="J1562" s="165">
        <v>0.66597222222222219</v>
      </c>
      <c r="K1562" s="94">
        <v>347</v>
      </c>
      <c r="L1562" s="72" t="str">
        <f t="shared" si="24"/>
        <v>Payé</v>
      </c>
    </row>
    <row r="1563" spans="1:14" ht="15" customHeight="1" x14ac:dyDescent="0.25">
      <c r="A1563" s="91" t="s">
        <v>850</v>
      </c>
      <c r="B1563" s="90">
        <v>5248</v>
      </c>
      <c r="C1563" s="88" t="s">
        <v>915</v>
      </c>
      <c r="D1563" s="90" t="s">
        <v>17</v>
      </c>
      <c r="E1563" s="90" t="s">
        <v>753</v>
      </c>
      <c r="F1563" s="91" t="s">
        <v>850</v>
      </c>
      <c r="G1563" s="95">
        <v>4</v>
      </c>
      <c r="H1563" s="94">
        <v>347</v>
      </c>
      <c r="I1563" s="91">
        <v>45887</v>
      </c>
      <c r="J1563" s="165">
        <v>0.67083333333333339</v>
      </c>
      <c r="K1563" s="94">
        <v>347</v>
      </c>
      <c r="L1563" s="72" t="str">
        <f t="shared" si="24"/>
        <v>Payé</v>
      </c>
    </row>
    <row r="1564" spans="1:14" ht="15" customHeight="1" x14ac:dyDescent="0.25">
      <c r="A1564" s="91" t="s">
        <v>850</v>
      </c>
      <c r="B1564" s="90">
        <v>5250</v>
      </c>
      <c r="C1564" s="88" t="s">
        <v>916</v>
      </c>
      <c r="D1564" s="90" t="s">
        <v>17</v>
      </c>
      <c r="E1564" s="90" t="s">
        <v>753</v>
      </c>
      <c r="F1564" s="91" t="s">
        <v>850</v>
      </c>
      <c r="G1564" s="95">
        <v>4</v>
      </c>
      <c r="H1564" s="94">
        <v>347</v>
      </c>
      <c r="I1564" s="91">
        <v>45881</v>
      </c>
      <c r="J1564" s="165">
        <v>0.65694444444444444</v>
      </c>
      <c r="K1564" s="94">
        <v>347</v>
      </c>
      <c r="L1564" s="72" t="str">
        <f t="shared" si="24"/>
        <v>Payé</v>
      </c>
    </row>
    <row r="1565" spans="1:14" ht="15" customHeight="1" x14ac:dyDescent="0.25">
      <c r="A1565" s="91" t="s">
        <v>850</v>
      </c>
      <c r="B1565" s="90">
        <v>5251</v>
      </c>
      <c r="C1565" s="88" t="s">
        <v>891</v>
      </c>
      <c r="D1565" s="90" t="s">
        <v>17</v>
      </c>
      <c r="E1565" s="90" t="s">
        <v>753</v>
      </c>
      <c r="F1565" s="91" t="s">
        <v>850</v>
      </c>
      <c r="G1565" s="95">
        <v>3</v>
      </c>
      <c r="H1565" s="94">
        <v>260</v>
      </c>
      <c r="I1565" s="91">
        <v>45881</v>
      </c>
      <c r="J1565" s="165">
        <v>0.65694444444444444</v>
      </c>
      <c r="K1565" s="94">
        <v>260</v>
      </c>
      <c r="L1565" s="72" t="str">
        <f t="shared" si="24"/>
        <v>Payé</v>
      </c>
    </row>
    <row r="1566" spans="1:14" ht="15" customHeight="1" x14ac:dyDescent="0.25">
      <c r="A1566" s="91" t="s">
        <v>850</v>
      </c>
      <c r="B1566" s="90">
        <v>5253</v>
      </c>
      <c r="C1566" s="88" t="s">
        <v>902</v>
      </c>
      <c r="D1566" s="90" t="s">
        <v>17</v>
      </c>
      <c r="E1566" s="90" t="s">
        <v>753</v>
      </c>
      <c r="F1566" s="91" t="s">
        <v>850</v>
      </c>
      <c r="G1566" s="95">
        <v>4</v>
      </c>
      <c r="H1566" s="94">
        <v>347</v>
      </c>
      <c r="I1566" s="91">
        <v>45881</v>
      </c>
      <c r="J1566" s="165">
        <v>0.66597222222222219</v>
      </c>
      <c r="K1566" s="94">
        <v>347</v>
      </c>
      <c r="L1566" s="72" t="str">
        <f t="shared" ref="L1566:L1629" si="25">IF(ISBLANK(H1566),"",IF(H1566=K1566,"Payé","Impayé"))</f>
        <v>Payé</v>
      </c>
    </row>
    <row r="1567" spans="1:14" ht="15" customHeight="1" x14ac:dyDescent="0.25">
      <c r="A1567" s="91" t="s">
        <v>850</v>
      </c>
      <c r="B1567" s="90">
        <v>5254</v>
      </c>
      <c r="C1567" s="88" t="s">
        <v>892</v>
      </c>
      <c r="D1567" s="90" t="s">
        <v>17</v>
      </c>
      <c r="E1567" s="90" t="s">
        <v>753</v>
      </c>
      <c r="F1567" s="91" t="s">
        <v>850</v>
      </c>
      <c r="G1567" s="95">
        <v>2</v>
      </c>
      <c r="H1567" s="94">
        <v>173</v>
      </c>
      <c r="I1567" s="91">
        <v>45881</v>
      </c>
      <c r="J1567" s="165">
        <v>0.6430555555555556</v>
      </c>
      <c r="K1567" s="94">
        <v>173</v>
      </c>
      <c r="L1567" s="72" t="str">
        <f t="shared" si="25"/>
        <v>Payé</v>
      </c>
    </row>
    <row r="1568" spans="1:14" ht="15" customHeight="1" x14ac:dyDescent="0.25">
      <c r="A1568" s="91" t="s">
        <v>850</v>
      </c>
      <c r="B1568" s="90">
        <v>5255</v>
      </c>
      <c r="C1568" s="88" t="s">
        <v>904</v>
      </c>
      <c r="D1568" s="90" t="s">
        <v>17</v>
      </c>
      <c r="E1568" s="90" t="s">
        <v>753</v>
      </c>
      <c r="F1568" s="91" t="s">
        <v>850</v>
      </c>
      <c r="G1568" s="95">
        <v>1</v>
      </c>
      <c r="H1568" s="94">
        <v>87</v>
      </c>
      <c r="I1568" s="91">
        <v>45887</v>
      </c>
      <c r="J1568" s="165">
        <v>0.67083333333333339</v>
      </c>
      <c r="K1568" s="94">
        <v>87</v>
      </c>
      <c r="L1568" s="72" t="str">
        <f t="shared" si="25"/>
        <v>Payé</v>
      </c>
    </row>
    <row r="1569" spans="1:12" ht="15" customHeight="1" x14ac:dyDescent="0.25">
      <c r="A1569" s="91" t="s">
        <v>850</v>
      </c>
      <c r="B1569" s="90">
        <v>5267</v>
      </c>
      <c r="C1569" s="88" t="s">
        <v>923</v>
      </c>
      <c r="D1569" s="90" t="s">
        <v>17</v>
      </c>
      <c r="E1569" s="90" t="s">
        <v>753</v>
      </c>
      <c r="F1569" s="91" t="s">
        <v>850</v>
      </c>
      <c r="G1569" s="95">
        <v>3</v>
      </c>
      <c r="H1569" s="94">
        <v>260</v>
      </c>
      <c r="I1569" s="91">
        <v>45887</v>
      </c>
      <c r="J1569" s="165">
        <v>0.67083333333333339</v>
      </c>
      <c r="K1569" s="94">
        <v>260</v>
      </c>
      <c r="L1569" s="72" t="str">
        <f t="shared" si="25"/>
        <v>Payé</v>
      </c>
    </row>
    <row r="1570" spans="1:12" ht="15" customHeight="1" x14ac:dyDescent="0.25">
      <c r="A1570" s="91" t="s">
        <v>850</v>
      </c>
      <c r="B1570" s="90">
        <v>526</v>
      </c>
      <c r="C1570" s="88" t="s">
        <v>874</v>
      </c>
      <c r="D1570" s="90" t="s">
        <v>17</v>
      </c>
      <c r="E1570" s="90" t="s">
        <v>646</v>
      </c>
      <c r="F1570" s="91" t="s">
        <v>850</v>
      </c>
      <c r="G1570" s="95">
        <v>11</v>
      </c>
      <c r="H1570" s="94">
        <v>954</v>
      </c>
      <c r="I1570" s="91">
        <v>45881</v>
      </c>
      <c r="J1570" s="165">
        <v>0.69652777777777775</v>
      </c>
      <c r="K1570" s="94">
        <v>954</v>
      </c>
      <c r="L1570" s="72" t="str">
        <f t="shared" si="25"/>
        <v>Payé</v>
      </c>
    </row>
    <row r="1571" spans="1:12" ht="15" customHeight="1" x14ac:dyDescent="0.25">
      <c r="A1571" s="91" t="s">
        <v>850</v>
      </c>
      <c r="B1571" s="90">
        <v>529</v>
      </c>
      <c r="C1571" s="88" t="s">
        <v>702</v>
      </c>
      <c r="D1571" s="90" t="s">
        <v>17</v>
      </c>
      <c r="E1571" s="90" t="s">
        <v>646</v>
      </c>
      <c r="F1571" s="91" t="s">
        <v>850</v>
      </c>
      <c r="G1571" s="95">
        <v>11</v>
      </c>
      <c r="H1571" s="94">
        <v>954</v>
      </c>
      <c r="I1571" s="91">
        <v>45881</v>
      </c>
      <c r="J1571" s="165">
        <v>0.69652777777777775</v>
      </c>
      <c r="K1571" s="94">
        <v>954</v>
      </c>
      <c r="L1571" s="72" t="str">
        <f t="shared" si="25"/>
        <v>Payé</v>
      </c>
    </row>
    <row r="1572" spans="1:12" ht="15" customHeight="1" x14ac:dyDescent="0.25">
      <c r="A1572" s="91" t="s">
        <v>850</v>
      </c>
      <c r="B1572" s="90">
        <v>1505</v>
      </c>
      <c r="C1572" s="88" t="s">
        <v>383</v>
      </c>
      <c r="D1572" s="90" t="s">
        <v>17</v>
      </c>
      <c r="E1572" s="90" t="s">
        <v>646</v>
      </c>
      <c r="F1572" s="91" t="s">
        <v>850</v>
      </c>
      <c r="G1572" s="95">
        <v>11</v>
      </c>
      <c r="H1572" s="94">
        <v>954</v>
      </c>
      <c r="I1572" s="91">
        <v>45881</v>
      </c>
      <c r="J1572" s="165">
        <v>0.69652777777777775</v>
      </c>
      <c r="K1572" s="94">
        <v>954</v>
      </c>
      <c r="L1572" s="72" t="str">
        <f t="shared" si="25"/>
        <v>Payé</v>
      </c>
    </row>
    <row r="1573" spans="1:12" ht="15" customHeight="1" x14ac:dyDescent="0.25">
      <c r="A1573" s="91" t="s">
        <v>850</v>
      </c>
      <c r="B1573" s="90">
        <v>2162</v>
      </c>
      <c r="C1573" s="88" t="s">
        <v>647</v>
      </c>
      <c r="D1573" s="90" t="s">
        <v>17</v>
      </c>
      <c r="E1573" s="90" t="s">
        <v>646</v>
      </c>
      <c r="F1573" s="91" t="s">
        <v>850</v>
      </c>
      <c r="G1573" s="95">
        <v>11</v>
      </c>
      <c r="H1573" s="94">
        <v>954</v>
      </c>
      <c r="I1573" s="91">
        <v>45881</v>
      </c>
      <c r="J1573" s="165">
        <v>0.69652777777777775</v>
      </c>
      <c r="K1573" s="94">
        <v>954</v>
      </c>
      <c r="L1573" s="72" t="str">
        <f t="shared" si="25"/>
        <v>Payé</v>
      </c>
    </row>
    <row r="1574" spans="1:12" ht="15" customHeight="1" x14ac:dyDescent="0.25">
      <c r="A1574" s="91" t="s">
        <v>850</v>
      </c>
      <c r="B1574" s="90">
        <v>3534</v>
      </c>
      <c r="C1574" s="88" t="s">
        <v>563</v>
      </c>
      <c r="D1574" s="90" t="s">
        <v>17</v>
      </c>
      <c r="E1574" s="90" t="s">
        <v>646</v>
      </c>
      <c r="F1574" s="91" t="s">
        <v>850</v>
      </c>
      <c r="G1574" s="95">
        <v>6</v>
      </c>
      <c r="H1574" s="94">
        <v>520</v>
      </c>
      <c r="I1574" s="91">
        <v>45881</v>
      </c>
      <c r="J1574" s="165">
        <v>0.69652777777777775</v>
      </c>
      <c r="K1574" s="94">
        <v>520</v>
      </c>
      <c r="L1574" s="72" t="str">
        <f t="shared" si="25"/>
        <v>Payé</v>
      </c>
    </row>
    <row r="1575" spans="1:12" ht="15" customHeight="1" x14ac:dyDescent="0.25">
      <c r="A1575" s="91" t="s">
        <v>850</v>
      </c>
      <c r="B1575" s="90">
        <v>3535</v>
      </c>
      <c r="C1575" s="88" t="s">
        <v>564</v>
      </c>
      <c r="D1575" s="90" t="s">
        <v>17</v>
      </c>
      <c r="E1575" s="90" t="s">
        <v>646</v>
      </c>
      <c r="F1575" s="91" t="s">
        <v>850</v>
      </c>
      <c r="G1575" s="95">
        <v>4</v>
      </c>
      <c r="H1575" s="94">
        <v>347</v>
      </c>
      <c r="I1575" s="91">
        <v>45881</v>
      </c>
      <c r="J1575" s="165">
        <v>0.69652777777777775</v>
      </c>
      <c r="K1575" s="94">
        <v>347</v>
      </c>
      <c r="L1575" s="72" t="str">
        <f t="shared" si="25"/>
        <v>Payé</v>
      </c>
    </row>
    <row r="1576" spans="1:12" ht="15" customHeight="1" x14ac:dyDescent="0.25">
      <c r="A1576" s="91" t="s">
        <v>850</v>
      </c>
      <c r="B1576" s="90">
        <v>3725</v>
      </c>
      <c r="C1576" s="88" t="s">
        <v>569</v>
      </c>
      <c r="D1576" s="90" t="s">
        <v>17</v>
      </c>
      <c r="E1576" s="90" t="s">
        <v>646</v>
      </c>
      <c r="F1576" s="91" t="s">
        <v>850</v>
      </c>
      <c r="G1576" s="95">
        <v>11</v>
      </c>
      <c r="H1576" s="94">
        <v>954</v>
      </c>
      <c r="I1576" s="91">
        <v>45881</v>
      </c>
      <c r="J1576" s="165">
        <v>0.69652777777777775</v>
      </c>
      <c r="K1576" s="94">
        <v>954</v>
      </c>
      <c r="L1576" s="72" t="str">
        <f t="shared" si="25"/>
        <v>Payé</v>
      </c>
    </row>
    <row r="1577" spans="1:12" ht="15" customHeight="1" x14ac:dyDescent="0.25">
      <c r="A1577" s="91" t="s">
        <v>850</v>
      </c>
      <c r="B1577" s="90">
        <v>3825</v>
      </c>
      <c r="C1577" s="88" t="s">
        <v>574</v>
      </c>
      <c r="D1577" s="90" t="s">
        <v>17</v>
      </c>
      <c r="E1577" s="90" t="s">
        <v>646</v>
      </c>
      <c r="F1577" s="91" t="s">
        <v>850</v>
      </c>
      <c r="G1577" s="95">
        <v>10</v>
      </c>
      <c r="H1577" s="94">
        <v>867</v>
      </c>
      <c r="I1577" s="91">
        <v>45881</v>
      </c>
      <c r="J1577" s="165">
        <v>0.69652777777777775</v>
      </c>
      <c r="K1577" s="94">
        <v>867</v>
      </c>
      <c r="L1577" s="72" t="str">
        <f t="shared" si="25"/>
        <v>Payé</v>
      </c>
    </row>
    <row r="1578" spans="1:12" ht="15" customHeight="1" x14ac:dyDescent="0.25">
      <c r="A1578" s="91" t="s">
        <v>850</v>
      </c>
      <c r="B1578" s="90">
        <v>3947</v>
      </c>
      <c r="C1578" s="88" t="s">
        <v>576</v>
      </c>
      <c r="D1578" s="90" t="s">
        <v>17</v>
      </c>
      <c r="E1578" s="90" t="s">
        <v>646</v>
      </c>
      <c r="F1578" s="91" t="s">
        <v>850</v>
      </c>
      <c r="G1578" s="95">
        <v>7</v>
      </c>
      <c r="H1578" s="94">
        <v>607</v>
      </c>
      <c r="I1578" s="91">
        <v>45881</v>
      </c>
      <c r="J1578" s="165">
        <v>0.69652777777777775</v>
      </c>
      <c r="K1578" s="94">
        <v>607</v>
      </c>
      <c r="L1578" s="72" t="str">
        <f t="shared" si="25"/>
        <v>Payé</v>
      </c>
    </row>
    <row r="1579" spans="1:12" ht="15" customHeight="1" x14ac:dyDescent="0.25">
      <c r="A1579" s="91" t="s">
        <v>850</v>
      </c>
      <c r="B1579" s="90">
        <v>4405</v>
      </c>
      <c r="C1579" s="88" t="s">
        <v>688</v>
      </c>
      <c r="D1579" s="90" t="s">
        <v>17</v>
      </c>
      <c r="E1579" s="90" t="s">
        <v>646</v>
      </c>
      <c r="F1579" s="91" t="s">
        <v>850</v>
      </c>
      <c r="G1579" s="95">
        <v>11</v>
      </c>
      <c r="H1579" s="94">
        <v>954</v>
      </c>
      <c r="I1579" s="91">
        <v>45881</v>
      </c>
      <c r="J1579" s="165">
        <v>0.69652777777777775</v>
      </c>
      <c r="K1579" s="94">
        <v>954</v>
      </c>
      <c r="L1579" s="72" t="str">
        <f t="shared" si="25"/>
        <v>Payé</v>
      </c>
    </row>
    <row r="1580" spans="1:12" ht="15" customHeight="1" x14ac:dyDescent="0.25">
      <c r="A1580" s="91" t="s">
        <v>850</v>
      </c>
      <c r="B1580" s="90">
        <v>5244</v>
      </c>
      <c r="C1580" s="88" t="s">
        <v>888</v>
      </c>
      <c r="D1580" s="90" t="s">
        <v>17</v>
      </c>
      <c r="E1580" s="90" t="s">
        <v>646</v>
      </c>
      <c r="F1580" s="91" t="s">
        <v>850</v>
      </c>
      <c r="G1580" s="95">
        <v>10</v>
      </c>
      <c r="H1580" s="94">
        <v>867</v>
      </c>
      <c r="I1580" s="91">
        <v>45881</v>
      </c>
      <c r="J1580" s="165">
        <v>0.69652777777777775</v>
      </c>
      <c r="K1580" s="94">
        <v>867</v>
      </c>
      <c r="L1580" s="72" t="str">
        <f t="shared" si="25"/>
        <v>Payé</v>
      </c>
    </row>
    <row r="1581" spans="1:12" ht="15" customHeight="1" x14ac:dyDescent="0.25">
      <c r="A1581" s="91" t="s">
        <v>850</v>
      </c>
      <c r="B1581" s="90">
        <v>5256</v>
      </c>
      <c r="C1581" s="88" t="s">
        <v>906</v>
      </c>
      <c r="D1581" s="90" t="s">
        <v>17</v>
      </c>
      <c r="E1581" s="90" t="s">
        <v>646</v>
      </c>
      <c r="F1581" s="91" t="s">
        <v>850</v>
      </c>
      <c r="G1581" s="95">
        <v>3</v>
      </c>
      <c r="H1581" s="94">
        <v>260</v>
      </c>
      <c r="I1581" s="91">
        <v>45881</v>
      </c>
      <c r="J1581" s="165">
        <v>0.69652777777777775</v>
      </c>
      <c r="K1581" s="94">
        <v>260</v>
      </c>
      <c r="L1581" s="72" t="str">
        <f t="shared" si="25"/>
        <v>Payé</v>
      </c>
    </row>
    <row r="1582" spans="1:12" ht="15" customHeight="1" x14ac:dyDescent="0.25">
      <c r="A1582" s="91" t="s">
        <v>850</v>
      </c>
      <c r="B1582" s="90">
        <v>5257</v>
      </c>
      <c r="C1582" s="88" t="s">
        <v>907</v>
      </c>
      <c r="D1582" s="90" t="s">
        <v>17</v>
      </c>
      <c r="E1582" s="90" t="s">
        <v>646</v>
      </c>
      <c r="F1582" s="91" t="s">
        <v>850</v>
      </c>
      <c r="G1582" s="95">
        <v>10</v>
      </c>
      <c r="H1582" s="94">
        <v>867</v>
      </c>
      <c r="I1582" s="91">
        <v>45881</v>
      </c>
      <c r="J1582" s="165">
        <v>0.69652777777777775</v>
      </c>
      <c r="K1582" s="94">
        <v>867</v>
      </c>
      <c r="L1582" s="72" t="str">
        <f t="shared" si="25"/>
        <v>Payé</v>
      </c>
    </row>
    <row r="1583" spans="1:12" ht="15" customHeight="1" x14ac:dyDescent="0.25">
      <c r="A1583" s="91" t="s">
        <v>850</v>
      </c>
      <c r="B1583" s="90">
        <v>5259</v>
      </c>
      <c r="C1583" s="88" t="s">
        <v>908</v>
      </c>
      <c r="D1583" s="90" t="s">
        <v>17</v>
      </c>
      <c r="E1583" s="90" t="s">
        <v>646</v>
      </c>
      <c r="F1583" s="91" t="s">
        <v>850</v>
      </c>
      <c r="G1583" s="95">
        <v>11</v>
      </c>
      <c r="H1583" s="94">
        <v>954</v>
      </c>
      <c r="I1583" s="91">
        <v>45881</v>
      </c>
      <c r="J1583" s="165">
        <v>0.69652777777777775</v>
      </c>
      <c r="K1583" s="94">
        <v>954</v>
      </c>
      <c r="L1583" s="72" t="str">
        <f t="shared" si="25"/>
        <v>Payé</v>
      </c>
    </row>
    <row r="1584" spans="1:12" ht="15" customHeight="1" x14ac:dyDescent="0.25">
      <c r="A1584" s="91" t="s">
        <v>850</v>
      </c>
      <c r="B1584" s="90">
        <v>5263</v>
      </c>
      <c r="C1584" s="88" t="s">
        <v>919</v>
      </c>
      <c r="D1584" s="90" t="s">
        <v>17</v>
      </c>
      <c r="E1584" s="90" t="s">
        <v>646</v>
      </c>
      <c r="F1584" s="91" t="s">
        <v>850</v>
      </c>
      <c r="G1584" s="95">
        <v>9</v>
      </c>
      <c r="H1584" s="94">
        <v>781</v>
      </c>
      <c r="I1584" s="91">
        <v>45881</v>
      </c>
      <c r="J1584" s="165">
        <v>0.69652777777777775</v>
      </c>
      <c r="K1584" s="94">
        <v>781</v>
      </c>
      <c r="L1584" s="72" t="str">
        <f t="shared" si="25"/>
        <v>Payé</v>
      </c>
    </row>
    <row r="1585" spans="1:12" ht="15" customHeight="1" x14ac:dyDescent="0.25">
      <c r="A1585" s="91" t="s">
        <v>850</v>
      </c>
      <c r="B1585" s="90">
        <v>5264</v>
      </c>
      <c r="C1585" s="88" t="s">
        <v>920</v>
      </c>
      <c r="D1585" s="90" t="s">
        <v>17</v>
      </c>
      <c r="E1585" s="90" t="s">
        <v>646</v>
      </c>
      <c r="F1585" s="91" t="s">
        <v>850</v>
      </c>
      <c r="G1585" s="95">
        <v>9</v>
      </c>
      <c r="H1585" s="94">
        <v>781</v>
      </c>
      <c r="I1585" s="91">
        <v>45881</v>
      </c>
      <c r="J1585" s="165">
        <v>0.69652777777777775</v>
      </c>
      <c r="K1585" s="94">
        <v>781</v>
      </c>
      <c r="L1585" s="72" t="str">
        <f t="shared" si="25"/>
        <v>Payé</v>
      </c>
    </row>
    <row r="1586" spans="1:12" ht="15" customHeight="1" x14ac:dyDescent="0.25">
      <c r="A1586" s="91" t="s">
        <v>850</v>
      </c>
      <c r="B1586" s="90">
        <v>5265</v>
      </c>
      <c r="C1586" s="88" t="s">
        <v>921</v>
      </c>
      <c r="D1586" s="90" t="s">
        <v>17</v>
      </c>
      <c r="E1586" s="90" t="s">
        <v>646</v>
      </c>
      <c r="F1586" s="91" t="s">
        <v>850</v>
      </c>
      <c r="G1586" s="95">
        <v>9</v>
      </c>
      <c r="H1586" s="94">
        <v>781</v>
      </c>
      <c r="I1586" s="91">
        <v>45881</v>
      </c>
      <c r="J1586" s="165">
        <v>0.69652777777777775</v>
      </c>
      <c r="K1586" s="94">
        <v>781</v>
      </c>
      <c r="L1586" s="72" t="str">
        <f t="shared" si="25"/>
        <v>Payé</v>
      </c>
    </row>
    <row r="1587" spans="1:12" ht="15" customHeight="1" x14ac:dyDescent="0.25">
      <c r="A1587" s="91" t="s">
        <v>850</v>
      </c>
      <c r="B1587" s="90">
        <v>5269</v>
      </c>
      <c r="C1587" s="88" t="s">
        <v>925</v>
      </c>
      <c r="D1587" s="90" t="s">
        <v>17</v>
      </c>
      <c r="E1587" s="90" t="s">
        <v>646</v>
      </c>
      <c r="F1587" s="91" t="s">
        <v>850</v>
      </c>
      <c r="G1587" s="95">
        <v>4</v>
      </c>
      <c r="H1587" s="94">
        <v>347</v>
      </c>
      <c r="I1587" s="91">
        <v>45881</v>
      </c>
      <c r="J1587" s="165">
        <v>0.69652777777777775</v>
      </c>
      <c r="K1587" s="94">
        <v>347</v>
      </c>
      <c r="L1587" s="72" t="str">
        <f t="shared" si="25"/>
        <v>Payé</v>
      </c>
    </row>
    <row r="1588" spans="1:12" ht="15" customHeight="1" x14ac:dyDescent="0.25">
      <c r="A1588" s="91" t="s">
        <v>850</v>
      </c>
      <c r="B1588" s="90">
        <v>5273</v>
      </c>
      <c r="C1588" s="88" t="s">
        <v>927</v>
      </c>
      <c r="D1588" s="90" t="s">
        <v>17</v>
      </c>
      <c r="E1588" s="90" t="s">
        <v>646</v>
      </c>
      <c r="F1588" s="91" t="s">
        <v>850</v>
      </c>
      <c r="G1588" s="95">
        <v>2</v>
      </c>
      <c r="H1588" s="94">
        <v>173</v>
      </c>
      <c r="I1588" s="91">
        <v>45881</v>
      </c>
      <c r="J1588" s="165">
        <v>0.69652777777777775</v>
      </c>
      <c r="K1588" s="94">
        <v>173</v>
      </c>
      <c r="L1588" s="72" t="str">
        <f t="shared" si="25"/>
        <v>Payé</v>
      </c>
    </row>
    <row r="1589" spans="1:12" ht="15" customHeight="1" x14ac:dyDescent="0.25">
      <c r="A1589" s="91" t="s">
        <v>850</v>
      </c>
      <c r="B1589" s="90">
        <v>5278</v>
      </c>
      <c r="C1589" s="88" t="s">
        <v>932</v>
      </c>
      <c r="D1589" s="90" t="s">
        <v>17</v>
      </c>
      <c r="E1589" s="90" t="s">
        <v>646</v>
      </c>
      <c r="F1589" s="91" t="s">
        <v>850</v>
      </c>
      <c r="G1589" s="95">
        <v>2</v>
      </c>
      <c r="H1589" s="94">
        <v>173</v>
      </c>
      <c r="I1589" s="91">
        <v>45881</v>
      </c>
      <c r="J1589" s="165">
        <v>0.69652777777777775</v>
      </c>
      <c r="K1589" s="94">
        <v>173</v>
      </c>
      <c r="L1589" s="72" t="str">
        <f t="shared" si="25"/>
        <v>Payé</v>
      </c>
    </row>
    <row r="1590" spans="1:12" ht="15" customHeight="1" x14ac:dyDescent="0.25">
      <c r="A1590" s="91" t="s">
        <v>850</v>
      </c>
      <c r="B1590" s="90">
        <v>5279</v>
      </c>
      <c r="C1590" s="88" t="s">
        <v>933</v>
      </c>
      <c r="D1590" s="90" t="s">
        <v>17</v>
      </c>
      <c r="E1590" s="90" t="s">
        <v>646</v>
      </c>
      <c r="F1590" s="91" t="s">
        <v>850</v>
      </c>
      <c r="G1590" s="95">
        <v>1</v>
      </c>
      <c r="H1590" s="94">
        <v>87</v>
      </c>
      <c r="I1590" s="91">
        <v>45881</v>
      </c>
      <c r="J1590" s="165">
        <v>0.69652777777777775</v>
      </c>
      <c r="K1590" s="94">
        <v>87</v>
      </c>
      <c r="L1590" s="72" t="str">
        <f t="shared" si="25"/>
        <v>Payé</v>
      </c>
    </row>
    <row r="1591" spans="1:12" ht="15" customHeight="1" x14ac:dyDescent="0.25">
      <c r="A1591" s="91" t="s">
        <v>850</v>
      </c>
      <c r="B1591" s="90">
        <v>7012</v>
      </c>
      <c r="C1591" s="88" t="s">
        <v>724</v>
      </c>
      <c r="D1591" s="90" t="s">
        <v>17</v>
      </c>
      <c r="E1591" s="90" t="s">
        <v>646</v>
      </c>
      <c r="F1591" s="91" t="s">
        <v>850</v>
      </c>
      <c r="G1591" s="95">
        <v>12</v>
      </c>
      <c r="H1591" s="94">
        <v>1041</v>
      </c>
      <c r="I1591" s="91">
        <v>45881</v>
      </c>
      <c r="J1591" s="165">
        <v>0.69652777777777775</v>
      </c>
      <c r="K1591" s="94">
        <v>1041</v>
      </c>
      <c r="L1591" s="72" t="str">
        <f t="shared" si="25"/>
        <v>Payé</v>
      </c>
    </row>
    <row r="1592" spans="1:12" ht="15" customHeight="1" x14ac:dyDescent="0.25">
      <c r="A1592" s="91" t="s">
        <v>850</v>
      </c>
      <c r="B1592" s="90">
        <v>3545</v>
      </c>
      <c r="C1592" s="88" t="s">
        <v>606</v>
      </c>
      <c r="D1592" s="90" t="s">
        <v>17</v>
      </c>
      <c r="E1592" s="90" t="s">
        <v>123</v>
      </c>
      <c r="F1592" s="91" t="s">
        <v>850</v>
      </c>
      <c r="G1592" s="95">
        <v>3</v>
      </c>
      <c r="H1592" s="94">
        <v>260</v>
      </c>
      <c r="I1592" s="91">
        <v>46062</v>
      </c>
      <c r="J1592" s="165">
        <v>0.49444444444444446</v>
      </c>
      <c r="K1592" s="94">
        <v>260</v>
      </c>
      <c r="L1592" s="72" t="str">
        <f t="shared" si="25"/>
        <v>Payé</v>
      </c>
    </row>
    <row r="1593" spans="1:12" ht="15" customHeight="1" x14ac:dyDescent="0.25">
      <c r="A1593" s="91" t="s">
        <v>850</v>
      </c>
      <c r="B1593" s="90">
        <v>5247</v>
      </c>
      <c r="C1593" s="88" t="s">
        <v>914</v>
      </c>
      <c r="D1593" s="90" t="s">
        <v>17</v>
      </c>
      <c r="E1593" s="90" t="s">
        <v>753</v>
      </c>
      <c r="F1593" s="91" t="s">
        <v>850</v>
      </c>
      <c r="G1593" s="95">
        <v>2</v>
      </c>
      <c r="H1593" s="94">
        <v>173</v>
      </c>
      <c r="I1593" s="91"/>
      <c r="J1593" s="165"/>
      <c r="K1593" s="92"/>
      <c r="L1593" s="72" t="str">
        <f t="shared" si="25"/>
        <v>Impayé</v>
      </c>
    </row>
    <row r="1594" spans="1:12" ht="15" customHeight="1" x14ac:dyDescent="0.25">
      <c r="A1594" s="91" t="s">
        <v>850</v>
      </c>
      <c r="B1594" s="90">
        <v>5266</v>
      </c>
      <c r="C1594" s="88" t="s">
        <v>922</v>
      </c>
      <c r="D1594" s="90" t="s">
        <v>17</v>
      </c>
      <c r="E1594" s="90" t="s">
        <v>753</v>
      </c>
      <c r="F1594" s="91" t="s">
        <v>850</v>
      </c>
      <c r="G1594" s="95">
        <v>4</v>
      </c>
      <c r="H1594" s="94">
        <v>347</v>
      </c>
      <c r="I1594" s="91">
        <v>46120</v>
      </c>
      <c r="J1594" s="165">
        <v>0.6958333333333333</v>
      </c>
      <c r="K1594" s="94">
        <v>347</v>
      </c>
      <c r="L1594" s="72" t="str">
        <f t="shared" si="25"/>
        <v>Payé</v>
      </c>
    </row>
    <row r="1595" spans="1:12" ht="15" customHeight="1" x14ac:dyDescent="0.25">
      <c r="A1595" s="91" t="s">
        <v>850</v>
      </c>
      <c r="B1595" s="90">
        <v>4794</v>
      </c>
      <c r="C1595" s="88" t="s">
        <v>704</v>
      </c>
      <c r="D1595" s="90" t="s">
        <v>17</v>
      </c>
      <c r="E1595" s="90" t="s">
        <v>49</v>
      </c>
      <c r="F1595" s="91" t="s">
        <v>850</v>
      </c>
      <c r="G1595" s="95">
        <v>1</v>
      </c>
      <c r="H1595" s="94">
        <v>87</v>
      </c>
      <c r="I1595" s="91">
        <v>46031</v>
      </c>
      <c r="J1595" s="165">
        <v>0.64236111111111105</v>
      </c>
      <c r="K1595" s="94">
        <v>87</v>
      </c>
      <c r="L1595" s="72" t="str">
        <f t="shared" si="25"/>
        <v>Payé</v>
      </c>
    </row>
    <row r="1596" spans="1:12" ht="15" customHeight="1" x14ac:dyDescent="0.25">
      <c r="A1596" s="91" t="s">
        <v>850</v>
      </c>
      <c r="B1596" s="90">
        <v>3246</v>
      </c>
      <c r="C1596" s="88" t="s">
        <v>555</v>
      </c>
      <c r="D1596" s="90" t="s">
        <v>17</v>
      </c>
      <c r="E1596" s="90" t="s">
        <v>49</v>
      </c>
      <c r="F1596" s="91" t="s">
        <v>850</v>
      </c>
      <c r="G1596" s="95">
        <v>10</v>
      </c>
      <c r="H1596" s="94">
        <v>867</v>
      </c>
      <c r="I1596" s="91">
        <v>45881</v>
      </c>
      <c r="J1596" s="165">
        <v>0.65347222222222223</v>
      </c>
      <c r="K1596" s="94">
        <v>867</v>
      </c>
      <c r="L1596" s="72" t="str">
        <f t="shared" si="25"/>
        <v>Payé</v>
      </c>
    </row>
    <row r="1597" spans="1:12" ht="15" customHeight="1" x14ac:dyDescent="0.25">
      <c r="A1597" s="91" t="s">
        <v>850</v>
      </c>
      <c r="B1597" s="90">
        <v>3439</v>
      </c>
      <c r="C1597" s="88" t="s">
        <v>875</v>
      </c>
      <c r="D1597" s="90" t="s">
        <v>17</v>
      </c>
      <c r="E1597" s="90" t="s">
        <v>49</v>
      </c>
      <c r="F1597" s="91" t="s">
        <v>850</v>
      </c>
      <c r="G1597" s="95">
        <v>1</v>
      </c>
      <c r="H1597" s="94">
        <v>87</v>
      </c>
      <c r="I1597" s="91">
        <v>45901</v>
      </c>
      <c r="J1597" s="165">
        <v>0.61527777777777781</v>
      </c>
      <c r="K1597" s="94">
        <v>87</v>
      </c>
      <c r="L1597" s="72" t="str">
        <f t="shared" si="25"/>
        <v>Payé</v>
      </c>
    </row>
    <row r="1598" spans="1:12" ht="15" customHeight="1" x14ac:dyDescent="0.25">
      <c r="A1598" s="91" t="s">
        <v>850</v>
      </c>
      <c r="B1598" s="90">
        <v>3440</v>
      </c>
      <c r="C1598" s="88" t="s">
        <v>561</v>
      </c>
      <c r="D1598" s="90" t="s">
        <v>17</v>
      </c>
      <c r="E1598" s="90" t="s">
        <v>49</v>
      </c>
      <c r="F1598" s="91" t="s">
        <v>850</v>
      </c>
      <c r="G1598" s="95">
        <v>10</v>
      </c>
      <c r="H1598" s="94">
        <v>867</v>
      </c>
      <c r="I1598" s="91">
        <v>45911</v>
      </c>
      <c r="J1598" s="165">
        <v>0.51666666666666672</v>
      </c>
      <c r="K1598" s="94">
        <v>867</v>
      </c>
      <c r="L1598" s="72" t="str">
        <f t="shared" si="25"/>
        <v>Payé</v>
      </c>
    </row>
    <row r="1599" spans="1:12" ht="15" customHeight="1" x14ac:dyDescent="0.25">
      <c r="A1599" s="91" t="s">
        <v>850</v>
      </c>
      <c r="B1599" s="90">
        <v>3442</v>
      </c>
      <c r="C1599" s="88" t="s">
        <v>876</v>
      </c>
      <c r="D1599" s="90" t="s">
        <v>17</v>
      </c>
      <c r="E1599" s="90" t="s">
        <v>49</v>
      </c>
      <c r="F1599" s="91" t="s">
        <v>850</v>
      </c>
      <c r="G1599" s="95">
        <v>9</v>
      </c>
      <c r="H1599" s="94">
        <v>781</v>
      </c>
      <c r="I1599" s="91">
        <v>45901</v>
      </c>
      <c r="J1599" s="165">
        <v>0.61527777777777781</v>
      </c>
      <c r="K1599" s="94">
        <v>781</v>
      </c>
      <c r="L1599" s="72" t="str">
        <f t="shared" si="25"/>
        <v>Payé</v>
      </c>
    </row>
    <row r="1600" spans="1:12" ht="15" customHeight="1" x14ac:dyDescent="0.25">
      <c r="A1600" s="91" t="s">
        <v>850</v>
      </c>
      <c r="B1600" s="90">
        <v>3461</v>
      </c>
      <c r="C1600" s="88" t="s">
        <v>878</v>
      </c>
      <c r="D1600" s="90" t="s">
        <v>17</v>
      </c>
      <c r="E1600" s="90" t="s">
        <v>49</v>
      </c>
      <c r="F1600" s="91" t="s">
        <v>850</v>
      </c>
      <c r="G1600" s="95">
        <v>6</v>
      </c>
      <c r="H1600" s="94">
        <v>520</v>
      </c>
      <c r="I1600" s="91">
        <v>45901</v>
      </c>
      <c r="J1600" s="165">
        <v>0.6118055555555556</v>
      </c>
      <c r="K1600" s="94">
        <v>520</v>
      </c>
      <c r="L1600" s="72" t="str">
        <f t="shared" si="25"/>
        <v>Payé</v>
      </c>
    </row>
    <row r="1601" spans="1:12" ht="15" customHeight="1" x14ac:dyDescent="0.25">
      <c r="A1601" s="91" t="s">
        <v>850</v>
      </c>
      <c r="B1601" s="90">
        <v>3751</v>
      </c>
      <c r="C1601" s="88" t="s">
        <v>571</v>
      </c>
      <c r="D1601" s="90" t="s">
        <v>17</v>
      </c>
      <c r="E1601" s="90" t="s">
        <v>49</v>
      </c>
      <c r="F1601" s="91" t="s">
        <v>850</v>
      </c>
      <c r="G1601" s="95">
        <v>12</v>
      </c>
      <c r="H1601" s="94">
        <v>1041</v>
      </c>
      <c r="I1601" s="91">
        <v>45910</v>
      </c>
      <c r="J1601" s="165">
        <v>0.65277777777777779</v>
      </c>
      <c r="K1601" s="94">
        <v>1041</v>
      </c>
      <c r="L1601" s="72" t="str">
        <f t="shared" si="25"/>
        <v>Payé</v>
      </c>
    </row>
    <row r="1602" spans="1:12" ht="15" customHeight="1" x14ac:dyDescent="0.25">
      <c r="A1602" s="91" t="s">
        <v>850</v>
      </c>
      <c r="B1602" s="90">
        <v>3760</v>
      </c>
      <c r="C1602" s="88" t="s">
        <v>465</v>
      </c>
      <c r="D1602" s="90" t="s">
        <v>17</v>
      </c>
      <c r="E1602" s="90" t="s">
        <v>49</v>
      </c>
      <c r="F1602" s="91" t="s">
        <v>850</v>
      </c>
      <c r="G1602" s="95">
        <v>9</v>
      </c>
      <c r="H1602" s="94">
        <v>781</v>
      </c>
      <c r="I1602" s="91">
        <v>45881</v>
      </c>
      <c r="J1602" s="165">
        <v>0.6479166666666667</v>
      </c>
      <c r="K1602" s="94">
        <v>781</v>
      </c>
      <c r="L1602" s="72" t="str">
        <f t="shared" si="25"/>
        <v>Payé</v>
      </c>
    </row>
    <row r="1603" spans="1:12" ht="15" customHeight="1" x14ac:dyDescent="0.25">
      <c r="A1603" s="91" t="s">
        <v>850</v>
      </c>
      <c r="B1603" s="90">
        <v>4840</v>
      </c>
      <c r="C1603" s="88" t="s">
        <v>766</v>
      </c>
      <c r="D1603" s="90" t="s">
        <v>17</v>
      </c>
      <c r="E1603" s="90" t="s">
        <v>49</v>
      </c>
      <c r="F1603" s="91" t="s">
        <v>850</v>
      </c>
      <c r="G1603" s="95">
        <v>12</v>
      </c>
      <c r="H1603" s="94">
        <v>1041</v>
      </c>
      <c r="I1603" s="91">
        <v>45936</v>
      </c>
      <c r="J1603" s="165">
        <v>0.71250000000000002</v>
      </c>
      <c r="K1603" s="94">
        <v>1041</v>
      </c>
      <c r="L1603" s="72" t="str">
        <f t="shared" si="25"/>
        <v>Payé</v>
      </c>
    </row>
    <row r="1604" spans="1:12" ht="15" customHeight="1" x14ac:dyDescent="0.25">
      <c r="A1604" s="91" t="s">
        <v>850</v>
      </c>
      <c r="B1604" s="90">
        <v>5229</v>
      </c>
      <c r="C1604" s="88" t="s">
        <v>879</v>
      </c>
      <c r="D1604" s="90" t="s">
        <v>17</v>
      </c>
      <c r="E1604" s="90" t="s">
        <v>49</v>
      </c>
      <c r="F1604" s="91" t="s">
        <v>850</v>
      </c>
      <c r="G1604" s="95">
        <v>9</v>
      </c>
      <c r="H1604" s="94">
        <v>781</v>
      </c>
      <c r="I1604" s="91">
        <v>45901</v>
      </c>
      <c r="J1604" s="165">
        <v>0.6118055555555556</v>
      </c>
      <c r="K1604" s="94">
        <v>781</v>
      </c>
      <c r="L1604" s="72" t="str">
        <f t="shared" si="25"/>
        <v>Payé</v>
      </c>
    </row>
    <row r="1605" spans="1:12" ht="15" customHeight="1" x14ac:dyDescent="0.25">
      <c r="A1605" s="91" t="s">
        <v>850</v>
      </c>
      <c r="B1605" s="90">
        <v>5243</v>
      </c>
      <c r="C1605" s="88" t="s">
        <v>887</v>
      </c>
      <c r="D1605" s="90" t="s">
        <v>17</v>
      </c>
      <c r="E1605" s="90" t="s">
        <v>49</v>
      </c>
      <c r="F1605" s="91" t="s">
        <v>850</v>
      </c>
      <c r="G1605" s="95">
        <v>10</v>
      </c>
      <c r="H1605" s="94">
        <v>867</v>
      </c>
      <c r="I1605" s="91">
        <v>45883</v>
      </c>
      <c r="J1605" s="165">
        <v>0.60763888888888895</v>
      </c>
      <c r="K1605" s="94">
        <v>867</v>
      </c>
      <c r="L1605" s="72" t="str">
        <f t="shared" si="25"/>
        <v>Payé</v>
      </c>
    </row>
    <row r="1606" spans="1:12" ht="15" customHeight="1" x14ac:dyDescent="0.25">
      <c r="A1606" s="91" t="s">
        <v>850</v>
      </c>
      <c r="B1606" s="90">
        <v>5246</v>
      </c>
      <c r="C1606" s="88" t="s">
        <v>890</v>
      </c>
      <c r="D1606" s="90" t="s">
        <v>17</v>
      </c>
      <c r="E1606" s="90" t="s">
        <v>49</v>
      </c>
      <c r="F1606" s="91" t="s">
        <v>850</v>
      </c>
      <c r="G1606" s="95">
        <v>13</v>
      </c>
      <c r="H1606" s="94">
        <v>1128</v>
      </c>
      <c r="I1606" s="91">
        <v>45888</v>
      </c>
      <c r="J1606" s="165">
        <v>0.63958333333333328</v>
      </c>
      <c r="K1606" s="94">
        <v>1128</v>
      </c>
      <c r="L1606" s="72" t="str">
        <f t="shared" si="25"/>
        <v>Payé</v>
      </c>
    </row>
    <row r="1607" spans="1:12" ht="15" customHeight="1" x14ac:dyDescent="0.25">
      <c r="A1607" s="91" t="s">
        <v>850</v>
      </c>
      <c r="B1607" s="90">
        <v>7004</v>
      </c>
      <c r="C1607" s="88" t="s">
        <v>713</v>
      </c>
      <c r="D1607" s="90" t="s">
        <v>17</v>
      </c>
      <c r="E1607" s="90" t="s">
        <v>49</v>
      </c>
      <c r="F1607" s="91" t="s">
        <v>850</v>
      </c>
      <c r="G1607" s="95">
        <v>12</v>
      </c>
      <c r="H1607" s="94">
        <v>1041</v>
      </c>
      <c r="I1607" s="91">
        <v>45936</v>
      </c>
      <c r="J1607" s="165">
        <v>0.71180555555555547</v>
      </c>
      <c r="K1607" s="94">
        <v>1041</v>
      </c>
      <c r="L1607" s="72" t="str">
        <f t="shared" si="25"/>
        <v>Payé</v>
      </c>
    </row>
    <row r="1608" spans="1:12" ht="15" customHeight="1" x14ac:dyDescent="0.25">
      <c r="A1608" s="91" t="s">
        <v>850</v>
      </c>
      <c r="B1608" s="90">
        <v>9034</v>
      </c>
      <c r="C1608" s="88" t="s">
        <v>736</v>
      </c>
      <c r="D1608" s="90" t="s">
        <v>17</v>
      </c>
      <c r="E1608" s="90" t="s">
        <v>49</v>
      </c>
      <c r="F1608" s="91" t="s">
        <v>850</v>
      </c>
      <c r="G1608" s="95">
        <v>10</v>
      </c>
      <c r="H1608" s="94">
        <v>967</v>
      </c>
      <c r="I1608" s="91">
        <v>45882</v>
      </c>
      <c r="J1608" s="165">
        <v>0.52986111111111112</v>
      </c>
      <c r="K1608" s="94">
        <v>967</v>
      </c>
      <c r="L1608" s="72" t="str">
        <f t="shared" si="25"/>
        <v>Payé</v>
      </c>
    </row>
    <row r="1609" spans="1:12" ht="15" customHeight="1" x14ac:dyDescent="0.25">
      <c r="A1609" s="91" t="s">
        <v>850</v>
      </c>
      <c r="B1609" s="90">
        <v>3507</v>
      </c>
      <c r="C1609" s="88" t="s">
        <v>562</v>
      </c>
      <c r="D1609" s="90" t="s">
        <v>17</v>
      </c>
      <c r="E1609" s="90" t="s">
        <v>49</v>
      </c>
      <c r="F1609" s="91" t="s">
        <v>850</v>
      </c>
      <c r="G1609" s="90">
        <v>8</v>
      </c>
      <c r="H1609" s="90">
        <v>693</v>
      </c>
      <c r="I1609" s="91">
        <v>45888</v>
      </c>
      <c r="J1609" s="165">
        <v>0.42222222222222222</v>
      </c>
      <c r="K1609" s="90">
        <v>693</v>
      </c>
      <c r="L1609" s="72" t="str">
        <f t="shared" si="25"/>
        <v>Payé</v>
      </c>
    </row>
    <row r="1610" spans="1:12" ht="15" customHeight="1" x14ac:dyDescent="0.25">
      <c r="A1610" s="91" t="s">
        <v>850</v>
      </c>
      <c r="B1610" s="90">
        <v>4782</v>
      </c>
      <c r="C1610" s="88" t="s">
        <v>698</v>
      </c>
      <c r="D1610" s="90" t="s">
        <v>17</v>
      </c>
      <c r="E1610" s="90" t="s">
        <v>49</v>
      </c>
      <c r="F1610" s="91" t="s">
        <v>850</v>
      </c>
      <c r="G1610" s="90">
        <v>11</v>
      </c>
      <c r="H1610" s="90">
        <v>954</v>
      </c>
      <c r="I1610" s="91">
        <v>45887</v>
      </c>
      <c r="J1610" s="165">
        <v>0.56111111111111112</v>
      </c>
      <c r="K1610" s="90">
        <v>954</v>
      </c>
      <c r="L1610" s="72" t="str">
        <f t="shared" si="25"/>
        <v>Payé</v>
      </c>
    </row>
    <row r="1611" spans="1:12" ht="15" customHeight="1" x14ac:dyDescent="0.25">
      <c r="A1611" s="91" t="s">
        <v>850</v>
      </c>
      <c r="B1611" s="136" t="s">
        <v>821</v>
      </c>
      <c r="C1611" s="212" t="s">
        <v>911</v>
      </c>
      <c r="D1611" s="89" t="s">
        <v>912</v>
      </c>
      <c r="E1611" s="90" t="s">
        <v>614</v>
      </c>
      <c r="F1611" s="91" t="s">
        <v>850</v>
      </c>
      <c r="G1611" s="94">
        <v>2</v>
      </c>
      <c r="H1611" s="92">
        <v>900</v>
      </c>
      <c r="I1611" s="91">
        <v>45881</v>
      </c>
      <c r="J1611" s="165">
        <v>0.71250000000000002</v>
      </c>
      <c r="K1611" s="92">
        <v>900</v>
      </c>
      <c r="L1611" s="72" t="str">
        <f t="shared" si="25"/>
        <v>Payé</v>
      </c>
    </row>
    <row r="1612" spans="1:12" ht="15" customHeight="1" x14ac:dyDescent="0.25">
      <c r="A1612" s="91" t="s">
        <v>852</v>
      </c>
      <c r="B1612" s="90">
        <v>10</v>
      </c>
      <c r="C1612" s="88" t="s">
        <v>840</v>
      </c>
      <c r="D1612" s="90" t="s">
        <v>17</v>
      </c>
      <c r="E1612" s="90" t="s">
        <v>371</v>
      </c>
      <c r="F1612" s="91" t="s">
        <v>852</v>
      </c>
      <c r="G1612" s="96">
        <v>1</v>
      </c>
      <c r="H1612" s="94">
        <v>87</v>
      </c>
      <c r="I1612" s="91">
        <v>45931</v>
      </c>
      <c r="J1612" s="165">
        <v>0.71458333333333324</v>
      </c>
      <c r="K1612" s="94">
        <v>87</v>
      </c>
      <c r="L1612" s="72" t="str">
        <f t="shared" si="25"/>
        <v>Payé</v>
      </c>
    </row>
    <row r="1613" spans="1:12" ht="15" customHeight="1" x14ac:dyDescent="0.25">
      <c r="A1613" s="91" t="s">
        <v>852</v>
      </c>
      <c r="B1613" s="90">
        <v>3412</v>
      </c>
      <c r="C1613" s="88" t="s">
        <v>560</v>
      </c>
      <c r="D1613" s="90" t="s">
        <v>17</v>
      </c>
      <c r="E1613" s="90" t="s">
        <v>371</v>
      </c>
      <c r="F1613" s="91" t="s">
        <v>852</v>
      </c>
      <c r="G1613" s="96">
        <v>2</v>
      </c>
      <c r="H1613" s="94">
        <v>173</v>
      </c>
      <c r="I1613" s="91">
        <v>45911</v>
      </c>
      <c r="J1613" s="165">
        <v>0.67291666666666661</v>
      </c>
      <c r="K1613" s="94">
        <v>173</v>
      </c>
      <c r="L1613" s="72" t="str">
        <f t="shared" si="25"/>
        <v>Payé</v>
      </c>
    </row>
    <row r="1614" spans="1:12" ht="15" customHeight="1" x14ac:dyDescent="0.25">
      <c r="A1614" s="91" t="s">
        <v>852</v>
      </c>
      <c r="B1614" s="90">
        <v>4154</v>
      </c>
      <c r="C1614" s="88" t="s">
        <v>1062</v>
      </c>
      <c r="D1614" s="90" t="s">
        <v>17</v>
      </c>
      <c r="E1614" s="90" t="s">
        <v>1106</v>
      </c>
      <c r="F1614" s="91" t="s">
        <v>852</v>
      </c>
      <c r="G1614" s="96">
        <v>6</v>
      </c>
      <c r="H1614" s="94">
        <v>520</v>
      </c>
      <c r="I1614" s="91">
        <v>45911</v>
      </c>
      <c r="J1614" s="165">
        <v>0.71250000000000002</v>
      </c>
      <c r="K1614" s="94">
        <v>520</v>
      </c>
      <c r="L1614" s="72" t="str">
        <f t="shared" si="25"/>
        <v>Payé</v>
      </c>
    </row>
    <row r="1615" spans="1:12" ht="15" customHeight="1" x14ac:dyDescent="0.25">
      <c r="A1615" s="91" t="s">
        <v>852</v>
      </c>
      <c r="B1615" s="90">
        <v>4417</v>
      </c>
      <c r="C1615" s="88" t="s">
        <v>1063</v>
      </c>
      <c r="D1615" s="90" t="s">
        <v>17</v>
      </c>
      <c r="E1615" s="90" t="s">
        <v>1106</v>
      </c>
      <c r="F1615" s="91" t="s">
        <v>852</v>
      </c>
      <c r="G1615" s="96">
        <v>6</v>
      </c>
      <c r="H1615" s="94">
        <v>520</v>
      </c>
      <c r="I1615" s="91">
        <v>45911</v>
      </c>
      <c r="J1615" s="165">
        <v>0.71250000000000002</v>
      </c>
      <c r="K1615" s="94">
        <v>520</v>
      </c>
      <c r="L1615" s="72" t="str">
        <f t="shared" si="25"/>
        <v>Payé</v>
      </c>
    </row>
    <row r="1616" spans="1:12" ht="15" customHeight="1" x14ac:dyDescent="0.25">
      <c r="A1616" s="91" t="s">
        <v>852</v>
      </c>
      <c r="B1616" s="90">
        <v>5358</v>
      </c>
      <c r="C1616" s="88" t="s">
        <v>1092</v>
      </c>
      <c r="D1616" s="90" t="s">
        <v>17</v>
      </c>
      <c r="E1616" s="90" t="s">
        <v>1106</v>
      </c>
      <c r="F1616" s="91" t="s">
        <v>852</v>
      </c>
      <c r="G1616" s="96">
        <v>5</v>
      </c>
      <c r="H1616" s="94">
        <v>434</v>
      </c>
      <c r="I1616" s="91">
        <v>45911</v>
      </c>
      <c r="J1616" s="165">
        <v>0.71250000000000002</v>
      </c>
      <c r="K1616" s="94">
        <v>434</v>
      </c>
      <c r="L1616" s="72" t="str">
        <f t="shared" si="25"/>
        <v>Payé</v>
      </c>
    </row>
    <row r="1617" spans="1:12" ht="15" customHeight="1" x14ac:dyDescent="0.25">
      <c r="A1617" s="91" t="s">
        <v>852</v>
      </c>
      <c r="B1617" s="90">
        <v>9019</v>
      </c>
      <c r="C1617" s="88" t="s">
        <v>1099</v>
      </c>
      <c r="D1617" s="90" t="s">
        <v>17</v>
      </c>
      <c r="E1617" s="90" t="s">
        <v>1106</v>
      </c>
      <c r="F1617" s="91" t="s">
        <v>852</v>
      </c>
      <c r="G1617" s="96">
        <v>6</v>
      </c>
      <c r="H1617" s="94">
        <v>520</v>
      </c>
      <c r="I1617" s="91">
        <v>45911</v>
      </c>
      <c r="J1617" s="165">
        <v>0.71250000000000002</v>
      </c>
      <c r="K1617" s="94">
        <v>520</v>
      </c>
      <c r="L1617" s="72" t="str">
        <f t="shared" si="25"/>
        <v>Payé</v>
      </c>
    </row>
    <row r="1618" spans="1:12" ht="15" customHeight="1" x14ac:dyDescent="0.25">
      <c r="A1618" s="91" t="s">
        <v>852</v>
      </c>
      <c r="B1618" s="90">
        <v>9021</v>
      </c>
      <c r="C1618" s="88" t="s">
        <v>1100</v>
      </c>
      <c r="D1618" s="90" t="s">
        <v>17</v>
      </c>
      <c r="E1618" s="90" t="s">
        <v>1106</v>
      </c>
      <c r="F1618" s="91" t="s">
        <v>852</v>
      </c>
      <c r="G1618" s="96">
        <v>5</v>
      </c>
      <c r="H1618" s="94">
        <v>434</v>
      </c>
      <c r="I1618" s="91">
        <v>45937</v>
      </c>
      <c r="J1618" s="165">
        <v>0.63472222222222219</v>
      </c>
      <c r="K1618" s="94">
        <v>434</v>
      </c>
      <c r="L1618" s="72" t="str">
        <f t="shared" si="25"/>
        <v>Payé</v>
      </c>
    </row>
    <row r="1619" spans="1:12" ht="15" customHeight="1" x14ac:dyDescent="0.25">
      <c r="A1619" s="91" t="s">
        <v>852</v>
      </c>
      <c r="B1619" s="90">
        <v>9043</v>
      </c>
      <c r="C1619" s="88" t="s">
        <v>1101</v>
      </c>
      <c r="D1619" s="90" t="s">
        <v>17</v>
      </c>
      <c r="E1619" s="90" t="s">
        <v>1106</v>
      </c>
      <c r="F1619" s="91" t="s">
        <v>852</v>
      </c>
      <c r="G1619" s="96">
        <v>5</v>
      </c>
      <c r="H1619" s="94">
        <v>434</v>
      </c>
      <c r="I1619" s="91">
        <v>45911</v>
      </c>
      <c r="J1619" s="165">
        <v>0.71250000000000002</v>
      </c>
      <c r="K1619" s="94">
        <v>434</v>
      </c>
      <c r="L1619" s="72" t="str">
        <f t="shared" si="25"/>
        <v>Payé</v>
      </c>
    </row>
    <row r="1620" spans="1:12" ht="15" customHeight="1" x14ac:dyDescent="0.25">
      <c r="A1620" s="91" t="s">
        <v>852</v>
      </c>
      <c r="B1620" s="90">
        <v>9045</v>
      </c>
      <c r="C1620" s="88" t="s">
        <v>1102</v>
      </c>
      <c r="D1620" s="90" t="s">
        <v>17</v>
      </c>
      <c r="E1620" s="90" t="s">
        <v>1106</v>
      </c>
      <c r="F1620" s="91" t="s">
        <v>852</v>
      </c>
      <c r="G1620" s="96">
        <v>1</v>
      </c>
      <c r="H1620" s="94">
        <v>87</v>
      </c>
      <c r="I1620" s="91">
        <v>45911</v>
      </c>
      <c r="J1620" s="165">
        <v>0.71250000000000002</v>
      </c>
      <c r="K1620" s="94">
        <v>87</v>
      </c>
      <c r="L1620" s="72" t="str">
        <f t="shared" si="25"/>
        <v>Payé</v>
      </c>
    </row>
    <row r="1621" spans="1:12" ht="15" customHeight="1" x14ac:dyDescent="0.25">
      <c r="A1621" s="91" t="s">
        <v>852</v>
      </c>
      <c r="B1621" s="90"/>
      <c r="C1621" s="88" t="s">
        <v>1110</v>
      </c>
      <c r="D1621" s="89" t="s">
        <v>910</v>
      </c>
      <c r="E1621" s="90" t="s">
        <v>1106</v>
      </c>
      <c r="F1621" s="91" t="s">
        <v>852</v>
      </c>
      <c r="G1621" s="95">
        <v>75</v>
      </c>
      <c r="H1621" s="92">
        <v>1875</v>
      </c>
      <c r="I1621" s="91">
        <v>45911</v>
      </c>
      <c r="J1621" s="165">
        <v>0.71458333333333324</v>
      </c>
      <c r="K1621" s="92">
        <v>1875</v>
      </c>
      <c r="L1621" s="72" t="str">
        <f t="shared" si="25"/>
        <v>Payé</v>
      </c>
    </row>
    <row r="1622" spans="1:12" ht="15" customHeight="1" x14ac:dyDescent="0.25">
      <c r="A1622" s="91" t="s">
        <v>852</v>
      </c>
      <c r="B1622" s="90">
        <v>2311</v>
      </c>
      <c r="C1622" s="88" t="s">
        <v>406</v>
      </c>
      <c r="D1622" s="90" t="s">
        <v>17</v>
      </c>
      <c r="E1622" s="90" t="s">
        <v>613</v>
      </c>
      <c r="F1622" s="91" t="s">
        <v>852</v>
      </c>
      <c r="G1622" s="96">
        <v>2</v>
      </c>
      <c r="H1622" s="94">
        <v>182</v>
      </c>
      <c r="I1622" s="91">
        <v>45912</v>
      </c>
      <c r="J1622" s="165">
        <v>0.52430555555555558</v>
      </c>
      <c r="K1622" s="94">
        <v>182</v>
      </c>
      <c r="L1622" s="72" t="str">
        <f t="shared" si="25"/>
        <v>Payé</v>
      </c>
    </row>
    <row r="1623" spans="1:12" ht="15" customHeight="1" x14ac:dyDescent="0.25">
      <c r="A1623" s="91" t="s">
        <v>852</v>
      </c>
      <c r="B1623" s="90">
        <v>3398</v>
      </c>
      <c r="C1623" s="88" t="s">
        <v>557</v>
      </c>
      <c r="D1623" s="90" t="s">
        <v>17</v>
      </c>
      <c r="E1623" s="90" t="s">
        <v>613</v>
      </c>
      <c r="F1623" s="91" t="s">
        <v>852</v>
      </c>
      <c r="G1623" s="96">
        <v>1</v>
      </c>
      <c r="H1623" s="94">
        <v>87</v>
      </c>
      <c r="I1623" s="91">
        <v>45916</v>
      </c>
      <c r="J1623" s="165">
        <v>0.61388888888888882</v>
      </c>
      <c r="K1623" s="94">
        <v>87</v>
      </c>
      <c r="L1623" s="72" t="str">
        <f t="shared" si="25"/>
        <v>Payé</v>
      </c>
    </row>
    <row r="1624" spans="1:12" ht="15" customHeight="1" x14ac:dyDescent="0.25">
      <c r="A1624" s="91" t="s">
        <v>852</v>
      </c>
      <c r="B1624" s="90">
        <v>3672</v>
      </c>
      <c r="C1624" s="88" t="s">
        <v>568</v>
      </c>
      <c r="D1624" s="90" t="s">
        <v>17</v>
      </c>
      <c r="E1624" s="90" t="s">
        <v>613</v>
      </c>
      <c r="F1624" s="91" t="s">
        <v>852</v>
      </c>
      <c r="G1624" s="96">
        <v>18</v>
      </c>
      <c r="H1624" s="94">
        <v>1945</v>
      </c>
      <c r="I1624" s="91">
        <v>45911</v>
      </c>
      <c r="J1624" s="165">
        <v>0.69513888888888886</v>
      </c>
      <c r="K1624" s="94">
        <v>1945</v>
      </c>
      <c r="L1624" s="72" t="str">
        <f t="shared" si="25"/>
        <v>Payé</v>
      </c>
    </row>
    <row r="1625" spans="1:12" ht="15" customHeight="1" x14ac:dyDescent="0.25">
      <c r="A1625" s="91" t="s">
        <v>852</v>
      </c>
      <c r="B1625" s="90">
        <v>5344</v>
      </c>
      <c r="C1625" s="88" t="s">
        <v>1079</v>
      </c>
      <c r="D1625" s="90" t="s">
        <v>17</v>
      </c>
      <c r="E1625" s="90" t="s">
        <v>613</v>
      </c>
      <c r="F1625" s="91" t="s">
        <v>852</v>
      </c>
      <c r="G1625" s="96">
        <v>13</v>
      </c>
      <c r="H1625" s="94">
        <v>1258</v>
      </c>
      <c r="I1625" s="91">
        <v>45911</v>
      </c>
      <c r="J1625" s="165">
        <v>0.72638888888888886</v>
      </c>
      <c r="K1625" s="94">
        <v>1258</v>
      </c>
      <c r="L1625" s="72" t="str">
        <f t="shared" si="25"/>
        <v>Payé</v>
      </c>
    </row>
    <row r="1626" spans="1:12" ht="15" customHeight="1" x14ac:dyDescent="0.25">
      <c r="A1626" s="91" t="s">
        <v>852</v>
      </c>
      <c r="B1626" s="90">
        <v>102</v>
      </c>
      <c r="C1626" s="88" t="s">
        <v>594</v>
      </c>
      <c r="D1626" s="90" t="s">
        <v>17</v>
      </c>
      <c r="E1626" s="90" t="s">
        <v>391</v>
      </c>
      <c r="F1626" s="91" t="s">
        <v>852</v>
      </c>
      <c r="G1626" s="96">
        <v>1</v>
      </c>
      <c r="H1626" s="94">
        <v>91</v>
      </c>
      <c r="I1626" s="91">
        <v>45913</v>
      </c>
      <c r="J1626" s="165">
        <v>0.59722222222222221</v>
      </c>
      <c r="K1626" s="94">
        <v>91</v>
      </c>
      <c r="L1626" s="72" t="str">
        <f t="shared" si="25"/>
        <v>Payé</v>
      </c>
    </row>
    <row r="1627" spans="1:12" ht="15" customHeight="1" x14ac:dyDescent="0.25">
      <c r="A1627" s="91" t="s">
        <v>852</v>
      </c>
      <c r="B1627" s="90">
        <v>5270</v>
      </c>
      <c r="C1627" s="88" t="s">
        <v>926</v>
      </c>
      <c r="D1627" s="90" t="s">
        <v>17</v>
      </c>
      <c r="E1627" s="90" t="s">
        <v>391</v>
      </c>
      <c r="F1627" s="91" t="s">
        <v>852</v>
      </c>
      <c r="G1627" s="96">
        <v>16</v>
      </c>
      <c r="H1627" s="94">
        <v>1548</v>
      </c>
      <c r="I1627" s="91">
        <v>45911</v>
      </c>
      <c r="J1627" s="165">
        <v>0.69513888888888886</v>
      </c>
      <c r="K1627" s="94">
        <v>1548</v>
      </c>
      <c r="L1627" s="72" t="str">
        <f t="shared" si="25"/>
        <v>Payé</v>
      </c>
    </row>
    <row r="1628" spans="1:12" ht="15" customHeight="1" x14ac:dyDescent="0.25">
      <c r="A1628" s="91" t="s">
        <v>852</v>
      </c>
      <c r="B1628" s="90">
        <v>5347</v>
      </c>
      <c r="C1628" s="88" t="s">
        <v>825</v>
      </c>
      <c r="D1628" s="90" t="s">
        <v>17</v>
      </c>
      <c r="E1628" s="90" t="s">
        <v>391</v>
      </c>
      <c r="F1628" s="91" t="s">
        <v>852</v>
      </c>
      <c r="G1628" s="96">
        <v>16</v>
      </c>
      <c r="H1628" s="94">
        <v>1548</v>
      </c>
      <c r="I1628" s="91">
        <v>45911</v>
      </c>
      <c r="J1628" s="165">
        <v>0.69305555555555554</v>
      </c>
      <c r="K1628" s="94">
        <v>1548</v>
      </c>
      <c r="L1628" s="72" t="str">
        <f t="shared" si="25"/>
        <v>Payé</v>
      </c>
    </row>
    <row r="1629" spans="1:12" ht="15" customHeight="1" x14ac:dyDescent="0.25">
      <c r="A1629" s="91" t="s">
        <v>852</v>
      </c>
      <c r="B1629" s="90">
        <v>6</v>
      </c>
      <c r="C1629" s="88" t="s">
        <v>542</v>
      </c>
      <c r="D1629" s="90" t="s">
        <v>17</v>
      </c>
      <c r="E1629" s="90" t="s">
        <v>1103</v>
      </c>
      <c r="F1629" s="91" t="s">
        <v>852</v>
      </c>
      <c r="G1629" s="96">
        <v>2</v>
      </c>
      <c r="H1629" s="94">
        <v>191</v>
      </c>
      <c r="I1629" s="91">
        <v>45911</v>
      </c>
      <c r="J1629" s="165">
        <v>0.67291666666666661</v>
      </c>
      <c r="K1629" s="94">
        <v>191</v>
      </c>
      <c r="L1629" s="72" t="str">
        <f t="shared" si="25"/>
        <v>Payé</v>
      </c>
    </row>
    <row r="1630" spans="1:12" ht="15" customHeight="1" x14ac:dyDescent="0.25">
      <c r="A1630" s="91" t="s">
        <v>852</v>
      </c>
      <c r="B1630" s="90" t="s">
        <v>1065</v>
      </c>
      <c r="C1630" s="88" t="s">
        <v>1066</v>
      </c>
      <c r="D1630" s="90" t="s">
        <v>17</v>
      </c>
      <c r="E1630" s="90" t="s">
        <v>1107</v>
      </c>
      <c r="F1630" s="91" t="s">
        <v>852</v>
      </c>
      <c r="G1630" s="96">
        <v>1</v>
      </c>
      <c r="H1630" s="94">
        <v>97</v>
      </c>
      <c r="I1630" s="91">
        <v>45915</v>
      </c>
      <c r="J1630" s="165">
        <v>0.55138888888888882</v>
      </c>
      <c r="K1630" s="94">
        <v>97</v>
      </c>
      <c r="L1630" s="72" t="str">
        <f t="shared" ref="L1630:L1693" si="26">IF(ISBLANK(H1630),"",IF(H1630=K1630,"Payé","Impayé"))</f>
        <v>Payé</v>
      </c>
    </row>
    <row r="1631" spans="1:12" ht="15" customHeight="1" x14ac:dyDescent="0.25">
      <c r="A1631" s="91" t="s">
        <v>852</v>
      </c>
      <c r="B1631" s="90" t="s">
        <v>1082</v>
      </c>
      <c r="C1631" s="88" t="s">
        <v>1083</v>
      </c>
      <c r="D1631" s="90" t="s">
        <v>17</v>
      </c>
      <c r="E1631" s="90" t="s">
        <v>1107</v>
      </c>
      <c r="F1631" s="91" t="s">
        <v>852</v>
      </c>
      <c r="G1631" s="96">
        <v>15</v>
      </c>
      <c r="H1631" s="94">
        <v>1451</v>
      </c>
      <c r="I1631" s="91">
        <v>45915</v>
      </c>
      <c r="J1631" s="165">
        <v>0.55138888888888882</v>
      </c>
      <c r="K1631" s="94">
        <v>1451</v>
      </c>
      <c r="L1631" s="72" t="str">
        <f t="shared" si="26"/>
        <v>Payé</v>
      </c>
    </row>
    <row r="1632" spans="1:12" ht="15" customHeight="1" x14ac:dyDescent="0.25">
      <c r="A1632" s="91" t="s">
        <v>852</v>
      </c>
      <c r="B1632" s="90">
        <v>198</v>
      </c>
      <c r="C1632" s="88" t="s">
        <v>380</v>
      </c>
      <c r="D1632" s="90" t="s">
        <v>17</v>
      </c>
      <c r="E1632" s="90" t="s">
        <v>1105</v>
      </c>
      <c r="F1632" s="91" t="s">
        <v>852</v>
      </c>
      <c r="G1632" s="96">
        <v>2</v>
      </c>
      <c r="H1632" s="94">
        <v>182</v>
      </c>
      <c r="I1632" s="91">
        <v>45911</v>
      </c>
      <c r="J1632" s="165">
        <v>0.67291666666666661</v>
      </c>
      <c r="K1632" s="94">
        <v>182</v>
      </c>
      <c r="L1632" s="72" t="str">
        <f t="shared" si="26"/>
        <v>Payé</v>
      </c>
    </row>
    <row r="1633" spans="1:12" ht="15" customHeight="1" x14ac:dyDescent="0.25">
      <c r="A1633" s="91" t="s">
        <v>852</v>
      </c>
      <c r="B1633" s="90">
        <v>753</v>
      </c>
      <c r="C1633" s="88" t="s">
        <v>956</v>
      </c>
      <c r="D1633" s="90" t="s">
        <v>17</v>
      </c>
      <c r="E1633" s="90" t="s">
        <v>1105</v>
      </c>
      <c r="F1633" s="91" t="s">
        <v>852</v>
      </c>
      <c r="G1633" s="96">
        <v>1</v>
      </c>
      <c r="H1633" s="94">
        <v>91</v>
      </c>
      <c r="I1633" s="91">
        <v>45916</v>
      </c>
      <c r="J1633" s="165">
        <v>0.6430555555555556</v>
      </c>
      <c r="K1633" s="94">
        <v>91</v>
      </c>
      <c r="L1633" s="72" t="str">
        <f t="shared" si="26"/>
        <v>Payé</v>
      </c>
    </row>
    <row r="1634" spans="1:12" ht="15" customHeight="1" x14ac:dyDescent="0.25">
      <c r="A1634" s="91" t="s">
        <v>852</v>
      </c>
      <c r="B1634" s="90">
        <v>95</v>
      </c>
      <c r="C1634" s="88" t="s">
        <v>408</v>
      </c>
      <c r="D1634" s="90" t="s">
        <v>17</v>
      </c>
      <c r="E1634" s="90" t="s">
        <v>107</v>
      </c>
      <c r="F1634" s="91" t="s">
        <v>852</v>
      </c>
      <c r="G1634" s="96">
        <v>2</v>
      </c>
      <c r="H1634" s="94">
        <v>182</v>
      </c>
      <c r="I1634" s="91">
        <v>45916</v>
      </c>
      <c r="J1634" s="165">
        <v>0.61388888888888882</v>
      </c>
      <c r="K1634" s="94">
        <v>182</v>
      </c>
      <c r="L1634" s="72" t="str">
        <f t="shared" si="26"/>
        <v>Payé</v>
      </c>
    </row>
    <row r="1635" spans="1:12" ht="15" customHeight="1" x14ac:dyDescent="0.25">
      <c r="A1635" s="91" t="s">
        <v>852</v>
      </c>
      <c r="B1635" s="90">
        <v>3351</v>
      </c>
      <c r="C1635" s="88" t="s">
        <v>617</v>
      </c>
      <c r="D1635" s="90" t="s">
        <v>17</v>
      </c>
      <c r="E1635" s="90" t="s">
        <v>107</v>
      </c>
      <c r="F1635" s="91" t="s">
        <v>852</v>
      </c>
      <c r="G1635" s="96">
        <v>1</v>
      </c>
      <c r="H1635" s="94">
        <v>87</v>
      </c>
      <c r="I1635" s="91">
        <v>45912</v>
      </c>
      <c r="J1635" s="165">
        <v>0.70416666666666661</v>
      </c>
      <c r="K1635" s="94">
        <v>87</v>
      </c>
      <c r="L1635" s="72" t="str">
        <f t="shared" si="26"/>
        <v>Payé</v>
      </c>
    </row>
    <row r="1636" spans="1:12" ht="15" customHeight="1" x14ac:dyDescent="0.25">
      <c r="A1636" s="91" t="s">
        <v>852</v>
      </c>
      <c r="B1636" s="90">
        <v>331</v>
      </c>
      <c r="C1636" s="88" t="s">
        <v>949</v>
      </c>
      <c r="D1636" s="90" t="s">
        <v>17</v>
      </c>
      <c r="E1636" s="90" t="s">
        <v>944</v>
      </c>
      <c r="F1636" s="91" t="s">
        <v>852</v>
      </c>
      <c r="G1636" s="96">
        <v>8</v>
      </c>
      <c r="H1636" s="94">
        <v>694</v>
      </c>
      <c r="I1636" s="91">
        <v>45918</v>
      </c>
      <c r="J1636" s="165">
        <v>0.4465277777777778</v>
      </c>
      <c r="K1636" s="94">
        <v>694</v>
      </c>
      <c r="L1636" s="72" t="str">
        <f t="shared" si="26"/>
        <v>Payé</v>
      </c>
    </row>
    <row r="1637" spans="1:12" ht="15" customHeight="1" x14ac:dyDescent="0.25">
      <c r="A1637" s="91" t="s">
        <v>852</v>
      </c>
      <c r="B1637" s="90">
        <v>919</v>
      </c>
      <c r="C1637" s="88" t="s">
        <v>242</v>
      </c>
      <c r="D1637" s="90" t="s">
        <v>17</v>
      </c>
      <c r="E1637" s="90" t="s">
        <v>944</v>
      </c>
      <c r="F1637" s="91" t="s">
        <v>852</v>
      </c>
      <c r="G1637" s="96">
        <v>6</v>
      </c>
      <c r="H1637" s="94">
        <v>520</v>
      </c>
      <c r="I1637" s="91">
        <v>45929</v>
      </c>
      <c r="J1637" s="165">
        <v>0.68333333333333324</v>
      </c>
      <c r="K1637" s="94">
        <v>520</v>
      </c>
      <c r="L1637" s="72" t="str">
        <f t="shared" si="26"/>
        <v>Payé</v>
      </c>
    </row>
    <row r="1638" spans="1:12" ht="15" customHeight="1" x14ac:dyDescent="0.25">
      <c r="A1638" s="91" t="s">
        <v>852</v>
      </c>
      <c r="B1638" s="90">
        <v>2089</v>
      </c>
      <c r="C1638" s="88" t="s">
        <v>966</v>
      </c>
      <c r="D1638" s="90" t="s">
        <v>17</v>
      </c>
      <c r="E1638" s="90" t="s">
        <v>944</v>
      </c>
      <c r="F1638" s="91" t="s">
        <v>852</v>
      </c>
      <c r="G1638" s="96">
        <v>2</v>
      </c>
      <c r="H1638" s="94">
        <v>173</v>
      </c>
      <c r="I1638" s="91">
        <v>45916</v>
      </c>
      <c r="J1638" s="165">
        <v>0.62291666666666667</v>
      </c>
      <c r="K1638" s="94">
        <v>173</v>
      </c>
      <c r="L1638" s="72" t="str">
        <f t="shared" si="26"/>
        <v>Payé</v>
      </c>
    </row>
    <row r="1639" spans="1:12" ht="15" customHeight="1" x14ac:dyDescent="0.25">
      <c r="A1639" s="91" t="s">
        <v>852</v>
      </c>
      <c r="B1639" s="90">
        <v>2411</v>
      </c>
      <c r="C1639" s="88" t="s">
        <v>970</v>
      </c>
      <c r="D1639" s="90" t="s">
        <v>17</v>
      </c>
      <c r="E1639" s="90" t="s">
        <v>944</v>
      </c>
      <c r="F1639" s="91" t="s">
        <v>852</v>
      </c>
      <c r="G1639" s="96">
        <v>2</v>
      </c>
      <c r="H1639" s="94">
        <v>173</v>
      </c>
      <c r="I1639" s="91">
        <v>45916</v>
      </c>
      <c r="J1639" s="165">
        <v>0.62291666666666667</v>
      </c>
      <c r="K1639" s="94">
        <v>173</v>
      </c>
      <c r="L1639" s="72" t="str">
        <f t="shared" si="26"/>
        <v>Payé</v>
      </c>
    </row>
    <row r="1640" spans="1:12" ht="15" customHeight="1" x14ac:dyDescent="0.25">
      <c r="A1640" s="91" t="s">
        <v>852</v>
      </c>
      <c r="B1640" s="90">
        <v>2412</v>
      </c>
      <c r="C1640" s="88" t="s">
        <v>971</v>
      </c>
      <c r="D1640" s="90" t="s">
        <v>17</v>
      </c>
      <c r="E1640" s="90" t="s">
        <v>944</v>
      </c>
      <c r="F1640" s="91" t="s">
        <v>852</v>
      </c>
      <c r="G1640" s="96">
        <v>8</v>
      </c>
      <c r="H1640" s="94">
        <v>774</v>
      </c>
      <c r="I1640" s="91">
        <v>45916</v>
      </c>
      <c r="J1640" s="165">
        <v>0.62291666666666667</v>
      </c>
      <c r="K1640" s="94">
        <v>774</v>
      </c>
      <c r="L1640" s="72" t="str">
        <f t="shared" si="26"/>
        <v>Payé</v>
      </c>
    </row>
    <row r="1641" spans="1:12" ht="15" customHeight="1" x14ac:dyDescent="0.25">
      <c r="A1641" s="91" t="s">
        <v>852</v>
      </c>
      <c r="B1641" s="90">
        <v>2638</v>
      </c>
      <c r="C1641" s="88" t="s">
        <v>974</v>
      </c>
      <c r="D1641" s="90" t="s">
        <v>17</v>
      </c>
      <c r="E1641" s="90" t="s">
        <v>944</v>
      </c>
      <c r="F1641" s="91" t="s">
        <v>852</v>
      </c>
      <c r="G1641" s="96">
        <v>1</v>
      </c>
      <c r="H1641" s="94">
        <v>87</v>
      </c>
      <c r="I1641" s="91">
        <v>45927</v>
      </c>
      <c r="J1641" s="165">
        <v>0.50208333333333333</v>
      </c>
      <c r="K1641" s="94">
        <v>87</v>
      </c>
      <c r="L1641" s="72" t="str">
        <f t="shared" si="26"/>
        <v>Payé</v>
      </c>
    </row>
    <row r="1642" spans="1:12" ht="15" customHeight="1" x14ac:dyDescent="0.25">
      <c r="A1642" s="91" t="s">
        <v>852</v>
      </c>
      <c r="B1642" s="90">
        <v>5281</v>
      </c>
      <c r="C1642" s="88" t="s">
        <v>995</v>
      </c>
      <c r="D1642" s="90" t="s">
        <v>17</v>
      </c>
      <c r="E1642" s="90" t="s">
        <v>944</v>
      </c>
      <c r="F1642" s="91" t="s">
        <v>852</v>
      </c>
      <c r="G1642" s="96">
        <v>2</v>
      </c>
      <c r="H1642" s="94">
        <v>173</v>
      </c>
      <c r="I1642" s="91">
        <v>45927</v>
      </c>
      <c r="J1642" s="165">
        <v>0.50347222222222221</v>
      </c>
      <c r="K1642" s="94">
        <v>173</v>
      </c>
      <c r="L1642" s="72" t="str">
        <f t="shared" si="26"/>
        <v>Payé</v>
      </c>
    </row>
    <row r="1643" spans="1:12" ht="15" customHeight="1" x14ac:dyDescent="0.25">
      <c r="A1643" s="91" t="s">
        <v>852</v>
      </c>
      <c r="B1643" s="90">
        <v>5283</v>
      </c>
      <c r="C1643" s="88" t="s">
        <v>936</v>
      </c>
      <c r="D1643" s="90" t="s">
        <v>17</v>
      </c>
      <c r="E1643" s="90" t="s">
        <v>944</v>
      </c>
      <c r="F1643" s="91" t="s">
        <v>852</v>
      </c>
      <c r="G1643" s="96">
        <v>4</v>
      </c>
      <c r="H1643" s="94">
        <v>347</v>
      </c>
      <c r="I1643" s="91">
        <v>45916</v>
      </c>
      <c r="J1643" s="165">
        <v>0.62291666666666667</v>
      </c>
      <c r="K1643" s="94">
        <v>347</v>
      </c>
      <c r="L1643" s="72" t="str">
        <f t="shared" si="26"/>
        <v>Payé</v>
      </c>
    </row>
    <row r="1644" spans="1:12" ht="15" customHeight="1" x14ac:dyDescent="0.25">
      <c r="A1644" s="91" t="s">
        <v>852</v>
      </c>
      <c r="B1644" s="90">
        <v>5286</v>
      </c>
      <c r="C1644" s="88" t="s">
        <v>998</v>
      </c>
      <c r="D1644" s="90" t="s">
        <v>17</v>
      </c>
      <c r="E1644" s="90" t="s">
        <v>944</v>
      </c>
      <c r="F1644" s="91" t="s">
        <v>852</v>
      </c>
      <c r="G1644" s="96">
        <v>5</v>
      </c>
      <c r="H1644" s="94">
        <v>434</v>
      </c>
      <c r="I1644" s="91">
        <v>45912</v>
      </c>
      <c r="J1644" s="165">
        <v>0.6069444444444444</v>
      </c>
      <c r="K1644" s="94">
        <v>434</v>
      </c>
      <c r="L1644" s="72" t="str">
        <f t="shared" si="26"/>
        <v>Payé</v>
      </c>
    </row>
    <row r="1645" spans="1:12" ht="15" customHeight="1" x14ac:dyDescent="0.25">
      <c r="A1645" s="91" t="s">
        <v>852</v>
      </c>
      <c r="B1645" s="90">
        <v>5287</v>
      </c>
      <c r="C1645" s="88" t="s">
        <v>999</v>
      </c>
      <c r="D1645" s="90" t="s">
        <v>17</v>
      </c>
      <c r="E1645" s="90" t="s">
        <v>944</v>
      </c>
      <c r="F1645" s="91" t="s">
        <v>852</v>
      </c>
      <c r="G1645" s="96">
        <v>8</v>
      </c>
      <c r="H1645" s="94">
        <v>694</v>
      </c>
      <c r="I1645" s="91">
        <v>45912</v>
      </c>
      <c r="J1645" s="165">
        <v>0.6069444444444444</v>
      </c>
      <c r="K1645" s="94">
        <v>694</v>
      </c>
      <c r="L1645" s="72" t="str">
        <f t="shared" si="26"/>
        <v>Payé</v>
      </c>
    </row>
    <row r="1646" spans="1:12" ht="15" customHeight="1" x14ac:dyDescent="0.25">
      <c r="A1646" s="91" t="s">
        <v>852</v>
      </c>
      <c r="B1646" s="90">
        <v>5289</v>
      </c>
      <c r="C1646" s="88" t="s">
        <v>1001</v>
      </c>
      <c r="D1646" s="90" t="s">
        <v>17</v>
      </c>
      <c r="E1646" s="90" t="s">
        <v>944</v>
      </c>
      <c r="F1646" s="91" t="s">
        <v>852</v>
      </c>
      <c r="G1646" s="96">
        <v>5</v>
      </c>
      <c r="H1646" s="94">
        <v>434</v>
      </c>
      <c r="I1646" s="91">
        <v>45916</v>
      </c>
      <c r="J1646" s="165">
        <v>0.62291666666666667</v>
      </c>
      <c r="K1646" s="94">
        <v>434</v>
      </c>
      <c r="L1646" s="72" t="str">
        <f t="shared" si="26"/>
        <v>Payé</v>
      </c>
    </row>
    <row r="1647" spans="1:12" ht="15" customHeight="1" x14ac:dyDescent="0.25">
      <c r="A1647" s="91" t="s">
        <v>852</v>
      </c>
      <c r="B1647" s="90">
        <v>5304</v>
      </c>
      <c r="C1647" s="88" t="s">
        <v>1015</v>
      </c>
      <c r="D1647" s="90" t="s">
        <v>17</v>
      </c>
      <c r="E1647" s="90" t="s">
        <v>944</v>
      </c>
      <c r="F1647" s="91" t="s">
        <v>852</v>
      </c>
      <c r="G1647" s="96">
        <v>6</v>
      </c>
      <c r="H1647" s="94">
        <v>520</v>
      </c>
      <c r="I1647" s="91">
        <v>45916</v>
      </c>
      <c r="J1647" s="165">
        <v>0.62291666666666667</v>
      </c>
      <c r="K1647" s="94">
        <v>520</v>
      </c>
      <c r="L1647" s="72" t="str">
        <f t="shared" si="26"/>
        <v>Payé</v>
      </c>
    </row>
    <row r="1648" spans="1:12" ht="15" customHeight="1" x14ac:dyDescent="0.25">
      <c r="A1648" s="91" t="s">
        <v>852</v>
      </c>
      <c r="B1648" s="90">
        <v>5306</v>
      </c>
      <c r="C1648" s="88" t="s">
        <v>1017</v>
      </c>
      <c r="D1648" s="90" t="s">
        <v>17</v>
      </c>
      <c r="E1648" s="90" t="s">
        <v>944</v>
      </c>
      <c r="F1648" s="91" t="s">
        <v>852</v>
      </c>
      <c r="G1648" s="96">
        <v>9</v>
      </c>
      <c r="H1648" s="94">
        <v>781</v>
      </c>
      <c r="I1648" s="91">
        <v>45916</v>
      </c>
      <c r="J1648" s="165">
        <v>0.62291666666666667</v>
      </c>
      <c r="K1648" s="94">
        <v>781</v>
      </c>
      <c r="L1648" s="72" t="str">
        <f t="shared" si="26"/>
        <v>Payé</v>
      </c>
    </row>
    <row r="1649" spans="1:12" ht="15" customHeight="1" x14ac:dyDescent="0.25">
      <c r="A1649" s="91" t="s">
        <v>852</v>
      </c>
      <c r="B1649" s="90">
        <v>5307</v>
      </c>
      <c r="C1649" s="88" t="s">
        <v>1018</v>
      </c>
      <c r="D1649" s="90" t="s">
        <v>17</v>
      </c>
      <c r="E1649" s="90" t="s">
        <v>944</v>
      </c>
      <c r="F1649" s="91" t="s">
        <v>852</v>
      </c>
      <c r="G1649" s="96">
        <v>5</v>
      </c>
      <c r="H1649" s="94">
        <v>454</v>
      </c>
      <c r="I1649" s="91">
        <v>45929</v>
      </c>
      <c r="J1649" s="165">
        <v>0.68333333333333324</v>
      </c>
      <c r="K1649" s="94">
        <v>454</v>
      </c>
      <c r="L1649" s="72" t="str">
        <f t="shared" si="26"/>
        <v>Payé</v>
      </c>
    </row>
    <row r="1650" spans="1:12" ht="15" customHeight="1" x14ac:dyDescent="0.25">
      <c r="A1650" s="91" t="s">
        <v>852</v>
      </c>
      <c r="B1650" s="90">
        <v>5311</v>
      </c>
      <c r="C1650" s="88" t="s">
        <v>1021</v>
      </c>
      <c r="D1650" s="90" t="s">
        <v>17</v>
      </c>
      <c r="E1650" s="90" t="s">
        <v>944</v>
      </c>
      <c r="F1650" s="91" t="s">
        <v>852</v>
      </c>
      <c r="G1650" s="96">
        <v>4</v>
      </c>
      <c r="H1650" s="94">
        <v>347</v>
      </c>
      <c r="I1650" s="91">
        <v>45927</v>
      </c>
      <c r="J1650" s="165">
        <v>0.50486111111111109</v>
      </c>
      <c r="K1650" s="94">
        <v>347</v>
      </c>
      <c r="L1650" s="72" t="str">
        <f t="shared" si="26"/>
        <v>Payé</v>
      </c>
    </row>
    <row r="1651" spans="1:12" ht="15" customHeight="1" x14ac:dyDescent="0.25">
      <c r="A1651" s="91" t="s">
        <v>852</v>
      </c>
      <c r="B1651" s="90">
        <v>5312</v>
      </c>
      <c r="C1651" s="88" t="s">
        <v>938</v>
      </c>
      <c r="D1651" s="90" t="s">
        <v>17</v>
      </c>
      <c r="E1651" s="90" t="s">
        <v>944</v>
      </c>
      <c r="F1651" s="91" t="s">
        <v>852</v>
      </c>
      <c r="G1651" s="96">
        <v>8</v>
      </c>
      <c r="H1651" s="94">
        <v>705</v>
      </c>
      <c r="I1651" s="91">
        <v>45916</v>
      </c>
      <c r="J1651" s="165">
        <v>0.62291666666666667</v>
      </c>
      <c r="K1651" s="94">
        <v>705</v>
      </c>
      <c r="L1651" s="72" t="str">
        <f t="shared" si="26"/>
        <v>Payé</v>
      </c>
    </row>
    <row r="1652" spans="1:12" ht="15" customHeight="1" x14ac:dyDescent="0.25">
      <c r="A1652" s="91" t="s">
        <v>852</v>
      </c>
      <c r="B1652" s="90">
        <v>5316</v>
      </c>
      <c r="C1652" s="88" t="s">
        <v>1024</v>
      </c>
      <c r="D1652" s="90" t="s">
        <v>17</v>
      </c>
      <c r="E1652" s="90" t="s">
        <v>944</v>
      </c>
      <c r="F1652" s="91" t="s">
        <v>852</v>
      </c>
      <c r="G1652" s="96">
        <v>3</v>
      </c>
      <c r="H1652" s="94">
        <v>270</v>
      </c>
      <c r="I1652" s="91">
        <v>45927</v>
      </c>
      <c r="J1652" s="165">
        <v>0.5083333333333333</v>
      </c>
      <c r="K1652" s="94">
        <v>270</v>
      </c>
      <c r="L1652" s="72" t="str">
        <f t="shared" si="26"/>
        <v>Payé</v>
      </c>
    </row>
    <row r="1653" spans="1:12" ht="15" customHeight="1" x14ac:dyDescent="0.25">
      <c r="A1653" s="91" t="s">
        <v>852</v>
      </c>
      <c r="B1653" s="90">
        <v>5326</v>
      </c>
      <c r="C1653" s="88" t="s">
        <v>1032</v>
      </c>
      <c r="D1653" s="90" t="s">
        <v>17</v>
      </c>
      <c r="E1653" s="90" t="s">
        <v>944</v>
      </c>
      <c r="F1653" s="91" t="s">
        <v>852</v>
      </c>
      <c r="G1653" s="96">
        <v>7</v>
      </c>
      <c r="H1653" s="94">
        <v>607</v>
      </c>
      <c r="I1653" s="91">
        <v>45916</v>
      </c>
      <c r="J1653" s="165">
        <v>0.62291666666666667</v>
      </c>
      <c r="K1653" s="94">
        <v>607</v>
      </c>
      <c r="L1653" s="72" t="str">
        <f t="shared" si="26"/>
        <v>Payé</v>
      </c>
    </row>
    <row r="1654" spans="1:12" ht="15" customHeight="1" x14ac:dyDescent="0.25">
      <c r="A1654" s="91" t="s">
        <v>852</v>
      </c>
      <c r="B1654" s="90">
        <v>5328</v>
      </c>
      <c r="C1654" s="88" t="s">
        <v>1034</v>
      </c>
      <c r="D1654" s="90" t="s">
        <v>17</v>
      </c>
      <c r="E1654" s="90" t="s">
        <v>944</v>
      </c>
      <c r="F1654" s="91" t="s">
        <v>852</v>
      </c>
      <c r="G1654" s="96">
        <v>1</v>
      </c>
      <c r="H1654" s="94">
        <v>87</v>
      </c>
      <c r="I1654" s="91">
        <v>45927</v>
      </c>
      <c r="J1654" s="165">
        <v>0.51041666666666663</v>
      </c>
      <c r="K1654" s="94">
        <v>87</v>
      </c>
      <c r="L1654" s="72" t="str">
        <f t="shared" si="26"/>
        <v>Payé</v>
      </c>
    </row>
    <row r="1655" spans="1:12" ht="15" customHeight="1" x14ac:dyDescent="0.25">
      <c r="A1655" s="91" t="s">
        <v>852</v>
      </c>
      <c r="B1655" s="90">
        <v>5337</v>
      </c>
      <c r="C1655" s="88" t="s">
        <v>1042</v>
      </c>
      <c r="D1655" s="90" t="s">
        <v>17</v>
      </c>
      <c r="E1655" s="90" t="s">
        <v>944</v>
      </c>
      <c r="F1655" s="91" t="s">
        <v>852</v>
      </c>
      <c r="G1655" s="96">
        <v>4</v>
      </c>
      <c r="H1655" s="94">
        <v>357</v>
      </c>
      <c r="I1655" s="91">
        <v>45912</v>
      </c>
      <c r="J1655" s="165">
        <v>0.6069444444444444</v>
      </c>
      <c r="K1655" s="94">
        <v>357</v>
      </c>
      <c r="L1655" s="72" t="str">
        <f t="shared" si="26"/>
        <v>Payé</v>
      </c>
    </row>
    <row r="1656" spans="1:12" ht="15" customHeight="1" x14ac:dyDescent="0.25">
      <c r="A1656" s="91" t="s">
        <v>852</v>
      </c>
      <c r="B1656" s="90">
        <v>5341</v>
      </c>
      <c r="C1656" s="88" t="s">
        <v>1077</v>
      </c>
      <c r="D1656" s="90" t="s">
        <v>17</v>
      </c>
      <c r="E1656" s="90" t="s">
        <v>944</v>
      </c>
      <c r="F1656" s="91" t="s">
        <v>852</v>
      </c>
      <c r="G1656" s="96">
        <v>7</v>
      </c>
      <c r="H1656" s="94">
        <v>617</v>
      </c>
      <c r="I1656" s="91">
        <v>45916</v>
      </c>
      <c r="J1656" s="165">
        <v>0.62291666666666667</v>
      </c>
      <c r="K1656" s="94">
        <v>617</v>
      </c>
      <c r="L1656" s="72" t="str">
        <f t="shared" si="26"/>
        <v>Payé</v>
      </c>
    </row>
    <row r="1657" spans="1:12" ht="15" customHeight="1" x14ac:dyDescent="0.25">
      <c r="A1657" s="91" t="s">
        <v>852</v>
      </c>
      <c r="B1657" s="90">
        <v>5342</v>
      </c>
      <c r="C1657" s="88" t="s">
        <v>1078</v>
      </c>
      <c r="D1657" s="90" t="s">
        <v>17</v>
      </c>
      <c r="E1657" s="90" t="s">
        <v>944</v>
      </c>
      <c r="F1657" s="91" t="s">
        <v>852</v>
      </c>
      <c r="G1657" s="96">
        <v>7</v>
      </c>
      <c r="H1657" s="94">
        <v>607</v>
      </c>
      <c r="I1657" s="91">
        <v>45916</v>
      </c>
      <c r="J1657" s="165">
        <v>0.62291666666666667</v>
      </c>
      <c r="K1657" s="94">
        <v>607</v>
      </c>
      <c r="L1657" s="72" t="str">
        <f t="shared" si="26"/>
        <v>Payé</v>
      </c>
    </row>
    <row r="1658" spans="1:12" ht="15" customHeight="1" x14ac:dyDescent="0.25">
      <c r="A1658" s="91" t="s">
        <v>852</v>
      </c>
      <c r="B1658" s="90">
        <v>5345</v>
      </c>
      <c r="C1658" s="88" t="s">
        <v>1080</v>
      </c>
      <c r="D1658" s="90" t="s">
        <v>17</v>
      </c>
      <c r="E1658" s="90" t="s">
        <v>944</v>
      </c>
      <c r="F1658" s="91" t="s">
        <v>852</v>
      </c>
      <c r="G1658" s="96">
        <v>6</v>
      </c>
      <c r="H1658" s="94">
        <v>520</v>
      </c>
      <c r="I1658" s="91">
        <v>45916</v>
      </c>
      <c r="J1658" s="165">
        <v>0.62291666666666667</v>
      </c>
      <c r="K1658" s="94">
        <v>520</v>
      </c>
      <c r="L1658" s="72" t="str">
        <f t="shared" si="26"/>
        <v>Payé</v>
      </c>
    </row>
    <row r="1659" spans="1:12" ht="15" customHeight="1" x14ac:dyDescent="0.25">
      <c r="A1659" s="91" t="s">
        <v>852</v>
      </c>
      <c r="B1659" s="90">
        <v>5350</v>
      </c>
      <c r="C1659" s="88" t="s">
        <v>1085</v>
      </c>
      <c r="D1659" s="90" t="s">
        <v>17</v>
      </c>
      <c r="E1659" s="90" t="s">
        <v>944</v>
      </c>
      <c r="F1659" s="91" t="s">
        <v>852</v>
      </c>
      <c r="G1659" s="96">
        <v>2</v>
      </c>
      <c r="H1659" s="94">
        <v>173</v>
      </c>
      <c r="I1659" s="91">
        <v>45926</v>
      </c>
      <c r="J1659" s="165">
        <v>0.69236111111111109</v>
      </c>
      <c r="K1659" s="94">
        <v>173</v>
      </c>
      <c r="L1659" s="72" t="str">
        <f t="shared" si="26"/>
        <v>Payé</v>
      </c>
    </row>
    <row r="1660" spans="1:12" ht="15" customHeight="1" x14ac:dyDescent="0.25">
      <c r="A1660" s="91" t="s">
        <v>852</v>
      </c>
      <c r="B1660" s="90">
        <v>5360</v>
      </c>
      <c r="C1660" s="88" t="s">
        <v>1094</v>
      </c>
      <c r="D1660" s="90" t="s">
        <v>17</v>
      </c>
      <c r="E1660" s="90" t="s">
        <v>944</v>
      </c>
      <c r="F1660" s="91" t="s">
        <v>852</v>
      </c>
      <c r="G1660" s="96">
        <v>2</v>
      </c>
      <c r="H1660" s="94">
        <v>173</v>
      </c>
      <c r="I1660" s="91">
        <v>45916</v>
      </c>
      <c r="J1660" s="165">
        <v>0.62291666666666667</v>
      </c>
      <c r="K1660" s="94">
        <v>173</v>
      </c>
      <c r="L1660" s="72" t="str">
        <f t="shared" si="26"/>
        <v>Payé</v>
      </c>
    </row>
    <row r="1661" spans="1:12" ht="15" customHeight="1" x14ac:dyDescent="0.25">
      <c r="A1661" s="91" t="s">
        <v>852</v>
      </c>
      <c r="B1661" s="90"/>
      <c r="C1661" s="88" t="s">
        <v>913</v>
      </c>
      <c r="D1661" s="89" t="s">
        <v>910</v>
      </c>
      <c r="E1661" s="90" t="s">
        <v>944</v>
      </c>
      <c r="F1661" s="91" t="s">
        <v>852</v>
      </c>
      <c r="G1661" s="95">
        <v>119</v>
      </c>
      <c r="H1661" s="92">
        <v>2975</v>
      </c>
      <c r="I1661" s="91">
        <v>45913</v>
      </c>
      <c r="J1661" s="165">
        <v>0.68611111111111101</v>
      </c>
      <c r="K1661" s="92">
        <v>2975</v>
      </c>
      <c r="L1661" s="72" t="str">
        <f t="shared" si="26"/>
        <v>Payé</v>
      </c>
    </row>
    <row r="1662" spans="1:12" ht="15" customHeight="1" x14ac:dyDescent="0.25">
      <c r="A1662" s="91" t="s">
        <v>852</v>
      </c>
      <c r="B1662" s="90">
        <v>1723</v>
      </c>
      <c r="C1662" s="88" t="s">
        <v>395</v>
      </c>
      <c r="D1662" s="90" t="s">
        <v>17</v>
      </c>
      <c r="E1662" s="90" t="s">
        <v>123</v>
      </c>
      <c r="F1662" s="91" t="s">
        <v>852</v>
      </c>
      <c r="G1662" s="96">
        <v>2</v>
      </c>
      <c r="H1662" s="94">
        <v>182</v>
      </c>
      <c r="I1662" s="91">
        <v>45911</v>
      </c>
      <c r="J1662" s="165">
        <v>0.69444444444444453</v>
      </c>
      <c r="K1662" s="94">
        <v>182</v>
      </c>
      <c r="L1662" s="72" t="str">
        <f t="shared" si="26"/>
        <v>Payé</v>
      </c>
    </row>
    <row r="1663" spans="1:12" ht="15" customHeight="1" x14ac:dyDescent="0.25">
      <c r="A1663" s="91" t="s">
        <v>852</v>
      </c>
      <c r="B1663" s="90">
        <v>1134</v>
      </c>
      <c r="C1663" s="88" t="s">
        <v>1058</v>
      </c>
      <c r="D1663" s="90" t="s">
        <v>17</v>
      </c>
      <c r="E1663" s="90" t="s">
        <v>254</v>
      </c>
      <c r="F1663" s="91" t="s">
        <v>852</v>
      </c>
      <c r="G1663" s="96">
        <v>3</v>
      </c>
      <c r="H1663" s="94">
        <v>260</v>
      </c>
      <c r="I1663" s="91">
        <v>45925</v>
      </c>
      <c r="J1663" s="165">
        <v>0.71944444444444444</v>
      </c>
      <c r="K1663" s="94">
        <v>260</v>
      </c>
      <c r="L1663" s="72" t="str">
        <f t="shared" si="26"/>
        <v>Payé</v>
      </c>
    </row>
    <row r="1664" spans="1:12" ht="15" customHeight="1" x14ac:dyDescent="0.25">
      <c r="A1664" s="91" t="s">
        <v>852</v>
      </c>
      <c r="B1664" s="90">
        <v>1688</v>
      </c>
      <c r="C1664" s="88" t="s">
        <v>1059</v>
      </c>
      <c r="D1664" s="90" t="s">
        <v>17</v>
      </c>
      <c r="E1664" s="90" t="s">
        <v>254</v>
      </c>
      <c r="F1664" s="91" t="s">
        <v>852</v>
      </c>
      <c r="G1664" s="96">
        <v>3</v>
      </c>
      <c r="H1664" s="94">
        <v>260</v>
      </c>
      <c r="I1664" s="91">
        <v>45911</v>
      </c>
      <c r="J1664" s="165">
        <v>0.70833333333333337</v>
      </c>
      <c r="K1664" s="94">
        <v>260</v>
      </c>
      <c r="L1664" s="72" t="str">
        <f t="shared" si="26"/>
        <v>Payé</v>
      </c>
    </row>
    <row r="1665" spans="1:12" ht="15" customHeight="1" x14ac:dyDescent="0.25">
      <c r="A1665" s="91" t="s">
        <v>852</v>
      </c>
      <c r="B1665" s="90">
        <v>2580</v>
      </c>
      <c r="C1665" s="88" t="s">
        <v>972</v>
      </c>
      <c r="D1665" s="90" t="s">
        <v>17</v>
      </c>
      <c r="E1665" s="90" t="s">
        <v>254</v>
      </c>
      <c r="F1665" s="91" t="s">
        <v>852</v>
      </c>
      <c r="G1665" s="96">
        <v>9</v>
      </c>
      <c r="H1665" s="94">
        <v>781</v>
      </c>
      <c r="I1665" s="91">
        <v>45925</v>
      </c>
      <c r="J1665" s="165">
        <v>0.72013888888888899</v>
      </c>
      <c r="K1665" s="94">
        <v>781</v>
      </c>
      <c r="L1665" s="72" t="str">
        <f t="shared" si="26"/>
        <v>Payé</v>
      </c>
    </row>
    <row r="1666" spans="1:12" ht="15" customHeight="1" x14ac:dyDescent="0.25">
      <c r="A1666" s="91" t="s">
        <v>852</v>
      </c>
      <c r="B1666" s="90">
        <v>2589</v>
      </c>
      <c r="C1666" s="88" t="s">
        <v>973</v>
      </c>
      <c r="D1666" s="90" t="s">
        <v>17</v>
      </c>
      <c r="E1666" s="90" t="s">
        <v>254</v>
      </c>
      <c r="F1666" s="91" t="s">
        <v>852</v>
      </c>
      <c r="G1666" s="96">
        <v>9</v>
      </c>
      <c r="H1666" s="94">
        <v>781</v>
      </c>
      <c r="I1666" s="91">
        <v>45911</v>
      </c>
      <c r="J1666" s="165">
        <v>0.70833333333333337</v>
      </c>
      <c r="K1666" s="94">
        <v>781</v>
      </c>
      <c r="L1666" s="72" t="str">
        <f t="shared" si="26"/>
        <v>Payé</v>
      </c>
    </row>
    <row r="1667" spans="1:12" ht="15" customHeight="1" x14ac:dyDescent="0.25">
      <c r="A1667" s="91" t="s">
        <v>852</v>
      </c>
      <c r="B1667" s="90">
        <v>2750</v>
      </c>
      <c r="C1667" s="88" t="s">
        <v>1060</v>
      </c>
      <c r="D1667" s="90" t="s">
        <v>17</v>
      </c>
      <c r="E1667" s="90" t="s">
        <v>254</v>
      </c>
      <c r="F1667" s="91" t="s">
        <v>852</v>
      </c>
      <c r="G1667" s="96">
        <v>1</v>
      </c>
      <c r="H1667" s="94">
        <v>87</v>
      </c>
      <c r="I1667" s="91">
        <v>45916</v>
      </c>
      <c r="J1667" s="165">
        <v>0.70833333333333337</v>
      </c>
      <c r="K1667" s="94">
        <v>87</v>
      </c>
      <c r="L1667" s="72" t="str">
        <f t="shared" si="26"/>
        <v>Payé</v>
      </c>
    </row>
    <row r="1668" spans="1:12" ht="15" customHeight="1" x14ac:dyDescent="0.25">
      <c r="A1668" s="91" t="s">
        <v>852</v>
      </c>
      <c r="B1668" s="90">
        <v>3518</v>
      </c>
      <c r="C1668" s="88" t="s">
        <v>1061</v>
      </c>
      <c r="D1668" s="90" t="s">
        <v>17</v>
      </c>
      <c r="E1668" s="90" t="s">
        <v>254</v>
      </c>
      <c r="F1668" s="91" t="s">
        <v>852</v>
      </c>
      <c r="G1668" s="96">
        <v>9</v>
      </c>
      <c r="H1668" s="94">
        <v>781</v>
      </c>
      <c r="I1668" s="91">
        <v>45911</v>
      </c>
      <c r="J1668" s="165">
        <v>0.70833333333333337</v>
      </c>
      <c r="K1668" s="94">
        <v>781</v>
      </c>
      <c r="L1668" s="72" t="str">
        <f t="shared" si="26"/>
        <v>Payé</v>
      </c>
    </row>
    <row r="1669" spans="1:12" ht="15" customHeight="1" x14ac:dyDescent="0.25">
      <c r="A1669" s="91" t="s">
        <v>852</v>
      </c>
      <c r="B1669" s="90">
        <v>5187</v>
      </c>
      <c r="C1669" s="88" t="s">
        <v>993</v>
      </c>
      <c r="D1669" s="90" t="s">
        <v>17</v>
      </c>
      <c r="E1669" s="90" t="s">
        <v>254</v>
      </c>
      <c r="F1669" s="91" t="s">
        <v>852</v>
      </c>
      <c r="G1669" s="96">
        <v>3</v>
      </c>
      <c r="H1669" s="94">
        <v>260</v>
      </c>
      <c r="I1669" s="91">
        <v>45916</v>
      </c>
      <c r="J1669" s="165">
        <v>0.70833333333333337</v>
      </c>
      <c r="K1669" s="94">
        <v>260</v>
      </c>
      <c r="L1669" s="72" t="str">
        <f t="shared" si="26"/>
        <v>Payé</v>
      </c>
    </row>
    <row r="1670" spans="1:12" ht="15" customHeight="1" x14ac:dyDescent="0.25">
      <c r="A1670" s="91" t="s">
        <v>852</v>
      </c>
      <c r="B1670" s="90">
        <v>5332</v>
      </c>
      <c r="C1670" s="88" t="s">
        <v>1038</v>
      </c>
      <c r="D1670" s="90" t="s">
        <v>17</v>
      </c>
      <c r="E1670" s="90" t="s">
        <v>254</v>
      </c>
      <c r="F1670" s="91" t="s">
        <v>852</v>
      </c>
      <c r="G1670" s="96">
        <v>9</v>
      </c>
      <c r="H1670" s="94">
        <v>781</v>
      </c>
      <c r="I1670" s="91">
        <v>45916</v>
      </c>
      <c r="J1670" s="165">
        <v>0.46597222222222223</v>
      </c>
      <c r="K1670" s="94">
        <v>781</v>
      </c>
      <c r="L1670" s="72" t="str">
        <f t="shared" si="26"/>
        <v>Payé</v>
      </c>
    </row>
    <row r="1671" spans="1:12" ht="15" customHeight="1" x14ac:dyDescent="0.25">
      <c r="A1671" s="91" t="s">
        <v>852</v>
      </c>
      <c r="B1671" s="90">
        <v>5353</v>
      </c>
      <c r="C1671" s="88" t="s">
        <v>1088</v>
      </c>
      <c r="D1671" s="90" t="s">
        <v>17</v>
      </c>
      <c r="E1671" s="90" t="s">
        <v>254</v>
      </c>
      <c r="F1671" s="91" t="s">
        <v>852</v>
      </c>
      <c r="G1671" s="96">
        <v>6</v>
      </c>
      <c r="H1671" s="94">
        <v>520</v>
      </c>
      <c r="I1671" s="91">
        <v>45915</v>
      </c>
      <c r="J1671" s="165">
        <v>0.57361111111111118</v>
      </c>
      <c r="K1671" s="94">
        <v>520</v>
      </c>
      <c r="L1671" s="72" t="str">
        <f t="shared" si="26"/>
        <v>Payé</v>
      </c>
    </row>
    <row r="1672" spans="1:12" ht="15" customHeight="1" x14ac:dyDescent="0.25">
      <c r="A1672" s="91" t="s">
        <v>852</v>
      </c>
      <c r="B1672" s="90">
        <v>5359</v>
      </c>
      <c r="C1672" s="88" t="s">
        <v>1093</v>
      </c>
      <c r="D1672" s="90" t="s">
        <v>17</v>
      </c>
      <c r="E1672" s="90" t="s">
        <v>254</v>
      </c>
      <c r="F1672" s="91" t="s">
        <v>852</v>
      </c>
      <c r="G1672" s="96">
        <v>1</v>
      </c>
      <c r="H1672" s="94">
        <v>87</v>
      </c>
      <c r="I1672" s="91">
        <v>45911</v>
      </c>
      <c r="J1672" s="165">
        <v>0.70833333333333337</v>
      </c>
      <c r="K1672" s="94">
        <v>87</v>
      </c>
      <c r="L1672" s="72" t="str">
        <f t="shared" si="26"/>
        <v>Payé</v>
      </c>
    </row>
    <row r="1673" spans="1:12" ht="15" customHeight="1" x14ac:dyDescent="0.25">
      <c r="A1673" s="91" t="s">
        <v>852</v>
      </c>
      <c r="B1673" s="90" t="s">
        <v>588</v>
      </c>
      <c r="C1673" s="88" t="s">
        <v>1108</v>
      </c>
      <c r="D1673" s="89" t="s">
        <v>910</v>
      </c>
      <c r="E1673" s="90" t="s">
        <v>254</v>
      </c>
      <c r="F1673" s="91" t="s">
        <v>852</v>
      </c>
      <c r="G1673" s="95">
        <v>103</v>
      </c>
      <c r="H1673" s="92">
        <v>2575</v>
      </c>
      <c r="I1673" s="91">
        <v>45911</v>
      </c>
      <c r="J1673" s="165">
        <v>0.70833333333333337</v>
      </c>
      <c r="K1673" s="92">
        <v>2575</v>
      </c>
      <c r="L1673" s="72" t="str">
        <f t="shared" si="26"/>
        <v>Payé</v>
      </c>
    </row>
    <row r="1674" spans="1:12" ht="15" customHeight="1" x14ac:dyDescent="0.25">
      <c r="A1674" s="91" t="s">
        <v>852</v>
      </c>
      <c r="B1674" s="90">
        <v>187</v>
      </c>
      <c r="C1674" s="88" t="s">
        <v>1057</v>
      </c>
      <c r="D1674" s="90" t="s">
        <v>17</v>
      </c>
      <c r="E1674" s="90" t="s">
        <v>1104</v>
      </c>
      <c r="F1674" s="91" t="s">
        <v>852</v>
      </c>
      <c r="G1674" s="96">
        <v>9</v>
      </c>
      <c r="H1674" s="94">
        <v>841</v>
      </c>
      <c r="I1674" s="91">
        <v>45912</v>
      </c>
      <c r="J1674" s="165">
        <v>0.41944444444444445</v>
      </c>
      <c r="K1674" s="94">
        <v>841</v>
      </c>
      <c r="L1674" s="72" t="str">
        <f t="shared" si="26"/>
        <v>Payé</v>
      </c>
    </row>
    <row r="1675" spans="1:12" ht="15" customHeight="1" x14ac:dyDescent="0.25">
      <c r="A1675" s="91" t="s">
        <v>852</v>
      </c>
      <c r="B1675" s="90">
        <v>5136</v>
      </c>
      <c r="C1675" s="88" t="s">
        <v>1067</v>
      </c>
      <c r="D1675" s="90" t="s">
        <v>17</v>
      </c>
      <c r="E1675" s="90" t="s">
        <v>1104</v>
      </c>
      <c r="F1675" s="91" t="s">
        <v>852</v>
      </c>
      <c r="G1675" s="96">
        <v>8</v>
      </c>
      <c r="H1675" s="94">
        <v>704</v>
      </c>
      <c r="I1675" s="91">
        <v>45912</v>
      </c>
      <c r="J1675" s="165">
        <v>0.5229166666666667</v>
      </c>
      <c r="K1675" s="94">
        <v>704</v>
      </c>
      <c r="L1675" s="72" t="str">
        <f t="shared" si="26"/>
        <v>Payé</v>
      </c>
    </row>
    <row r="1676" spans="1:12" ht="15" customHeight="1" x14ac:dyDescent="0.25">
      <c r="A1676" s="91" t="s">
        <v>852</v>
      </c>
      <c r="B1676" s="90">
        <v>5169</v>
      </c>
      <c r="C1676" s="88" t="s">
        <v>1068</v>
      </c>
      <c r="D1676" s="90" t="s">
        <v>17</v>
      </c>
      <c r="E1676" s="90" t="s">
        <v>1104</v>
      </c>
      <c r="F1676" s="91" t="s">
        <v>852</v>
      </c>
      <c r="G1676" s="96">
        <v>9</v>
      </c>
      <c r="H1676" s="94">
        <v>851</v>
      </c>
      <c r="I1676" s="91">
        <v>45912</v>
      </c>
      <c r="J1676" s="165">
        <v>0.5229166666666667</v>
      </c>
      <c r="K1676" s="94">
        <v>851</v>
      </c>
      <c r="L1676" s="72" t="str">
        <f t="shared" si="26"/>
        <v>Payé</v>
      </c>
    </row>
    <row r="1677" spans="1:12" ht="15" customHeight="1" x14ac:dyDescent="0.25">
      <c r="A1677" s="91" t="s">
        <v>852</v>
      </c>
      <c r="B1677" s="90">
        <v>5179</v>
      </c>
      <c r="C1677" s="88" t="s">
        <v>1069</v>
      </c>
      <c r="D1677" s="90" t="s">
        <v>17</v>
      </c>
      <c r="E1677" s="90" t="s">
        <v>1104</v>
      </c>
      <c r="F1677" s="91" t="s">
        <v>852</v>
      </c>
      <c r="G1677" s="96">
        <v>5</v>
      </c>
      <c r="H1677" s="94">
        <v>434</v>
      </c>
      <c r="I1677" s="91">
        <v>45912</v>
      </c>
      <c r="J1677" s="165">
        <v>0.41944444444444445</v>
      </c>
      <c r="K1677" s="94">
        <v>434</v>
      </c>
      <c r="L1677" s="72" t="str">
        <f t="shared" si="26"/>
        <v>Payé</v>
      </c>
    </row>
    <row r="1678" spans="1:12" ht="15" customHeight="1" x14ac:dyDescent="0.25">
      <c r="A1678" s="91" t="s">
        <v>852</v>
      </c>
      <c r="B1678" s="90">
        <v>5212</v>
      </c>
      <c r="C1678" s="88" t="s">
        <v>1070</v>
      </c>
      <c r="D1678" s="90" t="s">
        <v>17</v>
      </c>
      <c r="E1678" s="90" t="s">
        <v>1104</v>
      </c>
      <c r="F1678" s="91" t="s">
        <v>852</v>
      </c>
      <c r="G1678" s="96">
        <v>3</v>
      </c>
      <c r="H1678" s="94">
        <v>280</v>
      </c>
      <c r="I1678" s="91">
        <v>45912</v>
      </c>
      <c r="J1678" s="165">
        <v>0.5229166666666667</v>
      </c>
      <c r="K1678" s="94">
        <v>280</v>
      </c>
      <c r="L1678" s="72" t="str">
        <f t="shared" si="26"/>
        <v>Payé</v>
      </c>
    </row>
    <row r="1679" spans="1:12" ht="15" customHeight="1" x14ac:dyDescent="0.25">
      <c r="A1679" s="91" t="s">
        <v>852</v>
      </c>
      <c r="B1679" s="90">
        <v>5213</v>
      </c>
      <c r="C1679" s="88" t="s">
        <v>1071</v>
      </c>
      <c r="D1679" s="90" t="s">
        <v>17</v>
      </c>
      <c r="E1679" s="90" t="s">
        <v>1104</v>
      </c>
      <c r="F1679" s="91" t="s">
        <v>852</v>
      </c>
      <c r="G1679" s="96">
        <v>7</v>
      </c>
      <c r="H1679" s="94">
        <v>637</v>
      </c>
      <c r="I1679" s="91">
        <v>45912</v>
      </c>
      <c r="J1679" s="165">
        <v>0.5229166666666667</v>
      </c>
      <c r="K1679" s="94">
        <v>637</v>
      </c>
      <c r="L1679" s="72" t="str">
        <f t="shared" si="26"/>
        <v>Payé</v>
      </c>
    </row>
    <row r="1680" spans="1:12" ht="15" customHeight="1" x14ac:dyDescent="0.25">
      <c r="A1680" s="91" t="s">
        <v>852</v>
      </c>
      <c r="B1680" s="90">
        <v>5214</v>
      </c>
      <c r="C1680" s="88" t="s">
        <v>1072</v>
      </c>
      <c r="D1680" s="90" t="s">
        <v>17</v>
      </c>
      <c r="E1680" s="90" t="s">
        <v>1104</v>
      </c>
      <c r="F1680" s="91" t="s">
        <v>852</v>
      </c>
      <c r="G1680" s="96">
        <v>8</v>
      </c>
      <c r="H1680" s="94">
        <v>724</v>
      </c>
      <c r="I1680" s="91">
        <v>45912</v>
      </c>
      <c r="J1680" s="165">
        <v>0.41944444444444445</v>
      </c>
      <c r="K1680" s="94">
        <v>724</v>
      </c>
      <c r="L1680" s="72" t="str">
        <f t="shared" si="26"/>
        <v>Payé</v>
      </c>
    </row>
    <row r="1681" spans="1:12" ht="15" customHeight="1" x14ac:dyDescent="0.25">
      <c r="A1681" s="91" t="s">
        <v>852</v>
      </c>
      <c r="B1681" s="90">
        <v>5215</v>
      </c>
      <c r="C1681" s="88" t="s">
        <v>1073</v>
      </c>
      <c r="D1681" s="90" t="s">
        <v>17</v>
      </c>
      <c r="E1681" s="90" t="s">
        <v>1104</v>
      </c>
      <c r="F1681" s="91" t="s">
        <v>852</v>
      </c>
      <c r="G1681" s="96">
        <v>3</v>
      </c>
      <c r="H1681" s="94">
        <v>260</v>
      </c>
      <c r="I1681" s="91">
        <v>45912</v>
      </c>
      <c r="J1681" s="165">
        <v>0.41944444444444445</v>
      </c>
      <c r="K1681" s="94">
        <v>260</v>
      </c>
      <c r="L1681" s="72" t="str">
        <f t="shared" si="26"/>
        <v>Payé</v>
      </c>
    </row>
    <row r="1682" spans="1:12" ht="15" customHeight="1" x14ac:dyDescent="0.25">
      <c r="A1682" s="91" t="s">
        <v>852</v>
      </c>
      <c r="B1682" s="90">
        <v>5242</v>
      </c>
      <c r="C1682" s="88" t="s">
        <v>1074</v>
      </c>
      <c r="D1682" s="90" t="s">
        <v>17</v>
      </c>
      <c r="E1682" s="90" t="s">
        <v>1104</v>
      </c>
      <c r="F1682" s="91" t="s">
        <v>852</v>
      </c>
      <c r="G1682" s="96">
        <v>10</v>
      </c>
      <c r="H1682" s="94">
        <v>877</v>
      </c>
      <c r="I1682" s="91">
        <v>45912</v>
      </c>
      <c r="J1682" s="165">
        <v>0.5229166666666667</v>
      </c>
      <c r="K1682" s="94">
        <v>877</v>
      </c>
      <c r="L1682" s="72" t="str">
        <f t="shared" si="26"/>
        <v>Payé</v>
      </c>
    </row>
    <row r="1683" spans="1:12" ht="15" customHeight="1" x14ac:dyDescent="0.25">
      <c r="A1683" s="91" t="s">
        <v>852</v>
      </c>
      <c r="B1683" s="90">
        <v>5305</v>
      </c>
      <c r="C1683" s="88" t="s">
        <v>1016</v>
      </c>
      <c r="D1683" s="90" t="s">
        <v>17</v>
      </c>
      <c r="E1683" s="90" t="s">
        <v>1104</v>
      </c>
      <c r="F1683" s="91" t="s">
        <v>852</v>
      </c>
      <c r="G1683" s="96">
        <v>2</v>
      </c>
      <c r="H1683" s="94">
        <v>173</v>
      </c>
      <c r="I1683" s="91">
        <v>45929</v>
      </c>
      <c r="J1683" s="165">
        <v>0.53472222222222221</v>
      </c>
      <c r="K1683" s="94">
        <v>173</v>
      </c>
      <c r="L1683" s="72" t="str">
        <f t="shared" si="26"/>
        <v>Payé</v>
      </c>
    </row>
    <row r="1684" spans="1:12" ht="15" customHeight="1" x14ac:dyDescent="0.25">
      <c r="A1684" s="91" t="s">
        <v>852</v>
      </c>
      <c r="B1684" s="90">
        <v>5351</v>
      </c>
      <c r="C1684" s="88" t="s">
        <v>1086</v>
      </c>
      <c r="D1684" s="90" t="s">
        <v>17</v>
      </c>
      <c r="E1684" s="90" t="s">
        <v>1104</v>
      </c>
      <c r="F1684" s="91" t="s">
        <v>852</v>
      </c>
      <c r="G1684" s="96">
        <v>9</v>
      </c>
      <c r="H1684" s="94">
        <v>811</v>
      </c>
      <c r="I1684" s="91">
        <v>45912</v>
      </c>
      <c r="J1684" s="165">
        <v>0.5229166666666667</v>
      </c>
      <c r="K1684" s="94">
        <v>811</v>
      </c>
      <c r="L1684" s="72" t="str">
        <f t="shared" si="26"/>
        <v>Payé</v>
      </c>
    </row>
    <row r="1685" spans="1:12" ht="15" customHeight="1" x14ac:dyDescent="0.25">
      <c r="A1685" s="91" t="s">
        <v>852</v>
      </c>
      <c r="B1685" s="90">
        <v>5354</v>
      </c>
      <c r="C1685" s="88" t="s">
        <v>1089</v>
      </c>
      <c r="D1685" s="90" t="s">
        <v>17</v>
      </c>
      <c r="E1685" s="90" t="s">
        <v>1104</v>
      </c>
      <c r="F1685" s="91" t="s">
        <v>852</v>
      </c>
      <c r="G1685" s="96">
        <v>5</v>
      </c>
      <c r="H1685" s="94">
        <v>464</v>
      </c>
      <c r="I1685" s="91">
        <v>45912</v>
      </c>
      <c r="J1685" s="165">
        <v>0.41944444444444445</v>
      </c>
      <c r="K1685" s="94">
        <v>464</v>
      </c>
      <c r="L1685" s="72" t="str">
        <f t="shared" si="26"/>
        <v>Payé</v>
      </c>
    </row>
    <row r="1686" spans="1:12" ht="15" customHeight="1" x14ac:dyDescent="0.25">
      <c r="A1686" s="91" t="s">
        <v>852</v>
      </c>
      <c r="B1686" s="90">
        <v>5355</v>
      </c>
      <c r="C1686" s="88" t="s">
        <v>1090</v>
      </c>
      <c r="D1686" s="90" t="s">
        <v>17</v>
      </c>
      <c r="E1686" s="90" t="s">
        <v>1104</v>
      </c>
      <c r="F1686" s="91" t="s">
        <v>852</v>
      </c>
      <c r="G1686" s="96">
        <v>5</v>
      </c>
      <c r="H1686" s="94">
        <v>444</v>
      </c>
      <c r="I1686" s="91">
        <v>45912</v>
      </c>
      <c r="J1686" s="165">
        <v>0.5229166666666667</v>
      </c>
      <c r="K1686" s="94">
        <v>444</v>
      </c>
      <c r="L1686" s="72" t="str">
        <f t="shared" si="26"/>
        <v>Payé</v>
      </c>
    </row>
    <row r="1687" spans="1:12" ht="15" customHeight="1" x14ac:dyDescent="0.25">
      <c r="A1687" s="91" t="s">
        <v>852</v>
      </c>
      <c r="B1687" s="90">
        <v>5357</v>
      </c>
      <c r="C1687" s="88" t="s">
        <v>1091</v>
      </c>
      <c r="D1687" s="90" t="s">
        <v>17</v>
      </c>
      <c r="E1687" s="90" t="s">
        <v>1104</v>
      </c>
      <c r="F1687" s="91" t="s">
        <v>852</v>
      </c>
      <c r="G1687" s="96">
        <v>6</v>
      </c>
      <c r="H1687" s="94">
        <v>570</v>
      </c>
      <c r="I1687" s="91">
        <v>45925</v>
      </c>
      <c r="J1687" s="165">
        <v>0.71527777777777779</v>
      </c>
      <c r="K1687" s="94">
        <v>570</v>
      </c>
      <c r="L1687" s="72" t="str">
        <f t="shared" si="26"/>
        <v>Payé</v>
      </c>
    </row>
    <row r="1688" spans="1:12" ht="15" customHeight="1" x14ac:dyDescent="0.25">
      <c r="A1688" s="91" t="s">
        <v>852</v>
      </c>
      <c r="B1688" s="90">
        <v>5361</v>
      </c>
      <c r="C1688" s="88" t="s">
        <v>1095</v>
      </c>
      <c r="D1688" s="90" t="s">
        <v>17</v>
      </c>
      <c r="E1688" s="90" t="s">
        <v>1104</v>
      </c>
      <c r="F1688" s="91" t="s">
        <v>852</v>
      </c>
      <c r="G1688" s="96">
        <v>2</v>
      </c>
      <c r="H1688" s="94">
        <v>173</v>
      </c>
      <c r="I1688" s="91">
        <v>45929</v>
      </c>
      <c r="J1688" s="165">
        <v>0.53472222222222221</v>
      </c>
      <c r="K1688" s="94">
        <v>173</v>
      </c>
      <c r="L1688" s="72" t="str">
        <f t="shared" si="26"/>
        <v>Payé</v>
      </c>
    </row>
    <row r="1689" spans="1:12" ht="15" customHeight="1" x14ac:dyDescent="0.25">
      <c r="A1689" s="91" t="s">
        <v>852</v>
      </c>
      <c r="B1689" s="90"/>
      <c r="C1689" s="88" t="s">
        <v>406</v>
      </c>
      <c r="D1689" s="89" t="s">
        <v>910</v>
      </c>
      <c r="E1689" s="90" t="s">
        <v>1104</v>
      </c>
      <c r="F1689" s="91" t="s">
        <v>852</v>
      </c>
      <c r="G1689" s="95">
        <v>91</v>
      </c>
      <c r="H1689" s="92">
        <v>2275</v>
      </c>
      <c r="I1689" s="91">
        <v>45912</v>
      </c>
      <c r="J1689" s="165">
        <v>0.5229166666666667</v>
      </c>
      <c r="K1689" s="92">
        <v>2275</v>
      </c>
      <c r="L1689" s="72" t="str">
        <f t="shared" si="26"/>
        <v>Payé</v>
      </c>
    </row>
    <row r="1690" spans="1:12" ht="15" customHeight="1" x14ac:dyDescent="0.25">
      <c r="A1690" s="91" t="s">
        <v>852</v>
      </c>
      <c r="B1690" s="90">
        <v>372</v>
      </c>
      <c r="C1690" s="88" t="s">
        <v>714</v>
      </c>
      <c r="D1690" s="90" t="s">
        <v>17</v>
      </c>
      <c r="E1690" s="90" t="s">
        <v>628</v>
      </c>
      <c r="F1690" s="91" t="s">
        <v>852</v>
      </c>
      <c r="G1690" s="96">
        <v>1</v>
      </c>
      <c r="H1690" s="94">
        <v>91</v>
      </c>
      <c r="I1690" s="91">
        <v>45913</v>
      </c>
      <c r="J1690" s="165">
        <v>0.64583333333333337</v>
      </c>
      <c r="K1690" s="94">
        <v>91</v>
      </c>
      <c r="L1690" s="72" t="str">
        <f t="shared" si="26"/>
        <v>Payé</v>
      </c>
    </row>
    <row r="1691" spans="1:12" ht="15" customHeight="1" x14ac:dyDescent="0.25">
      <c r="A1691" s="91" t="s">
        <v>852</v>
      </c>
      <c r="B1691" s="90">
        <v>3486</v>
      </c>
      <c r="C1691" s="88" t="s">
        <v>980</v>
      </c>
      <c r="D1691" s="90" t="s">
        <v>17</v>
      </c>
      <c r="E1691" s="90" t="s">
        <v>628</v>
      </c>
      <c r="F1691" s="91" t="s">
        <v>852</v>
      </c>
      <c r="G1691" s="96">
        <v>6</v>
      </c>
      <c r="H1691" s="94">
        <v>520</v>
      </c>
      <c r="I1691" s="91">
        <v>45913</v>
      </c>
      <c r="J1691" s="165">
        <v>0.64583333333333337</v>
      </c>
      <c r="K1691" s="94">
        <v>520</v>
      </c>
      <c r="L1691" s="72" t="str">
        <f t="shared" si="26"/>
        <v>Payé</v>
      </c>
    </row>
    <row r="1692" spans="1:12" ht="15" customHeight="1" x14ac:dyDescent="0.25">
      <c r="A1692" s="91" t="s">
        <v>852</v>
      </c>
      <c r="B1692" s="90">
        <v>3590</v>
      </c>
      <c r="C1692" s="88" t="s">
        <v>425</v>
      </c>
      <c r="D1692" s="90" t="s">
        <v>17</v>
      </c>
      <c r="E1692" s="90" t="s">
        <v>628</v>
      </c>
      <c r="F1692" s="91" t="s">
        <v>852</v>
      </c>
      <c r="G1692" s="96">
        <v>4</v>
      </c>
      <c r="H1692" s="94">
        <v>347</v>
      </c>
      <c r="I1692" s="91">
        <v>45913</v>
      </c>
      <c r="J1692" s="165">
        <v>0.64583333333333337</v>
      </c>
      <c r="K1692" s="94">
        <v>347</v>
      </c>
      <c r="L1692" s="72" t="str">
        <f t="shared" si="26"/>
        <v>Payé</v>
      </c>
    </row>
    <row r="1693" spans="1:12" ht="15" customHeight="1" x14ac:dyDescent="0.25">
      <c r="A1693" s="91" t="s">
        <v>852</v>
      </c>
      <c r="B1693" s="90">
        <v>4061</v>
      </c>
      <c r="C1693" s="88" t="s">
        <v>619</v>
      </c>
      <c r="D1693" s="90" t="s">
        <v>17</v>
      </c>
      <c r="E1693" s="90" t="s">
        <v>628</v>
      </c>
      <c r="F1693" s="91" t="s">
        <v>852</v>
      </c>
      <c r="G1693" s="96">
        <v>4</v>
      </c>
      <c r="H1693" s="94">
        <v>347</v>
      </c>
      <c r="I1693" s="91">
        <v>45913</v>
      </c>
      <c r="J1693" s="165">
        <v>0.64583333333333337</v>
      </c>
      <c r="K1693" s="94">
        <v>347</v>
      </c>
      <c r="L1693" s="72" t="str">
        <f t="shared" si="26"/>
        <v>Payé</v>
      </c>
    </row>
    <row r="1694" spans="1:12" ht="15" customHeight="1" x14ac:dyDescent="0.25">
      <c r="A1694" s="91" t="s">
        <v>852</v>
      </c>
      <c r="B1694" s="90">
        <v>4090</v>
      </c>
      <c r="C1694" s="88" t="s">
        <v>620</v>
      </c>
      <c r="D1694" s="90" t="s">
        <v>17</v>
      </c>
      <c r="E1694" s="90" t="s">
        <v>628</v>
      </c>
      <c r="F1694" s="91" t="s">
        <v>852</v>
      </c>
      <c r="G1694" s="96">
        <v>7</v>
      </c>
      <c r="H1694" s="94">
        <v>607</v>
      </c>
      <c r="I1694" s="91">
        <v>45913</v>
      </c>
      <c r="J1694" s="165">
        <v>0.64583333333333337</v>
      </c>
      <c r="K1694" s="94">
        <v>607</v>
      </c>
      <c r="L1694" s="72" t="str">
        <f t="shared" ref="L1694:L1757" si="27">IF(ISBLANK(H1694),"",IF(H1694=K1694,"Payé","Impayé"))</f>
        <v>Payé</v>
      </c>
    </row>
    <row r="1695" spans="1:12" ht="15" customHeight="1" x14ac:dyDescent="0.25">
      <c r="A1695" s="91" t="s">
        <v>852</v>
      </c>
      <c r="B1695" s="90">
        <v>4310</v>
      </c>
      <c r="C1695" s="88" t="s">
        <v>624</v>
      </c>
      <c r="D1695" s="90" t="s">
        <v>17</v>
      </c>
      <c r="E1695" s="90" t="s">
        <v>628</v>
      </c>
      <c r="F1695" s="91" t="s">
        <v>852</v>
      </c>
      <c r="G1695" s="96">
        <v>5</v>
      </c>
      <c r="H1695" s="94">
        <v>434</v>
      </c>
      <c r="I1695" s="91">
        <v>45913</v>
      </c>
      <c r="J1695" s="165">
        <v>0.64583333333333337</v>
      </c>
      <c r="K1695" s="94">
        <v>434</v>
      </c>
      <c r="L1695" s="72" t="str">
        <f t="shared" si="27"/>
        <v>Payé</v>
      </c>
    </row>
    <row r="1696" spans="1:12" ht="15" customHeight="1" x14ac:dyDescent="0.25">
      <c r="A1696" s="91" t="s">
        <v>852</v>
      </c>
      <c r="B1696" s="90">
        <v>4333</v>
      </c>
      <c r="C1696" s="88" t="s">
        <v>706</v>
      </c>
      <c r="D1696" s="90" t="s">
        <v>17</v>
      </c>
      <c r="E1696" s="90" t="s">
        <v>628</v>
      </c>
      <c r="F1696" s="91" t="s">
        <v>852</v>
      </c>
      <c r="G1696" s="96">
        <v>4</v>
      </c>
      <c r="H1696" s="94">
        <v>347</v>
      </c>
      <c r="I1696" s="91">
        <v>45913</v>
      </c>
      <c r="J1696" s="165">
        <v>0.64583333333333337</v>
      </c>
      <c r="K1696" s="94">
        <v>347</v>
      </c>
      <c r="L1696" s="72" t="str">
        <f t="shared" si="27"/>
        <v>Payé</v>
      </c>
    </row>
    <row r="1697" spans="1:12" ht="15" customHeight="1" x14ac:dyDescent="0.25">
      <c r="A1697" s="91" t="s">
        <v>852</v>
      </c>
      <c r="B1697" s="90">
        <v>4334</v>
      </c>
      <c r="C1697" s="88" t="s">
        <v>622</v>
      </c>
      <c r="D1697" s="90" t="s">
        <v>17</v>
      </c>
      <c r="E1697" s="90" t="s">
        <v>628</v>
      </c>
      <c r="F1697" s="91" t="s">
        <v>852</v>
      </c>
      <c r="G1697" s="96">
        <v>7</v>
      </c>
      <c r="H1697" s="94">
        <v>607</v>
      </c>
      <c r="I1697" s="91">
        <v>45913</v>
      </c>
      <c r="J1697" s="165">
        <v>0.64583333333333337</v>
      </c>
      <c r="K1697" s="94">
        <v>607</v>
      </c>
      <c r="L1697" s="72" t="str">
        <f t="shared" si="27"/>
        <v>Payé</v>
      </c>
    </row>
    <row r="1698" spans="1:12" ht="15" customHeight="1" x14ac:dyDescent="0.25">
      <c r="A1698" s="91" t="s">
        <v>852</v>
      </c>
      <c r="B1698" s="90">
        <v>4470</v>
      </c>
      <c r="C1698" s="88" t="s">
        <v>989</v>
      </c>
      <c r="D1698" s="90" t="s">
        <v>17</v>
      </c>
      <c r="E1698" s="90" t="s">
        <v>628</v>
      </c>
      <c r="F1698" s="91" t="s">
        <v>852</v>
      </c>
      <c r="G1698" s="96">
        <v>9</v>
      </c>
      <c r="H1698" s="94">
        <v>781</v>
      </c>
      <c r="I1698" s="91">
        <v>45913</v>
      </c>
      <c r="J1698" s="165">
        <v>0.64583333333333337</v>
      </c>
      <c r="K1698" s="94">
        <v>781</v>
      </c>
      <c r="L1698" s="72" t="str">
        <f t="shared" si="27"/>
        <v>Payé</v>
      </c>
    </row>
    <row r="1699" spans="1:12" ht="15" customHeight="1" x14ac:dyDescent="0.25">
      <c r="A1699" s="91" t="s">
        <v>852</v>
      </c>
      <c r="B1699" s="90">
        <v>4509</v>
      </c>
      <c r="C1699" s="88" t="s">
        <v>623</v>
      </c>
      <c r="D1699" s="90" t="s">
        <v>17</v>
      </c>
      <c r="E1699" s="90" t="s">
        <v>628</v>
      </c>
      <c r="F1699" s="91" t="s">
        <v>852</v>
      </c>
      <c r="G1699" s="96">
        <v>9</v>
      </c>
      <c r="H1699" s="94">
        <v>781</v>
      </c>
      <c r="I1699" s="91">
        <v>45913</v>
      </c>
      <c r="J1699" s="165">
        <v>0.64583333333333337</v>
      </c>
      <c r="K1699" s="94">
        <v>781</v>
      </c>
      <c r="L1699" s="72" t="str">
        <f t="shared" si="27"/>
        <v>Payé</v>
      </c>
    </row>
    <row r="1700" spans="1:12" ht="15" customHeight="1" x14ac:dyDescent="0.25">
      <c r="A1700" s="91" t="s">
        <v>852</v>
      </c>
      <c r="B1700" s="90">
        <v>4801</v>
      </c>
      <c r="C1700" s="88" t="s">
        <v>990</v>
      </c>
      <c r="D1700" s="90" t="s">
        <v>17</v>
      </c>
      <c r="E1700" s="90" t="s">
        <v>628</v>
      </c>
      <c r="F1700" s="91" t="s">
        <v>852</v>
      </c>
      <c r="G1700" s="96">
        <v>8</v>
      </c>
      <c r="H1700" s="94">
        <v>694</v>
      </c>
      <c r="I1700" s="91">
        <v>45913</v>
      </c>
      <c r="J1700" s="165">
        <v>0.64583333333333337</v>
      </c>
      <c r="K1700" s="94">
        <v>694</v>
      </c>
      <c r="L1700" s="72" t="str">
        <f t="shared" si="27"/>
        <v>Payé</v>
      </c>
    </row>
    <row r="1701" spans="1:12" ht="15" customHeight="1" x14ac:dyDescent="0.25">
      <c r="A1701" s="91" t="s">
        <v>852</v>
      </c>
      <c r="B1701" s="90">
        <v>4848</v>
      </c>
      <c r="C1701" s="88" t="s">
        <v>1064</v>
      </c>
      <c r="D1701" s="90" t="s">
        <v>17</v>
      </c>
      <c r="E1701" s="90" t="s">
        <v>628</v>
      </c>
      <c r="F1701" s="91" t="s">
        <v>852</v>
      </c>
      <c r="G1701" s="96">
        <v>8</v>
      </c>
      <c r="H1701" s="94">
        <v>694</v>
      </c>
      <c r="I1701" s="91">
        <v>45913</v>
      </c>
      <c r="J1701" s="165">
        <v>0.64583333333333337</v>
      </c>
      <c r="K1701" s="94">
        <v>694</v>
      </c>
      <c r="L1701" s="72" t="str">
        <f t="shared" si="27"/>
        <v>Payé</v>
      </c>
    </row>
    <row r="1702" spans="1:12" ht="15" customHeight="1" x14ac:dyDescent="0.25">
      <c r="A1702" s="91" t="s">
        <v>852</v>
      </c>
      <c r="B1702" s="90">
        <v>5121</v>
      </c>
      <c r="C1702" s="88" t="s">
        <v>826</v>
      </c>
      <c r="D1702" s="90" t="s">
        <v>17</v>
      </c>
      <c r="E1702" s="90" t="s">
        <v>628</v>
      </c>
      <c r="F1702" s="91" t="s">
        <v>852</v>
      </c>
      <c r="G1702" s="96">
        <v>4</v>
      </c>
      <c r="H1702" s="94">
        <v>347</v>
      </c>
      <c r="I1702" s="91">
        <v>45913</v>
      </c>
      <c r="J1702" s="165">
        <v>0.64583333333333337</v>
      </c>
      <c r="K1702" s="94">
        <v>347</v>
      </c>
      <c r="L1702" s="72" t="str">
        <f t="shared" si="27"/>
        <v>Payé</v>
      </c>
    </row>
    <row r="1703" spans="1:12" ht="15" customHeight="1" x14ac:dyDescent="0.25">
      <c r="A1703" s="91" t="s">
        <v>852</v>
      </c>
      <c r="B1703" s="90">
        <v>5123</v>
      </c>
      <c r="C1703" s="88" t="s">
        <v>827</v>
      </c>
      <c r="D1703" s="90" t="s">
        <v>17</v>
      </c>
      <c r="E1703" s="90" t="s">
        <v>628</v>
      </c>
      <c r="F1703" s="91" t="s">
        <v>852</v>
      </c>
      <c r="G1703" s="96">
        <v>3</v>
      </c>
      <c r="H1703" s="94">
        <v>260</v>
      </c>
      <c r="I1703" s="91">
        <v>45913</v>
      </c>
      <c r="J1703" s="165">
        <v>0.64583333333333337</v>
      </c>
      <c r="K1703" s="94">
        <v>260</v>
      </c>
      <c r="L1703" s="72" t="str">
        <f t="shared" si="27"/>
        <v>Payé</v>
      </c>
    </row>
    <row r="1704" spans="1:12" ht="15" customHeight="1" x14ac:dyDescent="0.25">
      <c r="A1704" s="91" t="s">
        <v>852</v>
      </c>
      <c r="B1704" s="90">
        <v>5126</v>
      </c>
      <c r="C1704" s="88" t="s">
        <v>828</v>
      </c>
      <c r="D1704" s="90" t="s">
        <v>17</v>
      </c>
      <c r="E1704" s="90" t="s">
        <v>628</v>
      </c>
      <c r="F1704" s="91" t="s">
        <v>852</v>
      </c>
      <c r="G1704" s="96">
        <v>1</v>
      </c>
      <c r="H1704" s="94">
        <v>87</v>
      </c>
      <c r="I1704" s="91">
        <v>45913</v>
      </c>
      <c r="J1704" s="165">
        <v>0.64583333333333337</v>
      </c>
      <c r="K1704" s="94">
        <v>87</v>
      </c>
      <c r="L1704" s="72" t="str">
        <f t="shared" si="27"/>
        <v>Payé</v>
      </c>
    </row>
    <row r="1705" spans="1:12" ht="15" customHeight="1" x14ac:dyDescent="0.25">
      <c r="A1705" s="91" t="s">
        <v>852</v>
      </c>
      <c r="B1705" s="90">
        <v>5272</v>
      </c>
      <c r="C1705" s="88" t="s">
        <v>639</v>
      </c>
      <c r="D1705" s="90" t="s">
        <v>17</v>
      </c>
      <c r="E1705" s="90" t="s">
        <v>628</v>
      </c>
      <c r="F1705" s="91" t="s">
        <v>852</v>
      </c>
      <c r="G1705" s="96">
        <v>8</v>
      </c>
      <c r="H1705" s="94">
        <v>694</v>
      </c>
      <c r="I1705" s="91">
        <v>45913</v>
      </c>
      <c r="J1705" s="165">
        <v>0.64583333333333337</v>
      </c>
      <c r="K1705" s="94">
        <v>694</v>
      </c>
      <c r="L1705" s="72" t="str">
        <f t="shared" si="27"/>
        <v>Payé</v>
      </c>
    </row>
    <row r="1706" spans="1:12" ht="15" customHeight="1" x14ac:dyDescent="0.25">
      <c r="A1706" s="91" t="s">
        <v>852</v>
      </c>
      <c r="B1706" s="90">
        <v>8022</v>
      </c>
      <c r="C1706" s="88" t="s">
        <v>707</v>
      </c>
      <c r="D1706" s="90" t="s">
        <v>17</v>
      </c>
      <c r="E1706" s="90" t="s">
        <v>628</v>
      </c>
      <c r="F1706" s="91" t="s">
        <v>852</v>
      </c>
      <c r="G1706" s="96">
        <v>4</v>
      </c>
      <c r="H1706" s="94">
        <v>347</v>
      </c>
      <c r="I1706" s="91">
        <v>45913</v>
      </c>
      <c r="J1706" s="165">
        <v>0.64583333333333337</v>
      </c>
      <c r="K1706" s="94">
        <v>347</v>
      </c>
      <c r="L1706" s="72" t="str">
        <f t="shared" si="27"/>
        <v>Payé</v>
      </c>
    </row>
    <row r="1707" spans="1:12" ht="15" customHeight="1" x14ac:dyDescent="0.25">
      <c r="A1707" s="91" t="s">
        <v>852</v>
      </c>
      <c r="B1707" s="90"/>
      <c r="C1707" s="88" t="s">
        <v>761</v>
      </c>
      <c r="D1707" s="89" t="s">
        <v>910</v>
      </c>
      <c r="E1707" s="90" t="s">
        <v>476</v>
      </c>
      <c r="F1707" s="91" t="s">
        <v>852</v>
      </c>
      <c r="G1707" s="95">
        <v>122.5</v>
      </c>
      <c r="H1707" s="92">
        <v>3675</v>
      </c>
      <c r="I1707" s="91">
        <v>45929</v>
      </c>
      <c r="J1707" s="165">
        <v>0.59722222222222221</v>
      </c>
      <c r="K1707" s="92">
        <v>3675</v>
      </c>
      <c r="L1707" s="72" t="str">
        <f t="shared" si="27"/>
        <v>Payé</v>
      </c>
    </row>
    <row r="1708" spans="1:12" ht="15" customHeight="1" x14ac:dyDescent="0.25">
      <c r="A1708" s="91" t="s">
        <v>852</v>
      </c>
      <c r="B1708" s="90">
        <v>2965</v>
      </c>
      <c r="C1708" s="88" t="s">
        <v>813</v>
      </c>
      <c r="D1708" s="90" t="s">
        <v>17</v>
      </c>
      <c r="E1708" s="90" t="s">
        <v>753</v>
      </c>
      <c r="F1708" s="91" t="s">
        <v>852</v>
      </c>
      <c r="G1708" s="96">
        <v>5</v>
      </c>
      <c r="H1708" s="94">
        <v>434</v>
      </c>
      <c r="I1708" s="91">
        <v>45911</v>
      </c>
      <c r="J1708" s="165">
        <v>0.71805555555555556</v>
      </c>
      <c r="K1708" s="94">
        <v>434</v>
      </c>
      <c r="L1708" s="72" t="str">
        <f t="shared" si="27"/>
        <v>Payé</v>
      </c>
    </row>
    <row r="1709" spans="1:12" ht="15" customHeight="1" x14ac:dyDescent="0.25">
      <c r="A1709" s="91" t="s">
        <v>852</v>
      </c>
      <c r="B1709" s="90">
        <v>2997</v>
      </c>
      <c r="C1709" s="88" t="s">
        <v>719</v>
      </c>
      <c r="D1709" s="90" t="s">
        <v>17</v>
      </c>
      <c r="E1709" s="90" t="s">
        <v>753</v>
      </c>
      <c r="F1709" s="91" t="s">
        <v>852</v>
      </c>
      <c r="G1709" s="96">
        <v>9</v>
      </c>
      <c r="H1709" s="94">
        <v>871</v>
      </c>
      <c r="I1709" s="91">
        <v>45911</v>
      </c>
      <c r="J1709" s="165">
        <v>0.71805555555555556</v>
      </c>
      <c r="K1709" s="94">
        <v>871</v>
      </c>
      <c r="L1709" s="72" t="str">
        <f t="shared" si="27"/>
        <v>Payé</v>
      </c>
    </row>
    <row r="1710" spans="1:12" ht="15" customHeight="1" x14ac:dyDescent="0.25">
      <c r="A1710" s="91" t="s">
        <v>852</v>
      </c>
      <c r="B1710" s="90">
        <v>3001</v>
      </c>
      <c r="C1710" s="88" t="s">
        <v>799</v>
      </c>
      <c r="D1710" s="90" t="s">
        <v>17</v>
      </c>
      <c r="E1710" s="90" t="s">
        <v>753</v>
      </c>
      <c r="F1710" s="91" t="s">
        <v>852</v>
      </c>
      <c r="G1710" s="96">
        <v>7.5</v>
      </c>
      <c r="H1710" s="94">
        <v>651</v>
      </c>
      <c r="I1710" s="91">
        <v>45911</v>
      </c>
      <c r="J1710" s="165">
        <v>0.71805555555555556</v>
      </c>
      <c r="K1710" s="94">
        <v>651</v>
      </c>
      <c r="L1710" s="72" t="str">
        <f t="shared" si="27"/>
        <v>Payé</v>
      </c>
    </row>
    <row r="1711" spans="1:12" ht="15" customHeight="1" x14ac:dyDescent="0.25">
      <c r="A1711" s="91" t="s">
        <v>852</v>
      </c>
      <c r="B1711" s="90">
        <v>4060</v>
      </c>
      <c r="C1711" s="88" t="s">
        <v>986</v>
      </c>
      <c r="D1711" s="90" t="s">
        <v>17</v>
      </c>
      <c r="E1711" s="90" t="s">
        <v>753</v>
      </c>
      <c r="F1711" s="91" t="s">
        <v>852</v>
      </c>
      <c r="G1711" s="96">
        <v>8.5</v>
      </c>
      <c r="H1711" s="94">
        <v>737</v>
      </c>
      <c r="I1711" s="91">
        <v>45911</v>
      </c>
      <c r="J1711" s="165">
        <v>0.71805555555555556</v>
      </c>
      <c r="K1711" s="94">
        <v>737</v>
      </c>
      <c r="L1711" s="72" t="str">
        <f t="shared" si="27"/>
        <v>Payé</v>
      </c>
    </row>
    <row r="1712" spans="1:12" ht="15" customHeight="1" x14ac:dyDescent="0.25">
      <c r="A1712" s="91" t="s">
        <v>852</v>
      </c>
      <c r="B1712" s="90">
        <v>5203</v>
      </c>
      <c r="C1712" s="88" t="s">
        <v>834</v>
      </c>
      <c r="D1712" s="90" t="s">
        <v>17</v>
      </c>
      <c r="E1712" s="90" t="s">
        <v>753</v>
      </c>
      <c r="F1712" s="91" t="s">
        <v>852</v>
      </c>
      <c r="G1712" s="96">
        <v>6</v>
      </c>
      <c r="H1712" s="94">
        <v>520</v>
      </c>
      <c r="I1712" s="91">
        <v>45912</v>
      </c>
      <c r="J1712" s="165">
        <v>0.7055555555555556</v>
      </c>
      <c r="K1712" s="94">
        <v>520</v>
      </c>
      <c r="L1712" s="72" t="str">
        <f t="shared" si="27"/>
        <v>Payé</v>
      </c>
    </row>
    <row r="1713" spans="1:12" ht="15" customHeight="1" x14ac:dyDescent="0.25">
      <c r="A1713" s="91" t="s">
        <v>852</v>
      </c>
      <c r="B1713" s="90">
        <v>5209</v>
      </c>
      <c r="C1713" s="88" t="s">
        <v>835</v>
      </c>
      <c r="D1713" s="90" t="s">
        <v>17</v>
      </c>
      <c r="E1713" s="90" t="s">
        <v>753</v>
      </c>
      <c r="F1713" s="91" t="s">
        <v>852</v>
      </c>
      <c r="G1713" s="96">
        <v>1.5</v>
      </c>
      <c r="H1713" s="94">
        <v>130</v>
      </c>
      <c r="I1713" s="91">
        <v>45926</v>
      </c>
      <c r="J1713" s="165">
        <v>0.70208333333333339</v>
      </c>
      <c r="K1713" s="94">
        <v>130</v>
      </c>
      <c r="L1713" s="72" t="str">
        <f t="shared" si="27"/>
        <v>Payé</v>
      </c>
    </row>
    <row r="1714" spans="1:12" ht="15" customHeight="1" x14ac:dyDescent="0.25">
      <c r="A1714" s="91" t="s">
        <v>852</v>
      </c>
      <c r="B1714" s="90">
        <v>5238</v>
      </c>
      <c r="C1714" s="88" t="s">
        <v>883</v>
      </c>
      <c r="D1714" s="90" t="s">
        <v>17</v>
      </c>
      <c r="E1714" s="90" t="s">
        <v>753</v>
      </c>
      <c r="F1714" s="91" t="s">
        <v>852</v>
      </c>
      <c r="G1714" s="96">
        <v>7.5</v>
      </c>
      <c r="H1714" s="94">
        <v>651</v>
      </c>
      <c r="I1714" s="91">
        <v>45911</v>
      </c>
      <c r="J1714" s="165">
        <v>0.71805555555555556</v>
      </c>
      <c r="K1714" s="94">
        <v>651</v>
      </c>
      <c r="L1714" s="72" t="str">
        <f t="shared" si="27"/>
        <v>Payé</v>
      </c>
    </row>
    <row r="1715" spans="1:12" ht="15" customHeight="1" x14ac:dyDescent="0.25">
      <c r="A1715" s="91" t="s">
        <v>852</v>
      </c>
      <c r="B1715" s="90">
        <v>5240</v>
      </c>
      <c r="C1715" s="88" t="s">
        <v>885</v>
      </c>
      <c r="D1715" s="90" t="s">
        <v>17</v>
      </c>
      <c r="E1715" s="90" t="s">
        <v>753</v>
      </c>
      <c r="F1715" s="91" t="s">
        <v>852</v>
      </c>
      <c r="G1715" s="96">
        <v>7</v>
      </c>
      <c r="H1715" s="94">
        <v>607</v>
      </c>
      <c r="I1715" s="91">
        <v>45911</v>
      </c>
      <c r="J1715" s="165">
        <v>0.71805555555555556</v>
      </c>
      <c r="K1715" s="94">
        <v>607</v>
      </c>
      <c r="L1715" s="72" t="str">
        <f t="shared" si="27"/>
        <v>Payé</v>
      </c>
    </row>
    <row r="1716" spans="1:12" ht="15" customHeight="1" x14ac:dyDescent="0.25">
      <c r="A1716" s="91" t="s">
        <v>852</v>
      </c>
      <c r="B1716" s="90">
        <v>5241</v>
      </c>
      <c r="C1716" s="88" t="s">
        <v>886</v>
      </c>
      <c r="D1716" s="90" t="s">
        <v>17</v>
      </c>
      <c r="E1716" s="90" t="s">
        <v>753</v>
      </c>
      <c r="F1716" s="91" t="s">
        <v>852</v>
      </c>
      <c r="G1716" s="96">
        <v>8</v>
      </c>
      <c r="H1716" s="94">
        <v>694</v>
      </c>
      <c r="I1716" s="91">
        <v>45926</v>
      </c>
      <c r="J1716" s="165">
        <v>0.68402777777777779</v>
      </c>
      <c r="K1716" s="94">
        <v>694</v>
      </c>
      <c r="L1716" s="72" t="str">
        <f t="shared" si="27"/>
        <v>Payé</v>
      </c>
    </row>
    <row r="1717" spans="1:12" ht="15" customHeight="1" x14ac:dyDescent="0.25">
      <c r="A1717" s="91" t="s">
        <v>852</v>
      </c>
      <c r="B1717" s="90">
        <v>5248</v>
      </c>
      <c r="C1717" s="88" t="s">
        <v>915</v>
      </c>
      <c r="D1717" s="90" t="s">
        <v>17</v>
      </c>
      <c r="E1717" s="90" t="s">
        <v>753</v>
      </c>
      <c r="F1717" s="91" t="s">
        <v>852</v>
      </c>
      <c r="G1717" s="96">
        <v>5.5</v>
      </c>
      <c r="H1717" s="94">
        <v>477</v>
      </c>
      <c r="I1717" s="91">
        <v>45911</v>
      </c>
      <c r="J1717" s="165">
        <v>0.71805555555555556</v>
      </c>
      <c r="K1717" s="94">
        <v>477</v>
      </c>
      <c r="L1717" s="72" t="str">
        <f t="shared" si="27"/>
        <v>Payé</v>
      </c>
    </row>
    <row r="1718" spans="1:12" ht="15" customHeight="1" x14ac:dyDescent="0.25">
      <c r="A1718" s="91" t="s">
        <v>852</v>
      </c>
      <c r="B1718" s="90">
        <v>5253</v>
      </c>
      <c r="C1718" s="88" t="s">
        <v>902</v>
      </c>
      <c r="D1718" s="90" t="s">
        <v>17</v>
      </c>
      <c r="E1718" s="90" t="s">
        <v>753</v>
      </c>
      <c r="F1718" s="91" t="s">
        <v>852</v>
      </c>
      <c r="G1718" s="96">
        <v>3.5</v>
      </c>
      <c r="H1718" s="94">
        <v>304</v>
      </c>
      <c r="I1718" s="91">
        <v>45926</v>
      </c>
      <c r="J1718" s="165">
        <v>0.70208333333333339</v>
      </c>
      <c r="K1718" s="94">
        <v>304</v>
      </c>
      <c r="L1718" s="72" t="str">
        <f t="shared" si="27"/>
        <v>Payé</v>
      </c>
    </row>
    <row r="1719" spans="1:12" ht="15" customHeight="1" x14ac:dyDescent="0.25">
      <c r="A1719" s="91" t="s">
        <v>852</v>
      </c>
      <c r="B1719" s="90">
        <v>5255</v>
      </c>
      <c r="C1719" s="88" t="s">
        <v>904</v>
      </c>
      <c r="D1719" s="90" t="s">
        <v>17</v>
      </c>
      <c r="E1719" s="90" t="s">
        <v>753</v>
      </c>
      <c r="F1719" s="91" t="s">
        <v>852</v>
      </c>
      <c r="G1719" s="96">
        <v>3.5</v>
      </c>
      <c r="H1719" s="94">
        <v>304</v>
      </c>
      <c r="I1719" s="91">
        <v>45911</v>
      </c>
      <c r="J1719" s="165">
        <v>0.71805555555555556</v>
      </c>
      <c r="K1719" s="94">
        <v>304</v>
      </c>
      <c r="L1719" s="72" t="str">
        <f t="shared" si="27"/>
        <v>Payé</v>
      </c>
    </row>
    <row r="1720" spans="1:12" ht="15" customHeight="1" x14ac:dyDescent="0.25">
      <c r="A1720" s="91" t="s">
        <v>852</v>
      </c>
      <c r="B1720" s="90">
        <v>5267</v>
      </c>
      <c r="C1720" s="88" t="s">
        <v>923</v>
      </c>
      <c r="D1720" s="90" t="s">
        <v>17</v>
      </c>
      <c r="E1720" s="90" t="s">
        <v>753</v>
      </c>
      <c r="F1720" s="91" t="s">
        <v>852</v>
      </c>
      <c r="G1720" s="96">
        <v>5</v>
      </c>
      <c r="H1720" s="94">
        <v>434</v>
      </c>
      <c r="I1720" s="91">
        <v>45912</v>
      </c>
      <c r="J1720" s="165">
        <v>0.7055555555555556</v>
      </c>
      <c r="K1720" s="94">
        <v>434</v>
      </c>
      <c r="L1720" s="72" t="str">
        <f t="shared" si="27"/>
        <v>Payé</v>
      </c>
    </row>
    <row r="1721" spans="1:12" ht="15" customHeight="1" x14ac:dyDescent="0.25">
      <c r="A1721" s="91" t="s">
        <v>852</v>
      </c>
      <c r="B1721" s="90">
        <v>5300</v>
      </c>
      <c r="C1721" s="88" t="s">
        <v>1011</v>
      </c>
      <c r="D1721" s="90" t="s">
        <v>17</v>
      </c>
      <c r="E1721" s="90" t="s">
        <v>753</v>
      </c>
      <c r="F1721" s="91" t="s">
        <v>852</v>
      </c>
      <c r="G1721" s="96">
        <v>7</v>
      </c>
      <c r="H1721" s="94">
        <v>607</v>
      </c>
      <c r="I1721" s="91">
        <v>45912</v>
      </c>
      <c r="J1721" s="165">
        <v>0.7055555555555556</v>
      </c>
      <c r="K1721" s="94">
        <v>607</v>
      </c>
      <c r="L1721" s="72" t="str">
        <f t="shared" si="27"/>
        <v>Payé</v>
      </c>
    </row>
    <row r="1722" spans="1:12" ht="15" customHeight="1" x14ac:dyDescent="0.25">
      <c r="A1722" s="91" t="s">
        <v>852</v>
      </c>
      <c r="B1722" s="90">
        <v>5327</v>
      </c>
      <c r="C1722" s="88" t="s">
        <v>1033</v>
      </c>
      <c r="D1722" s="90" t="s">
        <v>17</v>
      </c>
      <c r="E1722" s="90" t="s">
        <v>753</v>
      </c>
      <c r="F1722" s="91" t="s">
        <v>852</v>
      </c>
      <c r="G1722" s="96">
        <v>8</v>
      </c>
      <c r="H1722" s="94">
        <v>694</v>
      </c>
      <c r="I1722" s="91">
        <v>45911</v>
      </c>
      <c r="J1722" s="165">
        <v>0.71805555555555556</v>
      </c>
      <c r="K1722" s="94">
        <v>694</v>
      </c>
      <c r="L1722" s="72" t="str">
        <f t="shared" si="27"/>
        <v>Payé</v>
      </c>
    </row>
    <row r="1723" spans="1:12" ht="15" customHeight="1" x14ac:dyDescent="0.25">
      <c r="A1723" s="91" t="s">
        <v>852</v>
      </c>
      <c r="B1723" s="90">
        <v>5330</v>
      </c>
      <c r="C1723" s="88" t="s">
        <v>1036</v>
      </c>
      <c r="D1723" s="90" t="s">
        <v>17</v>
      </c>
      <c r="E1723" s="90" t="s">
        <v>753</v>
      </c>
      <c r="F1723" s="91" t="s">
        <v>852</v>
      </c>
      <c r="G1723" s="96">
        <v>6.5</v>
      </c>
      <c r="H1723" s="94">
        <v>564</v>
      </c>
      <c r="I1723" s="91">
        <v>45911</v>
      </c>
      <c r="J1723" s="165">
        <v>0.71805555555555556</v>
      </c>
      <c r="K1723" s="94">
        <v>564</v>
      </c>
      <c r="L1723" s="72" t="str">
        <f t="shared" si="27"/>
        <v>Payé</v>
      </c>
    </row>
    <row r="1724" spans="1:12" ht="15" customHeight="1" x14ac:dyDescent="0.25">
      <c r="A1724" s="91" t="s">
        <v>852</v>
      </c>
      <c r="B1724" s="90">
        <v>5331</v>
      </c>
      <c r="C1724" s="88" t="s">
        <v>1037</v>
      </c>
      <c r="D1724" s="90" t="s">
        <v>17</v>
      </c>
      <c r="E1724" s="90" t="s">
        <v>753</v>
      </c>
      <c r="F1724" s="91" t="s">
        <v>852</v>
      </c>
      <c r="G1724" s="96">
        <v>8</v>
      </c>
      <c r="H1724" s="94">
        <v>694</v>
      </c>
      <c r="I1724" s="91">
        <v>45929</v>
      </c>
      <c r="J1724" s="165">
        <v>0.44166666666666665</v>
      </c>
      <c r="K1724" s="94">
        <v>694</v>
      </c>
      <c r="L1724" s="72" t="str">
        <f t="shared" si="27"/>
        <v>Payé</v>
      </c>
    </row>
    <row r="1725" spans="1:12" ht="15" customHeight="1" x14ac:dyDescent="0.25">
      <c r="A1725" s="91" t="s">
        <v>852</v>
      </c>
      <c r="B1725" s="90">
        <v>5334</v>
      </c>
      <c r="C1725" s="88" t="s">
        <v>1039</v>
      </c>
      <c r="D1725" s="90" t="s">
        <v>17</v>
      </c>
      <c r="E1725" s="90" t="s">
        <v>753</v>
      </c>
      <c r="F1725" s="91" t="s">
        <v>852</v>
      </c>
      <c r="G1725" s="96">
        <v>6</v>
      </c>
      <c r="H1725" s="94">
        <v>520</v>
      </c>
      <c r="I1725" s="91">
        <v>45912</v>
      </c>
      <c r="J1725" s="165">
        <v>0.52916666666666667</v>
      </c>
      <c r="K1725" s="94">
        <v>520</v>
      </c>
      <c r="L1725" s="72" t="str">
        <f t="shared" si="27"/>
        <v>Payé</v>
      </c>
    </row>
    <row r="1726" spans="1:12" ht="15" customHeight="1" x14ac:dyDescent="0.25">
      <c r="A1726" s="91" t="s">
        <v>852</v>
      </c>
      <c r="B1726" s="90">
        <v>5335</v>
      </c>
      <c r="C1726" s="88" t="s">
        <v>1076</v>
      </c>
      <c r="D1726" s="90" t="s">
        <v>17</v>
      </c>
      <c r="E1726" s="90" t="s">
        <v>753</v>
      </c>
      <c r="F1726" s="91" t="s">
        <v>852</v>
      </c>
      <c r="G1726" s="96">
        <v>4</v>
      </c>
      <c r="H1726" s="94">
        <v>347</v>
      </c>
      <c r="I1726" s="91">
        <v>45911</v>
      </c>
      <c r="J1726" s="165">
        <v>0.71805555555555556</v>
      </c>
      <c r="K1726" s="94">
        <v>347</v>
      </c>
      <c r="L1726" s="72" t="str">
        <f t="shared" si="27"/>
        <v>Payé</v>
      </c>
    </row>
    <row r="1727" spans="1:12" ht="15" customHeight="1" x14ac:dyDescent="0.25">
      <c r="A1727" s="91" t="s">
        <v>852</v>
      </c>
      <c r="B1727" s="90">
        <v>5352</v>
      </c>
      <c r="C1727" s="88" t="s">
        <v>1087</v>
      </c>
      <c r="D1727" s="90" t="s">
        <v>17</v>
      </c>
      <c r="E1727" s="90" t="s">
        <v>753</v>
      </c>
      <c r="F1727" s="91" t="s">
        <v>852</v>
      </c>
      <c r="G1727" s="96">
        <v>4.5</v>
      </c>
      <c r="H1727" s="94">
        <v>390</v>
      </c>
      <c r="I1727" s="91">
        <v>45911</v>
      </c>
      <c r="J1727" s="165">
        <v>0.71805555555555556</v>
      </c>
      <c r="K1727" s="94">
        <v>390</v>
      </c>
      <c r="L1727" s="72" t="str">
        <f t="shared" si="27"/>
        <v>Payé</v>
      </c>
    </row>
    <row r="1728" spans="1:12" ht="15" customHeight="1" x14ac:dyDescent="0.25">
      <c r="A1728" s="91" t="s">
        <v>852</v>
      </c>
      <c r="B1728" s="90" t="s">
        <v>629</v>
      </c>
      <c r="C1728" s="88" t="s">
        <v>630</v>
      </c>
      <c r="D1728" s="89" t="s">
        <v>910</v>
      </c>
      <c r="E1728" s="90" t="s">
        <v>1047</v>
      </c>
      <c r="F1728" s="91" t="s">
        <v>852</v>
      </c>
      <c r="G1728" s="95">
        <v>165</v>
      </c>
      <c r="H1728" s="92">
        <v>4125</v>
      </c>
      <c r="I1728" s="91">
        <v>45910</v>
      </c>
      <c r="J1728" s="165">
        <v>0.65416666666666667</v>
      </c>
      <c r="K1728" s="92">
        <v>4125</v>
      </c>
      <c r="L1728" s="72" t="str">
        <f t="shared" si="27"/>
        <v>Payé</v>
      </c>
    </row>
    <row r="1729" spans="1:12" ht="15" customHeight="1" x14ac:dyDescent="0.25">
      <c r="A1729" s="91" t="s">
        <v>852</v>
      </c>
      <c r="B1729" s="90">
        <v>5002</v>
      </c>
      <c r="C1729" s="88" t="s">
        <v>1043</v>
      </c>
      <c r="D1729" s="90" t="s">
        <v>17</v>
      </c>
      <c r="E1729" s="90" t="s">
        <v>944</v>
      </c>
      <c r="F1729" s="91" t="s">
        <v>852</v>
      </c>
      <c r="G1729" s="96">
        <v>2</v>
      </c>
      <c r="H1729" s="94">
        <v>173</v>
      </c>
      <c r="I1729" s="91"/>
      <c r="J1729" s="165"/>
      <c r="K1729" s="92"/>
      <c r="L1729" s="72" t="str">
        <f t="shared" si="27"/>
        <v>Impayé</v>
      </c>
    </row>
    <row r="1730" spans="1:12" ht="15" customHeight="1" x14ac:dyDescent="0.25">
      <c r="A1730" s="91" t="s">
        <v>852</v>
      </c>
      <c r="B1730" s="90">
        <v>5346</v>
      </c>
      <c r="C1730" s="88" t="s">
        <v>1081</v>
      </c>
      <c r="D1730" s="90" t="s">
        <v>17</v>
      </c>
      <c r="E1730" s="90" t="s">
        <v>944</v>
      </c>
      <c r="F1730" s="91" t="s">
        <v>852</v>
      </c>
      <c r="G1730" s="96">
        <v>5</v>
      </c>
      <c r="H1730" s="94">
        <v>434</v>
      </c>
      <c r="I1730" s="91"/>
      <c r="J1730" s="165"/>
      <c r="K1730" s="92"/>
      <c r="L1730" s="72" t="str">
        <f t="shared" si="27"/>
        <v>Impayé</v>
      </c>
    </row>
    <row r="1731" spans="1:12" ht="15" customHeight="1" x14ac:dyDescent="0.25">
      <c r="A1731" s="91" t="s">
        <v>852</v>
      </c>
      <c r="B1731" s="90">
        <v>5349</v>
      </c>
      <c r="C1731" s="88" t="s">
        <v>1084</v>
      </c>
      <c r="D1731" s="90" t="s">
        <v>17</v>
      </c>
      <c r="E1731" s="90" t="s">
        <v>944</v>
      </c>
      <c r="F1731" s="91" t="s">
        <v>852</v>
      </c>
      <c r="G1731" s="96">
        <v>2</v>
      </c>
      <c r="H1731" s="94">
        <v>173</v>
      </c>
      <c r="I1731" s="91"/>
      <c r="J1731" s="165"/>
      <c r="K1731" s="92"/>
      <c r="L1731" s="72" t="str">
        <f t="shared" si="27"/>
        <v>Impayé</v>
      </c>
    </row>
    <row r="1732" spans="1:12" ht="15" customHeight="1" x14ac:dyDescent="0.25">
      <c r="A1732" s="91" t="s">
        <v>852</v>
      </c>
      <c r="B1732" s="90">
        <v>5293</v>
      </c>
      <c r="C1732" s="88" t="s">
        <v>1004</v>
      </c>
      <c r="D1732" s="90" t="s">
        <v>17</v>
      </c>
      <c r="E1732" s="90" t="s">
        <v>753</v>
      </c>
      <c r="F1732" s="91" t="s">
        <v>852</v>
      </c>
      <c r="G1732" s="96">
        <v>1</v>
      </c>
      <c r="H1732" s="94">
        <v>87</v>
      </c>
      <c r="I1732" s="91"/>
      <c r="J1732" s="165"/>
      <c r="K1732" s="92"/>
      <c r="L1732" s="72" t="str">
        <f t="shared" si="27"/>
        <v>Impayé</v>
      </c>
    </row>
    <row r="1733" spans="1:12" ht="15" customHeight="1" x14ac:dyDescent="0.25">
      <c r="A1733" s="91" t="s">
        <v>852</v>
      </c>
      <c r="B1733" s="90">
        <v>3507</v>
      </c>
      <c r="C1733" s="88" t="s">
        <v>562</v>
      </c>
      <c r="D1733" s="90" t="s">
        <v>17</v>
      </c>
      <c r="E1733" s="90" t="s">
        <v>49</v>
      </c>
      <c r="F1733" s="91" t="s">
        <v>852</v>
      </c>
      <c r="G1733" s="96">
        <v>4</v>
      </c>
      <c r="H1733" s="94">
        <v>347</v>
      </c>
      <c r="I1733" s="91">
        <v>45911</v>
      </c>
      <c r="J1733" s="165">
        <v>0.53888888888888886</v>
      </c>
      <c r="K1733" s="94">
        <v>347</v>
      </c>
      <c r="L1733" s="72" t="str">
        <f t="shared" si="27"/>
        <v>Payé</v>
      </c>
    </row>
    <row r="1734" spans="1:12" ht="15" customHeight="1" x14ac:dyDescent="0.25">
      <c r="A1734" s="91" t="s">
        <v>852</v>
      </c>
      <c r="B1734" s="90">
        <v>6077</v>
      </c>
      <c r="C1734" s="88" t="s">
        <v>890</v>
      </c>
      <c r="D1734" s="90" t="s">
        <v>17</v>
      </c>
      <c r="E1734" s="90" t="s">
        <v>49</v>
      </c>
      <c r="F1734" s="91" t="s">
        <v>852</v>
      </c>
      <c r="G1734" s="96">
        <v>9</v>
      </c>
      <c r="H1734" s="94">
        <v>871</v>
      </c>
      <c r="I1734" s="91">
        <v>45918</v>
      </c>
      <c r="J1734" s="165">
        <v>0.44513888888888892</v>
      </c>
      <c r="K1734" s="94">
        <v>871</v>
      </c>
      <c r="L1734" s="72" t="str">
        <f t="shared" si="27"/>
        <v>Payé</v>
      </c>
    </row>
    <row r="1735" spans="1:12" ht="15" customHeight="1" x14ac:dyDescent="0.25">
      <c r="A1735" s="91" t="s">
        <v>852</v>
      </c>
      <c r="B1735" s="90">
        <v>834</v>
      </c>
      <c r="C1735" s="88" t="s">
        <v>957</v>
      </c>
      <c r="D1735" s="90" t="s">
        <v>17</v>
      </c>
      <c r="E1735" s="90" t="s">
        <v>1045</v>
      </c>
      <c r="F1735" s="91" t="s">
        <v>852</v>
      </c>
      <c r="G1735" s="96">
        <v>3</v>
      </c>
      <c r="H1735" s="94">
        <v>260</v>
      </c>
      <c r="I1735" s="91">
        <v>45911</v>
      </c>
      <c r="J1735" s="165">
        <v>0.70416666666666661</v>
      </c>
      <c r="K1735" s="94">
        <v>260</v>
      </c>
      <c r="L1735" s="72" t="str">
        <f t="shared" si="27"/>
        <v>Payé</v>
      </c>
    </row>
    <row r="1736" spans="1:12" ht="15" customHeight="1" x14ac:dyDescent="0.25">
      <c r="A1736" s="91" t="s">
        <v>852</v>
      </c>
      <c r="B1736" s="90">
        <v>1169</v>
      </c>
      <c r="C1736" s="88" t="s">
        <v>960</v>
      </c>
      <c r="D1736" s="90" t="s">
        <v>17</v>
      </c>
      <c r="E1736" s="90" t="s">
        <v>1045</v>
      </c>
      <c r="F1736" s="91" t="s">
        <v>852</v>
      </c>
      <c r="G1736" s="96">
        <v>2</v>
      </c>
      <c r="H1736" s="94">
        <v>173</v>
      </c>
      <c r="I1736" s="91">
        <v>45911</v>
      </c>
      <c r="J1736" s="165">
        <v>0.70416666666666661</v>
      </c>
      <c r="K1736" s="94">
        <v>173</v>
      </c>
      <c r="L1736" s="72" t="str">
        <f t="shared" si="27"/>
        <v>Payé</v>
      </c>
    </row>
    <row r="1737" spans="1:12" ht="15" customHeight="1" x14ac:dyDescent="0.25">
      <c r="A1737" s="91" t="s">
        <v>852</v>
      </c>
      <c r="B1737" s="90">
        <v>1182</v>
      </c>
      <c r="C1737" s="88" t="s">
        <v>961</v>
      </c>
      <c r="D1737" s="90" t="s">
        <v>17</v>
      </c>
      <c r="E1737" s="90" t="s">
        <v>1045</v>
      </c>
      <c r="F1737" s="91" t="s">
        <v>852</v>
      </c>
      <c r="G1737" s="96">
        <v>7</v>
      </c>
      <c r="H1737" s="94">
        <v>677</v>
      </c>
      <c r="I1737" s="91">
        <v>45911</v>
      </c>
      <c r="J1737" s="165">
        <v>0.70416666666666661</v>
      </c>
      <c r="K1737" s="94">
        <v>677</v>
      </c>
      <c r="L1737" s="72" t="str">
        <f t="shared" si="27"/>
        <v>Payé</v>
      </c>
    </row>
    <row r="1738" spans="1:12" ht="15" customHeight="1" x14ac:dyDescent="0.25">
      <c r="A1738" s="91" t="s">
        <v>852</v>
      </c>
      <c r="B1738" s="90">
        <v>3527</v>
      </c>
      <c r="C1738" s="88" t="s">
        <v>983</v>
      </c>
      <c r="D1738" s="90" t="s">
        <v>17</v>
      </c>
      <c r="E1738" s="90" t="s">
        <v>1045</v>
      </c>
      <c r="F1738" s="91" t="s">
        <v>852</v>
      </c>
      <c r="G1738" s="96">
        <v>6</v>
      </c>
      <c r="H1738" s="94">
        <v>520</v>
      </c>
      <c r="I1738" s="91">
        <v>45911</v>
      </c>
      <c r="J1738" s="165">
        <v>0.70416666666666661</v>
      </c>
      <c r="K1738" s="94">
        <v>520</v>
      </c>
      <c r="L1738" s="72" t="str">
        <f t="shared" si="27"/>
        <v>Payé</v>
      </c>
    </row>
    <row r="1739" spans="1:12" ht="15" customHeight="1" x14ac:dyDescent="0.25">
      <c r="A1739" s="91" t="s">
        <v>852</v>
      </c>
      <c r="B1739" s="90">
        <v>5001</v>
      </c>
      <c r="C1739" s="88" t="s">
        <v>1025</v>
      </c>
      <c r="D1739" s="90" t="s">
        <v>17</v>
      </c>
      <c r="E1739" s="90" t="s">
        <v>1045</v>
      </c>
      <c r="F1739" s="91" t="s">
        <v>852</v>
      </c>
      <c r="G1739" s="96">
        <v>1</v>
      </c>
      <c r="H1739" s="94">
        <v>87</v>
      </c>
      <c r="I1739" s="91">
        <v>45912</v>
      </c>
      <c r="J1739" s="165">
        <v>0.68819444444444444</v>
      </c>
      <c r="K1739" s="94">
        <v>87</v>
      </c>
      <c r="L1739" s="72" t="str">
        <f t="shared" si="27"/>
        <v>Payé</v>
      </c>
    </row>
    <row r="1740" spans="1:12" ht="15" customHeight="1" x14ac:dyDescent="0.25">
      <c r="A1740" s="91" t="s">
        <v>852</v>
      </c>
      <c r="B1740" s="90">
        <v>5294</v>
      </c>
      <c r="C1740" s="88" t="s">
        <v>1005</v>
      </c>
      <c r="D1740" s="90" t="s">
        <v>17</v>
      </c>
      <c r="E1740" s="90" t="s">
        <v>1045</v>
      </c>
      <c r="F1740" s="91" t="s">
        <v>852</v>
      </c>
      <c r="G1740" s="96">
        <v>5</v>
      </c>
      <c r="H1740" s="94">
        <v>434</v>
      </c>
      <c r="I1740" s="91">
        <v>45911</v>
      </c>
      <c r="J1740" s="165">
        <v>0.70416666666666661</v>
      </c>
      <c r="K1740" s="94">
        <v>434</v>
      </c>
      <c r="L1740" s="72" t="str">
        <f t="shared" si="27"/>
        <v>Payé</v>
      </c>
    </row>
    <row r="1741" spans="1:12" ht="15" customHeight="1" x14ac:dyDescent="0.25">
      <c r="A1741" s="91" t="s">
        <v>852</v>
      </c>
      <c r="B1741" s="90">
        <v>5295</v>
      </c>
      <c r="C1741" s="88" t="s">
        <v>1006</v>
      </c>
      <c r="D1741" s="90" t="s">
        <v>17</v>
      </c>
      <c r="E1741" s="90" t="s">
        <v>1045</v>
      </c>
      <c r="F1741" s="91" t="s">
        <v>852</v>
      </c>
      <c r="G1741" s="96">
        <v>1</v>
      </c>
      <c r="H1741" s="94">
        <v>87</v>
      </c>
      <c r="I1741" s="91">
        <v>45912</v>
      </c>
      <c r="J1741" s="165">
        <v>0.68819444444444444</v>
      </c>
      <c r="K1741" s="94">
        <v>87</v>
      </c>
      <c r="L1741" s="72" t="str">
        <f t="shared" si="27"/>
        <v>Payé</v>
      </c>
    </row>
    <row r="1742" spans="1:12" ht="15" customHeight="1" x14ac:dyDescent="0.25">
      <c r="A1742" s="91" t="s">
        <v>852</v>
      </c>
      <c r="B1742" s="90">
        <v>5296</v>
      </c>
      <c r="C1742" s="88" t="s">
        <v>1007</v>
      </c>
      <c r="D1742" s="90" t="s">
        <v>17</v>
      </c>
      <c r="E1742" s="90" t="s">
        <v>1045</v>
      </c>
      <c r="F1742" s="91" t="s">
        <v>852</v>
      </c>
      <c r="G1742" s="96">
        <v>1</v>
      </c>
      <c r="H1742" s="94">
        <v>87</v>
      </c>
      <c r="I1742" s="91">
        <v>45911</v>
      </c>
      <c r="J1742" s="165">
        <v>0.70416666666666661</v>
      </c>
      <c r="K1742" s="94">
        <v>87</v>
      </c>
      <c r="L1742" s="72" t="str">
        <f t="shared" si="27"/>
        <v>Payé</v>
      </c>
    </row>
    <row r="1743" spans="1:12" ht="15" customHeight="1" x14ac:dyDescent="0.25">
      <c r="A1743" s="91" t="s">
        <v>852</v>
      </c>
      <c r="B1743" s="90">
        <v>5297</v>
      </c>
      <c r="C1743" s="88" t="s">
        <v>1008</v>
      </c>
      <c r="D1743" s="90" t="s">
        <v>17</v>
      </c>
      <c r="E1743" s="90" t="s">
        <v>1045</v>
      </c>
      <c r="F1743" s="91" t="s">
        <v>852</v>
      </c>
      <c r="G1743" s="96">
        <v>7</v>
      </c>
      <c r="H1743" s="94">
        <v>607</v>
      </c>
      <c r="I1743" s="91">
        <v>45911</v>
      </c>
      <c r="J1743" s="165">
        <v>0.70416666666666661</v>
      </c>
      <c r="K1743" s="94">
        <v>607</v>
      </c>
      <c r="L1743" s="72" t="str">
        <f t="shared" si="27"/>
        <v>Payé</v>
      </c>
    </row>
    <row r="1744" spans="1:12" ht="15" customHeight="1" x14ac:dyDescent="0.25">
      <c r="A1744" s="91" t="s">
        <v>852</v>
      </c>
      <c r="B1744" s="90">
        <v>5298</v>
      </c>
      <c r="C1744" s="88" t="s">
        <v>1009</v>
      </c>
      <c r="D1744" s="90" t="s">
        <v>17</v>
      </c>
      <c r="E1744" s="90" t="s">
        <v>1045</v>
      </c>
      <c r="F1744" s="91" t="s">
        <v>852</v>
      </c>
      <c r="G1744" s="96">
        <v>7</v>
      </c>
      <c r="H1744" s="94">
        <v>607</v>
      </c>
      <c r="I1744" s="91">
        <v>45911</v>
      </c>
      <c r="J1744" s="165">
        <v>0.70416666666666661</v>
      </c>
      <c r="K1744" s="94">
        <v>607</v>
      </c>
      <c r="L1744" s="72" t="str">
        <f t="shared" si="27"/>
        <v>Payé</v>
      </c>
    </row>
    <row r="1745" spans="1:12" ht="15" customHeight="1" x14ac:dyDescent="0.25">
      <c r="A1745" s="91" t="s">
        <v>852</v>
      </c>
      <c r="B1745" s="90">
        <v>5299</v>
      </c>
      <c r="C1745" s="88" t="s">
        <v>1010</v>
      </c>
      <c r="D1745" s="90" t="s">
        <v>17</v>
      </c>
      <c r="E1745" s="90" t="s">
        <v>1045</v>
      </c>
      <c r="F1745" s="91" t="s">
        <v>852</v>
      </c>
      <c r="G1745" s="96">
        <v>5</v>
      </c>
      <c r="H1745" s="94">
        <v>434</v>
      </c>
      <c r="I1745" s="91">
        <v>45911</v>
      </c>
      <c r="J1745" s="165">
        <v>0.70416666666666661</v>
      </c>
      <c r="K1745" s="94">
        <v>434</v>
      </c>
      <c r="L1745" s="72" t="str">
        <f t="shared" si="27"/>
        <v>Payé</v>
      </c>
    </row>
    <row r="1746" spans="1:12" ht="15" customHeight="1" x14ac:dyDescent="0.25">
      <c r="A1746" s="91" t="s">
        <v>852</v>
      </c>
      <c r="B1746" s="90">
        <v>5301</v>
      </c>
      <c r="C1746" s="88" t="s">
        <v>1012</v>
      </c>
      <c r="D1746" s="90" t="s">
        <v>17</v>
      </c>
      <c r="E1746" s="90" t="s">
        <v>1045</v>
      </c>
      <c r="F1746" s="91" t="s">
        <v>852</v>
      </c>
      <c r="G1746" s="96">
        <v>2</v>
      </c>
      <c r="H1746" s="94">
        <v>173</v>
      </c>
      <c r="I1746" s="91">
        <v>45911</v>
      </c>
      <c r="J1746" s="165">
        <v>0.70416666666666661</v>
      </c>
      <c r="K1746" s="94">
        <v>173</v>
      </c>
      <c r="L1746" s="72" t="str">
        <f t="shared" si="27"/>
        <v>Payé</v>
      </c>
    </row>
    <row r="1747" spans="1:12" ht="15" customHeight="1" x14ac:dyDescent="0.25">
      <c r="A1747" s="91" t="s">
        <v>852</v>
      </c>
      <c r="B1747" s="90">
        <v>5302</v>
      </c>
      <c r="C1747" s="88" t="s">
        <v>1013</v>
      </c>
      <c r="D1747" s="90" t="s">
        <v>17</v>
      </c>
      <c r="E1747" s="90" t="s">
        <v>1045</v>
      </c>
      <c r="F1747" s="91" t="s">
        <v>852</v>
      </c>
      <c r="G1747" s="96">
        <v>4</v>
      </c>
      <c r="H1747" s="94">
        <v>347</v>
      </c>
      <c r="I1747" s="91">
        <v>45911</v>
      </c>
      <c r="J1747" s="165">
        <v>0.70416666666666661</v>
      </c>
      <c r="K1747" s="94">
        <v>347</v>
      </c>
      <c r="L1747" s="72" t="str">
        <f t="shared" si="27"/>
        <v>Payé</v>
      </c>
    </row>
    <row r="1748" spans="1:12" ht="15" customHeight="1" x14ac:dyDescent="0.25">
      <c r="A1748" s="91" t="s">
        <v>852</v>
      </c>
      <c r="B1748" s="90">
        <v>5303</v>
      </c>
      <c r="C1748" s="88" t="s">
        <v>1014</v>
      </c>
      <c r="D1748" s="90" t="s">
        <v>17</v>
      </c>
      <c r="E1748" s="90" t="s">
        <v>1045</v>
      </c>
      <c r="F1748" s="91" t="s">
        <v>852</v>
      </c>
      <c r="G1748" s="96">
        <v>1</v>
      </c>
      <c r="H1748" s="94">
        <v>87</v>
      </c>
      <c r="I1748" s="91">
        <v>45911</v>
      </c>
      <c r="J1748" s="165">
        <v>0.70416666666666661</v>
      </c>
      <c r="K1748" s="94">
        <v>87</v>
      </c>
      <c r="L1748" s="72" t="str">
        <f t="shared" si="27"/>
        <v>Payé</v>
      </c>
    </row>
    <row r="1749" spans="1:12" ht="15" customHeight="1" x14ac:dyDescent="0.25">
      <c r="A1749" s="91" t="s">
        <v>852</v>
      </c>
      <c r="B1749" s="90">
        <v>5308</v>
      </c>
      <c r="C1749" s="88" t="s">
        <v>1019</v>
      </c>
      <c r="D1749" s="90" t="s">
        <v>17</v>
      </c>
      <c r="E1749" s="90" t="s">
        <v>1045</v>
      </c>
      <c r="F1749" s="91" t="s">
        <v>852</v>
      </c>
      <c r="G1749" s="96">
        <v>5</v>
      </c>
      <c r="H1749" s="94">
        <v>434</v>
      </c>
      <c r="I1749" s="91">
        <v>45911</v>
      </c>
      <c r="J1749" s="165">
        <v>0.70416666666666661</v>
      </c>
      <c r="K1749" s="94">
        <v>434</v>
      </c>
      <c r="L1749" s="72" t="str">
        <f t="shared" si="27"/>
        <v>Payé</v>
      </c>
    </row>
    <row r="1750" spans="1:12" ht="15" customHeight="1" x14ac:dyDescent="0.25">
      <c r="A1750" s="91" t="s">
        <v>852</v>
      </c>
      <c r="B1750" s="90">
        <v>5314</v>
      </c>
      <c r="C1750" s="88" t="s">
        <v>1023</v>
      </c>
      <c r="D1750" s="90" t="s">
        <v>17</v>
      </c>
      <c r="E1750" s="90" t="s">
        <v>1045</v>
      </c>
      <c r="F1750" s="91" t="s">
        <v>852</v>
      </c>
      <c r="G1750" s="96">
        <v>6</v>
      </c>
      <c r="H1750" s="94">
        <v>520</v>
      </c>
      <c r="I1750" s="91">
        <v>45912</v>
      </c>
      <c r="J1750" s="165">
        <v>0.68819444444444444</v>
      </c>
      <c r="K1750" s="94">
        <v>520</v>
      </c>
      <c r="L1750" s="72" t="str">
        <f t="shared" si="27"/>
        <v>Payé</v>
      </c>
    </row>
    <row r="1751" spans="1:12" ht="15" customHeight="1" x14ac:dyDescent="0.25">
      <c r="A1751" s="91" t="s">
        <v>852</v>
      </c>
      <c r="B1751" s="90">
        <v>5319</v>
      </c>
      <c r="C1751" s="88" t="s">
        <v>1075</v>
      </c>
      <c r="D1751" s="90" t="s">
        <v>17</v>
      </c>
      <c r="E1751" s="90" t="s">
        <v>1045</v>
      </c>
      <c r="F1751" s="91" t="s">
        <v>852</v>
      </c>
      <c r="G1751" s="96">
        <v>3</v>
      </c>
      <c r="H1751" s="94">
        <v>260</v>
      </c>
      <c r="I1751" s="91">
        <v>45912</v>
      </c>
      <c r="J1751" s="165">
        <v>0.68819444444444444</v>
      </c>
      <c r="K1751" s="94">
        <v>260</v>
      </c>
      <c r="L1751" s="72" t="str">
        <f t="shared" si="27"/>
        <v>Payé</v>
      </c>
    </row>
    <row r="1752" spans="1:12" ht="15" customHeight="1" x14ac:dyDescent="0.25">
      <c r="A1752" s="91" t="s">
        <v>852</v>
      </c>
      <c r="B1752" s="90">
        <v>5320</v>
      </c>
      <c r="C1752" s="88" t="s">
        <v>1028</v>
      </c>
      <c r="D1752" s="90" t="s">
        <v>17</v>
      </c>
      <c r="E1752" s="90" t="s">
        <v>1045</v>
      </c>
      <c r="F1752" s="91" t="s">
        <v>852</v>
      </c>
      <c r="G1752" s="96">
        <v>7</v>
      </c>
      <c r="H1752" s="94">
        <v>607</v>
      </c>
      <c r="I1752" s="91">
        <v>45912</v>
      </c>
      <c r="J1752" s="165">
        <v>0.68819444444444444</v>
      </c>
      <c r="K1752" s="94">
        <v>607</v>
      </c>
      <c r="L1752" s="72" t="str">
        <f t="shared" si="27"/>
        <v>Payé</v>
      </c>
    </row>
    <row r="1753" spans="1:12" ht="15" customHeight="1" x14ac:dyDescent="0.25">
      <c r="A1753" s="91" t="s">
        <v>852</v>
      </c>
      <c r="B1753" s="90">
        <v>5322</v>
      </c>
      <c r="C1753" s="88" t="s">
        <v>1026</v>
      </c>
      <c r="D1753" s="90" t="s">
        <v>17</v>
      </c>
      <c r="E1753" s="90" t="s">
        <v>1045</v>
      </c>
      <c r="F1753" s="91" t="s">
        <v>852</v>
      </c>
      <c r="G1753" s="96">
        <v>1</v>
      </c>
      <c r="H1753" s="94">
        <v>87</v>
      </c>
      <c r="I1753" s="91">
        <v>45912</v>
      </c>
      <c r="J1753" s="165">
        <v>0.68819444444444444</v>
      </c>
      <c r="K1753" s="94">
        <v>87</v>
      </c>
      <c r="L1753" s="72" t="str">
        <f t="shared" si="27"/>
        <v>Payé</v>
      </c>
    </row>
    <row r="1754" spans="1:12" ht="15" customHeight="1" x14ac:dyDescent="0.25">
      <c r="A1754" s="91" t="s">
        <v>852</v>
      </c>
      <c r="B1754" s="90">
        <v>5329</v>
      </c>
      <c r="C1754" s="88" t="s">
        <v>1029</v>
      </c>
      <c r="D1754" s="90" t="s">
        <v>17</v>
      </c>
      <c r="E1754" s="90" t="s">
        <v>1045</v>
      </c>
      <c r="F1754" s="91" t="s">
        <v>852</v>
      </c>
      <c r="G1754" s="96">
        <v>6</v>
      </c>
      <c r="H1754" s="94">
        <v>520</v>
      </c>
      <c r="I1754" s="91">
        <v>45911</v>
      </c>
      <c r="J1754" s="165">
        <v>0.70416666666666661</v>
      </c>
      <c r="K1754" s="94">
        <v>520</v>
      </c>
      <c r="L1754" s="72" t="str">
        <f t="shared" si="27"/>
        <v>Payé</v>
      </c>
    </row>
    <row r="1755" spans="1:12" ht="15" customHeight="1" x14ac:dyDescent="0.25">
      <c r="A1755" s="91" t="s">
        <v>852</v>
      </c>
      <c r="B1755" s="90">
        <v>5362</v>
      </c>
      <c r="C1755" s="88" t="s">
        <v>1096</v>
      </c>
      <c r="D1755" s="90" t="s">
        <v>17</v>
      </c>
      <c r="E1755" s="90" t="s">
        <v>1045</v>
      </c>
      <c r="F1755" s="91" t="s">
        <v>852</v>
      </c>
      <c r="G1755" s="96">
        <v>1</v>
      </c>
      <c r="H1755" s="94">
        <v>87</v>
      </c>
      <c r="I1755" s="91">
        <v>45911</v>
      </c>
      <c r="J1755" s="165">
        <v>0.70416666666666661</v>
      </c>
      <c r="K1755" s="94">
        <v>87</v>
      </c>
      <c r="L1755" s="72" t="str">
        <f t="shared" si="27"/>
        <v>Payé</v>
      </c>
    </row>
    <row r="1756" spans="1:12" ht="15" customHeight="1" x14ac:dyDescent="0.25">
      <c r="A1756" s="91" t="s">
        <v>852</v>
      </c>
      <c r="B1756" s="90">
        <v>5363</v>
      </c>
      <c r="C1756" s="88" t="s">
        <v>1097</v>
      </c>
      <c r="D1756" s="90" t="s">
        <v>17</v>
      </c>
      <c r="E1756" s="90" t="s">
        <v>1045</v>
      </c>
      <c r="F1756" s="91" t="s">
        <v>852</v>
      </c>
      <c r="G1756" s="96">
        <v>1</v>
      </c>
      <c r="H1756" s="94">
        <v>87</v>
      </c>
      <c r="I1756" s="91">
        <v>45911</v>
      </c>
      <c r="J1756" s="165">
        <v>0.70416666666666661</v>
      </c>
      <c r="K1756" s="94">
        <v>87</v>
      </c>
      <c r="L1756" s="72" t="str">
        <f t="shared" si="27"/>
        <v>Payé</v>
      </c>
    </row>
    <row r="1757" spans="1:12" ht="15" customHeight="1" x14ac:dyDescent="0.25">
      <c r="A1757" s="91" t="s">
        <v>852</v>
      </c>
      <c r="B1757" s="90">
        <v>5364</v>
      </c>
      <c r="C1757" s="88" t="s">
        <v>1098</v>
      </c>
      <c r="D1757" s="90" t="s">
        <v>17</v>
      </c>
      <c r="E1757" s="90" t="s">
        <v>1045</v>
      </c>
      <c r="F1757" s="91" t="s">
        <v>852</v>
      </c>
      <c r="G1757" s="96">
        <v>1</v>
      </c>
      <c r="H1757" s="94">
        <v>87</v>
      </c>
      <c r="I1757" s="91">
        <v>45911</v>
      </c>
      <c r="J1757" s="165">
        <v>0.70416666666666661</v>
      </c>
      <c r="K1757" s="94">
        <v>87</v>
      </c>
      <c r="L1757" s="72" t="str">
        <f t="shared" si="27"/>
        <v>Payé</v>
      </c>
    </row>
    <row r="1758" spans="1:12" ht="15" customHeight="1" x14ac:dyDescent="0.25">
      <c r="A1758" s="91" t="s">
        <v>852</v>
      </c>
      <c r="B1758" s="90" t="s">
        <v>586</v>
      </c>
      <c r="C1758" s="88" t="s">
        <v>1109</v>
      </c>
      <c r="D1758" s="89" t="s">
        <v>910</v>
      </c>
      <c r="E1758" s="90" t="s">
        <v>1048</v>
      </c>
      <c r="F1758" s="91" t="s">
        <v>852</v>
      </c>
      <c r="G1758" s="95">
        <v>83</v>
      </c>
      <c r="H1758" s="92">
        <v>2075</v>
      </c>
      <c r="I1758" s="91">
        <v>45911</v>
      </c>
      <c r="J1758" s="165">
        <v>0.70416666666666661</v>
      </c>
      <c r="K1758" s="92">
        <v>2075</v>
      </c>
      <c r="L1758" s="72" t="str">
        <f t="shared" ref="L1758:L1821" si="28">IF(ISBLANK(H1758),"",IF(H1758=K1758,"Payé","Impayé"))</f>
        <v>Payé</v>
      </c>
    </row>
    <row r="1759" spans="1:12" ht="15" customHeight="1" x14ac:dyDescent="0.25">
      <c r="A1759" s="91" t="s">
        <v>852</v>
      </c>
      <c r="B1759" s="136" t="s">
        <v>1112</v>
      </c>
      <c r="C1759" s="212" t="s">
        <v>821</v>
      </c>
      <c r="D1759" s="89" t="s">
        <v>912</v>
      </c>
      <c r="E1759" s="136" t="s">
        <v>1111</v>
      </c>
      <c r="F1759" s="91" t="s">
        <v>852</v>
      </c>
      <c r="G1759" s="94">
        <v>10</v>
      </c>
      <c r="H1759" s="92">
        <v>4500</v>
      </c>
      <c r="I1759" s="91">
        <v>45910</v>
      </c>
      <c r="J1759" s="165">
        <v>0.69652777777777775</v>
      </c>
      <c r="K1759" s="92">
        <v>4500</v>
      </c>
      <c r="L1759" s="72" t="str">
        <f t="shared" si="28"/>
        <v>Payé</v>
      </c>
    </row>
    <row r="1760" spans="1:12" ht="15" customHeight="1" x14ac:dyDescent="0.25">
      <c r="A1760" s="91" t="s">
        <v>852</v>
      </c>
      <c r="B1760" s="136" t="s">
        <v>821</v>
      </c>
      <c r="C1760" s="212" t="s">
        <v>1112</v>
      </c>
      <c r="D1760" s="89" t="s">
        <v>912</v>
      </c>
      <c r="E1760" s="136" t="s">
        <v>1111</v>
      </c>
      <c r="F1760" s="91" t="s">
        <v>852</v>
      </c>
      <c r="G1760" s="94">
        <v>2</v>
      </c>
      <c r="H1760" s="92">
        <v>900</v>
      </c>
      <c r="I1760" s="91">
        <v>45911</v>
      </c>
      <c r="J1760" s="165">
        <v>0.71319444444444446</v>
      </c>
      <c r="K1760" s="92">
        <v>900</v>
      </c>
      <c r="L1760" s="72" t="str">
        <f t="shared" si="28"/>
        <v>Payé</v>
      </c>
    </row>
    <row r="1761" spans="1:12" ht="15" customHeight="1" x14ac:dyDescent="0.25">
      <c r="A1761" s="90" t="s">
        <v>854</v>
      </c>
      <c r="B1761" s="90">
        <v>3672</v>
      </c>
      <c r="C1761" s="88" t="s">
        <v>568</v>
      </c>
      <c r="D1761" s="90" t="s">
        <v>17</v>
      </c>
      <c r="E1761" s="90" t="s">
        <v>613</v>
      </c>
      <c r="F1761" s="90" t="s">
        <v>854</v>
      </c>
      <c r="G1761" s="137">
        <v>15</v>
      </c>
      <c r="H1761" s="94">
        <v>1621</v>
      </c>
      <c r="I1761" s="91">
        <v>45936</v>
      </c>
      <c r="J1761" s="165">
        <v>0.69236111111111109</v>
      </c>
      <c r="K1761" s="94">
        <v>1621</v>
      </c>
      <c r="L1761" s="72" t="str">
        <f t="shared" si="28"/>
        <v>Payé</v>
      </c>
    </row>
    <row r="1762" spans="1:12" ht="15" customHeight="1" x14ac:dyDescent="0.25">
      <c r="A1762" s="90" t="s">
        <v>854</v>
      </c>
      <c r="B1762" s="90">
        <v>3398</v>
      </c>
      <c r="C1762" s="88" t="s">
        <v>557</v>
      </c>
      <c r="D1762" s="90" t="s">
        <v>17</v>
      </c>
      <c r="E1762" s="90" t="s">
        <v>420</v>
      </c>
      <c r="F1762" s="90" t="s">
        <v>854</v>
      </c>
      <c r="G1762" s="137">
        <v>2</v>
      </c>
      <c r="H1762" s="94">
        <v>173</v>
      </c>
      <c r="I1762" s="91">
        <v>45938</v>
      </c>
      <c r="J1762" s="165">
        <v>0.53749999999999998</v>
      </c>
      <c r="K1762" s="94">
        <v>173</v>
      </c>
      <c r="L1762" s="72" t="str">
        <f t="shared" si="28"/>
        <v>Payé</v>
      </c>
    </row>
    <row r="1763" spans="1:12" ht="15" customHeight="1" x14ac:dyDescent="0.25">
      <c r="A1763" s="90" t="s">
        <v>854</v>
      </c>
      <c r="B1763" s="90">
        <v>5</v>
      </c>
      <c r="C1763" s="88" t="s">
        <v>456</v>
      </c>
      <c r="D1763" s="90" t="s">
        <v>17</v>
      </c>
      <c r="E1763" s="90" t="s">
        <v>81</v>
      </c>
      <c r="F1763" s="90" t="s">
        <v>854</v>
      </c>
      <c r="G1763" s="137">
        <v>2</v>
      </c>
      <c r="H1763" s="94">
        <v>191</v>
      </c>
      <c r="I1763" s="91">
        <v>45943</v>
      </c>
      <c r="J1763" s="165">
        <v>0.44513888888888892</v>
      </c>
      <c r="K1763" s="94">
        <v>191</v>
      </c>
      <c r="L1763" s="72" t="str">
        <f t="shared" si="28"/>
        <v>Payé</v>
      </c>
    </row>
    <row r="1764" spans="1:12" ht="15" customHeight="1" x14ac:dyDescent="0.25">
      <c r="A1764" s="90" t="s">
        <v>854</v>
      </c>
      <c r="B1764" s="90">
        <v>102</v>
      </c>
      <c r="C1764" s="88" t="s">
        <v>594</v>
      </c>
      <c r="D1764" s="90" t="s">
        <v>17</v>
      </c>
      <c r="E1764" s="90" t="s">
        <v>81</v>
      </c>
      <c r="F1764" s="90" t="s">
        <v>854</v>
      </c>
      <c r="G1764" s="137">
        <v>2</v>
      </c>
      <c r="H1764" s="94">
        <v>191</v>
      </c>
      <c r="I1764" s="91">
        <v>45939</v>
      </c>
      <c r="J1764" s="165">
        <v>0.40416666666666662</v>
      </c>
      <c r="K1764" s="94">
        <v>191</v>
      </c>
      <c r="L1764" s="72" t="str">
        <f t="shared" si="28"/>
        <v>Payé</v>
      </c>
    </row>
    <row r="1765" spans="1:12" ht="15" customHeight="1" x14ac:dyDescent="0.25">
      <c r="A1765" s="90" t="s">
        <v>854</v>
      </c>
      <c r="B1765" s="90">
        <v>4807</v>
      </c>
      <c r="C1765" s="88" t="s">
        <v>825</v>
      </c>
      <c r="D1765" s="90" t="s">
        <v>17</v>
      </c>
      <c r="E1765" s="90" t="s">
        <v>81</v>
      </c>
      <c r="F1765" s="90" t="s">
        <v>854</v>
      </c>
      <c r="G1765" s="137">
        <v>12</v>
      </c>
      <c r="H1765" s="94">
        <v>1161</v>
      </c>
      <c r="I1765" s="91">
        <v>45937</v>
      </c>
      <c r="J1765" s="165">
        <v>0.65277777777777779</v>
      </c>
      <c r="K1765" s="94">
        <v>1161</v>
      </c>
      <c r="L1765" s="72" t="str">
        <f t="shared" si="28"/>
        <v>Payé</v>
      </c>
    </row>
    <row r="1766" spans="1:12" ht="15" customHeight="1" x14ac:dyDescent="0.25">
      <c r="A1766" s="90" t="s">
        <v>854</v>
      </c>
      <c r="B1766" s="90">
        <v>6</v>
      </c>
      <c r="C1766" s="88" t="s">
        <v>542</v>
      </c>
      <c r="D1766" s="90" t="s">
        <v>17</v>
      </c>
      <c r="E1766" s="90" t="s">
        <v>368</v>
      </c>
      <c r="F1766" s="90" t="s">
        <v>854</v>
      </c>
      <c r="G1766" s="137">
        <v>2</v>
      </c>
      <c r="H1766" s="94">
        <v>191</v>
      </c>
      <c r="I1766" s="91">
        <v>45937</v>
      </c>
      <c r="J1766" s="165">
        <v>0.66736111111111107</v>
      </c>
      <c r="K1766" s="94">
        <v>191</v>
      </c>
      <c r="L1766" s="72" t="str">
        <f t="shared" si="28"/>
        <v>Payé</v>
      </c>
    </row>
    <row r="1767" spans="1:12" ht="15" customHeight="1" x14ac:dyDescent="0.25">
      <c r="A1767" s="90" t="s">
        <v>854</v>
      </c>
      <c r="B1767" s="90">
        <v>1041</v>
      </c>
      <c r="C1767" s="88" t="s">
        <v>387</v>
      </c>
      <c r="D1767" s="90" t="s">
        <v>17</v>
      </c>
      <c r="E1767" s="90" t="s">
        <v>368</v>
      </c>
      <c r="F1767" s="90" t="s">
        <v>854</v>
      </c>
      <c r="G1767" s="137">
        <v>1</v>
      </c>
      <c r="H1767" s="94">
        <v>91</v>
      </c>
      <c r="I1767" s="91">
        <v>45992</v>
      </c>
      <c r="J1767" s="165">
        <v>0.68333333333333324</v>
      </c>
      <c r="K1767" s="94">
        <v>91</v>
      </c>
      <c r="L1767" s="72" t="str">
        <f t="shared" si="28"/>
        <v>Payé</v>
      </c>
    </row>
    <row r="1768" spans="1:12" ht="15" customHeight="1" x14ac:dyDescent="0.25">
      <c r="A1768" s="90" t="s">
        <v>854</v>
      </c>
      <c r="B1768" s="90" t="s">
        <v>1156</v>
      </c>
      <c r="C1768" s="88" t="s">
        <v>1133</v>
      </c>
      <c r="D1768" s="90" t="s">
        <v>17</v>
      </c>
      <c r="E1768" s="90" t="s">
        <v>368</v>
      </c>
      <c r="F1768" s="90" t="s">
        <v>854</v>
      </c>
      <c r="G1768" s="137">
        <v>15</v>
      </c>
      <c r="H1768" s="94">
        <v>1751</v>
      </c>
      <c r="I1768" s="91">
        <v>45937</v>
      </c>
      <c r="J1768" s="165">
        <v>0.59027777777777779</v>
      </c>
      <c r="K1768" s="94">
        <v>1751</v>
      </c>
      <c r="L1768" s="72" t="str">
        <f t="shared" si="28"/>
        <v>Payé</v>
      </c>
    </row>
    <row r="1769" spans="1:12" ht="15" customHeight="1" x14ac:dyDescent="0.25">
      <c r="A1769" s="90" t="s">
        <v>854</v>
      </c>
      <c r="B1769" s="90">
        <v>202</v>
      </c>
      <c r="C1769" s="88" t="s">
        <v>948</v>
      </c>
      <c r="D1769" s="90" t="s">
        <v>17</v>
      </c>
      <c r="E1769" s="90" t="s">
        <v>370</v>
      </c>
      <c r="F1769" s="90" t="s">
        <v>854</v>
      </c>
      <c r="G1769" s="137">
        <v>2</v>
      </c>
      <c r="H1769" s="94">
        <v>182</v>
      </c>
      <c r="I1769" s="91">
        <v>45941</v>
      </c>
      <c r="J1769" s="165">
        <v>0.57222222222222219</v>
      </c>
      <c r="K1769" s="94">
        <v>182</v>
      </c>
      <c r="L1769" s="72" t="str">
        <f t="shared" si="28"/>
        <v>Payé</v>
      </c>
    </row>
    <row r="1770" spans="1:12" ht="15" customHeight="1" x14ac:dyDescent="0.25">
      <c r="A1770" s="90" t="s">
        <v>854</v>
      </c>
      <c r="B1770" s="90">
        <v>1043</v>
      </c>
      <c r="C1770" s="88" t="s">
        <v>421</v>
      </c>
      <c r="D1770" s="90" t="s">
        <v>17</v>
      </c>
      <c r="E1770" s="90" t="s">
        <v>370</v>
      </c>
      <c r="F1770" s="90" t="s">
        <v>854</v>
      </c>
      <c r="G1770" s="137">
        <v>1</v>
      </c>
      <c r="H1770" s="94">
        <v>91</v>
      </c>
      <c r="I1770" s="91">
        <v>45941</v>
      </c>
      <c r="J1770" s="165">
        <v>0.57222222222222219</v>
      </c>
      <c r="K1770" s="94">
        <v>91</v>
      </c>
      <c r="L1770" s="72" t="str">
        <f t="shared" si="28"/>
        <v>Payé</v>
      </c>
    </row>
    <row r="1771" spans="1:12" ht="15" customHeight="1" x14ac:dyDescent="0.25">
      <c r="A1771" s="90" t="s">
        <v>854</v>
      </c>
      <c r="B1771" s="90" t="s">
        <v>1143</v>
      </c>
      <c r="C1771" s="88" t="s">
        <v>1144</v>
      </c>
      <c r="D1771" s="90" t="s">
        <v>17</v>
      </c>
      <c r="E1771" s="90" t="s">
        <v>370</v>
      </c>
      <c r="F1771" s="90" t="s">
        <v>854</v>
      </c>
      <c r="G1771" s="137">
        <v>11</v>
      </c>
      <c r="H1771" s="94">
        <v>1064</v>
      </c>
      <c r="I1771" s="91">
        <v>45937</v>
      </c>
      <c r="J1771" s="165">
        <v>0.63541666666666663</v>
      </c>
      <c r="K1771" s="94">
        <v>1064</v>
      </c>
      <c r="L1771" s="72" t="str">
        <f t="shared" si="28"/>
        <v>Payé</v>
      </c>
    </row>
    <row r="1772" spans="1:12" ht="15" customHeight="1" x14ac:dyDescent="0.25">
      <c r="A1772" s="90" t="s">
        <v>854</v>
      </c>
      <c r="B1772" s="90">
        <v>5348</v>
      </c>
      <c r="C1772" s="88" t="s">
        <v>1083</v>
      </c>
      <c r="D1772" s="90" t="s">
        <v>17</v>
      </c>
      <c r="E1772" s="90" t="s">
        <v>370</v>
      </c>
      <c r="F1772" s="90" t="s">
        <v>854</v>
      </c>
      <c r="G1772" s="137">
        <v>13</v>
      </c>
      <c r="H1772" s="94">
        <v>1518</v>
      </c>
      <c r="I1772" s="91">
        <v>45937</v>
      </c>
      <c r="J1772" s="165">
        <v>0.59027777777777779</v>
      </c>
      <c r="K1772" s="94">
        <v>1518</v>
      </c>
      <c r="L1772" s="72" t="str">
        <f t="shared" si="28"/>
        <v>Payé</v>
      </c>
    </row>
    <row r="1773" spans="1:12" ht="15" customHeight="1" x14ac:dyDescent="0.25">
      <c r="A1773" s="90" t="s">
        <v>854</v>
      </c>
      <c r="B1773" s="90">
        <v>5365</v>
      </c>
      <c r="C1773" s="88" t="s">
        <v>1123</v>
      </c>
      <c r="D1773" s="90" t="s">
        <v>17</v>
      </c>
      <c r="E1773" s="90" t="s">
        <v>370</v>
      </c>
      <c r="F1773" s="90" t="s">
        <v>854</v>
      </c>
      <c r="G1773" s="137">
        <v>15</v>
      </c>
      <c r="H1773" s="94">
        <v>1950</v>
      </c>
      <c r="I1773" s="91">
        <v>45937</v>
      </c>
      <c r="J1773" s="165">
        <v>0.59027777777777779</v>
      </c>
      <c r="K1773" s="94">
        <v>1950</v>
      </c>
      <c r="L1773" s="72" t="str">
        <f t="shared" si="28"/>
        <v>Payé</v>
      </c>
    </row>
    <row r="1774" spans="1:12" ht="15" customHeight="1" x14ac:dyDescent="0.25">
      <c r="A1774" s="90" t="s">
        <v>854</v>
      </c>
      <c r="B1774" s="90">
        <v>10004</v>
      </c>
      <c r="C1774" s="88" t="s">
        <v>1130</v>
      </c>
      <c r="D1774" s="90" t="s">
        <v>17</v>
      </c>
      <c r="E1774" s="90" t="s">
        <v>370</v>
      </c>
      <c r="F1774" s="90" t="s">
        <v>854</v>
      </c>
      <c r="G1774" s="137">
        <v>15</v>
      </c>
      <c r="H1774" s="94">
        <v>1751</v>
      </c>
      <c r="I1774" s="91">
        <v>45937</v>
      </c>
      <c r="J1774" s="165">
        <v>0.59027777777777779</v>
      </c>
      <c r="K1774" s="94">
        <v>1751</v>
      </c>
      <c r="L1774" s="72" t="str">
        <f t="shared" si="28"/>
        <v>Payé</v>
      </c>
    </row>
    <row r="1775" spans="1:12" ht="15" customHeight="1" x14ac:dyDescent="0.25">
      <c r="A1775" s="90" t="s">
        <v>854</v>
      </c>
      <c r="B1775" s="90" t="s">
        <v>1155</v>
      </c>
      <c r="C1775" s="88" t="s">
        <v>1132</v>
      </c>
      <c r="D1775" s="90" t="s">
        <v>17</v>
      </c>
      <c r="E1775" s="90" t="s">
        <v>370</v>
      </c>
      <c r="F1775" s="90" t="s">
        <v>854</v>
      </c>
      <c r="G1775" s="137">
        <v>14</v>
      </c>
      <c r="H1775" s="94">
        <v>1634</v>
      </c>
      <c r="I1775" s="91">
        <v>45937</v>
      </c>
      <c r="J1775" s="165">
        <v>0.59027777777777779</v>
      </c>
      <c r="K1775" s="94">
        <v>1634</v>
      </c>
      <c r="L1775" s="72" t="str">
        <f t="shared" si="28"/>
        <v>Payé</v>
      </c>
    </row>
    <row r="1776" spans="1:12" ht="15" customHeight="1" x14ac:dyDescent="0.25">
      <c r="A1776" s="90" t="s">
        <v>854</v>
      </c>
      <c r="B1776" s="90">
        <v>198</v>
      </c>
      <c r="C1776" s="88" t="s">
        <v>380</v>
      </c>
      <c r="D1776" s="90" t="s">
        <v>17</v>
      </c>
      <c r="E1776" s="90" t="s">
        <v>369</v>
      </c>
      <c r="F1776" s="90" t="s">
        <v>854</v>
      </c>
      <c r="G1776" s="137">
        <v>2</v>
      </c>
      <c r="H1776" s="94">
        <v>182</v>
      </c>
      <c r="I1776" s="91">
        <v>45937</v>
      </c>
      <c r="J1776" s="165">
        <v>0.66736111111111107</v>
      </c>
      <c r="K1776" s="94">
        <v>182</v>
      </c>
      <c r="L1776" s="72" t="str">
        <f t="shared" si="28"/>
        <v>Payé</v>
      </c>
    </row>
    <row r="1777" spans="1:12" ht="15" customHeight="1" x14ac:dyDescent="0.25">
      <c r="A1777" s="90" t="s">
        <v>854</v>
      </c>
      <c r="B1777" s="90">
        <v>753</v>
      </c>
      <c r="C1777" s="88" t="s">
        <v>956</v>
      </c>
      <c r="D1777" s="90" t="s">
        <v>17</v>
      </c>
      <c r="E1777" s="90" t="s">
        <v>369</v>
      </c>
      <c r="F1777" s="90" t="s">
        <v>854</v>
      </c>
      <c r="G1777" s="137">
        <v>2</v>
      </c>
      <c r="H1777" s="94">
        <v>182</v>
      </c>
      <c r="I1777" s="91">
        <v>45937</v>
      </c>
      <c r="J1777" s="165">
        <v>0.66736111111111107</v>
      </c>
      <c r="K1777" s="94">
        <v>182</v>
      </c>
      <c r="L1777" s="72" t="str">
        <f t="shared" si="28"/>
        <v>Payé</v>
      </c>
    </row>
    <row r="1778" spans="1:12" ht="15" customHeight="1" x14ac:dyDescent="0.25">
      <c r="A1778" s="90" t="s">
        <v>854</v>
      </c>
      <c r="B1778" s="90">
        <v>2300</v>
      </c>
      <c r="C1778" s="88" t="s">
        <v>1115</v>
      </c>
      <c r="D1778" s="90" t="s">
        <v>17</v>
      </c>
      <c r="E1778" s="90" t="s">
        <v>369</v>
      </c>
      <c r="F1778" s="90" t="s">
        <v>854</v>
      </c>
      <c r="G1778" s="137">
        <v>14</v>
      </c>
      <c r="H1778" s="94">
        <v>1634</v>
      </c>
      <c r="I1778" s="91">
        <v>45938</v>
      </c>
      <c r="J1778" s="165">
        <v>0.53749999999999998</v>
      </c>
      <c r="K1778" s="94">
        <v>1634</v>
      </c>
      <c r="L1778" s="72" t="str">
        <f t="shared" si="28"/>
        <v>Payé</v>
      </c>
    </row>
    <row r="1779" spans="1:12" ht="15" customHeight="1" x14ac:dyDescent="0.25">
      <c r="A1779" s="90" t="s">
        <v>854</v>
      </c>
      <c r="B1779" s="90">
        <v>10035</v>
      </c>
      <c r="C1779" s="88" t="s">
        <v>1181</v>
      </c>
      <c r="D1779" s="90" t="s">
        <v>17</v>
      </c>
      <c r="E1779" s="90" t="s">
        <v>369</v>
      </c>
      <c r="F1779" s="90" t="s">
        <v>854</v>
      </c>
      <c r="G1779" s="137">
        <v>11</v>
      </c>
      <c r="H1779" s="94">
        <v>1064</v>
      </c>
      <c r="I1779" s="91">
        <v>45937</v>
      </c>
      <c r="J1779" s="165">
        <v>0.66875000000000007</v>
      </c>
      <c r="K1779" s="94">
        <v>1064</v>
      </c>
      <c r="L1779" s="72" t="str">
        <f t="shared" si="28"/>
        <v>Payé</v>
      </c>
    </row>
    <row r="1780" spans="1:12" ht="15" customHeight="1" x14ac:dyDescent="0.25">
      <c r="A1780" s="90" t="s">
        <v>854</v>
      </c>
      <c r="B1780" s="90">
        <v>10038</v>
      </c>
      <c r="C1780" s="88" t="s">
        <v>1182</v>
      </c>
      <c r="D1780" s="90" t="s">
        <v>17</v>
      </c>
      <c r="E1780" s="90" t="s">
        <v>369</v>
      </c>
      <c r="F1780" s="90" t="s">
        <v>854</v>
      </c>
      <c r="G1780" s="137">
        <v>4</v>
      </c>
      <c r="H1780" s="94">
        <v>387</v>
      </c>
      <c r="I1780" s="91">
        <v>45937</v>
      </c>
      <c r="J1780" s="165">
        <v>0.66736111111111107</v>
      </c>
      <c r="K1780" s="94">
        <v>387</v>
      </c>
      <c r="L1780" s="72" t="str">
        <f t="shared" si="28"/>
        <v>Payé</v>
      </c>
    </row>
    <row r="1781" spans="1:12" ht="15" customHeight="1" x14ac:dyDescent="0.25">
      <c r="A1781" s="90" t="s">
        <v>854</v>
      </c>
      <c r="B1781" s="90">
        <v>95</v>
      </c>
      <c r="C1781" s="88" t="s">
        <v>408</v>
      </c>
      <c r="D1781" s="90" t="s">
        <v>17</v>
      </c>
      <c r="E1781" s="90" t="s">
        <v>103</v>
      </c>
      <c r="F1781" s="90" t="s">
        <v>854</v>
      </c>
      <c r="G1781" s="137">
        <v>2</v>
      </c>
      <c r="H1781" s="94">
        <v>182</v>
      </c>
      <c r="I1781" s="91">
        <v>45938</v>
      </c>
      <c r="J1781" s="165">
        <v>0.66041666666666665</v>
      </c>
      <c r="K1781" s="94">
        <v>182</v>
      </c>
      <c r="L1781" s="72" t="str">
        <f t="shared" si="28"/>
        <v>Payé</v>
      </c>
    </row>
    <row r="1782" spans="1:12" ht="15" customHeight="1" x14ac:dyDescent="0.25">
      <c r="A1782" s="90" t="s">
        <v>854</v>
      </c>
      <c r="B1782" s="90">
        <v>191</v>
      </c>
      <c r="C1782" s="88" t="s">
        <v>545</v>
      </c>
      <c r="D1782" s="90" t="s">
        <v>17</v>
      </c>
      <c r="E1782" s="90" t="s">
        <v>103</v>
      </c>
      <c r="F1782" s="90" t="s">
        <v>854</v>
      </c>
      <c r="G1782" s="137">
        <v>2</v>
      </c>
      <c r="H1782" s="94">
        <v>182</v>
      </c>
      <c r="I1782" s="91">
        <v>45937</v>
      </c>
      <c r="J1782" s="165">
        <v>0.65277777777777779</v>
      </c>
      <c r="K1782" s="94">
        <v>182</v>
      </c>
      <c r="L1782" s="72" t="str">
        <f t="shared" si="28"/>
        <v>Payé</v>
      </c>
    </row>
    <row r="1783" spans="1:12" ht="15" customHeight="1" x14ac:dyDescent="0.25">
      <c r="A1783" s="90" t="s">
        <v>854</v>
      </c>
      <c r="B1783" s="90">
        <v>2321</v>
      </c>
      <c r="C1783" s="88" t="s">
        <v>969</v>
      </c>
      <c r="D1783" s="90" t="s">
        <v>17</v>
      </c>
      <c r="E1783" s="90" t="s">
        <v>103</v>
      </c>
      <c r="F1783" s="90" t="s">
        <v>854</v>
      </c>
      <c r="G1783" s="137">
        <v>1</v>
      </c>
      <c r="H1783" s="94">
        <v>87</v>
      </c>
      <c r="I1783" s="91">
        <v>45938</v>
      </c>
      <c r="J1783" s="165">
        <v>0.53749999999999998</v>
      </c>
      <c r="K1783" s="94">
        <v>87</v>
      </c>
      <c r="L1783" s="72" t="str">
        <f t="shared" si="28"/>
        <v>Payé</v>
      </c>
    </row>
    <row r="1784" spans="1:12" ht="15" customHeight="1" x14ac:dyDescent="0.25">
      <c r="A1784" s="90" t="s">
        <v>854</v>
      </c>
      <c r="B1784" s="90">
        <v>2384</v>
      </c>
      <c r="C1784" s="88" t="s">
        <v>541</v>
      </c>
      <c r="D1784" s="90" t="s">
        <v>17</v>
      </c>
      <c r="E1784" s="90" t="s">
        <v>103</v>
      </c>
      <c r="F1784" s="90" t="s">
        <v>854</v>
      </c>
      <c r="G1784" s="137">
        <v>1</v>
      </c>
      <c r="H1784" s="94">
        <v>87</v>
      </c>
      <c r="I1784" s="91">
        <v>45955</v>
      </c>
      <c r="J1784" s="165">
        <v>0.43472222222222223</v>
      </c>
      <c r="K1784" s="94">
        <v>87</v>
      </c>
      <c r="L1784" s="72" t="str">
        <f t="shared" si="28"/>
        <v>Payé</v>
      </c>
    </row>
    <row r="1785" spans="1:12" ht="15" customHeight="1" x14ac:dyDescent="0.25">
      <c r="A1785" s="90" t="s">
        <v>854</v>
      </c>
      <c r="B1785" s="90">
        <v>2625</v>
      </c>
      <c r="C1785" s="88" t="s">
        <v>1145</v>
      </c>
      <c r="D1785" s="90" t="s">
        <v>17</v>
      </c>
      <c r="E1785" s="90" t="s">
        <v>103</v>
      </c>
      <c r="F1785" s="90" t="s">
        <v>854</v>
      </c>
      <c r="G1785" s="137">
        <v>9</v>
      </c>
      <c r="H1785" s="94">
        <v>871</v>
      </c>
      <c r="I1785" s="91">
        <v>45936</v>
      </c>
      <c r="J1785" s="165">
        <v>0.73333333333333339</v>
      </c>
      <c r="K1785" s="94">
        <v>871</v>
      </c>
      <c r="L1785" s="72" t="str">
        <f t="shared" si="28"/>
        <v>Payé</v>
      </c>
    </row>
    <row r="1786" spans="1:12" ht="15" customHeight="1" x14ac:dyDescent="0.25">
      <c r="A1786" s="90" t="s">
        <v>854</v>
      </c>
      <c r="B1786" s="90">
        <v>5270</v>
      </c>
      <c r="C1786" s="88" t="s">
        <v>926</v>
      </c>
      <c r="D1786" s="90" t="s">
        <v>17</v>
      </c>
      <c r="E1786" s="90" t="s">
        <v>391</v>
      </c>
      <c r="F1786" s="90" t="s">
        <v>854</v>
      </c>
      <c r="G1786" s="137">
        <v>8</v>
      </c>
      <c r="H1786" s="94">
        <v>774</v>
      </c>
      <c r="I1786" s="91">
        <v>45937</v>
      </c>
      <c r="J1786" s="165">
        <v>0.65277777777777779</v>
      </c>
      <c r="K1786" s="94">
        <v>774</v>
      </c>
      <c r="L1786" s="72" t="str">
        <f t="shared" si="28"/>
        <v>Payé</v>
      </c>
    </row>
    <row r="1787" spans="1:12" ht="15" customHeight="1" x14ac:dyDescent="0.25">
      <c r="A1787" s="90" t="s">
        <v>854</v>
      </c>
      <c r="B1787" s="90">
        <v>3397</v>
      </c>
      <c r="C1787" s="88" t="s">
        <v>976</v>
      </c>
      <c r="D1787" s="90" t="s">
        <v>17</v>
      </c>
      <c r="E1787" s="90" t="s">
        <v>107</v>
      </c>
      <c r="F1787" s="90" t="s">
        <v>854</v>
      </c>
      <c r="G1787" s="137">
        <v>2</v>
      </c>
      <c r="H1787" s="94">
        <v>173</v>
      </c>
      <c r="I1787" s="91">
        <v>45937</v>
      </c>
      <c r="J1787" s="165">
        <v>0.63541666666666663</v>
      </c>
      <c r="K1787" s="94">
        <v>173</v>
      </c>
      <c r="L1787" s="72" t="str">
        <f t="shared" si="28"/>
        <v>Payé</v>
      </c>
    </row>
    <row r="1788" spans="1:12" ht="15" customHeight="1" x14ac:dyDescent="0.25">
      <c r="A1788" s="90" t="s">
        <v>854</v>
      </c>
      <c r="B1788" s="90">
        <v>2411</v>
      </c>
      <c r="C1788" s="88" t="s">
        <v>970</v>
      </c>
      <c r="D1788" s="90" t="s">
        <v>17</v>
      </c>
      <c r="E1788" s="90" t="s">
        <v>944</v>
      </c>
      <c r="F1788" s="90" t="s">
        <v>854</v>
      </c>
      <c r="G1788" s="137">
        <v>1</v>
      </c>
      <c r="H1788" s="94">
        <v>87</v>
      </c>
      <c r="I1788" s="91">
        <v>45943</v>
      </c>
      <c r="J1788" s="165">
        <v>0.60347222222222219</v>
      </c>
      <c r="K1788" s="94">
        <v>87</v>
      </c>
      <c r="L1788" s="72" t="str">
        <f t="shared" si="28"/>
        <v>Payé</v>
      </c>
    </row>
    <row r="1789" spans="1:12" ht="15" customHeight="1" x14ac:dyDescent="0.25">
      <c r="A1789" s="90" t="s">
        <v>854</v>
      </c>
      <c r="B1789" s="90">
        <v>2412</v>
      </c>
      <c r="C1789" s="88" t="s">
        <v>971</v>
      </c>
      <c r="D1789" s="90" t="s">
        <v>17</v>
      </c>
      <c r="E1789" s="90" t="s">
        <v>944</v>
      </c>
      <c r="F1789" s="90" t="s">
        <v>854</v>
      </c>
      <c r="G1789" s="137">
        <v>1</v>
      </c>
      <c r="H1789" s="94">
        <v>97</v>
      </c>
      <c r="I1789" s="91">
        <v>45972</v>
      </c>
      <c r="J1789" s="165">
        <v>0.50694444444444442</v>
      </c>
      <c r="K1789" s="94">
        <v>97</v>
      </c>
      <c r="L1789" s="72" t="str">
        <f t="shared" si="28"/>
        <v>Payé</v>
      </c>
    </row>
    <row r="1790" spans="1:12" ht="15" customHeight="1" x14ac:dyDescent="0.25">
      <c r="A1790" s="90" t="s">
        <v>854</v>
      </c>
      <c r="B1790" s="90">
        <v>5304</v>
      </c>
      <c r="C1790" s="88" t="s">
        <v>1015</v>
      </c>
      <c r="D1790" s="90" t="s">
        <v>17</v>
      </c>
      <c r="E1790" s="90" t="s">
        <v>944</v>
      </c>
      <c r="F1790" s="90" t="s">
        <v>854</v>
      </c>
      <c r="G1790" s="137">
        <v>1</v>
      </c>
      <c r="H1790" s="94">
        <v>87</v>
      </c>
      <c r="I1790" s="91">
        <v>45943</v>
      </c>
      <c r="J1790" s="165">
        <v>0.60416666666666663</v>
      </c>
      <c r="K1790" s="94">
        <v>87</v>
      </c>
      <c r="L1790" s="72" t="str">
        <f t="shared" si="28"/>
        <v>Payé</v>
      </c>
    </row>
    <row r="1791" spans="1:12" ht="15" customHeight="1" x14ac:dyDescent="0.25">
      <c r="A1791" s="90" t="s">
        <v>854</v>
      </c>
      <c r="B1791" s="90">
        <v>5312</v>
      </c>
      <c r="C1791" s="88" t="s">
        <v>938</v>
      </c>
      <c r="D1791" s="90" t="s">
        <v>17</v>
      </c>
      <c r="E1791" s="90" t="s">
        <v>944</v>
      </c>
      <c r="F1791" s="90" t="s">
        <v>854</v>
      </c>
      <c r="G1791" s="137">
        <v>1</v>
      </c>
      <c r="H1791" s="94">
        <v>87</v>
      </c>
      <c r="I1791" s="91">
        <v>45958</v>
      </c>
      <c r="J1791" s="165">
        <v>0.57986111111111105</v>
      </c>
      <c r="K1791" s="94">
        <v>87</v>
      </c>
      <c r="L1791" s="72" t="str">
        <f t="shared" si="28"/>
        <v>Payé</v>
      </c>
    </row>
    <row r="1792" spans="1:12" ht="15" customHeight="1" x14ac:dyDescent="0.25">
      <c r="A1792" s="90" t="s">
        <v>854</v>
      </c>
      <c r="B1792" s="90">
        <v>5341</v>
      </c>
      <c r="C1792" s="88" t="s">
        <v>1077</v>
      </c>
      <c r="D1792" s="90" t="s">
        <v>17</v>
      </c>
      <c r="E1792" s="90" t="s">
        <v>944</v>
      </c>
      <c r="F1792" s="90" t="s">
        <v>854</v>
      </c>
      <c r="G1792" s="137">
        <v>1</v>
      </c>
      <c r="H1792" s="94">
        <v>87</v>
      </c>
      <c r="I1792" s="91">
        <v>45943</v>
      </c>
      <c r="J1792" s="165">
        <v>0.60277777777777775</v>
      </c>
      <c r="K1792" s="94">
        <v>87</v>
      </c>
      <c r="L1792" s="72" t="str">
        <f t="shared" si="28"/>
        <v>Payé</v>
      </c>
    </row>
    <row r="1793" spans="1:12" ht="15" customHeight="1" x14ac:dyDescent="0.25">
      <c r="A1793" s="90" t="s">
        <v>854</v>
      </c>
      <c r="B1793" s="90">
        <v>5342</v>
      </c>
      <c r="C1793" s="88" t="s">
        <v>1078</v>
      </c>
      <c r="D1793" s="90" t="s">
        <v>17</v>
      </c>
      <c r="E1793" s="90" t="s">
        <v>944</v>
      </c>
      <c r="F1793" s="90" t="s">
        <v>854</v>
      </c>
      <c r="G1793" s="137">
        <v>1</v>
      </c>
      <c r="H1793" s="94">
        <v>87</v>
      </c>
      <c r="I1793" s="91">
        <v>45943</v>
      </c>
      <c r="J1793" s="165">
        <v>0.6</v>
      </c>
      <c r="K1793" s="94">
        <v>87</v>
      </c>
      <c r="L1793" s="72" t="str">
        <f t="shared" si="28"/>
        <v>Payé</v>
      </c>
    </row>
    <row r="1794" spans="1:12" ht="15" customHeight="1" x14ac:dyDescent="0.25">
      <c r="A1794" s="90" t="s">
        <v>854</v>
      </c>
      <c r="B1794" s="90">
        <v>5345</v>
      </c>
      <c r="C1794" s="88" t="s">
        <v>1080</v>
      </c>
      <c r="D1794" s="90" t="s">
        <v>17</v>
      </c>
      <c r="E1794" s="90" t="s">
        <v>944</v>
      </c>
      <c r="F1794" s="90" t="s">
        <v>854</v>
      </c>
      <c r="G1794" s="137">
        <v>1</v>
      </c>
      <c r="H1794" s="94">
        <v>87</v>
      </c>
      <c r="I1794" s="91">
        <v>45943</v>
      </c>
      <c r="J1794" s="165">
        <v>0.60138888888888886</v>
      </c>
      <c r="K1794" s="94">
        <v>87</v>
      </c>
      <c r="L1794" s="72" t="str">
        <f t="shared" si="28"/>
        <v>Payé</v>
      </c>
    </row>
    <row r="1795" spans="1:12" ht="15" customHeight="1" x14ac:dyDescent="0.25">
      <c r="A1795" s="90" t="s">
        <v>854</v>
      </c>
      <c r="B1795" s="90" t="s">
        <v>944</v>
      </c>
      <c r="C1795" s="88" t="s">
        <v>913</v>
      </c>
      <c r="D1795" s="89" t="s">
        <v>910</v>
      </c>
      <c r="E1795" s="90" t="s">
        <v>944</v>
      </c>
      <c r="F1795" s="90" t="s">
        <v>854</v>
      </c>
      <c r="G1795" s="95">
        <v>13</v>
      </c>
      <c r="H1795" s="92">
        <v>325</v>
      </c>
      <c r="I1795" s="91">
        <v>45972</v>
      </c>
      <c r="J1795" s="165">
        <v>0.50694444444444442</v>
      </c>
      <c r="K1795" s="92">
        <v>325</v>
      </c>
      <c r="L1795" s="72" t="str">
        <f t="shared" si="28"/>
        <v>Payé</v>
      </c>
    </row>
    <row r="1796" spans="1:12" ht="15" customHeight="1" x14ac:dyDescent="0.25">
      <c r="A1796" s="90" t="s">
        <v>854</v>
      </c>
      <c r="B1796" s="90">
        <v>348</v>
      </c>
      <c r="C1796" s="88" t="s">
        <v>951</v>
      </c>
      <c r="D1796" s="90" t="s">
        <v>17</v>
      </c>
      <c r="E1796" s="90" t="s">
        <v>123</v>
      </c>
      <c r="F1796" s="90" t="s">
        <v>854</v>
      </c>
      <c r="G1796" s="137">
        <v>1</v>
      </c>
      <c r="H1796" s="94">
        <v>91</v>
      </c>
      <c r="I1796" s="91">
        <v>45936</v>
      </c>
      <c r="J1796" s="165">
        <v>0.69236111111111109</v>
      </c>
      <c r="K1796" s="94">
        <v>91</v>
      </c>
      <c r="L1796" s="72" t="str">
        <f t="shared" si="28"/>
        <v>Payé</v>
      </c>
    </row>
    <row r="1797" spans="1:12" ht="15" customHeight="1" x14ac:dyDescent="0.25">
      <c r="A1797" s="90" t="s">
        <v>854</v>
      </c>
      <c r="B1797" s="90">
        <v>2694</v>
      </c>
      <c r="C1797" s="88" t="s">
        <v>547</v>
      </c>
      <c r="D1797" s="90" t="s">
        <v>17</v>
      </c>
      <c r="E1797" s="90" t="s">
        <v>123</v>
      </c>
      <c r="F1797" s="90" t="s">
        <v>854</v>
      </c>
      <c r="G1797" s="137">
        <v>13</v>
      </c>
      <c r="H1797" s="94">
        <v>1128</v>
      </c>
      <c r="I1797" s="91">
        <v>45936</v>
      </c>
      <c r="J1797" s="165">
        <v>0.69236111111111109</v>
      </c>
      <c r="K1797" s="94">
        <v>1128</v>
      </c>
      <c r="L1797" s="72" t="str">
        <f t="shared" si="28"/>
        <v>Payé</v>
      </c>
    </row>
    <row r="1798" spans="1:12" ht="15" customHeight="1" x14ac:dyDescent="0.25">
      <c r="A1798" s="90" t="s">
        <v>854</v>
      </c>
      <c r="B1798" s="90">
        <v>3409</v>
      </c>
      <c r="C1798" s="88" t="s">
        <v>559</v>
      </c>
      <c r="D1798" s="90" t="s">
        <v>17</v>
      </c>
      <c r="E1798" s="90" t="s">
        <v>123</v>
      </c>
      <c r="F1798" s="90" t="s">
        <v>854</v>
      </c>
      <c r="G1798" s="137">
        <v>10</v>
      </c>
      <c r="H1798" s="94">
        <v>867</v>
      </c>
      <c r="I1798" s="91">
        <v>45936</v>
      </c>
      <c r="J1798" s="165">
        <v>0.69236111111111109</v>
      </c>
      <c r="K1798" s="94">
        <v>867</v>
      </c>
      <c r="L1798" s="72" t="str">
        <f t="shared" si="28"/>
        <v>Payé</v>
      </c>
    </row>
    <row r="1799" spans="1:12" ht="15" customHeight="1" x14ac:dyDescent="0.25">
      <c r="A1799" s="90" t="s">
        <v>854</v>
      </c>
      <c r="B1799" s="90">
        <v>3726</v>
      </c>
      <c r="C1799" s="88" t="s">
        <v>570</v>
      </c>
      <c r="D1799" s="90" t="s">
        <v>17</v>
      </c>
      <c r="E1799" s="90" t="s">
        <v>123</v>
      </c>
      <c r="F1799" s="90" t="s">
        <v>854</v>
      </c>
      <c r="G1799" s="137">
        <v>8</v>
      </c>
      <c r="H1799" s="94">
        <v>694</v>
      </c>
      <c r="I1799" s="91">
        <v>45936</v>
      </c>
      <c r="J1799" s="165">
        <v>0.69236111111111109</v>
      </c>
      <c r="K1799" s="94">
        <v>694</v>
      </c>
      <c r="L1799" s="72" t="str">
        <f t="shared" si="28"/>
        <v>Payé</v>
      </c>
    </row>
    <row r="1800" spans="1:12" ht="15" customHeight="1" x14ac:dyDescent="0.25">
      <c r="A1800" s="90" t="s">
        <v>854</v>
      </c>
      <c r="B1800" s="90">
        <v>3793</v>
      </c>
      <c r="C1800" s="88" t="s">
        <v>572</v>
      </c>
      <c r="D1800" s="90" t="s">
        <v>17</v>
      </c>
      <c r="E1800" s="90" t="s">
        <v>123</v>
      </c>
      <c r="F1800" s="90" t="s">
        <v>854</v>
      </c>
      <c r="G1800" s="137">
        <v>12</v>
      </c>
      <c r="H1800" s="94">
        <v>1041</v>
      </c>
      <c r="I1800" s="91">
        <v>45936</v>
      </c>
      <c r="J1800" s="165">
        <v>0.69236111111111109</v>
      </c>
      <c r="K1800" s="94">
        <v>1041</v>
      </c>
      <c r="L1800" s="72" t="str">
        <f t="shared" si="28"/>
        <v>Payé</v>
      </c>
    </row>
    <row r="1801" spans="1:12" ht="15" customHeight="1" x14ac:dyDescent="0.25">
      <c r="A1801" s="90" t="s">
        <v>854</v>
      </c>
      <c r="B1801" s="90">
        <v>5258</v>
      </c>
      <c r="C1801" s="88" t="s">
        <v>893</v>
      </c>
      <c r="D1801" s="90" t="s">
        <v>17</v>
      </c>
      <c r="E1801" s="90" t="s">
        <v>123</v>
      </c>
      <c r="F1801" s="90" t="s">
        <v>854</v>
      </c>
      <c r="G1801" s="137">
        <v>9</v>
      </c>
      <c r="H1801" s="94">
        <v>781</v>
      </c>
      <c r="I1801" s="91">
        <v>45936</v>
      </c>
      <c r="J1801" s="165">
        <v>0.69236111111111109</v>
      </c>
      <c r="K1801" s="94">
        <v>781</v>
      </c>
      <c r="L1801" s="72" t="str">
        <f t="shared" si="28"/>
        <v>Payé</v>
      </c>
    </row>
    <row r="1802" spans="1:12" ht="15" customHeight="1" x14ac:dyDescent="0.25">
      <c r="A1802" s="90" t="s">
        <v>854</v>
      </c>
      <c r="B1802" s="90" t="s">
        <v>123</v>
      </c>
      <c r="C1802" s="88" t="s">
        <v>585</v>
      </c>
      <c r="D1802" s="89" t="s">
        <v>910</v>
      </c>
      <c r="E1802" s="90" t="s">
        <v>123</v>
      </c>
      <c r="F1802" s="90" t="s">
        <v>854</v>
      </c>
      <c r="G1802" s="95">
        <v>129</v>
      </c>
      <c r="H1802" s="92">
        <v>3225</v>
      </c>
      <c r="I1802" s="91">
        <v>45952</v>
      </c>
      <c r="J1802" s="165">
        <v>0.72361111111111109</v>
      </c>
      <c r="K1802" s="92">
        <v>3225</v>
      </c>
      <c r="L1802" s="72" t="str">
        <f t="shared" si="28"/>
        <v>Payé</v>
      </c>
    </row>
    <row r="1803" spans="1:12" ht="15" customHeight="1" x14ac:dyDescent="0.25">
      <c r="A1803" s="90" t="s">
        <v>854</v>
      </c>
      <c r="B1803" s="90">
        <v>1688</v>
      </c>
      <c r="C1803" s="88" t="s">
        <v>1114</v>
      </c>
      <c r="D1803" s="90" t="s">
        <v>17</v>
      </c>
      <c r="E1803" s="90" t="s">
        <v>254</v>
      </c>
      <c r="F1803" s="90" t="s">
        <v>854</v>
      </c>
      <c r="G1803" s="137">
        <v>6</v>
      </c>
      <c r="H1803" s="94">
        <v>520</v>
      </c>
      <c r="I1803" s="91">
        <v>45952</v>
      </c>
      <c r="J1803" s="165">
        <v>0.71111111111111114</v>
      </c>
      <c r="K1803" s="94">
        <v>520</v>
      </c>
      <c r="L1803" s="72" t="str">
        <f t="shared" si="28"/>
        <v>Payé</v>
      </c>
    </row>
    <row r="1804" spans="1:12" ht="15" customHeight="1" x14ac:dyDescent="0.25">
      <c r="A1804" s="90" t="s">
        <v>854</v>
      </c>
      <c r="B1804" s="90">
        <v>2497</v>
      </c>
      <c r="C1804" s="88" t="s">
        <v>330</v>
      </c>
      <c r="D1804" s="90" t="s">
        <v>17</v>
      </c>
      <c r="E1804" s="90" t="s">
        <v>254</v>
      </c>
      <c r="F1804" s="90" t="s">
        <v>854</v>
      </c>
      <c r="G1804" s="137">
        <v>6</v>
      </c>
      <c r="H1804" s="94">
        <v>520</v>
      </c>
      <c r="I1804" s="91">
        <v>45936</v>
      </c>
      <c r="J1804" s="165">
        <v>0.71944444444444444</v>
      </c>
      <c r="K1804" s="94">
        <v>520</v>
      </c>
      <c r="L1804" s="72" t="str">
        <f t="shared" si="28"/>
        <v>Payé</v>
      </c>
    </row>
    <row r="1805" spans="1:12" ht="15" customHeight="1" x14ac:dyDescent="0.25">
      <c r="A1805" s="90" t="s">
        <v>854</v>
      </c>
      <c r="B1805" s="90">
        <v>2580</v>
      </c>
      <c r="C1805" s="88" t="s">
        <v>972</v>
      </c>
      <c r="D1805" s="90" t="s">
        <v>17</v>
      </c>
      <c r="E1805" s="90" t="s">
        <v>254</v>
      </c>
      <c r="F1805" s="90" t="s">
        <v>854</v>
      </c>
      <c r="G1805" s="137">
        <v>2</v>
      </c>
      <c r="H1805" s="94">
        <v>173</v>
      </c>
      <c r="I1805" s="91">
        <v>45975</v>
      </c>
      <c r="J1805" s="165">
        <v>0.55277777777777781</v>
      </c>
      <c r="K1805" s="94">
        <v>173</v>
      </c>
      <c r="L1805" s="72" t="str">
        <f t="shared" si="28"/>
        <v>Payé</v>
      </c>
    </row>
    <row r="1806" spans="1:12" ht="15" customHeight="1" x14ac:dyDescent="0.25">
      <c r="A1806" s="90" t="s">
        <v>854</v>
      </c>
      <c r="B1806" s="90">
        <v>2589</v>
      </c>
      <c r="C1806" s="88" t="s">
        <v>973</v>
      </c>
      <c r="D1806" s="90" t="s">
        <v>17</v>
      </c>
      <c r="E1806" s="90" t="s">
        <v>254</v>
      </c>
      <c r="F1806" s="90" t="s">
        <v>854</v>
      </c>
      <c r="G1806" s="137">
        <v>12</v>
      </c>
      <c r="H1806" s="94">
        <v>1041</v>
      </c>
      <c r="I1806" s="91">
        <v>45936</v>
      </c>
      <c r="J1806" s="165">
        <v>0.71944444444444444</v>
      </c>
      <c r="K1806" s="94">
        <v>1041</v>
      </c>
      <c r="L1806" s="72" t="str">
        <f t="shared" si="28"/>
        <v>Payé</v>
      </c>
    </row>
    <row r="1807" spans="1:12" ht="15" customHeight="1" x14ac:dyDescent="0.25">
      <c r="A1807" s="90" t="s">
        <v>854</v>
      </c>
      <c r="B1807" s="90">
        <v>2750</v>
      </c>
      <c r="C1807" s="88" t="s">
        <v>1093</v>
      </c>
      <c r="D1807" s="90" t="s">
        <v>17</v>
      </c>
      <c r="E1807" s="90" t="s">
        <v>254</v>
      </c>
      <c r="F1807" s="90" t="s">
        <v>854</v>
      </c>
      <c r="G1807" s="137">
        <v>7</v>
      </c>
      <c r="H1807" s="94">
        <v>607</v>
      </c>
      <c r="I1807" s="91">
        <v>45936</v>
      </c>
      <c r="J1807" s="165">
        <v>0.72499999999999998</v>
      </c>
      <c r="K1807" s="94">
        <v>607</v>
      </c>
      <c r="L1807" s="72" t="str">
        <f t="shared" si="28"/>
        <v>Payé</v>
      </c>
    </row>
    <row r="1808" spans="1:12" ht="15" customHeight="1" x14ac:dyDescent="0.25">
      <c r="A1808" s="90" t="s">
        <v>854</v>
      </c>
      <c r="B1808" s="90">
        <v>2751</v>
      </c>
      <c r="C1808" s="88" t="s">
        <v>1117</v>
      </c>
      <c r="D1808" s="90" t="s">
        <v>17</v>
      </c>
      <c r="E1808" s="90" t="s">
        <v>254</v>
      </c>
      <c r="F1808" s="90" t="s">
        <v>854</v>
      </c>
      <c r="G1808" s="137">
        <v>10</v>
      </c>
      <c r="H1808" s="94">
        <v>867</v>
      </c>
      <c r="I1808" s="91">
        <v>45936</v>
      </c>
      <c r="J1808" s="165">
        <v>0.72499999999999998</v>
      </c>
      <c r="K1808" s="94">
        <v>867</v>
      </c>
      <c r="L1808" s="72" t="str">
        <f t="shared" si="28"/>
        <v>Payé</v>
      </c>
    </row>
    <row r="1809" spans="1:12" ht="15" customHeight="1" x14ac:dyDescent="0.25">
      <c r="A1809" s="90" t="s">
        <v>854</v>
      </c>
      <c r="B1809" s="90">
        <v>2953</v>
      </c>
      <c r="C1809" s="88" t="s">
        <v>1146</v>
      </c>
      <c r="D1809" s="90" t="s">
        <v>17</v>
      </c>
      <c r="E1809" s="90" t="s">
        <v>254</v>
      </c>
      <c r="F1809" s="90" t="s">
        <v>854</v>
      </c>
      <c r="G1809" s="137">
        <v>1</v>
      </c>
      <c r="H1809" s="94">
        <v>87</v>
      </c>
      <c r="I1809" s="91">
        <v>45936</v>
      </c>
      <c r="J1809" s="165">
        <v>0.72499999999999998</v>
      </c>
      <c r="K1809" s="94">
        <v>87</v>
      </c>
      <c r="L1809" s="72" t="str">
        <f t="shared" si="28"/>
        <v>Payé</v>
      </c>
    </row>
    <row r="1810" spans="1:12" ht="15" customHeight="1" x14ac:dyDescent="0.25">
      <c r="A1810" s="90" t="s">
        <v>854</v>
      </c>
      <c r="B1810" s="90">
        <v>3518</v>
      </c>
      <c r="C1810" s="88" t="s">
        <v>1061</v>
      </c>
      <c r="D1810" s="90" t="s">
        <v>17</v>
      </c>
      <c r="E1810" s="90" t="s">
        <v>254</v>
      </c>
      <c r="F1810" s="90" t="s">
        <v>854</v>
      </c>
      <c r="G1810" s="137">
        <v>11</v>
      </c>
      <c r="H1810" s="94">
        <v>954</v>
      </c>
      <c r="I1810" s="91">
        <v>45936</v>
      </c>
      <c r="J1810" s="165">
        <v>0.72499999999999998</v>
      </c>
      <c r="K1810" s="94">
        <v>954</v>
      </c>
      <c r="L1810" s="72" t="str">
        <f t="shared" si="28"/>
        <v>Payé</v>
      </c>
    </row>
    <row r="1811" spans="1:12" ht="15" customHeight="1" x14ac:dyDescent="0.25">
      <c r="A1811" s="90" t="s">
        <v>854</v>
      </c>
      <c r="B1811" s="90">
        <v>3644</v>
      </c>
      <c r="C1811" s="88" t="s">
        <v>1060</v>
      </c>
      <c r="D1811" s="90" t="s">
        <v>17</v>
      </c>
      <c r="E1811" s="90" t="s">
        <v>254</v>
      </c>
      <c r="F1811" s="90" t="s">
        <v>854</v>
      </c>
      <c r="G1811" s="137">
        <v>9</v>
      </c>
      <c r="H1811" s="94">
        <v>781</v>
      </c>
      <c r="I1811" s="91">
        <v>45936</v>
      </c>
      <c r="J1811" s="165">
        <v>0.72499999999999998</v>
      </c>
      <c r="K1811" s="94">
        <v>781</v>
      </c>
      <c r="L1811" s="72" t="str">
        <f t="shared" si="28"/>
        <v>Payé</v>
      </c>
    </row>
    <row r="1812" spans="1:12" ht="15" customHeight="1" x14ac:dyDescent="0.25">
      <c r="A1812" s="90" t="s">
        <v>854</v>
      </c>
      <c r="B1812" s="90">
        <v>4759</v>
      </c>
      <c r="C1812" s="88" t="s">
        <v>1150</v>
      </c>
      <c r="D1812" s="90" t="s">
        <v>17</v>
      </c>
      <c r="E1812" s="90" t="s">
        <v>254</v>
      </c>
      <c r="F1812" s="90" t="s">
        <v>854</v>
      </c>
      <c r="G1812" s="137">
        <v>12</v>
      </c>
      <c r="H1812" s="94">
        <v>1041</v>
      </c>
      <c r="I1812" s="91">
        <v>45936</v>
      </c>
      <c r="J1812" s="165">
        <v>0.72499999999999998</v>
      </c>
      <c r="K1812" s="94">
        <v>1041</v>
      </c>
      <c r="L1812" s="72" t="str">
        <f t="shared" si="28"/>
        <v>Payé</v>
      </c>
    </row>
    <row r="1813" spans="1:12" ht="15" customHeight="1" x14ac:dyDescent="0.25">
      <c r="A1813" s="90" t="s">
        <v>854</v>
      </c>
      <c r="B1813" s="90">
        <v>5353</v>
      </c>
      <c r="C1813" s="88" t="s">
        <v>1122</v>
      </c>
      <c r="D1813" s="90" t="s">
        <v>17</v>
      </c>
      <c r="E1813" s="90" t="s">
        <v>254</v>
      </c>
      <c r="F1813" s="90" t="s">
        <v>854</v>
      </c>
      <c r="G1813" s="137">
        <v>8</v>
      </c>
      <c r="H1813" s="94">
        <v>694</v>
      </c>
      <c r="I1813" s="91">
        <v>45936</v>
      </c>
      <c r="J1813" s="165">
        <v>0.72499999999999998</v>
      </c>
      <c r="K1813" s="94">
        <v>694</v>
      </c>
      <c r="L1813" s="72" t="str">
        <f t="shared" si="28"/>
        <v>Payé</v>
      </c>
    </row>
    <row r="1814" spans="1:12" ht="15" customHeight="1" x14ac:dyDescent="0.25">
      <c r="A1814" s="90" t="s">
        <v>854</v>
      </c>
      <c r="B1814" s="90">
        <v>5359</v>
      </c>
      <c r="C1814" s="88" t="s">
        <v>1059</v>
      </c>
      <c r="D1814" s="90" t="s">
        <v>17</v>
      </c>
      <c r="E1814" s="90" t="s">
        <v>254</v>
      </c>
      <c r="F1814" s="90" t="s">
        <v>854</v>
      </c>
      <c r="G1814" s="137">
        <v>7</v>
      </c>
      <c r="H1814" s="94">
        <v>607</v>
      </c>
      <c r="I1814" s="91">
        <v>45936</v>
      </c>
      <c r="J1814" s="165">
        <v>0.72499999999999998</v>
      </c>
      <c r="K1814" s="94">
        <v>607</v>
      </c>
      <c r="L1814" s="72" t="str">
        <f t="shared" si="28"/>
        <v>Payé</v>
      </c>
    </row>
    <row r="1815" spans="1:12" ht="15" customHeight="1" x14ac:dyDescent="0.25">
      <c r="A1815" s="90" t="s">
        <v>854</v>
      </c>
      <c r="B1815" s="90">
        <v>10001</v>
      </c>
      <c r="C1815" s="88" t="s">
        <v>1127</v>
      </c>
      <c r="D1815" s="90" t="s">
        <v>17</v>
      </c>
      <c r="E1815" s="90" t="s">
        <v>254</v>
      </c>
      <c r="F1815" s="90" t="s">
        <v>854</v>
      </c>
      <c r="G1815" s="137">
        <v>2</v>
      </c>
      <c r="H1815" s="94">
        <v>173</v>
      </c>
      <c r="I1815" s="91">
        <v>45936</v>
      </c>
      <c r="J1815" s="165">
        <v>0.72499999999999998</v>
      </c>
      <c r="K1815" s="94">
        <v>173</v>
      </c>
      <c r="L1815" s="72" t="str">
        <f t="shared" si="28"/>
        <v>Payé</v>
      </c>
    </row>
    <row r="1816" spans="1:12" ht="15" customHeight="1" x14ac:dyDescent="0.25">
      <c r="A1816" s="90" t="s">
        <v>854</v>
      </c>
      <c r="B1816" s="90">
        <v>10024</v>
      </c>
      <c r="C1816" s="88" t="s">
        <v>1170</v>
      </c>
      <c r="D1816" s="90" t="s">
        <v>17</v>
      </c>
      <c r="E1816" s="90" t="s">
        <v>254</v>
      </c>
      <c r="F1816" s="90" t="s">
        <v>854</v>
      </c>
      <c r="G1816" s="137">
        <v>9</v>
      </c>
      <c r="H1816" s="94">
        <v>781</v>
      </c>
      <c r="I1816" s="91">
        <v>45936</v>
      </c>
      <c r="J1816" s="165">
        <v>0.72499999999999998</v>
      </c>
      <c r="K1816" s="94">
        <v>781</v>
      </c>
      <c r="L1816" s="72" t="str">
        <f t="shared" si="28"/>
        <v>Payé</v>
      </c>
    </row>
    <row r="1817" spans="1:12" ht="15" customHeight="1" x14ac:dyDescent="0.25">
      <c r="A1817" s="90" t="s">
        <v>854</v>
      </c>
      <c r="B1817" s="90">
        <v>10025</v>
      </c>
      <c r="C1817" s="88" t="s">
        <v>1171</v>
      </c>
      <c r="D1817" s="90" t="s">
        <v>17</v>
      </c>
      <c r="E1817" s="90" t="s">
        <v>254</v>
      </c>
      <c r="F1817" s="90" t="s">
        <v>854</v>
      </c>
      <c r="G1817" s="137">
        <v>1</v>
      </c>
      <c r="H1817" s="94">
        <v>87</v>
      </c>
      <c r="I1817" s="91">
        <v>45952</v>
      </c>
      <c r="J1817" s="165">
        <v>0.71111111111111114</v>
      </c>
      <c r="K1817" s="94">
        <v>87</v>
      </c>
      <c r="L1817" s="72" t="str">
        <f t="shared" si="28"/>
        <v>Payé</v>
      </c>
    </row>
    <row r="1818" spans="1:12" ht="15" customHeight="1" x14ac:dyDescent="0.25">
      <c r="A1818" s="90" t="s">
        <v>854</v>
      </c>
      <c r="B1818" s="90">
        <v>10034</v>
      </c>
      <c r="C1818" s="88" t="s">
        <v>1180</v>
      </c>
      <c r="D1818" s="90" t="s">
        <v>17</v>
      </c>
      <c r="E1818" s="90" t="s">
        <v>254</v>
      </c>
      <c r="F1818" s="90" t="s">
        <v>854</v>
      </c>
      <c r="G1818" s="137">
        <v>5</v>
      </c>
      <c r="H1818" s="94">
        <v>434</v>
      </c>
      <c r="I1818" s="91">
        <v>45936</v>
      </c>
      <c r="J1818" s="165">
        <v>0.72499999999999998</v>
      </c>
      <c r="K1818" s="94">
        <v>434</v>
      </c>
      <c r="L1818" s="72" t="str">
        <f t="shared" si="28"/>
        <v>Payé</v>
      </c>
    </row>
    <row r="1819" spans="1:12" ht="15" customHeight="1" x14ac:dyDescent="0.25">
      <c r="A1819" s="90" t="s">
        <v>854</v>
      </c>
      <c r="B1819" s="90"/>
      <c r="C1819" s="88" t="s">
        <v>1186</v>
      </c>
      <c r="D1819" s="90" t="s">
        <v>17</v>
      </c>
      <c r="E1819" s="90" t="s">
        <v>254</v>
      </c>
      <c r="F1819" s="90" t="s">
        <v>854</v>
      </c>
      <c r="G1819" s="137">
        <v>1</v>
      </c>
      <c r="H1819" s="94">
        <v>87</v>
      </c>
      <c r="I1819" s="91">
        <v>45980</v>
      </c>
      <c r="J1819" s="165">
        <v>0.64583333333333337</v>
      </c>
      <c r="K1819" s="94">
        <v>87</v>
      </c>
      <c r="L1819" s="72" t="str">
        <f t="shared" si="28"/>
        <v>Payé</v>
      </c>
    </row>
    <row r="1820" spans="1:12" ht="15" customHeight="1" x14ac:dyDescent="0.25">
      <c r="A1820" s="90" t="s">
        <v>854</v>
      </c>
      <c r="B1820" s="90" t="s">
        <v>1197</v>
      </c>
      <c r="C1820" s="88" t="s">
        <v>1198</v>
      </c>
      <c r="D1820" s="89" t="s">
        <v>912</v>
      </c>
      <c r="E1820" s="90" t="s">
        <v>1205</v>
      </c>
      <c r="F1820" s="90" t="s">
        <v>854</v>
      </c>
      <c r="G1820" s="94">
        <v>9</v>
      </c>
      <c r="H1820" s="92">
        <v>2700</v>
      </c>
      <c r="I1820" s="91">
        <v>45941</v>
      </c>
      <c r="J1820" s="165">
        <v>0.61458333333333337</v>
      </c>
      <c r="K1820" s="92">
        <v>2700</v>
      </c>
      <c r="L1820" s="72" t="str">
        <f t="shared" si="28"/>
        <v>Payé</v>
      </c>
    </row>
    <row r="1821" spans="1:12" ht="15" customHeight="1" x14ac:dyDescent="0.25">
      <c r="A1821" s="90" t="s">
        <v>854</v>
      </c>
      <c r="B1821" s="90" t="s">
        <v>1199</v>
      </c>
      <c r="C1821" s="88" t="s">
        <v>1198</v>
      </c>
      <c r="D1821" s="89" t="s">
        <v>912</v>
      </c>
      <c r="E1821" s="90" t="s">
        <v>1205</v>
      </c>
      <c r="F1821" s="90" t="s">
        <v>854</v>
      </c>
      <c r="G1821" s="94">
        <v>2</v>
      </c>
      <c r="H1821" s="92">
        <v>800</v>
      </c>
      <c r="I1821" s="91">
        <v>45937</v>
      </c>
      <c r="J1821" s="165">
        <v>0.46666666666666662</v>
      </c>
      <c r="K1821" s="92">
        <v>800</v>
      </c>
      <c r="L1821" s="72" t="str">
        <f t="shared" si="28"/>
        <v>Payé</v>
      </c>
    </row>
    <row r="1822" spans="1:12" ht="15" customHeight="1" x14ac:dyDescent="0.25">
      <c r="A1822" s="90" t="s">
        <v>854</v>
      </c>
      <c r="B1822" s="90" t="s">
        <v>1200</v>
      </c>
      <c r="C1822" s="88" t="s">
        <v>1198</v>
      </c>
      <c r="D1822" s="89" t="s">
        <v>912</v>
      </c>
      <c r="E1822" s="90" t="s">
        <v>1205</v>
      </c>
      <c r="F1822" s="90" t="s">
        <v>854</v>
      </c>
      <c r="G1822" s="94">
        <v>1</v>
      </c>
      <c r="H1822" s="92">
        <v>400</v>
      </c>
      <c r="I1822" s="91">
        <v>45937</v>
      </c>
      <c r="J1822" s="165">
        <v>0.46666666666666662</v>
      </c>
      <c r="K1822" s="92">
        <v>400</v>
      </c>
      <c r="L1822" s="72" t="str">
        <f t="shared" ref="L1822:L1885" si="29">IF(ISBLANK(H1822),"",IF(H1822=K1822,"Payé","Impayé"))</f>
        <v>Payé</v>
      </c>
    </row>
    <row r="1823" spans="1:12" ht="15" customHeight="1" x14ac:dyDescent="0.25">
      <c r="A1823" s="90" t="s">
        <v>854</v>
      </c>
      <c r="B1823" s="90" t="s">
        <v>1201</v>
      </c>
      <c r="C1823" s="88" t="s">
        <v>1202</v>
      </c>
      <c r="D1823" s="89" t="s">
        <v>912</v>
      </c>
      <c r="E1823" s="90" t="s">
        <v>1205</v>
      </c>
      <c r="F1823" s="90" t="s">
        <v>854</v>
      </c>
      <c r="G1823" s="94">
        <v>31</v>
      </c>
      <c r="H1823" s="92">
        <v>7750</v>
      </c>
      <c r="I1823" s="91">
        <v>45936</v>
      </c>
      <c r="J1823" s="165">
        <v>0.64513888888888882</v>
      </c>
      <c r="K1823" s="92">
        <v>7750</v>
      </c>
      <c r="L1823" s="72" t="str">
        <f t="shared" si="29"/>
        <v>Payé</v>
      </c>
    </row>
    <row r="1824" spans="1:12" ht="15" customHeight="1" x14ac:dyDescent="0.25">
      <c r="A1824" s="90" t="s">
        <v>854</v>
      </c>
      <c r="B1824" s="90" t="s">
        <v>1203</v>
      </c>
      <c r="C1824" s="88" t="s">
        <v>1198</v>
      </c>
      <c r="D1824" s="89" t="s">
        <v>912</v>
      </c>
      <c r="E1824" s="90" t="s">
        <v>1205</v>
      </c>
      <c r="F1824" s="90" t="s">
        <v>854</v>
      </c>
      <c r="G1824" s="94">
        <v>10</v>
      </c>
      <c r="H1824" s="92">
        <v>3000</v>
      </c>
      <c r="I1824" s="91">
        <v>45936</v>
      </c>
      <c r="J1824" s="165">
        <v>0.64513888888888882</v>
      </c>
      <c r="K1824" s="92">
        <v>3000</v>
      </c>
      <c r="L1824" s="72" t="str">
        <f t="shared" si="29"/>
        <v>Payé</v>
      </c>
    </row>
    <row r="1825" spans="1:12" ht="15" customHeight="1" x14ac:dyDescent="0.25">
      <c r="A1825" s="90" t="s">
        <v>854</v>
      </c>
      <c r="B1825" s="90" t="s">
        <v>1191</v>
      </c>
      <c r="C1825" s="88" t="s">
        <v>406</v>
      </c>
      <c r="D1825" s="89" t="s">
        <v>910</v>
      </c>
      <c r="E1825" s="90" t="s">
        <v>1191</v>
      </c>
      <c r="F1825" s="90" t="s">
        <v>854</v>
      </c>
      <c r="G1825" s="95">
        <v>64</v>
      </c>
      <c r="H1825" s="92">
        <v>1600</v>
      </c>
      <c r="I1825" s="91">
        <v>45943</v>
      </c>
      <c r="J1825" s="165">
        <v>0.50416666666666665</v>
      </c>
      <c r="K1825" s="92">
        <v>1600</v>
      </c>
      <c r="L1825" s="72" t="str">
        <f t="shared" si="29"/>
        <v>Payé</v>
      </c>
    </row>
    <row r="1826" spans="1:12" ht="15" customHeight="1" x14ac:dyDescent="0.25">
      <c r="A1826" s="90" t="s">
        <v>854</v>
      </c>
      <c r="B1826" s="90">
        <v>5136</v>
      </c>
      <c r="C1826" s="88" t="s">
        <v>1067</v>
      </c>
      <c r="D1826" s="90" t="s">
        <v>17</v>
      </c>
      <c r="E1826" s="90" t="s">
        <v>1104</v>
      </c>
      <c r="F1826" s="90" t="s">
        <v>854</v>
      </c>
      <c r="G1826" s="137">
        <v>14</v>
      </c>
      <c r="H1826" s="94">
        <v>1214</v>
      </c>
      <c r="I1826" s="91">
        <v>45936</v>
      </c>
      <c r="J1826" s="165">
        <v>0.71458333333333324</v>
      </c>
      <c r="K1826" s="94">
        <v>1214</v>
      </c>
      <c r="L1826" s="72" t="str">
        <f t="shared" si="29"/>
        <v>Payé</v>
      </c>
    </row>
    <row r="1827" spans="1:12" ht="15" customHeight="1" x14ac:dyDescent="0.25">
      <c r="A1827" s="90" t="s">
        <v>854</v>
      </c>
      <c r="B1827" s="90">
        <v>5305</v>
      </c>
      <c r="C1827" s="88" t="s">
        <v>1016</v>
      </c>
      <c r="D1827" s="90" t="s">
        <v>17</v>
      </c>
      <c r="E1827" s="90" t="s">
        <v>1104</v>
      </c>
      <c r="F1827" s="90" t="s">
        <v>854</v>
      </c>
      <c r="G1827" s="137">
        <v>6</v>
      </c>
      <c r="H1827" s="94">
        <v>520</v>
      </c>
      <c r="I1827" s="91">
        <v>45936</v>
      </c>
      <c r="J1827" s="165">
        <v>0.71458333333333324</v>
      </c>
      <c r="K1827" s="94">
        <v>520</v>
      </c>
      <c r="L1827" s="72" t="str">
        <f t="shared" si="29"/>
        <v>Payé</v>
      </c>
    </row>
    <row r="1828" spans="1:12" ht="15" customHeight="1" x14ac:dyDescent="0.25">
      <c r="A1828" s="90" t="s">
        <v>854</v>
      </c>
      <c r="B1828" s="90">
        <v>5355</v>
      </c>
      <c r="C1828" s="88" t="s">
        <v>1090</v>
      </c>
      <c r="D1828" s="90" t="s">
        <v>17</v>
      </c>
      <c r="E1828" s="90" t="s">
        <v>1104</v>
      </c>
      <c r="F1828" s="90" t="s">
        <v>854</v>
      </c>
      <c r="G1828" s="137">
        <v>6</v>
      </c>
      <c r="H1828" s="94">
        <v>520</v>
      </c>
      <c r="I1828" s="91">
        <v>45936</v>
      </c>
      <c r="J1828" s="165">
        <v>0.71458333333333324</v>
      </c>
      <c r="K1828" s="94">
        <v>520</v>
      </c>
      <c r="L1828" s="72" t="str">
        <f t="shared" si="29"/>
        <v>Payé</v>
      </c>
    </row>
    <row r="1829" spans="1:12" ht="15" customHeight="1" x14ac:dyDescent="0.25">
      <c r="A1829" s="90" t="s">
        <v>854</v>
      </c>
      <c r="B1829" s="90">
        <v>5357</v>
      </c>
      <c r="C1829" s="88" t="s">
        <v>1091</v>
      </c>
      <c r="D1829" s="90" t="s">
        <v>17</v>
      </c>
      <c r="E1829" s="90" t="s">
        <v>1104</v>
      </c>
      <c r="F1829" s="90" t="s">
        <v>854</v>
      </c>
      <c r="G1829" s="137">
        <v>9</v>
      </c>
      <c r="H1829" s="94">
        <v>781</v>
      </c>
      <c r="I1829" s="91">
        <v>45937</v>
      </c>
      <c r="J1829" s="165">
        <v>0.62986111111111109</v>
      </c>
      <c r="K1829" s="94">
        <v>781</v>
      </c>
      <c r="L1829" s="72" t="str">
        <f t="shared" si="29"/>
        <v>Payé</v>
      </c>
    </row>
    <row r="1830" spans="1:12" ht="15" customHeight="1" x14ac:dyDescent="0.25">
      <c r="A1830" s="90" t="s">
        <v>854</v>
      </c>
      <c r="B1830" s="90">
        <v>10017</v>
      </c>
      <c r="C1830" s="88" t="s">
        <v>1164</v>
      </c>
      <c r="D1830" s="90" t="s">
        <v>17</v>
      </c>
      <c r="E1830" s="90" t="s">
        <v>1104</v>
      </c>
      <c r="F1830" s="90" t="s">
        <v>854</v>
      </c>
      <c r="G1830" s="137">
        <v>14</v>
      </c>
      <c r="H1830" s="94">
        <v>1214</v>
      </c>
      <c r="I1830" s="91">
        <v>45936</v>
      </c>
      <c r="J1830" s="165">
        <v>0.68958333333333333</v>
      </c>
      <c r="K1830" s="94">
        <v>1214</v>
      </c>
      <c r="L1830" s="72" t="str">
        <f t="shared" si="29"/>
        <v>Payé</v>
      </c>
    </row>
    <row r="1831" spans="1:12" ht="15" customHeight="1" x14ac:dyDescent="0.25">
      <c r="A1831" s="90" t="s">
        <v>854</v>
      </c>
      <c r="B1831" s="90">
        <v>10026</v>
      </c>
      <c r="C1831" s="88" t="s">
        <v>1172</v>
      </c>
      <c r="D1831" s="90" t="s">
        <v>17</v>
      </c>
      <c r="E1831" s="90" t="s">
        <v>1104</v>
      </c>
      <c r="F1831" s="90" t="s">
        <v>854</v>
      </c>
      <c r="G1831" s="137">
        <v>4</v>
      </c>
      <c r="H1831" s="94">
        <v>347</v>
      </c>
      <c r="I1831" s="91">
        <v>45939</v>
      </c>
      <c r="J1831" s="165">
        <v>0.46319444444444446</v>
      </c>
      <c r="K1831" s="94">
        <v>347</v>
      </c>
      <c r="L1831" s="72" t="str">
        <f t="shared" si="29"/>
        <v>Payé</v>
      </c>
    </row>
    <row r="1832" spans="1:12" ht="15" customHeight="1" x14ac:dyDescent="0.25">
      <c r="A1832" s="90" t="s">
        <v>854</v>
      </c>
      <c r="B1832" s="90">
        <v>10027</v>
      </c>
      <c r="C1832" s="88" t="s">
        <v>1173</v>
      </c>
      <c r="D1832" s="90" t="s">
        <v>17</v>
      </c>
      <c r="E1832" s="90" t="s">
        <v>1104</v>
      </c>
      <c r="F1832" s="90" t="s">
        <v>854</v>
      </c>
      <c r="G1832" s="137">
        <v>8</v>
      </c>
      <c r="H1832" s="94">
        <v>694</v>
      </c>
      <c r="I1832" s="91">
        <v>45936</v>
      </c>
      <c r="J1832" s="165">
        <v>0.68958333333333333</v>
      </c>
      <c r="K1832" s="94">
        <v>694</v>
      </c>
      <c r="L1832" s="72" t="str">
        <f t="shared" si="29"/>
        <v>Payé</v>
      </c>
    </row>
    <row r="1833" spans="1:12" ht="15" customHeight="1" x14ac:dyDescent="0.25">
      <c r="A1833" s="90" t="s">
        <v>854</v>
      </c>
      <c r="B1833" s="90">
        <v>10028</v>
      </c>
      <c r="C1833" s="88" t="s">
        <v>1174</v>
      </c>
      <c r="D1833" s="90" t="s">
        <v>17</v>
      </c>
      <c r="E1833" s="90" t="s">
        <v>1104</v>
      </c>
      <c r="F1833" s="90" t="s">
        <v>854</v>
      </c>
      <c r="G1833" s="137">
        <v>3</v>
      </c>
      <c r="H1833" s="94">
        <v>260</v>
      </c>
      <c r="I1833" s="91">
        <v>45939</v>
      </c>
      <c r="J1833" s="165">
        <v>0.46319444444444446</v>
      </c>
      <c r="K1833" s="94">
        <v>260</v>
      </c>
      <c r="L1833" s="72" t="str">
        <f t="shared" si="29"/>
        <v>Payé</v>
      </c>
    </row>
    <row r="1834" spans="1:12" ht="15" customHeight="1" x14ac:dyDescent="0.25">
      <c r="A1834" s="90" t="s">
        <v>854</v>
      </c>
      <c r="B1834" s="90">
        <v>370</v>
      </c>
      <c r="C1834" s="88" t="s">
        <v>1141</v>
      </c>
      <c r="D1834" s="90" t="s">
        <v>17</v>
      </c>
      <c r="E1834" s="90" t="s">
        <v>628</v>
      </c>
      <c r="F1834" s="90" t="s">
        <v>854</v>
      </c>
      <c r="G1834" s="137">
        <v>4</v>
      </c>
      <c r="H1834" s="94">
        <v>367</v>
      </c>
      <c r="I1834" s="91">
        <v>45936</v>
      </c>
      <c r="J1834" s="165">
        <v>0.73819444444444438</v>
      </c>
      <c r="K1834" s="94">
        <v>367</v>
      </c>
      <c r="L1834" s="72" t="str">
        <f t="shared" si="29"/>
        <v>Payé</v>
      </c>
    </row>
    <row r="1835" spans="1:12" ht="15" customHeight="1" x14ac:dyDescent="0.25">
      <c r="A1835" s="90" t="s">
        <v>854</v>
      </c>
      <c r="B1835" s="90">
        <v>2195</v>
      </c>
      <c r="C1835" s="88" t="s">
        <v>654</v>
      </c>
      <c r="D1835" s="90" t="s">
        <v>17</v>
      </c>
      <c r="E1835" s="90" t="s">
        <v>628</v>
      </c>
      <c r="F1835" s="90" t="s">
        <v>854</v>
      </c>
      <c r="G1835" s="137">
        <v>6</v>
      </c>
      <c r="H1835" s="94">
        <v>520</v>
      </c>
      <c r="I1835" s="91">
        <v>45936</v>
      </c>
      <c r="J1835" s="165">
        <v>0.73888888888888893</v>
      </c>
      <c r="K1835" s="94">
        <v>520</v>
      </c>
      <c r="L1835" s="72" t="str">
        <f t="shared" si="29"/>
        <v>Payé</v>
      </c>
    </row>
    <row r="1836" spans="1:12" ht="15" customHeight="1" x14ac:dyDescent="0.25">
      <c r="A1836" s="90" t="s">
        <v>854</v>
      </c>
      <c r="B1836" s="90">
        <v>3260</v>
      </c>
      <c r="C1836" s="88" t="s">
        <v>1119</v>
      </c>
      <c r="D1836" s="90" t="s">
        <v>17</v>
      </c>
      <c r="E1836" s="90" t="s">
        <v>628</v>
      </c>
      <c r="F1836" s="90" t="s">
        <v>854</v>
      </c>
      <c r="G1836" s="137">
        <v>8</v>
      </c>
      <c r="H1836" s="94">
        <v>694</v>
      </c>
      <c r="I1836" s="91">
        <v>45936</v>
      </c>
      <c r="J1836" s="165">
        <v>0.73819444444444438</v>
      </c>
      <c r="K1836" s="94">
        <v>694</v>
      </c>
      <c r="L1836" s="72" t="str">
        <f t="shared" si="29"/>
        <v>Payé</v>
      </c>
    </row>
    <row r="1837" spans="1:12" ht="15" customHeight="1" x14ac:dyDescent="0.25">
      <c r="A1837" s="90" t="s">
        <v>854</v>
      </c>
      <c r="B1837" s="90">
        <v>3486</v>
      </c>
      <c r="C1837" s="88" t="s">
        <v>980</v>
      </c>
      <c r="D1837" s="90" t="s">
        <v>17</v>
      </c>
      <c r="E1837" s="90" t="s">
        <v>628</v>
      </c>
      <c r="F1837" s="90" t="s">
        <v>854</v>
      </c>
      <c r="G1837" s="137">
        <v>12</v>
      </c>
      <c r="H1837" s="94">
        <v>1041</v>
      </c>
      <c r="I1837" s="91">
        <v>45936</v>
      </c>
      <c r="J1837" s="165">
        <v>0.73819444444444438</v>
      </c>
      <c r="K1837" s="94">
        <v>1041</v>
      </c>
      <c r="L1837" s="72" t="str">
        <f t="shared" si="29"/>
        <v>Payé</v>
      </c>
    </row>
    <row r="1838" spans="1:12" ht="15" customHeight="1" x14ac:dyDescent="0.25">
      <c r="A1838" s="90" t="s">
        <v>854</v>
      </c>
      <c r="B1838" s="90">
        <v>3590</v>
      </c>
      <c r="C1838" s="88" t="s">
        <v>425</v>
      </c>
      <c r="D1838" s="90" t="s">
        <v>17</v>
      </c>
      <c r="E1838" s="90" t="s">
        <v>628</v>
      </c>
      <c r="F1838" s="90" t="s">
        <v>854</v>
      </c>
      <c r="G1838" s="137">
        <v>11</v>
      </c>
      <c r="H1838" s="94">
        <v>994</v>
      </c>
      <c r="I1838" s="91">
        <v>45936</v>
      </c>
      <c r="J1838" s="165">
        <v>0.73819444444444438</v>
      </c>
      <c r="K1838" s="94">
        <v>994</v>
      </c>
      <c r="L1838" s="72" t="str">
        <f t="shared" si="29"/>
        <v>Payé</v>
      </c>
    </row>
    <row r="1839" spans="1:12" ht="15" customHeight="1" x14ac:dyDescent="0.25">
      <c r="A1839" s="90" t="s">
        <v>854</v>
      </c>
      <c r="B1839" s="90">
        <v>4061</v>
      </c>
      <c r="C1839" s="88" t="s">
        <v>619</v>
      </c>
      <c r="D1839" s="90" t="s">
        <v>17</v>
      </c>
      <c r="E1839" s="90" t="s">
        <v>628</v>
      </c>
      <c r="F1839" s="90" t="s">
        <v>854</v>
      </c>
      <c r="G1839" s="137">
        <v>9</v>
      </c>
      <c r="H1839" s="94">
        <v>781</v>
      </c>
      <c r="I1839" s="91">
        <v>45936</v>
      </c>
      <c r="J1839" s="165">
        <v>0.73888888888888893</v>
      </c>
      <c r="K1839" s="94">
        <v>781</v>
      </c>
      <c r="L1839" s="72" t="str">
        <f t="shared" si="29"/>
        <v>Payé</v>
      </c>
    </row>
    <row r="1840" spans="1:12" ht="15" customHeight="1" x14ac:dyDescent="0.25">
      <c r="A1840" s="90" t="s">
        <v>854</v>
      </c>
      <c r="B1840" s="90">
        <v>4333</v>
      </c>
      <c r="C1840" s="88" t="s">
        <v>706</v>
      </c>
      <c r="D1840" s="90" t="s">
        <v>17</v>
      </c>
      <c r="E1840" s="90" t="s">
        <v>628</v>
      </c>
      <c r="F1840" s="90" t="s">
        <v>854</v>
      </c>
      <c r="G1840" s="137">
        <v>13</v>
      </c>
      <c r="H1840" s="94">
        <v>1128</v>
      </c>
      <c r="I1840" s="91">
        <v>45936</v>
      </c>
      <c r="J1840" s="165">
        <v>0.73888888888888893</v>
      </c>
      <c r="K1840" s="94">
        <v>1128</v>
      </c>
      <c r="L1840" s="72" t="str">
        <f t="shared" si="29"/>
        <v>Payé</v>
      </c>
    </row>
    <row r="1841" spans="1:12" ht="15" customHeight="1" x14ac:dyDescent="0.25">
      <c r="A1841" s="90" t="s">
        <v>854</v>
      </c>
      <c r="B1841" s="90">
        <v>4334</v>
      </c>
      <c r="C1841" s="88" t="s">
        <v>622</v>
      </c>
      <c r="D1841" s="90" t="s">
        <v>17</v>
      </c>
      <c r="E1841" s="90" t="s">
        <v>628</v>
      </c>
      <c r="F1841" s="90" t="s">
        <v>854</v>
      </c>
      <c r="G1841" s="137">
        <v>13</v>
      </c>
      <c r="H1841" s="94">
        <v>1128</v>
      </c>
      <c r="I1841" s="91">
        <v>45936</v>
      </c>
      <c r="J1841" s="165">
        <v>0.73888888888888893</v>
      </c>
      <c r="K1841" s="94">
        <v>1128</v>
      </c>
      <c r="L1841" s="72" t="str">
        <f t="shared" si="29"/>
        <v>Payé</v>
      </c>
    </row>
    <row r="1842" spans="1:12" ht="15" customHeight="1" x14ac:dyDescent="0.25">
      <c r="A1842" s="90" t="s">
        <v>854</v>
      </c>
      <c r="B1842" s="90">
        <v>4470</v>
      </c>
      <c r="C1842" s="88" t="s">
        <v>989</v>
      </c>
      <c r="D1842" s="90" t="s">
        <v>17</v>
      </c>
      <c r="E1842" s="90" t="s">
        <v>628</v>
      </c>
      <c r="F1842" s="90" t="s">
        <v>854</v>
      </c>
      <c r="G1842" s="137">
        <v>2</v>
      </c>
      <c r="H1842" s="94">
        <v>173</v>
      </c>
      <c r="I1842" s="91">
        <v>45936</v>
      </c>
      <c r="J1842" s="165">
        <v>0.73819444444444438</v>
      </c>
      <c r="K1842" s="94">
        <v>173</v>
      </c>
      <c r="L1842" s="72" t="str">
        <f t="shared" si="29"/>
        <v>Payé</v>
      </c>
    </row>
    <row r="1843" spans="1:12" ht="15" customHeight="1" x14ac:dyDescent="0.25">
      <c r="A1843" s="90" t="s">
        <v>854</v>
      </c>
      <c r="B1843" s="90">
        <v>4801</v>
      </c>
      <c r="C1843" s="88" t="s">
        <v>990</v>
      </c>
      <c r="D1843" s="90" t="s">
        <v>17</v>
      </c>
      <c r="E1843" s="90" t="s">
        <v>628</v>
      </c>
      <c r="F1843" s="90" t="s">
        <v>854</v>
      </c>
      <c r="G1843" s="137">
        <v>5</v>
      </c>
      <c r="H1843" s="94">
        <v>434</v>
      </c>
      <c r="I1843" s="91">
        <v>45936</v>
      </c>
      <c r="J1843" s="165">
        <v>0.73819444444444438</v>
      </c>
      <c r="K1843" s="94">
        <v>434</v>
      </c>
      <c r="L1843" s="72" t="str">
        <f t="shared" si="29"/>
        <v>Payé</v>
      </c>
    </row>
    <row r="1844" spans="1:12" ht="15" customHeight="1" x14ac:dyDescent="0.25">
      <c r="A1844" s="90" t="s">
        <v>854</v>
      </c>
      <c r="B1844" s="90">
        <v>5123</v>
      </c>
      <c r="C1844" s="88" t="s">
        <v>827</v>
      </c>
      <c r="D1844" s="90" t="s">
        <v>17</v>
      </c>
      <c r="E1844" s="90" t="s">
        <v>628</v>
      </c>
      <c r="F1844" s="90" t="s">
        <v>854</v>
      </c>
      <c r="G1844" s="137">
        <v>8</v>
      </c>
      <c r="H1844" s="94">
        <v>694</v>
      </c>
      <c r="I1844" s="91">
        <v>45936</v>
      </c>
      <c r="J1844" s="165">
        <v>0.73819444444444438</v>
      </c>
      <c r="K1844" s="94">
        <v>694</v>
      </c>
      <c r="L1844" s="72" t="str">
        <f t="shared" si="29"/>
        <v>Payé</v>
      </c>
    </row>
    <row r="1845" spans="1:12" ht="15" customHeight="1" x14ac:dyDescent="0.25">
      <c r="A1845" s="90" t="s">
        <v>854</v>
      </c>
      <c r="B1845" s="90">
        <v>6034</v>
      </c>
      <c r="C1845" s="88" t="s">
        <v>1152</v>
      </c>
      <c r="D1845" s="90" t="s">
        <v>17</v>
      </c>
      <c r="E1845" s="90" t="s">
        <v>628</v>
      </c>
      <c r="F1845" s="90" t="s">
        <v>854</v>
      </c>
      <c r="G1845" s="137">
        <v>4</v>
      </c>
      <c r="H1845" s="94">
        <v>347</v>
      </c>
      <c r="I1845" s="91">
        <v>45936</v>
      </c>
      <c r="J1845" s="165">
        <v>0.73888888888888893</v>
      </c>
      <c r="K1845" s="94">
        <v>347</v>
      </c>
      <c r="L1845" s="72" t="str">
        <f t="shared" si="29"/>
        <v>Payé</v>
      </c>
    </row>
    <row r="1846" spans="1:12" ht="15" customHeight="1" x14ac:dyDescent="0.25">
      <c r="A1846" s="90" t="s">
        <v>854</v>
      </c>
      <c r="B1846" s="90">
        <v>8022</v>
      </c>
      <c r="C1846" s="88" t="s">
        <v>707</v>
      </c>
      <c r="D1846" s="90" t="s">
        <v>17</v>
      </c>
      <c r="E1846" s="90" t="s">
        <v>628</v>
      </c>
      <c r="F1846" s="90" t="s">
        <v>854</v>
      </c>
      <c r="G1846" s="137">
        <v>14</v>
      </c>
      <c r="H1846" s="94">
        <v>1254</v>
      </c>
      <c r="I1846" s="91">
        <v>45936</v>
      </c>
      <c r="J1846" s="165">
        <v>0.73819444444444438</v>
      </c>
      <c r="K1846" s="94">
        <v>1254</v>
      </c>
      <c r="L1846" s="72" t="str">
        <f t="shared" si="29"/>
        <v>Payé</v>
      </c>
    </row>
    <row r="1847" spans="1:12" ht="15" customHeight="1" x14ac:dyDescent="0.25">
      <c r="A1847" s="90" t="s">
        <v>854</v>
      </c>
      <c r="B1847" s="90">
        <v>10008</v>
      </c>
      <c r="C1847" s="88" t="s">
        <v>1134</v>
      </c>
      <c r="D1847" s="90" t="s">
        <v>17</v>
      </c>
      <c r="E1847" s="90" t="s">
        <v>628</v>
      </c>
      <c r="F1847" s="90" t="s">
        <v>854</v>
      </c>
      <c r="G1847" s="137">
        <v>8</v>
      </c>
      <c r="H1847" s="94">
        <v>714</v>
      </c>
      <c r="I1847" s="91">
        <v>45936</v>
      </c>
      <c r="J1847" s="165">
        <v>0.73819444444444438</v>
      </c>
      <c r="K1847" s="94">
        <v>714</v>
      </c>
      <c r="L1847" s="72" t="str">
        <f t="shared" si="29"/>
        <v>Payé</v>
      </c>
    </row>
    <row r="1848" spans="1:12" ht="15" customHeight="1" x14ac:dyDescent="0.25">
      <c r="A1848" s="90" t="s">
        <v>854</v>
      </c>
      <c r="B1848" s="90">
        <v>10009</v>
      </c>
      <c r="C1848" s="88" t="s">
        <v>1157</v>
      </c>
      <c r="D1848" s="90" t="s">
        <v>17</v>
      </c>
      <c r="E1848" s="90" t="s">
        <v>628</v>
      </c>
      <c r="F1848" s="90" t="s">
        <v>854</v>
      </c>
      <c r="G1848" s="137">
        <v>14</v>
      </c>
      <c r="H1848" s="94">
        <v>1254</v>
      </c>
      <c r="I1848" s="91">
        <v>45936</v>
      </c>
      <c r="J1848" s="165">
        <v>0.73819444444444438</v>
      </c>
      <c r="K1848" s="94">
        <v>1254</v>
      </c>
      <c r="L1848" s="72" t="str">
        <f t="shared" si="29"/>
        <v>Payé</v>
      </c>
    </row>
    <row r="1849" spans="1:12" ht="15" customHeight="1" x14ac:dyDescent="0.25">
      <c r="A1849" s="90" t="s">
        <v>854</v>
      </c>
      <c r="B1849" s="90" t="s">
        <v>1139</v>
      </c>
      <c r="C1849" s="88" t="s">
        <v>1140</v>
      </c>
      <c r="D1849" s="89" t="s">
        <v>912</v>
      </c>
      <c r="E1849" s="90" t="s">
        <v>1206</v>
      </c>
      <c r="F1849" s="90" t="s">
        <v>854</v>
      </c>
      <c r="G1849" s="94">
        <v>71</v>
      </c>
      <c r="H1849" s="92">
        <v>7810</v>
      </c>
      <c r="I1849" s="91">
        <v>45937</v>
      </c>
      <c r="J1849" s="165">
        <v>0.46666666666666662</v>
      </c>
      <c r="K1849" s="92">
        <v>7810</v>
      </c>
      <c r="L1849" s="72" t="str">
        <f t="shared" si="29"/>
        <v>Payé</v>
      </c>
    </row>
    <row r="1850" spans="1:12" ht="15" customHeight="1" x14ac:dyDescent="0.25">
      <c r="A1850" s="90" t="s">
        <v>854</v>
      </c>
      <c r="B1850" s="90" t="s">
        <v>476</v>
      </c>
      <c r="C1850" s="88" t="s">
        <v>719</v>
      </c>
      <c r="D1850" s="89" t="s">
        <v>910</v>
      </c>
      <c r="E1850" s="90" t="s">
        <v>476</v>
      </c>
      <c r="F1850" s="90" t="s">
        <v>854</v>
      </c>
      <c r="G1850" s="95">
        <v>191</v>
      </c>
      <c r="H1850" s="92">
        <v>5730</v>
      </c>
      <c r="I1850" s="91">
        <v>45937</v>
      </c>
      <c r="J1850" s="165">
        <v>0.65555555555555556</v>
      </c>
      <c r="K1850" s="92">
        <v>5730</v>
      </c>
      <c r="L1850" s="72" t="str">
        <f t="shared" si="29"/>
        <v>Payé</v>
      </c>
    </row>
    <row r="1851" spans="1:12" ht="15" customHeight="1" x14ac:dyDescent="0.25">
      <c r="A1851" s="90" t="s">
        <v>854</v>
      </c>
      <c r="B1851" s="90">
        <v>2965</v>
      </c>
      <c r="C1851" s="88" t="s">
        <v>813</v>
      </c>
      <c r="D1851" s="90" t="s">
        <v>17</v>
      </c>
      <c r="E1851" s="90" t="s">
        <v>753</v>
      </c>
      <c r="F1851" s="90" t="s">
        <v>854</v>
      </c>
      <c r="G1851" s="137">
        <v>8</v>
      </c>
      <c r="H1851" s="94">
        <v>694</v>
      </c>
      <c r="I1851" s="91">
        <v>45937</v>
      </c>
      <c r="J1851" s="165">
        <v>0.64444444444444449</v>
      </c>
      <c r="K1851" s="94">
        <v>694</v>
      </c>
      <c r="L1851" s="72" t="str">
        <f t="shared" si="29"/>
        <v>Payé</v>
      </c>
    </row>
    <row r="1852" spans="1:12" ht="15" customHeight="1" x14ac:dyDescent="0.25">
      <c r="A1852" s="90" t="s">
        <v>854</v>
      </c>
      <c r="B1852" s="90">
        <v>2978</v>
      </c>
      <c r="C1852" s="88" t="s">
        <v>1118</v>
      </c>
      <c r="D1852" s="90" t="s">
        <v>17</v>
      </c>
      <c r="E1852" s="90" t="s">
        <v>753</v>
      </c>
      <c r="F1852" s="90" t="s">
        <v>854</v>
      </c>
      <c r="G1852" s="137">
        <v>2</v>
      </c>
      <c r="H1852" s="94">
        <v>173</v>
      </c>
      <c r="I1852" s="91">
        <v>45954</v>
      </c>
      <c r="J1852" s="165">
        <v>0.50902777777777775</v>
      </c>
      <c r="K1852" s="94">
        <v>173</v>
      </c>
      <c r="L1852" s="72" t="str">
        <f t="shared" si="29"/>
        <v>Payé</v>
      </c>
    </row>
    <row r="1853" spans="1:12" ht="15" customHeight="1" x14ac:dyDescent="0.25">
      <c r="A1853" s="90" t="s">
        <v>854</v>
      </c>
      <c r="B1853" s="90">
        <v>2982</v>
      </c>
      <c r="C1853" s="88" t="s">
        <v>1147</v>
      </c>
      <c r="D1853" s="90" t="s">
        <v>17</v>
      </c>
      <c r="E1853" s="90" t="s">
        <v>753</v>
      </c>
      <c r="F1853" s="90" t="s">
        <v>854</v>
      </c>
      <c r="G1853" s="137">
        <v>2</v>
      </c>
      <c r="H1853" s="94">
        <v>173</v>
      </c>
      <c r="I1853" s="91">
        <v>45954</v>
      </c>
      <c r="J1853" s="165">
        <v>0.51041666666666663</v>
      </c>
      <c r="K1853" s="94">
        <v>173</v>
      </c>
      <c r="L1853" s="72" t="str">
        <f t="shared" si="29"/>
        <v>Payé</v>
      </c>
    </row>
    <row r="1854" spans="1:12" ht="15" customHeight="1" x14ac:dyDescent="0.25">
      <c r="A1854" s="90" t="s">
        <v>854</v>
      </c>
      <c r="B1854" s="90">
        <v>2997</v>
      </c>
      <c r="C1854" s="88" t="s">
        <v>719</v>
      </c>
      <c r="D1854" s="90" t="s">
        <v>17</v>
      </c>
      <c r="E1854" s="90" t="s">
        <v>753</v>
      </c>
      <c r="F1854" s="90" t="s">
        <v>854</v>
      </c>
      <c r="G1854" s="137">
        <v>8</v>
      </c>
      <c r="H1854" s="94">
        <v>774</v>
      </c>
      <c r="I1854" s="91">
        <v>45937</v>
      </c>
      <c r="J1854" s="165">
        <v>0.64444444444444449</v>
      </c>
      <c r="K1854" s="94">
        <v>774</v>
      </c>
      <c r="L1854" s="72" t="str">
        <f t="shared" si="29"/>
        <v>Payé</v>
      </c>
    </row>
    <row r="1855" spans="1:12" ht="15" customHeight="1" x14ac:dyDescent="0.25">
      <c r="A1855" s="90" t="s">
        <v>854</v>
      </c>
      <c r="B1855" s="90">
        <v>3001</v>
      </c>
      <c r="C1855" s="88" t="s">
        <v>799</v>
      </c>
      <c r="D1855" s="90" t="s">
        <v>17</v>
      </c>
      <c r="E1855" s="90" t="s">
        <v>753</v>
      </c>
      <c r="F1855" s="90" t="s">
        <v>854</v>
      </c>
      <c r="G1855" s="137">
        <v>11</v>
      </c>
      <c r="H1855" s="94">
        <v>954</v>
      </c>
      <c r="I1855" s="91">
        <v>45937</v>
      </c>
      <c r="J1855" s="165">
        <v>0.64444444444444449</v>
      </c>
      <c r="K1855" s="94">
        <v>954</v>
      </c>
      <c r="L1855" s="72" t="str">
        <f t="shared" si="29"/>
        <v>Payé</v>
      </c>
    </row>
    <row r="1856" spans="1:12" ht="15" customHeight="1" x14ac:dyDescent="0.25">
      <c r="A1856" s="90" t="s">
        <v>854</v>
      </c>
      <c r="B1856" s="90">
        <v>3823</v>
      </c>
      <c r="C1856" s="88" t="s">
        <v>824</v>
      </c>
      <c r="D1856" s="90" t="s">
        <v>17</v>
      </c>
      <c r="E1856" s="90" t="s">
        <v>753</v>
      </c>
      <c r="F1856" s="90" t="s">
        <v>854</v>
      </c>
      <c r="G1856" s="137">
        <v>9</v>
      </c>
      <c r="H1856" s="94">
        <v>781</v>
      </c>
      <c r="I1856" s="91">
        <v>45937</v>
      </c>
      <c r="J1856" s="165">
        <v>0.66597222222222219</v>
      </c>
      <c r="K1856" s="94">
        <v>781</v>
      </c>
      <c r="L1856" s="72" t="str">
        <f t="shared" si="29"/>
        <v>Payé</v>
      </c>
    </row>
    <row r="1857" spans="1:12" ht="15" customHeight="1" x14ac:dyDescent="0.25">
      <c r="A1857" s="90" t="s">
        <v>854</v>
      </c>
      <c r="B1857" s="90">
        <v>4060</v>
      </c>
      <c r="C1857" s="88" t="s">
        <v>986</v>
      </c>
      <c r="D1857" s="90" t="s">
        <v>17</v>
      </c>
      <c r="E1857" s="90" t="s">
        <v>753</v>
      </c>
      <c r="F1857" s="90" t="s">
        <v>854</v>
      </c>
      <c r="G1857" s="137">
        <v>8</v>
      </c>
      <c r="H1857" s="94">
        <v>694</v>
      </c>
      <c r="I1857" s="91">
        <v>45938</v>
      </c>
      <c r="J1857" s="165">
        <v>0.50347222222222221</v>
      </c>
      <c r="K1857" s="94">
        <v>694</v>
      </c>
      <c r="L1857" s="72" t="str">
        <f t="shared" si="29"/>
        <v>Payé</v>
      </c>
    </row>
    <row r="1858" spans="1:12" ht="15" customHeight="1" x14ac:dyDescent="0.25">
      <c r="A1858" s="90" t="s">
        <v>854</v>
      </c>
      <c r="B1858" s="90">
        <v>4868</v>
      </c>
      <c r="C1858" s="88" t="s">
        <v>767</v>
      </c>
      <c r="D1858" s="90" t="s">
        <v>17</v>
      </c>
      <c r="E1858" s="90" t="s">
        <v>753</v>
      </c>
      <c r="F1858" s="90" t="s">
        <v>854</v>
      </c>
      <c r="G1858" s="137">
        <v>8</v>
      </c>
      <c r="H1858" s="94">
        <v>694</v>
      </c>
      <c r="I1858" s="91">
        <v>45937</v>
      </c>
      <c r="J1858" s="165">
        <v>0.64444444444444449</v>
      </c>
      <c r="K1858" s="94">
        <v>694</v>
      </c>
      <c r="L1858" s="72" t="str">
        <f t="shared" si="29"/>
        <v>Payé</v>
      </c>
    </row>
    <row r="1859" spans="1:12" ht="15" customHeight="1" x14ac:dyDescent="0.25">
      <c r="A1859" s="90" t="s">
        <v>854</v>
      </c>
      <c r="B1859" s="90">
        <v>5076</v>
      </c>
      <c r="C1859" s="88" t="s">
        <v>991</v>
      </c>
      <c r="D1859" s="90" t="s">
        <v>17</v>
      </c>
      <c r="E1859" s="90" t="s">
        <v>753</v>
      </c>
      <c r="F1859" s="90" t="s">
        <v>854</v>
      </c>
      <c r="G1859" s="137">
        <v>11</v>
      </c>
      <c r="H1859" s="94">
        <v>954</v>
      </c>
      <c r="I1859" s="91">
        <v>45938</v>
      </c>
      <c r="J1859" s="165">
        <v>0.60277777777777775</v>
      </c>
      <c r="K1859" s="94">
        <v>954</v>
      </c>
      <c r="L1859" s="72" t="str">
        <f t="shared" si="29"/>
        <v>Payé</v>
      </c>
    </row>
    <row r="1860" spans="1:12" ht="15" customHeight="1" x14ac:dyDescent="0.25">
      <c r="A1860" s="90" t="s">
        <v>854</v>
      </c>
      <c r="B1860" s="90">
        <v>5209</v>
      </c>
      <c r="C1860" s="88" t="s">
        <v>835</v>
      </c>
      <c r="D1860" s="90" t="s">
        <v>17</v>
      </c>
      <c r="E1860" s="90" t="s">
        <v>753</v>
      </c>
      <c r="F1860" s="90" t="s">
        <v>854</v>
      </c>
      <c r="G1860" s="137">
        <v>9</v>
      </c>
      <c r="H1860" s="94">
        <v>781</v>
      </c>
      <c r="I1860" s="91">
        <v>45938</v>
      </c>
      <c r="J1860" s="165">
        <v>0.60277777777777775</v>
      </c>
      <c r="K1860" s="94">
        <v>781</v>
      </c>
      <c r="L1860" s="72" t="str">
        <f t="shared" si="29"/>
        <v>Payé</v>
      </c>
    </row>
    <row r="1861" spans="1:12" ht="15" customHeight="1" x14ac:dyDescent="0.25">
      <c r="A1861" s="90" t="s">
        <v>854</v>
      </c>
      <c r="B1861" s="90">
        <v>5240</v>
      </c>
      <c r="C1861" s="88" t="s">
        <v>885</v>
      </c>
      <c r="D1861" s="90" t="s">
        <v>17</v>
      </c>
      <c r="E1861" s="90" t="s">
        <v>753</v>
      </c>
      <c r="F1861" s="90" t="s">
        <v>854</v>
      </c>
      <c r="G1861" s="137">
        <v>4</v>
      </c>
      <c r="H1861" s="94">
        <v>347</v>
      </c>
      <c r="I1861" s="91">
        <v>45937</v>
      </c>
      <c r="J1861" s="165">
        <v>0.64444444444444449</v>
      </c>
      <c r="K1861" s="94">
        <v>347</v>
      </c>
      <c r="L1861" s="72" t="str">
        <f t="shared" si="29"/>
        <v>Payé</v>
      </c>
    </row>
    <row r="1862" spans="1:12" ht="15" customHeight="1" x14ac:dyDescent="0.25">
      <c r="A1862" s="90" t="s">
        <v>854</v>
      </c>
      <c r="B1862" s="90">
        <v>5253</v>
      </c>
      <c r="C1862" s="88" t="s">
        <v>902</v>
      </c>
      <c r="D1862" s="90" t="s">
        <v>17</v>
      </c>
      <c r="E1862" s="90" t="s">
        <v>753</v>
      </c>
      <c r="F1862" s="90" t="s">
        <v>854</v>
      </c>
      <c r="G1862" s="137">
        <v>3</v>
      </c>
      <c r="H1862" s="94">
        <v>260</v>
      </c>
      <c r="I1862" s="91">
        <v>45937</v>
      </c>
      <c r="J1862" s="165">
        <v>0.64444444444444449</v>
      </c>
      <c r="K1862" s="94">
        <v>260</v>
      </c>
      <c r="L1862" s="72" t="str">
        <f t="shared" si="29"/>
        <v>Payé</v>
      </c>
    </row>
    <row r="1863" spans="1:12" ht="15" customHeight="1" x14ac:dyDescent="0.25">
      <c r="A1863" s="90" t="s">
        <v>854</v>
      </c>
      <c r="B1863" s="90">
        <v>5255</v>
      </c>
      <c r="C1863" s="88" t="s">
        <v>904</v>
      </c>
      <c r="D1863" s="90" t="s">
        <v>17</v>
      </c>
      <c r="E1863" s="90" t="s">
        <v>753</v>
      </c>
      <c r="F1863" s="90" t="s">
        <v>854</v>
      </c>
      <c r="G1863" s="137">
        <v>2</v>
      </c>
      <c r="H1863" s="94">
        <v>173</v>
      </c>
      <c r="I1863" s="91">
        <v>45961</v>
      </c>
      <c r="J1863" s="165">
        <v>0.61249999999999993</v>
      </c>
      <c r="K1863" s="94">
        <v>173</v>
      </c>
      <c r="L1863" s="72" t="str">
        <f t="shared" si="29"/>
        <v>Payé</v>
      </c>
    </row>
    <row r="1864" spans="1:12" ht="15" customHeight="1" x14ac:dyDescent="0.25">
      <c r="A1864" s="90" t="s">
        <v>854</v>
      </c>
      <c r="B1864" s="90">
        <v>5300</v>
      </c>
      <c r="C1864" s="88" t="s">
        <v>1011</v>
      </c>
      <c r="D1864" s="90" t="s">
        <v>17</v>
      </c>
      <c r="E1864" s="90" t="s">
        <v>753</v>
      </c>
      <c r="F1864" s="90" t="s">
        <v>854</v>
      </c>
      <c r="G1864" s="137">
        <v>2</v>
      </c>
      <c r="H1864" s="94">
        <v>173</v>
      </c>
      <c r="I1864" s="91">
        <v>45940</v>
      </c>
      <c r="J1864" s="165">
        <v>0.62569444444444444</v>
      </c>
      <c r="K1864" s="94">
        <v>173</v>
      </c>
      <c r="L1864" s="72" t="str">
        <f t="shared" si="29"/>
        <v>Payé</v>
      </c>
    </row>
    <row r="1865" spans="1:12" ht="15" customHeight="1" x14ac:dyDescent="0.25">
      <c r="A1865" s="90" t="s">
        <v>854</v>
      </c>
      <c r="B1865" s="90">
        <v>5327</v>
      </c>
      <c r="C1865" s="88" t="s">
        <v>1033</v>
      </c>
      <c r="D1865" s="90" t="s">
        <v>17</v>
      </c>
      <c r="E1865" s="90" t="s">
        <v>753</v>
      </c>
      <c r="F1865" s="90" t="s">
        <v>854</v>
      </c>
      <c r="G1865" s="137">
        <v>7</v>
      </c>
      <c r="H1865" s="94">
        <v>607</v>
      </c>
      <c r="I1865" s="91">
        <v>45937</v>
      </c>
      <c r="J1865" s="165">
        <v>0.64444444444444449</v>
      </c>
      <c r="K1865" s="94">
        <v>607</v>
      </c>
      <c r="L1865" s="72" t="str">
        <f t="shared" si="29"/>
        <v>Payé</v>
      </c>
    </row>
    <row r="1866" spans="1:12" ht="15" customHeight="1" x14ac:dyDescent="0.25">
      <c r="A1866" s="90" t="s">
        <v>854</v>
      </c>
      <c r="B1866" s="90">
        <v>5335</v>
      </c>
      <c r="C1866" s="88" t="s">
        <v>1040</v>
      </c>
      <c r="D1866" s="90" t="s">
        <v>17</v>
      </c>
      <c r="E1866" s="90" t="s">
        <v>753</v>
      </c>
      <c r="F1866" s="90" t="s">
        <v>854</v>
      </c>
      <c r="G1866" s="137">
        <v>11</v>
      </c>
      <c r="H1866" s="94">
        <v>954</v>
      </c>
      <c r="I1866" s="91">
        <v>45937</v>
      </c>
      <c r="J1866" s="165">
        <v>0.64444444444444449</v>
      </c>
      <c r="K1866" s="94">
        <v>954</v>
      </c>
      <c r="L1866" s="72" t="str">
        <f t="shared" si="29"/>
        <v>Payé</v>
      </c>
    </row>
    <row r="1867" spans="1:12" ht="15" customHeight="1" x14ac:dyDescent="0.25">
      <c r="A1867" s="90" t="s">
        <v>854</v>
      </c>
      <c r="B1867" s="90">
        <v>5336</v>
      </c>
      <c r="C1867" s="88" t="s">
        <v>1041</v>
      </c>
      <c r="D1867" s="90" t="s">
        <v>17</v>
      </c>
      <c r="E1867" s="90" t="s">
        <v>753</v>
      </c>
      <c r="F1867" s="90" t="s">
        <v>854</v>
      </c>
      <c r="G1867" s="137">
        <v>10</v>
      </c>
      <c r="H1867" s="94">
        <v>867</v>
      </c>
      <c r="I1867" s="91">
        <v>45937</v>
      </c>
      <c r="J1867" s="165">
        <v>0.64444444444444449</v>
      </c>
      <c r="K1867" s="94">
        <v>867</v>
      </c>
      <c r="L1867" s="72" t="str">
        <f t="shared" si="29"/>
        <v>Payé</v>
      </c>
    </row>
    <row r="1868" spans="1:12" ht="15" customHeight="1" x14ac:dyDescent="0.25">
      <c r="A1868" s="90" t="s">
        <v>854</v>
      </c>
      <c r="B1868" s="90">
        <v>5352</v>
      </c>
      <c r="C1868" s="88" t="s">
        <v>1087</v>
      </c>
      <c r="D1868" s="90" t="s">
        <v>17</v>
      </c>
      <c r="E1868" s="90" t="s">
        <v>753</v>
      </c>
      <c r="F1868" s="90" t="s">
        <v>854</v>
      </c>
      <c r="G1868" s="137">
        <v>2</v>
      </c>
      <c r="H1868" s="94">
        <v>173</v>
      </c>
      <c r="I1868" s="91">
        <v>45957</v>
      </c>
      <c r="J1868" s="165">
        <v>0.51874999999999993</v>
      </c>
      <c r="K1868" s="94">
        <v>173</v>
      </c>
      <c r="L1868" s="72" t="str">
        <f t="shared" si="29"/>
        <v>Payé</v>
      </c>
    </row>
    <row r="1869" spans="1:12" ht="15" customHeight="1" x14ac:dyDescent="0.25">
      <c r="A1869" s="90" t="s">
        <v>854</v>
      </c>
      <c r="B1869" s="90">
        <v>7091</v>
      </c>
      <c r="C1869" s="88" t="s">
        <v>1154</v>
      </c>
      <c r="D1869" s="90" t="s">
        <v>17</v>
      </c>
      <c r="E1869" s="90" t="s">
        <v>753</v>
      </c>
      <c r="F1869" s="90" t="s">
        <v>854</v>
      </c>
      <c r="G1869" s="137">
        <v>6</v>
      </c>
      <c r="H1869" s="94">
        <v>520</v>
      </c>
      <c r="I1869" s="91">
        <v>45939</v>
      </c>
      <c r="J1869" s="165">
        <v>0.45347222222222222</v>
      </c>
      <c r="K1869" s="94">
        <v>520</v>
      </c>
      <c r="L1869" s="72" t="str">
        <f t="shared" si="29"/>
        <v>Payé</v>
      </c>
    </row>
    <row r="1870" spans="1:12" ht="15" customHeight="1" x14ac:dyDescent="0.25">
      <c r="A1870" s="90" t="s">
        <v>854</v>
      </c>
      <c r="B1870" s="90">
        <v>10003</v>
      </c>
      <c r="C1870" s="88" t="s">
        <v>1129</v>
      </c>
      <c r="D1870" s="90" t="s">
        <v>17</v>
      </c>
      <c r="E1870" s="90" t="s">
        <v>753</v>
      </c>
      <c r="F1870" s="90" t="s">
        <v>854</v>
      </c>
      <c r="G1870" s="137">
        <v>9</v>
      </c>
      <c r="H1870" s="94">
        <v>781</v>
      </c>
      <c r="I1870" s="91">
        <v>45937</v>
      </c>
      <c r="J1870" s="165">
        <v>0.65208333333333335</v>
      </c>
      <c r="K1870" s="94">
        <v>781</v>
      </c>
      <c r="L1870" s="72" t="str">
        <f t="shared" si="29"/>
        <v>Payé</v>
      </c>
    </row>
    <row r="1871" spans="1:12" ht="15" customHeight="1" x14ac:dyDescent="0.25">
      <c r="A1871" s="90" t="s">
        <v>854</v>
      </c>
      <c r="B1871" s="90">
        <v>10010</v>
      </c>
      <c r="C1871" s="88" t="s">
        <v>1158</v>
      </c>
      <c r="D1871" s="90" t="s">
        <v>17</v>
      </c>
      <c r="E1871" s="90" t="s">
        <v>753</v>
      </c>
      <c r="F1871" s="90" t="s">
        <v>854</v>
      </c>
      <c r="G1871" s="137">
        <v>11</v>
      </c>
      <c r="H1871" s="94">
        <v>954</v>
      </c>
      <c r="I1871" s="91">
        <v>45937</v>
      </c>
      <c r="J1871" s="165">
        <v>0.64652777777777781</v>
      </c>
      <c r="K1871" s="94">
        <v>954</v>
      </c>
      <c r="L1871" s="72" t="str">
        <f t="shared" si="29"/>
        <v>Payé</v>
      </c>
    </row>
    <row r="1872" spans="1:12" ht="15" customHeight="1" x14ac:dyDescent="0.25">
      <c r="A1872" s="90" t="s">
        <v>854</v>
      </c>
      <c r="B1872" s="90">
        <v>10011</v>
      </c>
      <c r="C1872" s="88" t="s">
        <v>1159</v>
      </c>
      <c r="D1872" s="90" t="s">
        <v>17</v>
      </c>
      <c r="E1872" s="90" t="s">
        <v>753</v>
      </c>
      <c r="F1872" s="90" t="s">
        <v>854</v>
      </c>
      <c r="G1872" s="137">
        <v>2</v>
      </c>
      <c r="H1872" s="94">
        <v>173</v>
      </c>
      <c r="I1872" s="91">
        <v>45937</v>
      </c>
      <c r="J1872" s="165">
        <v>0.64652777777777781</v>
      </c>
      <c r="K1872" s="94">
        <v>173</v>
      </c>
      <c r="L1872" s="72" t="str">
        <f t="shared" si="29"/>
        <v>Payé</v>
      </c>
    </row>
    <row r="1873" spans="1:14" ht="15" customHeight="1" x14ac:dyDescent="0.25">
      <c r="A1873" s="90" t="s">
        <v>854</v>
      </c>
      <c r="B1873" s="90">
        <v>10012</v>
      </c>
      <c r="C1873" s="88" t="s">
        <v>1160</v>
      </c>
      <c r="D1873" s="90" t="s">
        <v>17</v>
      </c>
      <c r="E1873" s="90" t="s">
        <v>753</v>
      </c>
      <c r="F1873" s="90" t="s">
        <v>854</v>
      </c>
      <c r="G1873" s="137">
        <v>4</v>
      </c>
      <c r="H1873" s="94">
        <v>347</v>
      </c>
      <c r="I1873" s="91">
        <v>45938</v>
      </c>
      <c r="J1873" s="165">
        <v>0.625</v>
      </c>
      <c r="K1873" s="94">
        <v>347</v>
      </c>
      <c r="L1873" s="72" t="str">
        <f t="shared" si="29"/>
        <v>Payé</v>
      </c>
    </row>
    <row r="1874" spans="1:14" ht="15" customHeight="1" x14ac:dyDescent="0.25">
      <c r="A1874" s="90" t="s">
        <v>854</v>
      </c>
      <c r="B1874" s="90">
        <v>10016</v>
      </c>
      <c r="C1874" s="88" t="s">
        <v>1163</v>
      </c>
      <c r="D1874" s="90" t="s">
        <v>17</v>
      </c>
      <c r="E1874" s="90" t="s">
        <v>753</v>
      </c>
      <c r="F1874" s="90" t="s">
        <v>854</v>
      </c>
      <c r="G1874" s="137">
        <v>9</v>
      </c>
      <c r="H1874" s="94">
        <v>781</v>
      </c>
      <c r="I1874" s="91">
        <v>45937</v>
      </c>
      <c r="J1874" s="165">
        <v>0.66597222222222219</v>
      </c>
      <c r="K1874" s="94">
        <v>781</v>
      </c>
      <c r="L1874" s="72" t="str">
        <f t="shared" si="29"/>
        <v>Payé</v>
      </c>
    </row>
    <row r="1875" spans="1:14" ht="15" customHeight="1" x14ac:dyDescent="0.25">
      <c r="A1875" s="90" t="s">
        <v>854</v>
      </c>
      <c r="B1875" s="90">
        <v>10020</v>
      </c>
      <c r="C1875" s="88" t="s">
        <v>1166</v>
      </c>
      <c r="D1875" s="90" t="s">
        <v>17</v>
      </c>
      <c r="E1875" s="90" t="s">
        <v>753</v>
      </c>
      <c r="F1875" s="90" t="s">
        <v>854</v>
      </c>
      <c r="G1875" s="137">
        <v>9</v>
      </c>
      <c r="H1875" s="94">
        <v>781</v>
      </c>
      <c r="I1875" s="91">
        <v>45937</v>
      </c>
      <c r="J1875" s="165">
        <v>0.64652777777777781</v>
      </c>
      <c r="K1875" s="94">
        <v>781</v>
      </c>
      <c r="L1875" s="72" t="str">
        <f t="shared" si="29"/>
        <v>Payé</v>
      </c>
    </row>
    <row r="1876" spans="1:14" ht="15" customHeight="1" x14ac:dyDescent="0.25">
      <c r="A1876" s="90" t="s">
        <v>854</v>
      </c>
      <c r="B1876" s="90">
        <v>10030</v>
      </c>
      <c r="C1876" s="88" t="s">
        <v>1176</v>
      </c>
      <c r="D1876" s="90" t="s">
        <v>17</v>
      </c>
      <c r="E1876" s="90" t="s">
        <v>753</v>
      </c>
      <c r="F1876" s="90" t="s">
        <v>854</v>
      </c>
      <c r="G1876" s="137">
        <v>7</v>
      </c>
      <c r="H1876" s="94">
        <v>607</v>
      </c>
      <c r="I1876" s="91">
        <v>45937</v>
      </c>
      <c r="J1876" s="165">
        <v>0.64444444444444449</v>
      </c>
      <c r="K1876" s="94">
        <v>607</v>
      </c>
      <c r="L1876" s="72" t="str">
        <f t="shared" si="29"/>
        <v>Payé</v>
      </c>
    </row>
    <row r="1877" spans="1:14" ht="15" customHeight="1" x14ac:dyDescent="0.25">
      <c r="A1877" s="90" t="s">
        <v>854</v>
      </c>
      <c r="B1877" s="90">
        <v>10031</v>
      </c>
      <c r="C1877" s="88" t="s">
        <v>1177</v>
      </c>
      <c r="D1877" s="90" t="s">
        <v>17</v>
      </c>
      <c r="E1877" s="90" t="s">
        <v>753</v>
      </c>
      <c r="F1877" s="90" t="s">
        <v>854</v>
      </c>
      <c r="G1877" s="137">
        <v>7</v>
      </c>
      <c r="H1877" s="94">
        <v>607</v>
      </c>
      <c r="I1877" s="91">
        <v>45937</v>
      </c>
      <c r="J1877" s="165">
        <v>0.64444444444444449</v>
      </c>
      <c r="K1877" s="94">
        <v>607</v>
      </c>
      <c r="L1877" s="72" t="str">
        <f t="shared" si="29"/>
        <v>Payé</v>
      </c>
    </row>
    <row r="1878" spans="1:14" ht="15" customHeight="1" x14ac:dyDescent="0.25">
      <c r="A1878" s="90" t="s">
        <v>854</v>
      </c>
      <c r="B1878" s="90">
        <v>10032</v>
      </c>
      <c r="C1878" s="88" t="s">
        <v>1178</v>
      </c>
      <c r="D1878" s="90" t="s">
        <v>17</v>
      </c>
      <c r="E1878" s="90" t="s">
        <v>753</v>
      </c>
      <c r="F1878" s="90" t="s">
        <v>854</v>
      </c>
      <c r="G1878" s="137">
        <v>7</v>
      </c>
      <c r="H1878" s="94">
        <v>607</v>
      </c>
      <c r="I1878" s="91">
        <v>45938</v>
      </c>
      <c r="J1878" s="165">
        <v>0.60277777777777775</v>
      </c>
      <c r="K1878" s="94">
        <v>607</v>
      </c>
      <c r="L1878" s="72" t="str">
        <f t="shared" si="29"/>
        <v>Payé</v>
      </c>
    </row>
    <row r="1879" spans="1:14" ht="15" customHeight="1" x14ac:dyDescent="0.25">
      <c r="A1879" s="90" t="s">
        <v>854</v>
      </c>
      <c r="B1879" s="90">
        <v>10039</v>
      </c>
      <c r="C1879" s="88" t="s">
        <v>1183</v>
      </c>
      <c r="D1879" s="90" t="s">
        <v>17</v>
      </c>
      <c r="E1879" s="90" t="s">
        <v>753</v>
      </c>
      <c r="F1879" s="90" t="s">
        <v>854</v>
      </c>
      <c r="G1879" s="137">
        <v>2</v>
      </c>
      <c r="H1879" s="94">
        <v>173</v>
      </c>
      <c r="I1879" s="91">
        <v>45937</v>
      </c>
      <c r="J1879" s="165">
        <v>0.64444444444444449</v>
      </c>
      <c r="K1879" s="94">
        <v>173</v>
      </c>
      <c r="L1879" s="72" t="str">
        <f t="shared" si="29"/>
        <v>Payé</v>
      </c>
    </row>
    <row r="1880" spans="1:14" ht="15" customHeight="1" x14ac:dyDescent="0.25">
      <c r="A1880" s="139" t="s">
        <v>854</v>
      </c>
      <c r="B1880" s="139">
        <v>10042</v>
      </c>
      <c r="C1880" s="213" t="s">
        <v>1185</v>
      </c>
      <c r="D1880" s="139" t="s">
        <v>17</v>
      </c>
      <c r="E1880" s="139" t="s">
        <v>753</v>
      </c>
      <c r="F1880" s="139" t="s">
        <v>854</v>
      </c>
      <c r="G1880" s="140">
        <v>1</v>
      </c>
      <c r="H1880" s="141">
        <v>87</v>
      </c>
      <c r="I1880" s="167">
        <v>45941</v>
      </c>
      <c r="J1880" s="168">
        <v>0.60763888888888895</v>
      </c>
      <c r="K1880" s="141">
        <v>87</v>
      </c>
      <c r="L1880" s="142" t="str">
        <f t="shared" si="29"/>
        <v>Payé</v>
      </c>
      <c r="N1880" s="161"/>
    </row>
    <row r="1881" spans="1:14" ht="15" customHeight="1" x14ac:dyDescent="0.25">
      <c r="A1881" s="90" t="s">
        <v>854</v>
      </c>
      <c r="B1881" s="90" t="s">
        <v>1047</v>
      </c>
      <c r="C1881" s="88" t="s">
        <v>630</v>
      </c>
      <c r="D1881" s="89" t="s">
        <v>910</v>
      </c>
      <c r="E1881" s="90" t="s">
        <v>1047</v>
      </c>
      <c r="F1881" s="90" t="s">
        <v>854</v>
      </c>
      <c r="G1881" s="95">
        <v>279</v>
      </c>
      <c r="H1881" s="92">
        <v>6975</v>
      </c>
      <c r="I1881" s="91">
        <v>45936</v>
      </c>
      <c r="J1881" s="165">
        <v>0.7402777777777777</v>
      </c>
      <c r="K1881" s="92">
        <v>6975</v>
      </c>
      <c r="L1881" s="72" t="str">
        <f t="shared" si="29"/>
        <v>Payé</v>
      </c>
    </row>
    <row r="1882" spans="1:14" ht="15" customHeight="1" x14ac:dyDescent="0.25">
      <c r="A1882" s="90" t="s">
        <v>854</v>
      </c>
      <c r="B1882" s="90" t="s">
        <v>646</v>
      </c>
      <c r="C1882" s="88" t="s">
        <v>1188</v>
      </c>
      <c r="D1882" s="89" t="s">
        <v>910</v>
      </c>
      <c r="E1882" s="90" t="s">
        <v>646</v>
      </c>
      <c r="F1882" s="90" t="s">
        <v>854</v>
      </c>
      <c r="G1882" s="95">
        <v>150</v>
      </c>
      <c r="H1882" s="92">
        <v>3750</v>
      </c>
      <c r="I1882" s="91">
        <v>45936</v>
      </c>
      <c r="J1882" s="165">
        <v>0.71319444444444446</v>
      </c>
      <c r="K1882" s="92">
        <v>3750</v>
      </c>
      <c r="L1882" s="72" t="str">
        <f t="shared" si="29"/>
        <v>Payé</v>
      </c>
    </row>
    <row r="1883" spans="1:14" ht="15" customHeight="1" x14ac:dyDescent="0.25">
      <c r="A1883" s="90" t="s">
        <v>854</v>
      </c>
      <c r="B1883" s="90" t="s">
        <v>646</v>
      </c>
      <c r="C1883" s="88" t="s">
        <v>1190</v>
      </c>
      <c r="D1883" s="89" t="s">
        <v>910</v>
      </c>
      <c r="E1883" s="90" t="s">
        <v>646</v>
      </c>
      <c r="F1883" s="90" t="s">
        <v>854</v>
      </c>
      <c r="G1883" s="95">
        <v>257</v>
      </c>
      <c r="H1883" s="92">
        <v>6425</v>
      </c>
      <c r="I1883" s="91">
        <v>45936</v>
      </c>
      <c r="J1883" s="165">
        <v>0.70416666666666661</v>
      </c>
      <c r="K1883" s="92">
        <v>6425</v>
      </c>
      <c r="L1883" s="72" t="str">
        <f t="shared" si="29"/>
        <v>Payé</v>
      </c>
    </row>
    <row r="1884" spans="1:14" ht="15" customHeight="1" x14ac:dyDescent="0.25">
      <c r="A1884" s="90" t="s">
        <v>854</v>
      </c>
      <c r="B1884" s="90">
        <v>1379</v>
      </c>
      <c r="C1884" s="88" t="s">
        <v>1142</v>
      </c>
      <c r="D1884" s="90" t="s">
        <v>17</v>
      </c>
      <c r="E1884" s="90" t="s">
        <v>1187</v>
      </c>
      <c r="F1884" s="90" t="s">
        <v>854</v>
      </c>
      <c r="G1884" s="137">
        <v>2</v>
      </c>
      <c r="H1884" s="94">
        <v>173</v>
      </c>
      <c r="I1884" s="91">
        <v>45937</v>
      </c>
      <c r="J1884" s="165">
        <v>0.69791666666666663</v>
      </c>
      <c r="K1884" s="94">
        <v>173</v>
      </c>
      <c r="L1884" s="72" t="str">
        <f t="shared" si="29"/>
        <v>Payé</v>
      </c>
    </row>
    <row r="1885" spans="1:14" ht="15" customHeight="1" x14ac:dyDescent="0.25">
      <c r="A1885" s="90" t="s">
        <v>854</v>
      </c>
      <c r="B1885" s="90">
        <v>1505</v>
      </c>
      <c r="C1885" s="88" t="s">
        <v>383</v>
      </c>
      <c r="D1885" s="90" t="s">
        <v>17</v>
      </c>
      <c r="E1885" s="90" t="s">
        <v>1187</v>
      </c>
      <c r="F1885" s="90" t="s">
        <v>854</v>
      </c>
      <c r="G1885" s="137">
        <v>13</v>
      </c>
      <c r="H1885" s="94">
        <v>1128</v>
      </c>
      <c r="I1885" s="91">
        <v>45936</v>
      </c>
      <c r="J1885" s="165">
        <v>0.69930555555555562</v>
      </c>
      <c r="K1885" s="94">
        <v>1128</v>
      </c>
      <c r="L1885" s="72" t="str">
        <f t="shared" si="29"/>
        <v>Payé</v>
      </c>
    </row>
    <row r="1886" spans="1:14" ht="15" customHeight="1" x14ac:dyDescent="0.25">
      <c r="A1886" s="90" t="s">
        <v>854</v>
      </c>
      <c r="B1886" s="90">
        <v>3534</v>
      </c>
      <c r="C1886" s="88" t="s">
        <v>563</v>
      </c>
      <c r="D1886" s="90" t="s">
        <v>17</v>
      </c>
      <c r="E1886" s="90" t="s">
        <v>1187</v>
      </c>
      <c r="F1886" s="90" t="s">
        <v>854</v>
      </c>
      <c r="G1886" s="137">
        <v>13</v>
      </c>
      <c r="H1886" s="94">
        <v>1128</v>
      </c>
      <c r="I1886" s="91">
        <v>45936</v>
      </c>
      <c r="J1886" s="165">
        <v>0.69930555555555562</v>
      </c>
      <c r="K1886" s="94">
        <v>1128</v>
      </c>
      <c r="L1886" s="72" t="str">
        <f t="shared" ref="L1886:L1949" si="30">IF(ISBLANK(H1886),"",IF(H1886=K1886,"Payé","Impayé"))</f>
        <v>Payé</v>
      </c>
    </row>
    <row r="1887" spans="1:14" ht="15" customHeight="1" x14ac:dyDescent="0.25">
      <c r="A1887" s="90" t="s">
        <v>854</v>
      </c>
      <c r="B1887" s="90">
        <v>3535</v>
      </c>
      <c r="C1887" s="88" t="s">
        <v>564</v>
      </c>
      <c r="D1887" s="90" t="s">
        <v>17</v>
      </c>
      <c r="E1887" s="90" t="s">
        <v>1187</v>
      </c>
      <c r="F1887" s="90" t="s">
        <v>854</v>
      </c>
      <c r="G1887" s="137">
        <v>12</v>
      </c>
      <c r="H1887" s="94">
        <v>1041</v>
      </c>
      <c r="I1887" s="91">
        <v>45936</v>
      </c>
      <c r="J1887" s="165">
        <v>0.69930555555555562</v>
      </c>
      <c r="K1887" s="94">
        <v>1041</v>
      </c>
      <c r="L1887" s="72" t="str">
        <f t="shared" si="30"/>
        <v>Payé</v>
      </c>
    </row>
    <row r="1888" spans="1:14" ht="15" customHeight="1" x14ac:dyDescent="0.25">
      <c r="A1888" s="90" t="s">
        <v>854</v>
      </c>
      <c r="B1888" s="90">
        <v>3725</v>
      </c>
      <c r="C1888" s="88" t="s">
        <v>569</v>
      </c>
      <c r="D1888" s="90" t="s">
        <v>17</v>
      </c>
      <c r="E1888" s="90" t="s">
        <v>1187</v>
      </c>
      <c r="F1888" s="90" t="s">
        <v>854</v>
      </c>
      <c r="G1888" s="137">
        <v>12</v>
      </c>
      <c r="H1888" s="94">
        <v>1061</v>
      </c>
      <c r="I1888" s="91">
        <v>45937</v>
      </c>
      <c r="J1888" s="165">
        <v>0.69791666666666663</v>
      </c>
      <c r="K1888" s="94">
        <v>1061</v>
      </c>
      <c r="L1888" s="72" t="str">
        <f t="shared" si="30"/>
        <v>Payé</v>
      </c>
    </row>
    <row r="1889" spans="1:12" ht="15" customHeight="1" x14ac:dyDescent="0.25">
      <c r="A1889" s="90" t="s">
        <v>854</v>
      </c>
      <c r="B1889" s="90">
        <v>3825</v>
      </c>
      <c r="C1889" s="88" t="s">
        <v>574</v>
      </c>
      <c r="D1889" s="90" t="s">
        <v>17</v>
      </c>
      <c r="E1889" s="90" t="s">
        <v>1187</v>
      </c>
      <c r="F1889" s="90" t="s">
        <v>854</v>
      </c>
      <c r="G1889" s="137">
        <v>12</v>
      </c>
      <c r="H1889" s="94">
        <v>1061</v>
      </c>
      <c r="I1889" s="91">
        <v>45936</v>
      </c>
      <c r="J1889" s="165">
        <v>0.69930555555555562</v>
      </c>
      <c r="K1889" s="94">
        <v>1061</v>
      </c>
      <c r="L1889" s="72" t="str">
        <f t="shared" si="30"/>
        <v>Payé</v>
      </c>
    </row>
    <row r="1890" spans="1:12" ht="15" customHeight="1" x14ac:dyDescent="0.25">
      <c r="A1890" s="90" t="s">
        <v>854</v>
      </c>
      <c r="B1890" s="90">
        <v>3947</v>
      </c>
      <c r="C1890" s="88" t="s">
        <v>576</v>
      </c>
      <c r="D1890" s="90" t="s">
        <v>17</v>
      </c>
      <c r="E1890" s="90" t="s">
        <v>1187</v>
      </c>
      <c r="F1890" s="90" t="s">
        <v>854</v>
      </c>
      <c r="G1890" s="137">
        <v>11</v>
      </c>
      <c r="H1890" s="94">
        <v>954</v>
      </c>
      <c r="I1890" s="91">
        <v>45936</v>
      </c>
      <c r="J1890" s="165">
        <v>0.69930555555555562</v>
      </c>
      <c r="K1890" s="94">
        <v>954</v>
      </c>
      <c r="L1890" s="72" t="str">
        <f t="shared" si="30"/>
        <v>Payé</v>
      </c>
    </row>
    <row r="1891" spans="1:12" ht="15" customHeight="1" x14ac:dyDescent="0.25">
      <c r="A1891" s="90" t="s">
        <v>854</v>
      </c>
      <c r="B1891" s="90">
        <v>4405</v>
      </c>
      <c r="C1891" s="88" t="s">
        <v>688</v>
      </c>
      <c r="D1891" s="90" t="s">
        <v>17</v>
      </c>
      <c r="E1891" s="90" t="s">
        <v>1187</v>
      </c>
      <c r="F1891" s="90" t="s">
        <v>854</v>
      </c>
      <c r="G1891" s="137">
        <v>8</v>
      </c>
      <c r="H1891" s="94">
        <v>714</v>
      </c>
      <c r="I1891" s="91">
        <v>45936</v>
      </c>
      <c r="J1891" s="165">
        <v>0.69930555555555562</v>
      </c>
      <c r="K1891" s="94">
        <v>714</v>
      </c>
      <c r="L1891" s="72" t="str">
        <f t="shared" si="30"/>
        <v>Payé</v>
      </c>
    </row>
    <row r="1892" spans="1:12" ht="15" customHeight="1" x14ac:dyDescent="0.25">
      <c r="A1892" s="90" t="s">
        <v>854</v>
      </c>
      <c r="B1892" s="90">
        <v>5257</v>
      </c>
      <c r="C1892" s="88" t="s">
        <v>907</v>
      </c>
      <c r="D1892" s="90" t="s">
        <v>17</v>
      </c>
      <c r="E1892" s="90" t="s">
        <v>1187</v>
      </c>
      <c r="F1892" s="90" t="s">
        <v>854</v>
      </c>
      <c r="G1892" s="137">
        <v>7</v>
      </c>
      <c r="H1892" s="94">
        <v>627</v>
      </c>
      <c r="I1892" s="91">
        <v>45936</v>
      </c>
      <c r="J1892" s="165">
        <v>0.69930555555555562</v>
      </c>
      <c r="K1892" s="94">
        <v>627</v>
      </c>
      <c r="L1892" s="72" t="str">
        <f t="shared" si="30"/>
        <v>Payé</v>
      </c>
    </row>
    <row r="1893" spans="1:12" ht="15" customHeight="1" x14ac:dyDescent="0.25">
      <c r="A1893" s="90" t="s">
        <v>854</v>
      </c>
      <c r="B1893" s="90">
        <v>5269</v>
      </c>
      <c r="C1893" s="88" t="s">
        <v>925</v>
      </c>
      <c r="D1893" s="90" t="s">
        <v>17</v>
      </c>
      <c r="E1893" s="90" t="s">
        <v>1187</v>
      </c>
      <c r="F1893" s="90" t="s">
        <v>854</v>
      </c>
      <c r="G1893" s="137">
        <v>10</v>
      </c>
      <c r="H1893" s="94">
        <v>867</v>
      </c>
      <c r="I1893" s="91">
        <v>45938</v>
      </c>
      <c r="J1893" s="165">
        <v>0.70208333333333339</v>
      </c>
      <c r="K1893" s="94">
        <v>867</v>
      </c>
      <c r="L1893" s="72" t="str">
        <f t="shared" si="30"/>
        <v>Payé</v>
      </c>
    </row>
    <row r="1894" spans="1:12" ht="15" customHeight="1" x14ac:dyDescent="0.25">
      <c r="A1894" s="90" t="s">
        <v>854</v>
      </c>
      <c r="B1894" s="90">
        <v>5278</v>
      </c>
      <c r="C1894" s="88" t="s">
        <v>932</v>
      </c>
      <c r="D1894" s="90" t="s">
        <v>17</v>
      </c>
      <c r="E1894" s="90" t="s">
        <v>1187</v>
      </c>
      <c r="F1894" s="90" t="s">
        <v>854</v>
      </c>
      <c r="G1894" s="137">
        <v>1</v>
      </c>
      <c r="H1894" s="94">
        <v>87</v>
      </c>
      <c r="I1894" s="91">
        <v>45936</v>
      </c>
      <c r="J1894" s="165">
        <v>0.69930555555555562</v>
      </c>
      <c r="K1894" s="94">
        <v>87</v>
      </c>
      <c r="L1894" s="72" t="str">
        <f t="shared" si="30"/>
        <v>Payé</v>
      </c>
    </row>
    <row r="1895" spans="1:12" ht="15" customHeight="1" x14ac:dyDescent="0.25">
      <c r="A1895" s="90" t="s">
        <v>854</v>
      </c>
      <c r="B1895" s="90">
        <v>5292</v>
      </c>
      <c r="C1895" s="88" t="s">
        <v>1003</v>
      </c>
      <c r="D1895" s="90" t="s">
        <v>17</v>
      </c>
      <c r="E1895" s="90" t="s">
        <v>1187</v>
      </c>
      <c r="F1895" s="90" t="s">
        <v>854</v>
      </c>
      <c r="G1895" s="137">
        <v>9</v>
      </c>
      <c r="H1895" s="94">
        <v>781</v>
      </c>
      <c r="I1895" s="91">
        <v>45937</v>
      </c>
      <c r="J1895" s="165">
        <v>0.69791666666666663</v>
      </c>
      <c r="K1895" s="94">
        <v>781</v>
      </c>
      <c r="L1895" s="72" t="str">
        <f t="shared" si="30"/>
        <v>Payé</v>
      </c>
    </row>
    <row r="1896" spans="1:12" ht="15" customHeight="1" x14ac:dyDescent="0.25">
      <c r="A1896" s="90" t="s">
        <v>854</v>
      </c>
      <c r="B1896" s="90">
        <v>7012</v>
      </c>
      <c r="C1896" s="88" t="s">
        <v>724</v>
      </c>
      <c r="D1896" s="90" t="s">
        <v>17</v>
      </c>
      <c r="E1896" s="90" t="s">
        <v>1187</v>
      </c>
      <c r="F1896" s="90" t="s">
        <v>854</v>
      </c>
      <c r="G1896" s="137">
        <v>13</v>
      </c>
      <c r="H1896" s="94">
        <v>1128</v>
      </c>
      <c r="I1896" s="91">
        <v>45936</v>
      </c>
      <c r="J1896" s="165">
        <v>0.69930555555555562</v>
      </c>
      <c r="K1896" s="94">
        <v>1128</v>
      </c>
      <c r="L1896" s="72" t="str">
        <f t="shared" si="30"/>
        <v>Payé</v>
      </c>
    </row>
    <row r="1897" spans="1:12" ht="15" customHeight="1" x14ac:dyDescent="0.25">
      <c r="A1897" s="90" t="s">
        <v>854</v>
      </c>
      <c r="B1897" s="90">
        <v>10013</v>
      </c>
      <c r="C1897" s="88" t="s">
        <v>1161</v>
      </c>
      <c r="D1897" s="90" t="s">
        <v>17</v>
      </c>
      <c r="E1897" s="90" t="s">
        <v>1187</v>
      </c>
      <c r="F1897" s="90" t="s">
        <v>854</v>
      </c>
      <c r="G1897" s="137">
        <v>5</v>
      </c>
      <c r="H1897" s="94">
        <v>434</v>
      </c>
      <c r="I1897" s="91">
        <v>45939</v>
      </c>
      <c r="J1897" s="165">
        <v>0.3979166666666667</v>
      </c>
      <c r="K1897" s="94">
        <v>434</v>
      </c>
      <c r="L1897" s="72" t="str">
        <f t="shared" si="30"/>
        <v>Payé</v>
      </c>
    </row>
    <row r="1898" spans="1:12" ht="15" customHeight="1" x14ac:dyDescent="0.25">
      <c r="A1898" s="90" t="s">
        <v>854</v>
      </c>
      <c r="B1898" s="90">
        <v>10029</v>
      </c>
      <c r="C1898" s="88" t="s">
        <v>1175</v>
      </c>
      <c r="D1898" s="90" t="s">
        <v>17</v>
      </c>
      <c r="E1898" s="90" t="s">
        <v>1187</v>
      </c>
      <c r="F1898" s="90" t="s">
        <v>854</v>
      </c>
      <c r="G1898" s="137">
        <v>7</v>
      </c>
      <c r="H1898" s="94">
        <v>607</v>
      </c>
      <c r="I1898" s="91">
        <v>45936</v>
      </c>
      <c r="J1898" s="165">
        <v>0.69930555555555562</v>
      </c>
      <c r="K1898" s="94">
        <v>607</v>
      </c>
      <c r="L1898" s="72" t="str">
        <f t="shared" si="30"/>
        <v>Payé</v>
      </c>
    </row>
    <row r="1899" spans="1:12" ht="15" customHeight="1" x14ac:dyDescent="0.25">
      <c r="A1899" s="90" t="s">
        <v>854</v>
      </c>
      <c r="B1899" s="90">
        <v>10040</v>
      </c>
      <c r="C1899" s="88" t="s">
        <v>1184</v>
      </c>
      <c r="D1899" s="90" t="s">
        <v>17</v>
      </c>
      <c r="E1899" s="90" t="s">
        <v>1187</v>
      </c>
      <c r="F1899" s="90" t="s">
        <v>854</v>
      </c>
      <c r="G1899" s="137">
        <v>1</v>
      </c>
      <c r="H1899" s="94">
        <v>87</v>
      </c>
      <c r="I1899" s="91">
        <v>45936</v>
      </c>
      <c r="J1899" s="165">
        <v>0.69930555555555562</v>
      </c>
      <c r="K1899" s="94">
        <v>87</v>
      </c>
      <c r="L1899" s="72" t="str">
        <f t="shared" si="30"/>
        <v>Payé</v>
      </c>
    </row>
    <row r="1900" spans="1:12" ht="15" customHeight="1" x14ac:dyDescent="0.25">
      <c r="A1900" s="90" t="s">
        <v>854</v>
      </c>
      <c r="B1900" s="90">
        <v>5326</v>
      </c>
      <c r="C1900" s="88" t="s">
        <v>1032</v>
      </c>
      <c r="D1900" s="90" t="s">
        <v>17</v>
      </c>
      <c r="E1900" s="90" t="s">
        <v>944</v>
      </c>
      <c r="F1900" s="90" t="s">
        <v>854</v>
      </c>
      <c r="G1900" s="137">
        <v>1</v>
      </c>
      <c r="H1900" s="94">
        <v>87</v>
      </c>
      <c r="I1900" s="91">
        <v>46001</v>
      </c>
      <c r="J1900" s="165">
        <v>0.55277777777777781</v>
      </c>
      <c r="K1900" s="94">
        <v>87</v>
      </c>
      <c r="L1900" s="72" t="str">
        <f t="shared" si="30"/>
        <v>Payé</v>
      </c>
    </row>
    <row r="1901" spans="1:12" ht="15" customHeight="1" x14ac:dyDescent="0.25">
      <c r="A1901" s="90" t="s">
        <v>854</v>
      </c>
      <c r="B1901" s="90">
        <v>2089</v>
      </c>
      <c r="C1901" s="88" t="s">
        <v>966</v>
      </c>
      <c r="D1901" s="90" t="s">
        <v>17</v>
      </c>
      <c r="E1901" s="90" t="s">
        <v>944</v>
      </c>
      <c r="F1901" s="90" t="s">
        <v>854</v>
      </c>
      <c r="G1901" s="137">
        <v>1</v>
      </c>
      <c r="H1901" s="94">
        <v>87</v>
      </c>
      <c r="I1901" s="91"/>
      <c r="J1901" s="165"/>
      <c r="K1901" s="92"/>
      <c r="L1901" s="72" t="str">
        <f t="shared" si="30"/>
        <v>Impayé</v>
      </c>
    </row>
    <row r="1902" spans="1:12" ht="15" customHeight="1" x14ac:dyDescent="0.25">
      <c r="A1902" s="90" t="s">
        <v>854</v>
      </c>
      <c r="B1902" s="90">
        <v>5283</v>
      </c>
      <c r="C1902" s="88" t="s">
        <v>936</v>
      </c>
      <c r="D1902" s="90" t="s">
        <v>17</v>
      </c>
      <c r="E1902" s="90" t="s">
        <v>944</v>
      </c>
      <c r="F1902" s="90" t="s">
        <v>854</v>
      </c>
      <c r="G1902" s="137">
        <v>1</v>
      </c>
      <c r="H1902" s="94">
        <v>87</v>
      </c>
      <c r="I1902" s="91"/>
      <c r="J1902" s="165"/>
      <c r="K1902" s="92"/>
      <c r="L1902" s="72" t="str">
        <f t="shared" si="30"/>
        <v>Impayé</v>
      </c>
    </row>
    <row r="1903" spans="1:12" ht="15" customHeight="1" x14ac:dyDescent="0.25">
      <c r="A1903" s="90" t="s">
        <v>854</v>
      </c>
      <c r="B1903" s="90">
        <v>5289</v>
      </c>
      <c r="C1903" s="88" t="s">
        <v>1001</v>
      </c>
      <c r="D1903" s="90" t="s">
        <v>17</v>
      </c>
      <c r="E1903" s="90" t="s">
        <v>944</v>
      </c>
      <c r="F1903" s="90" t="s">
        <v>854</v>
      </c>
      <c r="G1903" s="137">
        <v>1</v>
      </c>
      <c r="H1903" s="94">
        <v>87</v>
      </c>
      <c r="I1903" s="91"/>
      <c r="J1903" s="165"/>
      <c r="K1903" s="92"/>
      <c r="L1903" s="72" t="str">
        <f t="shared" si="30"/>
        <v>Impayé</v>
      </c>
    </row>
    <row r="1904" spans="1:12" ht="15" customHeight="1" x14ac:dyDescent="0.25">
      <c r="A1904" s="90" t="s">
        <v>854</v>
      </c>
      <c r="B1904" s="90">
        <v>5306</v>
      </c>
      <c r="C1904" s="88" t="s">
        <v>1017</v>
      </c>
      <c r="D1904" s="90" t="s">
        <v>17</v>
      </c>
      <c r="E1904" s="90" t="s">
        <v>944</v>
      </c>
      <c r="F1904" s="90" t="s">
        <v>854</v>
      </c>
      <c r="G1904" s="137">
        <v>1</v>
      </c>
      <c r="H1904" s="94">
        <v>87</v>
      </c>
      <c r="I1904" s="91"/>
      <c r="J1904" s="165"/>
      <c r="K1904" s="92"/>
      <c r="L1904" s="72" t="str">
        <f t="shared" si="30"/>
        <v>Impayé</v>
      </c>
    </row>
    <row r="1905" spans="1:12" ht="15" customHeight="1" x14ac:dyDescent="0.25">
      <c r="A1905" s="90" t="s">
        <v>854</v>
      </c>
      <c r="B1905" s="90">
        <v>5360</v>
      </c>
      <c r="C1905" s="88" t="s">
        <v>1094</v>
      </c>
      <c r="D1905" s="90" t="s">
        <v>17</v>
      </c>
      <c r="E1905" s="90" t="s">
        <v>944</v>
      </c>
      <c r="F1905" s="90" t="s">
        <v>854</v>
      </c>
      <c r="G1905" s="137">
        <v>1</v>
      </c>
      <c r="H1905" s="94">
        <v>87</v>
      </c>
      <c r="I1905" s="91"/>
      <c r="J1905" s="165"/>
      <c r="K1905" s="92"/>
      <c r="L1905" s="72" t="str">
        <f t="shared" si="30"/>
        <v>Impayé</v>
      </c>
    </row>
    <row r="1906" spans="1:12" ht="15" customHeight="1" x14ac:dyDescent="0.25">
      <c r="A1906" s="90" t="s">
        <v>854</v>
      </c>
      <c r="B1906" s="90">
        <v>5332</v>
      </c>
      <c r="C1906" s="88" t="s">
        <v>1151</v>
      </c>
      <c r="D1906" s="90" t="s">
        <v>17</v>
      </c>
      <c r="E1906" s="90" t="s">
        <v>254</v>
      </c>
      <c r="F1906" s="90" t="s">
        <v>854</v>
      </c>
      <c r="G1906" s="137">
        <v>1</v>
      </c>
      <c r="H1906" s="94">
        <v>87</v>
      </c>
      <c r="I1906" s="91"/>
      <c r="J1906" s="165"/>
      <c r="K1906" s="92"/>
      <c r="L1906" s="72" t="str">
        <f t="shared" si="30"/>
        <v>Impayé</v>
      </c>
    </row>
    <row r="1907" spans="1:12" ht="15" customHeight="1" x14ac:dyDescent="0.25">
      <c r="A1907" s="90" t="s">
        <v>854</v>
      </c>
      <c r="B1907" s="90">
        <v>2704</v>
      </c>
      <c r="C1907" s="88" t="s">
        <v>692</v>
      </c>
      <c r="D1907" s="90" t="s">
        <v>17</v>
      </c>
      <c r="E1907" s="90" t="s">
        <v>49</v>
      </c>
      <c r="F1907" s="90" t="s">
        <v>854</v>
      </c>
      <c r="G1907" s="137">
        <v>4</v>
      </c>
      <c r="H1907" s="94">
        <v>347</v>
      </c>
      <c r="I1907" s="91">
        <v>45937</v>
      </c>
      <c r="J1907" s="165">
        <v>0.7055555555555556</v>
      </c>
      <c r="K1907" s="94">
        <v>347</v>
      </c>
      <c r="L1907" s="72" t="str">
        <f t="shared" si="30"/>
        <v>Payé</v>
      </c>
    </row>
    <row r="1908" spans="1:12" ht="15" customHeight="1" x14ac:dyDescent="0.25">
      <c r="A1908" s="90" t="s">
        <v>854</v>
      </c>
      <c r="B1908" s="90">
        <v>3246</v>
      </c>
      <c r="C1908" s="88" t="s">
        <v>555</v>
      </c>
      <c r="D1908" s="90" t="s">
        <v>17</v>
      </c>
      <c r="E1908" s="90" t="s">
        <v>49</v>
      </c>
      <c r="F1908" s="90" t="s">
        <v>854</v>
      </c>
      <c r="G1908" s="137">
        <v>12</v>
      </c>
      <c r="H1908" s="94">
        <v>1041</v>
      </c>
      <c r="I1908" s="91">
        <v>45936</v>
      </c>
      <c r="J1908" s="165">
        <v>0.71111111111111114</v>
      </c>
      <c r="K1908" s="94">
        <v>1041</v>
      </c>
      <c r="L1908" s="72" t="str">
        <f t="shared" si="30"/>
        <v>Payé</v>
      </c>
    </row>
    <row r="1909" spans="1:12" ht="15" customHeight="1" x14ac:dyDescent="0.25">
      <c r="A1909" s="90" t="s">
        <v>854</v>
      </c>
      <c r="B1909" s="90">
        <v>3439</v>
      </c>
      <c r="C1909" s="88" t="s">
        <v>875</v>
      </c>
      <c r="D1909" s="90" t="s">
        <v>17</v>
      </c>
      <c r="E1909" s="90" t="s">
        <v>49</v>
      </c>
      <c r="F1909" s="90" t="s">
        <v>854</v>
      </c>
      <c r="G1909" s="137">
        <v>5</v>
      </c>
      <c r="H1909" s="94">
        <v>434</v>
      </c>
      <c r="I1909" s="91">
        <v>45943</v>
      </c>
      <c r="J1909" s="165">
        <v>0.67499999999999993</v>
      </c>
      <c r="K1909" s="94">
        <v>434</v>
      </c>
      <c r="L1909" s="72" t="str">
        <f t="shared" si="30"/>
        <v>Payé</v>
      </c>
    </row>
    <row r="1910" spans="1:12" ht="15" customHeight="1" x14ac:dyDescent="0.25">
      <c r="A1910" s="90" t="s">
        <v>854</v>
      </c>
      <c r="B1910" s="90">
        <v>3440</v>
      </c>
      <c r="C1910" s="88" t="s">
        <v>561</v>
      </c>
      <c r="D1910" s="90" t="s">
        <v>17</v>
      </c>
      <c r="E1910" s="90" t="s">
        <v>49</v>
      </c>
      <c r="F1910" s="90" t="s">
        <v>854</v>
      </c>
      <c r="G1910" s="137">
        <v>11</v>
      </c>
      <c r="H1910" s="94">
        <v>954</v>
      </c>
      <c r="I1910" s="91">
        <v>45936</v>
      </c>
      <c r="J1910" s="165">
        <v>0.71111111111111114</v>
      </c>
      <c r="K1910" s="94">
        <v>954</v>
      </c>
      <c r="L1910" s="72" t="str">
        <f t="shared" si="30"/>
        <v>Payé</v>
      </c>
    </row>
    <row r="1911" spans="1:12" ht="15" customHeight="1" x14ac:dyDescent="0.25">
      <c r="A1911" s="90" t="s">
        <v>854</v>
      </c>
      <c r="B1911" s="90">
        <v>3507</v>
      </c>
      <c r="C1911" s="88" t="s">
        <v>562</v>
      </c>
      <c r="D1911" s="90" t="s">
        <v>17</v>
      </c>
      <c r="E1911" s="90" t="s">
        <v>49</v>
      </c>
      <c r="F1911" s="90" t="s">
        <v>854</v>
      </c>
      <c r="G1911" s="137">
        <v>10</v>
      </c>
      <c r="H1911" s="94">
        <v>867</v>
      </c>
      <c r="I1911" s="91">
        <v>45936</v>
      </c>
      <c r="J1911" s="165">
        <v>0.69236111111111109</v>
      </c>
      <c r="K1911" s="94">
        <v>867</v>
      </c>
      <c r="L1911" s="72" t="str">
        <f t="shared" si="30"/>
        <v>Payé</v>
      </c>
    </row>
    <row r="1912" spans="1:12" ht="15" customHeight="1" x14ac:dyDescent="0.25">
      <c r="A1912" s="90" t="s">
        <v>854</v>
      </c>
      <c r="B1912" s="90">
        <v>3751</v>
      </c>
      <c r="C1912" s="88" t="s">
        <v>571</v>
      </c>
      <c r="D1912" s="90" t="s">
        <v>17</v>
      </c>
      <c r="E1912" s="90" t="s">
        <v>49</v>
      </c>
      <c r="F1912" s="90" t="s">
        <v>854</v>
      </c>
      <c r="G1912" s="137">
        <v>9</v>
      </c>
      <c r="H1912" s="94">
        <v>781</v>
      </c>
      <c r="I1912" s="91">
        <v>45936</v>
      </c>
      <c r="J1912" s="165">
        <v>0.71111111111111114</v>
      </c>
      <c r="K1912" s="94">
        <v>781</v>
      </c>
      <c r="L1912" s="72" t="str">
        <f t="shared" si="30"/>
        <v>Payé</v>
      </c>
    </row>
    <row r="1913" spans="1:12" ht="15" customHeight="1" x14ac:dyDescent="0.25">
      <c r="A1913" s="90" t="s">
        <v>854</v>
      </c>
      <c r="B1913" s="90">
        <v>3760</v>
      </c>
      <c r="C1913" s="88" t="s">
        <v>465</v>
      </c>
      <c r="D1913" s="90" t="s">
        <v>17</v>
      </c>
      <c r="E1913" s="90" t="s">
        <v>49</v>
      </c>
      <c r="F1913" s="90" t="s">
        <v>854</v>
      </c>
      <c r="G1913" s="137">
        <v>7</v>
      </c>
      <c r="H1913" s="94">
        <v>607</v>
      </c>
      <c r="I1913" s="91">
        <v>45937</v>
      </c>
      <c r="J1913" s="165">
        <v>0.69305555555555554</v>
      </c>
      <c r="K1913" s="94">
        <v>607</v>
      </c>
      <c r="L1913" s="72" t="str">
        <f t="shared" si="30"/>
        <v>Payé</v>
      </c>
    </row>
    <row r="1914" spans="1:12" ht="15" customHeight="1" x14ac:dyDescent="0.25">
      <c r="A1914" s="90" t="s">
        <v>854</v>
      </c>
      <c r="B1914" s="90">
        <v>4130</v>
      </c>
      <c r="C1914" s="88" t="s">
        <v>1148</v>
      </c>
      <c r="D1914" s="90" t="s">
        <v>17</v>
      </c>
      <c r="E1914" s="90" t="s">
        <v>49</v>
      </c>
      <c r="F1914" s="90" t="s">
        <v>854</v>
      </c>
      <c r="G1914" s="137">
        <v>2</v>
      </c>
      <c r="H1914" s="94">
        <v>173</v>
      </c>
      <c r="I1914" s="91">
        <v>45936</v>
      </c>
      <c r="J1914" s="165">
        <v>0.71111111111111114</v>
      </c>
      <c r="K1914" s="94">
        <v>173</v>
      </c>
      <c r="L1914" s="72" t="str">
        <f t="shared" si="30"/>
        <v>Payé</v>
      </c>
    </row>
    <row r="1915" spans="1:12" ht="15" customHeight="1" x14ac:dyDescent="0.25">
      <c r="A1915" s="90" t="s">
        <v>854</v>
      </c>
      <c r="B1915" s="90">
        <v>4429</v>
      </c>
      <c r="C1915" s="88" t="s">
        <v>1149</v>
      </c>
      <c r="D1915" s="90" t="s">
        <v>17</v>
      </c>
      <c r="E1915" s="90" t="s">
        <v>49</v>
      </c>
      <c r="F1915" s="90" t="s">
        <v>854</v>
      </c>
      <c r="G1915" s="137">
        <v>9</v>
      </c>
      <c r="H1915" s="94">
        <v>781</v>
      </c>
      <c r="I1915" s="91">
        <v>45936</v>
      </c>
      <c r="J1915" s="165">
        <v>0.71111111111111114</v>
      </c>
      <c r="K1915" s="94">
        <v>781</v>
      </c>
      <c r="L1915" s="72" t="str">
        <f t="shared" si="30"/>
        <v>Payé</v>
      </c>
    </row>
    <row r="1916" spans="1:12" ht="15" customHeight="1" x14ac:dyDescent="0.25">
      <c r="A1916" s="90" t="s">
        <v>854</v>
      </c>
      <c r="B1916" s="90">
        <v>4840</v>
      </c>
      <c r="C1916" s="88" t="s">
        <v>766</v>
      </c>
      <c r="D1916" s="90" t="s">
        <v>17</v>
      </c>
      <c r="E1916" s="90" t="s">
        <v>49</v>
      </c>
      <c r="F1916" s="90" t="s">
        <v>854</v>
      </c>
      <c r="G1916" s="137">
        <v>11</v>
      </c>
      <c r="H1916" s="94">
        <v>954</v>
      </c>
      <c r="I1916" s="91">
        <v>45936</v>
      </c>
      <c r="J1916" s="165">
        <v>0.71111111111111114</v>
      </c>
      <c r="K1916" s="94">
        <v>954</v>
      </c>
      <c r="L1916" s="72" t="str">
        <f t="shared" si="30"/>
        <v>Payé</v>
      </c>
    </row>
    <row r="1917" spans="1:12" ht="15" customHeight="1" x14ac:dyDescent="0.25">
      <c r="A1917" s="90" t="s">
        <v>854</v>
      </c>
      <c r="B1917" s="90">
        <v>6070</v>
      </c>
      <c r="C1917" s="88" t="s">
        <v>1153</v>
      </c>
      <c r="D1917" s="90" t="s">
        <v>17</v>
      </c>
      <c r="E1917" s="90" t="s">
        <v>49</v>
      </c>
      <c r="F1917" s="90" t="s">
        <v>854</v>
      </c>
      <c r="G1917" s="137">
        <v>10</v>
      </c>
      <c r="H1917" s="94">
        <v>867</v>
      </c>
      <c r="I1917" s="91">
        <v>45936</v>
      </c>
      <c r="J1917" s="165">
        <v>0.71111111111111114</v>
      </c>
      <c r="K1917" s="94">
        <v>867</v>
      </c>
      <c r="L1917" s="72" t="str">
        <f t="shared" si="30"/>
        <v>Payé</v>
      </c>
    </row>
    <row r="1918" spans="1:12" ht="15" customHeight="1" x14ac:dyDescent="0.25">
      <c r="A1918" s="90" t="s">
        <v>854</v>
      </c>
      <c r="B1918" s="90">
        <v>7004</v>
      </c>
      <c r="C1918" s="88" t="s">
        <v>713</v>
      </c>
      <c r="D1918" s="90" t="s">
        <v>17</v>
      </c>
      <c r="E1918" s="90" t="s">
        <v>49</v>
      </c>
      <c r="F1918" s="90" t="s">
        <v>854</v>
      </c>
      <c r="G1918" s="137">
        <v>10</v>
      </c>
      <c r="H1918" s="94">
        <v>867</v>
      </c>
      <c r="I1918" s="91">
        <v>45936</v>
      </c>
      <c r="J1918" s="165">
        <v>0.71111111111111114</v>
      </c>
      <c r="K1918" s="94">
        <v>867</v>
      </c>
      <c r="L1918" s="72" t="str">
        <f t="shared" si="30"/>
        <v>Payé</v>
      </c>
    </row>
    <row r="1919" spans="1:12" ht="15" customHeight="1" x14ac:dyDescent="0.25">
      <c r="A1919" s="90" t="s">
        <v>854</v>
      </c>
      <c r="B1919" s="90">
        <v>9034</v>
      </c>
      <c r="C1919" s="88" t="s">
        <v>736</v>
      </c>
      <c r="D1919" s="90" t="s">
        <v>17</v>
      </c>
      <c r="E1919" s="90" t="s">
        <v>49</v>
      </c>
      <c r="F1919" s="90" t="s">
        <v>854</v>
      </c>
      <c r="G1919" s="137">
        <v>11</v>
      </c>
      <c r="H1919" s="94">
        <v>954</v>
      </c>
      <c r="I1919" s="91">
        <v>45936</v>
      </c>
      <c r="J1919" s="165">
        <v>0.71111111111111114</v>
      </c>
      <c r="K1919" s="94">
        <v>954</v>
      </c>
      <c r="L1919" s="72" t="str">
        <f t="shared" si="30"/>
        <v>Payé</v>
      </c>
    </row>
    <row r="1920" spans="1:12" ht="15" customHeight="1" x14ac:dyDescent="0.25">
      <c r="A1920" s="90" t="s">
        <v>854</v>
      </c>
      <c r="B1920" s="90">
        <v>10014</v>
      </c>
      <c r="C1920" s="88" t="s">
        <v>1162</v>
      </c>
      <c r="D1920" s="90" t="s">
        <v>17</v>
      </c>
      <c r="E1920" s="90" t="s">
        <v>49</v>
      </c>
      <c r="F1920" s="90" t="s">
        <v>854</v>
      </c>
      <c r="G1920" s="137">
        <v>3</v>
      </c>
      <c r="H1920" s="94">
        <v>260</v>
      </c>
      <c r="I1920" s="91">
        <v>45944</v>
      </c>
      <c r="J1920" s="165">
        <v>0.69930555555555562</v>
      </c>
      <c r="K1920" s="94">
        <v>260</v>
      </c>
      <c r="L1920" s="72" t="str">
        <f t="shared" si="30"/>
        <v>Payé</v>
      </c>
    </row>
    <row r="1921" spans="1:12" ht="15" customHeight="1" x14ac:dyDescent="0.25">
      <c r="A1921" s="90" t="s">
        <v>854</v>
      </c>
      <c r="B1921" s="90">
        <v>10019</v>
      </c>
      <c r="C1921" s="88" t="s">
        <v>1165</v>
      </c>
      <c r="D1921" s="90" t="s">
        <v>17</v>
      </c>
      <c r="E1921" s="90" t="s">
        <v>49</v>
      </c>
      <c r="F1921" s="90" t="s">
        <v>854</v>
      </c>
      <c r="G1921" s="137">
        <v>3</v>
      </c>
      <c r="H1921" s="94">
        <v>260</v>
      </c>
      <c r="I1921" s="91">
        <v>45940</v>
      </c>
      <c r="J1921" s="165">
        <v>0.70347222222222217</v>
      </c>
      <c r="K1921" s="94">
        <v>260</v>
      </c>
      <c r="L1921" s="72" t="str">
        <f t="shared" si="30"/>
        <v>Payé</v>
      </c>
    </row>
    <row r="1922" spans="1:12" ht="15" customHeight="1" x14ac:dyDescent="0.25">
      <c r="A1922" s="90" t="s">
        <v>854</v>
      </c>
      <c r="B1922" s="90">
        <v>10021</v>
      </c>
      <c r="C1922" s="88" t="s">
        <v>1167</v>
      </c>
      <c r="D1922" s="90" t="s">
        <v>17</v>
      </c>
      <c r="E1922" s="90" t="s">
        <v>49</v>
      </c>
      <c r="F1922" s="90" t="s">
        <v>854</v>
      </c>
      <c r="G1922" s="137">
        <v>2</v>
      </c>
      <c r="H1922" s="94">
        <v>173</v>
      </c>
      <c r="I1922" s="91">
        <v>45940</v>
      </c>
      <c r="J1922" s="165">
        <v>0.70347222222222217</v>
      </c>
      <c r="K1922" s="94">
        <v>173</v>
      </c>
      <c r="L1922" s="72" t="str">
        <f t="shared" si="30"/>
        <v>Payé</v>
      </c>
    </row>
    <row r="1923" spans="1:12" ht="15" customHeight="1" x14ac:dyDescent="0.25">
      <c r="A1923" s="90" t="s">
        <v>854</v>
      </c>
      <c r="B1923" s="90">
        <v>10022</v>
      </c>
      <c r="C1923" s="88" t="s">
        <v>1168</v>
      </c>
      <c r="D1923" s="90" t="s">
        <v>17</v>
      </c>
      <c r="E1923" s="90" t="s">
        <v>49</v>
      </c>
      <c r="F1923" s="90" t="s">
        <v>854</v>
      </c>
      <c r="G1923" s="137">
        <v>1</v>
      </c>
      <c r="H1923" s="94">
        <v>87</v>
      </c>
      <c r="I1923" s="91">
        <v>45940</v>
      </c>
      <c r="J1923" s="165">
        <v>0.70347222222222217</v>
      </c>
      <c r="K1923" s="94">
        <v>87</v>
      </c>
      <c r="L1923" s="72" t="str">
        <f t="shared" si="30"/>
        <v>Payé</v>
      </c>
    </row>
    <row r="1924" spans="1:12" ht="15" customHeight="1" x14ac:dyDescent="0.25">
      <c r="A1924" s="90" t="s">
        <v>854</v>
      </c>
      <c r="B1924" s="90">
        <v>10023</v>
      </c>
      <c r="C1924" s="88" t="s">
        <v>1169</v>
      </c>
      <c r="D1924" s="90" t="s">
        <v>17</v>
      </c>
      <c r="E1924" s="90" t="s">
        <v>49</v>
      </c>
      <c r="F1924" s="90" t="s">
        <v>854</v>
      </c>
      <c r="G1924" s="137">
        <v>1</v>
      </c>
      <c r="H1924" s="94">
        <v>87</v>
      </c>
      <c r="I1924" s="91">
        <v>45940</v>
      </c>
      <c r="J1924" s="165">
        <v>0.70347222222222217</v>
      </c>
      <c r="K1924" s="94">
        <v>87</v>
      </c>
      <c r="L1924" s="72" t="str">
        <f t="shared" si="30"/>
        <v>Payé</v>
      </c>
    </row>
    <row r="1925" spans="1:12" ht="15" customHeight="1" x14ac:dyDescent="0.25">
      <c r="A1925" s="90" t="s">
        <v>854</v>
      </c>
      <c r="B1925" s="90">
        <v>10033</v>
      </c>
      <c r="C1925" s="88" t="s">
        <v>1179</v>
      </c>
      <c r="D1925" s="90" t="s">
        <v>17</v>
      </c>
      <c r="E1925" s="90" t="s">
        <v>49</v>
      </c>
      <c r="F1925" s="90" t="s">
        <v>854</v>
      </c>
      <c r="G1925" s="137">
        <v>3</v>
      </c>
      <c r="H1925" s="94">
        <v>260</v>
      </c>
      <c r="I1925" s="91">
        <v>45938</v>
      </c>
      <c r="J1925" s="165">
        <v>0.61319444444444449</v>
      </c>
      <c r="K1925" s="94">
        <v>260</v>
      </c>
      <c r="L1925" s="72" t="str">
        <f t="shared" si="30"/>
        <v>Payé</v>
      </c>
    </row>
    <row r="1926" spans="1:12" ht="15" customHeight="1" x14ac:dyDescent="0.25">
      <c r="A1926" s="90" t="s">
        <v>854</v>
      </c>
      <c r="B1926" s="90" t="s">
        <v>49</v>
      </c>
      <c r="C1926" s="88" t="s">
        <v>1189</v>
      </c>
      <c r="D1926" s="89" t="s">
        <v>910</v>
      </c>
      <c r="E1926" s="90" t="s">
        <v>49</v>
      </c>
      <c r="F1926" s="90" t="s">
        <v>854</v>
      </c>
      <c r="G1926" s="95">
        <v>221</v>
      </c>
      <c r="H1926" s="92">
        <v>5525</v>
      </c>
      <c r="I1926" s="91">
        <v>45936</v>
      </c>
      <c r="J1926" s="165">
        <v>0.71319444444444446</v>
      </c>
      <c r="K1926" s="92">
        <v>5525</v>
      </c>
      <c r="L1926" s="72" t="str">
        <f t="shared" si="30"/>
        <v>Payé</v>
      </c>
    </row>
    <row r="1927" spans="1:12" ht="15" customHeight="1" x14ac:dyDescent="0.25">
      <c r="A1927" s="90" t="s">
        <v>854</v>
      </c>
      <c r="B1927" s="90" t="s">
        <v>1194</v>
      </c>
      <c r="C1927" s="88" t="s">
        <v>1195</v>
      </c>
      <c r="D1927" s="89" t="s">
        <v>912</v>
      </c>
      <c r="E1927" s="90" t="s">
        <v>1111</v>
      </c>
      <c r="F1927" s="90" t="s">
        <v>854</v>
      </c>
      <c r="G1927" s="94">
        <v>6</v>
      </c>
      <c r="H1927" s="92">
        <v>2700</v>
      </c>
      <c r="I1927" s="91">
        <v>45936</v>
      </c>
      <c r="J1927" s="165">
        <v>0.64513888888888882</v>
      </c>
      <c r="K1927" s="92">
        <v>2700</v>
      </c>
      <c r="L1927" s="72" t="str">
        <f t="shared" si="30"/>
        <v>Payé</v>
      </c>
    </row>
    <row r="1928" spans="1:12" ht="15" customHeight="1" x14ac:dyDescent="0.25">
      <c r="A1928" s="90" t="s">
        <v>854</v>
      </c>
      <c r="B1928" s="90" t="s">
        <v>1196</v>
      </c>
      <c r="C1928" s="88" t="s">
        <v>1195</v>
      </c>
      <c r="D1928" s="89" t="s">
        <v>912</v>
      </c>
      <c r="E1928" s="90" t="s">
        <v>1204</v>
      </c>
      <c r="F1928" s="90" t="s">
        <v>854</v>
      </c>
      <c r="G1928" s="94">
        <v>12</v>
      </c>
      <c r="H1928" s="92">
        <v>5400</v>
      </c>
      <c r="I1928" s="91">
        <v>45936</v>
      </c>
      <c r="J1928" s="165">
        <v>0.64513888888888882</v>
      </c>
      <c r="K1928" s="92">
        <v>5400</v>
      </c>
      <c r="L1928" s="72" t="str">
        <f t="shared" si="30"/>
        <v>Payé</v>
      </c>
    </row>
    <row r="1929" spans="1:12" ht="15" customHeight="1" x14ac:dyDescent="0.25">
      <c r="A1929" s="90" t="s">
        <v>854</v>
      </c>
      <c r="B1929" s="90" t="s">
        <v>1192</v>
      </c>
      <c r="C1929" s="88" t="s">
        <v>1193</v>
      </c>
      <c r="D1929" s="89" t="s">
        <v>912</v>
      </c>
      <c r="E1929" s="90" t="s">
        <v>1193</v>
      </c>
      <c r="F1929" s="90" t="s">
        <v>854</v>
      </c>
      <c r="G1929" s="94">
        <v>16</v>
      </c>
      <c r="H1929" s="92">
        <v>4000</v>
      </c>
      <c r="I1929" s="91">
        <v>45936</v>
      </c>
      <c r="J1929" s="165">
        <v>0.6958333333333333</v>
      </c>
      <c r="K1929" s="92">
        <v>4000</v>
      </c>
      <c r="L1929" s="72" t="str">
        <f t="shared" si="30"/>
        <v>Payé</v>
      </c>
    </row>
    <row r="1930" spans="1:12" ht="15" customHeight="1" x14ac:dyDescent="0.25">
      <c r="A1930" s="90" t="s">
        <v>854</v>
      </c>
      <c r="B1930" s="90" t="s">
        <v>1192</v>
      </c>
      <c r="C1930" s="88" t="s">
        <v>1193</v>
      </c>
      <c r="D1930" s="89" t="s">
        <v>912</v>
      </c>
      <c r="E1930" s="90" t="s">
        <v>1193</v>
      </c>
      <c r="F1930" s="90" t="s">
        <v>854</v>
      </c>
      <c r="G1930" s="94">
        <v>1</v>
      </c>
      <c r="H1930" s="92">
        <v>500</v>
      </c>
      <c r="I1930" s="91">
        <v>45936</v>
      </c>
      <c r="J1930" s="165">
        <v>0.6958333333333333</v>
      </c>
      <c r="K1930" s="92">
        <v>500</v>
      </c>
      <c r="L1930" s="72" t="str">
        <f t="shared" si="30"/>
        <v>Payé</v>
      </c>
    </row>
    <row r="1931" spans="1:12" ht="15" customHeight="1" x14ac:dyDescent="0.25">
      <c r="A1931" s="90" t="s">
        <v>856</v>
      </c>
      <c r="B1931" s="90">
        <v>3672</v>
      </c>
      <c r="C1931" s="88" t="s">
        <v>568</v>
      </c>
      <c r="D1931" s="90" t="s">
        <v>17</v>
      </c>
      <c r="E1931" s="90" t="s">
        <v>613</v>
      </c>
      <c r="F1931" s="90" t="s">
        <v>856</v>
      </c>
      <c r="G1931" s="94">
        <v>16</v>
      </c>
      <c r="H1931" s="94">
        <v>1781</v>
      </c>
      <c r="I1931" s="91">
        <v>45972</v>
      </c>
      <c r="J1931" s="165">
        <v>0.70277777777777783</v>
      </c>
      <c r="K1931" s="94">
        <v>1781</v>
      </c>
      <c r="L1931" s="72" t="str">
        <f t="shared" si="30"/>
        <v>Payé</v>
      </c>
    </row>
    <row r="1932" spans="1:12" ht="15" customHeight="1" x14ac:dyDescent="0.25">
      <c r="A1932" s="90" t="s">
        <v>856</v>
      </c>
      <c r="B1932" s="90">
        <v>193</v>
      </c>
      <c r="C1932" s="88" t="s">
        <v>598</v>
      </c>
      <c r="D1932" s="90" t="s">
        <v>17</v>
      </c>
      <c r="E1932" s="90" t="s">
        <v>420</v>
      </c>
      <c r="F1932" s="90" t="s">
        <v>856</v>
      </c>
      <c r="G1932" s="94">
        <v>2</v>
      </c>
      <c r="H1932" s="94">
        <v>182</v>
      </c>
      <c r="I1932" s="91">
        <v>45972</v>
      </c>
      <c r="J1932" s="165">
        <v>0.6743055555555556</v>
      </c>
      <c r="K1932" s="94">
        <v>182</v>
      </c>
      <c r="L1932" s="72" t="str">
        <f t="shared" si="30"/>
        <v>Payé</v>
      </c>
    </row>
    <row r="1933" spans="1:12" ht="15" customHeight="1" x14ac:dyDescent="0.25">
      <c r="A1933" s="90" t="s">
        <v>856</v>
      </c>
      <c r="B1933" s="90">
        <v>2311</v>
      </c>
      <c r="C1933" s="88" t="s">
        <v>406</v>
      </c>
      <c r="D1933" s="90" t="s">
        <v>17</v>
      </c>
      <c r="E1933" s="90" t="s">
        <v>420</v>
      </c>
      <c r="F1933" s="90" t="s">
        <v>856</v>
      </c>
      <c r="G1933" s="94">
        <v>2</v>
      </c>
      <c r="H1933" s="94">
        <v>182</v>
      </c>
      <c r="I1933" s="91">
        <v>45972</v>
      </c>
      <c r="J1933" s="165">
        <v>0.60833333333333328</v>
      </c>
      <c r="K1933" s="94">
        <v>182</v>
      </c>
      <c r="L1933" s="72" t="str">
        <f t="shared" si="30"/>
        <v>Payé</v>
      </c>
    </row>
    <row r="1934" spans="1:12" ht="15" customHeight="1" x14ac:dyDescent="0.25">
      <c r="A1934" s="90" t="s">
        <v>856</v>
      </c>
      <c r="B1934" s="90">
        <v>3398</v>
      </c>
      <c r="C1934" s="88" t="s">
        <v>557</v>
      </c>
      <c r="D1934" s="90" t="s">
        <v>17</v>
      </c>
      <c r="E1934" s="90" t="s">
        <v>420</v>
      </c>
      <c r="F1934" s="90" t="s">
        <v>856</v>
      </c>
      <c r="G1934" s="94">
        <v>2</v>
      </c>
      <c r="H1934" s="94">
        <v>173</v>
      </c>
      <c r="I1934" s="91">
        <v>45972</v>
      </c>
      <c r="J1934" s="165">
        <v>0.61041666666666672</v>
      </c>
      <c r="K1934" s="94">
        <v>173</v>
      </c>
      <c r="L1934" s="72" t="str">
        <f t="shared" si="30"/>
        <v>Payé</v>
      </c>
    </row>
    <row r="1935" spans="1:12" ht="15" customHeight="1" x14ac:dyDescent="0.25">
      <c r="A1935" s="90" t="s">
        <v>856</v>
      </c>
      <c r="B1935" s="90">
        <v>3504</v>
      </c>
      <c r="C1935" s="88" t="s">
        <v>981</v>
      </c>
      <c r="D1935" s="90" t="s">
        <v>17</v>
      </c>
      <c r="E1935" s="90" t="s">
        <v>420</v>
      </c>
      <c r="F1935" s="90" t="s">
        <v>856</v>
      </c>
      <c r="G1935" s="94">
        <v>3</v>
      </c>
      <c r="H1935" s="94">
        <v>260</v>
      </c>
      <c r="I1935" s="91">
        <v>45997</v>
      </c>
      <c r="J1935" s="165">
        <v>0.60625000000000007</v>
      </c>
      <c r="K1935" s="94">
        <v>260</v>
      </c>
      <c r="L1935" s="72" t="str">
        <f t="shared" si="30"/>
        <v>Payé</v>
      </c>
    </row>
    <row r="1936" spans="1:12" ht="15" customHeight="1" x14ac:dyDescent="0.25">
      <c r="A1936" s="90" t="s">
        <v>856</v>
      </c>
      <c r="B1936" s="90">
        <v>5</v>
      </c>
      <c r="C1936" s="88" t="s">
        <v>456</v>
      </c>
      <c r="D1936" s="90" t="s">
        <v>17</v>
      </c>
      <c r="E1936" s="90" t="s">
        <v>81</v>
      </c>
      <c r="F1936" s="90" t="s">
        <v>856</v>
      </c>
      <c r="G1936" s="94">
        <v>1</v>
      </c>
      <c r="H1936" s="94">
        <v>95</v>
      </c>
      <c r="I1936" s="91">
        <v>45986</v>
      </c>
      <c r="J1936" s="165">
        <v>0.51874999999999993</v>
      </c>
      <c r="K1936" s="94">
        <v>95</v>
      </c>
      <c r="L1936" s="72" t="str">
        <f t="shared" si="30"/>
        <v>Payé</v>
      </c>
    </row>
    <row r="1937" spans="1:12" ht="15" customHeight="1" x14ac:dyDescent="0.25">
      <c r="A1937" s="90" t="s">
        <v>856</v>
      </c>
      <c r="B1937" s="90">
        <v>102</v>
      </c>
      <c r="C1937" s="88" t="s">
        <v>594</v>
      </c>
      <c r="D1937" s="90" t="s">
        <v>17</v>
      </c>
      <c r="E1937" s="90" t="s">
        <v>81</v>
      </c>
      <c r="F1937" s="90" t="s">
        <v>856</v>
      </c>
      <c r="G1937" s="94">
        <v>3</v>
      </c>
      <c r="H1937" s="94">
        <v>286</v>
      </c>
      <c r="I1937" s="91">
        <v>45972</v>
      </c>
      <c r="J1937" s="165">
        <v>0.71458333333333324</v>
      </c>
      <c r="K1937" s="94">
        <v>286</v>
      </c>
      <c r="L1937" s="72" t="str">
        <f t="shared" si="30"/>
        <v>Payé</v>
      </c>
    </row>
    <row r="1938" spans="1:12" ht="15" customHeight="1" x14ac:dyDescent="0.25">
      <c r="A1938" s="90" t="s">
        <v>856</v>
      </c>
      <c r="B1938" s="90">
        <v>201</v>
      </c>
      <c r="C1938" s="88" t="s">
        <v>599</v>
      </c>
      <c r="D1938" s="90" t="s">
        <v>17</v>
      </c>
      <c r="E1938" s="90" t="s">
        <v>81</v>
      </c>
      <c r="F1938" s="90" t="s">
        <v>856</v>
      </c>
      <c r="G1938" s="94">
        <v>1</v>
      </c>
      <c r="H1938" s="94">
        <v>91</v>
      </c>
      <c r="I1938" s="91">
        <v>45972</v>
      </c>
      <c r="J1938" s="165">
        <v>0.68263888888888891</v>
      </c>
      <c r="K1938" s="94">
        <v>91</v>
      </c>
      <c r="L1938" s="72" t="str">
        <f t="shared" si="30"/>
        <v>Payé</v>
      </c>
    </row>
    <row r="1939" spans="1:12" ht="15" customHeight="1" x14ac:dyDescent="0.25">
      <c r="A1939" s="90" t="s">
        <v>856</v>
      </c>
      <c r="B1939" s="90">
        <v>4807</v>
      </c>
      <c r="C1939" s="88" t="s">
        <v>825</v>
      </c>
      <c r="D1939" s="90" t="s">
        <v>17</v>
      </c>
      <c r="E1939" s="90" t="s">
        <v>81</v>
      </c>
      <c r="F1939" s="90" t="s">
        <v>856</v>
      </c>
      <c r="G1939" s="94">
        <v>2</v>
      </c>
      <c r="H1939" s="94">
        <v>173</v>
      </c>
      <c r="I1939" s="91">
        <v>45972</v>
      </c>
      <c r="J1939" s="165">
        <v>0.62777777777777777</v>
      </c>
      <c r="K1939" s="94">
        <v>173</v>
      </c>
      <c r="L1939" s="72" t="str">
        <f t="shared" si="30"/>
        <v>Payé</v>
      </c>
    </row>
    <row r="1940" spans="1:12" ht="15" customHeight="1" x14ac:dyDescent="0.25">
      <c r="A1940" s="90" t="s">
        <v>856</v>
      </c>
      <c r="B1940" s="90">
        <v>5270</v>
      </c>
      <c r="C1940" s="88" t="s">
        <v>926</v>
      </c>
      <c r="D1940" s="90" t="s">
        <v>17</v>
      </c>
      <c r="E1940" s="90" t="s">
        <v>81</v>
      </c>
      <c r="F1940" s="90" t="s">
        <v>856</v>
      </c>
      <c r="G1940" s="94">
        <v>1</v>
      </c>
      <c r="H1940" s="94">
        <v>100</v>
      </c>
      <c r="I1940" s="91">
        <v>45974</v>
      </c>
      <c r="J1940" s="165">
        <v>0.69444444444444453</v>
      </c>
      <c r="K1940" s="94">
        <v>100</v>
      </c>
      <c r="L1940" s="72" t="str">
        <f t="shared" si="30"/>
        <v>Payé</v>
      </c>
    </row>
    <row r="1941" spans="1:12" ht="15" customHeight="1" x14ac:dyDescent="0.25">
      <c r="A1941" s="90" t="s">
        <v>856</v>
      </c>
      <c r="B1941" s="90">
        <v>6</v>
      </c>
      <c r="C1941" s="88" t="s">
        <v>542</v>
      </c>
      <c r="D1941" s="90" t="s">
        <v>17</v>
      </c>
      <c r="E1941" s="90" t="s">
        <v>368</v>
      </c>
      <c r="F1941" s="90" t="s">
        <v>856</v>
      </c>
      <c r="G1941" s="94">
        <v>3</v>
      </c>
      <c r="H1941" s="94">
        <v>286</v>
      </c>
      <c r="I1941" s="91">
        <v>45975</v>
      </c>
      <c r="J1941" s="165">
        <v>0.59652777777777777</v>
      </c>
      <c r="K1941" s="94">
        <v>286</v>
      </c>
      <c r="L1941" s="72" t="str">
        <f t="shared" si="30"/>
        <v>Payé</v>
      </c>
    </row>
    <row r="1942" spans="1:12" ht="15" customHeight="1" x14ac:dyDescent="0.25">
      <c r="A1942" s="90" t="s">
        <v>856</v>
      </c>
      <c r="B1942" s="90">
        <v>10007</v>
      </c>
      <c r="C1942" s="88" t="s">
        <v>1133</v>
      </c>
      <c r="D1942" s="90" t="s">
        <v>17</v>
      </c>
      <c r="E1942" s="90" t="s">
        <v>368</v>
      </c>
      <c r="F1942" s="90" t="s">
        <v>856</v>
      </c>
      <c r="G1942" s="94">
        <v>16</v>
      </c>
      <c r="H1942" s="94">
        <v>1920</v>
      </c>
      <c r="I1942" s="91">
        <v>45972</v>
      </c>
      <c r="J1942" s="165">
        <v>0.57013888888888886</v>
      </c>
      <c r="K1942" s="94">
        <v>1920</v>
      </c>
      <c r="L1942" s="72" t="str">
        <f t="shared" si="30"/>
        <v>Payé</v>
      </c>
    </row>
    <row r="1943" spans="1:12" ht="15" customHeight="1" x14ac:dyDescent="0.25">
      <c r="A1943" s="90" t="s">
        <v>856</v>
      </c>
      <c r="B1943" s="90">
        <v>10076</v>
      </c>
      <c r="C1943" s="88" t="s">
        <v>1256</v>
      </c>
      <c r="D1943" s="90" t="s">
        <v>17</v>
      </c>
      <c r="E1943" s="90" t="s">
        <v>368</v>
      </c>
      <c r="F1943" s="90" t="s">
        <v>856</v>
      </c>
      <c r="G1943" s="94">
        <v>9</v>
      </c>
      <c r="H1943" s="94">
        <v>810</v>
      </c>
      <c r="I1943" s="91">
        <v>45972</v>
      </c>
      <c r="J1943" s="165">
        <v>0.72569444444444453</v>
      </c>
      <c r="K1943" s="94">
        <v>810</v>
      </c>
      <c r="L1943" s="72" t="str">
        <f t="shared" si="30"/>
        <v>Payé</v>
      </c>
    </row>
    <row r="1944" spans="1:12" ht="15" customHeight="1" x14ac:dyDescent="0.25">
      <c r="A1944" s="90" t="s">
        <v>856</v>
      </c>
      <c r="B1944" s="90">
        <v>994</v>
      </c>
      <c r="C1944" s="88" t="s">
        <v>381</v>
      </c>
      <c r="D1944" s="90" t="s">
        <v>17</v>
      </c>
      <c r="E1944" s="90" t="s">
        <v>370</v>
      </c>
      <c r="F1944" s="90" t="s">
        <v>856</v>
      </c>
      <c r="G1944" s="94">
        <v>3</v>
      </c>
      <c r="H1944" s="94">
        <v>273</v>
      </c>
      <c r="I1944" s="91">
        <v>45972</v>
      </c>
      <c r="J1944" s="165">
        <v>0.5708333333333333</v>
      </c>
      <c r="K1944" s="94">
        <v>273</v>
      </c>
      <c r="L1944" s="72" t="str">
        <f t="shared" si="30"/>
        <v>Payé</v>
      </c>
    </row>
    <row r="1945" spans="1:12" ht="15" customHeight="1" x14ac:dyDescent="0.25">
      <c r="A1945" s="90" t="s">
        <v>856</v>
      </c>
      <c r="B1945" s="90">
        <v>2299</v>
      </c>
      <c r="C1945" s="88" t="s">
        <v>1144</v>
      </c>
      <c r="D1945" s="90" t="s">
        <v>17</v>
      </c>
      <c r="E1945" s="90" t="s">
        <v>370</v>
      </c>
      <c r="F1945" s="90" t="s">
        <v>856</v>
      </c>
      <c r="G1945" s="94">
        <v>15</v>
      </c>
      <c r="H1945" s="94">
        <v>1500</v>
      </c>
      <c r="I1945" s="91">
        <v>45974</v>
      </c>
      <c r="J1945" s="165">
        <v>0.69444444444444453</v>
      </c>
      <c r="K1945" s="94">
        <v>1500</v>
      </c>
      <c r="L1945" s="72" t="str">
        <f t="shared" si="30"/>
        <v>Payé</v>
      </c>
    </row>
    <row r="1946" spans="1:12" ht="15" customHeight="1" x14ac:dyDescent="0.25">
      <c r="A1946" s="90" t="s">
        <v>856</v>
      </c>
      <c r="B1946" s="90">
        <v>5348</v>
      </c>
      <c r="C1946" s="88" t="s">
        <v>1083</v>
      </c>
      <c r="D1946" s="90" t="s">
        <v>17</v>
      </c>
      <c r="E1946" s="90" t="s">
        <v>370</v>
      </c>
      <c r="F1946" s="90" t="s">
        <v>856</v>
      </c>
      <c r="G1946" s="94">
        <v>3</v>
      </c>
      <c r="H1946" s="94">
        <v>260</v>
      </c>
      <c r="I1946" s="91">
        <v>45972</v>
      </c>
      <c r="J1946" s="165">
        <v>0.57013888888888886</v>
      </c>
      <c r="K1946" s="94">
        <v>260</v>
      </c>
      <c r="L1946" s="72" t="str">
        <f t="shared" si="30"/>
        <v>Payé</v>
      </c>
    </row>
    <row r="1947" spans="1:12" ht="15" customHeight="1" x14ac:dyDescent="0.25">
      <c r="A1947" s="90" t="s">
        <v>856</v>
      </c>
      <c r="B1947" s="90">
        <v>5365</v>
      </c>
      <c r="C1947" s="88" t="s">
        <v>1123</v>
      </c>
      <c r="D1947" s="90" t="s">
        <v>17</v>
      </c>
      <c r="E1947" s="90" t="s">
        <v>370</v>
      </c>
      <c r="F1947" s="90" t="s">
        <v>856</v>
      </c>
      <c r="G1947" s="94">
        <v>15</v>
      </c>
      <c r="H1947" s="94">
        <v>1901</v>
      </c>
      <c r="I1947" s="91">
        <v>45972</v>
      </c>
      <c r="J1947" s="165">
        <v>0.57013888888888886</v>
      </c>
      <c r="K1947" s="94">
        <v>1901</v>
      </c>
      <c r="L1947" s="72" t="str">
        <f t="shared" si="30"/>
        <v>Payé</v>
      </c>
    </row>
    <row r="1948" spans="1:12" ht="15" customHeight="1" x14ac:dyDescent="0.25">
      <c r="A1948" s="90" t="s">
        <v>856</v>
      </c>
      <c r="B1948" s="90">
        <v>10004</v>
      </c>
      <c r="C1948" s="88" t="s">
        <v>1130</v>
      </c>
      <c r="D1948" s="90" t="s">
        <v>17</v>
      </c>
      <c r="E1948" s="90" t="s">
        <v>370</v>
      </c>
      <c r="F1948" s="90" t="s">
        <v>856</v>
      </c>
      <c r="G1948" s="94">
        <v>16</v>
      </c>
      <c r="H1948" s="94">
        <v>1920</v>
      </c>
      <c r="I1948" s="91">
        <v>45972</v>
      </c>
      <c r="J1948" s="165">
        <v>0.57222222222222219</v>
      </c>
      <c r="K1948" s="94">
        <v>1920</v>
      </c>
      <c r="L1948" s="72" t="str">
        <f t="shared" si="30"/>
        <v>Payé</v>
      </c>
    </row>
    <row r="1949" spans="1:12" ht="15" customHeight="1" x14ac:dyDescent="0.25">
      <c r="A1949" s="90" t="s">
        <v>856</v>
      </c>
      <c r="B1949" s="90">
        <v>10006</v>
      </c>
      <c r="C1949" s="88" t="s">
        <v>1132</v>
      </c>
      <c r="D1949" s="90" t="s">
        <v>17</v>
      </c>
      <c r="E1949" s="90" t="s">
        <v>370</v>
      </c>
      <c r="F1949" s="90" t="s">
        <v>856</v>
      </c>
      <c r="G1949" s="94">
        <v>15</v>
      </c>
      <c r="H1949" s="94">
        <v>1800</v>
      </c>
      <c r="I1949" s="91">
        <v>45972</v>
      </c>
      <c r="J1949" s="165">
        <v>0.57013888888888886</v>
      </c>
      <c r="K1949" s="94">
        <v>1800</v>
      </c>
      <c r="L1949" s="72" t="str">
        <f t="shared" si="30"/>
        <v>Payé</v>
      </c>
    </row>
    <row r="1950" spans="1:12" ht="15" customHeight="1" x14ac:dyDescent="0.25">
      <c r="A1950" s="90" t="s">
        <v>856</v>
      </c>
      <c r="B1950" s="90">
        <v>198</v>
      </c>
      <c r="C1950" s="88" t="s">
        <v>380</v>
      </c>
      <c r="D1950" s="90" t="s">
        <v>17</v>
      </c>
      <c r="E1950" s="90" t="s">
        <v>369</v>
      </c>
      <c r="F1950" s="90" t="s">
        <v>856</v>
      </c>
      <c r="G1950" s="94">
        <v>3</v>
      </c>
      <c r="H1950" s="94">
        <v>273</v>
      </c>
      <c r="I1950" s="91">
        <v>45972</v>
      </c>
      <c r="J1950" s="165">
        <v>0.60555555555555551</v>
      </c>
      <c r="K1950" s="94">
        <v>273</v>
      </c>
      <c r="L1950" s="72" t="str">
        <f t="shared" ref="L1950:L2013" si="31">IF(ISBLANK(H1950),"",IF(H1950=K1950,"Payé","Impayé"))</f>
        <v>Payé</v>
      </c>
    </row>
    <row r="1951" spans="1:12" ht="15" customHeight="1" x14ac:dyDescent="0.25">
      <c r="A1951" s="90" t="s">
        <v>856</v>
      </c>
      <c r="B1951" s="90">
        <v>753</v>
      </c>
      <c r="C1951" s="88" t="s">
        <v>956</v>
      </c>
      <c r="D1951" s="90" t="s">
        <v>17</v>
      </c>
      <c r="E1951" s="90" t="s">
        <v>369</v>
      </c>
      <c r="F1951" s="90" t="s">
        <v>856</v>
      </c>
      <c r="G1951" s="94">
        <v>1</v>
      </c>
      <c r="H1951" s="94">
        <v>91</v>
      </c>
      <c r="I1951" s="91">
        <v>45985</v>
      </c>
      <c r="J1951" s="165">
        <v>0.46597222222222223</v>
      </c>
      <c r="K1951" s="94">
        <v>91</v>
      </c>
      <c r="L1951" s="72" t="str">
        <f t="shared" si="31"/>
        <v>Payé</v>
      </c>
    </row>
    <row r="1952" spans="1:12" ht="15" customHeight="1" x14ac:dyDescent="0.25">
      <c r="A1952" s="90" t="s">
        <v>856</v>
      </c>
      <c r="B1952" s="90">
        <v>2300</v>
      </c>
      <c r="C1952" s="88" t="s">
        <v>1115</v>
      </c>
      <c r="D1952" s="90" t="s">
        <v>17</v>
      </c>
      <c r="E1952" s="90" t="s">
        <v>369</v>
      </c>
      <c r="F1952" s="90" t="s">
        <v>856</v>
      </c>
      <c r="G1952" s="94">
        <v>16</v>
      </c>
      <c r="H1952" s="94">
        <v>1920</v>
      </c>
      <c r="I1952" s="91">
        <v>45972</v>
      </c>
      <c r="J1952" s="165">
        <v>0.60347222222222219</v>
      </c>
      <c r="K1952" s="94">
        <v>1920</v>
      </c>
      <c r="L1952" s="72" t="str">
        <f t="shared" si="31"/>
        <v>Payé</v>
      </c>
    </row>
    <row r="1953" spans="1:12" ht="15" customHeight="1" x14ac:dyDescent="0.25">
      <c r="A1953" s="90" t="s">
        <v>856</v>
      </c>
      <c r="B1953" s="90">
        <v>10035</v>
      </c>
      <c r="C1953" s="88" t="s">
        <v>1181</v>
      </c>
      <c r="D1953" s="90" t="s">
        <v>17</v>
      </c>
      <c r="E1953" s="90" t="s">
        <v>369</v>
      </c>
      <c r="F1953" s="90" t="s">
        <v>856</v>
      </c>
      <c r="G1953" s="94">
        <v>16</v>
      </c>
      <c r="H1953" s="94">
        <v>1600</v>
      </c>
      <c r="I1953" s="91">
        <v>45972</v>
      </c>
      <c r="J1953" s="165">
        <v>0.69236111111111109</v>
      </c>
      <c r="K1953" s="94">
        <v>1600</v>
      </c>
      <c r="L1953" s="72" t="str">
        <f t="shared" si="31"/>
        <v>Payé</v>
      </c>
    </row>
    <row r="1954" spans="1:12" ht="15" customHeight="1" x14ac:dyDescent="0.25">
      <c r="A1954" s="90" t="s">
        <v>856</v>
      </c>
      <c r="B1954" s="90">
        <v>10038</v>
      </c>
      <c r="C1954" s="88" t="s">
        <v>1182</v>
      </c>
      <c r="D1954" s="90" t="s">
        <v>17</v>
      </c>
      <c r="E1954" s="90" t="s">
        <v>369</v>
      </c>
      <c r="F1954" s="90" t="s">
        <v>856</v>
      </c>
      <c r="G1954" s="94">
        <v>15</v>
      </c>
      <c r="H1954" s="94">
        <v>1500</v>
      </c>
      <c r="I1954" s="91">
        <v>45972</v>
      </c>
      <c r="J1954" s="165">
        <v>0.59930555555555554</v>
      </c>
      <c r="K1954" s="94">
        <v>1500</v>
      </c>
      <c r="L1954" s="72" t="str">
        <f t="shared" si="31"/>
        <v>Payé</v>
      </c>
    </row>
    <row r="1955" spans="1:12" ht="15" customHeight="1" x14ac:dyDescent="0.25">
      <c r="A1955" s="90" t="s">
        <v>856</v>
      </c>
      <c r="B1955" s="90">
        <v>95</v>
      </c>
      <c r="C1955" s="88" t="s">
        <v>408</v>
      </c>
      <c r="D1955" s="90" t="s">
        <v>17</v>
      </c>
      <c r="E1955" s="90" t="s">
        <v>103</v>
      </c>
      <c r="F1955" s="90" t="s">
        <v>856</v>
      </c>
      <c r="G1955" s="94">
        <v>3</v>
      </c>
      <c r="H1955" s="94">
        <v>273</v>
      </c>
      <c r="I1955" s="91">
        <v>45974</v>
      </c>
      <c r="J1955" s="165">
        <v>0.69444444444444453</v>
      </c>
      <c r="K1955" s="94">
        <v>273</v>
      </c>
      <c r="L1955" s="72" t="str">
        <f t="shared" si="31"/>
        <v>Payé</v>
      </c>
    </row>
    <row r="1956" spans="1:12" ht="15" customHeight="1" x14ac:dyDescent="0.25">
      <c r="A1956" s="90" t="s">
        <v>856</v>
      </c>
      <c r="B1956" s="90">
        <v>191</v>
      </c>
      <c r="C1956" s="88" t="s">
        <v>545</v>
      </c>
      <c r="D1956" s="90" t="s">
        <v>17</v>
      </c>
      <c r="E1956" s="90" t="s">
        <v>103</v>
      </c>
      <c r="F1956" s="90" t="s">
        <v>856</v>
      </c>
      <c r="G1956" s="94">
        <v>3</v>
      </c>
      <c r="H1956" s="94">
        <v>273</v>
      </c>
      <c r="I1956" s="91">
        <v>45972</v>
      </c>
      <c r="J1956" s="165">
        <v>0.71458333333333324</v>
      </c>
      <c r="K1956" s="94">
        <v>273</v>
      </c>
      <c r="L1956" s="72" t="str">
        <f t="shared" si="31"/>
        <v>Payé</v>
      </c>
    </row>
    <row r="1957" spans="1:12" ht="15" customHeight="1" x14ac:dyDescent="0.25">
      <c r="A1957" s="90" t="s">
        <v>856</v>
      </c>
      <c r="B1957" s="90">
        <v>2625</v>
      </c>
      <c r="C1957" s="88" t="s">
        <v>1145</v>
      </c>
      <c r="D1957" s="90" t="s">
        <v>17</v>
      </c>
      <c r="E1957" s="90" t="s">
        <v>103</v>
      </c>
      <c r="F1957" s="90" t="s">
        <v>856</v>
      </c>
      <c r="G1957" s="94">
        <v>16</v>
      </c>
      <c r="H1957" s="94">
        <v>1600</v>
      </c>
      <c r="I1957" s="91">
        <v>45972</v>
      </c>
      <c r="J1957" s="165">
        <v>0.68611111111111101</v>
      </c>
      <c r="K1957" s="94">
        <v>1600</v>
      </c>
      <c r="L1957" s="72" t="str">
        <f t="shared" si="31"/>
        <v>Payé</v>
      </c>
    </row>
    <row r="1958" spans="1:12" ht="15" customHeight="1" x14ac:dyDescent="0.25">
      <c r="A1958" s="90" t="s">
        <v>856</v>
      </c>
      <c r="B1958" s="136"/>
      <c r="C1958" s="212" t="s">
        <v>948</v>
      </c>
      <c r="D1958" s="90" t="s">
        <v>17</v>
      </c>
      <c r="E1958" s="136" t="s">
        <v>1285</v>
      </c>
      <c r="F1958" s="90" t="s">
        <v>856</v>
      </c>
      <c r="G1958" s="94" t="s">
        <v>61</v>
      </c>
      <c r="H1958" s="92">
        <v>1148</v>
      </c>
      <c r="I1958" s="91">
        <v>45974</v>
      </c>
      <c r="J1958" s="165">
        <v>0.69444444444444453</v>
      </c>
      <c r="K1958" s="92">
        <v>1148</v>
      </c>
      <c r="L1958" s="72" t="str">
        <f t="shared" si="31"/>
        <v>Payé</v>
      </c>
    </row>
    <row r="1959" spans="1:12" ht="15" customHeight="1" x14ac:dyDescent="0.25">
      <c r="A1959" s="90" t="s">
        <v>856</v>
      </c>
      <c r="B1959" s="90">
        <v>348</v>
      </c>
      <c r="C1959" s="88" t="s">
        <v>951</v>
      </c>
      <c r="D1959" s="90" t="s">
        <v>17</v>
      </c>
      <c r="E1959" s="90" t="s">
        <v>123</v>
      </c>
      <c r="F1959" s="90" t="s">
        <v>856</v>
      </c>
      <c r="G1959" s="94">
        <v>3</v>
      </c>
      <c r="H1959" s="94">
        <v>273</v>
      </c>
      <c r="I1959" s="91">
        <v>45980</v>
      </c>
      <c r="J1959" s="165">
        <v>0.64861111111111114</v>
      </c>
      <c r="K1959" s="94">
        <v>273</v>
      </c>
      <c r="L1959" s="72" t="str">
        <f t="shared" si="31"/>
        <v>Payé</v>
      </c>
    </row>
    <row r="1960" spans="1:12" ht="15" customHeight="1" x14ac:dyDescent="0.25">
      <c r="A1960" s="90" t="s">
        <v>856</v>
      </c>
      <c r="B1960" s="90">
        <v>1611</v>
      </c>
      <c r="C1960" s="88" t="s">
        <v>1234</v>
      </c>
      <c r="D1960" s="90" t="s">
        <v>17</v>
      </c>
      <c r="E1960" s="90" t="s">
        <v>123</v>
      </c>
      <c r="F1960" s="90" t="s">
        <v>856</v>
      </c>
      <c r="G1960" s="94">
        <v>7</v>
      </c>
      <c r="H1960" s="94">
        <v>650</v>
      </c>
      <c r="I1960" s="91">
        <v>45972</v>
      </c>
      <c r="J1960" s="165">
        <v>0.70347222222222217</v>
      </c>
      <c r="K1960" s="94">
        <v>650</v>
      </c>
      <c r="L1960" s="72" t="str">
        <f t="shared" si="31"/>
        <v>Payé</v>
      </c>
    </row>
    <row r="1961" spans="1:12" ht="15" customHeight="1" x14ac:dyDescent="0.25">
      <c r="A1961" s="90" t="s">
        <v>856</v>
      </c>
      <c r="B1961" s="90">
        <v>2403</v>
      </c>
      <c r="C1961" s="88" t="s">
        <v>1207</v>
      </c>
      <c r="D1961" s="90" t="s">
        <v>17</v>
      </c>
      <c r="E1961" s="90" t="s">
        <v>123</v>
      </c>
      <c r="F1961" s="90" t="s">
        <v>856</v>
      </c>
      <c r="G1961" s="94">
        <v>8</v>
      </c>
      <c r="H1961" s="94">
        <v>720</v>
      </c>
      <c r="I1961" s="91">
        <v>45972</v>
      </c>
      <c r="J1961" s="165">
        <v>0.72152777777777777</v>
      </c>
      <c r="K1961" s="94">
        <v>720</v>
      </c>
      <c r="L1961" s="72" t="str">
        <f t="shared" si="31"/>
        <v>Payé</v>
      </c>
    </row>
    <row r="1962" spans="1:12" ht="15" customHeight="1" x14ac:dyDescent="0.25">
      <c r="A1962" s="90" t="s">
        <v>856</v>
      </c>
      <c r="B1962" s="90">
        <v>3409</v>
      </c>
      <c r="C1962" s="88" t="s">
        <v>559</v>
      </c>
      <c r="D1962" s="90" t="s">
        <v>17</v>
      </c>
      <c r="E1962" s="90" t="s">
        <v>123</v>
      </c>
      <c r="F1962" s="90" t="s">
        <v>856</v>
      </c>
      <c r="G1962" s="94">
        <v>14</v>
      </c>
      <c r="H1962" s="94">
        <v>1300</v>
      </c>
      <c r="I1962" s="91">
        <v>45974</v>
      </c>
      <c r="J1962" s="165">
        <v>0.6875</v>
      </c>
      <c r="K1962" s="94">
        <v>1300</v>
      </c>
      <c r="L1962" s="72" t="str">
        <f t="shared" si="31"/>
        <v>Payé</v>
      </c>
    </row>
    <row r="1963" spans="1:12" ht="15" customHeight="1" x14ac:dyDescent="0.25">
      <c r="A1963" s="90" t="s">
        <v>856</v>
      </c>
      <c r="B1963" s="90">
        <v>3793</v>
      </c>
      <c r="C1963" s="88" t="s">
        <v>572</v>
      </c>
      <c r="D1963" s="90" t="s">
        <v>17</v>
      </c>
      <c r="E1963" s="90" t="s">
        <v>123</v>
      </c>
      <c r="F1963" s="90" t="s">
        <v>856</v>
      </c>
      <c r="G1963" s="94">
        <v>15</v>
      </c>
      <c r="H1963" s="94">
        <v>1430</v>
      </c>
      <c r="I1963" s="91">
        <v>45974</v>
      </c>
      <c r="J1963" s="165">
        <v>0.6875</v>
      </c>
      <c r="K1963" s="94">
        <v>1430</v>
      </c>
      <c r="L1963" s="72" t="str">
        <f t="shared" si="31"/>
        <v>Payé</v>
      </c>
    </row>
    <row r="1964" spans="1:12" ht="15" customHeight="1" x14ac:dyDescent="0.25">
      <c r="A1964" s="90" t="s">
        <v>856</v>
      </c>
      <c r="B1964" s="90">
        <v>5258</v>
      </c>
      <c r="C1964" s="88" t="s">
        <v>893</v>
      </c>
      <c r="D1964" s="90" t="s">
        <v>17</v>
      </c>
      <c r="E1964" s="90" t="s">
        <v>123</v>
      </c>
      <c r="F1964" s="90" t="s">
        <v>856</v>
      </c>
      <c r="G1964" s="94">
        <v>12</v>
      </c>
      <c r="H1964" s="94">
        <v>1120</v>
      </c>
      <c r="I1964" s="91">
        <v>45980</v>
      </c>
      <c r="J1964" s="165">
        <v>0.64861111111111114</v>
      </c>
      <c r="K1964" s="94">
        <v>1120</v>
      </c>
      <c r="L1964" s="72" t="str">
        <f t="shared" si="31"/>
        <v>Payé</v>
      </c>
    </row>
    <row r="1965" spans="1:12" ht="15" customHeight="1" x14ac:dyDescent="0.25">
      <c r="A1965" s="90" t="s">
        <v>856</v>
      </c>
      <c r="B1965" s="90"/>
      <c r="C1965" s="88" t="s">
        <v>585</v>
      </c>
      <c r="D1965" s="89" t="s">
        <v>910</v>
      </c>
      <c r="E1965" s="90" t="s">
        <v>123</v>
      </c>
      <c r="F1965" s="90" t="s">
        <v>856</v>
      </c>
      <c r="G1965" s="95">
        <v>147</v>
      </c>
      <c r="H1965" s="92">
        <v>4410</v>
      </c>
      <c r="I1965" s="91">
        <v>45982</v>
      </c>
      <c r="J1965" s="165">
        <v>0.65902777777777777</v>
      </c>
      <c r="K1965" s="92">
        <v>4410</v>
      </c>
      <c r="L1965" s="72" t="str">
        <f t="shared" si="31"/>
        <v>Payé</v>
      </c>
    </row>
    <row r="1966" spans="1:12" ht="15" customHeight="1" x14ac:dyDescent="0.25">
      <c r="A1966" s="90" t="s">
        <v>856</v>
      </c>
      <c r="B1966" s="90">
        <v>1688</v>
      </c>
      <c r="C1966" s="88" t="s">
        <v>1114</v>
      </c>
      <c r="D1966" s="90" t="s">
        <v>17</v>
      </c>
      <c r="E1966" s="90" t="s">
        <v>254</v>
      </c>
      <c r="F1966" s="90" t="s">
        <v>856</v>
      </c>
      <c r="G1966" s="94">
        <v>3</v>
      </c>
      <c r="H1966" s="94">
        <v>270</v>
      </c>
      <c r="I1966" s="91">
        <v>45972</v>
      </c>
      <c r="J1966" s="165">
        <v>0.62777777777777777</v>
      </c>
      <c r="K1966" s="94">
        <v>270</v>
      </c>
      <c r="L1966" s="72" t="str">
        <f t="shared" si="31"/>
        <v>Payé</v>
      </c>
    </row>
    <row r="1967" spans="1:12" ht="15" customHeight="1" x14ac:dyDescent="0.25">
      <c r="A1967" s="90" t="s">
        <v>856</v>
      </c>
      <c r="B1967" s="90">
        <v>2464</v>
      </c>
      <c r="C1967" s="88" t="s">
        <v>717</v>
      </c>
      <c r="D1967" s="90" t="s">
        <v>17</v>
      </c>
      <c r="E1967" s="90" t="s">
        <v>254</v>
      </c>
      <c r="F1967" s="90" t="s">
        <v>856</v>
      </c>
      <c r="G1967" s="94">
        <v>9</v>
      </c>
      <c r="H1967" s="94">
        <v>930</v>
      </c>
      <c r="I1967" s="91">
        <v>45972</v>
      </c>
      <c r="J1967" s="165">
        <v>0.62777777777777777</v>
      </c>
      <c r="K1967" s="94">
        <v>930</v>
      </c>
      <c r="L1967" s="72" t="str">
        <f t="shared" si="31"/>
        <v>Payé</v>
      </c>
    </row>
    <row r="1968" spans="1:12" ht="15" customHeight="1" x14ac:dyDescent="0.25">
      <c r="A1968" s="90" t="s">
        <v>856</v>
      </c>
      <c r="B1968" s="90">
        <v>2465</v>
      </c>
      <c r="C1968" s="88" t="s">
        <v>1116</v>
      </c>
      <c r="D1968" s="90" t="s">
        <v>17</v>
      </c>
      <c r="E1968" s="90" t="s">
        <v>254</v>
      </c>
      <c r="F1968" s="90" t="s">
        <v>856</v>
      </c>
      <c r="G1968" s="94">
        <v>8</v>
      </c>
      <c r="H1968" s="94">
        <v>860</v>
      </c>
      <c r="I1968" s="91">
        <v>45972</v>
      </c>
      <c r="J1968" s="165">
        <v>0.62777777777777777</v>
      </c>
      <c r="K1968" s="94">
        <v>860</v>
      </c>
      <c r="L1968" s="72" t="str">
        <f t="shared" si="31"/>
        <v>Payé</v>
      </c>
    </row>
    <row r="1969" spans="1:12" ht="15" customHeight="1" x14ac:dyDescent="0.25">
      <c r="A1969" s="90" t="s">
        <v>856</v>
      </c>
      <c r="B1969" s="90">
        <v>2497</v>
      </c>
      <c r="C1969" s="88" t="s">
        <v>330</v>
      </c>
      <c r="D1969" s="90" t="s">
        <v>17</v>
      </c>
      <c r="E1969" s="90" t="s">
        <v>254</v>
      </c>
      <c r="F1969" s="90" t="s">
        <v>856</v>
      </c>
      <c r="G1969" s="94">
        <v>9</v>
      </c>
      <c r="H1969" s="94">
        <v>930</v>
      </c>
      <c r="I1969" s="91">
        <v>45972</v>
      </c>
      <c r="J1969" s="165">
        <v>0.62777777777777777</v>
      </c>
      <c r="K1969" s="94">
        <v>930</v>
      </c>
      <c r="L1969" s="72" t="str">
        <f t="shared" si="31"/>
        <v>Payé</v>
      </c>
    </row>
    <row r="1970" spans="1:12" ht="15" customHeight="1" x14ac:dyDescent="0.25">
      <c r="A1970" s="90" t="s">
        <v>856</v>
      </c>
      <c r="B1970" s="90">
        <v>2511</v>
      </c>
      <c r="C1970" s="88" t="s">
        <v>329</v>
      </c>
      <c r="D1970" s="90" t="s">
        <v>17</v>
      </c>
      <c r="E1970" s="90" t="s">
        <v>254</v>
      </c>
      <c r="F1970" s="90" t="s">
        <v>856</v>
      </c>
      <c r="G1970" s="94">
        <v>9</v>
      </c>
      <c r="H1970" s="94">
        <v>1020</v>
      </c>
      <c r="I1970" s="91">
        <v>45972</v>
      </c>
      <c r="J1970" s="165">
        <v>0.62777777777777777</v>
      </c>
      <c r="K1970" s="94">
        <v>1020</v>
      </c>
      <c r="L1970" s="72" t="str">
        <f t="shared" si="31"/>
        <v>Payé</v>
      </c>
    </row>
    <row r="1971" spans="1:12" ht="15" customHeight="1" x14ac:dyDescent="0.25">
      <c r="A1971" s="90" t="s">
        <v>856</v>
      </c>
      <c r="B1971" s="90">
        <v>2699</v>
      </c>
      <c r="C1971" s="88" t="s">
        <v>1235</v>
      </c>
      <c r="D1971" s="90" t="s">
        <v>17</v>
      </c>
      <c r="E1971" s="90" t="s">
        <v>254</v>
      </c>
      <c r="F1971" s="90" t="s">
        <v>856</v>
      </c>
      <c r="G1971" s="94">
        <v>9</v>
      </c>
      <c r="H1971" s="94">
        <v>974</v>
      </c>
      <c r="I1971" s="91">
        <v>45972</v>
      </c>
      <c r="J1971" s="165">
        <v>0.62777777777777777</v>
      </c>
      <c r="K1971" s="94">
        <v>974</v>
      </c>
      <c r="L1971" s="72" t="str">
        <f t="shared" si="31"/>
        <v>Payé</v>
      </c>
    </row>
    <row r="1972" spans="1:12" ht="15" customHeight="1" x14ac:dyDescent="0.25">
      <c r="A1972" s="90" t="s">
        <v>856</v>
      </c>
      <c r="B1972" s="90">
        <v>2751</v>
      </c>
      <c r="C1972" s="88" t="s">
        <v>1117</v>
      </c>
      <c r="D1972" s="90" t="s">
        <v>17</v>
      </c>
      <c r="E1972" s="90" t="s">
        <v>254</v>
      </c>
      <c r="F1972" s="90" t="s">
        <v>856</v>
      </c>
      <c r="G1972" s="94">
        <v>9</v>
      </c>
      <c r="H1972" s="94">
        <v>990</v>
      </c>
      <c r="I1972" s="91">
        <v>45972</v>
      </c>
      <c r="J1972" s="165">
        <v>0.62777777777777777</v>
      </c>
      <c r="K1972" s="94">
        <v>990</v>
      </c>
      <c r="L1972" s="72" t="str">
        <f t="shared" si="31"/>
        <v>Payé</v>
      </c>
    </row>
    <row r="1973" spans="1:12" ht="15" customHeight="1" x14ac:dyDescent="0.25">
      <c r="A1973" s="90" t="s">
        <v>856</v>
      </c>
      <c r="B1973" s="90">
        <v>2885</v>
      </c>
      <c r="C1973" s="88" t="s">
        <v>1122</v>
      </c>
      <c r="D1973" s="90" t="s">
        <v>17</v>
      </c>
      <c r="E1973" s="90" t="s">
        <v>254</v>
      </c>
      <c r="F1973" s="90" t="s">
        <v>856</v>
      </c>
      <c r="G1973" s="94">
        <v>7</v>
      </c>
      <c r="H1973" s="94">
        <v>650</v>
      </c>
      <c r="I1973" s="91">
        <v>45972</v>
      </c>
      <c r="J1973" s="165">
        <v>0.62777777777777777</v>
      </c>
      <c r="K1973" s="94">
        <v>650</v>
      </c>
      <c r="L1973" s="72" t="str">
        <f t="shared" si="31"/>
        <v>Payé</v>
      </c>
    </row>
    <row r="1974" spans="1:12" ht="15" customHeight="1" x14ac:dyDescent="0.25">
      <c r="A1974" s="90" t="s">
        <v>856</v>
      </c>
      <c r="B1974" s="90">
        <v>2953</v>
      </c>
      <c r="C1974" s="88" t="s">
        <v>1146</v>
      </c>
      <c r="D1974" s="90" t="s">
        <v>17</v>
      </c>
      <c r="E1974" s="90" t="s">
        <v>254</v>
      </c>
      <c r="F1974" s="90" t="s">
        <v>856</v>
      </c>
      <c r="G1974" s="94">
        <v>6</v>
      </c>
      <c r="H1974" s="94">
        <v>540</v>
      </c>
      <c r="I1974" s="91">
        <v>45972</v>
      </c>
      <c r="J1974" s="165">
        <v>0.62777777777777777</v>
      </c>
      <c r="K1974" s="94">
        <v>540</v>
      </c>
      <c r="L1974" s="72" t="str">
        <f t="shared" si="31"/>
        <v>Payé</v>
      </c>
    </row>
    <row r="1975" spans="1:12" ht="15" customHeight="1" x14ac:dyDescent="0.25">
      <c r="A1975" s="90" t="s">
        <v>856</v>
      </c>
      <c r="B1975" s="90">
        <v>3518</v>
      </c>
      <c r="C1975" s="88" t="s">
        <v>1061</v>
      </c>
      <c r="D1975" s="90" t="s">
        <v>17</v>
      </c>
      <c r="E1975" s="90" t="s">
        <v>254</v>
      </c>
      <c r="F1975" s="90" t="s">
        <v>856</v>
      </c>
      <c r="G1975" s="94">
        <v>8</v>
      </c>
      <c r="H1975" s="94">
        <v>780</v>
      </c>
      <c r="I1975" s="91">
        <v>45972</v>
      </c>
      <c r="J1975" s="165">
        <v>0.62777777777777777</v>
      </c>
      <c r="K1975" s="94">
        <v>780</v>
      </c>
      <c r="L1975" s="72" t="str">
        <f t="shared" si="31"/>
        <v>Payé</v>
      </c>
    </row>
    <row r="1976" spans="1:12" ht="15" customHeight="1" x14ac:dyDescent="0.25">
      <c r="A1976" s="90" t="s">
        <v>856</v>
      </c>
      <c r="B1976" s="90">
        <v>3930</v>
      </c>
      <c r="C1976" s="88" t="s">
        <v>1241</v>
      </c>
      <c r="D1976" s="90" t="s">
        <v>17</v>
      </c>
      <c r="E1976" s="90" t="s">
        <v>254</v>
      </c>
      <c r="F1976" s="90" t="s">
        <v>856</v>
      </c>
      <c r="G1976" s="94">
        <v>7</v>
      </c>
      <c r="H1976" s="94">
        <v>690</v>
      </c>
      <c r="I1976" s="91">
        <v>45972</v>
      </c>
      <c r="J1976" s="165">
        <v>0.62777777777777777</v>
      </c>
      <c r="K1976" s="94">
        <v>690</v>
      </c>
      <c r="L1976" s="72" t="str">
        <f t="shared" si="31"/>
        <v>Payé</v>
      </c>
    </row>
    <row r="1977" spans="1:12" ht="15" customHeight="1" x14ac:dyDescent="0.25">
      <c r="A1977" s="90" t="s">
        <v>856</v>
      </c>
      <c r="B1977" s="90">
        <v>4120</v>
      </c>
      <c r="C1977" s="88" t="s">
        <v>1243</v>
      </c>
      <c r="D1977" s="90" t="s">
        <v>17</v>
      </c>
      <c r="E1977" s="90" t="s">
        <v>254</v>
      </c>
      <c r="F1977" s="90" t="s">
        <v>856</v>
      </c>
      <c r="G1977" s="94">
        <v>5</v>
      </c>
      <c r="H1977" s="94">
        <v>450</v>
      </c>
      <c r="I1977" s="91">
        <v>45972</v>
      </c>
      <c r="J1977" s="165">
        <v>0.62777777777777777</v>
      </c>
      <c r="K1977" s="94">
        <v>450</v>
      </c>
      <c r="L1977" s="72" t="str">
        <f t="shared" si="31"/>
        <v>Payé</v>
      </c>
    </row>
    <row r="1978" spans="1:12" ht="15" customHeight="1" x14ac:dyDescent="0.25">
      <c r="A1978" s="90" t="s">
        <v>856</v>
      </c>
      <c r="B1978" s="90">
        <v>4759</v>
      </c>
      <c r="C1978" s="88" t="s">
        <v>1150</v>
      </c>
      <c r="D1978" s="90" t="s">
        <v>17</v>
      </c>
      <c r="E1978" s="90" t="s">
        <v>254</v>
      </c>
      <c r="F1978" s="90" t="s">
        <v>856</v>
      </c>
      <c r="G1978" s="94">
        <v>6</v>
      </c>
      <c r="H1978" s="94">
        <v>660</v>
      </c>
      <c r="I1978" s="91">
        <v>45972</v>
      </c>
      <c r="J1978" s="165">
        <v>0.62777777777777777</v>
      </c>
      <c r="K1978" s="94">
        <v>660</v>
      </c>
      <c r="L1978" s="72" t="str">
        <f t="shared" si="31"/>
        <v>Payé</v>
      </c>
    </row>
    <row r="1979" spans="1:12" ht="15" customHeight="1" x14ac:dyDescent="0.25">
      <c r="A1979" s="90" t="s">
        <v>856</v>
      </c>
      <c r="B1979" s="90">
        <v>5096</v>
      </c>
      <c r="C1979" s="88" t="s">
        <v>1247</v>
      </c>
      <c r="D1979" s="90" t="s">
        <v>17</v>
      </c>
      <c r="E1979" s="90" t="s">
        <v>254</v>
      </c>
      <c r="F1979" s="90" t="s">
        <v>856</v>
      </c>
      <c r="G1979" s="94">
        <v>5</v>
      </c>
      <c r="H1979" s="94">
        <v>450</v>
      </c>
      <c r="I1979" s="91">
        <v>45972</v>
      </c>
      <c r="J1979" s="165">
        <v>0.62777777777777777</v>
      </c>
      <c r="K1979" s="94">
        <v>450</v>
      </c>
      <c r="L1979" s="72" t="str">
        <f t="shared" si="31"/>
        <v>Payé</v>
      </c>
    </row>
    <row r="1980" spans="1:12" ht="15" customHeight="1" x14ac:dyDescent="0.25">
      <c r="A1980" s="90" t="s">
        <v>856</v>
      </c>
      <c r="B1980" s="90">
        <v>5359</v>
      </c>
      <c r="C1980" s="88" t="s">
        <v>1059</v>
      </c>
      <c r="D1980" s="90" t="s">
        <v>17</v>
      </c>
      <c r="E1980" s="90" t="s">
        <v>254</v>
      </c>
      <c r="F1980" s="90" t="s">
        <v>856</v>
      </c>
      <c r="G1980" s="94">
        <v>6</v>
      </c>
      <c r="H1980" s="94">
        <v>560</v>
      </c>
      <c r="I1980" s="91">
        <v>45972</v>
      </c>
      <c r="J1980" s="165">
        <v>0.62777777777777777</v>
      </c>
      <c r="K1980" s="94">
        <v>560</v>
      </c>
      <c r="L1980" s="72" t="str">
        <f t="shared" si="31"/>
        <v>Payé</v>
      </c>
    </row>
    <row r="1981" spans="1:12" ht="15" customHeight="1" x14ac:dyDescent="0.25">
      <c r="A1981" s="90" t="s">
        <v>856</v>
      </c>
      <c r="B1981" s="90">
        <v>10025</v>
      </c>
      <c r="C1981" s="88" t="s">
        <v>1171</v>
      </c>
      <c r="D1981" s="90" t="s">
        <v>17</v>
      </c>
      <c r="E1981" s="90" t="s">
        <v>254</v>
      </c>
      <c r="F1981" s="90" t="s">
        <v>856</v>
      </c>
      <c r="G1981" s="94">
        <v>8</v>
      </c>
      <c r="H1981" s="94">
        <v>720</v>
      </c>
      <c r="I1981" s="91">
        <v>45972</v>
      </c>
      <c r="J1981" s="165">
        <v>0.62777777777777777</v>
      </c>
      <c r="K1981" s="94">
        <v>720</v>
      </c>
      <c r="L1981" s="72" t="str">
        <f t="shared" si="31"/>
        <v>Payé</v>
      </c>
    </row>
    <row r="1982" spans="1:12" ht="15" customHeight="1" x14ac:dyDescent="0.25">
      <c r="A1982" s="90" t="s">
        <v>856</v>
      </c>
      <c r="B1982" s="90">
        <v>10065</v>
      </c>
      <c r="C1982" s="88" t="s">
        <v>1229</v>
      </c>
      <c r="D1982" s="90" t="s">
        <v>17</v>
      </c>
      <c r="E1982" s="90" t="s">
        <v>254</v>
      </c>
      <c r="F1982" s="90" t="s">
        <v>856</v>
      </c>
      <c r="G1982" s="94">
        <v>9</v>
      </c>
      <c r="H1982" s="94">
        <v>830</v>
      </c>
      <c r="I1982" s="91">
        <v>45972</v>
      </c>
      <c r="J1982" s="165">
        <v>0.62777777777777777</v>
      </c>
      <c r="K1982" s="94">
        <v>830</v>
      </c>
      <c r="L1982" s="72" t="str">
        <f t="shared" si="31"/>
        <v>Payé</v>
      </c>
    </row>
    <row r="1983" spans="1:12" ht="15" customHeight="1" x14ac:dyDescent="0.25">
      <c r="A1983" s="90" t="s">
        <v>856</v>
      </c>
      <c r="B1983" s="90">
        <v>10068</v>
      </c>
      <c r="C1983" s="88" t="s">
        <v>1231</v>
      </c>
      <c r="D1983" s="90" t="s">
        <v>17</v>
      </c>
      <c r="E1983" s="90" t="s">
        <v>254</v>
      </c>
      <c r="F1983" s="90" t="s">
        <v>856</v>
      </c>
      <c r="G1983" s="94">
        <v>1</v>
      </c>
      <c r="H1983" s="94">
        <v>90</v>
      </c>
      <c r="I1983" s="91">
        <v>45972</v>
      </c>
      <c r="J1983" s="165">
        <v>0.62777777777777777</v>
      </c>
      <c r="K1983" s="94">
        <v>90</v>
      </c>
      <c r="L1983" s="72" t="str">
        <f t="shared" si="31"/>
        <v>Payé</v>
      </c>
    </row>
    <row r="1984" spans="1:12" ht="15" customHeight="1" x14ac:dyDescent="0.25">
      <c r="A1984" s="90" t="s">
        <v>856</v>
      </c>
      <c r="B1984" s="90">
        <v>10082</v>
      </c>
      <c r="C1984" s="88" t="s">
        <v>1259</v>
      </c>
      <c r="D1984" s="90" t="s">
        <v>17</v>
      </c>
      <c r="E1984" s="90" t="s">
        <v>254</v>
      </c>
      <c r="F1984" s="90" t="s">
        <v>856</v>
      </c>
      <c r="G1984" s="94">
        <v>5</v>
      </c>
      <c r="H1984" s="94">
        <v>450</v>
      </c>
      <c r="I1984" s="91">
        <v>45972</v>
      </c>
      <c r="J1984" s="165">
        <v>0.62777777777777777</v>
      </c>
      <c r="K1984" s="94">
        <v>450</v>
      </c>
      <c r="L1984" s="72" t="str">
        <f t="shared" si="31"/>
        <v>Payé</v>
      </c>
    </row>
    <row r="1985" spans="1:12" ht="15" customHeight="1" x14ac:dyDescent="0.25">
      <c r="A1985" s="90" t="s">
        <v>856</v>
      </c>
      <c r="B1985" s="90">
        <v>10101</v>
      </c>
      <c r="C1985" s="88" t="s">
        <v>1273</v>
      </c>
      <c r="D1985" s="90" t="s">
        <v>17</v>
      </c>
      <c r="E1985" s="90" t="s">
        <v>254</v>
      </c>
      <c r="F1985" s="90" t="s">
        <v>856</v>
      </c>
      <c r="G1985" s="94">
        <v>5</v>
      </c>
      <c r="H1985" s="94">
        <v>450</v>
      </c>
      <c r="I1985" s="91">
        <v>45972</v>
      </c>
      <c r="J1985" s="165">
        <v>0.62777777777777777</v>
      </c>
      <c r="K1985" s="94">
        <v>450</v>
      </c>
      <c r="L1985" s="72" t="str">
        <f t="shared" si="31"/>
        <v>Payé</v>
      </c>
    </row>
    <row r="1986" spans="1:12" ht="15" customHeight="1" x14ac:dyDescent="0.25">
      <c r="A1986" s="90" t="s">
        <v>856</v>
      </c>
      <c r="B1986" s="90">
        <v>10102</v>
      </c>
      <c r="C1986" s="88" t="s">
        <v>1274</v>
      </c>
      <c r="D1986" s="90" t="s">
        <v>17</v>
      </c>
      <c r="E1986" s="90" t="s">
        <v>254</v>
      </c>
      <c r="F1986" s="90" t="s">
        <v>856</v>
      </c>
      <c r="G1986" s="94">
        <v>5</v>
      </c>
      <c r="H1986" s="94">
        <v>450</v>
      </c>
      <c r="I1986" s="91">
        <v>45972</v>
      </c>
      <c r="J1986" s="165">
        <v>0.62777777777777777</v>
      </c>
      <c r="K1986" s="94">
        <v>450</v>
      </c>
      <c r="L1986" s="72" t="str">
        <f t="shared" si="31"/>
        <v>Payé</v>
      </c>
    </row>
    <row r="1987" spans="1:12" ht="15" customHeight="1" x14ac:dyDescent="0.25">
      <c r="A1987" s="90" t="s">
        <v>856</v>
      </c>
      <c r="B1987" s="90"/>
      <c r="C1987" s="88" t="s">
        <v>1188</v>
      </c>
      <c r="D1987" s="89" t="s">
        <v>910</v>
      </c>
      <c r="E1987" s="90" t="s">
        <v>254</v>
      </c>
      <c r="F1987" s="90" t="s">
        <v>856</v>
      </c>
      <c r="G1987" s="95">
        <v>139</v>
      </c>
      <c r="H1987" s="92">
        <v>4170</v>
      </c>
      <c r="I1987" s="91">
        <v>45972</v>
      </c>
      <c r="J1987" s="165">
        <v>0.62777777777777777</v>
      </c>
      <c r="K1987" s="92">
        <v>4170</v>
      </c>
      <c r="L1987" s="72" t="str">
        <f t="shared" si="31"/>
        <v>Payé</v>
      </c>
    </row>
    <row r="1988" spans="1:12" ht="15" customHeight="1" x14ac:dyDescent="0.25">
      <c r="A1988" s="90" t="s">
        <v>856</v>
      </c>
      <c r="B1988" s="90"/>
      <c r="C1988" s="88" t="s">
        <v>406</v>
      </c>
      <c r="D1988" s="89" t="s">
        <v>910</v>
      </c>
      <c r="E1988" s="90" t="s">
        <v>1191</v>
      </c>
      <c r="F1988" s="90" t="s">
        <v>856</v>
      </c>
      <c r="G1988" s="95">
        <v>90</v>
      </c>
      <c r="H1988" s="92">
        <v>2700</v>
      </c>
      <c r="I1988" s="91">
        <v>45972</v>
      </c>
      <c r="J1988" s="165">
        <v>0.60972222222222217</v>
      </c>
      <c r="K1988" s="92">
        <v>2700</v>
      </c>
      <c r="L1988" s="72" t="str">
        <f t="shared" si="31"/>
        <v>Payé</v>
      </c>
    </row>
    <row r="1989" spans="1:12" ht="15" customHeight="1" x14ac:dyDescent="0.25">
      <c r="A1989" s="90" t="s">
        <v>856</v>
      </c>
      <c r="B1989" s="90">
        <v>5136</v>
      </c>
      <c r="C1989" s="88" t="s">
        <v>1067</v>
      </c>
      <c r="D1989" s="90" t="s">
        <v>17</v>
      </c>
      <c r="E1989" s="90" t="s">
        <v>1104</v>
      </c>
      <c r="F1989" s="90" t="s">
        <v>856</v>
      </c>
      <c r="G1989" s="94">
        <v>11</v>
      </c>
      <c r="H1989" s="94">
        <v>1000</v>
      </c>
      <c r="I1989" s="91">
        <v>45972</v>
      </c>
      <c r="J1989" s="165">
        <v>0.67847222222222225</v>
      </c>
      <c r="K1989" s="94">
        <v>1000</v>
      </c>
      <c r="L1989" s="72" t="str">
        <f t="shared" si="31"/>
        <v>Payé</v>
      </c>
    </row>
    <row r="1990" spans="1:12" ht="15" customHeight="1" x14ac:dyDescent="0.25">
      <c r="A1990" s="90" t="s">
        <v>856</v>
      </c>
      <c r="B1990" s="90">
        <v>5212</v>
      </c>
      <c r="C1990" s="88" t="s">
        <v>1070</v>
      </c>
      <c r="D1990" s="90" t="s">
        <v>17</v>
      </c>
      <c r="E1990" s="90" t="s">
        <v>1104</v>
      </c>
      <c r="F1990" s="90" t="s">
        <v>856</v>
      </c>
      <c r="G1990" s="94">
        <v>6</v>
      </c>
      <c r="H1990" s="94">
        <v>540</v>
      </c>
      <c r="I1990" s="91">
        <v>45973</v>
      </c>
      <c r="J1990" s="165">
        <v>0.46736111111111112</v>
      </c>
      <c r="K1990" s="94">
        <v>540</v>
      </c>
      <c r="L1990" s="72" t="str">
        <f t="shared" si="31"/>
        <v>Payé</v>
      </c>
    </row>
    <row r="1991" spans="1:12" ht="15" customHeight="1" x14ac:dyDescent="0.25">
      <c r="A1991" s="90" t="s">
        <v>856</v>
      </c>
      <c r="B1991" s="90">
        <v>5305</v>
      </c>
      <c r="C1991" s="88" t="s">
        <v>1016</v>
      </c>
      <c r="D1991" s="90" t="s">
        <v>17</v>
      </c>
      <c r="E1991" s="90" t="s">
        <v>1104</v>
      </c>
      <c r="F1991" s="90" t="s">
        <v>856</v>
      </c>
      <c r="G1991" s="94">
        <v>5</v>
      </c>
      <c r="H1991" s="94">
        <v>450</v>
      </c>
      <c r="I1991" s="91">
        <v>45972</v>
      </c>
      <c r="J1991" s="165">
        <v>0.67847222222222225</v>
      </c>
      <c r="K1991" s="94">
        <v>450</v>
      </c>
      <c r="L1991" s="72" t="str">
        <f t="shared" si="31"/>
        <v>Payé</v>
      </c>
    </row>
    <row r="1992" spans="1:12" ht="15" customHeight="1" x14ac:dyDescent="0.25">
      <c r="A1992" s="90" t="s">
        <v>856</v>
      </c>
      <c r="B1992" s="90">
        <v>5355</v>
      </c>
      <c r="C1992" s="88" t="s">
        <v>1090</v>
      </c>
      <c r="D1992" s="90" t="s">
        <v>17</v>
      </c>
      <c r="E1992" s="90" t="s">
        <v>1104</v>
      </c>
      <c r="F1992" s="90" t="s">
        <v>856</v>
      </c>
      <c r="G1992" s="94">
        <v>10</v>
      </c>
      <c r="H1992" s="94">
        <v>910</v>
      </c>
      <c r="I1992" s="91">
        <v>45972</v>
      </c>
      <c r="J1992" s="165">
        <v>0.68194444444444446</v>
      </c>
      <c r="K1992" s="94">
        <v>910</v>
      </c>
      <c r="L1992" s="72" t="str">
        <f t="shared" si="31"/>
        <v>Payé</v>
      </c>
    </row>
    <row r="1993" spans="1:12" ht="15" customHeight="1" x14ac:dyDescent="0.25">
      <c r="A1993" s="90" t="s">
        <v>856</v>
      </c>
      <c r="B1993" s="90">
        <v>10028</v>
      </c>
      <c r="C1993" s="88" t="s">
        <v>1174</v>
      </c>
      <c r="D1993" s="90" t="s">
        <v>17</v>
      </c>
      <c r="E1993" s="90" t="s">
        <v>1104</v>
      </c>
      <c r="F1993" s="90" t="s">
        <v>856</v>
      </c>
      <c r="G1993" s="94">
        <v>1</v>
      </c>
      <c r="H1993" s="94">
        <v>90</v>
      </c>
      <c r="I1993" s="91">
        <v>45972</v>
      </c>
      <c r="J1993" s="165">
        <v>0.68194444444444446</v>
      </c>
      <c r="K1993" s="94">
        <v>90</v>
      </c>
      <c r="L1993" s="72" t="str">
        <f t="shared" si="31"/>
        <v>Payé</v>
      </c>
    </row>
    <row r="1994" spans="1:12" ht="15" customHeight="1" x14ac:dyDescent="0.25">
      <c r="A1994" s="90" t="s">
        <v>856</v>
      </c>
      <c r="B1994" s="90">
        <v>10043</v>
      </c>
      <c r="C1994" s="88" t="s">
        <v>1214</v>
      </c>
      <c r="D1994" s="90" t="s">
        <v>17</v>
      </c>
      <c r="E1994" s="90" t="s">
        <v>1104</v>
      </c>
      <c r="F1994" s="90" t="s">
        <v>856</v>
      </c>
      <c r="G1994" s="94">
        <v>11</v>
      </c>
      <c r="H1994" s="94">
        <v>990</v>
      </c>
      <c r="I1994" s="91">
        <v>45972</v>
      </c>
      <c r="J1994" s="165">
        <v>0.68194444444444446</v>
      </c>
      <c r="K1994" s="94">
        <v>990</v>
      </c>
      <c r="L1994" s="72" t="str">
        <f t="shared" si="31"/>
        <v>Payé</v>
      </c>
    </row>
    <row r="1995" spans="1:12" ht="15" customHeight="1" x14ac:dyDescent="0.25">
      <c r="A1995" s="90" t="s">
        <v>856</v>
      </c>
      <c r="B1995" s="90">
        <v>10044</v>
      </c>
      <c r="C1995" s="88" t="s">
        <v>1215</v>
      </c>
      <c r="D1995" s="90" t="s">
        <v>17</v>
      </c>
      <c r="E1995" s="90" t="s">
        <v>1104</v>
      </c>
      <c r="F1995" s="90" t="s">
        <v>856</v>
      </c>
      <c r="G1995" s="94">
        <v>9</v>
      </c>
      <c r="H1995" s="94">
        <v>810</v>
      </c>
      <c r="I1995" s="91">
        <v>45972</v>
      </c>
      <c r="J1995" s="165">
        <v>0.68194444444444446</v>
      </c>
      <c r="K1995" s="94">
        <v>810</v>
      </c>
      <c r="L1995" s="72" t="str">
        <f t="shared" si="31"/>
        <v>Payé</v>
      </c>
    </row>
    <row r="1996" spans="1:12" ht="15" customHeight="1" x14ac:dyDescent="0.25">
      <c r="A1996" s="90" t="s">
        <v>856</v>
      </c>
      <c r="B1996" s="90">
        <v>10048</v>
      </c>
      <c r="C1996" s="88" t="s">
        <v>1218</v>
      </c>
      <c r="D1996" s="90" t="s">
        <v>17</v>
      </c>
      <c r="E1996" s="90" t="s">
        <v>1104</v>
      </c>
      <c r="F1996" s="90" t="s">
        <v>856</v>
      </c>
      <c r="G1996" s="94">
        <v>12</v>
      </c>
      <c r="H1996" s="94">
        <v>1120</v>
      </c>
      <c r="I1996" s="91">
        <v>45972</v>
      </c>
      <c r="J1996" s="165">
        <v>0.68194444444444446</v>
      </c>
      <c r="K1996" s="94">
        <v>1120</v>
      </c>
      <c r="L1996" s="72" t="str">
        <f t="shared" si="31"/>
        <v>Payé</v>
      </c>
    </row>
    <row r="1997" spans="1:12" ht="15" customHeight="1" x14ac:dyDescent="0.25">
      <c r="A1997" s="90" t="s">
        <v>856</v>
      </c>
      <c r="B1997" s="90">
        <v>10049</v>
      </c>
      <c r="C1997" s="88" t="s">
        <v>1219</v>
      </c>
      <c r="D1997" s="90" t="s">
        <v>17</v>
      </c>
      <c r="E1997" s="90" t="s">
        <v>1104</v>
      </c>
      <c r="F1997" s="90" t="s">
        <v>856</v>
      </c>
      <c r="G1997" s="94">
        <v>12</v>
      </c>
      <c r="H1997" s="94">
        <v>1080</v>
      </c>
      <c r="I1997" s="91">
        <v>45973</v>
      </c>
      <c r="J1997" s="165">
        <v>0.53194444444444444</v>
      </c>
      <c r="K1997" s="94">
        <v>1080</v>
      </c>
      <c r="L1997" s="72" t="str">
        <f t="shared" si="31"/>
        <v>Payé</v>
      </c>
    </row>
    <row r="1998" spans="1:12" ht="15" customHeight="1" x14ac:dyDescent="0.25">
      <c r="A1998" s="90" t="s">
        <v>856</v>
      </c>
      <c r="B1998" s="90">
        <v>10054</v>
      </c>
      <c r="C1998" s="88" t="s">
        <v>1222</v>
      </c>
      <c r="D1998" s="90" t="s">
        <v>17</v>
      </c>
      <c r="E1998" s="90" t="s">
        <v>1104</v>
      </c>
      <c r="F1998" s="90" t="s">
        <v>856</v>
      </c>
      <c r="G1998" s="94">
        <v>13</v>
      </c>
      <c r="H1998" s="94">
        <v>1180</v>
      </c>
      <c r="I1998" s="91">
        <v>45972</v>
      </c>
      <c r="J1998" s="165">
        <v>0.68194444444444446</v>
      </c>
      <c r="K1998" s="94">
        <v>1180</v>
      </c>
      <c r="L1998" s="72" t="str">
        <f t="shared" si="31"/>
        <v>Payé</v>
      </c>
    </row>
    <row r="1999" spans="1:12" ht="15" customHeight="1" x14ac:dyDescent="0.25">
      <c r="A1999" s="90" t="s">
        <v>859</v>
      </c>
      <c r="B1999" s="90">
        <v>3627</v>
      </c>
      <c r="C1999" s="88" t="s">
        <v>566</v>
      </c>
      <c r="D1999" s="90" t="s">
        <v>17</v>
      </c>
      <c r="E1999" s="90" t="s">
        <v>649</v>
      </c>
      <c r="F1999" s="90" t="s">
        <v>859</v>
      </c>
      <c r="G1999" s="137">
        <v>2</v>
      </c>
      <c r="H1999" s="94">
        <v>180</v>
      </c>
      <c r="I1999" s="91">
        <v>46035</v>
      </c>
      <c r="J1999" s="165">
        <v>0.44305555555555554</v>
      </c>
      <c r="K1999" s="94">
        <v>180</v>
      </c>
      <c r="L1999" s="72" t="str">
        <f t="shared" si="31"/>
        <v>Payé</v>
      </c>
    </row>
    <row r="2000" spans="1:12" ht="15" customHeight="1" x14ac:dyDescent="0.25">
      <c r="A2000" s="90" t="s">
        <v>859</v>
      </c>
      <c r="B2000" s="90">
        <v>10155</v>
      </c>
      <c r="C2000" s="88" t="s">
        <v>1336</v>
      </c>
      <c r="D2000" s="90" t="s">
        <v>17</v>
      </c>
      <c r="E2000" s="90" t="s">
        <v>649</v>
      </c>
      <c r="F2000" s="90" t="s">
        <v>859</v>
      </c>
      <c r="G2000" s="137">
        <v>5</v>
      </c>
      <c r="H2000" s="94">
        <v>450</v>
      </c>
      <c r="I2000" s="91">
        <v>46016</v>
      </c>
      <c r="J2000" s="165">
        <v>0.64861111111111114</v>
      </c>
      <c r="K2000" s="94">
        <v>450</v>
      </c>
      <c r="L2000" s="72" t="str">
        <f t="shared" si="31"/>
        <v>Payé</v>
      </c>
    </row>
    <row r="2001" spans="1:12" ht="15" customHeight="1" x14ac:dyDescent="0.25">
      <c r="A2001" s="90" t="s">
        <v>859</v>
      </c>
      <c r="B2001" s="90">
        <v>10162</v>
      </c>
      <c r="C2001" s="88" t="s">
        <v>1277</v>
      </c>
      <c r="D2001" s="90" t="s">
        <v>17</v>
      </c>
      <c r="E2001" s="90" t="s">
        <v>649</v>
      </c>
      <c r="F2001" s="90" t="s">
        <v>859</v>
      </c>
      <c r="G2001" s="137">
        <v>5</v>
      </c>
      <c r="H2001" s="94">
        <v>450</v>
      </c>
      <c r="I2001" s="91">
        <v>46016</v>
      </c>
      <c r="J2001" s="165">
        <v>0.64861111111111114</v>
      </c>
      <c r="K2001" s="94">
        <v>450</v>
      </c>
      <c r="L2001" s="72" t="str">
        <f t="shared" si="31"/>
        <v>Payé</v>
      </c>
    </row>
    <row r="2002" spans="1:12" ht="15" customHeight="1" x14ac:dyDescent="0.25">
      <c r="A2002" s="90" t="s">
        <v>859</v>
      </c>
      <c r="B2002" s="90">
        <v>10163</v>
      </c>
      <c r="C2002" s="88" t="s">
        <v>1342</v>
      </c>
      <c r="D2002" s="90" t="s">
        <v>17</v>
      </c>
      <c r="E2002" s="90" t="s">
        <v>649</v>
      </c>
      <c r="F2002" s="90" t="s">
        <v>859</v>
      </c>
      <c r="G2002" s="137">
        <v>6</v>
      </c>
      <c r="H2002" s="94">
        <v>540</v>
      </c>
      <c r="I2002" s="91">
        <v>46016</v>
      </c>
      <c r="J2002" s="165">
        <v>0.64861111111111114</v>
      </c>
      <c r="K2002" s="94">
        <v>540</v>
      </c>
      <c r="L2002" s="72" t="str">
        <f t="shared" si="31"/>
        <v>Payé</v>
      </c>
    </row>
    <row r="2003" spans="1:12" ht="15" customHeight="1" x14ac:dyDescent="0.25">
      <c r="A2003" s="90" t="s">
        <v>859</v>
      </c>
      <c r="B2003" s="90"/>
      <c r="C2003" s="88" t="s">
        <v>1346</v>
      </c>
      <c r="D2003" s="89" t="s">
        <v>910</v>
      </c>
      <c r="E2003" s="90" t="s">
        <v>649</v>
      </c>
      <c r="F2003" s="90" t="s">
        <v>859</v>
      </c>
      <c r="G2003" s="95">
        <v>189</v>
      </c>
      <c r="H2003" s="92">
        <v>5670</v>
      </c>
      <c r="I2003" s="91">
        <v>46014</v>
      </c>
      <c r="J2003" s="165">
        <v>0.67013888888888884</v>
      </c>
      <c r="K2003" s="92">
        <v>5670</v>
      </c>
      <c r="L2003" s="72" t="str">
        <f t="shared" si="31"/>
        <v>Payé</v>
      </c>
    </row>
    <row r="2004" spans="1:12" ht="15" customHeight="1" x14ac:dyDescent="0.25">
      <c r="A2004" s="91" t="s">
        <v>850</v>
      </c>
      <c r="B2004" s="90">
        <v>2436</v>
      </c>
      <c r="C2004" s="88" t="s">
        <v>405</v>
      </c>
      <c r="D2004" s="90" t="s">
        <v>17</v>
      </c>
      <c r="E2004" s="90" t="s">
        <v>649</v>
      </c>
      <c r="F2004" s="91" t="s">
        <v>850</v>
      </c>
      <c r="G2004" s="95">
        <v>8</v>
      </c>
      <c r="H2004" s="94">
        <v>714</v>
      </c>
      <c r="I2004" s="91">
        <v>45881</v>
      </c>
      <c r="J2004" s="165">
        <v>0.66388888888888886</v>
      </c>
      <c r="K2004" s="94">
        <v>714</v>
      </c>
      <c r="L2004" s="72" t="str">
        <f t="shared" si="31"/>
        <v>Payé</v>
      </c>
    </row>
    <row r="2005" spans="1:12" ht="15" customHeight="1" x14ac:dyDescent="0.25">
      <c r="A2005" s="91" t="s">
        <v>850</v>
      </c>
      <c r="B2005" s="90">
        <v>3010</v>
      </c>
      <c r="C2005" s="88" t="s">
        <v>549</v>
      </c>
      <c r="D2005" s="90" t="s">
        <v>17</v>
      </c>
      <c r="E2005" s="90" t="s">
        <v>649</v>
      </c>
      <c r="F2005" s="91" t="s">
        <v>850</v>
      </c>
      <c r="G2005" s="95">
        <v>10</v>
      </c>
      <c r="H2005" s="94">
        <v>867</v>
      </c>
      <c r="I2005" s="91">
        <v>45881</v>
      </c>
      <c r="J2005" s="165">
        <v>0.66388888888888886</v>
      </c>
      <c r="K2005" s="94">
        <v>867</v>
      </c>
      <c r="L2005" s="72" t="str">
        <f t="shared" si="31"/>
        <v>Payé</v>
      </c>
    </row>
    <row r="2006" spans="1:12" ht="15" customHeight="1" x14ac:dyDescent="0.25">
      <c r="A2006" s="91" t="s">
        <v>850</v>
      </c>
      <c r="B2006" s="90">
        <v>3020</v>
      </c>
      <c r="C2006" s="88" t="s">
        <v>693</v>
      </c>
      <c r="D2006" s="90" t="s">
        <v>17</v>
      </c>
      <c r="E2006" s="90" t="s">
        <v>649</v>
      </c>
      <c r="F2006" s="91" t="s">
        <v>850</v>
      </c>
      <c r="G2006" s="95">
        <v>1</v>
      </c>
      <c r="H2006" s="94">
        <v>87</v>
      </c>
      <c r="I2006" s="91">
        <v>45881</v>
      </c>
      <c r="J2006" s="165">
        <v>0.66388888888888886</v>
      </c>
      <c r="K2006" s="94">
        <v>87</v>
      </c>
      <c r="L2006" s="72" t="str">
        <f t="shared" si="31"/>
        <v>Payé</v>
      </c>
    </row>
    <row r="2007" spans="1:12" ht="15" customHeight="1" x14ac:dyDescent="0.25">
      <c r="A2007" s="91" t="s">
        <v>850</v>
      </c>
      <c r="B2007" s="90">
        <v>3075</v>
      </c>
      <c r="C2007" s="88" t="s">
        <v>550</v>
      </c>
      <c r="D2007" s="90" t="s">
        <v>17</v>
      </c>
      <c r="E2007" s="90" t="s">
        <v>649</v>
      </c>
      <c r="F2007" s="91" t="s">
        <v>850</v>
      </c>
      <c r="G2007" s="95">
        <v>1</v>
      </c>
      <c r="H2007" s="94">
        <v>87</v>
      </c>
      <c r="I2007" s="91">
        <v>45881</v>
      </c>
      <c r="J2007" s="165">
        <v>0.66388888888888886</v>
      </c>
      <c r="K2007" s="94">
        <v>87</v>
      </c>
      <c r="L2007" s="72" t="str">
        <f t="shared" si="31"/>
        <v>Payé</v>
      </c>
    </row>
    <row r="2008" spans="1:12" ht="15" customHeight="1" x14ac:dyDescent="0.25">
      <c r="A2008" s="91" t="s">
        <v>850</v>
      </c>
      <c r="B2008" s="90">
        <v>3078</v>
      </c>
      <c r="C2008" s="88" t="s">
        <v>375</v>
      </c>
      <c r="D2008" s="90" t="s">
        <v>17</v>
      </c>
      <c r="E2008" s="90" t="s">
        <v>649</v>
      </c>
      <c r="F2008" s="91" t="s">
        <v>850</v>
      </c>
      <c r="G2008" s="95">
        <v>4</v>
      </c>
      <c r="H2008" s="94">
        <v>347</v>
      </c>
      <c r="I2008" s="91">
        <v>45881</v>
      </c>
      <c r="J2008" s="165">
        <v>0.66388888888888886</v>
      </c>
      <c r="K2008" s="94">
        <v>347</v>
      </c>
      <c r="L2008" s="72" t="str">
        <f t="shared" si="31"/>
        <v>Payé</v>
      </c>
    </row>
    <row r="2009" spans="1:12" ht="15" customHeight="1" x14ac:dyDescent="0.25">
      <c r="A2009" s="91" t="s">
        <v>850</v>
      </c>
      <c r="B2009" s="90">
        <v>3086</v>
      </c>
      <c r="C2009" s="88" t="s">
        <v>551</v>
      </c>
      <c r="D2009" s="90" t="s">
        <v>17</v>
      </c>
      <c r="E2009" s="90" t="s">
        <v>649</v>
      </c>
      <c r="F2009" s="91" t="s">
        <v>850</v>
      </c>
      <c r="G2009" s="95">
        <v>11</v>
      </c>
      <c r="H2009" s="94">
        <v>954</v>
      </c>
      <c r="I2009" s="91">
        <v>45881</v>
      </c>
      <c r="J2009" s="165">
        <v>0.66388888888888886</v>
      </c>
      <c r="K2009" s="94">
        <v>954</v>
      </c>
      <c r="L2009" s="72" t="str">
        <f t="shared" si="31"/>
        <v>Payé</v>
      </c>
    </row>
    <row r="2010" spans="1:12" ht="15" customHeight="1" x14ac:dyDescent="0.25">
      <c r="A2010" s="91" t="s">
        <v>850</v>
      </c>
      <c r="B2010" s="90">
        <v>3130</v>
      </c>
      <c r="C2010" s="88" t="s">
        <v>553</v>
      </c>
      <c r="D2010" s="90" t="s">
        <v>17</v>
      </c>
      <c r="E2010" s="90" t="s">
        <v>649</v>
      </c>
      <c r="F2010" s="91" t="s">
        <v>850</v>
      </c>
      <c r="G2010" s="95">
        <v>11</v>
      </c>
      <c r="H2010" s="94">
        <v>954</v>
      </c>
      <c r="I2010" s="91">
        <v>45881</v>
      </c>
      <c r="J2010" s="165">
        <v>0.66388888888888886</v>
      </c>
      <c r="K2010" s="94">
        <v>954</v>
      </c>
      <c r="L2010" s="72" t="str">
        <f t="shared" si="31"/>
        <v>Payé</v>
      </c>
    </row>
    <row r="2011" spans="1:12" ht="15" customHeight="1" x14ac:dyDescent="0.25">
      <c r="A2011" s="91" t="s">
        <v>850</v>
      </c>
      <c r="B2011" s="90">
        <v>3133</v>
      </c>
      <c r="C2011" s="88" t="s">
        <v>554</v>
      </c>
      <c r="D2011" s="90" t="s">
        <v>17</v>
      </c>
      <c r="E2011" s="90" t="s">
        <v>649</v>
      </c>
      <c r="F2011" s="91" t="s">
        <v>850</v>
      </c>
      <c r="G2011" s="95">
        <v>3</v>
      </c>
      <c r="H2011" s="94">
        <v>260</v>
      </c>
      <c r="I2011" s="91">
        <v>45881</v>
      </c>
      <c r="J2011" s="165">
        <v>0.66388888888888886</v>
      </c>
      <c r="K2011" s="94">
        <v>260</v>
      </c>
      <c r="L2011" s="72" t="str">
        <f t="shared" si="31"/>
        <v>Payé</v>
      </c>
    </row>
    <row r="2012" spans="1:12" ht="15" customHeight="1" x14ac:dyDescent="0.25">
      <c r="A2012" s="91" t="s">
        <v>850</v>
      </c>
      <c r="B2012" s="90">
        <v>3136</v>
      </c>
      <c r="C2012" s="88" t="s">
        <v>377</v>
      </c>
      <c r="D2012" s="90" t="s">
        <v>17</v>
      </c>
      <c r="E2012" s="90" t="s">
        <v>649</v>
      </c>
      <c r="F2012" s="91" t="s">
        <v>850</v>
      </c>
      <c r="G2012" s="95">
        <v>5</v>
      </c>
      <c r="H2012" s="94">
        <v>434</v>
      </c>
      <c r="I2012" s="91">
        <v>45881</v>
      </c>
      <c r="J2012" s="165">
        <v>0.66388888888888886</v>
      </c>
      <c r="K2012" s="94">
        <v>434</v>
      </c>
      <c r="L2012" s="72" t="str">
        <f t="shared" si="31"/>
        <v>Payé</v>
      </c>
    </row>
    <row r="2013" spans="1:12" ht="15" customHeight="1" x14ac:dyDescent="0.25">
      <c r="A2013" s="91" t="s">
        <v>850</v>
      </c>
      <c r="B2013" s="90">
        <v>3627</v>
      </c>
      <c r="C2013" s="88" t="s">
        <v>566</v>
      </c>
      <c r="D2013" s="90" t="s">
        <v>17</v>
      </c>
      <c r="E2013" s="90" t="s">
        <v>649</v>
      </c>
      <c r="F2013" s="91" t="s">
        <v>850</v>
      </c>
      <c r="G2013" s="95">
        <v>7</v>
      </c>
      <c r="H2013" s="94">
        <v>607</v>
      </c>
      <c r="I2013" s="91">
        <v>45881</v>
      </c>
      <c r="J2013" s="165">
        <v>0.66388888888888886</v>
      </c>
      <c r="K2013" s="94">
        <v>607</v>
      </c>
      <c r="L2013" s="72" t="str">
        <f t="shared" si="31"/>
        <v>Payé</v>
      </c>
    </row>
    <row r="2014" spans="1:12" ht="15" customHeight="1" x14ac:dyDescent="0.25">
      <c r="A2014" s="91" t="s">
        <v>850</v>
      </c>
      <c r="B2014" s="90">
        <v>4102</v>
      </c>
      <c r="C2014" s="88" t="s">
        <v>579</v>
      </c>
      <c r="D2014" s="90" t="s">
        <v>17</v>
      </c>
      <c r="E2014" s="90" t="s">
        <v>649</v>
      </c>
      <c r="F2014" s="91" t="s">
        <v>850</v>
      </c>
      <c r="G2014" s="95">
        <v>7</v>
      </c>
      <c r="H2014" s="94">
        <v>607</v>
      </c>
      <c r="I2014" s="91">
        <v>45881</v>
      </c>
      <c r="J2014" s="165">
        <v>0.66388888888888886</v>
      </c>
      <c r="K2014" s="94">
        <v>607</v>
      </c>
      <c r="L2014" s="72" t="str">
        <f t="shared" ref="L2014:L2077" si="32">IF(ISBLANK(H2014),"",IF(H2014=K2014,"Payé","Impayé"))</f>
        <v>Payé</v>
      </c>
    </row>
    <row r="2015" spans="1:12" ht="15" customHeight="1" x14ac:dyDescent="0.25">
      <c r="A2015" s="91" t="s">
        <v>850</v>
      </c>
      <c r="B2015" s="90">
        <v>4177</v>
      </c>
      <c r="C2015" s="88" t="s">
        <v>582</v>
      </c>
      <c r="D2015" s="90" t="s">
        <v>17</v>
      </c>
      <c r="E2015" s="90" t="s">
        <v>649</v>
      </c>
      <c r="F2015" s="91" t="s">
        <v>850</v>
      </c>
      <c r="G2015" s="95">
        <v>9.5</v>
      </c>
      <c r="H2015" s="94">
        <v>824</v>
      </c>
      <c r="I2015" s="91">
        <v>45881</v>
      </c>
      <c r="J2015" s="165">
        <v>0.66388888888888886</v>
      </c>
      <c r="K2015" s="94">
        <v>824</v>
      </c>
      <c r="L2015" s="72" t="str">
        <f t="shared" si="32"/>
        <v>Payé</v>
      </c>
    </row>
    <row r="2016" spans="1:12" ht="15" customHeight="1" x14ac:dyDescent="0.25">
      <c r="A2016" s="90" t="s">
        <v>856</v>
      </c>
      <c r="B2016" s="90">
        <v>231</v>
      </c>
      <c r="C2016" s="88" t="s">
        <v>628</v>
      </c>
      <c r="D2016" s="90" t="s">
        <v>17</v>
      </c>
      <c r="E2016" s="90" t="s">
        <v>628</v>
      </c>
      <c r="F2016" s="90" t="s">
        <v>856</v>
      </c>
      <c r="G2016" s="94">
        <v>2</v>
      </c>
      <c r="H2016" s="94">
        <v>182</v>
      </c>
      <c r="I2016" s="91">
        <v>45972</v>
      </c>
      <c r="J2016" s="165">
        <v>0.69861111111111107</v>
      </c>
      <c r="K2016" s="94">
        <v>182</v>
      </c>
      <c r="L2016" s="72" t="str">
        <f t="shared" si="32"/>
        <v>Payé</v>
      </c>
    </row>
    <row r="2017" spans="1:12" ht="15" customHeight="1" x14ac:dyDescent="0.25">
      <c r="A2017" s="90" t="s">
        <v>856</v>
      </c>
      <c r="B2017" s="90">
        <v>233</v>
      </c>
      <c r="C2017" s="88" t="s">
        <v>762</v>
      </c>
      <c r="D2017" s="90" t="s">
        <v>17</v>
      </c>
      <c r="E2017" s="90" t="s">
        <v>628</v>
      </c>
      <c r="F2017" s="90" t="s">
        <v>856</v>
      </c>
      <c r="G2017" s="94">
        <v>1</v>
      </c>
      <c r="H2017" s="94">
        <v>87</v>
      </c>
      <c r="I2017" s="91">
        <v>45972</v>
      </c>
      <c r="J2017" s="165">
        <v>0.69861111111111107</v>
      </c>
      <c r="K2017" s="94">
        <v>87</v>
      </c>
      <c r="L2017" s="72" t="str">
        <f t="shared" si="32"/>
        <v>Payé</v>
      </c>
    </row>
    <row r="2018" spans="1:12" ht="15" customHeight="1" x14ac:dyDescent="0.25">
      <c r="A2018" s="90" t="s">
        <v>856</v>
      </c>
      <c r="B2018" s="90">
        <v>234</v>
      </c>
      <c r="C2018" s="88" t="s">
        <v>650</v>
      </c>
      <c r="D2018" s="90" t="s">
        <v>17</v>
      </c>
      <c r="E2018" s="90" t="s">
        <v>628</v>
      </c>
      <c r="F2018" s="90" t="s">
        <v>856</v>
      </c>
      <c r="G2018" s="94">
        <v>1</v>
      </c>
      <c r="H2018" s="94">
        <v>91</v>
      </c>
      <c r="I2018" s="91">
        <v>45972</v>
      </c>
      <c r="J2018" s="165">
        <v>0.69861111111111107</v>
      </c>
      <c r="K2018" s="94">
        <v>91</v>
      </c>
      <c r="L2018" s="72" t="str">
        <f t="shared" si="32"/>
        <v>Payé</v>
      </c>
    </row>
    <row r="2019" spans="1:12" ht="15" customHeight="1" x14ac:dyDescent="0.25">
      <c r="A2019" s="90" t="s">
        <v>856</v>
      </c>
      <c r="B2019" s="90">
        <v>3260</v>
      </c>
      <c r="C2019" s="88" t="s">
        <v>1119</v>
      </c>
      <c r="D2019" s="90" t="s">
        <v>17</v>
      </c>
      <c r="E2019" s="90" t="s">
        <v>628</v>
      </c>
      <c r="F2019" s="90" t="s">
        <v>856</v>
      </c>
      <c r="G2019" s="94">
        <v>7</v>
      </c>
      <c r="H2019" s="94">
        <v>670</v>
      </c>
      <c r="I2019" s="91">
        <v>45972</v>
      </c>
      <c r="J2019" s="165">
        <v>0.69861111111111107</v>
      </c>
      <c r="K2019" s="94">
        <v>670</v>
      </c>
      <c r="L2019" s="72" t="str">
        <f t="shared" si="32"/>
        <v>Payé</v>
      </c>
    </row>
    <row r="2020" spans="1:12" ht="15" customHeight="1" x14ac:dyDescent="0.25">
      <c r="A2020" s="90" t="s">
        <v>856</v>
      </c>
      <c r="B2020" s="90">
        <v>3590</v>
      </c>
      <c r="C2020" s="88" t="s">
        <v>425</v>
      </c>
      <c r="D2020" s="90" t="s">
        <v>17</v>
      </c>
      <c r="E2020" s="90" t="s">
        <v>628</v>
      </c>
      <c r="F2020" s="90" t="s">
        <v>856</v>
      </c>
      <c r="G2020" s="94">
        <v>7</v>
      </c>
      <c r="H2020" s="94">
        <v>830</v>
      </c>
      <c r="I2020" s="91">
        <v>45972</v>
      </c>
      <c r="J2020" s="165">
        <v>0.6958333333333333</v>
      </c>
      <c r="K2020" s="94">
        <v>830</v>
      </c>
      <c r="L2020" s="72" t="str">
        <f t="shared" si="32"/>
        <v>Payé</v>
      </c>
    </row>
    <row r="2021" spans="1:12" ht="15" customHeight="1" x14ac:dyDescent="0.25">
      <c r="A2021" s="90" t="s">
        <v>856</v>
      </c>
      <c r="B2021" s="90">
        <v>4090</v>
      </c>
      <c r="C2021" s="88" t="s">
        <v>620</v>
      </c>
      <c r="D2021" s="90" t="s">
        <v>17</v>
      </c>
      <c r="E2021" s="90" t="s">
        <v>628</v>
      </c>
      <c r="F2021" s="90" t="s">
        <v>856</v>
      </c>
      <c r="G2021" s="94">
        <v>7</v>
      </c>
      <c r="H2021" s="94">
        <v>670</v>
      </c>
      <c r="I2021" s="91">
        <v>45972</v>
      </c>
      <c r="J2021" s="165">
        <v>0.69861111111111107</v>
      </c>
      <c r="K2021" s="94">
        <v>670</v>
      </c>
      <c r="L2021" s="72" t="str">
        <f t="shared" si="32"/>
        <v>Payé</v>
      </c>
    </row>
    <row r="2022" spans="1:12" ht="15" customHeight="1" x14ac:dyDescent="0.25">
      <c r="A2022" s="90" t="s">
        <v>856</v>
      </c>
      <c r="B2022" s="90">
        <v>4333</v>
      </c>
      <c r="C2022" s="88" t="s">
        <v>706</v>
      </c>
      <c r="D2022" s="90" t="s">
        <v>17</v>
      </c>
      <c r="E2022" s="90" t="s">
        <v>628</v>
      </c>
      <c r="F2022" s="90" t="s">
        <v>856</v>
      </c>
      <c r="G2022" s="94">
        <v>14</v>
      </c>
      <c r="H2022" s="94">
        <v>1260</v>
      </c>
      <c r="I2022" s="91">
        <v>45972</v>
      </c>
      <c r="J2022" s="165">
        <v>0.69861111111111107</v>
      </c>
      <c r="K2022" s="94">
        <v>1260</v>
      </c>
      <c r="L2022" s="72" t="str">
        <f t="shared" si="32"/>
        <v>Payé</v>
      </c>
    </row>
    <row r="2023" spans="1:12" ht="15" customHeight="1" x14ac:dyDescent="0.25">
      <c r="A2023" s="90" t="s">
        <v>856</v>
      </c>
      <c r="B2023" s="90">
        <v>4334</v>
      </c>
      <c r="C2023" s="88" t="s">
        <v>622</v>
      </c>
      <c r="D2023" s="90" t="s">
        <v>17</v>
      </c>
      <c r="E2023" s="90" t="s">
        <v>628</v>
      </c>
      <c r="F2023" s="90" t="s">
        <v>856</v>
      </c>
      <c r="G2023" s="94">
        <v>14</v>
      </c>
      <c r="H2023" s="94">
        <v>1500</v>
      </c>
      <c r="I2023" s="91">
        <v>45972</v>
      </c>
      <c r="J2023" s="165">
        <v>0.69861111111111107</v>
      </c>
      <c r="K2023" s="94">
        <v>1500</v>
      </c>
      <c r="L2023" s="72" t="str">
        <f t="shared" si="32"/>
        <v>Payé</v>
      </c>
    </row>
    <row r="2024" spans="1:12" ht="15" customHeight="1" x14ac:dyDescent="0.25">
      <c r="A2024" s="90" t="s">
        <v>856</v>
      </c>
      <c r="B2024" s="90">
        <v>4470</v>
      </c>
      <c r="C2024" s="88" t="s">
        <v>989</v>
      </c>
      <c r="D2024" s="90" t="s">
        <v>17</v>
      </c>
      <c r="E2024" s="90" t="s">
        <v>628</v>
      </c>
      <c r="F2024" s="90" t="s">
        <v>856</v>
      </c>
      <c r="G2024" s="94">
        <v>4</v>
      </c>
      <c r="H2024" s="94">
        <v>360</v>
      </c>
      <c r="I2024" s="91">
        <v>45972</v>
      </c>
      <c r="J2024" s="165">
        <v>0.69861111111111107</v>
      </c>
      <c r="K2024" s="94">
        <v>360</v>
      </c>
      <c r="L2024" s="72" t="str">
        <f t="shared" si="32"/>
        <v>Payé</v>
      </c>
    </row>
    <row r="2025" spans="1:12" ht="15" customHeight="1" x14ac:dyDescent="0.25">
      <c r="A2025" s="90" t="s">
        <v>856</v>
      </c>
      <c r="B2025" s="90">
        <v>4473</v>
      </c>
      <c r="C2025" s="88" t="s">
        <v>623</v>
      </c>
      <c r="D2025" s="90" t="s">
        <v>17</v>
      </c>
      <c r="E2025" s="90" t="s">
        <v>628</v>
      </c>
      <c r="F2025" s="90" t="s">
        <v>856</v>
      </c>
      <c r="G2025" s="94">
        <v>7</v>
      </c>
      <c r="H2025" s="94">
        <v>770</v>
      </c>
      <c r="I2025" s="91">
        <v>45972</v>
      </c>
      <c r="J2025" s="165">
        <v>0.69861111111111107</v>
      </c>
      <c r="K2025" s="94">
        <v>770</v>
      </c>
      <c r="L2025" s="72" t="str">
        <f t="shared" si="32"/>
        <v>Payé</v>
      </c>
    </row>
    <row r="2026" spans="1:12" ht="15" customHeight="1" x14ac:dyDescent="0.25">
      <c r="A2026" s="90" t="s">
        <v>856</v>
      </c>
      <c r="B2026" s="90">
        <v>4801</v>
      </c>
      <c r="C2026" s="88" t="s">
        <v>990</v>
      </c>
      <c r="D2026" s="90" t="s">
        <v>17</v>
      </c>
      <c r="E2026" s="90" t="s">
        <v>628</v>
      </c>
      <c r="F2026" s="90" t="s">
        <v>856</v>
      </c>
      <c r="G2026" s="94">
        <v>8</v>
      </c>
      <c r="H2026" s="94">
        <v>780</v>
      </c>
      <c r="I2026" s="91">
        <v>45972</v>
      </c>
      <c r="J2026" s="165">
        <v>0.6958333333333333</v>
      </c>
      <c r="K2026" s="94">
        <v>780</v>
      </c>
      <c r="L2026" s="72" t="str">
        <f t="shared" si="32"/>
        <v>Payé</v>
      </c>
    </row>
    <row r="2027" spans="1:12" ht="15" customHeight="1" x14ac:dyDescent="0.25">
      <c r="A2027" s="90" t="s">
        <v>856</v>
      </c>
      <c r="B2027" s="90">
        <v>4848</v>
      </c>
      <c r="C2027" s="88" t="s">
        <v>1064</v>
      </c>
      <c r="D2027" s="90" t="s">
        <v>17</v>
      </c>
      <c r="E2027" s="90" t="s">
        <v>628</v>
      </c>
      <c r="F2027" s="90" t="s">
        <v>856</v>
      </c>
      <c r="G2027" s="94">
        <v>4</v>
      </c>
      <c r="H2027" s="94">
        <v>360</v>
      </c>
      <c r="I2027" s="91">
        <v>45972</v>
      </c>
      <c r="J2027" s="165">
        <v>0.69861111111111107</v>
      </c>
      <c r="K2027" s="94">
        <v>360</v>
      </c>
      <c r="L2027" s="72" t="str">
        <f t="shared" si="32"/>
        <v>Payé</v>
      </c>
    </row>
    <row r="2028" spans="1:12" ht="15" customHeight="1" x14ac:dyDescent="0.25">
      <c r="A2028" s="90" t="s">
        <v>856</v>
      </c>
      <c r="B2028" s="90">
        <v>5123</v>
      </c>
      <c r="C2028" s="88" t="s">
        <v>827</v>
      </c>
      <c r="D2028" s="90" t="s">
        <v>17</v>
      </c>
      <c r="E2028" s="90" t="s">
        <v>628</v>
      </c>
      <c r="F2028" s="90" t="s">
        <v>856</v>
      </c>
      <c r="G2028" s="94">
        <v>10</v>
      </c>
      <c r="H2028" s="94">
        <v>920</v>
      </c>
      <c r="I2028" s="91">
        <v>45972</v>
      </c>
      <c r="J2028" s="165">
        <v>0.6958333333333333</v>
      </c>
      <c r="K2028" s="94">
        <v>920</v>
      </c>
      <c r="L2028" s="72" t="str">
        <f t="shared" si="32"/>
        <v>Payé</v>
      </c>
    </row>
    <row r="2029" spans="1:12" ht="15" customHeight="1" x14ac:dyDescent="0.25">
      <c r="A2029" s="90" t="s">
        <v>856</v>
      </c>
      <c r="B2029" s="90">
        <v>8022</v>
      </c>
      <c r="C2029" s="88" t="s">
        <v>707</v>
      </c>
      <c r="D2029" s="90" t="s">
        <v>17</v>
      </c>
      <c r="E2029" s="90" t="s">
        <v>628</v>
      </c>
      <c r="F2029" s="90" t="s">
        <v>856</v>
      </c>
      <c r="G2029" s="94">
        <v>12</v>
      </c>
      <c r="H2029" s="94">
        <v>1180</v>
      </c>
      <c r="I2029" s="91">
        <v>45972</v>
      </c>
      <c r="J2029" s="165">
        <v>0.6958333333333333</v>
      </c>
      <c r="K2029" s="94">
        <v>1180</v>
      </c>
      <c r="L2029" s="72" t="str">
        <f t="shared" si="32"/>
        <v>Payé</v>
      </c>
    </row>
    <row r="2030" spans="1:12" ht="15" customHeight="1" x14ac:dyDescent="0.25">
      <c r="A2030" s="90" t="s">
        <v>856</v>
      </c>
      <c r="B2030" s="90">
        <v>10008</v>
      </c>
      <c r="C2030" s="88" t="s">
        <v>1134</v>
      </c>
      <c r="D2030" s="90" t="s">
        <v>17</v>
      </c>
      <c r="E2030" s="90" t="s">
        <v>628</v>
      </c>
      <c r="F2030" s="90" t="s">
        <v>856</v>
      </c>
      <c r="G2030" s="94">
        <v>10</v>
      </c>
      <c r="H2030" s="94">
        <v>920</v>
      </c>
      <c r="I2030" s="91">
        <v>45972</v>
      </c>
      <c r="J2030" s="165">
        <v>0.69861111111111107</v>
      </c>
      <c r="K2030" s="94">
        <v>920</v>
      </c>
      <c r="L2030" s="72" t="str">
        <f t="shared" si="32"/>
        <v>Payé</v>
      </c>
    </row>
    <row r="2031" spans="1:12" ht="15" customHeight="1" x14ac:dyDescent="0.25">
      <c r="A2031" s="90" t="s">
        <v>856</v>
      </c>
      <c r="B2031" s="90">
        <v>10009</v>
      </c>
      <c r="C2031" s="88" t="s">
        <v>1157</v>
      </c>
      <c r="D2031" s="90" t="s">
        <v>17</v>
      </c>
      <c r="E2031" s="90" t="s">
        <v>628</v>
      </c>
      <c r="F2031" s="90" t="s">
        <v>856</v>
      </c>
      <c r="G2031" s="94">
        <v>6</v>
      </c>
      <c r="H2031" s="94">
        <v>580</v>
      </c>
      <c r="I2031" s="91">
        <v>45972</v>
      </c>
      <c r="J2031" s="165">
        <v>0.69861111111111107</v>
      </c>
      <c r="K2031" s="94">
        <v>580</v>
      </c>
      <c r="L2031" s="72" t="str">
        <f t="shared" si="32"/>
        <v>Payé</v>
      </c>
    </row>
    <row r="2032" spans="1:12" ht="15" customHeight="1" x14ac:dyDescent="0.25">
      <c r="A2032" s="90" t="s">
        <v>856</v>
      </c>
      <c r="B2032" s="90">
        <v>2997</v>
      </c>
      <c r="C2032" s="88" t="s">
        <v>719</v>
      </c>
      <c r="D2032" s="90" t="s">
        <v>17</v>
      </c>
      <c r="E2032" s="90" t="s">
        <v>753</v>
      </c>
      <c r="F2032" s="90" t="s">
        <v>856</v>
      </c>
      <c r="G2032" s="94">
        <v>12</v>
      </c>
      <c r="H2032" s="94">
        <v>1200</v>
      </c>
      <c r="I2032" s="91">
        <v>45972</v>
      </c>
      <c r="J2032" s="165">
        <v>0.59444444444444444</v>
      </c>
      <c r="K2032" s="94">
        <v>1200</v>
      </c>
      <c r="L2032" s="72" t="str">
        <f t="shared" si="32"/>
        <v>Payé</v>
      </c>
    </row>
    <row r="2033" spans="1:12" ht="15" customHeight="1" x14ac:dyDescent="0.25">
      <c r="A2033" s="90" t="s">
        <v>856</v>
      </c>
      <c r="B2033" s="90">
        <v>3001</v>
      </c>
      <c r="C2033" s="88" t="s">
        <v>799</v>
      </c>
      <c r="D2033" s="90" t="s">
        <v>17</v>
      </c>
      <c r="E2033" s="90" t="s">
        <v>753</v>
      </c>
      <c r="F2033" s="90" t="s">
        <v>856</v>
      </c>
      <c r="G2033" s="94">
        <v>12</v>
      </c>
      <c r="H2033" s="94">
        <v>1080</v>
      </c>
      <c r="I2033" s="91">
        <v>45972</v>
      </c>
      <c r="J2033" s="165">
        <v>0.59444444444444444</v>
      </c>
      <c r="K2033" s="94">
        <v>1080</v>
      </c>
      <c r="L2033" s="72" t="str">
        <f t="shared" si="32"/>
        <v>Payé</v>
      </c>
    </row>
    <row r="2034" spans="1:12" ht="15" customHeight="1" x14ac:dyDescent="0.25">
      <c r="A2034" s="90" t="s">
        <v>856</v>
      </c>
      <c r="B2034" s="90">
        <v>3009</v>
      </c>
      <c r="C2034" s="88" t="s">
        <v>1237</v>
      </c>
      <c r="D2034" s="90" t="s">
        <v>17</v>
      </c>
      <c r="E2034" s="90" t="s">
        <v>753</v>
      </c>
      <c r="F2034" s="90" t="s">
        <v>856</v>
      </c>
      <c r="G2034" s="94">
        <v>11</v>
      </c>
      <c r="H2034" s="94">
        <v>990</v>
      </c>
      <c r="I2034" s="91">
        <v>45972</v>
      </c>
      <c r="J2034" s="165">
        <v>0.52847222222222223</v>
      </c>
      <c r="K2034" s="94">
        <v>990</v>
      </c>
      <c r="L2034" s="72" t="str">
        <f t="shared" si="32"/>
        <v>Payé</v>
      </c>
    </row>
    <row r="2035" spans="1:12" ht="15" customHeight="1" x14ac:dyDescent="0.25">
      <c r="A2035" s="90" t="s">
        <v>856</v>
      </c>
      <c r="B2035" s="90">
        <v>3313</v>
      </c>
      <c r="C2035" s="88" t="s">
        <v>1209</v>
      </c>
      <c r="D2035" s="90" t="s">
        <v>17</v>
      </c>
      <c r="E2035" s="90" t="s">
        <v>753</v>
      </c>
      <c r="F2035" s="90" t="s">
        <v>856</v>
      </c>
      <c r="G2035" s="94">
        <v>11</v>
      </c>
      <c r="H2035" s="94">
        <v>1000</v>
      </c>
      <c r="I2035" s="91">
        <v>45972</v>
      </c>
      <c r="J2035" s="165">
        <v>0.59444444444444444</v>
      </c>
      <c r="K2035" s="94">
        <v>1000</v>
      </c>
      <c r="L2035" s="72" t="str">
        <f t="shared" si="32"/>
        <v>Payé</v>
      </c>
    </row>
    <row r="2036" spans="1:12" ht="15" customHeight="1" x14ac:dyDescent="0.25">
      <c r="A2036" s="90" t="s">
        <v>856</v>
      </c>
      <c r="B2036" s="90">
        <v>3823</v>
      </c>
      <c r="C2036" s="88" t="s">
        <v>824</v>
      </c>
      <c r="D2036" s="90" t="s">
        <v>17</v>
      </c>
      <c r="E2036" s="90" t="s">
        <v>753</v>
      </c>
      <c r="F2036" s="90" t="s">
        <v>856</v>
      </c>
      <c r="G2036" s="94">
        <v>7</v>
      </c>
      <c r="H2036" s="94">
        <v>630</v>
      </c>
      <c r="I2036" s="91">
        <v>45972</v>
      </c>
      <c r="J2036" s="165">
        <v>0.59444444444444444</v>
      </c>
      <c r="K2036" s="94">
        <v>630</v>
      </c>
      <c r="L2036" s="72" t="str">
        <f t="shared" si="32"/>
        <v>Payé</v>
      </c>
    </row>
    <row r="2037" spans="1:12" ht="15" customHeight="1" x14ac:dyDescent="0.25">
      <c r="A2037" s="90" t="s">
        <v>856</v>
      </c>
      <c r="B2037" s="90">
        <v>3903</v>
      </c>
      <c r="C2037" s="88" t="s">
        <v>721</v>
      </c>
      <c r="D2037" s="90" t="s">
        <v>17</v>
      </c>
      <c r="E2037" s="90" t="s">
        <v>753</v>
      </c>
      <c r="F2037" s="90" t="s">
        <v>856</v>
      </c>
      <c r="G2037" s="94">
        <v>6</v>
      </c>
      <c r="H2037" s="94">
        <v>540</v>
      </c>
      <c r="I2037" s="91">
        <v>45972</v>
      </c>
      <c r="J2037" s="165">
        <v>0.59444444444444444</v>
      </c>
      <c r="K2037" s="94">
        <v>540</v>
      </c>
      <c r="L2037" s="72" t="str">
        <f t="shared" si="32"/>
        <v>Payé</v>
      </c>
    </row>
    <row r="2038" spans="1:12" ht="15" customHeight="1" x14ac:dyDescent="0.25">
      <c r="A2038" s="90" t="s">
        <v>856</v>
      </c>
      <c r="B2038" s="90">
        <v>4027</v>
      </c>
      <c r="C2038" s="88" t="s">
        <v>1210</v>
      </c>
      <c r="D2038" s="90" t="s">
        <v>17</v>
      </c>
      <c r="E2038" s="90" t="s">
        <v>753</v>
      </c>
      <c r="F2038" s="90" t="s">
        <v>856</v>
      </c>
      <c r="G2038" s="94">
        <v>12</v>
      </c>
      <c r="H2038" s="94">
        <v>1080</v>
      </c>
      <c r="I2038" s="91">
        <v>45972</v>
      </c>
      <c r="J2038" s="165">
        <v>0.59444444444444444</v>
      </c>
      <c r="K2038" s="94">
        <v>1080</v>
      </c>
      <c r="L2038" s="72" t="str">
        <f t="shared" si="32"/>
        <v>Payé</v>
      </c>
    </row>
    <row r="2039" spans="1:12" ht="15" customHeight="1" x14ac:dyDescent="0.25">
      <c r="A2039" s="90" t="s">
        <v>856</v>
      </c>
      <c r="B2039" s="90">
        <v>4060</v>
      </c>
      <c r="C2039" s="88" t="s">
        <v>986</v>
      </c>
      <c r="D2039" s="90" t="s">
        <v>17</v>
      </c>
      <c r="E2039" s="90" t="s">
        <v>753</v>
      </c>
      <c r="F2039" s="90" t="s">
        <v>856</v>
      </c>
      <c r="G2039" s="94">
        <v>8</v>
      </c>
      <c r="H2039" s="94">
        <v>720</v>
      </c>
      <c r="I2039" s="91">
        <v>45972</v>
      </c>
      <c r="J2039" s="165">
        <v>0.59444444444444444</v>
      </c>
      <c r="K2039" s="94">
        <v>720</v>
      </c>
      <c r="L2039" s="72" t="str">
        <f t="shared" si="32"/>
        <v>Payé</v>
      </c>
    </row>
    <row r="2040" spans="1:12" ht="15" customHeight="1" x14ac:dyDescent="0.25">
      <c r="A2040" s="90" t="s">
        <v>856</v>
      </c>
      <c r="B2040" s="90">
        <v>4868</v>
      </c>
      <c r="C2040" s="88" t="s">
        <v>767</v>
      </c>
      <c r="D2040" s="90" t="s">
        <v>17</v>
      </c>
      <c r="E2040" s="90" t="s">
        <v>753</v>
      </c>
      <c r="F2040" s="90" t="s">
        <v>856</v>
      </c>
      <c r="G2040" s="94">
        <v>11</v>
      </c>
      <c r="H2040" s="94">
        <v>990</v>
      </c>
      <c r="I2040" s="91">
        <v>45972</v>
      </c>
      <c r="J2040" s="165">
        <v>0.59444444444444444</v>
      </c>
      <c r="K2040" s="94">
        <v>990</v>
      </c>
      <c r="L2040" s="72" t="str">
        <f t="shared" si="32"/>
        <v>Payé</v>
      </c>
    </row>
    <row r="2041" spans="1:12" ht="15" customHeight="1" x14ac:dyDescent="0.25">
      <c r="A2041" s="90" t="s">
        <v>856</v>
      </c>
      <c r="B2041" s="90">
        <v>5076</v>
      </c>
      <c r="C2041" s="88" t="s">
        <v>991</v>
      </c>
      <c r="D2041" s="90" t="s">
        <v>17</v>
      </c>
      <c r="E2041" s="90" t="s">
        <v>753</v>
      </c>
      <c r="F2041" s="90" t="s">
        <v>856</v>
      </c>
      <c r="G2041" s="94">
        <v>11</v>
      </c>
      <c r="H2041" s="94">
        <v>990</v>
      </c>
      <c r="I2041" s="91">
        <v>45972</v>
      </c>
      <c r="J2041" s="165">
        <v>0.59444444444444444</v>
      </c>
      <c r="K2041" s="94">
        <v>990</v>
      </c>
      <c r="L2041" s="72" t="str">
        <f t="shared" si="32"/>
        <v>Payé</v>
      </c>
    </row>
    <row r="2042" spans="1:12" ht="15" customHeight="1" x14ac:dyDescent="0.25">
      <c r="A2042" s="90" t="s">
        <v>856</v>
      </c>
      <c r="B2042" s="90">
        <v>5186</v>
      </c>
      <c r="C2042" s="88" t="s">
        <v>1211</v>
      </c>
      <c r="D2042" s="90" t="s">
        <v>17</v>
      </c>
      <c r="E2042" s="90" t="s">
        <v>753</v>
      </c>
      <c r="F2042" s="90" t="s">
        <v>856</v>
      </c>
      <c r="G2042" s="94">
        <v>7</v>
      </c>
      <c r="H2042" s="94">
        <v>630</v>
      </c>
      <c r="I2042" s="91">
        <v>45972</v>
      </c>
      <c r="J2042" s="165">
        <v>0.59444444444444444</v>
      </c>
      <c r="K2042" s="94">
        <v>630</v>
      </c>
      <c r="L2042" s="72" t="str">
        <f t="shared" si="32"/>
        <v>Payé</v>
      </c>
    </row>
    <row r="2043" spans="1:12" ht="15" customHeight="1" x14ac:dyDescent="0.25">
      <c r="A2043" s="90" t="s">
        <v>856</v>
      </c>
      <c r="B2043" s="90">
        <v>5209</v>
      </c>
      <c r="C2043" s="88" t="s">
        <v>835</v>
      </c>
      <c r="D2043" s="90" t="s">
        <v>17</v>
      </c>
      <c r="E2043" s="90" t="s">
        <v>753</v>
      </c>
      <c r="F2043" s="90" t="s">
        <v>856</v>
      </c>
      <c r="G2043" s="94">
        <v>7</v>
      </c>
      <c r="H2043" s="94">
        <v>630</v>
      </c>
      <c r="I2043" s="91">
        <v>45972</v>
      </c>
      <c r="J2043" s="165">
        <v>0.59444444444444444</v>
      </c>
      <c r="K2043" s="94">
        <v>630</v>
      </c>
      <c r="L2043" s="72" t="str">
        <f t="shared" si="32"/>
        <v>Payé</v>
      </c>
    </row>
    <row r="2044" spans="1:12" ht="15" customHeight="1" x14ac:dyDescent="0.25">
      <c r="A2044" s="90" t="s">
        <v>856</v>
      </c>
      <c r="B2044" s="90">
        <v>5240</v>
      </c>
      <c r="C2044" s="88" t="s">
        <v>885</v>
      </c>
      <c r="D2044" s="90" t="s">
        <v>17</v>
      </c>
      <c r="E2044" s="90" t="s">
        <v>753</v>
      </c>
      <c r="F2044" s="90" t="s">
        <v>856</v>
      </c>
      <c r="G2044" s="94">
        <v>11</v>
      </c>
      <c r="H2044" s="94">
        <v>990</v>
      </c>
      <c r="I2044" s="91">
        <v>45972</v>
      </c>
      <c r="J2044" s="165">
        <v>0.59444444444444444</v>
      </c>
      <c r="K2044" s="94">
        <v>990</v>
      </c>
      <c r="L2044" s="72" t="str">
        <f t="shared" si="32"/>
        <v>Payé</v>
      </c>
    </row>
    <row r="2045" spans="1:12" ht="15" customHeight="1" x14ac:dyDescent="0.25">
      <c r="A2045" s="90" t="s">
        <v>856</v>
      </c>
      <c r="B2045" s="90">
        <v>5253</v>
      </c>
      <c r="C2045" s="88" t="s">
        <v>902</v>
      </c>
      <c r="D2045" s="90" t="s">
        <v>17</v>
      </c>
      <c r="E2045" s="90" t="s">
        <v>753</v>
      </c>
      <c r="F2045" s="90" t="s">
        <v>856</v>
      </c>
      <c r="G2045" s="94">
        <v>12</v>
      </c>
      <c r="H2045" s="94">
        <v>1080</v>
      </c>
      <c r="I2045" s="91">
        <v>45972</v>
      </c>
      <c r="J2045" s="165">
        <v>0.59444444444444444</v>
      </c>
      <c r="K2045" s="94">
        <v>1080</v>
      </c>
      <c r="L2045" s="72" t="str">
        <f t="shared" si="32"/>
        <v>Payé</v>
      </c>
    </row>
    <row r="2046" spans="1:12" ht="15" customHeight="1" x14ac:dyDescent="0.25">
      <c r="A2046" s="90" t="s">
        <v>856</v>
      </c>
      <c r="B2046" s="90">
        <v>5327</v>
      </c>
      <c r="C2046" s="88" t="s">
        <v>1033</v>
      </c>
      <c r="D2046" s="90" t="s">
        <v>17</v>
      </c>
      <c r="E2046" s="90" t="s">
        <v>753</v>
      </c>
      <c r="F2046" s="90" t="s">
        <v>856</v>
      </c>
      <c r="G2046" s="94">
        <v>10</v>
      </c>
      <c r="H2046" s="94">
        <v>900</v>
      </c>
      <c r="I2046" s="91">
        <v>45972</v>
      </c>
      <c r="J2046" s="165">
        <v>0.59444444444444444</v>
      </c>
      <c r="K2046" s="94">
        <v>900</v>
      </c>
      <c r="L2046" s="72" t="str">
        <f t="shared" si="32"/>
        <v>Payé</v>
      </c>
    </row>
    <row r="2047" spans="1:12" ht="15" customHeight="1" x14ac:dyDescent="0.25">
      <c r="A2047" s="90" t="s">
        <v>856</v>
      </c>
      <c r="B2047" s="90">
        <v>5335</v>
      </c>
      <c r="C2047" s="88" t="s">
        <v>1040</v>
      </c>
      <c r="D2047" s="90" t="s">
        <v>17</v>
      </c>
      <c r="E2047" s="90" t="s">
        <v>753</v>
      </c>
      <c r="F2047" s="90" t="s">
        <v>856</v>
      </c>
      <c r="G2047" s="94">
        <v>4</v>
      </c>
      <c r="H2047" s="94">
        <v>360</v>
      </c>
      <c r="I2047" s="91">
        <v>45972</v>
      </c>
      <c r="J2047" s="165">
        <v>0.59444444444444444</v>
      </c>
      <c r="K2047" s="94">
        <v>360</v>
      </c>
      <c r="L2047" s="72" t="str">
        <f t="shared" si="32"/>
        <v>Payé</v>
      </c>
    </row>
    <row r="2048" spans="1:12" ht="15" customHeight="1" x14ac:dyDescent="0.25">
      <c r="A2048" s="90" t="s">
        <v>856</v>
      </c>
      <c r="B2048" s="90">
        <v>5336</v>
      </c>
      <c r="C2048" s="88" t="s">
        <v>1041</v>
      </c>
      <c r="D2048" s="90" t="s">
        <v>17</v>
      </c>
      <c r="E2048" s="90" t="s">
        <v>753</v>
      </c>
      <c r="F2048" s="90" t="s">
        <v>856</v>
      </c>
      <c r="G2048" s="94">
        <v>3</v>
      </c>
      <c r="H2048" s="94">
        <v>270</v>
      </c>
      <c r="I2048" s="91">
        <v>45972</v>
      </c>
      <c r="J2048" s="165">
        <v>0.59444444444444444</v>
      </c>
      <c r="K2048" s="94">
        <v>270</v>
      </c>
      <c r="L2048" s="72" t="str">
        <f t="shared" si="32"/>
        <v>Payé</v>
      </c>
    </row>
    <row r="2049" spans="1:12" ht="15" customHeight="1" x14ac:dyDescent="0.25">
      <c r="A2049" s="90" t="s">
        <v>856</v>
      </c>
      <c r="B2049" s="90">
        <v>10003</v>
      </c>
      <c r="C2049" s="88" t="s">
        <v>1129</v>
      </c>
      <c r="D2049" s="90" t="s">
        <v>17</v>
      </c>
      <c r="E2049" s="90" t="s">
        <v>753</v>
      </c>
      <c r="F2049" s="90" t="s">
        <v>856</v>
      </c>
      <c r="G2049" s="94">
        <v>10</v>
      </c>
      <c r="H2049" s="94">
        <v>900</v>
      </c>
      <c r="I2049" s="91">
        <v>45972</v>
      </c>
      <c r="J2049" s="165">
        <v>0.59444444444444444</v>
      </c>
      <c r="K2049" s="94">
        <v>900</v>
      </c>
      <c r="L2049" s="72" t="str">
        <f t="shared" si="32"/>
        <v>Payé</v>
      </c>
    </row>
    <row r="2050" spans="1:12" ht="15" customHeight="1" x14ac:dyDescent="0.25">
      <c r="A2050" s="90" t="s">
        <v>856</v>
      </c>
      <c r="B2050" s="90">
        <v>10010</v>
      </c>
      <c r="C2050" s="88" t="s">
        <v>1158</v>
      </c>
      <c r="D2050" s="90" t="s">
        <v>17</v>
      </c>
      <c r="E2050" s="90" t="s">
        <v>753</v>
      </c>
      <c r="F2050" s="90" t="s">
        <v>856</v>
      </c>
      <c r="G2050" s="94">
        <v>1</v>
      </c>
      <c r="H2050" s="94">
        <v>90</v>
      </c>
      <c r="I2050" s="91">
        <v>45972</v>
      </c>
      <c r="J2050" s="165">
        <v>0.7270833333333333</v>
      </c>
      <c r="K2050" s="94">
        <v>90</v>
      </c>
      <c r="L2050" s="72" t="str">
        <f t="shared" si="32"/>
        <v>Payé</v>
      </c>
    </row>
    <row r="2051" spans="1:12" ht="15" customHeight="1" x14ac:dyDescent="0.25">
      <c r="A2051" s="90" t="s">
        <v>856</v>
      </c>
      <c r="B2051" s="90">
        <v>10011</v>
      </c>
      <c r="C2051" s="88" t="s">
        <v>1159</v>
      </c>
      <c r="D2051" s="90" t="s">
        <v>17</v>
      </c>
      <c r="E2051" s="90" t="s">
        <v>753</v>
      </c>
      <c r="F2051" s="90" t="s">
        <v>856</v>
      </c>
      <c r="G2051" s="94">
        <v>11</v>
      </c>
      <c r="H2051" s="94">
        <v>990</v>
      </c>
      <c r="I2051" s="91">
        <v>45972</v>
      </c>
      <c r="J2051" s="165">
        <v>0.59444444444444444</v>
      </c>
      <c r="K2051" s="94">
        <v>990</v>
      </c>
      <c r="L2051" s="72" t="str">
        <f t="shared" si="32"/>
        <v>Payé</v>
      </c>
    </row>
    <row r="2052" spans="1:12" ht="15" customHeight="1" x14ac:dyDescent="0.25">
      <c r="A2052" s="90" t="s">
        <v>856</v>
      </c>
      <c r="B2052" s="90">
        <v>10012</v>
      </c>
      <c r="C2052" s="88" t="s">
        <v>1160</v>
      </c>
      <c r="D2052" s="90" t="s">
        <v>17</v>
      </c>
      <c r="E2052" s="90" t="s">
        <v>753</v>
      </c>
      <c r="F2052" s="90" t="s">
        <v>856</v>
      </c>
      <c r="G2052" s="94">
        <v>2</v>
      </c>
      <c r="H2052" s="94">
        <v>180</v>
      </c>
      <c r="I2052" s="91">
        <v>45973</v>
      </c>
      <c r="J2052" s="165">
        <v>0.65069444444444446</v>
      </c>
      <c r="K2052" s="94">
        <v>180</v>
      </c>
      <c r="L2052" s="72" t="str">
        <f t="shared" si="32"/>
        <v>Payé</v>
      </c>
    </row>
    <row r="2053" spans="1:12" ht="15" customHeight="1" x14ac:dyDescent="0.25">
      <c r="A2053" s="90" t="s">
        <v>856</v>
      </c>
      <c r="B2053" s="90">
        <v>10030</v>
      </c>
      <c r="C2053" s="88" t="s">
        <v>1176</v>
      </c>
      <c r="D2053" s="90" t="s">
        <v>17</v>
      </c>
      <c r="E2053" s="90" t="s">
        <v>753</v>
      </c>
      <c r="F2053" s="90" t="s">
        <v>856</v>
      </c>
      <c r="G2053" s="94">
        <v>12</v>
      </c>
      <c r="H2053" s="94">
        <v>1080</v>
      </c>
      <c r="I2053" s="91">
        <v>45972</v>
      </c>
      <c r="J2053" s="165">
        <v>0.59444444444444444</v>
      </c>
      <c r="K2053" s="94">
        <v>1080</v>
      </c>
      <c r="L2053" s="72" t="str">
        <f t="shared" si="32"/>
        <v>Payé</v>
      </c>
    </row>
    <row r="2054" spans="1:12" ht="15" customHeight="1" x14ac:dyDescent="0.25">
      <c r="A2054" s="90" t="s">
        <v>856</v>
      </c>
      <c r="B2054" s="90">
        <v>10031</v>
      </c>
      <c r="C2054" s="88" t="s">
        <v>1177</v>
      </c>
      <c r="D2054" s="90" t="s">
        <v>17</v>
      </c>
      <c r="E2054" s="90" t="s">
        <v>753</v>
      </c>
      <c r="F2054" s="90" t="s">
        <v>856</v>
      </c>
      <c r="G2054" s="94">
        <v>12</v>
      </c>
      <c r="H2054" s="94">
        <v>1080</v>
      </c>
      <c r="I2054" s="91">
        <v>45973</v>
      </c>
      <c r="J2054" s="165">
        <v>0.53333333333333333</v>
      </c>
      <c r="K2054" s="94">
        <v>1080</v>
      </c>
      <c r="L2054" s="72" t="str">
        <f t="shared" si="32"/>
        <v>Payé</v>
      </c>
    </row>
    <row r="2055" spans="1:12" ht="15" customHeight="1" x14ac:dyDescent="0.25">
      <c r="A2055" s="90" t="s">
        <v>856</v>
      </c>
      <c r="B2055" s="90">
        <v>10032</v>
      </c>
      <c r="C2055" s="88" t="s">
        <v>1178</v>
      </c>
      <c r="D2055" s="90" t="s">
        <v>17</v>
      </c>
      <c r="E2055" s="90" t="s">
        <v>753</v>
      </c>
      <c r="F2055" s="90" t="s">
        <v>856</v>
      </c>
      <c r="G2055" s="94">
        <v>10</v>
      </c>
      <c r="H2055" s="94">
        <v>900</v>
      </c>
      <c r="I2055" s="91">
        <v>45972</v>
      </c>
      <c r="J2055" s="165">
        <v>0.59444444444444444</v>
      </c>
      <c r="K2055" s="94">
        <v>900</v>
      </c>
      <c r="L2055" s="72" t="str">
        <f t="shared" si="32"/>
        <v>Payé</v>
      </c>
    </row>
    <row r="2056" spans="1:12" ht="15" customHeight="1" x14ac:dyDescent="0.25">
      <c r="A2056" s="90" t="s">
        <v>856</v>
      </c>
      <c r="B2056" s="90">
        <v>10039</v>
      </c>
      <c r="C2056" s="88" t="s">
        <v>1183</v>
      </c>
      <c r="D2056" s="90" t="s">
        <v>17</v>
      </c>
      <c r="E2056" s="90" t="s">
        <v>753</v>
      </c>
      <c r="F2056" s="90" t="s">
        <v>856</v>
      </c>
      <c r="G2056" s="94">
        <v>10</v>
      </c>
      <c r="H2056" s="94">
        <v>900</v>
      </c>
      <c r="I2056" s="91">
        <v>45972</v>
      </c>
      <c r="J2056" s="165">
        <v>0.74097222222222225</v>
      </c>
      <c r="K2056" s="94">
        <v>900</v>
      </c>
      <c r="L2056" s="72" t="str">
        <f t="shared" si="32"/>
        <v>Payé</v>
      </c>
    </row>
    <row r="2057" spans="1:12" ht="15" customHeight="1" x14ac:dyDescent="0.25">
      <c r="A2057" s="90" t="s">
        <v>856</v>
      </c>
      <c r="B2057" s="90">
        <v>10041</v>
      </c>
      <c r="C2057" s="88" t="s">
        <v>1213</v>
      </c>
      <c r="D2057" s="90" t="s">
        <v>17</v>
      </c>
      <c r="E2057" s="90" t="s">
        <v>753</v>
      </c>
      <c r="F2057" s="90" t="s">
        <v>856</v>
      </c>
      <c r="G2057" s="94">
        <v>12</v>
      </c>
      <c r="H2057" s="94">
        <v>1080</v>
      </c>
      <c r="I2057" s="91">
        <v>45972</v>
      </c>
      <c r="J2057" s="165">
        <v>0.59444444444444444</v>
      </c>
      <c r="K2057" s="94">
        <v>1080</v>
      </c>
      <c r="L2057" s="72" t="str">
        <f t="shared" si="32"/>
        <v>Payé</v>
      </c>
    </row>
    <row r="2058" spans="1:12" ht="15" customHeight="1" x14ac:dyDescent="0.25">
      <c r="A2058" s="90" t="s">
        <v>856</v>
      </c>
      <c r="B2058" s="90">
        <v>10069</v>
      </c>
      <c r="C2058" s="88" t="s">
        <v>1249</v>
      </c>
      <c r="D2058" s="90" t="s">
        <v>17</v>
      </c>
      <c r="E2058" s="90" t="s">
        <v>753</v>
      </c>
      <c r="F2058" s="90" t="s">
        <v>856</v>
      </c>
      <c r="G2058" s="94">
        <v>11</v>
      </c>
      <c r="H2058" s="94">
        <v>990</v>
      </c>
      <c r="I2058" s="91">
        <v>45972</v>
      </c>
      <c r="J2058" s="165">
        <v>0.59444444444444444</v>
      </c>
      <c r="K2058" s="94">
        <v>990</v>
      </c>
      <c r="L2058" s="72" t="str">
        <f t="shared" si="32"/>
        <v>Payé</v>
      </c>
    </row>
    <row r="2059" spans="1:12" ht="15" customHeight="1" x14ac:dyDescent="0.25">
      <c r="A2059" s="90" t="s">
        <v>856</v>
      </c>
      <c r="B2059" s="90">
        <v>10071</v>
      </c>
      <c r="C2059" s="88" t="s">
        <v>1251</v>
      </c>
      <c r="D2059" s="90" t="s">
        <v>17</v>
      </c>
      <c r="E2059" s="90" t="s">
        <v>753</v>
      </c>
      <c r="F2059" s="90" t="s">
        <v>856</v>
      </c>
      <c r="G2059" s="94">
        <v>7</v>
      </c>
      <c r="H2059" s="94">
        <v>630</v>
      </c>
      <c r="I2059" s="91">
        <v>45972</v>
      </c>
      <c r="J2059" s="165">
        <v>0.59444444444444444</v>
      </c>
      <c r="K2059" s="94">
        <v>630</v>
      </c>
      <c r="L2059" s="72" t="str">
        <f t="shared" si="32"/>
        <v>Payé</v>
      </c>
    </row>
    <row r="2060" spans="1:12" ht="15" customHeight="1" x14ac:dyDescent="0.25">
      <c r="A2060" s="90" t="s">
        <v>856</v>
      </c>
      <c r="B2060" s="90">
        <v>10073</v>
      </c>
      <c r="C2060" s="88" t="s">
        <v>1253</v>
      </c>
      <c r="D2060" s="90" t="s">
        <v>17</v>
      </c>
      <c r="E2060" s="90" t="s">
        <v>753</v>
      </c>
      <c r="F2060" s="90" t="s">
        <v>856</v>
      </c>
      <c r="G2060" s="94">
        <v>1</v>
      </c>
      <c r="H2060" s="94">
        <v>90</v>
      </c>
      <c r="I2060" s="91">
        <v>45973</v>
      </c>
      <c r="J2060" s="165">
        <v>0.53333333333333333</v>
      </c>
      <c r="K2060" s="94">
        <v>90</v>
      </c>
      <c r="L2060" s="72" t="str">
        <f t="shared" si="32"/>
        <v>Payé</v>
      </c>
    </row>
    <row r="2061" spans="1:12" ht="15" customHeight="1" x14ac:dyDescent="0.25">
      <c r="A2061" s="90" t="s">
        <v>856</v>
      </c>
      <c r="B2061" s="90"/>
      <c r="C2061" s="88" t="s">
        <v>719</v>
      </c>
      <c r="D2061" s="89" t="s">
        <v>910</v>
      </c>
      <c r="E2061" s="90" t="s">
        <v>753</v>
      </c>
      <c r="F2061" s="90" t="s">
        <v>856</v>
      </c>
      <c r="G2061" s="95">
        <v>257</v>
      </c>
      <c r="H2061" s="92">
        <v>7710</v>
      </c>
      <c r="I2061" s="91">
        <v>45972</v>
      </c>
      <c r="J2061" s="165">
        <v>0.59513888888888888</v>
      </c>
      <c r="K2061" s="92">
        <v>7710</v>
      </c>
      <c r="L2061" s="72" t="str">
        <f t="shared" si="32"/>
        <v>Payé</v>
      </c>
    </row>
    <row r="2062" spans="1:12" ht="15" customHeight="1" x14ac:dyDescent="0.25">
      <c r="A2062" s="90" t="s">
        <v>856</v>
      </c>
      <c r="B2062" s="90"/>
      <c r="C2062" s="88" t="s">
        <v>630</v>
      </c>
      <c r="D2062" s="89" t="s">
        <v>910</v>
      </c>
      <c r="E2062" s="90" t="s">
        <v>1047</v>
      </c>
      <c r="F2062" s="90" t="s">
        <v>856</v>
      </c>
      <c r="G2062" s="95">
        <v>271</v>
      </c>
      <c r="H2062" s="92">
        <v>8130</v>
      </c>
      <c r="I2062" s="91">
        <v>45972</v>
      </c>
      <c r="J2062" s="165">
        <v>0.70000000000000007</v>
      </c>
      <c r="K2062" s="92">
        <v>8130</v>
      </c>
      <c r="L2062" s="72" t="str">
        <f t="shared" si="32"/>
        <v>Payé</v>
      </c>
    </row>
    <row r="2063" spans="1:12" ht="15" customHeight="1" x14ac:dyDescent="0.25">
      <c r="A2063" s="90" t="s">
        <v>856</v>
      </c>
      <c r="B2063" s="90">
        <v>1377</v>
      </c>
      <c r="C2063" s="88" t="s">
        <v>683</v>
      </c>
      <c r="D2063" s="90" t="s">
        <v>17</v>
      </c>
      <c r="E2063" s="90" t="s">
        <v>1187</v>
      </c>
      <c r="F2063" s="90" t="s">
        <v>856</v>
      </c>
      <c r="G2063" s="94">
        <v>2</v>
      </c>
      <c r="H2063" s="94">
        <v>173</v>
      </c>
      <c r="I2063" s="91">
        <v>45972</v>
      </c>
      <c r="J2063" s="165">
        <v>0.67083333333333339</v>
      </c>
      <c r="K2063" s="94">
        <v>173</v>
      </c>
      <c r="L2063" s="72" t="str">
        <f t="shared" si="32"/>
        <v>Payé</v>
      </c>
    </row>
    <row r="2064" spans="1:12" ht="15" customHeight="1" x14ac:dyDescent="0.25">
      <c r="A2064" s="90" t="s">
        <v>856</v>
      </c>
      <c r="B2064" s="90">
        <v>1380</v>
      </c>
      <c r="C2064" s="88" t="s">
        <v>632</v>
      </c>
      <c r="D2064" s="90" t="s">
        <v>17</v>
      </c>
      <c r="E2064" s="90" t="s">
        <v>1187</v>
      </c>
      <c r="F2064" s="90" t="s">
        <v>856</v>
      </c>
      <c r="G2064" s="94">
        <v>2</v>
      </c>
      <c r="H2064" s="94">
        <v>182</v>
      </c>
      <c r="I2064" s="91">
        <v>45972</v>
      </c>
      <c r="J2064" s="165">
        <v>0.67083333333333339</v>
      </c>
      <c r="K2064" s="94">
        <v>182</v>
      </c>
      <c r="L2064" s="72" t="str">
        <f t="shared" si="32"/>
        <v>Payé</v>
      </c>
    </row>
    <row r="2065" spans="1:12" ht="15" customHeight="1" x14ac:dyDescent="0.25">
      <c r="A2065" s="90" t="s">
        <v>856</v>
      </c>
      <c r="B2065" s="90">
        <v>1384</v>
      </c>
      <c r="C2065" s="88" t="s">
        <v>633</v>
      </c>
      <c r="D2065" s="90" t="s">
        <v>17</v>
      </c>
      <c r="E2065" s="90" t="s">
        <v>1187</v>
      </c>
      <c r="F2065" s="90" t="s">
        <v>856</v>
      </c>
      <c r="G2065" s="94">
        <v>2</v>
      </c>
      <c r="H2065" s="94">
        <v>173</v>
      </c>
      <c r="I2065" s="91">
        <v>45972</v>
      </c>
      <c r="J2065" s="165">
        <v>0.67083333333333339</v>
      </c>
      <c r="K2065" s="94">
        <v>173</v>
      </c>
      <c r="L2065" s="72" t="str">
        <f t="shared" si="32"/>
        <v>Payé</v>
      </c>
    </row>
    <row r="2066" spans="1:12" ht="15" customHeight="1" x14ac:dyDescent="0.25">
      <c r="A2066" s="90" t="s">
        <v>856</v>
      </c>
      <c r="B2066" s="90">
        <v>1387</v>
      </c>
      <c r="C2066" s="88" t="s">
        <v>634</v>
      </c>
      <c r="D2066" s="90" t="s">
        <v>17</v>
      </c>
      <c r="E2066" s="90" t="s">
        <v>1187</v>
      </c>
      <c r="F2066" s="90" t="s">
        <v>856</v>
      </c>
      <c r="G2066" s="94">
        <v>2</v>
      </c>
      <c r="H2066" s="94">
        <v>182</v>
      </c>
      <c r="I2066" s="91">
        <v>45972</v>
      </c>
      <c r="J2066" s="165">
        <v>0.67083333333333339</v>
      </c>
      <c r="K2066" s="94">
        <v>182</v>
      </c>
      <c r="L2066" s="72" t="str">
        <f t="shared" si="32"/>
        <v>Payé</v>
      </c>
    </row>
    <row r="2067" spans="1:12" ht="15" customHeight="1" x14ac:dyDescent="0.25">
      <c r="A2067" s="90" t="s">
        <v>856</v>
      </c>
      <c r="B2067" s="90">
        <v>1504</v>
      </c>
      <c r="C2067" s="88" t="s">
        <v>635</v>
      </c>
      <c r="D2067" s="90" t="s">
        <v>17</v>
      </c>
      <c r="E2067" s="90" t="s">
        <v>1187</v>
      </c>
      <c r="F2067" s="90" t="s">
        <v>856</v>
      </c>
      <c r="G2067" s="94">
        <v>2</v>
      </c>
      <c r="H2067" s="94">
        <v>182</v>
      </c>
      <c r="I2067" s="91">
        <v>45972</v>
      </c>
      <c r="J2067" s="165">
        <v>0.67083333333333339</v>
      </c>
      <c r="K2067" s="94">
        <v>182</v>
      </c>
      <c r="L2067" s="72" t="str">
        <f t="shared" si="32"/>
        <v>Payé</v>
      </c>
    </row>
    <row r="2068" spans="1:12" ht="15" customHeight="1" x14ac:dyDescent="0.25">
      <c r="A2068" s="90" t="s">
        <v>856</v>
      </c>
      <c r="B2068" s="90">
        <v>1505</v>
      </c>
      <c r="C2068" s="88" t="s">
        <v>383</v>
      </c>
      <c r="D2068" s="90" t="s">
        <v>17</v>
      </c>
      <c r="E2068" s="90" t="s">
        <v>1187</v>
      </c>
      <c r="F2068" s="90" t="s">
        <v>856</v>
      </c>
      <c r="G2068" s="94">
        <v>14</v>
      </c>
      <c r="H2068" s="94">
        <v>1300</v>
      </c>
      <c r="I2068" s="91">
        <v>45972</v>
      </c>
      <c r="J2068" s="165">
        <v>0.67083333333333339</v>
      </c>
      <c r="K2068" s="94">
        <v>1300</v>
      </c>
      <c r="L2068" s="72" t="str">
        <f t="shared" si="32"/>
        <v>Payé</v>
      </c>
    </row>
    <row r="2069" spans="1:12" ht="15" customHeight="1" x14ac:dyDescent="0.25">
      <c r="A2069" s="90" t="s">
        <v>856</v>
      </c>
      <c r="B2069" s="90">
        <v>2514</v>
      </c>
      <c r="C2069" s="88" t="s">
        <v>644</v>
      </c>
      <c r="D2069" s="90" t="s">
        <v>17</v>
      </c>
      <c r="E2069" s="90" t="s">
        <v>1187</v>
      </c>
      <c r="F2069" s="90" t="s">
        <v>856</v>
      </c>
      <c r="G2069" s="94">
        <v>1</v>
      </c>
      <c r="H2069" s="94">
        <v>87</v>
      </c>
      <c r="I2069" s="91">
        <v>45972</v>
      </c>
      <c r="J2069" s="165">
        <v>0.67083333333333339</v>
      </c>
      <c r="K2069" s="94">
        <v>87</v>
      </c>
      <c r="L2069" s="72" t="str">
        <f t="shared" si="32"/>
        <v>Payé</v>
      </c>
    </row>
    <row r="2070" spans="1:12" ht="15" customHeight="1" x14ac:dyDescent="0.25">
      <c r="A2070" s="90" t="s">
        <v>856</v>
      </c>
      <c r="B2070" s="90">
        <v>2577</v>
      </c>
      <c r="C2070" s="88" t="s">
        <v>637</v>
      </c>
      <c r="D2070" s="90" t="s">
        <v>17</v>
      </c>
      <c r="E2070" s="90" t="s">
        <v>1187</v>
      </c>
      <c r="F2070" s="90" t="s">
        <v>856</v>
      </c>
      <c r="G2070" s="94">
        <v>2</v>
      </c>
      <c r="H2070" s="94">
        <v>173</v>
      </c>
      <c r="I2070" s="91">
        <v>45972</v>
      </c>
      <c r="J2070" s="165">
        <v>0.67083333333333339</v>
      </c>
      <c r="K2070" s="94">
        <v>173</v>
      </c>
      <c r="L2070" s="72" t="str">
        <f t="shared" si="32"/>
        <v>Payé</v>
      </c>
    </row>
    <row r="2071" spans="1:12" ht="15" customHeight="1" x14ac:dyDescent="0.25">
      <c r="A2071" s="90" t="s">
        <v>856</v>
      </c>
      <c r="B2071" s="90">
        <v>3534</v>
      </c>
      <c r="C2071" s="88" t="s">
        <v>563</v>
      </c>
      <c r="D2071" s="90" t="s">
        <v>17</v>
      </c>
      <c r="E2071" s="90" t="s">
        <v>1187</v>
      </c>
      <c r="F2071" s="90" t="s">
        <v>856</v>
      </c>
      <c r="G2071" s="94">
        <v>14</v>
      </c>
      <c r="H2071" s="94">
        <v>1420</v>
      </c>
      <c r="I2071" s="91">
        <v>45972</v>
      </c>
      <c r="J2071" s="165">
        <v>0.67083333333333339</v>
      </c>
      <c r="K2071" s="94">
        <v>1420</v>
      </c>
      <c r="L2071" s="72" t="str">
        <f t="shared" si="32"/>
        <v>Payé</v>
      </c>
    </row>
    <row r="2072" spans="1:12" ht="15" customHeight="1" x14ac:dyDescent="0.25">
      <c r="A2072" s="90" t="s">
        <v>856</v>
      </c>
      <c r="B2072" s="90">
        <v>3535</v>
      </c>
      <c r="C2072" s="88" t="s">
        <v>564</v>
      </c>
      <c r="D2072" s="90" t="s">
        <v>17</v>
      </c>
      <c r="E2072" s="90" t="s">
        <v>1187</v>
      </c>
      <c r="F2072" s="90" t="s">
        <v>856</v>
      </c>
      <c r="G2072" s="94">
        <v>13</v>
      </c>
      <c r="H2072" s="94">
        <v>1230</v>
      </c>
      <c r="I2072" s="91">
        <v>45972</v>
      </c>
      <c r="J2072" s="165">
        <v>0.67083333333333339</v>
      </c>
      <c r="K2072" s="94">
        <v>1230</v>
      </c>
      <c r="L2072" s="72" t="str">
        <f t="shared" si="32"/>
        <v>Payé</v>
      </c>
    </row>
    <row r="2073" spans="1:12" ht="15" customHeight="1" x14ac:dyDescent="0.25">
      <c r="A2073" s="90" t="s">
        <v>856</v>
      </c>
      <c r="B2073" s="90">
        <v>3725</v>
      </c>
      <c r="C2073" s="88" t="s">
        <v>569</v>
      </c>
      <c r="D2073" s="90" t="s">
        <v>17</v>
      </c>
      <c r="E2073" s="90" t="s">
        <v>1187</v>
      </c>
      <c r="F2073" s="90" t="s">
        <v>856</v>
      </c>
      <c r="G2073" s="94">
        <v>2</v>
      </c>
      <c r="H2073" s="94">
        <v>173</v>
      </c>
      <c r="I2073" s="91">
        <v>45972</v>
      </c>
      <c r="J2073" s="165">
        <v>0.67083333333333339</v>
      </c>
      <c r="K2073" s="94">
        <v>173</v>
      </c>
      <c r="L2073" s="72" t="str">
        <f t="shared" si="32"/>
        <v>Payé</v>
      </c>
    </row>
    <row r="2074" spans="1:12" ht="15" customHeight="1" x14ac:dyDescent="0.25">
      <c r="A2074" s="90" t="s">
        <v>856</v>
      </c>
      <c r="B2074" s="90">
        <v>3825</v>
      </c>
      <c r="C2074" s="88" t="s">
        <v>574</v>
      </c>
      <c r="D2074" s="90" t="s">
        <v>17</v>
      </c>
      <c r="E2074" s="90" t="s">
        <v>1187</v>
      </c>
      <c r="F2074" s="90" t="s">
        <v>856</v>
      </c>
      <c r="G2074" s="94">
        <v>8</v>
      </c>
      <c r="H2074" s="94">
        <v>800</v>
      </c>
      <c r="I2074" s="91">
        <v>45972</v>
      </c>
      <c r="J2074" s="165">
        <v>0.67083333333333339</v>
      </c>
      <c r="K2074" s="94">
        <v>800</v>
      </c>
      <c r="L2074" s="72" t="str">
        <f t="shared" si="32"/>
        <v>Payé</v>
      </c>
    </row>
    <row r="2075" spans="1:12" ht="15" customHeight="1" x14ac:dyDescent="0.25">
      <c r="A2075" s="90" t="s">
        <v>856</v>
      </c>
      <c r="B2075" s="90">
        <v>3947</v>
      </c>
      <c r="C2075" s="88" t="s">
        <v>576</v>
      </c>
      <c r="D2075" s="90" t="s">
        <v>17</v>
      </c>
      <c r="E2075" s="90" t="s">
        <v>1187</v>
      </c>
      <c r="F2075" s="90" t="s">
        <v>856</v>
      </c>
      <c r="G2075" s="94">
        <v>14</v>
      </c>
      <c r="H2075" s="94">
        <v>1320</v>
      </c>
      <c r="I2075" s="91">
        <v>45972</v>
      </c>
      <c r="J2075" s="165">
        <v>0.67083333333333339</v>
      </c>
      <c r="K2075" s="94">
        <v>1320</v>
      </c>
      <c r="L2075" s="72" t="str">
        <f t="shared" si="32"/>
        <v>Payé</v>
      </c>
    </row>
    <row r="2076" spans="1:12" ht="15" customHeight="1" x14ac:dyDescent="0.25">
      <c r="A2076" s="90" t="s">
        <v>856</v>
      </c>
      <c r="B2076" s="90">
        <v>5259</v>
      </c>
      <c r="C2076" s="88" t="s">
        <v>908</v>
      </c>
      <c r="D2076" s="90" t="s">
        <v>17</v>
      </c>
      <c r="E2076" s="90" t="s">
        <v>1187</v>
      </c>
      <c r="F2076" s="90" t="s">
        <v>856</v>
      </c>
      <c r="G2076" s="94">
        <v>14</v>
      </c>
      <c r="H2076" s="94">
        <v>1280</v>
      </c>
      <c r="I2076" s="91">
        <v>45972</v>
      </c>
      <c r="J2076" s="165">
        <v>0.67083333333333339</v>
      </c>
      <c r="K2076" s="94">
        <v>1280</v>
      </c>
      <c r="L2076" s="72" t="str">
        <f t="shared" si="32"/>
        <v>Payé</v>
      </c>
    </row>
    <row r="2077" spans="1:12" ht="15" customHeight="1" x14ac:dyDescent="0.25">
      <c r="A2077" s="90" t="s">
        <v>856</v>
      </c>
      <c r="B2077" s="90">
        <v>5269</v>
      </c>
      <c r="C2077" s="88" t="s">
        <v>925</v>
      </c>
      <c r="D2077" s="90" t="s">
        <v>17</v>
      </c>
      <c r="E2077" s="90" t="s">
        <v>1187</v>
      </c>
      <c r="F2077" s="90" t="s">
        <v>856</v>
      </c>
      <c r="G2077" s="94">
        <v>14</v>
      </c>
      <c r="H2077" s="94">
        <v>1300</v>
      </c>
      <c r="I2077" s="91">
        <v>45972</v>
      </c>
      <c r="J2077" s="165">
        <v>0.67083333333333339</v>
      </c>
      <c r="K2077" s="94">
        <v>1300</v>
      </c>
      <c r="L2077" s="72" t="str">
        <f t="shared" si="32"/>
        <v>Payé</v>
      </c>
    </row>
    <row r="2078" spans="1:12" ht="15" customHeight="1" x14ac:dyDescent="0.25">
      <c r="A2078" s="90" t="s">
        <v>856</v>
      </c>
      <c r="B2078" s="90">
        <v>5278</v>
      </c>
      <c r="C2078" s="88" t="s">
        <v>932</v>
      </c>
      <c r="D2078" s="90" t="s">
        <v>17</v>
      </c>
      <c r="E2078" s="90" t="s">
        <v>1187</v>
      </c>
      <c r="F2078" s="90" t="s">
        <v>856</v>
      </c>
      <c r="G2078" s="94">
        <v>13</v>
      </c>
      <c r="H2078" s="94">
        <v>1190</v>
      </c>
      <c r="I2078" s="91">
        <v>45972</v>
      </c>
      <c r="J2078" s="165">
        <v>0.67083333333333339</v>
      </c>
      <c r="K2078" s="94">
        <v>1190</v>
      </c>
      <c r="L2078" s="72" t="str">
        <f t="shared" ref="L2078:L2141" si="33">IF(ISBLANK(H2078),"",IF(H2078=K2078,"Payé","Impayé"))</f>
        <v>Payé</v>
      </c>
    </row>
    <row r="2079" spans="1:12" ht="15" customHeight="1" x14ac:dyDescent="0.25">
      <c r="A2079" s="90" t="s">
        <v>856</v>
      </c>
      <c r="B2079" s="90">
        <v>5292</v>
      </c>
      <c r="C2079" s="88" t="s">
        <v>1003</v>
      </c>
      <c r="D2079" s="90" t="s">
        <v>17</v>
      </c>
      <c r="E2079" s="90" t="s">
        <v>1187</v>
      </c>
      <c r="F2079" s="90" t="s">
        <v>856</v>
      </c>
      <c r="G2079" s="94">
        <v>14</v>
      </c>
      <c r="H2079" s="94">
        <v>1260</v>
      </c>
      <c r="I2079" s="91">
        <v>45972</v>
      </c>
      <c r="J2079" s="165">
        <v>0.67083333333333339</v>
      </c>
      <c r="K2079" s="94">
        <v>1260</v>
      </c>
      <c r="L2079" s="72" t="str">
        <f t="shared" si="33"/>
        <v>Payé</v>
      </c>
    </row>
    <row r="2080" spans="1:12" ht="15" customHeight="1" x14ac:dyDescent="0.25">
      <c r="A2080" s="90" t="s">
        <v>856</v>
      </c>
      <c r="B2080" s="90">
        <v>7012</v>
      </c>
      <c r="C2080" s="88" t="s">
        <v>724</v>
      </c>
      <c r="D2080" s="90" t="s">
        <v>17</v>
      </c>
      <c r="E2080" s="90" t="s">
        <v>1187</v>
      </c>
      <c r="F2080" s="90" t="s">
        <v>856</v>
      </c>
      <c r="G2080" s="94">
        <v>15</v>
      </c>
      <c r="H2080" s="94">
        <v>1450</v>
      </c>
      <c r="I2080" s="91">
        <v>45972</v>
      </c>
      <c r="J2080" s="165">
        <v>0.67083333333333339</v>
      </c>
      <c r="K2080" s="94">
        <v>1450</v>
      </c>
      <c r="L2080" s="72" t="str">
        <f t="shared" si="33"/>
        <v>Payé</v>
      </c>
    </row>
    <row r="2081" spans="1:12" ht="15" customHeight="1" x14ac:dyDescent="0.25">
      <c r="A2081" s="90" t="s">
        <v>856</v>
      </c>
      <c r="B2081" s="90">
        <v>10029</v>
      </c>
      <c r="C2081" s="88" t="s">
        <v>1175</v>
      </c>
      <c r="D2081" s="90" t="s">
        <v>17</v>
      </c>
      <c r="E2081" s="90" t="s">
        <v>1187</v>
      </c>
      <c r="F2081" s="90" t="s">
        <v>856</v>
      </c>
      <c r="G2081" s="94">
        <v>4</v>
      </c>
      <c r="H2081" s="94">
        <v>360</v>
      </c>
      <c r="I2081" s="91">
        <v>45972</v>
      </c>
      <c r="J2081" s="165">
        <v>0.67083333333333339</v>
      </c>
      <c r="K2081" s="94">
        <v>360</v>
      </c>
      <c r="L2081" s="72" t="str">
        <f t="shared" si="33"/>
        <v>Payé</v>
      </c>
    </row>
    <row r="2082" spans="1:12" ht="15" customHeight="1" x14ac:dyDescent="0.25">
      <c r="A2082" s="90" t="s">
        <v>856</v>
      </c>
      <c r="B2082" s="90">
        <v>10040</v>
      </c>
      <c r="C2082" s="88" t="s">
        <v>1184</v>
      </c>
      <c r="D2082" s="90" t="s">
        <v>17</v>
      </c>
      <c r="E2082" s="90" t="s">
        <v>1187</v>
      </c>
      <c r="F2082" s="90" t="s">
        <v>856</v>
      </c>
      <c r="G2082" s="94">
        <v>13</v>
      </c>
      <c r="H2082" s="94">
        <v>1210</v>
      </c>
      <c r="I2082" s="91">
        <v>45972</v>
      </c>
      <c r="J2082" s="165">
        <v>0.67083333333333339</v>
      </c>
      <c r="K2082" s="94">
        <v>1210</v>
      </c>
      <c r="L2082" s="72" t="str">
        <f t="shared" si="33"/>
        <v>Payé</v>
      </c>
    </row>
    <row r="2083" spans="1:12" ht="15" customHeight="1" x14ac:dyDescent="0.25">
      <c r="A2083" s="90" t="s">
        <v>856</v>
      </c>
      <c r="B2083" s="90">
        <v>10053</v>
      </c>
      <c r="C2083" s="88" t="s">
        <v>1221</v>
      </c>
      <c r="D2083" s="90" t="s">
        <v>17</v>
      </c>
      <c r="E2083" s="90" t="s">
        <v>1187</v>
      </c>
      <c r="F2083" s="90" t="s">
        <v>856</v>
      </c>
      <c r="G2083" s="94">
        <v>1</v>
      </c>
      <c r="H2083" s="94">
        <v>90</v>
      </c>
      <c r="I2083" s="91">
        <v>45972</v>
      </c>
      <c r="J2083" s="165">
        <v>0.67083333333333339</v>
      </c>
      <c r="K2083" s="94">
        <v>90</v>
      </c>
      <c r="L2083" s="72" t="str">
        <f t="shared" si="33"/>
        <v>Payé</v>
      </c>
    </row>
    <row r="2084" spans="1:12" ht="15" customHeight="1" x14ac:dyDescent="0.25">
      <c r="A2084" s="90" t="s">
        <v>856</v>
      </c>
      <c r="B2084" s="90">
        <v>10077</v>
      </c>
      <c r="C2084" s="88" t="s">
        <v>1257</v>
      </c>
      <c r="D2084" s="90" t="s">
        <v>17</v>
      </c>
      <c r="E2084" s="90" t="s">
        <v>1187</v>
      </c>
      <c r="F2084" s="90" t="s">
        <v>856</v>
      </c>
      <c r="G2084" s="94">
        <v>6</v>
      </c>
      <c r="H2084" s="94">
        <v>698</v>
      </c>
      <c r="I2084" s="91">
        <v>45972</v>
      </c>
      <c r="J2084" s="165">
        <v>0.67083333333333339</v>
      </c>
      <c r="K2084" s="94">
        <v>698</v>
      </c>
      <c r="L2084" s="72" t="str">
        <f t="shared" si="33"/>
        <v>Payé</v>
      </c>
    </row>
    <row r="2085" spans="1:12" ht="15" customHeight="1" x14ac:dyDescent="0.25">
      <c r="A2085" s="90" t="s">
        <v>856</v>
      </c>
      <c r="B2085" s="90"/>
      <c r="C2085" s="88" t="s">
        <v>1190</v>
      </c>
      <c r="D2085" s="89" t="s">
        <v>910</v>
      </c>
      <c r="E2085" s="90" t="s">
        <v>1187</v>
      </c>
      <c r="F2085" s="90" t="s">
        <v>856</v>
      </c>
      <c r="G2085" s="95">
        <v>314</v>
      </c>
      <c r="H2085" s="92">
        <v>9420</v>
      </c>
      <c r="I2085" s="91">
        <v>45972</v>
      </c>
      <c r="J2085" s="165">
        <v>0.67083333333333339</v>
      </c>
      <c r="K2085" s="92">
        <v>9420</v>
      </c>
      <c r="L2085" s="72" t="str">
        <f t="shared" si="33"/>
        <v>Payé</v>
      </c>
    </row>
    <row r="2086" spans="1:12" ht="15" customHeight="1" x14ac:dyDescent="0.25">
      <c r="A2086" s="90" t="s">
        <v>856</v>
      </c>
      <c r="B2086" s="90">
        <v>10084</v>
      </c>
      <c r="C2086" s="88" t="s">
        <v>1261</v>
      </c>
      <c r="D2086" s="90" t="s">
        <v>17</v>
      </c>
      <c r="E2086" s="90" t="s">
        <v>667</v>
      </c>
      <c r="F2086" s="90" t="s">
        <v>856</v>
      </c>
      <c r="G2086" s="94">
        <v>2</v>
      </c>
      <c r="H2086" s="94">
        <v>180</v>
      </c>
      <c r="I2086" s="91">
        <v>45973</v>
      </c>
      <c r="J2086" s="165">
        <v>0.65694444444444444</v>
      </c>
      <c r="K2086" s="94">
        <v>180</v>
      </c>
      <c r="L2086" s="72" t="str">
        <f t="shared" si="33"/>
        <v>Payé</v>
      </c>
    </row>
    <row r="2087" spans="1:12" ht="15" customHeight="1" x14ac:dyDescent="0.25">
      <c r="A2087" s="90" t="s">
        <v>856</v>
      </c>
      <c r="B2087" s="90">
        <v>10086</v>
      </c>
      <c r="C2087" s="88" t="s">
        <v>1262</v>
      </c>
      <c r="D2087" s="90" t="s">
        <v>17</v>
      </c>
      <c r="E2087" s="90" t="s">
        <v>667</v>
      </c>
      <c r="F2087" s="90" t="s">
        <v>856</v>
      </c>
      <c r="G2087" s="94">
        <v>2</v>
      </c>
      <c r="H2087" s="94">
        <v>220</v>
      </c>
      <c r="I2087" s="91">
        <v>45972</v>
      </c>
      <c r="J2087" s="165">
        <v>0.69027777777777777</v>
      </c>
      <c r="K2087" s="94">
        <v>220</v>
      </c>
      <c r="L2087" s="72" t="str">
        <f t="shared" si="33"/>
        <v>Payé</v>
      </c>
    </row>
    <row r="2088" spans="1:12" ht="15" customHeight="1" x14ac:dyDescent="0.25">
      <c r="A2088" s="90" t="s">
        <v>856</v>
      </c>
      <c r="B2088" s="90">
        <v>10087</v>
      </c>
      <c r="C2088" s="88" t="s">
        <v>1263</v>
      </c>
      <c r="D2088" s="90" t="s">
        <v>17</v>
      </c>
      <c r="E2088" s="90" t="s">
        <v>667</v>
      </c>
      <c r="F2088" s="90" t="s">
        <v>856</v>
      </c>
      <c r="G2088" s="94">
        <v>3</v>
      </c>
      <c r="H2088" s="94">
        <v>310</v>
      </c>
      <c r="I2088" s="91">
        <v>45972</v>
      </c>
      <c r="J2088" s="165">
        <v>0.69027777777777777</v>
      </c>
      <c r="K2088" s="94">
        <v>310</v>
      </c>
      <c r="L2088" s="72" t="str">
        <f t="shared" si="33"/>
        <v>Payé</v>
      </c>
    </row>
    <row r="2089" spans="1:12" ht="15" customHeight="1" x14ac:dyDescent="0.25">
      <c r="A2089" s="90" t="s">
        <v>856</v>
      </c>
      <c r="B2089" s="90">
        <v>10088</v>
      </c>
      <c r="C2089" s="88" t="s">
        <v>1264</v>
      </c>
      <c r="D2089" s="90" t="s">
        <v>17</v>
      </c>
      <c r="E2089" s="90" t="s">
        <v>667</v>
      </c>
      <c r="F2089" s="90" t="s">
        <v>856</v>
      </c>
      <c r="G2089" s="94">
        <v>3</v>
      </c>
      <c r="H2089" s="94">
        <v>334</v>
      </c>
      <c r="I2089" s="91">
        <v>45972</v>
      </c>
      <c r="J2089" s="165">
        <v>0.69027777777777777</v>
      </c>
      <c r="K2089" s="94">
        <v>334</v>
      </c>
      <c r="L2089" s="72" t="str">
        <f t="shared" si="33"/>
        <v>Payé</v>
      </c>
    </row>
    <row r="2090" spans="1:12" ht="15" customHeight="1" x14ac:dyDescent="0.25">
      <c r="A2090" s="90" t="s">
        <v>856</v>
      </c>
      <c r="B2090" s="90">
        <v>10090</v>
      </c>
      <c r="C2090" s="88" t="s">
        <v>1266</v>
      </c>
      <c r="D2090" s="90" t="s">
        <v>17</v>
      </c>
      <c r="E2090" s="90" t="s">
        <v>667</v>
      </c>
      <c r="F2090" s="90" t="s">
        <v>856</v>
      </c>
      <c r="G2090" s="94">
        <v>1</v>
      </c>
      <c r="H2090" s="94">
        <v>90</v>
      </c>
      <c r="I2090" s="91">
        <v>45972</v>
      </c>
      <c r="J2090" s="165">
        <v>0.69027777777777777</v>
      </c>
      <c r="K2090" s="94">
        <v>90</v>
      </c>
      <c r="L2090" s="72" t="str">
        <f t="shared" si="33"/>
        <v>Payé</v>
      </c>
    </row>
    <row r="2091" spans="1:12" ht="15" customHeight="1" x14ac:dyDescent="0.25">
      <c r="A2091" s="90" t="s">
        <v>856</v>
      </c>
      <c r="B2091" s="90">
        <v>10091</v>
      </c>
      <c r="C2091" s="88" t="s">
        <v>1267</v>
      </c>
      <c r="D2091" s="90" t="s">
        <v>17</v>
      </c>
      <c r="E2091" s="90" t="s">
        <v>667</v>
      </c>
      <c r="F2091" s="90" t="s">
        <v>856</v>
      </c>
      <c r="G2091" s="94">
        <v>1</v>
      </c>
      <c r="H2091" s="94">
        <v>90</v>
      </c>
      <c r="I2091" s="91">
        <v>45972</v>
      </c>
      <c r="J2091" s="165">
        <v>0.69027777777777777</v>
      </c>
      <c r="K2091" s="94">
        <v>90</v>
      </c>
      <c r="L2091" s="72" t="str">
        <f t="shared" si="33"/>
        <v>Payé</v>
      </c>
    </row>
    <row r="2092" spans="1:12" ht="15" customHeight="1" x14ac:dyDescent="0.25">
      <c r="A2092" s="90" t="s">
        <v>856</v>
      </c>
      <c r="B2092" s="90">
        <v>10092</v>
      </c>
      <c r="C2092" s="88" t="s">
        <v>1268</v>
      </c>
      <c r="D2092" s="90" t="s">
        <v>17</v>
      </c>
      <c r="E2092" s="90" t="s">
        <v>667</v>
      </c>
      <c r="F2092" s="90" t="s">
        <v>856</v>
      </c>
      <c r="G2092" s="94">
        <v>3</v>
      </c>
      <c r="H2092" s="94">
        <v>270</v>
      </c>
      <c r="I2092" s="91">
        <v>45972</v>
      </c>
      <c r="J2092" s="165">
        <v>0.69027777777777777</v>
      </c>
      <c r="K2092" s="94">
        <v>270</v>
      </c>
      <c r="L2092" s="72" t="str">
        <f t="shared" si="33"/>
        <v>Payé</v>
      </c>
    </row>
    <row r="2093" spans="1:12" ht="15" customHeight="1" x14ac:dyDescent="0.25">
      <c r="A2093" s="90" t="s">
        <v>856</v>
      </c>
      <c r="B2093" s="90">
        <v>10093</v>
      </c>
      <c r="C2093" s="88" t="s">
        <v>1269</v>
      </c>
      <c r="D2093" s="90" t="s">
        <v>17</v>
      </c>
      <c r="E2093" s="90" t="s">
        <v>667</v>
      </c>
      <c r="F2093" s="90" t="s">
        <v>856</v>
      </c>
      <c r="G2093" s="94">
        <v>1</v>
      </c>
      <c r="H2093" s="94">
        <v>90</v>
      </c>
      <c r="I2093" s="91">
        <v>45972</v>
      </c>
      <c r="J2093" s="165">
        <v>0.69027777777777777</v>
      </c>
      <c r="K2093" s="94">
        <v>90</v>
      </c>
      <c r="L2093" s="72" t="str">
        <f t="shared" si="33"/>
        <v>Payé</v>
      </c>
    </row>
    <row r="2094" spans="1:12" ht="15" customHeight="1" x14ac:dyDescent="0.25">
      <c r="A2094" s="90" t="s">
        <v>856</v>
      </c>
      <c r="B2094" s="90">
        <v>10094</v>
      </c>
      <c r="C2094" s="88" t="s">
        <v>1270</v>
      </c>
      <c r="D2094" s="90" t="s">
        <v>17</v>
      </c>
      <c r="E2094" s="90" t="s">
        <v>667</v>
      </c>
      <c r="F2094" s="90" t="s">
        <v>856</v>
      </c>
      <c r="G2094" s="94">
        <v>2</v>
      </c>
      <c r="H2094" s="94">
        <v>180</v>
      </c>
      <c r="I2094" s="91">
        <v>45972</v>
      </c>
      <c r="J2094" s="165">
        <v>0.69027777777777777</v>
      </c>
      <c r="K2094" s="94">
        <v>180</v>
      </c>
      <c r="L2094" s="72" t="str">
        <f t="shared" si="33"/>
        <v>Payé</v>
      </c>
    </row>
    <row r="2095" spans="1:12" ht="15" customHeight="1" x14ac:dyDescent="0.25">
      <c r="A2095" s="90" t="s">
        <v>856</v>
      </c>
      <c r="B2095" s="90">
        <v>10095</v>
      </c>
      <c r="C2095" s="88" t="s">
        <v>1271</v>
      </c>
      <c r="D2095" s="90" t="s">
        <v>17</v>
      </c>
      <c r="E2095" s="90" t="s">
        <v>667</v>
      </c>
      <c r="F2095" s="90" t="s">
        <v>856</v>
      </c>
      <c r="G2095" s="94">
        <v>2</v>
      </c>
      <c r="H2095" s="94">
        <v>180</v>
      </c>
      <c r="I2095" s="91">
        <v>45972</v>
      </c>
      <c r="J2095" s="165">
        <v>0.69027777777777777</v>
      </c>
      <c r="K2095" s="94">
        <v>180</v>
      </c>
      <c r="L2095" s="72" t="str">
        <f t="shared" si="33"/>
        <v>Payé</v>
      </c>
    </row>
    <row r="2096" spans="1:12" ht="15" customHeight="1" x14ac:dyDescent="0.25">
      <c r="A2096" s="90" t="s">
        <v>856</v>
      </c>
      <c r="B2096" s="90"/>
      <c r="C2096" s="88" t="s">
        <v>1282</v>
      </c>
      <c r="D2096" s="89" t="s">
        <v>910</v>
      </c>
      <c r="E2096" s="90" t="s">
        <v>667</v>
      </c>
      <c r="F2096" s="90" t="s">
        <v>856</v>
      </c>
      <c r="G2096" s="95">
        <v>20</v>
      </c>
      <c r="H2096" s="92">
        <v>600</v>
      </c>
      <c r="I2096" s="91">
        <v>45982</v>
      </c>
      <c r="J2096" s="165">
        <v>0.60902777777777783</v>
      </c>
      <c r="K2096" s="92">
        <v>600</v>
      </c>
      <c r="L2096" s="72" t="str">
        <f t="shared" si="33"/>
        <v>Payé</v>
      </c>
    </row>
    <row r="2097" spans="1:12" ht="15" customHeight="1" x14ac:dyDescent="0.25">
      <c r="A2097" s="90" t="s">
        <v>856</v>
      </c>
      <c r="B2097" s="90">
        <v>2276</v>
      </c>
      <c r="C2097" s="88" t="s">
        <v>367</v>
      </c>
      <c r="D2097" s="90" t="s">
        <v>17</v>
      </c>
      <c r="E2097" s="90" t="s">
        <v>103</v>
      </c>
      <c r="F2097" s="90" t="s">
        <v>856</v>
      </c>
      <c r="G2097" s="94">
        <v>1</v>
      </c>
      <c r="H2097" s="94">
        <v>91</v>
      </c>
      <c r="I2097" s="91">
        <v>46045</v>
      </c>
      <c r="J2097" s="165">
        <v>0.4993055555555555</v>
      </c>
      <c r="K2097" s="94">
        <v>91</v>
      </c>
      <c r="L2097" s="72" t="str">
        <f t="shared" si="33"/>
        <v>Payé</v>
      </c>
    </row>
    <row r="2098" spans="1:12" ht="15" customHeight="1" x14ac:dyDescent="0.25">
      <c r="A2098" s="90" t="s">
        <v>856</v>
      </c>
      <c r="B2098" s="90">
        <v>2321</v>
      </c>
      <c r="C2098" s="88" t="s">
        <v>969</v>
      </c>
      <c r="D2098" s="90" t="s">
        <v>17</v>
      </c>
      <c r="E2098" s="90" t="s">
        <v>103</v>
      </c>
      <c r="F2098" s="90" t="s">
        <v>856</v>
      </c>
      <c r="G2098" s="94">
        <v>1</v>
      </c>
      <c r="H2098" s="94">
        <v>87</v>
      </c>
      <c r="I2098" s="91">
        <v>46015</v>
      </c>
      <c r="J2098" s="165">
        <v>0.45069444444444445</v>
      </c>
      <c r="K2098" s="94">
        <v>87</v>
      </c>
      <c r="L2098" s="72" t="str">
        <f t="shared" si="33"/>
        <v>Payé</v>
      </c>
    </row>
    <row r="2099" spans="1:12" ht="15" customHeight="1" x14ac:dyDescent="0.25">
      <c r="A2099" s="90" t="s">
        <v>856</v>
      </c>
      <c r="B2099" s="90">
        <v>2384</v>
      </c>
      <c r="C2099" s="88" t="s">
        <v>541</v>
      </c>
      <c r="D2099" s="90" t="s">
        <v>17</v>
      </c>
      <c r="E2099" s="90" t="s">
        <v>103</v>
      </c>
      <c r="F2099" s="90" t="s">
        <v>856</v>
      </c>
      <c r="G2099" s="94">
        <v>2</v>
      </c>
      <c r="H2099" s="94">
        <v>173</v>
      </c>
      <c r="I2099" s="91">
        <v>46038</v>
      </c>
      <c r="J2099" s="165">
        <v>0.55902777777777779</v>
      </c>
      <c r="K2099" s="94">
        <v>173</v>
      </c>
      <c r="L2099" s="72" t="str">
        <f t="shared" si="33"/>
        <v>Payé</v>
      </c>
    </row>
    <row r="2100" spans="1:12" ht="15" customHeight="1" x14ac:dyDescent="0.25">
      <c r="A2100" s="90" t="s">
        <v>856</v>
      </c>
      <c r="B2100" s="90">
        <v>3351</v>
      </c>
      <c r="C2100" s="88" t="s">
        <v>617</v>
      </c>
      <c r="D2100" s="90" t="s">
        <v>17</v>
      </c>
      <c r="E2100" s="90" t="s">
        <v>107</v>
      </c>
      <c r="F2100" s="90" t="s">
        <v>856</v>
      </c>
      <c r="G2100" s="94">
        <v>1</v>
      </c>
      <c r="H2100" s="94">
        <v>87</v>
      </c>
      <c r="I2100" s="91">
        <v>46045</v>
      </c>
      <c r="J2100" s="165">
        <v>0.4993055555555555</v>
      </c>
      <c r="K2100" s="94">
        <v>87</v>
      </c>
      <c r="L2100" s="72" t="str">
        <f t="shared" si="33"/>
        <v>Payé</v>
      </c>
    </row>
    <row r="2101" spans="1:12" ht="15" customHeight="1" x14ac:dyDescent="0.25">
      <c r="A2101" s="90" t="s">
        <v>856</v>
      </c>
      <c r="B2101" s="90">
        <v>360</v>
      </c>
      <c r="C2101" s="88" t="s">
        <v>953</v>
      </c>
      <c r="D2101" s="90" t="s">
        <v>17</v>
      </c>
      <c r="E2101" s="90" t="s">
        <v>123</v>
      </c>
      <c r="F2101" s="90" t="s">
        <v>856</v>
      </c>
      <c r="G2101" s="94">
        <v>1</v>
      </c>
      <c r="H2101" s="94">
        <v>91</v>
      </c>
      <c r="I2101" s="91">
        <v>46031</v>
      </c>
      <c r="J2101" s="165">
        <v>0.63958333333333328</v>
      </c>
      <c r="K2101" s="94">
        <v>91</v>
      </c>
      <c r="L2101" s="72" t="str">
        <f t="shared" si="33"/>
        <v>Payé</v>
      </c>
    </row>
    <row r="2102" spans="1:12" ht="15" customHeight="1" x14ac:dyDescent="0.25">
      <c r="A2102" s="90" t="s">
        <v>856</v>
      </c>
      <c r="B2102" s="90">
        <v>487</v>
      </c>
      <c r="C2102" s="88" t="s">
        <v>1113</v>
      </c>
      <c r="D2102" s="90" t="s">
        <v>17</v>
      </c>
      <c r="E2102" s="90" t="s">
        <v>123</v>
      </c>
      <c r="F2102" s="90" t="s">
        <v>856</v>
      </c>
      <c r="G2102" s="94">
        <v>1</v>
      </c>
      <c r="H2102" s="94">
        <v>91</v>
      </c>
      <c r="I2102" s="91"/>
      <c r="J2102" s="165"/>
      <c r="K2102" s="92"/>
      <c r="L2102" s="72" t="str">
        <f t="shared" si="33"/>
        <v>Impayé</v>
      </c>
    </row>
    <row r="2103" spans="1:12" ht="15" customHeight="1" x14ac:dyDescent="0.25">
      <c r="A2103" s="91" t="s">
        <v>850</v>
      </c>
      <c r="B2103" s="90">
        <v>4202</v>
      </c>
      <c r="C2103" s="88" t="s">
        <v>609</v>
      </c>
      <c r="D2103" s="90" t="s">
        <v>17</v>
      </c>
      <c r="E2103" s="90" t="s">
        <v>649</v>
      </c>
      <c r="F2103" s="91" t="s">
        <v>850</v>
      </c>
      <c r="G2103" s="95">
        <v>9</v>
      </c>
      <c r="H2103" s="94">
        <v>781</v>
      </c>
      <c r="I2103" s="91">
        <v>45881</v>
      </c>
      <c r="J2103" s="165">
        <v>0.66388888888888886</v>
      </c>
      <c r="K2103" s="94">
        <v>781</v>
      </c>
      <c r="L2103" s="72" t="str">
        <f t="shared" si="33"/>
        <v>Payé</v>
      </c>
    </row>
    <row r="2104" spans="1:12" ht="15" customHeight="1" x14ac:dyDescent="0.25">
      <c r="A2104" s="91" t="s">
        <v>850</v>
      </c>
      <c r="B2104" s="90">
        <v>4204</v>
      </c>
      <c r="C2104" s="88" t="s">
        <v>610</v>
      </c>
      <c r="D2104" s="90" t="s">
        <v>17</v>
      </c>
      <c r="E2104" s="90" t="s">
        <v>649</v>
      </c>
      <c r="F2104" s="91" t="s">
        <v>850</v>
      </c>
      <c r="G2104" s="95">
        <v>11</v>
      </c>
      <c r="H2104" s="94">
        <v>954</v>
      </c>
      <c r="I2104" s="91">
        <v>45881</v>
      </c>
      <c r="J2104" s="165">
        <v>0.66388888888888886</v>
      </c>
      <c r="K2104" s="94">
        <v>954</v>
      </c>
      <c r="L2104" s="72" t="str">
        <f t="shared" si="33"/>
        <v>Payé</v>
      </c>
    </row>
    <row r="2105" spans="1:12" ht="15" customHeight="1" x14ac:dyDescent="0.25">
      <c r="A2105" s="90" t="s">
        <v>856</v>
      </c>
      <c r="B2105" s="90">
        <v>10074</v>
      </c>
      <c r="C2105" s="88" t="s">
        <v>1254</v>
      </c>
      <c r="D2105" s="90" t="s">
        <v>17</v>
      </c>
      <c r="E2105" s="90" t="s">
        <v>753</v>
      </c>
      <c r="F2105" s="90" t="s">
        <v>856</v>
      </c>
      <c r="G2105" s="94">
        <v>1</v>
      </c>
      <c r="H2105" s="94">
        <v>90</v>
      </c>
      <c r="I2105" s="91"/>
      <c r="J2105" s="165"/>
      <c r="K2105" s="92"/>
      <c r="L2105" s="72" t="str">
        <f t="shared" si="33"/>
        <v>Impayé</v>
      </c>
    </row>
    <row r="2106" spans="1:12" ht="15" customHeight="1" x14ac:dyDescent="0.25">
      <c r="A2106" s="90" t="s">
        <v>856</v>
      </c>
      <c r="B2106" s="90">
        <v>851</v>
      </c>
      <c r="C2106" s="88" t="s">
        <v>403</v>
      </c>
      <c r="D2106" s="90" t="s">
        <v>17</v>
      </c>
      <c r="E2106" s="90" t="s">
        <v>49</v>
      </c>
      <c r="F2106" s="90" t="s">
        <v>856</v>
      </c>
      <c r="G2106" s="94">
        <v>3</v>
      </c>
      <c r="H2106" s="94">
        <v>273</v>
      </c>
      <c r="I2106" s="91">
        <v>45975</v>
      </c>
      <c r="J2106" s="165">
        <v>0.64722222222222225</v>
      </c>
      <c r="K2106" s="94">
        <v>273</v>
      </c>
      <c r="L2106" s="72" t="str">
        <f t="shared" si="33"/>
        <v>Payé</v>
      </c>
    </row>
    <row r="2107" spans="1:12" ht="15" customHeight="1" x14ac:dyDescent="0.25">
      <c r="A2107" s="90" t="s">
        <v>856</v>
      </c>
      <c r="B2107" s="90">
        <v>855</v>
      </c>
      <c r="C2107" s="88" t="s">
        <v>1233</v>
      </c>
      <c r="D2107" s="90" t="s">
        <v>17</v>
      </c>
      <c r="E2107" s="90" t="s">
        <v>49</v>
      </c>
      <c r="F2107" s="90" t="s">
        <v>856</v>
      </c>
      <c r="G2107" s="94">
        <v>1</v>
      </c>
      <c r="H2107" s="94">
        <v>87</v>
      </c>
      <c r="I2107" s="91">
        <v>45972</v>
      </c>
      <c r="J2107" s="165">
        <v>0.71319444444444446</v>
      </c>
      <c r="K2107" s="94">
        <v>87</v>
      </c>
      <c r="L2107" s="72" t="str">
        <f t="shared" si="33"/>
        <v>Payé</v>
      </c>
    </row>
    <row r="2108" spans="1:12" ht="15" customHeight="1" x14ac:dyDescent="0.25">
      <c r="A2108" s="90" t="s">
        <v>856</v>
      </c>
      <c r="B2108" s="90">
        <v>3439</v>
      </c>
      <c r="C2108" s="88" t="s">
        <v>875</v>
      </c>
      <c r="D2108" s="90" t="s">
        <v>17</v>
      </c>
      <c r="E2108" s="90" t="s">
        <v>49</v>
      </c>
      <c r="F2108" s="90" t="s">
        <v>856</v>
      </c>
      <c r="G2108" s="94">
        <v>13</v>
      </c>
      <c r="H2108" s="94">
        <v>1170</v>
      </c>
      <c r="I2108" s="91">
        <v>45972</v>
      </c>
      <c r="J2108" s="165">
        <v>0.71319444444444446</v>
      </c>
      <c r="K2108" s="94">
        <v>1170</v>
      </c>
      <c r="L2108" s="72" t="str">
        <f t="shared" si="33"/>
        <v>Payé</v>
      </c>
    </row>
    <row r="2109" spans="1:12" ht="15" customHeight="1" x14ac:dyDescent="0.25">
      <c r="A2109" s="90" t="s">
        <v>856</v>
      </c>
      <c r="B2109" s="90">
        <v>3440</v>
      </c>
      <c r="C2109" s="88" t="s">
        <v>561</v>
      </c>
      <c r="D2109" s="90" t="s">
        <v>17</v>
      </c>
      <c r="E2109" s="90" t="s">
        <v>49</v>
      </c>
      <c r="F2109" s="90" t="s">
        <v>856</v>
      </c>
      <c r="G2109" s="94">
        <v>15</v>
      </c>
      <c r="H2109" s="94">
        <v>1350</v>
      </c>
      <c r="I2109" s="91">
        <v>45975</v>
      </c>
      <c r="J2109" s="165">
        <v>0.64722222222222225</v>
      </c>
      <c r="K2109" s="94">
        <v>1350</v>
      </c>
      <c r="L2109" s="72" t="str">
        <f t="shared" si="33"/>
        <v>Payé</v>
      </c>
    </row>
    <row r="2110" spans="1:12" ht="15" customHeight="1" x14ac:dyDescent="0.25">
      <c r="A2110" s="90" t="s">
        <v>856</v>
      </c>
      <c r="B2110" s="90">
        <v>3751</v>
      </c>
      <c r="C2110" s="88" t="s">
        <v>571</v>
      </c>
      <c r="D2110" s="90" t="s">
        <v>17</v>
      </c>
      <c r="E2110" s="90" t="s">
        <v>49</v>
      </c>
      <c r="F2110" s="90" t="s">
        <v>856</v>
      </c>
      <c r="G2110" s="94">
        <v>16</v>
      </c>
      <c r="H2110" s="94">
        <v>1440</v>
      </c>
      <c r="I2110" s="91">
        <v>45975</v>
      </c>
      <c r="J2110" s="165">
        <v>0.64722222222222225</v>
      </c>
      <c r="K2110" s="94">
        <v>1440</v>
      </c>
      <c r="L2110" s="72" t="str">
        <f t="shared" si="33"/>
        <v>Payé</v>
      </c>
    </row>
    <row r="2111" spans="1:12" ht="15" customHeight="1" x14ac:dyDescent="0.25">
      <c r="A2111" s="90" t="s">
        <v>856</v>
      </c>
      <c r="B2111" s="90">
        <v>3760</v>
      </c>
      <c r="C2111" s="88" t="s">
        <v>465</v>
      </c>
      <c r="D2111" s="90" t="s">
        <v>17</v>
      </c>
      <c r="E2111" s="90" t="s">
        <v>49</v>
      </c>
      <c r="F2111" s="90" t="s">
        <v>856</v>
      </c>
      <c r="G2111" s="94">
        <v>11</v>
      </c>
      <c r="H2111" s="94">
        <v>990</v>
      </c>
      <c r="I2111" s="91">
        <v>45972</v>
      </c>
      <c r="J2111" s="165">
        <v>0.71319444444444446</v>
      </c>
      <c r="K2111" s="94">
        <v>990</v>
      </c>
      <c r="L2111" s="72" t="str">
        <f t="shared" si="33"/>
        <v>Payé</v>
      </c>
    </row>
    <row r="2112" spans="1:12" ht="15" customHeight="1" x14ac:dyDescent="0.25">
      <c r="A2112" s="90" t="s">
        <v>856</v>
      </c>
      <c r="B2112" s="90">
        <v>4130</v>
      </c>
      <c r="C2112" s="88" t="s">
        <v>1148</v>
      </c>
      <c r="D2112" s="90" t="s">
        <v>17</v>
      </c>
      <c r="E2112" s="90" t="s">
        <v>49</v>
      </c>
      <c r="F2112" s="90" t="s">
        <v>856</v>
      </c>
      <c r="G2112" s="94">
        <v>3</v>
      </c>
      <c r="H2112" s="94">
        <v>260</v>
      </c>
      <c r="I2112" s="91">
        <v>45972</v>
      </c>
      <c r="J2112" s="165">
        <v>0.71319444444444446</v>
      </c>
      <c r="K2112" s="94">
        <v>260</v>
      </c>
      <c r="L2112" s="72" t="str">
        <f t="shared" si="33"/>
        <v>Payé</v>
      </c>
    </row>
    <row r="2113" spans="1:12" ht="15" customHeight="1" x14ac:dyDescent="0.25">
      <c r="A2113" s="90" t="s">
        <v>856</v>
      </c>
      <c r="B2113" s="90">
        <v>4429</v>
      </c>
      <c r="C2113" s="88" t="s">
        <v>1149</v>
      </c>
      <c r="D2113" s="90" t="s">
        <v>17</v>
      </c>
      <c r="E2113" s="90" t="s">
        <v>49</v>
      </c>
      <c r="F2113" s="90" t="s">
        <v>856</v>
      </c>
      <c r="G2113" s="94">
        <v>12</v>
      </c>
      <c r="H2113" s="94">
        <v>1080</v>
      </c>
      <c r="I2113" s="91">
        <v>45972</v>
      </c>
      <c r="J2113" s="165">
        <v>0.71319444444444446</v>
      </c>
      <c r="K2113" s="94">
        <v>1080</v>
      </c>
      <c r="L2113" s="72" t="str">
        <f t="shared" si="33"/>
        <v>Payé</v>
      </c>
    </row>
    <row r="2114" spans="1:12" ht="15" customHeight="1" x14ac:dyDescent="0.25">
      <c r="A2114" s="90" t="s">
        <v>856</v>
      </c>
      <c r="B2114" s="90">
        <v>4782</v>
      </c>
      <c r="C2114" s="88" t="s">
        <v>698</v>
      </c>
      <c r="D2114" s="90" t="s">
        <v>17</v>
      </c>
      <c r="E2114" s="90" t="s">
        <v>49</v>
      </c>
      <c r="F2114" s="90" t="s">
        <v>856</v>
      </c>
      <c r="G2114" s="94">
        <v>2</v>
      </c>
      <c r="H2114" s="94">
        <v>173</v>
      </c>
      <c r="I2114" s="91">
        <v>45972</v>
      </c>
      <c r="J2114" s="165">
        <v>0.71319444444444446</v>
      </c>
      <c r="K2114" s="94">
        <v>173</v>
      </c>
      <c r="L2114" s="72" t="str">
        <f t="shared" si="33"/>
        <v>Payé</v>
      </c>
    </row>
    <row r="2115" spans="1:12" ht="15" customHeight="1" x14ac:dyDescent="0.25">
      <c r="A2115" s="90" t="s">
        <v>856</v>
      </c>
      <c r="B2115" s="90">
        <v>4840</v>
      </c>
      <c r="C2115" s="88" t="s">
        <v>766</v>
      </c>
      <c r="D2115" s="90" t="s">
        <v>17</v>
      </c>
      <c r="E2115" s="90" t="s">
        <v>49</v>
      </c>
      <c r="F2115" s="90" t="s">
        <v>856</v>
      </c>
      <c r="G2115" s="94">
        <v>15</v>
      </c>
      <c r="H2115" s="94">
        <v>1610</v>
      </c>
      <c r="I2115" s="91">
        <v>45972</v>
      </c>
      <c r="J2115" s="165">
        <v>0.71319444444444446</v>
      </c>
      <c r="K2115" s="94">
        <v>1610</v>
      </c>
      <c r="L2115" s="72" t="str">
        <f t="shared" si="33"/>
        <v>Payé</v>
      </c>
    </row>
    <row r="2116" spans="1:12" ht="15" customHeight="1" x14ac:dyDescent="0.25">
      <c r="A2116" s="90" t="s">
        <v>856</v>
      </c>
      <c r="B2116" s="90">
        <v>6070</v>
      </c>
      <c r="C2116" s="88" t="s">
        <v>1153</v>
      </c>
      <c r="D2116" s="90" t="s">
        <v>17</v>
      </c>
      <c r="E2116" s="90" t="s">
        <v>49</v>
      </c>
      <c r="F2116" s="90" t="s">
        <v>856</v>
      </c>
      <c r="G2116" s="94">
        <v>6</v>
      </c>
      <c r="H2116" s="94">
        <v>580</v>
      </c>
      <c r="I2116" s="91">
        <v>45972</v>
      </c>
      <c r="J2116" s="165">
        <v>0.71319444444444446</v>
      </c>
      <c r="K2116" s="94">
        <v>580</v>
      </c>
      <c r="L2116" s="72" t="str">
        <f t="shared" si="33"/>
        <v>Payé</v>
      </c>
    </row>
    <row r="2117" spans="1:12" ht="15" customHeight="1" x14ac:dyDescent="0.25">
      <c r="A2117" s="90" t="s">
        <v>856</v>
      </c>
      <c r="B2117" s="90">
        <v>6077</v>
      </c>
      <c r="C2117" s="88" t="s">
        <v>1212</v>
      </c>
      <c r="D2117" s="90" t="s">
        <v>17</v>
      </c>
      <c r="E2117" s="90" t="s">
        <v>49</v>
      </c>
      <c r="F2117" s="90" t="s">
        <v>856</v>
      </c>
      <c r="G2117" s="94">
        <v>3</v>
      </c>
      <c r="H2117" s="94">
        <v>260</v>
      </c>
      <c r="I2117" s="91">
        <v>45972</v>
      </c>
      <c r="J2117" s="165">
        <v>0.71319444444444446</v>
      </c>
      <c r="K2117" s="94">
        <v>260</v>
      </c>
      <c r="L2117" s="72" t="str">
        <f t="shared" si="33"/>
        <v>Payé</v>
      </c>
    </row>
    <row r="2118" spans="1:12" ht="15" customHeight="1" x14ac:dyDescent="0.25">
      <c r="A2118" s="90" t="s">
        <v>856</v>
      </c>
      <c r="B2118" s="90">
        <v>7004</v>
      </c>
      <c r="C2118" s="88" t="s">
        <v>713</v>
      </c>
      <c r="D2118" s="90" t="s">
        <v>17</v>
      </c>
      <c r="E2118" s="90" t="s">
        <v>49</v>
      </c>
      <c r="F2118" s="90" t="s">
        <v>856</v>
      </c>
      <c r="G2118" s="94">
        <v>8</v>
      </c>
      <c r="H2118" s="94">
        <v>780</v>
      </c>
      <c r="I2118" s="91">
        <v>45972</v>
      </c>
      <c r="J2118" s="165">
        <v>0.71319444444444446</v>
      </c>
      <c r="K2118" s="94">
        <v>780</v>
      </c>
      <c r="L2118" s="72" t="str">
        <f t="shared" si="33"/>
        <v>Payé</v>
      </c>
    </row>
    <row r="2119" spans="1:12" ht="15" customHeight="1" x14ac:dyDescent="0.25">
      <c r="A2119" s="90" t="s">
        <v>856</v>
      </c>
      <c r="B2119" s="90">
        <v>10046</v>
      </c>
      <c r="C2119" s="88" t="s">
        <v>1217</v>
      </c>
      <c r="D2119" s="90" t="s">
        <v>17</v>
      </c>
      <c r="E2119" s="90" t="s">
        <v>49</v>
      </c>
      <c r="F2119" s="90" t="s">
        <v>856</v>
      </c>
      <c r="G2119" s="94">
        <v>12</v>
      </c>
      <c r="H2119" s="94">
        <v>1120</v>
      </c>
      <c r="I2119" s="91">
        <v>45972</v>
      </c>
      <c r="J2119" s="165">
        <v>0.71319444444444446</v>
      </c>
      <c r="K2119" s="94">
        <v>1120</v>
      </c>
      <c r="L2119" s="72" t="str">
        <f t="shared" si="33"/>
        <v>Payé</v>
      </c>
    </row>
    <row r="2120" spans="1:12" ht="15" customHeight="1" x14ac:dyDescent="0.25">
      <c r="A2120" s="90" t="s">
        <v>856</v>
      </c>
      <c r="B2120" s="90">
        <v>10066</v>
      </c>
      <c r="C2120" s="88" t="s">
        <v>1230</v>
      </c>
      <c r="D2120" s="90" t="s">
        <v>17</v>
      </c>
      <c r="E2120" s="90" t="s">
        <v>49</v>
      </c>
      <c r="F2120" s="90" t="s">
        <v>856</v>
      </c>
      <c r="G2120" s="94">
        <v>11</v>
      </c>
      <c r="H2120" s="94">
        <v>1050</v>
      </c>
      <c r="I2120" s="91">
        <v>45978</v>
      </c>
      <c r="J2120" s="165">
        <v>0.43472222222222223</v>
      </c>
      <c r="K2120" s="94">
        <v>1050</v>
      </c>
      <c r="L2120" s="72" t="str">
        <f t="shared" si="33"/>
        <v>Payé</v>
      </c>
    </row>
    <row r="2121" spans="1:12" ht="15" customHeight="1" x14ac:dyDescent="0.25">
      <c r="A2121" s="90" t="s">
        <v>856</v>
      </c>
      <c r="B2121" s="90">
        <v>10070</v>
      </c>
      <c r="C2121" s="88" t="s">
        <v>1250</v>
      </c>
      <c r="D2121" s="90" t="s">
        <v>17</v>
      </c>
      <c r="E2121" s="90" t="s">
        <v>49</v>
      </c>
      <c r="F2121" s="90" t="s">
        <v>856</v>
      </c>
      <c r="G2121" s="94">
        <v>10</v>
      </c>
      <c r="H2121" s="94">
        <v>900</v>
      </c>
      <c r="I2121" s="91">
        <v>45985</v>
      </c>
      <c r="J2121" s="165">
        <v>0.54999999999999993</v>
      </c>
      <c r="K2121" s="94">
        <v>900</v>
      </c>
      <c r="L2121" s="72" t="str">
        <f t="shared" si="33"/>
        <v>Payé</v>
      </c>
    </row>
    <row r="2122" spans="1:12" ht="15" customHeight="1" x14ac:dyDescent="0.25">
      <c r="A2122" s="90" t="s">
        <v>856</v>
      </c>
      <c r="B2122" s="90">
        <v>10072</v>
      </c>
      <c r="C2122" s="88" t="s">
        <v>1252</v>
      </c>
      <c r="D2122" s="90" t="s">
        <v>17</v>
      </c>
      <c r="E2122" s="90" t="s">
        <v>49</v>
      </c>
      <c r="F2122" s="90" t="s">
        <v>856</v>
      </c>
      <c r="G2122" s="94">
        <v>8</v>
      </c>
      <c r="H2122" s="94">
        <v>720</v>
      </c>
      <c r="I2122" s="91">
        <v>45973</v>
      </c>
      <c r="J2122" s="165">
        <v>0.67638888888888893</v>
      </c>
      <c r="K2122" s="94">
        <v>720</v>
      </c>
      <c r="L2122" s="72" t="str">
        <f t="shared" si="33"/>
        <v>Payé</v>
      </c>
    </row>
    <row r="2123" spans="1:12" ht="15" customHeight="1" x14ac:dyDescent="0.25">
      <c r="A2123" s="90" t="s">
        <v>856</v>
      </c>
      <c r="B2123" s="90">
        <v>10081</v>
      </c>
      <c r="C2123" s="88" t="s">
        <v>1258</v>
      </c>
      <c r="D2123" s="90" t="s">
        <v>17</v>
      </c>
      <c r="E2123" s="90" t="s">
        <v>49</v>
      </c>
      <c r="F2123" s="90" t="s">
        <v>856</v>
      </c>
      <c r="G2123" s="94">
        <v>14</v>
      </c>
      <c r="H2123" s="94">
        <v>1360</v>
      </c>
      <c r="I2123" s="91">
        <v>45972</v>
      </c>
      <c r="J2123" s="165">
        <v>0.68333333333333324</v>
      </c>
      <c r="K2123" s="94">
        <v>1360</v>
      </c>
      <c r="L2123" s="72" t="str">
        <f t="shared" si="33"/>
        <v>Payé</v>
      </c>
    </row>
    <row r="2124" spans="1:12" ht="15" customHeight="1" x14ac:dyDescent="0.25">
      <c r="A2124" s="90" t="s">
        <v>856</v>
      </c>
      <c r="B2124" s="90">
        <v>10103</v>
      </c>
      <c r="C2124" s="88" t="s">
        <v>1275</v>
      </c>
      <c r="D2124" s="90" t="s">
        <v>17</v>
      </c>
      <c r="E2124" s="90" t="s">
        <v>49</v>
      </c>
      <c r="F2124" s="90" t="s">
        <v>856</v>
      </c>
      <c r="G2124" s="94">
        <v>1</v>
      </c>
      <c r="H2124" s="94">
        <v>90</v>
      </c>
      <c r="I2124" s="91">
        <v>45972</v>
      </c>
      <c r="J2124" s="165">
        <v>0.71319444444444446</v>
      </c>
      <c r="K2124" s="94">
        <v>90</v>
      </c>
      <c r="L2124" s="72" t="str">
        <f t="shared" si="33"/>
        <v>Payé</v>
      </c>
    </row>
    <row r="2125" spans="1:12" ht="15" customHeight="1" x14ac:dyDescent="0.25">
      <c r="A2125" s="90" t="s">
        <v>856</v>
      </c>
      <c r="B2125" s="90"/>
      <c r="C2125" s="88" t="s">
        <v>1189</v>
      </c>
      <c r="D2125" s="89" t="s">
        <v>910</v>
      </c>
      <c r="E2125" s="90" t="s">
        <v>49</v>
      </c>
      <c r="F2125" s="90" t="s">
        <v>856</v>
      </c>
      <c r="G2125" s="95">
        <v>294</v>
      </c>
      <c r="H2125" s="92">
        <v>8820</v>
      </c>
      <c r="I2125" s="91">
        <v>45972</v>
      </c>
      <c r="J2125" s="165">
        <v>0.68472222222222223</v>
      </c>
      <c r="K2125" s="92">
        <v>8820</v>
      </c>
      <c r="L2125" s="72" t="str">
        <f t="shared" si="33"/>
        <v>Payé</v>
      </c>
    </row>
    <row r="2126" spans="1:12" ht="15" customHeight="1" x14ac:dyDescent="0.25">
      <c r="A2126" s="90" t="s">
        <v>856</v>
      </c>
      <c r="B2126" s="90">
        <v>10075</v>
      </c>
      <c r="C2126" s="88" t="s">
        <v>1255</v>
      </c>
      <c r="D2126" s="90" t="s">
        <v>17</v>
      </c>
      <c r="E2126" s="90" t="s">
        <v>753</v>
      </c>
      <c r="F2126" s="90" t="s">
        <v>856</v>
      </c>
      <c r="G2126" s="94">
        <v>1</v>
      </c>
      <c r="H2126" s="94">
        <v>90</v>
      </c>
      <c r="I2126" s="91"/>
      <c r="J2126" s="165"/>
      <c r="K2126" s="92"/>
      <c r="L2126" s="72" t="str">
        <f t="shared" si="33"/>
        <v>Impayé</v>
      </c>
    </row>
    <row r="2127" spans="1:12" ht="15" customHeight="1" x14ac:dyDescent="0.25">
      <c r="A2127" s="90" t="s">
        <v>856</v>
      </c>
      <c r="B2127" s="90">
        <v>3516</v>
      </c>
      <c r="C2127" s="88" t="s">
        <v>1240</v>
      </c>
      <c r="D2127" s="90" t="s">
        <v>17</v>
      </c>
      <c r="E2127" s="90" t="s">
        <v>49</v>
      </c>
      <c r="F2127" s="90" t="s">
        <v>856</v>
      </c>
      <c r="G2127" s="94">
        <v>1</v>
      </c>
      <c r="H2127" s="94">
        <v>87</v>
      </c>
      <c r="I2127" s="91">
        <v>46003</v>
      </c>
      <c r="J2127" s="165">
        <v>0.65</v>
      </c>
      <c r="K2127" s="94">
        <v>87</v>
      </c>
      <c r="L2127" s="72" t="str">
        <f t="shared" si="33"/>
        <v>Payé</v>
      </c>
    </row>
    <row r="2128" spans="1:12" ht="15" customHeight="1" x14ac:dyDescent="0.25">
      <c r="A2128" s="90" t="s">
        <v>856</v>
      </c>
      <c r="B2128" s="90">
        <v>10107</v>
      </c>
      <c r="C2128" s="88" t="s">
        <v>1279</v>
      </c>
      <c r="D2128" s="90" t="s">
        <v>17</v>
      </c>
      <c r="E2128" s="90" t="s">
        <v>1280</v>
      </c>
      <c r="F2128" s="90" t="s">
        <v>856</v>
      </c>
      <c r="G2128" s="94">
        <v>1</v>
      </c>
      <c r="H2128" s="94">
        <v>90</v>
      </c>
      <c r="I2128" s="91">
        <v>46048</v>
      </c>
      <c r="J2128" s="165">
        <v>0.50416666666666665</v>
      </c>
      <c r="K2128" s="94">
        <v>90</v>
      </c>
      <c r="L2128" s="72" t="str">
        <f t="shared" si="33"/>
        <v>Payé</v>
      </c>
    </row>
    <row r="2129" spans="1:12" ht="15" customHeight="1" x14ac:dyDescent="0.25">
      <c r="A2129" s="90" t="s">
        <v>856</v>
      </c>
      <c r="B2129" s="90"/>
      <c r="C2129" s="88" t="s">
        <v>589</v>
      </c>
      <c r="D2129" s="89" t="s">
        <v>910</v>
      </c>
      <c r="E2129" s="90" t="s">
        <v>1280</v>
      </c>
      <c r="F2129" s="90" t="s">
        <v>856</v>
      </c>
      <c r="G2129" s="95">
        <v>3</v>
      </c>
      <c r="H2129" s="92">
        <v>90</v>
      </c>
      <c r="I2129" s="91">
        <v>46048</v>
      </c>
      <c r="J2129" s="165">
        <v>0.50416666666666665</v>
      </c>
      <c r="K2129" s="92">
        <v>90</v>
      </c>
      <c r="L2129" s="72" t="str">
        <f t="shared" si="33"/>
        <v>Payé</v>
      </c>
    </row>
    <row r="2130" spans="1:12" ht="15" customHeight="1" x14ac:dyDescent="0.25">
      <c r="A2130" s="90" t="s">
        <v>856</v>
      </c>
      <c r="B2130" s="90">
        <v>10089</v>
      </c>
      <c r="C2130" s="88" t="s">
        <v>1265</v>
      </c>
      <c r="D2130" s="90" t="s">
        <v>17</v>
      </c>
      <c r="E2130" s="90" t="s">
        <v>1280</v>
      </c>
      <c r="F2130" s="90" t="s">
        <v>856</v>
      </c>
      <c r="G2130" s="94">
        <v>1</v>
      </c>
      <c r="H2130" s="94">
        <v>90</v>
      </c>
      <c r="I2130" s="91">
        <v>45980</v>
      </c>
      <c r="J2130" s="165">
        <v>0.65</v>
      </c>
      <c r="K2130" s="94">
        <v>90</v>
      </c>
      <c r="L2130" s="72" t="str">
        <f t="shared" si="33"/>
        <v>Payé</v>
      </c>
    </row>
    <row r="2131" spans="1:12" ht="15" customHeight="1" x14ac:dyDescent="0.25">
      <c r="A2131" s="90" t="s">
        <v>856</v>
      </c>
      <c r="B2131" s="90">
        <v>10106</v>
      </c>
      <c r="C2131" s="88" t="s">
        <v>1278</v>
      </c>
      <c r="D2131" s="90" t="s">
        <v>17</v>
      </c>
      <c r="E2131" s="90" t="s">
        <v>1280</v>
      </c>
      <c r="F2131" s="90" t="s">
        <v>856</v>
      </c>
      <c r="G2131" s="94">
        <v>1</v>
      </c>
      <c r="H2131" s="94">
        <v>90</v>
      </c>
      <c r="I2131" s="91">
        <v>45980</v>
      </c>
      <c r="J2131" s="165">
        <v>0.65</v>
      </c>
      <c r="K2131" s="94">
        <v>90</v>
      </c>
      <c r="L2131" s="72" t="str">
        <f t="shared" si="33"/>
        <v>Payé</v>
      </c>
    </row>
    <row r="2132" spans="1:12" ht="15" customHeight="1" x14ac:dyDescent="0.25">
      <c r="A2132" s="90" t="s">
        <v>856</v>
      </c>
      <c r="B2132" s="136"/>
      <c r="C2132" s="212" t="s">
        <v>1195</v>
      </c>
      <c r="D2132" s="89" t="s">
        <v>912</v>
      </c>
      <c r="E2132" s="136" t="s">
        <v>1204</v>
      </c>
      <c r="F2132" s="90" t="s">
        <v>856</v>
      </c>
      <c r="G2132" s="94">
        <v>6</v>
      </c>
      <c r="H2132" s="92">
        <v>2700</v>
      </c>
      <c r="I2132" s="91">
        <v>45972</v>
      </c>
      <c r="J2132" s="165">
        <v>0.60138888888888886</v>
      </c>
      <c r="K2132" s="92">
        <v>2700</v>
      </c>
      <c r="L2132" s="72" t="str">
        <f t="shared" si="33"/>
        <v>Payé</v>
      </c>
    </row>
    <row r="2133" spans="1:12" ht="15" customHeight="1" x14ac:dyDescent="0.25">
      <c r="A2133" s="90" t="s">
        <v>856</v>
      </c>
      <c r="B2133" s="136"/>
      <c r="C2133" s="212" t="s">
        <v>1283</v>
      </c>
      <c r="D2133" s="89" t="s">
        <v>912</v>
      </c>
      <c r="E2133" s="136" t="s">
        <v>1283</v>
      </c>
      <c r="F2133" s="90" t="s">
        <v>856</v>
      </c>
      <c r="G2133" s="94">
        <v>1</v>
      </c>
      <c r="H2133" s="92">
        <v>150</v>
      </c>
      <c r="I2133" s="91">
        <v>45982</v>
      </c>
      <c r="J2133" s="165">
        <v>0.66111111111111109</v>
      </c>
      <c r="K2133" s="92">
        <v>150</v>
      </c>
      <c r="L2133" s="72" t="str">
        <f t="shared" si="33"/>
        <v>Payé</v>
      </c>
    </row>
    <row r="2134" spans="1:12" ht="15" customHeight="1" x14ac:dyDescent="0.25">
      <c r="A2134" s="90" t="s">
        <v>856</v>
      </c>
      <c r="B2134" s="136"/>
      <c r="C2134" s="212" t="s">
        <v>1283</v>
      </c>
      <c r="D2134" s="89" t="s">
        <v>912</v>
      </c>
      <c r="E2134" s="136" t="s">
        <v>1283</v>
      </c>
      <c r="F2134" s="90" t="s">
        <v>856</v>
      </c>
      <c r="G2134" s="94">
        <v>2</v>
      </c>
      <c r="H2134" s="92">
        <v>800</v>
      </c>
      <c r="I2134" s="91">
        <v>45972</v>
      </c>
      <c r="J2134" s="165">
        <v>0.52916666666666667</v>
      </c>
      <c r="K2134" s="92">
        <v>800</v>
      </c>
      <c r="L2134" s="72" t="str">
        <f t="shared" si="33"/>
        <v>Payé</v>
      </c>
    </row>
    <row r="2135" spans="1:12" ht="15" customHeight="1" x14ac:dyDescent="0.25">
      <c r="A2135" s="90" t="s">
        <v>856</v>
      </c>
      <c r="B2135" s="136"/>
      <c r="C2135" s="212" t="s">
        <v>1283</v>
      </c>
      <c r="D2135" s="89" t="s">
        <v>912</v>
      </c>
      <c r="E2135" s="136" t="s">
        <v>1283</v>
      </c>
      <c r="F2135" s="90" t="s">
        <v>856</v>
      </c>
      <c r="G2135" s="94">
        <v>2</v>
      </c>
      <c r="H2135" s="92">
        <v>800</v>
      </c>
      <c r="I2135" s="91">
        <v>45972</v>
      </c>
      <c r="J2135" s="165">
        <v>0.67986111111111114</v>
      </c>
      <c r="K2135" s="92">
        <v>800</v>
      </c>
      <c r="L2135" s="72" t="str">
        <f t="shared" si="33"/>
        <v>Payé</v>
      </c>
    </row>
    <row r="2136" spans="1:12" ht="15" customHeight="1" x14ac:dyDescent="0.25">
      <c r="A2136" s="90" t="s">
        <v>856</v>
      </c>
      <c r="B2136" s="136"/>
      <c r="C2136" s="212" t="s">
        <v>1283</v>
      </c>
      <c r="D2136" s="89" t="s">
        <v>912</v>
      </c>
      <c r="E2136" s="136" t="s">
        <v>1283</v>
      </c>
      <c r="F2136" s="90" t="s">
        <v>856</v>
      </c>
      <c r="G2136" s="94">
        <v>5</v>
      </c>
      <c r="H2136" s="92">
        <v>750</v>
      </c>
      <c r="I2136" s="91">
        <v>45972</v>
      </c>
      <c r="J2136" s="165">
        <v>0.67986111111111114</v>
      </c>
      <c r="K2136" s="92">
        <v>750</v>
      </c>
      <c r="L2136" s="72" t="str">
        <f t="shared" si="33"/>
        <v>Payé</v>
      </c>
    </row>
    <row r="2137" spans="1:12" ht="15" customHeight="1" x14ac:dyDescent="0.25">
      <c r="A2137" s="90" t="s">
        <v>856</v>
      </c>
      <c r="B2137" s="136"/>
      <c r="C2137" s="212" t="s">
        <v>1284</v>
      </c>
      <c r="D2137" s="89" t="s">
        <v>912</v>
      </c>
      <c r="E2137" s="136" t="s">
        <v>1284</v>
      </c>
      <c r="F2137" s="90" t="s">
        <v>856</v>
      </c>
      <c r="G2137" s="94">
        <v>4</v>
      </c>
      <c r="H2137" s="92">
        <v>1600</v>
      </c>
      <c r="I2137" s="91">
        <v>45972</v>
      </c>
      <c r="J2137" s="165">
        <v>0.52916666666666667</v>
      </c>
      <c r="K2137" s="92">
        <v>1600</v>
      </c>
      <c r="L2137" s="72" t="str">
        <f t="shared" si="33"/>
        <v>Payé</v>
      </c>
    </row>
    <row r="2138" spans="1:12" ht="15" customHeight="1" x14ac:dyDescent="0.25">
      <c r="A2138" s="90" t="s">
        <v>856</v>
      </c>
      <c r="B2138" s="136"/>
      <c r="C2138" s="212" t="s">
        <v>1284</v>
      </c>
      <c r="D2138" s="89" t="s">
        <v>912</v>
      </c>
      <c r="E2138" s="136" t="s">
        <v>1284</v>
      </c>
      <c r="F2138" s="90" t="s">
        <v>856</v>
      </c>
      <c r="G2138" s="94">
        <v>13</v>
      </c>
      <c r="H2138" s="92">
        <v>5200</v>
      </c>
      <c r="I2138" s="91">
        <v>45972</v>
      </c>
      <c r="J2138" s="165">
        <v>0.67986111111111114</v>
      </c>
      <c r="K2138" s="92">
        <v>5200</v>
      </c>
      <c r="L2138" s="72" t="str">
        <f t="shared" si="33"/>
        <v>Payé</v>
      </c>
    </row>
    <row r="2139" spans="1:12" ht="15" customHeight="1" x14ac:dyDescent="0.25">
      <c r="A2139" s="90" t="s">
        <v>856</v>
      </c>
      <c r="B2139" s="90">
        <v>10100</v>
      </c>
      <c r="C2139" s="88" t="s">
        <v>1272</v>
      </c>
      <c r="D2139" s="90" t="s">
        <v>17</v>
      </c>
      <c r="E2139" s="90"/>
      <c r="F2139" s="90" t="s">
        <v>856</v>
      </c>
      <c r="G2139" s="94">
        <v>1</v>
      </c>
      <c r="H2139" s="94">
        <v>90</v>
      </c>
      <c r="I2139" s="91">
        <v>45985</v>
      </c>
      <c r="J2139" s="165">
        <v>0.55277777777777781</v>
      </c>
      <c r="K2139" s="94">
        <v>90</v>
      </c>
      <c r="L2139" s="72" t="str">
        <f t="shared" si="33"/>
        <v>Payé</v>
      </c>
    </row>
    <row r="2140" spans="1:12" ht="15" customHeight="1" x14ac:dyDescent="0.25">
      <c r="A2140" s="90" t="s">
        <v>858</v>
      </c>
      <c r="B2140" s="136" t="s">
        <v>1283</v>
      </c>
      <c r="C2140" s="212" t="s">
        <v>1346</v>
      </c>
      <c r="D2140" s="89" t="s">
        <v>912</v>
      </c>
      <c r="E2140" s="90" t="s">
        <v>61</v>
      </c>
      <c r="F2140" s="90" t="s">
        <v>858</v>
      </c>
      <c r="G2140" s="94">
        <v>8</v>
      </c>
      <c r="H2140" s="92">
        <v>1200</v>
      </c>
      <c r="I2140" s="91">
        <v>45999</v>
      </c>
      <c r="J2140" s="165">
        <v>0.56180555555555556</v>
      </c>
      <c r="K2140" s="92">
        <v>1200</v>
      </c>
      <c r="L2140" s="72" t="str">
        <f t="shared" si="33"/>
        <v>Payé</v>
      </c>
    </row>
    <row r="2141" spans="1:12" ht="15" customHeight="1" x14ac:dyDescent="0.25">
      <c r="A2141" s="91" t="s">
        <v>850</v>
      </c>
      <c r="B2141" s="90">
        <v>4265</v>
      </c>
      <c r="C2141" s="88" t="s">
        <v>675</v>
      </c>
      <c r="D2141" s="90" t="s">
        <v>17</v>
      </c>
      <c r="E2141" s="90" t="s">
        <v>649</v>
      </c>
      <c r="F2141" s="91" t="s">
        <v>850</v>
      </c>
      <c r="G2141" s="95">
        <v>7.5</v>
      </c>
      <c r="H2141" s="94">
        <v>651</v>
      </c>
      <c r="I2141" s="91">
        <v>45881</v>
      </c>
      <c r="J2141" s="165">
        <v>0.66388888888888886</v>
      </c>
      <c r="K2141" s="94">
        <v>651</v>
      </c>
      <c r="L2141" s="72" t="str">
        <f t="shared" si="33"/>
        <v>Payé</v>
      </c>
    </row>
    <row r="2142" spans="1:12" ht="15" customHeight="1" x14ac:dyDescent="0.25">
      <c r="A2142" s="90" t="s">
        <v>858</v>
      </c>
      <c r="B2142" s="90"/>
      <c r="C2142" s="88" t="s">
        <v>719</v>
      </c>
      <c r="D2142" s="89" t="s">
        <v>910</v>
      </c>
      <c r="E2142" s="90" t="s">
        <v>1349</v>
      </c>
      <c r="F2142" s="90" t="s">
        <v>858</v>
      </c>
      <c r="G2142" s="95">
        <v>142</v>
      </c>
      <c r="H2142" s="92">
        <v>4260</v>
      </c>
      <c r="I2142" s="91">
        <v>45999</v>
      </c>
      <c r="J2142" s="165">
        <v>0.56180555555555556</v>
      </c>
      <c r="K2142" s="92">
        <v>4260</v>
      </c>
      <c r="L2142" s="72" t="str">
        <f t="shared" ref="L2142:L2205" si="34">IF(ISBLANK(H2142),"",IF(H2142=K2142,"Payé","Impayé"))</f>
        <v>Payé</v>
      </c>
    </row>
    <row r="2143" spans="1:12" ht="15" customHeight="1" x14ac:dyDescent="0.25">
      <c r="A2143" s="90" t="s">
        <v>858</v>
      </c>
      <c r="B2143" s="136" t="s">
        <v>1195</v>
      </c>
      <c r="C2143" s="212" t="s">
        <v>1352</v>
      </c>
      <c r="D2143" s="89" t="s">
        <v>912</v>
      </c>
      <c r="E2143" s="90" t="s">
        <v>61</v>
      </c>
      <c r="F2143" s="90" t="s">
        <v>858</v>
      </c>
      <c r="G2143" s="94">
        <v>3</v>
      </c>
      <c r="H2143" s="92">
        <v>1350</v>
      </c>
      <c r="I2143" s="91">
        <v>46001</v>
      </c>
      <c r="J2143" s="165">
        <v>0.54791666666666672</v>
      </c>
      <c r="K2143" s="92">
        <v>1350</v>
      </c>
      <c r="L2143" s="72" t="str">
        <f t="shared" si="34"/>
        <v>Payé</v>
      </c>
    </row>
    <row r="2144" spans="1:12" ht="15" customHeight="1" x14ac:dyDescent="0.25">
      <c r="A2144" s="90" t="s">
        <v>858</v>
      </c>
      <c r="B2144" s="136" t="s">
        <v>1419</v>
      </c>
      <c r="C2144" s="212" t="s">
        <v>1418</v>
      </c>
      <c r="D2144" s="89" t="s">
        <v>912</v>
      </c>
      <c r="E2144" s="90" t="s">
        <v>61</v>
      </c>
      <c r="F2144" s="90" t="s">
        <v>858</v>
      </c>
      <c r="G2144" s="94">
        <v>19</v>
      </c>
      <c r="H2144" s="92">
        <v>2090</v>
      </c>
      <c r="I2144" s="91">
        <v>46001</v>
      </c>
      <c r="J2144" s="165">
        <v>0.54791666666666672</v>
      </c>
      <c r="K2144" s="92">
        <v>2090</v>
      </c>
      <c r="L2144" s="72" t="str">
        <f t="shared" si="34"/>
        <v>Payé</v>
      </c>
    </row>
    <row r="2145" spans="1:13" ht="15" customHeight="1" x14ac:dyDescent="0.25">
      <c r="A2145" s="90" t="s">
        <v>858</v>
      </c>
      <c r="B2145" s="136" t="s">
        <v>1419</v>
      </c>
      <c r="C2145" s="212" t="s">
        <v>1418</v>
      </c>
      <c r="D2145" s="89" t="s">
        <v>912</v>
      </c>
      <c r="E2145" s="90" t="s">
        <v>61</v>
      </c>
      <c r="F2145" s="90" t="s">
        <v>858</v>
      </c>
      <c r="G2145" s="94">
        <v>17</v>
      </c>
      <c r="H2145" s="92">
        <v>2890</v>
      </c>
      <c r="I2145" s="91">
        <v>46001</v>
      </c>
      <c r="J2145" s="165">
        <v>0.54791666666666672</v>
      </c>
      <c r="K2145" s="92">
        <v>2890</v>
      </c>
      <c r="L2145" s="72" t="str">
        <f t="shared" si="34"/>
        <v>Payé</v>
      </c>
    </row>
    <row r="2146" spans="1:13" ht="15" customHeight="1" x14ac:dyDescent="0.25">
      <c r="A2146" s="90" t="s">
        <v>858</v>
      </c>
      <c r="B2146" s="136" t="s">
        <v>1284</v>
      </c>
      <c r="C2146" s="212" t="s">
        <v>1355</v>
      </c>
      <c r="D2146" s="89" t="s">
        <v>912</v>
      </c>
      <c r="E2146" s="90" t="s">
        <v>61</v>
      </c>
      <c r="F2146" s="90" t="s">
        <v>858</v>
      </c>
      <c r="G2146" s="94">
        <v>24</v>
      </c>
      <c r="H2146" s="92">
        <v>12000</v>
      </c>
      <c r="I2146" s="91">
        <v>46001</v>
      </c>
      <c r="J2146" s="165">
        <v>0.54791666666666672</v>
      </c>
      <c r="K2146" s="92">
        <v>12000</v>
      </c>
      <c r="L2146" s="72" t="str">
        <f t="shared" si="34"/>
        <v>Payé</v>
      </c>
    </row>
    <row r="2147" spans="1:13" ht="15" customHeight="1" x14ac:dyDescent="0.25">
      <c r="A2147" s="90" t="s">
        <v>858</v>
      </c>
      <c r="B2147" s="136" t="s">
        <v>1283</v>
      </c>
      <c r="C2147" s="212" t="s">
        <v>1355</v>
      </c>
      <c r="D2147" s="89" t="s">
        <v>912</v>
      </c>
      <c r="E2147" s="90" t="s">
        <v>61</v>
      </c>
      <c r="F2147" s="90" t="s">
        <v>858</v>
      </c>
      <c r="G2147" s="94">
        <v>1</v>
      </c>
      <c r="H2147" s="92">
        <v>500</v>
      </c>
      <c r="I2147" s="91">
        <v>46001</v>
      </c>
      <c r="J2147" s="165">
        <v>0.54791666666666672</v>
      </c>
      <c r="K2147" s="92">
        <v>500</v>
      </c>
      <c r="L2147" s="72" t="str">
        <f t="shared" si="34"/>
        <v>Payé</v>
      </c>
    </row>
    <row r="2148" spans="1:13" ht="15" customHeight="1" x14ac:dyDescent="0.25">
      <c r="A2148" s="90" t="s">
        <v>858</v>
      </c>
      <c r="B2148" s="90">
        <v>3672</v>
      </c>
      <c r="C2148" s="88" t="s">
        <v>568</v>
      </c>
      <c r="D2148" s="90" t="s">
        <v>17</v>
      </c>
      <c r="E2148" s="90" t="s">
        <v>613</v>
      </c>
      <c r="F2148" s="90" t="s">
        <v>858</v>
      </c>
      <c r="G2148" s="137">
        <v>16</v>
      </c>
      <c r="H2148" s="94">
        <v>1712</v>
      </c>
      <c r="I2148" s="91">
        <v>46000</v>
      </c>
      <c r="J2148" s="165">
        <v>0.70277777777777783</v>
      </c>
      <c r="K2148" s="94">
        <v>1712</v>
      </c>
      <c r="L2148" s="72" t="str">
        <f t="shared" si="34"/>
        <v>Payé</v>
      </c>
    </row>
    <row r="2149" spans="1:13" ht="15" customHeight="1" x14ac:dyDescent="0.25">
      <c r="A2149" s="90" t="s">
        <v>858</v>
      </c>
      <c r="B2149" s="90">
        <v>3398</v>
      </c>
      <c r="C2149" s="88" t="s">
        <v>557</v>
      </c>
      <c r="D2149" s="90" t="s">
        <v>17</v>
      </c>
      <c r="E2149" s="90" t="s">
        <v>420</v>
      </c>
      <c r="F2149" s="90" t="s">
        <v>858</v>
      </c>
      <c r="G2149" s="137">
        <v>1</v>
      </c>
      <c r="H2149" s="94">
        <v>87</v>
      </c>
      <c r="I2149" s="91">
        <v>46001</v>
      </c>
      <c r="J2149" s="165">
        <v>0.68611111111111101</v>
      </c>
      <c r="K2149" s="94">
        <v>87</v>
      </c>
      <c r="L2149" s="72" t="str">
        <f t="shared" si="34"/>
        <v>Payé</v>
      </c>
    </row>
    <row r="2150" spans="1:13" ht="15" customHeight="1" x14ac:dyDescent="0.25">
      <c r="A2150" s="90" t="s">
        <v>858</v>
      </c>
      <c r="B2150" s="90">
        <v>102</v>
      </c>
      <c r="C2150" s="88" t="s">
        <v>594</v>
      </c>
      <c r="D2150" s="90" t="s">
        <v>17</v>
      </c>
      <c r="E2150" s="90" t="s">
        <v>81</v>
      </c>
      <c r="F2150" s="90" t="s">
        <v>858</v>
      </c>
      <c r="G2150" s="137">
        <v>2</v>
      </c>
      <c r="H2150" s="94">
        <v>191</v>
      </c>
      <c r="I2150" s="91">
        <v>46001</v>
      </c>
      <c r="J2150" s="165">
        <v>0.67013888888888884</v>
      </c>
      <c r="K2150" s="94">
        <v>191</v>
      </c>
      <c r="L2150" s="72" t="str">
        <f t="shared" si="34"/>
        <v>Payé</v>
      </c>
    </row>
    <row r="2151" spans="1:13" ht="15" customHeight="1" x14ac:dyDescent="0.25">
      <c r="A2151" s="90" t="s">
        <v>858</v>
      </c>
      <c r="B2151" s="90">
        <v>2331</v>
      </c>
      <c r="C2151" s="88" t="s">
        <v>344</v>
      </c>
      <c r="D2151" s="90" t="s">
        <v>17</v>
      </c>
      <c r="E2151" s="90" t="s">
        <v>81</v>
      </c>
      <c r="F2151" s="90" t="s">
        <v>858</v>
      </c>
      <c r="G2151" s="137">
        <v>6</v>
      </c>
      <c r="H2151" s="94">
        <v>694</v>
      </c>
      <c r="I2151" s="91">
        <v>46000</v>
      </c>
      <c r="J2151" s="165">
        <v>0.52569444444444446</v>
      </c>
      <c r="K2151" s="94">
        <v>694</v>
      </c>
      <c r="L2151" s="72" t="str">
        <f t="shared" si="34"/>
        <v>Payé</v>
      </c>
    </row>
    <row r="2152" spans="1:13" ht="15" customHeight="1" x14ac:dyDescent="0.25">
      <c r="A2152" s="90" t="s">
        <v>858</v>
      </c>
      <c r="B2152" s="90">
        <v>10007</v>
      </c>
      <c r="C2152" s="88" t="s">
        <v>1133</v>
      </c>
      <c r="D2152" s="90" t="s">
        <v>17</v>
      </c>
      <c r="E2152" s="90" t="s">
        <v>368</v>
      </c>
      <c r="F2152" s="90" t="s">
        <v>858</v>
      </c>
      <c r="G2152" s="137">
        <v>16</v>
      </c>
      <c r="H2152" s="94">
        <v>1851</v>
      </c>
      <c r="I2152" s="91">
        <v>46001</v>
      </c>
      <c r="J2152" s="165">
        <v>0.62986111111111109</v>
      </c>
      <c r="K2152" s="94">
        <v>1851</v>
      </c>
      <c r="L2152" s="72" t="str">
        <f t="shared" si="34"/>
        <v>Payé</v>
      </c>
    </row>
    <row r="2153" spans="1:13" ht="15" customHeight="1" x14ac:dyDescent="0.25">
      <c r="A2153" s="90" t="s">
        <v>858</v>
      </c>
      <c r="B2153" s="90">
        <v>198</v>
      </c>
      <c r="C2153" s="88" t="s">
        <v>380</v>
      </c>
      <c r="D2153" s="90" t="s">
        <v>17</v>
      </c>
      <c r="E2153" s="90" t="s">
        <v>369</v>
      </c>
      <c r="F2153" s="90" t="s">
        <v>858</v>
      </c>
      <c r="G2153" s="137">
        <v>2</v>
      </c>
      <c r="H2153" s="94">
        <v>182</v>
      </c>
      <c r="I2153" s="91">
        <v>46001</v>
      </c>
      <c r="J2153" s="165">
        <v>0.63541666666666663</v>
      </c>
      <c r="K2153" s="94">
        <v>182</v>
      </c>
      <c r="L2153" s="72" t="str">
        <f t="shared" si="34"/>
        <v>Payé</v>
      </c>
    </row>
    <row r="2154" spans="1:13" ht="15" customHeight="1" x14ac:dyDescent="0.25">
      <c r="A2154" s="90" t="s">
        <v>858</v>
      </c>
      <c r="B2154" s="90">
        <v>10035</v>
      </c>
      <c r="C2154" s="88" t="s">
        <v>1181</v>
      </c>
      <c r="D2154" s="90" t="s">
        <v>17</v>
      </c>
      <c r="E2154" s="90" t="s">
        <v>369</v>
      </c>
      <c r="F2154" s="90" t="s">
        <v>858</v>
      </c>
      <c r="G2154" s="137">
        <v>15</v>
      </c>
      <c r="H2154" s="94">
        <v>1474</v>
      </c>
      <c r="I2154" s="91">
        <v>46000</v>
      </c>
      <c r="J2154" s="165">
        <v>0.54999999999999993</v>
      </c>
      <c r="K2154" s="94">
        <v>1474</v>
      </c>
      <c r="L2154" s="72" t="str">
        <f t="shared" si="34"/>
        <v>Payé</v>
      </c>
    </row>
    <row r="2155" spans="1:13" ht="15" customHeight="1" x14ac:dyDescent="0.25">
      <c r="A2155" s="90" t="s">
        <v>858</v>
      </c>
      <c r="B2155" s="90">
        <v>95</v>
      </c>
      <c r="C2155" s="88" t="s">
        <v>408</v>
      </c>
      <c r="D2155" s="90" t="s">
        <v>17</v>
      </c>
      <c r="E2155" s="90" t="s">
        <v>103</v>
      </c>
      <c r="F2155" s="90" t="s">
        <v>858</v>
      </c>
      <c r="G2155" s="137">
        <v>2</v>
      </c>
      <c r="H2155" s="94">
        <v>182</v>
      </c>
      <c r="I2155" s="91">
        <v>46000</v>
      </c>
      <c r="J2155" s="165">
        <v>0.54999999999999993</v>
      </c>
      <c r="K2155" s="94">
        <v>182</v>
      </c>
      <c r="L2155" s="72" t="str">
        <f t="shared" si="34"/>
        <v>Payé</v>
      </c>
    </row>
    <row r="2156" spans="1:13" ht="15" customHeight="1" x14ac:dyDescent="0.25">
      <c r="A2156" s="90" t="s">
        <v>858</v>
      </c>
      <c r="B2156" s="90">
        <v>2625</v>
      </c>
      <c r="C2156" s="88" t="s">
        <v>1145</v>
      </c>
      <c r="D2156" s="90" t="s">
        <v>17</v>
      </c>
      <c r="E2156" s="90" t="s">
        <v>103</v>
      </c>
      <c r="F2156" s="90" t="s">
        <v>858</v>
      </c>
      <c r="G2156" s="137">
        <v>14</v>
      </c>
      <c r="H2156" s="94">
        <v>1376</v>
      </c>
      <c r="I2156" s="91">
        <v>46001</v>
      </c>
      <c r="J2156" s="165">
        <v>0.62986111111111109</v>
      </c>
      <c r="K2156" s="94">
        <v>1376</v>
      </c>
      <c r="L2156" s="72" t="str">
        <f t="shared" si="34"/>
        <v>Payé</v>
      </c>
    </row>
    <row r="2157" spans="1:13" ht="15" customHeight="1" x14ac:dyDescent="0.25">
      <c r="A2157" s="90" t="s">
        <v>858</v>
      </c>
      <c r="B2157" s="90">
        <v>3507</v>
      </c>
      <c r="C2157" s="88" t="s">
        <v>562</v>
      </c>
      <c r="D2157" s="90" t="s">
        <v>17</v>
      </c>
      <c r="E2157" s="90" t="s">
        <v>103</v>
      </c>
      <c r="F2157" s="90" t="s">
        <v>858</v>
      </c>
      <c r="G2157" s="137">
        <v>1</v>
      </c>
      <c r="H2157" s="94">
        <v>87</v>
      </c>
      <c r="I2157" s="91">
        <v>46000</v>
      </c>
      <c r="J2157" s="165">
        <v>0.52569444444444446</v>
      </c>
      <c r="K2157" s="94">
        <v>87</v>
      </c>
      <c r="L2157" s="72" t="str">
        <f t="shared" si="34"/>
        <v>Payé</v>
      </c>
      <c r="M2157" s="155"/>
    </row>
    <row r="2158" spans="1:13" ht="15" customHeight="1" x14ac:dyDescent="0.25">
      <c r="A2158" s="90" t="s">
        <v>858</v>
      </c>
      <c r="B2158" s="90">
        <v>348</v>
      </c>
      <c r="C2158" s="88" t="s">
        <v>951</v>
      </c>
      <c r="D2158" s="90" t="s">
        <v>17</v>
      </c>
      <c r="E2158" s="90" t="s">
        <v>123</v>
      </c>
      <c r="F2158" s="90" t="s">
        <v>858</v>
      </c>
      <c r="G2158" s="137">
        <v>2</v>
      </c>
      <c r="H2158" s="94">
        <v>182</v>
      </c>
      <c r="I2158" s="91">
        <v>46001</v>
      </c>
      <c r="J2158" s="165">
        <v>0.65208333333333335</v>
      </c>
      <c r="K2158" s="94">
        <v>182</v>
      </c>
      <c r="L2158" s="72" t="str">
        <f t="shared" si="34"/>
        <v>Payé</v>
      </c>
    </row>
    <row r="2159" spans="1:13" ht="15" customHeight="1" x14ac:dyDescent="0.25">
      <c r="A2159" s="90" t="s">
        <v>858</v>
      </c>
      <c r="B2159" s="90">
        <v>1611</v>
      </c>
      <c r="C2159" s="88" t="s">
        <v>1234</v>
      </c>
      <c r="D2159" s="90" t="s">
        <v>17</v>
      </c>
      <c r="E2159" s="90" t="s">
        <v>123</v>
      </c>
      <c r="F2159" s="90" t="s">
        <v>858</v>
      </c>
      <c r="G2159" s="137">
        <v>13</v>
      </c>
      <c r="H2159" s="94">
        <v>1278</v>
      </c>
      <c r="I2159" s="91">
        <v>46000</v>
      </c>
      <c r="J2159" s="165">
        <v>0.67361111111111116</v>
      </c>
      <c r="K2159" s="94">
        <v>1278</v>
      </c>
      <c r="L2159" s="72" t="str">
        <f t="shared" si="34"/>
        <v>Payé</v>
      </c>
    </row>
    <row r="2160" spans="1:13" ht="15" customHeight="1" x14ac:dyDescent="0.25">
      <c r="A2160" s="90" t="s">
        <v>858</v>
      </c>
      <c r="B2160" s="90">
        <v>2403</v>
      </c>
      <c r="C2160" s="88" t="s">
        <v>1207</v>
      </c>
      <c r="D2160" s="90" t="s">
        <v>17</v>
      </c>
      <c r="E2160" s="90" t="s">
        <v>123</v>
      </c>
      <c r="F2160" s="90" t="s">
        <v>858</v>
      </c>
      <c r="G2160" s="137">
        <v>11</v>
      </c>
      <c r="H2160" s="94">
        <v>1272</v>
      </c>
      <c r="I2160" s="91">
        <v>46000</v>
      </c>
      <c r="J2160" s="165">
        <v>0.67361111111111116</v>
      </c>
      <c r="K2160" s="94">
        <v>1272</v>
      </c>
      <c r="L2160" s="72" t="str">
        <f t="shared" si="34"/>
        <v>Payé</v>
      </c>
    </row>
    <row r="2161" spans="1:12" ht="15" customHeight="1" x14ac:dyDescent="0.25">
      <c r="A2161" s="90" t="s">
        <v>858</v>
      </c>
      <c r="B2161" s="90">
        <v>4373</v>
      </c>
      <c r="C2161" s="88" t="s">
        <v>988</v>
      </c>
      <c r="D2161" s="90" t="s">
        <v>17</v>
      </c>
      <c r="E2161" s="90" t="s">
        <v>123</v>
      </c>
      <c r="F2161" s="90" t="s">
        <v>858</v>
      </c>
      <c r="G2161" s="137">
        <v>15</v>
      </c>
      <c r="H2161" s="94">
        <v>1344</v>
      </c>
      <c r="I2161" s="91">
        <v>46000</v>
      </c>
      <c r="J2161" s="165">
        <v>0.52361111111111114</v>
      </c>
      <c r="K2161" s="94">
        <v>1344</v>
      </c>
      <c r="L2161" s="72" t="str">
        <f t="shared" si="34"/>
        <v>Payé</v>
      </c>
    </row>
    <row r="2162" spans="1:12" ht="15" customHeight="1" x14ac:dyDescent="0.25">
      <c r="A2162" s="90" t="s">
        <v>858</v>
      </c>
      <c r="B2162" s="90">
        <v>5258</v>
      </c>
      <c r="C2162" s="88" t="s">
        <v>893</v>
      </c>
      <c r="D2162" s="90" t="s">
        <v>17</v>
      </c>
      <c r="E2162" s="90" t="s">
        <v>123</v>
      </c>
      <c r="F2162" s="90" t="s">
        <v>858</v>
      </c>
      <c r="G2162" s="137">
        <v>12</v>
      </c>
      <c r="H2162" s="94">
        <v>1075</v>
      </c>
      <c r="I2162" s="91">
        <v>46000</v>
      </c>
      <c r="J2162" s="165">
        <v>0.67361111111111116</v>
      </c>
      <c r="K2162" s="94">
        <v>1075</v>
      </c>
      <c r="L2162" s="72" t="str">
        <f t="shared" si="34"/>
        <v>Payé</v>
      </c>
    </row>
    <row r="2163" spans="1:12" ht="15" customHeight="1" x14ac:dyDescent="0.25">
      <c r="A2163" s="90" t="s">
        <v>858</v>
      </c>
      <c r="B2163" s="90">
        <v>5344</v>
      </c>
      <c r="C2163" s="88" t="s">
        <v>1079</v>
      </c>
      <c r="D2163" s="90" t="s">
        <v>17</v>
      </c>
      <c r="E2163" s="90" t="s">
        <v>123</v>
      </c>
      <c r="F2163" s="90" t="s">
        <v>858</v>
      </c>
      <c r="G2163" s="137">
        <v>13</v>
      </c>
      <c r="H2163" s="94">
        <v>1164</v>
      </c>
      <c r="I2163" s="91">
        <v>46000</v>
      </c>
      <c r="J2163" s="165">
        <v>0.67361111111111116</v>
      </c>
      <c r="K2163" s="94">
        <v>1164</v>
      </c>
      <c r="L2163" s="72" t="str">
        <f t="shared" si="34"/>
        <v>Payé</v>
      </c>
    </row>
    <row r="2164" spans="1:12" ht="15" customHeight="1" x14ac:dyDescent="0.25">
      <c r="A2164" s="90" t="s">
        <v>858</v>
      </c>
      <c r="B2164" s="90">
        <v>10211</v>
      </c>
      <c r="C2164" s="88" t="s">
        <v>1400</v>
      </c>
      <c r="D2164" s="90" t="s">
        <v>17</v>
      </c>
      <c r="E2164" s="90" t="s">
        <v>123</v>
      </c>
      <c r="F2164" s="90" t="s">
        <v>858</v>
      </c>
      <c r="G2164" s="137">
        <v>6</v>
      </c>
      <c r="H2164" s="94">
        <v>537</v>
      </c>
      <c r="I2164" s="91">
        <v>46001</v>
      </c>
      <c r="J2164" s="165">
        <v>0.63402777777777775</v>
      </c>
      <c r="K2164" s="94">
        <v>537</v>
      </c>
      <c r="L2164" s="72" t="str">
        <f t="shared" si="34"/>
        <v>Payé</v>
      </c>
    </row>
    <row r="2165" spans="1:12" ht="15" customHeight="1" x14ac:dyDescent="0.25">
      <c r="A2165" s="90" t="s">
        <v>858</v>
      </c>
      <c r="B2165" s="90"/>
      <c r="C2165" s="88" t="s">
        <v>585</v>
      </c>
      <c r="D2165" s="89" t="s">
        <v>910</v>
      </c>
      <c r="E2165" s="90" t="s">
        <v>123</v>
      </c>
      <c r="F2165" s="90" t="s">
        <v>858</v>
      </c>
      <c r="G2165" s="95">
        <v>179</v>
      </c>
      <c r="H2165" s="92">
        <v>5370</v>
      </c>
      <c r="I2165" s="91">
        <v>45999</v>
      </c>
      <c r="J2165" s="165">
        <v>0.56180555555555556</v>
      </c>
      <c r="K2165" s="92">
        <v>5370</v>
      </c>
      <c r="L2165" s="72" t="str">
        <f t="shared" si="34"/>
        <v>Payé</v>
      </c>
    </row>
    <row r="2166" spans="1:12" ht="15" customHeight="1" x14ac:dyDescent="0.25">
      <c r="A2166" s="90" t="s">
        <v>858</v>
      </c>
      <c r="B2166" s="90">
        <v>5136</v>
      </c>
      <c r="C2166" s="88" t="s">
        <v>1067</v>
      </c>
      <c r="D2166" s="90" t="s">
        <v>17</v>
      </c>
      <c r="E2166" s="90" t="s">
        <v>1104</v>
      </c>
      <c r="F2166" s="90" t="s">
        <v>858</v>
      </c>
      <c r="G2166" s="137">
        <v>12</v>
      </c>
      <c r="H2166" s="94">
        <v>1075</v>
      </c>
      <c r="I2166" s="91">
        <v>46000</v>
      </c>
      <c r="J2166" s="165">
        <v>0.7006944444444444</v>
      </c>
      <c r="K2166" s="94">
        <v>1075</v>
      </c>
      <c r="L2166" s="72" t="str">
        <f t="shared" si="34"/>
        <v>Payé</v>
      </c>
    </row>
    <row r="2167" spans="1:12" ht="15.75" customHeight="1" x14ac:dyDescent="0.25">
      <c r="A2167" s="90" t="s">
        <v>858</v>
      </c>
      <c r="B2167" s="90">
        <v>5305</v>
      </c>
      <c r="C2167" s="88" t="s">
        <v>1016</v>
      </c>
      <c r="D2167" s="90" t="s">
        <v>17</v>
      </c>
      <c r="E2167" s="90" t="s">
        <v>1104</v>
      </c>
      <c r="F2167" s="90" t="s">
        <v>858</v>
      </c>
      <c r="G2167" s="137">
        <v>9</v>
      </c>
      <c r="H2167" s="94">
        <v>806</v>
      </c>
      <c r="I2167" s="91">
        <v>46000</v>
      </c>
      <c r="J2167" s="165">
        <v>0.7006944444444444</v>
      </c>
      <c r="K2167" s="94">
        <v>806</v>
      </c>
      <c r="L2167" s="72" t="str">
        <f t="shared" si="34"/>
        <v>Payé</v>
      </c>
    </row>
    <row r="2168" spans="1:12" ht="15" customHeight="1" x14ac:dyDescent="0.25">
      <c r="A2168" s="90" t="s">
        <v>858</v>
      </c>
      <c r="B2168" s="90">
        <v>5355</v>
      </c>
      <c r="C2168" s="88" t="s">
        <v>1090</v>
      </c>
      <c r="D2168" s="90" t="s">
        <v>17</v>
      </c>
      <c r="E2168" s="90" t="s">
        <v>1104</v>
      </c>
      <c r="F2168" s="90" t="s">
        <v>858</v>
      </c>
      <c r="G2168" s="137">
        <v>9</v>
      </c>
      <c r="H2168" s="94">
        <v>806</v>
      </c>
      <c r="I2168" s="91">
        <v>46000</v>
      </c>
      <c r="J2168" s="165">
        <v>0.7006944444444444</v>
      </c>
      <c r="K2168" s="94">
        <v>806</v>
      </c>
      <c r="L2168" s="72" t="str">
        <f t="shared" si="34"/>
        <v>Payé</v>
      </c>
    </row>
    <row r="2169" spans="1:12" ht="15" customHeight="1" x14ac:dyDescent="0.25">
      <c r="A2169" s="90" t="s">
        <v>858</v>
      </c>
      <c r="B2169" s="90">
        <v>10017</v>
      </c>
      <c r="C2169" s="88" t="s">
        <v>1164</v>
      </c>
      <c r="D2169" s="90" t="s">
        <v>17</v>
      </c>
      <c r="E2169" s="90" t="s">
        <v>1104</v>
      </c>
      <c r="F2169" s="90" t="s">
        <v>858</v>
      </c>
      <c r="G2169" s="137">
        <v>5</v>
      </c>
      <c r="H2169" s="94">
        <v>448</v>
      </c>
      <c r="I2169" s="91">
        <v>46000</v>
      </c>
      <c r="J2169" s="165">
        <v>0.7006944444444444</v>
      </c>
      <c r="K2169" s="94">
        <v>448</v>
      </c>
      <c r="L2169" s="72" t="str">
        <f t="shared" si="34"/>
        <v>Payé</v>
      </c>
    </row>
    <row r="2170" spans="1:12" ht="15" customHeight="1" x14ac:dyDescent="0.25">
      <c r="A2170" s="90" t="s">
        <v>858</v>
      </c>
      <c r="B2170" s="90">
        <v>10028</v>
      </c>
      <c r="C2170" s="88" t="s">
        <v>1174</v>
      </c>
      <c r="D2170" s="90" t="s">
        <v>17</v>
      </c>
      <c r="E2170" s="90" t="s">
        <v>1104</v>
      </c>
      <c r="F2170" s="90" t="s">
        <v>858</v>
      </c>
      <c r="G2170" s="137">
        <v>4</v>
      </c>
      <c r="H2170" s="94">
        <v>358</v>
      </c>
      <c r="I2170" s="91">
        <v>46000</v>
      </c>
      <c r="J2170" s="165">
        <v>0.7006944444444444</v>
      </c>
      <c r="K2170" s="94">
        <v>358</v>
      </c>
      <c r="L2170" s="72" t="str">
        <f t="shared" si="34"/>
        <v>Payé</v>
      </c>
    </row>
    <row r="2171" spans="1:12" ht="15" customHeight="1" x14ac:dyDescent="0.25">
      <c r="A2171" s="90" t="s">
        <v>858</v>
      </c>
      <c r="B2171" s="90">
        <v>10043</v>
      </c>
      <c r="C2171" s="88" t="s">
        <v>1214</v>
      </c>
      <c r="D2171" s="90" t="s">
        <v>17</v>
      </c>
      <c r="E2171" s="90" t="s">
        <v>1104</v>
      </c>
      <c r="F2171" s="90" t="s">
        <v>858</v>
      </c>
      <c r="G2171" s="137">
        <v>6</v>
      </c>
      <c r="H2171" s="94">
        <v>537</v>
      </c>
      <c r="I2171" s="91">
        <v>46000</v>
      </c>
      <c r="J2171" s="165">
        <v>0.7006944444444444</v>
      </c>
      <c r="K2171" s="94">
        <v>537</v>
      </c>
      <c r="L2171" s="72" t="str">
        <f t="shared" si="34"/>
        <v>Payé</v>
      </c>
    </row>
    <row r="2172" spans="1:12" ht="15" customHeight="1" x14ac:dyDescent="0.25">
      <c r="A2172" s="90" t="s">
        <v>858</v>
      </c>
      <c r="B2172" s="90">
        <v>10044</v>
      </c>
      <c r="C2172" s="88" t="s">
        <v>1215</v>
      </c>
      <c r="D2172" s="90" t="s">
        <v>17</v>
      </c>
      <c r="E2172" s="90" t="s">
        <v>1104</v>
      </c>
      <c r="F2172" s="90" t="s">
        <v>858</v>
      </c>
      <c r="G2172" s="137">
        <v>8</v>
      </c>
      <c r="H2172" s="94">
        <v>717</v>
      </c>
      <c r="I2172" s="91">
        <v>46000</v>
      </c>
      <c r="J2172" s="165">
        <v>0.7006944444444444</v>
      </c>
      <c r="K2172" s="94">
        <v>717</v>
      </c>
      <c r="L2172" s="72" t="str">
        <f t="shared" si="34"/>
        <v>Payé</v>
      </c>
    </row>
    <row r="2173" spans="1:12" ht="15" customHeight="1" x14ac:dyDescent="0.25">
      <c r="A2173" s="90" t="s">
        <v>858</v>
      </c>
      <c r="B2173" s="90">
        <v>10048</v>
      </c>
      <c r="C2173" s="88" t="s">
        <v>1218</v>
      </c>
      <c r="D2173" s="90" t="s">
        <v>17</v>
      </c>
      <c r="E2173" s="90" t="s">
        <v>1104</v>
      </c>
      <c r="F2173" s="90" t="s">
        <v>858</v>
      </c>
      <c r="G2173" s="137">
        <v>12</v>
      </c>
      <c r="H2173" s="94">
        <v>1075</v>
      </c>
      <c r="I2173" s="91">
        <v>46000</v>
      </c>
      <c r="J2173" s="165">
        <v>0.7006944444444444</v>
      </c>
      <c r="K2173" s="94">
        <v>1075</v>
      </c>
      <c r="L2173" s="72" t="str">
        <f t="shared" si="34"/>
        <v>Payé</v>
      </c>
    </row>
    <row r="2174" spans="1:12" ht="15" customHeight="1" x14ac:dyDescent="0.25">
      <c r="A2174" s="90" t="s">
        <v>858</v>
      </c>
      <c r="B2174" s="90">
        <v>10054</v>
      </c>
      <c r="C2174" s="88" t="s">
        <v>1222</v>
      </c>
      <c r="D2174" s="90" t="s">
        <v>17</v>
      </c>
      <c r="E2174" s="90" t="s">
        <v>1104</v>
      </c>
      <c r="F2174" s="90" t="s">
        <v>858</v>
      </c>
      <c r="G2174" s="137">
        <v>12</v>
      </c>
      <c r="H2174" s="94">
        <v>1075</v>
      </c>
      <c r="I2174" s="91">
        <v>46000</v>
      </c>
      <c r="J2174" s="165">
        <v>0.7006944444444444</v>
      </c>
      <c r="K2174" s="94">
        <v>1075</v>
      </c>
      <c r="L2174" s="72" t="str">
        <f t="shared" si="34"/>
        <v>Payé</v>
      </c>
    </row>
    <row r="2175" spans="1:12" ht="15" customHeight="1" x14ac:dyDescent="0.25">
      <c r="A2175" s="90" t="s">
        <v>858</v>
      </c>
      <c r="B2175" s="90">
        <v>10164</v>
      </c>
      <c r="C2175" s="88" t="s">
        <v>1343</v>
      </c>
      <c r="D2175" s="90" t="s">
        <v>17</v>
      </c>
      <c r="E2175" s="90" t="s">
        <v>1104</v>
      </c>
      <c r="F2175" s="90" t="s">
        <v>858</v>
      </c>
      <c r="G2175" s="137">
        <v>11</v>
      </c>
      <c r="H2175" s="94">
        <v>985</v>
      </c>
      <c r="I2175" s="91">
        <v>46000</v>
      </c>
      <c r="J2175" s="165">
        <v>0.7006944444444444</v>
      </c>
      <c r="K2175" s="94">
        <v>985</v>
      </c>
      <c r="L2175" s="72" t="str">
        <f t="shared" si="34"/>
        <v>Payé</v>
      </c>
    </row>
    <row r="2176" spans="1:12" ht="15" customHeight="1" x14ac:dyDescent="0.25">
      <c r="A2176" s="91" t="s">
        <v>850</v>
      </c>
      <c r="B2176" s="90">
        <v>4506</v>
      </c>
      <c r="C2176" s="88" t="s">
        <v>764</v>
      </c>
      <c r="D2176" s="90" t="s">
        <v>17</v>
      </c>
      <c r="E2176" s="90" t="s">
        <v>649</v>
      </c>
      <c r="F2176" s="91" t="s">
        <v>850</v>
      </c>
      <c r="G2176" s="95">
        <v>2.5</v>
      </c>
      <c r="H2176" s="94">
        <v>217</v>
      </c>
      <c r="I2176" s="91">
        <v>45881</v>
      </c>
      <c r="J2176" s="165">
        <v>0.66388888888888886</v>
      </c>
      <c r="K2176" s="94">
        <v>217</v>
      </c>
      <c r="L2176" s="72" t="str">
        <f t="shared" si="34"/>
        <v>Payé</v>
      </c>
    </row>
    <row r="2177" spans="1:12" ht="15" customHeight="1" x14ac:dyDescent="0.25">
      <c r="A2177" s="91" t="s">
        <v>850</v>
      </c>
      <c r="B2177" s="90">
        <v>4730</v>
      </c>
      <c r="C2177" s="88" t="s">
        <v>765</v>
      </c>
      <c r="D2177" s="90" t="s">
        <v>17</v>
      </c>
      <c r="E2177" s="90" t="s">
        <v>649</v>
      </c>
      <c r="F2177" s="91" t="s">
        <v>850</v>
      </c>
      <c r="G2177" s="95">
        <v>9</v>
      </c>
      <c r="H2177" s="94">
        <v>781</v>
      </c>
      <c r="I2177" s="91">
        <v>45881</v>
      </c>
      <c r="J2177" s="165">
        <v>0.66388888888888886</v>
      </c>
      <c r="K2177" s="94">
        <v>781</v>
      </c>
      <c r="L2177" s="72" t="str">
        <f t="shared" si="34"/>
        <v>Payé</v>
      </c>
    </row>
    <row r="2178" spans="1:12" ht="15" customHeight="1" x14ac:dyDescent="0.25">
      <c r="A2178" s="91" t="s">
        <v>850</v>
      </c>
      <c r="B2178" s="90">
        <v>4795</v>
      </c>
      <c r="C2178" s="88" t="s">
        <v>705</v>
      </c>
      <c r="D2178" s="90" t="s">
        <v>17</v>
      </c>
      <c r="E2178" s="90" t="s">
        <v>649</v>
      </c>
      <c r="F2178" s="91" t="s">
        <v>850</v>
      </c>
      <c r="G2178" s="95">
        <v>1</v>
      </c>
      <c r="H2178" s="94">
        <v>87</v>
      </c>
      <c r="I2178" s="91">
        <v>45881</v>
      </c>
      <c r="J2178" s="165">
        <v>0.66388888888888886</v>
      </c>
      <c r="K2178" s="94">
        <v>87</v>
      </c>
      <c r="L2178" s="72" t="str">
        <f t="shared" si="34"/>
        <v>Payé</v>
      </c>
    </row>
    <row r="2179" spans="1:12" ht="15" customHeight="1" x14ac:dyDescent="0.25">
      <c r="A2179" s="91" t="s">
        <v>850</v>
      </c>
      <c r="B2179" s="90">
        <v>5195</v>
      </c>
      <c r="C2179" s="88" t="s">
        <v>831</v>
      </c>
      <c r="D2179" s="90" t="s">
        <v>17</v>
      </c>
      <c r="E2179" s="90" t="s">
        <v>649</v>
      </c>
      <c r="F2179" s="91" t="s">
        <v>850</v>
      </c>
      <c r="G2179" s="95">
        <v>11</v>
      </c>
      <c r="H2179" s="94">
        <v>954</v>
      </c>
      <c r="I2179" s="91">
        <v>45881</v>
      </c>
      <c r="J2179" s="165">
        <v>0.66388888888888886</v>
      </c>
      <c r="K2179" s="94">
        <v>954</v>
      </c>
      <c r="L2179" s="72" t="str">
        <f t="shared" si="34"/>
        <v>Payé</v>
      </c>
    </row>
    <row r="2180" spans="1:12" ht="15" customHeight="1" x14ac:dyDescent="0.25">
      <c r="A2180" s="91" t="s">
        <v>850</v>
      </c>
      <c r="B2180" s="90">
        <v>5198</v>
      </c>
      <c r="C2180" s="88" t="s">
        <v>832</v>
      </c>
      <c r="D2180" s="90" t="s">
        <v>17</v>
      </c>
      <c r="E2180" s="90" t="s">
        <v>649</v>
      </c>
      <c r="F2180" s="91" t="s">
        <v>850</v>
      </c>
      <c r="G2180" s="95">
        <v>9</v>
      </c>
      <c r="H2180" s="94">
        <v>781</v>
      </c>
      <c r="I2180" s="91">
        <v>45881</v>
      </c>
      <c r="J2180" s="165">
        <v>0.66388888888888886</v>
      </c>
      <c r="K2180" s="94">
        <v>781</v>
      </c>
      <c r="L2180" s="72" t="str">
        <f t="shared" si="34"/>
        <v>Payé</v>
      </c>
    </row>
    <row r="2181" spans="1:12" ht="15" customHeight="1" x14ac:dyDescent="0.25">
      <c r="A2181" s="91" t="s">
        <v>850</v>
      </c>
      <c r="B2181" s="90">
        <v>5199</v>
      </c>
      <c r="C2181" s="88" t="s">
        <v>833</v>
      </c>
      <c r="D2181" s="90" t="s">
        <v>17</v>
      </c>
      <c r="E2181" s="90" t="s">
        <v>649</v>
      </c>
      <c r="F2181" s="91" t="s">
        <v>850</v>
      </c>
      <c r="G2181" s="95">
        <v>6</v>
      </c>
      <c r="H2181" s="94">
        <v>520</v>
      </c>
      <c r="I2181" s="91">
        <v>45881</v>
      </c>
      <c r="J2181" s="165">
        <v>0.66388888888888886</v>
      </c>
      <c r="K2181" s="94">
        <v>520</v>
      </c>
      <c r="L2181" s="72" t="str">
        <f t="shared" si="34"/>
        <v>Payé</v>
      </c>
    </row>
    <row r="2182" spans="1:12" ht="15" customHeight="1" x14ac:dyDescent="0.25">
      <c r="A2182" s="91" t="s">
        <v>850</v>
      </c>
      <c r="B2182" s="90">
        <v>5210</v>
      </c>
      <c r="C2182" s="88" t="s">
        <v>836</v>
      </c>
      <c r="D2182" s="90" t="s">
        <v>17</v>
      </c>
      <c r="E2182" s="90" t="s">
        <v>649</v>
      </c>
      <c r="F2182" s="91" t="s">
        <v>850</v>
      </c>
      <c r="G2182" s="95">
        <v>9</v>
      </c>
      <c r="H2182" s="94">
        <v>781</v>
      </c>
      <c r="I2182" s="91">
        <v>45881</v>
      </c>
      <c r="J2182" s="165">
        <v>0.66388888888888886</v>
      </c>
      <c r="K2182" s="94">
        <v>781</v>
      </c>
      <c r="L2182" s="72" t="str">
        <f t="shared" si="34"/>
        <v>Payé</v>
      </c>
    </row>
    <row r="2183" spans="1:12" ht="15" customHeight="1" x14ac:dyDescent="0.25">
      <c r="A2183" s="91" t="s">
        <v>850</v>
      </c>
      <c r="B2183" s="90">
        <v>5220</v>
      </c>
      <c r="C2183" s="88" t="s">
        <v>838</v>
      </c>
      <c r="D2183" s="90" t="s">
        <v>17</v>
      </c>
      <c r="E2183" s="90" t="s">
        <v>649</v>
      </c>
      <c r="F2183" s="91" t="s">
        <v>850</v>
      </c>
      <c r="G2183" s="95">
        <v>5</v>
      </c>
      <c r="H2183" s="94">
        <v>434</v>
      </c>
      <c r="I2183" s="91">
        <v>45881</v>
      </c>
      <c r="J2183" s="165">
        <v>0.66388888888888886</v>
      </c>
      <c r="K2183" s="94">
        <v>434</v>
      </c>
      <c r="L2183" s="72" t="str">
        <f t="shared" si="34"/>
        <v>Payé</v>
      </c>
    </row>
    <row r="2184" spans="1:12" ht="15" customHeight="1" x14ac:dyDescent="0.25">
      <c r="A2184" s="91" t="s">
        <v>850</v>
      </c>
      <c r="B2184" s="90">
        <v>5233</v>
      </c>
      <c r="C2184" s="88" t="s">
        <v>880</v>
      </c>
      <c r="D2184" s="90" t="s">
        <v>17</v>
      </c>
      <c r="E2184" s="90" t="s">
        <v>649</v>
      </c>
      <c r="F2184" s="91" t="s">
        <v>850</v>
      </c>
      <c r="G2184" s="95">
        <v>9</v>
      </c>
      <c r="H2184" s="94">
        <v>781</v>
      </c>
      <c r="I2184" s="91">
        <v>45881</v>
      </c>
      <c r="J2184" s="165">
        <v>0.66388888888888886</v>
      </c>
      <c r="K2184" s="94">
        <v>781</v>
      </c>
      <c r="L2184" s="72" t="str">
        <f t="shared" si="34"/>
        <v>Payé</v>
      </c>
    </row>
    <row r="2185" spans="1:12" ht="15" customHeight="1" x14ac:dyDescent="0.25">
      <c r="A2185" s="91" t="s">
        <v>850</v>
      </c>
      <c r="B2185" s="90">
        <v>5237</v>
      </c>
      <c r="C2185" s="88" t="s">
        <v>882</v>
      </c>
      <c r="D2185" s="90" t="s">
        <v>17</v>
      </c>
      <c r="E2185" s="90" t="s">
        <v>649</v>
      </c>
      <c r="F2185" s="91" t="s">
        <v>850</v>
      </c>
      <c r="G2185" s="95">
        <v>10</v>
      </c>
      <c r="H2185" s="94">
        <v>867</v>
      </c>
      <c r="I2185" s="91">
        <v>45881</v>
      </c>
      <c r="J2185" s="165">
        <v>0.66388888888888886</v>
      </c>
      <c r="K2185" s="94">
        <v>867</v>
      </c>
      <c r="L2185" s="72" t="str">
        <f t="shared" si="34"/>
        <v>Payé</v>
      </c>
    </row>
    <row r="2186" spans="1:12" ht="15" customHeight="1" x14ac:dyDescent="0.25">
      <c r="A2186" s="91" t="s">
        <v>850</v>
      </c>
      <c r="B2186" s="90">
        <v>5260</v>
      </c>
      <c r="C2186" s="88" t="s">
        <v>917</v>
      </c>
      <c r="D2186" s="90" t="s">
        <v>17</v>
      </c>
      <c r="E2186" s="90" t="s">
        <v>649</v>
      </c>
      <c r="F2186" s="91" t="s">
        <v>850</v>
      </c>
      <c r="G2186" s="95">
        <v>5</v>
      </c>
      <c r="H2186" s="94">
        <v>434</v>
      </c>
      <c r="I2186" s="91">
        <v>45881</v>
      </c>
      <c r="J2186" s="165">
        <v>0.66388888888888886</v>
      </c>
      <c r="K2186" s="94">
        <v>434</v>
      </c>
      <c r="L2186" s="72" t="str">
        <f t="shared" si="34"/>
        <v>Payé</v>
      </c>
    </row>
    <row r="2187" spans="1:12" ht="15" customHeight="1" x14ac:dyDescent="0.25">
      <c r="A2187" s="91" t="s">
        <v>850</v>
      </c>
      <c r="B2187" s="90">
        <v>5261</v>
      </c>
      <c r="C2187" s="88" t="s">
        <v>918</v>
      </c>
      <c r="D2187" s="90" t="s">
        <v>17</v>
      </c>
      <c r="E2187" s="90" t="s">
        <v>649</v>
      </c>
      <c r="F2187" s="91" t="s">
        <v>850</v>
      </c>
      <c r="G2187" s="95">
        <v>1</v>
      </c>
      <c r="H2187" s="94">
        <v>87</v>
      </c>
      <c r="I2187" s="91">
        <v>45881</v>
      </c>
      <c r="J2187" s="165">
        <v>0.66388888888888886</v>
      </c>
      <c r="K2187" s="94">
        <v>87</v>
      </c>
      <c r="L2187" s="72" t="str">
        <f t="shared" si="34"/>
        <v>Payé</v>
      </c>
    </row>
    <row r="2188" spans="1:12" ht="15" customHeight="1" x14ac:dyDescent="0.25">
      <c r="A2188" s="91" t="s">
        <v>850</v>
      </c>
      <c r="B2188" s="90">
        <v>5262</v>
      </c>
      <c r="C2188" s="88" t="s">
        <v>735</v>
      </c>
      <c r="D2188" s="90" t="s">
        <v>17</v>
      </c>
      <c r="E2188" s="90" t="s">
        <v>649</v>
      </c>
      <c r="F2188" s="91" t="s">
        <v>850</v>
      </c>
      <c r="G2188" s="95">
        <v>10.5</v>
      </c>
      <c r="H2188" s="94">
        <v>911</v>
      </c>
      <c r="I2188" s="91">
        <v>45881</v>
      </c>
      <c r="J2188" s="165">
        <v>0.66388888888888886</v>
      </c>
      <c r="K2188" s="94">
        <v>911</v>
      </c>
      <c r="L2188" s="72" t="str">
        <f t="shared" si="34"/>
        <v>Payé</v>
      </c>
    </row>
    <row r="2189" spans="1:12" ht="15" customHeight="1" x14ac:dyDescent="0.25">
      <c r="A2189" s="91" t="s">
        <v>850</v>
      </c>
      <c r="B2189" s="90">
        <v>5275</v>
      </c>
      <c r="C2189" s="88" t="s">
        <v>929</v>
      </c>
      <c r="D2189" s="90" t="s">
        <v>17</v>
      </c>
      <c r="E2189" s="90" t="s">
        <v>649</v>
      </c>
      <c r="F2189" s="91" t="s">
        <v>850</v>
      </c>
      <c r="G2189" s="95">
        <v>2</v>
      </c>
      <c r="H2189" s="94">
        <v>173</v>
      </c>
      <c r="I2189" s="91">
        <v>45881</v>
      </c>
      <c r="J2189" s="165">
        <v>0.66388888888888886</v>
      </c>
      <c r="K2189" s="94">
        <v>173</v>
      </c>
      <c r="L2189" s="72" t="str">
        <f t="shared" si="34"/>
        <v>Payé</v>
      </c>
    </row>
    <row r="2190" spans="1:12" ht="15" customHeight="1" x14ac:dyDescent="0.25">
      <c r="A2190" s="91" t="s">
        <v>850</v>
      </c>
      <c r="B2190" s="90">
        <v>5276</v>
      </c>
      <c r="C2190" s="88" t="s">
        <v>930</v>
      </c>
      <c r="D2190" s="90" t="s">
        <v>17</v>
      </c>
      <c r="E2190" s="90" t="s">
        <v>649</v>
      </c>
      <c r="F2190" s="91" t="s">
        <v>850</v>
      </c>
      <c r="G2190" s="95">
        <v>2</v>
      </c>
      <c r="H2190" s="94">
        <v>173</v>
      </c>
      <c r="I2190" s="91">
        <v>45881</v>
      </c>
      <c r="J2190" s="165">
        <v>0.66388888888888886</v>
      </c>
      <c r="K2190" s="94">
        <v>173</v>
      </c>
      <c r="L2190" s="72" t="str">
        <f t="shared" si="34"/>
        <v>Payé</v>
      </c>
    </row>
    <row r="2191" spans="1:12" ht="15" customHeight="1" x14ac:dyDescent="0.25">
      <c r="A2191" s="91" t="s">
        <v>850</v>
      </c>
      <c r="B2191" s="90">
        <v>5277</v>
      </c>
      <c r="C2191" s="88" t="s">
        <v>931</v>
      </c>
      <c r="D2191" s="90" t="s">
        <v>17</v>
      </c>
      <c r="E2191" s="90" t="s">
        <v>649</v>
      </c>
      <c r="F2191" s="91" t="s">
        <v>850</v>
      </c>
      <c r="G2191" s="95">
        <v>1</v>
      </c>
      <c r="H2191" s="94">
        <v>87</v>
      </c>
      <c r="I2191" s="91">
        <v>45881</v>
      </c>
      <c r="J2191" s="165">
        <v>0.66388888888888886</v>
      </c>
      <c r="K2191" s="94">
        <v>87</v>
      </c>
      <c r="L2191" s="72" t="str">
        <f t="shared" si="34"/>
        <v>Payé</v>
      </c>
    </row>
    <row r="2192" spans="1:12" ht="15" customHeight="1" x14ac:dyDescent="0.25">
      <c r="A2192" s="90" t="s">
        <v>856</v>
      </c>
      <c r="B2192" s="90">
        <v>2922</v>
      </c>
      <c r="C2192" s="88" t="s">
        <v>548</v>
      </c>
      <c r="D2192" s="90" t="s">
        <v>17</v>
      </c>
      <c r="E2192" s="90" t="s">
        <v>649</v>
      </c>
      <c r="F2192" s="90" t="s">
        <v>856</v>
      </c>
      <c r="G2192" s="94">
        <v>4</v>
      </c>
      <c r="H2192" s="94">
        <v>360</v>
      </c>
      <c r="I2192" s="91">
        <v>45972</v>
      </c>
      <c r="J2192" s="165">
        <v>0.65972222222222221</v>
      </c>
      <c r="K2192" s="94">
        <v>360</v>
      </c>
      <c r="L2192" s="72" t="str">
        <f t="shared" si="34"/>
        <v>Payé</v>
      </c>
    </row>
    <row r="2193" spans="1:14" ht="15" customHeight="1" x14ac:dyDescent="0.25">
      <c r="A2193" s="90" t="s">
        <v>856</v>
      </c>
      <c r="B2193" s="90">
        <v>2986</v>
      </c>
      <c r="C2193" s="88" t="s">
        <v>1236</v>
      </c>
      <c r="D2193" s="90" t="s">
        <v>17</v>
      </c>
      <c r="E2193" s="90" t="s">
        <v>649</v>
      </c>
      <c r="F2193" s="90" t="s">
        <v>856</v>
      </c>
      <c r="G2193" s="94">
        <v>1</v>
      </c>
      <c r="H2193" s="94">
        <v>90</v>
      </c>
      <c r="I2193" s="91">
        <v>45973</v>
      </c>
      <c r="J2193" s="165">
        <v>0.47083333333333338</v>
      </c>
      <c r="K2193" s="94">
        <v>90</v>
      </c>
      <c r="L2193" s="72" t="str">
        <f t="shared" si="34"/>
        <v>Payé</v>
      </c>
    </row>
    <row r="2194" spans="1:14" ht="15" customHeight="1" x14ac:dyDescent="0.25">
      <c r="A2194" s="90" t="s">
        <v>856</v>
      </c>
      <c r="B2194" s="90">
        <v>3087</v>
      </c>
      <c r="C2194" s="88" t="s">
        <v>1238</v>
      </c>
      <c r="D2194" s="90" t="s">
        <v>17</v>
      </c>
      <c r="E2194" s="90" t="s">
        <v>649</v>
      </c>
      <c r="F2194" s="90" t="s">
        <v>856</v>
      </c>
      <c r="G2194" s="94">
        <v>4</v>
      </c>
      <c r="H2194" s="94">
        <v>360</v>
      </c>
      <c r="I2194" s="91">
        <v>45972</v>
      </c>
      <c r="J2194" s="165">
        <v>0.65972222222222221</v>
      </c>
      <c r="K2194" s="94">
        <v>360</v>
      </c>
      <c r="L2194" s="72" t="str">
        <f t="shared" si="34"/>
        <v>Payé</v>
      </c>
    </row>
    <row r="2195" spans="1:14" ht="15" customHeight="1" x14ac:dyDescent="0.25">
      <c r="A2195" s="90" t="s">
        <v>856</v>
      </c>
      <c r="B2195" s="90">
        <v>3130</v>
      </c>
      <c r="C2195" s="88" t="s">
        <v>553</v>
      </c>
      <c r="D2195" s="90" t="s">
        <v>17</v>
      </c>
      <c r="E2195" s="90" t="s">
        <v>649</v>
      </c>
      <c r="F2195" s="90" t="s">
        <v>856</v>
      </c>
      <c r="G2195" s="94">
        <v>4</v>
      </c>
      <c r="H2195" s="94">
        <v>360</v>
      </c>
      <c r="I2195" s="91">
        <v>45972</v>
      </c>
      <c r="J2195" s="165">
        <v>0.65972222222222221</v>
      </c>
      <c r="K2195" s="94">
        <v>360</v>
      </c>
      <c r="L2195" s="72" t="str">
        <f t="shared" si="34"/>
        <v>Payé</v>
      </c>
    </row>
    <row r="2196" spans="1:14" ht="15" customHeight="1" x14ac:dyDescent="0.25">
      <c r="A2196" s="90" t="s">
        <v>856</v>
      </c>
      <c r="B2196" s="90">
        <v>3960</v>
      </c>
      <c r="C2196" s="88" t="s">
        <v>1242</v>
      </c>
      <c r="D2196" s="90" t="s">
        <v>17</v>
      </c>
      <c r="E2196" s="90" t="s">
        <v>649</v>
      </c>
      <c r="F2196" s="90" t="s">
        <v>856</v>
      </c>
      <c r="G2196" s="94">
        <v>3</v>
      </c>
      <c r="H2196" s="94">
        <v>270</v>
      </c>
      <c r="I2196" s="91">
        <v>45972</v>
      </c>
      <c r="J2196" s="165">
        <v>0.65972222222222221</v>
      </c>
      <c r="K2196" s="94">
        <v>270</v>
      </c>
      <c r="L2196" s="72" t="str">
        <f t="shared" si="34"/>
        <v>Payé</v>
      </c>
    </row>
    <row r="2197" spans="1:14" ht="15" customHeight="1" x14ac:dyDescent="0.25">
      <c r="A2197" s="90" t="s">
        <v>856</v>
      </c>
      <c r="B2197" s="90">
        <v>4160</v>
      </c>
      <c r="C2197" s="88" t="s">
        <v>1244</v>
      </c>
      <c r="D2197" s="90" t="s">
        <v>17</v>
      </c>
      <c r="E2197" s="90" t="s">
        <v>649</v>
      </c>
      <c r="F2197" s="90" t="s">
        <v>856</v>
      </c>
      <c r="G2197" s="94">
        <v>3</v>
      </c>
      <c r="H2197" s="94">
        <v>270</v>
      </c>
      <c r="I2197" s="91">
        <v>45985</v>
      </c>
      <c r="J2197" s="165">
        <v>0.54861111111111105</v>
      </c>
      <c r="K2197" s="94">
        <v>270</v>
      </c>
      <c r="L2197" s="72" t="str">
        <f t="shared" si="34"/>
        <v>Payé</v>
      </c>
    </row>
    <row r="2198" spans="1:14" ht="15" customHeight="1" x14ac:dyDescent="0.25">
      <c r="A2198" s="90" t="s">
        <v>856</v>
      </c>
      <c r="B2198" s="90">
        <v>4177</v>
      </c>
      <c r="C2198" s="88" t="s">
        <v>582</v>
      </c>
      <c r="D2198" s="90" t="s">
        <v>17</v>
      </c>
      <c r="E2198" s="90" t="s">
        <v>649</v>
      </c>
      <c r="F2198" s="90" t="s">
        <v>856</v>
      </c>
      <c r="G2198" s="94">
        <v>3</v>
      </c>
      <c r="H2198" s="94">
        <v>270</v>
      </c>
      <c r="I2198" s="91">
        <v>45972</v>
      </c>
      <c r="J2198" s="165">
        <v>0.65972222222222221</v>
      </c>
      <c r="K2198" s="94">
        <v>270</v>
      </c>
      <c r="L2198" s="72" t="str">
        <f t="shared" si="34"/>
        <v>Payé</v>
      </c>
    </row>
    <row r="2199" spans="1:14" ht="15" customHeight="1" x14ac:dyDescent="0.25">
      <c r="A2199" s="90" t="s">
        <v>856</v>
      </c>
      <c r="B2199" s="90">
        <v>4204</v>
      </c>
      <c r="C2199" s="88" t="s">
        <v>610</v>
      </c>
      <c r="D2199" s="90" t="s">
        <v>17</v>
      </c>
      <c r="E2199" s="90" t="s">
        <v>649</v>
      </c>
      <c r="F2199" s="90" t="s">
        <v>856</v>
      </c>
      <c r="G2199" s="94">
        <v>4</v>
      </c>
      <c r="H2199" s="94">
        <v>360</v>
      </c>
      <c r="I2199" s="91">
        <v>45972</v>
      </c>
      <c r="J2199" s="165">
        <v>0.65972222222222221</v>
      </c>
      <c r="K2199" s="94">
        <v>360</v>
      </c>
      <c r="L2199" s="72" t="str">
        <f t="shared" si="34"/>
        <v>Payé</v>
      </c>
    </row>
    <row r="2200" spans="1:14" ht="15" customHeight="1" x14ac:dyDescent="0.25">
      <c r="A2200" s="90" t="s">
        <v>856</v>
      </c>
      <c r="B2200" s="90">
        <v>4263</v>
      </c>
      <c r="C2200" s="88" t="s">
        <v>1245</v>
      </c>
      <c r="D2200" s="90" t="s">
        <v>17</v>
      </c>
      <c r="E2200" s="90" t="s">
        <v>649</v>
      </c>
      <c r="F2200" s="90" t="s">
        <v>856</v>
      </c>
      <c r="G2200" s="94">
        <v>1</v>
      </c>
      <c r="H2200" s="94">
        <v>90</v>
      </c>
      <c r="I2200" s="91">
        <v>45973</v>
      </c>
      <c r="J2200" s="165">
        <v>0.47152777777777777</v>
      </c>
      <c r="K2200" s="94">
        <v>90</v>
      </c>
      <c r="L2200" s="72" t="str">
        <f t="shared" si="34"/>
        <v>Payé</v>
      </c>
    </row>
    <row r="2201" spans="1:14" ht="15" customHeight="1" x14ac:dyDescent="0.25">
      <c r="A2201" s="90" t="s">
        <v>856</v>
      </c>
      <c r="B2201" s="90">
        <v>4265</v>
      </c>
      <c r="C2201" s="88" t="s">
        <v>675</v>
      </c>
      <c r="D2201" s="90" t="s">
        <v>17</v>
      </c>
      <c r="E2201" s="90" t="s">
        <v>649</v>
      </c>
      <c r="F2201" s="90" t="s">
        <v>856</v>
      </c>
      <c r="G2201" s="94">
        <v>3</v>
      </c>
      <c r="H2201" s="94">
        <v>270</v>
      </c>
      <c r="I2201" s="91">
        <v>45987</v>
      </c>
      <c r="J2201" s="165">
        <v>0.66111111111111109</v>
      </c>
      <c r="K2201" s="94">
        <v>270</v>
      </c>
      <c r="L2201" s="72" t="str">
        <f t="shared" si="34"/>
        <v>Payé</v>
      </c>
    </row>
    <row r="2202" spans="1:14" ht="15" customHeight="1" x14ac:dyDescent="0.25">
      <c r="A2202" s="90" t="s">
        <v>856</v>
      </c>
      <c r="B2202" s="90">
        <v>4282</v>
      </c>
      <c r="C2202" s="88" t="s">
        <v>1246</v>
      </c>
      <c r="D2202" s="90" t="s">
        <v>17</v>
      </c>
      <c r="E2202" s="90" t="s">
        <v>649</v>
      </c>
      <c r="F2202" s="90" t="s">
        <v>856</v>
      </c>
      <c r="G2202" s="94">
        <v>3</v>
      </c>
      <c r="H2202" s="94">
        <v>270</v>
      </c>
      <c r="I2202" s="91">
        <v>45972</v>
      </c>
      <c r="J2202" s="165">
        <v>0.65972222222222221</v>
      </c>
      <c r="K2202" s="94">
        <v>270</v>
      </c>
      <c r="L2202" s="72" t="str">
        <f t="shared" si="34"/>
        <v>Payé</v>
      </c>
    </row>
    <row r="2203" spans="1:14" ht="15" customHeight="1" x14ac:dyDescent="0.25">
      <c r="A2203" s="90" t="s">
        <v>856</v>
      </c>
      <c r="B2203" s="90">
        <v>5260</v>
      </c>
      <c r="C2203" s="88" t="s">
        <v>917</v>
      </c>
      <c r="D2203" s="90" t="s">
        <v>17</v>
      </c>
      <c r="E2203" s="90" t="s">
        <v>649</v>
      </c>
      <c r="F2203" s="90" t="s">
        <v>856</v>
      </c>
      <c r="G2203" s="94">
        <v>4</v>
      </c>
      <c r="H2203" s="94">
        <v>360</v>
      </c>
      <c r="I2203" s="91">
        <v>45972</v>
      </c>
      <c r="J2203" s="165">
        <v>0.65972222222222221</v>
      </c>
      <c r="K2203" s="94">
        <v>360</v>
      </c>
      <c r="L2203" s="72" t="str">
        <f t="shared" si="34"/>
        <v>Payé</v>
      </c>
    </row>
    <row r="2204" spans="1:14" ht="15" customHeight="1" x14ac:dyDescent="0.25">
      <c r="A2204" s="90" t="s">
        <v>856</v>
      </c>
      <c r="B2204" s="90">
        <v>5317</v>
      </c>
      <c r="C2204" s="88" t="s">
        <v>551</v>
      </c>
      <c r="D2204" s="90" t="s">
        <v>17</v>
      </c>
      <c r="E2204" s="90" t="s">
        <v>649</v>
      </c>
      <c r="F2204" s="90" t="s">
        <v>856</v>
      </c>
      <c r="G2204" s="94">
        <v>4</v>
      </c>
      <c r="H2204" s="94">
        <v>360</v>
      </c>
      <c r="I2204" s="91">
        <v>45972</v>
      </c>
      <c r="J2204" s="165">
        <v>0.65972222222222221</v>
      </c>
      <c r="K2204" s="94">
        <v>360</v>
      </c>
      <c r="L2204" s="72" t="str">
        <f t="shared" si="34"/>
        <v>Payé</v>
      </c>
    </row>
    <row r="2205" spans="1:14" ht="15" customHeight="1" x14ac:dyDescent="0.25">
      <c r="A2205" s="90" t="s">
        <v>856</v>
      </c>
      <c r="B2205" s="90">
        <v>7084</v>
      </c>
      <c r="C2205" s="88" t="s">
        <v>1248</v>
      </c>
      <c r="D2205" s="90" t="s">
        <v>17</v>
      </c>
      <c r="E2205" s="90" t="s">
        <v>649</v>
      </c>
      <c r="F2205" s="90" t="s">
        <v>856</v>
      </c>
      <c r="G2205" s="94">
        <v>4</v>
      </c>
      <c r="H2205" s="94">
        <v>360</v>
      </c>
      <c r="I2205" s="91">
        <v>45972</v>
      </c>
      <c r="J2205" s="165">
        <v>0.65972222222222221</v>
      </c>
      <c r="K2205" s="94">
        <v>360</v>
      </c>
      <c r="L2205" s="72" t="str">
        <f t="shared" si="34"/>
        <v>Payé</v>
      </c>
    </row>
    <row r="2206" spans="1:14" ht="15" customHeight="1" x14ac:dyDescent="0.25">
      <c r="A2206" s="90" t="s">
        <v>856</v>
      </c>
      <c r="B2206" s="90">
        <v>10083</v>
      </c>
      <c r="C2206" s="88" t="s">
        <v>1260</v>
      </c>
      <c r="D2206" s="90" t="s">
        <v>17</v>
      </c>
      <c r="E2206" s="90" t="s">
        <v>649</v>
      </c>
      <c r="F2206" s="90" t="s">
        <v>856</v>
      </c>
      <c r="G2206" s="94">
        <v>3</v>
      </c>
      <c r="H2206" s="94">
        <v>270</v>
      </c>
      <c r="I2206" s="91">
        <v>45972</v>
      </c>
      <c r="J2206" s="165">
        <v>0.65972222222222221</v>
      </c>
      <c r="K2206" s="94">
        <v>270</v>
      </c>
      <c r="L2206" s="72" t="str">
        <f t="shared" ref="L2206:L2269" si="35">IF(ISBLANK(H2206),"",IF(H2206=K2206,"Payé","Impayé"))</f>
        <v>Payé</v>
      </c>
    </row>
    <row r="2207" spans="1:14" ht="15" customHeight="1" x14ac:dyDescent="0.25">
      <c r="A2207" s="90" t="s">
        <v>856</v>
      </c>
      <c r="B2207" s="90">
        <v>10105</v>
      </c>
      <c r="C2207" s="88" t="s">
        <v>1277</v>
      </c>
      <c r="D2207" s="90" t="s">
        <v>17</v>
      </c>
      <c r="E2207" s="90" t="s">
        <v>649</v>
      </c>
      <c r="F2207" s="90" t="s">
        <v>856</v>
      </c>
      <c r="G2207" s="94">
        <v>1</v>
      </c>
      <c r="H2207" s="94">
        <v>90</v>
      </c>
      <c r="I2207" s="91">
        <v>45973</v>
      </c>
      <c r="J2207" s="165">
        <v>0.64930555555555558</v>
      </c>
      <c r="K2207" s="94">
        <v>90</v>
      </c>
      <c r="L2207" s="72" t="str">
        <f t="shared" si="35"/>
        <v>Payé</v>
      </c>
      <c r="N2207" s="162">
        <v>10</v>
      </c>
    </row>
    <row r="2208" spans="1:14" ht="15" customHeight="1" x14ac:dyDescent="0.25">
      <c r="A2208" s="90" t="s">
        <v>856</v>
      </c>
      <c r="B2208" s="90"/>
      <c r="C2208" s="88" t="s">
        <v>1281</v>
      </c>
      <c r="D2208" s="89" t="s">
        <v>910</v>
      </c>
      <c r="E2208" s="90" t="s">
        <v>649</v>
      </c>
      <c r="F2208" s="90" t="s">
        <v>856</v>
      </c>
      <c r="G2208" s="95">
        <v>52</v>
      </c>
      <c r="H2208" s="92">
        <v>1560</v>
      </c>
      <c r="I2208" s="91">
        <v>45972</v>
      </c>
      <c r="J2208" s="165">
        <v>0.65972222222222221</v>
      </c>
      <c r="K2208" s="92">
        <v>1560</v>
      </c>
      <c r="L2208" s="72" t="str">
        <f t="shared" si="35"/>
        <v>Payé</v>
      </c>
    </row>
    <row r="2209" spans="1:12" ht="15" customHeight="1" x14ac:dyDescent="0.25">
      <c r="A2209" s="90" t="s">
        <v>856</v>
      </c>
      <c r="B2209" s="90">
        <v>3448</v>
      </c>
      <c r="C2209" s="88" t="s">
        <v>1239</v>
      </c>
      <c r="D2209" s="90" t="s">
        <v>17</v>
      </c>
      <c r="E2209" s="90" t="s">
        <v>649</v>
      </c>
      <c r="F2209" s="90" t="s">
        <v>856</v>
      </c>
      <c r="G2209" s="94">
        <v>2</v>
      </c>
      <c r="H2209" s="94">
        <v>180</v>
      </c>
      <c r="I2209" s="91"/>
      <c r="J2209" s="165"/>
      <c r="K2209" s="92"/>
      <c r="L2209" s="72" t="str">
        <f t="shared" si="35"/>
        <v>Impayé</v>
      </c>
    </row>
    <row r="2210" spans="1:12" ht="15" customHeight="1" x14ac:dyDescent="0.25">
      <c r="A2210" s="90" t="s">
        <v>856</v>
      </c>
      <c r="B2210" s="90">
        <v>10104</v>
      </c>
      <c r="C2210" s="88" t="s">
        <v>1276</v>
      </c>
      <c r="D2210" s="90" t="s">
        <v>17</v>
      </c>
      <c r="E2210" s="90" t="s">
        <v>649</v>
      </c>
      <c r="F2210" s="90" t="s">
        <v>856</v>
      </c>
      <c r="G2210" s="94">
        <v>1</v>
      </c>
      <c r="H2210" s="94">
        <v>90</v>
      </c>
      <c r="I2210" s="91">
        <v>46045</v>
      </c>
      <c r="J2210" s="165">
        <v>0.68263888888888891</v>
      </c>
      <c r="K2210" s="94">
        <v>90</v>
      </c>
      <c r="L2210" s="72" t="str">
        <f t="shared" si="35"/>
        <v>Payé</v>
      </c>
    </row>
    <row r="2211" spans="1:12" ht="15" customHeight="1" x14ac:dyDescent="0.25">
      <c r="A2211" s="90" t="s">
        <v>858</v>
      </c>
      <c r="B2211" s="90">
        <v>366</v>
      </c>
      <c r="C2211" s="88" t="s">
        <v>1357</v>
      </c>
      <c r="D2211" s="90" t="s">
        <v>17</v>
      </c>
      <c r="E2211" s="90" t="s">
        <v>628</v>
      </c>
      <c r="F2211" s="90" t="s">
        <v>858</v>
      </c>
      <c r="G2211" s="137">
        <v>1</v>
      </c>
      <c r="H2211" s="94">
        <v>87</v>
      </c>
      <c r="I2211" s="91">
        <v>46001</v>
      </c>
      <c r="J2211" s="165">
        <v>0.64513888888888882</v>
      </c>
      <c r="K2211" s="94">
        <v>87</v>
      </c>
      <c r="L2211" s="72" t="str">
        <f t="shared" si="35"/>
        <v>Payé</v>
      </c>
    </row>
    <row r="2212" spans="1:12" ht="15" customHeight="1" x14ac:dyDescent="0.25">
      <c r="A2212" s="90" t="s">
        <v>858</v>
      </c>
      <c r="B2212" s="90">
        <v>4090</v>
      </c>
      <c r="C2212" s="88" t="s">
        <v>620</v>
      </c>
      <c r="D2212" s="90" t="s">
        <v>17</v>
      </c>
      <c r="E2212" s="90" t="s">
        <v>628</v>
      </c>
      <c r="F2212" s="90" t="s">
        <v>858</v>
      </c>
      <c r="G2212" s="137">
        <v>5</v>
      </c>
      <c r="H2212" s="94">
        <v>448</v>
      </c>
      <c r="I2212" s="91">
        <v>46001</v>
      </c>
      <c r="J2212" s="165">
        <v>0.64513888888888882</v>
      </c>
      <c r="K2212" s="94">
        <v>448</v>
      </c>
      <c r="L2212" s="72" t="str">
        <f t="shared" si="35"/>
        <v>Payé</v>
      </c>
    </row>
    <row r="2213" spans="1:12" ht="15" customHeight="1" x14ac:dyDescent="0.25">
      <c r="A2213" s="90" t="s">
        <v>858</v>
      </c>
      <c r="B2213" s="90">
        <v>4333</v>
      </c>
      <c r="C2213" s="88" t="s">
        <v>706</v>
      </c>
      <c r="D2213" s="90" t="s">
        <v>17</v>
      </c>
      <c r="E2213" s="90" t="s">
        <v>628</v>
      </c>
      <c r="F2213" s="90" t="s">
        <v>858</v>
      </c>
      <c r="G2213" s="137">
        <v>14</v>
      </c>
      <c r="H2213" s="94">
        <v>1376</v>
      </c>
      <c r="I2213" s="91">
        <v>46001</v>
      </c>
      <c r="J2213" s="165">
        <v>0.64513888888888882</v>
      </c>
      <c r="K2213" s="94">
        <v>1376</v>
      </c>
      <c r="L2213" s="72" t="str">
        <f t="shared" si="35"/>
        <v>Payé</v>
      </c>
    </row>
    <row r="2214" spans="1:12" ht="15" customHeight="1" x14ac:dyDescent="0.25">
      <c r="A2214" s="90" t="s">
        <v>858</v>
      </c>
      <c r="B2214" s="90">
        <v>4334</v>
      </c>
      <c r="C2214" s="88" t="s">
        <v>622</v>
      </c>
      <c r="D2214" s="90" t="s">
        <v>17</v>
      </c>
      <c r="E2214" s="90" t="s">
        <v>628</v>
      </c>
      <c r="F2214" s="90" t="s">
        <v>858</v>
      </c>
      <c r="G2214" s="137">
        <v>15</v>
      </c>
      <c r="H2214" s="94">
        <v>1474</v>
      </c>
      <c r="I2214" s="91">
        <v>46001</v>
      </c>
      <c r="J2214" s="165">
        <v>0.64513888888888882</v>
      </c>
      <c r="K2214" s="94">
        <v>1474</v>
      </c>
      <c r="L2214" s="72" t="str">
        <f t="shared" si="35"/>
        <v>Payé</v>
      </c>
    </row>
    <row r="2215" spans="1:12" ht="15" customHeight="1" x14ac:dyDescent="0.25">
      <c r="A2215" s="90" t="s">
        <v>858</v>
      </c>
      <c r="B2215" s="90">
        <v>4473</v>
      </c>
      <c r="C2215" s="88" t="s">
        <v>623</v>
      </c>
      <c r="D2215" s="90" t="s">
        <v>17</v>
      </c>
      <c r="E2215" s="90" t="s">
        <v>628</v>
      </c>
      <c r="F2215" s="90" t="s">
        <v>858</v>
      </c>
      <c r="G2215" s="137">
        <v>16</v>
      </c>
      <c r="H2215" s="94">
        <v>1433</v>
      </c>
      <c r="I2215" s="91">
        <v>46001</v>
      </c>
      <c r="J2215" s="165">
        <v>0.64513888888888882</v>
      </c>
      <c r="K2215" s="94">
        <v>1433</v>
      </c>
      <c r="L2215" s="72" t="str">
        <f t="shared" si="35"/>
        <v>Payé</v>
      </c>
    </row>
    <row r="2216" spans="1:12" ht="15" customHeight="1" x14ac:dyDescent="0.25">
      <c r="A2216" s="90" t="s">
        <v>858</v>
      </c>
      <c r="B2216" s="90">
        <v>4801</v>
      </c>
      <c r="C2216" s="88" t="s">
        <v>990</v>
      </c>
      <c r="D2216" s="90" t="s">
        <v>17</v>
      </c>
      <c r="E2216" s="90" t="s">
        <v>628</v>
      </c>
      <c r="F2216" s="90" t="s">
        <v>858</v>
      </c>
      <c r="G2216" s="137">
        <v>12</v>
      </c>
      <c r="H2216" s="94">
        <v>1075</v>
      </c>
      <c r="I2216" s="91">
        <v>46001</v>
      </c>
      <c r="J2216" s="165">
        <v>0.64513888888888882</v>
      </c>
      <c r="K2216" s="94">
        <v>1075</v>
      </c>
      <c r="L2216" s="72" t="str">
        <f t="shared" si="35"/>
        <v>Payé</v>
      </c>
    </row>
    <row r="2217" spans="1:12" ht="15" customHeight="1" x14ac:dyDescent="0.25">
      <c r="A2217" s="90" t="s">
        <v>858</v>
      </c>
      <c r="B2217" s="90">
        <v>5123</v>
      </c>
      <c r="C2217" s="88" t="s">
        <v>827</v>
      </c>
      <c r="D2217" s="90" t="s">
        <v>17</v>
      </c>
      <c r="E2217" s="90" t="s">
        <v>628</v>
      </c>
      <c r="F2217" s="90" t="s">
        <v>858</v>
      </c>
      <c r="G2217" s="137">
        <v>12</v>
      </c>
      <c r="H2217" s="94">
        <v>1075</v>
      </c>
      <c r="I2217" s="91">
        <v>46001</v>
      </c>
      <c r="J2217" s="165">
        <v>0.64513888888888882</v>
      </c>
      <c r="K2217" s="94">
        <v>1075</v>
      </c>
      <c r="L2217" s="72" t="str">
        <f t="shared" si="35"/>
        <v>Payé</v>
      </c>
    </row>
    <row r="2218" spans="1:12" ht="15" customHeight="1" x14ac:dyDescent="0.25">
      <c r="A2218" s="90" t="s">
        <v>858</v>
      </c>
      <c r="B2218" s="90">
        <v>8022</v>
      </c>
      <c r="C2218" s="88" t="s">
        <v>707</v>
      </c>
      <c r="D2218" s="90" t="s">
        <v>17</v>
      </c>
      <c r="E2218" s="90" t="s">
        <v>628</v>
      </c>
      <c r="F2218" s="90" t="s">
        <v>858</v>
      </c>
      <c r="G2218" s="137">
        <v>14</v>
      </c>
      <c r="H2218" s="94">
        <v>1254</v>
      </c>
      <c r="I2218" s="91">
        <v>46001</v>
      </c>
      <c r="J2218" s="165">
        <v>0.64513888888888882</v>
      </c>
      <c r="K2218" s="94">
        <v>1254</v>
      </c>
      <c r="L2218" s="72" t="str">
        <f t="shared" si="35"/>
        <v>Payé</v>
      </c>
    </row>
    <row r="2219" spans="1:12" ht="15" customHeight="1" x14ac:dyDescent="0.25">
      <c r="A2219" s="90" t="s">
        <v>858</v>
      </c>
      <c r="B2219" s="90">
        <v>10008</v>
      </c>
      <c r="C2219" s="88" t="s">
        <v>1134</v>
      </c>
      <c r="D2219" s="90" t="s">
        <v>17</v>
      </c>
      <c r="E2219" s="90" t="s">
        <v>628</v>
      </c>
      <c r="F2219" s="90" t="s">
        <v>858</v>
      </c>
      <c r="G2219" s="137">
        <v>11</v>
      </c>
      <c r="H2219" s="94">
        <v>985</v>
      </c>
      <c r="I2219" s="91">
        <v>46001</v>
      </c>
      <c r="J2219" s="165">
        <v>0.64513888888888882</v>
      </c>
      <c r="K2219" s="94">
        <v>985</v>
      </c>
      <c r="L2219" s="72" t="str">
        <f t="shared" si="35"/>
        <v>Payé</v>
      </c>
    </row>
    <row r="2220" spans="1:12" ht="15" customHeight="1" x14ac:dyDescent="0.25">
      <c r="A2220" s="90" t="s">
        <v>858</v>
      </c>
      <c r="B2220" s="90"/>
      <c r="C2220" s="88" t="s">
        <v>406</v>
      </c>
      <c r="D2220" s="89" t="s">
        <v>910</v>
      </c>
      <c r="E2220" s="90" t="s">
        <v>476</v>
      </c>
      <c r="F2220" s="90" t="s">
        <v>858</v>
      </c>
      <c r="G2220" s="95">
        <v>78</v>
      </c>
      <c r="H2220" s="92">
        <v>2340</v>
      </c>
      <c r="I2220" s="91">
        <v>46000</v>
      </c>
      <c r="J2220" s="165">
        <v>0.71666666666666667</v>
      </c>
      <c r="K2220" s="92">
        <v>2340</v>
      </c>
      <c r="L2220" s="72" t="str">
        <f t="shared" si="35"/>
        <v>Payé</v>
      </c>
    </row>
    <row r="2221" spans="1:12" ht="15" customHeight="1" x14ac:dyDescent="0.25">
      <c r="A2221" s="90" t="s">
        <v>858</v>
      </c>
      <c r="B2221" s="90">
        <v>3607</v>
      </c>
      <c r="C2221" s="88" t="s">
        <v>984</v>
      </c>
      <c r="D2221" s="90" t="s">
        <v>17</v>
      </c>
      <c r="E2221" s="90" t="s">
        <v>613</v>
      </c>
      <c r="F2221" s="90" t="s">
        <v>858</v>
      </c>
      <c r="G2221" s="137">
        <v>1</v>
      </c>
      <c r="H2221" s="94">
        <v>91</v>
      </c>
      <c r="I2221" s="91">
        <v>46030</v>
      </c>
      <c r="J2221" s="165">
        <v>0.71319444444444446</v>
      </c>
      <c r="K2221" s="94">
        <v>91</v>
      </c>
      <c r="L2221" s="72" t="str">
        <f t="shared" si="35"/>
        <v>Payé</v>
      </c>
    </row>
    <row r="2222" spans="1:12" ht="15" customHeight="1" x14ac:dyDescent="0.25">
      <c r="A2222" s="90" t="s">
        <v>858</v>
      </c>
      <c r="B2222" s="90">
        <v>2311</v>
      </c>
      <c r="C2222" s="88" t="s">
        <v>406</v>
      </c>
      <c r="D2222" s="90" t="s">
        <v>17</v>
      </c>
      <c r="E2222" s="90" t="s">
        <v>420</v>
      </c>
      <c r="F2222" s="90" t="s">
        <v>858</v>
      </c>
      <c r="G2222" s="137">
        <v>2</v>
      </c>
      <c r="H2222" s="94">
        <v>182</v>
      </c>
      <c r="I2222" s="91">
        <v>46017</v>
      </c>
      <c r="J2222" s="165">
        <v>0.38263888888888892</v>
      </c>
      <c r="K2222" s="94">
        <v>182</v>
      </c>
      <c r="L2222" s="72" t="str">
        <f t="shared" si="35"/>
        <v>Payé</v>
      </c>
    </row>
    <row r="2223" spans="1:12" ht="15" customHeight="1" x14ac:dyDescent="0.25">
      <c r="A2223" s="90" t="s">
        <v>858</v>
      </c>
      <c r="B2223" s="90">
        <v>5</v>
      </c>
      <c r="C2223" s="88" t="s">
        <v>456</v>
      </c>
      <c r="D2223" s="90" t="s">
        <v>17</v>
      </c>
      <c r="E2223" s="90" t="s">
        <v>81</v>
      </c>
      <c r="F2223" s="90" t="s">
        <v>858</v>
      </c>
      <c r="G2223" s="137">
        <v>1</v>
      </c>
      <c r="H2223" s="94">
        <v>91</v>
      </c>
      <c r="I2223" s="91">
        <v>46007</v>
      </c>
      <c r="J2223" s="165">
        <v>0.41805555555555557</v>
      </c>
      <c r="K2223" s="94">
        <v>91</v>
      </c>
      <c r="L2223" s="72" t="str">
        <f t="shared" si="35"/>
        <v>Payé</v>
      </c>
    </row>
    <row r="2224" spans="1:12" ht="15" customHeight="1" x14ac:dyDescent="0.25">
      <c r="A2224" s="90" t="s">
        <v>858</v>
      </c>
      <c r="B2224" s="90">
        <v>6</v>
      </c>
      <c r="C2224" s="88" t="s">
        <v>542</v>
      </c>
      <c r="D2224" s="90" t="s">
        <v>17</v>
      </c>
      <c r="E2224" s="90" t="s">
        <v>368</v>
      </c>
      <c r="F2224" s="90" t="s">
        <v>858</v>
      </c>
      <c r="G2224" s="137">
        <v>2</v>
      </c>
      <c r="H2224" s="94">
        <v>191</v>
      </c>
      <c r="I2224" s="91">
        <v>46010</v>
      </c>
      <c r="J2224" s="165">
        <v>0.44097222222222227</v>
      </c>
      <c r="K2224" s="94">
        <v>191</v>
      </c>
      <c r="L2224" s="72" t="str">
        <f t="shared" si="35"/>
        <v>Payé</v>
      </c>
    </row>
    <row r="2225" spans="1:13" ht="15" customHeight="1" x14ac:dyDescent="0.25">
      <c r="A2225" s="90" t="s">
        <v>858</v>
      </c>
      <c r="B2225" s="90">
        <v>994</v>
      </c>
      <c r="C2225" s="88" t="s">
        <v>381</v>
      </c>
      <c r="D2225" s="90" t="s">
        <v>17</v>
      </c>
      <c r="E2225" s="90" t="s">
        <v>370</v>
      </c>
      <c r="F2225" s="90" t="s">
        <v>858</v>
      </c>
      <c r="G2225" s="137">
        <v>2</v>
      </c>
      <c r="H2225" s="94">
        <v>182</v>
      </c>
      <c r="I2225" s="91">
        <v>46003</v>
      </c>
      <c r="J2225" s="165">
        <v>0.45763888888888887</v>
      </c>
      <c r="K2225" s="94">
        <v>182</v>
      </c>
      <c r="L2225" s="72" t="str">
        <f t="shared" si="35"/>
        <v>Payé</v>
      </c>
    </row>
    <row r="2226" spans="1:13" ht="15" customHeight="1" x14ac:dyDescent="0.25">
      <c r="A2226" s="90" t="s">
        <v>858</v>
      </c>
      <c r="B2226" s="90">
        <v>1043</v>
      </c>
      <c r="C2226" s="88" t="s">
        <v>421</v>
      </c>
      <c r="D2226" s="90" t="s">
        <v>17</v>
      </c>
      <c r="E2226" s="90" t="s">
        <v>370</v>
      </c>
      <c r="F2226" s="90" t="s">
        <v>858</v>
      </c>
      <c r="G2226" s="137">
        <v>1</v>
      </c>
      <c r="H2226" s="94">
        <v>91</v>
      </c>
      <c r="I2226" s="91">
        <v>46007</v>
      </c>
      <c r="J2226" s="165">
        <v>0.41805555555555557</v>
      </c>
      <c r="K2226" s="94">
        <v>91</v>
      </c>
      <c r="L2226" s="72" t="str">
        <f t="shared" si="35"/>
        <v>Payé</v>
      </c>
    </row>
    <row r="2227" spans="1:13" ht="15" customHeight="1" x14ac:dyDescent="0.25">
      <c r="A2227" s="90" t="s">
        <v>858</v>
      </c>
      <c r="B2227" s="90">
        <v>2299</v>
      </c>
      <c r="C2227" s="88" t="s">
        <v>1144</v>
      </c>
      <c r="D2227" s="90" t="s">
        <v>17</v>
      </c>
      <c r="E2227" s="90" t="s">
        <v>370</v>
      </c>
      <c r="F2227" s="90" t="s">
        <v>858</v>
      </c>
      <c r="G2227" s="137">
        <v>14</v>
      </c>
      <c r="H2227" s="94">
        <v>1376</v>
      </c>
      <c r="I2227" s="91">
        <v>46003</v>
      </c>
      <c r="J2227" s="165">
        <v>0.45763888888888887</v>
      </c>
      <c r="K2227" s="94">
        <v>1376</v>
      </c>
      <c r="L2227" s="72" t="str">
        <f t="shared" si="35"/>
        <v>Payé</v>
      </c>
    </row>
    <row r="2228" spans="1:13" ht="15" customHeight="1" x14ac:dyDescent="0.25">
      <c r="A2228" s="90" t="s">
        <v>858</v>
      </c>
      <c r="B2228" s="90">
        <v>5348</v>
      </c>
      <c r="C2228" s="88" t="s">
        <v>1083</v>
      </c>
      <c r="D2228" s="90" t="s">
        <v>17</v>
      </c>
      <c r="E2228" s="90" t="s">
        <v>370</v>
      </c>
      <c r="F2228" s="90" t="s">
        <v>858</v>
      </c>
      <c r="G2228" s="137">
        <v>2</v>
      </c>
      <c r="H2228" s="94">
        <v>173</v>
      </c>
      <c r="I2228" s="91">
        <v>46003</v>
      </c>
      <c r="J2228" s="165">
        <v>0.45763888888888887</v>
      </c>
      <c r="K2228" s="94">
        <v>173</v>
      </c>
      <c r="L2228" s="72" t="str">
        <f t="shared" si="35"/>
        <v>Payé</v>
      </c>
    </row>
    <row r="2229" spans="1:13" ht="15" customHeight="1" x14ac:dyDescent="0.25">
      <c r="A2229" s="90" t="s">
        <v>858</v>
      </c>
      <c r="B2229" s="90">
        <v>5365</v>
      </c>
      <c r="C2229" s="88" t="s">
        <v>1123</v>
      </c>
      <c r="D2229" s="90" t="s">
        <v>17</v>
      </c>
      <c r="E2229" s="90" t="s">
        <v>370</v>
      </c>
      <c r="F2229" s="90" t="s">
        <v>858</v>
      </c>
      <c r="G2229" s="137">
        <v>15</v>
      </c>
      <c r="H2229" s="94">
        <v>1823</v>
      </c>
      <c r="I2229" s="91">
        <v>46003</v>
      </c>
      <c r="J2229" s="165">
        <v>0.45763888888888887</v>
      </c>
      <c r="K2229" s="94">
        <v>1823</v>
      </c>
      <c r="L2229" s="72" t="str">
        <f t="shared" si="35"/>
        <v>Payé</v>
      </c>
    </row>
    <row r="2230" spans="1:13" ht="15" customHeight="1" x14ac:dyDescent="0.25">
      <c r="A2230" s="90" t="s">
        <v>858</v>
      </c>
      <c r="B2230" s="90">
        <v>2997</v>
      </c>
      <c r="C2230" s="88" t="s">
        <v>719</v>
      </c>
      <c r="D2230" s="90" t="s">
        <v>17</v>
      </c>
      <c r="E2230" s="90" t="s">
        <v>753</v>
      </c>
      <c r="F2230" s="90" t="s">
        <v>858</v>
      </c>
      <c r="G2230" s="137">
        <v>7</v>
      </c>
      <c r="H2230" s="94">
        <v>688</v>
      </c>
      <c r="I2230" s="91">
        <v>46000</v>
      </c>
      <c r="J2230" s="165">
        <v>0.68541666666666667</v>
      </c>
      <c r="K2230" s="94">
        <v>688</v>
      </c>
      <c r="L2230" s="72" t="str">
        <f t="shared" si="35"/>
        <v>Payé</v>
      </c>
    </row>
    <row r="2231" spans="1:13" ht="15" customHeight="1" x14ac:dyDescent="0.25">
      <c r="A2231" s="90" t="s">
        <v>858</v>
      </c>
      <c r="B2231" s="90">
        <v>10004</v>
      </c>
      <c r="C2231" s="88" t="s">
        <v>1130</v>
      </c>
      <c r="D2231" s="90" t="s">
        <v>17</v>
      </c>
      <c r="E2231" s="90" t="s">
        <v>370</v>
      </c>
      <c r="F2231" s="90" t="s">
        <v>858</v>
      </c>
      <c r="G2231" s="137">
        <v>16</v>
      </c>
      <c r="H2231" s="94">
        <v>1851</v>
      </c>
      <c r="I2231" s="91">
        <v>46003</v>
      </c>
      <c r="J2231" s="165">
        <v>0.45763888888888887</v>
      </c>
      <c r="K2231" s="94">
        <v>1851</v>
      </c>
      <c r="L2231" s="72" t="str">
        <f t="shared" si="35"/>
        <v>Payé</v>
      </c>
    </row>
    <row r="2232" spans="1:13" ht="15" customHeight="1" x14ac:dyDescent="0.25">
      <c r="A2232" s="90" t="s">
        <v>858</v>
      </c>
      <c r="B2232" s="90">
        <v>10006</v>
      </c>
      <c r="C2232" s="88" t="s">
        <v>1132</v>
      </c>
      <c r="D2232" s="90" t="s">
        <v>17</v>
      </c>
      <c r="E2232" s="90" t="s">
        <v>370</v>
      </c>
      <c r="F2232" s="90" t="s">
        <v>858</v>
      </c>
      <c r="G2232" s="137">
        <v>16</v>
      </c>
      <c r="H2232" s="94">
        <v>1851</v>
      </c>
      <c r="I2232" s="91">
        <v>46003</v>
      </c>
      <c r="J2232" s="165">
        <v>0.45763888888888887</v>
      </c>
      <c r="K2232" s="94">
        <v>1851</v>
      </c>
      <c r="L2232" s="72" t="str">
        <f t="shared" si="35"/>
        <v>Payé</v>
      </c>
    </row>
    <row r="2233" spans="1:13" ht="15" customHeight="1" x14ac:dyDescent="0.25">
      <c r="A2233" s="90" t="s">
        <v>858</v>
      </c>
      <c r="B2233" s="90">
        <v>3313</v>
      </c>
      <c r="C2233" s="88" t="s">
        <v>1209</v>
      </c>
      <c r="D2233" s="90" t="s">
        <v>17</v>
      </c>
      <c r="E2233" s="90" t="s">
        <v>753</v>
      </c>
      <c r="F2233" s="90" t="s">
        <v>858</v>
      </c>
      <c r="G2233" s="137">
        <v>5</v>
      </c>
      <c r="H2233" s="94">
        <v>448</v>
      </c>
      <c r="I2233" s="91">
        <v>46000</v>
      </c>
      <c r="J2233" s="165">
        <v>0.68541666666666667</v>
      </c>
      <c r="K2233" s="94">
        <v>448</v>
      </c>
      <c r="L2233" s="72" t="str">
        <f t="shared" si="35"/>
        <v>Payé</v>
      </c>
    </row>
    <row r="2234" spans="1:13" ht="15" customHeight="1" x14ac:dyDescent="0.25">
      <c r="A2234" s="90" t="s">
        <v>858</v>
      </c>
      <c r="B2234" s="90">
        <v>3823</v>
      </c>
      <c r="C2234" s="88" t="s">
        <v>824</v>
      </c>
      <c r="D2234" s="90" t="s">
        <v>17</v>
      </c>
      <c r="E2234" s="90" t="s">
        <v>753</v>
      </c>
      <c r="F2234" s="90" t="s">
        <v>858</v>
      </c>
      <c r="G2234" s="137">
        <v>2</v>
      </c>
      <c r="H2234" s="94">
        <v>179</v>
      </c>
      <c r="I2234" s="91">
        <v>46000</v>
      </c>
      <c r="J2234" s="165">
        <v>0.68541666666666667</v>
      </c>
      <c r="K2234" s="94">
        <v>179</v>
      </c>
      <c r="L2234" s="72" t="str">
        <f t="shared" si="35"/>
        <v>Payé</v>
      </c>
    </row>
    <row r="2235" spans="1:13" ht="15" customHeight="1" x14ac:dyDescent="0.25">
      <c r="A2235" s="90" t="s">
        <v>858</v>
      </c>
      <c r="B2235" s="90">
        <v>3903</v>
      </c>
      <c r="C2235" s="88" t="s">
        <v>721</v>
      </c>
      <c r="D2235" s="90" t="s">
        <v>17</v>
      </c>
      <c r="E2235" s="90" t="s">
        <v>753</v>
      </c>
      <c r="F2235" s="90" t="s">
        <v>858</v>
      </c>
      <c r="G2235" s="137">
        <v>2</v>
      </c>
      <c r="H2235" s="94">
        <v>179</v>
      </c>
      <c r="I2235" s="91">
        <v>46000</v>
      </c>
      <c r="J2235" s="165">
        <v>0.68541666666666667</v>
      </c>
      <c r="K2235" s="94">
        <v>179</v>
      </c>
      <c r="L2235" s="72" t="str">
        <f t="shared" si="35"/>
        <v>Payé</v>
      </c>
    </row>
    <row r="2236" spans="1:13" ht="15" customHeight="1" x14ac:dyDescent="0.25">
      <c r="A2236" s="90" t="s">
        <v>858</v>
      </c>
      <c r="B2236" s="90">
        <v>4027</v>
      </c>
      <c r="C2236" s="88" t="s">
        <v>1210</v>
      </c>
      <c r="D2236" s="90" t="s">
        <v>17</v>
      </c>
      <c r="E2236" s="90" t="s">
        <v>753</v>
      </c>
      <c r="F2236" s="90" t="s">
        <v>858</v>
      </c>
      <c r="G2236" s="137">
        <v>7</v>
      </c>
      <c r="H2236" s="94">
        <v>627</v>
      </c>
      <c r="I2236" s="91">
        <v>46000</v>
      </c>
      <c r="J2236" s="165">
        <v>0.68541666666666667</v>
      </c>
      <c r="K2236" s="94">
        <v>627</v>
      </c>
      <c r="L2236" s="72" t="str">
        <f t="shared" si="35"/>
        <v>Payé</v>
      </c>
    </row>
    <row r="2237" spans="1:13" ht="15" customHeight="1" x14ac:dyDescent="0.25">
      <c r="A2237" s="90" t="s">
        <v>858</v>
      </c>
      <c r="B2237" s="90">
        <v>4868</v>
      </c>
      <c r="C2237" s="88" t="s">
        <v>767</v>
      </c>
      <c r="D2237" s="90" t="s">
        <v>17</v>
      </c>
      <c r="E2237" s="90" t="s">
        <v>753</v>
      </c>
      <c r="F2237" s="90" t="s">
        <v>858</v>
      </c>
      <c r="G2237" s="137">
        <v>6</v>
      </c>
      <c r="H2237" s="94">
        <v>537</v>
      </c>
      <c r="I2237" s="91">
        <v>46000</v>
      </c>
      <c r="J2237" s="165">
        <v>0.68541666666666667</v>
      </c>
      <c r="K2237" s="94">
        <v>537</v>
      </c>
      <c r="L2237" s="72" t="str">
        <f t="shared" si="35"/>
        <v>Payé</v>
      </c>
    </row>
    <row r="2238" spans="1:13" ht="15" customHeight="1" x14ac:dyDescent="0.25">
      <c r="A2238" s="90" t="s">
        <v>858</v>
      </c>
      <c r="B2238" s="90">
        <v>5076</v>
      </c>
      <c r="C2238" s="88" t="s">
        <v>991</v>
      </c>
      <c r="D2238" s="90" t="s">
        <v>17</v>
      </c>
      <c r="E2238" s="90" t="s">
        <v>753</v>
      </c>
      <c r="F2238" s="90" t="s">
        <v>858</v>
      </c>
      <c r="G2238" s="137">
        <v>6</v>
      </c>
      <c r="H2238" s="94">
        <v>537</v>
      </c>
      <c r="I2238" s="91">
        <v>46000</v>
      </c>
      <c r="J2238" s="165">
        <v>0.68541666666666667</v>
      </c>
      <c r="K2238" s="94">
        <v>537</v>
      </c>
      <c r="L2238" s="72" t="str">
        <f t="shared" si="35"/>
        <v>Payé</v>
      </c>
    </row>
    <row r="2239" spans="1:13" ht="15" customHeight="1" x14ac:dyDescent="0.25">
      <c r="A2239" s="90" t="s">
        <v>858</v>
      </c>
      <c r="B2239" s="90">
        <v>5209</v>
      </c>
      <c r="C2239" s="88" t="s">
        <v>835</v>
      </c>
      <c r="D2239" s="90" t="s">
        <v>17</v>
      </c>
      <c r="E2239" s="90" t="s">
        <v>753</v>
      </c>
      <c r="F2239" s="90" t="s">
        <v>858</v>
      </c>
      <c r="G2239" s="137">
        <v>2</v>
      </c>
      <c r="H2239" s="94">
        <v>179</v>
      </c>
      <c r="I2239" s="91">
        <v>46000</v>
      </c>
      <c r="J2239" s="165">
        <v>0.68541666666666667</v>
      </c>
      <c r="K2239" s="94">
        <v>179</v>
      </c>
      <c r="L2239" s="72" t="str">
        <f t="shared" si="35"/>
        <v>Payé</v>
      </c>
      <c r="M2239" s="155"/>
    </row>
    <row r="2240" spans="1:13" ht="15" customHeight="1" x14ac:dyDescent="0.25">
      <c r="A2240" s="90" t="s">
        <v>858</v>
      </c>
      <c r="B2240" s="90">
        <v>2276</v>
      </c>
      <c r="C2240" s="88" t="s">
        <v>367</v>
      </c>
      <c r="D2240" s="90" t="s">
        <v>17</v>
      </c>
      <c r="E2240" s="90" t="s">
        <v>103</v>
      </c>
      <c r="F2240" s="90" t="s">
        <v>858</v>
      </c>
      <c r="G2240" s="137">
        <v>1</v>
      </c>
      <c r="H2240" s="94">
        <v>91</v>
      </c>
      <c r="I2240" s="91">
        <v>46045</v>
      </c>
      <c r="J2240" s="165">
        <v>0.4993055555555555</v>
      </c>
      <c r="K2240" s="94">
        <v>91</v>
      </c>
      <c r="L2240" s="72" t="str">
        <f t="shared" si="35"/>
        <v>Payé</v>
      </c>
    </row>
    <row r="2241" spans="1:12" ht="15" customHeight="1" x14ac:dyDescent="0.25">
      <c r="A2241" s="90" t="s">
        <v>858</v>
      </c>
      <c r="B2241" s="90">
        <v>10220</v>
      </c>
      <c r="C2241" s="88" t="s">
        <v>1404</v>
      </c>
      <c r="D2241" s="90" t="s">
        <v>17</v>
      </c>
      <c r="E2241" s="90" t="s">
        <v>103</v>
      </c>
      <c r="F2241" s="90" t="s">
        <v>858</v>
      </c>
      <c r="G2241" s="137">
        <v>2</v>
      </c>
      <c r="H2241" s="94">
        <v>231</v>
      </c>
      <c r="I2241" s="91">
        <v>46042</v>
      </c>
      <c r="J2241" s="165">
        <v>0.65694444444444444</v>
      </c>
      <c r="K2241" s="94">
        <v>231</v>
      </c>
      <c r="L2241" s="72" t="str">
        <f t="shared" si="35"/>
        <v>Payé</v>
      </c>
    </row>
    <row r="2242" spans="1:12" ht="14.25" customHeight="1" x14ac:dyDescent="0.25">
      <c r="A2242" s="90" t="s">
        <v>858</v>
      </c>
      <c r="B2242" s="90">
        <v>5327</v>
      </c>
      <c r="C2242" s="88" t="s">
        <v>1033</v>
      </c>
      <c r="D2242" s="90" t="s">
        <v>17</v>
      </c>
      <c r="E2242" s="90" t="s">
        <v>753</v>
      </c>
      <c r="F2242" s="90" t="s">
        <v>858</v>
      </c>
      <c r="G2242" s="137">
        <v>7</v>
      </c>
      <c r="H2242" s="94">
        <v>627</v>
      </c>
      <c r="I2242" s="91">
        <v>46000</v>
      </c>
      <c r="J2242" s="165">
        <v>0.68541666666666667</v>
      </c>
      <c r="K2242" s="94">
        <v>627</v>
      </c>
      <c r="L2242" s="72" t="str">
        <f t="shared" si="35"/>
        <v>Payé</v>
      </c>
    </row>
    <row r="2243" spans="1:12" ht="15" customHeight="1" x14ac:dyDescent="0.25">
      <c r="A2243" s="90" t="s">
        <v>858</v>
      </c>
      <c r="B2243" s="90">
        <v>5335</v>
      </c>
      <c r="C2243" s="88" t="s">
        <v>1040</v>
      </c>
      <c r="D2243" s="90" t="s">
        <v>17</v>
      </c>
      <c r="E2243" s="90" t="s">
        <v>753</v>
      </c>
      <c r="F2243" s="90" t="s">
        <v>858</v>
      </c>
      <c r="G2243" s="137">
        <v>6</v>
      </c>
      <c r="H2243" s="94">
        <v>537</v>
      </c>
      <c r="I2243" s="91">
        <v>46001</v>
      </c>
      <c r="J2243" s="165">
        <v>0.6875</v>
      </c>
      <c r="K2243" s="94">
        <v>537</v>
      </c>
      <c r="L2243" s="72" t="str">
        <f t="shared" si="35"/>
        <v>Payé</v>
      </c>
    </row>
    <row r="2244" spans="1:12" ht="15" customHeight="1" x14ac:dyDescent="0.25">
      <c r="A2244" s="90" t="s">
        <v>858</v>
      </c>
      <c r="B2244" s="90">
        <v>5336</v>
      </c>
      <c r="C2244" s="88" t="s">
        <v>1041</v>
      </c>
      <c r="D2244" s="90" t="s">
        <v>17</v>
      </c>
      <c r="E2244" s="90" t="s">
        <v>753</v>
      </c>
      <c r="F2244" s="90" t="s">
        <v>858</v>
      </c>
      <c r="G2244" s="137">
        <v>3</v>
      </c>
      <c r="H2244" s="94">
        <v>269</v>
      </c>
      <c r="I2244" s="91">
        <v>46001</v>
      </c>
      <c r="J2244" s="165">
        <v>0.6875</v>
      </c>
      <c r="K2244" s="94">
        <v>269</v>
      </c>
      <c r="L2244" s="72" t="str">
        <f t="shared" si="35"/>
        <v>Payé</v>
      </c>
    </row>
    <row r="2245" spans="1:12" ht="15" customHeight="1" x14ac:dyDescent="0.25">
      <c r="A2245" s="90" t="s">
        <v>858</v>
      </c>
      <c r="B2245" s="90">
        <v>10003</v>
      </c>
      <c r="C2245" s="88" t="s">
        <v>1129</v>
      </c>
      <c r="D2245" s="90" t="s">
        <v>17</v>
      </c>
      <c r="E2245" s="90" t="s">
        <v>753</v>
      </c>
      <c r="F2245" s="90" t="s">
        <v>858</v>
      </c>
      <c r="G2245" s="137">
        <v>8</v>
      </c>
      <c r="H2245" s="94">
        <v>717</v>
      </c>
      <c r="I2245" s="91">
        <v>46000</v>
      </c>
      <c r="J2245" s="165">
        <v>0.68541666666666667</v>
      </c>
      <c r="K2245" s="94">
        <v>717</v>
      </c>
      <c r="L2245" s="72" t="str">
        <f t="shared" si="35"/>
        <v>Payé</v>
      </c>
    </row>
    <row r="2246" spans="1:12" ht="15" customHeight="1" x14ac:dyDescent="0.25">
      <c r="A2246" s="90" t="s">
        <v>858</v>
      </c>
      <c r="B2246" s="90">
        <v>10011</v>
      </c>
      <c r="C2246" s="88" t="s">
        <v>1159</v>
      </c>
      <c r="D2246" s="90" t="s">
        <v>17</v>
      </c>
      <c r="E2246" s="90" t="s">
        <v>753</v>
      </c>
      <c r="F2246" s="90" t="s">
        <v>858</v>
      </c>
      <c r="G2246" s="137">
        <v>7</v>
      </c>
      <c r="H2246" s="94">
        <v>627</v>
      </c>
      <c r="I2246" s="91">
        <v>46001</v>
      </c>
      <c r="J2246" s="165">
        <v>0.62847222222222221</v>
      </c>
      <c r="K2246" s="94">
        <v>627</v>
      </c>
      <c r="L2246" s="72" t="str">
        <f t="shared" si="35"/>
        <v>Payé</v>
      </c>
    </row>
    <row r="2247" spans="1:12" ht="15" customHeight="1" x14ac:dyDescent="0.25">
      <c r="A2247" s="90" t="s">
        <v>858</v>
      </c>
      <c r="B2247" s="90">
        <v>10030</v>
      </c>
      <c r="C2247" s="88" t="s">
        <v>1176</v>
      </c>
      <c r="D2247" s="90" t="s">
        <v>17</v>
      </c>
      <c r="E2247" s="90" t="s">
        <v>753</v>
      </c>
      <c r="F2247" s="90" t="s">
        <v>858</v>
      </c>
      <c r="G2247" s="137">
        <v>9</v>
      </c>
      <c r="H2247" s="94">
        <v>806</v>
      </c>
      <c r="I2247" s="91">
        <v>46001</v>
      </c>
      <c r="J2247" s="165">
        <v>0.62847222222222221</v>
      </c>
      <c r="K2247" s="94">
        <v>806</v>
      </c>
      <c r="L2247" s="72" t="str">
        <f t="shared" si="35"/>
        <v>Payé</v>
      </c>
    </row>
    <row r="2248" spans="1:12" ht="15" customHeight="1" x14ac:dyDescent="0.25">
      <c r="A2248" s="90" t="s">
        <v>858</v>
      </c>
      <c r="B2248" s="90">
        <v>10031</v>
      </c>
      <c r="C2248" s="88" t="s">
        <v>1177</v>
      </c>
      <c r="D2248" s="90" t="s">
        <v>17</v>
      </c>
      <c r="E2248" s="90" t="s">
        <v>753</v>
      </c>
      <c r="F2248" s="90" t="s">
        <v>858</v>
      </c>
      <c r="G2248" s="137">
        <v>1</v>
      </c>
      <c r="H2248" s="94">
        <v>90</v>
      </c>
      <c r="I2248" s="91">
        <v>46000</v>
      </c>
      <c r="J2248" s="165">
        <v>0.68541666666666667</v>
      </c>
      <c r="K2248" s="94">
        <v>90</v>
      </c>
      <c r="L2248" s="72" t="str">
        <f t="shared" si="35"/>
        <v>Payé</v>
      </c>
    </row>
    <row r="2249" spans="1:12" ht="15" customHeight="1" x14ac:dyDescent="0.25">
      <c r="A2249" s="90" t="s">
        <v>858</v>
      </c>
      <c r="B2249" s="90">
        <v>10032</v>
      </c>
      <c r="C2249" s="88" t="s">
        <v>1178</v>
      </c>
      <c r="D2249" s="90" t="s">
        <v>17</v>
      </c>
      <c r="E2249" s="90" t="s">
        <v>753</v>
      </c>
      <c r="F2249" s="90" t="s">
        <v>858</v>
      </c>
      <c r="G2249" s="137">
        <v>8</v>
      </c>
      <c r="H2249" s="94">
        <v>717</v>
      </c>
      <c r="I2249" s="91">
        <v>46001</v>
      </c>
      <c r="J2249" s="165">
        <v>0.62847222222222221</v>
      </c>
      <c r="K2249" s="94">
        <v>717</v>
      </c>
      <c r="L2249" s="72" t="str">
        <f t="shared" si="35"/>
        <v>Payé</v>
      </c>
    </row>
    <row r="2250" spans="1:12" ht="15" customHeight="1" x14ac:dyDescent="0.25">
      <c r="A2250" s="90" t="s">
        <v>858</v>
      </c>
      <c r="B2250" s="90">
        <v>3351</v>
      </c>
      <c r="C2250" s="88" t="s">
        <v>617</v>
      </c>
      <c r="D2250" s="90" t="s">
        <v>17</v>
      </c>
      <c r="E2250" s="90" t="s">
        <v>107</v>
      </c>
      <c r="F2250" s="90" t="s">
        <v>858</v>
      </c>
      <c r="G2250" s="137">
        <v>1</v>
      </c>
      <c r="H2250" s="94">
        <v>87</v>
      </c>
      <c r="I2250" s="91">
        <v>46045</v>
      </c>
      <c r="J2250" s="165">
        <v>0.4993055555555555</v>
      </c>
      <c r="K2250" s="94">
        <v>87</v>
      </c>
      <c r="L2250" s="72" t="str">
        <f t="shared" si="35"/>
        <v>Payé</v>
      </c>
    </row>
    <row r="2251" spans="1:12" ht="15" customHeight="1" x14ac:dyDescent="0.25">
      <c r="A2251" s="90" t="s">
        <v>858</v>
      </c>
      <c r="B2251" s="90">
        <v>10041</v>
      </c>
      <c r="C2251" s="88" t="s">
        <v>1213</v>
      </c>
      <c r="D2251" s="90" t="s">
        <v>17</v>
      </c>
      <c r="E2251" s="90" t="s">
        <v>753</v>
      </c>
      <c r="F2251" s="90" t="s">
        <v>858</v>
      </c>
      <c r="G2251" s="137">
        <v>2</v>
      </c>
      <c r="H2251" s="94">
        <v>179</v>
      </c>
      <c r="I2251" s="91">
        <v>46000</v>
      </c>
      <c r="J2251" s="165">
        <v>0.68541666666666667</v>
      </c>
      <c r="K2251" s="94">
        <v>179</v>
      </c>
      <c r="L2251" s="72" t="str">
        <f t="shared" si="35"/>
        <v>Payé</v>
      </c>
    </row>
    <row r="2252" spans="1:12" ht="15" customHeight="1" x14ac:dyDescent="0.25">
      <c r="A2252" s="90" t="s">
        <v>858</v>
      </c>
      <c r="B2252" s="90">
        <v>3397</v>
      </c>
      <c r="C2252" s="88" t="s">
        <v>976</v>
      </c>
      <c r="D2252" s="90" t="s">
        <v>17</v>
      </c>
      <c r="E2252" s="90" t="s">
        <v>107</v>
      </c>
      <c r="F2252" s="90" t="s">
        <v>858</v>
      </c>
      <c r="G2252" s="137">
        <v>1</v>
      </c>
      <c r="H2252" s="94">
        <v>87</v>
      </c>
      <c r="I2252" s="91">
        <v>46015</v>
      </c>
      <c r="J2252" s="165">
        <v>0.45069444444444445</v>
      </c>
      <c r="K2252" s="94">
        <v>87</v>
      </c>
      <c r="L2252" s="72" t="str">
        <f t="shared" si="35"/>
        <v>Payé</v>
      </c>
    </row>
    <row r="2253" spans="1:12" ht="15" customHeight="1" x14ac:dyDescent="0.25">
      <c r="A2253" s="90" t="s">
        <v>858</v>
      </c>
      <c r="B2253" s="90">
        <v>1723</v>
      </c>
      <c r="C2253" s="88" t="s">
        <v>395</v>
      </c>
      <c r="D2253" s="90" t="s">
        <v>17</v>
      </c>
      <c r="E2253" s="90" t="s">
        <v>123</v>
      </c>
      <c r="F2253" s="90" t="s">
        <v>858</v>
      </c>
      <c r="G2253" s="137">
        <v>1</v>
      </c>
      <c r="H2253" s="94">
        <v>91</v>
      </c>
      <c r="I2253" s="91">
        <v>46003</v>
      </c>
      <c r="J2253" s="165">
        <v>0.66527777777777775</v>
      </c>
      <c r="K2253" s="94">
        <v>91</v>
      </c>
      <c r="L2253" s="72" t="str">
        <f t="shared" si="35"/>
        <v>Payé</v>
      </c>
    </row>
    <row r="2254" spans="1:12" ht="15" customHeight="1" x14ac:dyDescent="0.25">
      <c r="A2254" s="90" t="s">
        <v>858</v>
      </c>
      <c r="B2254" s="90">
        <v>10133</v>
      </c>
      <c r="C2254" s="88" t="s">
        <v>1325</v>
      </c>
      <c r="D2254" s="90" t="s">
        <v>17</v>
      </c>
      <c r="E2254" s="90" t="s">
        <v>753</v>
      </c>
      <c r="F2254" s="90" t="s">
        <v>858</v>
      </c>
      <c r="G2254" s="137">
        <v>7</v>
      </c>
      <c r="H2254" s="94">
        <v>627</v>
      </c>
      <c r="I2254" s="91">
        <v>46000</v>
      </c>
      <c r="J2254" s="165">
        <v>0.68541666666666667</v>
      </c>
      <c r="K2254" s="94">
        <v>627</v>
      </c>
      <c r="L2254" s="72" t="str">
        <f t="shared" si="35"/>
        <v>Payé</v>
      </c>
    </row>
    <row r="2255" spans="1:12" ht="15" customHeight="1" x14ac:dyDescent="0.25">
      <c r="A2255" s="90" t="s">
        <v>858</v>
      </c>
      <c r="B2255" s="90">
        <v>10138</v>
      </c>
      <c r="C2255" s="88" t="s">
        <v>1328</v>
      </c>
      <c r="D2255" s="90" t="s">
        <v>17</v>
      </c>
      <c r="E2255" s="90" t="s">
        <v>753</v>
      </c>
      <c r="F2255" s="90" t="s">
        <v>858</v>
      </c>
      <c r="G2255" s="137">
        <v>4</v>
      </c>
      <c r="H2255" s="94">
        <v>358</v>
      </c>
      <c r="I2255" s="91">
        <v>46000</v>
      </c>
      <c r="J2255" s="165">
        <v>0.68541666666666667</v>
      </c>
      <c r="K2255" s="94">
        <v>358</v>
      </c>
      <c r="L2255" s="72" t="str">
        <f t="shared" si="35"/>
        <v>Payé</v>
      </c>
    </row>
    <row r="2256" spans="1:12" ht="15" customHeight="1" x14ac:dyDescent="0.25">
      <c r="A2256" s="90" t="s">
        <v>858</v>
      </c>
      <c r="B2256" s="90">
        <v>10160</v>
      </c>
      <c r="C2256" s="88" t="s">
        <v>1340</v>
      </c>
      <c r="D2256" s="90" t="s">
        <v>17</v>
      </c>
      <c r="E2256" s="90" t="s">
        <v>753</v>
      </c>
      <c r="F2256" s="90" t="s">
        <v>858</v>
      </c>
      <c r="G2256" s="137">
        <v>5</v>
      </c>
      <c r="H2256" s="94">
        <v>448</v>
      </c>
      <c r="I2256" s="91">
        <v>46001</v>
      </c>
      <c r="J2256" s="165">
        <v>0.66319444444444442</v>
      </c>
      <c r="K2256" s="94">
        <v>448</v>
      </c>
      <c r="L2256" s="72" t="str">
        <f t="shared" si="35"/>
        <v>Payé</v>
      </c>
    </row>
    <row r="2257" spans="1:12" ht="15" customHeight="1" x14ac:dyDescent="0.25">
      <c r="A2257" s="90" t="s">
        <v>858</v>
      </c>
      <c r="B2257" s="90">
        <v>10214</v>
      </c>
      <c r="C2257" s="88" t="s">
        <v>1403</v>
      </c>
      <c r="D2257" s="90" t="s">
        <v>17</v>
      </c>
      <c r="E2257" s="90" t="s">
        <v>753</v>
      </c>
      <c r="F2257" s="90" t="s">
        <v>858</v>
      </c>
      <c r="G2257" s="137">
        <v>1</v>
      </c>
      <c r="H2257" s="94">
        <v>90</v>
      </c>
      <c r="I2257" s="91">
        <v>46000</v>
      </c>
      <c r="J2257" s="165">
        <v>0.68541666666666667</v>
      </c>
      <c r="K2257" s="94">
        <v>90</v>
      </c>
      <c r="L2257" s="72" t="str">
        <f t="shared" si="35"/>
        <v>Payé</v>
      </c>
    </row>
    <row r="2258" spans="1:12" ht="15" customHeight="1" x14ac:dyDescent="0.25">
      <c r="A2258" s="90" t="s">
        <v>858</v>
      </c>
      <c r="B2258" s="90"/>
      <c r="C2258" s="88" t="s">
        <v>630</v>
      </c>
      <c r="D2258" s="89" t="s">
        <v>910</v>
      </c>
      <c r="E2258" s="90" t="s">
        <v>1047</v>
      </c>
      <c r="F2258" s="90" t="s">
        <v>858</v>
      </c>
      <c r="G2258" s="95">
        <v>241</v>
      </c>
      <c r="H2258" s="92">
        <v>7230</v>
      </c>
      <c r="I2258" s="91">
        <v>45999</v>
      </c>
      <c r="J2258" s="165">
        <v>0.56180555555555556</v>
      </c>
      <c r="K2258" s="92">
        <v>7230</v>
      </c>
      <c r="L2258" s="72" t="str">
        <f t="shared" si="35"/>
        <v>Payé</v>
      </c>
    </row>
    <row r="2259" spans="1:12" ht="15" customHeight="1" x14ac:dyDescent="0.25">
      <c r="A2259" s="90" t="s">
        <v>858</v>
      </c>
      <c r="B2259" s="90">
        <v>10142</v>
      </c>
      <c r="C2259" s="88" t="s">
        <v>1364</v>
      </c>
      <c r="D2259" s="90" t="s">
        <v>17</v>
      </c>
      <c r="E2259" s="90" t="s">
        <v>1416</v>
      </c>
      <c r="F2259" s="90" t="s">
        <v>858</v>
      </c>
      <c r="G2259" s="137">
        <v>9</v>
      </c>
      <c r="H2259" s="94">
        <v>806</v>
      </c>
      <c r="I2259" s="91">
        <v>46000</v>
      </c>
      <c r="J2259" s="165">
        <v>0.52013888888888882</v>
      </c>
      <c r="K2259" s="94">
        <v>806</v>
      </c>
      <c r="L2259" s="72" t="str">
        <f t="shared" si="35"/>
        <v>Payé</v>
      </c>
    </row>
    <row r="2260" spans="1:12" ht="15" customHeight="1" x14ac:dyDescent="0.25">
      <c r="A2260" s="90" t="s">
        <v>858</v>
      </c>
      <c r="B2260" s="90">
        <v>10143</v>
      </c>
      <c r="C2260" s="88" t="s">
        <v>1365</v>
      </c>
      <c r="D2260" s="90" t="s">
        <v>17</v>
      </c>
      <c r="E2260" s="90" t="s">
        <v>1416</v>
      </c>
      <c r="F2260" s="90" t="s">
        <v>858</v>
      </c>
      <c r="G2260" s="137">
        <v>11</v>
      </c>
      <c r="H2260" s="94">
        <v>985</v>
      </c>
      <c r="I2260" s="91">
        <v>46000</v>
      </c>
      <c r="J2260" s="165">
        <v>0.52013888888888882</v>
      </c>
      <c r="K2260" s="94">
        <v>985</v>
      </c>
      <c r="L2260" s="72" t="str">
        <f t="shared" si="35"/>
        <v>Payé</v>
      </c>
    </row>
    <row r="2261" spans="1:12" ht="15" customHeight="1" x14ac:dyDescent="0.25">
      <c r="A2261" s="90" t="s">
        <v>858</v>
      </c>
      <c r="B2261" s="90">
        <v>10144</v>
      </c>
      <c r="C2261" s="88" t="s">
        <v>1366</v>
      </c>
      <c r="D2261" s="90" t="s">
        <v>17</v>
      </c>
      <c r="E2261" s="90" t="s">
        <v>1416</v>
      </c>
      <c r="F2261" s="90" t="s">
        <v>858</v>
      </c>
      <c r="G2261" s="137">
        <v>14</v>
      </c>
      <c r="H2261" s="94">
        <v>1254</v>
      </c>
      <c r="I2261" s="91">
        <v>46000</v>
      </c>
      <c r="J2261" s="165">
        <v>0.52013888888888882</v>
      </c>
      <c r="K2261" s="94">
        <v>1254</v>
      </c>
      <c r="L2261" s="72" t="str">
        <f t="shared" si="35"/>
        <v>Payé</v>
      </c>
    </row>
    <row r="2262" spans="1:12" ht="15" customHeight="1" x14ac:dyDescent="0.25">
      <c r="A2262" s="90" t="s">
        <v>858</v>
      </c>
      <c r="B2262" s="90">
        <v>10145</v>
      </c>
      <c r="C2262" s="88" t="s">
        <v>1367</v>
      </c>
      <c r="D2262" s="90" t="s">
        <v>17</v>
      </c>
      <c r="E2262" s="90" t="s">
        <v>1416</v>
      </c>
      <c r="F2262" s="90" t="s">
        <v>858</v>
      </c>
      <c r="G2262" s="137">
        <v>11</v>
      </c>
      <c r="H2262" s="94">
        <v>985</v>
      </c>
      <c r="I2262" s="91">
        <v>46000</v>
      </c>
      <c r="J2262" s="165">
        <v>0.52013888888888882</v>
      </c>
      <c r="K2262" s="94">
        <v>985</v>
      </c>
      <c r="L2262" s="72" t="str">
        <f t="shared" si="35"/>
        <v>Payé</v>
      </c>
    </row>
    <row r="2263" spans="1:12" ht="15" customHeight="1" x14ac:dyDescent="0.25">
      <c r="A2263" s="90" t="s">
        <v>858</v>
      </c>
      <c r="B2263" s="90">
        <v>10146</v>
      </c>
      <c r="C2263" s="88" t="s">
        <v>1368</v>
      </c>
      <c r="D2263" s="90" t="s">
        <v>17</v>
      </c>
      <c r="E2263" s="90" t="s">
        <v>1416</v>
      </c>
      <c r="F2263" s="90" t="s">
        <v>858</v>
      </c>
      <c r="G2263" s="137">
        <v>6</v>
      </c>
      <c r="H2263" s="94">
        <v>537</v>
      </c>
      <c r="I2263" s="91">
        <v>46000</v>
      </c>
      <c r="J2263" s="165">
        <v>0.52013888888888882</v>
      </c>
      <c r="K2263" s="94">
        <v>537</v>
      </c>
      <c r="L2263" s="72" t="str">
        <f t="shared" si="35"/>
        <v>Payé</v>
      </c>
    </row>
    <row r="2264" spans="1:12" ht="15" customHeight="1" x14ac:dyDescent="0.25">
      <c r="A2264" s="90" t="s">
        <v>858</v>
      </c>
      <c r="B2264" s="90">
        <v>10147</v>
      </c>
      <c r="C2264" s="88" t="s">
        <v>1369</v>
      </c>
      <c r="D2264" s="90" t="s">
        <v>17</v>
      </c>
      <c r="E2264" s="90" t="s">
        <v>1416</v>
      </c>
      <c r="F2264" s="90" t="s">
        <v>858</v>
      </c>
      <c r="G2264" s="137">
        <v>10</v>
      </c>
      <c r="H2264" s="94">
        <v>896</v>
      </c>
      <c r="I2264" s="91">
        <v>46000</v>
      </c>
      <c r="J2264" s="165">
        <v>0.52013888888888882</v>
      </c>
      <c r="K2264" s="94">
        <v>896</v>
      </c>
      <c r="L2264" s="72" t="str">
        <f t="shared" si="35"/>
        <v>Payé</v>
      </c>
    </row>
    <row r="2265" spans="1:12" ht="15" customHeight="1" x14ac:dyDescent="0.25">
      <c r="A2265" s="90" t="s">
        <v>858</v>
      </c>
      <c r="B2265" s="90">
        <v>10148</v>
      </c>
      <c r="C2265" s="88" t="s">
        <v>1370</v>
      </c>
      <c r="D2265" s="90" t="s">
        <v>17</v>
      </c>
      <c r="E2265" s="90" t="s">
        <v>1416</v>
      </c>
      <c r="F2265" s="90" t="s">
        <v>858</v>
      </c>
      <c r="G2265" s="137">
        <v>1</v>
      </c>
      <c r="H2265" s="94">
        <v>90</v>
      </c>
      <c r="I2265" s="91">
        <v>46000</v>
      </c>
      <c r="J2265" s="165">
        <v>0.52013888888888882</v>
      </c>
      <c r="K2265" s="94">
        <v>90</v>
      </c>
      <c r="L2265" s="72" t="str">
        <f t="shared" si="35"/>
        <v>Payé</v>
      </c>
    </row>
    <row r="2266" spans="1:12" ht="15" customHeight="1" x14ac:dyDescent="0.25">
      <c r="A2266" s="90" t="s">
        <v>858</v>
      </c>
      <c r="B2266" s="90">
        <v>10180</v>
      </c>
      <c r="C2266" s="88" t="s">
        <v>1377</v>
      </c>
      <c r="D2266" s="90" t="s">
        <v>17</v>
      </c>
      <c r="E2266" s="90" t="s">
        <v>1416</v>
      </c>
      <c r="F2266" s="90" t="s">
        <v>858</v>
      </c>
      <c r="G2266" s="137">
        <v>12</v>
      </c>
      <c r="H2266" s="94">
        <v>1075</v>
      </c>
      <c r="I2266" s="91">
        <v>46000</v>
      </c>
      <c r="J2266" s="165">
        <v>0.52013888888888882</v>
      </c>
      <c r="K2266" s="94">
        <v>1075</v>
      </c>
      <c r="L2266" s="72" t="str">
        <f t="shared" si="35"/>
        <v>Payé</v>
      </c>
    </row>
    <row r="2267" spans="1:12" ht="15" customHeight="1" x14ac:dyDescent="0.25">
      <c r="A2267" s="90" t="s">
        <v>858</v>
      </c>
      <c r="B2267" s="90">
        <v>10181</v>
      </c>
      <c r="C2267" s="88" t="s">
        <v>1378</v>
      </c>
      <c r="D2267" s="90" t="s">
        <v>17</v>
      </c>
      <c r="E2267" s="90" t="s">
        <v>1416</v>
      </c>
      <c r="F2267" s="90" t="s">
        <v>858</v>
      </c>
      <c r="G2267" s="137">
        <v>14</v>
      </c>
      <c r="H2267" s="94">
        <v>1254</v>
      </c>
      <c r="I2267" s="91">
        <v>46000</v>
      </c>
      <c r="J2267" s="165">
        <v>0.52013888888888882</v>
      </c>
      <c r="K2267" s="94">
        <v>1254</v>
      </c>
      <c r="L2267" s="72" t="str">
        <f t="shared" si="35"/>
        <v>Payé</v>
      </c>
    </row>
    <row r="2268" spans="1:12" ht="15" customHeight="1" x14ac:dyDescent="0.25">
      <c r="A2268" s="90" t="s">
        <v>858</v>
      </c>
      <c r="B2268" s="90">
        <v>10182</v>
      </c>
      <c r="C2268" s="88" t="s">
        <v>1379</v>
      </c>
      <c r="D2268" s="90" t="s">
        <v>17</v>
      </c>
      <c r="E2268" s="90" t="s">
        <v>1416</v>
      </c>
      <c r="F2268" s="90" t="s">
        <v>858</v>
      </c>
      <c r="G2268" s="137">
        <v>14</v>
      </c>
      <c r="H2268" s="94">
        <v>1254</v>
      </c>
      <c r="I2268" s="91">
        <v>46000</v>
      </c>
      <c r="J2268" s="165">
        <v>0.52013888888888882</v>
      </c>
      <c r="K2268" s="94">
        <v>1254</v>
      </c>
      <c r="L2268" s="72" t="str">
        <f t="shared" si="35"/>
        <v>Payé</v>
      </c>
    </row>
    <row r="2269" spans="1:12" ht="15" customHeight="1" x14ac:dyDescent="0.25">
      <c r="A2269" s="90" t="s">
        <v>858</v>
      </c>
      <c r="B2269" s="90">
        <v>10183</v>
      </c>
      <c r="C2269" s="88" t="s">
        <v>1380</v>
      </c>
      <c r="D2269" s="90" t="s">
        <v>17</v>
      </c>
      <c r="E2269" s="90" t="s">
        <v>1416</v>
      </c>
      <c r="F2269" s="90" t="s">
        <v>858</v>
      </c>
      <c r="G2269" s="137">
        <v>13</v>
      </c>
      <c r="H2269" s="94">
        <v>1164</v>
      </c>
      <c r="I2269" s="91">
        <v>46000</v>
      </c>
      <c r="J2269" s="165">
        <v>0.52013888888888882</v>
      </c>
      <c r="K2269" s="94">
        <v>1164</v>
      </c>
      <c r="L2269" s="72" t="str">
        <f t="shared" si="35"/>
        <v>Payé</v>
      </c>
    </row>
    <row r="2270" spans="1:12" ht="15" customHeight="1" x14ac:dyDescent="0.25">
      <c r="A2270" s="90" t="s">
        <v>858</v>
      </c>
      <c r="B2270" s="90">
        <v>10184</v>
      </c>
      <c r="C2270" s="88" t="s">
        <v>1381</v>
      </c>
      <c r="D2270" s="90" t="s">
        <v>17</v>
      </c>
      <c r="E2270" s="90" t="s">
        <v>1416</v>
      </c>
      <c r="F2270" s="90" t="s">
        <v>858</v>
      </c>
      <c r="G2270" s="137">
        <v>3</v>
      </c>
      <c r="H2270" s="94">
        <v>269</v>
      </c>
      <c r="I2270" s="91">
        <v>46000</v>
      </c>
      <c r="J2270" s="165">
        <v>0.52013888888888882</v>
      </c>
      <c r="K2270" s="94">
        <v>269</v>
      </c>
      <c r="L2270" s="72" t="str">
        <f t="shared" ref="L2270:L2333" si="36">IF(ISBLANK(H2270),"",IF(H2270=K2270,"Payé","Impayé"))</f>
        <v>Payé</v>
      </c>
    </row>
    <row r="2271" spans="1:12" ht="15" customHeight="1" x14ac:dyDescent="0.25">
      <c r="A2271" s="90" t="s">
        <v>858</v>
      </c>
      <c r="B2271" s="90">
        <v>10185</v>
      </c>
      <c r="C2271" s="88" t="s">
        <v>1382</v>
      </c>
      <c r="D2271" s="90" t="s">
        <v>17</v>
      </c>
      <c r="E2271" s="90" t="s">
        <v>1416</v>
      </c>
      <c r="F2271" s="90" t="s">
        <v>858</v>
      </c>
      <c r="G2271" s="137">
        <v>14</v>
      </c>
      <c r="H2271" s="94">
        <v>1254</v>
      </c>
      <c r="I2271" s="91">
        <v>46000</v>
      </c>
      <c r="J2271" s="165">
        <v>0.52013888888888882</v>
      </c>
      <c r="K2271" s="94">
        <v>1254</v>
      </c>
      <c r="L2271" s="72" t="str">
        <f t="shared" si="36"/>
        <v>Payé</v>
      </c>
    </row>
    <row r="2272" spans="1:12" ht="15" customHeight="1" x14ac:dyDescent="0.25">
      <c r="A2272" s="90" t="s">
        <v>858</v>
      </c>
      <c r="B2272" s="90">
        <v>10186</v>
      </c>
      <c r="C2272" s="88" t="s">
        <v>1383</v>
      </c>
      <c r="D2272" s="90" t="s">
        <v>17</v>
      </c>
      <c r="E2272" s="90" t="s">
        <v>1416</v>
      </c>
      <c r="F2272" s="90" t="s">
        <v>858</v>
      </c>
      <c r="G2272" s="137">
        <v>11</v>
      </c>
      <c r="H2272" s="94">
        <v>985</v>
      </c>
      <c r="I2272" s="91">
        <v>46000</v>
      </c>
      <c r="J2272" s="165">
        <v>0.52013888888888882</v>
      </c>
      <c r="K2272" s="94">
        <v>985</v>
      </c>
      <c r="L2272" s="72" t="str">
        <f t="shared" si="36"/>
        <v>Payé</v>
      </c>
    </row>
    <row r="2273" spans="1:12" ht="15" customHeight="1" x14ac:dyDescent="0.25">
      <c r="A2273" s="90" t="s">
        <v>858</v>
      </c>
      <c r="B2273" s="90">
        <v>10187</v>
      </c>
      <c r="C2273" s="88" t="s">
        <v>1384</v>
      </c>
      <c r="D2273" s="90" t="s">
        <v>17</v>
      </c>
      <c r="E2273" s="90" t="s">
        <v>1416</v>
      </c>
      <c r="F2273" s="90" t="s">
        <v>858</v>
      </c>
      <c r="G2273" s="137">
        <v>12</v>
      </c>
      <c r="H2273" s="94">
        <v>1075</v>
      </c>
      <c r="I2273" s="91">
        <v>46000</v>
      </c>
      <c r="J2273" s="165">
        <v>0.52013888888888882</v>
      </c>
      <c r="K2273" s="94">
        <v>1075</v>
      </c>
      <c r="L2273" s="72" t="str">
        <f t="shared" si="36"/>
        <v>Payé</v>
      </c>
    </row>
    <row r="2274" spans="1:12" ht="15" customHeight="1" x14ac:dyDescent="0.25">
      <c r="A2274" s="90" t="s">
        <v>858</v>
      </c>
      <c r="B2274" s="90">
        <v>10188</v>
      </c>
      <c r="C2274" s="88" t="s">
        <v>1385</v>
      </c>
      <c r="D2274" s="90" t="s">
        <v>17</v>
      </c>
      <c r="E2274" s="90" t="s">
        <v>1416</v>
      </c>
      <c r="F2274" s="90" t="s">
        <v>858</v>
      </c>
      <c r="G2274" s="137">
        <v>1</v>
      </c>
      <c r="H2274" s="94">
        <v>90</v>
      </c>
      <c r="I2274" s="91">
        <v>46000</v>
      </c>
      <c r="J2274" s="165">
        <v>0.52013888888888882</v>
      </c>
      <c r="K2274" s="94">
        <v>90</v>
      </c>
      <c r="L2274" s="72" t="str">
        <f t="shared" si="36"/>
        <v>Payé</v>
      </c>
    </row>
    <row r="2275" spans="1:12" ht="15" customHeight="1" x14ac:dyDescent="0.25">
      <c r="A2275" s="90" t="s">
        <v>858</v>
      </c>
      <c r="B2275" s="90">
        <v>10189</v>
      </c>
      <c r="C2275" s="88" t="s">
        <v>1386</v>
      </c>
      <c r="D2275" s="90" t="s">
        <v>17</v>
      </c>
      <c r="E2275" s="90" t="s">
        <v>1416</v>
      </c>
      <c r="F2275" s="90" t="s">
        <v>858</v>
      </c>
      <c r="G2275" s="137">
        <v>12</v>
      </c>
      <c r="H2275" s="94">
        <v>1075</v>
      </c>
      <c r="I2275" s="91">
        <v>46000</v>
      </c>
      <c r="J2275" s="165">
        <v>0.52013888888888882</v>
      </c>
      <c r="K2275" s="94">
        <v>1075</v>
      </c>
      <c r="L2275" s="72" t="str">
        <f t="shared" si="36"/>
        <v>Payé</v>
      </c>
    </row>
    <row r="2276" spans="1:12" ht="15" customHeight="1" x14ac:dyDescent="0.25">
      <c r="A2276" s="90" t="s">
        <v>858</v>
      </c>
      <c r="B2276" s="90">
        <v>10190</v>
      </c>
      <c r="C2276" s="88" t="s">
        <v>1387</v>
      </c>
      <c r="D2276" s="90" t="s">
        <v>17</v>
      </c>
      <c r="E2276" s="90" t="s">
        <v>1416</v>
      </c>
      <c r="F2276" s="90" t="s">
        <v>858</v>
      </c>
      <c r="G2276" s="137">
        <v>13</v>
      </c>
      <c r="H2276" s="94">
        <v>1164</v>
      </c>
      <c r="I2276" s="91">
        <v>46000</v>
      </c>
      <c r="J2276" s="165">
        <v>0.52013888888888882</v>
      </c>
      <c r="K2276" s="94">
        <v>1164</v>
      </c>
      <c r="L2276" s="72" t="str">
        <f t="shared" si="36"/>
        <v>Payé</v>
      </c>
    </row>
    <row r="2277" spans="1:12" ht="15" customHeight="1" x14ac:dyDescent="0.25">
      <c r="A2277" s="90" t="s">
        <v>858</v>
      </c>
      <c r="B2277" s="90">
        <v>10191</v>
      </c>
      <c r="C2277" s="88" t="s">
        <v>1388</v>
      </c>
      <c r="D2277" s="90" t="s">
        <v>17</v>
      </c>
      <c r="E2277" s="90" t="s">
        <v>1416</v>
      </c>
      <c r="F2277" s="90" t="s">
        <v>858</v>
      </c>
      <c r="G2277" s="137">
        <v>14</v>
      </c>
      <c r="H2277" s="94">
        <v>1254</v>
      </c>
      <c r="I2277" s="91">
        <v>46000</v>
      </c>
      <c r="J2277" s="165">
        <v>0.52013888888888882</v>
      </c>
      <c r="K2277" s="94">
        <v>1254</v>
      </c>
      <c r="L2277" s="72" t="str">
        <f t="shared" si="36"/>
        <v>Payé</v>
      </c>
    </row>
    <row r="2278" spans="1:12" ht="15" customHeight="1" x14ac:dyDescent="0.25">
      <c r="A2278" s="90" t="s">
        <v>858</v>
      </c>
      <c r="B2278" s="90">
        <v>10198</v>
      </c>
      <c r="C2278" s="88" t="s">
        <v>231</v>
      </c>
      <c r="D2278" s="90" t="s">
        <v>17</v>
      </c>
      <c r="E2278" s="90" t="s">
        <v>1416</v>
      </c>
      <c r="F2278" s="90" t="s">
        <v>858</v>
      </c>
      <c r="G2278" s="137">
        <v>10</v>
      </c>
      <c r="H2278" s="94">
        <v>896</v>
      </c>
      <c r="I2278" s="91">
        <v>46000</v>
      </c>
      <c r="J2278" s="165">
        <v>0.52013888888888882</v>
      </c>
      <c r="K2278" s="94">
        <v>896</v>
      </c>
      <c r="L2278" s="72" t="str">
        <f t="shared" si="36"/>
        <v>Payé</v>
      </c>
    </row>
    <row r="2279" spans="1:12" ht="15" customHeight="1" x14ac:dyDescent="0.25">
      <c r="A2279" s="90" t="s">
        <v>858</v>
      </c>
      <c r="B2279" s="90">
        <v>10200</v>
      </c>
      <c r="C2279" s="88" t="s">
        <v>1393</v>
      </c>
      <c r="D2279" s="90" t="s">
        <v>17</v>
      </c>
      <c r="E2279" s="90" t="s">
        <v>1416</v>
      </c>
      <c r="F2279" s="90" t="s">
        <v>858</v>
      </c>
      <c r="G2279" s="137">
        <v>1</v>
      </c>
      <c r="H2279" s="94">
        <v>90</v>
      </c>
      <c r="I2279" s="91">
        <v>46000</v>
      </c>
      <c r="J2279" s="165">
        <v>0.52013888888888882</v>
      </c>
      <c r="K2279" s="94">
        <v>90</v>
      </c>
      <c r="L2279" s="72" t="str">
        <f t="shared" si="36"/>
        <v>Payé</v>
      </c>
    </row>
    <row r="2280" spans="1:12" ht="15" customHeight="1" x14ac:dyDescent="0.25">
      <c r="A2280" s="90" t="s">
        <v>858</v>
      </c>
      <c r="B2280" s="90">
        <v>10212</v>
      </c>
      <c r="C2280" s="88" t="s">
        <v>1401</v>
      </c>
      <c r="D2280" s="90" t="s">
        <v>17</v>
      </c>
      <c r="E2280" s="90" t="s">
        <v>1416</v>
      </c>
      <c r="F2280" s="90" t="s">
        <v>858</v>
      </c>
      <c r="G2280" s="137">
        <v>5</v>
      </c>
      <c r="H2280" s="94">
        <v>448</v>
      </c>
      <c r="I2280" s="91">
        <v>46000</v>
      </c>
      <c r="J2280" s="165">
        <v>0.52013888888888882</v>
      </c>
      <c r="K2280" s="94">
        <v>448</v>
      </c>
      <c r="L2280" s="72" t="str">
        <f t="shared" si="36"/>
        <v>Payé</v>
      </c>
    </row>
    <row r="2281" spans="1:12" ht="15" customHeight="1" x14ac:dyDescent="0.25">
      <c r="A2281" s="90" t="s">
        <v>858</v>
      </c>
      <c r="B2281" s="90">
        <v>10213</v>
      </c>
      <c r="C2281" s="88" t="s">
        <v>1402</v>
      </c>
      <c r="D2281" s="90" t="s">
        <v>17</v>
      </c>
      <c r="E2281" s="90" t="s">
        <v>1416</v>
      </c>
      <c r="F2281" s="90" t="s">
        <v>858</v>
      </c>
      <c r="G2281" s="137">
        <v>5</v>
      </c>
      <c r="H2281" s="94">
        <v>448</v>
      </c>
      <c r="I2281" s="91">
        <v>46000</v>
      </c>
      <c r="J2281" s="165">
        <v>0.52013888888888882</v>
      </c>
      <c r="K2281" s="94">
        <v>448</v>
      </c>
      <c r="L2281" s="72" t="str">
        <f t="shared" si="36"/>
        <v>Payé</v>
      </c>
    </row>
    <row r="2282" spans="1:12" ht="15" customHeight="1" x14ac:dyDescent="0.25">
      <c r="A2282" s="90" t="s">
        <v>858</v>
      </c>
      <c r="B2282" s="90">
        <v>10230</v>
      </c>
      <c r="C2282" s="88" t="s">
        <v>1405</v>
      </c>
      <c r="D2282" s="90" t="s">
        <v>17</v>
      </c>
      <c r="E2282" s="90" t="s">
        <v>1416</v>
      </c>
      <c r="F2282" s="90" t="s">
        <v>858</v>
      </c>
      <c r="G2282" s="137">
        <v>2</v>
      </c>
      <c r="H2282" s="94">
        <v>179</v>
      </c>
      <c r="I2282" s="91">
        <v>46000</v>
      </c>
      <c r="J2282" s="165">
        <v>0.52013888888888882</v>
      </c>
      <c r="K2282" s="94">
        <v>179</v>
      </c>
      <c r="L2282" s="72" t="str">
        <f t="shared" si="36"/>
        <v>Payé</v>
      </c>
    </row>
    <row r="2283" spans="1:12" ht="15" customHeight="1" x14ac:dyDescent="0.25">
      <c r="A2283" s="90" t="s">
        <v>858</v>
      </c>
      <c r="B2283" s="90"/>
      <c r="C2283" s="88" t="s">
        <v>1417</v>
      </c>
      <c r="D2283" s="89" t="s">
        <v>910</v>
      </c>
      <c r="E2283" s="90" t="s">
        <v>1416</v>
      </c>
      <c r="F2283" s="90" t="s">
        <v>858</v>
      </c>
      <c r="G2283" s="95">
        <v>204</v>
      </c>
      <c r="H2283" s="92">
        <v>6120</v>
      </c>
      <c r="I2283" s="91">
        <v>46000</v>
      </c>
      <c r="J2283" s="165">
        <v>0.52083333333333337</v>
      </c>
      <c r="K2283" s="92">
        <v>6120</v>
      </c>
      <c r="L2283" s="72" t="str">
        <f t="shared" si="36"/>
        <v>Payé</v>
      </c>
    </row>
    <row r="2284" spans="1:12" ht="15" customHeight="1" x14ac:dyDescent="0.25">
      <c r="A2284" s="90" t="s">
        <v>858</v>
      </c>
      <c r="B2284" s="90">
        <v>649</v>
      </c>
      <c r="C2284" s="88" t="s">
        <v>715</v>
      </c>
      <c r="D2284" s="90" t="s">
        <v>17</v>
      </c>
      <c r="E2284" s="90" t="s">
        <v>1187</v>
      </c>
      <c r="F2284" s="90" t="s">
        <v>858</v>
      </c>
      <c r="G2284" s="137">
        <v>1</v>
      </c>
      <c r="H2284" s="94">
        <v>91</v>
      </c>
      <c r="I2284" s="91">
        <v>46000</v>
      </c>
      <c r="J2284" s="165">
        <v>0.4770833333333333</v>
      </c>
      <c r="K2284" s="94">
        <v>91</v>
      </c>
      <c r="L2284" s="72" t="str">
        <f t="shared" si="36"/>
        <v>Payé</v>
      </c>
    </row>
    <row r="2285" spans="1:12" ht="15" customHeight="1" x14ac:dyDescent="0.25">
      <c r="A2285" s="90" t="s">
        <v>858</v>
      </c>
      <c r="B2285" s="90">
        <v>1377</v>
      </c>
      <c r="C2285" s="88" t="s">
        <v>683</v>
      </c>
      <c r="D2285" s="90" t="s">
        <v>17</v>
      </c>
      <c r="E2285" s="90" t="s">
        <v>1187</v>
      </c>
      <c r="F2285" s="90" t="s">
        <v>858</v>
      </c>
      <c r="G2285" s="137">
        <v>2</v>
      </c>
      <c r="H2285" s="94">
        <v>173</v>
      </c>
      <c r="I2285" s="91">
        <v>46000</v>
      </c>
      <c r="J2285" s="165">
        <v>0.4770833333333333</v>
      </c>
      <c r="K2285" s="94">
        <v>173</v>
      </c>
      <c r="L2285" s="72" t="str">
        <f t="shared" si="36"/>
        <v>Payé</v>
      </c>
    </row>
    <row r="2286" spans="1:12" ht="15" customHeight="1" x14ac:dyDescent="0.25">
      <c r="A2286" s="90" t="s">
        <v>858</v>
      </c>
      <c r="B2286" s="90">
        <v>1380</v>
      </c>
      <c r="C2286" s="88" t="s">
        <v>632</v>
      </c>
      <c r="D2286" s="90" t="s">
        <v>17</v>
      </c>
      <c r="E2286" s="90" t="s">
        <v>1187</v>
      </c>
      <c r="F2286" s="90" t="s">
        <v>858</v>
      </c>
      <c r="G2286" s="137">
        <v>1</v>
      </c>
      <c r="H2286" s="94">
        <v>87</v>
      </c>
      <c r="I2286" s="91">
        <v>46000</v>
      </c>
      <c r="J2286" s="165">
        <v>0.4770833333333333</v>
      </c>
      <c r="K2286" s="94">
        <v>87</v>
      </c>
      <c r="L2286" s="72" t="str">
        <f t="shared" si="36"/>
        <v>Payé</v>
      </c>
    </row>
    <row r="2287" spans="1:12" ht="15" customHeight="1" x14ac:dyDescent="0.25">
      <c r="A2287" s="90" t="s">
        <v>858</v>
      </c>
      <c r="B2287" s="90">
        <v>1384</v>
      </c>
      <c r="C2287" s="88" t="s">
        <v>633</v>
      </c>
      <c r="D2287" s="90" t="s">
        <v>17</v>
      </c>
      <c r="E2287" s="90" t="s">
        <v>1187</v>
      </c>
      <c r="F2287" s="90" t="s">
        <v>858</v>
      </c>
      <c r="G2287" s="137">
        <v>2</v>
      </c>
      <c r="H2287" s="94">
        <v>173</v>
      </c>
      <c r="I2287" s="91">
        <v>46000</v>
      </c>
      <c r="J2287" s="165">
        <v>0.4770833333333333</v>
      </c>
      <c r="K2287" s="94">
        <v>173</v>
      </c>
      <c r="L2287" s="72" t="str">
        <f t="shared" si="36"/>
        <v>Payé</v>
      </c>
    </row>
    <row r="2288" spans="1:12" ht="15" customHeight="1" x14ac:dyDescent="0.25">
      <c r="A2288" s="90" t="s">
        <v>858</v>
      </c>
      <c r="B2288" s="90">
        <v>2856</v>
      </c>
      <c r="C2288" s="88" t="s">
        <v>1288</v>
      </c>
      <c r="D2288" s="90" t="s">
        <v>17</v>
      </c>
      <c r="E2288" s="90" t="s">
        <v>123</v>
      </c>
      <c r="F2288" s="90" t="s">
        <v>858</v>
      </c>
      <c r="G2288" s="137">
        <v>14</v>
      </c>
      <c r="H2288" s="94">
        <v>1254</v>
      </c>
      <c r="I2288" s="91">
        <v>46003</v>
      </c>
      <c r="J2288" s="165">
        <v>0.45763888888888887</v>
      </c>
      <c r="K2288" s="94">
        <v>1254</v>
      </c>
      <c r="L2288" s="72" t="str">
        <f t="shared" si="36"/>
        <v>Payé</v>
      </c>
    </row>
    <row r="2289" spans="1:12" ht="15" customHeight="1" x14ac:dyDescent="0.25">
      <c r="A2289" s="90" t="s">
        <v>858</v>
      </c>
      <c r="B2289" s="90">
        <v>3409</v>
      </c>
      <c r="C2289" s="88" t="s">
        <v>559</v>
      </c>
      <c r="D2289" s="90" t="s">
        <v>17</v>
      </c>
      <c r="E2289" s="90" t="s">
        <v>123</v>
      </c>
      <c r="F2289" s="90" t="s">
        <v>858</v>
      </c>
      <c r="G2289" s="137">
        <v>6</v>
      </c>
      <c r="H2289" s="94">
        <v>537</v>
      </c>
      <c r="I2289" s="91">
        <v>46045</v>
      </c>
      <c r="J2289" s="165">
        <v>0.65763888888888888</v>
      </c>
      <c r="K2289" s="94">
        <v>537</v>
      </c>
      <c r="L2289" s="72" t="str">
        <f t="shared" si="36"/>
        <v>Payé</v>
      </c>
    </row>
    <row r="2290" spans="1:12" ht="15" customHeight="1" x14ac:dyDescent="0.25">
      <c r="A2290" s="90" t="s">
        <v>858</v>
      </c>
      <c r="B2290" s="90">
        <v>1504</v>
      </c>
      <c r="C2290" s="88" t="s">
        <v>635</v>
      </c>
      <c r="D2290" s="90" t="s">
        <v>17</v>
      </c>
      <c r="E2290" s="90" t="s">
        <v>1187</v>
      </c>
      <c r="F2290" s="90" t="s">
        <v>858</v>
      </c>
      <c r="G2290" s="137">
        <v>2</v>
      </c>
      <c r="H2290" s="94">
        <v>182</v>
      </c>
      <c r="I2290" s="91">
        <v>46000</v>
      </c>
      <c r="J2290" s="165">
        <v>0.4770833333333333</v>
      </c>
      <c r="K2290" s="94">
        <v>182</v>
      </c>
      <c r="L2290" s="72" t="str">
        <f t="shared" si="36"/>
        <v>Payé</v>
      </c>
    </row>
    <row r="2291" spans="1:12" ht="15" customHeight="1" x14ac:dyDescent="0.25">
      <c r="A2291" s="90" t="s">
        <v>858</v>
      </c>
      <c r="B2291" s="90">
        <v>1505</v>
      </c>
      <c r="C2291" s="88" t="s">
        <v>383</v>
      </c>
      <c r="D2291" s="90" t="s">
        <v>17</v>
      </c>
      <c r="E2291" s="90" t="s">
        <v>1187</v>
      </c>
      <c r="F2291" s="90" t="s">
        <v>858</v>
      </c>
      <c r="G2291" s="137">
        <v>9</v>
      </c>
      <c r="H2291" s="94">
        <v>806</v>
      </c>
      <c r="I2291" s="91">
        <v>46000</v>
      </c>
      <c r="J2291" s="165">
        <v>0.4770833333333333</v>
      </c>
      <c r="K2291" s="94">
        <v>806</v>
      </c>
      <c r="L2291" s="72" t="str">
        <f t="shared" si="36"/>
        <v>Payé</v>
      </c>
    </row>
    <row r="2292" spans="1:12" ht="15" customHeight="1" x14ac:dyDescent="0.25">
      <c r="A2292" s="90" t="s">
        <v>858</v>
      </c>
      <c r="B2292" s="90">
        <v>2577</v>
      </c>
      <c r="C2292" s="88" t="s">
        <v>637</v>
      </c>
      <c r="D2292" s="90" t="s">
        <v>17</v>
      </c>
      <c r="E2292" s="90" t="s">
        <v>1187</v>
      </c>
      <c r="F2292" s="90" t="s">
        <v>858</v>
      </c>
      <c r="G2292" s="137">
        <v>2</v>
      </c>
      <c r="H2292" s="94">
        <v>182</v>
      </c>
      <c r="I2292" s="91">
        <v>46000</v>
      </c>
      <c r="J2292" s="165">
        <v>0.4770833333333333</v>
      </c>
      <c r="K2292" s="94">
        <v>182</v>
      </c>
      <c r="L2292" s="72" t="str">
        <f t="shared" si="36"/>
        <v>Payé</v>
      </c>
    </row>
    <row r="2293" spans="1:12" ht="15" customHeight="1" x14ac:dyDescent="0.25">
      <c r="A2293" s="90" t="s">
        <v>858</v>
      </c>
      <c r="B2293" s="90">
        <v>3529</v>
      </c>
      <c r="C2293" s="88" t="s">
        <v>638</v>
      </c>
      <c r="D2293" s="90" t="s">
        <v>17</v>
      </c>
      <c r="E2293" s="90" t="s">
        <v>1187</v>
      </c>
      <c r="F2293" s="90" t="s">
        <v>858</v>
      </c>
      <c r="G2293" s="137">
        <v>2</v>
      </c>
      <c r="H2293" s="94">
        <v>191</v>
      </c>
      <c r="I2293" s="91">
        <v>46000</v>
      </c>
      <c r="J2293" s="165">
        <v>0.4770833333333333</v>
      </c>
      <c r="K2293" s="94">
        <v>191</v>
      </c>
      <c r="L2293" s="72" t="str">
        <f t="shared" si="36"/>
        <v>Payé</v>
      </c>
    </row>
    <row r="2294" spans="1:12" ht="15" customHeight="1" x14ac:dyDescent="0.25">
      <c r="A2294" s="90" t="s">
        <v>858</v>
      </c>
      <c r="B2294" s="90">
        <v>3534</v>
      </c>
      <c r="C2294" s="88" t="s">
        <v>563</v>
      </c>
      <c r="D2294" s="90" t="s">
        <v>17</v>
      </c>
      <c r="E2294" s="90" t="s">
        <v>1187</v>
      </c>
      <c r="F2294" s="90" t="s">
        <v>858</v>
      </c>
      <c r="G2294" s="137">
        <v>14</v>
      </c>
      <c r="H2294" s="94">
        <v>1254</v>
      </c>
      <c r="I2294" s="91">
        <v>46000</v>
      </c>
      <c r="J2294" s="165">
        <v>0.4770833333333333</v>
      </c>
      <c r="K2294" s="94">
        <v>1254</v>
      </c>
      <c r="L2294" s="72" t="str">
        <f t="shared" si="36"/>
        <v>Payé</v>
      </c>
    </row>
    <row r="2295" spans="1:12" ht="15" customHeight="1" x14ac:dyDescent="0.25">
      <c r="A2295" s="90" t="s">
        <v>858</v>
      </c>
      <c r="B2295" s="90">
        <v>3535</v>
      </c>
      <c r="C2295" s="88" t="s">
        <v>564</v>
      </c>
      <c r="D2295" s="90" t="s">
        <v>17</v>
      </c>
      <c r="E2295" s="90" t="s">
        <v>1187</v>
      </c>
      <c r="F2295" s="90" t="s">
        <v>858</v>
      </c>
      <c r="G2295" s="137">
        <v>8</v>
      </c>
      <c r="H2295" s="94">
        <v>717</v>
      </c>
      <c r="I2295" s="91">
        <v>46000</v>
      </c>
      <c r="J2295" s="165">
        <v>0.4770833333333333</v>
      </c>
      <c r="K2295" s="94">
        <v>717</v>
      </c>
      <c r="L2295" s="72" t="str">
        <f t="shared" si="36"/>
        <v>Payé</v>
      </c>
    </row>
    <row r="2296" spans="1:12" ht="15" customHeight="1" x14ac:dyDescent="0.25">
      <c r="A2296" s="90" t="s">
        <v>858</v>
      </c>
      <c r="B2296" s="90">
        <v>3947</v>
      </c>
      <c r="C2296" s="88" t="s">
        <v>576</v>
      </c>
      <c r="D2296" s="90" t="s">
        <v>17</v>
      </c>
      <c r="E2296" s="90" t="s">
        <v>1187</v>
      </c>
      <c r="F2296" s="90" t="s">
        <v>858</v>
      </c>
      <c r="G2296" s="137">
        <v>8</v>
      </c>
      <c r="H2296" s="94">
        <v>717</v>
      </c>
      <c r="I2296" s="91">
        <v>46000</v>
      </c>
      <c r="J2296" s="165">
        <v>0.4770833333333333</v>
      </c>
      <c r="K2296" s="94">
        <v>717</v>
      </c>
      <c r="L2296" s="72" t="str">
        <f t="shared" si="36"/>
        <v>Payé</v>
      </c>
    </row>
    <row r="2297" spans="1:12" ht="15" customHeight="1" x14ac:dyDescent="0.25">
      <c r="A2297" s="90" t="s">
        <v>858</v>
      </c>
      <c r="B2297" s="90">
        <v>4802</v>
      </c>
      <c r="C2297" s="88" t="s">
        <v>1360</v>
      </c>
      <c r="D2297" s="90" t="s">
        <v>17</v>
      </c>
      <c r="E2297" s="90" t="s">
        <v>1187</v>
      </c>
      <c r="F2297" s="90" t="s">
        <v>858</v>
      </c>
      <c r="G2297" s="137">
        <v>5</v>
      </c>
      <c r="H2297" s="94">
        <v>448</v>
      </c>
      <c r="I2297" s="91">
        <v>46000</v>
      </c>
      <c r="J2297" s="165">
        <v>0.4770833333333333</v>
      </c>
      <c r="K2297" s="94">
        <v>448</v>
      </c>
      <c r="L2297" s="72" t="str">
        <f t="shared" si="36"/>
        <v>Payé</v>
      </c>
    </row>
    <row r="2298" spans="1:12" ht="15" customHeight="1" x14ac:dyDescent="0.25">
      <c r="A2298" s="90" t="s">
        <v>858</v>
      </c>
      <c r="B2298" s="90">
        <v>5259</v>
      </c>
      <c r="C2298" s="88" t="s">
        <v>908</v>
      </c>
      <c r="D2298" s="90" t="s">
        <v>17</v>
      </c>
      <c r="E2298" s="90" t="s">
        <v>1187</v>
      </c>
      <c r="F2298" s="90" t="s">
        <v>858</v>
      </c>
      <c r="G2298" s="137">
        <v>13</v>
      </c>
      <c r="H2298" s="94">
        <v>1164</v>
      </c>
      <c r="I2298" s="91">
        <v>46000</v>
      </c>
      <c r="J2298" s="165">
        <v>0.4770833333333333</v>
      </c>
      <c r="K2298" s="94">
        <v>1164</v>
      </c>
      <c r="L2298" s="72" t="str">
        <f t="shared" si="36"/>
        <v>Payé</v>
      </c>
    </row>
    <row r="2299" spans="1:12" ht="15" customHeight="1" x14ac:dyDescent="0.25">
      <c r="A2299" s="90" t="s">
        <v>858</v>
      </c>
      <c r="B2299" s="90">
        <v>5269</v>
      </c>
      <c r="C2299" s="88" t="s">
        <v>925</v>
      </c>
      <c r="D2299" s="90" t="s">
        <v>17</v>
      </c>
      <c r="E2299" s="90" t="s">
        <v>1187</v>
      </c>
      <c r="F2299" s="90" t="s">
        <v>858</v>
      </c>
      <c r="G2299" s="137">
        <v>13</v>
      </c>
      <c r="H2299" s="94">
        <v>1164</v>
      </c>
      <c r="I2299" s="91">
        <v>46000</v>
      </c>
      <c r="J2299" s="165">
        <v>0.4770833333333333</v>
      </c>
      <c r="K2299" s="94">
        <v>1164</v>
      </c>
      <c r="L2299" s="72" t="str">
        <f t="shared" si="36"/>
        <v>Payé</v>
      </c>
    </row>
    <row r="2300" spans="1:12" ht="15" customHeight="1" x14ac:dyDescent="0.25">
      <c r="A2300" s="90" t="s">
        <v>858</v>
      </c>
      <c r="B2300" s="90">
        <v>5292</v>
      </c>
      <c r="C2300" s="88" t="s">
        <v>1003</v>
      </c>
      <c r="D2300" s="90" t="s">
        <v>17</v>
      </c>
      <c r="E2300" s="90" t="s">
        <v>1187</v>
      </c>
      <c r="F2300" s="90" t="s">
        <v>858</v>
      </c>
      <c r="G2300" s="137">
        <v>12</v>
      </c>
      <c r="H2300" s="94">
        <v>1075</v>
      </c>
      <c r="I2300" s="91">
        <v>46000</v>
      </c>
      <c r="J2300" s="165">
        <v>0.4770833333333333</v>
      </c>
      <c r="K2300" s="94">
        <v>1075</v>
      </c>
      <c r="L2300" s="72" t="str">
        <f t="shared" si="36"/>
        <v>Payé</v>
      </c>
    </row>
    <row r="2301" spans="1:12" ht="15" customHeight="1" x14ac:dyDescent="0.25">
      <c r="A2301" s="90" t="s">
        <v>858</v>
      </c>
      <c r="B2301" s="90">
        <v>7012</v>
      </c>
      <c r="C2301" s="88" t="s">
        <v>724</v>
      </c>
      <c r="D2301" s="90" t="s">
        <v>17</v>
      </c>
      <c r="E2301" s="90" t="s">
        <v>1187</v>
      </c>
      <c r="F2301" s="90" t="s">
        <v>858</v>
      </c>
      <c r="G2301" s="137">
        <v>16</v>
      </c>
      <c r="H2301" s="94">
        <v>1433</v>
      </c>
      <c r="I2301" s="91">
        <v>46000</v>
      </c>
      <c r="J2301" s="165">
        <v>0.4770833333333333</v>
      </c>
      <c r="K2301" s="94">
        <v>1433</v>
      </c>
      <c r="L2301" s="72" t="str">
        <f t="shared" si="36"/>
        <v>Payé</v>
      </c>
    </row>
    <row r="2302" spans="1:12" ht="15" customHeight="1" x14ac:dyDescent="0.25">
      <c r="A2302" s="90" t="s">
        <v>858</v>
      </c>
      <c r="B2302" s="90">
        <v>10040</v>
      </c>
      <c r="C2302" s="88" t="s">
        <v>1184</v>
      </c>
      <c r="D2302" s="90" t="s">
        <v>17</v>
      </c>
      <c r="E2302" s="90" t="s">
        <v>1187</v>
      </c>
      <c r="F2302" s="90" t="s">
        <v>858</v>
      </c>
      <c r="G2302" s="137">
        <v>13</v>
      </c>
      <c r="H2302" s="94">
        <v>1164</v>
      </c>
      <c r="I2302" s="91">
        <v>46000</v>
      </c>
      <c r="J2302" s="165">
        <v>0.4770833333333333</v>
      </c>
      <c r="K2302" s="94">
        <v>1164</v>
      </c>
      <c r="L2302" s="72" t="str">
        <f t="shared" si="36"/>
        <v>Payé</v>
      </c>
    </row>
    <row r="2303" spans="1:12" ht="15" customHeight="1" x14ac:dyDescent="0.25">
      <c r="A2303" s="90" t="s">
        <v>858</v>
      </c>
      <c r="B2303" s="90">
        <v>3793</v>
      </c>
      <c r="C2303" s="88" t="s">
        <v>572</v>
      </c>
      <c r="D2303" s="90" t="s">
        <v>17</v>
      </c>
      <c r="E2303" s="90" t="s">
        <v>123</v>
      </c>
      <c r="F2303" s="90" t="s">
        <v>858</v>
      </c>
      <c r="G2303" s="137">
        <v>15</v>
      </c>
      <c r="H2303" s="94">
        <v>1344</v>
      </c>
      <c r="I2303" s="91">
        <v>46045</v>
      </c>
      <c r="J2303" s="165">
        <v>0.65763888888888888</v>
      </c>
      <c r="K2303" s="94">
        <v>1344</v>
      </c>
      <c r="L2303" s="72" t="str">
        <f t="shared" si="36"/>
        <v>Payé</v>
      </c>
    </row>
    <row r="2304" spans="1:12" ht="15" customHeight="1" x14ac:dyDescent="0.25">
      <c r="A2304" s="90" t="s">
        <v>858</v>
      </c>
      <c r="B2304" s="90">
        <v>3009</v>
      </c>
      <c r="C2304" s="88" t="s">
        <v>1237</v>
      </c>
      <c r="D2304" s="90" t="s">
        <v>17</v>
      </c>
      <c r="E2304" s="90" t="s">
        <v>753</v>
      </c>
      <c r="F2304" s="90" t="s">
        <v>858</v>
      </c>
      <c r="G2304" s="137">
        <v>4</v>
      </c>
      <c r="H2304" s="94">
        <v>358</v>
      </c>
      <c r="I2304" s="91"/>
      <c r="J2304" s="165"/>
      <c r="K2304" s="92"/>
      <c r="L2304" s="72" t="str">
        <f t="shared" si="36"/>
        <v>Impayé</v>
      </c>
    </row>
    <row r="2305" spans="1:13" ht="15" customHeight="1" x14ac:dyDescent="0.25">
      <c r="A2305" s="90" t="s">
        <v>858</v>
      </c>
      <c r="B2305" s="90">
        <v>3031</v>
      </c>
      <c r="C2305" s="88" t="s">
        <v>1290</v>
      </c>
      <c r="D2305" s="90" t="s">
        <v>17</v>
      </c>
      <c r="E2305" s="90" t="s">
        <v>753</v>
      </c>
      <c r="F2305" s="90" t="s">
        <v>858</v>
      </c>
      <c r="G2305" s="137">
        <v>9</v>
      </c>
      <c r="H2305" s="94">
        <v>806</v>
      </c>
      <c r="I2305" s="91">
        <v>46003</v>
      </c>
      <c r="J2305" s="165">
        <v>0.59166666666666667</v>
      </c>
      <c r="K2305" s="94">
        <v>806</v>
      </c>
      <c r="L2305" s="72" t="str">
        <f t="shared" si="36"/>
        <v>Payé</v>
      </c>
    </row>
    <row r="2306" spans="1:13" ht="15" customHeight="1" x14ac:dyDescent="0.25">
      <c r="A2306" s="90" t="s">
        <v>858</v>
      </c>
      <c r="B2306" s="90">
        <v>5240</v>
      </c>
      <c r="C2306" s="88" t="s">
        <v>885</v>
      </c>
      <c r="D2306" s="90" t="s">
        <v>17</v>
      </c>
      <c r="E2306" s="90" t="s">
        <v>753</v>
      </c>
      <c r="F2306" s="90" t="s">
        <v>858</v>
      </c>
      <c r="G2306" s="137">
        <v>7</v>
      </c>
      <c r="H2306" s="94">
        <v>627</v>
      </c>
      <c r="I2306" s="91">
        <v>46003</v>
      </c>
      <c r="J2306" s="165">
        <v>0.59166666666666667</v>
      </c>
      <c r="K2306" s="94">
        <v>627</v>
      </c>
      <c r="L2306" s="72" t="str">
        <f t="shared" si="36"/>
        <v>Payé</v>
      </c>
    </row>
    <row r="2307" spans="1:13" ht="15" customHeight="1" x14ac:dyDescent="0.25">
      <c r="A2307" s="90" t="s">
        <v>858</v>
      </c>
      <c r="B2307" s="90">
        <v>3021</v>
      </c>
      <c r="C2307" s="88" t="s">
        <v>304</v>
      </c>
      <c r="D2307" s="90" t="s">
        <v>17</v>
      </c>
      <c r="E2307" s="90" t="s">
        <v>667</v>
      </c>
      <c r="F2307" s="90" t="s">
        <v>858</v>
      </c>
      <c r="G2307" s="137">
        <v>6</v>
      </c>
      <c r="H2307" s="94">
        <v>537</v>
      </c>
      <c r="I2307" s="91">
        <v>46000</v>
      </c>
      <c r="J2307" s="165">
        <v>0.69652777777777775</v>
      </c>
      <c r="K2307" s="94">
        <v>537</v>
      </c>
      <c r="L2307" s="72" t="str">
        <f t="shared" si="36"/>
        <v>Payé</v>
      </c>
    </row>
    <row r="2308" spans="1:13" ht="15" customHeight="1" x14ac:dyDescent="0.25">
      <c r="A2308" s="90" t="s">
        <v>858</v>
      </c>
      <c r="B2308" s="90">
        <v>4347</v>
      </c>
      <c r="C2308" s="88" t="s">
        <v>1359</v>
      </c>
      <c r="D2308" s="90" t="s">
        <v>17</v>
      </c>
      <c r="E2308" s="90" t="s">
        <v>667</v>
      </c>
      <c r="F2308" s="90" t="s">
        <v>858</v>
      </c>
      <c r="G2308" s="137">
        <v>12</v>
      </c>
      <c r="H2308" s="94">
        <v>1075</v>
      </c>
      <c r="I2308" s="91">
        <v>46000</v>
      </c>
      <c r="J2308" s="165">
        <v>0.69652777777777775</v>
      </c>
      <c r="K2308" s="94">
        <v>1075</v>
      </c>
      <c r="L2308" s="72" t="str">
        <f t="shared" si="36"/>
        <v>Payé</v>
      </c>
    </row>
    <row r="2309" spans="1:13" ht="15" customHeight="1" x14ac:dyDescent="0.25">
      <c r="A2309" s="90" t="s">
        <v>858</v>
      </c>
      <c r="B2309" s="90">
        <v>5253</v>
      </c>
      <c r="C2309" s="88" t="s">
        <v>902</v>
      </c>
      <c r="D2309" s="90" t="s">
        <v>17</v>
      </c>
      <c r="E2309" s="90" t="s">
        <v>753</v>
      </c>
      <c r="F2309" s="90" t="s">
        <v>858</v>
      </c>
      <c r="G2309" s="137">
        <v>8</v>
      </c>
      <c r="H2309" s="94">
        <v>717</v>
      </c>
      <c r="I2309" s="91">
        <v>46003</v>
      </c>
      <c r="J2309" s="165">
        <v>0.59166666666666667</v>
      </c>
      <c r="K2309" s="94">
        <v>717</v>
      </c>
      <c r="L2309" s="72" t="str">
        <f t="shared" si="36"/>
        <v>Payé</v>
      </c>
    </row>
    <row r="2310" spans="1:13" ht="15" customHeight="1" x14ac:dyDescent="0.25">
      <c r="A2310" s="90" t="s">
        <v>858</v>
      </c>
      <c r="B2310" s="90">
        <v>10086</v>
      </c>
      <c r="C2310" s="88" t="s">
        <v>1262</v>
      </c>
      <c r="D2310" s="90" t="s">
        <v>17</v>
      </c>
      <c r="E2310" s="90" t="s">
        <v>667</v>
      </c>
      <c r="F2310" s="90" t="s">
        <v>858</v>
      </c>
      <c r="G2310" s="137">
        <v>14</v>
      </c>
      <c r="H2310" s="94">
        <v>1254</v>
      </c>
      <c r="I2310" s="91">
        <v>46000</v>
      </c>
      <c r="J2310" s="165">
        <v>0.69652777777777775</v>
      </c>
      <c r="K2310" s="94">
        <v>1254</v>
      </c>
      <c r="L2310" s="72" t="str">
        <f t="shared" si="36"/>
        <v>Payé</v>
      </c>
    </row>
    <row r="2311" spans="1:13" ht="15" customHeight="1" x14ac:dyDescent="0.25">
      <c r="A2311" s="90" t="s">
        <v>858</v>
      </c>
      <c r="B2311" s="90">
        <v>10039</v>
      </c>
      <c r="C2311" s="88" t="s">
        <v>1183</v>
      </c>
      <c r="D2311" s="90" t="s">
        <v>17</v>
      </c>
      <c r="E2311" s="90" t="s">
        <v>753</v>
      </c>
      <c r="F2311" s="90" t="s">
        <v>858</v>
      </c>
      <c r="G2311" s="137">
        <v>2</v>
      </c>
      <c r="H2311" s="94">
        <v>179</v>
      </c>
      <c r="I2311" s="91">
        <v>46014</v>
      </c>
      <c r="J2311" s="165">
        <v>0.60763888888888895</v>
      </c>
      <c r="K2311" s="94">
        <v>179</v>
      </c>
      <c r="L2311" s="72" t="str">
        <f t="shared" si="36"/>
        <v>Payé</v>
      </c>
    </row>
    <row r="2312" spans="1:13" ht="15" customHeight="1" x14ac:dyDescent="0.25">
      <c r="A2312" s="90" t="s">
        <v>858</v>
      </c>
      <c r="B2312" s="90">
        <v>10090</v>
      </c>
      <c r="C2312" s="88" t="s">
        <v>1266</v>
      </c>
      <c r="D2312" s="90" t="s">
        <v>17</v>
      </c>
      <c r="E2312" s="90" t="s">
        <v>667</v>
      </c>
      <c r="F2312" s="90" t="s">
        <v>858</v>
      </c>
      <c r="G2312" s="137">
        <v>3</v>
      </c>
      <c r="H2312" s="94">
        <v>269</v>
      </c>
      <c r="I2312" s="91">
        <v>46000</v>
      </c>
      <c r="J2312" s="165">
        <v>0.69652777777777775</v>
      </c>
      <c r="K2312" s="94">
        <v>269</v>
      </c>
      <c r="L2312" s="72" t="str">
        <f t="shared" si="36"/>
        <v>Payé</v>
      </c>
      <c r="M2312" s="74"/>
    </row>
    <row r="2313" spans="1:13" ht="15" customHeight="1" x14ac:dyDescent="0.25">
      <c r="A2313" s="90" t="s">
        <v>858</v>
      </c>
      <c r="B2313" s="90">
        <v>10093</v>
      </c>
      <c r="C2313" s="88" t="s">
        <v>1269</v>
      </c>
      <c r="D2313" s="90" t="s">
        <v>17</v>
      </c>
      <c r="E2313" s="90" t="s">
        <v>667</v>
      </c>
      <c r="F2313" s="90" t="s">
        <v>858</v>
      </c>
      <c r="G2313" s="137">
        <v>11</v>
      </c>
      <c r="H2313" s="94">
        <v>985</v>
      </c>
      <c r="I2313" s="91">
        <v>46000</v>
      </c>
      <c r="J2313" s="165">
        <v>0.69652777777777775</v>
      </c>
      <c r="K2313" s="94">
        <v>985</v>
      </c>
      <c r="L2313" s="72" t="str">
        <f t="shared" si="36"/>
        <v>Payé</v>
      </c>
    </row>
    <row r="2314" spans="1:13" ht="15" customHeight="1" x14ac:dyDescent="0.25">
      <c r="A2314" s="90" t="s">
        <v>858</v>
      </c>
      <c r="B2314" s="90">
        <v>10094</v>
      </c>
      <c r="C2314" s="88" t="s">
        <v>1270</v>
      </c>
      <c r="D2314" s="90" t="s">
        <v>17</v>
      </c>
      <c r="E2314" s="90" t="s">
        <v>667</v>
      </c>
      <c r="F2314" s="90" t="s">
        <v>858</v>
      </c>
      <c r="G2314" s="137">
        <v>12</v>
      </c>
      <c r="H2314" s="94">
        <v>1075</v>
      </c>
      <c r="I2314" s="91">
        <v>46000</v>
      </c>
      <c r="J2314" s="165">
        <v>0.69652777777777775</v>
      </c>
      <c r="K2314" s="94">
        <v>1075</v>
      </c>
      <c r="L2314" s="72" t="str">
        <f t="shared" si="36"/>
        <v>Payé</v>
      </c>
    </row>
    <row r="2315" spans="1:13" ht="15" customHeight="1" x14ac:dyDescent="0.25">
      <c r="A2315" s="90" t="s">
        <v>858</v>
      </c>
      <c r="B2315" s="90">
        <v>10069</v>
      </c>
      <c r="C2315" s="88" t="s">
        <v>1249</v>
      </c>
      <c r="D2315" s="90" t="s">
        <v>17</v>
      </c>
      <c r="E2315" s="90" t="s">
        <v>753</v>
      </c>
      <c r="F2315" s="90" t="s">
        <v>858</v>
      </c>
      <c r="G2315" s="137">
        <v>4</v>
      </c>
      <c r="H2315" s="94">
        <v>358</v>
      </c>
      <c r="I2315" s="91">
        <v>46078</v>
      </c>
      <c r="J2315" s="165">
        <v>0.56111111111111112</v>
      </c>
      <c r="K2315" s="94">
        <v>358</v>
      </c>
      <c r="L2315" s="72" t="str">
        <f t="shared" si="36"/>
        <v>Payé</v>
      </c>
    </row>
    <row r="2316" spans="1:13" ht="15" customHeight="1" x14ac:dyDescent="0.25">
      <c r="A2316" s="90" t="s">
        <v>858</v>
      </c>
      <c r="B2316" s="90">
        <v>10096</v>
      </c>
      <c r="C2316" s="88" t="s">
        <v>1293</v>
      </c>
      <c r="D2316" s="90" t="s">
        <v>17</v>
      </c>
      <c r="E2316" s="90" t="s">
        <v>667</v>
      </c>
      <c r="F2316" s="90" t="s">
        <v>858</v>
      </c>
      <c r="G2316" s="137">
        <v>15</v>
      </c>
      <c r="H2316" s="94">
        <v>1344</v>
      </c>
      <c r="I2316" s="91">
        <v>46000</v>
      </c>
      <c r="J2316" s="165">
        <v>0.69652777777777775</v>
      </c>
      <c r="K2316" s="94">
        <v>1344</v>
      </c>
      <c r="L2316" s="72" t="str">
        <f t="shared" si="36"/>
        <v>Payé</v>
      </c>
    </row>
    <row r="2317" spans="1:13" ht="15" customHeight="1" x14ac:dyDescent="0.25">
      <c r="A2317" s="90" t="s">
        <v>858</v>
      </c>
      <c r="B2317" s="90">
        <v>10071</v>
      </c>
      <c r="C2317" s="88" t="s">
        <v>1251</v>
      </c>
      <c r="D2317" s="90" t="s">
        <v>17</v>
      </c>
      <c r="E2317" s="90" t="s">
        <v>753</v>
      </c>
      <c r="F2317" s="90" t="s">
        <v>858</v>
      </c>
      <c r="G2317" s="137">
        <v>3</v>
      </c>
      <c r="H2317" s="94">
        <v>269</v>
      </c>
      <c r="I2317" s="91">
        <v>46034</v>
      </c>
      <c r="J2317" s="165">
        <v>0.48472222222222222</v>
      </c>
      <c r="K2317" s="94">
        <v>269</v>
      </c>
      <c r="L2317" s="72" t="str">
        <f t="shared" si="36"/>
        <v>Payé</v>
      </c>
    </row>
    <row r="2318" spans="1:13" ht="15" customHeight="1" x14ac:dyDescent="0.25">
      <c r="A2318" s="90" t="s">
        <v>858</v>
      </c>
      <c r="B2318" s="90">
        <v>1387</v>
      </c>
      <c r="C2318" s="88" t="s">
        <v>634</v>
      </c>
      <c r="D2318" s="90" t="s">
        <v>17</v>
      </c>
      <c r="E2318" s="90" t="s">
        <v>1187</v>
      </c>
      <c r="F2318" s="90" t="s">
        <v>858</v>
      </c>
      <c r="G2318" s="137">
        <v>2</v>
      </c>
      <c r="H2318" s="94">
        <v>182</v>
      </c>
      <c r="I2318" s="91">
        <v>46008</v>
      </c>
      <c r="J2318" s="165">
        <v>4.6937500000000005</v>
      </c>
      <c r="K2318" s="94">
        <v>182</v>
      </c>
      <c r="L2318" s="72" t="str">
        <f t="shared" si="36"/>
        <v>Payé</v>
      </c>
    </row>
    <row r="2319" spans="1:13" ht="15" customHeight="1" x14ac:dyDescent="0.25">
      <c r="A2319" s="90" t="s">
        <v>858</v>
      </c>
      <c r="B2319" s="90">
        <v>10101</v>
      </c>
      <c r="C2319" s="88" t="s">
        <v>1298</v>
      </c>
      <c r="D2319" s="90" t="s">
        <v>17</v>
      </c>
      <c r="E2319" s="90" t="s">
        <v>667</v>
      </c>
      <c r="F2319" s="90" t="s">
        <v>858</v>
      </c>
      <c r="G2319" s="137">
        <v>14</v>
      </c>
      <c r="H2319" s="94">
        <v>1254</v>
      </c>
      <c r="I2319" s="91">
        <v>46000</v>
      </c>
      <c r="J2319" s="165">
        <v>0.69652777777777775</v>
      </c>
      <c r="K2319" s="94">
        <v>1254</v>
      </c>
      <c r="L2319" s="72" t="str">
        <f t="shared" si="36"/>
        <v>Payé</v>
      </c>
    </row>
    <row r="2320" spans="1:13" ht="15" customHeight="1" x14ac:dyDescent="0.25">
      <c r="A2320" s="90" t="s">
        <v>858</v>
      </c>
      <c r="B2320" s="90">
        <v>10106</v>
      </c>
      <c r="C2320" s="88" t="s">
        <v>1301</v>
      </c>
      <c r="D2320" s="90" t="s">
        <v>17</v>
      </c>
      <c r="E2320" s="90" t="s">
        <v>667</v>
      </c>
      <c r="F2320" s="90" t="s">
        <v>858</v>
      </c>
      <c r="G2320" s="137">
        <v>5</v>
      </c>
      <c r="H2320" s="94">
        <v>448</v>
      </c>
      <c r="I2320" s="91">
        <v>46000</v>
      </c>
      <c r="J2320" s="165">
        <v>0.69652777777777775</v>
      </c>
      <c r="K2320" s="94">
        <v>448</v>
      </c>
      <c r="L2320" s="72" t="str">
        <f t="shared" si="36"/>
        <v>Payé</v>
      </c>
    </row>
    <row r="2321" spans="1:12" ht="15" customHeight="1" x14ac:dyDescent="0.25">
      <c r="A2321" s="90" t="s">
        <v>858</v>
      </c>
      <c r="B2321" s="90">
        <v>10107</v>
      </c>
      <c r="C2321" s="88" t="s">
        <v>1302</v>
      </c>
      <c r="D2321" s="90" t="s">
        <v>17</v>
      </c>
      <c r="E2321" s="90" t="s">
        <v>667</v>
      </c>
      <c r="F2321" s="90" t="s">
        <v>858</v>
      </c>
      <c r="G2321" s="137">
        <v>15</v>
      </c>
      <c r="H2321" s="94">
        <v>1344</v>
      </c>
      <c r="I2321" s="91">
        <v>46000</v>
      </c>
      <c r="J2321" s="165">
        <v>0.69652777777777775</v>
      </c>
      <c r="K2321" s="94">
        <v>1344</v>
      </c>
      <c r="L2321" s="72" t="str">
        <f t="shared" si="36"/>
        <v>Payé</v>
      </c>
    </row>
    <row r="2322" spans="1:12" ht="15" customHeight="1" x14ac:dyDescent="0.25">
      <c r="A2322" s="90" t="s">
        <v>858</v>
      </c>
      <c r="B2322" s="90">
        <v>10108</v>
      </c>
      <c r="C2322" s="88" t="s">
        <v>1303</v>
      </c>
      <c r="D2322" s="90" t="s">
        <v>17</v>
      </c>
      <c r="E2322" s="90" t="s">
        <v>667</v>
      </c>
      <c r="F2322" s="90" t="s">
        <v>858</v>
      </c>
      <c r="G2322" s="137">
        <v>9</v>
      </c>
      <c r="H2322" s="94">
        <v>806</v>
      </c>
      <c r="I2322" s="91">
        <v>46000</v>
      </c>
      <c r="J2322" s="165">
        <v>0.69652777777777775</v>
      </c>
      <c r="K2322" s="94">
        <v>806</v>
      </c>
      <c r="L2322" s="72" t="str">
        <f t="shared" si="36"/>
        <v>Payé</v>
      </c>
    </row>
    <row r="2323" spans="1:12" ht="15" customHeight="1" x14ac:dyDescent="0.25">
      <c r="A2323" s="90" t="s">
        <v>858</v>
      </c>
      <c r="B2323" s="90">
        <v>10110</v>
      </c>
      <c r="C2323" s="88" t="s">
        <v>1305</v>
      </c>
      <c r="D2323" s="90" t="s">
        <v>17</v>
      </c>
      <c r="E2323" s="90" t="s">
        <v>667</v>
      </c>
      <c r="F2323" s="90" t="s">
        <v>858</v>
      </c>
      <c r="G2323" s="137">
        <v>8</v>
      </c>
      <c r="H2323" s="94">
        <v>717</v>
      </c>
      <c r="I2323" s="91">
        <v>46000</v>
      </c>
      <c r="J2323" s="165">
        <v>0.67291666666666661</v>
      </c>
      <c r="K2323" s="94">
        <v>717</v>
      </c>
      <c r="L2323" s="72" t="str">
        <f t="shared" si="36"/>
        <v>Payé</v>
      </c>
    </row>
    <row r="2324" spans="1:12" ht="15" customHeight="1" x14ac:dyDescent="0.25">
      <c r="A2324" s="90" t="s">
        <v>858</v>
      </c>
      <c r="B2324" s="90">
        <v>1415</v>
      </c>
      <c r="C2324" s="88" t="s">
        <v>964</v>
      </c>
      <c r="D2324" s="90" t="s">
        <v>17</v>
      </c>
      <c r="E2324" s="90" t="s">
        <v>1187</v>
      </c>
      <c r="F2324" s="90" t="s">
        <v>858</v>
      </c>
      <c r="G2324" s="137">
        <v>2</v>
      </c>
      <c r="H2324" s="94">
        <v>182</v>
      </c>
      <c r="I2324" s="91">
        <v>46017</v>
      </c>
      <c r="J2324" s="165">
        <v>0.48888888888888887</v>
      </c>
      <c r="K2324" s="94">
        <v>182</v>
      </c>
      <c r="L2324" s="72" t="str">
        <f t="shared" si="36"/>
        <v>Payé</v>
      </c>
    </row>
    <row r="2325" spans="1:12" ht="15" customHeight="1" x14ac:dyDescent="0.25">
      <c r="A2325" s="90" t="s">
        <v>858</v>
      </c>
      <c r="B2325" s="90">
        <v>10140</v>
      </c>
      <c r="C2325" s="88" t="s">
        <v>1329</v>
      </c>
      <c r="D2325" s="90" t="s">
        <v>17</v>
      </c>
      <c r="E2325" s="90" t="s">
        <v>667</v>
      </c>
      <c r="F2325" s="90" t="s">
        <v>858</v>
      </c>
      <c r="G2325" s="137">
        <v>10</v>
      </c>
      <c r="H2325" s="94">
        <v>896</v>
      </c>
      <c r="I2325" s="91">
        <v>46000</v>
      </c>
      <c r="J2325" s="165">
        <v>0.69652777777777775</v>
      </c>
      <c r="K2325" s="94">
        <v>896</v>
      </c>
      <c r="L2325" s="72" t="str">
        <f t="shared" si="36"/>
        <v>Payé</v>
      </c>
    </row>
    <row r="2326" spans="1:12" ht="15" customHeight="1" x14ac:dyDescent="0.25">
      <c r="A2326" s="90" t="s">
        <v>858</v>
      </c>
      <c r="B2326" s="90">
        <v>10141</v>
      </c>
      <c r="C2326" s="88" t="s">
        <v>1330</v>
      </c>
      <c r="D2326" s="90" t="s">
        <v>17</v>
      </c>
      <c r="E2326" s="90" t="s">
        <v>667</v>
      </c>
      <c r="F2326" s="90" t="s">
        <v>858</v>
      </c>
      <c r="G2326" s="137">
        <v>9</v>
      </c>
      <c r="H2326" s="94">
        <v>806</v>
      </c>
      <c r="I2326" s="91">
        <v>46000</v>
      </c>
      <c r="J2326" s="165">
        <v>0.69652777777777775</v>
      </c>
      <c r="K2326" s="94">
        <v>806</v>
      </c>
      <c r="L2326" s="72" t="str">
        <f t="shared" si="36"/>
        <v>Payé</v>
      </c>
    </row>
    <row r="2327" spans="1:12" ht="15" customHeight="1" x14ac:dyDescent="0.25">
      <c r="A2327" s="90" t="s">
        <v>858</v>
      </c>
      <c r="B2327" s="90">
        <v>10149</v>
      </c>
      <c r="C2327" s="88" t="s">
        <v>1371</v>
      </c>
      <c r="D2327" s="90" t="s">
        <v>17</v>
      </c>
      <c r="E2327" s="90" t="s">
        <v>667</v>
      </c>
      <c r="F2327" s="90" t="s">
        <v>858</v>
      </c>
      <c r="G2327" s="137">
        <v>8</v>
      </c>
      <c r="H2327" s="94">
        <v>717</v>
      </c>
      <c r="I2327" s="91">
        <v>46000</v>
      </c>
      <c r="J2327" s="165">
        <v>0.69652777777777775</v>
      </c>
      <c r="K2327" s="94">
        <v>717</v>
      </c>
      <c r="L2327" s="72" t="str">
        <f t="shared" si="36"/>
        <v>Payé</v>
      </c>
    </row>
    <row r="2328" spans="1:12" ht="15" customHeight="1" x14ac:dyDescent="0.25">
      <c r="A2328" s="90" t="s">
        <v>858</v>
      </c>
      <c r="B2328" s="90">
        <v>10084</v>
      </c>
      <c r="C2328" s="88" t="s">
        <v>1261</v>
      </c>
      <c r="D2328" s="90" t="s">
        <v>17</v>
      </c>
      <c r="E2328" s="90" t="s">
        <v>667</v>
      </c>
      <c r="F2328" s="90" t="s">
        <v>858</v>
      </c>
      <c r="G2328" s="137">
        <v>12</v>
      </c>
      <c r="H2328" s="94">
        <v>1075</v>
      </c>
      <c r="I2328" s="91">
        <v>46003</v>
      </c>
      <c r="J2328" s="165">
        <v>0.65138888888888891</v>
      </c>
      <c r="K2328" s="94">
        <v>1075</v>
      </c>
      <c r="L2328" s="72" t="str">
        <f t="shared" si="36"/>
        <v>Payé</v>
      </c>
    </row>
    <row r="2329" spans="1:12" ht="15" customHeight="1" x14ac:dyDescent="0.25">
      <c r="A2329" s="90" t="s">
        <v>858</v>
      </c>
      <c r="B2329" s="90">
        <v>10158</v>
      </c>
      <c r="C2329" s="88" t="s">
        <v>1339</v>
      </c>
      <c r="D2329" s="90" t="s">
        <v>17</v>
      </c>
      <c r="E2329" s="90" t="s">
        <v>667</v>
      </c>
      <c r="F2329" s="90" t="s">
        <v>858</v>
      </c>
      <c r="G2329" s="137">
        <v>10</v>
      </c>
      <c r="H2329" s="94">
        <v>896</v>
      </c>
      <c r="I2329" s="91">
        <v>46000</v>
      </c>
      <c r="J2329" s="165">
        <v>0.69652777777777775</v>
      </c>
      <c r="K2329" s="94">
        <v>896</v>
      </c>
      <c r="L2329" s="72" t="str">
        <f t="shared" si="36"/>
        <v>Payé</v>
      </c>
    </row>
    <row r="2330" spans="1:12" ht="15" customHeight="1" x14ac:dyDescent="0.25">
      <c r="A2330" s="90" t="s">
        <v>858</v>
      </c>
      <c r="B2330" s="90">
        <v>10193</v>
      </c>
      <c r="C2330" s="88" t="s">
        <v>1389</v>
      </c>
      <c r="D2330" s="90" t="s">
        <v>17</v>
      </c>
      <c r="E2330" s="90" t="s">
        <v>667</v>
      </c>
      <c r="F2330" s="90" t="s">
        <v>858</v>
      </c>
      <c r="G2330" s="137">
        <v>1</v>
      </c>
      <c r="H2330" s="94">
        <v>90</v>
      </c>
      <c r="I2330" s="91">
        <v>46001</v>
      </c>
      <c r="J2330" s="165">
        <v>0.67152777777777783</v>
      </c>
      <c r="K2330" s="94">
        <v>90</v>
      </c>
      <c r="L2330" s="72" t="str">
        <f t="shared" si="36"/>
        <v>Payé</v>
      </c>
    </row>
    <row r="2331" spans="1:12" ht="15" customHeight="1" x14ac:dyDescent="0.25">
      <c r="A2331" s="90" t="s">
        <v>858</v>
      </c>
      <c r="B2331" s="90">
        <v>10087</v>
      </c>
      <c r="C2331" s="88" t="s">
        <v>1263</v>
      </c>
      <c r="D2331" s="90" t="s">
        <v>17</v>
      </c>
      <c r="E2331" s="90" t="s">
        <v>667</v>
      </c>
      <c r="F2331" s="90" t="s">
        <v>858</v>
      </c>
      <c r="G2331" s="137">
        <v>7</v>
      </c>
      <c r="H2331" s="94">
        <v>627</v>
      </c>
      <c r="I2331" s="91">
        <v>46003</v>
      </c>
      <c r="J2331" s="165">
        <v>0.65138888888888891</v>
      </c>
      <c r="K2331" s="94">
        <v>627</v>
      </c>
      <c r="L2331" s="72" t="str">
        <f t="shared" si="36"/>
        <v>Payé</v>
      </c>
    </row>
    <row r="2332" spans="1:12" ht="15" customHeight="1" x14ac:dyDescent="0.25">
      <c r="A2332" s="90" t="s">
        <v>858</v>
      </c>
      <c r="B2332" s="90">
        <v>10095</v>
      </c>
      <c r="C2332" s="88" t="s">
        <v>1271</v>
      </c>
      <c r="D2332" s="90" t="s">
        <v>17</v>
      </c>
      <c r="E2332" s="90" t="s">
        <v>667</v>
      </c>
      <c r="F2332" s="90" t="s">
        <v>858</v>
      </c>
      <c r="G2332" s="137">
        <v>13</v>
      </c>
      <c r="H2332" s="94">
        <v>1164</v>
      </c>
      <c r="I2332" s="91">
        <v>46014</v>
      </c>
      <c r="J2332" s="165">
        <v>0.68611111111111101</v>
      </c>
      <c r="K2332" s="94">
        <v>1164</v>
      </c>
      <c r="L2332" s="72" t="str">
        <f t="shared" si="36"/>
        <v>Payé</v>
      </c>
    </row>
    <row r="2333" spans="1:12" ht="15" customHeight="1" x14ac:dyDescent="0.25">
      <c r="A2333" s="90" t="s">
        <v>858</v>
      </c>
      <c r="B2333" s="90">
        <v>10209</v>
      </c>
      <c r="C2333" s="88" t="s">
        <v>1398</v>
      </c>
      <c r="D2333" s="90" t="s">
        <v>17</v>
      </c>
      <c r="E2333" s="90" t="s">
        <v>667</v>
      </c>
      <c r="F2333" s="90" t="s">
        <v>858</v>
      </c>
      <c r="G2333" s="137">
        <v>7</v>
      </c>
      <c r="H2333" s="94">
        <v>627</v>
      </c>
      <c r="I2333" s="91">
        <v>46000</v>
      </c>
      <c r="J2333" s="165">
        <v>0.70416666666666661</v>
      </c>
      <c r="K2333" s="94">
        <v>627</v>
      </c>
      <c r="L2333" s="72" t="str">
        <f t="shared" si="36"/>
        <v>Payé</v>
      </c>
    </row>
    <row r="2334" spans="1:12" ht="15" customHeight="1" x14ac:dyDescent="0.25">
      <c r="A2334" s="90" t="s">
        <v>858</v>
      </c>
      <c r="B2334" s="90">
        <v>10098</v>
      </c>
      <c r="C2334" s="88" t="s">
        <v>1295</v>
      </c>
      <c r="D2334" s="90" t="s">
        <v>17</v>
      </c>
      <c r="E2334" s="90" t="s">
        <v>667</v>
      </c>
      <c r="F2334" s="90" t="s">
        <v>858</v>
      </c>
      <c r="G2334" s="137">
        <v>8</v>
      </c>
      <c r="H2334" s="94">
        <v>717</v>
      </c>
      <c r="I2334" s="91">
        <v>46031</v>
      </c>
      <c r="J2334" s="165">
        <v>0.60902777777777783</v>
      </c>
      <c r="K2334" s="94">
        <v>717</v>
      </c>
      <c r="L2334" s="72" t="str">
        <f t="shared" ref="L2334:L2397" si="37">IF(ISBLANK(H2334),"",IF(H2334=K2334,"Payé","Impayé"))</f>
        <v>Payé</v>
      </c>
    </row>
    <row r="2335" spans="1:12" ht="15" customHeight="1" x14ac:dyDescent="0.25">
      <c r="A2335" s="90" t="s">
        <v>858</v>
      </c>
      <c r="B2335" s="90">
        <v>10099</v>
      </c>
      <c r="C2335" s="88" t="s">
        <v>1296</v>
      </c>
      <c r="D2335" s="90" t="s">
        <v>17</v>
      </c>
      <c r="E2335" s="90" t="s">
        <v>667</v>
      </c>
      <c r="F2335" s="90" t="s">
        <v>858</v>
      </c>
      <c r="G2335" s="137">
        <v>3</v>
      </c>
      <c r="H2335" s="94">
        <v>269</v>
      </c>
      <c r="I2335" s="91">
        <v>46003</v>
      </c>
      <c r="J2335" s="165">
        <v>0.65138888888888891</v>
      </c>
      <c r="K2335" s="94">
        <v>269</v>
      </c>
      <c r="L2335" s="72" t="str">
        <f t="shared" si="37"/>
        <v>Payé</v>
      </c>
    </row>
    <row r="2336" spans="1:12" ht="15" customHeight="1" x14ac:dyDescent="0.25">
      <c r="A2336" s="90" t="s">
        <v>858</v>
      </c>
      <c r="B2336" s="90">
        <v>10113</v>
      </c>
      <c r="C2336" s="88" t="s">
        <v>1307</v>
      </c>
      <c r="D2336" s="90" t="s">
        <v>17</v>
      </c>
      <c r="E2336" s="90" t="s">
        <v>667</v>
      </c>
      <c r="F2336" s="90" t="s">
        <v>858</v>
      </c>
      <c r="G2336" s="137">
        <v>5</v>
      </c>
      <c r="H2336" s="94">
        <v>448</v>
      </c>
      <c r="I2336" s="91">
        <v>46002</v>
      </c>
      <c r="J2336" s="165">
        <v>3.6111111111111115E-2</v>
      </c>
      <c r="K2336" s="94">
        <v>448</v>
      </c>
      <c r="L2336" s="72" t="str">
        <f t="shared" si="37"/>
        <v>Payé</v>
      </c>
    </row>
    <row r="2337" spans="1:12" ht="15" customHeight="1" x14ac:dyDescent="0.25">
      <c r="A2337" s="90" t="s">
        <v>858</v>
      </c>
      <c r="B2337" s="90">
        <v>10300</v>
      </c>
      <c r="C2337" s="88" t="s">
        <v>1410</v>
      </c>
      <c r="D2337" s="90" t="s">
        <v>17</v>
      </c>
      <c r="E2337" s="90" t="s">
        <v>667</v>
      </c>
      <c r="F2337" s="90" t="s">
        <v>858</v>
      </c>
      <c r="G2337" s="137">
        <v>8</v>
      </c>
      <c r="H2337" s="94">
        <v>717</v>
      </c>
      <c r="I2337" s="91">
        <v>46000</v>
      </c>
      <c r="J2337" s="165">
        <v>0.46875</v>
      </c>
      <c r="K2337" s="94">
        <v>717</v>
      </c>
      <c r="L2337" s="72" t="str">
        <f t="shared" si="37"/>
        <v>Payé</v>
      </c>
    </row>
    <row r="2338" spans="1:12" ht="15" customHeight="1" x14ac:dyDescent="0.25">
      <c r="A2338" s="90" t="s">
        <v>858</v>
      </c>
      <c r="B2338" s="90">
        <v>10301</v>
      </c>
      <c r="C2338" s="88" t="s">
        <v>1411</v>
      </c>
      <c r="D2338" s="90" t="s">
        <v>17</v>
      </c>
      <c r="E2338" s="90" t="s">
        <v>667</v>
      </c>
      <c r="F2338" s="90" t="s">
        <v>858</v>
      </c>
      <c r="G2338" s="137">
        <v>3</v>
      </c>
      <c r="H2338" s="94">
        <v>269</v>
      </c>
      <c r="I2338" s="91">
        <v>46001</v>
      </c>
      <c r="J2338" s="165">
        <v>0.67152777777777783</v>
      </c>
      <c r="K2338" s="94">
        <v>269</v>
      </c>
      <c r="L2338" s="72" t="str">
        <f t="shared" si="37"/>
        <v>Payé</v>
      </c>
    </row>
    <row r="2339" spans="1:12" ht="15" customHeight="1" x14ac:dyDescent="0.25">
      <c r="A2339" s="90" t="s">
        <v>858</v>
      </c>
      <c r="B2339" s="90">
        <v>10302</v>
      </c>
      <c r="C2339" s="88" t="s">
        <v>1412</v>
      </c>
      <c r="D2339" s="90" t="s">
        <v>17</v>
      </c>
      <c r="E2339" s="90" t="s">
        <v>667</v>
      </c>
      <c r="F2339" s="90" t="s">
        <v>858</v>
      </c>
      <c r="G2339" s="137">
        <v>6</v>
      </c>
      <c r="H2339" s="94">
        <v>537</v>
      </c>
      <c r="I2339" s="91">
        <v>46000</v>
      </c>
      <c r="J2339" s="165">
        <v>0.69652777777777775</v>
      </c>
      <c r="K2339" s="94">
        <v>537</v>
      </c>
      <c r="L2339" s="72" t="str">
        <f t="shared" si="37"/>
        <v>Payé</v>
      </c>
    </row>
    <row r="2340" spans="1:12" ht="15" customHeight="1" x14ac:dyDescent="0.25">
      <c r="A2340" s="90" t="s">
        <v>858</v>
      </c>
      <c r="B2340" s="90">
        <v>10306</v>
      </c>
      <c r="C2340" s="88" t="s">
        <v>1414</v>
      </c>
      <c r="D2340" s="90" t="s">
        <v>17</v>
      </c>
      <c r="E2340" s="90" t="s">
        <v>667</v>
      </c>
      <c r="F2340" s="90" t="s">
        <v>858</v>
      </c>
      <c r="G2340" s="137">
        <v>1</v>
      </c>
      <c r="H2340" s="94">
        <v>90</v>
      </c>
      <c r="I2340" s="91">
        <v>46000</v>
      </c>
      <c r="J2340" s="165">
        <v>0.70416666666666661</v>
      </c>
      <c r="K2340" s="94">
        <v>90</v>
      </c>
      <c r="L2340" s="72" t="str">
        <f t="shared" si="37"/>
        <v>Payé</v>
      </c>
    </row>
    <row r="2341" spans="1:12" ht="15" customHeight="1" x14ac:dyDescent="0.25">
      <c r="A2341" s="90" t="s">
        <v>858</v>
      </c>
      <c r="B2341" s="90">
        <v>10404</v>
      </c>
      <c r="C2341" s="88" t="s">
        <v>1415</v>
      </c>
      <c r="D2341" s="90" t="s">
        <v>17</v>
      </c>
      <c r="E2341" s="90" t="s">
        <v>667</v>
      </c>
      <c r="F2341" s="90" t="s">
        <v>858</v>
      </c>
      <c r="G2341" s="137">
        <v>5</v>
      </c>
      <c r="H2341" s="94">
        <v>448</v>
      </c>
      <c r="I2341" s="91">
        <v>46000</v>
      </c>
      <c r="J2341" s="165">
        <v>0.69652777777777775</v>
      </c>
      <c r="K2341" s="94">
        <v>448</v>
      </c>
      <c r="L2341" s="72" t="str">
        <f t="shared" si="37"/>
        <v>Payé</v>
      </c>
    </row>
    <row r="2342" spans="1:12" ht="15" customHeight="1" x14ac:dyDescent="0.25">
      <c r="A2342" s="90" t="s">
        <v>858</v>
      </c>
      <c r="B2342" s="90"/>
      <c r="C2342" s="88" t="s">
        <v>1347</v>
      </c>
      <c r="D2342" s="89" t="s">
        <v>910</v>
      </c>
      <c r="E2342" s="90" t="s">
        <v>667</v>
      </c>
      <c r="F2342" s="90" t="s">
        <v>858</v>
      </c>
      <c r="G2342" s="95">
        <v>246</v>
      </c>
      <c r="H2342" s="92">
        <v>7380</v>
      </c>
      <c r="I2342" s="91">
        <v>45999</v>
      </c>
      <c r="J2342" s="165">
        <v>0.56180555555555556</v>
      </c>
      <c r="K2342" s="92">
        <v>7380</v>
      </c>
      <c r="L2342" s="72" t="str">
        <f t="shared" si="37"/>
        <v>Payé</v>
      </c>
    </row>
    <row r="2343" spans="1:12" ht="15" customHeight="1" x14ac:dyDescent="0.25">
      <c r="A2343" s="90" t="s">
        <v>858</v>
      </c>
      <c r="B2343" s="90"/>
      <c r="C2343" s="88" t="s">
        <v>1190</v>
      </c>
      <c r="D2343" s="89" t="s">
        <v>910</v>
      </c>
      <c r="E2343" s="90" t="s">
        <v>1350</v>
      </c>
      <c r="F2343" s="90" t="s">
        <v>858</v>
      </c>
      <c r="G2343" s="95">
        <v>275</v>
      </c>
      <c r="H2343" s="92">
        <v>8250</v>
      </c>
      <c r="I2343" s="91">
        <v>46000</v>
      </c>
      <c r="J2343" s="165">
        <v>0.4680555555555555</v>
      </c>
      <c r="K2343" s="92">
        <v>8250</v>
      </c>
      <c r="L2343" s="72" t="str">
        <f t="shared" si="37"/>
        <v>Payé</v>
      </c>
    </row>
    <row r="2344" spans="1:12" ht="15" customHeight="1" x14ac:dyDescent="0.25">
      <c r="A2344" s="90" t="s">
        <v>858</v>
      </c>
      <c r="B2344" s="90">
        <v>10156</v>
      </c>
      <c r="C2344" s="88" t="s">
        <v>1337</v>
      </c>
      <c r="D2344" s="90" t="s">
        <v>17</v>
      </c>
      <c r="E2344" s="90" t="s">
        <v>667</v>
      </c>
      <c r="F2344" s="90" t="s">
        <v>858</v>
      </c>
      <c r="G2344" s="137">
        <v>12</v>
      </c>
      <c r="H2344" s="94">
        <v>1075</v>
      </c>
      <c r="I2344" s="91">
        <v>46002</v>
      </c>
      <c r="J2344" s="165">
        <v>0.46180555555555558</v>
      </c>
      <c r="K2344" s="94">
        <v>1075</v>
      </c>
      <c r="L2344" s="72" t="str">
        <f t="shared" si="37"/>
        <v>Payé</v>
      </c>
    </row>
    <row r="2345" spans="1:12" ht="15" customHeight="1" x14ac:dyDescent="0.25">
      <c r="A2345" s="90" t="s">
        <v>858</v>
      </c>
      <c r="B2345" s="90">
        <v>10206</v>
      </c>
      <c r="C2345" s="88" t="s">
        <v>1395</v>
      </c>
      <c r="D2345" s="90" t="s">
        <v>17</v>
      </c>
      <c r="E2345" s="90" t="s">
        <v>667</v>
      </c>
      <c r="F2345" s="90" t="s">
        <v>858</v>
      </c>
      <c r="G2345" s="137">
        <v>2</v>
      </c>
      <c r="H2345" s="94">
        <v>179</v>
      </c>
      <c r="I2345" s="91">
        <v>46003</v>
      </c>
      <c r="J2345" s="165">
        <v>0.65138888888888891</v>
      </c>
      <c r="K2345" s="94">
        <v>179</v>
      </c>
      <c r="L2345" s="72" t="str">
        <f t="shared" si="37"/>
        <v>Payé</v>
      </c>
    </row>
    <row r="2346" spans="1:12" ht="15" customHeight="1" x14ac:dyDescent="0.25">
      <c r="A2346" s="90" t="s">
        <v>858</v>
      </c>
      <c r="B2346" s="90">
        <v>10208</v>
      </c>
      <c r="C2346" s="88" t="s">
        <v>1397</v>
      </c>
      <c r="D2346" s="90" t="s">
        <v>17</v>
      </c>
      <c r="E2346" s="90" t="s">
        <v>667</v>
      </c>
      <c r="F2346" s="90" t="s">
        <v>858</v>
      </c>
      <c r="G2346" s="137">
        <v>3</v>
      </c>
      <c r="H2346" s="94">
        <v>269</v>
      </c>
      <c r="I2346" s="91">
        <v>46014</v>
      </c>
      <c r="J2346" s="165">
        <v>0.70694444444444438</v>
      </c>
      <c r="K2346" s="94">
        <v>269</v>
      </c>
      <c r="L2346" s="72" t="str">
        <f t="shared" si="37"/>
        <v>Payé</v>
      </c>
    </row>
    <row r="2347" spans="1:12" ht="15" customHeight="1" x14ac:dyDescent="0.25">
      <c r="A2347" s="90" t="s">
        <v>858</v>
      </c>
      <c r="B2347" s="90">
        <v>10236</v>
      </c>
      <c r="C2347" s="88" t="s">
        <v>1406</v>
      </c>
      <c r="D2347" s="90" t="s">
        <v>17</v>
      </c>
      <c r="E2347" s="90" t="s">
        <v>667</v>
      </c>
      <c r="F2347" s="90" t="s">
        <v>858</v>
      </c>
      <c r="G2347" s="137">
        <v>1</v>
      </c>
      <c r="H2347" s="94">
        <v>90</v>
      </c>
      <c r="I2347" s="91">
        <v>46014</v>
      </c>
      <c r="J2347" s="165">
        <v>0.68958333333333333</v>
      </c>
      <c r="K2347" s="94">
        <v>90</v>
      </c>
      <c r="L2347" s="72" t="str">
        <f t="shared" si="37"/>
        <v>Payé</v>
      </c>
    </row>
    <row r="2348" spans="1:12" ht="15" customHeight="1" x14ac:dyDescent="0.25">
      <c r="A2348" s="90" t="s">
        <v>858</v>
      </c>
      <c r="B2348" s="90">
        <v>3416</v>
      </c>
      <c r="C2348" s="88" t="s">
        <v>1291</v>
      </c>
      <c r="D2348" s="90" t="s">
        <v>17</v>
      </c>
      <c r="E2348" s="90" t="s">
        <v>49</v>
      </c>
      <c r="F2348" s="90" t="s">
        <v>858</v>
      </c>
      <c r="G2348" s="137">
        <v>13</v>
      </c>
      <c r="H2348" s="94">
        <v>1164</v>
      </c>
      <c r="I2348" s="91">
        <v>46001</v>
      </c>
      <c r="J2348" s="165">
        <v>0.65694444444444444</v>
      </c>
      <c r="K2348" s="94">
        <v>1164</v>
      </c>
      <c r="L2348" s="72" t="str">
        <f t="shared" si="37"/>
        <v>Payé</v>
      </c>
    </row>
    <row r="2349" spans="1:12" ht="15" customHeight="1" x14ac:dyDescent="0.25">
      <c r="A2349" s="90" t="s">
        <v>858</v>
      </c>
      <c r="B2349" s="90">
        <v>3439</v>
      </c>
      <c r="C2349" s="88" t="s">
        <v>875</v>
      </c>
      <c r="D2349" s="90" t="s">
        <v>17</v>
      </c>
      <c r="E2349" s="90" t="s">
        <v>49</v>
      </c>
      <c r="F2349" s="90" t="s">
        <v>858</v>
      </c>
      <c r="G2349" s="137">
        <v>11</v>
      </c>
      <c r="H2349" s="94">
        <v>985</v>
      </c>
      <c r="I2349" s="91">
        <v>46001</v>
      </c>
      <c r="J2349" s="165">
        <v>0.65694444444444444</v>
      </c>
      <c r="K2349" s="94">
        <v>985</v>
      </c>
      <c r="L2349" s="72" t="str">
        <f t="shared" si="37"/>
        <v>Payé</v>
      </c>
    </row>
    <row r="2350" spans="1:12" ht="15" customHeight="1" x14ac:dyDescent="0.25">
      <c r="A2350" s="90" t="s">
        <v>858</v>
      </c>
      <c r="B2350" s="90">
        <v>3440</v>
      </c>
      <c r="C2350" s="88" t="s">
        <v>561</v>
      </c>
      <c r="D2350" s="90" t="s">
        <v>17</v>
      </c>
      <c r="E2350" s="90" t="s">
        <v>49</v>
      </c>
      <c r="F2350" s="90" t="s">
        <v>858</v>
      </c>
      <c r="G2350" s="137">
        <v>12</v>
      </c>
      <c r="H2350" s="94">
        <v>1075</v>
      </c>
      <c r="I2350" s="91">
        <v>46001</v>
      </c>
      <c r="J2350" s="165">
        <v>0.65694444444444444</v>
      </c>
      <c r="K2350" s="94">
        <v>1075</v>
      </c>
      <c r="L2350" s="72" t="str">
        <f t="shared" si="37"/>
        <v>Payé</v>
      </c>
    </row>
    <row r="2351" spans="1:12" ht="15" customHeight="1" x14ac:dyDescent="0.25">
      <c r="A2351" s="90" t="s">
        <v>858</v>
      </c>
      <c r="B2351" s="90">
        <v>3751</v>
      </c>
      <c r="C2351" s="88" t="s">
        <v>571</v>
      </c>
      <c r="D2351" s="90" t="s">
        <v>17</v>
      </c>
      <c r="E2351" s="90" t="s">
        <v>49</v>
      </c>
      <c r="F2351" s="90" t="s">
        <v>858</v>
      </c>
      <c r="G2351" s="137">
        <v>10</v>
      </c>
      <c r="H2351" s="94">
        <v>896</v>
      </c>
      <c r="I2351" s="91">
        <v>46001</v>
      </c>
      <c r="J2351" s="165">
        <v>0.65694444444444444</v>
      </c>
      <c r="K2351" s="94">
        <v>896</v>
      </c>
      <c r="L2351" s="72" t="str">
        <f t="shared" si="37"/>
        <v>Payé</v>
      </c>
    </row>
    <row r="2352" spans="1:12" ht="15" customHeight="1" x14ac:dyDescent="0.25">
      <c r="A2352" s="90" t="s">
        <v>858</v>
      </c>
      <c r="B2352" s="90">
        <v>3760</v>
      </c>
      <c r="C2352" s="88" t="s">
        <v>465</v>
      </c>
      <c r="D2352" s="90" t="s">
        <v>17</v>
      </c>
      <c r="E2352" s="90" t="s">
        <v>49</v>
      </c>
      <c r="F2352" s="90" t="s">
        <v>858</v>
      </c>
      <c r="G2352" s="137">
        <v>11</v>
      </c>
      <c r="H2352" s="94">
        <v>985</v>
      </c>
      <c r="I2352" s="91">
        <v>46001</v>
      </c>
      <c r="J2352" s="165">
        <v>0.65694444444444444</v>
      </c>
      <c r="K2352" s="94">
        <v>985</v>
      </c>
      <c r="L2352" s="72" t="str">
        <f t="shared" si="37"/>
        <v>Payé</v>
      </c>
    </row>
    <row r="2353" spans="1:12" ht="15" customHeight="1" x14ac:dyDescent="0.25">
      <c r="A2353" s="90" t="s">
        <v>858</v>
      </c>
      <c r="B2353" s="90">
        <v>4840</v>
      </c>
      <c r="C2353" s="88" t="s">
        <v>766</v>
      </c>
      <c r="D2353" s="90" t="s">
        <v>17</v>
      </c>
      <c r="E2353" s="90" t="s">
        <v>49</v>
      </c>
      <c r="F2353" s="90" t="s">
        <v>858</v>
      </c>
      <c r="G2353" s="137">
        <v>12</v>
      </c>
      <c r="H2353" s="94">
        <v>1075</v>
      </c>
      <c r="I2353" s="91">
        <v>46001</v>
      </c>
      <c r="J2353" s="165">
        <v>0.65694444444444444</v>
      </c>
      <c r="K2353" s="94">
        <v>1075</v>
      </c>
      <c r="L2353" s="72" t="str">
        <f t="shared" si="37"/>
        <v>Payé</v>
      </c>
    </row>
    <row r="2354" spans="1:12" ht="15" customHeight="1" x14ac:dyDescent="0.25">
      <c r="A2354" s="90" t="s">
        <v>858</v>
      </c>
      <c r="B2354" s="90">
        <v>6070</v>
      </c>
      <c r="C2354" s="88" t="s">
        <v>1153</v>
      </c>
      <c r="D2354" s="90" t="s">
        <v>17</v>
      </c>
      <c r="E2354" s="90" t="s">
        <v>49</v>
      </c>
      <c r="F2354" s="90" t="s">
        <v>858</v>
      </c>
      <c r="G2354" s="137">
        <v>10</v>
      </c>
      <c r="H2354" s="94">
        <v>896</v>
      </c>
      <c r="I2354" s="91">
        <v>46001</v>
      </c>
      <c r="J2354" s="165">
        <v>0.65694444444444444</v>
      </c>
      <c r="K2354" s="94">
        <v>896</v>
      </c>
      <c r="L2354" s="72" t="str">
        <f t="shared" si="37"/>
        <v>Payé</v>
      </c>
    </row>
    <row r="2355" spans="1:12" ht="15" customHeight="1" x14ac:dyDescent="0.25">
      <c r="A2355" s="90" t="s">
        <v>858</v>
      </c>
      <c r="B2355" s="90">
        <v>7004</v>
      </c>
      <c r="C2355" s="88" t="s">
        <v>713</v>
      </c>
      <c r="D2355" s="90" t="s">
        <v>17</v>
      </c>
      <c r="E2355" s="90" t="s">
        <v>49</v>
      </c>
      <c r="F2355" s="90" t="s">
        <v>858</v>
      </c>
      <c r="G2355" s="137">
        <v>13</v>
      </c>
      <c r="H2355" s="94">
        <v>1164</v>
      </c>
      <c r="I2355" s="91">
        <v>46001</v>
      </c>
      <c r="J2355" s="165">
        <v>0.65694444444444444</v>
      </c>
      <c r="K2355" s="94">
        <v>1164</v>
      </c>
      <c r="L2355" s="72" t="str">
        <f t="shared" si="37"/>
        <v>Payé</v>
      </c>
    </row>
    <row r="2356" spans="1:12" ht="15" customHeight="1" x14ac:dyDescent="0.25">
      <c r="A2356" s="90" t="s">
        <v>858</v>
      </c>
      <c r="B2356" s="90">
        <v>10070</v>
      </c>
      <c r="C2356" s="88" t="s">
        <v>1250</v>
      </c>
      <c r="D2356" s="90" t="s">
        <v>17</v>
      </c>
      <c r="E2356" s="90" t="s">
        <v>49</v>
      </c>
      <c r="F2356" s="90" t="s">
        <v>858</v>
      </c>
      <c r="G2356" s="137">
        <v>4</v>
      </c>
      <c r="H2356" s="94">
        <v>358</v>
      </c>
      <c r="I2356" s="91">
        <v>46001</v>
      </c>
      <c r="J2356" s="165">
        <v>0.65694444444444444</v>
      </c>
      <c r="K2356" s="94">
        <v>358</v>
      </c>
      <c r="L2356" s="72" t="str">
        <f t="shared" si="37"/>
        <v>Payé</v>
      </c>
    </row>
    <row r="2357" spans="1:12" ht="15" customHeight="1" x14ac:dyDescent="0.25">
      <c r="A2357" s="90" t="s">
        <v>858</v>
      </c>
      <c r="B2357" s="90">
        <v>10081</v>
      </c>
      <c r="C2357" s="88" t="s">
        <v>1258</v>
      </c>
      <c r="D2357" s="90" t="s">
        <v>17</v>
      </c>
      <c r="E2357" s="90" t="s">
        <v>49</v>
      </c>
      <c r="F2357" s="90" t="s">
        <v>858</v>
      </c>
      <c r="G2357" s="137">
        <v>15</v>
      </c>
      <c r="H2357" s="94">
        <v>1605</v>
      </c>
      <c r="I2357" s="91">
        <v>46000</v>
      </c>
      <c r="J2357" s="165">
        <v>0.72569444444444453</v>
      </c>
      <c r="K2357" s="94">
        <v>1605</v>
      </c>
      <c r="L2357" s="72" t="str">
        <f t="shared" si="37"/>
        <v>Payé</v>
      </c>
    </row>
    <row r="2358" spans="1:12" ht="15" customHeight="1" x14ac:dyDescent="0.25">
      <c r="A2358" s="90" t="s">
        <v>858</v>
      </c>
      <c r="B2358" s="90">
        <v>10154</v>
      </c>
      <c r="C2358" s="88" t="s">
        <v>1376</v>
      </c>
      <c r="D2358" s="90" t="s">
        <v>17</v>
      </c>
      <c r="E2358" s="90" t="s">
        <v>49</v>
      </c>
      <c r="F2358" s="90" t="s">
        <v>858</v>
      </c>
      <c r="G2358" s="137">
        <v>9</v>
      </c>
      <c r="H2358" s="94">
        <v>806</v>
      </c>
      <c r="I2358" s="91">
        <v>46001</v>
      </c>
      <c r="J2358" s="165">
        <v>0.65694444444444444</v>
      </c>
      <c r="K2358" s="94">
        <v>806</v>
      </c>
      <c r="L2358" s="72" t="str">
        <f t="shared" si="37"/>
        <v>Payé</v>
      </c>
    </row>
    <row r="2359" spans="1:12" ht="15" customHeight="1" x14ac:dyDescent="0.25">
      <c r="A2359" s="90" t="s">
        <v>858</v>
      </c>
      <c r="B2359" s="90"/>
      <c r="C2359" s="88" t="s">
        <v>1189</v>
      </c>
      <c r="D2359" s="89" t="s">
        <v>910</v>
      </c>
      <c r="E2359" s="90" t="s">
        <v>49</v>
      </c>
      <c r="F2359" s="90" t="s">
        <v>858</v>
      </c>
      <c r="G2359" s="95">
        <v>203</v>
      </c>
      <c r="H2359" s="92">
        <v>6090</v>
      </c>
      <c r="I2359" s="91">
        <v>46001</v>
      </c>
      <c r="J2359" s="165">
        <v>0.65694444444444444</v>
      </c>
      <c r="K2359" s="92">
        <v>6090</v>
      </c>
      <c r="L2359" s="72" t="str">
        <f t="shared" si="37"/>
        <v>Payé</v>
      </c>
    </row>
    <row r="2360" spans="1:12" ht="15" customHeight="1" x14ac:dyDescent="0.25">
      <c r="A2360" s="90" t="s">
        <v>858</v>
      </c>
      <c r="B2360" s="90">
        <v>10237</v>
      </c>
      <c r="C2360" s="88" t="s">
        <v>1407</v>
      </c>
      <c r="D2360" s="90" t="s">
        <v>17</v>
      </c>
      <c r="E2360" s="90" t="s">
        <v>667</v>
      </c>
      <c r="F2360" s="90" t="s">
        <v>858</v>
      </c>
      <c r="G2360" s="137">
        <v>2</v>
      </c>
      <c r="H2360" s="94">
        <v>179</v>
      </c>
      <c r="I2360" s="91">
        <v>46014</v>
      </c>
      <c r="J2360" s="165">
        <v>0.68958333333333333</v>
      </c>
      <c r="K2360" s="94">
        <v>179</v>
      </c>
      <c r="L2360" s="72" t="str">
        <f t="shared" si="37"/>
        <v>Payé</v>
      </c>
    </row>
    <row r="2361" spans="1:12" ht="15" customHeight="1" x14ac:dyDescent="0.25">
      <c r="A2361" s="90" t="s">
        <v>858</v>
      </c>
      <c r="B2361" s="90">
        <v>10239</v>
      </c>
      <c r="C2361" s="88" t="s">
        <v>1408</v>
      </c>
      <c r="D2361" s="90" t="s">
        <v>17</v>
      </c>
      <c r="E2361" s="90" t="s">
        <v>667</v>
      </c>
      <c r="F2361" s="90" t="s">
        <v>858</v>
      </c>
      <c r="G2361" s="137">
        <v>2</v>
      </c>
      <c r="H2361" s="94">
        <v>179</v>
      </c>
      <c r="I2361" s="91">
        <v>46014</v>
      </c>
      <c r="J2361" s="165">
        <v>0.68958333333333333</v>
      </c>
      <c r="K2361" s="94">
        <v>179</v>
      </c>
      <c r="L2361" s="72" t="str">
        <f t="shared" si="37"/>
        <v>Payé</v>
      </c>
    </row>
    <row r="2362" spans="1:12" ht="15" customHeight="1" x14ac:dyDescent="0.25">
      <c r="A2362" s="90" t="s">
        <v>858</v>
      </c>
      <c r="B2362" s="90"/>
      <c r="C2362" s="88" t="s">
        <v>1345</v>
      </c>
      <c r="D2362" s="89" t="s">
        <v>910</v>
      </c>
      <c r="E2362" s="90" t="s">
        <v>1348</v>
      </c>
      <c r="F2362" s="90" t="s">
        <v>858</v>
      </c>
      <c r="G2362" s="95">
        <v>124</v>
      </c>
      <c r="H2362" s="92">
        <v>3720</v>
      </c>
      <c r="I2362" s="91">
        <v>46000</v>
      </c>
      <c r="J2362" s="165">
        <v>0.4680555555555555</v>
      </c>
      <c r="K2362" s="92">
        <v>3720</v>
      </c>
      <c r="L2362" s="72" t="str">
        <f t="shared" si="37"/>
        <v>Payé</v>
      </c>
    </row>
    <row r="2363" spans="1:12" ht="15" customHeight="1" x14ac:dyDescent="0.25">
      <c r="A2363" s="90" t="s">
        <v>858</v>
      </c>
      <c r="B2363" s="90">
        <v>10114</v>
      </c>
      <c r="C2363" s="88" t="s">
        <v>1308</v>
      </c>
      <c r="D2363" s="90" t="s">
        <v>17</v>
      </c>
      <c r="E2363" s="90" t="s">
        <v>1344</v>
      </c>
      <c r="F2363" s="90" t="s">
        <v>858</v>
      </c>
      <c r="G2363" s="137">
        <v>9</v>
      </c>
      <c r="H2363" s="94">
        <v>806</v>
      </c>
      <c r="I2363" s="91">
        <v>46000</v>
      </c>
      <c r="J2363" s="165">
        <v>0.48680555555555555</v>
      </c>
      <c r="K2363" s="94">
        <v>806</v>
      </c>
      <c r="L2363" s="72" t="str">
        <f t="shared" si="37"/>
        <v>Payé</v>
      </c>
    </row>
    <row r="2364" spans="1:12" ht="15" customHeight="1" x14ac:dyDescent="0.25">
      <c r="A2364" s="90" t="s">
        <v>858</v>
      </c>
      <c r="B2364" s="90">
        <v>10115</v>
      </c>
      <c r="C2364" s="88" t="s">
        <v>1309</v>
      </c>
      <c r="D2364" s="90" t="s">
        <v>17</v>
      </c>
      <c r="E2364" s="90" t="s">
        <v>1344</v>
      </c>
      <c r="F2364" s="90" t="s">
        <v>858</v>
      </c>
      <c r="G2364" s="137">
        <v>8</v>
      </c>
      <c r="H2364" s="94">
        <v>717</v>
      </c>
      <c r="I2364" s="91">
        <v>46000</v>
      </c>
      <c r="J2364" s="165">
        <v>0.48680555555555555</v>
      </c>
      <c r="K2364" s="94">
        <v>717</v>
      </c>
      <c r="L2364" s="72" t="str">
        <f t="shared" si="37"/>
        <v>Payé</v>
      </c>
    </row>
    <row r="2365" spans="1:12" ht="15" customHeight="1" x14ac:dyDescent="0.25">
      <c r="A2365" s="90" t="s">
        <v>858</v>
      </c>
      <c r="B2365" s="90">
        <v>10116</v>
      </c>
      <c r="C2365" s="88" t="s">
        <v>1310</v>
      </c>
      <c r="D2365" s="90" t="s">
        <v>17</v>
      </c>
      <c r="E2365" s="90" t="s">
        <v>1344</v>
      </c>
      <c r="F2365" s="90" t="s">
        <v>858</v>
      </c>
      <c r="G2365" s="137">
        <v>8</v>
      </c>
      <c r="H2365" s="94">
        <v>717</v>
      </c>
      <c r="I2365" s="91">
        <v>46000</v>
      </c>
      <c r="J2365" s="165">
        <v>0.48680555555555555</v>
      </c>
      <c r="K2365" s="94">
        <v>717</v>
      </c>
      <c r="L2365" s="72" t="str">
        <f t="shared" si="37"/>
        <v>Payé</v>
      </c>
    </row>
    <row r="2366" spans="1:12" ht="15" customHeight="1" x14ac:dyDescent="0.25">
      <c r="A2366" s="90" t="s">
        <v>858</v>
      </c>
      <c r="B2366" s="90">
        <v>10117</v>
      </c>
      <c r="C2366" s="88" t="s">
        <v>1311</v>
      </c>
      <c r="D2366" s="90" t="s">
        <v>17</v>
      </c>
      <c r="E2366" s="90" t="s">
        <v>1344</v>
      </c>
      <c r="F2366" s="90" t="s">
        <v>858</v>
      </c>
      <c r="G2366" s="137">
        <v>6</v>
      </c>
      <c r="H2366" s="94">
        <v>537</v>
      </c>
      <c r="I2366" s="91">
        <v>46000</v>
      </c>
      <c r="J2366" s="165">
        <v>0.48680555555555555</v>
      </c>
      <c r="K2366" s="94">
        <v>537</v>
      </c>
      <c r="L2366" s="72" t="str">
        <f t="shared" si="37"/>
        <v>Payé</v>
      </c>
    </row>
    <row r="2367" spans="1:12" ht="15" customHeight="1" x14ac:dyDescent="0.25">
      <c r="A2367" s="90" t="s">
        <v>858</v>
      </c>
      <c r="B2367" s="90">
        <v>10118</v>
      </c>
      <c r="C2367" s="88" t="s">
        <v>1362</v>
      </c>
      <c r="D2367" s="90" t="s">
        <v>17</v>
      </c>
      <c r="E2367" s="90" t="s">
        <v>1344</v>
      </c>
      <c r="F2367" s="90" t="s">
        <v>858</v>
      </c>
      <c r="G2367" s="137">
        <v>2</v>
      </c>
      <c r="H2367" s="94">
        <v>179</v>
      </c>
      <c r="I2367" s="91">
        <v>46000</v>
      </c>
      <c r="J2367" s="165">
        <v>0.48680555555555555</v>
      </c>
      <c r="K2367" s="94">
        <v>179</v>
      </c>
      <c r="L2367" s="72" t="str">
        <f t="shared" si="37"/>
        <v>Payé</v>
      </c>
    </row>
    <row r="2368" spans="1:12" ht="15" customHeight="1" x14ac:dyDescent="0.25">
      <c r="A2368" s="90" t="s">
        <v>858</v>
      </c>
      <c r="B2368" s="90">
        <v>10119</v>
      </c>
      <c r="C2368" s="88" t="s">
        <v>1312</v>
      </c>
      <c r="D2368" s="90" t="s">
        <v>17</v>
      </c>
      <c r="E2368" s="90" t="s">
        <v>1344</v>
      </c>
      <c r="F2368" s="90" t="s">
        <v>858</v>
      </c>
      <c r="G2368" s="137">
        <v>3</v>
      </c>
      <c r="H2368" s="94">
        <v>269</v>
      </c>
      <c r="I2368" s="91">
        <v>46000</v>
      </c>
      <c r="J2368" s="165">
        <v>0.48680555555555555</v>
      </c>
      <c r="K2368" s="94">
        <v>269</v>
      </c>
      <c r="L2368" s="72" t="str">
        <f t="shared" si="37"/>
        <v>Payé</v>
      </c>
    </row>
    <row r="2369" spans="1:12" ht="15" customHeight="1" x14ac:dyDescent="0.25">
      <c r="A2369" s="90" t="s">
        <v>858</v>
      </c>
      <c r="B2369" s="90">
        <v>10120</v>
      </c>
      <c r="C2369" s="88" t="s">
        <v>1313</v>
      </c>
      <c r="D2369" s="90" t="s">
        <v>17</v>
      </c>
      <c r="E2369" s="90" t="s">
        <v>1344</v>
      </c>
      <c r="F2369" s="90" t="s">
        <v>858</v>
      </c>
      <c r="G2369" s="137">
        <v>1</v>
      </c>
      <c r="H2369" s="94">
        <v>90</v>
      </c>
      <c r="I2369" s="91">
        <v>46000</v>
      </c>
      <c r="J2369" s="165">
        <v>0.48680555555555555</v>
      </c>
      <c r="K2369" s="94">
        <v>90</v>
      </c>
      <c r="L2369" s="72" t="str">
        <f t="shared" si="37"/>
        <v>Payé</v>
      </c>
    </row>
    <row r="2370" spans="1:12" ht="15" customHeight="1" x14ac:dyDescent="0.25">
      <c r="A2370" s="90" t="s">
        <v>858</v>
      </c>
      <c r="B2370" s="90">
        <v>10121</v>
      </c>
      <c r="C2370" s="88" t="s">
        <v>1314</v>
      </c>
      <c r="D2370" s="90" t="s">
        <v>17</v>
      </c>
      <c r="E2370" s="90" t="s">
        <v>1344</v>
      </c>
      <c r="F2370" s="90" t="s">
        <v>858</v>
      </c>
      <c r="G2370" s="137">
        <v>7</v>
      </c>
      <c r="H2370" s="94">
        <v>627</v>
      </c>
      <c r="I2370" s="91">
        <v>46000</v>
      </c>
      <c r="J2370" s="165">
        <v>0.48680555555555555</v>
      </c>
      <c r="K2370" s="94">
        <v>627</v>
      </c>
      <c r="L2370" s="72" t="str">
        <f t="shared" si="37"/>
        <v>Payé</v>
      </c>
    </row>
    <row r="2371" spans="1:12" ht="15" customHeight="1" x14ac:dyDescent="0.25">
      <c r="A2371" s="90" t="s">
        <v>858</v>
      </c>
      <c r="B2371" s="90">
        <v>10122</v>
      </c>
      <c r="C2371" s="88" t="s">
        <v>1315</v>
      </c>
      <c r="D2371" s="90" t="s">
        <v>17</v>
      </c>
      <c r="E2371" s="90" t="s">
        <v>1344</v>
      </c>
      <c r="F2371" s="90" t="s">
        <v>858</v>
      </c>
      <c r="G2371" s="137">
        <v>8</v>
      </c>
      <c r="H2371" s="94">
        <v>717</v>
      </c>
      <c r="I2371" s="91">
        <v>46000</v>
      </c>
      <c r="J2371" s="165">
        <v>0.48680555555555555</v>
      </c>
      <c r="K2371" s="94">
        <v>717</v>
      </c>
      <c r="L2371" s="72" t="str">
        <f t="shared" si="37"/>
        <v>Payé</v>
      </c>
    </row>
    <row r="2372" spans="1:12" ht="15" customHeight="1" x14ac:dyDescent="0.25">
      <c r="A2372" s="90" t="s">
        <v>858</v>
      </c>
      <c r="B2372" s="90">
        <v>10123</v>
      </c>
      <c r="C2372" s="88" t="s">
        <v>1363</v>
      </c>
      <c r="D2372" s="90" t="s">
        <v>17</v>
      </c>
      <c r="E2372" s="90" t="s">
        <v>1344</v>
      </c>
      <c r="F2372" s="90" t="s">
        <v>858</v>
      </c>
      <c r="G2372" s="137">
        <v>1</v>
      </c>
      <c r="H2372" s="94">
        <v>90</v>
      </c>
      <c r="I2372" s="91">
        <v>46000</v>
      </c>
      <c r="J2372" s="165">
        <v>0.48680555555555555</v>
      </c>
      <c r="K2372" s="94">
        <v>90</v>
      </c>
      <c r="L2372" s="72" t="str">
        <f t="shared" si="37"/>
        <v>Payé</v>
      </c>
    </row>
    <row r="2373" spans="1:12" ht="15" customHeight="1" x14ac:dyDescent="0.25">
      <c r="A2373" s="90" t="s">
        <v>858</v>
      </c>
      <c r="B2373" s="90">
        <v>10125</v>
      </c>
      <c r="C2373" s="88" t="s">
        <v>1317</v>
      </c>
      <c r="D2373" s="90" t="s">
        <v>17</v>
      </c>
      <c r="E2373" s="90" t="s">
        <v>1344</v>
      </c>
      <c r="F2373" s="90" t="s">
        <v>858</v>
      </c>
      <c r="G2373" s="137">
        <v>8</v>
      </c>
      <c r="H2373" s="94">
        <v>717</v>
      </c>
      <c r="I2373" s="91">
        <v>46000</v>
      </c>
      <c r="J2373" s="165">
        <v>0.48680555555555555</v>
      </c>
      <c r="K2373" s="94">
        <v>717</v>
      </c>
      <c r="L2373" s="72" t="str">
        <f t="shared" si="37"/>
        <v>Payé</v>
      </c>
    </row>
    <row r="2374" spans="1:12" ht="15" customHeight="1" x14ac:dyDescent="0.25">
      <c r="A2374" s="90" t="s">
        <v>858</v>
      </c>
      <c r="B2374" s="90">
        <v>10126</v>
      </c>
      <c r="C2374" s="88" t="s">
        <v>1318</v>
      </c>
      <c r="D2374" s="90" t="s">
        <v>17</v>
      </c>
      <c r="E2374" s="90" t="s">
        <v>1344</v>
      </c>
      <c r="F2374" s="90" t="s">
        <v>858</v>
      </c>
      <c r="G2374" s="137">
        <v>8</v>
      </c>
      <c r="H2374" s="94">
        <v>717</v>
      </c>
      <c r="I2374" s="91">
        <v>46000</v>
      </c>
      <c r="J2374" s="165">
        <v>0.48680555555555555</v>
      </c>
      <c r="K2374" s="94">
        <v>717</v>
      </c>
      <c r="L2374" s="72" t="str">
        <f t="shared" si="37"/>
        <v>Payé</v>
      </c>
    </row>
    <row r="2375" spans="1:12" ht="15" customHeight="1" x14ac:dyDescent="0.25">
      <c r="A2375" s="90" t="s">
        <v>858</v>
      </c>
      <c r="B2375" s="90">
        <v>10128</v>
      </c>
      <c r="C2375" s="88" t="s">
        <v>1320</v>
      </c>
      <c r="D2375" s="90" t="s">
        <v>17</v>
      </c>
      <c r="E2375" s="90" t="s">
        <v>1344</v>
      </c>
      <c r="F2375" s="90" t="s">
        <v>858</v>
      </c>
      <c r="G2375" s="137">
        <v>8</v>
      </c>
      <c r="H2375" s="94">
        <v>717</v>
      </c>
      <c r="I2375" s="91">
        <v>46000</v>
      </c>
      <c r="J2375" s="165">
        <v>0.48680555555555555</v>
      </c>
      <c r="K2375" s="94">
        <v>717</v>
      </c>
      <c r="L2375" s="72" t="str">
        <f t="shared" si="37"/>
        <v>Payé</v>
      </c>
    </row>
    <row r="2376" spans="1:12" ht="15" customHeight="1" x14ac:dyDescent="0.25">
      <c r="A2376" s="90" t="s">
        <v>858</v>
      </c>
      <c r="B2376" s="90">
        <v>10129</v>
      </c>
      <c r="C2376" s="88" t="s">
        <v>1321</v>
      </c>
      <c r="D2376" s="90" t="s">
        <v>17</v>
      </c>
      <c r="E2376" s="90" t="s">
        <v>1344</v>
      </c>
      <c r="F2376" s="90" t="s">
        <v>858</v>
      </c>
      <c r="G2376" s="137">
        <v>7</v>
      </c>
      <c r="H2376" s="94">
        <v>627</v>
      </c>
      <c r="I2376" s="91">
        <v>46000</v>
      </c>
      <c r="J2376" s="165">
        <v>0.48680555555555555</v>
      </c>
      <c r="K2376" s="94">
        <v>627</v>
      </c>
      <c r="L2376" s="72" t="str">
        <f t="shared" si="37"/>
        <v>Payé</v>
      </c>
    </row>
    <row r="2377" spans="1:12" ht="15" customHeight="1" x14ac:dyDescent="0.25">
      <c r="A2377" s="90" t="s">
        <v>858</v>
      </c>
      <c r="B2377" s="90">
        <v>10130</v>
      </c>
      <c r="C2377" s="88" t="s">
        <v>1322</v>
      </c>
      <c r="D2377" s="90" t="s">
        <v>17</v>
      </c>
      <c r="E2377" s="90" t="s">
        <v>1344</v>
      </c>
      <c r="F2377" s="90" t="s">
        <v>858</v>
      </c>
      <c r="G2377" s="137">
        <v>8</v>
      </c>
      <c r="H2377" s="94">
        <v>717</v>
      </c>
      <c r="I2377" s="91">
        <v>46000</v>
      </c>
      <c r="J2377" s="165">
        <v>0.48680555555555555</v>
      </c>
      <c r="K2377" s="94">
        <v>717</v>
      </c>
      <c r="L2377" s="72" t="str">
        <f t="shared" si="37"/>
        <v>Payé</v>
      </c>
    </row>
    <row r="2378" spans="1:12" ht="15" customHeight="1" x14ac:dyDescent="0.25">
      <c r="A2378" s="90" t="s">
        <v>858</v>
      </c>
      <c r="B2378" s="90">
        <v>10131</v>
      </c>
      <c r="C2378" s="88" t="s">
        <v>1323</v>
      </c>
      <c r="D2378" s="90" t="s">
        <v>17</v>
      </c>
      <c r="E2378" s="90" t="s">
        <v>1344</v>
      </c>
      <c r="F2378" s="90" t="s">
        <v>858</v>
      </c>
      <c r="G2378" s="137">
        <v>6</v>
      </c>
      <c r="H2378" s="94">
        <v>537</v>
      </c>
      <c r="I2378" s="91">
        <v>46000</v>
      </c>
      <c r="J2378" s="165">
        <v>0.48680555555555555</v>
      </c>
      <c r="K2378" s="94">
        <v>537</v>
      </c>
      <c r="L2378" s="72" t="str">
        <f t="shared" si="37"/>
        <v>Payé</v>
      </c>
    </row>
    <row r="2379" spans="1:12" ht="15" customHeight="1" x14ac:dyDescent="0.25">
      <c r="A2379" s="90" t="s">
        <v>858</v>
      </c>
      <c r="B2379" s="90">
        <v>10137</v>
      </c>
      <c r="C2379" s="88" t="s">
        <v>1327</v>
      </c>
      <c r="D2379" s="90" t="s">
        <v>17</v>
      </c>
      <c r="E2379" s="90" t="s">
        <v>1344</v>
      </c>
      <c r="F2379" s="90" t="s">
        <v>858</v>
      </c>
      <c r="G2379" s="137">
        <v>9</v>
      </c>
      <c r="H2379" s="94">
        <v>806</v>
      </c>
      <c r="I2379" s="91">
        <v>46000</v>
      </c>
      <c r="J2379" s="165">
        <v>0.48680555555555555</v>
      </c>
      <c r="K2379" s="94">
        <v>806</v>
      </c>
      <c r="L2379" s="72" t="str">
        <f t="shared" si="37"/>
        <v>Payé</v>
      </c>
    </row>
    <row r="2380" spans="1:12" ht="15" customHeight="1" x14ac:dyDescent="0.25">
      <c r="A2380" s="90" t="s">
        <v>858</v>
      </c>
      <c r="B2380" s="90">
        <v>10195</v>
      </c>
      <c r="C2380" s="88" t="s">
        <v>1391</v>
      </c>
      <c r="D2380" s="90" t="s">
        <v>17</v>
      </c>
      <c r="E2380" s="90" t="s">
        <v>1344</v>
      </c>
      <c r="F2380" s="90" t="s">
        <v>858</v>
      </c>
      <c r="G2380" s="137">
        <v>7</v>
      </c>
      <c r="H2380" s="94">
        <v>627</v>
      </c>
      <c r="I2380" s="91">
        <v>46000</v>
      </c>
      <c r="J2380" s="165">
        <v>0.48680555555555555</v>
      </c>
      <c r="K2380" s="94">
        <v>627</v>
      </c>
      <c r="L2380" s="72" t="str">
        <f t="shared" si="37"/>
        <v>Payé</v>
      </c>
    </row>
    <row r="2381" spans="1:12" ht="15" customHeight="1" x14ac:dyDescent="0.25">
      <c r="A2381" s="90" t="s">
        <v>858</v>
      </c>
      <c r="B2381" s="90">
        <v>10197</v>
      </c>
      <c r="C2381" s="88" t="s">
        <v>1392</v>
      </c>
      <c r="D2381" s="90" t="s">
        <v>17</v>
      </c>
      <c r="E2381" s="90" t="s">
        <v>1344</v>
      </c>
      <c r="F2381" s="90" t="s">
        <v>858</v>
      </c>
      <c r="G2381" s="137">
        <v>8</v>
      </c>
      <c r="H2381" s="94">
        <v>717</v>
      </c>
      <c r="I2381" s="91">
        <v>46000</v>
      </c>
      <c r="J2381" s="165">
        <v>0.48680555555555555</v>
      </c>
      <c r="K2381" s="94">
        <v>717</v>
      </c>
      <c r="L2381" s="72" t="str">
        <f t="shared" si="37"/>
        <v>Payé</v>
      </c>
    </row>
    <row r="2382" spans="1:12" ht="15" customHeight="1" x14ac:dyDescent="0.25">
      <c r="A2382" s="90" t="s">
        <v>858</v>
      </c>
      <c r="B2382" s="90">
        <v>10207</v>
      </c>
      <c r="C2382" s="88" t="s">
        <v>1396</v>
      </c>
      <c r="D2382" s="90" t="s">
        <v>17</v>
      </c>
      <c r="E2382" s="90" t="s">
        <v>1344</v>
      </c>
      <c r="F2382" s="90" t="s">
        <v>858</v>
      </c>
      <c r="G2382" s="137">
        <v>2</v>
      </c>
      <c r="H2382" s="94">
        <v>179</v>
      </c>
      <c r="I2382" s="91">
        <v>46000</v>
      </c>
      <c r="J2382" s="165">
        <v>0.48680555555555555</v>
      </c>
      <c r="K2382" s="94">
        <v>179</v>
      </c>
      <c r="L2382" s="72" t="str">
        <f t="shared" si="37"/>
        <v>Payé</v>
      </c>
    </row>
    <row r="2383" spans="1:12" ht="15" customHeight="1" x14ac:dyDescent="0.25">
      <c r="A2383" s="90" t="s">
        <v>858</v>
      </c>
      <c r="B2383" s="90">
        <v>10400</v>
      </c>
      <c r="C2383" s="88" t="s">
        <v>1334</v>
      </c>
      <c r="D2383" s="90" t="s">
        <v>17</v>
      </c>
      <c r="E2383" s="90" t="s">
        <v>1344</v>
      </c>
      <c r="F2383" s="90" t="s">
        <v>858</v>
      </c>
      <c r="G2383" s="137">
        <v>8</v>
      </c>
      <c r="H2383" s="94">
        <v>717</v>
      </c>
      <c r="I2383" s="91">
        <v>46000</v>
      </c>
      <c r="J2383" s="165">
        <v>0.48680555555555555</v>
      </c>
      <c r="K2383" s="94">
        <v>717</v>
      </c>
      <c r="L2383" s="72" t="str">
        <f t="shared" si="37"/>
        <v>Payé</v>
      </c>
    </row>
    <row r="2384" spans="1:12" ht="15" customHeight="1" x14ac:dyDescent="0.25">
      <c r="A2384" s="90" t="s">
        <v>858</v>
      </c>
      <c r="B2384" s="90">
        <v>10401</v>
      </c>
      <c r="C2384" s="88" t="s">
        <v>1333</v>
      </c>
      <c r="D2384" s="90" t="s">
        <v>17</v>
      </c>
      <c r="E2384" s="90" t="s">
        <v>1344</v>
      </c>
      <c r="F2384" s="90" t="s">
        <v>858</v>
      </c>
      <c r="G2384" s="137">
        <v>1</v>
      </c>
      <c r="H2384" s="94">
        <v>90</v>
      </c>
      <c r="I2384" s="91">
        <v>46000</v>
      </c>
      <c r="J2384" s="165">
        <v>0.48680555555555555</v>
      </c>
      <c r="K2384" s="94">
        <v>90</v>
      </c>
      <c r="L2384" s="72" t="str">
        <f t="shared" si="37"/>
        <v>Payé</v>
      </c>
    </row>
    <row r="2385" spans="1:12" ht="15" customHeight="1" x14ac:dyDescent="0.25">
      <c r="A2385" s="90" t="s">
        <v>858</v>
      </c>
      <c r="B2385" s="90">
        <v>10402</v>
      </c>
      <c r="C2385" s="88" t="s">
        <v>1331</v>
      </c>
      <c r="D2385" s="90" t="s">
        <v>17</v>
      </c>
      <c r="E2385" s="90" t="s">
        <v>1344</v>
      </c>
      <c r="F2385" s="90" t="s">
        <v>858</v>
      </c>
      <c r="G2385" s="137">
        <v>7</v>
      </c>
      <c r="H2385" s="94">
        <v>627</v>
      </c>
      <c r="I2385" s="91">
        <v>46000</v>
      </c>
      <c r="J2385" s="165">
        <v>0.48680555555555555</v>
      </c>
      <c r="K2385" s="94">
        <v>627</v>
      </c>
      <c r="L2385" s="72" t="str">
        <f t="shared" si="37"/>
        <v>Payé</v>
      </c>
    </row>
    <row r="2386" spans="1:12" ht="15" customHeight="1" x14ac:dyDescent="0.25">
      <c r="A2386" s="90" t="s">
        <v>859</v>
      </c>
      <c r="B2386" s="90">
        <v>2299</v>
      </c>
      <c r="C2386" s="88" t="s">
        <v>1144</v>
      </c>
      <c r="D2386" s="90" t="s">
        <v>17</v>
      </c>
      <c r="E2386" s="90" t="s">
        <v>107</v>
      </c>
      <c r="F2386" s="90" t="s">
        <v>859</v>
      </c>
      <c r="G2386" s="137">
        <v>10</v>
      </c>
      <c r="H2386" s="94">
        <v>1000</v>
      </c>
      <c r="I2386" s="91">
        <v>46015</v>
      </c>
      <c r="J2386" s="165">
        <v>0.6069444444444444</v>
      </c>
      <c r="K2386" s="94">
        <v>1000</v>
      </c>
      <c r="L2386" s="72" t="str">
        <f t="shared" si="37"/>
        <v>Payé</v>
      </c>
    </row>
    <row r="2387" spans="1:12" ht="15" customHeight="1" x14ac:dyDescent="0.25">
      <c r="A2387" s="90" t="s">
        <v>859</v>
      </c>
      <c r="B2387" s="90">
        <v>3672</v>
      </c>
      <c r="C2387" s="88" t="s">
        <v>568</v>
      </c>
      <c r="D2387" s="90" t="s">
        <v>17</v>
      </c>
      <c r="E2387" s="90" t="s">
        <v>613</v>
      </c>
      <c r="F2387" s="90" t="s">
        <v>859</v>
      </c>
      <c r="G2387" s="137">
        <v>15</v>
      </c>
      <c r="H2387" s="94">
        <v>1650</v>
      </c>
      <c r="I2387" s="91">
        <v>46014</v>
      </c>
      <c r="J2387" s="165">
        <v>0.70486111111111116</v>
      </c>
      <c r="K2387" s="94">
        <v>1650</v>
      </c>
      <c r="L2387" s="72" t="str">
        <f t="shared" si="37"/>
        <v>Payé</v>
      </c>
    </row>
    <row r="2388" spans="1:12" ht="15" customHeight="1" x14ac:dyDescent="0.25">
      <c r="A2388" s="90" t="s">
        <v>859</v>
      </c>
      <c r="B2388" s="90">
        <v>5365</v>
      </c>
      <c r="C2388" s="88" t="s">
        <v>1123</v>
      </c>
      <c r="D2388" s="90" t="s">
        <v>17</v>
      </c>
      <c r="E2388" s="90" t="s">
        <v>370</v>
      </c>
      <c r="F2388" s="90" t="s">
        <v>859</v>
      </c>
      <c r="G2388" s="137">
        <v>15</v>
      </c>
      <c r="H2388" s="94">
        <v>1901</v>
      </c>
      <c r="I2388" s="91">
        <v>46015</v>
      </c>
      <c r="J2388" s="165">
        <v>0.42222222222222222</v>
      </c>
      <c r="K2388" s="94">
        <v>1901</v>
      </c>
      <c r="L2388" s="72" t="str">
        <f t="shared" si="37"/>
        <v>Payé</v>
      </c>
    </row>
    <row r="2389" spans="1:12" ht="15" customHeight="1" x14ac:dyDescent="0.25">
      <c r="A2389" s="90" t="s">
        <v>859</v>
      </c>
      <c r="B2389" s="90">
        <v>10004</v>
      </c>
      <c r="C2389" s="88" t="s">
        <v>1130</v>
      </c>
      <c r="D2389" s="90" t="s">
        <v>17</v>
      </c>
      <c r="E2389" s="90" t="s">
        <v>370</v>
      </c>
      <c r="F2389" s="90" t="s">
        <v>859</v>
      </c>
      <c r="G2389" s="137">
        <v>14</v>
      </c>
      <c r="H2389" s="94">
        <v>1680</v>
      </c>
      <c r="I2389" s="91">
        <v>46015</v>
      </c>
      <c r="J2389" s="165">
        <v>0.42222222222222222</v>
      </c>
      <c r="K2389" s="94">
        <v>1680</v>
      </c>
      <c r="L2389" s="72" t="str">
        <f t="shared" si="37"/>
        <v>Payé</v>
      </c>
    </row>
    <row r="2390" spans="1:12" ht="15" customHeight="1" x14ac:dyDescent="0.25">
      <c r="A2390" s="90" t="s">
        <v>859</v>
      </c>
      <c r="B2390" s="90">
        <v>10007</v>
      </c>
      <c r="C2390" s="88" t="s">
        <v>1133</v>
      </c>
      <c r="D2390" s="90" t="s">
        <v>17</v>
      </c>
      <c r="E2390" s="90" t="s">
        <v>107</v>
      </c>
      <c r="F2390" s="90" t="s">
        <v>859</v>
      </c>
      <c r="G2390" s="137">
        <v>15</v>
      </c>
      <c r="H2390" s="94">
        <v>1800</v>
      </c>
      <c r="I2390" s="91">
        <v>46015</v>
      </c>
      <c r="J2390" s="165">
        <v>0.6069444444444444</v>
      </c>
      <c r="K2390" s="94">
        <v>1800</v>
      </c>
      <c r="L2390" s="72" t="str">
        <f t="shared" si="37"/>
        <v>Payé</v>
      </c>
    </row>
    <row r="2391" spans="1:12" ht="15" customHeight="1" x14ac:dyDescent="0.25">
      <c r="A2391" s="90" t="s">
        <v>859</v>
      </c>
      <c r="B2391" s="90" t="s">
        <v>1420</v>
      </c>
      <c r="C2391" s="88" t="s">
        <v>1182</v>
      </c>
      <c r="D2391" s="90" t="s">
        <v>17</v>
      </c>
      <c r="E2391" s="90" t="s">
        <v>107</v>
      </c>
      <c r="F2391" s="90" t="s">
        <v>859</v>
      </c>
      <c r="G2391" s="137">
        <v>14</v>
      </c>
      <c r="H2391" s="94">
        <v>1400</v>
      </c>
      <c r="I2391" s="91">
        <v>46015</v>
      </c>
      <c r="J2391" s="165">
        <v>0.6069444444444444</v>
      </c>
      <c r="K2391" s="94">
        <v>1400</v>
      </c>
      <c r="L2391" s="72" t="str">
        <f t="shared" si="37"/>
        <v>Payé</v>
      </c>
    </row>
    <row r="2392" spans="1:12" ht="15" customHeight="1" x14ac:dyDescent="0.25">
      <c r="A2392" s="90" t="s">
        <v>859</v>
      </c>
      <c r="B2392" s="90" t="s">
        <v>1421</v>
      </c>
      <c r="C2392" s="88" t="s">
        <v>616</v>
      </c>
      <c r="D2392" s="90" t="s">
        <v>17</v>
      </c>
      <c r="E2392" s="90" t="s">
        <v>420</v>
      </c>
      <c r="F2392" s="90" t="s">
        <v>859</v>
      </c>
      <c r="G2392" s="137">
        <v>11</v>
      </c>
      <c r="H2392" s="94">
        <v>1190</v>
      </c>
      <c r="I2392" s="91">
        <v>46014</v>
      </c>
      <c r="J2392" s="165">
        <v>0.70486111111111116</v>
      </c>
      <c r="K2392" s="94">
        <v>1190</v>
      </c>
      <c r="L2392" s="72" t="str">
        <f t="shared" si="37"/>
        <v>Payé</v>
      </c>
    </row>
    <row r="2393" spans="1:12" ht="15" customHeight="1" x14ac:dyDescent="0.25">
      <c r="A2393" s="90" t="s">
        <v>859</v>
      </c>
      <c r="B2393" s="90">
        <v>10035</v>
      </c>
      <c r="C2393" s="88" t="s">
        <v>1181</v>
      </c>
      <c r="D2393" s="90" t="s">
        <v>17</v>
      </c>
      <c r="E2393" s="90" t="s">
        <v>369</v>
      </c>
      <c r="F2393" s="90" t="s">
        <v>859</v>
      </c>
      <c r="G2393" s="137">
        <v>12</v>
      </c>
      <c r="H2393" s="94">
        <v>1200</v>
      </c>
      <c r="I2393" s="91">
        <v>46014</v>
      </c>
      <c r="J2393" s="165">
        <v>0.7055555555555556</v>
      </c>
      <c r="K2393" s="94">
        <v>1200</v>
      </c>
      <c r="L2393" s="72" t="str">
        <f t="shared" si="37"/>
        <v>Payé</v>
      </c>
    </row>
    <row r="2394" spans="1:12" ht="15" customHeight="1" x14ac:dyDescent="0.25">
      <c r="A2394" s="90" t="s">
        <v>859</v>
      </c>
      <c r="B2394" s="90">
        <v>2331</v>
      </c>
      <c r="C2394" s="88" t="s">
        <v>344</v>
      </c>
      <c r="D2394" s="90" t="s">
        <v>17</v>
      </c>
      <c r="E2394" s="90" t="s">
        <v>81</v>
      </c>
      <c r="F2394" s="90" t="s">
        <v>859</v>
      </c>
      <c r="G2394" s="137">
        <v>2</v>
      </c>
      <c r="H2394" s="94">
        <v>173</v>
      </c>
      <c r="I2394" s="91">
        <v>46014</v>
      </c>
      <c r="J2394" s="165">
        <v>0.61944444444444446</v>
      </c>
      <c r="K2394" s="94">
        <v>173</v>
      </c>
      <c r="L2394" s="72" t="str">
        <f t="shared" si="37"/>
        <v>Payé</v>
      </c>
    </row>
    <row r="2395" spans="1:12" ht="15" customHeight="1" x14ac:dyDescent="0.25">
      <c r="A2395" s="90" t="s">
        <v>859</v>
      </c>
      <c r="B2395" s="90">
        <v>2300</v>
      </c>
      <c r="C2395" s="88" t="s">
        <v>1115</v>
      </c>
      <c r="D2395" s="90" t="s">
        <v>17</v>
      </c>
      <c r="E2395" s="90" t="s">
        <v>103</v>
      </c>
      <c r="F2395" s="90" t="s">
        <v>859</v>
      </c>
      <c r="G2395" s="137">
        <v>15</v>
      </c>
      <c r="H2395" s="94">
        <v>1800</v>
      </c>
      <c r="I2395" s="91">
        <v>46015</v>
      </c>
      <c r="J2395" s="165">
        <v>0.42222222222222222</v>
      </c>
      <c r="K2395" s="94">
        <v>1800</v>
      </c>
      <c r="L2395" s="72" t="str">
        <f t="shared" si="37"/>
        <v>Payé</v>
      </c>
    </row>
    <row r="2396" spans="1:12" ht="15" customHeight="1" x14ac:dyDescent="0.25">
      <c r="A2396" s="90" t="s">
        <v>859</v>
      </c>
      <c r="B2396" s="90">
        <v>4373</v>
      </c>
      <c r="C2396" s="88" t="s">
        <v>988</v>
      </c>
      <c r="D2396" s="90" t="s">
        <v>17</v>
      </c>
      <c r="E2396" s="90" t="s">
        <v>613</v>
      </c>
      <c r="F2396" s="90" t="s">
        <v>859</v>
      </c>
      <c r="G2396" s="137">
        <v>11</v>
      </c>
      <c r="H2396" s="94">
        <v>1100</v>
      </c>
      <c r="I2396" s="91">
        <v>46014</v>
      </c>
      <c r="J2396" s="165">
        <v>0.64444444444444449</v>
      </c>
      <c r="K2396" s="94">
        <v>1100</v>
      </c>
      <c r="L2396" s="72" t="str">
        <f t="shared" si="37"/>
        <v>Payé</v>
      </c>
    </row>
    <row r="2397" spans="1:12" ht="15" customHeight="1" x14ac:dyDescent="0.25">
      <c r="A2397" s="90" t="s">
        <v>859</v>
      </c>
      <c r="B2397" s="90">
        <v>10081</v>
      </c>
      <c r="C2397" s="88" t="s">
        <v>1258</v>
      </c>
      <c r="D2397" s="90" t="s">
        <v>17</v>
      </c>
      <c r="E2397" s="90" t="s">
        <v>613</v>
      </c>
      <c r="F2397" s="90" t="s">
        <v>859</v>
      </c>
      <c r="G2397" s="137">
        <v>14</v>
      </c>
      <c r="H2397" s="94">
        <v>1540</v>
      </c>
      <c r="I2397" s="91">
        <v>46014</v>
      </c>
      <c r="J2397" s="165">
        <v>0.66388888888888886</v>
      </c>
      <c r="K2397" s="94">
        <v>1540</v>
      </c>
      <c r="L2397" s="72" t="str">
        <f t="shared" si="37"/>
        <v>Payé</v>
      </c>
    </row>
    <row r="2398" spans="1:12" ht="15" customHeight="1" x14ac:dyDescent="0.25">
      <c r="A2398" s="90" t="s">
        <v>859</v>
      </c>
      <c r="B2398" s="90">
        <v>1611</v>
      </c>
      <c r="C2398" s="88" t="s">
        <v>1234</v>
      </c>
      <c r="D2398" s="90" t="s">
        <v>17</v>
      </c>
      <c r="E2398" s="90" t="s">
        <v>123</v>
      </c>
      <c r="F2398" s="90" t="s">
        <v>859</v>
      </c>
      <c r="G2398" s="137">
        <v>11</v>
      </c>
      <c r="H2398" s="94">
        <v>1020</v>
      </c>
      <c r="I2398" s="91">
        <v>46017</v>
      </c>
      <c r="J2398" s="165">
        <v>0.59930555555555554</v>
      </c>
      <c r="K2398" s="94">
        <v>1020</v>
      </c>
      <c r="L2398" s="72" t="str">
        <f t="shared" ref="L2398:L2461" si="38">IF(ISBLANK(H2398),"",IF(H2398=K2398,"Payé","Impayé"))</f>
        <v>Payé</v>
      </c>
    </row>
    <row r="2399" spans="1:12" ht="15" customHeight="1" x14ac:dyDescent="0.25">
      <c r="A2399" s="90" t="s">
        <v>859</v>
      </c>
      <c r="B2399" s="90">
        <v>2403</v>
      </c>
      <c r="C2399" s="88" t="s">
        <v>1207</v>
      </c>
      <c r="D2399" s="90" t="s">
        <v>17</v>
      </c>
      <c r="E2399" s="90" t="s">
        <v>123</v>
      </c>
      <c r="F2399" s="90" t="s">
        <v>859</v>
      </c>
      <c r="G2399" s="137">
        <v>9</v>
      </c>
      <c r="H2399" s="94">
        <v>810</v>
      </c>
      <c r="I2399" s="91">
        <v>46015</v>
      </c>
      <c r="J2399" s="165">
        <v>0.4201388888888889</v>
      </c>
      <c r="K2399" s="94">
        <v>810</v>
      </c>
      <c r="L2399" s="72" t="str">
        <f t="shared" si="38"/>
        <v>Payé</v>
      </c>
    </row>
    <row r="2400" spans="1:12" ht="15" customHeight="1" x14ac:dyDescent="0.25">
      <c r="A2400" s="90" t="s">
        <v>859</v>
      </c>
      <c r="B2400" s="90">
        <v>2856</v>
      </c>
      <c r="C2400" s="88" t="s">
        <v>1288</v>
      </c>
      <c r="D2400" s="90" t="s">
        <v>17</v>
      </c>
      <c r="E2400" s="90" t="s">
        <v>123</v>
      </c>
      <c r="F2400" s="90" t="s">
        <v>859</v>
      </c>
      <c r="G2400" s="137">
        <v>12</v>
      </c>
      <c r="H2400" s="94">
        <v>1150</v>
      </c>
      <c r="I2400" s="91">
        <v>46015</v>
      </c>
      <c r="J2400" s="165">
        <v>0.60625000000000007</v>
      </c>
      <c r="K2400" s="94">
        <v>1150</v>
      </c>
      <c r="L2400" s="72" t="str">
        <f t="shared" si="38"/>
        <v>Payé</v>
      </c>
    </row>
    <row r="2401" spans="1:12" ht="15" customHeight="1" x14ac:dyDescent="0.25">
      <c r="A2401" s="90" t="s">
        <v>859</v>
      </c>
      <c r="B2401" s="90">
        <v>3726</v>
      </c>
      <c r="C2401" s="88" t="s">
        <v>570</v>
      </c>
      <c r="D2401" s="90" t="s">
        <v>17</v>
      </c>
      <c r="E2401" s="90" t="s">
        <v>123</v>
      </c>
      <c r="F2401" s="90" t="s">
        <v>859</v>
      </c>
      <c r="G2401" s="137">
        <v>12</v>
      </c>
      <c r="H2401" s="94">
        <v>1080</v>
      </c>
      <c r="I2401" s="91">
        <v>46014</v>
      </c>
      <c r="J2401" s="165">
        <v>0.70277777777777783</v>
      </c>
      <c r="K2401" s="94">
        <v>1080</v>
      </c>
      <c r="L2401" s="72" t="str">
        <f t="shared" si="38"/>
        <v>Payé</v>
      </c>
    </row>
    <row r="2402" spans="1:12" ht="15" customHeight="1" x14ac:dyDescent="0.25">
      <c r="A2402" s="90" t="s">
        <v>859</v>
      </c>
      <c r="B2402" s="90">
        <v>10211</v>
      </c>
      <c r="C2402" s="88" t="s">
        <v>1400</v>
      </c>
      <c r="D2402" s="90" t="s">
        <v>17</v>
      </c>
      <c r="E2402" s="90" t="s">
        <v>123</v>
      </c>
      <c r="F2402" s="90" t="s">
        <v>859</v>
      </c>
      <c r="G2402" s="137">
        <v>11</v>
      </c>
      <c r="H2402" s="94">
        <v>1000</v>
      </c>
      <c r="I2402" s="91">
        <v>46015</v>
      </c>
      <c r="J2402" s="165">
        <v>0.5395833333333333</v>
      </c>
      <c r="K2402" s="94">
        <v>1000</v>
      </c>
      <c r="L2402" s="72" t="str">
        <f t="shared" si="38"/>
        <v>Payé</v>
      </c>
    </row>
    <row r="2403" spans="1:12" ht="15" customHeight="1" x14ac:dyDescent="0.25">
      <c r="A2403" s="90" t="s">
        <v>859</v>
      </c>
      <c r="B2403" s="90">
        <v>5258</v>
      </c>
      <c r="C2403" s="88" t="s">
        <v>893</v>
      </c>
      <c r="D2403" s="90" t="s">
        <v>17</v>
      </c>
      <c r="E2403" s="90" t="s">
        <v>123</v>
      </c>
      <c r="F2403" s="90" t="s">
        <v>859</v>
      </c>
      <c r="G2403" s="137">
        <v>11</v>
      </c>
      <c r="H2403" s="94">
        <v>990</v>
      </c>
      <c r="I2403" s="91">
        <v>46015</v>
      </c>
      <c r="J2403" s="165">
        <v>0.4201388888888889</v>
      </c>
      <c r="K2403" s="94">
        <v>990</v>
      </c>
      <c r="L2403" s="72" t="str">
        <f t="shared" si="38"/>
        <v>Payé</v>
      </c>
    </row>
    <row r="2404" spans="1:12" ht="15" customHeight="1" x14ac:dyDescent="0.25">
      <c r="A2404" s="90" t="s">
        <v>859</v>
      </c>
      <c r="B2404" s="90">
        <v>5344</v>
      </c>
      <c r="C2404" s="88" t="s">
        <v>1079</v>
      </c>
      <c r="D2404" s="90" t="s">
        <v>17</v>
      </c>
      <c r="E2404" s="90" t="s">
        <v>123</v>
      </c>
      <c r="F2404" s="90" t="s">
        <v>859</v>
      </c>
      <c r="G2404" s="137">
        <v>7</v>
      </c>
      <c r="H2404" s="94">
        <v>650</v>
      </c>
      <c r="I2404" s="91">
        <v>46014</v>
      </c>
      <c r="J2404" s="165">
        <v>0.70277777777777783</v>
      </c>
      <c r="K2404" s="94">
        <v>650</v>
      </c>
      <c r="L2404" s="72" t="str">
        <f t="shared" si="38"/>
        <v>Payé</v>
      </c>
    </row>
    <row r="2405" spans="1:12" ht="15" customHeight="1" x14ac:dyDescent="0.25">
      <c r="A2405" s="90" t="s">
        <v>859</v>
      </c>
      <c r="B2405" s="90">
        <v>10373</v>
      </c>
      <c r="C2405" s="88" t="s">
        <v>1422</v>
      </c>
      <c r="D2405" s="90" t="s">
        <v>17</v>
      </c>
      <c r="E2405" s="90" t="s">
        <v>1104</v>
      </c>
      <c r="F2405" s="90" t="s">
        <v>859</v>
      </c>
      <c r="G2405" s="137">
        <v>2</v>
      </c>
      <c r="H2405" s="94">
        <v>180</v>
      </c>
      <c r="I2405" s="91">
        <v>46014</v>
      </c>
      <c r="J2405" s="165">
        <v>0.67569444444444438</v>
      </c>
      <c r="K2405" s="94">
        <v>180</v>
      </c>
      <c r="L2405" s="72" t="str">
        <f t="shared" si="38"/>
        <v>Payé</v>
      </c>
    </row>
    <row r="2406" spans="1:12" ht="15" customHeight="1" x14ac:dyDescent="0.25">
      <c r="A2406" s="90" t="s">
        <v>859</v>
      </c>
      <c r="B2406" s="90">
        <v>5136</v>
      </c>
      <c r="C2406" s="88" t="s">
        <v>1067</v>
      </c>
      <c r="D2406" s="90" t="s">
        <v>17</v>
      </c>
      <c r="E2406" s="90" t="s">
        <v>1104</v>
      </c>
      <c r="F2406" s="90" t="s">
        <v>859</v>
      </c>
      <c r="G2406" s="137">
        <v>14</v>
      </c>
      <c r="H2406" s="94">
        <v>1260</v>
      </c>
      <c r="I2406" s="91">
        <v>46014</v>
      </c>
      <c r="J2406" s="165">
        <v>0.67361111111111116</v>
      </c>
      <c r="K2406" s="94">
        <v>1260</v>
      </c>
      <c r="L2406" s="72" t="str">
        <f t="shared" si="38"/>
        <v>Payé</v>
      </c>
    </row>
    <row r="2407" spans="1:12" ht="15" customHeight="1" x14ac:dyDescent="0.25">
      <c r="A2407" s="90" t="s">
        <v>859</v>
      </c>
      <c r="B2407" s="90">
        <v>5305</v>
      </c>
      <c r="C2407" s="88" t="s">
        <v>1016</v>
      </c>
      <c r="D2407" s="90" t="s">
        <v>17</v>
      </c>
      <c r="E2407" s="90" t="s">
        <v>1104</v>
      </c>
      <c r="F2407" s="90" t="s">
        <v>859</v>
      </c>
      <c r="G2407" s="137">
        <v>7</v>
      </c>
      <c r="H2407" s="94">
        <v>630</v>
      </c>
      <c r="I2407" s="91">
        <v>46014</v>
      </c>
      <c r="J2407" s="165">
        <v>0.67569444444444438</v>
      </c>
      <c r="K2407" s="94">
        <v>630</v>
      </c>
      <c r="L2407" s="72" t="str">
        <f t="shared" si="38"/>
        <v>Payé</v>
      </c>
    </row>
    <row r="2408" spans="1:12" ht="15" customHeight="1" x14ac:dyDescent="0.25">
      <c r="A2408" s="90" t="s">
        <v>859</v>
      </c>
      <c r="B2408" s="90">
        <v>5355</v>
      </c>
      <c r="C2408" s="88" t="s">
        <v>1090</v>
      </c>
      <c r="D2408" s="90" t="s">
        <v>17</v>
      </c>
      <c r="E2408" s="90" t="s">
        <v>1104</v>
      </c>
      <c r="F2408" s="90" t="s">
        <v>859</v>
      </c>
      <c r="G2408" s="137">
        <v>11</v>
      </c>
      <c r="H2408" s="94">
        <v>990</v>
      </c>
      <c r="I2408" s="91">
        <v>46017</v>
      </c>
      <c r="J2408" s="165">
        <v>0.3840277777777778</v>
      </c>
      <c r="K2408" s="94">
        <v>990</v>
      </c>
      <c r="L2408" s="72" t="str">
        <f t="shared" si="38"/>
        <v>Payé</v>
      </c>
    </row>
    <row r="2409" spans="1:12" ht="15" customHeight="1" x14ac:dyDescent="0.25">
      <c r="A2409" s="90" t="s">
        <v>859</v>
      </c>
      <c r="B2409" s="90">
        <v>10374</v>
      </c>
      <c r="C2409" s="88" t="s">
        <v>1423</v>
      </c>
      <c r="D2409" s="90" t="s">
        <v>17</v>
      </c>
      <c r="E2409" s="90" t="s">
        <v>1104</v>
      </c>
      <c r="F2409" s="90" t="s">
        <v>859</v>
      </c>
      <c r="G2409" s="137">
        <v>1</v>
      </c>
      <c r="H2409" s="94">
        <v>90</v>
      </c>
      <c r="I2409" s="91">
        <v>46014</v>
      </c>
      <c r="J2409" s="165">
        <v>0.67569444444444438</v>
      </c>
      <c r="K2409" s="94">
        <v>90</v>
      </c>
      <c r="L2409" s="72" t="str">
        <f t="shared" si="38"/>
        <v>Payé</v>
      </c>
    </row>
    <row r="2410" spans="1:12" ht="15" customHeight="1" x14ac:dyDescent="0.25">
      <c r="A2410" s="90" t="s">
        <v>859</v>
      </c>
      <c r="B2410" s="90">
        <v>10048</v>
      </c>
      <c r="C2410" s="88" t="s">
        <v>1218</v>
      </c>
      <c r="D2410" s="90" t="s">
        <v>17</v>
      </c>
      <c r="E2410" s="90" t="s">
        <v>1104</v>
      </c>
      <c r="F2410" s="90" t="s">
        <v>859</v>
      </c>
      <c r="G2410" s="137">
        <v>15</v>
      </c>
      <c r="H2410" s="94">
        <v>1360</v>
      </c>
      <c r="I2410" s="91">
        <v>46014</v>
      </c>
      <c r="J2410" s="165">
        <v>0.67361111111111116</v>
      </c>
      <c r="K2410" s="94">
        <v>1360</v>
      </c>
      <c r="L2410" s="72" t="str">
        <f t="shared" si="38"/>
        <v>Payé</v>
      </c>
    </row>
    <row r="2411" spans="1:12" ht="15" customHeight="1" x14ac:dyDescent="0.25">
      <c r="A2411" s="90" t="s">
        <v>859</v>
      </c>
      <c r="B2411" s="90">
        <v>10054</v>
      </c>
      <c r="C2411" s="88" t="s">
        <v>1222</v>
      </c>
      <c r="D2411" s="90" t="s">
        <v>17</v>
      </c>
      <c r="E2411" s="90" t="s">
        <v>1104</v>
      </c>
      <c r="F2411" s="90" t="s">
        <v>859</v>
      </c>
      <c r="G2411" s="137">
        <v>15</v>
      </c>
      <c r="H2411" s="94">
        <v>1350</v>
      </c>
      <c r="I2411" s="91">
        <v>46014</v>
      </c>
      <c r="J2411" s="165">
        <v>0.67361111111111116</v>
      </c>
      <c r="K2411" s="94">
        <v>1350</v>
      </c>
      <c r="L2411" s="72" t="str">
        <f t="shared" si="38"/>
        <v>Payé</v>
      </c>
    </row>
    <row r="2412" spans="1:12" ht="15" customHeight="1" x14ac:dyDescent="0.25">
      <c r="A2412" s="90" t="s">
        <v>859</v>
      </c>
      <c r="B2412" s="90">
        <v>10164</v>
      </c>
      <c r="C2412" s="88" t="s">
        <v>1343</v>
      </c>
      <c r="D2412" s="90" t="s">
        <v>17</v>
      </c>
      <c r="E2412" s="90" t="s">
        <v>1104</v>
      </c>
      <c r="F2412" s="90" t="s">
        <v>859</v>
      </c>
      <c r="G2412" s="137">
        <v>15</v>
      </c>
      <c r="H2412" s="94">
        <v>1350</v>
      </c>
      <c r="I2412" s="91">
        <v>46017</v>
      </c>
      <c r="J2412" s="165">
        <v>0.3840277777777778</v>
      </c>
      <c r="K2412" s="94">
        <v>1350</v>
      </c>
      <c r="L2412" s="72" t="str">
        <f t="shared" si="38"/>
        <v>Payé</v>
      </c>
    </row>
    <row r="2413" spans="1:12" ht="15" customHeight="1" x14ac:dyDescent="0.25">
      <c r="A2413" s="90" t="s">
        <v>858</v>
      </c>
      <c r="B2413" s="90"/>
      <c r="C2413" s="88" t="s">
        <v>1346</v>
      </c>
      <c r="D2413" s="89" t="s">
        <v>910</v>
      </c>
      <c r="E2413" s="90" t="s">
        <v>649</v>
      </c>
      <c r="F2413" s="90" t="s">
        <v>858</v>
      </c>
      <c r="G2413" s="95">
        <v>240</v>
      </c>
      <c r="H2413" s="92">
        <v>7200</v>
      </c>
      <c r="I2413" s="91">
        <v>45999</v>
      </c>
      <c r="J2413" s="165">
        <v>0.56180555555555556</v>
      </c>
      <c r="K2413" s="92">
        <v>7200</v>
      </c>
      <c r="L2413" s="72" t="str">
        <f t="shared" si="38"/>
        <v>Payé</v>
      </c>
    </row>
    <row r="2414" spans="1:12" ht="15" customHeight="1" x14ac:dyDescent="0.25">
      <c r="A2414" s="90" t="s">
        <v>858</v>
      </c>
      <c r="B2414" s="90">
        <v>2700</v>
      </c>
      <c r="C2414" s="88" t="s">
        <v>1287</v>
      </c>
      <c r="D2414" s="90" t="s">
        <v>17</v>
      </c>
      <c r="E2414" s="90" t="s">
        <v>649</v>
      </c>
      <c r="F2414" s="90" t="s">
        <v>858</v>
      </c>
      <c r="G2414" s="137">
        <v>2</v>
      </c>
      <c r="H2414" s="94">
        <v>179</v>
      </c>
      <c r="I2414" s="91">
        <v>46000</v>
      </c>
      <c r="J2414" s="165">
        <v>0.72152777777777777</v>
      </c>
      <c r="K2414" s="94">
        <v>179</v>
      </c>
      <c r="L2414" s="72" t="str">
        <f t="shared" si="38"/>
        <v>Payé</v>
      </c>
    </row>
    <row r="2415" spans="1:12" ht="15" customHeight="1" x14ac:dyDescent="0.25">
      <c r="A2415" s="90" t="s">
        <v>858</v>
      </c>
      <c r="B2415" s="90">
        <v>2986</v>
      </c>
      <c r="C2415" s="88" t="s">
        <v>1236</v>
      </c>
      <c r="D2415" s="90" t="s">
        <v>17</v>
      </c>
      <c r="E2415" s="90" t="s">
        <v>649</v>
      </c>
      <c r="F2415" s="90" t="s">
        <v>858</v>
      </c>
      <c r="G2415" s="137">
        <v>12</v>
      </c>
      <c r="H2415" s="94">
        <v>1075</v>
      </c>
      <c r="I2415" s="91">
        <v>46000</v>
      </c>
      <c r="J2415" s="165">
        <v>0.6875</v>
      </c>
      <c r="K2415" s="94">
        <v>1075</v>
      </c>
      <c r="L2415" s="72" t="str">
        <f t="shared" si="38"/>
        <v>Payé</v>
      </c>
    </row>
    <row r="2416" spans="1:12" ht="15" customHeight="1" x14ac:dyDescent="0.25">
      <c r="A2416" s="90" t="s">
        <v>858</v>
      </c>
      <c r="B2416" s="90">
        <v>3020</v>
      </c>
      <c r="C2416" s="88" t="s">
        <v>693</v>
      </c>
      <c r="D2416" s="90" t="s">
        <v>17</v>
      </c>
      <c r="E2416" s="90" t="s">
        <v>649</v>
      </c>
      <c r="F2416" s="90" t="s">
        <v>858</v>
      </c>
      <c r="G2416" s="137">
        <v>9</v>
      </c>
      <c r="H2416" s="94">
        <v>806</v>
      </c>
      <c r="I2416" s="91">
        <v>46000</v>
      </c>
      <c r="J2416" s="165">
        <v>0.6875</v>
      </c>
      <c r="K2416" s="94">
        <v>806</v>
      </c>
      <c r="L2416" s="72" t="str">
        <f t="shared" si="38"/>
        <v>Payé</v>
      </c>
    </row>
    <row r="2417" spans="1:12" ht="15" customHeight="1" x14ac:dyDescent="0.25">
      <c r="A2417" s="90" t="s">
        <v>858</v>
      </c>
      <c r="B2417" s="90">
        <v>3087</v>
      </c>
      <c r="C2417" s="88" t="s">
        <v>1238</v>
      </c>
      <c r="D2417" s="90" t="s">
        <v>17</v>
      </c>
      <c r="E2417" s="90" t="s">
        <v>649</v>
      </c>
      <c r="F2417" s="90" t="s">
        <v>858</v>
      </c>
      <c r="G2417" s="137">
        <v>14</v>
      </c>
      <c r="H2417" s="94">
        <v>1254</v>
      </c>
      <c r="I2417" s="91">
        <v>46000</v>
      </c>
      <c r="J2417" s="165">
        <v>0.6875</v>
      </c>
      <c r="K2417" s="94">
        <v>1254</v>
      </c>
      <c r="L2417" s="72" t="str">
        <f t="shared" si="38"/>
        <v>Payé</v>
      </c>
    </row>
    <row r="2418" spans="1:12" ht="15" customHeight="1" x14ac:dyDescent="0.25">
      <c r="A2418" s="90" t="s">
        <v>858</v>
      </c>
      <c r="B2418" s="90">
        <v>3130</v>
      </c>
      <c r="C2418" s="88" t="s">
        <v>553</v>
      </c>
      <c r="D2418" s="90" t="s">
        <v>17</v>
      </c>
      <c r="E2418" s="90" t="s">
        <v>649</v>
      </c>
      <c r="F2418" s="90" t="s">
        <v>858</v>
      </c>
      <c r="G2418" s="137">
        <v>14</v>
      </c>
      <c r="H2418" s="94">
        <v>1254</v>
      </c>
      <c r="I2418" s="91">
        <v>46000</v>
      </c>
      <c r="J2418" s="165">
        <v>0.6875</v>
      </c>
      <c r="K2418" s="94">
        <v>1254</v>
      </c>
      <c r="L2418" s="72" t="str">
        <f t="shared" si="38"/>
        <v>Payé</v>
      </c>
    </row>
    <row r="2419" spans="1:12" ht="15" customHeight="1" x14ac:dyDescent="0.25">
      <c r="A2419" s="90" t="s">
        <v>858</v>
      </c>
      <c r="B2419" s="90">
        <v>3337</v>
      </c>
      <c r="C2419" s="88" t="s">
        <v>556</v>
      </c>
      <c r="D2419" s="90" t="s">
        <v>17</v>
      </c>
      <c r="E2419" s="90" t="s">
        <v>649</v>
      </c>
      <c r="F2419" s="90" t="s">
        <v>858</v>
      </c>
      <c r="G2419" s="137">
        <v>9</v>
      </c>
      <c r="H2419" s="94">
        <v>806</v>
      </c>
      <c r="I2419" s="91">
        <v>46000</v>
      </c>
      <c r="J2419" s="165">
        <v>0.6875</v>
      </c>
      <c r="K2419" s="94">
        <v>806</v>
      </c>
      <c r="L2419" s="72" t="str">
        <f t="shared" si="38"/>
        <v>Payé</v>
      </c>
    </row>
    <row r="2420" spans="1:12" ht="15" customHeight="1" x14ac:dyDescent="0.25">
      <c r="A2420" s="90" t="s">
        <v>858</v>
      </c>
      <c r="B2420" s="90">
        <v>3627</v>
      </c>
      <c r="C2420" s="88" t="s">
        <v>566</v>
      </c>
      <c r="D2420" s="90" t="s">
        <v>17</v>
      </c>
      <c r="E2420" s="90" t="s">
        <v>649</v>
      </c>
      <c r="F2420" s="90" t="s">
        <v>858</v>
      </c>
      <c r="G2420" s="137">
        <v>4</v>
      </c>
      <c r="H2420" s="94">
        <v>358</v>
      </c>
      <c r="I2420" s="91">
        <v>46000</v>
      </c>
      <c r="J2420" s="165">
        <v>0.72152777777777777</v>
      </c>
      <c r="K2420" s="94">
        <v>358</v>
      </c>
      <c r="L2420" s="72" t="str">
        <f t="shared" si="38"/>
        <v>Payé</v>
      </c>
    </row>
    <row r="2421" spans="1:12" ht="15" customHeight="1" x14ac:dyDescent="0.25">
      <c r="A2421" s="90" t="s">
        <v>858</v>
      </c>
      <c r="B2421" s="90">
        <v>4025</v>
      </c>
      <c r="C2421" s="88" t="s">
        <v>1358</v>
      </c>
      <c r="D2421" s="90" t="s">
        <v>17</v>
      </c>
      <c r="E2421" s="90" t="s">
        <v>649</v>
      </c>
      <c r="F2421" s="90" t="s">
        <v>858</v>
      </c>
      <c r="G2421" s="137">
        <v>7</v>
      </c>
      <c r="H2421" s="94">
        <v>627</v>
      </c>
      <c r="I2421" s="91">
        <v>46000</v>
      </c>
      <c r="J2421" s="165">
        <v>0.6875</v>
      </c>
      <c r="K2421" s="94">
        <v>627</v>
      </c>
      <c r="L2421" s="72" t="str">
        <f t="shared" si="38"/>
        <v>Payé</v>
      </c>
    </row>
    <row r="2422" spans="1:12" ht="15" customHeight="1" x14ac:dyDescent="0.25">
      <c r="A2422" s="90" t="s">
        <v>858</v>
      </c>
      <c r="B2422" s="90">
        <v>4177</v>
      </c>
      <c r="C2422" s="88" t="s">
        <v>582</v>
      </c>
      <c r="D2422" s="90" t="s">
        <v>17</v>
      </c>
      <c r="E2422" s="90" t="s">
        <v>649</v>
      </c>
      <c r="F2422" s="90" t="s">
        <v>858</v>
      </c>
      <c r="G2422" s="137">
        <v>12</v>
      </c>
      <c r="H2422" s="94">
        <v>1075</v>
      </c>
      <c r="I2422" s="91">
        <v>46000</v>
      </c>
      <c r="J2422" s="165">
        <v>0.6875</v>
      </c>
      <c r="K2422" s="94">
        <v>1075</v>
      </c>
      <c r="L2422" s="72" t="str">
        <f t="shared" si="38"/>
        <v>Payé</v>
      </c>
    </row>
    <row r="2423" spans="1:12" ht="15" customHeight="1" x14ac:dyDescent="0.25">
      <c r="A2423" s="90" t="s">
        <v>858</v>
      </c>
      <c r="B2423" s="90">
        <v>4204</v>
      </c>
      <c r="C2423" s="88" t="s">
        <v>610</v>
      </c>
      <c r="D2423" s="90" t="s">
        <v>17</v>
      </c>
      <c r="E2423" s="90" t="s">
        <v>649</v>
      </c>
      <c r="F2423" s="90" t="s">
        <v>858</v>
      </c>
      <c r="G2423" s="137">
        <v>6</v>
      </c>
      <c r="H2423" s="94">
        <v>537</v>
      </c>
      <c r="I2423" s="91">
        <v>46000</v>
      </c>
      <c r="J2423" s="165">
        <v>0.6875</v>
      </c>
      <c r="K2423" s="94">
        <v>537</v>
      </c>
      <c r="L2423" s="72" t="str">
        <f t="shared" si="38"/>
        <v>Payé</v>
      </c>
    </row>
    <row r="2424" spans="1:12" ht="15" customHeight="1" x14ac:dyDescent="0.25">
      <c r="A2424" s="90" t="s">
        <v>858</v>
      </c>
      <c r="B2424" s="90">
        <v>4263</v>
      </c>
      <c r="C2424" s="88" t="s">
        <v>1245</v>
      </c>
      <c r="D2424" s="90" t="s">
        <v>17</v>
      </c>
      <c r="E2424" s="90" t="s">
        <v>649</v>
      </c>
      <c r="F2424" s="90" t="s">
        <v>858</v>
      </c>
      <c r="G2424" s="137">
        <v>12</v>
      </c>
      <c r="H2424" s="94">
        <v>1075</v>
      </c>
      <c r="I2424" s="91">
        <v>46000</v>
      </c>
      <c r="J2424" s="165">
        <v>0.6875</v>
      </c>
      <c r="K2424" s="94">
        <v>1075</v>
      </c>
      <c r="L2424" s="72" t="str">
        <f t="shared" si="38"/>
        <v>Payé</v>
      </c>
    </row>
    <row r="2425" spans="1:12" ht="15" customHeight="1" x14ac:dyDescent="0.25">
      <c r="A2425" s="90" t="s">
        <v>858</v>
      </c>
      <c r="B2425" s="90">
        <v>4282</v>
      </c>
      <c r="C2425" s="88" t="s">
        <v>1246</v>
      </c>
      <c r="D2425" s="90" t="s">
        <v>17</v>
      </c>
      <c r="E2425" s="90" t="s">
        <v>649</v>
      </c>
      <c r="F2425" s="90" t="s">
        <v>858</v>
      </c>
      <c r="G2425" s="137">
        <v>12</v>
      </c>
      <c r="H2425" s="94">
        <v>1075</v>
      </c>
      <c r="I2425" s="91">
        <v>46000</v>
      </c>
      <c r="J2425" s="165">
        <v>0.6875</v>
      </c>
      <c r="K2425" s="94">
        <v>1075</v>
      </c>
      <c r="L2425" s="72" t="str">
        <f t="shared" si="38"/>
        <v>Payé</v>
      </c>
    </row>
    <row r="2426" spans="1:12" ht="15" customHeight="1" x14ac:dyDescent="0.25">
      <c r="A2426" s="90" t="s">
        <v>858</v>
      </c>
      <c r="B2426" s="90">
        <v>5050</v>
      </c>
      <c r="C2426" s="88" t="s">
        <v>1292</v>
      </c>
      <c r="D2426" s="90" t="s">
        <v>17</v>
      </c>
      <c r="E2426" s="90" t="s">
        <v>649</v>
      </c>
      <c r="F2426" s="90" t="s">
        <v>858</v>
      </c>
      <c r="G2426" s="137">
        <v>11</v>
      </c>
      <c r="H2426" s="94">
        <v>985</v>
      </c>
      <c r="I2426" s="91">
        <v>46000</v>
      </c>
      <c r="J2426" s="165">
        <v>0.6875</v>
      </c>
      <c r="K2426" s="94">
        <v>985</v>
      </c>
      <c r="L2426" s="72" t="str">
        <f t="shared" si="38"/>
        <v>Payé</v>
      </c>
    </row>
    <row r="2427" spans="1:12" ht="15" customHeight="1" x14ac:dyDescent="0.25">
      <c r="A2427" s="90" t="s">
        <v>858</v>
      </c>
      <c r="B2427" s="90">
        <v>5260</v>
      </c>
      <c r="C2427" s="88" t="s">
        <v>917</v>
      </c>
      <c r="D2427" s="90" t="s">
        <v>17</v>
      </c>
      <c r="E2427" s="90" t="s">
        <v>649</v>
      </c>
      <c r="F2427" s="90" t="s">
        <v>858</v>
      </c>
      <c r="G2427" s="137">
        <v>3</v>
      </c>
      <c r="H2427" s="94">
        <v>269</v>
      </c>
      <c r="I2427" s="91">
        <v>46000</v>
      </c>
      <c r="J2427" s="165">
        <v>0.72152777777777777</v>
      </c>
      <c r="K2427" s="94">
        <v>269</v>
      </c>
      <c r="L2427" s="72" t="str">
        <f t="shared" si="38"/>
        <v>Payé</v>
      </c>
    </row>
    <row r="2428" spans="1:12" ht="15" customHeight="1" x14ac:dyDescent="0.25">
      <c r="A2428" s="90" t="s">
        <v>858</v>
      </c>
      <c r="B2428" s="90">
        <v>5317</v>
      </c>
      <c r="C2428" s="88" t="s">
        <v>551</v>
      </c>
      <c r="D2428" s="90" t="s">
        <v>17</v>
      </c>
      <c r="E2428" s="90" t="s">
        <v>649</v>
      </c>
      <c r="F2428" s="90" t="s">
        <v>858</v>
      </c>
      <c r="G2428" s="137">
        <v>11</v>
      </c>
      <c r="H2428" s="94">
        <v>985</v>
      </c>
      <c r="I2428" s="91">
        <v>46000</v>
      </c>
      <c r="J2428" s="165">
        <v>0.6875</v>
      </c>
      <c r="K2428" s="94">
        <v>985</v>
      </c>
      <c r="L2428" s="72" t="str">
        <f t="shared" si="38"/>
        <v>Payé</v>
      </c>
    </row>
    <row r="2429" spans="1:12" ht="15" customHeight="1" x14ac:dyDescent="0.25">
      <c r="A2429" s="90" t="s">
        <v>858</v>
      </c>
      <c r="B2429" s="90">
        <v>5326</v>
      </c>
      <c r="C2429" s="88" t="s">
        <v>1032</v>
      </c>
      <c r="D2429" s="90" t="s">
        <v>17</v>
      </c>
      <c r="E2429" s="90" t="s">
        <v>649</v>
      </c>
      <c r="F2429" s="90" t="s">
        <v>858</v>
      </c>
      <c r="G2429" s="137">
        <v>2</v>
      </c>
      <c r="H2429" s="94">
        <v>179</v>
      </c>
      <c r="I2429" s="91">
        <v>46000</v>
      </c>
      <c r="J2429" s="165">
        <v>0.72152777777777777</v>
      </c>
      <c r="K2429" s="94">
        <v>179</v>
      </c>
      <c r="L2429" s="72" t="str">
        <f t="shared" si="38"/>
        <v>Payé</v>
      </c>
    </row>
    <row r="2430" spans="1:12" ht="15" customHeight="1" x14ac:dyDescent="0.25">
      <c r="A2430" s="90" t="s">
        <v>858</v>
      </c>
      <c r="B2430" s="90">
        <v>7084</v>
      </c>
      <c r="C2430" s="88" t="s">
        <v>1248</v>
      </c>
      <c r="D2430" s="90" t="s">
        <v>17</v>
      </c>
      <c r="E2430" s="90" t="s">
        <v>649</v>
      </c>
      <c r="F2430" s="90" t="s">
        <v>858</v>
      </c>
      <c r="G2430" s="137">
        <v>6</v>
      </c>
      <c r="H2430" s="94">
        <v>537</v>
      </c>
      <c r="I2430" s="91">
        <v>46000</v>
      </c>
      <c r="J2430" s="165">
        <v>0.6875</v>
      </c>
      <c r="K2430" s="94">
        <v>537</v>
      </c>
      <c r="L2430" s="72" t="str">
        <f t="shared" si="38"/>
        <v>Payé</v>
      </c>
    </row>
    <row r="2431" spans="1:12" ht="15" customHeight="1" x14ac:dyDescent="0.25">
      <c r="A2431" s="90" t="s">
        <v>858</v>
      </c>
      <c r="B2431" s="90">
        <v>10083</v>
      </c>
      <c r="C2431" s="88" t="s">
        <v>1260</v>
      </c>
      <c r="D2431" s="90" t="s">
        <v>17</v>
      </c>
      <c r="E2431" s="90" t="s">
        <v>649</v>
      </c>
      <c r="F2431" s="90" t="s">
        <v>858</v>
      </c>
      <c r="G2431" s="137">
        <v>12</v>
      </c>
      <c r="H2431" s="94">
        <v>1075</v>
      </c>
      <c r="I2431" s="91">
        <v>46000</v>
      </c>
      <c r="J2431" s="165">
        <v>0.6875</v>
      </c>
      <c r="K2431" s="94">
        <v>1075</v>
      </c>
      <c r="L2431" s="72" t="str">
        <f t="shared" si="38"/>
        <v>Payé</v>
      </c>
    </row>
    <row r="2432" spans="1:12" ht="15" customHeight="1" x14ac:dyDescent="0.25">
      <c r="A2432" s="90" t="s">
        <v>858</v>
      </c>
      <c r="B2432" s="90">
        <v>10085</v>
      </c>
      <c r="C2432" s="88" t="s">
        <v>1361</v>
      </c>
      <c r="D2432" s="90" t="s">
        <v>17</v>
      </c>
      <c r="E2432" s="90" t="s">
        <v>649</v>
      </c>
      <c r="F2432" s="90" t="s">
        <v>858</v>
      </c>
      <c r="G2432" s="137">
        <v>11</v>
      </c>
      <c r="H2432" s="94">
        <v>985</v>
      </c>
      <c r="I2432" s="91">
        <v>46000</v>
      </c>
      <c r="J2432" s="165">
        <v>0.6875</v>
      </c>
      <c r="K2432" s="94">
        <v>985</v>
      </c>
      <c r="L2432" s="72" t="str">
        <f t="shared" si="38"/>
        <v>Payé</v>
      </c>
    </row>
    <row r="2433" spans="1:12" ht="15" customHeight="1" x14ac:dyDescent="0.25">
      <c r="A2433" s="90" t="s">
        <v>858</v>
      </c>
      <c r="B2433" s="90">
        <v>10104</v>
      </c>
      <c r="C2433" s="88" t="s">
        <v>1299</v>
      </c>
      <c r="D2433" s="90" t="s">
        <v>17</v>
      </c>
      <c r="E2433" s="90" t="s">
        <v>649</v>
      </c>
      <c r="F2433" s="90" t="s">
        <v>858</v>
      </c>
      <c r="G2433" s="137">
        <v>4</v>
      </c>
      <c r="H2433" s="94">
        <v>358</v>
      </c>
      <c r="I2433" s="91">
        <v>46000</v>
      </c>
      <c r="J2433" s="165">
        <v>0.6875</v>
      </c>
      <c r="K2433" s="94">
        <v>358</v>
      </c>
      <c r="L2433" s="72" t="str">
        <f t="shared" si="38"/>
        <v>Payé</v>
      </c>
    </row>
    <row r="2434" spans="1:12" ht="15" customHeight="1" x14ac:dyDescent="0.25">
      <c r="A2434" s="90" t="s">
        <v>858</v>
      </c>
      <c r="B2434" s="90">
        <v>10105</v>
      </c>
      <c r="C2434" s="88" t="s">
        <v>1300</v>
      </c>
      <c r="D2434" s="90" t="s">
        <v>17</v>
      </c>
      <c r="E2434" s="90" t="s">
        <v>649</v>
      </c>
      <c r="F2434" s="90" t="s">
        <v>858</v>
      </c>
      <c r="G2434" s="137">
        <v>13</v>
      </c>
      <c r="H2434" s="94">
        <v>1164</v>
      </c>
      <c r="I2434" s="91">
        <v>46000</v>
      </c>
      <c r="J2434" s="165">
        <v>0.6875</v>
      </c>
      <c r="K2434" s="94">
        <v>1164</v>
      </c>
      <c r="L2434" s="72" t="str">
        <f t="shared" si="38"/>
        <v>Payé</v>
      </c>
    </row>
    <row r="2435" spans="1:12" ht="15" customHeight="1" x14ac:dyDescent="0.25">
      <c r="A2435" s="90" t="s">
        <v>858</v>
      </c>
      <c r="B2435" s="90">
        <v>10111</v>
      </c>
      <c r="C2435" s="88" t="s">
        <v>694</v>
      </c>
      <c r="D2435" s="90" t="s">
        <v>17</v>
      </c>
      <c r="E2435" s="90" t="s">
        <v>649</v>
      </c>
      <c r="F2435" s="90" t="s">
        <v>858</v>
      </c>
      <c r="G2435" s="137">
        <v>4</v>
      </c>
      <c r="H2435" s="94">
        <v>358</v>
      </c>
      <c r="I2435" s="91">
        <v>46000</v>
      </c>
      <c r="J2435" s="165">
        <v>0.6875</v>
      </c>
      <c r="K2435" s="94">
        <v>358</v>
      </c>
      <c r="L2435" s="72" t="str">
        <f t="shared" si="38"/>
        <v>Payé</v>
      </c>
    </row>
    <row r="2436" spans="1:12" ht="15" customHeight="1" x14ac:dyDescent="0.25">
      <c r="A2436" s="90" t="s">
        <v>858</v>
      </c>
      <c r="B2436" s="90">
        <v>10150</v>
      </c>
      <c r="C2436" s="88" t="s">
        <v>1372</v>
      </c>
      <c r="D2436" s="90" t="s">
        <v>17</v>
      </c>
      <c r="E2436" s="90" t="s">
        <v>649</v>
      </c>
      <c r="F2436" s="90" t="s">
        <v>858</v>
      </c>
      <c r="G2436" s="137">
        <v>3</v>
      </c>
      <c r="H2436" s="94">
        <v>269</v>
      </c>
      <c r="I2436" s="91">
        <v>46000</v>
      </c>
      <c r="J2436" s="165">
        <v>0.72152777777777777</v>
      </c>
      <c r="K2436" s="94">
        <v>269</v>
      </c>
      <c r="L2436" s="72" t="str">
        <f t="shared" si="38"/>
        <v>Payé</v>
      </c>
    </row>
    <row r="2437" spans="1:12" ht="15" customHeight="1" x14ac:dyDescent="0.25">
      <c r="A2437" s="90" t="s">
        <v>858</v>
      </c>
      <c r="B2437" s="90">
        <v>10151</v>
      </c>
      <c r="C2437" s="88" t="s">
        <v>1373</v>
      </c>
      <c r="D2437" s="90" t="s">
        <v>17</v>
      </c>
      <c r="E2437" s="90" t="s">
        <v>649</v>
      </c>
      <c r="F2437" s="90" t="s">
        <v>858</v>
      </c>
      <c r="G2437" s="137">
        <v>4</v>
      </c>
      <c r="H2437" s="94">
        <v>358</v>
      </c>
      <c r="I2437" s="91">
        <v>46000</v>
      </c>
      <c r="J2437" s="165">
        <v>0.72152777777777777</v>
      </c>
      <c r="K2437" s="94">
        <v>358</v>
      </c>
      <c r="L2437" s="72" t="str">
        <f t="shared" si="38"/>
        <v>Payé</v>
      </c>
    </row>
    <row r="2438" spans="1:12" ht="15" customHeight="1" x14ac:dyDescent="0.25">
      <c r="A2438" s="90" t="s">
        <v>858</v>
      </c>
      <c r="B2438" s="90">
        <v>10152</v>
      </c>
      <c r="C2438" s="88" t="s">
        <v>1374</v>
      </c>
      <c r="D2438" s="90" t="s">
        <v>17</v>
      </c>
      <c r="E2438" s="90" t="s">
        <v>649</v>
      </c>
      <c r="F2438" s="90" t="s">
        <v>858</v>
      </c>
      <c r="G2438" s="137">
        <v>1</v>
      </c>
      <c r="H2438" s="94">
        <v>90</v>
      </c>
      <c r="I2438" s="91">
        <v>46000</v>
      </c>
      <c r="J2438" s="165">
        <v>0.72152777777777777</v>
      </c>
      <c r="K2438" s="94">
        <v>90</v>
      </c>
      <c r="L2438" s="72" t="str">
        <f t="shared" si="38"/>
        <v>Payé</v>
      </c>
    </row>
    <row r="2439" spans="1:12" ht="15" customHeight="1" x14ac:dyDescent="0.25">
      <c r="A2439" s="90" t="s">
        <v>858</v>
      </c>
      <c r="B2439" s="90">
        <v>10153</v>
      </c>
      <c r="C2439" s="88" t="s">
        <v>1375</v>
      </c>
      <c r="D2439" s="90" t="s">
        <v>17</v>
      </c>
      <c r="E2439" s="90" t="s">
        <v>649</v>
      </c>
      <c r="F2439" s="90" t="s">
        <v>858</v>
      </c>
      <c r="G2439" s="137">
        <v>2</v>
      </c>
      <c r="H2439" s="94">
        <v>179</v>
      </c>
      <c r="I2439" s="91">
        <v>46000</v>
      </c>
      <c r="J2439" s="165">
        <v>0.72152777777777777</v>
      </c>
      <c r="K2439" s="94">
        <v>179</v>
      </c>
      <c r="L2439" s="72" t="str">
        <f t="shared" si="38"/>
        <v>Payé</v>
      </c>
    </row>
    <row r="2440" spans="1:12" ht="15" customHeight="1" x14ac:dyDescent="0.25">
      <c r="A2440" s="90" t="s">
        <v>858</v>
      </c>
      <c r="B2440" s="90">
        <v>10155</v>
      </c>
      <c r="C2440" s="88" t="s">
        <v>1336</v>
      </c>
      <c r="D2440" s="90" t="s">
        <v>17</v>
      </c>
      <c r="E2440" s="90" t="s">
        <v>649</v>
      </c>
      <c r="F2440" s="90" t="s">
        <v>858</v>
      </c>
      <c r="G2440" s="137">
        <v>9</v>
      </c>
      <c r="H2440" s="94">
        <v>806</v>
      </c>
      <c r="I2440" s="91">
        <v>46000</v>
      </c>
      <c r="J2440" s="165">
        <v>0.6875</v>
      </c>
      <c r="K2440" s="94">
        <v>806</v>
      </c>
      <c r="L2440" s="72" t="str">
        <f t="shared" si="38"/>
        <v>Payé</v>
      </c>
    </row>
    <row r="2441" spans="1:12" ht="15" customHeight="1" x14ac:dyDescent="0.25">
      <c r="A2441" s="90" t="s">
        <v>858</v>
      </c>
      <c r="B2441" s="90">
        <v>10162</v>
      </c>
      <c r="C2441" s="88" t="s">
        <v>1277</v>
      </c>
      <c r="D2441" s="90" t="s">
        <v>17</v>
      </c>
      <c r="E2441" s="90" t="s">
        <v>649</v>
      </c>
      <c r="F2441" s="90" t="s">
        <v>858</v>
      </c>
      <c r="G2441" s="137">
        <v>12</v>
      </c>
      <c r="H2441" s="94">
        <v>1075</v>
      </c>
      <c r="I2441" s="91">
        <v>46000</v>
      </c>
      <c r="J2441" s="165">
        <v>0.72152777777777777</v>
      </c>
      <c r="K2441" s="94">
        <v>1075</v>
      </c>
      <c r="L2441" s="72" t="str">
        <f t="shared" si="38"/>
        <v>Payé</v>
      </c>
    </row>
    <row r="2442" spans="1:12" ht="15" customHeight="1" x14ac:dyDescent="0.25">
      <c r="A2442" s="90" t="s">
        <v>858</v>
      </c>
      <c r="B2442" s="90">
        <v>10163</v>
      </c>
      <c r="C2442" s="88" t="s">
        <v>1342</v>
      </c>
      <c r="D2442" s="90" t="s">
        <v>17</v>
      </c>
      <c r="E2442" s="90" t="s">
        <v>649</v>
      </c>
      <c r="F2442" s="90" t="s">
        <v>858</v>
      </c>
      <c r="G2442" s="137">
        <v>12</v>
      </c>
      <c r="H2442" s="94">
        <v>1075</v>
      </c>
      <c r="I2442" s="91">
        <v>46000</v>
      </c>
      <c r="J2442" s="165">
        <v>0.72152777777777777</v>
      </c>
      <c r="K2442" s="94">
        <v>1075</v>
      </c>
      <c r="L2442" s="72" t="str">
        <f t="shared" si="38"/>
        <v>Payé</v>
      </c>
    </row>
    <row r="2443" spans="1:12" ht="15" customHeight="1" x14ac:dyDescent="0.25">
      <c r="A2443" s="90" t="s">
        <v>858</v>
      </c>
      <c r="B2443" s="90">
        <v>10194</v>
      </c>
      <c r="C2443" s="88" t="s">
        <v>1390</v>
      </c>
      <c r="D2443" s="90" t="s">
        <v>17</v>
      </c>
      <c r="E2443" s="90" t="s">
        <v>649</v>
      </c>
      <c r="F2443" s="90" t="s">
        <v>858</v>
      </c>
      <c r="G2443" s="137">
        <v>4</v>
      </c>
      <c r="H2443" s="94">
        <v>358</v>
      </c>
      <c r="I2443" s="91">
        <v>46000</v>
      </c>
      <c r="J2443" s="165">
        <v>0.72152777777777777</v>
      </c>
      <c r="K2443" s="94">
        <v>358</v>
      </c>
      <c r="L2443" s="72" t="str">
        <f t="shared" si="38"/>
        <v>Payé</v>
      </c>
    </row>
    <row r="2444" spans="1:12" ht="15" customHeight="1" x14ac:dyDescent="0.25">
      <c r="A2444" s="90" t="s">
        <v>858</v>
      </c>
      <c r="B2444" s="90">
        <v>10203</v>
      </c>
      <c r="C2444" s="88" t="s">
        <v>778</v>
      </c>
      <c r="D2444" s="90" t="s">
        <v>17</v>
      </c>
      <c r="E2444" s="90" t="s">
        <v>649</v>
      </c>
      <c r="F2444" s="90" t="s">
        <v>858</v>
      </c>
      <c r="G2444" s="137">
        <v>2</v>
      </c>
      <c r="H2444" s="94">
        <v>179</v>
      </c>
      <c r="I2444" s="91">
        <v>46000</v>
      </c>
      <c r="J2444" s="165">
        <v>0.72152777777777777</v>
      </c>
      <c r="K2444" s="94">
        <v>179</v>
      </c>
      <c r="L2444" s="72" t="str">
        <f t="shared" si="38"/>
        <v>Payé</v>
      </c>
    </row>
    <row r="2445" spans="1:12" ht="15" customHeight="1" x14ac:dyDescent="0.25">
      <c r="A2445" s="90" t="s">
        <v>858</v>
      </c>
      <c r="B2445" s="90">
        <v>10205</v>
      </c>
      <c r="C2445" s="88" t="s">
        <v>1394</v>
      </c>
      <c r="D2445" s="90" t="s">
        <v>17</v>
      </c>
      <c r="E2445" s="90" t="s">
        <v>649</v>
      </c>
      <c r="F2445" s="90" t="s">
        <v>858</v>
      </c>
      <c r="G2445" s="137">
        <v>1</v>
      </c>
      <c r="H2445" s="94">
        <v>90</v>
      </c>
      <c r="I2445" s="91">
        <v>46000</v>
      </c>
      <c r="J2445" s="165">
        <v>0.72152777777777777</v>
      </c>
      <c r="K2445" s="94">
        <v>90</v>
      </c>
      <c r="L2445" s="72" t="str">
        <f t="shared" si="38"/>
        <v>Payé</v>
      </c>
    </row>
    <row r="2446" spans="1:12" ht="15" customHeight="1" x14ac:dyDescent="0.25">
      <c r="A2446" s="90" t="s">
        <v>858</v>
      </c>
      <c r="B2446" s="90">
        <v>10210</v>
      </c>
      <c r="C2446" s="88" t="s">
        <v>1399</v>
      </c>
      <c r="D2446" s="90" t="s">
        <v>17</v>
      </c>
      <c r="E2446" s="90" t="s">
        <v>649</v>
      </c>
      <c r="F2446" s="90" t="s">
        <v>858</v>
      </c>
      <c r="G2446" s="137">
        <v>2</v>
      </c>
      <c r="H2446" s="94">
        <v>179</v>
      </c>
      <c r="I2446" s="91">
        <v>46000</v>
      </c>
      <c r="J2446" s="165">
        <v>0.72152777777777777</v>
      </c>
      <c r="K2446" s="94">
        <v>179</v>
      </c>
      <c r="L2446" s="72" t="str">
        <f t="shared" si="38"/>
        <v>Payé</v>
      </c>
    </row>
    <row r="2447" spans="1:12" ht="15" customHeight="1" x14ac:dyDescent="0.25">
      <c r="A2447" s="90" t="s">
        <v>858</v>
      </c>
      <c r="B2447" s="90">
        <v>10240</v>
      </c>
      <c r="C2447" s="88" t="s">
        <v>1409</v>
      </c>
      <c r="D2447" s="90" t="s">
        <v>17</v>
      </c>
      <c r="E2447" s="90" t="s">
        <v>649</v>
      </c>
      <c r="F2447" s="90" t="s">
        <v>858</v>
      </c>
      <c r="G2447" s="137">
        <v>2</v>
      </c>
      <c r="H2447" s="94">
        <v>179</v>
      </c>
      <c r="I2447" s="91">
        <v>46000</v>
      </c>
      <c r="J2447" s="165">
        <v>0.72152777777777777</v>
      </c>
      <c r="K2447" s="94">
        <v>179</v>
      </c>
      <c r="L2447" s="72" t="str">
        <f t="shared" si="38"/>
        <v>Payé</v>
      </c>
    </row>
    <row r="2448" spans="1:12" ht="15" customHeight="1" x14ac:dyDescent="0.25">
      <c r="A2448" s="90" t="s">
        <v>859</v>
      </c>
      <c r="B2448" s="90">
        <v>4333</v>
      </c>
      <c r="C2448" s="88" t="s">
        <v>706</v>
      </c>
      <c r="D2448" s="90" t="s">
        <v>17</v>
      </c>
      <c r="E2448" s="90" t="s">
        <v>628</v>
      </c>
      <c r="F2448" s="90" t="s">
        <v>859</v>
      </c>
      <c r="G2448" s="137">
        <v>12</v>
      </c>
      <c r="H2448" s="94">
        <v>1200</v>
      </c>
      <c r="I2448" s="91">
        <v>46015</v>
      </c>
      <c r="J2448" s="165">
        <v>0.57152777777777775</v>
      </c>
      <c r="K2448" s="94">
        <v>1200</v>
      </c>
      <c r="L2448" s="72" t="str">
        <f t="shared" si="38"/>
        <v>Payé</v>
      </c>
    </row>
    <row r="2449" spans="1:12" ht="15" customHeight="1" x14ac:dyDescent="0.25">
      <c r="A2449" s="90" t="s">
        <v>859</v>
      </c>
      <c r="B2449" s="90">
        <v>4334</v>
      </c>
      <c r="C2449" s="88" t="s">
        <v>622</v>
      </c>
      <c r="D2449" s="90" t="s">
        <v>17</v>
      </c>
      <c r="E2449" s="90" t="s">
        <v>628</v>
      </c>
      <c r="F2449" s="90" t="s">
        <v>859</v>
      </c>
      <c r="G2449" s="137">
        <v>14</v>
      </c>
      <c r="H2449" s="94">
        <v>1400</v>
      </c>
      <c r="I2449" s="91">
        <v>46015</v>
      </c>
      <c r="J2449" s="165">
        <v>0.57152777777777775</v>
      </c>
      <c r="K2449" s="94">
        <v>1400</v>
      </c>
      <c r="L2449" s="72" t="str">
        <f t="shared" si="38"/>
        <v>Payé</v>
      </c>
    </row>
    <row r="2450" spans="1:12" ht="15" customHeight="1" x14ac:dyDescent="0.25">
      <c r="A2450" s="90" t="s">
        <v>859</v>
      </c>
      <c r="B2450" s="90">
        <v>4473</v>
      </c>
      <c r="C2450" s="88" t="s">
        <v>623</v>
      </c>
      <c r="D2450" s="90" t="s">
        <v>17</v>
      </c>
      <c r="E2450" s="90" t="s">
        <v>628</v>
      </c>
      <c r="F2450" s="90" t="s">
        <v>859</v>
      </c>
      <c r="G2450" s="137">
        <v>15</v>
      </c>
      <c r="H2450" s="94">
        <v>1450</v>
      </c>
      <c r="I2450" s="91">
        <v>46015</v>
      </c>
      <c r="J2450" s="165">
        <v>0.57152777777777775</v>
      </c>
      <c r="K2450" s="94">
        <v>1450</v>
      </c>
      <c r="L2450" s="72" t="str">
        <f t="shared" si="38"/>
        <v>Payé</v>
      </c>
    </row>
    <row r="2451" spans="1:12" ht="15" customHeight="1" x14ac:dyDescent="0.25">
      <c r="A2451" s="90" t="s">
        <v>859</v>
      </c>
      <c r="B2451" s="90">
        <v>4801</v>
      </c>
      <c r="C2451" s="88" t="s">
        <v>990</v>
      </c>
      <c r="D2451" s="90" t="s">
        <v>17</v>
      </c>
      <c r="E2451" s="90" t="s">
        <v>628</v>
      </c>
      <c r="F2451" s="90" t="s">
        <v>859</v>
      </c>
      <c r="G2451" s="137">
        <v>13</v>
      </c>
      <c r="H2451" s="94">
        <v>1190</v>
      </c>
      <c r="I2451" s="91">
        <v>46015</v>
      </c>
      <c r="J2451" s="165">
        <v>0.57152777777777775</v>
      </c>
      <c r="K2451" s="94">
        <v>1190</v>
      </c>
      <c r="L2451" s="72" t="str">
        <f t="shared" si="38"/>
        <v>Payé</v>
      </c>
    </row>
    <row r="2452" spans="1:12" ht="15" customHeight="1" x14ac:dyDescent="0.25">
      <c r="A2452" s="90" t="s">
        <v>859</v>
      </c>
      <c r="B2452" s="90">
        <v>5123</v>
      </c>
      <c r="C2452" s="88" t="s">
        <v>827</v>
      </c>
      <c r="D2452" s="90" t="s">
        <v>17</v>
      </c>
      <c r="E2452" s="90" t="s">
        <v>628</v>
      </c>
      <c r="F2452" s="90" t="s">
        <v>859</v>
      </c>
      <c r="G2452" s="137">
        <v>10</v>
      </c>
      <c r="H2452" s="94">
        <v>920</v>
      </c>
      <c r="I2452" s="91">
        <v>46015</v>
      </c>
      <c r="J2452" s="165">
        <v>0.57152777777777775</v>
      </c>
      <c r="K2452" s="94">
        <v>920</v>
      </c>
      <c r="L2452" s="72" t="str">
        <f t="shared" si="38"/>
        <v>Payé</v>
      </c>
    </row>
    <row r="2453" spans="1:12" ht="15" customHeight="1" x14ac:dyDescent="0.25">
      <c r="A2453" s="90" t="s">
        <v>859</v>
      </c>
      <c r="B2453" s="90">
        <v>8022</v>
      </c>
      <c r="C2453" s="88" t="s">
        <v>707</v>
      </c>
      <c r="D2453" s="90" t="s">
        <v>17</v>
      </c>
      <c r="E2453" s="90" t="s">
        <v>628</v>
      </c>
      <c r="F2453" s="90" t="s">
        <v>859</v>
      </c>
      <c r="G2453" s="137">
        <v>6</v>
      </c>
      <c r="H2453" s="94">
        <v>669</v>
      </c>
      <c r="I2453" s="91">
        <v>46015</v>
      </c>
      <c r="J2453" s="165">
        <v>0.57152777777777775</v>
      </c>
      <c r="K2453" s="94">
        <v>669</v>
      </c>
      <c r="L2453" s="72" t="str">
        <f t="shared" si="38"/>
        <v>Payé</v>
      </c>
    </row>
    <row r="2454" spans="1:12" ht="15" customHeight="1" x14ac:dyDescent="0.25">
      <c r="A2454" s="90" t="s">
        <v>859</v>
      </c>
      <c r="B2454" s="90">
        <v>10008</v>
      </c>
      <c r="C2454" s="88" t="s">
        <v>1134</v>
      </c>
      <c r="D2454" s="90" t="s">
        <v>17</v>
      </c>
      <c r="E2454" s="90" t="s">
        <v>628</v>
      </c>
      <c r="F2454" s="90" t="s">
        <v>859</v>
      </c>
      <c r="G2454" s="137">
        <v>10</v>
      </c>
      <c r="H2454" s="94">
        <v>940</v>
      </c>
      <c r="I2454" s="91">
        <v>46015</v>
      </c>
      <c r="J2454" s="165">
        <v>0.57152777777777775</v>
      </c>
      <c r="K2454" s="94">
        <v>940</v>
      </c>
      <c r="L2454" s="72" t="str">
        <f t="shared" si="38"/>
        <v>Payé</v>
      </c>
    </row>
    <row r="2455" spans="1:12" ht="15" customHeight="1" x14ac:dyDescent="0.25">
      <c r="A2455" s="90" t="s">
        <v>859</v>
      </c>
      <c r="B2455" s="90">
        <v>2997</v>
      </c>
      <c r="C2455" s="88" t="s">
        <v>719</v>
      </c>
      <c r="D2455" s="90" t="s">
        <v>17</v>
      </c>
      <c r="E2455" s="90" t="s">
        <v>753</v>
      </c>
      <c r="F2455" s="90" t="s">
        <v>859</v>
      </c>
      <c r="G2455" s="137">
        <v>9</v>
      </c>
      <c r="H2455" s="94">
        <v>900</v>
      </c>
      <c r="I2455" s="91">
        <v>46015</v>
      </c>
      <c r="J2455" s="165">
        <v>0.66041666666666665</v>
      </c>
      <c r="K2455" s="94">
        <v>900</v>
      </c>
      <c r="L2455" s="72" t="str">
        <f t="shared" si="38"/>
        <v>Payé</v>
      </c>
    </row>
    <row r="2456" spans="1:12" ht="15" customHeight="1" x14ac:dyDescent="0.25">
      <c r="A2456" s="90" t="s">
        <v>859</v>
      </c>
      <c r="B2456" s="90">
        <v>2670</v>
      </c>
      <c r="C2456" s="88" t="s">
        <v>1286</v>
      </c>
      <c r="D2456" s="90" t="s">
        <v>17</v>
      </c>
      <c r="E2456" s="90" t="s">
        <v>753</v>
      </c>
      <c r="F2456" s="90" t="s">
        <v>859</v>
      </c>
      <c r="G2456" s="137">
        <v>7</v>
      </c>
      <c r="H2456" s="94">
        <v>630</v>
      </c>
      <c r="I2456" s="91">
        <v>46016</v>
      </c>
      <c r="J2456" s="165">
        <v>0.51388888888888895</v>
      </c>
      <c r="K2456" s="94">
        <v>630</v>
      </c>
      <c r="L2456" s="72" t="str">
        <f t="shared" si="38"/>
        <v>Payé</v>
      </c>
    </row>
    <row r="2457" spans="1:12" ht="15" customHeight="1" x14ac:dyDescent="0.25">
      <c r="A2457" s="90" t="s">
        <v>859</v>
      </c>
      <c r="B2457" s="90">
        <v>3001</v>
      </c>
      <c r="C2457" s="88" t="s">
        <v>799</v>
      </c>
      <c r="D2457" s="90" t="s">
        <v>17</v>
      </c>
      <c r="E2457" s="90" t="s">
        <v>753</v>
      </c>
      <c r="F2457" s="90" t="s">
        <v>859</v>
      </c>
      <c r="G2457" s="137">
        <v>1</v>
      </c>
      <c r="H2457" s="94">
        <v>90</v>
      </c>
      <c r="I2457" s="87">
        <v>46099</v>
      </c>
      <c r="J2457" s="93">
        <v>0.61944444444444446</v>
      </c>
      <c r="K2457" s="94">
        <v>90</v>
      </c>
      <c r="L2457" s="72" t="str">
        <f t="shared" si="38"/>
        <v>Payé</v>
      </c>
    </row>
    <row r="2458" spans="1:12" ht="15" customHeight="1" x14ac:dyDescent="0.25">
      <c r="A2458" s="90" t="s">
        <v>859</v>
      </c>
      <c r="B2458" s="90">
        <v>10214</v>
      </c>
      <c r="C2458" s="88" t="s">
        <v>1403</v>
      </c>
      <c r="D2458" s="90" t="s">
        <v>17</v>
      </c>
      <c r="E2458" s="90" t="s">
        <v>753</v>
      </c>
      <c r="F2458" s="90" t="s">
        <v>859</v>
      </c>
      <c r="G2458" s="137">
        <v>9</v>
      </c>
      <c r="H2458" s="94">
        <v>810</v>
      </c>
      <c r="I2458" s="91">
        <v>46015</v>
      </c>
      <c r="J2458" s="165">
        <v>0.66041666666666665</v>
      </c>
      <c r="K2458" s="94">
        <v>810</v>
      </c>
      <c r="L2458" s="72" t="str">
        <f t="shared" si="38"/>
        <v>Payé</v>
      </c>
    </row>
    <row r="2459" spans="1:12" ht="15" customHeight="1" x14ac:dyDescent="0.25">
      <c r="A2459" s="90" t="s">
        <v>859</v>
      </c>
      <c r="B2459" s="90">
        <v>3823</v>
      </c>
      <c r="C2459" s="88" t="s">
        <v>824</v>
      </c>
      <c r="D2459" s="90" t="s">
        <v>17</v>
      </c>
      <c r="E2459" s="90" t="s">
        <v>753</v>
      </c>
      <c r="F2459" s="90" t="s">
        <v>859</v>
      </c>
      <c r="G2459" s="137">
        <v>8</v>
      </c>
      <c r="H2459" s="94">
        <v>720</v>
      </c>
      <c r="I2459" s="91">
        <v>46015</v>
      </c>
      <c r="J2459" s="165">
        <v>0.66041666666666665</v>
      </c>
      <c r="K2459" s="94">
        <v>720</v>
      </c>
      <c r="L2459" s="72" t="str">
        <f t="shared" si="38"/>
        <v>Payé</v>
      </c>
    </row>
    <row r="2460" spans="1:12" ht="15" customHeight="1" x14ac:dyDescent="0.25">
      <c r="A2460" s="90" t="s">
        <v>859</v>
      </c>
      <c r="B2460" s="90">
        <v>3031</v>
      </c>
      <c r="C2460" s="88" t="s">
        <v>1290</v>
      </c>
      <c r="D2460" s="90" t="s">
        <v>17</v>
      </c>
      <c r="E2460" s="90" t="s">
        <v>753</v>
      </c>
      <c r="F2460" s="90" t="s">
        <v>859</v>
      </c>
      <c r="G2460" s="137">
        <v>2</v>
      </c>
      <c r="H2460" s="94">
        <v>180</v>
      </c>
      <c r="I2460" s="91"/>
      <c r="J2460" s="165"/>
      <c r="K2460" s="92"/>
      <c r="L2460" s="72" t="str">
        <f t="shared" si="38"/>
        <v>Impayé</v>
      </c>
    </row>
    <row r="2461" spans="1:12" ht="15" customHeight="1" x14ac:dyDescent="0.25">
      <c r="A2461" s="90" t="s">
        <v>859</v>
      </c>
      <c r="B2461" s="90">
        <v>3313</v>
      </c>
      <c r="C2461" s="88" t="s">
        <v>1209</v>
      </c>
      <c r="D2461" s="90" t="s">
        <v>17</v>
      </c>
      <c r="E2461" s="90" t="s">
        <v>753</v>
      </c>
      <c r="F2461" s="90" t="s">
        <v>859</v>
      </c>
      <c r="G2461" s="137">
        <v>11</v>
      </c>
      <c r="H2461" s="94">
        <v>990</v>
      </c>
      <c r="I2461" s="91">
        <v>46014</v>
      </c>
      <c r="J2461" s="165">
        <v>0.60347222222222219</v>
      </c>
      <c r="K2461" s="94">
        <v>990</v>
      </c>
      <c r="L2461" s="72" t="str">
        <f t="shared" si="38"/>
        <v>Payé</v>
      </c>
    </row>
    <row r="2462" spans="1:12" ht="15" customHeight="1" x14ac:dyDescent="0.25">
      <c r="A2462" s="90" t="s">
        <v>859</v>
      </c>
      <c r="B2462" s="90">
        <v>4027</v>
      </c>
      <c r="C2462" s="88" t="s">
        <v>1210</v>
      </c>
      <c r="D2462" s="90" t="s">
        <v>17</v>
      </c>
      <c r="E2462" s="90" t="s">
        <v>753</v>
      </c>
      <c r="F2462" s="90" t="s">
        <v>859</v>
      </c>
      <c r="G2462" s="137">
        <v>7</v>
      </c>
      <c r="H2462" s="94">
        <v>630</v>
      </c>
      <c r="I2462" s="91">
        <v>46015</v>
      </c>
      <c r="J2462" s="165">
        <v>0.66041666666666665</v>
      </c>
      <c r="K2462" s="94">
        <v>630</v>
      </c>
      <c r="L2462" s="72" t="str">
        <f t="shared" ref="L2462:L2525" si="39">IF(ISBLANK(H2462),"",IF(H2462=K2462,"Payé","Impayé"))</f>
        <v>Payé</v>
      </c>
    </row>
    <row r="2463" spans="1:12" ht="15" customHeight="1" x14ac:dyDescent="0.25">
      <c r="A2463" s="90" t="s">
        <v>859</v>
      </c>
      <c r="B2463" s="90">
        <v>4868</v>
      </c>
      <c r="C2463" s="88" t="s">
        <v>767</v>
      </c>
      <c r="D2463" s="90" t="s">
        <v>17</v>
      </c>
      <c r="E2463" s="90" t="s">
        <v>753</v>
      </c>
      <c r="F2463" s="90" t="s">
        <v>859</v>
      </c>
      <c r="G2463" s="137">
        <v>12</v>
      </c>
      <c r="H2463" s="94">
        <v>1080</v>
      </c>
      <c r="I2463" s="91">
        <v>46016</v>
      </c>
      <c r="J2463" s="165">
        <v>0.6069444444444444</v>
      </c>
      <c r="K2463" s="94">
        <v>1080</v>
      </c>
      <c r="L2463" s="72" t="str">
        <f t="shared" si="39"/>
        <v>Payé</v>
      </c>
    </row>
    <row r="2464" spans="1:12" ht="15" customHeight="1" x14ac:dyDescent="0.25">
      <c r="A2464" s="90" t="s">
        <v>859</v>
      </c>
      <c r="B2464" s="90">
        <v>5076</v>
      </c>
      <c r="C2464" s="88" t="s">
        <v>991</v>
      </c>
      <c r="D2464" s="90" t="s">
        <v>17</v>
      </c>
      <c r="E2464" s="90" t="s">
        <v>753</v>
      </c>
      <c r="F2464" s="90" t="s">
        <v>859</v>
      </c>
      <c r="G2464" s="137">
        <v>9</v>
      </c>
      <c r="H2464" s="94">
        <v>810</v>
      </c>
      <c r="I2464" s="91">
        <v>46014</v>
      </c>
      <c r="J2464" s="165">
        <v>0.60833333333333328</v>
      </c>
      <c r="K2464" s="94">
        <v>810</v>
      </c>
      <c r="L2464" s="72" t="str">
        <f t="shared" si="39"/>
        <v>Payé</v>
      </c>
    </row>
    <row r="2465" spans="1:12" ht="15" customHeight="1" x14ac:dyDescent="0.25">
      <c r="A2465" s="90" t="s">
        <v>859</v>
      </c>
      <c r="B2465" s="90">
        <v>5209</v>
      </c>
      <c r="C2465" s="88" t="s">
        <v>835</v>
      </c>
      <c r="D2465" s="90" t="s">
        <v>17</v>
      </c>
      <c r="E2465" s="90" t="s">
        <v>753</v>
      </c>
      <c r="F2465" s="90" t="s">
        <v>859</v>
      </c>
      <c r="G2465" s="137">
        <v>4</v>
      </c>
      <c r="H2465" s="94">
        <v>360</v>
      </c>
      <c r="I2465" s="91">
        <v>46016</v>
      </c>
      <c r="J2465" s="165">
        <v>0.62430555555555556</v>
      </c>
      <c r="K2465" s="94">
        <v>360</v>
      </c>
      <c r="L2465" s="72" t="str">
        <f t="shared" si="39"/>
        <v>Payé</v>
      </c>
    </row>
    <row r="2466" spans="1:12" ht="15" customHeight="1" x14ac:dyDescent="0.25">
      <c r="A2466" s="90" t="s">
        <v>859</v>
      </c>
      <c r="B2466" s="90">
        <v>5240</v>
      </c>
      <c r="C2466" s="88" t="s">
        <v>885</v>
      </c>
      <c r="D2466" s="90" t="s">
        <v>17</v>
      </c>
      <c r="E2466" s="90" t="s">
        <v>753</v>
      </c>
      <c r="F2466" s="90" t="s">
        <v>859</v>
      </c>
      <c r="G2466" s="137">
        <v>3</v>
      </c>
      <c r="H2466" s="94">
        <v>270</v>
      </c>
      <c r="I2466" s="91">
        <v>46119</v>
      </c>
      <c r="J2466" s="165">
        <v>0.71180555555555547</v>
      </c>
      <c r="K2466" s="94">
        <v>270</v>
      </c>
      <c r="L2466" s="72" t="str">
        <f t="shared" si="39"/>
        <v>Payé</v>
      </c>
    </row>
    <row r="2467" spans="1:12" ht="15" customHeight="1" x14ac:dyDescent="0.25">
      <c r="A2467" s="90" t="s">
        <v>859</v>
      </c>
      <c r="B2467" s="90">
        <v>5253</v>
      </c>
      <c r="C2467" s="88" t="s">
        <v>902</v>
      </c>
      <c r="D2467" s="90" t="s">
        <v>17</v>
      </c>
      <c r="E2467" s="90" t="s">
        <v>753</v>
      </c>
      <c r="F2467" s="90" t="s">
        <v>859</v>
      </c>
      <c r="G2467" s="137">
        <v>2</v>
      </c>
      <c r="H2467" s="94">
        <v>180</v>
      </c>
      <c r="I2467" s="91">
        <v>46119</v>
      </c>
      <c r="J2467" s="165">
        <v>0.71250000000000002</v>
      </c>
      <c r="K2467" s="94">
        <v>180</v>
      </c>
      <c r="L2467" s="72" t="str">
        <f t="shared" si="39"/>
        <v>Payé</v>
      </c>
    </row>
    <row r="2468" spans="1:12" ht="15" customHeight="1" x14ac:dyDescent="0.25">
      <c r="A2468" s="90" t="s">
        <v>859</v>
      </c>
      <c r="B2468" s="90">
        <v>5327</v>
      </c>
      <c r="C2468" s="88" t="s">
        <v>1033</v>
      </c>
      <c r="D2468" s="90" t="s">
        <v>17</v>
      </c>
      <c r="E2468" s="90" t="s">
        <v>753</v>
      </c>
      <c r="F2468" s="90" t="s">
        <v>859</v>
      </c>
      <c r="G2468" s="137">
        <v>7</v>
      </c>
      <c r="H2468" s="94">
        <v>630</v>
      </c>
      <c r="I2468" s="91">
        <v>46015</v>
      </c>
      <c r="J2468" s="165">
        <v>0.66041666666666665</v>
      </c>
      <c r="K2468" s="94">
        <v>630</v>
      </c>
      <c r="L2468" s="72" t="str">
        <f t="shared" si="39"/>
        <v>Payé</v>
      </c>
    </row>
    <row r="2469" spans="1:12" ht="15" customHeight="1" x14ac:dyDescent="0.25">
      <c r="A2469" s="90" t="s">
        <v>859</v>
      </c>
      <c r="B2469" s="90">
        <v>5335</v>
      </c>
      <c r="C2469" s="88" t="s">
        <v>1040</v>
      </c>
      <c r="D2469" s="90" t="s">
        <v>17</v>
      </c>
      <c r="E2469" s="90" t="s">
        <v>753</v>
      </c>
      <c r="F2469" s="90" t="s">
        <v>859</v>
      </c>
      <c r="G2469" s="137">
        <v>6</v>
      </c>
      <c r="H2469" s="94">
        <v>540</v>
      </c>
      <c r="I2469" s="91">
        <v>46031</v>
      </c>
      <c r="J2469" s="165">
        <v>0.60972222222222217</v>
      </c>
      <c r="K2469" s="94">
        <v>540</v>
      </c>
      <c r="L2469" s="72" t="str">
        <f t="shared" si="39"/>
        <v>Payé</v>
      </c>
    </row>
    <row r="2470" spans="1:12" ht="15" customHeight="1" x14ac:dyDescent="0.25">
      <c r="A2470" s="90" t="s">
        <v>859</v>
      </c>
      <c r="B2470" s="90">
        <v>5336</v>
      </c>
      <c r="C2470" s="88" t="s">
        <v>1041</v>
      </c>
      <c r="D2470" s="90" t="s">
        <v>17</v>
      </c>
      <c r="E2470" s="90" t="s">
        <v>753</v>
      </c>
      <c r="F2470" s="90" t="s">
        <v>859</v>
      </c>
      <c r="G2470" s="137">
        <v>3</v>
      </c>
      <c r="H2470" s="94">
        <v>270</v>
      </c>
      <c r="I2470" s="91">
        <v>46015</v>
      </c>
      <c r="J2470" s="165">
        <v>0.66041666666666665</v>
      </c>
      <c r="K2470" s="94">
        <v>270</v>
      </c>
      <c r="L2470" s="72" t="str">
        <f t="shared" si="39"/>
        <v>Payé</v>
      </c>
    </row>
    <row r="2471" spans="1:12" ht="15" customHeight="1" x14ac:dyDescent="0.25">
      <c r="A2471" s="90" t="s">
        <v>859</v>
      </c>
      <c r="B2471" s="90">
        <v>10003</v>
      </c>
      <c r="C2471" s="88" t="s">
        <v>1129</v>
      </c>
      <c r="D2471" s="90" t="s">
        <v>17</v>
      </c>
      <c r="E2471" s="90" t="s">
        <v>753</v>
      </c>
      <c r="F2471" s="90" t="s">
        <v>859</v>
      </c>
      <c r="G2471" s="137">
        <v>12</v>
      </c>
      <c r="H2471" s="94">
        <v>1080</v>
      </c>
      <c r="I2471" s="91">
        <v>46015</v>
      </c>
      <c r="J2471" s="165">
        <v>0.66041666666666665</v>
      </c>
      <c r="K2471" s="94">
        <v>1080</v>
      </c>
      <c r="L2471" s="72" t="str">
        <f t="shared" si="39"/>
        <v>Payé</v>
      </c>
    </row>
    <row r="2472" spans="1:12" ht="15" customHeight="1" x14ac:dyDescent="0.25">
      <c r="A2472" s="90" t="s">
        <v>859</v>
      </c>
      <c r="B2472" s="90">
        <v>10257</v>
      </c>
      <c r="C2472" s="88" t="s">
        <v>1434</v>
      </c>
      <c r="D2472" s="90" t="s">
        <v>17</v>
      </c>
      <c r="E2472" s="90" t="s">
        <v>753</v>
      </c>
      <c r="F2472" s="90" t="s">
        <v>859</v>
      </c>
      <c r="G2472" s="137">
        <v>5</v>
      </c>
      <c r="H2472" s="94">
        <v>450</v>
      </c>
      <c r="I2472" s="91">
        <v>46016</v>
      </c>
      <c r="J2472" s="165">
        <v>0.51388888888888895</v>
      </c>
      <c r="K2472" s="94">
        <v>450</v>
      </c>
      <c r="L2472" s="72" t="str">
        <f t="shared" si="39"/>
        <v>Payé</v>
      </c>
    </row>
    <row r="2473" spans="1:12" ht="15" customHeight="1" x14ac:dyDescent="0.25">
      <c r="A2473" s="90" t="s">
        <v>859</v>
      </c>
      <c r="B2473" s="90">
        <v>10011</v>
      </c>
      <c r="C2473" s="88" t="s">
        <v>1159</v>
      </c>
      <c r="D2473" s="90" t="s">
        <v>17</v>
      </c>
      <c r="E2473" s="90" t="s">
        <v>753</v>
      </c>
      <c r="F2473" s="90" t="s">
        <v>859</v>
      </c>
      <c r="G2473" s="137">
        <v>3</v>
      </c>
      <c r="H2473" s="94">
        <v>270</v>
      </c>
      <c r="I2473" s="87">
        <v>46067</v>
      </c>
      <c r="J2473" s="93">
        <v>0.45347222222222222</v>
      </c>
      <c r="K2473" s="94">
        <v>270</v>
      </c>
      <c r="L2473" s="72" t="str">
        <f t="shared" si="39"/>
        <v>Payé</v>
      </c>
    </row>
    <row r="2474" spans="1:12" ht="15" customHeight="1" x14ac:dyDescent="0.25">
      <c r="A2474" s="90" t="s">
        <v>859</v>
      </c>
      <c r="B2474" s="90">
        <v>10030</v>
      </c>
      <c r="C2474" s="88" t="s">
        <v>1176</v>
      </c>
      <c r="D2474" s="90" t="s">
        <v>17</v>
      </c>
      <c r="E2474" s="90" t="s">
        <v>753</v>
      </c>
      <c r="F2474" s="90" t="s">
        <v>859</v>
      </c>
      <c r="G2474" s="137">
        <v>10</v>
      </c>
      <c r="H2474" s="94">
        <v>900</v>
      </c>
      <c r="I2474" s="91">
        <v>46015</v>
      </c>
      <c r="J2474" s="165">
        <v>0.66041666666666665</v>
      </c>
      <c r="K2474" s="94">
        <v>900</v>
      </c>
      <c r="L2474" s="72" t="str">
        <f t="shared" si="39"/>
        <v>Payé</v>
      </c>
    </row>
    <row r="2475" spans="1:12" ht="15" customHeight="1" x14ac:dyDescent="0.25">
      <c r="A2475" s="90" t="s">
        <v>859</v>
      </c>
      <c r="B2475" s="90">
        <v>10031</v>
      </c>
      <c r="C2475" s="88" t="s">
        <v>1177</v>
      </c>
      <c r="D2475" s="90" t="s">
        <v>17</v>
      </c>
      <c r="E2475" s="90" t="s">
        <v>753</v>
      </c>
      <c r="F2475" s="90" t="s">
        <v>859</v>
      </c>
      <c r="G2475" s="137">
        <v>10</v>
      </c>
      <c r="H2475" s="94">
        <v>900</v>
      </c>
      <c r="I2475" s="91">
        <v>46015</v>
      </c>
      <c r="J2475" s="165">
        <v>0.66041666666666665</v>
      </c>
      <c r="K2475" s="94">
        <v>900</v>
      </c>
      <c r="L2475" s="72" t="str">
        <f t="shared" si="39"/>
        <v>Payé</v>
      </c>
    </row>
    <row r="2476" spans="1:12" ht="15" customHeight="1" x14ac:dyDescent="0.25">
      <c r="A2476" s="90" t="s">
        <v>859</v>
      </c>
      <c r="B2476" s="90">
        <v>10032</v>
      </c>
      <c r="C2476" s="88" t="s">
        <v>1178</v>
      </c>
      <c r="D2476" s="90" t="s">
        <v>17</v>
      </c>
      <c r="E2476" s="90" t="s">
        <v>753</v>
      </c>
      <c r="F2476" s="90" t="s">
        <v>859</v>
      </c>
      <c r="G2476" s="137">
        <v>11</v>
      </c>
      <c r="H2476" s="94">
        <v>990</v>
      </c>
      <c r="I2476" s="91">
        <v>46015</v>
      </c>
      <c r="J2476" s="165">
        <v>0.66041666666666665</v>
      </c>
      <c r="K2476" s="94">
        <v>990</v>
      </c>
      <c r="L2476" s="72" t="str">
        <f t="shared" si="39"/>
        <v>Payé</v>
      </c>
    </row>
    <row r="2477" spans="1:12" ht="15" customHeight="1" x14ac:dyDescent="0.25">
      <c r="A2477" s="90" t="s">
        <v>859</v>
      </c>
      <c r="B2477" s="90">
        <v>10041</v>
      </c>
      <c r="C2477" s="88" t="s">
        <v>1213</v>
      </c>
      <c r="D2477" s="90" t="s">
        <v>17</v>
      </c>
      <c r="E2477" s="90" t="s">
        <v>753</v>
      </c>
      <c r="F2477" s="90" t="s">
        <v>859</v>
      </c>
      <c r="G2477" s="137">
        <v>12</v>
      </c>
      <c r="H2477" s="94">
        <v>1080</v>
      </c>
      <c r="I2477" s="91">
        <v>46014</v>
      </c>
      <c r="J2477" s="165">
        <v>0.60833333333333328</v>
      </c>
      <c r="K2477" s="94">
        <v>1080</v>
      </c>
      <c r="L2477" s="72" t="str">
        <f t="shared" si="39"/>
        <v>Payé</v>
      </c>
    </row>
    <row r="2478" spans="1:12" ht="15" customHeight="1" x14ac:dyDescent="0.25">
      <c r="A2478" s="90" t="s">
        <v>859</v>
      </c>
      <c r="B2478" s="90">
        <v>10345</v>
      </c>
      <c r="C2478" s="88" t="s">
        <v>1435</v>
      </c>
      <c r="D2478" s="90" t="s">
        <v>17</v>
      </c>
      <c r="E2478" s="90" t="s">
        <v>753</v>
      </c>
      <c r="F2478" s="90" t="s">
        <v>859</v>
      </c>
      <c r="G2478" s="137">
        <v>4</v>
      </c>
      <c r="H2478" s="94">
        <v>360</v>
      </c>
      <c r="I2478" s="91">
        <v>46015</v>
      </c>
      <c r="J2478" s="165">
        <v>0.66041666666666665</v>
      </c>
      <c r="K2478" s="94">
        <v>360</v>
      </c>
      <c r="L2478" s="72" t="str">
        <f t="shared" si="39"/>
        <v>Payé</v>
      </c>
    </row>
    <row r="2479" spans="1:12" ht="15" customHeight="1" x14ac:dyDescent="0.25">
      <c r="A2479" s="90" t="s">
        <v>859</v>
      </c>
      <c r="B2479" s="90">
        <v>10346</v>
      </c>
      <c r="C2479" s="88" t="s">
        <v>1436</v>
      </c>
      <c r="D2479" s="90" t="s">
        <v>17</v>
      </c>
      <c r="E2479" s="90" t="s">
        <v>753</v>
      </c>
      <c r="F2479" s="90" t="s">
        <v>859</v>
      </c>
      <c r="G2479" s="137">
        <v>4</v>
      </c>
      <c r="H2479" s="94">
        <v>360</v>
      </c>
      <c r="I2479" s="91">
        <v>46016</v>
      </c>
      <c r="J2479" s="165">
        <v>0.54791666666666672</v>
      </c>
      <c r="K2479" s="94">
        <v>360</v>
      </c>
      <c r="L2479" s="72" t="str">
        <f t="shared" si="39"/>
        <v>Payé</v>
      </c>
    </row>
    <row r="2480" spans="1:12" ht="15" customHeight="1" x14ac:dyDescent="0.25">
      <c r="A2480" s="90" t="s">
        <v>859</v>
      </c>
      <c r="B2480" s="90">
        <v>10347</v>
      </c>
      <c r="C2480" s="88" t="s">
        <v>1437</v>
      </c>
      <c r="D2480" s="90" t="s">
        <v>17</v>
      </c>
      <c r="E2480" s="90" t="s">
        <v>753</v>
      </c>
      <c r="F2480" s="90" t="s">
        <v>859</v>
      </c>
      <c r="G2480" s="137">
        <v>4</v>
      </c>
      <c r="H2480" s="94">
        <v>360</v>
      </c>
      <c r="I2480" s="91">
        <v>46016</v>
      </c>
      <c r="J2480" s="165">
        <v>0.54791666666666672</v>
      </c>
      <c r="K2480" s="94">
        <v>360</v>
      </c>
      <c r="L2480" s="72" t="str">
        <f t="shared" si="39"/>
        <v>Payé</v>
      </c>
    </row>
    <row r="2481" spans="1:12" ht="15" customHeight="1" x14ac:dyDescent="0.25">
      <c r="A2481" s="90" t="s">
        <v>859</v>
      </c>
      <c r="B2481" s="90">
        <v>10348</v>
      </c>
      <c r="C2481" s="88" t="s">
        <v>1438</v>
      </c>
      <c r="D2481" s="90" t="s">
        <v>17</v>
      </c>
      <c r="E2481" s="90" t="s">
        <v>753</v>
      </c>
      <c r="F2481" s="90" t="s">
        <v>859</v>
      </c>
      <c r="G2481" s="137">
        <v>1</v>
      </c>
      <c r="H2481" s="94">
        <v>90</v>
      </c>
      <c r="I2481" s="91"/>
      <c r="J2481" s="165"/>
      <c r="K2481" s="92"/>
      <c r="L2481" s="72" t="str">
        <f t="shared" si="39"/>
        <v>Impayé</v>
      </c>
    </row>
    <row r="2482" spans="1:12" ht="15" customHeight="1" x14ac:dyDescent="0.25">
      <c r="A2482" s="90" t="s">
        <v>859</v>
      </c>
      <c r="B2482" s="90">
        <v>10270</v>
      </c>
      <c r="C2482" s="88" t="s">
        <v>1439</v>
      </c>
      <c r="D2482" s="90" t="s">
        <v>17</v>
      </c>
      <c r="E2482" s="90" t="s">
        <v>753</v>
      </c>
      <c r="F2482" s="90" t="s">
        <v>859</v>
      </c>
      <c r="G2482" s="137">
        <v>7</v>
      </c>
      <c r="H2482" s="94">
        <v>630</v>
      </c>
      <c r="I2482" s="91">
        <v>46018</v>
      </c>
      <c r="J2482" s="165">
        <v>0.49722222222222223</v>
      </c>
      <c r="K2482" s="94">
        <v>630</v>
      </c>
      <c r="L2482" s="72" t="str">
        <f t="shared" si="39"/>
        <v>Payé</v>
      </c>
    </row>
    <row r="2483" spans="1:12" ht="15" customHeight="1" x14ac:dyDescent="0.25">
      <c r="A2483" s="90" t="s">
        <v>859</v>
      </c>
      <c r="B2483" s="90">
        <v>10263</v>
      </c>
      <c r="C2483" s="88" t="s">
        <v>1440</v>
      </c>
      <c r="D2483" s="90" t="s">
        <v>17</v>
      </c>
      <c r="E2483" s="90" t="s">
        <v>753</v>
      </c>
      <c r="F2483" s="90" t="s">
        <v>859</v>
      </c>
      <c r="G2483" s="137">
        <v>8</v>
      </c>
      <c r="H2483" s="94">
        <v>720</v>
      </c>
      <c r="I2483" s="91">
        <v>46016</v>
      </c>
      <c r="J2483" s="165">
        <v>0.6069444444444444</v>
      </c>
      <c r="K2483" s="94">
        <v>720</v>
      </c>
      <c r="L2483" s="72" t="str">
        <f t="shared" si="39"/>
        <v>Payé</v>
      </c>
    </row>
    <row r="2484" spans="1:12" ht="15" customHeight="1" x14ac:dyDescent="0.25">
      <c r="A2484" s="90" t="s">
        <v>859</v>
      </c>
      <c r="B2484" s="90">
        <v>10133</v>
      </c>
      <c r="C2484" s="88" t="s">
        <v>1325</v>
      </c>
      <c r="D2484" s="90" t="s">
        <v>17</v>
      </c>
      <c r="E2484" s="90" t="s">
        <v>753</v>
      </c>
      <c r="F2484" s="90" t="s">
        <v>859</v>
      </c>
      <c r="G2484" s="137">
        <v>2</v>
      </c>
      <c r="H2484" s="94">
        <v>180</v>
      </c>
      <c r="I2484" s="91">
        <v>46031</v>
      </c>
      <c r="J2484" s="165">
        <v>0.59375</v>
      </c>
      <c r="K2484" s="94">
        <v>180</v>
      </c>
      <c r="L2484" s="72" t="str">
        <f t="shared" si="39"/>
        <v>Payé</v>
      </c>
    </row>
    <row r="2485" spans="1:12" ht="15" customHeight="1" x14ac:dyDescent="0.25">
      <c r="A2485" s="90" t="s">
        <v>859</v>
      </c>
      <c r="B2485" s="90">
        <v>10260</v>
      </c>
      <c r="C2485" s="88" t="s">
        <v>1441</v>
      </c>
      <c r="D2485" s="90" t="s">
        <v>17</v>
      </c>
      <c r="E2485" s="90" t="s">
        <v>753</v>
      </c>
      <c r="F2485" s="90" t="s">
        <v>859</v>
      </c>
      <c r="G2485" s="137">
        <v>5</v>
      </c>
      <c r="H2485" s="94">
        <v>450</v>
      </c>
      <c r="I2485" s="91">
        <v>46015</v>
      </c>
      <c r="J2485" s="165">
        <v>0.66041666666666665</v>
      </c>
      <c r="K2485" s="94">
        <v>450</v>
      </c>
      <c r="L2485" s="72" t="str">
        <f t="shared" si="39"/>
        <v>Payé</v>
      </c>
    </row>
    <row r="2486" spans="1:12" ht="18" customHeight="1" x14ac:dyDescent="0.25">
      <c r="A2486" s="90" t="s">
        <v>859</v>
      </c>
      <c r="B2486" s="90">
        <v>10138</v>
      </c>
      <c r="C2486" s="88" t="s">
        <v>1328</v>
      </c>
      <c r="D2486" s="90" t="s">
        <v>17</v>
      </c>
      <c r="E2486" s="90" t="s">
        <v>753</v>
      </c>
      <c r="F2486" s="90" t="s">
        <v>859</v>
      </c>
      <c r="G2486" s="137">
        <v>1</v>
      </c>
      <c r="H2486" s="94">
        <v>90</v>
      </c>
      <c r="I2486" s="91"/>
      <c r="J2486" s="165"/>
      <c r="K2486" s="92"/>
      <c r="L2486" s="72" t="str">
        <f t="shared" si="39"/>
        <v>Impayé</v>
      </c>
    </row>
    <row r="2487" spans="1:12" ht="15" customHeight="1" x14ac:dyDescent="0.25">
      <c r="A2487" s="90" t="s">
        <v>859</v>
      </c>
      <c r="B2487" s="90">
        <v>10071</v>
      </c>
      <c r="C2487" s="88" t="s">
        <v>1251</v>
      </c>
      <c r="D2487" s="90" t="s">
        <v>17</v>
      </c>
      <c r="E2487" s="90" t="s">
        <v>753</v>
      </c>
      <c r="F2487" s="90" t="s">
        <v>859</v>
      </c>
      <c r="G2487" s="137">
        <v>2</v>
      </c>
      <c r="H2487" s="94">
        <v>180</v>
      </c>
      <c r="I2487" s="91">
        <v>46014</v>
      </c>
      <c r="J2487" s="165">
        <v>0.60833333333333328</v>
      </c>
      <c r="K2487" s="94">
        <v>180</v>
      </c>
      <c r="L2487" s="72" t="str">
        <f t="shared" si="39"/>
        <v>Payé</v>
      </c>
    </row>
    <row r="2488" spans="1:12" ht="15" customHeight="1" x14ac:dyDescent="0.25">
      <c r="A2488" s="90" t="s">
        <v>859</v>
      </c>
      <c r="B2488" s="90">
        <v>10321</v>
      </c>
      <c r="C2488" s="88" t="s">
        <v>1442</v>
      </c>
      <c r="D2488" s="90" t="s">
        <v>17</v>
      </c>
      <c r="E2488" s="90" t="s">
        <v>753</v>
      </c>
      <c r="F2488" s="90" t="s">
        <v>859</v>
      </c>
      <c r="G2488" s="137">
        <v>4</v>
      </c>
      <c r="H2488" s="94">
        <v>360</v>
      </c>
      <c r="I2488" s="91">
        <v>46016</v>
      </c>
      <c r="J2488" s="165">
        <v>0.51388888888888895</v>
      </c>
      <c r="K2488" s="94">
        <v>360</v>
      </c>
      <c r="L2488" s="72" t="str">
        <f t="shared" si="39"/>
        <v>Payé</v>
      </c>
    </row>
    <row r="2489" spans="1:12" ht="15" customHeight="1" x14ac:dyDescent="0.25">
      <c r="A2489" s="90" t="s">
        <v>859</v>
      </c>
      <c r="B2489" s="90">
        <v>10322</v>
      </c>
      <c r="C2489" s="88" t="s">
        <v>1443</v>
      </c>
      <c r="D2489" s="90" t="s">
        <v>17</v>
      </c>
      <c r="E2489" s="90" t="s">
        <v>753</v>
      </c>
      <c r="F2489" s="90" t="s">
        <v>859</v>
      </c>
      <c r="G2489" s="137">
        <v>6</v>
      </c>
      <c r="H2489" s="94">
        <v>540</v>
      </c>
      <c r="I2489" s="91">
        <v>46015</v>
      </c>
      <c r="J2489" s="165">
        <v>0.66041666666666665</v>
      </c>
      <c r="K2489" s="94">
        <v>540</v>
      </c>
      <c r="L2489" s="72" t="str">
        <f t="shared" si="39"/>
        <v>Payé</v>
      </c>
    </row>
    <row r="2490" spans="1:12" ht="15" customHeight="1" x14ac:dyDescent="0.25">
      <c r="A2490" s="90" t="s">
        <v>859</v>
      </c>
      <c r="B2490" s="90">
        <v>10323</v>
      </c>
      <c r="C2490" s="88" t="s">
        <v>1444</v>
      </c>
      <c r="D2490" s="90" t="s">
        <v>17</v>
      </c>
      <c r="E2490" s="90" t="s">
        <v>753</v>
      </c>
      <c r="F2490" s="90" t="s">
        <v>859</v>
      </c>
      <c r="G2490" s="137">
        <v>5</v>
      </c>
      <c r="H2490" s="94">
        <v>450</v>
      </c>
      <c r="I2490" s="91">
        <v>46016</v>
      </c>
      <c r="J2490" s="165">
        <v>0.50624999999999998</v>
      </c>
      <c r="K2490" s="94">
        <v>450</v>
      </c>
      <c r="L2490" s="72" t="str">
        <f t="shared" si="39"/>
        <v>Payé</v>
      </c>
    </row>
    <row r="2491" spans="1:12" ht="15" customHeight="1" x14ac:dyDescent="0.25">
      <c r="A2491" s="90" t="s">
        <v>859</v>
      </c>
      <c r="B2491" s="90">
        <v>10326</v>
      </c>
      <c r="C2491" s="88" t="s">
        <v>1445</v>
      </c>
      <c r="D2491" s="90" t="s">
        <v>17</v>
      </c>
      <c r="E2491" s="90" t="s">
        <v>753</v>
      </c>
      <c r="F2491" s="90" t="s">
        <v>859</v>
      </c>
      <c r="G2491" s="137">
        <v>5</v>
      </c>
      <c r="H2491" s="94">
        <v>450</v>
      </c>
      <c r="I2491" s="91">
        <v>46024</v>
      </c>
      <c r="J2491" s="165">
        <v>0.59097222222222223</v>
      </c>
      <c r="K2491" s="94">
        <v>450</v>
      </c>
      <c r="L2491" s="72" t="str">
        <f t="shared" si="39"/>
        <v>Payé</v>
      </c>
    </row>
    <row r="2492" spans="1:12" ht="15" customHeight="1" x14ac:dyDescent="0.25">
      <c r="A2492" s="90" t="s">
        <v>859</v>
      </c>
      <c r="B2492" s="90">
        <v>10327</v>
      </c>
      <c r="C2492" s="88" t="s">
        <v>1446</v>
      </c>
      <c r="D2492" s="90" t="s">
        <v>17</v>
      </c>
      <c r="E2492" s="90" t="s">
        <v>753</v>
      </c>
      <c r="F2492" s="90" t="s">
        <v>859</v>
      </c>
      <c r="G2492" s="137">
        <v>5</v>
      </c>
      <c r="H2492" s="94">
        <v>450</v>
      </c>
      <c r="I2492" s="91">
        <v>46015</v>
      </c>
      <c r="J2492" s="165">
        <v>0.66041666666666665</v>
      </c>
      <c r="K2492" s="94">
        <v>450</v>
      </c>
      <c r="L2492" s="72" t="str">
        <f t="shared" si="39"/>
        <v>Payé</v>
      </c>
    </row>
    <row r="2493" spans="1:12" ht="15" customHeight="1" x14ac:dyDescent="0.25">
      <c r="A2493" s="90" t="s">
        <v>859</v>
      </c>
      <c r="B2493" s="90">
        <v>10325</v>
      </c>
      <c r="C2493" s="88" t="s">
        <v>1447</v>
      </c>
      <c r="D2493" s="90" t="s">
        <v>17</v>
      </c>
      <c r="E2493" s="90" t="s">
        <v>753</v>
      </c>
      <c r="F2493" s="90" t="s">
        <v>859</v>
      </c>
      <c r="G2493" s="137">
        <v>5</v>
      </c>
      <c r="H2493" s="94">
        <v>450</v>
      </c>
      <c r="I2493" s="91">
        <v>46014</v>
      </c>
      <c r="J2493" s="165">
        <v>0.60416666666666663</v>
      </c>
      <c r="K2493" s="94">
        <v>450</v>
      </c>
      <c r="L2493" s="72" t="str">
        <f t="shared" si="39"/>
        <v>Payé</v>
      </c>
    </row>
    <row r="2494" spans="1:12" ht="15" customHeight="1" x14ac:dyDescent="0.25">
      <c r="A2494" s="90" t="s">
        <v>859</v>
      </c>
      <c r="B2494" s="90">
        <v>10337</v>
      </c>
      <c r="C2494" s="88" t="s">
        <v>1448</v>
      </c>
      <c r="D2494" s="90" t="s">
        <v>17</v>
      </c>
      <c r="E2494" s="90" t="s">
        <v>753</v>
      </c>
      <c r="F2494" s="90" t="s">
        <v>859</v>
      </c>
      <c r="G2494" s="137">
        <v>4</v>
      </c>
      <c r="H2494" s="94">
        <v>360</v>
      </c>
      <c r="I2494" s="91">
        <v>46015</v>
      </c>
      <c r="J2494" s="165">
        <v>0.66041666666666665</v>
      </c>
      <c r="K2494" s="94">
        <v>360</v>
      </c>
      <c r="L2494" s="72" t="str">
        <f t="shared" si="39"/>
        <v>Payé</v>
      </c>
    </row>
    <row r="2495" spans="1:12" ht="15" customHeight="1" x14ac:dyDescent="0.25">
      <c r="A2495" s="90" t="s">
        <v>859</v>
      </c>
      <c r="B2495" s="90">
        <v>10338</v>
      </c>
      <c r="C2495" s="88" t="s">
        <v>1449</v>
      </c>
      <c r="D2495" s="90" t="s">
        <v>17</v>
      </c>
      <c r="E2495" s="90" t="s">
        <v>753</v>
      </c>
      <c r="F2495" s="90" t="s">
        <v>859</v>
      </c>
      <c r="G2495" s="137">
        <v>6</v>
      </c>
      <c r="H2495" s="94">
        <v>540</v>
      </c>
      <c r="I2495" s="91">
        <v>46015</v>
      </c>
      <c r="J2495" s="165">
        <v>0.66041666666666665</v>
      </c>
      <c r="K2495" s="94">
        <v>540</v>
      </c>
      <c r="L2495" s="72" t="str">
        <f t="shared" si="39"/>
        <v>Payé</v>
      </c>
    </row>
    <row r="2496" spans="1:12" ht="15" customHeight="1" x14ac:dyDescent="0.25">
      <c r="A2496" s="90" t="s">
        <v>859</v>
      </c>
      <c r="B2496" s="90">
        <v>4802</v>
      </c>
      <c r="C2496" s="88" t="s">
        <v>1360</v>
      </c>
      <c r="D2496" s="90" t="s">
        <v>17</v>
      </c>
      <c r="E2496" s="90" t="s">
        <v>1187</v>
      </c>
      <c r="F2496" s="90" t="s">
        <v>859</v>
      </c>
      <c r="G2496" s="137">
        <v>5</v>
      </c>
      <c r="H2496" s="94">
        <v>450</v>
      </c>
      <c r="I2496" s="91">
        <v>46014</v>
      </c>
      <c r="J2496" s="165">
        <v>0.66041666666666665</v>
      </c>
      <c r="K2496" s="94">
        <v>450</v>
      </c>
      <c r="L2496" s="72" t="str">
        <f t="shared" si="39"/>
        <v>Payé</v>
      </c>
    </row>
    <row r="2497" spans="1:12" ht="15" customHeight="1" x14ac:dyDescent="0.25">
      <c r="A2497" s="90" t="s">
        <v>859</v>
      </c>
      <c r="B2497" s="90">
        <v>3534</v>
      </c>
      <c r="C2497" s="88" t="s">
        <v>563</v>
      </c>
      <c r="D2497" s="90" t="s">
        <v>17</v>
      </c>
      <c r="E2497" s="90" t="s">
        <v>1187</v>
      </c>
      <c r="F2497" s="90" t="s">
        <v>859</v>
      </c>
      <c r="G2497" s="137">
        <v>11</v>
      </c>
      <c r="H2497" s="94">
        <v>990</v>
      </c>
      <c r="I2497" s="91">
        <v>46014</v>
      </c>
      <c r="J2497" s="165">
        <v>0.66041666666666665</v>
      </c>
      <c r="K2497" s="94">
        <v>990</v>
      </c>
      <c r="L2497" s="72" t="str">
        <f t="shared" si="39"/>
        <v>Payé</v>
      </c>
    </row>
    <row r="2498" spans="1:12" ht="15" customHeight="1" x14ac:dyDescent="0.25">
      <c r="A2498" s="90" t="s">
        <v>859</v>
      </c>
      <c r="B2498" s="90">
        <v>3535</v>
      </c>
      <c r="C2498" s="88" t="s">
        <v>564</v>
      </c>
      <c r="D2498" s="90" t="s">
        <v>17</v>
      </c>
      <c r="E2498" s="90" t="s">
        <v>1187</v>
      </c>
      <c r="F2498" s="90" t="s">
        <v>859</v>
      </c>
      <c r="G2498" s="137">
        <v>11</v>
      </c>
      <c r="H2498" s="94">
        <v>990</v>
      </c>
      <c r="I2498" s="91">
        <v>46014</v>
      </c>
      <c r="J2498" s="165">
        <v>0.66041666666666665</v>
      </c>
      <c r="K2498" s="94">
        <v>990</v>
      </c>
      <c r="L2498" s="72" t="str">
        <f t="shared" si="39"/>
        <v>Payé</v>
      </c>
    </row>
    <row r="2499" spans="1:12" ht="15" customHeight="1" x14ac:dyDescent="0.25">
      <c r="A2499" s="90" t="s">
        <v>859</v>
      </c>
      <c r="B2499" s="90">
        <v>3947</v>
      </c>
      <c r="C2499" s="88" t="s">
        <v>576</v>
      </c>
      <c r="D2499" s="90" t="s">
        <v>17</v>
      </c>
      <c r="E2499" s="90" t="s">
        <v>1187</v>
      </c>
      <c r="F2499" s="90" t="s">
        <v>859</v>
      </c>
      <c r="G2499" s="137">
        <v>7</v>
      </c>
      <c r="H2499" s="94">
        <v>630</v>
      </c>
      <c r="I2499" s="91">
        <v>46014</v>
      </c>
      <c r="J2499" s="165">
        <v>0.66041666666666665</v>
      </c>
      <c r="K2499" s="94">
        <v>630</v>
      </c>
      <c r="L2499" s="72" t="str">
        <f t="shared" si="39"/>
        <v>Payé</v>
      </c>
    </row>
    <row r="2500" spans="1:12" ht="15" customHeight="1" x14ac:dyDescent="0.25">
      <c r="A2500" s="90" t="s">
        <v>859</v>
      </c>
      <c r="B2500" s="90">
        <v>5259</v>
      </c>
      <c r="C2500" s="88" t="s">
        <v>908</v>
      </c>
      <c r="D2500" s="90" t="s">
        <v>17</v>
      </c>
      <c r="E2500" s="90" t="s">
        <v>1187</v>
      </c>
      <c r="F2500" s="90" t="s">
        <v>859</v>
      </c>
      <c r="G2500" s="137">
        <v>11</v>
      </c>
      <c r="H2500" s="94">
        <v>990</v>
      </c>
      <c r="I2500" s="91">
        <v>46014</v>
      </c>
      <c r="J2500" s="165">
        <v>0.66041666666666665</v>
      </c>
      <c r="K2500" s="94">
        <v>990</v>
      </c>
      <c r="L2500" s="72" t="str">
        <f t="shared" si="39"/>
        <v>Payé</v>
      </c>
    </row>
    <row r="2501" spans="1:12" ht="15" customHeight="1" x14ac:dyDescent="0.25">
      <c r="A2501" s="90" t="s">
        <v>859</v>
      </c>
      <c r="B2501" s="90">
        <v>5269</v>
      </c>
      <c r="C2501" s="88" t="s">
        <v>925</v>
      </c>
      <c r="D2501" s="90" t="s">
        <v>17</v>
      </c>
      <c r="E2501" s="90" t="s">
        <v>1187</v>
      </c>
      <c r="F2501" s="90" t="s">
        <v>859</v>
      </c>
      <c r="G2501" s="137">
        <v>11</v>
      </c>
      <c r="H2501" s="94">
        <v>990</v>
      </c>
      <c r="I2501" s="91">
        <v>46014</v>
      </c>
      <c r="J2501" s="165">
        <v>0.66041666666666665</v>
      </c>
      <c r="K2501" s="94">
        <v>990</v>
      </c>
      <c r="L2501" s="72" t="str">
        <f t="shared" si="39"/>
        <v>Payé</v>
      </c>
    </row>
    <row r="2502" spans="1:12" ht="15" customHeight="1" x14ac:dyDescent="0.25">
      <c r="A2502" s="90" t="s">
        <v>859</v>
      </c>
      <c r="B2502" s="90">
        <v>5292</v>
      </c>
      <c r="C2502" s="88" t="s">
        <v>1003</v>
      </c>
      <c r="D2502" s="90" t="s">
        <v>17</v>
      </c>
      <c r="E2502" s="90" t="s">
        <v>1187</v>
      </c>
      <c r="F2502" s="90" t="s">
        <v>859</v>
      </c>
      <c r="G2502" s="137">
        <v>9</v>
      </c>
      <c r="H2502" s="94">
        <v>810</v>
      </c>
      <c r="I2502" s="91">
        <v>46014</v>
      </c>
      <c r="J2502" s="165">
        <v>0.66041666666666665</v>
      </c>
      <c r="K2502" s="94">
        <v>810</v>
      </c>
      <c r="L2502" s="72" t="str">
        <f t="shared" si="39"/>
        <v>Payé</v>
      </c>
    </row>
    <row r="2503" spans="1:12" ht="15" customHeight="1" x14ac:dyDescent="0.25">
      <c r="A2503" s="90" t="s">
        <v>859</v>
      </c>
      <c r="B2503" s="90">
        <v>7012</v>
      </c>
      <c r="C2503" s="88" t="s">
        <v>724</v>
      </c>
      <c r="D2503" s="90" t="s">
        <v>17</v>
      </c>
      <c r="E2503" s="90" t="s">
        <v>1187</v>
      </c>
      <c r="F2503" s="90" t="s">
        <v>859</v>
      </c>
      <c r="G2503" s="137">
        <v>4</v>
      </c>
      <c r="H2503" s="94">
        <v>360</v>
      </c>
      <c r="I2503" s="91">
        <v>46014</v>
      </c>
      <c r="J2503" s="165">
        <v>0.66041666666666665</v>
      </c>
      <c r="K2503" s="94">
        <v>360</v>
      </c>
      <c r="L2503" s="72" t="str">
        <f t="shared" si="39"/>
        <v>Payé</v>
      </c>
    </row>
    <row r="2504" spans="1:12" ht="15" customHeight="1" x14ac:dyDescent="0.25">
      <c r="A2504" s="90" t="s">
        <v>859</v>
      </c>
      <c r="B2504" s="90">
        <v>10040</v>
      </c>
      <c r="C2504" s="88" t="s">
        <v>1184</v>
      </c>
      <c r="D2504" s="90" t="s">
        <v>17</v>
      </c>
      <c r="E2504" s="90" t="s">
        <v>1187</v>
      </c>
      <c r="F2504" s="90" t="s">
        <v>859</v>
      </c>
      <c r="G2504" s="137">
        <v>10</v>
      </c>
      <c r="H2504" s="94">
        <v>900</v>
      </c>
      <c r="I2504" s="91">
        <v>46014</v>
      </c>
      <c r="J2504" s="165">
        <v>0.66041666666666665</v>
      </c>
      <c r="K2504" s="94">
        <v>900</v>
      </c>
      <c r="L2504" s="72" t="str">
        <f t="shared" si="39"/>
        <v>Payé</v>
      </c>
    </row>
    <row r="2505" spans="1:12" ht="15" customHeight="1" x14ac:dyDescent="0.25">
      <c r="A2505" s="90" t="s">
        <v>859</v>
      </c>
      <c r="B2505" s="90">
        <v>3021</v>
      </c>
      <c r="C2505" s="88" t="s">
        <v>304</v>
      </c>
      <c r="D2505" s="90" t="s">
        <v>17</v>
      </c>
      <c r="E2505" s="90" t="s">
        <v>667</v>
      </c>
      <c r="F2505" s="90" t="s">
        <v>859</v>
      </c>
      <c r="G2505" s="137">
        <v>7</v>
      </c>
      <c r="H2505" s="94">
        <v>630</v>
      </c>
      <c r="I2505" s="91">
        <v>46014</v>
      </c>
      <c r="J2505" s="165">
        <v>0.68611111111111101</v>
      </c>
      <c r="K2505" s="94">
        <v>630</v>
      </c>
      <c r="L2505" s="72" t="str">
        <f t="shared" si="39"/>
        <v>Payé</v>
      </c>
    </row>
    <row r="2506" spans="1:12" ht="15" customHeight="1" x14ac:dyDescent="0.25">
      <c r="A2506" s="90" t="s">
        <v>859</v>
      </c>
      <c r="B2506" s="90">
        <v>10084</v>
      </c>
      <c r="C2506" s="88" t="s">
        <v>1261</v>
      </c>
      <c r="D2506" s="90" t="s">
        <v>17</v>
      </c>
      <c r="E2506" s="90" t="s">
        <v>667</v>
      </c>
      <c r="F2506" s="90" t="s">
        <v>859</v>
      </c>
      <c r="G2506" s="137">
        <v>1</v>
      </c>
      <c r="H2506" s="94">
        <v>190</v>
      </c>
      <c r="I2506" s="91">
        <v>46014</v>
      </c>
      <c r="J2506" s="165">
        <v>0.68611111111111101</v>
      </c>
      <c r="K2506" s="94">
        <v>190</v>
      </c>
      <c r="L2506" s="72" t="str">
        <f t="shared" si="39"/>
        <v>Payé</v>
      </c>
    </row>
    <row r="2507" spans="1:12" ht="15" customHeight="1" x14ac:dyDescent="0.25">
      <c r="A2507" s="90" t="s">
        <v>859</v>
      </c>
      <c r="B2507" s="90">
        <v>10086</v>
      </c>
      <c r="C2507" s="88" t="s">
        <v>1262</v>
      </c>
      <c r="D2507" s="90" t="s">
        <v>17</v>
      </c>
      <c r="E2507" s="90" t="s">
        <v>667</v>
      </c>
      <c r="F2507" s="90" t="s">
        <v>859</v>
      </c>
      <c r="G2507" s="137">
        <v>13</v>
      </c>
      <c r="H2507" s="94">
        <v>1403</v>
      </c>
      <c r="I2507" s="91">
        <v>46014</v>
      </c>
      <c r="J2507" s="165">
        <v>0.68611111111111101</v>
      </c>
      <c r="K2507" s="94">
        <v>1403</v>
      </c>
      <c r="L2507" s="72" t="str">
        <f t="shared" si="39"/>
        <v>Payé</v>
      </c>
    </row>
    <row r="2508" spans="1:12" ht="15" customHeight="1" x14ac:dyDescent="0.25">
      <c r="A2508" s="90" t="s">
        <v>859</v>
      </c>
      <c r="B2508" s="90">
        <v>10087</v>
      </c>
      <c r="C2508" s="88" t="s">
        <v>1263</v>
      </c>
      <c r="D2508" s="90" t="s">
        <v>17</v>
      </c>
      <c r="E2508" s="90" t="s">
        <v>667</v>
      </c>
      <c r="F2508" s="90" t="s">
        <v>859</v>
      </c>
      <c r="G2508" s="137">
        <v>3</v>
      </c>
      <c r="H2508" s="94">
        <v>390</v>
      </c>
      <c r="I2508" s="91">
        <v>46014</v>
      </c>
      <c r="J2508" s="165">
        <v>0.68611111111111101</v>
      </c>
      <c r="K2508" s="94">
        <v>390</v>
      </c>
      <c r="L2508" s="72" t="str">
        <f t="shared" si="39"/>
        <v>Payé</v>
      </c>
    </row>
    <row r="2509" spans="1:12" ht="15" customHeight="1" x14ac:dyDescent="0.25">
      <c r="A2509" s="90" t="s">
        <v>859</v>
      </c>
      <c r="B2509" s="90">
        <v>10365</v>
      </c>
      <c r="C2509" s="88" t="s">
        <v>1450</v>
      </c>
      <c r="D2509" s="90" t="s">
        <v>17</v>
      </c>
      <c r="E2509" s="90" t="s">
        <v>667</v>
      </c>
      <c r="F2509" s="90" t="s">
        <v>859</v>
      </c>
      <c r="G2509" s="137">
        <v>2</v>
      </c>
      <c r="H2509" s="94">
        <v>180</v>
      </c>
      <c r="I2509" s="91">
        <v>46014</v>
      </c>
      <c r="J2509" s="165">
        <v>0.68611111111111101</v>
      </c>
      <c r="K2509" s="94">
        <v>180</v>
      </c>
      <c r="L2509" s="72" t="str">
        <f t="shared" si="39"/>
        <v>Payé</v>
      </c>
    </row>
    <row r="2510" spans="1:12" ht="15" customHeight="1" x14ac:dyDescent="0.25">
      <c r="A2510" s="90" t="s">
        <v>859</v>
      </c>
      <c r="B2510" s="90">
        <v>10237</v>
      </c>
      <c r="C2510" s="88" t="s">
        <v>1407</v>
      </c>
      <c r="D2510" s="90" t="s">
        <v>17</v>
      </c>
      <c r="E2510" s="90" t="s">
        <v>667</v>
      </c>
      <c r="F2510" s="90" t="s">
        <v>859</v>
      </c>
      <c r="G2510" s="137">
        <v>10</v>
      </c>
      <c r="H2510" s="94">
        <v>900</v>
      </c>
      <c r="I2510" s="91">
        <v>46014</v>
      </c>
      <c r="J2510" s="165">
        <v>0.68611111111111101</v>
      </c>
      <c r="K2510" s="94">
        <v>900</v>
      </c>
      <c r="L2510" s="72" t="str">
        <f t="shared" si="39"/>
        <v>Payé</v>
      </c>
    </row>
    <row r="2511" spans="1:12" ht="15" customHeight="1" x14ac:dyDescent="0.25">
      <c r="A2511" s="90" t="s">
        <v>859</v>
      </c>
      <c r="B2511" s="90">
        <v>10239</v>
      </c>
      <c r="C2511" s="88" t="s">
        <v>1408</v>
      </c>
      <c r="D2511" s="90" t="s">
        <v>17</v>
      </c>
      <c r="E2511" s="90" t="s">
        <v>667</v>
      </c>
      <c r="F2511" s="90" t="s">
        <v>859</v>
      </c>
      <c r="G2511" s="137">
        <v>10</v>
      </c>
      <c r="H2511" s="94">
        <v>900</v>
      </c>
      <c r="I2511" s="91">
        <v>46014</v>
      </c>
      <c r="J2511" s="165">
        <v>0.68611111111111101</v>
      </c>
      <c r="K2511" s="94">
        <v>900</v>
      </c>
      <c r="L2511" s="72" t="str">
        <f t="shared" si="39"/>
        <v>Payé</v>
      </c>
    </row>
    <row r="2512" spans="1:12" ht="15" customHeight="1" x14ac:dyDescent="0.25">
      <c r="A2512" s="90" t="s">
        <v>859</v>
      </c>
      <c r="B2512" s="90">
        <v>10209</v>
      </c>
      <c r="C2512" s="88" t="s">
        <v>1398</v>
      </c>
      <c r="D2512" s="90" t="s">
        <v>17</v>
      </c>
      <c r="E2512" s="90" t="s">
        <v>667</v>
      </c>
      <c r="F2512" s="90" t="s">
        <v>859</v>
      </c>
      <c r="G2512" s="137">
        <v>12</v>
      </c>
      <c r="H2512" s="94">
        <v>1080</v>
      </c>
      <c r="I2512" s="91">
        <v>46014</v>
      </c>
      <c r="J2512" s="165">
        <v>0.68611111111111101</v>
      </c>
      <c r="K2512" s="94">
        <v>1080</v>
      </c>
      <c r="L2512" s="72" t="str">
        <f t="shared" si="39"/>
        <v>Payé</v>
      </c>
    </row>
    <row r="2513" spans="1:12" ht="15" customHeight="1" x14ac:dyDescent="0.25">
      <c r="A2513" s="90" t="s">
        <v>859</v>
      </c>
      <c r="B2513" s="90">
        <v>10093</v>
      </c>
      <c r="C2513" s="88" t="s">
        <v>1269</v>
      </c>
      <c r="D2513" s="90" t="s">
        <v>17</v>
      </c>
      <c r="E2513" s="90" t="s">
        <v>667</v>
      </c>
      <c r="F2513" s="90" t="s">
        <v>859</v>
      </c>
      <c r="G2513" s="137">
        <v>12</v>
      </c>
      <c r="H2513" s="94">
        <v>1140</v>
      </c>
      <c r="I2513" s="91">
        <v>46014</v>
      </c>
      <c r="J2513" s="165">
        <v>0.6972222222222223</v>
      </c>
      <c r="K2513" s="94">
        <v>1140</v>
      </c>
      <c r="L2513" s="72" t="str">
        <f t="shared" si="39"/>
        <v>Payé</v>
      </c>
    </row>
    <row r="2514" spans="1:12" ht="15" customHeight="1" x14ac:dyDescent="0.25">
      <c r="A2514" s="90" t="s">
        <v>859</v>
      </c>
      <c r="B2514" s="90">
        <v>10094</v>
      </c>
      <c r="C2514" s="88" t="s">
        <v>1270</v>
      </c>
      <c r="D2514" s="90" t="s">
        <v>17</v>
      </c>
      <c r="E2514" s="90" t="s">
        <v>667</v>
      </c>
      <c r="F2514" s="90" t="s">
        <v>859</v>
      </c>
      <c r="G2514" s="137">
        <v>10</v>
      </c>
      <c r="H2514" s="94">
        <v>960</v>
      </c>
      <c r="I2514" s="91">
        <v>46017</v>
      </c>
      <c r="J2514" s="165">
        <v>0.37152777777777773</v>
      </c>
      <c r="K2514" s="94">
        <v>960</v>
      </c>
      <c r="L2514" s="72" t="str">
        <f t="shared" si="39"/>
        <v>Payé</v>
      </c>
    </row>
    <row r="2515" spans="1:12" ht="15" customHeight="1" x14ac:dyDescent="0.25">
      <c r="A2515" s="90" t="s">
        <v>859</v>
      </c>
      <c r="B2515" s="90">
        <v>10095</v>
      </c>
      <c r="C2515" s="88" t="s">
        <v>1271</v>
      </c>
      <c r="D2515" s="90" t="s">
        <v>17</v>
      </c>
      <c r="E2515" s="90" t="s">
        <v>667</v>
      </c>
      <c r="F2515" s="90" t="s">
        <v>859</v>
      </c>
      <c r="G2515" s="137">
        <v>11</v>
      </c>
      <c r="H2515" s="94">
        <v>990</v>
      </c>
      <c r="I2515" s="91">
        <v>46014</v>
      </c>
      <c r="J2515" s="165">
        <v>0.68611111111111101</v>
      </c>
      <c r="K2515" s="94">
        <v>990</v>
      </c>
      <c r="L2515" s="72" t="str">
        <f t="shared" si="39"/>
        <v>Payé</v>
      </c>
    </row>
    <row r="2516" spans="1:12" ht="15" customHeight="1" x14ac:dyDescent="0.25">
      <c r="A2516" s="90" t="s">
        <v>859</v>
      </c>
      <c r="B2516" s="90">
        <v>10096</v>
      </c>
      <c r="C2516" s="88" t="s">
        <v>1293</v>
      </c>
      <c r="D2516" s="90" t="s">
        <v>17</v>
      </c>
      <c r="E2516" s="90" t="s">
        <v>667</v>
      </c>
      <c r="F2516" s="90" t="s">
        <v>859</v>
      </c>
      <c r="G2516" s="137">
        <v>13</v>
      </c>
      <c r="H2516" s="94">
        <v>1330</v>
      </c>
      <c r="I2516" s="91">
        <v>46014</v>
      </c>
      <c r="J2516" s="165">
        <v>0.6972222222222223</v>
      </c>
      <c r="K2516" s="94">
        <v>1330</v>
      </c>
      <c r="L2516" s="72" t="str">
        <f t="shared" si="39"/>
        <v>Payé</v>
      </c>
    </row>
    <row r="2517" spans="1:12" ht="15" customHeight="1" x14ac:dyDescent="0.25">
      <c r="A2517" s="90" t="s">
        <v>859</v>
      </c>
      <c r="B2517" s="90">
        <v>10334</v>
      </c>
      <c r="C2517" s="88" t="s">
        <v>1451</v>
      </c>
      <c r="D2517" s="90" t="s">
        <v>17</v>
      </c>
      <c r="E2517" s="90" t="s">
        <v>667</v>
      </c>
      <c r="F2517" s="90" t="s">
        <v>859</v>
      </c>
      <c r="G2517" s="137">
        <v>3</v>
      </c>
      <c r="H2517" s="94">
        <v>270</v>
      </c>
      <c r="I2517" s="91">
        <v>46014</v>
      </c>
      <c r="J2517" s="165">
        <v>0.6972222222222223</v>
      </c>
      <c r="K2517" s="94">
        <v>270</v>
      </c>
      <c r="L2517" s="72" t="str">
        <f t="shared" si="39"/>
        <v>Payé</v>
      </c>
    </row>
    <row r="2518" spans="1:12" ht="15" customHeight="1" x14ac:dyDescent="0.25">
      <c r="A2518" s="90" t="s">
        <v>859</v>
      </c>
      <c r="B2518" s="90">
        <v>10335</v>
      </c>
      <c r="C2518" s="88" t="s">
        <v>1452</v>
      </c>
      <c r="D2518" s="90" t="s">
        <v>17</v>
      </c>
      <c r="E2518" s="90" t="s">
        <v>667</v>
      </c>
      <c r="F2518" s="90" t="s">
        <v>859</v>
      </c>
      <c r="G2518" s="137">
        <v>2</v>
      </c>
      <c r="H2518" s="94">
        <v>180</v>
      </c>
      <c r="I2518" s="91">
        <v>46014</v>
      </c>
      <c r="J2518" s="165">
        <v>0.6972222222222223</v>
      </c>
      <c r="K2518" s="94">
        <v>180</v>
      </c>
      <c r="L2518" s="72" t="str">
        <f t="shared" si="39"/>
        <v>Payé</v>
      </c>
    </row>
    <row r="2519" spans="1:12" ht="15" customHeight="1" x14ac:dyDescent="0.25">
      <c r="A2519" s="90" t="s">
        <v>859</v>
      </c>
      <c r="B2519" s="90">
        <v>2858</v>
      </c>
      <c r="C2519" s="88" t="s">
        <v>1453</v>
      </c>
      <c r="D2519" s="90" t="s">
        <v>17</v>
      </c>
      <c r="E2519" s="90" t="s">
        <v>667</v>
      </c>
      <c r="F2519" s="90" t="s">
        <v>859</v>
      </c>
      <c r="G2519" s="137">
        <v>1</v>
      </c>
      <c r="H2519" s="94">
        <v>90</v>
      </c>
      <c r="I2519" s="91">
        <v>46014</v>
      </c>
      <c r="J2519" s="165">
        <v>0.6972222222222223</v>
      </c>
      <c r="K2519" s="94">
        <v>90</v>
      </c>
      <c r="L2519" s="72" t="str">
        <f t="shared" si="39"/>
        <v>Payé</v>
      </c>
    </row>
    <row r="2520" spans="1:12" ht="15" customHeight="1" x14ac:dyDescent="0.25">
      <c r="A2520" s="90" t="s">
        <v>859</v>
      </c>
      <c r="B2520" s="90">
        <v>10097</v>
      </c>
      <c r="C2520" s="88" t="s">
        <v>1294</v>
      </c>
      <c r="D2520" s="90" t="s">
        <v>17</v>
      </c>
      <c r="E2520" s="90" t="s">
        <v>667</v>
      </c>
      <c r="F2520" s="90" t="s">
        <v>859</v>
      </c>
      <c r="G2520" s="137">
        <v>2</v>
      </c>
      <c r="H2520" s="94">
        <v>180</v>
      </c>
      <c r="I2520" s="91">
        <v>46017</v>
      </c>
      <c r="J2520" s="165">
        <v>0.37152777777777773</v>
      </c>
      <c r="K2520" s="94">
        <v>180</v>
      </c>
      <c r="L2520" s="72" t="str">
        <f t="shared" si="39"/>
        <v>Payé</v>
      </c>
    </row>
    <row r="2521" spans="1:12" ht="15" customHeight="1" x14ac:dyDescent="0.25">
      <c r="A2521" s="90" t="s">
        <v>859</v>
      </c>
      <c r="B2521" s="90">
        <v>10099</v>
      </c>
      <c r="C2521" s="88" t="s">
        <v>1296</v>
      </c>
      <c r="D2521" s="90" t="s">
        <v>17</v>
      </c>
      <c r="E2521" s="90" t="s">
        <v>667</v>
      </c>
      <c r="F2521" s="90" t="s">
        <v>859</v>
      </c>
      <c r="G2521" s="137">
        <v>1</v>
      </c>
      <c r="H2521" s="94">
        <v>90</v>
      </c>
      <c r="I2521" s="91">
        <v>46014</v>
      </c>
      <c r="J2521" s="165">
        <v>0.68611111111111101</v>
      </c>
      <c r="K2521" s="94">
        <v>90</v>
      </c>
      <c r="L2521" s="72" t="str">
        <f t="shared" si="39"/>
        <v>Payé</v>
      </c>
    </row>
    <row r="2522" spans="1:12" ht="15" customHeight="1" x14ac:dyDescent="0.25">
      <c r="A2522" s="90" t="s">
        <v>859</v>
      </c>
      <c r="B2522" s="90">
        <v>10101</v>
      </c>
      <c r="C2522" s="88" t="s">
        <v>1298</v>
      </c>
      <c r="D2522" s="90" t="s">
        <v>17</v>
      </c>
      <c r="E2522" s="90" t="s">
        <v>667</v>
      </c>
      <c r="F2522" s="90" t="s">
        <v>859</v>
      </c>
      <c r="G2522" s="137">
        <v>13</v>
      </c>
      <c r="H2522" s="94">
        <v>1170</v>
      </c>
      <c r="I2522" s="91">
        <v>46014</v>
      </c>
      <c r="J2522" s="165">
        <v>0.68611111111111101</v>
      </c>
      <c r="K2522" s="94">
        <v>1170</v>
      </c>
      <c r="L2522" s="72" t="str">
        <f t="shared" si="39"/>
        <v>Payé</v>
      </c>
    </row>
    <row r="2523" spans="1:12" ht="15" customHeight="1" x14ac:dyDescent="0.25">
      <c r="A2523" s="90" t="s">
        <v>859</v>
      </c>
      <c r="B2523" s="90">
        <v>10106</v>
      </c>
      <c r="C2523" s="88" t="s">
        <v>1301</v>
      </c>
      <c r="D2523" s="90" t="s">
        <v>17</v>
      </c>
      <c r="E2523" s="90" t="s">
        <v>667</v>
      </c>
      <c r="F2523" s="90" t="s">
        <v>859</v>
      </c>
      <c r="G2523" s="137">
        <v>11</v>
      </c>
      <c r="H2523" s="94">
        <v>990</v>
      </c>
      <c r="I2523" s="91">
        <v>46014</v>
      </c>
      <c r="J2523" s="165">
        <v>0.6972222222222223</v>
      </c>
      <c r="K2523" s="94">
        <v>990</v>
      </c>
      <c r="L2523" s="72" t="str">
        <f t="shared" si="39"/>
        <v>Payé</v>
      </c>
    </row>
    <row r="2524" spans="1:12" ht="15" customHeight="1" x14ac:dyDescent="0.25">
      <c r="A2524" s="90" t="s">
        <v>859</v>
      </c>
      <c r="B2524" s="90">
        <v>10107</v>
      </c>
      <c r="C2524" s="88" t="s">
        <v>1302</v>
      </c>
      <c r="D2524" s="90" t="s">
        <v>17</v>
      </c>
      <c r="E2524" s="90" t="s">
        <v>667</v>
      </c>
      <c r="F2524" s="90" t="s">
        <v>859</v>
      </c>
      <c r="G2524" s="137">
        <v>12</v>
      </c>
      <c r="H2524" s="94">
        <v>1080</v>
      </c>
      <c r="I2524" s="91">
        <v>46014</v>
      </c>
      <c r="J2524" s="165">
        <v>0.6972222222222223</v>
      </c>
      <c r="K2524" s="94">
        <v>1080</v>
      </c>
      <c r="L2524" s="72" t="str">
        <f t="shared" si="39"/>
        <v>Payé</v>
      </c>
    </row>
    <row r="2525" spans="1:12" ht="15" customHeight="1" x14ac:dyDescent="0.25">
      <c r="A2525" s="90" t="s">
        <v>859</v>
      </c>
      <c r="B2525" s="90">
        <v>10108</v>
      </c>
      <c r="C2525" s="88" t="s">
        <v>1303</v>
      </c>
      <c r="D2525" s="90" t="s">
        <v>17</v>
      </c>
      <c r="E2525" s="90" t="s">
        <v>667</v>
      </c>
      <c r="F2525" s="90" t="s">
        <v>859</v>
      </c>
      <c r="G2525" s="137">
        <v>11</v>
      </c>
      <c r="H2525" s="94">
        <v>990</v>
      </c>
      <c r="I2525" s="91">
        <v>46014</v>
      </c>
      <c r="J2525" s="165">
        <v>0.68611111111111101</v>
      </c>
      <c r="K2525" s="94">
        <v>990</v>
      </c>
      <c r="L2525" s="72" t="str">
        <f t="shared" si="39"/>
        <v>Payé</v>
      </c>
    </row>
    <row r="2526" spans="1:12" ht="15" customHeight="1" x14ac:dyDescent="0.25">
      <c r="A2526" s="90" t="s">
        <v>859</v>
      </c>
      <c r="B2526" s="90">
        <v>10371</v>
      </c>
      <c r="C2526" s="88" t="s">
        <v>1454</v>
      </c>
      <c r="D2526" s="90" t="s">
        <v>17</v>
      </c>
      <c r="E2526" s="90" t="s">
        <v>667</v>
      </c>
      <c r="F2526" s="90" t="s">
        <v>859</v>
      </c>
      <c r="G2526" s="137">
        <v>1</v>
      </c>
      <c r="H2526" s="94">
        <v>90</v>
      </c>
      <c r="I2526" s="91">
        <v>46014</v>
      </c>
      <c r="J2526" s="165">
        <v>0.6972222222222223</v>
      </c>
      <c r="K2526" s="94">
        <v>90</v>
      </c>
      <c r="L2526" s="72" t="str">
        <f t="shared" ref="L2526:L2589" si="40">IF(ISBLANK(H2526),"",IF(H2526=K2526,"Payé","Impayé"))</f>
        <v>Payé</v>
      </c>
    </row>
    <row r="2527" spans="1:12" ht="15" customHeight="1" x14ac:dyDescent="0.25">
      <c r="A2527" s="90" t="s">
        <v>859</v>
      </c>
      <c r="B2527" s="90">
        <v>10372</v>
      </c>
      <c r="C2527" s="88" t="s">
        <v>1455</v>
      </c>
      <c r="D2527" s="90" t="s">
        <v>17</v>
      </c>
      <c r="E2527" s="90" t="s">
        <v>667</v>
      </c>
      <c r="F2527" s="90" t="s">
        <v>859</v>
      </c>
      <c r="G2527" s="137">
        <v>1</v>
      </c>
      <c r="H2527" s="94">
        <v>90</v>
      </c>
      <c r="I2527" s="91">
        <v>46014</v>
      </c>
      <c r="J2527" s="165">
        <v>0.6972222222222223</v>
      </c>
      <c r="K2527" s="94">
        <v>90</v>
      </c>
      <c r="L2527" s="72" t="str">
        <f t="shared" si="40"/>
        <v>Payé</v>
      </c>
    </row>
    <row r="2528" spans="1:12" ht="15" customHeight="1" x14ac:dyDescent="0.25">
      <c r="A2528" s="90" t="s">
        <v>859</v>
      </c>
      <c r="B2528" s="90">
        <v>10141</v>
      </c>
      <c r="C2528" s="88" t="s">
        <v>1330</v>
      </c>
      <c r="D2528" s="90" t="s">
        <v>17</v>
      </c>
      <c r="E2528" s="90" t="s">
        <v>667</v>
      </c>
      <c r="F2528" s="90" t="s">
        <v>859</v>
      </c>
      <c r="G2528" s="137">
        <v>3</v>
      </c>
      <c r="H2528" s="94">
        <v>270</v>
      </c>
      <c r="I2528" s="91">
        <v>46014</v>
      </c>
      <c r="J2528" s="165">
        <v>0.6972222222222223</v>
      </c>
      <c r="K2528" s="94">
        <v>270</v>
      </c>
      <c r="L2528" s="72" t="str">
        <f t="shared" si="40"/>
        <v>Payé</v>
      </c>
    </row>
    <row r="2529" spans="1:12" ht="15" customHeight="1" x14ac:dyDescent="0.25">
      <c r="A2529" s="90" t="s">
        <v>859</v>
      </c>
      <c r="B2529" s="90">
        <v>10320</v>
      </c>
      <c r="C2529" s="88" t="s">
        <v>1456</v>
      </c>
      <c r="D2529" s="90" t="s">
        <v>17</v>
      </c>
      <c r="E2529" s="90" t="s">
        <v>667</v>
      </c>
      <c r="F2529" s="90" t="s">
        <v>859</v>
      </c>
      <c r="G2529" s="137">
        <v>8</v>
      </c>
      <c r="H2529" s="94">
        <v>720</v>
      </c>
      <c r="I2529" s="91">
        <v>46014</v>
      </c>
      <c r="J2529" s="165">
        <v>0.68611111111111101</v>
      </c>
      <c r="K2529" s="94">
        <v>720</v>
      </c>
      <c r="L2529" s="72" t="str">
        <f t="shared" si="40"/>
        <v>Payé</v>
      </c>
    </row>
    <row r="2530" spans="1:12" ht="15" customHeight="1" x14ac:dyDescent="0.25">
      <c r="A2530" s="90" t="s">
        <v>859</v>
      </c>
      <c r="B2530" s="90">
        <v>10158</v>
      </c>
      <c r="C2530" s="88" t="s">
        <v>1339</v>
      </c>
      <c r="D2530" s="90" t="s">
        <v>17</v>
      </c>
      <c r="E2530" s="90" t="s">
        <v>667</v>
      </c>
      <c r="F2530" s="90" t="s">
        <v>859</v>
      </c>
      <c r="G2530" s="137">
        <v>13</v>
      </c>
      <c r="H2530" s="94">
        <v>1170</v>
      </c>
      <c r="I2530" s="91">
        <v>46014</v>
      </c>
      <c r="J2530" s="165">
        <v>0.6972222222222223</v>
      </c>
      <c r="K2530" s="94">
        <v>1170</v>
      </c>
      <c r="L2530" s="72" t="str">
        <f t="shared" si="40"/>
        <v>Payé</v>
      </c>
    </row>
    <row r="2531" spans="1:12" ht="15" customHeight="1" x14ac:dyDescent="0.25">
      <c r="A2531" s="90" t="s">
        <v>859</v>
      </c>
      <c r="B2531" s="90">
        <v>10140</v>
      </c>
      <c r="C2531" s="88" t="s">
        <v>1329</v>
      </c>
      <c r="D2531" s="90" t="s">
        <v>17</v>
      </c>
      <c r="E2531" s="90" t="s">
        <v>667</v>
      </c>
      <c r="F2531" s="90" t="s">
        <v>859</v>
      </c>
      <c r="G2531" s="137">
        <v>12</v>
      </c>
      <c r="H2531" s="94">
        <v>1080</v>
      </c>
      <c r="I2531" s="91">
        <v>46014</v>
      </c>
      <c r="J2531" s="165">
        <v>0.68611111111111101</v>
      </c>
      <c r="K2531" s="94">
        <v>1080</v>
      </c>
      <c r="L2531" s="72" t="str">
        <f t="shared" si="40"/>
        <v>Payé</v>
      </c>
    </row>
    <row r="2532" spans="1:12" ht="15" customHeight="1" x14ac:dyDescent="0.25">
      <c r="A2532" s="90" t="s">
        <v>859</v>
      </c>
      <c r="B2532" s="90">
        <v>4347</v>
      </c>
      <c r="C2532" s="88" t="s">
        <v>1359</v>
      </c>
      <c r="D2532" s="90" t="s">
        <v>17</v>
      </c>
      <c r="E2532" s="90" t="s">
        <v>667</v>
      </c>
      <c r="F2532" s="90" t="s">
        <v>859</v>
      </c>
      <c r="G2532" s="137">
        <v>14</v>
      </c>
      <c r="H2532" s="94">
        <v>1260</v>
      </c>
      <c r="I2532" s="91">
        <v>46014</v>
      </c>
      <c r="J2532" s="165">
        <v>0.68611111111111101</v>
      </c>
      <c r="K2532" s="94">
        <v>1260</v>
      </c>
      <c r="L2532" s="72" t="str">
        <f t="shared" si="40"/>
        <v>Payé</v>
      </c>
    </row>
    <row r="2533" spans="1:12" ht="15" customHeight="1" x14ac:dyDescent="0.25">
      <c r="A2533" s="90" t="s">
        <v>859</v>
      </c>
      <c r="B2533" s="90">
        <v>10112</v>
      </c>
      <c r="C2533" s="88" t="s">
        <v>1306</v>
      </c>
      <c r="D2533" s="90" t="s">
        <v>17</v>
      </c>
      <c r="E2533" s="90" t="s">
        <v>667</v>
      </c>
      <c r="F2533" s="90" t="s">
        <v>859</v>
      </c>
      <c r="G2533" s="137">
        <v>9</v>
      </c>
      <c r="H2533" s="94">
        <v>810</v>
      </c>
      <c r="I2533" s="91">
        <v>46014</v>
      </c>
      <c r="J2533" s="165">
        <v>0.68611111111111101</v>
      </c>
      <c r="K2533" s="94">
        <v>810</v>
      </c>
      <c r="L2533" s="72" t="str">
        <f t="shared" si="40"/>
        <v>Payé</v>
      </c>
    </row>
    <row r="2534" spans="1:12" ht="15" customHeight="1" x14ac:dyDescent="0.25">
      <c r="A2534" s="90" t="s">
        <v>859</v>
      </c>
      <c r="B2534" s="90">
        <v>10193</v>
      </c>
      <c r="C2534" s="88" t="s">
        <v>1389</v>
      </c>
      <c r="D2534" s="90" t="s">
        <v>17</v>
      </c>
      <c r="E2534" s="90" t="s">
        <v>667</v>
      </c>
      <c r="F2534" s="90" t="s">
        <v>859</v>
      </c>
      <c r="G2534" s="137">
        <v>1</v>
      </c>
      <c r="H2534" s="94">
        <v>90</v>
      </c>
      <c r="I2534" s="91">
        <v>46014</v>
      </c>
      <c r="J2534" s="165">
        <v>0.6972222222222223</v>
      </c>
      <c r="K2534" s="94">
        <v>90</v>
      </c>
      <c r="L2534" s="72" t="str">
        <f t="shared" si="40"/>
        <v>Payé</v>
      </c>
    </row>
    <row r="2535" spans="1:12" ht="15" customHeight="1" x14ac:dyDescent="0.25">
      <c r="A2535" s="90" t="s">
        <v>859</v>
      </c>
      <c r="B2535" s="90">
        <v>10149</v>
      </c>
      <c r="C2535" s="88" t="s">
        <v>1371</v>
      </c>
      <c r="D2535" s="90" t="s">
        <v>17</v>
      </c>
      <c r="E2535" s="90" t="s">
        <v>667</v>
      </c>
      <c r="F2535" s="90" t="s">
        <v>859</v>
      </c>
      <c r="G2535" s="137">
        <v>11</v>
      </c>
      <c r="H2535" s="94">
        <v>990</v>
      </c>
      <c r="I2535" s="91">
        <v>46014</v>
      </c>
      <c r="J2535" s="165">
        <v>0.68611111111111101</v>
      </c>
      <c r="K2535" s="94">
        <v>990</v>
      </c>
      <c r="L2535" s="72" t="str">
        <f t="shared" si="40"/>
        <v>Payé</v>
      </c>
    </row>
    <row r="2536" spans="1:12" ht="15" customHeight="1" x14ac:dyDescent="0.25">
      <c r="A2536" s="90" t="s">
        <v>859</v>
      </c>
      <c r="B2536" s="90">
        <v>10300</v>
      </c>
      <c r="C2536" s="88" t="s">
        <v>1410</v>
      </c>
      <c r="D2536" s="90" t="s">
        <v>17</v>
      </c>
      <c r="E2536" s="90" t="s">
        <v>667</v>
      </c>
      <c r="F2536" s="90" t="s">
        <v>859</v>
      </c>
      <c r="G2536" s="137">
        <v>11</v>
      </c>
      <c r="H2536" s="94">
        <v>990</v>
      </c>
      <c r="I2536" s="91">
        <v>46014</v>
      </c>
      <c r="J2536" s="165">
        <v>0.68611111111111101</v>
      </c>
      <c r="K2536" s="94">
        <v>990</v>
      </c>
      <c r="L2536" s="72" t="str">
        <f t="shared" si="40"/>
        <v>Payé</v>
      </c>
    </row>
    <row r="2537" spans="1:12" ht="15" customHeight="1" x14ac:dyDescent="0.25">
      <c r="A2537" s="90" t="s">
        <v>859</v>
      </c>
      <c r="B2537" s="90">
        <v>10301</v>
      </c>
      <c r="C2537" s="88" t="s">
        <v>1411</v>
      </c>
      <c r="D2537" s="90" t="s">
        <v>17</v>
      </c>
      <c r="E2537" s="90" t="s">
        <v>667</v>
      </c>
      <c r="F2537" s="90" t="s">
        <v>859</v>
      </c>
      <c r="G2537" s="137">
        <v>4</v>
      </c>
      <c r="H2537" s="94">
        <v>360</v>
      </c>
      <c r="I2537" s="91">
        <v>46014</v>
      </c>
      <c r="J2537" s="165">
        <v>0.6972222222222223</v>
      </c>
      <c r="K2537" s="94">
        <v>360</v>
      </c>
      <c r="L2537" s="72" t="str">
        <f t="shared" si="40"/>
        <v>Payé</v>
      </c>
    </row>
    <row r="2538" spans="1:12" ht="15" customHeight="1" x14ac:dyDescent="0.25">
      <c r="A2538" s="90" t="s">
        <v>859</v>
      </c>
      <c r="B2538" s="90">
        <v>10302</v>
      </c>
      <c r="C2538" s="88" t="s">
        <v>1412</v>
      </c>
      <c r="D2538" s="90" t="s">
        <v>17</v>
      </c>
      <c r="E2538" s="90" t="s">
        <v>667</v>
      </c>
      <c r="F2538" s="90" t="s">
        <v>859</v>
      </c>
      <c r="G2538" s="137">
        <v>13</v>
      </c>
      <c r="H2538" s="94">
        <v>1170</v>
      </c>
      <c r="I2538" s="91">
        <v>46014</v>
      </c>
      <c r="J2538" s="165">
        <v>0.68888888888888899</v>
      </c>
      <c r="K2538" s="94">
        <v>1170</v>
      </c>
      <c r="L2538" s="72" t="str">
        <f t="shared" si="40"/>
        <v>Payé</v>
      </c>
    </row>
    <row r="2539" spans="1:12" ht="15" customHeight="1" x14ac:dyDescent="0.25">
      <c r="A2539" s="90" t="s">
        <v>859</v>
      </c>
      <c r="B2539" s="90">
        <v>10206</v>
      </c>
      <c r="C2539" s="88" t="s">
        <v>1395</v>
      </c>
      <c r="D2539" s="90" t="s">
        <v>17</v>
      </c>
      <c r="E2539" s="90" t="s">
        <v>667</v>
      </c>
      <c r="F2539" s="90" t="s">
        <v>859</v>
      </c>
      <c r="G2539" s="137">
        <v>1</v>
      </c>
      <c r="H2539" s="94">
        <v>90</v>
      </c>
      <c r="I2539" s="91">
        <v>46014</v>
      </c>
      <c r="J2539" s="165">
        <v>0.6972222222222223</v>
      </c>
      <c r="K2539" s="94">
        <v>90</v>
      </c>
      <c r="L2539" s="72" t="str">
        <f t="shared" si="40"/>
        <v>Payé</v>
      </c>
    </row>
    <row r="2540" spans="1:12" ht="15" customHeight="1" x14ac:dyDescent="0.25">
      <c r="A2540" s="90" t="s">
        <v>859</v>
      </c>
      <c r="B2540" s="90">
        <v>10404</v>
      </c>
      <c r="C2540" s="88" t="s">
        <v>1415</v>
      </c>
      <c r="D2540" s="90" t="s">
        <v>17</v>
      </c>
      <c r="E2540" s="90" t="s">
        <v>667</v>
      </c>
      <c r="F2540" s="90" t="s">
        <v>859</v>
      </c>
      <c r="G2540" s="137">
        <v>10</v>
      </c>
      <c r="H2540" s="94">
        <v>900</v>
      </c>
      <c r="I2540" s="91">
        <v>46014</v>
      </c>
      <c r="J2540" s="165">
        <v>0.68611111111111101</v>
      </c>
      <c r="K2540" s="94">
        <v>900</v>
      </c>
      <c r="L2540" s="72" t="str">
        <f t="shared" si="40"/>
        <v>Payé</v>
      </c>
    </row>
    <row r="2541" spans="1:12" ht="15" customHeight="1" x14ac:dyDescent="0.25">
      <c r="A2541" s="90" t="s">
        <v>859</v>
      </c>
      <c r="B2541" s="90">
        <v>10271</v>
      </c>
      <c r="C2541" s="88" t="s">
        <v>1457</v>
      </c>
      <c r="D2541" s="90" t="s">
        <v>17</v>
      </c>
      <c r="E2541" s="90" t="s">
        <v>667</v>
      </c>
      <c r="F2541" s="90" t="s">
        <v>859</v>
      </c>
      <c r="G2541" s="137">
        <v>7</v>
      </c>
      <c r="H2541" s="94">
        <v>630</v>
      </c>
      <c r="I2541" s="91">
        <v>46014</v>
      </c>
      <c r="J2541" s="165">
        <v>0.6972222222222223</v>
      </c>
      <c r="K2541" s="94">
        <v>630</v>
      </c>
      <c r="L2541" s="72" t="str">
        <f t="shared" si="40"/>
        <v>Payé</v>
      </c>
    </row>
    <row r="2542" spans="1:12" ht="15" customHeight="1" x14ac:dyDescent="0.25">
      <c r="A2542" s="90" t="s">
        <v>859</v>
      </c>
      <c r="B2542" s="90">
        <v>10272</v>
      </c>
      <c r="C2542" s="88" t="s">
        <v>1458</v>
      </c>
      <c r="D2542" s="90" t="s">
        <v>17</v>
      </c>
      <c r="E2542" s="90" t="s">
        <v>667</v>
      </c>
      <c r="F2542" s="90" t="s">
        <v>859</v>
      </c>
      <c r="G2542" s="137">
        <v>7</v>
      </c>
      <c r="H2542" s="94">
        <v>630</v>
      </c>
      <c r="I2542" s="91">
        <v>46014</v>
      </c>
      <c r="J2542" s="165">
        <v>0.6972222222222223</v>
      </c>
      <c r="K2542" s="94">
        <v>630</v>
      </c>
      <c r="L2542" s="72" t="str">
        <f t="shared" si="40"/>
        <v>Payé</v>
      </c>
    </row>
    <row r="2543" spans="1:12" ht="15" customHeight="1" x14ac:dyDescent="0.25">
      <c r="A2543" s="90" t="s">
        <v>859</v>
      </c>
      <c r="B2543" s="90">
        <v>10273</v>
      </c>
      <c r="C2543" s="88" t="s">
        <v>1459</v>
      </c>
      <c r="D2543" s="90" t="s">
        <v>17</v>
      </c>
      <c r="E2543" s="90" t="s">
        <v>667</v>
      </c>
      <c r="F2543" s="90" t="s">
        <v>859</v>
      </c>
      <c r="G2543" s="137">
        <v>6</v>
      </c>
      <c r="H2543" s="94">
        <v>540</v>
      </c>
      <c r="I2543" s="91">
        <v>46014</v>
      </c>
      <c r="J2543" s="165">
        <v>0.6972222222222223</v>
      </c>
      <c r="K2543" s="94">
        <v>540</v>
      </c>
      <c r="L2543" s="72" t="str">
        <f t="shared" si="40"/>
        <v>Payé</v>
      </c>
    </row>
    <row r="2544" spans="1:12" ht="15" customHeight="1" x14ac:dyDescent="0.25">
      <c r="A2544" s="90" t="s">
        <v>859</v>
      </c>
      <c r="B2544" s="90">
        <v>10274</v>
      </c>
      <c r="C2544" s="88" t="s">
        <v>1460</v>
      </c>
      <c r="D2544" s="90" t="s">
        <v>17</v>
      </c>
      <c r="E2544" s="90" t="s">
        <v>1522</v>
      </c>
      <c r="F2544" s="90" t="s">
        <v>859</v>
      </c>
      <c r="G2544" s="137">
        <v>2</v>
      </c>
      <c r="H2544" s="94">
        <v>180</v>
      </c>
      <c r="I2544" s="91">
        <v>46015</v>
      </c>
      <c r="J2544" s="165">
        <v>0.60277777777777775</v>
      </c>
      <c r="K2544" s="94">
        <v>180</v>
      </c>
      <c r="L2544" s="72" t="str">
        <f t="shared" si="40"/>
        <v>Payé</v>
      </c>
    </row>
    <row r="2545" spans="1:12" ht="15" customHeight="1" x14ac:dyDescent="0.25">
      <c r="A2545" s="90" t="s">
        <v>859</v>
      </c>
      <c r="B2545" s="90">
        <v>10275</v>
      </c>
      <c r="C2545" s="88" t="s">
        <v>1461</v>
      </c>
      <c r="D2545" s="90" t="s">
        <v>17</v>
      </c>
      <c r="E2545" s="90" t="s">
        <v>1522</v>
      </c>
      <c r="F2545" s="90" t="s">
        <v>859</v>
      </c>
      <c r="G2545" s="137">
        <v>2</v>
      </c>
      <c r="H2545" s="94">
        <v>180</v>
      </c>
      <c r="I2545" s="91">
        <v>46015</v>
      </c>
      <c r="J2545" s="165">
        <v>0.60277777777777775</v>
      </c>
      <c r="K2545" s="94">
        <v>180</v>
      </c>
      <c r="L2545" s="72" t="str">
        <f t="shared" si="40"/>
        <v>Payé</v>
      </c>
    </row>
    <row r="2546" spans="1:12" ht="15" customHeight="1" x14ac:dyDescent="0.25">
      <c r="A2546" s="90" t="s">
        <v>859</v>
      </c>
      <c r="B2546" s="90">
        <v>10276</v>
      </c>
      <c r="C2546" s="88" t="s">
        <v>1462</v>
      </c>
      <c r="D2546" s="90" t="s">
        <v>17</v>
      </c>
      <c r="E2546" s="90" t="s">
        <v>1522</v>
      </c>
      <c r="F2546" s="90" t="s">
        <v>859</v>
      </c>
      <c r="G2546" s="137">
        <v>2</v>
      </c>
      <c r="H2546" s="94">
        <v>180</v>
      </c>
      <c r="I2546" s="91">
        <v>46015</v>
      </c>
      <c r="J2546" s="165">
        <v>0.60277777777777775</v>
      </c>
      <c r="K2546" s="94">
        <v>180</v>
      </c>
      <c r="L2546" s="72" t="str">
        <f t="shared" si="40"/>
        <v>Payé</v>
      </c>
    </row>
    <row r="2547" spans="1:12" ht="15" customHeight="1" x14ac:dyDescent="0.25">
      <c r="A2547" s="90" t="s">
        <v>859</v>
      </c>
      <c r="B2547" s="90">
        <v>10277</v>
      </c>
      <c r="C2547" s="88" t="s">
        <v>1463</v>
      </c>
      <c r="D2547" s="90" t="s">
        <v>17</v>
      </c>
      <c r="E2547" s="90" t="s">
        <v>1522</v>
      </c>
      <c r="F2547" s="90" t="s">
        <v>859</v>
      </c>
      <c r="G2547" s="137">
        <v>2</v>
      </c>
      <c r="H2547" s="94">
        <v>180</v>
      </c>
      <c r="I2547" s="91">
        <v>46015</v>
      </c>
      <c r="J2547" s="165">
        <v>0.60277777777777775</v>
      </c>
      <c r="K2547" s="94">
        <v>180</v>
      </c>
      <c r="L2547" s="72" t="str">
        <f t="shared" si="40"/>
        <v>Payé</v>
      </c>
    </row>
    <row r="2548" spans="1:12" ht="15" customHeight="1" x14ac:dyDescent="0.25">
      <c r="A2548" s="90" t="s">
        <v>859</v>
      </c>
      <c r="B2548" s="90">
        <v>10278</v>
      </c>
      <c r="C2548" s="88" t="s">
        <v>1464</v>
      </c>
      <c r="D2548" s="90" t="s">
        <v>17</v>
      </c>
      <c r="E2548" s="90" t="s">
        <v>1522</v>
      </c>
      <c r="F2548" s="90" t="s">
        <v>859</v>
      </c>
      <c r="G2548" s="137">
        <v>2</v>
      </c>
      <c r="H2548" s="94">
        <v>180</v>
      </c>
      <c r="I2548" s="91">
        <v>46015</v>
      </c>
      <c r="J2548" s="165">
        <v>0.60277777777777775</v>
      </c>
      <c r="K2548" s="94">
        <v>180</v>
      </c>
      <c r="L2548" s="72" t="str">
        <f t="shared" si="40"/>
        <v>Payé</v>
      </c>
    </row>
    <row r="2549" spans="1:12" ht="15" customHeight="1" x14ac:dyDescent="0.25">
      <c r="A2549" s="90" t="s">
        <v>859</v>
      </c>
      <c r="B2549" s="90">
        <v>10279</v>
      </c>
      <c r="C2549" s="88" t="s">
        <v>1465</v>
      </c>
      <c r="D2549" s="90" t="s">
        <v>17</v>
      </c>
      <c r="E2549" s="90" t="s">
        <v>1522</v>
      </c>
      <c r="F2549" s="90" t="s">
        <v>859</v>
      </c>
      <c r="G2549" s="137">
        <v>2</v>
      </c>
      <c r="H2549" s="94">
        <v>180</v>
      </c>
      <c r="I2549" s="91">
        <v>46015</v>
      </c>
      <c r="J2549" s="165">
        <v>0.60277777777777775</v>
      </c>
      <c r="K2549" s="94">
        <v>180</v>
      </c>
      <c r="L2549" s="72" t="str">
        <f t="shared" si="40"/>
        <v>Payé</v>
      </c>
    </row>
    <row r="2550" spans="1:12" ht="15" customHeight="1" x14ac:dyDescent="0.25">
      <c r="A2550" s="90" t="s">
        <v>859</v>
      </c>
      <c r="B2550" s="90">
        <v>10280</v>
      </c>
      <c r="C2550" s="88" t="s">
        <v>1466</v>
      </c>
      <c r="D2550" s="90" t="s">
        <v>17</v>
      </c>
      <c r="E2550" s="90" t="s">
        <v>1522</v>
      </c>
      <c r="F2550" s="90" t="s">
        <v>859</v>
      </c>
      <c r="G2550" s="137">
        <v>2</v>
      </c>
      <c r="H2550" s="94">
        <v>180</v>
      </c>
      <c r="I2550" s="91">
        <v>46015</v>
      </c>
      <c r="J2550" s="165">
        <v>0.60277777777777775</v>
      </c>
      <c r="K2550" s="94">
        <v>180</v>
      </c>
      <c r="L2550" s="72" t="str">
        <f t="shared" si="40"/>
        <v>Payé</v>
      </c>
    </row>
    <row r="2551" spans="1:12" ht="15" customHeight="1" x14ac:dyDescent="0.25">
      <c r="A2551" s="90" t="s">
        <v>859</v>
      </c>
      <c r="B2551" s="90">
        <v>10281</v>
      </c>
      <c r="C2551" s="88" t="s">
        <v>1467</v>
      </c>
      <c r="D2551" s="90" t="s">
        <v>17</v>
      </c>
      <c r="E2551" s="90" t="s">
        <v>1522</v>
      </c>
      <c r="F2551" s="90" t="s">
        <v>859</v>
      </c>
      <c r="G2551" s="137">
        <v>2</v>
      </c>
      <c r="H2551" s="94">
        <v>180</v>
      </c>
      <c r="I2551" s="91">
        <v>46015</v>
      </c>
      <c r="J2551" s="165">
        <v>0.60277777777777775</v>
      </c>
      <c r="K2551" s="94">
        <v>180</v>
      </c>
      <c r="L2551" s="72" t="str">
        <f t="shared" si="40"/>
        <v>Payé</v>
      </c>
    </row>
    <row r="2552" spans="1:12" ht="15" customHeight="1" x14ac:dyDescent="0.25">
      <c r="A2552" s="90" t="s">
        <v>859</v>
      </c>
      <c r="B2552" s="90">
        <v>10284</v>
      </c>
      <c r="C2552" s="88" t="s">
        <v>1468</v>
      </c>
      <c r="D2552" s="90" t="s">
        <v>17</v>
      </c>
      <c r="E2552" s="90" t="s">
        <v>1522</v>
      </c>
      <c r="F2552" s="90" t="s">
        <v>859</v>
      </c>
      <c r="G2552" s="137">
        <v>2</v>
      </c>
      <c r="H2552" s="94">
        <v>180</v>
      </c>
      <c r="I2552" s="91">
        <v>46015</v>
      </c>
      <c r="J2552" s="165">
        <v>0.60277777777777775</v>
      </c>
      <c r="K2552" s="94">
        <v>180</v>
      </c>
      <c r="L2552" s="72" t="str">
        <f t="shared" si="40"/>
        <v>Payé</v>
      </c>
    </row>
    <row r="2553" spans="1:12" ht="15" customHeight="1" x14ac:dyDescent="0.25">
      <c r="A2553" s="90" t="s">
        <v>859</v>
      </c>
      <c r="B2553" s="90">
        <v>10285</v>
      </c>
      <c r="C2553" s="88" t="s">
        <v>1469</v>
      </c>
      <c r="D2553" s="90" t="s">
        <v>17</v>
      </c>
      <c r="E2553" s="90" t="s">
        <v>1522</v>
      </c>
      <c r="F2553" s="90" t="s">
        <v>859</v>
      </c>
      <c r="G2553" s="137">
        <v>2</v>
      </c>
      <c r="H2553" s="94">
        <v>180</v>
      </c>
      <c r="I2553" s="91">
        <v>46015</v>
      </c>
      <c r="J2553" s="165">
        <v>0.60277777777777775</v>
      </c>
      <c r="K2553" s="94">
        <v>180</v>
      </c>
      <c r="L2553" s="72" t="str">
        <f t="shared" si="40"/>
        <v>Payé</v>
      </c>
    </row>
    <row r="2554" spans="1:12" ht="15" customHeight="1" x14ac:dyDescent="0.25">
      <c r="A2554" s="90" t="s">
        <v>859</v>
      </c>
      <c r="B2554" s="90">
        <v>10287</v>
      </c>
      <c r="C2554" s="88" t="s">
        <v>1470</v>
      </c>
      <c r="D2554" s="90" t="s">
        <v>17</v>
      </c>
      <c r="E2554" s="90" t="s">
        <v>1522</v>
      </c>
      <c r="F2554" s="90" t="s">
        <v>859</v>
      </c>
      <c r="G2554" s="137">
        <v>2</v>
      </c>
      <c r="H2554" s="94">
        <v>180</v>
      </c>
      <c r="I2554" s="91">
        <v>46015</v>
      </c>
      <c r="J2554" s="165">
        <v>0.60277777777777775</v>
      </c>
      <c r="K2554" s="94">
        <v>180</v>
      </c>
      <c r="L2554" s="72" t="str">
        <f t="shared" si="40"/>
        <v>Payé</v>
      </c>
    </row>
    <row r="2555" spans="1:12" ht="15" customHeight="1" x14ac:dyDescent="0.25">
      <c r="A2555" s="90" t="s">
        <v>859</v>
      </c>
      <c r="B2555" s="90">
        <v>1557</v>
      </c>
      <c r="C2555" s="88" t="s">
        <v>1471</v>
      </c>
      <c r="D2555" s="90" t="s">
        <v>17</v>
      </c>
      <c r="E2555" s="90" t="s">
        <v>1522</v>
      </c>
      <c r="F2555" s="90" t="s">
        <v>859</v>
      </c>
      <c r="G2555" s="137">
        <v>1</v>
      </c>
      <c r="H2555" s="94">
        <v>90</v>
      </c>
      <c r="I2555" s="91">
        <v>46015</v>
      </c>
      <c r="J2555" s="165">
        <v>0.60277777777777775</v>
      </c>
      <c r="K2555" s="94">
        <v>90</v>
      </c>
      <c r="L2555" s="72" t="str">
        <f t="shared" si="40"/>
        <v>Payé</v>
      </c>
    </row>
    <row r="2556" spans="1:12" ht="15" customHeight="1" x14ac:dyDescent="0.25">
      <c r="A2556" s="90" t="s">
        <v>859</v>
      </c>
      <c r="B2556" s="90">
        <v>10343</v>
      </c>
      <c r="C2556" s="88" t="s">
        <v>1472</v>
      </c>
      <c r="D2556" s="90" t="s">
        <v>17</v>
      </c>
      <c r="E2556" s="90" t="s">
        <v>49</v>
      </c>
      <c r="F2556" s="90" t="s">
        <v>859</v>
      </c>
      <c r="G2556" s="137">
        <v>3</v>
      </c>
      <c r="H2556" s="94">
        <v>270</v>
      </c>
      <c r="I2556" s="91">
        <v>46015</v>
      </c>
      <c r="J2556" s="165">
        <v>0.62361111111111112</v>
      </c>
      <c r="K2556" s="94">
        <v>270</v>
      </c>
      <c r="L2556" s="72" t="str">
        <f t="shared" si="40"/>
        <v>Payé</v>
      </c>
    </row>
    <row r="2557" spans="1:12" ht="15" customHeight="1" x14ac:dyDescent="0.25">
      <c r="A2557" s="90" t="s">
        <v>859</v>
      </c>
      <c r="B2557" s="90">
        <v>3416</v>
      </c>
      <c r="C2557" s="88" t="s">
        <v>1291</v>
      </c>
      <c r="D2557" s="90" t="s">
        <v>17</v>
      </c>
      <c r="E2557" s="90" t="s">
        <v>49</v>
      </c>
      <c r="F2557" s="90" t="s">
        <v>859</v>
      </c>
      <c r="G2557" s="137">
        <v>10</v>
      </c>
      <c r="H2557" s="94">
        <v>900</v>
      </c>
      <c r="I2557" s="91">
        <v>46015</v>
      </c>
      <c r="J2557" s="165">
        <v>0.62361111111111112</v>
      </c>
      <c r="K2557" s="94">
        <v>900</v>
      </c>
      <c r="L2557" s="72" t="str">
        <f t="shared" si="40"/>
        <v>Payé</v>
      </c>
    </row>
    <row r="2558" spans="1:12" ht="15" customHeight="1" x14ac:dyDescent="0.25">
      <c r="A2558" s="90" t="s">
        <v>859</v>
      </c>
      <c r="B2558" s="90">
        <v>3440</v>
      </c>
      <c r="C2558" s="88" t="s">
        <v>561</v>
      </c>
      <c r="D2558" s="90" t="s">
        <v>17</v>
      </c>
      <c r="E2558" s="90" t="s">
        <v>49</v>
      </c>
      <c r="F2558" s="90" t="s">
        <v>859</v>
      </c>
      <c r="G2558" s="137">
        <v>9</v>
      </c>
      <c r="H2558" s="94">
        <v>810</v>
      </c>
      <c r="I2558" s="91">
        <v>46015</v>
      </c>
      <c r="J2558" s="165">
        <v>0.62361111111111112</v>
      </c>
      <c r="K2558" s="94">
        <v>810</v>
      </c>
      <c r="L2558" s="72" t="str">
        <f t="shared" si="40"/>
        <v>Payé</v>
      </c>
    </row>
    <row r="2559" spans="1:12" ht="15" customHeight="1" x14ac:dyDescent="0.25">
      <c r="A2559" s="90" t="s">
        <v>859</v>
      </c>
      <c r="B2559" s="90">
        <v>4429</v>
      </c>
      <c r="C2559" s="88" t="s">
        <v>1149</v>
      </c>
      <c r="D2559" s="90" t="s">
        <v>17</v>
      </c>
      <c r="E2559" s="90" t="s">
        <v>49</v>
      </c>
      <c r="F2559" s="90" t="s">
        <v>859</v>
      </c>
      <c r="G2559" s="137">
        <v>2</v>
      </c>
      <c r="H2559" s="94">
        <v>180</v>
      </c>
      <c r="I2559" s="91">
        <v>46015</v>
      </c>
      <c r="J2559" s="165">
        <v>0.42708333333333331</v>
      </c>
      <c r="K2559" s="94">
        <v>180</v>
      </c>
      <c r="L2559" s="72" t="str">
        <f t="shared" si="40"/>
        <v>Payé</v>
      </c>
    </row>
    <row r="2560" spans="1:12" ht="15" customHeight="1" x14ac:dyDescent="0.25">
      <c r="A2560" s="90" t="s">
        <v>859</v>
      </c>
      <c r="B2560" s="90">
        <v>3760</v>
      </c>
      <c r="C2560" s="88" t="s">
        <v>465</v>
      </c>
      <c r="D2560" s="90" t="s">
        <v>17</v>
      </c>
      <c r="E2560" s="90" t="s">
        <v>49</v>
      </c>
      <c r="F2560" s="90" t="s">
        <v>859</v>
      </c>
      <c r="G2560" s="137">
        <v>9</v>
      </c>
      <c r="H2560" s="94">
        <v>810</v>
      </c>
      <c r="I2560" s="91">
        <v>46015</v>
      </c>
      <c r="J2560" s="165">
        <v>0.62430555555555556</v>
      </c>
      <c r="K2560" s="94">
        <v>810</v>
      </c>
      <c r="L2560" s="72" t="str">
        <f t="shared" si="40"/>
        <v>Payé</v>
      </c>
    </row>
    <row r="2561" spans="1:12" ht="15" customHeight="1" x14ac:dyDescent="0.25">
      <c r="A2561" s="90" t="s">
        <v>859</v>
      </c>
      <c r="B2561" s="90">
        <v>4840</v>
      </c>
      <c r="C2561" s="88" t="s">
        <v>766</v>
      </c>
      <c r="D2561" s="90" t="s">
        <v>17</v>
      </c>
      <c r="E2561" s="90" t="s">
        <v>49</v>
      </c>
      <c r="F2561" s="90" t="s">
        <v>859</v>
      </c>
      <c r="G2561" s="137">
        <v>10</v>
      </c>
      <c r="H2561" s="94">
        <v>900</v>
      </c>
      <c r="I2561" s="91">
        <v>46015</v>
      </c>
      <c r="J2561" s="165">
        <v>0.62361111111111112</v>
      </c>
      <c r="K2561" s="94">
        <v>900</v>
      </c>
      <c r="L2561" s="72" t="str">
        <f t="shared" si="40"/>
        <v>Payé</v>
      </c>
    </row>
    <row r="2562" spans="1:12" ht="15" customHeight="1" x14ac:dyDescent="0.25">
      <c r="A2562" s="90" t="s">
        <v>859</v>
      </c>
      <c r="B2562" s="90">
        <v>6070</v>
      </c>
      <c r="C2562" s="88" t="s">
        <v>1153</v>
      </c>
      <c r="D2562" s="90" t="s">
        <v>17</v>
      </c>
      <c r="E2562" s="90" t="s">
        <v>49</v>
      </c>
      <c r="F2562" s="90" t="s">
        <v>859</v>
      </c>
      <c r="G2562" s="137">
        <v>7</v>
      </c>
      <c r="H2562" s="94">
        <v>630</v>
      </c>
      <c r="I2562" s="91">
        <v>46015</v>
      </c>
      <c r="J2562" s="165">
        <v>0.5708333333333333</v>
      </c>
      <c r="K2562" s="94">
        <v>630</v>
      </c>
      <c r="L2562" s="72" t="str">
        <f t="shared" si="40"/>
        <v>Payé</v>
      </c>
    </row>
    <row r="2563" spans="1:12" ht="15" customHeight="1" x14ac:dyDescent="0.25">
      <c r="A2563" s="90" t="s">
        <v>859</v>
      </c>
      <c r="B2563" s="90">
        <v>7004</v>
      </c>
      <c r="C2563" s="88" t="s">
        <v>713</v>
      </c>
      <c r="D2563" s="90" t="s">
        <v>17</v>
      </c>
      <c r="E2563" s="90" t="s">
        <v>49</v>
      </c>
      <c r="F2563" s="90" t="s">
        <v>859</v>
      </c>
      <c r="G2563" s="137">
        <v>11</v>
      </c>
      <c r="H2563" s="94">
        <v>990</v>
      </c>
      <c r="I2563" s="91">
        <v>46015</v>
      </c>
      <c r="J2563" s="165">
        <v>0.62361111111111112</v>
      </c>
      <c r="K2563" s="94">
        <v>990</v>
      </c>
      <c r="L2563" s="72" t="str">
        <f t="shared" si="40"/>
        <v>Payé</v>
      </c>
    </row>
    <row r="2564" spans="1:12" ht="15" customHeight="1" x14ac:dyDescent="0.25">
      <c r="A2564" s="90" t="s">
        <v>859</v>
      </c>
      <c r="B2564" s="90">
        <v>10070</v>
      </c>
      <c r="C2564" s="88" t="s">
        <v>1250</v>
      </c>
      <c r="D2564" s="90" t="s">
        <v>17</v>
      </c>
      <c r="E2564" s="90" t="s">
        <v>49</v>
      </c>
      <c r="F2564" s="90" t="s">
        <v>859</v>
      </c>
      <c r="G2564" s="137">
        <v>7</v>
      </c>
      <c r="H2564" s="94">
        <v>630</v>
      </c>
      <c r="I2564" s="91">
        <v>46015</v>
      </c>
      <c r="J2564" s="165">
        <v>0.62430555555555556</v>
      </c>
      <c r="K2564" s="94">
        <v>630</v>
      </c>
      <c r="L2564" s="72" t="str">
        <f t="shared" si="40"/>
        <v>Payé</v>
      </c>
    </row>
    <row r="2565" spans="1:12" ht="15" customHeight="1" x14ac:dyDescent="0.25">
      <c r="A2565" s="90" t="s">
        <v>859</v>
      </c>
      <c r="B2565" s="90">
        <v>10266</v>
      </c>
      <c r="C2565" s="88" t="s">
        <v>1473</v>
      </c>
      <c r="D2565" s="90" t="s">
        <v>17</v>
      </c>
      <c r="E2565" s="90" t="s">
        <v>49</v>
      </c>
      <c r="F2565" s="90" t="s">
        <v>859</v>
      </c>
      <c r="G2565" s="137">
        <v>6</v>
      </c>
      <c r="H2565" s="94">
        <v>540</v>
      </c>
      <c r="I2565" s="91">
        <v>46015</v>
      </c>
      <c r="J2565" s="165">
        <v>0.62361111111111112</v>
      </c>
      <c r="K2565" s="94">
        <v>540</v>
      </c>
      <c r="L2565" s="72" t="str">
        <f t="shared" si="40"/>
        <v>Payé</v>
      </c>
    </row>
    <row r="2566" spans="1:12" ht="15" customHeight="1" x14ac:dyDescent="0.25">
      <c r="A2566" s="90" t="s">
        <v>859</v>
      </c>
      <c r="B2566" s="90">
        <v>3015</v>
      </c>
      <c r="C2566" s="88" t="s">
        <v>1474</v>
      </c>
      <c r="D2566" s="90" t="s">
        <v>17</v>
      </c>
      <c r="E2566" s="90" t="s">
        <v>254</v>
      </c>
      <c r="F2566" s="90" t="s">
        <v>859</v>
      </c>
      <c r="G2566" s="137">
        <v>8</v>
      </c>
      <c r="H2566" s="94">
        <v>720</v>
      </c>
      <c r="I2566" s="91">
        <v>46014</v>
      </c>
      <c r="J2566" s="165">
        <v>0.61458333333333337</v>
      </c>
      <c r="K2566" s="94">
        <v>720</v>
      </c>
      <c r="L2566" s="72" t="str">
        <f t="shared" si="40"/>
        <v>Payé</v>
      </c>
    </row>
    <row r="2567" spans="1:12" ht="15" customHeight="1" x14ac:dyDescent="0.25">
      <c r="A2567" s="90" t="s">
        <v>859</v>
      </c>
      <c r="B2567" s="90">
        <v>4759</v>
      </c>
      <c r="C2567" s="88" t="s">
        <v>1150</v>
      </c>
      <c r="D2567" s="90" t="s">
        <v>17</v>
      </c>
      <c r="E2567" s="90" t="s">
        <v>254</v>
      </c>
      <c r="F2567" s="90" t="s">
        <v>859</v>
      </c>
      <c r="G2567" s="137">
        <v>8</v>
      </c>
      <c r="H2567" s="94">
        <v>720</v>
      </c>
      <c r="I2567" s="91">
        <v>46015</v>
      </c>
      <c r="J2567" s="165">
        <v>0.59166666666666667</v>
      </c>
      <c r="K2567" s="94">
        <v>720</v>
      </c>
      <c r="L2567" s="72" t="str">
        <f t="shared" si="40"/>
        <v>Payé</v>
      </c>
    </row>
    <row r="2568" spans="1:12" ht="15" customHeight="1" x14ac:dyDescent="0.25">
      <c r="A2568" s="90" t="s">
        <v>859</v>
      </c>
      <c r="B2568" s="90">
        <v>10025</v>
      </c>
      <c r="C2568" s="88" t="s">
        <v>1171</v>
      </c>
      <c r="D2568" s="90" t="s">
        <v>17</v>
      </c>
      <c r="E2568" s="90" t="s">
        <v>254</v>
      </c>
      <c r="F2568" s="90" t="s">
        <v>859</v>
      </c>
      <c r="G2568" s="137">
        <v>7</v>
      </c>
      <c r="H2568" s="94">
        <v>630</v>
      </c>
      <c r="I2568" s="91">
        <v>46015</v>
      </c>
      <c r="J2568" s="165">
        <v>0.54027777777777775</v>
      </c>
      <c r="K2568" s="94">
        <v>630</v>
      </c>
      <c r="L2568" s="72" t="str">
        <f t="shared" si="40"/>
        <v>Payé</v>
      </c>
    </row>
    <row r="2569" spans="1:12" ht="15" customHeight="1" x14ac:dyDescent="0.25">
      <c r="A2569" s="90" t="s">
        <v>859</v>
      </c>
      <c r="B2569" s="90">
        <v>10065</v>
      </c>
      <c r="C2569" s="88" t="s">
        <v>1229</v>
      </c>
      <c r="D2569" s="90" t="s">
        <v>17</v>
      </c>
      <c r="E2569" s="90" t="s">
        <v>254</v>
      </c>
      <c r="F2569" s="90" t="s">
        <v>859</v>
      </c>
      <c r="G2569" s="137">
        <v>4</v>
      </c>
      <c r="H2569" s="94">
        <v>360</v>
      </c>
      <c r="I2569" s="91">
        <v>46015</v>
      </c>
      <c r="J2569" s="165">
        <v>0.59305555555555556</v>
      </c>
      <c r="K2569" s="94">
        <v>360</v>
      </c>
      <c r="L2569" s="72" t="str">
        <f t="shared" si="40"/>
        <v>Payé</v>
      </c>
    </row>
    <row r="2570" spans="1:12" ht="15" customHeight="1" x14ac:dyDescent="0.25">
      <c r="A2570" s="90" t="s">
        <v>859</v>
      </c>
      <c r="B2570" s="90">
        <v>10082</v>
      </c>
      <c r="C2570" s="88" t="s">
        <v>1259</v>
      </c>
      <c r="D2570" s="90" t="s">
        <v>17</v>
      </c>
      <c r="E2570" s="90" t="s">
        <v>254</v>
      </c>
      <c r="F2570" s="90" t="s">
        <v>859</v>
      </c>
      <c r="G2570" s="137">
        <v>8</v>
      </c>
      <c r="H2570" s="94">
        <v>720</v>
      </c>
      <c r="I2570" s="91">
        <v>46015</v>
      </c>
      <c r="J2570" s="165">
        <v>0.53819444444444442</v>
      </c>
      <c r="K2570" s="94">
        <v>720</v>
      </c>
      <c r="L2570" s="72" t="str">
        <f t="shared" si="40"/>
        <v>Payé</v>
      </c>
    </row>
    <row r="2571" spans="1:12" ht="15" customHeight="1" x14ac:dyDescent="0.25">
      <c r="A2571" s="90" t="s">
        <v>859</v>
      </c>
      <c r="B2571" s="90">
        <v>10083</v>
      </c>
      <c r="C2571" s="88" t="s">
        <v>1273</v>
      </c>
      <c r="D2571" s="90" t="s">
        <v>17</v>
      </c>
      <c r="E2571" s="90" t="s">
        <v>254</v>
      </c>
      <c r="F2571" s="90" t="s">
        <v>859</v>
      </c>
      <c r="G2571" s="137">
        <v>8</v>
      </c>
      <c r="H2571" s="94">
        <v>720</v>
      </c>
      <c r="I2571" s="91">
        <v>46015</v>
      </c>
      <c r="J2571" s="165">
        <v>0.53819444444444442</v>
      </c>
      <c r="K2571" s="94">
        <v>720</v>
      </c>
      <c r="L2571" s="72" t="str">
        <f t="shared" si="40"/>
        <v>Payé</v>
      </c>
    </row>
    <row r="2572" spans="1:12" ht="15" customHeight="1" x14ac:dyDescent="0.25">
      <c r="A2572" s="90" t="s">
        <v>859</v>
      </c>
      <c r="B2572" s="90">
        <v>10084</v>
      </c>
      <c r="C2572" s="88" t="s">
        <v>1274</v>
      </c>
      <c r="D2572" s="90" t="s">
        <v>17</v>
      </c>
      <c r="E2572" s="90" t="s">
        <v>254</v>
      </c>
      <c r="F2572" s="90" t="s">
        <v>859</v>
      </c>
      <c r="G2572" s="137">
        <v>8</v>
      </c>
      <c r="H2572" s="94">
        <v>720</v>
      </c>
      <c r="I2572" s="91">
        <v>46015</v>
      </c>
      <c r="J2572" s="165">
        <v>0.53819444444444442</v>
      </c>
      <c r="K2572" s="94">
        <v>720</v>
      </c>
      <c r="L2572" s="72" t="str">
        <f t="shared" si="40"/>
        <v>Payé</v>
      </c>
    </row>
    <row r="2573" spans="1:12" ht="15" customHeight="1" x14ac:dyDescent="0.25">
      <c r="A2573" s="90" t="s">
        <v>859</v>
      </c>
      <c r="B2573" s="90">
        <v>10311</v>
      </c>
      <c r="C2573" s="88" t="s">
        <v>1475</v>
      </c>
      <c r="D2573" s="90" t="s">
        <v>17</v>
      </c>
      <c r="E2573" s="90" t="s">
        <v>254</v>
      </c>
      <c r="F2573" s="90" t="s">
        <v>859</v>
      </c>
      <c r="G2573" s="137">
        <v>4</v>
      </c>
      <c r="H2573" s="94">
        <v>360</v>
      </c>
      <c r="I2573" s="91">
        <v>46014</v>
      </c>
      <c r="J2573" s="165">
        <v>0.61458333333333337</v>
      </c>
      <c r="K2573" s="94">
        <v>360</v>
      </c>
      <c r="L2573" s="72" t="str">
        <f t="shared" si="40"/>
        <v>Payé</v>
      </c>
    </row>
    <row r="2574" spans="1:12" ht="15" customHeight="1" x14ac:dyDescent="0.25">
      <c r="A2574" s="90" t="s">
        <v>859</v>
      </c>
      <c r="B2574" s="90">
        <v>10340</v>
      </c>
      <c r="C2574" s="88" t="s">
        <v>1476</v>
      </c>
      <c r="D2574" s="90" t="s">
        <v>17</v>
      </c>
      <c r="E2574" s="90" t="s">
        <v>254</v>
      </c>
      <c r="F2574" s="90" t="s">
        <v>859</v>
      </c>
      <c r="G2574" s="137">
        <v>7</v>
      </c>
      <c r="H2574" s="94">
        <v>630</v>
      </c>
      <c r="I2574" s="91">
        <v>46014</v>
      </c>
      <c r="J2574" s="165">
        <v>0.61458333333333337</v>
      </c>
      <c r="K2574" s="94">
        <v>630</v>
      </c>
      <c r="L2574" s="72" t="str">
        <f t="shared" si="40"/>
        <v>Payé</v>
      </c>
    </row>
    <row r="2575" spans="1:12" ht="15" customHeight="1" x14ac:dyDescent="0.25">
      <c r="A2575" s="90" t="s">
        <v>859</v>
      </c>
      <c r="B2575" s="90">
        <v>3989</v>
      </c>
      <c r="C2575" s="88" t="s">
        <v>1477</v>
      </c>
      <c r="D2575" s="90" t="s">
        <v>17</v>
      </c>
      <c r="E2575" s="90" t="s">
        <v>254</v>
      </c>
      <c r="F2575" s="90" t="s">
        <v>859</v>
      </c>
      <c r="G2575" s="137">
        <v>3</v>
      </c>
      <c r="H2575" s="94">
        <v>270</v>
      </c>
      <c r="I2575" s="91">
        <v>46015</v>
      </c>
      <c r="J2575" s="165">
        <v>0.59166666666666667</v>
      </c>
      <c r="K2575" s="94">
        <v>270</v>
      </c>
      <c r="L2575" s="72" t="str">
        <f t="shared" si="40"/>
        <v>Payé</v>
      </c>
    </row>
    <row r="2576" spans="1:12" ht="15" customHeight="1" x14ac:dyDescent="0.25">
      <c r="A2576" s="90" t="s">
        <v>859</v>
      </c>
      <c r="B2576" s="90">
        <v>5096</v>
      </c>
      <c r="C2576" s="88" t="s">
        <v>1247</v>
      </c>
      <c r="D2576" s="90" t="s">
        <v>17</v>
      </c>
      <c r="E2576" s="90" t="s">
        <v>254</v>
      </c>
      <c r="F2576" s="90" t="s">
        <v>859</v>
      </c>
      <c r="G2576" s="137">
        <v>5</v>
      </c>
      <c r="H2576" s="94">
        <v>450</v>
      </c>
      <c r="I2576" s="91">
        <v>46016</v>
      </c>
      <c r="J2576" s="165">
        <v>0.4597222222222222</v>
      </c>
      <c r="K2576" s="94">
        <v>450</v>
      </c>
      <c r="L2576" s="72" t="str">
        <f t="shared" si="40"/>
        <v>Payé</v>
      </c>
    </row>
    <row r="2577" spans="1:12" ht="15" customHeight="1" x14ac:dyDescent="0.25">
      <c r="A2577" s="90" t="s">
        <v>859</v>
      </c>
      <c r="B2577" s="90">
        <v>10318</v>
      </c>
      <c r="C2577" s="88" t="s">
        <v>1478</v>
      </c>
      <c r="D2577" s="90" t="s">
        <v>17</v>
      </c>
      <c r="E2577" s="90" t="s">
        <v>254</v>
      </c>
      <c r="F2577" s="90" t="s">
        <v>859</v>
      </c>
      <c r="G2577" s="137">
        <v>6</v>
      </c>
      <c r="H2577" s="94">
        <v>540</v>
      </c>
      <c r="I2577" s="91">
        <v>46015</v>
      </c>
      <c r="J2577" s="165">
        <v>0.59166666666666667</v>
      </c>
      <c r="K2577" s="94">
        <v>540</v>
      </c>
      <c r="L2577" s="72" t="str">
        <f t="shared" si="40"/>
        <v>Payé</v>
      </c>
    </row>
    <row r="2578" spans="1:12" ht="15" customHeight="1" x14ac:dyDescent="0.25">
      <c r="A2578" s="90" t="s">
        <v>859</v>
      </c>
      <c r="B2578" s="90">
        <v>10319</v>
      </c>
      <c r="C2578" s="88" t="s">
        <v>1479</v>
      </c>
      <c r="D2578" s="90" t="s">
        <v>17</v>
      </c>
      <c r="E2578" s="90" t="s">
        <v>254</v>
      </c>
      <c r="F2578" s="90" t="s">
        <v>859</v>
      </c>
      <c r="G2578" s="137">
        <v>5</v>
      </c>
      <c r="H2578" s="94">
        <v>450</v>
      </c>
      <c r="I2578" s="91">
        <v>46015</v>
      </c>
      <c r="J2578" s="165">
        <v>0.54097222222222219</v>
      </c>
      <c r="K2578" s="94">
        <v>450</v>
      </c>
      <c r="L2578" s="72" t="str">
        <f t="shared" si="40"/>
        <v>Payé</v>
      </c>
    </row>
    <row r="2579" spans="1:12" ht="15" customHeight="1" x14ac:dyDescent="0.25">
      <c r="A2579" s="90" t="s">
        <v>859</v>
      </c>
      <c r="B2579" s="90">
        <v>10324</v>
      </c>
      <c r="C2579" s="88" t="s">
        <v>1480</v>
      </c>
      <c r="D2579" s="90" t="s">
        <v>17</v>
      </c>
      <c r="E2579" s="90" t="s">
        <v>254</v>
      </c>
      <c r="F2579" s="90" t="s">
        <v>859</v>
      </c>
      <c r="G2579" s="137">
        <v>7</v>
      </c>
      <c r="H2579" s="94">
        <v>630</v>
      </c>
      <c r="I2579" s="91">
        <v>46015</v>
      </c>
      <c r="J2579" s="165">
        <v>0.65416666666666667</v>
      </c>
      <c r="K2579" s="94">
        <v>630</v>
      </c>
      <c r="L2579" s="72" t="str">
        <f t="shared" si="40"/>
        <v>Payé</v>
      </c>
    </row>
    <row r="2580" spans="1:12" ht="15" customHeight="1" x14ac:dyDescent="0.25">
      <c r="A2580" s="90" t="s">
        <v>859</v>
      </c>
      <c r="B2580" s="90">
        <v>2648</v>
      </c>
      <c r="C2580" s="88" t="s">
        <v>1481</v>
      </c>
      <c r="D2580" s="90" t="s">
        <v>17</v>
      </c>
      <c r="E2580" s="90" t="s">
        <v>254</v>
      </c>
      <c r="F2580" s="90" t="s">
        <v>859</v>
      </c>
      <c r="G2580" s="137">
        <v>4</v>
      </c>
      <c r="H2580" s="94">
        <v>360</v>
      </c>
      <c r="I2580" s="91">
        <v>46015</v>
      </c>
      <c r="J2580" s="165">
        <v>0.59305555555555556</v>
      </c>
      <c r="K2580" s="94">
        <v>360</v>
      </c>
      <c r="L2580" s="72" t="str">
        <f t="shared" si="40"/>
        <v>Payé</v>
      </c>
    </row>
    <row r="2581" spans="1:12" ht="15" customHeight="1" x14ac:dyDescent="0.25">
      <c r="A2581" s="90" t="s">
        <v>859</v>
      </c>
      <c r="B2581" s="90">
        <v>2649</v>
      </c>
      <c r="C2581" s="88" t="s">
        <v>1482</v>
      </c>
      <c r="D2581" s="90" t="s">
        <v>17</v>
      </c>
      <c r="E2581" s="90" t="s">
        <v>254</v>
      </c>
      <c r="F2581" s="90" t="s">
        <v>859</v>
      </c>
      <c r="G2581" s="137">
        <v>5</v>
      </c>
      <c r="H2581" s="94">
        <v>450</v>
      </c>
      <c r="I2581" s="91">
        <v>46015</v>
      </c>
      <c r="J2581" s="165">
        <v>0.59305555555555556</v>
      </c>
      <c r="K2581" s="94">
        <v>450</v>
      </c>
      <c r="L2581" s="72" t="str">
        <f t="shared" si="40"/>
        <v>Payé</v>
      </c>
    </row>
    <row r="2582" spans="1:12" ht="15" customHeight="1" x14ac:dyDescent="0.25">
      <c r="A2582" s="90" t="s">
        <v>859</v>
      </c>
      <c r="B2582" s="90">
        <v>10368</v>
      </c>
      <c r="C2582" s="88" t="s">
        <v>1483</v>
      </c>
      <c r="D2582" s="90" t="s">
        <v>17</v>
      </c>
      <c r="E2582" s="90" t="s">
        <v>254</v>
      </c>
      <c r="F2582" s="90" t="s">
        <v>859</v>
      </c>
      <c r="G2582" s="137">
        <v>3</v>
      </c>
      <c r="H2582" s="94">
        <v>270</v>
      </c>
      <c r="I2582" s="91">
        <v>46031</v>
      </c>
      <c r="J2582" s="165">
        <v>0.63541666666666663</v>
      </c>
      <c r="K2582" s="94">
        <v>270</v>
      </c>
      <c r="L2582" s="72" t="str">
        <f t="shared" si="40"/>
        <v>Payé</v>
      </c>
    </row>
    <row r="2583" spans="1:12" ht="15" customHeight="1" x14ac:dyDescent="0.25">
      <c r="A2583" s="90" t="s">
        <v>859</v>
      </c>
      <c r="B2583" s="90">
        <v>10366</v>
      </c>
      <c r="C2583" s="88" t="s">
        <v>1484</v>
      </c>
      <c r="D2583" s="90" t="s">
        <v>17</v>
      </c>
      <c r="E2583" s="90" t="s">
        <v>254</v>
      </c>
      <c r="F2583" s="90" t="s">
        <v>859</v>
      </c>
      <c r="G2583" s="137">
        <v>3</v>
      </c>
      <c r="H2583" s="94">
        <v>270</v>
      </c>
      <c r="I2583" s="91">
        <v>46015</v>
      </c>
      <c r="J2583" s="165">
        <v>0.59166666666666667</v>
      </c>
      <c r="K2583" s="94">
        <v>270</v>
      </c>
      <c r="L2583" s="72" t="str">
        <f t="shared" si="40"/>
        <v>Payé</v>
      </c>
    </row>
    <row r="2584" spans="1:12" ht="15" customHeight="1" x14ac:dyDescent="0.25">
      <c r="A2584" s="90" t="s">
        <v>859</v>
      </c>
      <c r="B2584" s="90">
        <v>5016</v>
      </c>
      <c r="C2584" s="88" t="s">
        <v>1485</v>
      </c>
      <c r="D2584" s="90" t="s">
        <v>17</v>
      </c>
      <c r="E2584" s="90" t="s">
        <v>1523</v>
      </c>
      <c r="F2584" s="90" t="s">
        <v>859</v>
      </c>
      <c r="G2584" s="137">
        <v>2</v>
      </c>
      <c r="H2584" s="94">
        <v>180</v>
      </c>
      <c r="I2584" s="91">
        <v>46015</v>
      </c>
      <c r="J2584" s="165">
        <v>0.54513888888888895</v>
      </c>
      <c r="K2584" s="94">
        <v>180</v>
      </c>
      <c r="L2584" s="72" t="str">
        <f t="shared" si="40"/>
        <v>Payé</v>
      </c>
    </row>
    <row r="2585" spans="1:12" ht="15" customHeight="1" x14ac:dyDescent="0.25">
      <c r="A2585" s="90" t="s">
        <v>859</v>
      </c>
      <c r="B2585" s="90">
        <v>10300</v>
      </c>
      <c r="C2585" s="88" t="s">
        <v>1486</v>
      </c>
      <c r="D2585" s="90" t="s">
        <v>17</v>
      </c>
      <c r="E2585" s="90" t="s">
        <v>1523</v>
      </c>
      <c r="F2585" s="90" t="s">
        <v>859</v>
      </c>
      <c r="G2585" s="137">
        <v>2</v>
      </c>
      <c r="H2585" s="94">
        <v>180</v>
      </c>
      <c r="I2585" s="91">
        <v>46015</v>
      </c>
      <c r="J2585" s="165">
        <v>0.54513888888888895</v>
      </c>
      <c r="K2585" s="94">
        <v>180</v>
      </c>
      <c r="L2585" s="72" t="str">
        <f t="shared" si="40"/>
        <v>Payé</v>
      </c>
    </row>
    <row r="2586" spans="1:12" ht="15" customHeight="1" x14ac:dyDescent="0.25">
      <c r="A2586" s="90" t="s">
        <v>859</v>
      </c>
      <c r="B2586" s="90">
        <v>10301</v>
      </c>
      <c r="C2586" s="88" t="s">
        <v>1487</v>
      </c>
      <c r="D2586" s="90" t="s">
        <v>17</v>
      </c>
      <c r="E2586" s="90" t="s">
        <v>1523</v>
      </c>
      <c r="F2586" s="90" t="s">
        <v>859</v>
      </c>
      <c r="G2586" s="137">
        <v>2</v>
      </c>
      <c r="H2586" s="94">
        <v>180</v>
      </c>
      <c r="I2586" s="91">
        <v>46015</v>
      </c>
      <c r="J2586" s="165">
        <v>0.54513888888888895</v>
      </c>
      <c r="K2586" s="94">
        <v>180</v>
      </c>
      <c r="L2586" s="72" t="str">
        <f t="shared" si="40"/>
        <v>Payé</v>
      </c>
    </row>
    <row r="2587" spans="1:12" ht="15" customHeight="1" x14ac:dyDescent="0.25">
      <c r="A2587" s="90" t="s">
        <v>859</v>
      </c>
      <c r="B2587" s="90">
        <v>10302</v>
      </c>
      <c r="C2587" s="88" t="s">
        <v>1488</v>
      </c>
      <c r="D2587" s="90" t="s">
        <v>17</v>
      </c>
      <c r="E2587" s="90" t="s">
        <v>1523</v>
      </c>
      <c r="F2587" s="90" t="s">
        <v>859</v>
      </c>
      <c r="G2587" s="137">
        <v>2</v>
      </c>
      <c r="H2587" s="94">
        <v>180</v>
      </c>
      <c r="I2587" s="91">
        <v>46015</v>
      </c>
      <c r="J2587" s="165">
        <v>0.54513888888888895</v>
      </c>
      <c r="K2587" s="94">
        <v>180</v>
      </c>
      <c r="L2587" s="72" t="str">
        <f t="shared" si="40"/>
        <v>Payé</v>
      </c>
    </row>
    <row r="2588" spans="1:12" ht="15" customHeight="1" x14ac:dyDescent="0.25">
      <c r="A2588" s="90" t="s">
        <v>859</v>
      </c>
      <c r="B2588" s="90">
        <v>10303</v>
      </c>
      <c r="C2588" s="88" t="s">
        <v>1489</v>
      </c>
      <c r="D2588" s="90" t="s">
        <v>17</v>
      </c>
      <c r="E2588" s="90" t="s">
        <v>1523</v>
      </c>
      <c r="F2588" s="90" t="s">
        <v>859</v>
      </c>
      <c r="G2588" s="137">
        <v>2</v>
      </c>
      <c r="H2588" s="94">
        <v>180</v>
      </c>
      <c r="I2588" s="91">
        <v>46015</v>
      </c>
      <c r="J2588" s="165">
        <v>0.54513888888888895</v>
      </c>
      <c r="K2588" s="94">
        <v>180</v>
      </c>
      <c r="L2588" s="72" t="str">
        <f t="shared" si="40"/>
        <v>Payé</v>
      </c>
    </row>
    <row r="2589" spans="1:12" ht="15" customHeight="1" x14ac:dyDescent="0.25">
      <c r="A2589" s="90" t="s">
        <v>859</v>
      </c>
      <c r="B2589" s="90">
        <v>10304</v>
      </c>
      <c r="C2589" s="88" t="s">
        <v>1490</v>
      </c>
      <c r="D2589" s="90" t="s">
        <v>17</v>
      </c>
      <c r="E2589" s="90" t="s">
        <v>1523</v>
      </c>
      <c r="F2589" s="90" t="s">
        <v>859</v>
      </c>
      <c r="G2589" s="137">
        <v>2</v>
      </c>
      <c r="H2589" s="94">
        <v>180</v>
      </c>
      <c r="I2589" s="91">
        <v>46015</v>
      </c>
      <c r="J2589" s="165">
        <v>0.54513888888888895</v>
      </c>
      <c r="K2589" s="94">
        <v>180</v>
      </c>
      <c r="L2589" s="72" t="str">
        <f t="shared" si="40"/>
        <v>Payé</v>
      </c>
    </row>
    <row r="2590" spans="1:12" ht="15" customHeight="1" x14ac:dyDescent="0.25">
      <c r="A2590" s="90" t="s">
        <v>859</v>
      </c>
      <c r="B2590" s="90">
        <v>10305</v>
      </c>
      <c r="C2590" s="88" t="s">
        <v>1491</v>
      </c>
      <c r="D2590" s="90" t="s">
        <v>17</v>
      </c>
      <c r="E2590" s="90" t="s">
        <v>1523</v>
      </c>
      <c r="F2590" s="90" t="s">
        <v>859</v>
      </c>
      <c r="G2590" s="137">
        <v>2</v>
      </c>
      <c r="H2590" s="94">
        <v>180</v>
      </c>
      <c r="I2590" s="91">
        <v>46015</v>
      </c>
      <c r="J2590" s="165">
        <v>0.54513888888888895</v>
      </c>
      <c r="K2590" s="94">
        <v>180</v>
      </c>
      <c r="L2590" s="72" t="str">
        <f t="shared" ref="L2590:L2653" si="41">IF(ISBLANK(H2590),"",IF(H2590=K2590,"Payé","Impayé"))</f>
        <v>Payé</v>
      </c>
    </row>
    <row r="2591" spans="1:12" ht="15" customHeight="1" x14ac:dyDescent="0.25">
      <c r="A2591" s="90" t="s">
        <v>859</v>
      </c>
      <c r="B2591" s="90">
        <v>10309</v>
      </c>
      <c r="C2591" s="88" t="s">
        <v>1492</v>
      </c>
      <c r="D2591" s="90" t="s">
        <v>17</v>
      </c>
      <c r="E2591" s="90" t="s">
        <v>1523</v>
      </c>
      <c r="F2591" s="90" t="s">
        <v>859</v>
      </c>
      <c r="G2591" s="137">
        <v>2</v>
      </c>
      <c r="H2591" s="94">
        <v>180</v>
      </c>
      <c r="I2591" s="91">
        <v>46015</v>
      </c>
      <c r="J2591" s="165">
        <v>0.54513888888888895</v>
      </c>
      <c r="K2591" s="94">
        <v>180</v>
      </c>
      <c r="L2591" s="72" t="str">
        <f t="shared" si="41"/>
        <v>Payé</v>
      </c>
    </row>
    <row r="2592" spans="1:12" ht="15" customHeight="1" x14ac:dyDescent="0.25">
      <c r="A2592" s="90" t="s">
        <v>859</v>
      </c>
      <c r="B2592" s="90">
        <v>10310</v>
      </c>
      <c r="C2592" s="88" t="s">
        <v>1493</v>
      </c>
      <c r="D2592" s="90" t="s">
        <v>17</v>
      </c>
      <c r="E2592" s="90" t="s">
        <v>1523</v>
      </c>
      <c r="F2592" s="90" t="s">
        <v>859</v>
      </c>
      <c r="G2592" s="137">
        <v>2</v>
      </c>
      <c r="H2592" s="94">
        <v>180</v>
      </c>
      <c r="I2592" s="91">
        <v>46015</v>
      </c>
      <c r="J2592" s="165">
        <v>0.54513888888888895</v>
      </c>
      <c r="K2592" s="94">
        <v>180</v>
      </c>
      <c r="L2592" s="72" t="str">
        <f t="shared" si="41"/>
        <v>Payé</v>
      </c>
    </row>
    <row r="2593" spans="1:12" ht="15" customHeight="1" x14ac:dyDescent="0.25">
      <c r="A2593" s="90" t="s">
        <v>859</v>
      </c>
      <c r="B2593" s="90">
        <v>10313</v>
      </c>
      <c r="C2593" s="88" t="s">
        <v>1494</v>
      </c>
      <c r="D2593" s="90" t="s">
        <v>17</v>
      </c>
      <c r="E2593" s="90" t="s">
        <v>1523</v>
      </c>
      <c r="F2593" s="90" t="s">
        <v>859</v>
      </c>
      <c r="G2593" s="137">
        <v>1</v>
      </c>
      <c r="H2593" s="94">
        <v>90</v>
      </c>
      <c r="I2593" s="91">
        <v>46015</v>
      </c>
      <c r="J2593" s="165">
        <v>0.54513888888888895</v>
      </c>
      <c r="K2593" s="94">
        <v>90</v>
      </c>
      <c r="L2593" s="72" t="str">
        <f t="shared" si="41"/>
        <v>Payé</v>
      </c>
    </row>
    <row r="2594" spans="1:12" ht="15" customHeight="1" x14ac:dyDescent="0.25">
      <c r="A2594" s="90" t="s">
        <v>859</v>
      </c>
      <c r="B2594" s="90">
        <v>10314</v>
      </c>
      <c r="C2594" s="88" t="s">
        <v>1495</v>
      </c>
      <c r="D2594" s="90" t="s">
        <v>17</v>
      </c>
      <c r="E2594" s="90" t="s">
        <v>1523</v>
      </c>
      <c r="F2594" s="90" t="s">
        <v>859</v>
      </c>
      <c r="G2594" s="137">
        <v>1</v>
      </c>
      <c r="H2594" s="94">
        <v>90</v>
      </c>
      <c r="I2594" s="91">
        <v>46015</v>
      </c>
      <c r="J2594" s="165">
        <v>0.54513888888888895</v>
      </c>
      <c r="K2594" s="94">
        <v>90</v>
      </c>
      <c r="L2594" s="72" t="str">
        <f t="shared" si="41"/>
        <v>Payé</v>
      </c>
    </row>
    <row r="2595" spans="1:12" ht="15" customHeight="1" x14ac:dyDescent="0.25">
      <c r="A2595" s="90" t="s">
        <v>859</v>
      </c>
      <c r="B2595" s="90">
        <v>10315</v>
      </c>
      <c r="C2595" s="88" t="s">
        <v>1496</v>
      </c>
      <c r="D2595" s="90" t="s">
        <v>17</v>
      </c>
      <c r="E2595" s="90" t="s">
        <v>1523</v>
      </c>
      <c r="F2595" s="90" t="s">
        <v>859</v>
      </c>
      <c r="G2595" s="137">
        <v>1</v>
      </c>
      <c r="H2595" s="94">
        <v>90</v>
      </c>
      <c r="I2595" s="91">
        <v>46015</v>
      </c>
      <c r="J2595" s="165">
        <v>0.54513888888888895</v>
      </c>
      <c r="K2595" s="94">
        <v>90</v>
      </c>
      <c r="L2595" s="72" t="str">
        <f t="shared" si="41"/>
        <v>Payé</v>
      </c>
    </row>
    <row r="2596" spans="1:12" ht="15" customHeight="1" x14ac:dyDescent="0.25">
      <c r="A2596" s="90" t="s">
        <v>859</v>
      </c>
      <c r="B2596" s="90">
        <v>10316</v>
      </c>
      <c r="C2596" s="88" t="s">
        <v>1497</v>
      </c>
      <c r="D2596" s="90" t="s">
        <v>17</v>
      </c>
      <c r="E2596" s="90" t="s">
        <v>1523</v>
      </c>
      <c r="F2596" s="90" t="s">
        <v>859</v>
      </c>
      <c r="G2596" s="137">
        <v>1</v>
      </c>
      <c r="H2596" s="94">
        <v>90</v>
      </c>
      <c r="I2596" s="91">
        <v>46015</v>
      </c>
      <c r="J2596" s="165">
        <v>0.54513888888888895</v>
      </c>
      <c r="K2596" s="94">
        <v>90</v>
      </c>
      <c r="L2596" s="72" t="str">
        <f t="shared" si="41"/>
        <v>Payé</v>
      </c>
    </row>
    <row r="2597" spans="1:12" ht="15" customHeight="1" x14ac:dyDescent="0.25">
      <c r="A2597" s="90" t="s">
        <v>859</v>
      </c>
      <c r="B2597" s="90">
        <v>10317</v>
      </c>
      <c r="C2597" s="88" t="s">
        <v>1498</v>
      </c>
      <c r="D2597" s="90" t="s">
        <v>17</v>
      </c>
      <c r="E2597" s="90" t="s">
        <v>1523</v>
      </c>
      <c r="F2597" s="90" t="s">
        <v>859</v>
      </c>
      <c r="G2597" s="137">
        <v>1</v>
      </c>
      <c r="H2597" s="94">
        <v>90</v>
      </c>
      <c r="I2597" s="91">
        <v>46014</v>
      </c>
      <c r="J2597" s="165">
        <v>0.60277777777777775</v>
      </c>
      <c r="K2597" s="94">
        <v>90</v>
      </c>
      <c r="L2597" s="72" t="str">
        <f t="shared" si="41"/>
        <v>Payé</v>
      </c>
    </row>
    <row r="2598" spans="1:12" ht="15" customHeight="1" x14ac:dyDescent="0.25">
      <c r="A2598" s="90" t="s">
        <v>859</v>
      </c>
      <c r="B2598" s="90">
        <v>4521</v>
      </c>
      <c r="C2598" s="88" t="s">
        <v>1499</v>
      </c>
      <c r="D2598" s="90" t="s">
        <v>17</v>
      </c>
      <c r="E2598" s="90" t="s">
        <v>1524</v>
      </c>
      <c r="F2598" s="90" t="s">
        <v>859</v>
      </c>
      <c r="G2598" s="137">
        <v>0.5</v>
      </c>
      <c r="H2598" s="94">
        <v>45</v>
      </c>
      <c r="I2598" s="91"/>
      <c r="J2598" s="165"/>
      <c r="K2598" s="92"/>
      <c r="L2598" s="72" t="str">
        <f t="shared" si="41"/>
        <v>Impayé</v>
      </c>
    </row>
    <row r="2599" spans="1:12" ht="15" customHeight="1" x14ac:dyDescent="0.25">
      <c r="A2599" s="90" t="s">
        <v>859</v>
      </c>
      <c r="B2599" s="90">
        <v>4841</v>
      </c>
      <c r="C2599" s="88" t="s">
        <v>1500</v>
      </c>
      <c r="D2599" s="90" t="s">
        <v>17</v>
      </c>
      <c r="E2599" s="90" t="s">
        <v>1524</v>
      </c>
      <c r="F2599" s="90" t="s">
        <v>859</v>
      </c>
      <c r="G2599" s="137">
        <v>0.5</v>
      </c>
      <c r="H2599" s="94">
        <v>45</v>
      </c>
      <c r="I2599" s="91"/>
      <c r="J2599" s="165"/>
      <c r="K2599" s="92"/>
      <c r="L2599" s="72" t="str">
        <f t="shared" si="41"/>
        <v>Impayé</v>
      </c>
    </row>
    <row r="2600" spans="1:12" ht="15" customHeight="1" x14ac:dyDescent="0.25">
      <c r="A2600" s="90" t="s">
        <v>859</v>
      </c>
      <c r="B2600" s="90">
        <v>5081</v>
      </c>
      <c r="C2600" s="88" t="s">
        <v>1501</v>
      </c>
      <c r="D2600" s="90" t="s">
        <v>17</v>
      </c>
      <c r="E2600" s="90" t="s">
        <v>1524</v>
      </c>
      <c r="F2600" s="90" t="s">
        <v>859</v>
      </c>
      <c r="G2600" s="137">
        <v>0.5</v>
      </c>
      <c r="H2600" s="94">
        <v>45</v>
      </c>
      <c r="I2600" s="91"/>
      <c r="J2600" s="165"/>
      <c r="K2600" s="92"/>
      <c r="L2600" s="72" t="str">
        <f t="shared" si="41"/>
        <v>Impayé</v>
      </c>
    </row>
    <row r="2601" spans="1:12" ht="15" customHeight="1" x14ac:dyDescent="0.25">
      <c r="A2601" s="90" t="s">
        <v>859</v>
      </c>
      <c r="B2601" s="90">
        <v>10282</v>
      </c>
      <c r="C2601" s="88" t="s">
        <v>1502</v>
      </c>
      <c r="D2601" s="90" t="s">
        <v>17</v>
      </c>
      <c r="E2601" s="90" t="s">
        <v>1524</v>
      </c>
      <c r="F2601" s="90" t="s">
        <v>859</v>
      </c>
      <c r="G2601" s="137">
        <v>0.5</v>
      </c>
      <c r="H2601" s="94">
        <v>45</v>
      </c>
      <c r="I2601" s="91"/>
      <c r="J2601" s="165"/>
      <c r="K2601" s="92"/>
      <c r="L2601" s="72" t="str">
        <f t="shared" si="41"/>
        <v>Impayé</v>
      </c>
    </row>
    <row r="2602" spans="1:12" ht="15" customHeight="1" x14ac:dyDescent="0.25">
      <c r="A2602" s="90" t="s">
        <v>859</v>
      </c>
      <c r="B2602" s="90">
        <v>10283</v>
      </c>
      <c r="C2602" s="88" t="s">
        <v>1503</v>
      </c>
      <c r="D2602" s="90" t="s">
        <v>17</v>
      </c>
      <c r="E2602" s="90" t="s">
        <v>1524</v>
      </c>
      <c r="F2602" s="90" t="s">
        <v>859</v>
      </c>
      <c r="G2602" s="137">
        <v>0.5</v>
      </c>
      <c r="H2602" s="94">
        <v>45</v>
      </c>
      <c r="I2602" s="91"/>
      <c r="J2602" s="165"/>
      <c r="K2602" s="92"/>
      <c r="L2602" s="72" t="str">
        <f t="shared" si="41"/>
        <v>Impayé</v>
      </c>
    </row>
    <row r="2603" spans="1:12" ht="15" customHeight="1" x14ac:dyDescent="0.25">
      <c r="A2603" s="90" t="s">
        <v>859</v>
      </c>
      <c r="B2603" s="90">
        <v>2427</v>
      </c>
      <c r="C2603" s="88" t="s">
        <v>1504</v>
      </c>
      <c r="D2603" s="90" t="s">
        <v>17</v>
      </c>
      <c r="E2603" s="90" t="s">
        <v>1525</v>
      </c>
      <c r="F2603" s="90" t="s">
        <v>859</v>
      </c>
      <c r="G2603" s="137">
        <v>5</v>
      </c>
      <c r="H2603" s="94">
        <v>450</v>
      </c>
      <c r="I2603" s="91">
        <v>46015</v>
      </c>
      <c r="J2603" s="165">
        <v>0.63472222222222219</v>
      </c>
      <c r="K2603" s="94">
        <v>450</v>
      </c>
      <c r="L2603" s="72" t="str">
        <f t="shared" si="41"/>
        <v>Payé</v>
      </c>
    </row>
    <row r="2604" spans="1:12" ht="15" customHeight="1" x14ac:dyDescent="0.25">
      <c r="A2604" s="90" t="s">
        <v>859</v>
      </c>
      <c r="B2604" s="90">
        <v>10349</v>
      </c>
      <c r="C2604" s="88" t="s">
        <v>1505</v>
      </c>
      <c r="D2604" s="90" t="s">
        <v>17</v>
      </c>
      <c r="E2604" s="90" t="s">
        <v>1525</v>
      </c>
      <c r="F2604" s="90" t="s">
        <v>859</v>
      </c>
      <c r="G2604" s="137">
        <v>4</v>
      </c>
      <c r="H2604" s="94">
        <v>360</v>
      </c>
      <c r="I2604" s="91">
        <v>46015</v>
      </c>
      <c r="J2604" s="165">
        <v>0.63472222222222219</v>
      </c>
      <c r="K2604" s="94">
        <v>360</v>
      </c>
      <c r="L2604" s="72" t="str">
        <f t="shared" si="41"/>
        <v>Payé</v>
      </c>
    </row>
    <row r="2605" spans="1:12" ht="15" customHeight="1" x14ac:dyDescent="0.25">
      <c r="A2605" s="90" t="s">
        <v>859</v>
      </c>
      <c r="B2605" s="90">
        <v>10350</v>
      </c>
      <c r="C2605" s="88" t="s">
        <v>1506</v>
      </c>
      <c r="D2605" s="90" t="s">
        <v>17</v>
      </c>
      <c r="E2605" s="90" t="s">
        <v>1525</v>
      </c>
      <c r="F2605" s="90" t="s">
        <v>859</v>
      </c>
      <c r="G2605" s="137">
        <v>5</v>
      </c>
      <c r="H2605" s="94">
        <v>450</v>
      </c>
      <c r="I2605" s="91">
        <v>46015</v>
      </c>
      <c r="J2605" s="165">
        <v>0.63472222222222219</v>
      </c>
      <c r="K2605" s="94">
        <v>450</v>
      </c>
      <c r="L2605" s="72" t="str">
        <f t="shared" si="41"/>
        <v>Payé</v>
      </c>
    </row>
    <row r="2606" spans="1:12" ht="15" customHeight="1" x14ac:dyDescent="0.25">
      <c r="A2606" s="90" t="s">
        <v>859</v>
      </c>
      <c r="B2606" s="90">
        <v>10351</v>
      </c>
      <c r="C2606" s="88" t="s">
        <v>1507</v>
      </c>
      <c r="D2606" s="90" t="s">
        <v>17</v>
      </c>
      <c r="E2606" s="90" t="s">
        <v>1525</v>
      </c>
      <c r="F2606" s="90" t="s">
        <v>859</v>
      </c>
      <c r="G2606" s="137">
        <v>1</v>
      </c>
      <c r="H2606" s="94">
        <v>90</v>
      </c>
      <c r="I2606" s="91">
        <v>46015</v>
      </c>
      <c r="J2606" s="165">
        <v>0.63680555555555551</v>
      </c>
      <c r="K2606" s="94">
        <v>90</v>
      </c>
      <c r="L2606" s="72" t="str">
        <f t="shared" si="41"/>
        <v>Payé</v>
      </c>
    </row>
    <row r="2607" spans="1:12" ht="15" customHeight="1" x14ac:dyDescent="0.25">
      <c r="A2607" s="90" t="s">
        <v>859</v>
      </c>
      <c r="B2607" s="90">
        <v>10352</v>
      </c>
      <c r="C2607" s="88" t="s">
        <v>1508</v>
      </c>
      <c r="D2607" s="90" t="s">
        <v>17</v>
      </c>
      <c r="E2607" s="90" t="s">
        <v>1525</v>
      </c>
      <c r="F2607" s="90" t="s">
        <v>859</v>
      </c>
      <c r="G2607" s="137">
        <v>4</v>
      </c>
      <c r="H2607" s="94">
        <v>360</v>
      </c>
      <c r="I2607" s="91">
        <v>46015</v>
      </c>
      <c r="J2607" s="165">
        <v>0.63472222222222219</v>
      </c>
      <c r="K2607" s="94">
        <v>360</v>
      </c>
      <c r="L2607" s="72" t="str">
        <f t="shared" si="41"/>
        <v>Payé</v>
      </c>
    </row>
    <row r="2608" spans="1:12" ht="15" customHeight="1" x14ac:dyDescent="0.25">
      <c r="A2608" s="90" t="s">
        <v>859</v>
      </c>
      <c r="B2608" s="90">
        <v>10353</v>
      </c>
      <c r="C2608" s="88" t="s">
        <v>1509</v>
      </c>
      <c r="D2608" s="90" t="s">
        <v>17</v>
      </c>
      <c r="E2608" s="90" t="s">
        <v>1525</v>
      </c>
      <c r="F2608" s="90" t="s">
        <v>859</v>
      </c>
      <c r="G2608" s="137">
        <v>5</v>
      </c>
      <c r="H2608" s="94">
        <v>450</v>
      </c>
      <c r="I2608" s="91">
        <v>46015</v>
      </c>
      <c r="J2608" s="165">
        <v>0.63680555555555551</v>
      </c>
      <c r="K2608" s="94">
        <v>450</v>
      </c>
      <c r="L2608" s="72" t="str">
        <f t="shared" si="41"/>
        <v>Payé</v>
      </c>
    </row>
    <row r="2609" spans="1:12" ht="15" customHeight="1" x14ac:dyDescent="0.25">
      <c r="A2609" s="90" t="s">
        <v>859</v>
      </c>
      <c r="B2609" s="90">
        <v>10354</v>
      </c>
      <c r="C2609" s="88" t="s">
        <v>1510</v>
      </c>
      <c r="D2609" s="90" t="s">
        <v>17</v>
      </c>
      <c r="E2609" s="90" t="s">
        <v>1525</v>
      </c>
      <c r="F2609" s="90" t="s">
        <v>859</v>
      </c>
      <c r="G2609" s="137">
        <v>4</v>
      </c>
      <c r="H2609" s="94">
        <v>360</v>
      </c>
      <c r="I2609" s="91">
        <v>46015</v>
      </c>
      <c r="J2609" s="165">
        <v>0.63472222222222219</v>
      </c>
      <c r="K2609" s="94">
        <v>360</v>
      </c>
      <c r="L2609" s="72" t="str">
        <f t="shared" si="41"/>
        <v>Payé</v>
      </c>
    </row>
    <row r="2610" spans="1:12" ht="15" customHeight="1" x14ac:dyDescent="0.25">
      <c r="A2610" s="90" t="s">
        <v>859</v>
      </c>
      <c r="B2610" s="90">
        <v>10355</v>
      </c>
      <c r="C2610" s="88" t="s">
        <v>1511</v>
      </c>
      <c r="D2610" s="90" t="s">
        <v>17</v>
      </c>
      <c r="E2610" s="90" t="s">
        <v>1525</v>
      </c>
      <c r="F2610" s="90" t="s">
        <v>859</v>
      </c>
      <c r="G2610" s="137">
        <v>5</v>
      </c>
      <c r="H2610" s="94">
        <v>450</v>
      </c>
      <c r="I2610" s="91">
        <v>46015</v>
      </c>
      <c r="J2610" s="165">
        <v>0.63472222222222219</v>
      </c>
      <c r="K2610" s="94">
        <v>450</v>
      </c>
      <c r="L2610" s="72" t="str">
        <f t="shared" si="41"/>
        <v>Payé</v>
      </c>
    </row>
    <row r="2611" spans="1:12" ht="15" customHeight="1" x14ac:dyDescent="0.25">
      <c r="A2611" s="90" t="s">
        <v>859</v>
      </c>
      <c r="B2611" s="90">
        <v>10356</v>
      </c>
      <c r="C2611" s="88" t="s">
        <v>1512</v>
      </c>
      <c r="D2611" s="90" t="s">
        <v>17</v>
      </c>
      <c r="E2611" s="90" t="s">
        <v>1525</v>
      </c>
      <c r="F2611" s="90" t="s">
        <v>859</v>
      </c>
      <c r="G2611" s="137">
        <v>5</v>
      </c>
      <c r="H2611" s="94">
        <v>500</v>
      </c>
      <c r="I2611" s="91">
        <v>46015</v>
      </c>
      <c r="J2611" s="165">
        <v>0.63680555555555551</v>
      </c>
      <c r="K2611" s="94">
        <v>500</v>
      </c>
      <c r="L2611" s="72" t="str">
        <f t="shared" si="41"/>
        <v>Payé</v>
      </c>
    </row>
    <row r="2612" spans="1:12" ht="15" customHeight="1" x14ac:dyDescent="0.25">
      <c r="A2612" s="90" t="s">
        <v>859</v>
      </c>
      <c r="B2612" s="90">
        <v>10357</v>
      </c>
      <c r="C2612" s="88" t="s">
        <v>1513</v>
      </c>
      <c r="D2612" s="90" t="s">
        <v>17</v>
      </c>
      <c r="E2612" s="90" t="s">
        <v>1525</v>
      </c>
      <c r="F2612" s="90" t="s">
        <v>859</v>
      </c>
      <c r="G2612" s="137">
        <v>5</v>
      </c>
      <c r="H2612" s="94">
        <v>450</v>
      </c>
      <c r="I2612" s="91">
        <v>46015</v>
      </c>
      <c r="J2612" s="165">
        <v>0.63472222222222219</v>
      </c>
      <c r="K2612" s="94">
        <v>450</v>
      </c>
      <c r="L2612" s="72" t="str">
        <f t="shared" si="41"/>
        <v>Payé</v>
      </c>
    </row>
    <row r="2613" spans="1:12" ht="15" customHeight="1" x14ac:dyDescent="0.25">
      <c r="A2613" s="90" t="s">
        <v>859</v>
      </c>
      <c r="B2613" s="90">
        <v>10358</v>
      </c>
      <c r="C2613" s="88" t="s">
        <v>1514</v>
      </c>
      <c r="D2613" s="90" t="s">
        <v>17</v>
      </c>
      <c r="E2613" s="90" t="s">
        <v>1525</v>
      </c>
      <c r="F2613" s="90" t="s">
        <v>859</v>
      </c>
      <c r="G2613" s="137">
        <v>1</v>
      </c>
      <c r="H2613" s="94">
        <v>90</v>
      </c>
      <c r="I2613" s="91">
        <v>46015</v>
      </c>
      <c r="J2613" s="165">
        <v>0.63680555555555551</v>
      </c>
      <c r="K2613" s="94">
        <v>90</v>
      </c>
      <c r="L2613" s="72" t="str">
        <f t="shared" si="41"/>
        <v>Payé</v>
      </c>
    </row>
    <row r="2614" spans="1:12" ht="15" customHeight="1" x14ac:dyDescent="0.25">
      <c r="A2614" s="90" t="s">
        <v>859</v>
      </c>
      <c r="B2614" s="90">
        <v>10359</v>
      </c>
      <c r="C2614" s="88" t="s">
        <v>1515</v>
      </c>
      <c r="D2614" s="90" t="s">
        <v>17</v>
      </c>
      <c r="E2614" s="90" t="s">
        <v>1525</v>
      </c>
      <c r="F2614" s="90" t="s">
        <v>859</v>
      </c>
      <c r="G2614" s="137">
        <v>1</v>
      </c>
      <c r="H2614" s="94">
        <v>90</v>
      </c>
      <c r="I2614" s="91">
        <v>46015</v>
      </c>
      <c r="J2614" s="165">
        <v>0.63680555555555551</v>
      </c>
      <c r="K2614" s="94">
        <v>90</v>
      </c>
      <c r="L2614" s="72" t="str">
        <f t="shared" si="41"/>
        <v>Payé</v>
      </c>
    </row>
    <row r="2615" spans="1:12" ht="15" customHeight="1" x14ac:dyDescent="0.25">
      <c r="A2615" s="90" t="s">
        <v>859</v>
      </c>
      <c r="B2615" s="90">
        <v>10360</v>
      </c>
      <c r="C2615" s="88" t="s">
        <v>1516</v>
      </c>
      <c r="D2615" s="90" t="s">
        <v>17</v>
      </c>
      <c r="E2615" s="90" t="s">
        <v>1525</v>
      </c>
      <c r="F2615" s="90" t="s">
        <v>859</v>
      </c>
      <c r="G2615" s="137">
        <v>5</v>
      </c>
      <c r="H2615" s="94">
        <v>450</v>
      </c>
      <c r="I2615" s="91">
        <v>46015</v>
      </c>
      <c r="J2615" s="165">
        <v>0.63472222222222219</v>
      </c>
      <c r="K2615" s="94">
        <v>450</v>
      </c>
      <c r="L2615" s="72" t="str">
        <f t="shared" si="41"/>
        <v>Payé</v>
      </c>
    </row>
    <row r="2616" spans="1:12" ht="15" customHeight="1" x14ac:dyDescent="0.25">
      <c r="A2616" s="90" t="s">
        <v>859</v>
      </c>
      <c r="B2616" s="90">
        <v>10361</v>
      </c>
      <c r="C2616" s="88" t="s">
        <v>1517</v>
      </c>
      <c r="D2616" s="90" t="s">
        <v>17</v>
      </c>
      <c r="E2616" s="90" t="s">
        <v>1525</v>
      </c>
      <c r="F2616" s="90" t="s">
        <v>859</v>
      </c>
      <c r="G2616" s="137">
        <v>3</v>
      </c>
      <c r="H2616" s="94">
        <v>270</v>
      </c>
      <c r="I2616" s="91">
        <v>46015</v>
      </c>
      <c r="J2616" s="165">
        <v>0.63472222222222219</v>
      </c>
      <c r="K2616" s="94">
        <v>270</v>
      </c>
      <c r="L2616" s="72" t="str">
        <f t="shared" si="41"/>
        <v>Payé</v>
      </c>
    </row>
    <row r="2617" spans="1:12" ht="15" customHeight="1" x14ac:dyDescent="0.25">
      <c r="A2617" s="90" t="s">
        <v>859</v>
      </c>
      <c r="B2617" s="90">
        <v>10362</v>
      </c>
      <c r="C2617" s="88" t="s">
        <v>1518</v>
      </c>
      <c r="D2617" s="90" t="s">
        <v>17</v>
      </c>
      <c r="E2617" s="90" t="s">
        <v>1525</v>
      </c>
      <c r="F2617" s="90" t="s">
        <v>859</v>
      </c>
      <c r="G2617" s="137">
        <v>1</v>
      </c>
      <c r="H2617" s="94">
        <v>90</v>
      </c>
      <c r="I2617" s="91">
        <v>46015</v>
      </c>
      <c r="J2617" s="165">
        <v>0.63680555555555551</v>
      </c>
      <c r="K2617" s="94">
        <v>90</v>
      </c>
      <c r="L2617" s="72" t="str">
        <f t="shared" si="41"/>
        <v>Payé</v>
      </c>
    </row>
    <row r="2618" spans="1:12" ht="15" customHeight="1" x14ac:dyDescent="0.25">
      <c r="A2618" s="90" t="s">
        <v>859</v>
      </c>
      <c r="B2618" s="90">
        <v>10363</v>
      </c>
      <c r="C2618" s="88" t="s">
        <v>1519</v>
      </c>
      <c r="D2618" s="90" t="s">
        <v>17</v>
      </c>
      <c r="E2618" s="90" t="s">
        <v>1525</v>
      </c>
      <c r="F2618" s="90" t="s">
        <v>859</v>
      </c>
      <c r="G2618" s="137">
        <v>4</v>
      </c>
      <c r="H2618" s="94">
        <v>360</v>
      </c>
      <c r="I2618" s="91">
        <v>46015</v>
      </c>
      <c r="J2618" s="165">
        <v>0.63472222222222219</v>
      </c>
      <c r="K2618" s="94">
        <v>360</v>
      </c>
      <c r="L2618" s="72" t="str">
        <f t="shared" si="41"/>
        <v>Payé</v>
      </c>
    </row>
    <row r="2619" spans="1:12" ht="15" customHeight="1" x14ac:dyDescent="0.25">
      <c r="A2619" s="90" t="s">
        <v>859</v>
      </c>
      <c r="B2619" s="90">
        <v>10364</v>
      </c>
      <c r="C2619" s="88" t="s">
        <v>1520</v>
      </c>
      <c r="D2619" s="90" t="s">
        <v>17</v>
      </c>
      <c r="E2619" s="90" t="s">
        <v>1525</v>
      </c>
      <c r="F2619" s="90" t="s">
        <v>859</v>
      </c>
      <c r="G2619" s="137">
        <v>4</v>
      </c>
      <c r="H2619" s="94">
        <v>360</v>
      </c>
      <c r="I2619" s="91">
        <v>46015</v>
      </c>
      <c r="J2619" s="165">
        <v>0.63472222222222219</v>
      </c>
      <c r="K2619" s="94">
        <v>360</v>
      </c>
      <c r="L2619" s="72" t="str">
        <f t="shared" si="41"/>
        <v>Payé</v>
      </c>
    </row>
    <row r="2620" spans="1:12" ht="15" customHeight="1" x14ac:dyDescent="0.25">
      <c r="A2620" s="90" t="s">
        <v>859</v>
      </c>
      <c r="B2620" s="90">
        <v>10180</v>
      </c>
      <c r="C2620" s="88" t="s">
        <v>1377</v>
      </c>
      <c r="D2620" s="90" t="s">
        <v>17</v>
      </c>
      <c r="E2620" s="90" t="s">
        <v>1416</v>
      </c>
      <c r="F2620" s="90" t="s">
        <v>859</v>
      </c>
      <c r="G2620" s="137">
        <v>1</v>
      </c>
      <c r="H2620" s="94">
        <v>90</v>
      </c>
      <c r="I2620" s="91">
        <v>46016</v>
      </c>
      <c r="J2620" s="165">
        <v>0.53749999999999998</v>
      </c>
      <c r="K2620" s="94">
        <v>90</v>
      </c>
      <c r="L2620" s="72" t="str">
        <f t="shared" si="41"/>
        <v>Payé</v>
      </c>
    </row>
    <row r="2621" spans="1:12" ht="15" customHeight="1" x14ac:dyDescent="0.25">
      <c r="A2621" s="90" t="s">
        <v>859</v>
      </c>
      <c r="B2621" s="90">
        <v>10181</v>
      </c>
      <c r="C2621" s="88" t="s">
        <v>1378</v>
      </c>
      <c r="D2621" s="90" t="s">
        <v>17</v>
      </c>
      <c r="E2621" s="90" t="s">
        <v>1416</v>
      </c>
      <c r="F2621" s="90" t="s">
        <v>859</v>
      </c>
      <c r="G2621" s="137">
        <v>1</v>
      </c>
      <c r="H2621" s="94">
        <v>90</v>
      </c>
      <c r="I2621" s="91">
        <v>46016</v>
      </c>
      <c r="J2621" s="165">
        <v>0.53749999999999998</v>
      </c>
      <c r="K2621" s="94">
        <v>90</v>
      </c>
      <c r="L2621" s="72" t="str">
        <f t="shared" si="41"/>
        <v>Payé</v>
      </c>
    </row>
    <row r="2622" spans="1:12" ht="15" customHeight="1" x14ac:dyDescent="0.25">
      <c r="A2622" s="90" t="s">
        <v>859</v>
      </c>
      <c r="B2622" s="90">
        <v>10183</v>
      </c>
      <c r="C2622" s="88" t="s">
        <v>1380</v>
      </c>
      <c r="D2622" s="90" t="s">
        <v>17</v>
      </c>
      <c r="E2622" s="90" t="s">
        <v>1416</v>
      </c>
      <c r="F2622" s="90" t="s">
        <v>859</v>
      </c>
      <c r="G2622" s="137">
        <v>1</v>
      </c>
      <c r="H2622" s="94">
        <v>90</v>
      </c>
      <c r="I2622" s="91">
        <v>46016</v>
      </c>
      <c r="J2622" s="165">
        <v>0.53749999999999998</v>
      </c>
      <c r="K2622" s="94">
        <v>90</v>
      </c>
      <c r="L2622" s="72" t="str">
        <f t="shared" si="41"/>
        <v>Payé</v>
      </c>
    </row>
    <row r="2623" spans="1:12" ht="15" customHeight="1" x14ac:dyDescent="0.25">
      <c r="A2623" s="90" t="s">
        <v>859</v>
      </c>
      <c r="B2623" s="90">
        <v>10185</v>
      </c>
      <c r="C2623" s="88" t="s">
        <v>1382</v>
      </c>
      <c r="D2623" s="90" t="s">
        <v>17</v>
      </c>
      <c r="E2623" s="90" t="s">
        <v>1416</v>
      </c>
      <c r="F2623" s="90" t="s">
        <v>859</v>
      </c>
      <c r="G2623" s="137">
        <v>1</v>
      </c>
      <c r="H2623" s="94">
        <v>90</v>
      </c>
      <c r="I2623" s="91">
        <v>46016</v>
      </c>
      <c r="J2623" s="165">
        <v>0.53749999999999998</v>
      </c>
      <c r="K2623" s="94">
        <v>90</v>
      </c>
      <c r="L2623" s="72" t="str">
        <f t="shared" si="41"/>
        <v>Payé</v>
      </c>
    </row>
    <row r="2624" spans="1:12" ht="15" customHeight="1" x14ac:dyDescent="0.25">
      <c r="A2624" s="90" t="s">
        <v>859</v>
      </c>
      <c r="B2624" s="90">
        <v>10186</v>
      </c>
      <c r="C2624" s="88" t="s">
        <v>1383</v>
      </c>
      <c r="D2624" s="90" t="s">
        <v>17</v>
      </c>
      <c r="E2624" s="90" t="s">
        <v>1416</v>
      </c>
      <c r="F2624" s="90" t="s">
        <v>859</v>
      </c>
      <c r="G2624" s="137">
        <v>1</v>
      </c>
      <c r="H2624" s="94">
        <v>90</v>
      </c>
      <c r="I2624" s="91">
        <v>46016</v>
      </c>
      <c r="J2624" s="165">
        <v>0.53749999999999998</v>
      </c>
      <c r="K2624" s="94">
        <v>90</v>
      </c>
      <c r="L2624" s="72" t="str">
        <f t="shared" si="41"/>
        <v>Payé</v>
      </c>
    </row>
    <row r="2625" spans="1:12" ht="15" customHeight="1" x14ac:dyDescent="0.25">
      <c r="A2625" s="90" t="s">
        <v>859</v>
      </c>
      <c r="B2625" s="90">
        <v>10182</v>
      </c>
      <c r="C2625" s="88" t="s">
        <v>1379</v>
      </c>
      <c r="D2625" s="90" t="s">
        <v>17</v>
      </c>
      <c r="E2625" s="90" t="s">
        <v>1416</v>
      </c>
      <c r="F2625" s="90" t="s">
        <v>859</v>
      </c>
      <c r="G2625" s="137">
        <v>1</v>
      </c>
      <c r="H2625" s="94">
        <v>90</v>
      </c>
      <c r="I2625" s="91">
        <v>46016</v>
      </c>
      <c r="J2625" s="165">
        <v>0.53749999999999998</v>
      </c>
      <c r="K2625" s="94">
        <v>90</v>
      </c>
      <c r="L2625" s="72" t="str">
        <f t="shared" si="41"/>
        <v>Payé</v>
      </c>
    </row>
    <row r="2626" spans="1:12" ht="15" customHeight="1" x14ac:dyDescent="0.25">
      <c r="A2626" s="90" t="s">
        <v>859</v>
      </c>
      <c r="B2626" s="90">
        <v>10191</v>
      </c>
      <c r="C2626" s="88" t="s">
        <v>1388</v>
      </c>
      <c r="D2626" s="90" t="s">
        <v>17</v>
      </c>
      <c r="E2626" s="90" t="s">
        <v>1416</v>
      </c>
      <c r="F2626" s="90" t="s">
        <v>859</v>
      </c>
      <c r="G2626" s="137">
        <v>1</v>
      </c>
      <c r="H2626" s="94">
        <v>90</v>
      </c>
      <c r="I2626" s="91">
        <v>46016</v>
      </c>
      <c r="J2626" s="165">
        <v>0.53749999999999998</v>
      </c>
      <c r="K2626" s="94">
        <v>90</v>
      </c>
      <c r="L2626" s="72" t="str">
        <f t="shared" si="41"/>
        <v>Payé</v>
      </c>
    </row>
    <row r="2627" spans="1:12" ht="15" customHeight="1" x14ac:dyDescent="0.25">
      <c r="A2627" s="90" t="s">
        <v>859</v>
      </c>
      <c r="B2627" s="90">
        <v>10143</v>
      </c>
      <c r="C2627" s="88" t="s">
        <v>1365</v>
      </c>
      <c r="D2627" s="90" t="s">
        <v>17</v>
      </c>
      <c r="E2627" s="90" t="s">
        <v>1416</v>
      </c>
      <c r="F2627" s="90" t="s">
        <v>859</v>
      </c>
      <c r="G2627" s="137">
        <v>1</v>
      </c>
      <c r="H2627" s="94">
        <v>90</v>
      </c>
      <c r="I2627" s="91">
        <v>46016</v>
      </c>
      <c r="J2627" s="165">
        <v>0.53749999999999998</v>
      </c>
      <c r="K2627" s="94">
        <v>90</v>
      </c>
      <c r="L2627" s="72" t="str">
        <f t="shared" si="41"/>
        <v>Payé</v>
      </c>
    </row>
    <row r="2628" spans="1:12" ht="15" customHeight="1" x14ac:dyDescent="0.25">
      <c r="A2628" s="90" t="s">
        <v>859</v>
      </c>
      <c r="B2628" s="90">
        <v>10256</v>
      </c>
      <c r="C2628" s="88" t="s">
        <v>1521</v>
      </c>
      <c r="D2628" s="90" t="s">
        <v>17</v>
      </c>
      <c r="E2628" s="90" t="s">
        <v>1416</v>
      </c>
      <c r="F2628" s="90" t="s">
        <v>859</v>
      </c>
      <c r="G2628" s="137">
        <v>1</v>
      </c>
      <c r="H2628" s="94">
        <v>90</v>
      </c>
      <c r="I2628" s="91">
        <v>46016</v>
      </c>
      <c r="J2628" s="165">
        <v>0.53749999999999998</v>
      </c>
      <c r="K2628" s="94">
        <v>90</v>
      </c>
      <c r="L2628" s="72" t="str">
        <f t="shared" si="41"/>
        <v>Payé</v>
      </c>
    </row>
    <row r="2629" spans="1:12" ht="15" customHeight="1" x14ac:dyDescent="0.25">
      <c r="A2629" s="90" t="s">
        <v>859</v>
      </c>
      <c r="B2629" s="90">
        <v>10213</v>
      </c>
      <c r="C2629" s="88" t="s">
        <v>1402</v>
      </c>
      <c r="D2629" s="90" t="s">
        <v>17</v>
      </c>
      <c r="E2629" s="90" t="s">
        <v>1416</v>
      </c>
      <c r="F2629" s="90" t="s">
        <v>859</v>
      </c>
      <c r="G2629" s="137">
        <v>1</v>
      </c>
      <c r="H2629" s="94">
        <v>90</v>
      </c>
      <c r="I2629" s="91">
        <v>46016</v>
      </c>
      <c r="J2629" s="165">
        <v>0.53749999999999998</v>
      </c>
      <c r="K2629" s="94">
        <v>90</v>
      </c>
      <c r="L2629" s="72" t="str">
        <f t="shared" si="41"/>
        <v>Payé</v>
      </c>
    </row>
    <row r="2630" spans="1:12" ht="15" customHeight="1" x14ac:dyDescent="0.25">
      <c r="A2630" s="90" t="s">
        <v>859</v>
      </c>
      <c r="B2630" s="90">
        <v>10230</v>
      </c>
      <c r="C2630" s="88" t="s">
        <v>1405</v>
      </c>
      <c r="D2630" s="90" t="s">
        <v>17</v>
      </c>
      <c r="E2630" s="90" t="s">
        <v>1416</v>
      </c>
      <c r="F2630" s="90" t="s">
        <v>859</v>
      </c>
      <c r="G2630" s="137">
        <v>1</v>
      </c>
      <c r="H2630" s="94">
        <v>90</v>
      </c>
      <c r="I2630" s="91">
        <v>46016</v>
      </c>
      <c r="J2630" s="165">
        <v>0.53749999999999998</v>
      </c>
      <c r="K2630" s="94">
        <v>90</v>
      </c>
      <c r="L2630" s="72" t="str">
        <f t="shared" si="41"/>
        <v>Payé</v>
      </c>
    </row>
    <row r="2631" spans="1:12" ht="18" x14ac:dyDescent="0.25">
      <c r="A2631" s="90" t="s">
        <v>859</v>
      </c>
      <c r="B2631" s="90">
        <v>6</v>
      </c>
      <c r="C2631" s="88" t="s">
        <v>542</v>
      </c>
      <c r="D2631" s="90" t="s">
        <v>17</v>
      </c>
      <c r="E2631" s="90" t="s">
        <v>107</v>
      </c>
      <c r="F2631" s="90" t="s">
        <v>859</v>
      </c>
      <c r="G2631" s="137">
        <v>2</v>
      </c>
      <c r="H2631" s="94">
        <v>191</v>
      </c>
      <c r="I2631" s="91">
        <v>46017</v>
      </c>
      <c r="J2631" s="165">
        <v>0.60069444444444442</v>
      </c>
      <c r="K2631" s="94">
        <v>191</v>
      </c>
      <c r="L2631" s="72" t="str">
        <f t="shared" si="41"/>
        <v>Payé</v>
      </c>
    </row>
    <row r="2632" spans="1:12" ht="15" customHeight="1" x14ac:dyDescent="0.25">
      <c r="A2632" s="90" t="s">
        <v>859</v>
      </c>
      <c r="B2632" s="90">
        <v>95</v>
      </c>
      <c r="C2632" s="88" t="s">
        <v>408</v>
      </c>
      <c r="D2632" s="90" t="s">
        <v>17</v>
      </c>
      <c r="E2632" s="90" t="s">
        <v>107</v>
      </c>
      <c r="F2632" s="90" t="s">
        <v>859</v>
      </c>
      <c r="G2632" s="137">
        <v>2</v>
      </c>
      <c r="H2632" s="94">
        <v>182</v>
      </c>
      <c r="I2632" s="91">
        <v>46018</v>
      </c>
      <c r="J2632" s="165">
        <v>0.46736111111111112</v>
      </c>
      <c r="K2632" s="94">
        <v>182</v>
      </c>
      <c r="L2632" s="72" t="str">
        <f t="shared" si="41"/>
        <v>Payé</v>
      </c>
    </row>
    <row r="2633" spans="1:12" ht="15" customHeight="1" x14ac:dyDescent="0.25">
      <c r="A2633" s="90" t="s">
        <v>859</v>
      </c>
      <c r="B2633" s="90">
        <v>102</v>
      </c>
      <c r="C2633" s="88" t="s">
        <v>594</v>
      </c>
      <c r="D2633" s="90" t="s">
        <v>17</v>
      </c>
      <c r="E2633" s="90" t="s">
        <v>81</v>
      </c>
      <c r="F2633" s="90" t="s">
        <v>859</v>
      </c>
      <c r="G2633" s="137">
        <v>2</v>
      </c>
      <c r="H2633" s="94">
        <v>191</v>
      </c>
      <c r="I2633" s="91">
        <v>46014</v>
      </c>
      <c r="J2633" s="165">
        <v>0.71388888888888891</v>
      </c>
      <c r="K2633" s="94">
        <v>191</v>
      </c>
      <c r="L2633" s="72" t="str">
        <f t="shared" si="41"/>
        <v>Payé</v>
      </c>
    </row>
    <row r="2634" spans="1:12" ht="15" customHeight="1" x14ac:dyDescent="0.25">
      <c r="A2634" s="90" t="s">
        <v>859</v>
      </c>
      <c r="B2634" s="90">
        <v>198</v>
      </c>
      <c r="C2634" s="88" t="s">
        <v>380</v>
      </c>
      <c r="D2634" s="90" t="s">
        <v>17</v>
      </c>
      <c r="E2634" s="90" t="s">
        <v>107</v>
      </c>
      <c r="F2634" s="90" t="s">
        <v>859</v>
      </c>
      <c r="G2634" s="137">
        <v>2</v>
      </c>
      <c r="H2634" s="94">
        <v>191</v>
      </c>
      <c r="I2634" s="91">
        <v>46031</v>
      </c>
      <c r="J2634" s="165">
        <v>0.60069444444444442</v>
      </c>
      <c r="K2634" s="94">
        <v>191</v>
      </c>
      <c r="L2634" s="72" t="str">
        <f t="shared" si="41"/>
        <v>Payé</v>
      </c>
    </row>
    <row r="2635" spans="1:12" ht="15" customHeight="1" x14ac:dyDescent="0.25">
      <c r="A2635" s="90" t="s">
        <v>859</v>
      </c>
      <c r="B2635" s="90">
        <v>994</v>
      </c>
      <c r="C2635" s="88" t="s">
        <v>381</v>
      </c>
      <c r="D2635" s="90" t="s">
        <v>17</v>
      </c>
      <c r="E2635" s="90" t="s">
        <v>370</v>
      </c>
      <c r="F2635" s="90" t="s">
        <v>859</v>
      </c>
      <c r="G2635" s="137">
        <v>2</v>
      </c>
      <c r="H2635" s="94">
        <v>182</v>
      </c>
      <c r="I2635" s="91">
        <v>46015</v>
      </c>
      <c r="J2635" s="165">
        <v>0.42152777777777778</v>
      </c>
      <c r="K2635" s="94">
        <v>182</v>
      </c>
      <c r="L2635" s="72" t="str">
        <f t="shared" si="41"/>
        <v>Payé</v>
      </c>
    </row>
    <row r="2636" spans="1:12" ht="15" customHeight="1" x14ac:dyDescent="0.25">
      <c r="A2636" s="90" t="s">
        <v>859</v>
      </c>
      <c r="B2636" s="90">
        <v>5348</v>
      </c>
      <c r="C2636" s="88" t="s">
        <v>1083</v>
      </c>
      <c r="D2636" s="90" t="s">
        <v>17</v>
      </c>
      <c r="E2636" s="90" t="s">
        <v>370</v>
      </c>
      <c r="F2636" s="90" t="s">
        <v>859</v>
      </c>
      <c r="G2636" s="137">
        <v>2</v>
      </c>
      <c r="H2636" s="94">
        <v>173</v>
      </c>
      <c r="I2636" s="91">
        <v>46015</v>
      </c>
      <c r="J2636" s="165">
        <v>0.42152777777777778</v>
      </c>
      <c r="K2636" s="94">
        <v>173</v>
      </c>
      <c r="L2636" s="72" t="str">
        <f t="shared" si="41"/>
        <v>Payé</v>
      </c>
    </row>
    <row r="2637" spans="1:12" ht="15" customHeight="1" x14ac:dyDescent="0.25">
      <c r="A2637" s="90" t="s">
        <v>859</v>
      </c>
      <c r="B2637" s="90">
        <v>1723</v>
      </c>
      <c r="C2637" s="88" t="s">
        <v>395</v>
      </c>
      <c r="D2637" s="90" t="s">
        <v>17</v>
      </c>
      <c r="E2637" s="90" t="s">
        <v>123</v>
      </c>
      <c r="F2637" s="90" t="s">
        <v>859</v>
      </c>
      <c r="G2637" s="137">
        <v>2</v>
      </c>
      <c r="H2637" s="94">
        <v>182</v>
      </c>
      <c r="I2637" s="91">
        <v>46034</v>
      </c>
      <c r="J2637" s="165">
        <v>0.64583333333333337</v>
      </c>
      <c r="K2637" s="94">
        <v>182</v>
      </c>
      <c r="L2637" s="72" t="str">
        <f t="shared" si="41"/>
        <v>Payé</v>
      </c>
    </row>
    <row r="2638" spans="1:12" ht="15" customHeight="1" x14ac:dyDescent="0.25">
      <c r="A2638" s="90" t="s">
        <v>859</v>
      </c>
      <c r="B2638" s="90">
        <v>366</v>
      </c>
      <c r="C2638" s="88" t="s">
        <v>1357</v>
      </c>
      <c r="D2638" s="90" t="s">
        <v>17</v>
      </c>
      <c r="E2638" s="90" t="s">
        <v>628</v>
      </c>
      <c r="F2638" s="90" t="s">
        <v>859</v>
      </c>
      <c r="G2638" s="137">
        <v>2</v>
      </c>
      <c r="H2638" s="94">
        <v>182</v>
      </c>
      <c r="I2638" s="91">
        <v>46015</v>
      </c>
      <c r="J2638" s="165">
        <v>0.57152777777777775</v>
      </c>
      <c r="K2638" s="94">
        <v>182</v>
      </c>
      <c r="L2638" s="72" t="str">
        <f t="shared" si="41"/>
        <v>Payé</v>
      </c>
    </row>
    <row r="2639" spans="1:12" ht="15" customHeight="1" x14ac:dyDescent="0.25">
      <c r="A2639" s="90" t="s">
        <v>859</v>
      </c>
      <c r="B2639" s="90">
        <v>3351</v>
      </c>
      <c r="C2639" s="88" t="s">
        <v>617</v>
      </c>
      <c r="D2639" s="90" t="s">
        <v>17</v>
      </c>
      <c r="E2639" s="90" t="s">
        <v>107</v>
      </c>
      <c r="F2639" s="90" t="s">
        <v>859</v>
      </c>
      <c r="G2639" s="137">
        <v>1</v>
      </c>
      <c r="H2639" s="94">
        <v>91</v>
      </c>
      <c r="I2639" s="91">
        <v>46045</v>
      </c>
      <c r="J2639" s="165">
        <v>0.4993055555555555</v>
      </c>
      <c r="K2639" s="94">
        <v>91</v>
      </c>
      <c r="L2639" s="72" t="str">
        <f t="shared" si="41"/>
        <v>Payé</v>
      </c>
    </row>
    <row r="2640" spans="1:12" ht="15" customHeight="1" x14ac:dyDescent="0.25">
      <c r="A2640" s="90" t="s">
        <v>859</v>
      </c>
      <c r="B2640" s="90">
        <v>3398</v>
      </c>
      <c r="C2640" s="88" t="s">
        <v>557</v>
      </c>
      <c r="D2640" s="90" t="s">
        <v>17</v>
      </c>
      <c r="E2640" s="90" t="s">
        <v>420</v>
      </c>
      <c r="F2640" s="90" t="s">
        <v>859</v>
      </c>
      <c r="G2640" s="137">
        <v>1</v>
      </c>
      <c r="H2640" s="94">
        <v>87</v>
      </c>
      <c r="I2640" s="91">
        <v>46014</v>
      </c>
      <c r="J2640" s="165">
        <v>0.61944444444444446</v>
      </c>
      <c r="K2640" s="94">
        <v>87</v>
      </c>
      <c r="L2640" s="72" t="str">
        <f t="shared" si="41"/>
        <v>Payé</v>
      </c>
    </row>
    <row r="2641" spans="1:12" ht="15" customHeight="1" x14ac:dyDescent="0.25">
      <c r="A2641" s="90" t="s">
        <v>859</v>
      </c>
      <c r="B2641" s="90">
        <v>1505</v>
      </c>
      <c r="C2641" s="88" t="s">
        <v>383</v>
      </c>
      <c r="D2641" s="90" t="s">
        <v>17</v>
      </c>
      <c r="E2641" s="90" t="s">
        <v>1187</v>
      </c>
      <c r="F2641" s="90" t="s">
        <v>859</v>
      </c>
      <c r="G2641" s="137">
        <v>11</v>
      </c>
      <c r="H2641" s="94">
        <v>990</v>
      </c>
      <c r="I2641" s="91">
        <v>46014</v>
      </c>
      <c r="J2641" s="165">
        <v>0.66041666666666665</v>
      </c>
      <c r="K2641" s="94">
        <v>990</v>
      </c>
      <c r="L2641" s="72" t="str">
        <f t="shared" si="41"/>
        <v>Payé</v>
      </c>
    </row>
    <row r="2642" spans="1:12" ht="15" customHeight="1" x14ac:dyDescent="0.25">
      <c r="A2642" s="90" t="s">
        <v>859</v>
      </c>
      <c r="B2642" s="90">
        <v>3439</v>
      </c>
      <c r="C2642" s="88" t="s">
        <v>875</v>
      </c>
      <c r="D2642" s="90" t="s">
        <v>17</v>
      </c>
      <c r="E2642" s="90" t="s">
        <v>49</v>
      </c>
      <c r="F2642" s="90" t="s">
        <v>859</v>
      </c>
      <c r="G2642" s="137">
        <v>9</v>
      </c>
      <c r="H2642" s="94">
        <v>810</v>
      </c>
      <c r="I2642" s="91">
        <v>46015</v>
      </c>
      <c r="J2642" s="165">
        <v>0.62361111111111112</v>
      </c>
      <c r="K2642" s="94">
        <v>810</v>
      </c>
      <c r="L2642" s="72" t="str">
        <f t="shared" si="41"/>
        <v>Payé</v>
      </c>
    </row>
    <row r="2643" spans="1:12" ht="15" customHeight="1" x14ac:dyDescent="0.25">
      <c r="A2643" s="90" t="s">
        <v>859</v>
      </c>
      <c r="B2643" s="90"/>
      <c r="C2643" s="88" t="s">
        <v>585</v>
      </c>
      <c r="D2643" s="89" t="s">
        <v>910</v>
      </c>
      <c r="E2643" s="90" t="s">
        <v>123</v>
      </c>
      <c r="F2643" s="90" t="s">
        <v>859</v>
      </c>
      <c r="G2643" s="95">
        <v>144</v>
      </c>
      <c r="H2643" s="92">
        <v>4320</v>
      </c>
      <c r="I2643" s="91">
        <v>46031</v>
      </c>
      <c r="J2643" s="165">
        <v>0.50347222222222221</v>
      </c>
      <c r="K2643" s="92">
        <v>4320</v>
      </c>
      <c r="L2643" s="72" t="str">
        <f t="shared" si="41"/>
        <v>Payé</v>
      </c>
    </row>
    <row r="2644" spans="1:12" ht="15" customHeight="1" x14ac:dyDescent="0.25">
      <c r="A2644" s="90" t="s">
        <v>859</v>
      </c>
      <c r="B2644" s="90"/>
      <c r="C2644" s="88" t="s">
        <v>406</v>
      </c>
      <c r="D2644" s="89" t="s">
        <v>910</v>
      </c>
      <c r="E2644" s="90" t="s">
        <v>1191</v>
      </c>
      <c r="F2644" s="90" t="s">
        <v>859</v>
      </c>
      <c r="G2644" s="95">
        <v>80</v>
      </c>
      <c r="H2644" s="92">
        <v>2400</v>
      </c>
      <c r="I2644" s="91">
        <v>46017</v>
      </c>
      <c r="J2644" s="165">
        <v>0.3833333333333333</v>
      </c>
      <c r="K2644" s="92">
        <v>2400</v>
      </c>
      <c r="L2644" s="72" t="str">
        <f t="shared" si="41"/>
        <v>Payé</v>
      </c>
    </row>
    <row r="2645" spans="1:12" ht="15" customHeight="1" x14ac:dyDescent="0.25">
      <c r="A2645" s="90" t="s">
        <v>858</v>
      </c>
      <c r="B2645" s="90">
        <v>10303</v>
      </c>
      <c r="C2645" s="88" t="s">
        <v>1413</v>
      </c>
      <c r="D2645" s="90" t="s">
        <v>17</v>
      </c>
      <c r="E2645" s="90" t="s">
        <v>649</v>
      </c>
      <c r="F2645" s="90" t="s">
        <v>858</v>
      </c>
      <c r="G2645" s="137">
        <v>1</v>
      </c>
      <c r="H2645" s="94">
        <v>90</v>
      </c>
      <c r="I2645" s="91">
        <v>46000</v>
      </c>
      <c r="J2645" s="165">
        <v>0.72152777777777777</v>
      </c>
      <c r="K2645" s="94">
        <v>90</v>
      </c>
      <c r="L2645" s="72" t="str">
        <f t="shared" si="41"/>
        <v>Payé</v>
      </c>
    </row>
    <row r="2646" spans="1:12" ht="15" customHeight="1" x14ac:dyDescent="0.25">
      <c r="A2646" s="90" t="s">
        <v>859</v>
      </c>
      <c r="B2646" s="90"/>
      <c r="C2646" s="88" t="s">
        <v>630</v>
      </c>
      <c r="D2646" s="89" t="s">
        <v>910</v>
      </c>
      <c r="E2646" s="90" t="s">
        <v>1047</v>
      </c>
      <c r="F2646" s="90" t="s">
        <v>859</v>
      </c>
      <c r="G2646" s="95">
        <v>244</v>
      </c>
      <c r="H2646" s="92">
        <v>7320</v>
      </c>
      <c r="I2646" s="91">
        <v>46015</v>
      </c>
      <c r="J2646" s="165">
        <v>0.57291666666666663</v>
      </c>
      <c r="K2646" s="92">
        <v>7320</v>
      </c>
      <c r="L2646" s="72" t="str">
        <f t="shared" si="41"/>
        <v>Payé</v>
      </c>
    </row>
    <row r="2647" spans="1:12" ht="15" customHeight="1" x14ac:dyDescent="0.25">
      <c r="A2647" s="90" t="s">
        <v>859</v>
      </c>
      <c r="B2647" s="90"/>
      <c r="C2647" s="88" t="s">
        <v>719</v>
      </c>
      <c r="D2647" s="89" t="s">
        <v>910</v>
      </c>
      <c r="E2647" s="90" t="s">
        <v>1349</v>
      </c>
      <c r="F2647" s="90" t="s">
        <v>859</v>
      </c>
      <c r="G2647" s="95">
        <v>241</v>
      </c>
      <c r="H2647" s="92">
        <v>7230</v>
      </c>
      <c r="I2647" s="91">
        <v>46015</v>
      </c>
      <c r="J2647" s="165">
        <v>0.55208333333333337</v>
      </c>
      <c r="K2647" s="92">
        <v>7230</v>
      </c>
      <c r="L2647" s="72" t="str">
        <f t="shared" si="41"/>
        <v>Payé</v>
      </c>
    </row>
    <row r="2648" spans="1:12" ht="15" customHeight="1" x14ac:dyDescent="0.25">
      <c r="A2648" s="90" t="s">
        <v>859</v>
      </c>
      <c r="B2648" s="90"/>
      <c r="C2648" s="88" t="s">
        <v>1190</v>
      </c>
      <c r="D2648" s="89" t="s">
        <v>910</v>
      </c>
      <c r="E2648" s="90" t="s">
        <v>1350</v>
      </c>
      <c r="F2648" s="90" t="s">
        <v>859</v>
      </c>
      <c r="G2648" s="95">
        <v>207</v>
      </c>
      <c r="H2648" s="92">
        <v>6210</v>
      </c>
      <c r="I2648" s="91">
        <v>46014</v>
      </c>
      <c r="J2648" s="165">
        <v>0.66041666666666665</v>
      </c>
      <c r="K2648" s="92">
        <v>6210</v>
      </c>
      <c r="L2648" s="72" t="str">
        <f t="shared" si="41"/>
        <v>Payé</v>
      </c>
    </row>
    <row r="2649" spans="1:12" ht="15" customHeight="1" x14ac:dyDescent="0.25">
      <c r="A2649" s="90" t="s">
        <v>859</v>
      </c>
      <c r="B2649" s="90"/>
      <c r="C2649" s="88" t="s">
        <v>1347</v>
      </c>
      <c r="D2649" s="89" t="s">
        <v>910</v>
      </c>
      <c r="E2649" s="90" t="s">
        <v>667</v>
      </c>
      <c r="F2649" s="90" t="s">
        <v>859</v>
      </c>
      <c r="G2649" s="95">
        <v>292</v>
      </c>
      <c r="H2649" s="92">
        <v>8760</v>
      </c>
      <c r="I2649" s="91">
        <v>46014</v>
      </c>
      <c r="J2649" s="165">
        <v>0.6972222222222223</v>
      </c>
      <c r="K2649" s="92">
        <v>8760</v>
      </c>
      <c r="L2649" s="72" t="str">
        <f t="shared" si="41"/>
        <v>Payé</v>
      </c>
    </row>
    <row r="2650" spans="1:12" ht="15" customHeight="1" x14ac:dyDescent="0.25">
      <c r="A2650" s="90" t="s">
        <v>859</v>
      </c>
      <c r="B2650" s="90"/>
      <c r="C2650" s="88" t="s">
        <v>1528</v>
      </c>
      <c r="D2650" s="89" t="s">
        <v>910</v>
      </c>
      <c r="E2650" s="90" t="s">
        <v>1522</v>
      </c>
      <c r="F2650" s="90" t="s">
        <v>859</v>
      </c>
      <c r="G2650" s="95">
        <v>23</v>
      </c>
      <c r="H2650" s="92">
        <v>690</v>
      </c>
      <c r="I2650" s="91">
        <v>46015</v>
      </c>
      <c r="J2650" s="165">
        <v>0.61458333333333337</v>
      </c>
      <c r="K2650" s="92">
        <v>690</v>
      </c>
      <c r="L2650" s="72" t="str">
        <f t="shared" si="41"/>
        <v>Payé</v>
      </c>
    </row>
    <row r="2651" spans="1:12" ht="15" customHeight="1" x14ac:dyDescent="0.25">
      <c r="A2651" s="90" t="s">
        <v>859</v>
      </c>
      <c r="B2651" s="90"/>
      <c r="C2651" s="88" t="s">
        <v>1189</v>
      </c>
      <c r="D2651" s="89" t="s">
        <v>910</v>
      </c>
      <c r="E2651" s="90" t="s">
        <v>49</v>
      </c>
      <c r="F2651" s="90" t="s">
        <v>859</v>
      </c>
      <c r="G2651" s="95">
        <v>165</v>
      </c>
      <c r="H2651" s="92">
        <v>4950</v>
      </c>
      <c r="I2651" s="91">
        <v>46015</v>
      </c>
      <c r="J2651" s="165">
        <v>0.61458333333333337</v>
      </c>
      <c r="K2651" s="92">
        <v>4950</v>
      </c>
      <c r="L2651" s="72" t="str">
        <f t="shared" si="41"/>
        <v>Payé</v>
      </c>
    </row>
    <row r="2652" spans="1:12" ht="15" customHeight="1" x14ac:dyDescent="0.25">
      <c r="A2652" s="90" t="s">
        <v>859</v>
      </c>
      <c r="B2652" s="90"/>
      <c r="C2652" s="88" t="s">
        <v>1529</v>
      </c>
      <c r="D2652" s="89" t="s">
        <v>910</v>
      </c>
      <c r="E2652" s="90" t="s">
        <v>254</v>
      </c>
      <c r="F2652" s="90" t="s">
        <v>859</v>
      </c>
      <c r="G2652" s="95">
        <v>145</v>
      </c>
      <c r="H2652" s="92">
        <v>4350</v>
      </c>
      <c r="I2652" s="91">
        <v>46015</v>
      </c>
      <c r="J2652" s="165">
        <v>0.59513888888888888</v>
      </c>
      <c r="K2652" s="92">
        <v>4350</v>
      </c>
      <c r="L2652" s="72" t="str">
        <f t="shared" si="41"/>
        <v>Payé</v>
      </c>
    </row>
    <row r="2653" spans="1:12" ht="15" customHeight="1" x14ac:dyDescent="0.25">
      <c r="A2653" s="90" t="s">
        <v>859</v>
      </c>
      <c r="B2653" s="90"/>
      <c r="C2653" s="88" t="s">
        <v>1530</v>
      </c>
      <c r="D2653" s="89" t="s">
        <v>910</v>
      </c>
      <c r="E2653" s="90" t="s">
        <v>1523</v>
      </c>
      <c r="F2653" s="90" t="s">
        <v>859</v>
      </c>
      <c r="G2653" s="95">
        <v>23</v>
      </c>
      <c r="H2653" s="92">
        <v>805</v>
      </c>
      <c r="I2653" s="91">
        <v>46015</v>
      </c>
      <c r="J2653" s="165">
        <v>0.54513888888888895</v>
      </c>
      <c r="K2653" s="92">
        <v>805</v>
      </c>
      <c r="L2653" s="72" t="str">
        <f t="shared" si="41"/>
        <v>Payé</v>
      </c>
    </row>
    <row r="2654" spans="1:12" ht="15" customHeight="1" x14ac:dyDescent="0.25">
      <c r="A2654" s="90" t="s">
        <v>859</v>
      </c>
      <c r="B2654" s="90"/>
      <c r="C2654" s="88" t="s">
        <v>1531</v>
      </c>
      <c r="D2654" s="89" t="s">
        <v>910</v>
      </c>
      <c r="E2654" s="90" t="s">
        <v>1526</v>
      </c>
      <c r="F2654" s="90" t="s">
        <v>859</v>
      </c>
      <c r="G2654" s="95">
        <v>2.5</v>
      </c>
      <c r="H2654" s="92">
        <v>75</v>
      </c>
      <c r="I2654" s="91"/>
      <c r="J2654" s="165"/>
      <c r="K2654" s="92"/>
      <c r="L2654" s="72" t="str">
        <f t="shared" ref="L2654:L2717" si="42">IF(ISBLANK(H2654),"",IF(H2654=K2654,"Payé","Impayé"))</f>
        <v>Impayé</v>
      </c>
    </row>
    <row r="2655" spans="1:12" ht="15" customHeight="1" x14ac:dyDescent="0.25">
      <c r="A2655" s="90" t="s">
        <v>859</v>
      </c>
      <c r="B2655" s="90"/>
      <c r="C2655" s="88" t="s">
        <v>1532</v>
      </c>
      <c r="D2655" s="89" t="s">
        <v>910</v>
      </c>
      <c r="E2655" s="90" t="s">
        <v>1527</v>
      </c>
      <c r="F2655" s="90" t="s">
        <v>859</v>
      </c>
      <c r="G2655" s="95">
        <v>62</v>
      </c>
      <c r="H2655" s="92">
        <v>1860</v>
      </c>
      <c r="I2655" s="91">
        <v>46015</v>
      </c>
      <c r="J2655" s="165">
        <v>0.63611111111111118</v>
      </c>
      <c r="K2655" s="92">
        <v>1860</v>
      </c>
      <c r="L2655" s="72" t="str">
        <f t="shared" si="42"/>
        <v>Payé</v>
      </c>
    </row>
    <row r="2656" spans="1:12" ht="15" customHeight="1" x14ac:dyDescent="0.25">
      <c r="A2656" s="90" t="s">
        <v>859</v>
      </c>
      <c r="B2656" s="90"/>
      <c r="C2656" s="88" t="s">
        <v>1533</v>
      </c>
      <c r="D2656" s="89" t="s">
        <v>910</v>
      </c>
      <c r="E2656" s="90" t="s">
        <v>1416</v>
      </c>
      <c r="F2656" s="90" t="s">
        <v>859</v>
      </c>
      <c r="G2656" s="95">
        <v>11</v>
      </c>
      <c r="H2656" s="92">
        <v>330</v>
      </c>
      <c r="I2656" s="91">
        <v>46016</v>
      </c>
      <c r="J2656" s="165">
        <v>0.53749999999999998</v>
      </c>
      <c r="K2656" s="92">
        <v>330</v>
      </c>
      <c r="L2656" s="72" t="str">
        <f t="shared" si="42"/>
        <v>Payé</v>
      </c>
    </row>
    <row r="2657" spans="1:12" ht="18" x14ac:dyDescent="0.25">
      <c r="A2657" s="90" t="s">
        <v>859</v>
      </c>
      <c r="B2657" s="90"/>
      <c r="C2657" s="88" t="s">
        <v>1195</v>
      </c>
      <c r="D2657" s="89" t="s">
        <v>912</v>
      </c>
      <c r="E2657" s="90" t="s">
        <v>1534</v>
      </c>
      <c r="F2657" s="90" t="s">
        <v>859</v>
      </c>
      <c r="G2657" s="94">
        <v>3</v>
      </c>
      <c r="H2657" s="92">
        <v>1350</v>
      </c>
      <c r="I2657" s="91">
        <v>46015</v>
      </c>
      <c r="J2657" s="165">
        <v>0.61458333333333337</v>
      </c>
      <c r="K2657" s="92">
        <v>1350</v>
      </c>
      <c r="L2657" s="72" t="str">
        <f t="shared" si="42"/>
        <v>Payé</v>
      </c>
    </row>
    <row r="2658" spans="1:12" ht="18" x14ac:dyDescent="0.25">
      <c r="A2658" s="90" t="s">
        <v>859</v>
      </c>
      <c r="B2658" s="90"/>
      <c r="C2658" s="88" t="s">
        <v>1195</v>
      </c>
      <c r="D2658" s="89" t="s">
        <v>912</v>
      </c>
      <c r="E2658" s="90" t="s">
        <v>1534</v>
      </c>
      <c r="F2658" s="90" t="s">
        <v>859</v>
      </c>
      <c r="G2658" s="94">
        <v>2</v>
      </c>
      <c r="H2658" s="92">
        <v>900</v>
      </c>
      <c r="I2658" s="91">
        <v>46014</v>
      </c>
      <c r="J2658" s="165">
        <v>0.61041666666666672</v>
      </c>
      <c r="K2658" s="92">
        <v>900</v>
      </c>
      <c r="L2658" s="72" t="str">
        <f t="shared" si="42"/>
        <v>Payé</v>
      </c>
    </row>
    <row r="2659" spans="1:12" ht="18" x14ac:dyDescent="0.25">
      <c r="A2659" s="90" t="s">
        <v>859</v>
      </c>
      <c r="B2659" s="90"/>
      <c r="C2659" s="88" t="s">
        <v>1202</v>
      </c>
      <c r="D2659" s="89" t="s">
        <v>912</v>
      </c>
      <c r="E2659" s="90" t="s">
        <v>1534</v>
      </c>
      <c r="F2659" s="90" t="s">
        <v>859</v>
      </c>
      <c r="G2659" s="94">
        <v>38</v>
      </c>
      <c r="H2659" s="92">
        <v>9500</v>
      </c>
      <c r="I2659" s="91">
        <v>46014</v>
      </c>
      <c r="J2659" s="165">
        <v>0.61041666666666672</v>
      </c>
      <c r="K2659" s="92">
        <v>9500</v>
      </c>
      <c r="L2659" s="72" t="str">
        <f t="shared" si="42"/>
        <v>Payé</v>
      </c>
    </row>
    <row r="2660" spans="1:12" ht="18" x14ac:dyDescent="0.25">
      <c r="A2660" s="90" t="s">
        <v>859</v>
      </c>
      <c r="B2660" s="90"/>
      <c r="C2660" s="88" t="s">
        <v>1535</v>
      </c>
      <c r="D2660" s="89" t="s">
        <v>912</v>
      </c>
      <c r="E2660" s="90" t="s">
        <v>1534</v>
      </c>
      <c r="F2660" s="90" t="s">
        <v>859</v>
      </c>
      <c r="G2660" s="94">
        <v>27</v>
      </c>
      <c r="H2660" s="92">
        <v>10800</v>
      </c>
      <c r="I2660" s="91">
        <v>46017</v>
      </c>
      <c r="J2660" s="165">
        <v>0.52777777777777779</v>
      </c>
      <c r="K2660" s="92">
        <v>10800</v>
      </c>
      <c r="L2660" s="72" t="str">
        <f t="shared" si="42"/>
        <v>Payé</v>
      </c>
    </row>
    <row r="2661" spans="1:12" ht="18" x14ac:dyDescent="0.25">
      <c r="A2661" s="90" t="s">
        <v>859</v>
      </c>
      <c r="B2661" s="90"/>
      <c r="C2661" s="88" t="s">
        <v>1283</v>
      </c>
      <c r="D2661" s="89" t="s">
        <v>912</v>
      </c>
      <c r="E2661" s="90" t="s">
        <v>1283</v>
      </c>
      <c r="F2661" s="90" t="s">
        <v>859</v>
      </c>
      <c r="G2661" s="94">
        <v>2</v>
      </c>
      <c r="H2661" s="92">
        <v>300</v>
      </c>
      <c r="I2661" s="91">
        <v>46014</v>
      </c>
      <c r="J2661" s="165">
        <v>0.67152777777777783</v>
      </c>
      <c r="K2661" s="92">
        <v>300</v>
      </c>
      <c r="L2661" s="72" t="str">
        <f t="shared" si="42"/>
        <v>Payé</v>
      </c>
    </row>
    <row r="2662" spans="1:12" ht="18" x14ac:dyDescent="0.25">
      <c r="A2662" s="90" t="s">
        <v>859</v>
      </c>
      <c r="B2662" s="90"/>
      <c r="C2662" s="88" t="s">
        <v>1284</v>
      </c>
      <c r="D2662" s="89" t="s">
        <v>912</v>
      </c>
      <c r="E2662" s="90" t="s">
        <v>1284</v>
      </c>
      <c r="F2662" s="90" t="s">
        <v>859</v>
      </c>
      <c r="G2662" s="94">
        <v>15</v>
      </c>
      <c r="H2662" s="92">
        <v>7500</v>
      </c>
      <c r="I2662" s="91">
        <v>46021</v>
      </c>
      <c r="J2662" s="165">
        <v>0.64513888888888882</v>
      </c>
      <c r="K2662" s="92">
        <v>7500</v>
      </c>
      <c r="L2662" s="72" t="str">
        <f t="shared" si="42"/>
        <v>Payé</v>
      </c>
    </row>
    <row r="2663" spans="1:12" ht="18" x14ac:dyDescent="0.25">
      <c r="A2663" s="90" t="s">
        <v>860</v>
      </c>
      <c r="B2663" s="90">
        <v>6</v>
      </c>
      <c r="C2663" s="88" t="s">
        <v>542</v>
      </c>
      <c r="D2663" s="90" t="s">
        <v>17</v>
      </c>
      <c r="E2663" s="90" t="s">
        <v>368</v>
      </c>
      <c r="F2663" s="90" t="s">
        <v>860</v>
      </c>
      <c r="G2663" s="137">
        <v>3</v>
      </c>
      <c r="H2663" s="94">
        <v>286</v>
      </c>
      <c r="I2663" s="91">
        <v>46031</v>
      </c>
      <c r="J2663" s="165">
        <v>0.59930555555555554</v>
      </c>
      <c r="K2663" s="94">
        <v>286</v>
      </c>
      <c r="L2663" s="72" t="str">
        <f t="shared" si="42"/>
        <v>Payé</v>
      </c>
    </row>
    <row r="2664" spans="1:12" ht="18" x14ac:dyDescent="0.25">
      <c r="A2664" s="90" t="s">
        <v>860</v>
      </c>
      <c r="B2664" s="90">
        <v>41</v>
      </c>
      <c r="C2664" s="88" t="s">
        <v>407</v>
      </c>
      <c r="D2664" s="90" t="s">
        <v>17</v>
      </c>
      <c r="E2664" s="90" t="s">
        <v>370</v>
      </c>
      <c r="F2664" s="90" t="s">
        <v>860</v>
      </c>
      <c r="G2664" s="137">
        <v>1</v>
      </c>
      <c r="H2664" s="94">
        <v>95</v>
      </c>
      <c r="I2664" s="91">
        <v>46031</v>
      </c>
      <c r="J2664" s="165">
        <v>0.56111111111111112</v>
      </c>
      <c r="K2664" s="94">
        <v>95</v>
      </c>
      <c r="L2664" s="72" t="str">
        <f t="shared" si="42"/>
        <v>Payé</v>
      </c>
    </row>
    <row r="2665" spans="1:12" ht="18" x14ac:dyDescent="0.25">
      <c r="A2665" s="90" t="s">
        <v>860</v>
      </c>
      <c r="B2665" s="90">
        <v>95</v>
      </c>
      <c r="C2665" s="88" t="s">
        <v>408</v>
      </c>
      <c r="D2665" s="90" t="s">
        <v>17</v>
      </c>
      <c r="E2665" s="90" t="s">
        <v>103</v>
      </c>
      <c r="F2665" s="90" t="s">
        <v>860</v>
      </c>
      <c r="G2665" s="137">
        <v>2</v>
      </c>
      <c r="H2665" s="94">
        <v>182</v>
      </c>
      <c r="I2665" s="91">
        <v>46045</v>
      </c>
      <c r="J2665" s="165">
        <v>0.58750000000000002</v>
      </c>
      <c r="K2665" s="94">
        <v>182</v>
      </c>
      <c r="L2665" s="72" t="str">
        <f t="shared" si="42"/>
        <v>Payé</v>
      </c>
    </row>
    <row r="2666" spans="1:12" ht="18" x14ac:dyDescent="0.25">
      <c r="A2666" s="90" t="s">
        <v>860</v>
      </c>
      <c r="B2666" s="90">
        <v>102</v>
      </c>
      <c r="C2666" s="88" t="s">
        <v>594</v>
      </c>
      <c r="D2666" s="90" t="s">
        <v>17</v>
      </c>
      <c r="E2666" s="90" t="s">
        <v>81</v>
      </c>
      <c r="F2666" s="90" t="s">
        <v>860</v>
      </c>
      <c r="G2666" s="137">
        <v>3</v>
      </c>
      <c r="H2666" s="94">
        <v>286</v>
      </c>
      <c r="I2666" s="91">
        <v>46043</v>
      </c>
      <c r="J2666" s="165">
        <v>0.65833333333333333</v>
      </c>
      <c r="K2666" s="94">
        <v>286</v>
      </c>
      <c r="L2666" s="72" t="str">
        <f t="shared" si="42"/>
        <v>Payé</v>
      </c>
    </row>
    <row r="2667" spans="1:12" ht="18" x14ac:dyDescent="0.25">
      <c r="A2667" s="90" t="s">
        <v>860</v>
      </c>
      <c r="B2667" s="90">
        <v>179</v>
      </c>
      <c r="C2667" s="88" t="s">
        <v>596</v>
      </c>
      <c r="D2667" s="90" t="s">
        <v>17</v>
      </c>
      <c r="E2667" s="90" t="s">
        <v>81</v>
      </c>
      <c r="F2667" s="90" t="s">
        <v>860</v>
      </c>
      <c r="G2667" s="137">
        <v>1</v>
      </c>
      <c r="H2667" s="94">
        <v>91</v>
      </c>
      <c r="I2667" s="91">
        <v>46031</v>
      </c>
      <c r="J2667" s="165">
        <v>0.56527777777777777</v>
      </c>
      <c r="K2667" s="94">
        <v>91</v>
      </c>
      <c r="L2667" s="72" t="str">
        <f t="shared" si="42"/>
        <v>Payé</v>
      </c>
    </row>
    <row r="2668" spans="1:12" ht="18" x14ac:dyDescent="0.25">
      <c r="A2668" s="90" t="s">
        <v>860</v>
      </c>
      <c r="B2668" s="90">
        <v>190</v>
      </c>
      <c r="C2668" s="88" t="s">
        <v>597</v>
      </c>
      <c r="D2668" s="90" t="s">
        <v>17</v>
      </c>
      <c r="E2668" s="90" t="s">
        <v>81</v>
      </c>
      <c r="F2668" s="90" t="s">
        <v>860</v>
      </c>
      <c r="G2668" s="137">
        <v>1</v>
      </c>
      <c r="H2668" s="94">
        <v>95</v>
      </c>
      <c r="I2668" s="91">
        <v>46031</v>
      </c>
      <c r="J2668" s="165">
        <v>0.57638888888888895</v>
      </c>
      <c r="K2668" s="94">
        <v>95</v>
      </c>
      <c r="L2668" s="72" t="str">
        <f t="shared" si="42"/>
        <v>Payé</v>
      </c>
    </row>
    <row r="2669" spans="1:12" ht="18" x14ac:dyDescent="0.25">
      <c r="A2669" s="90" t="s">
        <v>860</v>
      </c>
      <c r="B2669" s="90">
        <v>191</v>
      </c>
      <c r="C2669" s="88" t="s">
        <v>545</v>
      </c>
      <c r="D2669" s="90" t="s">
        <v>17</v>
      </c>
      <c r="E2669" s="90" t="s">
        <v>103</v>
      </c>
      <c r="F2669" s="90" t="s">
        <v>860</v>
      </c>
      <c r="G2669" s="137">
        <v>1</v>
      </c>
      <c r="H2669" s="94">
        <v>95</v>
      </c>
      <c r="I2669" s="91">
        <v>46038</v>
      </c>
      <c r="J2669" s="165">
        <v>0.55902777777777779</v>
      </c>
      <c r="K2669" s="94">
        <v>95</v>
      </c>
      <c r="L2669" s="72" t="str">
        <f t="shared" si="42"/>
        <v>Payé</v>
      </c>
    </row>
    <row r="2670" spans="1:12" ht="18" x14ac:dyDescent="0.25">
      <c r="A2670" s="90" t="s">
        <v>860</v>
      </c>
      <c r="B2670" s="90">
        <v>193</v>
      </c>
      <c r="C2670" s="88" t="s">
        <v>598</v>
      </c>
      <c r="D2670" s="90" t="s">
        <v>17</v>
      </c>
      <c r="E2670" s="90" t="s">
        <v>420</v>
      </c>
      <c r="F2670" s="90" t="s">
        <v>860</v>
      </c>
      <c r="G2670" s="137">
        <v>2</v>
      </c>
      <c r="H2670" s="94">
        <v>191</v>
      </c>
      <c r="I2670" s="91">
        <v>46048</v>
      </c>
      <c r="J2670" s="165">
        <v>0.46458333333333335</v>
      </c>
      <c r="K2670" s="94">
        <v>191</v>
      </c>
      <c r="L2670" s="72" t="str">
        <f t="shared" si="42"/>
        <v>Payé</v>
      </c>
    </row>
    <row r="2671" spans="1:12" ht="18" x14ac:dyDescent="0.25">
      <c r="A2671" s="90" t="s">
        <v>860</v>
      </c>
      <c r="B2671" s="90">
        <v>198</v>
      </c>
      <c r="C2671" s="88" t="s">
        <v>380</v>
      </c>
      <c r="D2671" s="90" t="s">
        <v>17</v>
      </c>
      <c r="E2671" s="90" t="s">
        <v>369</v>
      </c>
      <c r="F2671" s="90" t="s">
        <v>860</v>
      </c>
      <c r="G2671" s="137">
        <v>3</v>
      </c>
      <c r="H2671" s="94">
        <v>286</v>
      </c>
      <c r="I2671" s="91">
        <v>46031</v>
      </c>
      <c r="J2671" s="165">
        <v>0.60069444444444442</v>
      </c>
      <c r="K2671" s="94">
        <v>286</v>
      </c>
      <c r="L2671" s="72" t="str">
        <f t="shared" si="42"/>
        <v>Payé</v>
      </c>
    </row>
    <row r="2672" spans="1:12" ht="18" x14ac:dyDescent="0.25">
      <c r="A2672" s="90" t="s">
        <v>860</v>
      </c>
      <c r="B2672" s="90">
        <v>348</v>
      </c>
      <c r="C2672" s="88" t="s">
        <v>951</v>
      </c>
      <c r="D2672" s="90" t="s">
        <v>17</v>
      </c>
      <c r="E2672" s="90" t="s">
        <v>123</v>
      </c>
      <c r="F2672" s="90" t="s">
        <v>860</v>
      </c>
      <c r="G2672" s="137">
        <v>2</v>
      </c>
      <c r="H2672" s="94">
        <v>191</v>
      </c>
      <c r="I2672" s="91">
        <v>46031</v>
      </c>
      <c r="J2672" s="165">
        <v>0.63958333333333328</v>
      </c>
      <c r="K2672" s="94">
        <v>191</v>
      </c>
      <c r="L2672" s="72" t="str">
        <f t="shared" si="42"/>
        <v>Payé</v>
      </c>
    </row>
    <row r="2673" spans="1:12" ht="18" x14ac:dyDescent="0.25">
      <c r="A2673" s="90" t="s">
        <v>860</v>
      </c>
      <c r="B2673" s="90">
        <v>564</v>
      </c>
      <c r="C2673" s="88" t="s">
        <v>294</v>
      </c>
      <c r="D2673" s="90" t="s">
        <v>17</v>
      </c>
      <c r="E2673" s="90" t="s">
        <v>123</v>
      </c>
      <c r="F2673" s="90" t="s">
        <v>860</v>
      </c>
      <c r="G2673" s="137">
        <v>4</v>
      </c>
      <c r="H2673" s="94">
        <v>360</v>
      </c>
      <c r="I2673" s="91">
        <v>46042</v>
      </c>
      <c r="J2673" s="165">
        <v>0.65277777777777779</v>
      </c>
      <c r="K2673" s="94">
        <v>360</v>
      </c>
      <c r="L2673" s="72" t="str">
        <f t="shared" si="42"/>
        <v>Payé</v>
      </c>
    </row>
    <row r="2674" spans="1:12" ht="18" x14ac:dyDescent="0.25">
      <c r="A2674" s="90" t="s">
        <v>860</v>
      </c>
      <c r="B2674" s="90">
        <v>649</v>
      </c>
      <c r="C2674" s="88" t="s">
        <v>715</v>
      </c>
      <c r="D2674" s="90" t="s">
        <v>17</v>
      </c>
      <c r="E2674" s="90" t="s">
        <v>1187</v>
      </c>
      <c r="F2674" s="90" t="s">
        <v>860</v>
      </c>
      <c r="G2674" s="137">
        <v>1</v>
      </c>
      <c r="H2674" s="94">
        <v>87</v>
      </c>
      <c r="I2674" s="188">
        <v>46077</v>
      </c>
      <c r="J2674" s="189">
        <v>0.60138888888888886</v>
      </c>
      <c r="K2674" s="94">
        <v>87</v>
      </c>
      <c r="L2674" s="72" t="str">
        <f t="shared" si="42"/>
        <v>Payé</v>
      </c>
    </row>
    <row r="2675" spans="1:12" ht="18" x14ac:dyDescent="0.25">
      <c r="A2675" s="90" t="s">
        <v>860</v>
      </c>
      <c r="B2675" s="90">
        <v>752</v>
      </c>
      <c r="C2675" s="88" t="s">
        <v>384</v>
      </c>
      <c r="D2675" s="90" t="s">
        <v>17</v>
      </c>
      <c r="E2675" s="90" t="s">
        <v>370</v>
      </c>
      <c r="F2675" s="90" t="s">
        <v>860</v>
      </c>
      <c r="G2675" s="137">
        <v>1</v>
      </c>
      <c r="H2675" s="94">
        <v>91</v>
      </c>
      <c r="I2675" s="91">
        <v>46031</v>
      </c>
      <c r="J2675" s="165">
        <v>0.56111111111111112</v>
      </c>
      <c r="K2675" s="94">
        <v>91</v>
      </c>
      <c r="L2675" s="72" t="str">
        <f t="shared" si="42"/>
        <v>Payé</v>
      </c>
    </row>
    <row r="2676" spans="1:12" ht="18" x14ac:dyDescent="0.25">
      <c r="A2676" s="90" t="s">
        <v>860</v>
      </c>
      <c r="B2676" s="90">
        <v>851</v>
      </c>
      <c r="C2676" s="88" t="s">
        <v>403</v>
      </c>
      <c r="D2676" s="90" t="s">
        <v>17</v>
      </c>
      <c r="E2676" s="90" t="s">
        <v>49</v>
      </c>
      <c r="F2676" s="90" t="s">
        <v>860</v>
      </c>
      <c r="G2676" s="137">
        <v>1</v>
      </c>
      <c r="H2676" s="94">
        <v>91</v>
      </c>
      <c r="I2676" s="91">
        <v>46031</v>
      </c>
      <c r="J2676" s="165">
        <v>0.62777777777777777</v>
      </c>
      <c r="K2676" s="94">
        <v>91</v>
      </c>
      <c r="L2676" s="72" t="str">
        <f t="shared" si="42"/>
        <v>Payé</v>
      </c>
    </row>
    <row r="2677" spans="1:12" ht="18" x14ac:dyDescent="0.25">
      <c r="A2677" s="90" t="s">
        <v>860</v>
      </c>
      <c r="B2677" s="90">
        <v>994</v>
      </c>
      <c r="C2677" s="88" t="s">
        <v>381</v>
      </c>
      <c r="D2677" s="90" t="s">
        <v>17</v>
      </c>
      <c r="E2677" s="90" t="s">
        <v>370</v>
      </c>
      <c r="F2677" s="90" t="s">
        <v>860</v>
      </c>
      <c r="G2677" s="137">
        <v>3</v>
      </c>
      <c r="H2677" s="94">
        <v>273</v>
      </c>
      <c r="I2677" s="91">
        <v>46031</v>
      </c>
      <c r="J2677" s="165">
        <v>0.45069444444444445</v>
      </c>
      <c r="K2677" s="94">
        <v>273</v>
      </c>
      <c r="L2677" s="72" t="str">
        <f t="shared" si="42"/>
        <v>Payé</v>
      </c>
    </row>
    <row r="2678" spans="1:12" ht="18" x14ac:dyDescent="0.25">
      <c r="A2678" s="90" t="s">
        <v>860</v>
      </c>
      <c r="B2678" s="90">
        <v>1041</v>
      </c>
      <c r="C2678" s="88" t="s">
        <v>387</v>
      </c>
      <c r="D2678" s="90" t="s">
        <v>17</v>
      </c>
      <c r="E2678" s="90" t="s">
        <v>368</v>
      </c>
      <c r="F2678" s="90" t="s">
        <v>860</v>
      </c>
      <c r="G2678" s="137">
        <v>1</v>
      </c>
      <c r="H2678" s="94">
        <v>91</v>
      </c>
      <c r="I2678" s="91"/>
      <c r="J2678" s="165"/>
      <c r="K2678" s="92"/>
      <c r="L2678" s="72" t="str">
        <f t="shared" si="42"/>
        <v>Impayé</v>
      </c>
    </row>
    <row r="2679" spans="1:12" ht="18" x14ac:dyDescent="0.25">
      <c r="A2679" s="90" t="s">
        <v>860</v>
      </c>
      <c r="B2679" s="90">
        <v>1377</v>
      </c>
      <c r="C2679" s="88" t="s">
        <v>683</v>
      </c>
      <c r="D2679" s="90" t="s">
        <v>17</v>
      </c>
      <c r="E2679" s="90" t="s">
        <v>1187</v>
      </c>
      <c r="F2679" s="90" t="s">
        <v>860</v>
      </c>
      <c r="G2679" s="137">
        <v>1</v>
      </c>
      <c r="H2679" s="94">
        <v>87</v>
      </c>
      <c r="I2679" s="188">
        <v>46077</v>
      </c>
      <c r="J2679" s="189">
        <v>0.60138888888888886</v>
      </c>
      <c r="K2679" s="94">
        <v>87</v>
      </c>
      <c r="L2679" s="72" t="str">
        <f t="shared" si="42"/>
        <v>Payé</v>
      </c>
    </row>
    <row r="2680" spans="1:12" ht="18" x14ac:dyDescent="0.25">
      <c r="A2680" s="90" t="s">
        <v>860</v>
      </c>
      <c r="B2680" s="90">
        <v>1384</v>
      </c>
      <c r="C2680" s="88" t="s">
        <v>633</v>
      </c>
      <c r="D2680" s="90" t="s">
        <v>17</v>
      </c>
      <c r="E2680" s="90" t="s">
        <v>1187</v>
      </c>
      <c r="F2680" s="90" t="s">
        <v>860</v>
      </c>
      <c r="G2680" s="137">
        <v>1</v>
      </c>
      <c r="H2680" s="94">
        <v>87</v>
      </c>
      <c r="I2680" s="188">
        <v>46077</v>
      </c>
      <c r="J2680" s="189">
        <v>0.60138888888888886</v>
      </c>
      <c r="K2680" s="94">
        <v>87</v>
      </c>
      <c r="L2680" s="72" t="str">
        <f t="shared" si="42"/>
        <v>Payé</v>
      </c>
    </row>
    <row r="2681" spans="1:12" ht="18" x14ac:dyDescent="0.25">
      <c r="A2681" s="90" t="s">
        <v>860</v>
      </c>
      <c r="B2681" s="90">
        <v>1387</v>
      </c>
      <c r="C2681" s="88" t="s">
        <v>634</v>
      </c>
      <c r="D2681" s="90" t="s">
        <v>17</v>
      </c>
      <c r="E2681" s="90" t="s">
        <v>1187</v>
      </c>
      <c r="F2681" s="90" t="s">
        <v>860</v>
      </c>
      <c r="G2681" s="137">
        <v>1</v>
      </c>
      <c r="H2681" s="94">
        <v>91</v>
      </c>
      <c r="I2681" s="91"/>
      <c r="J2681" s="165"/>
      <c r="K2681" s="92"/>
      <c r="L2681" s="72" t="str">
        <f t="shared" si="42"/>
        <v>Impayé</v>
      </c>
    </row>
    <row r="2682" spans="1:12" ht="18" x14ac:dyDescent="0.25">
      <c r="A2682" s="90" t="s">
        <v>860</v>
      </c>
      <c r="B2682" s="90">
        <v>1504</v>
      </c>
      <c r="C2682" s="88" t="s">
        <v>635</v>
      </c>
      <c r="D2682" s="90" t="s">
        <v>17</v>
      </c>
      <c r="E2682" s="90" t="s">
        <v>1187</v>
      </c>
      <c r="F2682" s="90" t="s">
        <v>860</v>
      </c>
      <c r="G2682" s="137">
        <v>1</v>
      </c>
      <c r="H2682" s="94">
        <v>91</v>
      </c>
      <c r="I2682" s="188">
        <v>46077</v>
      </c>
      <c r="J2682" s="189">
        <v>0.60138888888888886</v>
      </c>
      <c r="K2682" s="94">
        <v>91</v>
      </c>
      <c r="L2682" s="72" t="str">
        <f t="shared" si="42"/>
        <v>Payé</v>
      </c>
    </row>
    <row r="2683" spans="1:12" ht="18" x14ac:dyDescent="0.25">
      <c r="A2683" s="90" t="s">
        <v>860</v>
      </c>
      <c r="B2683" s="90">
        <v>1505</v>
      </c>
      <c r="C2683" s="88" t="s">
        <v>383</v>
      </c>
      <c r="D2683" s="90" t="s">
        <v>17</v>
      </c>
      <c r="E2683" s="90" t="s">
        <v>1187</v>
      </c>
      <c r="F2683" s="90" t="s">
        <v>860</v>
      </c>
      <c r="G2683" s="137">
        <v>13</v>
      </c>
      <c r="H2683" s="94">
        <v>1170</v>
      </c>
      <c r="I2683" s="91">
        <v>46032</v>
      </c>
      <c r="J2683" s="165">
        <v>0.49583333333333335</v>
      </c>
      <c r="K2683" s="94">
        <v>1170</v>
      </c>
      <c r="L2683" s="72" t="str">
        <f t="shared" si="42"/>
        <v>Payé</v>
      </c>
    </row>
    <row r="2684" spans="1:12" ht="18" x14ac:dyDescent="0.25">
      <c r="A2684" s="90" t="s">
        <v>860</v>
      </c>
      <c r="B2684" s="90">
        <v>1688</v>
      </c>
      <c r="C2684" s="88" t="s">
        <v>1114</v>
      </c>
      <c r="D2684" s="90" t="s">
        <v>17</v>
      </c>
      <c r="E2684" s="90" t="s">
        <v>254</v>
      </c>
      <c r="F2684" s="90" t="s">
        <v>860</v>
      </c>
      <c r="G2684" s="137">
        <v>4</v>
      </c>
      <c r="H2684" s="94">
        <v>360</v>
      </c>
      <c r="I2684" s="91">
        <v>46031</v>
      </c>
      <c r="J2684" s="165">
        <v>0.62361111111111112</v>
      </c>
      <c r="K2684" s="94">
        <v>360</v>
      </c>
      <c r="L2684" s="72" t="str">
        <f t="shared" si="42"/>
        <v>Payé</v>
      </c>
    </row>
    <row r="2685" spans="1:12" ht="18" x14ac:dyDescent="0.25">
      <c r="A2685" s="90" t="s">
        <v>860</v>
      </c>
      <c r="B2685" s="90">
        <v>2300</v>
      </c>
      <c r="C2685" s="88" t="s">
        <v>1115</v>
      </c>
      <c r="D2685" s="90" t="s">
        <v>17</v>
      </c>
      <c r="E2685" s="90" t="s">
        <v>103</v>
      </c>
      <c r="F2685" s="90" t="s">
        <v>860</v>
      </c>
      <c r="G2685" s="137">
        <v>14</v>
      </c>
      <c r="H2685" s="94">
        <v>1680</v>
      </c>
      <c r="I2685" s="91">
        <v>46031</v>
      </c>
      <c r="J2685" s="165">
        <v>0.5180555555555556</v>
      </c>
      <c r="K2685" s="94">
        <v>1680</v>
      </c>
      <c r="L2685" s="72" t="str">
        <f t="shared" si="42"/>
        <v>Payé</v>
      </c>
    </row>
    <row r="2686" spans="1:12" ht="18" x14ac:dyDescent="0.25">
      <c r="A2686" s="90" t="s">
        <v>860</v>
      </c>
      <c r="B2686" s="90">
        <v>2311</v>
      </c>
      <c r="C2686" s="88" t="s">
        <v>406</v>
      </c>
      <c r="D2686" s="90" t="s">
        <v>17</v>
      </c>
      <c r="E2686" s="90" t="s">
        <v>420</v>
      </c>
      <c r="F2686" s="90" t="s">
        <v>860</v>
      </c>
      <c r="G2686" s="137">
        <v>3</v>
      </c>
      <c r="H2686" s="94">
        <v>273</v>
      </c>
      <c r="I2686" s="91">
        <v>46031</v>
      </c>
      <c r="J2686" s="165">
        <v>0.56527777777777777</v>
      </c>
      <c r="K2686" s="94">
        <v>273</v>
      </c>
      <c r="L2686" s="72" t="str">
        <f t="shared" si="42"/>
        <v>Payé</v>
      </c>
    </row>
    <row r="2687" spans="1:12" ht="18" x14ac:dyDescent="0.25">
      <c r="A2687" s="90" t="s">
        <v>860</v>
      </c>
      <c r="B2687" s="90">
        <v>2321</v>
      </c>
      <c r="C2687" s="88" t="s">
        <v>969</v>
      </c>
      <c r="D2687" s="90" t="s">
        <v>17</v>
      </c>
      <c r="E2687" s="90" t="s">
        <v>103</v>
      </c>
      <c r="F2687" s="90" t="s">
        <v>860</v>
      </c>
      <c r="G2687" s="137">
        <v>2</v>
      </c>
      <c r="H2687" s="94">
        <v>173</v>
      </c>
      <c r="I2687" s="91">
        <v>46031</v>
      </c>
      <c r="J2687" s="165">
        <v>0.54097222222222219</v>
      </c>
      <c r="K2687" s="94">
        <v>173</v>
      </c>
      <c r="L2687" s="72" t="str">
        <f t="shared" si="42"/>
        <v>Payé</v>
      </c>
    </row>
    <row r="2688" spans="1:12" ht="18" x14ac:dyDescent="0.25">
      <c r="A2688" s="90" t="s">
        <v>860</v>
      </c>
      <c r="B2688" s="90">
        <v>2331</v>
      </c>
      <c r="C2688" s="88" t="s">
        <v>344</v>
      </c>
      <c r="D2688" s="90" t="s">
        <v>17</v>
      </c>
      <c r="E2688" s="90" t="s">
        <v>81</v>
      </c>
      <c r="F2688" s="90" t="s">
        <v>860</v>
      </c>
      <c r="G2688" s="137">
        <v>3</v>
      </c>
      <c r="H2688" s="94">
        <v>260</v>
      </c>
      <c r="I2688" s="91">
        <v>46031</v>
      </c>
      <c r="J2688" s="165">
        <v>0.51111111111111118</v>
      </c>
      <c r="K2688" s="94">
        <v>260</v>
      </c>
      <c r="L2688" s="72" t="str">
        <f t="shared" si="42"/>
        <v>Payé</v>
      </c>
    </row>
    <row r="2689" spans="1:13" ht="18" x14ac:dyDescent="0.25">
      <c r="A2689" s="90" t="s">
        <v>860</v>
      </c>
      <c r="B2689" s="90">
        <v>2403</v>
      </c>
      <c r="C2689" s="88" t="s">
        <v>1207</v>
      </c>
      <c r="D2689" s="90" t="s">
        <v>17</v>
      </c>
      <c r="E2689" s="90" t="s">
        <v>123</v>
      </c>
      <c r="F2689" s="90" t="s">
        <v>860</v>
      </c>
      <c r="G2689" s="137">
        <v>5.5</v>
      </c>
      <c r="H2689" s="94">
        <v>495</v>
      </c>
      <c r="I2689" s="91">
        <v>46036</v>
      </c>
      <c r="J2689" s="165">
        <v>0.57152777777777775</v>
      </c>
      <c r="K2689" s="94">
        <v>495</v>
      </c>
      <c r="L2689" s="72" t="str">
        <f t="shared" si="42"/>
        <v>Payé</v>
      </c>
    </row>
    <row r="2690" spans="1:13" ht="18" x14ac:dyDescent="0.25">
      <c r="A2690" s="90" t="s">
        <v>860</v>
      </c>
      <c r="B2690" s="90">
        <v>2514</v>
      </c>
      <c r="C2690" s="88" t="s">
        <v>644</v>
      </c>
      <c r="D2690" s="90" t="s">
        <v>17</v>
      </c>
      <c r="E2690" s="90" t="s">
        <v>1187</v>
      </c>
      <c r="F2690" s="90" t="s">
        <v>860</v>
      </c>
      <c r="G2690" s="137">
        <v>1</v>
      </c>
      <c r="H2690" s="94">
        <v>87</v>
      </c>
      <c r="I2690" s="188">
        <v>46077</v>
      </c>
      <c r="J2690" s="189">
        <v>0.60138888888888886</v>
      </c>
      <c r="K2690" s="94">
        <v>87</v>
      </c>
      <c r="L2690" s="72" t="str">
        <f t="shared" si="42"/>
        <v>Payé</v>
      </c>
    </row>
    <row r="2691" spans="1:13" ht="18" x14ac:dyDescent="0.25">
      <c r="A2691" s="90" t="s">
        <v>860</v>
      </c>
      <c r="B2691" s="90">
        <v>2577</v>
      </c>
      <c r="C2691" s="88" t="s">
        <v>637</v>
      </c>
      <c r="D2691" s="90" t="s">
        <v>17</v>
      </c>
      <c r="E2691" s="90" t="s">
        <v>1187</v>
      </c>
      <c r="F2691" s="90" t="s">
        <v>860</v>
      </c>
      <c r="G2691" s="137">
        <v>1</v>
      </c>
      <c r="H2691" s="94">
        <v>91</v>
      </c>
      <c r="I2691" s="188">
        <v>46077</v>
      </c>
      <c r="J2691" s="189">
        <v>0.60138888888888886</v>
      </c>
      <c r="K2691" s="94">
        <v>91</v>
      </c>
      <c r="L2691" s="72" t="str">
        <f t="shared" si="42"/>
        <v>Payé</v>
      </c>
    </row>
    <row r="2692" spans="1:13" ht="18" x14ac:dyDescent="0.25">
      <c r="A2692" s="90" t="s">
        <v>860</v>
      </c>
      <c r="B2692" s="90">
        <v>2580</v>
      </c>
      <c r="C2692" s="88" t="s">
        <v>972</v>
      </c>
      <c r="D2692" s="90" t="s">
        <v>17</v>
      </c>
      <c r="E2692" s="90" t="s">
        <v>254</v>
      </c>
      <c r="F2692" s="90" t="s">
        <v>860</v>
      </c>
      <c r="G2692" s="137">
        <v>3</v>
      </c>
      <c r="H2692" s="94">
        <v>270</v>
      </c>
      <c r="I2692" s="91">
        <v>46031</v>
      </c>
      <c r="J2692" s="165">
        <v>0.62430555555555556</v>
      </c>
      <c r="K2692" s="94">
        <v>270</v>
      </c>
      <c r="L2692" s="72" t="str">
        <f t="shared" si="42"/>
        <v>Payé</v>
      </c>
    </row>
    <row r="2693" spans="1:13" ht="18" x14ac:dyDescent="0.25">
      <c r="A2693" s="90" t="s">
        <v>860</v>
      </c>
      <c r="B2693" s="90">
        <v>2856</v>
      </c>
      <c r="C2693" s="88" t="s">
        <v>1288</v>
      </c>
      <c r="D2693" s="90" t="s">
        <v>17</v>
      </c>
      <c r="E2693" s="90" t="s">
        <v>123</v>
      </c>
      <c r="F2693" s="90" t="s">
        <v>860</v>
      </c>
      <c r="G2693" s="137">
        <v>4</v>
      </c>
      <c r="H2693" s="94">
        <v>370</v>
      </c>
      <c r="I2693" s="91">
        <v>46032</v>
      </c>
      <c r="J2693" s="165">
        <v>0.4777777777777778</v>
      </c>
      <c r="K2693" s="94">
        <v>370</v>
      </c>
      <c r="L2693" s="72" t="str">
        <f t="shared" si="42"/>
        <v>Payé</v>
      </c>
    </row>
    <row r="2694" spans="1:13" ht="18" x14ac:dyDescent="0.25">
      <c r="A2694" s="90" t="s">
        <v>860</v>
      </c>
      <c r="B2694" s="90">
        <v>2997</v>
      </c>
      <c r="C2694" s="88" t="s">
        <v>719</v>
      </c>
      <c r="D2694" s="90" t="s">
        <v>17</v>
      </c>
      <c r="E2694" s="90" t="s">
        <v>753</v>
      </c>
      <c r="F2694" s="90" t="s">
        <v>860</v>
      </c>
      <c r="G2694" s="137">
        <v>9</v>
      </c>
      <c r="H2694" s="94">
        <v>810</v>
      </c>
      <c r="I2694" s="91">
        <v>46030</v>
      </c>
      <c r="J2694" s="165">
        <v>0.71319444444444446</v>
      </c>
      <c r="K2694" s="94">
        <v>810</v>
      </c>
      <c r="L2694" s="72" t="str">
        <f t="shared" si="42"/>
        <v>Payé</v>
      </c>
    </row>
    <row r="2695" spans="1:13" ht="18" x14ac:dyDescent="0.25">
      <c r="A2695" s="90" t="s">
        <v>860</v>
      </c>
      <c r="B2695" s="90">
        <v>3015</v>
      </c>
      <c r="C2695" s="88" t="s">
        <v>1474</v>
      </c>
      <c r="D2695" s="90" t="s">
        <v>17</v>
      </c>
      <c r="E2695" s="90" t="s">
        <v>254</v>
      </c>
      <c r="F2695" s="90" t="s">
        <v>860</v>
      </c>
      <c r="G2695" s="137">
        <v>2</v>
      </c>
      <c r="H2695" s="94">
        <v>180</v>
      </c>
      <c r="I2695" s="91">
        <v>46030</v>
      </c>
      <c r="J2695" s="165">
        <v>0.71319444444444446</v>
      </c>
      <c r="K2695" s="94">
        <v>180</v>
      </c>
      <c r="L2695" s="72" t="str">
        <f t="shared" si="42"/>
        <v>Payé</v>
      </c>
    </row>
    <row r="2696" spans="1:13" ht="18" x14ac:dyDescent="0.25">
      <c r="A2696" s="90" t="s">
        <v>860</v>
      </c>
      <c r="B2696" s="90">
        <v>3020</v>
      </c>
      <c r="C2696" s="88" t="s">
        <v>693</v>
      </c>
      <c r="D2696" s="90" t="s">
        <v>17</v>
      </c>
      <c r="E2696" s="90" t="s">
        <v>649</v>
      </c>
      <c r="F2696" s="90" t="s">
        <v>860</v>
      </c>
      <c r="G2696" s="137">
        <v>2</v>
      </c>
      <c r="H2696" s="94">
        <v>180</v>
      </c>
      <c r="I2696" s="91">
        <v>46030</v>
      </c>
      <c r="J2696" s="165">
        <v>0.71319444444444446</v>
      </c>
      <c r="K2696" s="94">
        <v>180</v>
      </c>
      <c r="L2696" s="72" t="str">
        <f t="shared" si="42"/>
        <v>Payé</v>
      </c>
      <c r="M2696" s="74"/>
    </row>
    <row r="2697" spans="1:13" ht="18" x14ac:dyDescent="0.25">
      <c r="A2697" s="90" t="s">
        <v>860</v>
      </c>
      <c r="B2697" s="90">
        <v>3021</v>
      </c>
      <c r="C2697" s="88" t="s">
        <v>304</v>
      </c>
      <c r="D2697" s="90" t="s">
        <v>17</v>
      </c>
      <c r="E2697" s="90" t="s">
        <v>667</v>
      </c>
      <c r="F2697" s="90" t="s">
        <v>860</v>
      </c>
      <c r="G2697" s="137">
        <v>4</v>
      </c>
      <c r="H2697" s="94">
        <v>360</v>
      </c>
      <c r="I2697" s="91">
        <v>46032</v>
      </c>
      <c r="J2697" s="165">
        <v>0.51180555555555551</v>
      </c>
      <c r="K2697" s="94">
        <v>360</v>
      </c>
      <c r="L2697" s="72" t="str">
        <f t="shared" si="42"/>
        <v>Payé</v>
      </c>
      <c r="M2697" s="74"/>
    </row>
    <row r="2698" spans="1:13" ht="18" x14ac:dyDescent="0.25">
      <c r="A2698" s="90" t="s">
        <v>860</v>
      </c>
      <c r="B2698" s="90">
        <v>3068</v>
      </c>
      <c r="C2698" s="88" t="s">
        <v>1536</v>
      </c>
      <c r="D2698" s="90" t="s">
        <v>17</v>
      </c>
      <c r="E2698" s="90" t="s">
        <v>649</v>
      </c>
      <c r="F2698" s="90" t="s">
        <v>860</v>
      </c>
      <c r="G2698" s="137">
        <v>2</v>
      </c>
      <c r="H2698" s="94">
        <v>180</v>
      </c>
      <c r="I2698" s="91">
        <v>46030</v>
      </c>
      <c r="J2698" s="165">
        <v>0.71319444444444446</v>
      </c>
      <c r="K2698" s="94">
        <v>180</v>
      </c>
      <c r="L2698" s="72" t="str">
        <f t="shared" si="42"/>
        <v>Payé</v>
      </c>
    </row>
    <row r="2699" spans="1:13" ht="18" x14ac:dyDescent="0.25">
      <c r="A2699" s="90" t="s">
        <v>860</v>
      </c>
      <c r="B2699" s="90">
        <v>3087</v>
      </c>
      <c r="C2699" s="88" t="s">
        <v>1238</v>
      </c>
      <c r="D2699" s="90" t="s">
        <v>17</v>
      </c>
      <c r="E2699" s="90" t="s">
        <v>649</v>
      </c>
      <c r="F2699" s="90" t="s">
        <v>860</v>
      </c>
      <c r="G2699" s="137">
        <v>10</v>
      </c>
      <c r="H2699" s="94">
        <v>900</v>
      </c>
      <c r="I2699" s="91">
        <v>46030</v>
      </c>
      <c r="J2699" s="165">
        <v>0.71319444444444446</v>
      </c>
      <c r="K2699" s="94">
        <v>900</v>
      </c>
      <c r="L2699" s="72" t="str">
        <f t="shared" si="42"/>
        <v>Payé</v>
      </c>
    </row>
    <row r="2700" spans="1:13" ht="18" x14ac:dyDescent="0.25">
      <c r="A2700" s="90" t="s">
        <v>860</v>
      </c>
      <c r="B2700" s="90">
        <v>3130</v>
      </c>
      <c r="C2700" s="88" t="s">
        <v>553</v>
      </c>
      <c r="D2700" s="90" t="s">
        <v>17</v>
      </c>
      <c r="E2700" s="90" t="s">
        <v>649</v>
      </c>
      <c r="F2700" s="90" t="s">
        <v>860</v>
      </c>
      <c r="G2700" s="137">
        <v>11</v>
      </c>
      <c r="H2700" s="94">
        <v>990</v>
      </c>
      <c r="I2700" s="91">
        <v>46030</v>
      </c>
      <c r="J2700" s="165">
        <v>0.71319444444444446</v>
      </c>
      <c r="K2700" s="94">
        <v>990</v>
      </c>
      <c r="L2700" s="72" t="str">
        <f t="shared" si="42"/>
        <v>Payé</v>
      </c>
    </row>
    <row r="2701" spans="1:13" ht="18" x14ac:dyDescent="0.25">
      <c r="A2701" s="90" t="s">
        <v>860</v>
      </c>
      <c r="B2701" s="90">
        <v>3313</v>
      </c>
      <c r="C2701" s="88" t="s">
        <v>1209</v>
      </c>
      <c r="D2701" s="90" t="s">
        <v>17</v>
      </c>
      <c r="E2701" s="90" t="s">
        <v>753</v>
      </c>
      <c r="F2701" s="90" t="s">
        <v>860</v>
      </c>
      <c r="G2701" s="137">
        <v>5</v>
      </c>
      <c r="H2701" s="94">
        <v>500</v>
      </c>
      <c r="I2701" s="91">
        <v>46030</v>
      </c>
      <c r="J2701" s="165">
        <v>0.71319444444444446</v>
      </c>
      <c r="K2701" s="94">
        <v>500</v>
      </c>
      <c r="L2701" s="72" t="str">
        <f t="shared" si="42"/>
        <v>Payé</v>
      </c>
    </row>
    <row r="2702" spans="1:13" ht="18" x14ac:dyDescent="0.25">
      <c r="A2702" s="90" t="s">
        <v>860</v>
      </c>
      <c r="B2702" s="90">
        <v>3337</v>
      </c>
      <c r="C2702" s="88" t="s">
        <v>556</v>
      </c>
      <c r="D2702" s="90" t="s">
        <v>17</v>
      </c>
      <c r="E2702" s="90" t="s">
        <v>649</v>
      </c>
      <c r="F2702" s="90" t="s">
        <v>860</v>
      </c>
      <c r="G2702" s="137">
        <v>3</v>
      </c>
      <c r="H2702" s="94">
        <v>270</v>
      </c>
      <c r="I2702" s="91">
        <v>46044</v>
      </c>
      <c r="J2702" s="165">
        <v>0.46527777777777773</v>
      </c>
      <c r="K2702" s="94">
        <v>270</v>
      </c>
      <c r="L2702" s="72" t="str">
        <f t="shared" si="42"/>
        <v>Payé</v>
      </c>
    </row>
    <row r="2703" spans="1:13" ht="18" x14ac:dyDescent="0.25">
      <c r="A2703" s="90" t="s">
        <v>860</v>
      </c>
      <c r="B2703" s="90">
        <v>3351</v>
      </c>
      <c r="C2703" s="88" t="s">
        <v>617</v>
      </c>
      <c r="D2703" s="90" t="s">
        <v>17</v>
      </c>
      <c r="E2703" s="90" t="s">
        <v>107</v>
      </c>
      <c r="F2703" s="90" t="s">
        <v>860</v>
      </c>
      <c r="G2703" s="137">
        <v>1</v>
      </c>
      <c r="H2703" s="94">
        <v>91</v>
      </c>
      <c r="I2703" s="91">
        <v>46045</v>
      </c>
      <c r="J2703" s="165">
        <v>0.4993055555555555</v>
      </c>
      <c r="K2703" s="94">
        <v>91</v>
      </c>
      <c r="L2703" s="72" t="str">
        <f t="shared" si="42"/>
        <v>Payé</v>
      </c>
    </row>
    <row r="2704" spans="1:13" ht="18" x14ac:dyDescent="0.25">
      <c r="A2704" s="90" t="s">
        <v>860</v>
      </c>
      <c r="B2704" s="90">
        <v>3398</v>
      </c>
      <c r="C2704" s="88" t="s">
        <v>557</v>
      </c>
      <c r="D2704" s="90" t="s">
        <v>17</v>
      </c>
      <c r="E2704" s="90" t="s">
        <v>420</v>
      </c>
      <c r="F2704" s="90" t="s">
        <v>860</v>
      </c>
      <c r="G2704" s="137">
        <v>3</v>
      </c>
      <c r="H2704" s="94">
        <v>260</v>
      </c>
      <c r="I2704" s="91">
        <v>46031</v>
      </c>
      <c r="J2704" s="165">
        <v>0.54097222222222219</v>
      </c>
      <c r="K2704" s="94">
        <v>260</v>
      </c>
      <c r="L2704" s="72" t="str">
        <f t="shared" si="42"/>
        <v>Payé</v>
      </c>
    </row>
    <row r="2705" spans="1:12" ht="18" x14ac:dyDescent="0.25">
      <c r="A2705" s="90" t="s">
        <v>860</v>
      </c>
      <c r="B2705" s="90">
        <v>3412</v>
      </c>
      <c r="C2705" s="88" t="s">
        <v>560</v>
      </c>
      <c r="D2705" s="90" t="s">
        <v>17</v>
      </c>
      <c r="E2705" s="90" t="s">
        <v>371</v>
      </c>
      <c r="F2705" s="90" t="s">
        <v>860</v>
      </c>
      <c r="G2705" s="137">
        <v>2</v>
      </c>
      <c r="H2705" s="94">
        <v>173</v>
      </c>
      <c r="I2705" s="91">
        <v>46031</v>
      </c>
      <c r="J2705" s="165">
        <v>0.54097222222222219</v>
      </c>
      <c r="K2705" s="94">
        <v>173</v>
      </c>
      <c r="L2705" s="72" t="str">
        <f t="shared" si="42"/>
        <v>Payé</v>
      </c>
    </row>
    <row r="2706" spans="1:12" ht="18" x14ac:dyDescent="0.25">
      <c r="A2706" s="90" t="s">
        <v>860</v>
      </c>
      <c r="B2706" s="90">
        <v>3416</v>
      </c>
      <c r="C2706" s="88" t="s">
        <v>1291</v>
      </c>
      <c r="D2706" s="90" t="s">
        <v>17</v>
      </c>
      <c r="E2706" s="90" t="s">
        <v>49</v>
      </c>
      <c r="F2706" s="90" t="s">
        <v>860</v>
      </c>
      <c r="G2706" s="137">
        <v>12</v>
      </c>
      <c r="H2706" s="94">
        <v>1073</v>
      </c>
      <c r="I2706" s="91">
        <v>46031</v>
      </c>
      <c r="J2706" s="165">
        <v>0.62777777777777777</v>
      </c>
      <c r="K2706" s="94">
        <v>1073</v>
      </c>
      <c r="L2706" s="72" t="str">
        <f t="shared" si="42"/>
        <v>Payé</v>
      </c>
    </row>
    <row r="2707" spans="1:12" ht="18" x14ac:dyDescent="0.25">
      <c r="A2707" s="90" t="s">
        <v>860</v>
      </c>
      <c r="B2707" s="90">
        <v>3439</v>
      </c>
      <c r="C2707" s="88" t="s">
        <v>875</v>
      </c>
      <c r="D2707" s="90" t="s">
        <v>17</v>
      </c>
      <c r="E2707" s="90" t="s">
        <v>49</v>
      </c>
      <c r="F2707" s="90" t="s">
        <v>860</v>
      </c>
      <c r="G2707" s="137">
        <v>11</v>
      </c>
      <c r="H2707" s="94">
        <v>990</v>
      </c>
      <c r="I2707" s="91">
        <v>46031</v>
      </c>
      <c r="J2707" s="165">
        <v>0.62777777777777777</v>
      </c>
      <c r="K2707" s="94">
        <v>990</v>
      </c>
      <c r="L2707" s="72" t="str">
        <f t="shared" si="42"/>
        <v>Payé</v>
      </c>
    </row>
    <row r="2708" spans="1:12" ht="18" x14ac:dyDescent="0.25">
      <c r="A2708" s="90" t="s">
        <v>860</v>
      </c>
      <c r="B2708" s="90">
        <v>3440</v>
      </c>
      <c r="C2708" s="88" t="s">
        <v>561</v>
      </c>
      <c r="D2708" s="90" t="s">
        <v>17</v>
      </c>
      <c r="E2708" s="90" t="s">
        <v>49</v>
      </c>
      <c r="F2708" s="90" t="s">
        <v>860</v>
      </c>
      <c r="G2708" s="137">
        <v>10</v>
      </c>
      <c r="H2708" s="94">
        <v>900</v>
      </c>
      <c r="I2708" s="91">
        <v>46031</v>
      </c>
      <c r="J2708" s="165">
        <v>0.62777777777777777</v>
      </c>
      <c r="K2708" s="94">
        <v>900</v>
      </c>
      <c r="L2708" s="72" t="str">
        <f t="shared" si="42"/>
        <v>Payé</v>
      </c>
    </row>
    <row r="2709" spans="1:12" ht="18" x14ac:dyDescent="0.25">
      <c r="A2709" s="90" t="s">
        <v>860</v>
      </c>
      <c r="B2709" s="90">
        <v>3507</v>
      </c>
      <c r="C2709" s="88" t="s">
        <v>562</v>
      </c>
      <c r="D2709" s="90" t="s">
        <v>17</v>
      </c>
      <c r="E2709" s="90" t="s">
        <v>103</v>
      </c>
      <c r="F2709" s="90" t="s">
        <v>860</v>
      </c>
      <c r="G2709" s="137">
        <v>1</v>
      </c>
      <c r="H2709" s="94">
        <v>87</v>
      </c>
      <c r="I2709" s="91">
        <v>46035</v>
      </c>
      <c r="J2709" s="165">
        <v>0.3923611111111111</v>
      </c>
      <c r="K2709" s="94">
        <v>87</v>
      </c>
      <c r="L2709" s="72" t="str">
        <f t="shared" si="42"/>
        <v>Payé</v>
      </c>
    </row>
    <row r="2710" spans="1:12" ht="18" x14ac:dyDescent="0.25">
      <c r="A2710" s="90" t="s">
        <v>860</v>
      </c>
      <c r="B2710" s="90">
        <v>3518</v>
      </c>
      <c r="C2710" s="88" t="s">
        <v>1061</v>
      </c>
      <c r="D2710" s="90" t="s">
        <v>17</v>
      </c>
      <c r="E2710" s="90" t="s">
        <v>254</v>
      </c>
      <c r="F2710" s="90" t="s">
        <v>860</v>
      </c>
      <c r="G2710" s="137">
        <v>12</v>
      </c>
      <c r="H2710" s="94">
        <v>1080</v>
      </c>
      <c r="I2710" s="91">
        <v>46031</v>
      </c>
      <c r="J2710" s="165">
        <v>0.62361111111111112</v>
      </c>
      <c r="K2710" s="94">
        <v>1080</v>
      </c>
      <c r="L2710" s="72" t="str">
        <f t="shared" si="42"/>
        <v>Payé</v>
      </c>
    </row>
    <row r="2711" spans="1:12" ht="18" x14ac:dyDescent="0.25">
      <c r="A2711" s="90" t="s">
        <v>860</v>
      </c>
      <c r="B2711" s="90">
        <v>3534</v>
      </c>
      <c r="C2711" s="88" t="s">
        <v>563</v>
      </c>
      <c r="D2711" s="90" t="s">
        <v>17</v>
      </c>
      <c r="E2711" s="90" t="s">
        <v>1187</v>
      </c>
      <c r="F2711" s="90" t="s">
        <v>860</v>
      </c>
      <c r="G2711" s="137">
        <v>14</v>
      </c>
      <c r="H2711" s="94">
        <v>1280</v>
      </c>
      <c r="I2711" s="91">
        <v>46032</v>
      </c>
      <c r="J2711" s="165">
        <v>0.49583333333333335</v>
      </c>
      <c r="K2711" s="94">
        <v>1280</v>
      </c>
      <c r="L2711" s="72" t="str">
        <f t="shared" si="42"/>
        <v>Payé</v>
      </c>
    </row>
    <row r="2712" spans="1:12" ht="18" x14ac:dyDescent="0.25">
      <c r="A2712" s="90" t="s">
        <v>860</v>
      </c>
      <c r="B2712" s="90">
        <v>3535</v>
      </c>
      <c r="C2712" s="88" t="s">
        <v>564</v>
      </c>
      <c r="D2712" s="90" t="s">
        <v>17</v>
      </c>
      <c r="E2712" s="90" t="s">
        <v>1187</v>
      </c>
      <c r="F2712" s="90" t="s">
        <v>860</v>
      </c>
      <c r="G2712" s="137">
        <v>12</v>
      </c>
      <c r="H2712" s="94">
        <v>1080</v>
      </c>
      <c r="I2712" s="91">
        <v>46032</v>
      </c>
      <c r="J2712" s="165">
        <v>0.49583333333333335</v>
      </c>
      <c r="K2712" s="94">
        <v>1080</v>
      </c>
      <c r="L2712" s="72" t="str">
        <f t="shared" si="42"/>
        <v>Payé</v>
      </c>
    </row>
    <row r="2713" spans="1:12" ht="18" x14ac:dyDescent="0.25">
      <c r="A2713" s="90" t="s">
        <v>860</v>
      </c>
      <c r="B2713" s="90">
        <v>3627</v>
      </c>
      <c r="C2713" s="88" t="s">
        <v>566</v>
      </c>
      <c r="D2713" s="90" t="s">
        <v>17</v>
      </c>
      <c r="E2713" s="90" t="s">
        <v>649</v>
      </c>
      <c r="F2713" s="90" t="s">
        <v>860</v>
      </c>
      <c r="G2713" s="137">
        <v>8</v>
      </c>
      <c r="H2713" s="94">
        <v>720</v>
      </c>
      <c r="I2713" s="91">
        <v>46030</v>
      </c>
      <c r="J2713" s="165">
        <v>0.71319444444444446</v>
      </c>
      <c r="K2713" s="94">
        <v>720</v>
      </c>
      <c r="L2713" s="72" t="str">
        <f t="shared" si="42"/>
        <v>Payé</v>
      </c>
    </row>
    <row r="2714" spans="1:12" ht="18" x14ac:dyDescent="0.25">
      <c r="A2714" s="90" t="s">
        <v>860</v>
      </c>
      <c r="B2714" s="90">
        <v>3672</v>
      </c>
      <c r="C2714" s="88" t="s">
        <v>568</v>
      </c>
      <c r="D2714" s="90" t="s">
        <v>17</v>
      </c>
      <c r="E2714" s="90" t="s">
        <v>613</v>
      </c>
      <c r="F2714" s="90" t="s">
        <v>860</v>
      </c>
      <c r="G2714" s="137">
        <v>16</v>
      </c>
      <c r="H2714" s="94">
        <v>1760</v>
      </c>
      <c r="I2714" s="91">
        <v>46030</v>
      </c>
      <c r="J2714" s="165">
        <v>0.71319444444444446</v>
      </c>
      <c r="K2714" s="94">
        <v>1760</v>
      </c>
      <c r="L2714" s="72" t="str">
        <f t="shared" si="42"/>
        <v>Payé</v>
      </c>
    </row>
    <row r="2715" spans="1:12" ht="18" x14ac:dyDescent="0.25">
      <c r="A2715" s="90" t="s">
        <v>860</v>
      </c>
      <c r="B2715" s="90">
        <v>3726</v>
      </c>
      <c r="C2715" s="88" t="s">
        <v>570</v>
      </c>
      <c r="D2715" s="90" t="s">
        <v>17</v>
      </c>
      <c r="E2715" s="90" t="s">
        <v>123</v>
      </c>
      <c r="F2715" s="90" t="s">
        <v>860</v>
      </c>
      <c r="G2715" s="137">
        <v>12</v>
      </c>
      <c r="H2715" s="94">
        <v>1080</v>
      </c>
      <c r="I2715" s="91">
        <v>46030</v>
      </c>
      <c r="J2715" s="165">
        <v>0.71319444444444446</v>
      </c>
      <c r="K2715" s="94">
        <v>1080</v>
      </c>
      <c r="L2715" s="72" t="str">
        <f t="shared" si="42"/>
        <v>Payé</v>
      </c>
    </row>
    <row r="2716" spans="1:12" ht="18" x14ac:dyDescent="0.25">
      <c r="A2716" s="90" t="s">
        <v>860</v>
      </c>
      <c r="B2716" s="90">
        <v>3760</v>
      </c>
      <c r="C2716" s="88" t="s">
        <v>465</v>
      </c>
      <c r="D2716" s="90" t="s">
        <v>17</v>
      </c>
      <c r="E2716" s="90" t="s">
        <v>49</v>
      </c>
      <c r="F2716" s="90" t="s">
        <v>860</v>
      </c>
      <c r="G2716" s="137">
        <v>6</v>
      </c>
      <c r="H2716" s="94">
        <v>540</v>
      </c>
      <c r="I2716" s="91">
        <v>46031</v>
      </c>
      <c r="J2716" s="165">
        <v>0.62777777777777777</v>
      </c>
      <c r="K2716" s="94">
        <v>540</v>
      </c>
      <c r="L2716" s="72" t="str">
        <f t="shared" si="42"/>
        <v>Payé</v>
      </c>
    </row>
    <row r="2717" spans="1:12" ht="18" x14ac:dyDescent="0.25">
      <c r="A2717" s="90" t="s">
        <v>860</v>
      </c>
      <c r="B2717" s="90">
        <v>3819</v>
      </c>
      <c r="C2717" s="88" t="s">
        <v>1537</v>
      </c>
      <c r="D2717" s="90" t="s">
        <v>17</v>
      </c>
      <c r="E2717" s="90" t="s">
        <v>753</v>
      </c>
      <c r="F2717" s="90" t="s">
        <v>860</v>
      </c>
      <c r="G2717" s="137">
        <v>5</v>
      </c>
      <c r="H2717" s="94">
        <v>450</v>
      </c>
      <c r="I2717" s="91">
        <v>46030</v>
      </c>
      <c r="J2717" s="165">
        <v>0.71319444444444446</v>
      </c>
      <c r="K2717" s="94">
        <v>450</v>
      </c>
      <c r="L2717" s="72" t="str">
        <f t="shared" si="42"/>
        <v>Payé</v>
      </c>
    </row>
    <row r="2718" spans="1:12" ht="18" x14ac:dyDescent="0.25">
      <c r="A2718" s="90" t="s">
        <v>860</v>
      </c>
      <c r="B2718" s="90">
        <v>3823</v>
      </c>
      <c r="C2718" s="88" t="s">
        <v>824</v>
      </c>
      <c r="D2718" s="90" t="s">
        <v>17</v>
      </c>
      <c r="E2718" s="90" t="s">
        <v>753</v>
      </c>
      <c r="F2718" s="90" t="s">
        <v>860</v>
      </c>
      <c r="G2718" s="137">
        <v>5</v>
      </c>
      <c r="H2718" s="94">
        <v>450</v>
      </c>
      <c r="I2718" s="91">
        <v>46030</v>
      </c>
      <c r="J2718" s="165">
        <v>0.71319444444444446</v>
      </c>
      <c r="K2718" s="94">
        <v>450</v>
      </c>
      <c r="L2718" s="72" t="str">
        <f t="shared" ref="L2718:L2781" si="43">IF(ISBLANK(H2718),"",IF(H2718=K2718,"Payé","Impayé"))</f>
        <v>Payé</v>
      </c>
    </row>
    <row r="2719" spans="1:12" ht="18" x14ac:dyDescent="0.25">
      <c r="A2719" s="90" t="s">
        <v>860</v>
      </c>
      <c r="B2719" s="90">
        <v>3930</v>
      </c>
      <c r="C2719" s="88" t="s">
        <v>1241</v>
      </c>
      <c r="D2719" s="90" t="s">
        <v>17</v>
      </c>
      <c r="E2719" s="90" t="s">
        <v>254</v>
      </c>
      <c r="F2719" s="90" t="s">
        <v>860</v>
      </c>
      <c r="G2719" s="137">
        <v>3</v>
      </c>
      <c r="H2719" s="94">
        <v>270</v>
      </c>
      <c r="I2719" s="91">
        <v>46031</v>
      </c>
      <c r="J2719" s="165">
        <v>0.62361111111111112</v>
      </c>
      <c r="K2719" s="94">
        <v>270</v>
      </c>
      <c r="L2719" s="72" t="str">
        <f t="shared" si="43"/>
        <v>Payé</v>
      </c>
    </row>
    <row r="2720" spans="1:12" ht="18" x14ac:dyDescent="0.25">
      <c r="A2720" s="90" t="s">
        <v>860</v>
      </c>
      <c r="B2720" s="90">
        <v>3947</v>
      </c>
      <c r="C2720" s="88" t="s">
        <v>576</v>
      </c>
      <c r="D2720" s="90" t="s">
        <v>17</v>
      </c>
      <c r="E2720" s="90" t="s">
        <v>1187</v>
      </c>
      <c r="F2720" s="90" t="s">
        <v>860</v>
      </c>
      <c r="G2720" s="137">
        <v>10</v>
      </c>
      <c r="H2720" s="94">
        <v>920</v>
      </c>
      <c r="I2720" s="91">
        <v>46032</v>
      </c>
      <c r="J2720" s="165">
        <v>0.49583333333333335</v>
      </c>
      <c r="K2720" s="94">
        <v>920</v>
      </c>
      <c r="L2720" s="72" t="str">
        <f t="shared" si="43"/>
        <v>Payé</v>
      </c>
    </row>
    <row r="2721" spans="1:12" ht="18" x14ac:dyDescent="0.25">
      <c r="A2721" s="90" t="s">
        <v>860</v>
      </c>
      <c r="B2721" s="90">
        <v>3979</v>
      </c>
      <c r="C2721" s="88" t="s">
        <v>1538</v>
      </c>
      <c r="D2721" s="90" t="s">
        <v>17</v>
      </c>
      <c r="E2721" s="90" t="s">
        <v>753</v>
      </c>
      <c r="F2721" s="90" t="s">
        <v>860</v>
      </c>
      <c r="G2721" s="137">
        <v>6</v>
      </c>
      <c r="H2721" s="94">
        <v>540</v>
      </c>
      <c r="I2721" s="91">
        <v>46030</v>
      </c>
      <c r="J2721" s="165">
        <v>0.71319444444444446</v>
      </c>
      <c r="K2721" s="94">
        <v>540</v>
      </c>
      <c r="L2721" s="72" t="str">
        <f t="shared" si="43"/>
        <v>Payé</v>
      </c>
    </row>
    <row r="2722" spans="1:12" ht="18" x14ac:dyDescent="0.25">
      <c r="A2722" s="90" t="s">
        <v>860</v>
      </c>
      <c r="B2722" s="90">
        <v>4120</v>
      </c>
      <c r="C2722" s="88" t="s">
        <v>1243</v>
      </c>
      <c r="D2722" s="90" t="s">
        <v>17</v>
      </c>
      <c r="E2722" s="90" t="s">
        <v>254</v>
      </c>
      <c r="F2722" s="90" t="s">
        <v>860</v>
      </c>
      <c r="G2722" s="137">
        <v>2</v>
      </c>
      <c r="H2722" s="94">
        <v>180</v>
      </c>
      <c r="I2722" s="91">
        <v>46031</v>
      </c>
      <c r="J2722" s="165">
        <v>0.62361111111111112</v>
      </c>
      <c r="K2722" s="94">
        <v>180</v>
      </c>
      <c r="L2722" s="72" t="str">
        <f t="shared" si="43"/>
        <v>Payé</v>
      </c>
    </row>
    <row r="2723" spans="1:12" ht="18" x14ac:dyDescent="0.25">
      <c r="A2723" s="90" t="s">
        <v>860</v>
      </c>
      <c r="B2723" s="90">
        <v>4177</v>
      </c>
      <c r="C2723" s="88" t="s">
        <v>582</v>
      </c>
      <c r="D2723" s="90" t="s">
        <v>17</v>
      </c>
      <c r="E2723" s="90" t="s">
        <v>649</v>
      </c>
      <c r="F2723" s="90" t="s">
        <v>860</v>
      </c>
      <c r="G2723" s="137">
        <v>11</v>
      </c>
      <c r="H2723" s="94">
        <v>990</v>
      </c>
      <c r="I2723" s="91">
        <v>46030</v>
      </c>
      <c r="J2723" s="165">
        <v>0.71319444444444446</v>
      </c>
      <c r="K2723" s="94">
        <v>990</v>
      </c>
      <c r="L2723" s="72" t="str">
        <f t="shared" si="43"/>
        <v>Payé</v>
      </c>
    </row>
    <row r="2724" spans="1:12" ht="18" x14ac:dyDescent="0.25">
      <c r="A2724" s="90" t="s">
        <v>860</v>
      </c>
      <c r="B2724" s="90">
        <v>4202</v>
      </c>
      <c r="C2724" s="88" t="s">
        <v>609</v>
      </c>
      <c r="D2724" s="90" t="s">
        <v>17</v>
      </c>
      <c r="E2724" s="90" t="s">
        <v>649</v>
      </c>
      <c r="F2724" s="90" t="s">
        <v>860</v>
      </c>
      <c r="G2724" s="137">
        <v>1</v>
      </c>
      <c r="H2724" s="94">
        <v>90</v>
      </c>
      <c r="I2724" s="91">
        <v>46045</v>
      </c>
      <c r="J2724" s="165">
        <v>0.64722222222222225</v>
      </c>
      <c r="K2724" s="94">
        <v>90</v>
      </c>
      <c r="L2724" s="72" t="str">
        <f t="shared" si="43"/>
        <v>Payé</v>
      </c>
    </row>
    <row r="2725" spans="1:12" ht="18" x14ac:dyDescent="0.25">
      <c r="A2725" s="90" t="s">
        <v>860</v>
      </c>
      <c r="B2725" s="90">
        <v>4204</v>
      </c>
      <c r="C2725" s="88" t="s">
        <v>610</v>
      </c>
      <c r="D2725" s="90" t="s">
        <v>17</v>
      </c>
      <c r="E2725" s="90" t="s">
        <v>649</v>
      </c>
      <c r="F2725" s="90" t="s">
        <v>860</v>
      </c>
      <c r="G2725" s="137">
        <v>9</v>
      </c>
      <c r="H2725" s="94">
        <v>810</v>
      </c>
      <c r="I2725" s="91">
        <v>46030</v>
      </c>
      <c r="J2725" s="165">
        <v>0.71319444444444446</v>
      </c>
      <c r="K2725" s="94">
        <v>810</v>
      </c>
      <c r="L2725" s="72" t="str">
        <f t="shared" si="43"/>
        <v>Payé</v>
      </c>
    </row>
    <row r="2726" spans="1:12" ht="18" x14ac:dyDescent="0.25">
      <c r="A2726" s="90" t="s">
        <v>860</v>
      </c>
      <c r="B2726" s="90">
        <v>4263</v>
      </c>
      <c r="C2726" s="88" t="s">
        <v>1245</v>
      </c>
      <c r="D2726" s="90" t="s">
        <v>17</v>
      </c>
      <c r="E2726" s="90" t="s">
        <v>649</v>
      </c>
      <c r="F2726" s="90" t="s">
        <v>860</v>
      </c>
      <c r="G2726" s="137">
        <v>9</v>
      </c>
      <c r="H2726" s="94">
        <v>810</v>
      </c>
      <c r="I2726" s="91">
        <v>46030</v>
      </c>
      <c r="J2726" s="165">
        <v>0.71319444444444446</v>
      </c>
      <c r="K2726" s="94">
        <v>810</v>
      </c>
      <c r="L2726" s="72" t="str">
        <f t="shared" si="43"/>
        <v>Payé</v>
      </c>
    </row>
    <row r="2727" spans="1:12" ht="18" x14ac:dyDescent="0.25">
      <c r="A2727" s="90" t="s">
        <v>860</v>
      </c>
      <c r="B2727" s="90">
        <v>4310</v>
      </c>
      <c r="C2727" s="88" t="s">
        <v>624</v>
      </c>
      <c r="D2727" s="90" t="s">
        <v>17</v>
      </c>
      <c r="E2727" s="90" t="s">
        <v>628</v>
      </c>
      <c r="F2727" s="90" t="s">
        <v>860</v>
      </c>
      <c r="G2727" s="137">
        <v>1</v>
      </c>
      <c r="H2727" s="94">
        <v>90</v>
      </c>
      <c r="I2727" s="91">
        <v>46031</v>
      </c>
      <c r="J2727" s="165">
        <v>0.71319444444444446</v>
      </c>
      <c r="K2727" s="94">
        <v>90</v>
      </c>
      <c r="L2727" s="72" t="str">
        <f t="shared" si="43"/>
        <v>Payé</v>
      </c>
    </row>
    <row r="2728" spans="1:12" ht="18" x14ac:dyDescent="0.25">
      <c r="A2728" s="90" t="s">
        <v>860</v>
      </c>
      <c r="B2728" s="90">
        <v>4333</v>
      </c>
      <c r="C2728" s="88" t="s">
        <v>706</v>
      </c>
      <c r="D2728" s="90" t="s">
        <v>17</v>
      </c>
      <c r="E2728" s="90" t="s">
        <v>628</v>
      </c>
      <c r="F2728" s="90" t="s">
        <v>860</v>
      </c>
      <c r="G2728" s="137">
        <v>9</v>
      </c>
      <c r="H2728" s="94">
        <v>810</v>
      </c>
      <c r="I2728" s="91">
        <v>46031</v>
      </c>
      <c r="J2728" s="165">
        <v>0.71319444444444446</v>
      </c>
      <c r="K2728" s="94">
        <v>810</v>
      </c>
      <c r="L2728" s="72" t="str">
        <f t="shared" si="43"/>
        <v>Payé</v>
      </c>
    </row>
    <row r="2729" spans="1:12" ht="18" x14ac:dyDescent="0.25">
      <c r="A2729" s="90" t="s">
        <v>860</v>
      </c>
      <c r="B2729" s="90">
        <v>4334</v>
      </c>
      <c r="C2729" s="88" t="s">
        <v>622</v>
      </c>
      <c r="D2729" s="90" t="s">
        <v>17</v>
      </c>
      <c r="E2729" s="90" t="s">
        <v>628</v>
      </c>
      <c r="F2729" s="90" t="s">
        <v>860</v>
      </c>
      <c r="G2729" s="137">
        <v>11</v>
      </c>
      <c r="H2729" s="94">
        <v>990</v>
      </c>
      <c r="I2729" s="91">
        <v>46031</v>
      </c>
      <c r="J2729" s="165">
        <v>0.71319444444444446</v>
      </c>
      <c r="K2729" s="94">
        <v>990</v>
      </c>
      <c r="L2729" s="72" t="str">
        <f t="shared" si="43"/>
        <v>Payé</v>
      </c>
    </row>
    <row r="2730" spans="1:12" ht="18" x14ac:dyDescent="0.25">
      <c r="A2730" s="90" t="s">
        <v>860</v>
      </c>
      <c r="B2730" s="90">
        <v>4337</v>
      </c>
      <c r="C2730" s="88" t="s">
        <v>1426</v>
      </c>
      <c r="D2730" s="90" t="s">
        <v>17</v>
      </c>
      <c r="E2730" s="90" t="s">
        <v>649</v>
      </c>
      <c r="F2730" s="90" t="s">
        <v>860</v>
      </c>
      <c r="G2730" s="137">
        <v>3</v>
      </c>
      <c r="H2730" s="94">
        <v>270</v>
      </c>
      <c r="I2730" s="91">
        <v>46031</v>
      </c>
      <c r="J2730" s="165">
        <v>0.51250000000000007</v>
      </c>
      <c r="K2730" s="94">
        <v>270</v>
      </c>
      <c r="L2730" s="72" t="str">
        <f t="shared" si="43"/>
        <v>Payé</v>
      </c>
    </row>
    <row r="2731" spans="1:12" ht="18" x14ac:dyDescent="0.25">
      <c r="A2731" s="90" t="s">
        <v>860</v>
      </c>
      <c r="B2731" s="90">
        <v>4347</v>
      </c>
      <c r="C2731" s="88" t="s">
        <v>1359</v>
      </c>
      <c r="D2731" s="90" t="s">
        <v>17</v>
      </c>
      <c r="E2731" s="90" t="s">
        <v>667</v>
      </c>
      <c r="F2731" s="90" t="s">
        <v>860</v>
      </c>
      <c r="G2731" s="137">
        <v>12.5</v>
      </c>
      <c r="H2731" s="94">
        <v>1125</v>
      </c>
      <c r="I2731" s="91">
        <v>46032</v>
      </c>
      <c r="J2731" s="165">
        <v>0.51180555555555551</v>
      </c>
      <c r="K2731" s="94">
        <v>1125</v>
      </c>
      <c r="L2731" s="72" t="str">
        <f t="shared" si="43"/>
        <v>Payé</v>
      </c>
    </row>
    <row r="2732" spans="1:12" ht="18" x14ac:dyDescent="0.25">
      <c r="A2732" s="90" t="s">
        <v>860</v>
      </c>
      <c r="B2732" s="90">
        <v>4373</v>
      </c>
      <c r="C2732" s="88" t="s">
        <v>988</v>
      </c>
      <c r="D2732" s="90" t="s">
        <v>17</v>
      </c>
      <c r="E2732" s="90" t="s">
        <v>613</v>
      </c>
      <c r="F2732" s="90" t="s">
        <v>860</v>
      </c>
      <c r="G2732" s="137">
        <v>1</v>
      </c>
      <c r="H2732" s="94">
        <v>87</v>
      </c>
      <c r="I2732" s="91">
        <v>46031</v>
      </c>
      <c r="J2732" s="165">
        <v>0.57638888888888895</v>
      </c>
      <c r="K2732" s="94">
        <v>87</v>
      </c>
      <c r="L2732" s="72" t="str">
        <f t="shared" si="43"/>
        <v>Payé</v>
      </c>
    </row>
    <row r="2733" spans="1:12" ht="18" x14ac:dyDescent="0.25">
      <c r="A2733" s="90" t="s">
        <v>860</v>
      </c>
      <c r="B2733" s="90">
        <v>4473</v>
      </c>
      <c r="C2733" s="88" t="s">
        <v>623</v>
      </c>
      <c r="D2733" s="90" t="s">
        <v>17</v>
      </c>
      <c r="E2733" s="90" t="s">
        <v>628</v>
      </c>
      <c r="F2733" s="90" t="s">
        <v>860</v>
      </c>
      <c r="G2733" s="137">
        <v>12</v>
      </c>
      <c r="H2733" s="94">
        <v>1200</v>
      </c>
      <c r="I2733" s="91">
        <v>46031</v>
      </c>
      <c r="J2733" s="165">
        <v>0.71319444444444446</v>
      </c>
      <c r="K2733" s="94">
        <v>1200</v>
      </c>
      <c r="L2733" s="72" t="str">
        <f t="shared" si="43"/>
        <v>Payé</v>
      </c>
    </row>
    <row r="2734" spans="1:12" ht="18" x14ac:dyDescent="0.25">
      <c r="A2734" s="90" t="s">
        <v>860</v>
      </c>
      <c r="B2734" s="90">
        <v>4758</v>
      </c>
      <c r="C2734" s="88" t="s">
        <v>1425</v>
      </c>
      <c r="D2734" s="90" t="s">
        <v>17</v>
      </c>
      <c r="E2734" s="90" t="s">
        <v>649</v>
      </c>
      <c r="F2734" s="90" t="s">
        <v>860</v>
      </c>
      <c r="G2734" s="137">
        <v>11</v>
      </c>
      <c r="H2734" s="94">
        <v>990</v>
      </c>
      <c r="I2734" s="91">
        <v>46030</v>
      </c>
      <c r="J2734" s="165">
        <v>0.71319444444444446</v>
      </c>
      <c r="K2734" s="94">
        <v>990</v>
      </c>
      <c r="L2734" s="72" t="str">
        <f t="shared" si="43"/>
        <v>Payé</v>
      </c>
    </row>
    <row r="2735" spans="1:12" ht="18" x14ac:dyDescent="0.25">
      <c r="A2735" s="90" t="s">
        <v>860</v>
      </c>
      <c r="B2735" s="90">
        <v>4759</v>
      </c>
      <c r="C2735" s="88" t="s">
        <v>1150</v>
      </c>
      <c r="D2735" s="90" t="s">
        <v>17</v>
      </c>
      <c r="E2735" s="90" t="s">
        <v>254</v>
      </c>
      <c r="F2735" s="90" t="s">
        <v>860</v>
      </c>
      <c r="G2735" s="137">
        <v>13</v>
      </c>
      <c r="H2735" s="94">
        <v>1170</v>
      </c>
      <c r="I2735" s="91">
        <v>46031</v>
      </c>
      <c r="J2735" s="165">
        <v>0.62361111111111112</v>
      </c>
      <c r="K2735" s="94">
        <v>1170</v>
      </c>
      <c r="L2735" s="72" t="str">
        <f t="shared" si="43"/>
        <v>Payé</v>
      </c>
    </row>
    <row r="2736" spans="1:12" ht="18" x14ac:dyDescent="0.25">
      <c r="A2736" s="90" t="s">
        <v>860</v>
      </c>
      <c r="B2736" s="90">
        <v>4801</v>
      </c>
      <c r="C2736" s="88" t="s">
        <v>990</v>
      </c>
      <c r="D2736" s="90" t="s">
        <v>17</v>
      </c>
      <c r="E2736" s="90" t="s">
        <v>628</v>
      </c>
      <c r="F2736" s="90" t="s">
        <v>860</v>
      </c>
      <c r="G2736" s="137">
        <v>9</v>
      </c>
      <c r="H2736" s="94">
        <v>830</v>
      </c>
      <c r="I2736" s="91">
        <v>46031</v>
      </c>
      <c r="J2736" s="165">
        <v>0.71319444444444446</v>
      </c>
      <c r="K2736" s="94">
        <v>830</v>
      </c>
      <c r="L2736" s="72" t="str">
        <f t="shared" si="43"/>
        <v>Payé</v>
      </c>
    </row>
    <row r="2737" spans="1:12" ht="18" x14ac:dyDescent="0.25">
      <c r="A2737" s="90" t="s">
        <v>860</v>
      </c>
      <c r="B2737" s="90">
        <v>4802</v>
      </c>
      <c r="C2737" s="88" t="s">
        <v>1360</v>
      </c>
      <c r="D2737" s="90" t="s">
        <v>17</v>
      </c>
      <c r="E2737" s="90" t="s">
        <v>1187</v>
      </c>
      <c r="F2737" s="90" t="s">
        <v>860</v>
      </c>
      <c r="G2737" s="137">
        <v>14</v>
      </c>
      <c r="H2737" s="94">
        <v>1280</v>
      </c>
      <c r="I2737" s="91">
        <v>46032</v>
      </c>
      <c r="J2737" s="165">
        <v>0.49583333333333335</v>
      </c>
      <c r="K2737" s="94">
        <v>1280</v>
      </c>
      <c r="L2737" s="72" t="str">
        <f t="shared" si="43"/>
        <v>Payé</v>
      </c>
    </row>
    <row r="2738" spans="1:12" ht="18" x14ac:dyDescent="0.25">
      <c r="A2738" s="90" t="s">
        <v>860</v>
      </c>
      <c r="B2738" s="90">
        <v>4807</v>
      </c>
      <c r="C2738" s="88" t="s">
        <v>825</v>
      </c>
      <c r="D2738" s="90" t="s">
        <v>17</v>
      </c>
      <c r="E2738" s="90" t="s">
        <v>81</v>
      </c>
      <c r="F2738" s="90" t="s">
        <v>860</v>
      </c>
      <c r="G2738" s="137">
        <v>1</v>
      </c>
      <c r="H2738" s="94">
        <v>87</v>
      </c>
      <c r="I2738" s="91">
        <v>46031</v>
      </c>
      <c r="J2738" s="165">
        <v>0.56527777777777777</v>
      </c>
      <c r="K2738" s="94">
        <v>87</v>
      </c>
      <c r="L2738" s="72" t="str">
        <f t="shared" si="43"/>
        <v>Payé</v>
      </c>
    </row>
    <row r="2739" spans="1:12" ht="18" x14ac:dyDescent="0.25">
      <c r="A2739" s="90" t="s">
        <v>860</v>
      </c>
      <c r="B2739" s="90">
        <v>4840</v>
      </c>
      <c r="C2739" s="88" t="s">
        <v>766</v>
      </c>
      <c r="D2739" s="90" t="s">
        <v>17</v>
      </c>
      <c r="E2739" s="90" t="s">
        <v>49</v>
      </c>
      <c r="F2739" s="90" t="s">
        <v>860</v>
      </c>
      <c r="G2739" s="137">
        <v>13</v>
      </c>
      <c r="H2739" s="94">
        <v>1170</v>
      </c>
      <c r="I2739" s="91">
        <v>46031</v>
      </c>
      <c r="J2739" s="165">
        <v>0.62777777777777777</v>
      </c>
      <c r="K2739" s="94">
        <v>1170</v>
      </c>
      <c r="L2739" s="72" t="str">
        <f t="shared" si="43"/>
        <v>Payé</v>
      </c>
    </row>
    <row r="2740" spans="1:12" ht="18" x14ac:dyDescent="0.25">
      <c r="A2740" s="90" t="s">
        <v>860</v>
      </c>
      <c r="B2740" s="90">
        <v>4868</v>
      </c>
      <c r="C2740" s="88" t="s">
        <v>767</v>
      </c>
      <c r="D2740" s="90" t="s">
        <v>17</v>
      </c>
      <c r="E2740" s="90" t="s">
        <v>753</v>
      </c>
      <c r="F2740" s="90" t="s">
        <v>860</v>
      </c>
      <c r="G2740" s="137">
        <v>8.5</v>
      </c>
      <c r="H2740" s="94">
        <v>765</v>
      </c>
      <c r="I2740" s="91">
        <v>46030</v>
      </c>
      <c r="J2740" s="165">
        <v>0.71319444444444446</v>
      </c>
      <c r="K2740" s="94">
        <v>765</v>
      </c>
      <c r="L2740" s="72" t="str">
        <f t="shared" si="43"/>
        <v>Payé</v>
      </c>
    </row>
    <row r="2741" spans="1:12" ht="18" x14ac:dyDescent="0.25">
      <c r="A2741" s="90" t="s">
        <v>860</v>
      </c>
      <c r="B2741" s="90">
        <v>4923</v>
      </c>
      <c r="C2741" s="88" t="s">
        <v>1539</v>
      </c>
      <c r="D2741" s="90" t="s">
        <v>17</v>
      </c>
      <c r="E2741" s="90" t="s">
        <v>667</v>
      </c>
      <c r="F2741" s="90" t="s">
        <v>860</v>
      </c>
      <c r="G2741" s="137">
        <v>8</v>
      </c>
      <c r="H2741" s="94">
        <v>720</v>
      </c>
      <c r="I2741" s="91">
        <v>46030</v>
      </c>
      <c r="J2741" s="165">
        <v>0.71319444444444446</v>
      </c>
      <c r="K2741" s="94">
        <v>720</v>
      </c>
      <c r="L2741" s="72" t="str">
        <f t="shared" si="43"/>
        <v>Payé</v>
      </c>
    </row>
    <row r="2742" spans="1:12" ht="18" x14ac:dyDescent="0.25">
      <c r="A2742" s="90" t="s">
        <v>860</v>
      </c>
      <c r="B2742" s="90">
        <v>5050</v>
      </c>
      <c r="C2742" s="88" t="s">
        <v>1292</v>
      </c>
      <c r="D2742" s="90" t="s">
        <v>17</v>
      </c>
      <c r="E2742" s="90" t="s">
        <v>649</v>
      </c>
      <c r="F2742" s="90" t="s">
        <v>860</v>
      </c>
      <c r="G2742" s="137">
        <v>9</v>
      </c>
      <c r="H2742" s="94">
        <v>810</v>
      </c>
      <c r="I2742" s="91">
        <v>46030</v>
      </c>
      <c r="J2742" s="165">
        <v>0.71319444444444446</v>
      </c>
      <c r="K2742" s="94">
        <v>810</v>
      </c>
      <c r="L2742" s="72" t="str">
        <f t="shared" si="43"/>
        <v>Payé</v>
      </c>
    </row>
    <row r="2743" spans="1:12" ht="18" x14ac:dyDescent="0.25">
      <c r="A2743" s="90" t="s">
        <v>860</v>
      </c>
      <c r="B2743" s="90">
        <v>5076</v>
      </c>
      <c r="C2743" s="88" t="s">
        <v>991</v>
      </c>
      <c r="D2743" s="90" t="s">
        <v>17</v>
      </c>
      <c r="E2743" s="90" t="s">
        <v>753</v>
      </c>
      <c r="F2743" s="90" t="s">
        <v>860</v>
      </c>
      <c r="G2743" s="137">
        <v>7</v>
      </c>
      <c r="H2743" s="94">
        <v>630</v>
      </c>
      <c r="I2743" s="91">
        <v>46034</v>
      </c>
      <c r="J2743" s="165">
        <v>0.5708333333333333</v>
      </c>
      <c r="K2743" s="94">
        <v>630</v>
      </c>
      <c r="L2743" s="72" t="str">
        <f t="shared" si="43"/>
        <v>Payé</v>
      </c>
    </row>
    <row r="2744" spans="1:12" ht="18" x14ac:dyDescent="0.25">
      <c r="A2744" s="90" t="s">
        <v>860</v>
      </c>
      <c r="B2744" s="90">
        <v>5096</v>
      </c>
      <c r="C2744" s="88" t="s">
        <v>1247</v>
      </c>
      <c r="D2744" s="90" t="s">
        <v>17</v>
      </c>
      <c r="E2744" s="90" t="s">
        <v>254</v>
      </c>
      <c r="F2744" s="90" t="s">
        <v>860</v>
      </c>
      <c r="G2744" s="137">
        <v>1</v>
      </c>
      <c r="H2744" s="94">
        <v>90</v>
      </c>
      <c r="I2744" s="91">
        <v>46031</v>
      </c>
      <c r="J2744" s="165">
        <v>0.62430555555555556</v>
      </c>
      <c r="K2744" s="94">
        <v>90</v>
      </c>
      <c r="L2744" s="72" t="str">
        <f t="shared" si="43"/>
        <v>Payé</v>
      </c>
    </row>
    <row r="2745" spans="1:12" ht="18" x14ac:dyDescent="0.25">
      <c r="A2745" s="90" t="s">
        <v>860</v>
      </c>
      <c r="B2745" s="90">
        <v>5123</v>
      </c>
      <c r="C2745" s="88" t="s">
        <v>827</v>
      </c>
      <c r="D2745" s="90" t="s">
        <v>17</v>
      </c>
      <c r="E2745" s="90" t="s">
        <v>628</v>
      </c>
      <c r="F2745" s="90" t="s">
        <v>860</v>
      </c>
      <c r="G2745" s="137">
        <v>7</v>
      </c>
      <c r="H2745" s="94">
        <v>630</v>
      </c>
      <c r="I2745" s="91">
        <v>46031</v>
      </c>
      <c r="J2745" s="165">
        <v>0.71319444444444446</v>
      </c>
      <c r="K2745" s="94">
        <v>630</v>
      </c>
      <c r="L2745" s="72" t="str">
        <f t="shared" si="43"/>
        <v>Payé</v>
      </c>
    </row>
    <row r="2746" spans="1:12" ht="18" x14ac:dyDescent="0.25">
      <c r="A2746" s="90" t="s">
        <v>860</v>
      </c>
      <c r="B2746" s="90">
        <v>5136</v>
      </c>
      <c r="C2746" s="88" t="s">
        <v>1067</v>
      </c>
      <c r="D2746" s="90" t="s">
        <v>17</v>
      </c>
      <c r="E2746" s="90" t="s">
        <v>1104</v>
      </c>
      <c r="F2746" s="90" t="s">
        <v>860</v>
      </c>
      <c r="G2746" s="137">
        <v>12</v>
      </c>
      <c r="H2746" s="94">
        <v>1080</v>
      </c>
      <c r="I2746" s="91">
        <v>46031</v>
      </c>
      <c r="J2746" s="165">
        <v>0.45347222222222222</v>
      </c>
      <c r="K2746" s="94">
        <v>1080</v>
      </c>
      <c r="L2746" s="72" t="str">
        <f t="shared" si="43"/>
        <v>Payé</v>
      </c>
    </row>
    <row r="2747" spans="1:12" ht="18" x14ac:dyDescent="0.25">
      <c r="A2747" s="90" t="s">
        <v>860</v>
      </c>
      <c r="B2747" s="90">
        <v>5209</v>
      </c>
      <c r="C2747" s="88" t="s">
        <v>835</v>
      </c>
      <c r="D2747" s="90" t="s">
        <v>17</v>
      </c>
      <c r="E2747" s="90" t="s">
        <v>753</v>
      </c>
      <c r="F2747" s="90" t="s">
        <v>860</v>
      </c>
      <c r="G2747" s="137">
        <v>4</v>
      </c>
      <c r="H2747" s="94">
        <v>360</v>
      </c>
      <c r="I2747" s="91">
        <v>46030</v>
      </c>
      <c r="J2747" s="165">
        <v>0.71319444444444446</v>
      </c>
      <c r="K2747" s="94">
        <v>360</v>
      </c>
      <c r="L2747" s="72" t="str">
        <f t="shared" si="43"/>
        <v>Payé</v>
      </c>
    </row>
    <row r="2748" spans="1:12" ht="18" x14ac:dyDescent="0.25">
      <c r="A2748" s="90" t="s">
        <v>860</v>
      </c>
      <c r="B2748" s="90">
        <v>5258</v>
      </c>
      <c r="C2748" s="88" t="s">
        <v>893</v>
      </c>
      <c r="D2748" s="90" t="s">
        <v>17</v>
      </c>
      <c r="E2748" s="90" t="s">
        <v>123</v>
      </c>
      <c r="F2748" s="90" t="s">
        <v>860</v>
      </c>
      <c r="G2748" s="137">
        <v>11</v>
      </c>
      <c r="H2748" s="94">
        <v>990</v>
      </c>
      <c r="I2748" s="91">
        <v>46036</v>
      </c>
      <c r="J2748" s="165">
        <v>0.57152777777777775</v>
      </c>
      <c r="K2748" s="94">
        <v>990</v>
      </c>
      <c r="L2748" s="72" t="str">
        <f t="shared" si="43"/>
        <v>Payé</v>
      </c>
    </row>
    <row r="2749" spans="1:12" ht="18" x14ac:dyDescent="0.25">
      <c r="A2749" s="90" t="s">
        <v>860</v>
      </c>
      <c r="B2749" s="90">
        <v>5259</v>
      </c>
      <c r="C2749" s="88" t="s">
        <v>908</v>
      </c>
      <c r="D2749" s="90" t="s">
        <v>17</v>
      </c>
      <c r="E2749" s="90" t="s">
        <v>1187</v>
      </c>
      <c r="F2749" s="90" t="s">
        <v>860</v>
      </c>
      <c r="G2749" s="137">
        <v>13</v>
      </c>
      <c r="H2749" s="94">
        <v>1170</v>
      </c>
      <c r="I2749" s="91">
        <v>46032</v>
      </c>
      <c r="J2749" s="165">
        <v>0.49583333333333335</v>
      </c>
      <c r="K2749" s="94">
        <v>1170</v>
      </c>
      <c r="L2749" s="72" t="str">
        <f t="shared" si="43"/>
        <v>Payé</v>
      </c>
    </row>
    <row r="2750" spans="1:12" ht="18" x14ac:dyDescent="0.25">
      <c r="A2750" s="90" t="s">
        <v>860</v>
      </c>
      <c r="B2750" s="90">
        <v>5260</v>
      </c>
      <c r="C2750" s="88" t="s">
        <v>917</v>
      </c>
      <c r="D2750" s="90" t="s">
        <v>17</v>
      </c>
      <c r="E2750" s="90" t="s">
        <v>649</v>
      </c>
      <c r="F2750" s="90" t="s">
        <v>860</v>
      </c>
      <c r="G2750" s="137">
        <v>1</v>
      </c>
      <c r="H2750" s="94">
        <v>90</v>
      </c>
      <c r="I2750" s="91">
        <v>46031</v>
      </c>
      <c r="J2750" s="165">
        <v>0.52013888888888882</v>
      </c>
      <c r="K2750" s="94">
        <v>90</v>
      </c>
      <c r="L2750" s="72" t="str">
        <f t="shared" si="43"/>
        <v>Payé</v>
      </c>
    </row>
    <row r="2751" spans="1:12" ht="18" x14ac:dyDescent="0.25">
      <c r="A2751" s="90" t="s">
        <v>860</v>
      </c>
      <c r="B2751" s="90">
        <v>5269</v>
      </c>
      <c r="C2751" s="88" t="s">
        <v>925</v>
      </c>
      <c r="D2751" s="90" t="s">
        <v>17</v>
      </c>
      <c r="E2751" s="90" t="s">
        <v>1187</v>
      </c>
      <c r="F2751" s="90" t="s">
        <v>860</v>
      </c>
      <c r="G2751" s="137">
        <v>14</v>
      </c>
      <c r="H2751" s="94">
        <v>1260</v>
      </c>
      <c r="I2751" s="91">
        <v>46032</v>
      </c>
      <c r="J2751" s="165">
        <v>0.49583333333333335</v>
      </c>
      <c r="K2751" s="94">
        <v>1260</v>
      </c>
      <c r="L2751" s="72" t="str">
        <f t="shared" si="43"/>
        <v>Payé</v>
      </c>
    </row>
    <row r="2752" spans="1:12" ht="18" x14ac:dyDescent="0.25">
      <c r="A2752" s="90" t="s">
        <v>860</v>
      </c>
      <c r="B2752" s="90">
        <v>5278</v>
      </c>
      <c r="C2752" s="88" t="s">
        <v>932</v>
      </c>
      <c r="D2752" s="90" t="s">
        <v>17</v>
      </c>
      <c r="E2752" s="90" t="s">
        <v>1187</v>
      </c>
      <c r="F2752" s="90" t="s">
        <v>860</v>
      </c>
      <c r="G2752" s="137">
        <v>1</v>
      </c>
      <c r="H2752" s="94">
        <v>87</v>
      </c>
      <c r="I2752" s="188">
        <v>46077</v>
      </c>
      <c r="J2752" s="189">
        <v>0.60138888888888886</v>
      </c>
      <c r="K2752" s="94">
        <v>87</v>
      </c>
      <c r="L2752" s="72" t="str">
        <f t="shared" si="43"/>
        <v>Payé</v>
      </c>
    </row>
    <row r="2753" spans="1:12" ht="18" x14ac:dyDescent="0.25">
      <c r="A2753" s="90" t="s">
        <v>860</v>
      </c>
      <c r="B2753" s="90">
        <v>5292</v>
      </c>
      <c r="C2753" s="88" t="s">
        <v>1003</v>
      </c>
      <c r="D2753" s="90" t="s">
        <v>17</v>
      </c>
      <c r="E2753" s="90" t="s">
        <v>1187</v>
      </c>
      <c r="F2753" s="90" t="s">
        <v>860</v>
      </c>
      <c r="G2753" s="137">
        <v>13</v>
      </c>
      <c r="H2753" s="94">
        <v>1170</v>
      </c>
      <c r="I2753" s="91">
        <v>46032</v>
      </c>
      <c r="J2753" s="165">
        <v>0.49583333333333335</v>
      </c>
      <c r="K2753" s="94">
        <v>1170</v>
      </c>
      <c r="L2753" s="72" t="str">
        <f t="shared" si="43"/>
        <v>Payé</v>
      </c>
    </row>
    <row r="2754" spans="1:12" ht="18" x14ac:dyDescent="0.25">
      <c r="A2754" s="90" t="s">
        <v>860</v>
      </c>
      <c r="B2754" s="90">
        <v>5305</v>
      </c>
      <c r="C2754" s="88" t="s">
        <v>1016</v>
      </c>
      <c r="D2754" s="90" t="s">
        <v>17</v>
      </c>
      <c r="E2754" s="90" t="s">
        <v>1104</v>
      </c>
      <c r="F2754" s="90" t="s">
        <v>860</v>
      </c>
      <c r="G2754" s="137">
        <v>6</v>
      </c>
      <c r="H2754" s="94">
        <v>540</v>
      </c>
      <c r="I2754" s="91">
        <v>46031</v>
      </c>
      <c r="J2754" s="165">
        <v>0.45347222222222222</v>
      </c>
      <c r="K2754" s="94">
        <v>540</v>
      </c>
      <c r="L2754" s="72" t="str">
        <f t="shared" si="43"/>
        <v>Payé</v>
      </c>
    </row>
    <row r="2755" spans="1:12" ht="18" x14ac:dyDescent="0.25">
      <c r="A2755" s="90" t="s">
        <v>860</v>
      </c>
      <c r="B2755" s="90">
        <v>5317</v>
      </c>
      <c r="C2755" s="88" t="s">
        <v>551</v>
      </c>
      <c r="D2755" s="90" t="s">
        <v>17</v>
      </c>
      <c r="E2755" s="90" t="s">
        <v>649</v>
      </c>
      <c r="F2755" s="90" t="s">
        <v>860</v>
      </c>
      <c r="G2755" s="137">
        <v>10</v>
      </c>
      <c r="H2755" s="94">
        <v>900</v>
      </c>
      <c r="I2755" s="91">
        <v>46030</v>
      </c>
      <c r="J2755" s="165">
        <v>0.71319444444444446</v>
      </c>
      <c r="K2755" s="94">
        <v>900</v>
      </c>
      <c r="L2755" s="72" t="str">
        <f t="shared" si="43"/>
        <v>Payé</v>
      </c>
    </row>
    <row r="2756" spans="1:12" ht="18" x14ac:dyDescent="0.25">
      <c r="A2756" s="90" t="s">
        <v>860</v>
      </c>
      <c r="B2756" s="90">
        <v>5327</v>
      </c>
      <c r="C2756" s="88" t="s">
        <v>1033</v>
      </c>
      <c r="D2756" s="90" t="s">
        <v>17</v>
      </c>
      <c r="E2756" s="90" t="s">
        <v>753</v>
      </c>
      <c r="F2756" s="90" t="s">
        <v>860</v>
      </c>
      <c r="G2756" s="137">
        <v>5.5</v>
      </c>
      <c r="H2756" s="94">
        <v>495</v>
      </c>
      <c r="I2756" s="91">
        <v>46030</v>
      </c>
      <c r="J2756" s="165">
        <v>0.71319444444444446</v>
      </c>
      <c r="K2756" s="94">
        <v>495</v>
      </c>
      <c r="L2756" s="72" t="str">
        <f t="shared" si="43"/>
        <v>Payé</v>
      </c>
    </row>
    <row r="2757" spans="1:12" ht="18" x14ac:dyDescent="0.25">
      <c r="A2757" s="90" t="s">
        <v>860</v>
      </c>
      <c r="B2757" s="90">
        <v>5335</v>
      </c>
      <c r="C2757" s="88" t="s">
        <v>1040</v>
      </c>
      <c r="D2757" s="90" t="s">
        <v>17</v>
      </c>
      <c r="E2757" s="90" t="s">
        <v>753</v>
      </c>
      <c r="F2757" s="90" t="s">
        <v>860</v>
      </c>
      <c r="G2757" s="137">
        <v>5.5</v>
      </c>
      <c r="H2757" s="94">
        <v>495</v>
      </c>
      <c r="I2757" s="91">
        <v>46031</v>
      </c>
      <c r="J2757" s="165">
        <v>0.60972222222222217</v>
      </c>
      <c r="K2757" s="94">
        <v>495</v>
      </c>
      <c r="L2757" s="72" t="str">
        <f t="shared" si="43"/>
        <v>Payé</v>
      </c>
    </row>
    <row r="2758" spans="1:12" ht="18" x14ac:dyDescent="0.25">
      <c r="A2758" s="90" t="s">
        <v>860</v>
      </c>
      <c r="B2758" s="90">
        <v>5336</v>
      </c>
      <c r="C2758" s="88" t="s">
        <v>1041</v>
      </c>
      <c r="D2758" s="90" t="s">
        <v>17</v>
      </c>
      <c r="E2758" s="90" t="s">
        <v>753</v>
      </c>
      <c r="F2758" s="90" t="s">
        <v>860</v>
      </c>
      <c r="G2758" s="137">
        <v>4.5</v>
      </c>
      <c r="H2758" s="94">
        <v>405</v>
      </c>
      <c r="I2758" s="91">
        <v>46030</v>
      </c>
      <c r="J2758" s="165">
        <v>0.71319444444444446</v>
      </c>
      <c r="K2758" s="94">
        <v>405</v>
      </c>
      <c r="L2758" s="72" t="str">
        <f t="shared" si="43"/>
        <v>Payé</v>
      </c>
    </row>
    <row r="2759" spans="1:12" ht="18" x14ac:dyDescent="0.25">
      <c r="A2759" s="90" t="s">
        <v>860</v>
      </c>
      <c r="B2759" s="90">
        <v>5344</v>
      </c>
      <c r="C2759" s="88" t="s">
        <v>1079</v>
      </c>
      <c r="D2759" s="90" t="s">
        <v>17</v>
      </c>
      <c r="E2759" s="90" t="s">
        <v>123</v>
      </c>
      <c r="F2759" s="90" t="s">
        <v>860</v>
      </c>
      <c r="G2759" s="137">
        <v>8</v>
      </c>
      <c r="H2759" s="94">
        <v>790</v>
      </c>
      <c r="I2759" s="91">
        <v>46030</v>
      </c>
      <c r="J2759" s="165">
        <v>0.71319444444444446</v>
      </c>
      <c r="K2759" s="94">
        <v>790</v>
      </c>
      <c r="L2759" s="72" t="str">
        <f t="shared" si="43"/>
        <v>Payé</v>
      </c>
    </row>
    <row r="2760" spans="1:12" ht="18" x14ac:dyDescent="0.25">
      <c r="A2760" s="90" t="s">
        <v>860</v>
      </c>
      <c r="B2760" s="90">
        <v>5348</v>
      </c>
      <c r="C2760" s="88" t="s">
        <v>1083</v>
      </c>
      <c r="D2760" s="90" t="s">
        <v>17</v>
      </c>
      <c r="E2760" s="90" t="s">
        <v>370</v>
      </c>
      <c r="F2760" s="90" t="s">
        <v>860</v>
      </c>
      <c r="G2760" s="137">
        <v>3</v>
      </c>
      <c r="H2760" s="94">
        <v>260</v>
      </c>
      <c r="I2760" s="91">
        <v>46031</v>
      </c>
      <c r="J2760" s="165">
        <v>0.45069444444444445</v>
      </c>
      <c r="K2760" s="94">
        <v>260</v>
      </c>
      <c r="L2760" s="72" t="str">
        <f t="shared" si="43"/>
        <v>Payé</v>
      </c>
    </row>
    <row r="2761" spans="1:12" ht="18" x14ac:dyDescent="0.25">
      <c r="A2761" s="90" t="s">
        <v>860</v>
      </c>
      <c r="B2761" s="90">
        <v>5355</v>
      </c>
      <c r="C2761" s="88" t="s">
        <v>1090</v>
      </c>
      <c r="D2761" s="90" t="s">
        <v>17</v>
      </c>
      <c r="E2761" s="90" t="s">
        <v>1104</v>
      </c>
      <c r="F2761" s="90" t="s">
        <v>860</v>
      </c>
      <c r="G2761" s="137">
        <v>2</v>
      </c>
      <c r="H2761" s="94">
        <v>180</v>
      </c>
      <c r="I2761" s="91">
        <v>46031</v>
      </c>
      <c r="J2761" s="165">
        <v>0.45347222222222222</v>
      </c>
      <c r="K2761" s="94">
        <v>180</v>
      </c>
      <c r="L2761" s="72" t="str">
        <f t="shared" si="43"/>
        <v>Payé</v>
      </c>
    </row>
    <row r="2762" spans="1:12" ht="18" x14ac:dyDescent="0.25">
      <c r="A2762" s="90" t="s">
        <v>860</v>
      </c>
      <c r="B2762" s="90">
        <v>5365</v>
      </c>
      <c r="C2762" s="88" t="s">
        <v>1123</v>
      </c>
      <c r="D2762" s="90" t="s">
        <v>17</v>
      </c>
      <c r="E2762" s="90" t="s">
        <v>370</v>
      </c>
      <c r="F2762" s="90" t="s">
        <v>860</v>
      </c>
      <c r="G2762" s="137">
        <v>13</v>
      </c>
      <c r="H2762" s="94">
        <v>1648</v>
      </c>
      <c r="I2762" s="91">
        <v>46031</v>
      </c>
      <c r="J2762" s="165">
        <v>0.45069444444444445</v>
      </c>
      <c r="K2762" s="94">
        <v>1648</v>
      </c>
      <c r="L2762" s="72" t="str">
        <f t="shared" si="43"/>
        <v>Payé</v>
      </c>
    </row>
    <row r="2763" spans="1:12" ht="18" x14ac:dyDescent="0.25">
      <c r="A2763" s="90" t="s">
        <v>860</v>
      </c>
      <c r="B2763" s="90">
        <v>6070</v>
      </c>
      <c r="C2763" s="88" t="s">
        <v>1153</v>
      </c>
      <c r="D2763" s="90" t="s">
        <v>17</v>
      </c>
      <c r="E2763" s="90" t="s">
        <v>49</v>
      </c>
      <c r="F2763" s="90" t="s">
        <v>860</v>
      </c>
      <c r="G2763" s="137">
        <v>6</v>
      </c>
      <c r="H2763" s="94">
        <v>540</v>
      </c>
      <c r="I2763" s="91">
        <v>46031</v>
      </c>
      <c r="J2763" s="165">
        <v>0.62777777777777777</v>
      </c>
      <c r="K2763" s="94">
        <v>540</v>
      </c>
      <c r="L2763" s="72" t="str">
        <f t="shared" si="43"/>
        <v>Payé</v>
      </c>
    </row>
    <row r="2764" spans="1:12" ht="18" x14ac:dyDescent="0.25">
      <c r="A2764" s="90" t="s">
        <v>860</v>
      </c>
      <c r="B2764" s="90">
        <v>7004</v>
      </c>
      <c r="C2764" s="88" t="s">
        <v>713</v>
      </c>
      <c r="D2764" s="90" t="s">
        <v>17</v>
      </c>
      <c r="E2764" s="90" t="s">
        <v>49</v>
      </c>
      <c r="F2764" s="90" t="s">
        <v>860</v>
      </c>
      <c r="G2764" s="137">
        <v>11</v>
      </c>
      <c r="H2764" s="94">
        <v>990</v>
      </c>
      <c r="I2764" s="91">
        <v>46031</v>
      </c>
      <c r="J2764" s="165">
        <v>0.62777777777777777</v>
      </c>
      <c r="K2764" s="94">
        <v>990</v>
      </c>
      <c r="L2764" s="72" t="str">
        <f t="shared" si="43"/>
        <v>Payé</v>
      </c>
    </row>
    <row r="2765" spans="1:12" ht="18" x14ac:dyDescent="0.25">
      <c r="A2765" s="90" t="s">
        <v>860</v>
      </c>
      <c r="B2765" s="90">
        <v>8022</v>
      </c>
      <c r="C2765" s="88" t="s">
        <v>707</v>
      </c>
      <c r="D2765" s="90" t="s">
        <v>17</v>
      </c>
      <c r="E2765" s="90" t="s">
        <v>628</v>
      </c>
      <c r="F2765" s="90" t="s">
        <v>860</v>
      </c>
      <c r="G2765" s="137">
        <v>10</v>
      </c>
      <c r="H2765" s="94">
        <v>920</v>
      </c>
      <c r="I2765" s="91">
        <v>46031</v>
      </c>
      <c r="J2765" s="165">
        <v>0.71319444444444446</v>
      </c>
      <c r="K2765" s="94">
        <v>920</v>
      </c>
      <c r="L2765" s="72" t="str">
        <f t="shared" si="43"/>
        <v>Payé</v>
      </c>
    </row>
    <row r="2766" spans="1:12" ht="18" x14ac:dyDescent="0.25">
      <c r="A2766" s="90" t="s">
        <v>860</v>
      </c>
      <c r="B2766" s="90">
        <v>10003</v>
      </c>
      <c r="C2766" s="88" t="s">
        <v>1129</v>
      </c>
      <c r="D2766" s="90" t="s">
        <v>17</v>
      </c>
      <c r="E2766" s="90" t="s">
        <v>753</v>
      </c>
      <c r="F2766" s="90" t="s">
        <v>860</v>
      </c>
      <c r="G2766" s="137">
        <v>3</v>
      </c>
      <c r="H2766" s="94">
        <v>270</v>
      </c>
      <c r="I2766" s="91">
        <v>46034</v>
      </c>
      <c r="J2766" s="165">
        <v>0.5708333333333333</v>
      </c>
      <c r="K2766" s="94">
        <v>270</v>
      </c>
      <c r="L2766" s="72" t="str">
        <f t="shared" si="43"/>
        <v>Payé</v>
      </c>
    </row>
    <row r="2767" spans="1:12" ht="18" x14ac:dyDescent="0.25">
      <c r="A2767" s="90" t="s">
        <v>860</v>
      </c>
      <c r="B2767" s="90">
        <v>10004</v>
      </c>
      <c r="C2767" s="88" t="s">
        <v>1130</v>
      </c>
      <c r="D2767" s="90" t="s">
        <v>17</v>
      </c>
      <c r="E2767" s="90" t="s">
        <v>370</v>
      </c>
      <c r="F2767" s="90" t="s">
        <v>860</v>
      </c>
      <c r="G2767" s="137">
        <v>16</v>
      </c>
      <c r="H2767" s="94">
        <v>1920</v>
      </c>
      <c r="I2767" s="91">
        <v>46032</v>
      </c>
      <c r="J2767" s="165">
        <v>0.4993055555555555</v>
      </c>
      <c r="K2767" s="94">
        <v>1920</v>
      </c>
      <c r="L2767" s="72" t="str">
        <f t="shared" si="43"/>
        <v>Payé</v>
      </c>
    </row>
    <row r="2768" spans="1:12" ht="18" x14ac:dyDescent="0.25">
      <c r="A2768" s="90" t="s">
        <v>860</v>
      </c>
      <c r="B2768" s="90">
        <v>10007</v>
      </c>
      <c r="C2768" s="88" t="s">
        <v>1133</v>
      </c>
      <c r="D2768" s="90" t="s">
        <v>17</v>
      </c>
      <c r="E2768" s="90" t="s">
        <v>368</v>
      </c>
      <c r="F2768" s="90" t="s">
        <v>860</v>
      </c>
      <c r="G2768" s="137">
        <v>15</v>
      </c>
      <c r="H2768" s="94">
        <v>1800</v>
      </c>
      <c r="I2768" s="91">
        <v>46032</v>
      </c>
      <c r="J2768" s="165">
        <v>0.47569444444444442</v>
      </c>
      <c r="K2768" s="94">
        <v>1800</v>
      </c>
      <c r="L2768" s="72" t="str">
        <f t="shared" si="43"/>
        <v>Payé</v>
      </c>
    </row>
    <row r="2769" spans="1:12" ht="18" x14ac:dyDescent="0.25">
      <c r="A2769" s="90" t="s">
        <v>860</v>
      </c>
      <c r="B2769" s="90">
        <v>10008</v>
      </c>
      <c r="C2769" s="88" t="s">
        <v>1134</v>
      </c>
      <c r="D2769" s="90" t="s">
        <v>17</v>
      </c>
      <c r="E2769" s="90" t="s">
        <v>628</v>
      </c>
      <c r="F2769" s="90" t="s">
        <v>860</v>
      </c>
      <c r="G2769" s="137">
        <v>10</v>
      </c>
      <c r="H2769" s="94">
        <v>900</v>
      </c>
      <c r="I2769" s="91">
        <v>46031</v>
      </c>
      <c r="J2769" s="165">
        <v>0.71319444444444446</v>
      </c>
      <c r="K2769" s="94">
        <v>900</v>
      </c>
      <c r="L2769" s="72" t="str">
        <f t="shared" si="43"/>
        <v>Payé</v>
      </c>
    </row>
    <row r="2770" spans="1:12" ht="18" x14ac:dyDescent="0.25">
      <c r="A2770" s="90" t="s">
        <v>860</v>
      </c>
      <c r="B2770" s="90">
        <v>10030</v>
      </c>
      <c r="C2770" s="88" t="s">
        <v>1176</v>
      </c>
      <c r="D2770" s="90" t="s">
        <v>17</v>
      </c>
      <c r="E2770" s="90" t="s">
        <v>753</v>
      </c>
      <c r="F2770" s="90" t="s">
        <v>860</v>
      </c>
      <c r="G2770" s="137">
        <v>10</v>
      </c>
      <c r="H2770" s="94">
        <v>900</v>
      </c>
      <c r="I2770" s="91">
        <v>46030</v>
      </c>
      <c r="J2770" s="165">
        <v>0.71319444444444446</v>
      </c>
      <c r="K2770" s="94">
        <v>900</v>
      </c>
      <c r="L2770" s="72" t="str">
        <f t="shared" si="43"/>
        <v>Payé</v>
      </c>
    </row>
    <row r="2771" spans="1:12" ht="18" x14ac:dyDescent="0.25">
      <c r="A2771" s="90" t="s">
        <v>860</v>
      </c>
      <c r="B2771" s="90">
        <v>10031</v>
      </c>
      <c r="C2771" s="88" t="s">
        <v>1177</v>
      </c>
      <c r="D2771" s="90" t="s">
        <v>17</v>
      </c>
      <c r="E2771" s="90" t="s">
        <v>753</v>
      </c>
      <c r="F2771" s="90" t="s">
        <v>860</v>
      </c>
      <c r="G2771" s="137">
        <v>11.5</v>
      </c>
      <c r="H2771" s="94">
        <v>1035</v>
      </c>
      <c r="I2771" s="91">
        <v>46030</v>
      </c>
      <c r="J2771" s="165">
        <v>0.71319444444444446</v>
      </c>
      <c r="K2771" s="94">
        <v>1035</v>
      </c>
      <c r="L2771" s="72" t="str">
        <f t="shared" si="43"/>
        <v>Payé</v>
      </c>
    </row>
    <row r="2772" spans="1:12" ht="18" x14ac:dyDescent="0.25">
      <c r="A2772" s="90" t="s">
        <v>860</v>
      </c>
      <c r="B2772" s="90">
        <v>10032</v>
      </c>
      <c r="C2772" s="88" t="s">
        <v>1178</v>
      </c>
      <c r="D2772" s="90" t="s">
        <v>17</v>
      </c>
      <c r="E2772" s="90" t="s">
        <v>753</v>
      </c>
      <c r="F2772" s="90" t="s">
        <v>860</v>
      </c>
      <c r="G2772" s="137">
        <v>8.5</v>
      </c>
      <c r="H2772" s="94">
        <v>765</v>
      </c>
      <c r="I2772" s="91">
        <v>46030</v>
      </c>
      <c r="J2772" s="165">
        <v>0.71319444444444446</v>
      </c>
      <c r="K2772" s="94">
        <v>765</v>
      </c>
      <c r="L2772" s="72" t="str">
        <f t="shared" si="43"/>
        <v>Payé</v>
      </c>
    </row>
    <row r="2773" spans="1:12" ht="18" x14ac:dyDescent="0.25">
      <c r="A2773" s="90" t="s">
        <v>860</v>
      </c>
      <c r="B2773" s="90">
        <v>10035</v>
      </c>
      <c r="C2773" s="88" t="s">
        <v>1181</v>
      </c>
      <c r="D2773" s="90" t="s">
        <v>17</v>
      </c>
      <c r="E2773" s="90" t="s">
        <v>369</v>
      </c>
      <c r="F2773" s="90" t="s">
        <v>860</v>
      </c>
      <c r="G2773" s="137">
        <v>12</v>
      </c>
      <c r="H2773" s="94">
        <v>1200</v>
      </c>
      <c r="I2773" s="91">
        <v>46031</v>
      </c>
      <c r="J2773" s="165">
        <v>0.59236111111111112</v>
      </c>
      <c r="K2773" s="94">
        <v>1200</v>
      </c>
      <c r="L2773" s="72" t="str">
        <f t="shared" si="43"/>
        <v>Payé</v>
      </c>
    </row>
    <row r="2774" spans="1:12" ht="18" x14ac:dyDescent="0.25">
      <c r="A2774" s="90" t="s">
        <v>860</v>
      </c>
      <c r="B2774" s="90">
        <v>10038</v>
      </c>
      <c r="C2774" s="88" t="s">
        <v>1182</v>
      </c>
      <c r="D2774" s="90" t="s">
        <v>17</v>
      </c>
      <c r="E2774" s="90" t="s">
        <v>370</v>
      </c>
      <c r="F2774" s="90" t="s">
        <v>860</v>
      </c>
      <c r="G2774" s="137">
        <v>16</v>
      </c>
      <c r="H2774" s="94">
        <v>1600</v>
      </c>
      <c r="I2774" s="91">
        <v>46031</v>
      </c>
      <c r="J2774" s="165">
        <v>0.56527777777777777</v>
      </c>
      <c r="K2774" s="94">
        <v>1600</v>
      </c>
      <c r="L2774" s="72" t="str">
        <f t="shared" si="43"/>
        <v>Payé</v>
      </c>
    </row>
    <row r="2775" spans="1:12" ht="18" x14ac:dyDescent="0.25">
      <c r="A2775" s="90" t="s">
        <v>860</v>
      </c>
      <c r="B2775" s="90">
        <v>10039</v>
      </c>
      <c r="C2775" s="88" t="s">
        <v>1183</v>
      </c>
      <c r="D2775" s="90" t="s">
        <v>17</v>
      </c>
      <c r="E2775" s="90" t="s">
        <v>753</v>
      </c>
      <c r="F2775" s="90" t="s">
        <v>860</v>
      </c>
      <c r="G2775" s="137">
        <v>2</v>
      </c>
      <c r="H2775" s="94">
        <v>180</v>
      </c>
      <c r="I2775" s="91">
        <v>46119</v>
      </c>
      <c r="J2775" s="165">
        <v>0.71250000000000002</v>
      </c>
      <c r="K2775" s="94">
        <v>180</v>
      </c>
      <c r="L2775" s="72" t="str">
        <f t="shared" si="43"/>
        <v>Payé</v>
      </c>
    </row>
    <row r="2776" spans="1:12" ht="18" x14ac:dyDescent="0.25">
      <c r="A2776" s="90" t="s">
        <v>860</v>
      </c>
      <c r="B2776" s="90">
        <v>10040</v>
      </c>
      <c r="C2776" s="88" t="s">
        <v>1184</v>
      </c>
      <c r="D2776" s="90" t="s">
        <v>17</v>
      </c>
      <c r="E2776" s="90" t="s">
        <v>1187</v>
      </c>
      <c r="F2776" s="90" t="s">
        <v>860</v>
      </c>
      <c r="G2776" s="137">
        <v>14</v>
      </c>
      <c r="H2776" s="94">
        <v>1260</v>
      </c>
      <c r="I2776" s="91">
        <v>46031</v>
      </c>
      <c r="J2776" s="165">
        <v>0.58680555555555558</v>
      </c>
      <c r="K2776" s="94">
        <v>1260</v>
      </c>
      <c r="L2776" s="72" t="str">
        <f t="shared" si="43"/>
        <v>Payé</v>
      </c>
    </row>
    <row r="2777" spans="1:12" ht="18" x14ac:dyDescent="0.25">
      <c r="A2777" s="90" t="s">
        <v>860</v>
      </c>
      <c r="B2777" s="90">
        <v>10041</v>
      </c>
      <c r="C2777" s="88" t="s">
        <v>1213</v>
      </c>
      <c r="D2777" s="90" t="s">
        <v>17</v>
      </c>
      <c r="E2777" s="90" t="s">
        <v>753</v>
      </c>
      <c r="F2777" s="90" t="s">
        <v>860</v>
      </c>
      <c r="G2777" s="137">
        <v>8</v>
      </c>
      <c r="H2777" s="94">
        <v>720</v>
      </c>
      <c r="I2777" s="91">
        <v>46030</v>
      </c>
      <c r="J2777" s="165">
        <v>0.71319444444444446</v>
      </c>
      <c r="K2777" s="94">
        <v>720</v>
      </c>
      <c r="L2777" s="72" t="str">
        <f t="shared" si="43"/>
        <v>Payé</v>
      </c>
    </row>
    <row r="2778" spans="1:12" ht="18" x14ac:dyDescent="0.25">
      <c r="A2778" s="90" t="s">
        <v>860</v>
      </c>
      <c r="B2778" s="90">
        <v>10048</v>
      </c>
      <c r="C2778" s="88" t="s">
        <v>1218</v>
      </c>
      <c r="D2778" s="90" t="s">
        <v>17</v>
      </c>
      <c r="E2778" s="90" t="s">
        <v>1104</v>
      </c>
      <c r="F2778" s="90" t="s">
        <v>860</v>
      </c>
      <c r="G2778" s="137">
        <v>13</v>
      </c>
      <c r="H2778" s="94">
        <v>1180</v>
      </c>
      <c r="I2778" s="91">
        <v>46031</v>
      </c>
      <c r="J2778" s="165">
        <v>0.45347222222222222</v>
      </c>
      <c r="K2778" s="94">
        <v>1180</v>
      </c>
      <c r="L2778" s="72" t="str">
        <f t="shared" si="43"/>
        <v>Payé</v>
      </c>
    </row>
    <row r="2779" spans="1:12" ht="18" x14ac:dyDescent="0.25">
      <c r="A2779" s="90" t="s">
        <v>860</v>
      </c>
      <c r="B2779" s="90">
        <v>10054</v>
      </c>
      <c r="C2779" s="88" t="s">
        <v>1222</v>
      </c>
      <c r="D2779" s="90" t="s">
        <v>17</v>
      </c>
      <c r="E2779" s="90" t="s">
        <v>1104</v>
      </c>
      <c r="F2779" s="90" t="s">
        <v>860</v>
      </c>
      <c r="G2779" s="137">
        <v>12</v>
      </c>
      <c r="H2779" s="94">
        <v>1090</v>
      </c>
      <c r="I2779" s="91">
        <v>46030</v>
      </c>
      <c r="J2779" s="165">
        <v>0.71319444444444446</v>
      </c>
      <c r="K2779" s="94">
        <v>1090</v>
      </c>
      <c r="L2779" s="72" t="str">
        <f t="shared" si="43"/>
        <v>Payé</v>
      </c>
    </row>
    <row r="2780" spans="1:12" ht="18" x14ac:dyDescent="0.25">
      <c r="A2780" s="90" t="s">
        <v>860</v>
      </c>
      <c r="B2780" s="90">
        <v>10070</v>
      </c>
      <c r="C2780" s="88" t="s">
        <v>1250</v>
      </c>
      <c r="D2780" s="90" t="s">
        <v>17</v>
      </c>
      <c r="E2780" s="90" t="s">
        <v>49</v>
      </c>
      <c r="F2780" s="90" t="s">
        <v>860</v>
      </c>
      <c r="G2780" s="137">
        <v>5</v>
      </c>
      <c r="H2780" s="94">
        <v>450</v>
      </c>
      <c r="I2780" s="91">
        <v>46031</v>
      </c>
      <c r="J2780" s="165">
        <v>0.62777777777777777</v>
      </c>
      <c r="K2780" s="94">
        <v>450</v>
      </c>
      <c r="L2780" s="72" t="str">
        <f t="shared" si="43"/>
        <v>Payé</v>
      </c>
    </row>
    <row r="2781" spans="1:12" ht="18" x14ac:dyDescent="0.25">
      <c r="A2781" s="90" t="s">
        <v>860</v>
      </c>
      <c r="B2781" s="90">
        <v>10071</v>
      </c>
      <c r="C2781" s="88" t="s">
        <v>1251</v>
      </c>
      <c r="D2781" s="90" t="s">
        <v>17</v>
      </c>
      <c r="E2781" s="90" t="s">
        <v>753</v>
      </c>
      <c r="F2781" s="90" t="s">
        <v>860</v>
      </c>
      <c r="G2781" s="137">
        <v>2.5</v>
      </c>
      <c r="H2781" s="94">
        <v>225</v>
      </c>
      <c r="I2781" s="91">
        <v>46031</v>
      </c>
      <c r="J2781" s="165">
        <v>0.60972222222222217</v>
      </c>
      <c r="K2781" s="94">
        <v>225</v>
      </c>
      <c r="L2781" s="72" t="str">
        <f t="shared" si="43"/>
        <v>Payé</v>
      </c>
    </row>
    <row r="2782" spans="1:12" ht="18" x14ac:dyDescent="0.25">
      <c r="A2782" s="90" t="s">
        <v>860</v>
      </c>
      <c r="B2782" s="90">
        <v>10081</v>
      </c>
      <c r="C2782" s="88" t="s">
        <v>1258</v>
      </c>
      <c r="D2782" s="90" t="s">
        <v>17</v>
      </c>
      <c r="E2782" s="90" t="s">
        <v>613</v>
      </c>
      <c r="F2782" s="90" t="s">
        <v>860</v>
      </c>
      <c r="G2782" s="137">
        <v>14</v>
      </c>
      <c r="H2782" s="94">
        <v>1540</v>
      </c>
      <c r="I2782" s="91">
        <v>46034</v>
      </c>
      <c r="J2782" s="165">
        <v>0.36180555555555555</v>
      </c>
      <c r="K2782" s="94">
        <v>1540</v>
      </c>
      <c r="L2782" s="72" t="str">
        <f t="shared" ref="L2782:L2845" si="44">IF(ISBLANK(H2782),"",IF(H2782=K2782,"Payé","Impayé"))</f>
        <v>Payé</v>
      </c>
    </row>
    <row r="2783" spans="1:12" ht="18" x14ac:dyDescent="0.25">
      <c r="A2783" s="90" t="s">
        <v>860</v>
      </c>
      <c r="B2783" s="90">
        <v>10082</v>
      </c>
      <c r="C2783" s="88" t="s">
        <v>1259</v>
      </c>
      <c r="D2783" s="90" t="s">
        <v>17</v>
      </c>
      <c r="E2783" s="90" t="s">
        <v>254</v>
      </c>
      <c r="F2783" s="90" t="s">
        <v>860</v>
      </c>
      <c r="G2783" s="137">
        <v>5</v>
      </c>
      <c r="H2783" s="94">
        <v>450</v>
      </c>
      <c r="I2783" s="91">
        <v>46031</v>
      </c>
      <c r="J2783" s="165">
        <v>0.62361111111111112</v>
      </c>
      <c r="K2783" s="94">
        <v>450</v>
      </c>
      <c r="L2783" s="72" t="str">
        <f t="shared" si="44"/>
        <v>Payé</v>
      </c>
    </row>
    <row r="2784" spans="1:12" ht="18" x14ac:dyDescent="0.25">
      <c r="A2784" s="90" t="s">
        <v>860</v>
      </c>
      <c r="B2784" s="90">
        <v>10083</v>
      </c>
      <c r="C2784" s="88" t="s">
        <v>1273</v>
      </c>
      <c r="D2784" s="90" t="s">
        <v>17</v>
      </c>
      <c r="E2784" s="90" t="s">
        <v>254</v>
      </c>
      <c r="F2784" s="90" t="s">
        <v>860</v>
      </c>
      <c r="G2784" s="137">
        <v>5</v>
      </c>
      <c r="H2784" s="94">
        <v>450</v>
      </c>
      <c r="I2784" s="91">
        <v>46031</v>
      </c>
      <c r="J2784" s="165">
        <v>0.62361111111111112</v>
      </c>
      <c r="K2784" s="94">
        <v>450</v>
      </c>
      <c r="L2784" s="72" t="str">
        <f t="shared" si="44"/>
        <v>Payé</v>
      </c>
    </row>
    <row r="2785" spans="1:12" ht="18" x14ac:dyDescent="0.25">
      <c r="A2785" s="90" t="s">
        <v>860</v>
      </c>
      <c r="B2785" s="90">
        <v>10084</v>
      </c>
      <c r="C2785" s="88" t="s">
        <v>1261</v>
      </c>
      <c r="D2785" s="90" t="s">
        <v>17</v>
      </c>
      <c r="E2785" s="90" t="s">
        <v>667</v>
      </c>
      <c r="F2785" s="90" t="s">
        <v>860</v>
      </c>
      <c r="G2785" s="137">
        <v>12</v>
      </c>
      <c r="H2785" s="94">
        <v>1080</v>
      </c>
      <c r="I2785" s="91">
        <v>46032</v>
      </c>
      <c r="J2785" s="165">
        <v>0.51180555555555551</v>
      </c>
      <c r="K2785" s="94">
        <v>1080</v>
      </c>
      <c r="L2785" s="72" t="str">
        <f t="shared" si="44"/>
        <v>Payé</v>
      </c>
    </row>
    <row r="2786" spans="1:12" ht="18" x14ac:dyDescent="0.25">
      <c r="A2786" s="90" t="s">
        <v>860</v>
      </c>
      <c r="B2786" s="90">
        <v>10085</v>
      </c>
      <c r="C2786" s="88" t="s">
        <v>1361</v>
      </c>
      <c r="D2786" s="90" t="s">
        <v>17</v>
      </c>
      <c r="E2786" s="90" t="s">
        <v>649</v>
      </c>
      <c r="F2786" s="90" t="s">
        <v>860</v>
      </c>
      <c r="G2786" s="137">
        <v>8</v>
      </c>
      <c r="H2786" s="94">
        <v>720</v>
      </c>
      <c r="I2786" s="91">
        <v>46030</v>
      </c>
      <c r="J2786" s="165">
        <v>0.71319444444444446</v>
      </c>
      <c r="K2786" s="94">
        <v>720</v>
      </c>
      <c r="L2786" s="72" t="str">
        <f t="shared" si="44"/>
        <v>Payé</v>
      </c>
    </row>
    <row r="2787" spans="1:12" ht="18" x14ac:dyDescent="0.25">
      <c r="A2787" s="90" t="s">
        <v>860</v>
      </c>
      <c r="B2787" s="90">
        <v>10086</v>
      </c>
      <c r="C2787" s="88" t="s">
        <v>1262</v>
      </c>
      <c r="D2787" s="90" t="s">
        <v>17</v>
      </c>
      <c r="E2787" s="90" t="s">
        <v>667</v>
      </c>
      <c r="F2787" s="90" t="s">
        <v>860</v>
      </c>
      <c r="G2787" s="137">
        <v>12</v>
      </c>
      <c r="H2787" s="94">
        <v>1080</v>
      </c>
      <c r="I2787" s="91">
        <v>46032</v>
      </c>
      <c r="J2787" s="165">
        <v>0.51180555555555551</v>
      </c>
      <c r="K2787" s="94">
        <v>1080</v>
      </c>
      <c r="L2787" s="72" t="str">
        <f t="shared" si="44"/>
        <v>Payé</v>
      </c>
    </row>
    <row r="2788" spans="1:12" ht="18" x14ac:dyDescent="0.25">
      <c r="A2788" s="90" t="s">
        <v>860</v>
      </c>
      <c r="B2788" s="90">
        <v>10087</v>
      </c>
      <c r="C2788" s="88" t="s">
        <v>1263</v>
      </c>
      <c r="D2788" s="90" t="s">
        <v>17</v>
      </c>
      <c r="E2788" s="90" t="s">
        <v>667</v>
      </c>
      <c r="F2788" s="90" t="s">
        <v>860</v>
      </c>
      <c r="G2788" s="137">
        <v>12</v>
      </c>
      <c r="H2788" s="94">
        <v>1080</v>
      </c>
      <c r="I2788" s="91">
        <v>46032</v>
      </c>
      <c r="J2788" s="165">
        <v>0.51180555555555551</v>
      </c>
      <c r="K2788" s="94">
        <v>1080</v>
      </c>
      <c r="L2788" s="72" t="str">
        <f t="shared" si="44"/>
        <v>Payé</v>
      </c>
    </row>
    <row r="2789" spans="1:12" ht="18" x14ac:dyDescent="0.25">
      <c r="A2789" s="90" t="s">
        <v>860</v>
      </c>
      <c r="B2789" s="90">
        <v>10093</v>
      </c>
      <c r="C2789" s="88" t="s">
        <v>1269</v>
      </c>
      <c r="D2789" s="90" t="s">
        <v>17</v>
      </c>
      <c r="E2789" s="90" t="s">
        <v>667</v>
      </c>
      <c r="F2789" s="90" t="s">
        <v>860</v>
      </c>
      <c r="G2789" s="137">
        <v>3</v>
      </c>
      <c r="H2789" s="94">
        <v>270</v>
      </c>
      <c r="I2789" s="91">
        <v>46032</v>
      </c>
      <c r="J2789" s="165">
        <v>0.51180555555555551</v>
      </c>
      <c r="K2789" s="94">
        <v>270</v>
      </c>
      <c r="L2789" s="72" t="str">
        <f t="shared" si="44"/>
        <v>Payé</v>
      </c>
    </row>
    <row r="2790" spans="1:12" ht="18" x14ac:dyDescent="0.25">
      <c r="A2790" s="90" t="s">
        <v>860</v>
      </c>
      <c r="B2790" s="90">
        <v>10095</v>
      </c>
      <c r="C2790" s="88" t="s">
        <v>1271</v>
      </c>
      <c r="D2790" s="90" t="s">
        <v>17</v>
      </c>
      <c r="E2790" s="90" t="s">
        <v>667</v>
      </c>
      <c r="F2790" s="90" t="s">
        <v>860</v>
      </c>
      <c r="G2790" s="137">
        <v>9</v>
      </c>
      <c r="H2790" s="94">
        <v>810</v>
      </c>
      <c r="I2790" s="91">
        <v>46032</v>
      </c>
      <c r="J2790" s="165">
        <v>0.51180555555555551</v>
      </c>
      <c r="K2790" s="94">
        <v>810</v>
      </c>
      <c r="L2790" s="72" t="str">
        <f t="shared" si="44"/>
        <v>Payé</v>
      </c>
    </row>
    <row r="2791" spans="1:12" ht="18" x14ac:dyDescent="0.25">
      <c r="A2791" s="90" t="s">
        <v>860</v>
      </c>
      <c r="B2791" s="90">
        <v>10096</v>
      </c>
      <c r="C2791" s="88" t="s">
        <v>1293</v>
      </c>
      <c r="D2791" s="90" t="s">
        <v>17</v>
      </c>
      <c r="E2791" s="90" t="s">
        <v>667</v>
      </c>
      <c r="F2791" s="90" t="s">
        <v>860</v>
      </c>
      <c r="G2791" s="137">
        <v>7</v>
      </c>
      <c r="H2791" s="94">
        <v>630</v>
      </c>
      <c r="I2791" s="91">
        <v>46032</v>
      </c>
      <c r="J2791" s="165">
        <v>0.51180555555555551</v>
      </c>
      <c r="K2791" s="94">
        <v>630</v>
      </c>
      <c r="L2791" s="72" t="str">
        <f t="shared" si="44"/>
        <v>Payé</v>
      </c>
    </row>
    <row r="2792" spans="1:12" ht="18" x14ac:dyDescent="0.25">
      <c r="A2792" s="90" t="s">
        <v>860</v>
      </c>
      <c r="B2792" s="90">
        <v>10099</v>
      </c>
      <c r="C2792" s="88" t="s">
        <v>1296</v>
      </c>
      <c r="D2792" s="90" t="s">
        <v>17</v>
      </c>
      <c r="E2792" s="90" t="s">
        <v>667</v>
      </c>
      <c r="F2792" s="90" t="s">
        <v>860</v>
      </c>
      <c r="G2792" s="137">
        <v>9</v>
      </c>
      <c r="H2792" s="94">
        <v>810</v>
      </c>
      <c r="I2792" s="91">
        <v>46032</v>
      </c>
      <c r="J2792" s="165">
        <v>0.51180555555555551</v>
      </c>
      <c r="K2792" s="94">
        <v>810</v>
      </c>
      <c r="L2792" s="72" t="str">
        <f t="shared" si="44"/>
        <v>Payé</v>
      </c>
    </row>
    <row r="2793" spans="1:12" ht="18" x14ac:dyDescent="0.25">
      <c r="A2793" s="90" t="s">
        <v>860</v>
      </c>
      <c r="B2793" s="90">
        <v>10100</v>
      </c>
      <c r="C2793" s="88" t="s">
        <v>1297</v>
      </c>
      <c r="D2793" s="90" t="s">
        <v>17</v>
      </c>
      <c r="E2793" s="90" t="s">
        <v>667</v>
      </c>
      <c r="F2793" s="90" t="s">
        <v>860</v>
      </c>
      <c r="G2793" s="137">
        <v>5</v>
      </c>
      <c r="H2793" s="94">
        <v>450</v>
      </c>
      <c r="I2793" s="91">
        <v>46032</v>
      </c>
      <c r="J2793" s="165">
        <v>0.51180555555555551</v>
      </c>
      <c r="K2793" s="94">
        <v>450</v>
      </c>
      <c r="L2793" s="72" t="str">
        <f t="shared" si="44"/>
        <v>Payé</v>
      </c>
    </row>
    <row r="2794" spans="1:12" ht="18" x14ac:dyDescent="0.25">
      <c r="A2794" s="90" t="s">
        <v>860</v>
      </c>
      <c r="B2794" s="90">
        <v>10101</v>
      </c>
      <c r="C2794" s="88" t="s">
        <v>1298</v>
      </c>
      <c r="D2794" s="90" t="s">
        <v>17</v>
      </c>
      <c r="E2794" s="90" t="s">
        <v>667</v>
      </c>
      <c r="F2794" s="90" t="s">
        <v>860</v>
      </c>
      <c r="G2794" s="137">
        <v>13</v>
      </c>
      <c r="H2794" s="94">
        <v>1170</v>
      </c>
      <c r="I2794" s="91">
        <v>46032</v>
      </c>
      <c r="J2794" s="165">
        <v>0.51180555555555551</v>
      </c>
      <c r="K2794" s="94">
        <v>1170</v>
      </c>
      <c r="L2794" s="72" t="str">
        <f t="shared" si="44"/>
        <v>Payé</v>
      </c>
    </row>
    <row r="2795" spans="1:12" ht="18" x14ac:dyDescent="0.25">
      <c r="A2795" s="90" t="s">
        <v>860</v>
      </c>
      <c r="B2795" s="90">
        <v>10105</v>
      </c>
      <c r="C2795" s="88" t="s">
        <v>1300</v>
      </c>
      <c r="D2795" s="90" t="s">
        <v>17</v>
      </c>
      <c r="E2795" s="90" t="s">
        <v>649</v>
      </c>
      <c r="F2795" s="90" t="s">
        <v>860</v>
      </c>
      <c r="G2795" s="137">
        <v>10</v>
      </c>
      <c r="H2795" s="94">
        <v>900</v>
      </c>
      <c r="I2795" s="91">
        <v>46030</v>
      </c>
      <c r="J2795" s="165">
        <v>0.71319444444444446</v>
      </c>
      <c r="K2795" s="94">
        <v>900</v>
      </c>
      <c r="L2795" s="72" t="str">
        <f t="shared" si="44"/>
        <v>Payé</v>
      </c>
    </row>
    <row r="2796" spans="1:12" ht="18" x14ac:dyDescent="0.25">
      <c r="A2796" s="90" t="s">
        <v>860</v>
      </c>
      <c r="B2796" s="90">
        <v>10106</v>
      </c>
      <c r="C2796" s="88" t="s">
        <v>1301</v>
      </c>
      <c r="D2796" s="90" t="s">
        <v>17</v>
      </c>
      <c r="E2796" s="90" t="s">
        <v>667</v>
      </c>
      <c r="F2796" s="90" t="s">
        <v>860</v>
      </c>
      <c r="G2796" s="137">
        <v>9</v>
      </c>
      <c r="H2796" s="94">
        <v>810</v>
      </c>
      <c r="I2796" s="91">
        <v>46032</v>
      </c>
      <c r="J2796" s="165">
        <v>0.51180555555555551</v>
      </c>
      <c r="K2796" s="94">
        <v>810</v>
      </c>
      <c r="L2796" s="72" t="str">
        <f t="shared" si="44"/>
        <v>Payé</v>
      </c>
    </row>
    <row r="2797" spans="1:12" ht="18" x14ac:dyDescent="0.25">
      <c r="A2797" s="90" t="s">
        <v>860</v>
      </c>
      <c r="B2797" s="90">
        <v>10107</v>
      </c>
      <c r="C2797" s="88" t="s">
        <v>1302</v>
      </c>
      <c r="D2797" s="90" t="s">
        <v>17</v>
      </c>
      <c r="E2797" s="90" t="s">
        <v>667</v>
      </c>
      <c r="F2797" s="90" t="s">
        <v>860</v>
      </c>
      <c r="G2797" s="137">
        <v>6.5</v>
      </c>
      <c r="H2797" s="94">
        <v>585</v>
      </c>
      <c r="I2797" s="91">
        <v>46032</v>
      </c>
      <c r="J2797" s="165">
        <v>0.51180555555555551</v>
      </c>
      <c r="K2797" s="94">
        <v>585</v>
      </c>
      <c r="L2797" s="72" t="str">
        <f t="shared" si="44"/>
        <v>Payé</v>
      </c>
    </row>
    <row r="2798" spans="1:12" ht="18" x14ac:dyDescent="0.25">
      <c r="A2798" s="90" t="s">
        <v>860</v>
      </c>
      <c r="B2798" s="90">
        <v>10108</v>
      </c>
      <c r="C2798" s="88" t="s">
        <v>1303</v>
      </c>
      <c r="D2798" s="90" t="s">
        <v>17</v>
      </c>
      <c r="E2798" s="90" t="s">
        <v>667</v>
      </c>
      <c r="F2798" s="90" t="s">
        <v>860</v>
      </c>
      <c r="G2798" s="137">
        <v>9.5</v>
      </c>
      <c r="H2798" s="94">
        <v>855</v>
      </c>
      <c r="I2798" s="91">
        <v>46032</v>
      </c>
      <c r="J2798" s="165">
        <v>0.51180555555555551</v>
      </c>
      <c r="K2798" s="94">
        <v>855</v>
      </c>
      <c r="L2798" s="72" t="str">
        <f t="shared" si="44"/>
        <v>Payé</v>
      </c>
    </row>
    <row r="2799" spans="1:12" ht="18" x14ac:dyDescent="0.25">
      <c r="A2799" s="90" t="s">
        <v>860</v>
      </c>
      <c r="B2799" s="90">
        <v>10112</v>
      </c>
      <c r="C2799" s="88" t="s">
        <v>1306</v>
      </c>
      <c r="D2799" s="90" t="s">
        <v>17</v>
      </c>
      <c r="E2799" s="90" t="s">
        <v>667</v>
      </c>
      <c r="F2799" s="90" t="s">
        <v>860</v>
      </c>
      <c r="G2799" s="137">
        <v>3</v>
      </c>
      <c r="H2799" s="94">
        <v>270</v>
      </c>
      <c r="I2799" s="91">
        <v>46032</v>
      </c>
      <c r="J2799" s="165">
        <v>0.51180555555555551</v>
      </c>
      <c r="K2799" s="94">
        <v>270</v>
      </c>
      <c r="L2799" s="72" t="str">
        <f t="shared" si="44"/>
        <v>Payé</v>
      </c>
    </row>
    <row r="2800" spans="1:12" ht="18" x14ac:dyDescent="0.25">
      <c r="A2800" s="90" t="s">
        <v>860</v>
      </c>
      <c r="B2800" s="90">
        <v>10132</v>
      </c>
      <c r="C2800" s="88" t="s">
        <v>1337</v>
      </c>
      <c r="D2800" s="90" t="s">
        <v>17</v>
      </c>
      <c r="E2800" s="90" t="s">
        <v>667</v>
      </c>
      <c r="F2800" s="90" t="s">
        <v>860</v>
      </c>
      <c r="G2800" s="137">
        <v>9</v>
      </c>
      <c r="H2800" s="94">
        <v>810</v>
      </c>
      <c r="I2800" s="91">
        <v>46032</v>
      </c>
      <c r="J2800" s="165">
        <v>0.51180555555555551</v>
      </c>
      <c r="K2800" s="94">
        <v>810</v>
      </c>
      <c r="L2800" s="72" t="str">
        <f t="shared" si="44"/>
        <v>Payé</v>
      </c>
    </row>
    <row r="2801" spans="1:12" ht="18" x14ac:dyDescent="0.25">
      <c r="A2801" s="90" t="s">
        <v>860</v>
      </c>
      <c r="B2801" s="90">
        <v>10140</v>
      </c>
      <c r="C2801" s="88" t="s">
        <v>1329</v>
      </c>
      <c r="D2801" s="90" t="s">
        <v>17</v>
      </c>
      <c r="E2801" s="90" t="s">
        <v>667</v>
      </c>
      <c r="F2801" s="90" t="s">
        <v>860</v>
      </c>
      <c r="G2801" s="137">
        <v>13</v>
      </c>
      <c r="H2801" s="94">
        <v>1170</v>
      </c>
      <c r="I2801" s="91">
        <v>46032</v>
      </c>
      <c r="J2801" s="165">
        <v>0.51180555555555551</v>
      </c>
      <c r="K2801" s="94">
        <v>1170</v>
      </c>
      <c r="L2801" s="72" t="str">
        <f t="shared" si="44"/>
        <v>Payé</v>
      </c>
    </row>
    <row r="2802" spans="1:12" ht="18" x14ac:dyDescent="0.25">
      <c r="A2802" s="90" t="s">
        <v>860</v>
      </c>
      <c r="B2802" s="90">
        <v>10149</v>
      </c>
      <c r="C2802" s="88" t="s">
        <v>1371</v>
      </c>
      <c r="D2802" s="90" t="s">
        <v>17</v>
      </c>
      <c r="E2802" s="90" t="s">
        <v>667</v>
      </c>
      <c r="F2802" s="90" t="s">
        <v>860</v>
      </c>
      <c r="G2802" s="137">
        <v>5</v>
      </c>
      <c r="H2802" s="94">
        <v>450</v>
      </c>
      <c r="I2802" s="91">
        <v>46032</v>
      </c>
      <c r="J2802" s="165">
        <v>0.51180555555555551</v>
      </c>
      <c r="K2802" s="94">
        <v>450</v>
      </c>
      <c r="L2802" s="72" t="str">
        <f t="shared" si="44"/>
        <v>Payé</v>
      </c>
    </row>
    <row r="2803" spans="1:12" ht="18" x14ac:dyDescent="0.25">
      <c r="A2803" s="90" t="s">
        <v>860</v>
      </c>
      <c r="B2803" s="90">
        <v>10158</v>
      </c>
      <c r="C2803" s="88" t="s">
        <v>1339</v>
      </c>
      <c r="D2803" s="90" t="s">
        <v>17</v>
      </c>
      <c r="E2803" s="90" t="s">
        <v>667</v>
      </c>
      <c r="F2803" s="90" t="s">
        <v>860</v>
      </c>
      <c r="G2803" s="137">
        <v>8</v>
      </c>
      <c r="H2803" s="94">
        <v>720</v>
      </c>
      <c r="I2803" s="91">
        <v>46032</v>
      </c>
      <c r="J2803" s="165">
        <v>0.51180555555555551</v>
      </c>
      <c r="K2803" s="94">
        <v>720</v>
      </c>
      <c r="L2803" s="72" t="str">
        <f t="shared" si="44"/>
        <v>Payé</v>
      </c>
    </row>
    <row r="2804" spans="1:12" ht="18" x14ac:dyDescent="0.25">
      <c r="A2804" s="90" t="s">
        <v>860</v>
      </c>
      <c r="B2804" s="90">
        <v>10164</v>
      </c>
      <c r="C2804" s="88" t="s">
        <v>1343</v>
      </c>
      <c r="D2804" s="90" t="s">
        <v>17</v>
      </c>
      <c r="E2804" s="90" t="s">
        <v>1104</v>
      </c>
      <c r="F2804" s="90" t="s">
        <v>860</v>
      </c>
      <c r="G2804" s="137">
        <v>8</v>
      </c>
      <c r="H2804" s="94">
        <v>720</v>
      </c>
      <c r="I2804" s="91">
        <v>46031</v>
      </c>
      <c r="J2804" s="165">
        <v>0.45347222222222222</v>
      </c>
      <c r="K2804" s="94">
        <v>720</v>
      </c>
      <c r="L2804" s="72" t="str">
        <f t="shared" si="44"/>
        <v>Payé</v>
      </c>
    </row>
    <row r="2805" spans="1:12" ht="18" x14ac:dyDescent="0.25">
      <c r="A2805" s="90" t="s">
        <v>860</v>
      </c>
      <c r="B2805" s="90">
        <v>10208</v>
      </c>
      <c r="C2805" s="88" t="s">
        <v>1397</v>
      </c>
      <c r="D2805" s="90" t="s">
        <v>17</v>
      </c>
      <c r="E2805" s="90" t="s">
        <v>667</v>
      </c>
      <c r="F2805" s="90" t="s">
        <v>860</v>
      </c>
      <c r="G2805" s="137">
        <v>2</v>
      </c>
      <c r="H2805" s="94">
        <v>180</v>
      </c>
      <c r="I2805" s="91">
        <v>46032</v>
      </c>
      <c r="J2805" s="165">
        <v>0.51180555555555551</v>
      </c>
      <c r="K2805" s="94">
        <v>180</v>
      </c>
      <c r="L2805" s="72" t="str">
        <f t="shared" si="44"/>
        <v>Payé</v>
      </c>
    </row>
    <row r="2806" spans="1:12" ht="18" x14ac:dyDescent="0.25">
      <c r="A2806" s="90" t="s">
        <v>860</v>
      </c>
      <c r="B2806" s="90">
        <v>10209</v>
      </c>
      <c r="C2806" s="88" t="s">
        <v>1398</v>
      </c>
      <c r="D2806" s="90" t="s">
        <v>17</v>
      </c>
      <c r="E2806" s="90" t="s">
        <v>667</v>
      </c>
      <c r="F2806" s="90" t="s">
        <v>860</v>
      </c>
      <c r="G2806" s="137">
        <v>12</v>
      </c>
      <c r="H2806" s="94">
        <v>1080</v>
      </c>
      <c r="I2806" s="91">
        <v>46032</v>
      </c>
      <c r="J2806" s="165">
        <v>0.51180555555555551</v>
      </c>
      <c r="K2806" s="94">
        <v>1080</v>
      </c>
      <c r="L2806" s="72" t="str">
        <f t="shared" si="44"/>
        <v>Payé</v>
      </c>
    </row>
    <row r="2807" spans="1:12" ht="18" x14ac:dyDescent="0.25">
      <c r="A2807" s="90" t="s">
        <v>860</v>
      </c>
      <c r="B2807" s="90">
        <v>10211</v>
      </c>
      <c r="C2807" s="88" t="s">
        <v>1400</v>
      </c>
      <c r="D2807" s="90" t="s">
        <v>17</v>
      </c>
      <c r="E2807" s="90" t="s">
        <v>123</v>
      </c>
      <c r="F2807" s="90" t="s">
        <v>860</v>
      </c>
      <c r="G2807" s="137">
        <v>3</v>
      </c>
      <c r="H2807" s="94">
        <v>330</v>
      </c>
      <c r="I2807" s="91">
        <v>46030</v>
      </c>
      <c r="J2807" s="165">
        <v>0.71319444444444446</v>
      </c>
      <c r="K2807" s="94">
        <v>330</v>
      </c>
      <c r="L2807" s="72" t="str">
        <f t="shared" si="44"/>
        <v>Payé</v>
      </c>
    </row>
    <row r="2808" spans="1:12" ht="18" x14ac:dyDescent="0.25">
      <c r="A2808" s="90" t="s">
        <v>860</v>
      </c>
      <c r="B2808" s="90">
        <v>10214</v>
      </c>
      <c r="C2808" s="88" t="s">
        <v>1403</v>
      </c>
      <c r="D2808" s="90" t="s">
        <v>17</v>
      </c>
      <c r="E2808" s="90" t="s">
        <v>753</v>
      </c>
      <c r="F2808" s="90" t="s">
        <v>860</v>
      </c>
      <c r="G2808" s="137">
        <v>9</v>
      </c>
      <c r="H2808" s="94">
        <v>810</v>
      </c>
      <c r="I2808" s="91">
        <v>46030</v>
      </c>
      <c r="J2808" s="165">
        <v>0.71319444444444446</v>
      </c>
      <c r="K2808" s="94">
        <v>810</v>
      </c>
      <c r="L2808" s="72" t="str">
        <f t="shared" si="44"/>
        <v>Payé</v>
      </c>
    </row>
    <row r="2809" spans="1:12" ht="18" x14ac:dyDescent="0.25">
      <c r="A2809" s="90" t="s">
        <v>860</v>
      </c>
      <c r="B2809" s="90">
        <v>10236</v>
      </c>
      <c r="C2809" s="88" t="s">
        <v>1406</v>
      </c>
      <c r="D2809" s="90" t="s">
        <v>17</v>
      </c>
      <c r="E2809" s="90" t="s">
        <v>667</v>
      </c>
      <c r="F2809" s="90" t="s">
        <v>860</v>
      </c>
      <c r="G2809" s="137">
        <v>1</v>
      </c>
      <c r="H2809" s="94">
        <v>90</v>
      </c>
      <c r="I2809" s="91">
        <v>46032</v>
      </c>
      <c r="J2809" s="165">
        <v>0.51180555555555551</v>
      </c>
      <c r="K2809" s="94">
        <v>90</v>
      </c>
      <c r="L2809" s="72" t="str">
        <f t="shared" si="44"/>
        <v>Payé</v>
      </c>
    </row>
    <row r="2810" spans="1:12" ht="18" x14ac:dyDescent="0.25">
      <c r="A2810" s="90" t="s">
        <v>860</v>
      </c>
      <c r="B2810" s="90">
        <v>10237</v>
      </c>
      <c r="C2810" s="88" t="s">
        <v>1407</v>
      </c>
      <c r="D2810" s="90" t="s">
        <v>17</v>
      </c>
      <c r="E2810" s="90" t="s">
        <v>667</v>
      </c>
      <c r="F2810" s="90" t="s">
        <v>860</v>
      </c>
      <c r="G2810" s="137">
        <v>12</v>
      </c>
      <c r="H2810" s="94">
        <v>1080</v>
      </c>
      <c r="I2810" s="91">
        <v>46032</v>
      </c>
      <c r="J2810" s="165">
        <v>0.51180555555555551</v>
      </c>
      <c r="K2810" s="94">
        <v>1080</v>
      </c>
      <c r="L2810" s="72" t="str">
        <f t="shared" si="44"/>
        <v>Payé</v>
      </c>
    </row>
    <row r="2811" spans="1:12" ht="18" x14ac:dyDescent="0.25">
      <c r="A2811" s="90" t="s">
        <v>860</v>
      </c>
      <c r="B2811" s="90">
        <v>10239</v>
      </c>
      <c r="C2811" s="88" t="s">
        <v>1408</v>
      </c>
      <c r="D2811" s="90" t="s">
        <v>17</v>
      </c>
      <c r="E2811" s="90" t="s">
        <v>667</v>
      </c>
      <c r="F2811" s="90" t="s">
        <v>860</v>
      </c>
      <c r="G2811" s="137">
        <v>12</v>
      </c>
      <c r="H2811" s="94">
        <v>1080</v>
      </c>
      <c r="I2811" s="91">
        <v>46032</v>
      </c>
      <c r="J2811" s="165">
        <v>0.51180555555555551</v>
      </c>
      <c r="K2811" s="94">
        <v>1080</v>
      </c>
      <c r="L2811" s="72" t="str">
        <f t="shared" si="44"/>
        <v>Payé</v>
      </c>
    </row>
    <row r="2812" spans="1:12" ht="18" x14ac:dyDescent="0.25">
      <c r="A2812" s="90" t="s">
        <v>860</v>
      </c>
      <c r="B2812" s="90">
        <v>10240</v>
      </c>
      <c r="C2812" s="88" t="s">
        <v>1409</v>
      </c>
      <c r="D2812" s="90" t="s">
        <v>17</v>
      </c>
      <c r="E2812" s="90" t="s">
        <v>649</v>
      </c>
      <c r="F2812" s="90" t="s">
        <v>860</v>
      </c>
      <c r="G2812" s="137">
        <v>10</v>
      </c>
      <c r="H2812" s="94">
        <v>900</v>
      </c>
      <c r="I2812" s="91">
        <v>46030</v>
      </c>
      <c r="J2812" s="165">
        <v>0.71319444444444446</v>
      </c>
      <c r="K2812" s="94">
        <v>900</v>
      </c>
      <c r="L2812" s="72" t="str">
        <f t="shared" si="44"/>
        <v>Payé</v>
      </c>
    </row>
    <row r="2813" spans="1:12" ht="18" x14ac:dyDescent="0.25">
      <c r="A2813" s="90" t="s">
        <v>860</v>
      </c>
      <c r="B2813" s="90">
        <v>10260</v>
      </c>
      <c r="C2813" s="88" t="s">
        <v>1441</v>
      </c>
      <c r="D2813" s="90" t="s">
        <v>17</v>
      </c>
      <c r="E2813" s="90" t="s">
        <v>753</v>
      </c>
      <c r="F2813" s="90" t="s">
        <v>860</v>
      </c>
      <c r="G2813" s="137">
        <v>1</v>
      </c>
      <c r="H2813" s="94">
        <v>90</v>
      </c>
      <c r="I2813" s="91"/>
      <c r="J2813" s="165"/>
      <c r="K2813" s="92"/>
      <c r="L2813" s="72" t="str">
        <f t="shared" si="44"/>
        <v>Impayé</v>
      </c>
    </row>
    <row r="2814" spans="1:12" ht="18" x14ac:dyDescent="0.25">
      <c r="A2814" s="90" t="s">
        <v>860</v>
      </c>
      <c r="B2814" s="90">
        <v>10261</v>
      </c>
      <c r="C2814" s="88" t="s">
        <v>1431</v>
      </c>
      <c r="D2814" s="90" t="s">
        <v>17</v>
      </c>
      <c r="E2814" s="90" t="s">
        <v>649</v>
      </c>
      <c r="F2814" s="90" t="s">
        <v>860</v>
      </c>
      <c r="G2814" s="137">
        <v>7</v>
      </c>
      <c r="H2814" s="94">
        <v>630</v>
      </c>
      <c r="I2814" s="91">
        <v>46030</v>
      </c>
      <c r="J2814" s="165">
        <v>0.71319444444444446</v>
      </c>
      <c r="K2814" s="94">
        <v>630</v>
      </c>
      <c r="L2814" s="72" t="str">
        <f t="shared" si="44"/>
        <v>Payé</v>
      </c>
    </row>
    <row r="2815" spans="1:12" ht="18" x14ac:dyDescent="0.25">
      <c r="A2815" s="90" t="s">
        <v>860</v>
      </c>
      <c r="B2815" s="90">
        <v>10263</v>
      </c>
      <c r="C2815" s="88" t="s">
        <v>1440</v>
      </c>
      <c r="D2815" s="90" t="s">
        <v>17</v>
      </c>
      <c r="E2815" s="90" t="s">
        <v>753</v>
      </c>
      <c r="F2815" s="90" t="s">
        <v>860</v>
      </c>
      <c r="G2815" s="137">
        <v>5.5</v>
      </c>
      <c r="H2815" s="94">
        <v>495</v>
      </c>
      <c r="I2815" s="91">
        <v>46030</v>
      </c>
      <c r="J2815" s="165">
        <v>0.71319444444444446</v>
      </c>
      <c r="K2815" s="94">
        <v>495</v>
      </c>
      <c r="L2815" s="72" t="str">
        <f t="shared" si="44"/>
        <v>Payé</v>
      </c>
    </row>
    <row r="2816" spans="1:12" ht="18" x14ac:dyDescent="0.25">
      <c r="A2816" s="90" t="s">
        <v>860</v>
      </c>
      <c r="B2816" s="90">
        <v>10266</v>
      </c>
      <c r="C2816" s="88" t="s">
        <v>1473</v>
      </c>
      <c r="D2816" s="90" t="s">
        <v>17</v>
      </c>
      <c r="E2816" s="90" t="s">
        <v>49</v>
      </c>
      <c r="F2816" s="90" t="s">
        <v>860</v>
      </c>
      <c r="G2816" s="137">
        <v>10</v>
      </c>
      <c r="H2816" s="94">
        <v>900</v>
      </c>
      <c r="I2816" s="91">
        <v>46031</v>
      </c>
      <c r="J2816" s="165">
        <v>0.62777777777777777</v>
      </c>
      <c r="K2816" s="94">
        <v>900</v>
      </c>
      <c r="L2816" s="72" t="str">
        <f t="shared" si="44"/>
        <v>Payé</v>
      </c>
    </row>
    <row r="2817" spans="1:12" ht="18" x14ac:dyDescent="0.25">
      <c r="A2817" s="90" t="s">
        <v>860</v>
      </c>
      <c r="B2817" s="90">
        <v>10268</v>
      </c>
      <c r="C2817" s="88" t="s">
        <v>1429</v>
      </c>
      <c r="D2817" s="90" t="s">
        <v>17</v>
      </c>
      <c r="E2817" s="90" t="s">
        <v>649</v>
      </c>
      <c r="F2817" s="90" t="s">
        <v>860</v>
      </c>
      <c r="G2817" s="137">
        <v>9</v>
      </c>
      <c r="H2817" s="94">
        <v>810</v>
      </c>
      <c r="I2817" s="91">
        <v>46030</v>
      </c>
      <c r="J2817" s="165">
        <v>0.71319444444444446</v>
      </c>
      <c r="K2817" s="94">
        <v>810</v>
      </c>
      <c r="L2817" s="72" t="str">
        <f t="shared" si="44"/>
        <v>Payé</v>
      </c>
    </row>
    <row r="2818" spans="1:12" ht="18" x14ac:dyDescent="0.25">
      <c r="A2818" s="90" t="s">
        <v>860</v>
      </c>
      <c r="B2818" s="90">
        <v>10270</v>
      </c>
      <c r="C2818" s="88" t="s">
        <v>1439</v>
      </c>
      <c r="D2818" s="90" t="s">
        <v>17</v>
      </c>
      <c r="E2818" s="90" t="s">
        <v>753</v>
      </c>
      <c r="F2818" s="90" t="s">
        <v>860</v>
      </c>
      <c r="G2818" s="137">
        <v>1</v>
      </c>
      <c r="H2818" s="94">
        <v>90</v>
      </c>
      <c r="I2818" s="91"/>
      <c r="J2818" s="165"/>
      <c r="K2818" s="92"/>
      <c r="L2818" s="72" t="str">
        <f t="shared" si="44"/>
        <v>Impayé</v>
      </c>
    </row>
    <row r="2819" spans="1:12" ht="18" x14ac:dyDescent="0.25">
      <c r="A2819" s="90" t="s">
        <v>860</v>
      </c>
      <c r="B2819" s="90">
        <v>10273</v>
      </c>
      <c r="C2819" s="88" t="s">
        <v>1459</v>
      </c>
      <c r="D2819" s="90" t="s">
        <v>17</v>
      </c>
      <c r="E2819" s="90" t="s">
        <v>667</v>
      </c>
      <c r="F2819" s="90" t="s">
        <v>860</v>
      </c>
      <c r="G2819" s="137">
        <v>2</v>
      </c>
      <c r="H2819" s="94">
        <v>180</v>
      </c>
      <c r="I2819" s="91">
        <v>46032</v>
      </c>
      <c r="J2819" s="165">
        <v>0.51180555555555551</v>
      </c>
      <c r="K2819" s="94">
        <v>180</v>
      </c>
      <c r="L2819" s="72" t="str">
        <f t="shared" si="44"/>
        <v>Payé</v>
      </c>
    </row>
    <row r="2820" spans="1:12" ht="18" x14ac:dyDescent="0.25">
      <c r="A2820" s="90" t="s">
        <v>860</v>
      </c>
      <c r="B2820" s="90">
        <v>10300</v>
      </c>
      <c r="C2820" s="88" t="s">
        <v>1410</v>
      </c>
      <c r="D2820" s="90" t="s">
        <v>17</v>
      </c>
      <c r="E2820" s="90" t="s">
        <v>667</v>
      </c>
      <c r="F2820" s="90" t="s">
        <v>860</v>
      </c>
      <c r="G2820" s="137">
        <v>10.5</v>
      </c>
      <c r="H2820" s="94">
        <v>945</v>
      </c>
      <c r="I2820" s="91">
        <v>46032</v>
      </c>
      <c r="J2820" s="165">
        <v>0.51180555555555551</v>
      </c>
      <c r="K2820" s="94">
        <v>945</v>
      </c>
      <c r="L2820" s="72" t="str">
        <f t="shared" si="44"/>
        <v>Payé</v>
      </c>
    </row>
    <row r="2821" spans="1:12" ht="18" x14ac:dyDescent="0.25">
      <c r="A2821" s="90" t="s">
        <v>860</v>
      </c>
      <c r="B2821" s="90">
        <v>10301</v>
      </c>
      <c r="C2821" s="88" t="s">
        <v>1411</v>
      </c>
      <c r="D2821" s="90" t="s">
        <v>17</v>
      </c>
      <c r="E2821" s="90" t="s">
        <v>667</v>
      </c>
      <c r="F2821" s="90" t="s">
        <v>860</v>
      </c>
      <c r="G2821" s="137">
        <v>4</v>
      </c>
      <c r="H2821" s="94">
        <v>360</v>
      </c>
      <c r="I2821" s="91">
        <v>46032</v>
      </c>
      <c r="J2821" s="165">
        <v>0.51180555555555551</v>
      </c>
      <c r="K2821" s="94">
        <v>360</v>
      </c>
      <c r="L2821" s="72" t="str">
        <f t="shared" si="44"/>
        <v>Payé</v>
      </c>
    </row>
    <row r="2822" spans="1:12" ht="18" x14ac:dyDescent="0.25">
      <c r="A2822" s="90" t="s">
        <v>860</v>
      </c>
      <c r="B2822" s="90">
        <v>10302</v>
      </c>
      <c r="C2822" s="88" t="s">
        <v>1412</v>
      </c>
      <c r="D2822" s="90" t="s">
        <v>17</v>
      </c>
      <c r="E2822" s="90" t="s">
        <v>667</v>
      </c>
      <c r="F2822" s="90" t="s">
        <v>860</v>
      </c>
      <c r="G2822" s="137">
        <v>13</v>
      </c>
      <c r="H2822" s="94">
        <v>1170</v>
      </c>
      <c r="I2822" s="91">
        <v>46032</v>
      </c>
      <c r="J2822" s="165">
        <v>0.51180555555555551</v>
      </c>
      <c r="K2822" s="94">
        <v>1170</v>
      </c>
      <c r="L2822" s="72" t="str">
        <f t="shared" si="44"/>
        <v>Payé</v>
      </c>
    </row>
    <row r="2823" spans="1:12" ht="18" x14ac:dyDescent="0.25">
      <c r="A2823" s="90" t="s">
        <v>860</v>
      </c>
      <c r="B2823" s="90">
        <v>10311</v>
      </c>
      <c r="C2823" s="88" t="s">
        <v>1475</v>
      </c>
      <c r="D2823" s="90" t="s">
        <v>17</v>
      </c>
      <c r="E2823" s="90" t="s">
        <v>254</v>
      </c>
      <c r="F2823" s="90" t="s">
        <v>860</v>
      </c>
      <c r="G2823" s="137">
        <v>4</v>
      </c>
      <c r="H2823" s="94">
        <v>360</v>
      </c>
      <c r="I2823" s="91">
        <v>46030</v>
      </c>
      <c r="J2823" s="165">
        <v>0.71319444444444446</v>
      </c>
      <c r="K2823" s="94">
        <v>360</v>
      </c>
      <c r="L2823" s="72" t="str">
        <f t="shared" si="44"/>
        <v>Payé</v>
      </c>
    </row>
    <row r="2824" spans="1:12" ht="18" x14ac:dyDescent="0.25">
      <c r="A2824" s="90" t="s">
        <v>860</v>
      </c>
      <c r="B2824" s="90">
        <v>10320</v>
      </c>
      <c r="C2824" s="88" t="s">
        <v>1456</v>
      </c>
      <c r="D2824" s="90" t="s">
        <v>17</v>
      </c>
      <c r="E2824" s="90" t="s">
        <v>667</v>
      </c>
      <c r="F2824" s="90" t="s">
        <v>860</v>
      </c>
      <c r="G2824" s="137">
        <v>13</v>
      </c>
      <c r="H2824" s="94">
        <v>1170</v>
      </c>
      <c r="I2824" s="91">
        <v>46032</v>
      </c>
      <c r="J2824" s="165">
        <v>0.51180555555555551</v>
      </c>
      <c r="K2824" s="94">
        <v>1170</v>
      </c>
      <c r="L2824" s="72" t="str">
        <f t="shared" si="44"/>
        <v>Payé</v>
      </c>
    </row>
    <row r="2825" spans="1:12" ht="18" x14ac:dyDescent="0.25">
      <c r="A2825" s="90" t="s">
        <v>860</v>
      </c>
      <c r="B2825" s="90">
        <v>10321</v>
      </c>
      <c r="C2825" s="88" t="s">
        <v>1442</v>
      </c>
      <c r="D2825" s="90" t="s">
        <v>17</v>
      </c>
      <c r="E2825" s="90" t="s">
        <v>753</v>
      </c>
      <c r="F2825" s="90" t="s">
        <v>860</v>
      </c>
      <c r="G2825" s="137">
        <v>2</v>
      </c>
      <c r="H2825" s="94">
        <v>180</v>
      </c>
      <c r="I2825" s="91">
        <v>46034</v>
      </c>
      <c r="J2825" s="165">
        <v>0.5708333333333333</v>
      </c>
      <c r="K2825" s="94">
        <v>180</v>
      </c>
      <c r="L2825" s="72" t="str">
        <f t="shared" si="44"/>
        <v>Payé</v>
      </c>
    </row>
    <row r="2826" spans="1:12" ht="18" x14ac:dyDescent="0.25">
      <c r="A2826" s="90" t="s">
        <v>860</v>
      </c>
      <c r="B2826" s="90">
        <v>10322</v>
      </c>
      <c r="C2826" s="88" t="s">
        <v>1443</v>
      </c>
      <c r="D2826" s="90" t="s">
        <v>17</v>
      </c>
      <c r="E2826" s="90" t="s">
        <v>753</v>
      </c>
      <c r="F2826" s="90" t="s">
        <v>860</v>
      </c>
      <c r="G2826" s="137">
        <v>3</v>
      </c>
      <c r="H2826" s="94">
        <v>270</v>
      </c>
      <c r="I2826" s="91">
        <v>46034</v>
      </c>
      <c r="J2826" s="165">
        <v>0.5708333333333333</v>
      </c>
      <c r="K2826" s="94">
        <v>270</v>
      </c>
      <c r="L2826" s="72" t="str">
        <f t="shared" si="44"/>
        <v>Payé</v>
      </c>
    </row>
    <row r="2827" spans="1:12" ht="18" x14ac:dyDescent="0.25">
      <c r="A2827" s="90" t="s">
        <v>860</v>
      </c>
      <c r="B2827" s="90">
        <v>10323</v>
      </c>
      <c r="C2827" s="88" t="s">
        <v>1444</v>
      </c>
      <c r="D2827" s="90" t="s">
        <v>17</v>
      </c>
      <c r="E2827" s="90" t="s">
        <v>753</v>
      </c>
      <c r="F2827" s="90" t="s">
        <v>860</v>
      </c>
      <c r="G2827" s="137">
        <v>2</v>
      </c>
      <c r="H2827" s="94">
        <v>180</v>
      </c>
      <c r="I2827" s="91">
        <v>46034</v>
      </c>
      <c r="J2827" s="165">
        <v>0.5708333333333333</v>
      </c>
      <c r="K2827" s="94">
        <v>180</v>
      </c>
      <c r="L2827" s="72" t="str">
        <f t="shared" si="44"/>
        <v>Payé</v>
      </c>
    </row>
    <row r="2828" spans="1:12" ht="18" x14ac:dyDescent="0.25">
      <c r="A2828" s="90" t="s">
        <v>860</v>
      </c>
      <c r="B2828" s="90">
        <v>10325</v>
      </c>
      <c r="C2828" s="88" t="s">
        <v>1447</v>
      </c>
      <c r="D2828" s="90" t="s">
        <v>17</v>
      </c>
      <c r="E2828" s="90" t="s">
        <v>753</v>
      </c>
      <c r="F2828" s="90" t="s">
        <v>860</v>
      </c>
      <c r="G2828" s="137">
        <v>7</v>
      </c>
      <c r="H2828" s="94">
        <v>630</v>
      </c>
      <c r="I2828" s="91">
        <v>46030</v>
      </c>
      <c r="J2828" s="165">
        <v>0.71319444444444446</v>
      </c>
      <c r="K2828" s="94">
        <v>630</v>
      </c>
      <c r="L2828" s="72" t="str">
        <f t="shared" si="44"/>
        <v>Payé</v>
      </c>
    </row>
    <row r="2829" spans="1:12" ht="18" x14ac:dyDescent="0.25">
      <c r="A2829" s="90" t="s">
        <v>860</v>
      </c>
      <c r="B2829" s="90">
        <v>10327</v>
      </c>
      <c r="C2829" s="88" t="s">
        <v>1446</v>
      </c>
      <c r="D2829" s="90" t="s">
        <v>17</v>
      </c>
      <c r="E2829" s="90" t="s">
        <v>753</v>
      </c>
      <c r="F2829" s="90" t="s">
        <v>860</v>
      </c>
      <c r="G2829" s="137">
        <v>9.5</v>
      </c>
      <c r="H2829" s="94">
        <v>855</v>
      </c>
      <c r="I2829" s="91">
        <v>46030</v>
      </c>
      <c r="J2829" s="165">
        <v>0.71319444444444446</v>
      </c>
      <c r="K2829" s="94">
        <v>855</v>
      </c>
      <c r="L2829" s="72" t="str">
        <f t="shared" si="44"/>
        <v>Payé</v>
      </c>
    </row>
    <row r="2830" spans="1:12" ht="18" x14ac:dyDescent="0.25">
      <c r="A2830" s="90" t="s">
        <v>860</v>
      </c>
      <c r="B2830" s="90">
        <v>10329</v>
      </c>
      <c r="C2830" s="88" t="s">
        <v>1540</v>
      </c>
      <c r="D2830" s="90" t="s">
        <v>17</v>
      </c>
      <c r="E2830" s="90" t="s">
        <v>1416</v>
      </c>
      <c r="F2830" s="90" t="s">
        <v>860</v>
      </c>
      <c r="G2830" s="137">
        <v>1</v>
      </c>
      <c r="H2830" s="94">
        <v>90</v>
      </c>
      <c r="I2830" s="91">
        <v>46031</v>
      </c>
      <c r="J2830" s="165">
        <v>0.44027777777777777</v>
      </c>
      <c r="K2830" s="94">
        <v>90</v>
      </c>
      <c r="L2830" s="72" t="str">
        <f t="shared" si="44"/>
        <v>Payé</v>
      </c>
    </row>
    <row r="2831" spans="1:12" ht="18" x14ac:dyDescent="0.25">
      <c r="A2831" s="90" t="s">
        <v>860</v>
      </c>
      <c r="B2831" s="90">
        <v>10330</v>
      </c>
      <c r="C2831" s="88" t="s">
        <v>1541</v>
      </c>
      <c r="D2831" s="90" t="s">
        <v>17</v>
      </c>
      <c r="E2831" s="90" t="s">
        <v>1416</v>
      </c>
      <c r="F2831" s="90" t="s">
        <v>860</v>
      </c>
      <c r="G2831" s="137">
        <v>1</v>
      </c>
      <c r="H2831" s="94">
        <v>90</v>
      </c>
      <c r="I2831" s="91">
        <v>46031</v>
      </c>
      <c r="J2831" s="165">
        <v>0.44027777777777777</v>
      </c>
      <c r="K2831" s="94">
        <v>90</v>
      </c>
      <c r="L2831" s="72" t="str">
        <f t="shared" si="44"/>
        <v>Payé</v>
      </c>
    </row>
    <row r="2832" spans="1:12" ht="18" x14ac:dyDescent="0.25">
      <c r="A2832" s="90" t="s">
        <v>860</v>
      </c>
      <c r="B2832" s="90">
        <v>10331</v>
      </c>
      <c r="C2832" s="88" t="s">
        <v>1542</v>
      </c>
      <c r="D2832" s="90" t="s">
        <v>17</v>
      </c>
      <c r="E2832" s="90" t="s">
        <v>1416</v>
      </c>
      <c r="F2832" s="90" t="s">
        <v>860</v>
      </c>
      <c r="G2832" s="137">
        <v>1</v>
      </c>
      <c r="H2832" s="94">
        <v>90</v>
      </c>
      <c r="I2832" s="91">
        <v>46031</v>
      </c>
      <c r="J2832" s="165">
        <v>0.44027777777777777</v>
      </c>
      <c r="K2832" s="94">
        <v>90</v>
      </c>
      <c r="L2832" s="72" t="str">
        <f t="shared" si="44"/>
        <v>Payé</v>
      </c>
    </row>
    <row r="2833" spans="1:12" ht="18" x14ac:dyDescent="0.25">
      <c r="A2833" s="90" t="s">
        <v>860</v>
      </c>
      <c r="B2833" s="90">
        <v>10332</v>
      </c>
      <c r="C2833" s="88" t="s">
        <v>1543</v>
      </c>
      <c r="D2833" s="90" t="s">
        <v>17</v>
      </c>
      <c r="E2833" s="90" t="s">
        <v>1416</v>
      </c>
      <c r="F2833" s="90" t="s">
        <v>860</v>
      </c>
      <c r="G2833" s="137">
        <v>1</v>
      </c>
      <c r="H2833" s="94">
        <v>90</v>
      </c>
      <c r="I2833" s="91">
        <v>46031</v>
      </c>
      <c r="J2833" s="165">
        <v>0.44027777777777777</v>
      </c>
      <c r="K2833" s="94">
        <v>90</v>
      </c>
      <c r="L2833" s="72" t="str">
        <f t="shared" si="44"/>
        <v>Payé</v>
      </c>
    </row>
    <row r="2834" spans="1:12" ht="18" x14ac:dyDescent="0.25">
      <c r="A2834" s="90" t="s">
        <v>860</v>
      </c>
      <c r="B2834" s="90">
        <v>10335</v>
      </c>
      <c r="C2834" s="88" t="s">
        <v>1452</v>
      </c>
      <c r="D2834" s="90" t="s">
        <v>17</v>
      </c>
      <c r="E2834" s="90" t="s">
        <v>667</v>
      </c>
      <c r="F2834" s="90" t="s">
        <v>860</v>
      </c>
      <c r="G2834" s="137">
        <v>3</v>
      </c>
      <c r="H2834" s="94">
        <v>270</v>
      </c>
      <c r="I2834" s="91">
        <v>46032</v>
      </c>
      <c r="J2834" s="165">
        <v>0.51180555555555551</v>
      </c>
      <c r="K2834" s="94">
        <v>270</v>
      </c>
      <c r="L2834" s="72" t="str">
        <f t="shared" si="44"/>
        <v>Payé</v>
      </c>
    </row>
    <row r="2835" spans="1:12" ht="18" x14ac:dyDescent="0.25">
      <c r="A2835" s="90" t="s">
        <v>860</v>
      </c>
      <c r="B2835" s="90">
        <v>10337</v>
      </c>
      <c r="C2835" s="88" t="s">
        <v>1448</v>
      </c>
      <c r="D2835" s="90" t="s">
        <v>17</v>
      </c>
      <c r="E2835" s="90" t="s">
        <v>753</v>
      </c>
      <c r="F2835" s="90" t="s">
        <v>860</v>
      </c>
      <c r="G2835" s="137">
        <v>5.5</v>
      </c>
      <c r="H2835" s="94">
        <v>495</v>
      </c>
      <c r="I2835" s="91">
        <v>46032</v>
      </c>
      <c r="J2835" s="165">
        <v>0.49861111111111112</v>
      </c>
      <c r="K2835" s="94">
        <v>495</v>
      </c>
      <c r="L2835" s="72" t="str">
        <f t="shared" si="44"/>
        <v>Payé</v>
      </c>
    </row>
    <row r="2836" spans="1:12" ht="18" x14ac:dyDescent="0.25">
      <c r="A2836" s="90" t="s">
        <v>860</v>
      </c>
      <c r="B2836" s="90">
        <v>10338</v>
      </c>
      <c r="C2836" s="88" t="s">
        <v>1449</v>
      </c>
      <c r="D2836" s="90" t="s">
        <v>17</v>
      </c>
      <c r="E2836" s="90" t="s">
        <v>753</v>
      </c>
      <c r="F2836" s="90" t="s">
        <v>860</v>
      </c>
      <c r="G2836" s="137">
        <v>11.5</v>
      </c>
      <c r="H2836" s="94">
        <v>1035</v>
      </c>
      <c r="I2836" s="91">
        <v>46031</v>
      </c>
      <c r="J2836" s="165">
        <v>0.63611111111111118</v>
      </c>
      <c r="K2836" s="94">
        <v>1035</v>
      </c>
      <c r="L2836" s="72" t="str">
        <f t="shared" si="44"/>
        <v>Payé</v>
      </c>
    </row>
    <row r="2837" spans="1:12" ht="18" x14ac:dyDescent="0.25">
      <c r="A2837" s="90" t="s">
        <v>860</v>
      </c>
      <c r="B2837" s="90">
        <v>10340</v>
      </c>
      <c r="C2837" s="88" t="s">
        <v>1476</v>
      </c>
      <c r="D2837" s="90" t="s">
        <v>17</v>
      </c>
      <c r="E2837" s="90" t="s">
        <v>254</v>
      </c>
      <c r="F2837" s="90" t="s">
        <v>860</v>
      </c>
      <c r="G2837" s="137">
        <v>4</v>
      </c>
      <c r="H2837" s="94">
        <v>360</v>
      </c>
      <c r="I2837" s="91">
        <v>46030</v>
      </c>
      <c r="J2837" s="165">
        <v>0.71319444444444446</v>
      </c>
      <c r="K2837" s="94">
        <v>360</v>
      </c>
      <c r="L2837" s="72" t="str">
        <f t="shared" si="44"/>
        <v>Payé</v>
      </c>
    </row>
    <row r="2838" spans="1:12" ht="18" x14ac:dyDescent="0.25">
      <c r="A2838" s="90" t="s">
        <v>860</v>
      </c>
      <c r="B2838" s="90">
        <v>10343</v>
      </c>
      <c r="C2838" s="88" t="s">
        <v>1472</v>
      </c>
      <c r="D2838" s="90" t="s">
        <v>17</v>
      </c>
      <c r="E2838" s="90" t="s">
        <v>49</v>
      </c>
      <c r="F2838" s="90" t="s">
        <v>860</v>
      </c>
      <c r="G2838" s="137">
        <v>11</v>
      </c>
      <c r="H2838" s="94">
        <v>990</v>
      </c>
      <c r="I2838" s="91">
        <v>46031</v>
      </c>
      <c r="J2838" s="165">
        <v>0.62777777777777777</v>
      </c>
      <c r="K2838" s="94">
        <v>990</v>
      </c>
      <c r="L2838" s="72" t="str">
        <f t="shared" si="44"/>
        <v>Payé</v>
      </c>
    </row>
    <row r="2839" spans="1:12" ht="18" x14ac:dyDescent="0.25">
      <c r="A2839" s="90" t="s">
        <v>860</v>
      </c>
      <c r="B2839" s="90">
        <v>10345</v>
      </c>
      <c r="C2839" s="88" t="s">
        <v>1435</v>
      </c>
      <c r="D2839" s="90" t="s">
        <v>17</v>
      </c>
      <c r="E2839" s="90" t="s">
        <v>753</v>
      </c>
      <c r="F2839" s="90" t="s">
        <v>860</v>
      </c>
      <c r="G2839" s="137">
        <v>1.5</v>
      </c>
      <c r="H2839" s="94">
        <v>135</v>
      </c>
      <c r="I2839" s="91">
        <v>46034</v>
      </c>
      <c r="J2839" s="165">
        <v>0.5708333333333333</v>
      </c>
      <c r="K2839" s="94">
        <v>135</v>
      </c>
      <c r="L2839" s="72" t="str">
        <f t="shared" si="44"/>
        <v>Payé</v>
      </c>
    </row>
    <row r="2840" spans="1:12" ht="18" x14ac:dyDescent="0.25">
      <c r="A2840" s="90" t="s">
        <v>860</v>
      </c>
      <c r="B2840" s="90">
        <v>10349</v>
      </c>
      <c r="C2840" s="88" t="s">
        <v>1505</v>
      </c>
      <c r="D2840" s="90" t="s">
        <v>17</v>
      </c>
      <c r="E2840" s="90" t="s">
        <v>1525</v>
      </c>
      <c r="F2840" s="90" t="s">
        <v>860</v>
      </c>
      <c r="G2840" s="137">
        <v>0.5</v>
      </c>
      <c r="H2840" s="94">
        <v>45</v>
      </c>
      <c r="I2840" s="91">
        <v>46031</v>
      </c>
      <c r="J2840" s="165">
        <v>0.61319444444444449</v>
      </c>
      <c r="K2840" s="94">
        <v>45</v>
      </c>
      <c r="L2840" s="72" t="str">
        <f t="shared" si="44"/>
        <v>Payé</v>
      </c>
    </row>
    <row r="2841" spans="1:12" ht="18" x14ac:dyDescent="0.25">
      <c r="A2841" s="90" t="s">
        <v>860</v>
      </c>
      <c r="B2841" s="90">
        <v>10350</v>
      </c>
      <c r="C2841" s="88" t="s">
        <v>1506</v>
      </c>
      <c r="D2841" s="90" t="s">
        <v>17</v>
      </c>
      <c r="E2841" s="90" t="s">
        <v>1525</v>
      </c>
      <c r="F2841" s="90" t="s">
        <v>860</v>
      </c>
      <c r="G2841" s="137">
        <v>0.5</v>
      </c>
      <c r="H2841" s="94">
        <v>45</v>
      </c>
      <c r="I2841" s="91">
        <v>46031</v>
      </c>
      <c r="J2841" s="165">
        <v>0.61319444444444449</v>
      </c>
      <c r="K2841" s="94">
        <v>45</v>
      </c>
      <c r="L2841" s="72" t="str">
        <f t="shared" si="44"/>
        <v>Payé</v>
      </c>
    </row>
    <row r="2842" spans="1:12" ht="18" x14ac:dyDescent="0.25">
      <c r="A2842" s="90" t="s">
        <v>860</v>
      </c>
      <c r="B2842" s="90">
        <v>10352</v>
      </c>
      <c r="C2842" s="88" t="s">
        <v>1508</v>
      </c>
      <c r="D2842" s="90" t="s">
        <v>17</v>
      </c>
      <c r="E2842" s="90" t="s">
        <v>1525</v>
      </c>
      <c r="F2842" s="90" t="s">
        <v>860</v>
      </c>
      <c r="G2842" s="137">
        <v>0.5</v>
      </c>
      <c r="H2842" s="94">
        <v>45</v>
      </c>
      <c r="I2842" s="91">
        <v>46031</v>
      </c>
      <c r="J2842" s="165">
        <v>0.61319444444444449</v>
      </c>
      <c r="K2842" s="94">
        <v>45</v>
      </c>
      <c r="L2842" s="72" t="str">
        <f t="shared" si="44"/>
        <v>Payé</v>
      </c>
    </row>
    <row r="2843" spans="1:12" ht="18" x14ac:dyDescent="0.25">
      <c r="A2843" s="90" t="s">
        <v>860</v>
      </c>
      <c r="B2843" s="90">
        <v>10354</v>
      </c>
      <c r="C2843" s="88" t="s">
        <v>1510</v>
      </c>
      <c r="D2843" s="90" t="s">
        <v>17</v>
      </c>
      <c r="E2843" s="90" t="s">
        <v>1525</v>
      </c>
      <c r="F2843" s="90" t="s">
        <v>860</v>
      </c>
      <c r="G2843" s="137">
        <v>0.5</v>
      </c>
      <c r="H2843" s="94">
        <v>45</v>
      </c>
      <c r="I2843" s="91">
        <v>46031</v>
      </c>
      <c r="J2843" s="165">
        <v>0.61319444444444449</v>
      </c>
      <c r="K2843" s="94">
        <v>45</v>
      </c>
      <c r="L2843" s="72" t="str">
        <f t="shared" si="44"/>
        <v>Payé</v>
      </c>
    </row>
    <row r="2844" spans="1:12" ht="18" x14ac:dyDescent="0.25">
      <c r="A2844" s="90" t="s">
        <v>860</v>
      </c>
      <c r="B2844" s="90">
        <v>10355</v>
      </c>
      <c r="C2844" s="88" t="s">
        <v>1511</v>
      </c>
      <c r="D2844" s="90" t="s">
        <v>17</v>
      </c>
      <c r="E2844" s="90" t="s">
        <v>1525</v>
      </c>
      <c r="F2844" s="90" t="s">
        <v>860</v>
      </c>
      <c r="G2844" s="137">
        <v>0.5</v>
      </c>
      <c r="H2844" s="94">
        <v>45</v>
      </c>
      <c r="I2844" s="91">
        <v>46031</v>
      </c>
      <c r="J2844" s="165">
        <v>0.61319444444444449</v>
      </c>
      <c r="K2844" s="94">
        <v>45</v>
      </c>
      <c r="L2844" s="72" t="str">
        <f t="shared" si="44"/>
        <v>Payé</v>
      </c>
    </row>
    <row r="2845" spans="1:12" ht="18" x14ac:dyDescent="0.25">
      <c r="A2845" s="90" t="s">
        <v>860</v>
      </c>
      <c r="B2845" s="90">
        <v>10356</v>
      </c>
      <c r="C2845" s="88" t="s">
        <v>1512</v>
      </c>
      <c r="D2845" s="90" t="s">
        <v>17</v>
      </c>
      <c r="E2845" s="90" t="s">
        <v>1525</v>
      </c>
      <c r="F2845" s="90" t="s">
        <v>860</v>
      </c>
      <c r="G2845" s="137">
        <v>0.5</v>
      </c>
      <c r="H2845" s="94">
        <v>45</v>
      </c>
      <c r="I2845" s="91">
        <v>46031</v>
      </c>
      <c r="J2845" s="165">
        <v>0.61319444444444449</v>
      </c>
      <c r="K2845" s="94">
        <v>45</v>
      </c>
      <c r="L2845" s="72" t="str">
        <f t="shared" si="44"/>
        <v>Payé</v>
      </c>
    </row>
    <row r="2846" spans="1:12" ht="18" x14ac:dyDescent="0.25">
      <c r="A2846" s="90" t="s">
        <v>860</v>
      </c>
      <c r="B2846" s="90">
        <v>10364</v>
      </c>
      <c r="C2846" s="88" t="s">
        <v>1520</v>
      </c>
      <c r="D2846" s="90" t="s">
        <v>17</v>
      </c>
      <c r="E2846" s="90" t="s">
        <v>1525</v>
      </c>
      <c r="F2846" s="90" t="s">
        <v>860</v>
      </c>
      <c r="G2846" s="137">
        <v>0.5</v>
      </c>
      <c r="H2846" s="94">
        <v>45</v>
      </c>
      <c r="I2846" s="91">
        <v>46031</v>
      </c>
      <c r="J2846" s="165">
        <v>0.61319444444444449</v>
      </c>
      <c r="K2846" s="94">
        <v>45</v>
      </c>
      <c r="L2846" s="72" t="str">
        <f t="shared" ref="L2846:L2909" si="45">IF(ISBLANK(H2846),"",IF(H2846=K2846,"Payé","Impayé"))</f>
        <v>Payé</v>
      </c>
    </row>
    <row r="2847" spans="1:12" ht="18" x14ac:dyDescent="0.25">
      <c r="A2847" s="90" t="s">
        <v>860</v>
      </c>
      <c r="B2847" s="90">
        <v>10365</v>
      </c>
      <c r="C2847" s="88" t="s">
        <v>1450</v>
      </c>
      <c r="D2847" s="90" t="s">
        <v>17</v>
      </c>
      <c r="E2847" s="90" t="s">
        <v>667</v>
      </c>
      <c r="F2847" s="90" t="s">
        <v>860</v>
      </c>
      <c r="G2847" s="137">
        <v>12</v>
      </c>
      <c r="H2847" s="94">
        <v>1080</v>
      </c>
      <c r="I2847" s="91">
        <v>46032</v>
      </c>
      <c r="J2847" s="165">
        <v>0.51180555555555551</v>
      </c>
      <c r="K2847" s="94">
        <v>1080</v>
      </c>
      <c r="L2847" s="72" t="str">
        <f t="shared" si="45"/>
        <v>Payé</v>
      </c>
    </row>
    <row r="2848" spans="1:12" ht="18" x14ac:dyDescent="0.25">
      <c r="A2848" s="90" t="s">
        <v>860</v>
      </c>
      <c r="B2848" s="90">
        <v>10366</v>
      </c>
      <c r="C2848" s="88" t="s">
        <v>1484</v>
      </c>
      <c r="D2848" s="90" t="s">
        <v>17</v>
      </c>
      <c r="E2848" s="90" t="s">
        <v>254</v>
      </c>
      <c r="F2848" s="90" t="s">
        <v>860</v>
      </c>
      <c r="G2848" s="137">
        <v>6</v>
      </c>
      <c r="H2848" s="94">
        <v>540</v>
      </c>
      <c r="I2848" s="91">
        <v>46031</v>
      </c>
      <c r="J2848" s="165">
        <v>0.62430555555555556</v>
      </c>
      <c r="K2848" s="94">
        <v>540</v>
      </c>
      <c r="L2848" s="72" t="str">
        <f t="shared" si="45"/>
        <v>Payé</v>
      </c>
    </row>
    <row r="2849" spans="1:12" ht="18" x14ac:dyDescent="0.25">
      <c r="A2849" s="90" t="s">
        <v>860</v>
      </c>
      <c r="B2849" s="90">
        <v>10372</v>
      </c>
      <c r="C2849" s="88" t="s">
        <v>1455</v>
      </c>
      <c r="D2849" s="90" t="s">
        <v>17</v>
      </c>
      <c r="E2849" s="90" t="s">
        <v>667</v>
      </c>
      <c r="F2849" s="90" t="s">
        <v>860</v>
      </c>
      <c r="G2849" s="137">
        <v>2</v>
      </c>
      <c r="H2849" s="94">
        <v>180</v>
      </c>
      <c r="I2849" s="91">
        <v>46032</v>
      </c>
      <c r="J2849" s="165">
        <v>0.51180555555555551</v>
      </c>
      <c r="K2849" s="94">
        <v>180</v>
      </c>
      <c r="L2849" s="72" t="str">
        <f t="shared" si="45"/>
        <v>Payé</v>
      </c>
    </row>
    <row r="2850" spans="1:12" ht="18" x14ac:dyDescent="0.25">
      <c r="A2850" s="90" t="s">
        <v>860</v>
      </c>
      <c r="B2850" s="90">
        <v>10373</v>
      </c>
      <c r="C2850" s="88" t="s">
        <v>1422</v>
      </c>
      <c r="D2850" s="90" t="s">
        <v>17</v>
      </c>
      <c r="E2850" s="90" t="s">
        <v>1104</v>
      </c>
      <c r="F2850" s="90" t="s">
        <v>860</v>
      </c>
      <c r="G2850" s="137">
        <v>6</v>
      </c>
      <c r="H2850" s="94">
        <v>540</v>
      </c>
      <c r="I2850" s="91">
        <v>46031</v>
      </c>
      <c r="J2850" s="165">
        <v>0.45347222222222222</v>
      </c>
      <c r="K2850" s="94">
        <v>540</v>
      </c>
      <c r="L2850" s="72" t="str">
        <f t="shared" si="45"/>
        <v>Payé</v>
      </c>
    </row>
    <row r="2851" spans="1:12" ht="18" x14ac:dyDescent="0.25">
      <c r="A2851" s="90" t="s">
        <v>860</v>
      </c>
      <c r="B2851" s="90">
        <v>10374</v>
      </c>
      <c r="C2851" s="88" t="s">
        <v>1423</v>
      </c>
      <c r="D2851" s="90" t="s">
        <v>17</v>
      </c>
      <c r="E2851" s="90" t="s">
        <v>1104</v>
      </c>
      <c r="F2851" s="90" t="s">
        <v>860</v>
      </c>
      <c r="G2851" s="137">
        <v>11</v>
      </c>
      <c r="H2851" s="94">
        <v>990</v>
      </c>
      <c r="I2851" s="91">
        <v>46031</v>
      </c>
      <c r="J2851" s="165">
        <v>0.45347222222222222</v>
      </c>
      <c r="K2851" s="94">
        <v>990</v>
      </c>
      <c r="L2851" s="72" t="str">
        <f t="shared" si="45"/>
        <v>Payé</v>
      </c>
    </row>
    <row r="2852" spans="1:12" ht="18" x14ac:dyDescent="0.25">
      <c r="A2852" s="90" t="s">
        <v>860</v>
      </c>
      <c r="B2852" s="90">
        <v>10380</v>
      </c>
      <c r="C2852" s="88" t="s">
        <v>1544</v>
      </c>
      <c r="D2852" s="90" t="s">
        <v>17</v>
      </c>
      <c r="E2852" s="90" t="s">
        <v>753</v>
      </c>
      <c r="F2852" s="90" t="s">
        <v>860</v>
      </c>
      <c r="G2852" s="137">
        <v>2</v>
      </c>
      <c r="H2852" s="94">
        <v>180</v>
      </c>
      <c r="I2852" s="91">
        <v>46031</v>
      </c>
      <c r="J2852" s="165">
        <v>0.71319444444444446</v>
      </c>
      <c r="K2852" s="94">
        <v>180</v>
      </c>
      <c r="L2852" s="72" t="str">
        <f t="shared" si="45"/>
        <v>Payé</v>
      </c>
    </row>
    <row r="2853" spans="1:12" ht="18" x14ac:dyDescent="0.25">
      <c r="A2853" s="90" t="s">
        <v>860</v>
      </c>
      <c r="B2853" s="90">
        <v>10381</v>
      </c>
      <c r="C2853" s="88" t="s">
        <v>1545</v>
      </c>
      <c r="D2853" s="90" t="s">
        <v>17</v>
      </c>
      <c r="E2853" s="90" t="s">
        <v>1104</v>
      </c>
      <c r="F2853" s="90" t="s">
        <v>860</v>
      </c>
      <c r="G2853" s="137">
        <v>9</v>
      </c>
      <c r="H2853" s="94">
        <v>810</v>
      </c>
      <c r="I2853" s="91">
        <v>46031</v>
      </c>
      <c r="J2853" s="165">
        <v>0.44861111111111113</v>
      </c>
      <c r="K2853" s="94">
        <v>810</v>
      </c>
      <c r="L2853" s="72" t="str">
        <f t="shared" si="45"/>
        <v>Payé</v>
      </c>
    </row>
    <row r="2854" spans="1:12" ht="18" x14ac:dyDescent="0.25">
      <c r="A2854" s="90" t="s">
        <v>860</v>
      </c>
      <c r="B2854" s="90">
        <v>10382</v>
      </c>
      <c r="C2854" s="88" t="s">
        <v>1546</v>
      </c>
      <c r="D2854" s="90" t="s">
        <v>17</v>
      </c>
      <c r="E2854" s="90" t="s">
        <v>649</v>
      </c>
      <c r="F2854" s="90" t="s">
        <v>860</v>
      </c>
      <c r="G2854" s="137">
        <v>9</v>
      </c>
      <c r="H2854" s="94">
        <v>810</v>
      </c>
      <c r="I2854" s="91">
        <v>46031</v>
      </c>
      <c r="J2854" s="165">
        <v>0.55625000000000002</v>
      </c>
      <c r="K2854" s="94">
        <v>810</v>
      </c>
      <c r="L2854" s="72" t="str">
        <f t="shared" si="45"/>
        <v>Payé</v>
      </c>
    </row>
    <row r="2855" spans="1:12" ht="18" x14ac:dyDescent="0.25">
      <c r="A2855" s="90" t="s">
        <v>860</v>
      </c>
      <c r="B2855" s="90">
        <v>10383</v>
      </c>
      <c r="C2855" s="88" t="s">
        <v>1547</v>
      </c>
      <c r="D2855" s="90" t="s">
        <v>17</v>
      </c>
      <c r="E2855" s="90" t="s">
        <v>649</v>
      </c>
      <c r="F2855" s="90" t="s">
        <v>860</v>
      </c>
      <c r="G2855" s="137">
        <v>6</v>
      </c>
      <c r="H2855" s="94">
        <v>540</v>
      </c>
      <c r="I2855" s="91">
        <v>46030</v>
      </c>
      <c r="J2855" s="165">
        <v>0.71319444444444446</v>
      </c>
      <c r="K2855" s="94">
        <v>540</v>
      </c>
      <c r="L2855" s="72" t="str">
        <f t="shared" si="45"/>
        <v>Payé</v>
      </c>
    </row>
    <row r="2856" spans="1:12" ht="18" x14ac:dyDescent="0.25">
      <c r="A2856" s="90" t="s">
        <v>860</v>
      </c>
      <c r="B2856" s="90">
        <v>10384</v>
      </c>
      <c r="C2856" s="88" t="s">
        <v>1548</v>
      </c>
      <c r="D2856" s="90" t="s">
        <v>17</v>
      </c>
      <c r="E2856" s="90" t="s">
        <v>753</v>
      </c>
      <c r="F2856" s="90" t="s">
        <v>860</v>
      </c>
      <c r="G2856" s="137">
        <v>8</v>
      </c>
      <c r="H2856" s="94">
        <v>800</v>
      </c>
      <c r="I2856" s="91">
        <v>46030</v>
      </c>
      <c r="J2856" s="165">
        <v>0.71319444444444446</v>
      </c>
      <c r="K2856" s="94">
        <v>800</v>
      </c>
      <c r="L2856" s="72" t="str">
        <f t="shared" si="45"/>
        <v>Payé</v>
      </c>
    </row>
    <row r="2857" spans="1:12" ht="18" x14ac:dyDescent="0.25">
      <c r="A2857" s="90" t="s">
        <v>860</v>
      </c>
      <c r="B2857" s="90">
        <v>10385</v>
      </c>
      <c r="C2857" s="88" t="s">
        <v>1549</v>
      </c>
      <c r="D2857" s="90" t="s">
        <v>17</v>
      </c>
      <c r="E2857" s="90" t="s">
        <v>753</v>
      </c>
      <c r="F2857" s="90" t="s">
        <v>860</v>
      </c>
      <c r="G2857" s="137">
        <v>2.5</v>
      </c>
      <c r="H2857" s="94">
        <v>225</v>
      </c>
      <c r="I2857" s="91"/>
      <c r="J2857" s="165"/>
      <c r="K2857" s="92"/>
      <c r="L2857" s="72" t="str">
        <f t="shared" si="45"/>
        <v>Impayé</v>
      </c>
    </row>
    <row r="2858" spans="1:12" ht="18" x14ac:dyDescent="0.25">
      <c r="A2858" s="90" t="s">
        <v>860</v>
      </c>
      <c r="B2858" s="90">
        <v>10386</v>
      </c>
      <c r="C2858" s="88" t="s">
        <v>1550</v>
      </c>
      <c r="D2858" s="90" t="s">
        <v>17</v>
      </c>
      <c r="E2858" s="90" t="s">
        <v>1187</v>
      </c>
      <c r="F2858" s="90" t="s">
        <v>860</v>
      </c>
      <c r="G2858" s="137">
        <v>8</v>
      </c>
      <c r="H2858" s="94">
        <v>720</v>
      </c>
      <c r="I2858" s="91">
        <v>46032</v>
      </c>
      <c r="J2858" s="165">
        <v>0.49583333333333335</v>
      </c>
      <c r="K2858" s="94">
        <v>720</v>
      </c>
      <c r="L2858" s="72" t="str">
        <f t="shared" si="45"/>
        <v>Payé</v>
      </c>
    </row>
    <row r="2859" spans="1:12" ht="18" x14ac:dyDescent="0.25">
      <c r="A2859" s="90" t="s">
        <v>860</v>
      </c>
      <c r="B2859" s="90">
        <v>10387</v>
      </c>
      <c r="C2859" s="88" t="s">
        <v>1551</v>
      </c>
      <c r="D2859" s="90" t="s">
        <v>17</v>
      </c>
      <c r="E2859" s="90" t="s">
        <v>649</v>
      </c>
      <c r="F2859" s="90" t="s">
        <v>860</v>
      </c>
      <c r="G2859" s="137">
        <v>2</v>
      </c>
      <c r="H2859" s="94">
        <v>180</v>
      </c>
      <c r="I2859" s="91">
        <v>46032</v>
      </c>
      <c r="J2859" s="165">
        <v>0.50069444444444444</v>
      </c>
      <c r="K2859" s="94">
        <v>180</v>
      </c>
      <c r="L2859" s="72" t="str">
        <f t="shared" si="45"/>
        <v>Payé</v>
      </c>
    </row>
    <row r="2860" spans="1:12" ht="18" x14ac:dyDescent="0.25">
      <c r="A2860" s="90" t="s">
        <v>860</v>
      </c>
      <c r="B2860" s="90">
        <v>10388</v>
      </c>
      <c r="C2860" s="88" t="s">
        <v>1552</v>
      </c>
      <c r="D2860" s="90" t="s">
        <v>17</v>
      </c>
      <c r="E2860" s="90" t="s">
        <v>753</v>
      </c>
      <c r="F2860" s="90" t="s">
        <v>860</v>
      </c>
      <c r="G2860" s="137">
        <v>1</v>
      </c>
      <c r="H2860" s="94">
        <v>90</v>
      </c>
      <c r="I2860" s="91"/>
      <c r="J2860" s="165"/>
      <c r="K2860" s="92"/>
      <c r="L2860" s="72" t="str">
        <f t="shared" si="45"/>
        <v>Impayé</v>
      </c>
    </row>
    <row r="2861" spans="1:12" ht="18" x14ac:dyDescent="0.25">
      <c r="A2861" s="90" t="s">
        <v>860</v>
      </c>
      <c r="B2861" s="90">
        <v>10389</v>
      </c>
      <c r="C2861" s="88" t="s">
        <v>1553</v>
      </c>
      <c r="D2861" s="90" t="s">
        <v>17</v>
      </c>
      <c r="E2861" s="90" t="s">
        <v>254</v>
      </c>
      <c r="F2861" s="90" t="s">
        <v>860</v>
      </c>
      <c r="G2861" s="137">
        <v>6</v>
      </c>
      <c r="H2861" s="94">
        <v>540</v>
      </c>
      <c r="I2861" s="91">
        <v>46031</v>
      </c>
      <c r="J2861" s="165">
        <v>0.62361111111111112</v>
      </c>
      <c r="K2861" s="94">
        <v>540</v>
      </c>
      <c r="L2861" s="72" t="str">
        <f t="shared" si="45"/>
        <v>Payé</v>
      </c>
    </row>
    <row r="2862" spans="1:12" ht="18" x14ac:dyDescent="0.25">
      <c r="A2862" s="90" t="s">
        <v>860</v>
      </c>
      <c r="B2862" s="90">
        <v>10390</v>
      </c>
      <c r="C2862" s="88" t="s">
        <v>1554</v>
      </c>
      <c r="D2862" s="90" t="s">
        <v>17</v>
      </c>
      <c r="E2862" s="90" t="s">
        <v>649</v>
      </c>
      <c r="F2862" s="90" t="s">
        <v>860</v>
      </c>
      <c r="G2862" s="137">
        <v>6</v>
      </c>
      <c r="H2862" s="94">
        <v>540</v>
      </c>
      <c r="I2862" s="91">
        <v>46030</v>
      </c>
      <c r="J2862" s="165">
        <v>0.71319444444444446</v>
      </c>
      <c r="K2862" s="94">
        <v>540</v>
      </c>
      <c r="L2862" s="72" t="str">
        <f t="shared" si="45"/>
        <v>Payé</v>
      </c>
    </row>
    <row r="2863" spans="1:12" ht="18" x14ac:dyDescent="0.25">
      <c r="A2863" s="90" t="s">
        <v>860</v>
      </c>
      <c r="B2863" s="90">
        <v>10391</v>
      </c>
      <c r="C2863" s="88" t="s">
        <v>1555</v>
      </c>
      <c r="D2863" s="90" t="s">
        <v>17</v>
      </c>
      <c r="E2863" s="90" t="s">
        <v>753</v>
      </c>
      <c r="F2863" s="90" t="s">
        <v>860</v>
      </c>
      <c r="G2863" s="137">
        <v>2</v>
      </c>
      <c r="H2863" s="94">
        <v>180</v>
      </c>
      <c r="I2863" s="91">
        <v>46045</v>
      </c>
      <c r="J2863" s="165">
        <v>0.65486111111111112</v>
      </c>
      <c r="K2863" s="94">
        <v>180</v>
      </c>
      <c r="L2863" s="72" t="str">
        <f t="shared" si="45"/>
        <v>Payé</v>
      </c>
    </row>
    <row r="2864" spans="1:12" ht="18" x14ac:dyDescent="0.25">
      <c r="A2864" s="90" t="s">
        <v>860</v>
      </c>
      <c r="B2864" s="90">
        <v>10393</v>
      </c>
      <c r="C2864" s="88" t="s">
        <v>1556</v>
      </c>
      <c r="D2864" s="90" t="s">
        <v>17</v>
      </c>
      <c r="E2864" s="90" t="s">
        <v>254</v>
      </c>
      <c r="F2864" s="90" t="s">
        <v>860</v>
      </c>
      <c r="G2864" s="137">
        <v>2</v>
      </c>
      <c r="H2864" s="94">
        <v>180</v>
      </c>
      <c r="I2864" s="91">
        <v>46045</v>
      </c>
      <c r="J2864" s="165">
        <v>0.66875000000000007</v>
      </c>
      <c r="K2864" s="94">
        <v>180</v>
      </c>
      <c r="L2864" s="72" t="str">
        <f t="shared" si="45"/>
        <v>Payé</v>
      </c>
    </row>
    <row r="2865" spans="1:12" ht="18" x14ac:dyDescent="0.25">
      <c r="A2865" s="90" t="s">
        <v>860</v>
      </c>
      <c r="B2865" s="90">
        <v>10396</v>
      </c>
      <c r="C2865" s="88" t="s">
        <v>1557</v>
      </c>
      <c r="D2865" s="90" t="s">
        <v>17</v>
      </c>
      <c r="E2865" s="90" t="s">
        <v>649</v>
      </c>
      <c r="F2865" s="90" t="s">
        <v>860</v>
      </c>
      <c r="G2865" s="137">
        <v>0.5</v>
      </c>
      <c r="H2865" s="94">
        <v>45</v>
      </c>
      <c r="I2865" s="91"/>
      <c r="J2865" s="165"/>
      <c r="K2865" s="92"/>
      <c r="L2865" s="72" t="str">
        <f t="shared" si="45"/>
        <v>Impayé</v>
      </c>
    </row>
    <row r="2866" spans="1:12" ht="18" x14ac:dyDescent="0.25">
      <c r="A2866" s="90" t="s">
        <v>860</v>
      </c>
      <c r="B2866" s="90">
        <v>10397</v>
      </c>
      <c r="C2866" s="88" t="s">
        <v>1558</v>
      </c>
      <c r="D2866" s="90" t="s">
        <v>17</v>
      </c>
      <c r="E2866" s="90" t="s">
        <v>649</v>
      </c>
      <c r="F2866" s="90" t="s">
        <v>860</v>
      </c>
      <c r="G2866" s="137">
        <v>1</v>
      </c>
      <c r="H2866" s="94">
        <v>90</v>
      </c>
      <c r="I2866" s="91">
        <v>46030</v>
      </c>
      <c r="J2866" s="165">
        <v>0.71319444444444446</v>
      </c>
      <c r="K2866" s="94">
        <v>90</v>
      </c>
      <c r="L2866" s="72" t="str">
        <f t="shared" si="45"/>
        <v>Payé</v>
      </c>
    </row>
    <row r="2867" spans="1:12" ht="18" x14ac:dyDescent="0.25">
      <c r="A2867" s="90" t="s">
        <v>860</v>
      </c>
      <c r="B2867" s="90">
        <v>10400</v>
      </c>
      <c r="C2867" s="88" t="s">
        <v>1274</v>
      </c>
      <c r="D2867" s="90" t="s">
        <v>17</v>
      </c>
      <c r="E2867" s="90" t="s">
        <v>254</v>
      </c>
      <c r="F2867" s="90" t="s">
        <v>860</v>
      </c>
      <c r="G2867" s="137">
        <v>3</v>
      </c>
      <c r="H2867" s="94">
        <v>270</v>
      </c>
      <c r="I2867" s="91">
        <v>46031</v>
      </c>
      <c r="J2867" s="165">
        <v>0.62361111111111112</v>
      </c>
      <c r="K2867" s="94">
        <v>270</v>
      </c>
      <c r="L2867" s="72" t="str">
        <f t="shared" si="45"/>
        <v>Payé</v>
      </c>
    </row>
    <row r="2868" spans="1:12" ht="18" x14ac:dyDescent="0.25">
      <c r="A2868" s="90" t="s">
        <v>860</v>
      </c>
      <c r="B2868" s="90">
        <v>10404</v>
      </c>
      <c r="C2868" s="88" t="s">
        <v>1415</v>
      </c>
      <c r="D2868" s="90" t="s">
        <v>17</v>
      </c>
      <c r="E2868" s="90" t="s">
        <v>667</v>
      </c>
      <c r="F2868" s="90" t="s">
        <v>860</v>
      </c>
      <c r="G2868" s="137">
        <v>6</v>
      </c>
      <c r="H2868" s="94">
        <v>540</v>
      </c>
      <c r="I2868" s="91">
        <v>46032</v>
      </c>
      <c r="J2868" s="165">
        <v>0.51180555555555551</v>
      </c>
      <c r="K2868" s="94">
        <v>540</v>
      </c>
      <c r="L2868" s="72" t="str">
        <f t="shared" si="45"/>
        <v>Payé</v>
      </c>
    </row>
    <row r="2869" spans="1:12" ht="18" x14ac:dyDescent="0.25">
      <c r="A2869" s="90" t="s">
        <v>860</v>
      </c>
      <c r="B2869" s="90"/>
      <c r="C2869" s="88" t="s">
        <v>585</v>
      </c>
      <c r="D2869" s="89" t="s">
        <v>910</v>
      </c>
      <c r="E2869" s="90" t="s">
        <v>123</v>
      </c>
      <c r="F2869" s="90" t="s">
        <v>860</v>
      </c>
      <c r="G2869" s="95">
        <v>118</v>
      </c>
      <c r="H2869" s="92">
        <v>3540</v>
      </c>
      <c r="I2869" s="91">
        <v>46031</v>
      </c>
      <c r="J2869" s="165">
        <v>0.50347222222222221</v>
      </c>
      <c r="K2869" s="92">
        <v>3540</v>
      </c>
      <c r="L2869" s="72" t="str">
        <f t="shared" si="45"/>
        <v>Payé</v>
      </c>
    </row>
    <row r="2870" spans="1:12" ht="18" x14ac:dyDescent="0.25">
      <c r="A2870" s="90" t="s">
        <v>860</v>
      </c>
      <c r="B2870" s="90"/>
      <c r="C2870" s="88" t="s">
        <v>406</v>
      </c>
      <c r="D2870" s="89" t="s">
        <v>910</v>
      </c>
      <c r="E2870" s="90" t="s">
        <v>1191</v>
      </c>
      <c r="F2870" s="90" t="s">
        <v>860</v>
      </c>
      <c r="G2870" s="95">
        <v>79</v>
      </c>
      <c r="H2870" s="92">
        <v>2370</v>
      </c>
      <c r="I2870" s="91">
        <v>46031</v>
      </c>
      <c r="J2870" s="165">
        <v>0.44444444444444442</v>
      </c>
      <c r="K2870" s="92">
        <v>2370</v>
      </c>
      <c r="L2870" s="72" t="str">
        <f t="shared" si="45"/>
        <v>Payé</v>
      </c>
    </row>
    <row r="2871" spans="1:12" ht="18" x14ac:dyDescent="0.25">
      <c r="A2871" s="90" t="s">
        <v>860</v>
      </c>
      <c r="B2871" s="90"/>
      <c r="C2871" s="88" t="s">
        <v>1346</v>
      </c>
      <c r="D2871" s="89" t="s">
        <v>910</v>
      </c>
      <c r="E2871" s="90" t="s">
        <v>649</v>
      </c>
      <c r="F2871" s="90" t="s">
        <v>860</v>
      </c>
      <c r="G2871" s="95">
        <v>178</v>
      </c>
      <c r="H2871" s="92">
        <v>5340</v>
      </c>
      <c r="I2871" s="91">
        <v>46030</v>
      </c>
      <c r="J2871" s="165">
        <v>0.71319444444444446</v>
      </c>
      <c r="K2871" s="92">
        <v>5340</v>
      </c>
      <c r="L2871" s="72" t="str">
        <f t="shared" si="45"/>
        <v>Payé</v>
      </c>
    </row>
    <row r="2872" spans="1:12" ht="18" x14ac:dyDescent="0.25">
      <c r="A2872" s="90" t="s">
        <v>860</v>
      </c>
      <c r="B2872" s="90"/>
      <c r="C2872" s="88" t="s">
        <v>630</v>
      </c>
      <c r="D2872" s="89" t="s">
        <v>910</v>
      </c>
      <c r="E2872" s="90" t="s">
        <v>1047</v>
      </c>
      <c r="F2872" s="90" t="s">
        <v>860</v>
      </c>
      <c r="G2872" s="95">
        <v>178</v>
      </c>
      <c r="H2872" s="92">
        <v>5340</v>
      </c>
      <c r="I2872" s="91">
        <v>46031</v>
      </c>
      <c r="J2872" s="165">
        <v>0.71319444444444446</v>
      </c>
      <c r="K2872" s="92">
        <v>5340</v>
      </c>
      <c r="L2872" s="72" t="str">
        <f t="shared" si="45"/>
        <v>Payé</v>
      </c>
    </row>
    <row r="2873" spans="1:12" ht="18" x14ac:dyDescent="0.25">
      <c r="A2873" s="90" t="s">
        <v>860</v>
      </c>
      <c r="B2873" s="90"/>
      <c r="C2873" s="88" t="s">
        <v>719</v>
      </c>
      <c r="D2873" s="89" t="s">
        <v>910</v>
      </c>
      <c r="E2873" s="90" t="s">
        <v>1349</v>
      </c>
      <c r="F2873" s="90" t="s">
        <v>860</v>
      </c>
      <c r="G2873" s="95">
        <v>185</v>
      </c>
      <c r="H2873" s="92">
        <v>5550</v>
      </c>
      <c r="I2873" s="91">
        <v>46030</v>
      </c>
      <c r="J2873" s="165">
        <v>0.71319444444444446</v>
      </c>
      <c r="K2873" s="92">
        <v>5550</v>
      </c>
      <c r="L2873" s="72" t="str">
        <f t="shared" si="45"/>
        <v>Payé</v>
      </c>
    </row>
    <row r="2874" spans="1:12" ht="18" x14ac:dyDescent="0.25">
      <c r="A2874" s="90" t="s">
        <v>860</v>
      </c>
      <c r="B2874" s="90"/>
      <c r="C2874" s="88" t="s">
        <v>1190</v>
      </c>
      <c r="D2874" s="89" t="s">
        <v>910</v>
      </c>
      <c r="E2874" s="90" t="s">
        <v>1350</v>
      </c>
      <c r="F2874" s="90" t="s">
        <v>860</v>
      </c>
      <c r="G2874" s="95">
        <v>278</v>
      </c>
      <c r="H2874" s="92">
        <v>8340</v>
      </c>
      <c r="I2874" s="91">
        <v>46031</v>
      </c>
      <c r="J2874" s="165">
        <v>0.58680555555555558</v>
      </c>
      <c r="K2874" s="92">
        <v>8340</v>
      </c>
      <c r="L2874" s="72" t="str">
        <f t="shared" si="45"/>
        <v>Payé</v>
      </c>
    </row>
    <row r="2875" spans="1:12" ht="18" x14ac:dyDescent="0.25">
      <c r="A2875" s="90" t="s">
        <v>860</v>
      </c>
      <c r="B2875" s="90"/>
      <c r="C2875" s="88" t="s">
        <v>1347</v>
      </c>
      <c r="D2875" s="89" t="s">
        <v>910</v>
      </c>
      <c r="E2875" s="90" t="s">
        <v>667</v>
      </c>
      <c r="F2875" s="90" t="s">
        <v>860</v>
      </c>
      <c r="G2875" s="95">
        <v>274</v>
      </c>
      <c r="H2875" s="92">
        <v>8220</v>
      </c>
      <c r="I2875" s="91">
        <v>46031</v>
      </c>
      <c r="J2875" s="165">
        <v>0.60416666666666663</v>
      </c>
      <c r="K2875" s="92">
        <v>8220</v>
      </c>
      <c r="L2875" s="72" t="str">
        <f t="shared" si="45"/>
        <v>Payé</v>
      </c>
    </row>
    <row r="2876" spans="1:12" ht="18" x14ac:dyDescent="0.25">
      <c r="A2876" s="90" t="s">
        <v>860</v>
      </c>
      <c r="B2876" s="90"/>
      <c r="C2876" s="88" t="s">
        <v>1189</v>
      </c>
      <c r="D2876" s="89" t="s">
        <v>910</v>
      </c>
      <c r="E2876" s="90" t="s">
        <v>49</v>
      </c>
      <c r="F2876" s="90" t="s">
        <v>860</v>
      </c>
      <c r="G2876" s="95">
        <v>193</v>
      </c>
      <c r="H2876" s="92">
        <v>5790</v>
      </c>
      <c r="I2876" s="91">
        <v>46031</v>
      </c>
      <c r="J2876" s="165">
        <v>0.64236111111111105</v>
      </c>
      <c r="K2876" s="92">
        <v>5790</v>
      </c>
      <c r="L2876" s="72" t="str">
        <f t="shared" si="45"/>
        <v>Payé</v>
      </c>
    </row>
    <row r="2877" spans="1:12" ht="18" x14ac:dyDescent="0.25">
      <c r="A2877" s="90" t="s">
        <v>860</v>
      </c>
      <c r="B2877" s="90"/>
      <c r="C2877" s="88" t="s">
        <v>1529</v>
      </c>
      <c r="D2877" s="89" t="s">
        <v>910</v>
      </c>
      <c r="E2877" s="90" t="s">
        <v>254</v>
      </c>
      <c r="F2877" s="90" t="s">
        <v>860</v>
      </c>
      <c r="G2877" s="95">
        <v>137</v>
      </c>
      <c r="H2877" s="92">
        <v>4110</v>
      </c>
      <c r="I2877" s="91">
        <v>46031</v>
      </c>
      <c r="J2877" s="165">
        <v>0.625</v>
      </c>
      <c r="K2877" s="92">
        <v>4110</v>
      </c>
      <c r="L2877" s="72" t="str">
        <f t="shared" si="45"/>
        <v>Payé</v>
      </c>
    </row>
    <row r="2878" spans="1:12" ht="18" x14ac:dyDescent="0.25">
      <c r="A2878" s="90" t="s">
        <v>860</v>
      </c>
      <c r="B2878" s="90"/>
      <c r="C2878" s="88" t="s">
        <v>1532</v>
      </c>
      <c r="D2878" s="89" t="s">
        <v>910</v>
      </c>
      <c r="E2878" s="90" t="s">
        <v>1527</v>
      </c>
      <c r="F2878" s="90" t="s">
        <v>860</v>
      </c>
      <c r="G2878" s="95">
        <v>7</v>
      </c>
      <c r="H2878" s="92">
        <v>210</v>
      </c>
      <c r="I2878" s="91">
        <v>46031</v>
      </c>
      <c r="J2878" s="165">
        <v>0.6118055555555556</v>
      </c>
      <c r="K2878" s="92">
        <v>210</v>
      </c>
      <c r="L2878" s="72" t="str">
        <f t="shared" si="45"/>
        <v>Payé</v>
      </c>
    </row>
    <row r="2879" spans="1:12" ht="18" x14ac:dyDescent="0.25">
      <c r="A2879" s="90" t="s">
        <v>860</v>
      </c>
      <c r="B2879" s="90"/>
      <c r="C2879" s="88" t="s">
        <v>1533</v>
      </c>
      <c r="D2879" s="89" t="s">
        <v>910</v>
      </c>
      <c r="E2879" s="90" t="s">
        <v>1416</v>
      </c>
      <c r="F2879" s="90" t="s">
        <v>860</v>
      </c>
      <c r="G2879" s="95">
        <v>4</v>
      </c>
      <c r="H2879" s="92">
        <v>120</v>
      </c>
      <c r="I2879" s="91">
        <v>46031</v>
      </c>
      <c r="J2879" s="165">
        <v>0.44027777777777777</v>
      </c>
      <c r="K2879" s="92">
        <v>120</v>
      </c>
      <c r="L2879" s="72" t="str">
        <f t="shared" si="45"/>
        <v>Payé</v>
      </c>
    </row>
    <row r="2880" spans="1:12" ht="18" x14ac:dyDescent="0.25">
      <c r="A2880" s="90" t="s">
        <v>860</v>
      </c>
      <c r="B2880" s="90"/>
      <c r="C2880" s="88" t="s">
        <v>1351</v>
      </c>
      <c r="D2880" s="90" t="s">
        <v>912</v>
      </c>
      <c r="E2880" s="90"/>
      <c r="F2880" s="90" t="s">
        <v>860</v>
      </c>
      <c r="G2880" s="94">
        <v>1</v>
      </c>
      <c r="H2880" s="92">
        <v>450</v>
      </c>
      <c r="I2880" s="91">
        <v>46031</v>
      </c>
      <c r="J2880" s="165">
        <v>0.56319444444444444</v>
      </c>
      <c r="K2880" s="92">
        <v>450</v>
      </c>
      <c r="L2880" s="72" t="str">
        <f t="shared" si="45"/>
        <v>Payé</v>
      </c>
    </row>
    <row r="2881" spans="1:12" ht="18" x14ac:dyDescent="0.25">
      <c r="A2881" s="90" t="s">
        <v>860</v>
      </c>
      <c r="B2881" s="90"/>
      <c r="C2881" s="88" t="s">
        <v>1352</v>
      </c>
      <c r="D2881" s="90" t="s">
        <v>912</v>
      </c>
      <c r="E2881" s="90"/>
      <c r="F2881" s="90" t="s">
        <v>860</v>
      </c>
      <c r="G2881" s="94">
        <v>5</v>
      </c>
      <c r="H2881" s="92">
        <v>2250</v>
      </c>
      <c r="I2881" s="91">
        <v>46031</v>
      </c>
      <c r="J2881" s="165">
        <v>0.5756944444444444</v>
      </c>
      <c r="K2881" s="92">
        <v>2250</v>
      </c>
      <c r="L2881" s="72" t="str">
        <f t="shared" si="45"/>
        <v>Payé</v>
      </c>
    </row>
    <row r="2882" spans="1:12" ht="18" x14ac:dyDescent="0.25">
      <c r="A2882" s="90" t="s">
        <v>860</v>
      </c>
      <c r="B2882" s="90"/>
      <c r="C2882" s="88" t="s">
        <v>1201</v>
      </c>
      <c r="D2882" s="90" t="s">
        <v>912</v>
      </c>
      <c r="E2882" s="90"/>
      <c r="F2882" s="90" t="s">
        <v>860</v>
      </c>
      <c r="G2882" s="94">
        <v>14</v>
      </c>
      <c r="H2882" s="92">
        <v>3500</v>
      </c>
      <c r="I2882" s="91">
        <v>46031</v>
      </c>
      <c r="J2882" s="165">
        <v>0.71319444444444446</v>
      </c>
      <c r="K2882" s="92">
        <v>3500</v>
      </c>
      <c r="L2882" s="72" t="str">
        <f t="shared" si="45"/>
        <v>Payé</v>
      </c>
    </row>
    <row r="2883" spans="1:12" ht="18" x14ac:dyDescent="0.25">
      <c r="A2883" s="90" t="s">
        <v>860</v>
      </c>
      <c r="B2883" s="90"/>
      <c r="C2883" s="88" t="s">
        <v>1346</v>
      </c>
      <c r="D2883" s="90" t="s">
        <v>912</v>
      </c>
      <c r="E2883" s="90"/>
      <c r="F2883" s="90" t="s">
        <v>860</v>
      </c>
      <c r="G2883" s="94">
        <v>1</v>
      </c>
      <c r="H2883" s="92">
        <v>150</v>
      </c>
      <c r="I2883" s="91">
        <v>46030</v>
      </c>
      <c r="J2883" s="165">
        <v>0.71319444444444446</v>
      </c>
      <c r="K2883" s="92">
        <v>150</v>
      </c>
      <c r="L2883" s="72" t="str">
        <f t="shared" si="45"/>
        <v>Payé</v>
      </c>
    </row>
    <row r="2884" spans="1:12" ht="18" x14ac:dyDescent="0.25">
      <c r="A2884" s="90" t="s">
        <v>860</v>
      </c>
      <c r="B2884" s="90"/>
      <c r="C2884" s="88" t="s">
        <v>1355</v>
      </c>
      <c r="D2884" s="90" t="s">
        <v>912</v>
      </c>
      <c r="E2884" s="90"/>
      <c r="F2884" s="90" t="s">
        <v>860</v>
      </c>
      <c r="G2884" s="94">
        <v>7</v>
      </c>
      <c r="H2884" s="92">
        <v>3500</v>
      </c>
      <c r="I2884" s="91">
        <v>46038</v>
      </c>
      <c r="J2884" s="165">
        <v>0.57708333333333328</v>
      </c>
      <c r="K2884" s="92">
        <v>3500</v>
      </c>
      <c r="L2884" s="72" t="str">
        <f t="shared" si="45"/>
        <v>Payé</v>
      </c>
    </row>
    <row r="2885" spans="1:12" ht="18" x14ac:dyDescent="0.25">
      <c r="A2885" s="90" t="s">
        <v>861</v>
      </c>
      <c r="B2885" s="90">
        <v>5</v>
      </c>
      <c r="C2885" s="88" t="s">
        <v>456</v>
      </c>
      <c r="D2885" s="90" t="s">
        <v>17</v>
      </c>
      <c r="E2885" s="90" t="s">
        <v>81</v>
      </c>
      <c r="F2885" s="90" t="s">
        <v>861</v>
      </c>
      <c r="G2885" s="137">
        <v>1</v>
      </c>
      <c r="H2885" s="94">
        <v>95.41130386121992</v>
      </c>
      <c r="I2885" s="91">
        <v>46048</v>
      </c>
      <c r="J2885" s="165">
        <v>0.58124999999999993</v>
      </c>
      <c r="K2885" s="94">
        <v>95.41130386121992</v>
      </c>
      <c r="L2885" s="72" t="str">
        <f t="shared" si="45"/>
        <v>Payé</v>
      </c>
    </row>
    <row r="2886" spans="1:12" ht="18" x14ac:dyDescent="0.25">
      <c r="A2886" s="90" t="s">
        <v>861</v>
      </c>
      <c r="B2886" s="90">
        <v>6</v>
      </c>
      <c r="C2886" s="88" t="s">
        <v>542</v>
      </c>
      <c r="D2886" s="90" t="s">
        <v>17</v>
      </c>
      <c r="E2886" s="90" t="s">
        <v>368</v>
      </c>
      <c r="F2886" s="90" t="s">
        <v>861</v>
      </c>
      <c r="G2886" s="137">
        <v>2</v>
      </c>
      <c r="H2886" s="94">
        <v>190.82260772243984</v>
      </c>
      <c r="I2886" s="91">
        <v>46045</v>
      </c>
      <c r="J2886" s="165">
        <v>0.54861111111111105</v>
      </c>
      <c r="K2886" s="94">
        <v>190.82260772243984</v>
      </c>
      <c r="L2886" s="72" t="str">
        <f t="shared" si="45"/>
        <v>Payé</v>
      </c>
    </row>
    <row r="2887" spans="1:12" ht="18" x14ac:dyDescent="0.25">
      <c r="A2887" s="90" t="s">
        <v>861</v>
      </c>
      <c r="B2887" s="90">
        <v>95</v>
      </c>
      <c r="C2887" s="88" t="s">
        <v>408</v>
      </c>
      <c r="D2887" s="90" t="s">
        <v>17</v>
      </c>
      <c r="E2887" s="90" t="s">
        <v>103</v>
      </c>
      <c r="F2887" s="90" t="s">
        <v>861</v>
      </c>
      <c r="G2887" s="137">
        <v>2</v>
      </c>
      <c r="H2887" s="94">
        <v>182.14885282596532</v>
      </c>
      <c r="I2887" s="91">
        <v>46045</v>
      </c>
      <c r="J2887" s="165">
        <v>0.58750000000000002</v>
      </c>
      <c r="K2887" s="94">
        <v>182.14885282596532</v>
      </c>
      <c r="L2887" s="72" t="str">
        <f t="shared" si="45"/>
        <v>Payé</v>
      </c>
    </row>
    <row r="2888" spans="1:12" ht="18" x14ac:dyDescent="0.25">
      <c r="A2888" s="90" t="s">
        <v>861</v>
      </c>
      <c r="B2888" s="90">
        <v>179</v>
      </c>
      <c r="C2888" s="88" t="s">
        <v>596</v>
      </c>
      <c r="D2888" s="90" t="s">
        <v>17</v>
      </c>
      <c r="E2888" s="90" t="s">
        <v>81</v>
      </c>
      <c r="F2888" s="90" t="s">
        <v>861</v>
      </c>
      <c r="G2888" s="137">
        <v>1</v>
      </c>
      <c r="H2888" s="94">
        <v>91.07442641298266</v>
      </c>
      <c r="I2888" s="91">
        <v>46048</v>
      </c>
      <c r="J2888" s="165">
        <v>0.46249999999999997</v>
      </c>
      <c r="K2888" s="141">
        <v>91.07442641298266</v>
      </c>
      <c r="L2888" s="72" t="str">
        <f t="shared" si="45"/>
        <v>Payé</v>
      </c>
    </row>
    <row r="2889" spans="1:12" ht="18" x14ac:dyDescent="0.25">
      <c r="A2889" s="90" t="s">
        <v>861</v>
      </c>
      <c r="B2889" s="90">
        <v>198</v>
      </c>
      <c r="C2889" s="88" t="s">
        <v>380</v>
      </c>
      <c r="D2889" s="90" t="s">
        <v>17</v>
      </c>
      <c r="E2889" s="90" t="s">
        <v>369</v>
      </c>
      <c r="F2889" s="90" t="s">
        <v>861</v>
      </c>
      <c r="G2889" s="137">
        <v>2</v>
      </c>
      <c r="H2889" s="94">
        <v>190.82260772243984</v>
      </c>
      <c r="I2889" s="87">
        <v>46077</v>
      </c>
      <c r="J2889" s="93">
        <v>0.47638888888888892</v>
      </c>
      <c r="K2889" s="94">
        <v>190.82260772243984</v>
      </c>
      <c r="L2889" s="72" t="str">
        <f t="shared" si="45"/>
        <v>Payé</v>
      </c>
    </row>
    <row r="2890" spans="1:12" ht="18" x14ac:dyDescent="0.25">
      <c r="A2890" s="90" t="s">
        <v>861</v>
      </c>
      <c r="B2890" s="90">
        <v>201</v>
      </c>
      <c r="C2890" s="88" t="s">
        <v>599</v>
      </c>
      <c r="D2890" s="90" t="s">
        <v>17</v>
      </c>
      <c r="E2890" s="90" t="s">
        <v>81</v>
      </c>
      <c r="F2890" s="90" t="s">
        <v>861</v>
      </c>
      <c r="G2890" s="137">
        <v>1</v>
      </c>
      <c r="H2890" s="94">
        <v>95.41130386121992</v>
      </c>
      <c r="I2890" s="91">
        <v>46048</v>
      </c>
      <c r="J2890" s="165">
        <v>0.46249999999999997</v>
      </c>
      <c r="K2890" s="141">
        <v>95.41130386121992</v>
      </c>
      <c r="L2890" s="72" t="str">
        <f t="shared" si="45"/>
        <v>Payé</v>
      </c>
    </row>
    <row r="2891" spans="1:12" ht="18" x14ac:dyDescent="0.25">
      <c r="A2891" s="90" t="s">
        <v>861</v>
      </c>
      <c r="B2891" s="90">
        <v>348</v>
      </c>
      <c r="C2891" s="88" t="s">
        <v>951</v>
      </c>
      <c r="D2891" s="90" t="s">
        <v>17</v>
      </c>
      <c r="E2891" s="90" t="s">
        <v>123</v>
      </c>
      <c r="F2891" s="90" t="s">
        <v>861</v>
      </c>
      <c r="G2891" s="137">
        <v>1</v>
      </c>
      <c r="H2891" s="94">
        <v>91.07442641298266</v>
      </c>
      <c r="I2891" s="91">
        <v>46048</v>
      </c>
      <c r="J2891" s="165">
        <v>0.56666666666666665</v>
      </c>
      <c r="K2891" s="141">
        <v>91.07442641298266</v>
      </c>
      <c r="L2891" s="72" t="str">
        <f t="shared" si="45"/>
        <v>Payé</v>
      </c>
    </row>
    <row r="2892" spans="1:12" ht="18" x14ac:dyDescent="0.25">
      <c r="A2892" s="90" t="s">
        <v>861</v>
      </c>
      <c r="B2892" s="90">
        <v>564</v>
      </c>
      <c r="C2892" s="88" t="s">
        <v>294</v>
      </c>
      <c r="D2892" s="90" t="s">
        <v>17</v>
      </c>
      <c r="E2892" s="90" t="s">
        <v>123</v>
      </c>
      <c r="F2892" s="90" t="s">
        <v>861</v>
      </c>
      <c r="G2892" s="137">
        <v>10</v>
      </c>
      <c r="H2892" s="94">
        <v>939.97548964745386</v>
      </c>
      <c r="I2892" s="91">
        <v>46045</v>
      </c>
      <c r="J2892" s="165">
        <v>0.65763888888888888</v>
      </c>
      <c r="K2892" s="94">
        <v>939.97548964745386</v>
      </c>
      <c r="L2892" s="72" t="str">
        <f t="shared" si="45"/>
        <v>Payé</v>
      </c>
    </row>
    <row r="2893" spans="1:12" ht="18" x14ac:dyDescent="0.25">
      <c r="A2893" s="90" t="s">
        <v>861</v>
      </c>
      <c r="B2893" s="90">
        <v>994</v>
      </c>
      <c r="C2893" s="88" t="s">
        <v>381</v>
      </c>
      <c r="D2893" s="90" t="s">
        <v>17</v>
      </c>
      <c r="E2893" s="90" t="s">
        <v>370</v>
      </c>
      <c r="F2893" s="90" t="s">
        <v>861</v>
      </c>
      <c r="G2893" s="137">
        <v>2</v>
      </c>
      <c r="H2893" s="94">
        <v>182.14885282596532</v>
      </c>
      <c r="I2893" s="91">
        <v>46048</v>
      </c>
      <c r="J2893" s="165">
        <v>0.48888888888888887</v>
      </c>
      <c r="K2893" s="94">
        <v>182.14885282596532</v>
      </c>
      <c r="L2893" s="72" t="str">
        <f t="shared" si="45"/>
        <v>Payé</v>
      </c>
    </row>
    <row r="2894" spans="1:12" ht="18" x14ac:dyDescent="0.25">
      <c r="A2894" s="90" t="s">
        <v>861</v>
      </c>
      <c r="B2894" s="90">
        <v>1505</v>
      </c>
      <c r="C2894" s="88" t="s">
        <v>383</v>
      </c>
      <c r="D2894" s="90" t="s">
        <v>17</v>
      </c>
      <c r="E2894" s="90" t="s">
        <v>1187</v>
      </c>
      <c r="F2894" s="90" t="s">
        <v>861</v>
      </c>
      <c r="G2894" s="137">
        <v>9</v>
      </c>
      <c r="H2894" s="94">
        <v>809.97794068270844</v>
      </c>
      <c r="I2894" s="91">
        <v>46044</v>
      </c>
      <c r="J2894" s="165">
        <v>0.72291666666666676</v>
      </c>
      <c r="K2894" s="94">
        <v>809.97794068270844</v>
      </c>
      <c r="L2894" s="72" t="str">
        <f t="shared" si="45"/>
        <v>Payé</v>
      </c>
    </row>
    <row r="2895" spans="1:12" ht="18" x14ac:dyDescent="0.25">
      <c r="A2895" s="90" t="s">
        <v>861</v>
      </c>
      <c r="B2895" s="90">
        <v>1611</v>
      </c>
      <c r="C2895" s="88" t="s">
        <v>1234</v>
      </c>
      <c r="D2895" s="90" t="s">
        <v>17</v>
      </c>
      <c r="E2895" s="90" t="s">
        <v>123</v>
      </c>
      <c r="F2895" s="90" t="s">
        <v>861</v>
      </c>
      <c r="G2895" s="137">
        <v>4</v>
      </c>
      <c r="H2895" s="94">
        <v>379.99019585898151</v>
      </c>
      <c r="I2895" s="91">
        <v>46045</v>
      </c>
      <c r="J2895" s="165">
        <v>0.63402777777777775</v>
      </c>
      <c r="K2895" s="94">
        <v>379.99019585898151</v>
      </c>
      <c r="L2895" s="72" t="str">
        <f t="shared" si="45"/>
        <v>Payé</v>
      </c>
    </row>
    <row r="2896" spans="1:12" ht="18" x14ac:dyDescent="0.25">
      <c r="A2896" s="90" t="s">
        <v>861</v>
      </c>
      <c r="B2896" s="90">
        <v>1649</v>
      </c>
      <c r="C2896" s="88" t="s">
        <v>1559</v>
      </c>
      <c r="D2896" s="90" t="s">
        <v>17</v>
      </c>
      <c r="E2896" s="90" t="s">
        <v>753</v>
      </c>
      <c r="F2896" s="90" t="s">
        <v>861</v>
      </c>
      <c r="G2896" s="137">
        <v>9</v>
      </c>
      <c r="H2896" s="94">
        <v>809.97794068270844</v>
      </c>
      <c r="I2896" s="91">
        <v>46045</v>
      </c>
      <c r="J2896" s="165">
        <v>0.58958333333333335</v>
      </c>
      <c r="K2896" s="94">
        <v>809.97794068270844</v>
      </c>
      <c r="L2896" s="72" t="str">
        <f t="shared" si="45"/>
        <v>Payé</v>
      </c>
    </row>
    <row r="2897" spans="1:12" ht="18" x14ac:dyDescent="0.25">
      <c r="A2897" s="90" t="s">
        <v>861</v>
      </c>
      <c r="B2897" s="90">
        <v>1688</v>
      </c>
      <c r="C2897" s="88" t="s">
        <v>1114</v>
      </c>
      <c r="D2897" s="90" t="s">
        <v>17</v>
      </c>
      <c r="E2897" s="90" t="s">
        <v>254</v>
      </c>
      <c r="F2897" s="90" t="s">
        <v>861</v>
      </c>
      <c r="G2897" s="137">
        <v>8</v>
      </c>
      <c r="H2897" s="94">
        <v>719.98039171796302</v>
      </c>
      <c r="I2897" s="91">
        <v>46045</v>
      </c>
      <c r="J2897" s="165">
        <v>0.66875000000000007</v>
      </c>
      <c r="K2897" s="94">
        <v>719.98039171796302</v>
      </c>
      <c r="L2897" s="72" t="str">
        <f t="shared" si="45"/>
        <v>Payé</v>
      </c>
    </row>
    <row r="2898" spans="1:12" ht="18" x14ac:dyDescent="0.25">
      <c r="A2898" s="90" t="s">
        <v>861</v>
      </c>
      <c r="B2898" s="90">
        <v>2580</v>
      </c>
      <c r="C2898" s="88" t="s">
        <v>972</v>
      </c>
      <c r="D2898" s="90" t="s">
        <v>17</v>
      </c>
      <c r="E2898" s="90" t="s">
        <v>254</v>
      </c>
      <c r="F2898" s="90" t="s">
        <v>861</v>
      </c>
      <c r="G2898" s="137">
        <v>5</v>
      </c>
      <c r="H2898" s="94">
        <v>449.98774482372687</v>
      </c>
      <c r="I2898" s="91">
        <v>46045</v>
      </c>
      <c r="J2898" s="165">
        <v>0.66875000000000007</v>
      </c>
      <c r="K2898" s="94">
        <v>449.98774482372687</v>
      </c>
      <c r="L2898" s="72" t="str">
        <f t="shared" si="45"/>
        <v>Payé</v>
      </c>
    </row>
    <row r="2899" spans="1:12" ht="18" x14ac:dyDescent="0.25">
      <c r="A2899" s="90" t="s">
        <v>861</v>
      </c>
      <c r="B2899" s="90">
        <v>2589</v>
      </c>
      <c r="C2899" s="88" t="s">
        <v>973</v>
      </c>
      <c r="D2899" s="90" t="s">
        <v>17</v>
      </c>
      <c r="E2899" s="90" t="s">
        <v>254</v>
      </c>
      <c r="F2899" s="90" t="s">
        <v>861</v>
      </c>
      <c r="G2899" s="137">
        <v>3</v>
      </c>
      <c r="H2899" s="94">
        <v>269.99264689423615</v>
      </c>
      <c r="I2899" s="91">
        <v>46048</v>
      </c>
      <c r="J2899" s="165">
        <v>0.47500000000000003</v>
      </c>
      <c r="K2899" s="94">
        <v>269.99264689423615</v>
      </c>
      <c r="L2899" s="72" t="str">
        <f t="shared" si="45"/>
        <v>Payé</v>
      </c>
    </row>
    <row r="2900" spans="1:12" ht="18" x14ac:dyDescent="0.25">
      <c r="A2900" s="90" t="s">
        <v>861</v>
      </c>
      <c r="B2900" s="90">
        <v>2856</v>
      </c>
      <c r="C2900" s="88" t="s">
        <v>1288</v>
      </c>
      <c r="D2900" s="90" t="s">
        <v>17</v>
      </c>
      <c r="E2900" s="90" t="s">
        <v>123</v>
      </c>
      <c r="F2900" s="90" t="s">
        <v>861</v>
      </c>
      <c r="G2900" s="137">
        <v>10</v>
      </c>
      <c r="H2900" s="94">
        <v>899.97548964745374</v>
      </c>
      <c r="I2900" s="91">
        <v>46048</v>
      </c>
      <c r="J2900" s="165">
        <v>0.59930555555555554</v>
      </c>
      <c r="K2900" s="94">
        <v>899.97548964745374</v>
      </c>
      <c r="L2900" s="72" t="str">
        <f t="shared" si="45"/>
        <v>Payé</v>
      </c>
    </row>
    <row r="2901" spans="1:12" ht="18" x14ac:dyDescent="0.25">
      <c r="A2901" s="90" t="s">
        <v>861</v>
      </c>
      <c r="B2901" s="90">
        <v>2986</v>
      </c>
      <c r="C2901" s="88" t="s">
        <v>1236</v>
      </c>
      <c r="D2901" s="90" t="s">
        <v>17</v>
      </c>
      <c r="E2901" s="90" t="s">
        <v>649</v>
      </c>
      <c r="F2901" s="90" t="s">
        <v>861</v>
      </c>
      <c r="G2901" s="137">
        <v>4</v>
      </c>
      <c r="H2901" s="94">
        <v>359.99019585898151</v>
      </c>
      <c r="I2901" s="91">
        <v>46044</v>
      </c>
      <c r="J2901" s="165">
        <v>0.7090277777777777</v>
      </c>
      <c r="K2901" s="94">
        <v>359.99019585898151</v>
      </c>
      <c r="L2901" s="72" t="str">
        <f t="shared" si="45"/>
        <v>Payé</v>
      </c>
    </row>
    <row r="2902" spans="1:12" ht="18" x14ac:dyDescent="0.25">
      <c r="A2902" s="90" t="s">
        <v>861</v>
      </c>
      <c r="B2902" s="90">
        <v>2997</v>
      </c>
      <c r="C2902" s="88" t="s">
        <v>719</v>
      </c>
      <c r="D2902" s="90" t="s">
        <v>17</v>
      </c>
      <c r="E2902" s="90" t="s">
        <v>753</v>
      </c>
      <c r="F2902" s="90" t="s">
        <v>861</v>
      </c>
      <c r="G2902" s="137">
        <v>10</v>
      </c>
      <c r="H2902" s="94">
        <v>999.97548964745374</v>
      </c>
      <c r="I2902" s="91">
        <v>46045</v>
      </c>
      <c r="J2902" s="165">
        <v>0.58958333333333335</v>
      </c>
      <c r="K2902" s="94">
        <v>999.97548964745374</v>
      </c>
      <c r="L2902" s="72" t="str">
        <f t="shared" si="45"/>
        <v>Payé</v>
      </c>
    </row>
    <row r="2903" spans="1:12" ht="18" x14ac:dyDescent="0.25">
      <c r="A2903" s="90" t="s">
        <v>861</v>
      </c>
      <c r="B2903" s="90">
        <v>3015</v>
      </c>
      <c r="C2903" s="88" t="s">
        <v>1474</v>
      </c>
      <c r="D2903" s="90" t="s">
        <v>17</v>
      </c>
      <c r="E2903" s="90" t="s">
        <v>254</v>
      </c>
      <c r="F2903" s="90" t="s">
        <v>861</v>
      </c>
      <c r="G2903" s="137">
        <v>5</v>
      </c>
      <c r="H2903" s="94">
        <v>449.98774482372687</v>
      </c>
      <c r="I2903" s="91">
        <v>46045</v>
      </c>
      <c r="J2903" s="165">
        <v>0.66875000000000007</v>
      </c>
      <c r="K2903" s="94">
        <v>449.98774482372687</v>
      </c>
      <c r="L2903" s="72" t="str">
        <f t="shared" si="45"/>
        <v>Payé</v>
      </c>
    </row>
    <row r="2904" spans="1:12" ht="18" x14ac:dyDescent="0.25">
      <c r="A2904" s="90" t="s">
        <v>861</v>
      </c>
      <c r="B2904" s="90">
        <v>3020</v>
      </c>
      <c r="C2904" s="88" t="s">
        <v>693</v>
      </c>
      <c r="D2904" s="90" t="s">
        <v>17</v>
      </c>
      <c r="E2904" s="90" t="s">
        <v>649</v>
      </c>
      <c r="F2904" s="90" t="s">
        <v>861</v>
      </c>
      <c r="G2904" s="137">
        <v>6</v>
      </c>
      <c r="H2904" s="94">
        <v>539.98529378847229</v>
      </c>
      <c r="I2904" s="91">
        <v>46044</v>
      </c>
      <c r="J2904" s="165">
        <v>0.7090277777777777</v>
      </c>
      <c r="K2904" s="94">
        <v>539.98529378847229</v>
      </c>
      <c r="L2904" s="72" t="str">
        <f t="shared" si="45"/>
        <v>Payé</v>
      </c>
    </row>
    <row r="2905" spans="1:12" ht="18" x14ac:dyDescent="0.25">
      <c r="A2905" s="90" t="s">
        <v>861</v>
      </c>
      <c r="B2905" s="90">
        <v>3021</v>
      </c>
      <c r="C2905" s="88" t="s">
        <v>304</v>
      </c>
      <c r="D2905" s="90" t="s">
        <v>17</v>
      </c>
      <c r="E2905" s="90" t="s">
        <v>667</v>
      </c>
      <c r="F2905" s="90" t="s">
        <v>861</v>
      </c>
      <c r="G2905" s="137">
        <v>5</v>
      </c>
      <c r="H2905" s="94">
        <v>449.98774482372687</v>
      </c>
      <c r="I2905" s="91">
        <v>46044</v>
      </c>
      <c r="J2905" s="165">
        <v>0.6</v>
      </c>
      <c r="K2905" s="94">
        <v>449.98774482372687</v>
      </c>
      <c r="L2905" s="72" t="str">
        <f t="shared" si="45"/>
        <v>Payé</v>
      </c>
    </row>
    <row r="2906" spans="1:12" ht="18" x14ac:dyDescent="0.25">
      <c r="A2906" s="90" t="s">
        <v>861</v>
      </c>
      <c r="B2906" s="90">
        <v>3068</v>
      </c>
      <c r="C2906" s="88" t="s">
        <v>1536</v>
      </c>
      <c r="D2906" s="90" t="s">
        <v>17</v>
      </c>
      <c r="E2906" s="90" t="s">
        <v>649</v>
      </c>
      <c r="F2906" s="90" t="s">
        <v>861</v>
      </c>
      <c r="G2906" s="137">
        <v>5</v>
      </c>
      <c r="H2906" s="94">
        <v>449.98774482372687</v>
      </c>
      <c r="I2906" s="91">
        <v>46044</v>
      </c>
      <c r="J2906" s="165">
        <v>0.7090277777777777</v>
      </c>
      <c r="K2906" s="94">
        <v>449.98774482372687</v>
      </c>
      <c r="L2906" s="72" t="str">
        <f t="shared" si="45"/>
        <v>Payé</v>
      </c>
    </row>
    <row r="2907" spans="1:12" ht="18" x14ac:dyDescent="0.25">
      <c r="A2907" s="90" t="s">
        <v>861</v>
      </c>
      <c r="B2907" s="90">
        <v>3087</v>
      </c>
      <c r="C2907" s="88" t="s">
        <v>1238</v>
      </c>
      <c r="D2907" s="90" t="s">
        <v>17</v>
      </c>
      <c r="E2907" s="90" t="s">
        <v>649</v>
      </c>
      <c r="F2907" s="90" t="s">
        <v>861</v>
      </c>
      <c r="G2907" s="137">
        <v>9</v>
      </c>
      <c r="H2907" s="94">
        <v>809.97794068270844</v>
      </c>
      <c r="I2907" s="91">
        <v>46044</v>
      </c>
      <c r="J2907" s="165">
        <v>0.7090277777777777</v>
      </c>
      <c r="K2907" s="94">
        <v>809.97794068270844</v>
      </c>
      <c r="L2907" s="72" t="str">
        <f t="shared" si="45"/>
        <v>Payé</v>
      </c>
    </row>
    <row r="2908" spans="1:12" ht="18" x14ac:dyDescent="0.25">
      <c r="A2908" s="90" t="s">
        <v>861</v>
      </c>
      <c r="B2908" s="90">
        <v>3130</v>
      </c>
      <c r="C2908" s="88" t="s">
        <v>553</v>
      </c>
      <c r="D2908" s="90" t="s">
        <v>17</v>
      </c>
      <c r="E2908" s="90" t="s">
        <v>649</v>
      </c>
      <c r="F2908" s="90" t="s">
        <v>861</v>
      </c>
      <c r="G2908" s="137">
        <v>11</v>
      </c>
      <c r="H2908" s="94">
        <v>989.97303861219928</v>
      </c>
      <c r="I2908" s="91">
        <v>46044</v>
      </c>
      <c r="J2908" s="165">
        <v>0.7090277777777777</v>
      </c>
      <c r="K2908" s="94">
        <v>989.97303861219928</v>
      </c>
      <c r="L2908" s="72" t="str">
        <f t="shared" si="45"/>
        <v>Payé</v>
      </c>
    </row>
    <row r="2909" spans="1:12" ht="18" x14ac:dyDescent="0.25">
      <c r="A2909" s="90" t="s">
        <v>861</v>
      </c>
      <c r="B2909" s="90">
        <v>3260</v>
      </c>
      <c r="C2909" s="88" t="s">
        <v>1119</v>
      </c>
      <c r="D2909" s="90" t="s">
        <v>17</v>
      </c>
      <c r="E2909" s="90" t="s">
        <v>628</v>
      </c>
      <c r="F2909" s="90" t="s">
        <v>861</v>
      </c>
      <c r="G2909" s="137">
        <v>8</v>
      </c>
      <c r="H2909" s="94">
        <v>799.98039171796302</v>
      </c>
      <c r="I2909" s="91">
        <v>46045</v>
      </c>
      <c r="J2909" s="165">
        <v>0.59513888888888888</v>
      </c>
      <c r="K2909" s="94">
        <v>799.98039171796302</v>
      </c>
      <c r="L2909" s="72" t="str">
        <f t="shared" si="45"/>
        <v>Payé</v>
      </c>
    </row>
    <row r="2910" spans="1:12" ht="18" x14ac:dyDescent="0.25">
      <c r="A2910" s="90" t="s">
        <v>861</v>
      </c>
      <c r="B2910" s="90">
        <v>3351</v>
      </c>
      <c r="C2910" s="88" t="s">
        <v>617</v>
      </c>
      <c r="D2910" s="90" t="s">
        <v>17</v>
      </c>
      <c r="E2910" s="90" t="s">
        <v>107</v>
      </c>
      <c r="F2910" s="90" t="s">
        <v>861</v>
      </c>
      <c r="G2910" s="137">
        <v>1</v>
      </c>
      <c r="H2910" s="94">
        <v>91.07442641298266</v>
      </c>
      <c r="I2910" s="91">
        <v>46048</v>
      </c>
      <c r="J2910" s="165">
        <v>0.58124999999999993</v>
      </c>
      <c r="K2910" s="94">
        <v>91.07442641298266</v>
      </c>
      <c r="L2910" s="72" t="str">
        <f t="shared" ref="L2910:L2973" si="46">IF(ISBLANK(H2910),"",IF(H2910=K2910,"Payé","Impayé"))</f>
        <v>Payé</v>
      </c>
    </row>
    <row r="2911" spans="1:12" ht="18" x14ac:dyDescent="0.25">
      <c r="A2911" s="90" t="s">
        <v>861</v>
      </c>
      <c r="B2911" s="90">
        <v>3440</v>
      </c>
      <c r="C2911" s="88" t="s">
        <v>561</v>
      </c>
      <c r="D2911" s="90" t="s">
        <v>17</v>
      </c>
      <c r="E2911" s="90" t="s">
        <v>49</v>
      </c>
      <c r="F2911" s="90" t="s">
        <v>861</v>
      </c>
      <c r="G2911" s="137">
        <v>7</v>
      </c>
      <c r="H2911" s="94">
        <v>629.98284275321771</v>
      </c>
      <c r="I2911" s="91">
        <v>46045</v>
      </c>
      <c r="J2911" s="165">
        <v>0.67986111111111114</v>
      </c>
      <c r="K2911" s="94">
        <v>629.98284275321771</v>
      </c>
      <c r="L2911" s="72" t="str">
        <f t="shared" si="46"/>
        <v>Payé</v>
      </c>
    </row>
    <row r="2912" spans="1:12" ht="18" x14ac:dyDescent="0.25">
      <c r="A2912" s="90" t="s">
        <v>861</v>
      </c>
      <c r="B2912" s="90">
        <v>3448</v>
      </c>
      <c r="C2912" s="88" t="s">
        <v>1239</v>
      </c>
      <c r="D2912" s="90" t="s">
        <v>17</v>
      </c>
      <c r="E2912" s="90" t="s">
        <v>649</v>
      </c>
      <c r="F2912" s="90" t="s">
        <v>861</v>
      </c>
      <c r="G2912" s="137">
        <v>5</v>
      </c>
      <c r="H2912" s="94">
        <v>449.98774482372687</v>
      </c>
      <c r="I2912" s="91">
        <v>46044</v>
      </c>
      <c r="J2912" s="165">
        <v>0.7090277777777777</v>
      </c>
      <c r="K2912" s="94">
        <v>449.98774482372687</v>
      </c>
      <c r="L2912" s="72" t="str">
        <f t="shared" si="46"/>
        <v>Payé</v>
      </c>
    </row>
    <row r="2913" spans="1:12" ht="18" x14ac:dyDescent="0.25">
      <c r="A2913" s="90" t="s">
        <v>861</v>
      </c>
      <c r="B2913" s="90">
        <v>3518</v>
      </c>
      <c r="C2913" s="88" t="s">
        <v>1061</v>
      </c>
      <c r="D2913" s="90" t="s">
        <v>17</v>
      </c>
      <c r="E2913" s="90" t="s">
        <v>254</v>
      </c>
      <c r="F2913" s="90" t="s">
        <v>861</v>
      </c>
      <c r="G2913" s="137">
        <v>6</v>
      </c>
      <c r="H2913" s="94">
        <v>539.98529378847229</v>
      </c>
      <c r="I2913" s="91">
        <v>46045</v>
      </c>
      <c r="J2913" s="165">
        <v>0.66875000000000007</v>
      </c>
      <c r="K2913" s="94">
        <v>539.98529378847229</v>
      </c>
      <c r="L2913" s="72" t="str">
        <f t="shared" si="46"/>
        <v>Payé</v>
      </c>
    </row>
    <row r="2914" spans="1:12" ht="18" x14ac:dyDescent="0.25">
      <c r="A2914" s="90" t="s">
        <v>861</v>
      </c>
      <c r="B2914" s="90">
        <v>3534</v>
      </c>
      <c r="C2914" s="88" t="s">
        <v>563</v>
      </c>
      <c r="D2914" s="90" t="s">
        <v>17</v>
      </c>
      <c r="E2914" s="90" t="s">
        <v>1187</v>
      </c>
      <c r="F2914" s="90" t="s">
        <v>861</v>
      </c>
      <c r="G2914" s="137">
        <v>10</v>
      </c>
      <c r="H2914" s="94">
        <v>939.97548964745386</v>
      </c>
      <c r="I2914" s="91">
        <v>46044</v>
      </c>
      <c r="J2914" s="165">
        <v>0.72291666666666676</v>
      </c>
      <c r="K2914" s="94">
        <v>939.97548964745386</v>
      </c>
      <c r="L2914" s="72" t="str">
        <f t="shared" si="46"/>
        <v>Payé</v>
      </c>
    </row>
    <row r="2915" spans="1:12" ht="18" x14ac:dyDescent="0.25">
      <c r="A2915" s="90" t="s">
        <v>861</v>
      </c>
      <c r="B2915" s="90">
        <v>3535</v>
      </c>
      <c r="C2915" s="88" t="s">
        <v>564</v>
      </c>
      <c r="D2915" s="90" t="s">
        <v>17</v>
      </c>
      <c r="E2915" s="90" t="s">
        <v>1187</v>
      </c>
      <c r="F2915" s="90" t="s">
        <v>861</v>
      </c>
      <c r="G2915" s="137">
        <v>9</v>
      </c>
      <c r="H2915" s="94">
        <v>809.97794068270844</v>
      </c>
      <c r="I2915" s="91">
        <v>46044</v>
      </c>
      <c r="J2915" s="165">
        <v>0.72291666666666676</v>
      </c>
      <c r="K2915" s="94">
        <v>809.97794068270844</v>
      </c>
      <c r="L2915" s="72" t="str">
        <f t="shared" si="46"/>
        <v>Payé</v>
      </c>
    </row>
    <row r="2916" spans="1:12" ht="18" x14ac:dyDescent="0.25">
      <c r="A2916" s="90" t="s">
        <v>861</v>
      </c>
      <c r="B2916" s="90">
        <v>3627</v>
      </c>
      <c r="C2916" s="88" t="s">
        <v>566</v>
      </c>
      <c r="D2916" s="90" t="s">
        <v>17</v>
      </c>
      <c r="E2916" s="90" t="s">
        <v>649</v>
      </c>
      <c r="F2916" s="90" t="s">
        <v>861</v>
      </c>
      <c r="G2916" s="137">
        <v>7.5</v>
      </c>
      <c r="H2916" s="94">
        <v>674.98161723559031</v>
      </c>
      <c r="I2916" s="91">
        <v>46044</v>
      </c>
      <c r="J2916" s="165">
        <v>0.7090277777777777</v>
      </c>
      <c r="K2916" s="94">
        <v>674.98161723559031</v>
      </c>
      <c r="L2916" s="72" t="str">
        <f t="shared" si="46"/>
        <v>Payé</v>
      </c>
    </row>
    <row r="2917" spans="1:12" ht="18" x14ac:dyDescent="0.25">
      <c r="A2917" s="90" t="s">
        <v>861</v>
      </c>
      <c r="B2917" s="90">
        <v>3672</v>
      </c>
      <c r="C2917" s="88" t="s">
        <v>568</v>
      </c>
      <c r="D2917" s="90" t="s">
        <v>17</v>
      </c>
      <c r="E2917" s="90" t="s">
        <v>613</v>
      </c>
      <c r="F2917" s="90" t="s">
        <v>861</v>
      </c>
      <c r="G2917" s="137">
        <v>17</v>
      </c>
      <c r="H2917" s="94">
        <v>1879.9583324006715</v>
      </c>
      <c r="I2917" s="91">
        <v>46045</v>
      </c>
      <c r="J2917" s="165">
        <v>0.65625</v>
      </c>
      <c r="K2917" s="94">
        <v>1879.9583324006715</v>
      </c>
      <c r="L2917" s="72" t="str">
        <f t="shared" si="46"/>
        <v>Payé</v>
      </c>
    </row>
    <row r="2918" spans="1:12" ht="18" x14ac:dyDescent="0.25">
      <c r="A2918" s="90" t="s">
        <v>861</v>
      </c>
      <c r="B2918" s="90">
        <v>3726</v>
      </c>
      <c r="C2918" s="88" t="s">
        <v>570</v>
      </c>
      <c r="D2918" s="90" t="s">
        <v>17</v>
      </c>
      <c r="E2918" s="90" t="s">
        <v>123</v>
      </c>
      <c r="F2918" s="90" t="s">
        <v>861</v>
      </c>
      <c r="G2918" s="137">
        <v>9</v>
      </c>
      <c r="H2918" s="94">
        <v>809.97794068270844</v>
      </c>
      <c r="I2918" s="91">
        <v>46045</v>
      </c>
      <c r="J2918" s="165">
        <v>0.64861111111111114</v>
      </c>
      <c r="K2918" s="94">
        <v>809.97794068270844</v>
      </c>
      <c r="L2918" s="72" t="str">
        <f t="shared" si="46"/>
        <v>Payé</v>
      </c>
    </row>
    <row r="2919" spans="1:12" ht="18" x14ac:dyDescent="0.25">
      <c r="A2919" s="90" t="s">
        <v>861</v>
      </c>
      <c r="B2919" s="90">
        <v>3760</v>
      </c>
      <c r="C2919" s="88" t="s">
        <v>465</v>
      </c>
      <c r="D2919" s="90" t="s">
        <v>17</v>
      </c>
      <c r="E2919" s="90" t="s">
        <v>49</v>
      </c>
      <c r="F2919" s="90" t="s">
        <v>861</v>
      </c>
      <c r="G2919" s="137">
        <v>8</v>
      </c>
      <c r="H2919" s="94">
        <v>719.98039171796302</v>
      </c>
      <c r="I2919" s="91">
        <v>46045</v>
      </c>
      <c r="J2919" s="165">
        <v>0.67986111111111114</v>
      </c>
      <c r="K2919" s="94">
        <v>719.98039171796302</v>
      </c>
      <c r="L2919" s="72" t="str">
        <f t="shared" si="46"/>
        <v>Payé</v>
      </c>
    </row>
    <row r="2920" spans="1:12" ht="18" x14ac:dyDescent="0.25">
      <c r="A2920" s="90" t="s">
        <v>861</v>
      </c>
      <c r="B2920" s="90">
        <v>3819</v>
      </c>
      <c r="C2920" s="88" t="s">
        <v>1537</v>
      </c>
      <c r="D2920" s="90" t="s">
        <v>17</v>
      </c>
      <c r="E2920" s="90" t="s">
        <v>753</v>
      </c>
      <c r="F2920" s="90" t="s">
        <v>861</v>
      </c>
      <c r="G2920" s="137">
        <v>7.5</v>
      </c>
      <c r="H2920" s="94">
        <v>674.98161723559031</v>
      </c>
      <c r="I2920" s="91">
        <v>46048</v>
      </c>
      <c r="J2920" s="165">
        <v>0.53194444444444444</v>
      </c>
      <c r="K2920" s="94">
        <v>674.98161723559031</v>
      </c>
      <c r="L2920" s="72" t="str">
        <f t="shared" si="46"/>
        <v>Payé</v>
      </c>
    </row>
    <row r="2921" spans="1:12" ht="18" x14ac:dyDescent="0.25">
      <c r="A2921" s="90" t="s">
        <v>861</v>
      </c>
      <c r="B2921" s="90">
        <v>3823</v>
      </c>
      <c r="C2921" s="88" t="s">
        <v>824</v>
      </c>
      <c r="D2921" s="90" t="s">
        <v>17</v>
      </c>
      <c r="E2921" s="90" t="s">
        <v>753</v>
      </c>
      <c r="F2921" s="90" t="s">
        <v>861</v>
      </c>
      <c r="G2921" s="137">
        <v>6</v>
      </c>
      <c r="H2921" s="94">
        <v>539.98529378847229</v>
      </c>
      <c r="I2921" s="91">
        <v>46050</v>
      </c>
      <c r="J2921" s="165">
        <v>0.50208333333333333</v>
      </c>
      <c r="K2921" s="158">
        <v>539.98529378847229</v>
      </c>
      <c r="L2921" s="72" t="str">
        <f t="shared" si="46"/>
        <v>Payé</v>
      </c>
    </row>
    <row r="2922" spans="1:12" ht="18" x14ac:dyDescent="0.25">
      <c r="A2922" s="90" t="s">
        <v>861</v>
      </c>
      <c r="B2922" s="90">
        <v>3947</v>
      </c>
      <c r="C2922" s="88" t="s">
        <v>576</v>
      </c>
      <c r="D2922" s="90" t="s">
        <v>17</v>
      </c>
      <c r="E2922" s="90" t="s">
        <v>1187</v>
      </c>
      <c r="F2922" s="90" t="s">
        <v>861</v>
      </c>
      <c r="G2922" s="137">
        <v>10</v>
      </c>
      <c r="H2922" s="94">
        <v>919.97548964745386</v>
      </c>
      <c r="I2922" s="91">
        <v>46044</v>
      </c>
      <c r="J2922" s="165">
        <v>0.72291666666666676</v>
      </c>
      <c r="K2922" s="94">
        <v>919.97548964745386</v>
      </c>
      <c r="L2922" s="72" t="str">
        <f t="shared" si="46"/>
        <v>Payé</v>
      </c>
    </row>
    <row r="2923" spans="1:12" ht="18" x14ac:dyDescent="0.25">
      <c r="A2923" s="90" t="s">
        <v>861</v>
      </c>
      <c r="B2923" s="90">
        <v>3979</v>
      </c>
      <c r="C2923" s="88" t="s">
        <v>1538</v>
      </c>
      <c r="D2923" s="90" t="s">
        <v>17</v>
      </c>
      <c r="E2923" s="90" t="s">
        <v>753</v>
      </c>
      <c r="F2923" s="90" t="s">
        <v>861</v>
      </c>
      <c r="G2923" s="137">
        <v>9</v>
      </c>
      <c r="H2923" s="94">
        <v>809.97794068270844</v>
      </c>
      <c r="I2923" s="91">
        <v>46045</v>
      </c>
      <c r="J2923" s="165">
        <v>0.58958333333333335</v>
      </c>
      <c r="K2923" s="94">
        <v>809.97794068270844</v>
      </c>
      <c r="L2923" s="72" t="str">
        <f t="shared" si="46"/>
        <v>Payé</v>
      </c>
    </row>
    <row r="2924" spans="1:12" ht="18" x14ac:dyDescent="0.25">
      <c r="A2924" s="90" t="s">
        <v>861</v>
      </c>
      <c r="B2924" s="90">
        <v>4009</v>
      </c>
      <c r="C2924" s="88" t="s">
        <v>1560</v>
      </c>
      <c r="D2924" s="90" t="s">
        <v>17</v>
      </c>
      <c r="E2924" s="90" t="s">
        <v>649</v>
      </c>
      <c r="F2924" s="90" t="s">
        <v>861</v>
      </c>
      <c r="G2924" s="137">
        <v>4</v>
      </c>
      <c r="H2924" s="94">
        <v>359.99019585898151</v>
      </c>
      <c r="I2924" s="91">
        <v>46044</v>
      </c>
      <c r="J2924" s="165">
        <v>0.7090277777777777</v>
      </c>
      <c r="K2924" s="94">
        <v>359.99019585898151</v>
      </c>
      <c r="L2924" s="72" t="str">
        <f t="shared" si="46"/>
        <v>Payé</v>
      </c>
    </row>
    <row r="2925" spans="1:12" ht="18" x14ac:dyDescent="0.25">
      <c r="A2925" s="90" t="s">
        <v>861</v>
      </c>
      <c r="B2925" s="90">
        <v>4027</v>
      </c>
      <c r="C2925" s="88" t="s">
        <v>1210</v>
      </c>
      <c r="D2925" s="90" t="s">
        <v>17</v>
      </c>
      <c r="E2925" s="90" t="s">
        <v>753</v>
      </c>
      <c r="F2925" s="90" t="s">
        <v>861</v>
      </c>
      <c r="G2925" s="137">
        <v>10</v>
      </c>
      <c r="H2925" s="94">
        <v>899.97548964745374</v>
      </c>
      <c r="I2925" s="91">
        <v>46050</v>
      </c>
      <c r="J2925" s="165">
        <v>0.50208333333333333</v>
      </c>
      <c r="K2925" s="94">
        <v>899.97548964745374</v>
      </c>
      <c r="L2925" s="72" t="str">
        <f t="shared" si="46"/>
        <v>Payé</v>
      </c>
    </row>
    <row r="2926" spans="1:12" ht="18" x14ac:dyDescent="0.25">
      <c r="A2926" s="90" t="s">
        <v>861</v>
      </c>
      <c r="B2926" s="90">
        <v>4060</v>
      </c>
      <c r="C2926" s="88" t="s">
        <v>986</v>
      </c>
      <c r="D2926" s="90" t="s">
        <v>17</v>
      </c>
      <c r="E2926" s="90" t="s">
        <v>753</v>
      </c>
      <c r="F2926" s="90" t="s">
        <v>861</v>
      </c>
      <c r="G2926" s="137">
        <v>10</v>
      </c>
      <c r="H2926" s="94">
        <v>899.97548964745374</v>
      </c>
      <c r="I2926" s="91">
        <v>46048</v>
      </c>
      <c r="J2926" s="165">
        <v>0.53194444444444444</v>
      </c>
      <c r="K2926" s="94">
        <v>899.97548964745374</v>
      </c>
      <c r="L2926" s="72" t="str">
        <f t="shared" si="46"/>
        <v>Payé</v>
      </c>
    </row>
    <row r="2927" spans="1:12" ht="18" x14ac:dyDescent="0.25">
      <c r="A2927" s="90" t="s">
        <v>861</v>
      </c>
      <c r="B2927" s="90">
        <v>4120</v>
      </c>
      <c r="C2927" s="88" t="s">
        <v>1243</v>
      </c>
      <c r="D2927" s="90" t="s">
        <v>17</v>
      </c>
      <c r="E2927" s="90" t="s">
        <v>254</v>
      </c>
      <c r="F2927" s="90" t="s">
        <v>861</v>
      </c>
      <c r="G2927" s="137">
        <v>0.5</v>
      </c>
      <c r="H2927" s="94">
        <v>44.998774482372689</v>
      </c>
      <c r="I2927" s="91">
        <v>46045</v>
      </c>
      <c r="J2927" s="165">
        <v>0.67638888888888893</v>
      </c>
      <c r="K2927" s="94">
        <v>44.998774482372689</v>
      </c>
      <c r="L2927" s="72" t="str">
        <f t="shared" si="46"/>
        <v>Payé</v>
      </c>
    </row>
    <row r="2928" spans="1:12" ht="18" x14ac:dyDescent="0.25">
      <c r="A2928" s="90" t="s">
        <v>861</v>
      </c>
      <c r="B2928" s="90">
        <v>4169</v>
      </c>
      <c r="C2928" s="88" t="s">
        <v>1561</v>
      </c>
      <c r="D2928" s="90" t="s">
        <v>17</v>
      </c>
      <c r="E2928" s="90" t="s">
        <v>649</v>
      </c>
      <c r="F2928" s="90" t="s">
        <v>861</v>
      </c>
      <c r="G2928" s="137">
        <v>6</v>
      </c>
      <c r="H2928" s="94">
        <v>539.98529378847229</v>
      </c>
      <c r="I2928" s="91">
        <v>46044</v>
      </c>
      <c r="J2928" s="165">
        <v>0.7090277777777777</v>
      </c>
      <c r="K2928" s="94">
        <v>539.98529378847229</v>
      </c>
      <c r="L2928" s="72" t="str">
        <f t="shared" si="46"/>
        <v>Payé</v>
      </c>
    </row>
    <row r="2929" spans="1:12" ht="18" x14ac:dyDescent="0.25">
      <c r="A2929" s="90" t="s">
        <v>861</v>
      </c>
      <c r="B2929" s="90">
        <v>4177</v>
      </c>
      <c r="C2929" s="88" t="s">
        <v>582</v>
      </c>
      <c r="D2929" s="90" t="s">
        <v>17</v>
      </c>
      <c r="E2929" s="90" t="s">
        <v>649</v>
      </c>
      <c r="F2929" s="90" t="s">
        <v>861</v>
      </c>
      <c r="G2929" s="137">
        <v>8.5</v>
      </c>
      <c r="H2929" s="94">
        <v>764.97916620033573</v>
      </c>
      <c r="I2929" s="91">
        <v>46044</v>
      </c>
      <c r="J2929" s="165">
        <v>0.7090277777777777</v>
      </c>
      <c r="K2929" s="94">
        <v>764.97916620033573</v>
      </c>
      <c r="L2929" s="72" t="str">
        <f t="shared" si="46"/>
        <v>Payé</v>
      </c>
    </row>
    <row r="2930" spans="1:12" ht="18" x14ac:dyDescent="0.25">
      <c r="A2930" s="90" t="s">
        <v>861</v>
      </c>
      <c r="B2930" s="90">
        <v>4204</v>
      </c>
      <c r="C2930" s="88" t="s">
        <v>610</v>
      </c>
      <c r="D2930" s="90" t="s">
        <v>17</v>
      </c>
      <c r="E2930" s="90" t="s">
        <v>649</v>
      </c>
      <c r="F2930" s="90" t="s">
        <v>861</v>
      </c>
      <c r="G2930" s="137">
        <v>11</v>
      </c>
      <c r="H2930" s="94">
        <v>989.97303861219928</v>
      </c>
      <c r="I2930" s="91">
        <v>46044</v>
      </c>
      <c r="J2930" s="165">
        <v>0.7090277777777777</v>
      </c>
      <c r="K2930" s="94">
        <v>989.97303861219928</v>
      </c>
      <c r="L2930" s="72" t="str">
        <f t="shared" si="46"/>
        <v>Payé</v>
      </c>
    </row>
    <row r="2931" spans="1:12" ht="18" x14ac:dyDescent="0.25">
      <c r="A2931" s="90" t="s">
        <v>861</v>
      </c>
      <c r="B2931" s="90">
        <v>4263</v>
      </c>
      <c r="C2931" s="88" t="s">
        <v>1245</v>
      </c>
      <c r="D2931" s="90" t="s">
        <v>17</v>
      </c>
      <c r="E2931" s="90" t="s">
        <v>649</v>
      </c>
      <c r="F2931" s="90" t="s">
        <v>861</v>
      </c>
      <c r="G2931" s="137">
        <v>8</v>
      </c>
      <c r="H2931" s="94">
        <v>719.98039171796302</v>
      </c>
      <c r="I2931" s="91">
        <v>46044</v>
      </c>
      <c r="J2931" s="165">
        <v>0.7090277777777777</v>
      </c>
      <c r="K2931" s="94">
        <v>719.98039171796302</v>
      </c>
      <c r="L2931" s="72" t="str">
        <f t="shared" si="46"/>
        <v>Payé</v>
      </c>
    </row>
    <row r="2932" spans="1:12" ht="18" x14ac:dyDescent="0.25">
      <c r="A2932" s="90" t="s">
        <v>861</v>
      </c>
      <c r="B2932" s="90">
        <v>4333</v>
      </c>
      <c r="C2932" s="88" t="s">
        <v>706</v>
      </c>
      <c r="D2932" s="90" t="s">
        <v>17</v>
      </c>
      <c r="E2932" s="90" t="s">
        <v>628</v>
      </c>
      <c r="F2932" s="90" t="s">
        <v>861</v>
      </c>
      <c r="G2932" s="137">
        <v>14</v>
      </c>
      <c r="H2932" s="94">
        <v>1459.9656855064352</v>
      </c>
      <c r="I2932" s="91">
        <v>46045</v>
      </c>
      <c r="J2932" s="165">
        <v>0.59513888888888888</v>
      </c>
      <c r="K2932" s="94">
        <v>1459.9656855064352</v>
      </c>
      <c r="L2932" s="72" t="str">
        <f t="shared" si="46"/>
        <v>Payé</v>
      </c>
    </row>
    <row r="2933" spans="1:12" ht="18" x14ac:dyDescent="0.25">
      <c r="A2933" s="90" t="s">
        <v>861</v>
      </c>
      <c r="B2933" s="90">
        <v>4334</v>
      </c>
      <c r="C2933" s="88" t="s">
        <v>622</v>
      </c>
      <c r="D2933" s="90" t="s">
        <v>17</v>
      </c>
      <c r="E2933" s="90" t="s">
        <v>628</v>
      </c>
      <c r="F2933" s="90" t="s">
        <v>861</v>
      </c>
      <c r="G2933" s="137">
        <v>12</v>
      </c>
      <c r="H2933" s="94">
        <v>1119.9705875769446</v>
      </c>
      <c r="I2933" s="91">
        <v>46045</v>
      </c>
      <c r="J2933" s="165">
        <v>0.59513888888888888</v>
      </c>
      <c r="K2933" s="94">
        <v>1119.9705875769446</v>
      </c>
      <c r="L2933" s="72" t="str">
        <f t="shared" si="46"/>
        <v>Payé</v>
      </c>
    </row>
    <row r="2934" spans="1:12" ht="18" x14ac:dyDescent="0.25">
      <c r="A2934" s="90" t="s">
        <v>861</v>
      </c>
      <c r="B2934" s="90">
        <v>4337</v>
      </c>
      <c r="C2934" s="88" t="s">
        <v>1426</v>
      </c>
      <c r="D2934" s="90" t="s">
        <v>17</v>
      </c>
      <c r="E2934" s="90" t="s">
        <v>649</v>
      </c>
      <c r="F2934" s="90" t="s">
        <v>861</v>
      </c>
      <c r="G2934" s="137">
        <v>6</v>
      </c>
      <c r="H2934" s="94">
        <v>539.98529378847229</v>
      </c>
      <c r="I2934" s="91">
        <v>46044</v>
      </c>
      <c r="J2934" s="165">
        <v>0.7090277777777777</v>
      </c>
      <c r="K2934" s="94">
        <v>539.98529378847229</v>
      </c>
      <c r="L2934" s="72" t="str">
        <f t="shared" si="46"/>
        <v>Payé</v>
      </c>
    </row>
    <row r="2935" spans="1:12" ht="18" x14ac:dyDescent="0.25">
      <c r="A2935" s="90" t="s">
        <v>861</v>
      </c>
      <c r="B2935" s="90">
        <v>4347</v>
      </c>
      <c r="C2935" s="88" t="s">
        <v>1359</v>
      </c>
      <c r="D2935" s="90" t="s">
        <v>17</v>
      </c>
      <c r="E2935" s="90" t="s">
        <v>667</v>
      </c>
      <c r="F2935" s="90" t="s">
        <v>861</v>
      </c>
      <c r="G2935" s="137">
        <v>8</v>
      </c>
      <c r="H2935" s="94">
        <v>719.98039171796302</v>
      </c>
      <c r="I2935" s="91">
        <v>46044</v>
      </c>
      <c r="J2935" s="165">
        <v>0.6</v>
      </c>
      <c r="K2935" s="94">
        <v>719.98039171796302</v>
      </c>
      <c r="L2935" s="72" t="str">
        <f t="shared" si="46"/>
        <v>Payé</v>
      </c>
    </row>
    <row r="2936" spans="1:12" ht="18" x14ac:dyDescent="0.25">
      <c r="A2936" s="90" t="s">
        <v>861</v>
      </c>
      <c r="B2936" s="90">
        <v>4428</v>
      </c>
      <c r="C2936" s="88" t="s">
        <v>1562</v>
      </c>
      <c r="D2936" s="90" t="s">
        <v>17</v>
      </c>
      <c r="E2936" s="90" t="s">
        <v>254</v>
      </c>
      <c r="F2936" s="90" t="s">
        <v>861</v>
      </c>
      <c r="G2936" s="137">
        <v>3</v>
      </c>
      <c r="H2936" s="94">
        <v>269.99264689423615</v>
      </c>
      <c r="I2936" s="91">
        <v>46045</v>
      </c>
      <c r="J2936" s="165">
        <v>0.66875000000000007</v>
      </c>
      <c r="K2936" s="94">
        <v>269.99264689423615</v>
      </c>
      <c r="L2936" s="72" t="str">
        <f t="shared" si="46"/>
        <v>Payé</v>
      </c>
    </row>
    <row r="2937" spans="1:12" ht="18" x14ac:dyDescent="0.25">
      <c r="A2937" s="90" t="s">
        <v>861</v>
      </c>
      <c r="B2937" s="90">
        <v>4473</v>
      </c>
      <c r="C2937" s="88" t="s">
        <v>623</v>
      </c>
      <c r="D2937" s="90" t="s">
        <v>17</v>
      </c>
      <c r="E2937" s="90" t="s">
        <v>628</v>
      </c>
      <c r="F2937" s="90" t="s">
        <v>861</v>
      </c>
      <c r="G2937" s="137">
        <v>14</v>
      </c>
      <c r="H2937" s="94">
        <v>1399.9656855064354</v>
      </c>
      <c r="I2937" s="91">
        <v>46045</v>
      </c>
      <c r="J2937" s="165">
        <v>0.59513888888888888</v>
      </c>
      <c r="K2937" s="94">
        <v>1399.9656855064354</v>
      </c>
      <c r="L2937" s="72" t="str">
        <f t="shared" si="46"/>
        <v>Payé</v>
      </c>
    </row>
    <row r="2938" spans="1:12" ht="18" x14ac:dyDescent="0.25">
      <c r="A2938" s="90" t="s">
        <v>861</v>
      </c>
      <c r="B2938" s="90">
        <v>4758</v>
      </c>
      <c r="C2938" s="88" t="s">
        <v>1425</v>
      </c>
      <c r="D2938" s="90" t="s">
        <v>17</v>
      </c>
      <c r="E2938" s="90" t="s">
        <v>649</v>
      </c>
      <c r="F2938" s="90" t="s">
        <v>861</v>
      </c>
      <c r="G2938" s="137">
        <v>8</v>
      </c>
      <c r="H2938" s="94">
        <v>719.98039171796302</v>
      </c>
      <c r="I2938" s="91">
        <v>46044</v>
      </c>
      <c r="J2938" s="165">
        <v>0.7090277777777777</v>
      </c>
      <c r="K2938" s="94">
        <v>719.98039171796302</v>
      </c>
      <c r="L2938" s="72" t="str">
        <f t="shared" si="46"/>
        <v>Payé</v>
      </c>
    </row>
    <row r="2939" spans="1:12" ht="18" x14ac:dyDescent="0.25">
      <c r="A2939" s="90" t="s">
        <v>861</v>
      </c>
      <c r="B2939" s="90">
        <v>4759</v>
      </c>
      <c r="C2939" s="88" t="s">
        <v>1150</v>
      </c>
      <c r="D2939" s="90" t="s">
        <v>17</v>
      </c>
      <c r="E2939" s="90" t="s">
        <v>254</v>
      </c>
      <c r="F2939" s="90" t="s">
        <v>861</v>
      </c>
      <c r="G2939" s="137">
        <v>6</v>
      </c>
      <c r="H2939" s="94">
        <v>539.98529378847229</v>
      </c>
      <c r="I2939" s="91">
        <v>46045</v>
      </c>
      <c r="J2939" s="165">
        <v>0.66875000000000007</v>
      </c>
      <c r="K2939" s="94">
        <v>539.98529378847229</v>
      </c>
      <c r="L2939" s="72" t="str">
        <f t="shared" si="46"/>
        <v>Payé</v>
      </c>
    </row>
    <row r="2940" spans="1:12" ht="18" x14ac:dyDescent="0.25">
      <c r="A2940" s="90" t="s">
        <v>861</v>
      </c>
      <c r="B2940" s="90">
        <v>4801</v>
      </c>
      <c r="C2940" s="88" t="s">
        <v>990</v>
      </c>
      <c r="D2940" s="90" t="s">
        <v>17</v>
      </c>
      <c r="E2940" s="90" t="s">
        <v>628</v>
      </c>
      <c r="F2940" s="90" t="s">
        <v>861</v>
      </c>
      <c r="G2940" s="137">
        <v>3</v>
      </c>
      <c r="H2940" s="94">
        <v>269.99264689423615</v>
      </c>
      <c r="I2940" s="91">
        <v>46045</v>
      </c>
      <c r="J2940" s="165">
        <v>0.59513888888888888</v>
      </c>
      <c r="K2940" s="94">
        <v>269.99264689423615</v>
      </c>
      <c r="L2940" s="72" t="str">
        <f t="shared" si="46"/>
        <v>Payé</v>
      </c>
    </row>
    <row r="2941" spans="1:12" ht="18" x14ac:dyDescent="0.25">
      <c r="A2941" s="90" t="s">
        <v>861</v>
      </c>
      <c r="B2941" s="90">
        <v>4802</v>
      </c>
      <c r="C2941" s="88" t="s">
        <v>1360</v>
      </c>
      <c r="D2941" s="90" t="s">
        <v>17</v>
      </c>
      <c r="E2941" s="90" t="s">
        <v>1187</v>
      </c>
      <c r="F2941" s="90" t="s">
        <v>861</v>
      </c>
      <c r="G2941" s="137">
        <v>10</v>
      </c>
      <c r="H2941" s="94">
        <v>899.97548964745374</v>
      </c>
      <c r="I2941" s="91">
        <v>46044</v>
      </c>
      <c r="J2941" s="165">
        <v>0.72291666666666676</v>
      </c>
      <c r="K2941" s="94">
        <v>899.97548964745374</v>
      </c>
      <c r="L2941" s="72" t="str">
        <f t="shared" si="46"/>
        <v>Payé</v>
      </c>
    </row>
    <row r="2942" spans="1:12" ht="18" x14ac:dyDescent="0.25">
      <c r="A2942" s="90" t="s">
        <v>861</v>
      </c>
      <c r="B2942" s="90">
        <v>4840</v>
      </c>
      <c r="C2942" s="88" t="s">
        <v>766</v>
      </c>
      <c r="D2942" s="90" t="s">
        <v>17</v>
      </c>
      <c r="E2942" s="90" t="s">
        <v>49</v>
      </c>
      <c r="F2942" s="90" t="s">
        <v>861</v>
      </c>
      <c r="G2942" s="137">
        <v>9</v>
      </c>
      <c r="H2942" s="94">
        <v>809.97794068270844</v>
      </c>
      <c r="I2942" s="91">
        <v>46045</v>
      </c>
      <c r="J2942" s="165">
        <v>0.67986111111111114</v>
      </c>
      <c r="K2942" s="94">
        <v>809.97794068270844</v>
      </c>
      <c r="L2942" s="72" t="str">
        <f t="shared" si="46"/>
        <v>Payé</v>
      </c>
    </row>
    <row r="2943" spans="1:12" ht="18" x14ac:dyDescent="0.25">
      <c r="A2943" s="90" t="s">
        <v>861</v>
      </c>
      <c r="B2943" s="90">
        <v>4848</v>
      </c>
      <c r="C2943" s="88" t="s">
        <v>1064</v>
      </c>
      <c r="D2943" s="90" t="s">
        <v>17</v>
      </c>
      <c r="E2943" s="90" t="s">
        <v>628</v>
      </c>
      <c r="F2943" s="90" t="s">
        <v>861</v>
      </c>
      <c r="G2943" s="137">
        <v>2</v>
      </c>
      <c r="H2943" s="94">
        <v>179.99509792949075</v>
      </c>
      <c r="I2943" s="91">
        <v>46045</v>
      </c>
      <c r="J2943" s="165">
        <v>0.59513888888888888</v>
      </c>
      <c r="K2943" s="94">
        <v>179.99509792949075</v>
      </c>
      <c r="L2943" s="72" t="str">
        <f t="shared" si="46"/>
        <v>Payé</v>
      </c>
    </row>
    <row r="2944" spans="1:12" ht="18" x14ac:dyDescent="0.25">
      <c r="A2944" s="90" t="s">
        <v>861</v>
      </c>
      <c r="B2944" s="90">
        <v>4868</v>
      </c>
      <c r="C2944" s="88" t="s">
        <v>767</v>
      </c>
      <c r="D2944" s="90" t="s">
        <v>17</v>
      </c>
      <c r="E2944" s="90" t="s">
        <v>753</v>
      </c>
      <c r="F2944" s="90" t="s">
        <v>861</v>
      </c>
      <c r="G2944" s="137">
        <v>10</v>
      </c>
      <c r="H2944" s="94">
        <v>899.97548964745397</v>
      </c>
      <c r="I2944" s="91">
        <v>46045</v>
      </c>
      <c r="J2944" s="165">
        <v>0.58958333333333335</v>
      </c>
      <c r="K2944" s="94">
        <v>899.97548964745397</v>
      </c>
      <c r="L2944" s="72" t="str">
        <f t="shared" si="46"/>
        <v>Payé</v>
      </c>
    </row>
    <row r="2945" spans="1:12" ht="18" x14ac:dyDescent="0.25">
      <c r="A2945" s="90" t="s">
        <v>861</v>
      </c>
      <c r="B2945" s="90">
        <v>4890</v>
      </c>
      <c r="C2945" s="88" t="s">
        <v>1563</v>
      </c>
      <c r="D2945" s="90" t="s">
        <v>17</v>
      </c>
      <c r="E2945" s="90" t="s">
        <v>123</v>
      </c>
      <c r="F2945" s="90" t="s">
        <v>861</v>
      </c>
      <c r="G2945" s="137">
        <v>4</v>
      </c>
      <c r="H2945" s="94">
        <v>359.99019585898151</v>
      </c>
      <c r="I2945" s="91">
        <v>46045</v>
      </c>
      <c r="J2945" s="165">
        <v>0.65763888888888888</v>
      </c>
      <c r="K2945" s="94">
        <v>359.99019585898151</v>
      </c>
      <c r="L2945" s="72" t="str">
        <f t="shared" si="46"/>
        <v>Payé</v>
      </c>
    </row>
    <row r="2946" spans="1:12" ht="18" x14ac:dyDescent="0.25">
      <c r="A2946" s="90" t="s">
        <v>861</v>
      </c>
      <c r="B2946" s="90">
        <v>4923</v>
      </c>
      <c r="C2946" s="88" t="s">
        <v>1539</v>
      </c>
      <c r="D2946" s="90" t="s">
        <v>17</v>
      </c>
      <c r="E2946" s="90" t="s">
        <v>667</v>
      </c>
      <c r="F2946" s="90" t="s">
        <v>861</v>
      </c>
      <c r="G2946" s="137">
        <v>7</v>
      </c>
      <c r="H2946" s="94">
        <v>629.98284275321771</v>
      </c>
      <c r="I2946" s="91">
        <v>46044</v>
      </c>
      <c r="J2946" s="165">
        <v>0.6</v>
      </c>
      <c r="K2946" s="94">
        <v>629.98284275321771</v>
      </c>
      <c r="L2946" s="72" t="str">
        <f t="shared" si="46"/>
        <v>Payé</v>
      </c>
    </row>
    <row r="2947" spans="1:12" ht="18" x14ac:dyDescent="0.25">
      <c r="A2947" s="90" t="s">
        <v>861</v>
      </c>
      <c r="B2947" s="90">
        <v>5050</v>
      </c>
      <c r="C2947" s="88" t="s">
        <v>1292</v>
      </c>
      <c r="D2947" s="90" t="s">
        <v>17</v>
      </c>
      <c r="E2947" s="90" t="s">
        <v>649</v>
      </c>
      <c r="F2947" s="90" t="s">
        <v>861</v>
      </c>
      <c r="G2947" s="137">
        <v>7</v>
      </c>
      <c r="H2947" s="94">
        <v>629.98284275321771</v>
      </c>
      <c r="I2947" s="91">
        <v>46044</v>
      </c>
      <c r="J2947" s="165">
        <v>0.7090277777777777</v>
      </c>
      <c r="K2947" s="94">
        <v>629.98284275321771</v>
      </c>
      <c r="L2947" s="72" t="str">
        <f t="shared" si="46"/>
        <v>Payé</v>
      </c>
    </row>
    <row r="2948" spans="1:12" ht="18" x14ac:dyDescent="0.25">
      <c r="A2948" s="90" t="s">
        <v>861</v>
      </c>
      <c r="B2948" s="90">
        <v>5076</v>
      </c>
      <c r="C2948" s="88" t="s">
        <v>991</v>
      </c>
      <c r="D2948" s="90" t="s">
        <v>17</v>
      </c>
      <c r="E2948" s="90" t="s">
        <v>753</v>
      </c>
      <c r="F2948" s="90" t="s">
        <v>861</v>
      </c>
      <c r="G2948" s="137">
        <v>2</v>
      </c>
      <c r="H2948" s="94">
        <v>179.99509792949075</v>
      </c>
      <c r="I2948" s="91">
        <v>46045</v>
      </c>
      <c r="J2948" s="165">
        <v>0.58958333333333335</v>
      </c>
      <c r="K2948" s="94">
        <v>179.99509792949075</v>
      </c>
      <c r="L2948" s="72" t="str">
        <f t="shared" si="46"/>
        <v>Payé</v>
      </c>
    </row>
    <row r="2949" spans="1:12" ht="18" x14ac:dyDescent="0.25">
      <c r="A2949" s="90" t="s">
        <v>861</v>
      </c>
      <c r="B2949" s="90">
        <v>5096</v>
      </c>
      <c r="C2949" s="88" t="s">
        <v>1247</v>
      </c>
      <c r="D2949" s="90" t="s">
        <v>17</v>
      </c>
      <c r="E2949" s="90" t="s">
        <v>254</v>
      </c>
      <c r="F2949" s="90" t="s">
        <v>861</v>
      </c>
      <c r="G2949" s="137">
        <v>3.5</v>
      </c>
      <c r="H2949" s="94">
        <v>314.99142137660886</v>
      </c>
      <c r="I2949" s="91">
        <v>46045</v>
      </c>
      <c r="J2949" s="165">
        <v>0.58958333333333335</v>
      </c>
      <c r="K2949" s="94">
        <v>314.99142137660886</v>
      </c>
      <c r="L2949" s="72" t="str">
        <f t="shared" si="46"/>
        <v>Payé</v>
      </c>
    </row>
    <row r="2950" spans="1:12" ht="18" x14ac:dyDescent="0.25">
      <c r="A2950" s="90" t="s">
        <v>861</v>
      </c>
      <c r="B2950" s="90">
        <v>5136</v>
      </c>
      <c r="C2950" s="88" t="s">
        <v>1067</v>
      </c>
      <c r="D2950" s="90" t="s">
        <v>17</v>
      </c>
      <c r="E2950" s="90" t="s">
        <v>1104</v>
      </c>
      <c r="F2950" s="90" t="s">
        <v>861</v>
      </c>
      <c r="G2950" s="137">
        <v>14</v>
      </c>
      <c r="H2950" s="94">
        <v>1259.9656855064354</v>
      </c>
      <c r="I2950" s="91">
        <v>46045</v>
      </c>
      <c r="J2950" s="165">
        <v>0.54583333333333328</v>
      </c>
      <c r="K2950" s="94">
        <v>1259.9656855064354</v>
      </c>
      <c r="L2950" s="72" t="str">
        <f t="shared" si="46"/>
        <v>Payé</v>
      </c>
    </row>
    <row r="2951" spans="1:12" ht="18" x14ac:dyDescent="0.25">
      <c r="A2951" s="90" t="s">
        <v>861</v>
      </c>
      <c r="B2951" s="90">
        <v>5186</v>
      </c>
      <c r="C2951" s="88" t="s">
        <v>1211</v>
      </c>
      <c r="D2951" s="90" t="s">
        <v>17</v>
      </c>
      <c r="E2951" s="90" t="s">
        <v>753</v>
      </c>
      <c r="F2951" s="90" t="s">
        <v>861</v>
      </c>
      <c r="G2951" s="137">
        <v>8</v>
      </c>
      <c r="H2951" s="94">
        <v>719.98039171796302</v>
      </c>
      <c r="I2951" s="91">
        <v>46045</v>
      </c>
      <c r="J2951" s="165">
        <v>0.58958333333333335</v>
      </c>
      <c r="K2951" s="94">
        <v>719.98039171796302</v>
      </c>
      <c r="L2951" s="72" t="str">
        <f t="shared" si="46"/>
        <v>Payé</v>
      </c>
    </row>
    <row r="2952" spans="1:12" ht="18" x14ac:dyDescent="0.25">
      <c r="A2952" s="90" t="s">
        <v>861</v>
      </c>
      <c r="B2952" s="90">
        <v>5209</v>
      </c>
      <c r="C2952" s="88" t="s">
        <v>835</v>
      </c>
      <c r="D2952" s="90" t="s">
        <v>17</v>
      </c>
      <c r="E2952" s="90" t="s">
        <v>753</v>
      </c>
      <c r="F2952" s="90" t="s">
        <v>861</v>
      </c>
      <c r="G2952" s="137">
        <v>4</v>
      </c>
      <c r="H2952" s="94">
        <v>359.99019585898151</v>
      </c>
      <c r="I2952" s="91">
        <v>46045</v>
      </c>
      <c r="J2952" s="165">
        <v>0.58958333333333335</v>
      </c>
      <c r="K2952" s="94">
        <v>359.99019585898151</v>
      </c>
      <c r="L2952" s="72" t="str">
        <f t="shared" si="46"/>
        <v>Payé</v>
      </c>
    </row>
    <row r="2953" spans="1:12" ht="18" x14ac:dyDescent="0.25">
      <c r="A2953" s="90" t="s">
        <v>861</v>
      </c>
      <c r="B2953" s="90">
        <v>5214</v>
      </c>
      <c r="C2953" s="88" t="s">
        <v>837</v>
      </c>
      <c r="D2953" s="90" t="s">
        <v>17</v>
      </c>
      <c r="E2953" s="90" t="s">
        <v>649</v>
      </c>
      <c r="F2953" s="90" t="s">
        <v>861</v>
      </c>
      <c r="G2953" s="137">
        <v>8</v>
      </c>
      <c r="H2953" s="94">
        <v>719.98039171796302</v>
      </c>
      <c r="I2953" s="91">
        <v>46044</v>
      </c>
      <c r="J2953" s="165">
        <v>0.7090277777777777</v>
      </c>
      <c r="K2953" s="94">
        <v>719.98039171796302</v>
      </c>
      <c r="L2953" s="72" t="str">
        <f t="shared" si="46"/>
        <v>Payé</v>
      </c>
    </row>
    <row r="2954" spans="1:12" ht="18" x14ac:dyDescent="0.25">
      <c r="A2954" s="90" t="s">
        <v>861</v>
      </c>
      <c r="B2954" s="90">
        <v>5258</v>
      </c>
      <c r="C2954" s="88" t="s">
        <v>893</v>
      </c>
      <c r="D2954" s="90" t="s">
        <v>17</v>
      </c>
      <c r="E2954" s="90" t="s">
        <v>123</v>
      </c>
      <c r="F2954" s="90" t="s">
        <v>861</v>
      </c>
      <c r="G2954" s="137">
        <v>7</v>
      </c>
      <c r="H2954" s="94">
        <v>629.98284275321771</v>
      </c>
      <c r="I2954" s="91">
        <v>46048</v>
      </c>
      <c r="J2954" s="165">
        <v>0.56666666666666665</v>
      </c>
      <c r="K2954" s="94">
        <v>629.98284275321771</v>
      </c>
      <c r="L2954" s="72" t="str">
        <f t="shared" si="46"/>
        <v>Payé</v>
      </c>
    </row>
    <row r="2955" spans="1:12" ht="18" x14ac:dyDescent="0.25">
      <c r="A2955" s="90" t="s">
        <v>861</v>
      </c>
      <c r="B2955" s="90">
        <v>5260</v>
      </c>
      <c r="C2955" s="88" t="s">
        <v>917</v>
      </c>
      <c r="D2955" s="90" t="s">
        <v>17</v>
      </c>
      <c r="E2955" s="90" t="s">
        <v>649</v>
      </c>
      <c r="F2955" s="90" t="s">
        <v>861</v>
      </c>
      <c r="G2955" s="137">
        <v>6.5</v>
      </c>
      <c r="H2955" s="94">
        <v>584.984068270845</v>
      </c>
      <c r="I2955" s="91">
        <v>46044</v>
      </c>
      <c r="J2955" s="165">
        <v>0.7090277777777777</v>
      </c>
      <c r="K2955" s="94">
        <v>584.984068270845</v>
      </c>
      <c r="L2955" s="72" t="str">
        <f t="shared" si="46"/>
        <v>Payé</v>
      </c>
    </row>
    <row r="2956" spans="1:12" ht="18" x14ac:dyDescent="0.25">
      <c r="A2956" s="90" t="s">
        <v>861</v>
      </c>
      <c r="B2956" s="90">
        <v>5259</v>
      </c>
      <c r="C2956" s="88" t="s">
        <v>908</v>
      </c>
      <c r="D2956" s="90" t="s">
        <v>17</v>
      </c>
      <c r="E2956" s="90" t="s">
        <v>1187</v>
      </c>
      <c r="F2956" s="90" t="s">
        <v>861</v>
      </c>
      <c r="G2956" s="137">
        <v>10</v>
      </c>
      <c r="H2956" s="94">
        <v>899.97548964745374</v>
      </c>
      <c r="I2956" s="91">
        <v>46044</v>
      </c>
      <c r="J2956" s="165">
        <v>0.72291666666666676</v>
      </c>
      <c r="K2956" s="94">
        <v>899.97548964745374</v>
      </c>
      <c r="L2956" s="72" t="str">
        <f t="shared" si="46"/>
        <v>Payé</v>
      </c>
    </row>
    <row r="2957" spans="1:12" ht="18" x14ac:dyDescent="0.25">
      <c r="A2957" s="90" t="s">
        <v>861</v>
      </c>
      <c r="B2957" s="90">
        <v>5292</v>
      </c>
      <c r="C2957" s="88" t="s">
        <v>1003</v>
      </c>
      <c r="D2957" s="90" t="s">
        <v>17</v>
      </c>
      <c r="E2957" s="90" t="s">
        <v>1187</v>
      </c>
      <c r="F2957" s="90" t="s">
        <v>861</v>
      </c>
      <c r="G2957" s="137">
        <v>9</v>
      </c>
      <c r="H2957" s="94">
        <v>809.97794068270844</v>
      </c>
      <c r="I2957" s="91">
        <v>46044</v>
      </c>
      <c r="J2957" s="165">
        <v>0.72291666666666676</v>
      </c>
      <c r="K2957" s="94">
        <v>809.97794068270844</v>
      </c>
      <c r="L2957" s="72" t="str">
        <f t="shared" si="46"/>
        <v>Payé</v>
      </c>
    </row>
    <row r="2958" spans="1:12" ht="18" x14ac:dyDescent="0.25">
      <c r="A2958" s="90" t="s">
        <v>861</v>
      </c>
      <c r="B2958" s="90">
        <v>5305</v>
      </c>
      <c r="C2958" s="88" t="s">
        <v>1016</v>
      </c>
      <c r="D2958" s="90" t="s">
        <v>17</v>
      </c>
      <c r="E2958" s="90" t="s">
        <v>1104</v>
      </c>
      <c r="F2958" s="90" t="s">
        <v>861</v>
      </c>
      <c r="G2958" s="137">
        <v>8</v>
      </c>
      <c r="H2958" s="94">
        <v>719.98039171796302</v>
      </c>
      <c r="I2958" s="91">
        <v>46045</v>
      </c>
      <c r="J2958" s="165">
        <v>0.54583333333333328</v>
      </c>
      <c r="K2958" s="94">
        <v>719.98039171796302</v>
      </c>
      <c r="L2958" s="72" t="str">
        <f t="shared" si="46"/>
        <v>Payé</v>
      </c>
    </row>
    <row r="2959" spans="1:12" ht="18" x14ac:dyDescent="0.25">
      <c r="A2959" s="90" t="s">
        <v>861</v>
      </c>
      <c r="B2959" s="90">
        <v>5317</v>
      </c>
      <c r="C2959" s="88" t="s">
        <v>551</v>
      </c>
      <c r="D2959" s="90" t="s">
        <v>17</v>
      </c>
      <c r="E2959" s="90" t="s">
        <v>649</v>
      </c>
      <c r="F2959" s="90" t="s">
        <v>861</v>
      </c>
      <c r="G2959" s="137">
        <v>9</v>
      </c>
      <c r="H2959" s="94">
        <v>809.97794068270844</v>
      </c>
      <c r="I2959" s="91">
        <v>46044</v>
      </c>
      <c r="J2959" s="165">
        <v>0.7090277777777777</v>
      </c>
      <c r="K2959" s="94">
        <v>809.97794068270844</v>
      </c>
      <c r="L2959" s="72" t="str">
        <f t="shared" si="46"/>
        <v>Payé</v>
      </c>
    </row>
    <row r="2960" spans="1:12" ht="18" x14ac:dyDescent="0.25">
      <c r="A2960" s="90" t="s">
        <v>861</v>
      </c>
      <c r="B2960" s="90">
        <v>5327</v>
      </c>
      <c r="C2960" s="88" t="s">
        <v>1033</v>
      </c>
      <c r="D2960" s="90" t="s">
        <v>17</v>
      </c>
      <c r="E2960" s="90" t="s">
        <v>753</v>
      </c>
      <c r="F2960" s="90" t="s">
        <v>861</v>
      </c>
      <c r="G2960" s="137">
        <v>6</v>
      </c>
      <c r="H2960" s="94">
        <v>539.98529378847229</v>
      </c>
      <c r="I2960" s="91">
        <v>46048</v>
      </c>
      <c r="J2960" s="165">
        <v>0.50694444444444442</v>
      </c>
      <c r="K2960" s="141">
        <v>539.98529378847229</v>
      </c>
      <c r="L2960" s="72" t="str">
        <f t="shared" si="46"/>
        <v>Payé</v>
      </c>
    </row>
    <row r="2961" spans="1:12" ht="18" x14ac:dyDescent="0.25">
      <c r="A2961" s="90" t="s">
        <v>861</v>
      </c>
      <c r="B2961" s="90">
        <v>5335</v>
      </c>
      <c r="C2961" s="88" t="s">
        <v>1040</v>
      </c>
      <c r="D2961" s="90" t="s">
        <v>17</v>
      </c>
      <c r="E2961" s="90" t="s">
        <v>753</v>
      </c>
      <c r="F2961" s="90" t="s">
        <v>861</v>
      </c>
      <c r="G2961" s="137">
        <v>4</v>
      </c>
      <c r="H2961" s="94">
        <v>359.99019585898202</v>
      </c>
      <c r="I2961" s="91">
        <v>46050</v>
      </c>
      <c r="J2961" s="165">
        <v>0.50208333333333333</v>
      </c>
      <c r="K2961" s="94">
        <v>359.99019585898202</v>
      </c>
      <c r="L2961" s="72" t="str">
        <f t="shared" si="46"/>
        <v>Payé</v>
      </c>
    </row>
    <row r="2962" spans="1:12" ht="18" x14ac:dyDescent="0.25">
      <c r="A2962" s="90" t="s">
        <v>861</v>
      </c>
      <c r="B2962" s="90">
        <v>5336</v>
      </c>
      <c r="C2962" s="88" t="s">
        <v>1041</v>
      </c>
      <c r="D2962" s="90" t="s">
        <v>17</v>
      </c>
      <c r="E2962" s="90" t="s">
        <v>753</v>
      </c>
      <c r="F2962" s="90" t="s">
        <v>861</v>
      </c>
      <c r="G2962" s="137">
        <v>4</v>
      </c>
      <c r="H2962" s="94">
        <v>359.99019585898151</v>
      </c>
      <c r="I2962" s="91">
        <v>46050</v>
      </c>
      <c r="J2962" s="165">
        <v>0.50486111111111109</v>
      </c>
      <c r="K2962" s="94">
        <v>359.99019585898151</v>
      </c>
      <c r="L2962" s="72" t="str">
        <f t="shared" si="46"/>
        <v>Payé</v>
      </c>
    </row>
    <row r="2963" spans="1:12" ht="18" x14ac:dyDescent="0.25">
      <c r="A2963" s="90" t="s">
        <v>861</v>
      </c>
      <c r="B2963" s="90">
        <v>5355</v>
      </c>
      <c r="C2963" s="88" t="s">
        <v>1090</v>
      </c>
      <c r="D2963" s="90" t="s">
        <v>17</v>
      </c>
      <c r="E2963" s="90" t="s">
        <v>1104</v>
      </c>
      <c r="F2963" s="90" t="s">
        <v>861</v>
      </c>
      <c r="G2963" s="137">
        <v>7</v>
      </c>
      <c r="H2963" s="94">
        <v>629.98284275321771</v>
      </c>
      <c r="I2963" s="91">
        <v>46045</v>
      </c>
      <c r="J2963" s="165">
        <v>0.54583333333333328</v>
      </c>
      <c r="K2963" s="94">
        <v>629.98284275321771</v>
      </c>
      <c r="L2963" s="72" t="str">
        <f t="shared" si="46"/>
        <v>Payé</v>
      </c>
    </row>
    <row r="2964" spans="1:12" ht="18" x14ac:dyDescent="0.25">
      <c r="A2964" s="90" t="s">
        <v>861</v>
      </c>
      <c r="B2964" s="90">
        <v>5356</v>
      </c>
      <c r="C2964" s="88" t="s">
        <v>993</v>
      </c>
      <c r="D2964" s="90" t="s">
        <v>17</v>
      </c>
      <c r="E2964" s="90" t="s">
        <v>254</v>
      </c>
      <c r="F2964" s="90" t="s">
        <v>861</v>
      </c>
      <c r="G2964" s="137">
        <v>3</v>
      </c>
      <c r="H2964" s="94">
        <v>269.99264689423615</v>
      </c>
      <c r="I2964" s="91">
        <v>46045</v>
      </c>
      <c r="J2964" s="165">
        <v>0.6777777777777777</v>
      </c>
      <c r="K2964" s="94">
        <v>269.99264689423615</v>
      </c>
      <c r="L2964" s="72" t="str">
        <f t="shared" si="46"/>
        <v>Payé</v>
      </c>
    </row>
    <row r="2965" spans="1:12" ht="18" x14ac:dyDescent="0.25">
      <c r="A2965" s="90" t="s">
        <v>861</v>
      </c>
      <c r="B2965" s="90">
        <v>5365</v>
      </c>
      <c r="C2965" s="88" t="s">
        <v>1123</v>
      </c>
      <c r="D2965" s="90" t="s">
        <v>17</v>
      </c>
      <c r="E2965" s="90" t="s">
        <v>370</v>
      </c>
      <c r="F2965" s="90" t="s">
        <v>861</v>
      </c>
      <c r="G2965" s="137">
        <v>12</v>
      </c>
      <c r="H2965" s="94">
        <v>1199.9705875769446</v>
      </c>
      <c r="I2965" s="91">
        <v>46045</v>
      </c>
      <c r="J2965" s="165">
        <v>0.58333333333333337</v>
      </c>
      <c r="K2965" s="94">
        <v>1199.9705875769446</v>
      </c>
      <c r="L2965" s="72" t="str">
        <f t="shared" si="46"/>
        <v>Payé</v>
      </c>
    </row>
    <row r="2966" spans="1:12" ht="18" x14ac:dyDescent="0.25">
      <c r="A2966" s="90" t="s">
        <v>861</v>
      </c>
      <c r="B2966" s="90">
        <v>6070</v>
      </c>
      <c r="C2966" s="88" t="s">
        <v>1153</v>
      </c>
      <c r="D2966" s="90" t="s">
        <v>17</v>
      </c>
      <c r="E2966" s="90" t="s">
        <v>49</v>
      </c>
      <c r="F2966" s="90" t="s">
        <v>861</v>
      </c>
      <c r="G2966" s="137">
        <v>5</v>
      </c>
      <c r="H2966" s="94">
        <v>449.98774482372687</v>
      </c>
      <c r="I2966" s="91">
        <v>46045</v>
      </c>
      <c r="J2966" s="165">
        <v>0.67986111111111114</v>
      </c>
      <c r="K2966" s="94">
        <v>449.98774482372687</v>
      </c>
      <c r="L2966" s="72" t="str">
        <f t="shared" si="46"/>
        <v>Payé</v>
      </c>
    </row>
    <row r="2967" spans="1:12" ht="18" x14ac:dyDescent="0.25">
      <c r="A2967" s="90" t="s">
        <v>861</v>
      </c>
      <c r="B2967" s="90">
        <v>7004</v>
      </c>
      <c r="C2967" s="88" t="s">
        <v>713</v>
      </c>
      <c r="D2967" s="90" t="s">
        <v>17</v>
      </c>
      <c r="E2967" s="90" t="s">
        <v>49</v>
      </c>
      <c r="F2967" s="90" t="s">
        <v>861</v>
      </c>
      <c r="G2967" s="137">
        <v>9</v>
      </c>
      <c r="H2967" s="94">
        <v>809.97794068270844</v>
      </c>
      <c r="I2967" s="91">
        <v>46045</v>
      </c>
      <c r="J2967" s="165">
        <v>0.67986111111111114</v>
      </c>
      <c r="K2967" s="94">
        <v>809.97794068270844</v>
      </c>
      <c r="L2967" s="72" t="str">
        <f t="shared" si="46"/>
        <v>Payé</v>
      </c>
    </row>
    <row r="2968" spans="1:12" ht="18" x14ac:dyDescent="0.25">
      <c r="A2968" s="90" t="s">
        <v>861</v>
      </c>
      <c r="B2968" s="90">
        <v>8022</v>
      </c>
      <c r="C2968" s="88" t="s">
        <v>707</v>
      </c>
      <c r="D2968" s="90" t="s">
        <v>17</v>
      </c>
      <c r="E2968" s="90" t="s">
        <v>628</v>
      </c>
      <c r="F2968" s="90" t="s">
        <v>861</v>
      </c>
      <c r="G2968" s="137">
        <v>14</v>
      </c>
      <c r="H2968" s="94">
        <v>1379.9656855064354</v>
      </c>
      <c r="I2968" s="91">
        <v>46045</v>
      </c>
      <c r="J2968" s="165">
        <v>0.59513888888888888</v>
      </c>
      <c r="K2968" s="94">
        <v>1379.9656855064354</v>
      </c>
      <c r="L2968" s="72" t="str">
        <f t="shared" si="46"/>
        <v>Payé</v>
      </c>
    </row>
    <row r="2969" spans="1:12" ht="18" x14ac:dyDescent="0.25">
      <c r="A2969" s="90" t="s">
        <v>861</v>
      </c>
      <c r="B2969" s="90">
        <v>9074</v>
      </c>
      <c r="C2969" s="88" t="s">
        <v>1564</v>
      </c>
      <c r="D2969" s="90" t="s">
        <v>17</v>
      </c>
      <c r="E2969" s="90" t="s">
        <v>649</v>
      </c>
      <c r="F2969" s="90" t="s">
        <v>861</v>
      </c>
      <c r="G2969" s="137">
        <v>9</v>
      </c>
      <c r="H2969" s="94">
        <v>809.97794068270844</v>
      </c>
      <c r="I2969" s="91">
        <v>46044</v>
      </c>
      <c r="J2969" s="165">
        <v>0.7090277777777777</v>
      </c>
      <c r="K2969" s="94">
        <v>809.97794068270844</v>
      </c>
      <c r="L2969" s="72" t="str">
        <f t="shared" si="46"/>
        <v>Payé</v>
      </c>
    </row>
    <row r="2970" spans="1:12" ht="18" x14ac:dyDescent="0.25">
      <c r="A2970" s="90" t="s">
        <v>861</v>
      </c>
      <c r="B2970" s="90">
        <v>10004</v>
      </c>
      <c r="C2970" s="88" t="s">
        <v>1130</v>
      </c>
      <c r="D2970" s="90" t="s">
        <v>17</v>
      </c>
      <c r="E2970" s="90" t="s">
        <v>370</v>
      </c>
      <c r="F2970" s="90" t="s">
        <v>861</v>
      </c>
      <c r="G2970" s="137">
        <v>3</v>
      </c>
      <c r="H2970" s="94">
        <v>359.99264689423609</v>
      </c>
      <c r="I2970" s="91">
        <v>46046</v>
      </c>
      <c r="J2970" s="165">
        <v>0.48819444444444443</v>
      </c>
      <c r="K2970" s="94">
        <v>359.99264689423609</v>
      </c>
      <c r="L2970" s="72" t="str">
        <f t="shared" si="46"/>
        <v>Payé</v>
      </c>
    </row>
    <row r="2971" spans="1:12" ht="18" x14ac:dyDescent="0.25">
      <c r="A2971" s="90" t="s">
        <v>861</v>
      </c>
      <c r="B2971" s="90">
        <v>10007</v>
      </c>
      <c r="C2971" s="88" t="s">
        <v>1133</v>
      </c>
      <c r="D2971" s="90" t="s">
        <v>17</v>
      </c>
      <c r="E2971" s="90" t="s">
        <v>368</v>
      </c>
      <c r="F2971" s="90" t="s">
        <v>861</v>
      </c>
      <c r="G2971" s="137">
        <v>3</v>
      </c>
      <c r="H2971" s="94">
        <v>359.99264689423609</v>
      </c>
      <c r="I2971" s="91">
        <v>46045</v>
      </c>
      <c r="J2971" s="165">
        <v>0.58333333333333337</v>
      </c>
      <c r="K2971" s="94">
        <v>359.99264689423609</v>
      </c>
      <c r="L2971" s="72" t="str">
        <f t="shared" si="46"/>
        <v>Payé</v>
      </c>
    </row>
    <row r="2972" spans="1:12" ht="18" x14ac:dyDescent="0.25">
      <c r="A2972" s="90" t="s">
        <v>861</v>
      </c>
      <c r="B2972" s="90">
        <v>10008</v>
      </c>
      <c r="C2972" s="88" t="s">
        <v>1134</v>
      </c>
      <c r="D2972" s="90" t="s">
        <v>17</v>
      </c>
      <c r="E2972" s="90" t="s">
        <v>628</v>
      </c>
      <c r="F2972" s="90" t="s">
        <v>861</v>
      </c>
      <c r="G2972" s="137">
        <v>10</v>
      </c>
      <c r="H2972" s="94">
        <v>979.97548964745386</v>
      </c>
      <c r="I2972" s="91">
        <v>46045</v>
      </c>
      <c r="J2972" s="165">
        <v>0.59513888888888888</v>
      </c>
      <c r="K2972" s="94">
        <v>979.97548964745386</v>
      </c>
      <c r="L2972" s="72" t="str">
        <f t="shared" si="46"/>
        <v>Payé</v>
      </c>
    </row>
    <row r="2973" spans="1:12" ht="18" x14ac:dyDescent="0.25">
      <c r="A2973" s="90" t="s">
        <v>861</v>
      </c>
      <c r="B2973" s="90">
        <v>10016</v>
      </c>
      <c r="C2973" s="88" t="s">
        <v>1163</v>
      </c>
      <c r="D2973" s="90" t="s">
        <v>17</v>
      </c>
      <c r="E2973" s="90" t="s">
        <v>667</v>
      </c>
      <c r="F2973" s="90" t="s">
        <v>861</v>
      </c>
      <c r="G2973" s="137">
        <v>1</v>
      </c>
      <c r="H2973" s="94">
        <v>89.997548964745377</v>
      </c>
      <c r="I2973" s="91">
        <v>46044</v>
      </c>
      <c r="J2973" s="165">
        <v>0.6</v>
      </c>
      <c r="K2973" s="94">
        <v>89.997548964745377</v>
      </c>
      <c r="L2973" s="72" t="str">
        <f t="shared" si="46"/>
        <v>Payé</v>
      </c>
    </row>
    <row r="2974" spans="1:12" ht="18" x14ac:dyDescent="0.25">
      <c r="A2974" s="90" t="s">
        <v>861</v>
      </c>
      <c r="B2974" s="90">
        <v>10030</v>
      </c>
      <c r="C2974" s="88" t="s">
        <v>1176</v>
      </c>
      <c r="D2974" s="90" t="s">
        <v>17</v>
      </c>
      <c r="E2974" s="90" t="s">
        <v>753</v>
      </c>
      <c r="F2974" s="90" t="s">
        <v>861</v>
      </c>
      <c r="G2974" s="137">
        <v>10</v>
      </c>
      <c r="H2974" s="94">
        <v>899.97548964745374</v>
      </c>
      <c r="I2974" s="91">
        <v>46045</v>
      </c>
      <c r="J2974" s="165">
        <v>0.58958333333333335</v>
      </c>
      <c r="K2974" s="94">
        <v>899.97548964745374</v>
      </c>
      <c r="L2974" s="72" t="str">
        <f t="shared" ref="L2974:L3037" si="47">IF(ISBLANK(H2974),"",IF(H2974=K2974,"Payé","Impayé"))</f>
        <v>Payé</v>
      </c>
    </row>
    <row r="2975" spans="1:12" ht="18" x14ac:dyDescent="0.25">
      <c r="A2975" s="90" t="s">
        <v>861</v>
      </c>
      <c r="B2975" s="90">
        <v>10031</v>
      </c>
      <c r="C2975" s="88" t="s">
        <v>1177</v>
      </c>
      <c r="D2975" s="90" t="s">
        <v>17</v>
      </c>
      <c r="E2975" s="90" t="s">
        <v>753</v>
      </c>
      <c r="F2975" s="90" t="s">
        <v>861</v>
      </c>
      <c r="G2975" s="137">
        <v>10</v>
      </c>
      <c r="H2975" s="94">
        <v>899.97548964745374</v>
      </c>
      <c r="I2975" s="91">
        <v>46045</v>
      </c>
      <c r="J2975" s="165">
        <v>0.58958333333333335</v>
      </c>
      <c r="K2975" s="94">
        <v>899.97548964745374</v>
      </c>
      <c r="L2975" s="72" t="str">
        <f t="shared" si="47"/>
        <v>Payé</v>
      </c>
    </row>
    <row r="2976" spans="1:12" ht="18" x14ac:dyDescent="0.25">
      <c r="A2976" s="90" t="s">
        <v>861</v>
      </c>
      <c r="B2976" s="90">
        <v>10032</v>
      </c>
      <c r="C2976" s="88" t="s">
        <v>1178</v>
      </c>
      <c r="D2976" s="90" t="s">
        <v>17</v>
      </c>
      <c r="E2976" s="90" t="s">
        <v>753</v>
      </c>
      <c r="F2976" s="90" t="s">
        <v>861</v>
      </c>
      <c r="G2976" s="137">
        <v>4</v>
      </c>
      <c r="H2976" s="94">
        <v>359.99019585898151</v>
      </c>
      <c r="I2976" s="91"/>
      <c r="J2976" s="165"/>
      <c r="K2976" s="92"/>
      <c r="L2976" s="72" t="str">
        <f t="shared" si="47"/>
        <v>Impayé</v>
      </c>
    </row>
    <row r="2977" spans="1:12" ht="18" x14ac:dyDescent="0.25">
      <c r="A2977" s="90" t="s">
        <v>861</v>
      </c>
      <c r="B2977" s="90">
        <v>10035</v>
      </c>
      <c r="C2977" s="88" t="s">
        <v>1181</v>
      </c>
      <c r="D2977" s="90" t="s">
        <v>17</v>
      </c>
      <c r="E2977" s="90" t="s">
        <v>369</v>
      </c>
      <c r="F2977" s="90" t="s">
        <v>861</v>
      </c>
      <c r="G2977" s="137">
        <v>14</v>
      </c>
      <c r="H2977" s="94">
        <v>1399.9656855064354</v>
      </c>
      <c r="I2977" s="91">
        <v>46045</v>
      </c>
      <c r="J2977" s="165">
        <v>0.54861111111111105</v>
      </c>
      <c r="K2977" s="94">
        <v>1399.9656855064354</v>
      </c>
      <c r="L2977" s="72" t="str">
        <f t="shared" si="47"/>
        <v>Payé</v>
      </c>
    </row>
    <row r="2978" spans="1:12" ht="18" x14ac:dyDescent="0.25">
      <c r="A2978" s="90" t="s">
        <v>861</v>
      </c>
      <c r="B2978" s="90">
        <v>10038</v>
      </c>
      <c r="C2978" s="88" t="s">
        <v>1182</v>
      </c>
      <c r="D2978" s="90" t="s">
        <v>17</v>
      </c>
      <c r="E2978" s="90" t="s">
        <v>370</v>
      </c>
      <c r="F2978" s="90" t="s">
        <v>861</v>
      </c>
      <c r="G2978" s="137">
        <v>3</v>
      </c>
      <c r="H2978" s="94">
        <v>299.99264689423615</v>
      </c>
      <c r="I2978" s="91">
        <v>46045</v>
      </c>
      <c r="J2978" s="165">
        <v>0.58333333333333337</v>
      </c>
      <c r="K2978" s="94">
        <v>299.99264689423615</v>
      </c>
      <c r="L2978" s="72" t="str">
        <f t="shared" si="47"/>
        <v>Payé</v>
      </c>
    </row>
    <row r="2979" spans="1:12" ht="18" x14ac:dyDescent="0.25">
      <c r="A2979" s="90" t="s">
        <v>861</v>
      </c>
      <c r="B2979" s="90">
        <v>10040</v>
      </c>
      <c r="C2979" s="88" t="s">
        <v>1184</v>
      </c>
      <c r="D2979" s="90" t="s">
        <v>17</v>
      </c>
      <c r="E2979" s="90" t="s">
        <v>1187</v>
      </c>
      <c r="F2979" s="90" t="s">
        <v>861</v>
      </c>
      <c r="G2979" s="137">
        <v>9</v>
      </c>
      <c r="H2979" s="94">
        <v>829.97794068270844</v>
      </c>
      <c r="I2979" s="91">
        <v>46044</v>
      </c>
      <c r="J2979" s="165">
        <v>0.72291666666666676</v>
      </c>
      <c r="K2979" s="94">
        <v>829.97794068270844</v>
      </c>
      <c r="L2979" s="72" t="str">
        <f t="shared" si="47"/>
        <v>Payé</v>
      </c>
    </row>
    <row r="2980" spans="1:12" ht="18" x14ac:dyDescent="0.25">
      <c r="A2980" s="90" t="s">
        <v>861</v>
      </c>
      <c r="B2980" s="90">
        <v>10041</v>
      </c>
      <c r="C2980" s="88" t="s">
        <v>1213</v>
      </c>
      <c r="D2980" s="90" t="s">
        <v>17</v>
      </c>
      <c r="E2980" s="90" t="s">
        <v>753</v>
      </c>
      <c r="F2980" s="90" t="s">
        <v>861</v>
      </c>
      <c r="G2980" s="137">
        <v>5</v>
      </c>
      <c r="H2980" s="94">
        <v>449.98774482372687</v>
      </c>
      <c r="I2980" s="91">
        <v>46050</v>
      </c>
      <c r="J2980" s="165">
        <v>0.50208333333333333</v>
      </c>
      <c r="K2980" s="94">
        <v>449.98774482372687</v>
      </c>
      <c r="L2980" s="72" t="str">
        <f t="shared" si="47"/>
        <v>Payé</v>
      </c>
    </row>
    <row r="2981" spans="1:12" ht="18" x14ac:dyDescent="0.25">
      <c r="A2981" s="90" t="s">
        <v>861</v>
      </c>
      <c r="B2981" s="90">
        <v>10044</v>
      </c>
      <c r="C2981" s="88" t="s">
        <v>1215</v>
      </c>
      <c r="D2981" s="90" t="s">
        <v>17</v>
      </c>
      <c r="E2981" s="90" t="s">
        <v>1104</v>
      </c>
      <c r="F2981" s="90" t="s">
        <v>861</v>
      </c>
      <c r="G2981" s="137">
        <v>4</v>
      </c>
      <c r="H2981" s="94">
        <v>359.99019585898151</v>
      </c>
      <c r="I2981" s="91">
        <v>46045</v>
      </c>
      <c r="J2981" s="165">
        <v>0.54583333333333328</v>
      </c>
      <c r="K2981" s="94">
        <v>359.99019585898151</v>
      </c>
      <c r="L2981" s="72" t="str">
        <f t="shared" si="47"/>
        <v>Payé</v>
      </c>
    </row>
    <row r="2982" spans="1:12" ht="18" x14ac:dyDescent="0.25">
      <c r="A2982" s="90" t="s">
        <v>861</v>
      </c>
      <c r="B2982" s="90">
        <v>10048</v>
      </c>
      <c r="C2982" s="88" t="s">
        <v>1218</v>
      </c>
      <c r="D2982" s="90" t="s">
        <v>17</v>
      </c>
      <c r="E2982" s="90" t="s">
        <v>1104</v>
      </c>
      <c r="F2982" s="90" t="s">
        <v>861</v>
      </c>
      <c r="G2982" s="137">
        <v>14</v>
      </c>
      <c r="H2982" s="94">
        <v>1259.9656855064354</v>
      </c>
      <c r="I2982" s="91">
        <v>46045</v>
      </c>
      <c r="J2982" s="165">
        <v>0.54583333333333328</v>
      </c>
      <c r="K2982" s="94">
        <v>1259.9656855064354</v>
      </c>
      <c r="L2982" s="72" t="str">
        <f t="shared" si="47"/>
        <v>Payé</v>
      </c>
    </row>
    <row r="2983" spans="1:12" ht="18" x14ac:dyDescent="0.25">
      <c r="A2983" s="90" t="s">
        <v>861</v>
      </c>
      <c r="B2983" s="90">
        <v>10054</v>
      </c>
      <c r="C2983" s="88" t="s">
        <v>1222</v>
      </c>
      <c r="D2983" s="90" t="s">
        <v>17</v>
      </c>
      <c r="E2983" s="90" t="s">
        <v>1104</v>
      </c>
      <c r="F2983" s="90" t="s">
        <v>861</v>
      </c>
      <c r="G2983" s="137">
        <v>14</v>
      </c>
      <c r="H2983" s="94">
        <v>1259.9656855064354</v>
      </c>
      <c r="I2983" s="91">
        <v>46044</v>
      </c>
      <c r="J2983" s="165">
        <v>0.71527777777777779</v>
      </c>
      <c r="K2983" s="94">
        <v>1259.9656855064354</v>
      </c>
      <c r="L2983" s="72" t="str">
        <f t="shared" si="47"/>
        <v>Payé</v>
      </c>
    </row>
    <row r="2984" spans="1:12" ht="18" x14ac:dyDescent="0.25">
      <c r="A2984" s="90" t="s">
        <v>861</v>
      </c>
      <c r="B2984" s="90">
        <v>10070</v>
      </c>
      <c r="C2984" s="88" t="s">
        <v>1250</v>
      </c>
      <c r="D2984" s="90" t="s">
        <v>17</v>
      </c>
      <c r="E2984" s="90" t="s">
        <v>49</v>
      </c>
      <c r="F2984" s="90" t="s">
        <v>861</v>
      </c>
      <c r="G2984" s="137">
        <v>4</v>
      </c>
      <c r="H2984" s="94">
        <v>359.99019585898151</v>
      </c>
      <c r="I2984" s="91">
        <v>46045</v>
      </c>
      <c r="J2984" s="165">
        <v>0.67986111111111114</v>
      </c>
      <c r="K2984" s="94">
        <v>359.99019585898151</v>
      </c>
      <c r="L2984" s="72" t="str">
        <f t="shared" si="47"/>
        <v>Payé</v>
      </c>
    </row>
    <row r="2985" spans="1:12" ht="18" x14ac:dyDescent="0.25">
      <c r="A2985" s="90" t="s">
        <v>861</v>
      </c>
      <c r="B2985" s="90">
        <v>10082</v>
      </c>
      <c r="C2985" s="88" t="s">
        <v>1259</v>
      </c>
      <c r="D2985" s="90" t="s">
        <v>17</v>
      </c>
      <c r="E2985" s="90" t="s">
        <v>254</v>
      </c>
      <c r="F2985" s="90" t="s">
        <v>861</v>
      </c>
      <c r="G2985" s="137">
        <v>4</v>
      </c>
      <c r="H2985" s="94">
        <v>359.99019585898151</v>
      </c>
      <c r="I2985" s="91">
        <v>46045</v>
      </c>
      <c r="J2985" s="165">
        <v>0.66875000000000007</v>
      </c>
      <c r="K2985" s="94">
        <v>359.99019585898151</v>
      </c>
      <c r="L2985" s="72" t="str">
        <f t="shared" si="47"/>
        <v>Payé</v>
      </c>
    </row>
    <row r="2986" spans="1:12" ht="18" x14ac:dyDescent="0.25">
      <c r="A2986" s="90" t="s">
        <v>861</v>
      </c>
      <c r="B2986" s="90">
        <v>10083</v>
      </c>
      <c r="C2986" s="88" t="s">
        <v>1273</v>
      </c>
      <c r="D2986" s="90" t="s">
        <v>17</v>
      </c>
      <c r="E2986" s="90" t="s">
        <v>254</v>
      </c>
      <c r="F2986" s="90" t="s">
        <v>861</v>
      </c>
      <c r="G2986" s="137">
        <v>5</v>
      </c>
      <c r="H2986" s="94">
        <v>449.98774482372687</v>
      </c>
      <c r="I2986" s="91">
        <v>46045</v>
      </c>
      <c r="J2986" s="165">
        <v>0.66875000000000007</v>
      </c>
      <c r="K2986" s="94">
        <v>449.98774482372687</v>
      </c>
      <c r="L2986" s="72" t="str">
        <f t="shared" si="47"/>
        <v>Payé</v>
      </c>
    </row>
    <row r="2987" spans="1:12" ht="18" x14ac:dyDescent="0.25">
      <c r="A2987" s="90" t="s">
        <v>861</v>
      </c>
      <c r="B2987" s="90">
        <v>10084</v>
      </c>
      <c r="C2987" s="88" t="s">
        <v>1261</v>
      </c>
      <c r="D2987" s="90" t="s">
        <v>17</v>
      </c>
      <c r="E2987" s="90" t="s">
        <v>667</v>
      </c>
      <c r="F2987" s="90" t="s">
        <v>861</v>
      </c>
      <c r="G2987" s="137">
        <v>8</v>
      </c>
      <c r="H2987" s="94">
        <v>719.98039171796302</v>
      </c>
      <c r="I2987" s="91">
        <v>46044</v>
      </c>
      <c r="J2987" s="165">
        <v>0.6</v>
      </c>
      <c r="K2987" s="94">
        <v>719.98039171796302</v>
      </c>
      <c r="L2987" s="72" t="str">
        <f t="shared" si="47"/>
        <v>Payé</v>
      </c>
    </row>
    <row r="2988" spans="1:12" ht="18" x14ac:dyDescent="0.25">
      <c r="A2988" s="90" t="s">
        <v>861</v>
      </c>
      <c r="B2988" s="90">
        <v>10085</v>
      </c>
      <c r="C2988" s="88" t="s">
        <v>1361</v>
      </c>
      <c r="D2988" s="90" t="s">
        <v>17</v>
      </c>
      <c r="E2988" s="90" t="s">
        <v>649</v>
      </c>
      <c r="F2988" s="90" t="s">
        <v>861</v>
      </c>
      <c r="G2988" s="137">
        <v>5</v>
      </c>
      <c r="H2988" s="94">
        <v>449.98774482372687</v>
      </c>
      <c r="I2988" s="91">
        <v>46044</v>
      </c>
      <c r="J2988" s="165">
        <v>0.7090277777777777</v>
      </c>
      <c r="K2988" s="94">
        <v>449.98774482372687</v>
      </c>
      <c r="L2988" s="72" t="str">
        <f t="shared" si="47"/>
        <v>Payé</v>
      </c>
    </row>
    <row r="2989" spans="1:12" ht="18" x14ac:dyDescent="0.25">
      <c r="A2989" s="90" t="s">
        <v>861</v>
      </c>
      <c r="B2989" s="90">
        <v>10086</v>
      </c>
      <c r="C2989" s="88" t="s">
        <v>1262</v>
      </c>
      <c r="D2989" s="90" t="s">
        <v>17</v>
      </c>
      <c r="E2989" s="90" t="s">
        <v>667</v>
      </c>
      <c r="F2989" s="90" t="s">
        <v>861</v>
      </c>
      <c r="G2989" s="137">
        <v>6</v>
      </c>
      <c r="H2989" s="94">
        <v>539.98529378847229</v>
      </c>
      <c r="I2989" s="91">
        <v>46044</v>
      </c>
      <c r="J2989" s="165">
        <v>0.6</v>
      </c>
      <c r="K2989" s="94">
        <v>539.98529378847229</v>
      </c>
      <c r="L2989" s="72" t="str">
        <f t="shared" si="47"/>
        <v>Payé</v>
      </c>
    </row>
    <row r="2990" spans="1:12" ht="18" x14ac:dyDescent="0.25">
      <c r="A2990" s="90" t="s">
        <v>861</v>
      </c>
      <c r="B2990" s="90">
        <v>10087</v>
      </c>
      <c r="C2990" s="88" t="s">
        <v>1263</v>
      </c>
      <c r="D2990" s="90" t="s">
        <v>17</v>
      </c>
      <c r="E2990" s="90" t="s">
        <v>667</v>
      </c>
      <c r="F2990" s="90" t="s">
        <v>861</v>
      </c>
      <c r="G2990" s="137">
        <v>6</v>
      </c>
      <c r="H2990" s="94">
        <v>539.98529378847229</v>
      </c>
      <c r="I2990" s="91">
        <v>46044</v>
      </c>
      <c r="J2990" s="165">
        <v>0.6</v>
      </c>
      <c r="K2990" s="94">
        <v>539.98529378847229</v>
      </c>
      <c r="L2990" s="72" t="str">
        <f t="shared" si="47"/>
        <v>Payé</v>
      </c>
    </row>
    <row r="2991" spans="1:12" ht="18" x14ac:dyDescent="0.25">
      <c r="A2991" s="90" t="s">
        <v>861</v>
      </c>
      <c r="B2991" s="90">
        <v>10095</v>
      </c>
      <c r="C2991" s="88" t="s">
        <v>1271</v>
      </c>
      <c r="D2991" s="90" t="s">
        <v>17</v>
      </c>
      <c r="E2991" s="90" t="s">
        <v>667</v>
      </c>
      <c r="F2991" s="90" t="s">
        <v>861</v>
      </c>
      <c r="G2991" s="137">
        <v>7</v>
      </c>
      <c r="H2991" s="94">
        <v>629.98284275321771</v>
      </c>
      <c r="I2991" s="91">
        <v>46044</v>
      </c>
      <c r="J2991" s="165">
        <v>0.6</v>
      </c>
      <c r="K2991" s="94">
        <v>629.98284275321771</v>
      </c>
      <c r="L2991" s="72" t="str">
        <f t="shared" si="47"/>
        <v>Payé</v>
      </c>
    </row>
    <row r="2992" spans="1:12" ht="18" x14ac:dyDescent="0.25">
      <c r="A2992" s="90" t="s">
        <v>861</v>
      </c>
      <c r="B2992" s="90">
        <v>10099</v>
      </c>
      <c r="C2992" s="88" t="s">
        <v>1296</v>
      </c>
      <c r="D2992" s="90" t="s">
        <v>17</v>
      </c>
      <c r="E2992" s="90" t="s">
        <v>667</v>
      </c>
      <c r="F2992" s="90" t="s">
        <v>861</v>
      </c>
      <c r="G2992" s="137">
        <v>9</v>
      </c>
      <c r="H2992" s="94">
        <v>809.97794068270844</v>
      </c>
      <c r="I2992" s="91">
        <v>46044</v>
      </c>
      <c r="J2992" s="165">
        <v>0.6</v>
      </c>
      <c r="K2992" s="94">
        <v>809.97794068270844</v>
      </c>
      <c r="L2992" s="72" t="str">
        <f t="shared" si="47"/>
        <v>Payé</v>
      </c>
    </row>
    <row r="2993" spans="1:12" ht="18" x14ac:dyDescent="0.25">
      <c r="A2993" s="90" t="s">
        <v>861</v>
      </c>
      <c r="B2993" s="90">
        <v>10100</v>
      </c>
      <c r="C2993" s="88" t="s">
        <v>1297</v>
      </c>
      <c r="D2993" s="90" t="s">
        <v>17</v>
      </c>
      <c r="E2993" s="90" t="s">
        <v>667</v>
      </c>
      <c r="F2993" s="90" t="s">
        <v>861</v>
      </c>
      <c r="G2993" s="137">
        <v>8</v>
      </c>
      <c r="H2993" s="94">
        <v>719.98039171796302</v>
      </c>
      <c r="I2993" s="91">
        <v>46044</v>
      </c>
      <c r="J2993" s="165">
        <v>0.6</v>
      </c>
      <c r="K2993" s="94">
        <v>719.98039171796302</v>
      </c>
      <c r="L2993" s="72" t="str">
        <f t="shared" si="47"/>
        <v>Payé</v>
      </c>
    </row>
    <row r="2994" spans="1:12" ht="18" x14ac:dyDescent="0.25">
      <c r="A2994" s="90" t="s">
        <v>861</v>
      </c>
      <c r="B2994" s="90">
        <v>10101</v>
      </c>
      <c r="C2994" s="88" t="s">
        <v>1298</v>
      </c>
      <c r="D2994" s="90" t="s">
        <v>17</v>
      </c>
      <c r="E2994" s="90" t="s">
        <v>667</v>
      </c>
      <c r="F2994" s="90" t="s">
        <v>861</v>
      </c>
      <c r="G2994" s="137">
        <v>8</v>
      </c>
      <c r="H2994" s="94">
        <v>719.98039171796302</v>
      </c>
      <c r="I2994" s="91">
        <v>46044</v>
      </c>
      <c r="J2994" s="165">
        <v>0.6</v>
      </c>
      <c r="K2994" s="94">
        <v>719.98039171796302</v>
      </c>
      <c r="L2994" s="72" t="str">
        <f t="shared" si="47"/>
        <v>Payé</v>
      </c>
    </row>
    <row r="2995" spans="1:12" ht="18" x14ac:dyDescent="0.25">
      <c r="A2995" s="90" t="s">
        <v>861</v>
      </c>
      <c r="B2995" s="90">
        <v>10105</v>
      </c>
      <c r="C2995" s="88" t="s">
        <v>1300</v>
      </c>
      <c r="D2995" s="90" t="s">
        <v>17</v>
      </c>
      <c r="E2995" s="90" t="s">
        <v>649</v>
      </c>
      <c r="F2995" s="90" t="s">
        <v>861</v>
      </c>
      <c r="G2995" s="137">
        <v>9</v>
      </c>
      <c r="H2995" s="94">
        <v>809.97794068270844</v>
      </c>
      <c r="I2995" s="91">
        <v>46044</v>
      </c>
      <c r="J2995" s="165">
        <v>0.7090277777777777</v>
      </c>
      <c r="K2995" s="94">
        <v>809.97794068270844</v>
      </c>
      <c r="L2995" s="72" t="str">
        <f t="shared" si="47"/>
        <v>Payé</v>
      </c>
    </row>
    <row r="2996" spans="1:12" ht="18" x14ac:dyDescent="0.25">
      <c r="A2996" s="90" t="s">
        <v>861</v>
      </c>
      <c r="B2996" s="90">
        <v>10106</v>
      </c>
      <c r="C2996" s="88" t="s">
        <v>1301</v>
      </c>
      <c r="D2996" s="90" t="s">
        <v>17</v>
      </c>
      <c r="E2996" s="90" t="s">
        <v>667</v>
      </c>
      <c r="F2996" s="90" t="s">
        <v>861</v>
      </c>
      <c r="G2996" s="137">
        <v>8</v>
      </c>
      <c r="H2996" s="94">
        <v>719.98039171796302</v>
      </c>
      <c r="I2996" s="91">
        <v>46044</v>
      </c>
      <c r="J2996" s="165">
        <v>0.6</v>
      </c>
      <c r="K2996" s="94">
        <v>719.98039171796302</v>
      </c>
      <c r="L2996" s="72" t="str">
        <f t="shared" si="47"/>
        <v>Payé</v>
      </c>
    </row>
    <row r="2997" spans="1:12" ht="18" x14ac:dyDescent="0.25">
      <c r="A2997" s="90" t="s">
        <v>861</v>
      </c>
      <c r="B2997" s="90">
        <v>10107</v>
      </c>
      <c r="C2997" s="88" t="s">
        <v>1302</v>
      </c>
      <c r="D2997" s="90" t="s">
        <v>17</v>
      </c>
      <c r="E2997" s="90" t="s">
        <v>667</v>
      </c>
      <c r="F2997" s="90" t="s">
        <v>861</v>
      </c>
      <c r="G2997" s="137">
        <v>7</v>
      </c>
      <c r="H2997" s="94">
        <v>629.98284275321771</v>
      </c>
      <c r="I2997" s="91">
        <v>46044</v>
      </c>
      <c r="J2997" s="165">
        <v>0.6</v>
      </c>
      <c r="K2997" s="94">
        <v>629.98284275321771</v>
      </c>
      <c r="L2997" s="72" t="str">
        <f t="shared" si="47"/>
        <v>Payé</v>
      </c>
    </row>
    <row r="2998" spans="1:12" ht="18" x14ac:dyDescent="0.25">
      <c r="A2998" s="90" t="s">
        <v>861</v>
      </c>
      <c r="B2998" s="90">
        <v>10108</v>
      </c>
      <c r="C2998" s="88" t="s">
        <v>1303</v>
      </c>
      <c r="D2998" s="90" t="s">
        <v>17</v>
      </c>
      <c r="E2998" s="90" t="s">
        <v>667</v>
      </c>
      <c r="F2998" s="90" t="s">
        <v>861</v>
      </c>
      <c r="G2998" s="137">
        <v>9</v>
      </c>
      <c r="H2998" s="94">
        <v>809.97794068270844</v>
      </c>
      <c r="I2998" s="91">
        <v>46044</v>
      </c>
      <c r="J2998" s="165">
        <v>0.6</v>
      </c>
      <c r="K2998" s="94">
        <v>809.97794068270844</v>
      </c>
      <c r="L2998" s="72" t="str">
        <f t="shared" si="47"/>
        <v>Payé</v>
      </c>
    </row>
    <row r="2999" spans="1:12" ht="18" x14ac:dyDescent="0.25">
      <c r="A2999" s="90" t="s">
        <v>861</v>
      </c>
      <c r="B2999" s="90">
        <v>10112</v>
      </c>
      <c r="C2999" s="88" t="s">
        <v>1306</v>
      </c>
      <c r="D2999" s="90" t="s">
        <v>17</v>
      </c>
      <c r="E2999" s="90" t="s">
        <v>667</v>
      </c>
      <c r="F2999" s="90" t="s">
        <v>861</v>
      </c>
      <c r="G2999" s="137">
        <v>6</v>
      </c>
      <c r="H2999" s="94">
        <v>539.98529378847229</v>
      </c>
      <c r="I2999" s="91">
        <v>46044</v>
      </c>
      <c r="J2999" s="165">
        <v>0.6</v>
      </c>
      <c r="K2999" s="94">
        <v>539.98529378847229</v>
      </c>
      <c r="L2999" s="72" t="str">
        <f t="shared" si="47"/>
        <v>Payé</v>
      </c>
    </row>
    <row r="3000" spans="1:12" ht="18" x14ac:dyDescent="0.25">
      <c r="A3000" s="90" t="s">
        <v>861</v>
      </c>
      <c r="B3000" s="90">
        <v>10132</v>
      </c>
      <c r="C3000" s="88" t="s">
        <v>1337</v>
      </c>
      <c r="D3000" s="90" t="s">
        <v>17</v>
      </c>
      <c r="E3000" s="90" t="s">
        <v>667</v>
      </c>
      <c r="F3000" s="90" t="s">
        <v>861</v>
      </c>
      <c r="G3000" s="137">
        <v>4</v>
      </c>
      <c r="H3000" s="94">
        <v>359.99019585898151</v>
      </c>
      <c r="I3000" s="91">
        <v>46044</v>
      </c>
      <c r="J3000" s="165">
        <v>0.6</v>
      </c>
      <c r="K3000" s="94">
        <v>359.99019585898151</v>
      </c>
      <c r="L3000" s="72" t="str">
        <f t="shared" si="47"/>
        <v>Payé</v>
      </c>
    </row>
    <row r="3001" spans="1:12" ht="18" x14ac:dyDescent="0.25">
      <c r="A3001" s="90" t="s">
        <v>861</v>
      </c>
      <c r="B3001" s="90">
        <v>10133</v>
      </c>
      <c r="C3001" s="88" t="s">
        <v>1325</v>
      </c>
      <c r="D3001" s="90" t="s">
        <v>17</v>
      </c>
      <c r="E3001" s="90" t="s">
        <v>753</v>
      </c>
      <c r="F3001" s="90" t="s">
        <v>861</v>
      </c>
      <c r="G3001" s="137">
        <v>6</v>
      </c>
      <c r="H3001" s="94">
        <v>539.98529378847229</v>
      </c>
      <c r="I3001" s="91">
        <v>46078</v>
      </c>
      <c r="J3001" s="165">
        <v>0.52083333333333337</v>
      </c>
      <c r="K3001" s="94">
        <v>539.98529378847229</v>
      </c>
      <c r="L3001" s="72" t="str">
        <f t="shared" si="47"/>
        <v>Payé</v>
      </c>
    </row>
    <row r="3002" spans="1:12" ht="18" x14ac:dyDescent="0.25">
      <c r="A3002" s="90" t="s">
        <v>861</v>
      </c>
      <c r="B3002" s="90">
        <v>10140</v>
      </c>
      <c r="C3002" s="88" t="s">
        <v>1329</v>
      </c>
      <c r="D3002" s="90" t="s">
        <v>17</v>
      </c>
      <c r="E3002" s="90" t="s">
        <v>667</v>
      </c>
      <c r="F3002" s="90" t="s">
        <v>861</v>
      </c>
      <c r="G3002" s="137">
        <v>8</v>
      </c>
      <c r="H3002" s="94">
        <v>719.98039171796302</v>
      </c>
      <c r="I3002" s="91">
        <v>46044</v>
      </c>
      <c r="J3002" s="165">
        <v>0.6</v>
      </c>
      <c r="K3002" s="94">
        <v>719.98039171796302</v>
      </c>
      <c r="L3002" s="72" t="str">
        <f t="shared" si="47"/>
        <v>Payé</v>
      </c>
    </row>
    <row r="3003" spans="1:12" ht="18" x14ac:dyDescent="0.25">
      <c r="A3003" s="90" t="s">
        <v>861</v>
      </c>
      <c r="B3003" s="90">
        <v>10141</v>
      </c>
      <c r="C3003" s="88" t="s">
        <v>1330</v>
      </c>
      <c r="D3003" s="90" t="s">
        <v>17</v>
      </c>
      <c r="E3003" s="90" t="s">
        <v>667</v>
      </c>
      <c r="F3003" s="90" t="s">
        <v>861</v>
      </c>
      <c r="G3003" s="137">
        <v>2</v>
      </c>
      <c r="H3003" s="94">
        <v>179.99509792949075</v>
      </c>
      <c r="I3003" s="91">
        <v>46044</v>
      </c>
      <c r="J3003" s="165">
        <v>0.6</v>
      </c>
      <c r="K3003" s="94">
        <v>179.99509792949075</v>
      </c>
      <c r="L3003" s="72" t="str">
        <f t="shared" si="47"/>
        <v>Payé</v>
      </c>
    </row>
    <row r="3004" spans="1:12" ht="18" x14ac:dyDescent="0.25">
      <c r="A3004" s="90" t="s">
        <v>861</v>
      </c>
      <c r="B3004" s="90">
        <v>10149</v>
      </c>
      <c r="C3004" s="88" t="s">
        <v>1371</v>
      </c>
      <c r="D3004" s="90" t="s">
        <v>17</v>
      </c>
      <c r="E3004" s="90" t="s">
        <v>667</v>
      </c>
      <c r="F3004" s="90" t="s">
        <v>861</v>
      </c>
      <c r="G3004" s="137">
        <v>4</v>
      </c>
      <c r="H3004" s="94">
        <v>359.99019585898151</v>
      </c>
      <c r="I3004" s="91">
        <v>46044</v>
      </c>
      <c r="J3004" s="165">
        <v>0.6</v>
      </c>
      <c r="K3004" s="94">
        <v>359.99019585898151</v>
      </c>
      <c r="L3004" s="72" t="str">
        <f t="shared" si="47"/>
        <v>Payé</v>
      </c>
    </row>
    <row r="3005" spans="1:12" ht="18" x14ac:dyDescent="0.25">
      <c r="A3005" s="90" t="s">
        <v>861</v>
      </c>
      <c r="B3005" s="90">
        <v>10164</v>
      </c>
      <c r="C3005" s="88" t="s">
        <v>1343</v>
      </c>
      <c r="D3005" s="90" t="s">
        <v>17</v>
      </c>
      <c r="E3005" s="90" t="s">
        <v>1104</v>
      </c>
      <c r="F3005" s="90" t="s">
        <v>861</v>
      </c>
      <c r="G3005" s="137">
        <v>14</v>
      </c>
      <c r="H3005" s="94">
        <v>1259.9656855064354</v>
      </c>
      <c r="I3005" s="91">
        <v>46045</v>
      </c>
      <c r="J3005" s="165">
        <v>0.54583333333333328</v>
      </c>
      <c r="K3005" s="94">
        <v>1259.9656855064354</v>
      </c>
      <c r="L3005" s="72" t="str">
        <f t="shared" si="47"/>
        <v>Payé</v>
      </c>
    </row>
    <row r="3006" spans="1:12" ht="18" x14ac:dyDescent="0.25">
      <c r="A3006" s="90" t="s">
        <v>861</v>
      </c>
      <c r="B3006" s="90">
        <v>10203</v>
      </c>
      <c r="C3006" s="88" t="s">
        <v>778</v>
      </c>
      <c r="D3006" s="90" t="s">
        <v>17</v>
      </c>
      <c r="E3006" s="90" t="s">
        <v>649</v>
      </c>
      <c r="F3006" s="90" t="s">
        <v>861</v>
      </c>
      <c r="G3006" s="137">
        <v>1</v>
      </c>
      <c r="H3006" s="94">
        <v>89.997548964745377</v>
      </c>
      <c r="I3006" s="91">
        <v>46044</v>
      </c>
      <c r="J3006" s="165">
        <v>0.7090277777777777</v>
      </c>
      <c r="K3006" s="94">
        <v>89.997548964745377</v>
      </c>
      <c r="L3006" s="72" t="str">
        <f t="shared" si="47"/>
        <v>Payé</v>
      </c>
    </row>
    <row r="3007" spans="1:12" ht="18" x14ac:dyDescent="0.25">
      <c r="A3007" s="90" t="s">
        <v>861</v>
      </c>
      <c r="B3007" s="90">
        <v>10209</v>
      </c>
      <c r="C3007" s="88" t="s">
        <v>1398</v>
      </c>
      <c r="D3007" s="90" t="s">
        <v>17</v>
      </c>
      <c r="E3007" s="90" t="s">
        <v>667</v>
      </c>
      <c r="F3007" s="90" t="s">
        <v>861</v>
      </c>
      <c r="G3007" s="137">
        <v>7</v>
      </c>
      <c r="H3007" s="94">
        <v>629.98284275321771</v>
      </c>
      <c r="I3007" s="91">
        <v>46044</v>
      </c>
      <c r="J3007" s="165">
        <v>0.6</v>
      </c>
      <c r="K3007" s="94">
        <v>629.98284275321771</v>
      </c>
      <c r="L3007" s="72" t="str">
        <f t="shared" si="47"/>
        <v>Payé</v>
      </c>
    </row>
    <row r="3008" spans="1:12" ht="18" x14ac:dyDescent="0.25">
      <c r="A3008" s="90" t="s">
        <v>861</v>
      </c>
      <c r="B3008" s="90">
        <v>10211</v>
      </c>
      <c r="C3008" s="88" t="s">
        <v>1400</v>
      </c>
      <c r="D3008" s="90" t="s">
        <v>17</v>
      </c>
      <c r="E3008" s="90" t="s">
        <v>613</v>
      </c>
      <c r="F3008" s="90" t="s">
        <v>861</v>
      </c>
      <c r="G3008" s="137">
        <v>10</v>
      </c>
      <c r="H3008" s="94">
        <v>899.97548964745374</v>
      </c>
      <c r="I3008" s="91">
        <v>46045</v>
      </c>
      <c r="J3008" s="165">
        <v>0.58888888888888891</v>
      </c>
      <c r="K3008" s="94">
        <v>899.97548964745374</v>
      </c>
      <c r="L3008" s="72" t="str">
        <f t="shared" si="47"/>
        <v>Payé</v>
      </c>
    </row>
    <row r="3009" spans="1:12" ht="18" x14ac:dyDescent="0.25">
      <c r="A3009" s="90" t="s">
        <v>861</v>
      </c>
      <c r="B3009" s="90">
        <v>10214</v>
      </c>
      <c r="C3009" s="88" t="s">
        <v>1403</v>
      </c>
      <c r="D3009" s="90" t="s">
        <v>17</v>
      </c>
      <c r="E3009" s="90" t="s">
        <v>753</v>
      </c>
      <c r="F3009" s="90" t="s">
        <v>861</v>
      </c>
      <c r="G3009" s="137">
        <v>9</v>
      </c>
      <c r="H3009" s="94">
        <v>809.97794068270844</v>
      </c>
      <c r="I3009" s="91">
        <v>46045</v>
      </c>
      <c r="J3009" s="165">
        <v>0.58958333333333335</v>
      </c>
      <c r="K3009" s="94">
        <v>809.97794068270844</v>
      </c>
      <c r="L3009" s="72" t="str">
        <f t="shared" si="47"/>
        <v>Payé</v>
      </c>
    </row>
    <row r="3010" spans="1:12" ht="18" x14ac:dyDescent="0.25">
      <c r="A3010" s="90" t="s">
        <v>861</v>
      </c>
      <c r="B3010" s="90">
        <v>10237</v>
      </c>
      <c r="C3010" s="88" t="s">
        <v>1407</v>
      </c>
      <c r="D3010" s="90" t="s">
        <v>17</v>
      </c>
      <c r="E3010" s="90" t="s">
        <v>667</v>
      </c>
      <c r="F3010" s="90" t="s">
        <v>861</v>
      </c>
      <c r="G3010" s="137">
        <v>7</v>
      </c>
      <c r="H3010" s="94">
        <v>629.98284275321771</v>
      </c>
      <c r="I3010" s="91">
        <v>46044</v>
      </c>
      <c r="J3010" s="165">
        <v>0.6</v>
      </c>
      <c r="K3010" s="94">
        <v>629.98284275321771</v>
      </c>
      <c r="L3010" s="72" t="str">
        <f t="shared" si="47"/>
        <v>Payé</v>
      </c>
    </row>
    <row r="3011" spans="1:12" ht="18" x14ac:dyDescent="0.25">
      <c r="A3011" s="90" t="s">
        <v>861</v>
      </c>
      <c r="B3011" s="90">
        <v>10239</v>
      </c>
      <c r="C3011" s="88" t="s">
        <v>1408</v>
      </c>
      <c r="D3011" s="90" t="s">
        <v>17</v>
      </c>
      <c r="E3011" s="90" t="s">
        <v>667</v>
      </c>
      <c r="F3011" s="90" t="s">
        <v>861</v>
      </c>
      <c r="G3011" s="137">
        <v>9</v>
      </c>
      <c r="H3011" s="94">
        <v>809.97794068270844</v>
      </c>
      <c r="I3011" s="91">
        <v>46044</v>
      </c>
      <c r="J3011" s="165">
        <v>0.6</v>
      </c>
      <c r="K3011" s="94">
        <v>809.97794068270844</v>
      </c>
      <c r="L3011" s="72" t="str">
        <f t="shared" si="47"/>
        <v>Payé</v>
      </c>
    </row>
    <row r="3012" spans="1:12" ht="18" x14ac:dyDescent="0.25">
      <c r="A3012" s="90" t="s">
        <v>861</v>
      </c>
      <c r="B3012" s="90">
        <v>10240</v>
      </c>
      <c r="C3012" s="88" t="s">
        <v>1409</v>
      </c>
      <c r="D3012" s="90" t="s">
        <v>17</v>
      </c>
      <c r="E3012" s="90" t="s">
        <v>649</v>
      </c>
      <c r="F3012" s="90" t="s">
        <v>861</v>
      </c>
      <c r="G3012" s="137">
        <v>7</v>
      </c>
      <c r="H3012" s="94">
        <v>629.98284275321771</v>
      </c>
      <c r="I3012" s="91">
        <v>46044</v>
      </c>
      <c r="J3012" s="165">
        <v>0.7090277777777777</v>
      </c>
      <c r="K3012" s="94">
        <v>629.98284275321771</v>
      </c>
      <c r="L3012" s="72" t="str">
        <f t="shared" si="47"/>
        <v>Payé</v>
      </c>
    </row>
    <row r="3013" spans="1:12" ht="18" x14ac:dyDescent="0.25">
      <c r="A3013" s="90" t="s">
        <v>861</v>
      </c>
      <c r="B3013" s="90">
        <v>10261</v>
      </c>
      <c r="C3013" s="88" t="s">
        <v>1431</v>
      </c>
      <c r="D3013" s="90" t="s">
        <v>17</v>
      </c>
      <c r="E3013" s="90" t="s">
        <v>649</v>
      </c>
      <c r="F3013" s="90" t="s">
        <v>861</v>
      </c>
      <c r="G3013" s="137">
        <v>8</v>
      </c>
      <c r="H3013" s="94">
        <v>719.98039171796302</v>
      </c>
      <c r="I3013" s="91">
        <v>46044</v>
      </c>
      <c r="J3013" s="165">
        <v>0.7090277777777777</v>
      </c>
      <c r="K3013" s="94">
        <v>719.98039171796302</v>
      </c>
      <c r="L3013" s="72" t="str">
        <f t="shared" si="47"/>
        <v>Payé</v>
      </c>
    </row>
    <row r="3014" spans="1:12" ht="18" x14ac:dyDescent="0.25">
      <c r="A3014" s="90" t="s">
        <v>861</v>
      </c>
      <c r="B3014" s="90">
        <v>10263</v>
      </c>
      <c r="C3014" s="88" t="s">
        <v>1440</v>
      </c>
      <c r="D3014" s="90" t="s">
        <v>17</v>
      </c>
      <c r="E3014" s="90" t="s">
        <v>753</v>
      </c>
      <c r="F3014" s="90" t="s">
        <v>861</v>
      </c>
      <c r="G3014" s="137">
        <v>10</v>
      </c>
      <c r="H3014" s="94">
        <v>899.97548964745374</v>
      </c>
      <c r="I3014" s="91">
        <v>46050</v>
      </c>
      <c r="J3014" s="165">
        <v>0.50208333333333333</v>
      </c>
      <c r="K3014" s="94">
        <v>899.97548964745374</v>
      </c>
      <c r="L3014" s="72" t="str">
        <f t="shared" si="47"/>
        <v>Payé</v>
      </c>
    </row>
    <row r="3015" spans="1:12" ht="18" x14ac:dyDescent="0.25">
      <c r="A3015" s="90" t="s">
        <v>861</v>
      </c>
      <c r="B3015" s="90">
        <v>10266</v>
      </c>
      <c r="C3015" s="88" t="s">
        <v>1473</v>
      </c>
      <c r="D3015" s="90" t="s">
        <v>17</v>
      </c>
      <c r="E3015" s="90" t="s">
        <v>49</v>
      </c>
      <c r="F3015" s="90" t="s">
        <v>861</v>
      </c>
      <c r="G3015" s="137">
        <v>5</v>
      </c>
      <c r="H3015" s="94">
        <v>449.98774482372687</v>
      </c>
      <c r="I3015" s="91">
        <v>46045</v>
      </c>
      <c r="J3015" s="165">
        <v>0.67986111111111114</v>
      </c>
      <c r="K3015" s="94">
        <v>449.98774482372687</v>
      </c>
      <c r="L3015" s="72" t="str">
        <f t="shared" si="47"/>
        <v>Payé</v>
      </c>
    </row>
    <row r="3016" spans="1:12" ht="18" x14ac:dyDescent="0.25">
      <c r="A3016" s="90" t="s">
        <v>861</v>
      </c>
      <c r="B3016" s="90">
        <v>10268</v>
      </c>
      <c r="C3016" s="88" t="s">
        <v>1429</v>
      </c>
      <c r="D3016" s="90" t="s">
        <v>17</v>
      </c>
      <c r="E3016" s="90" t="s">
        <v>649</v>
      </c>
      <c r="F3016" s="90" t="s">
        <v>861</v>
      </c>
      <c r="G3016" s="137">
        <v>6</v>
      </c>
      <c r="H3016" s="94">
        <v>539.98529378847229</v>
      </c>
      <c r="I3016" s="91">
        <v>46044</v>
      </c>
      <c r="J3016" s="165">
        <v>0.7090277777777777</v>
      </c>
      <c r="K3016" s="94">
        <v>539.98529378847229</v>
      </c>
      <c r="L3016" s="72" t="str">
        <f t="shared" si="47"/>
        <v>Payé</v>
      </c>
    </row>
    <row r="3017" spans="1:12" ht="18" x14ac:dyDescent="0.25">
      <c r="A3017" s="90" t="s">
        <v>861</v>
      </c>
      <c r="B3017" s="90">
        <v>10271</v>
      </c>
      <c r="C3017" s="88" t="s">
        <v>1457</v>
      </c>
      <c r="D3017" s="90" t="s">
        <v>17</v>
      </c>
      <c r="E3017" s="90" t="s">
        <v>667</v>
      </c>
      <c r="F3017" s="90" t="s">
        <v>861</v>
      </c>
      <c r="G3017" s="137">
        <v>1</v>
      </c>
      <c r="H3017" s="94">
        <v>89.997548964745377</v>
      </c>
      <c r="I3017" s="91">
        <v>46044</v>
      </c>
      <c r="J3017" s="165">
        <v>0.6</v>
      </c>
      <c r="K3017" s="94">
        <v>89.997548964745377</v>
      </c>
      <c r="L3017" s="72" t="str">
        <f t="shared" si="47"/>
        <v>Payé</v>
      </c>
    </row>
    <row r="3018" spans="1:12" ht="18" x14ac:dyDescent="0.25">
      <c r="A3018" s="90" t="s">
        <v>861</v>
      </c>
      <c r="B3018" s="90">
        <v>10272</v>
      </c>
      <c r="C3018" s="88" t="s">
        <v>1458</v>
      </c>
      <c r="D3018" s="90" t="s">
        <v>17</v>
      </c>
      <c r="E3018" s="90" t="s">
        <v>667</v>
      </c>
      <c r="F3018" s="90" t="s">
        <v>861</v>
      </c>
      <c r="G3018" s="137">
        <v>1</v>
      </c>
      <c r="H3018" s="94">
        <v>89.997548964745377</v>
      </c>
      <c r="I3018" s="91">
        <v>46044</v>
      </c>
      <c r="J3018" s="165">
        <v>0.6</v>
      </c>
      <c r="K3018" s="94">
        <v>89.997548964745377</v>
      </c>
      <c r="L3018" s="72" t="str">
        <f t="shared" si="47"/>
        <v>Payé</v>
      </c>
    </row>
    <row r="3019" spans="1:12" ht="18" x14ac:dyDescent="0.25">
      <c r="A3019" s="90" t="s">
        <v>861</v>
      </c>
      <c r="B3019" s="90">
        <v>10273</v>
      </c>
      <c r="C3019" s="88" t="s">
        <v>1459</v>
      </c>
      <c r="D3019" s="90" t="s">
        <v>17</v>
      </c>
      <c r="E3019" s="90" t="s">
        <v>667</v>
      </c>
      <c r="F3019" s="90" t="s">
        <v>861</v>
      </c>
      <c r="G3019" s="137">
        <v>1</v>
      </c>
      <c r="H3019" s="94">
        <v>89.997548964745377</v>
      </c>
      <c r="I3019" s="91">
        <v>46044</v>
      </c>
      <c r="J3019" s="165">
        <v>0.6</v>
      </c>
      <c r="K3019" s="94">
        <v>89.997548964745377</v>
      </c>
      <c r="L3019" s="72" t="str">
        <f t="shared" si="47"/>
        <v>Payé</v>
      </c>
    </row>
    <row r="3020" spans="1:12" ht="18" x14ac:dyDescent="0.25">
      <c r="A3020" s="90" t="s">
        <v>861</v>
      </c>
      <c r="B3020" s="90">
        <v>10300</v>
      </c>
      <c r="C3020" s="88" t="s">
        <v>1410</v>
      </c>
      <c r="D3020" s="90" t="s">
        <v>17</v>
      </c>
      <c r="E3020" s="90" t="s">
        <v>667</v>
      </c>
      <c r="F3020" s="90" t="s">
        <v>861</v>
      </c>
      <c r="G3020" s="137">
        <v>9</v>
      </c>
      <c r="H3020" s="94">
        <v>809.97794068270844</v>
      </c>
      <c r="I3020" s="91">
        <v>46044</v>
      </c>
      <c r="J3020" s="165">
        <v>0.6</v>
      </c>
      <c r="K3020" s="94">
        <v>809.97794068270844</v>
      </c>
      <c r="L3020" s="72" t="str">
        <f t="shared" si="47"/>
        <v>Payé</v>
      </c>
    </row>
    <row r="3021" spans="1:12" ht="18" x14ac:dyDescent="0.25">
      <c r="A3021" s="90" t="s">
        <v>861</v>
      </c>
      <c r="B3021" s="90">
        <v>10302</v>
      </c>
      <c r="C3021" s="88" t="s">
        <v>1412</v>
      </c>
      <c r="D3021" s="90" t="s">
        <v>17</v>
      </c>
      <c r="E3021" s="90" t="s">
        <v>667</v>
      </c>
      <c r="F3021" s="90" t="s">
        <v>861</v>
      </c>
      <c r="G3021" s="137">
        <v>9</v>
      </c>
      <c r="H3021" s="94">
        <v>809.97794068270844</v>
      </c>
      <c r="I3021" s="91">
        <v>46044</v>
      </c>
      <c r="J3021" s="165">
        <v>0.6</v>
      </c>
      <c r="K3021" s="94">
        <v>809.97794068270844</v>
      </c>
      <c r="L3021" s="72" t="str">
        <f t="shared" si="47"/>
        <v>Payé</v>
      </c>
    </row>
    <row r="3022" spans="1:12" ht="18" x14ac:dyDescent="0.25">
      <c r="A3022" s="90" t="s">
        <v>861</v>
      </c>
      <c r="B3022" s="90">
        <v>10311</v>
      </c>
      <c r="C3022" s="88" t="s">
        <v>1475</v>
      </c>
      <c r="D3022" s="90" t="s">
        <v>17</v>
      </c>
      <c r="E3022" s="90" t="s">
        <v>254</v>
      </c>
      <c r="F3022" s="90" t="s">
        <v>861</v>
      </c>
      <c r="G3022" s="137">
        <v>1</v>
      </c>
      <c r="H3022" s="94">
        <v>89.997548964745377</v>
      </c>
      <c r="I3022" s="91">
        <v>46045</v>
      </c>
      <c r="J3022" s="165">
        <v>0.58958333333333335</v>
      </c>
      <c r="K3022" s="94">
        <v>89.997548964745377</v>
      </c>
      <c r="L3022" s="72" t="str">
        <f t="shared" si="47"/>
        <v>Payé</v>
      </c>
    </row>
    <row r="3023" spans="1:12" ht="18" x14ac:dyDescent="0.25">
      <c r="A3023" s="90" t="s">
        <v>861</v>
      </c>
      <c r="B3023" s="90">
        <v>10320</v>
      </c>
      <c r="C3023" s="88" t="s">
        <v>1456</v>
      </c>
      <c r="D3023" s="90" t="s">
        <v>17</v>
      </c>
      <c r="E3023" s="90" t="s">
        <v>667</v>
      </c>
      <c r="F3023" s="90" t="s">
        <v>861</v>
      </c>
      <c r="G3023" s="137">
        <v>7</v>
      </c>
      <c r="H3023" s="94">
        <v>629.98284275321771</v>
      </c>
      <c r="I3023" s="91">
        <v>46044</v>
      </c>
      <c r="J3023" s="165">
        <v>0.6</v>
      </c>
      <c r="K3023" s="94">
        <v>629.98284275321771</v>
      </c>
      <c r="L3023" s="72" t="str">
        <f t="shared" si="47"/>
        <v>Payé</v>
      </c>
    </row>
    <row r="3024" spans="1:12" ht="18" x14ac:dyDescent="0.25">
      <c r="A3024" s="90" t="s">
        <v>861</v>
      </c>
      <c r="B3024" s="90">
        <v>10324</v>
      </c>
      <c r="C3024" s="88" t="s">
        <v>1480</v>
      </c>
      <c r="D3024" s="90" t="s">
        <v>17</v>
      </c>
      <c r="E3024" s="90" t="s">
        <v>753</v>
      </c>
      <c r="F3024" s="90" t="s">
        <v>861</v>
      </c>
      <c r="G3024" s="137">
        <v>1</v>
      </c>
      <c r="H3024" s="94">
        <v>89.997548964745377</v>
      </c>
      <c r="I3024" s="91"/>
      <c r="J3024" s="165"/>
      <c r="K3024" s="92"/>
      <c r="L3024" s="72" t="str">
        <f t="shared" si="47"/>
        <v>Impayé</v>
      </c>
    </row>
    <row r="3025" spans="1:12" ht="18" x14ac:dyDescent="0.25">
      <c r="A3025" s="90" t="s">
        <v>861</v>
      </c>
      <c r="B3025" s="90">
        <v>10325</v>
      </c>
      <c r="C3025" s="88" t="s">
        <v>1447</v>
      </c>
      <c r="D3025" s="90" t="s">
        <v>17</v>
      </c>
      <c r="E3025" s="90" t="s">
        <v>753</v>
      </c>
      <c r="F3025" s="90" t="s">
        <v>861</v>
      </c>
      <c r="G3025" s="137">
        <v>8</v>
      </c>
      <c r="H3025" s="94">
        <v>719.98039171796302</v>
      </c>
      <c r="I3025" s="91">
        <v>46045</v>
      </c>
      <c r="J3025" s="165">
        <v>0.58958333333333335</v>
      </c>
      <c r="K3025" s="94">
        <v>719.98039171796302</v>
      </c>
      <c r="L3025" s="72" t="str">
        <f t="shared" si="47"/>
        <v>Payé</v>
      </c>
    </row>
    <row r="3026" spans="1:12" ht="18" x14ac:dyDescent="0.25">
      <c r="A3026" s="90" t="s">
        <v>861</v>
      </c>
      <c r="B3026" s="90">
        <v>10327</v>
      </c>
      <c r="C3026" s="88" t="s">
        <v>1446</v>
      </c>
      <c r="D3026" s="90" t="s">
        <v>17</v>
      </c>
      <c r="E3026" s="90" t="s">
        <v>753</v>
      </c>
      <c r="F3026" s="90" t="s">
        <v>861</v>
      </c>
      <c r="G3026" s="137">
        <v>6</v>
      </c>
      <c r="H3026" s="94">
        <v>539.98529378847229</v>
      </c>
      <c r="I3026" s="91">
        <v>46045</v>
      </c>
      <c r="J3026" s="165">
        <v>0.58958333333333335</v>
      </c>
      <c r="K3026" s="141">
        <v>539.98529378847229</v>
      </c>
      <c r="L3026" s="72" t="str">
        <f t="shared" si="47"/>
        <v>Payé</v>
      </c>
    </row>
    <row r="3027" spans="1:12" ht="18" x14ac:dyDescent="0.25">
      <c r="A3027" s="90" t="s">
        <v>861</v>
      </c>
      <c r="B3027" s="90">
        <v>10337</v>
      </c>
      <c r="C3027" s="88" t="s">
        <v>1448</v>
      </c>
      <c r="D3027" s="90" t="s">
        <v>17</v>
      </c>
      <c r="E3027" s="90" t="s">
        <v>753</v>
      </c>
      <c r="F3027" s="90" t="s">
        <v>861</v>
      </c>
      <c r="G3027" s="137">
        <v>3</v>
      </c>
      <c r="H3027" s="94">
        <v>269.99264689423615</v>
      </c>
      <c r="I3027" s="91">
        <v>46048</v>
      </c>
      <c r="J3027" s="165">
        <v>0.59791666666666665</v>
      </c>
      <c r="K3027" s="94">
        <v>269.99264689423615</v>
      </c>
      <c r="L3027" s="72" t="str">
        <f t="shared" si="47"/>
        <v>Payé</v>
      </c>
    </row>
    <row r="3028" spans="1:12" ht="18" x14ac:dyDescent="0.25">
      <c r="A3028" s="90" t="s">
        <v>861</v>
      </c>
      <c r="B3028" s="90">
        <v>10338</v>
      </c>
      <c r="C3028" s="88" t="s">
        <v>1449</v>
      </c>
      <c r="D3028" s="90" t="s">
        <v>17</v>
      </c>
      <c r="E3028" s="90" t="s">
        <v>753</v>
      </c>
      <c r="F3028" s="90" t="s">
        <v>861</v>
      </c>
      <c r="G3028" s="137">
        <v>9</v>
      </c>
      <c r="H3028" s="94">
        <v>809.97794068270844</v>
      </c>
      <c r="I3028" s="91">
        <v>46045</v>
      </c>
      <c r="J3028" s="165">
        <v>0.58958333333333335</v>
      </c>
      <c r="K3028" s="94">
        <v>809.97794068270844</v>
      </c>
      <c r="L3028" s="72" t="str">
        <f t="shared" si="47"/>
        <v>Payé</v>
      </c>
    </row>
    <row r="3029" spans="1:12" ht="18" x14ac:dyDescent="0.25">
      <c r="A3029" s="90" t="s">
        <v>861</v>
      </c>
      <c r="B3029" s="90">
        <v>10340</v>
      </c>
      <c r="C3029" s="88" t="s">
        <v>1476</v>
      </c>
      <c r="D3029" s="90" t="s">
        <v>17</v>
      </c>
      <c r="E3029" s="90" t="s">
        <v>254</v>
      </c>
      <c r="F3029" s="90" t="s">
        <v>861</v>
      </c>
      <c r="G3029" s="137">
        <v>1</v>
      </c>
      <c r="H3029" s="94">
        <v>89.997548964745377</v>
      </c>
      <c r="I3029" s="91">
        <v>46045</v>
      </c>
      <c r="J3029" s="165">
        <v>0.58958333333333335</v>
      </c>
      <c r="K3029" s="94">
        <v>89.997548964745377</v>
      </c>
      <c r="L3029" s="72" t="str">
        <f t="shared" si="47"/>
        <v>Payé</v>
      </c>
    </row>
    <row r="3030" spans="1:12" ht="18" x14ac:dyDescent="0.25">
      <c r="A3030" s="90" t="s">
        <v>861</v>
      </c>
      <c r="B3030" s="90">
        <v>10343</v>
      </c>
      <c r="C3030" s="88" t="s">
        <v>1472</v>
      </c>
      <c r="D3030" s="90" t="s">
        <v>17</v>
      </c>
      <c r="E3030" s="90" t="s">
        <v>49</v>
      </c>
      <c r="F3030" s="90" t="s">
        <v>861</v>
      </c>
      <c r="G3030" s="137">
        <v>6</v>
      </c>
      <c r="H3030" s="94">
        <v>539.98529378847229</v>
      </c>
      <c r="I3030" s="91">
        <v>46044</v>
      </c>
      <c r="J3030" s="165">
        <v>0.63124999999999998</v>
      </c>
      <c r="K3030" s="141">
        <v>539.98529378847229</v>
      </c>
      <c r="L3030" s="72" t="str">
        <f t="shared" si="47"/>
        <v>Payé</v>
      </c>
    </row>
    <row r="3031" spans="1:12" ht="18" x14ac:dyDescent="0.25">
      <c r="A3031" s="90" t="s">
        <v>861</v>
      </c>
      <c r="B3031" s="90">
        <v>10365</v>
      </c>
      <c r="C3031" s="88" t="s">
        <v>1450</v>
      </c>
      <c r="D3031" s="90" t="s">
        <v>17</v>
      </c>
      <c r="E3031" s="90" t="s">
        <v>667</v>
      </c>
      <c r="F3031" s="90" t="s">
        <v>861</v>
      </c>
      <c r="G3031" s="137">
        <v>9</v>
      </c>
      <c r="H3031" s="94">
        <v>809.97794068270844</v>
      </c>
      <c r="I3031" s="91">
        <v>46044</v>
      </c>
      <c r="J3031" s="165">
        <v>0.6</v>
      </c>
      <c r="K3031" s="94">
        <v>809.97794068270844</v>
      </c>
      <c r="L3031" s="72" t="str">
        <f t="shared" si="47"/>
        <v>Payé</v>
      </c>
    </row>
    <row r="3032" spans="1:12" ht="18" x14ac:dyDescent="0.25">
      <c r="A3032" s="90" t="s">
        <v>861</v>
      </c>
      <c r="B3032" s="90">
        <v>10368</v>
      </c>
      <c r="C3032" s="88" t="s">
        <v>1483</v>
      </c>
      <c r="D3032" s="90" t="s">
        <v>17</v>
      </c>
      <c r="E3032" s="90" t="s">
        <v>254</v>
      </c>
      <c r="F3032" s="90" t="s">
        <v>861</v>
      </c>
      <c r="G3032" s="137">
        <v>4</v>
      </c>
      <c r="H3032" s="94">
        <v>359.99019585898151</v>
      </c>
      <c r="I3032" s="91">
        <v>46045</v>
      </c>
      <c r="J3032" s="165">
        <v>0.66875000000000007</v>
      </c>
      <c r="K3032" s="94">
        <v>359.99019585898151</v>
      </c>
      <c r="L3032" s="72" t="str">
        <f t="shared" si="47"/>
        <v>Payé</v>
      </c>
    </row>
    <row r="3033" spans="1:12" ht="18" x14ac:dyDescent="0.25">
      <c r="A3033" s="90" t="s">
        <v>861</v>
      </c>
      <c r="B3033" s="90">
        <v>10373</v>
      </c>
      <c r="C3033" s="88" t="s">
        <v>1422</v>
      </c>
      <c r="D3033" s="90" t="s">
        <v>17</v>
      </c>
      <c r="E3033" s="90" t="s">
        <v>1104</v>
      </c>
      <c r="F3033" s="90" t="s">
        <v>861</v>
      </c>
      <c r="G3033" s="137">
        <v>8</v>
      </c>
      <c r="H3033" s="94">
        <v>719.98039171796302</v>
      </c>
      <c r="I3033" s="91">
        <v>46045</v>
      </c>
      <c r="J3033" s="165">
        <v>0.54583333333333328</v>
      </c>
      <c r="K3033" s="94">
        <v>719.98039171796302</v>
      </c>
      <c r="L3033" s="72" t="str">
        <f t="shared" si="47"/>
        <v>Payé</v>
      </c>
    </row>
    <row r="3034" spans="1:12" ht="18" x14ac:dyDescent="0.25">
      <c r="A3034" s="90" t="s">
        <v>861</v>
      </c>
      <c r="B3034" s="90">
        <v>10374</v>
      </c>
      <c r="C3034" s="88" t="s">
        <v>1423</v>
      </c>
      <c r="D3034" s="90" t="s">
        <v>17</v>
      </c>
      <c r="E3034" s="90" t="s">
        <v>1104</v>
      </c>
      <c r="F3034" s="90" t="s">
        <v>861</v>
      </c>
      <c r="G3034" s="137">
        <v>13</v>
      </c>
      <c r="H3034" s="94">
        <v>1169.96813654169</v>
      </c>
      <c r="I3034" s="91">
        <v>46045</v>
      </c>
      <c r="J3034" s="165">
        <v>0.54583333333333328</v>
      </c>
      <c r="K3034" s="94">
        <v>1169.96813654169</v>
      </c>
      <c r="L3034" s="72" t="str">
        <f t="shared" si="47"/>
        <v>Payé</v>
      </c>
    </row>
    <row r="3035" spans="1:12" ht="18" x14ac:dyDescent="0.25">
      <c r="A3035" s="90" t="s">
        <v>861</v>
      </c>
      <c r="B3035" s="90">
        <v>10380</v>
      </c>
      <c r="C3035" s="88" t="s">
        <v>1544</v>
      </c>
      <c r="D3035" s="90" t="s">
        <v>17</v>
      </c>
      <c r="E3035" s="90" t="s">
        <v>753</v>
      </c>
      <c r="F3035" s="90" t="s">
        <v>861</v>
      </c>
      <c r="G3035" s="137">
        <v>1</v>
      </c>
      <c r="H3035" s="94">
        <v>89.997548964745377</v>
      </c>
      <c r="I3035" s="91"/>
      <c r="J3035" s="165"/>
      <c r="K3035" s="92"/>
      <c r="L3035" s="72" t="str">
        <f t="shared" si="47"/>
        <v>Impayé</v>
      </c>
    </row>
    <row r="3036" spans="1:12" ht="18" x14ac:dyDescent="0.25">
      <c r="A3036" s="90" t="s">
        <v>861</v>
      </c>
      <c r="B3036" s="90">
        <v>10381</v>
      </c>
      <c r="C3036" s="88" t="s">
        <v>1545</v>
      </c>
      <c r="D3036" s="90" t="s">
        <v>17</v>
      </c>
      <c r="E3036" s="90" t="s">
        <v>1104</v>
      </c>
      <c r="F3036" s="90" t="s">
        <v>861</v>
      </c>
      <c r="G3036" s="137">
        <v>11</v>
      </c>
      <c r="H3036" s="94">
        <v>989.97303861219928</v>
      </c>
      <c r="I3036" s="91">
        <v>46045</v>
      </c>
      <c r="J3036" s="165">
        <v>0.54583333333333328</v>
      </c>
      <c r="K3036" s="94">
        <v>989.97303861219928</v>
      </c>
      <c r="L3036" s="72" t="str">
        <f t="shared" si="47"/>
        <v>Payé</v>
      </c>
    </row>
    <row r="3037" spans="1:12" ht="18" x14ac:dyDescent="0.25">
      <c r="A3037" s="90" t="s">
        <v>861</v>
      </c>
      <c r="B3037" s="90">
        <v>10382</v>
      </c>
      <c r="C3037" s="88" t="s">
        <v>1546</v>
      </c>
      <c r="D3037" s="90" t="s">
        <v>17</v>
      </c>
      <c r="E3037" s="90" t="s">
        <v>649</v>
      </c>
      <c r="F3037" s="90" t="s">
        <v>861</v>
      </c>
      <c r="G3037" s="137">
        <v>5</v>
      </c>
      <c r="H3037" s="94">
        <v>449.98774482372687</v>
      </c>
      <c r="I3037" s="91">
        <v>46044</v>
      </c>
      <c r="J3037" s="165">
        <v>0.7090277777777777</v>
      </c>
      <c r="K3037" s="94">
        <v>449.98774482372687</v>
      </c>
      <c r="L3037" s="72" t="str">
        <f t="shared" si="47"/>
        <v>Payé</v>
      </c>
    </row>
    <row r="3038" spans="1:12" ht="18" x14ac:dyDescent="0.25">
      <c r="A3038" s="90" t="s">
        <v>861</v>
      </c>
      <c r="B3038" s="90">
        <v>10383</v>
      </c>
      <c r="C3038" s="88" t="s">
        <v>1547</v>
      </c>
      <c r="D3038" s="90" t="s">
        <v>17</v>
      </c>
      <c r="E3038" s="90" t="s">
        <v>649</v>
      </c>
      <c r="F3038" s="90" t="s">
        <v>861</v>
      </c>
      <c r="G3038" s="137">
        <v>7</v>
      </c>
      <c r="H3038" s="94">
        <v>629.98284275321771</v>
      </c>
      <c r="I3038" s="91">
        <v>46044</v>
      </c>
      <c r="J3038" s="165">
        <v>0.7090277777777777</v>
      </c>
      <c r="K3038" s="94">
        <v>629.98284275321771</v>
      </c>
      <c r="L3038" s="72" t="str">
        <f t="shared" ref="L3038:L3101" si="48">IF(ISBLANK(H3038),"",IF(H3038=K3038,"Payé","Impayé"))</f>
        <v>Payé</v>
      </c>
    </row>
    <row r="3039" spans="1:12" ht="18" x14ac:dyDescent="0.25">
      <c r="A3039" s="90" t="s">
        <v>861</v>
      </c>
      <c r="B3039" s="90">
        <v>10384</v>
      </c>
      <c r="C3039" s="88" t="s">
        <v>1548</v>
      </c>
      <c r="D3039" s="90" t="s">
        <v>17</v>
      </c>
      <c r="E3039" s="90" t="s">
        <v>753</v>
      </c>
      <c r="F3039" s="90" t="s">
        <v>861</v>
      </c>
      <c r="G3039" s="137">
        <v>6</v>
      </c>
      <c r="H3039" s="94">
        <v>539.98529378847229</v>
      </c>
      <c r="I3039" s="87">
        <v>46069</v>
      </c>
      <c r="J3039" s="93">
        <v>0.57291666666666663</v>
      </c>
      <c r="K3039" s="94">
        <v>539.98529378847229</v>
      </c>
      <c r="L3039" s="72" t="str">
        <f t="shared" si="48"/>
        <v>Payé</v>
      </c>
    </row>
    <row r="3040" spans="1:12" ht="18" x14ac:dyDescent="0.25">
      <c r="A3040" s="90" t="s">
        <v>861</v>
      </c>
      <c r="B3040" s="90">
        <v>10386</v>
      </c>
      <c r="C3040" s="88" t="s">
        <v>1550</v>
      </c>
      <c r="D3040" s="90" t="s">
        <v>17</v>
      </c>
      <c r="E3040" s="90" t="s">
        <v>1187</v>
      </c>
      <c r="F3040" s="90" t="s">
        <v>861</v>
      </c>
      <c r="G3040" s="137">
        <v>10</v>
      </c>
      <c r="H3040" s="94">
        <v>919.97548964745386</v>
      </c>
      <c r="I3040" s="91">
        <v>46044</v>
      </c>
      <c r="J3040" s="165">
        <v>0.72291666666666676</v>
      </c>
      <c r="K3040" s="94">
        <v>919.97548964745386</v>
      </c>
      <c r="L3040" s="72" t="str">
        <f t="shared" si="48"/>
        <v>Payé</v>
      </c>
    </row>
    <row r="3041" spans="1:12" ht="18" x14ac:dyDescent="0.25">
      <c r="A3041" s="90" t="s">
        <v>861</v>
      </c>
      <c r="B3041" s="90">
        <v>10387</v>
      </c>
      <c r="C3041" s="88" t="s">
        <v>1551</v>
      </c>
      <c r="D3041" s="90" t="s">
        <v>17</v>
      </c>
      <c r="E3041" s="90" t="s">
        <v>649</v>
      </c>
      <c r="F3041" s="90" t="s">
        <v>861</v>
      </c>
      <c r="G3041" s="137">
        <v>3</v>
      </c>
      <c r="H3041" s="94">
        <v>269.99264689423615</v>
      </c>
      <c r="I3041" s="91">
        <v>46044</v>
      </c>
      <c r="J3041" s="165">
        <v>0.7090277777777777</v>
      </c>
      <c r="K3041" s="94">
        <v>269.99264689423615</v>
      </c>
      <c r="L3041" s="72" t="str">
        <f t="shared" si="48"/>
        <v>Payé</v>
      </c>
    </row>
    <row r="3042" spans="1:12" ht="18" x14ac:dyDescent="0.25">
      <c r="A3042" s="90" t="s">
        <v>861</v>
      </c>
      <c r="B3042" s="90">
        <v>10389</v>
      </c>
      <c r="C3042" s="88" t="s">
        <v>1553</v>
      </c>
      <c r="D3042" s="90" t="s">
        <v>17</v>
      </c>
      <c r="E3042" s="90" t="s">
        <v>254</v>
      </c>
      <c r="F3042" s="90" t="s">
        <v>861</v>
      </c>
      <c r="G3042" s="137">
        <v>7</v>
      </c>
      <c r="H3042" s="94">
        <v>629.98284275321771</v>
      </c>
      <c r="I3042" s="91">
        <v>46045</v>
      </c>
      <c r="J3042" s="165">
        <v>0.66875000000000007</v>
      </c>
      <c r="K3042" s="94">
        <v>629.98284275321771</v>
      </c>
      <c r="L3042" s="72" t="str">
        <f t="shared" si="48"/>
        <v>Payé</v>
      </c>
    </row>
    <row r="3043" spans="1:12" ht="18" x14ac:dyDescent="0.25">
      <c r="A3043" s="90" t="s">
        <v>861</v>
      </c>
      <c r="B3043" s="90">
        <v>10390</v>
      </c>
      <c r="C3043" s="88" t="s">
        <v>1554</v>
      </c>
      <c r="D3043" s="90" t="s">
        <v>17</v>
      </c>
      <c r="E3043" s="90" t="s">
        <v>649</v>
      </c>
      <c r="F3043" s="90" t="s">
        <v>861</v>
      </c>
      <c r="G3043" s="137">
        <v>9</v>
      </c>
      <c r="H3043" s="94">
        <v>809.97794068270844</v>
      </c>
      <c r="I3043" s="91">
        <v>46044</v>
      </c>
      <c r="J3043" s="165">
        <v>0.7090277777777777</v>
      </c>
      <c r="K3043" s="94">
        <v>809.97794068270844</v>
      </c>
      <c r="L3043" s="72" t="str">
        <f t="shared" si="48"/>
        <v>Payé</v>
      </c>
    </row>
    <row r="3044" spans="1:12" ht="18" x14ac:dyDescent="0.25">
      <c r="A3044" s="90" t="s">
        <v>861</v>
      </c>
      <c r="B3044" s="90">
        <v>10391</v>
      </c>
      <c r="C3044" s="88" t="s">
        <v>1555</v>
      </c>
      <c r="D3044" s="90" t="s">
        <v>17</v>
      </c>
      <c r="E3044" s="90" t="s">
        <v>753</v>
      </c>
      <c r="F3044" s="90" t="s">
        <v>861</v>
      </c>
      <c r="G3044" s="137">
        <v>8</v>
      </c>
      <c r="H3044" s="94">
        <v>719.98039171796302</v>
      </c>
      <c r="I3044" s="91">
        <v>46045</v>
      </c>
      <c r="J3044" s="165">
        <v>0.64444444444444449</v>
      </c>
      <c r="K3044" s="94">
        <v>719.98039171796302</v>
      </c>
      <c r="L3044" s="72" t="str">
        <f t="shared" si="48"/>
        <v>Payé</v>
      </c>
    </row>
    <row r="3045" spans="1:12" ht="18" x14ac:dyDescent="0.25">
      <c r="A3045" s="90" t="s">
        <v>861</v>
      </c>
      <c r="B3045" s="90">
        <v>10392</v>
      </c>
      <c r="C3045" s="88" t="s">
        <v>1565</v>
      </c>
      <c r="D3045" s="90" t="s">
        <v>17</v>
      </c>
      <c r="E3045" s="90" t="s">
        <v>753</v>
      </c>
      <c r="F3045" s="90" t="s">
        <v>861</v>
      </c>
      <c r="G3045" s="137">
        <v>11</v>
      </c>
      <c r="H3045" s="94">
        <v>989.97303861219928</v>
      </c>
      <c r="I3045" s="91">
        <v>46045</v>
      </c>
      <c r="J3045" s="165">
        <v>0.58958333333333335</v>
      </c>
      <c r="K3045" s="94">
        <v>989.97303861219928</v>
      </c>
      <c r="L3045" s="72" t="str">
        <f t="shared" si="48"/>
        <v>Payé</v>
      </c>
    </row>
    <row r="3046" spans="1:12" ht="18" x14ac:dyDescent="0.25">
      <c r="A3046" s="90" t="s">
        <v>861</v>
      </c>
      <c r="B3046" s="90">
        <v>10393</v>
      </c>
      <c r="C3046" s="88" t="s">
        <v>1556</v>
      </c>
      <c r="D3046" s="90" t="s">
        <v>17</v>
      </c>
      <c r="E3046" s="90" t="s">
        <v>254</v>
      </c>
      <c r="F3046" s="90" t="s">
        <v>861</v>
      </c>
      <c r="G3046" s="137">
        <v>4</v>
      </c>
      <c r="H3046" s="94">
        <v>359.99019585898151</v>
      </c>
      <c r="I3046" s="91">
        <v>46045</v>
      </c>
      <c r="J3046" s="165">
        <v>0.66875000000000007</v>
      </c>
      <c r="K3046" s="94">
        <v>359.99019585898151</v>
      </c>
      <c r="L3046" s="72" t="str">
        <f t="shared" si="48"/>
        <v>Payé</v>
      </c>
    </row>
    <row r="3047" spans="1:12" ht="18" x14ac:dyDescent="0.25">
      <c r="A3047" s="90" t="s">
        <v>861</v>
      </c>
      <c r="B3047" s="90">
        <v>10394</v>
      </c>
      <c r="C3047" s="88" t="s">
        <v>1566</v>
      </c>
      <c r="D3047" s="90" t="s">
        <v>17</v>
      </c>
      <c r="E3047" s="90" t="s">
        <v>254</v>
      </c>
      <c r="F3047" s="90" t="s">
        <v>861</v>
      </c>
      <c r="G3047" s="137">
        <v>4</v>
      </c>
      <c r="H3047" s="94">
        <v>359.99019585898151</v>
      </c>
      <c r="I3047" s="91">
        <v>46048</v>
      </c>
      <c r="J3047" s="165">
        <v>0.47500000000000003</v>
      </c>
      <c r="K3047" s="94">
        <v>359.99019585898151</v>
      </c>
      <c r="L3047" s="72" t="str">
        <f t="shared" si="48"/>
        <v>Payé</v>
      </c>
    </row>
    <row r="3048" spans="1:12" ht="18" x14ac:dyDescent="0.25">
      <c r="A3048" s="90" t="s">
        <v>861</v>
      </c>
      <c r="B3048" s="90">
        <v>10395</v>
      </c>
      <c r="C3048" s="88" t="s">
        <v>1567</v>
      </c>
      <c r="D3048" s="90" t="s">
        <v>17</v>
      </c>
      <c r="E3048" s="90" t="s">
        <v>254</v>
      </c>
      <c r="F3048" s="90" t="s">
        <v>861</v>
      </c>
      <c r="G3048" s="137">
        <v>4</v>
      </c>
      <c r="H3048" s="94">
        <v>359.99019585898151</v>
      </c>
      <c r="I3048" s="91">
        <v>46045</v>
      </c>
      <c r="J3048" s="165">
        <v>0.66875000000000007</v>
      </c>
      <c r="K3048" s="94">
        <v>359.99019585898151</v>
      </c>
      <c r="L3048" s="72" t="str">
        <f t="shared" si="48"/>
        <v>Payé</v>
      </c>
    </row>
    <row r="3049" spans="1:12" ht="18" x14ac:dyDescent="0.25">
      <c r="A3049" s="90" t="s">
        <v>861</v>
      </c>
      <c r="B3049" s="90">
        <v>10397</v>
      </c>
      <c r="C3049" s="88" t="s">
        <v>1558</v>
      </c>
      <c r="D3049" s="90" t="s">
        <v>17</v>
      </c>
      <c r="E3049" s="90" t="s">
        <v>753</v>
      </c>
      <c r="F3049" s="90" t="s">
        <v>861</v>
      </c>
      <c r="G3049" s="137">
        <v>7</v>
      </c>
      <c r="H3049" s="94">
        <v>629.98284275321771</v>
      </c>
      <c r="I3049" s="91">
        <v>46045</v>
      </c>
      <c r="J3049" s="165">
        <v>0.58958333333333335</v>
      </c>
      <c r="K3049" s="94">
        <v>629.98284275321771</v>
      </c>
      <c r="L3049" s="72" t="str">
        <f t="shared" si="48"/>
        <v>Payé</v>
      </c>
    </row>
    <row r="3050" spans="1:12" ht="18" x14ac:dyDescent="0.25">
      <c r="A3050" s="90" t="s">
        <v>861</v>
      </c>
      <c r="B3050" s="90">
        <v>10400</v>
      </c>
      <c r="C3050" s="88" t="s">
        <v>1274</v>
      </c>
      <c r="D3050" s="90" t="s">
        <v>17</v>
      </c>
      <c r="E3050" s="90" t="s">
        <v>254</v>
      </c>
      <c r="F3050" s="90" t="s">
        <v>861</v>
      </c>
      <c r="G3050" s="137">
        <v>4</v>
      </c>
      <c r="H3050" s="94">
        <v>359.99019585898151</v>
      </c>
      <c r="I3050" s="91">
        <v>46045</v>
      </c>
      <c r="J3050" s="165">
        <v>0.66875000000000007</v>
      </c>
      <c r="K3050" s="94">
        <v>359.99019585898151</v>
      </c>
      <c r="L3050" s="72" t="str">
        <f t="shared" si="48"/>
        <v>Payé</v>
      </c>
    </row>
    <row r="3051" spans="1:12" ht="18" x14ac:dyDescent="0.25">
      <c r="A3051" s="90" t="s">
        <v>861</v>
      </c>
      <c r="B3051" s="90">
        <v>10401</v>
      </c>
      <c r="C3051" s="88" t="s">
        <v>1568</v>
      </c>
      <c r="D3051" s="90" t="s">
        <v>17</v>
      </c>
      <c r="E3051" s="90" t="s">
        <v>667</v>
      </c>
      <c r="F3051" s="90" t="s">
        <v>861</v>
      </c>
      <c r="G3051" s="137">
        <v>8</v>
      </c>
      <c r="H3051" s="94">
        <v>719.98039171796302</v>
      </c>
      <c r="I3051" s="91">
        <v>46044</v>
      </c>
      <c r="J3051" s="165">
        <v>0.6</v>
      </c>
      <c r="K3051" s="94">
        <v>719.98039171796302</v>
      </c>
      <c r="L3051" s="72" t="str">
        <f t="shared" si="48"/>
        <v>Payé</v>
      </c>
    </row>
    <row r="3052" spans="1:12" ht="18" x14ac:dyDescent="0.25">
      <c r="A3052" s="90" t="s">
        <v>861</v>
      </c>
      <c r="B3052" s="90">
        <v>10402</v>
      </c>
      <c r="C3052" s="88" t="s">
        <v>1569</v>
      </c>
      <c r="D3052" s="90" t="s">
        <v>17</v>
      </c>
      <c r="E3052" s="90" t="s">
        <v>649</v>
      </c>
      <c r="F3052" s="90" t="s">
        <v>861</v>
      </c>
      <c r="G3052" s="137">
        <v>7</v>
      </c>
      <c r="H3052" s="94">
        <v>629.98284275321771</v>
      </c>
      <c r="I3052" s="91">
        <v>46044</v>
      </c>
      <c r="J3052" s="165">
        <v>0.7090277777777777</v>
      </c>
      <c r="K3052" s="94">
        <v>629.98284275321771</v>
      </c>
      <c r="L3052" s="72" t="str">
        <f t="shared" si="48"/>
        <v>Payé</v>
      </c>
    </row>
    <row r="3053" spans="1:12" ht="18" x14ac:dyDescent="0.25">
      <c r="A3053" s="90" t="s">
        <v>861</v>
      </c>
      <c r="B3053" s="90">
        <v>10403</v>
      </c>
      <c r="C3053" s="88" t="s">
        <v>1570</v>
      </c>
      <c r="D3053" s="90" t="s">
        <v>17</v>
      </c>
      <c r="E3053" s="90" t="s">
        <v>254</v>
      </c>
      <c r="F3053" s="90" t="s">
        <v>861</v>
      </c>
      <c r="G3053" s="137">
        <v>6</v>
      </c>
      <c r="H3053" s="94">
        <v>539.98529378847229</v>
      </c>
      <c r="I3053" s="91">
        <v>46045</v>
      </c>
      <c r="J3053" s="165">
        <v>0.66875000000000007</v>
      </c>
      <c r="K3053" s="94">
        <v>539.98529378847229</v>
      </c>
      <c r="L3053" s="72" t="str">
        <f t="shared" si="48"/>
        <v>Payé</v>
      </c>
    </row>
    <row r="3054" spans="1:12" ht="18" x14ac:dyDescent="0.25">
      <c r="A3054" s="90" t="s">
        <v>861</v>
      </c>
      <c r="B3054" s="90">
        <v>10404</v>
      </c>
      <c r="C3054" s="88" t="s">
        <v>1415</v>
      </c>
      <c r="D3054" s="90" t="s">
        <v>17</v>
      </c>
      <c r="E3054" s="90" t="s">
        <v>667</v>
      </c>
      <c r="F3054" s="90" t="s">
        <v>861</v>
      </c>
      <c r="G3054" s="137">
        <v>6</v>
      </c>
      <c r="H3054" s="94">
        <v>539.98529378847229</v>
      </c>
      <c r="I3054" s="91">
        <v>46044</v>
      </c>
      <c r="J3054" s="165">
        <v>0.6</v>
      </c>
      <c r="K3054" s="94">
        <v>539.98529378847229</v>
      </c>
      <c r="L3054" s="72" t="str">
        <f t="shared" si="48"/>
        <v>Payé</v>
      </c>
    </row>
    <row r="3055" spans="1:12" ht="18" x14ac:dyDescent="0.25">
      <c r="A3055" s="90" t="s">
        <v>861</v>
      </c>
      <c r="B3055" s="90">
        <v>10405</v>
      </c>
      <c r="C3055" s="88" t="s">
        <v>1571</v>
      </c>
      <c r="D3055" s="90" t="s">
        <v>17</v>
      </c>
      <c r="E3055" s="90" t="s">
        <v>753</v>
      </c>
      <c r="F3055" s="90" t="s">
        <v>861</v>
      </c>
      <c r="G3055" s="137">
        <v>10</v>
      </c>
      <c r="H3055" s="94">
        <v>899.97548964745374</v>
      </c>
      <c r="I3055" s="91">
        <v>46045</v>
      </c>
      <c r="J3055" s="165">
        <v>0.58958333333333335</v>
      </c>
      <c r="K3055" s="94">
        <v>899.97548964745374</v>
      </c>
      <c r="L3055" s="72" t="str">
        <f t="shared" si="48"/>
        <v>Payé</v>
      </c>
    </row>
    <row r="3056" spans="1:12" ht="18" x14ac:dyDescent="0.25">
      <c r="A3056" s="90" t="s">
        <v>861</v>
      </c>
      <c r="B3056" s="90">
        <v>10407</v>
      </c>
      <c r="C3056" s="88" t="s">
        <v>1572</v>
      </c>
      <c r="D3056" s="90" t="s">
        <v>17</v>
      </c>
      <c r="E3056" s="90" t="s">
        <v>753</v>
      </c>
      <c r="F3056" s="90" t="s">
        <v>861</v>
      </c>
      <c r="G3056" s="137">
        <v>10</v>
      </c>
      <c r="H3056" s="94">
        <v>899.97548964745374</v>
      </c>
      <c r="I3056" s="91">
        <v>46045</v>
      </c>
      <c r="J3056" s="165">
        <v>0.58958333333333335</v>
      </c>
      <c r="K3056" s="94">
        <v>899.97548964745374</v>
      </c>
      <c r="L3056" s="72" t="str">
        <f t="shared" si="48"/>
        <v>Payé</v>
      </c>
    </row>
    <row r="3057" spans="1:14" ht="18" x14ac:dyDescent="0.25">
      <c r="A3057" s="90" t="s">
        <v>861</v>
      </c>
      <c r="B3057" s="90">
        <v>10409</v>
      </c>
      <c r="C3057" s="88" t="s">
        <v>1573</v>
      </c>
      <c r="D3057" s="90" t="s">
        <v>17</v>
      </c>
      <c r="E3057" s="90" t="s">
        <v>649</v>
      </c>
      <c r="F3057" s="90" t="s">
        <v>861</v>
      </c>
      <c r="G3057" s="137">
        <v>1</v>
      </c>
      <c r="H3057" s="94">
        <v>89.997548964745377</v>
      </c>
      <c r="I3057" s="91">
        <v>46044</v>
      </c>
      <c r="J3057" s="165">
        <v>0.7090277777777777</v>
      </c>
      <c r="K3057" s="94">
        <v>89.997548964745377</v>
      </c>
      <c r="L3057" s="72" t="str">
        <f t="shared" si="48"/>
        <v>Payé</v>
      </c>
    </row>
    <row r="3058" spans="1:14" ht="18" x14ac:dyDescent="0.25">
      <c r="A3058" s="90" t="s">
        <v>861</v>
      </c>
      <c r="B3058" s="90">
        <v>10410</v>
      </c>
      <c r="C3058" s="88" t="s">
        <v>1574</v>
      </c>
      <c r="D3058" s="90" t="s">
        <v>17</v>
      </c>
      <c r="E3058" s="90" t="s">
        <v>649</v>
      </c>
      <c r="F3058" s="90" t="s">
        <v>861</v>
      </c>
      <c r="G3058" s="137">
        <v>1</v>
      </c>
      <c r="H3058" s="94">
        <v>89.997548964745377</v>
      </c>
      <c r="I3058" s="91">
        <v>46044</v>
      </c>
      <c r="J3058" s="165">
        <v>0.7090277777777777</v>
      </c>
      <c r="K3058" s="94">
        <v>89.997548964745377</v>
      </c>
      <c r="L3058" s="72" t="str">
        <f t="shared" si="48"/>
        <v>Payé</v>
      </c>
    </row>
    <row r="3059" spans="1:14" ht="18" x14ac:dyDescent="0.25">
      <c r="A3059" s="90" t="s">
        <v>861</v>
      </c>
      <c r="B3059" s="90">
        <v>10412</v>
      </c>
      <c r="C3059" s="88" t="s">
        <v>1575</v>
      </c>
      <c r="D3059" s="90" t="s">
        <v>17</v>
      </c>
      <c r="E3059" s="90" t="s">
        <v>667</v>
      </c>
      <c r="F3059" s="90" t="s">
        <v>861</v>
      </c>
      <c r="G3059" s="137">
        <v>5</v>
      </c>
      <c r="H3059" s="94">
        <v>449.98774482372687</v>
      </c>
      <c r="I3059" s="91">
        <v>46044</v>
      </c>
      <c r="J3059" s="165">
        <v>0.6</v>
      </c>
      <c r="K3059" s="94">
        <v>449.98774482372687</v>
      </c>
      <c r="L3059" s="72" t="str">
        <f t="shared" si="48"/>
        <v>Payé</v>
      </c>
    </row>
    <row r="3060" spans="1:14" ht="18" x14ac:dyDescent="0.25">
      <c r="A3060" s="90" t="s">
        <v>861</v>
      </c>
      <c r="B3060" s="90">
        <v>10413</v>
      </c>
      <c r="C3060" s="88" t="s">
        <v>1576</v>
      </c>
      <c r="D3060" s="90" t="s">
        <v>17</v>
      </c>
      <c r="E3060" s="90" t="s">
        <v>753</v>
      </c>
      <c r="F3060" s="90" t="s">
        <v>861</v>
      </c>
      <c r="G3060" s="137">
        <v>7</v>
      </c>
      <c r="H3060" s="94">
        <v>629.98284275321771</v>
      </c>
      <c r="I3060" s="91">
        <v>46045</v>
      </c>
      <c r="J3060" s="165">
        <v>0.58958333333333335</v>
      </c>
      <c r="K3060" s="94">
        <v>629.98284275321771</v>
      </c>
      <c r="L3060" s="72" t="str">
        <f t="shared" si="48"/>
        <v>Payé</v>
      </c>
    </row>
    <row r="3061" spans="1:14" ht="18" x14ac:dyDescent="0.25">
      <c r="A3061" s="90" t="s">
        <v>861</v>
      </c>
      <c r="B3061" s="90">
        <v>10414</v>
      </c>
      <c r="C3061" s="88" t="s">
        <v>1577</v>
      </c>
      <c r="D3061" s="90" t="s">
        <v>17</v>
      </c>
      <c r="E3061" s="90" t="s">
        <v>649</v>
      </c>
      <c r="F3061" s="90" t="s">
        <v>861</v>
      </c>
      <c r="G3061" s="137">
        <v>2</v>
      </c>
      <c r="H3061" s="94">
        <v>179.99509792949075</v>
      </c>
      <c r="I3061" s="91">
        <v>46044</v>
      </c>
      <c r="J3061" s="165">
        <v>0.7090277777777777</v>
      </c>
      <c r="K3061" s="94">
        <v>179.99509792949075</v>
      </c>
      <c r="L3061" s="72" t="str">
        <f t="shared" si="48"/>
        <v>Payé</v>
      </c>
      <c r="N3061" s="161">
        <v>71</v>
      </c>
    </row>
    <row r="3062" spans="1:14" ht="18" x14ac:dyDescent="0.25">
      <c r="A3062" s="90" t="s">
        <v>861</v>
      </c>
      <c r="B3062" s="90">
        <v>10415</v>
      </c>
      <c r="C3062" s="88" t="s">
        <v>1578</v>
      </c>
      <c r="D3062" s="90" t="s">
        <v>17</v>
      </c>
      <c r="E3062" s="90" t="s">
        <v>649</v>
      </c>
      <c r="F3062" s="90" t="s">
        <v>861</v>
      </c>
      <c r="G3062" s="137">
        <v>5</v>
      </c>
      <c r="H3062" s="94">
        <v>449.98774482372687</v>
      </c>
      <c r="I3062" s="91">
        <v>46044</v>
      </c>
      <c r="J3062" s="165">
        <v>0.7090277777777777</v>
      </c>
      <c r="K3062" s="94">
        <v>449.98774482372687</v>
      </c>
      <c r="L3062" s="72" t="str">
        <f t="shared" si="48"/>
        <v>Payé</v>
      </c>
    </row>
    <row r="3063" spans="1:14" ht="18" x14ac:dyDescent="0.25">
      <c r="A3063" s="90" t="s">
        <v>861</v>
      </c>
      <c r="B3063" s="90">
        <v>10416</v>
      </c>
      <c r="C3063" s="88" t="s">
        <v>1579</v>
      </c>
      <c r="D3063" s="90" t="s">
        <v>17</v>
      </c>
      <c r="E3063" s="90" t="s">
        <v>753</v>
      </c>
      <c r="F3063" s="90" t="s">
        <v>861</v>
      </c>
      <c r="G3063" s="137">
        <v>6</v>
      </c>
      <c r="H3063" s="94">
        <v>539.98529378847229</v>
      </c>
      <c r="I3063" s="91">
        <v>46045</v>
      </c>
      <c r="J3063" s="165">
        <v>0.58958333333333335</v>
      </c>
      <c r="K3063" s="94">
        <v>539.98529378847229</v>
      </c>
      <c r="L3063" s="72" t="str">
        <f t="shared" si="48"/>
        <v>Payé</v>
      </c>
    </row>
    <row r="3064" spans="1:14" ht="18" x14ac:dyDescent="0.25">
      <c r="A3064" s="90" t="s">
        <v>861</v>
      </c>
      <c r="B3064" s="90">
        <v>10420</v>
      </c>
      <c r="C3064" s="88" t="s">
        <v>1580</v>
      </c>
      <c r="D3064" s="90" t="s">
        <v>17</v>
      </c>
      <c r="E3064" s="90" t="s">
        <v>1525</v>
      </c>
      <c r="F3064" s="90" t="s">
        <v>861</v>
      </c>
      <c r="G3064" s="137">
        <v>1</v>
      </c>
      <c r="H3064" s="94">
        <v>89.997548964745377</v>
      </c>
      <c r="I3064" s="91"/>
      <c r="J3064" s="165"/>
      <c r="K3064" s="92"/>
      <c r="L3064" s="72" t="str">
        <f t="shared" si="48"/>
        <v>Impayé</v>
      </c>
    </row>
    <row r="3065" spans="1:14" ht="18" x14ac:dyDescent="0.25">
      <c r="A3065" s="90" t="s">
        <v>861</v>
      </c>
      <c r="B3065" s="90">
        <v>10421</v>
      </c>
      <c r="C3065" s="88" t="s">
        <v>1581</v>
      </c>
      <c r="D3065" s="90" t="s">
        <v>17</v>
      </c>
      <c r="E3065" s="90" t="s">
        <v>1525</v>
      </c>
      <c r="F3065" s="90" t="s">
        <v>861</v>
      </c>
      <c r="G3065" s="137">
        <v>1</v>
      </c>
      <c r="H3065" s="94">
        <v>89.997548964745377</v>
      </c>
      <c r="I3065" s="91"/>
      <c r="J3065" s="165"/>
      <c r="K3065" s="92"/>
      <c r="L3065" s="72" t="str">
        <f t="shared" si="48"/>
        <v>Impayé</v>
      </c>
    </row>
    <row r="3066" spans="1:14" ht="18" x14ac:dyDescent="0.25">
      <c r="A3066" s="90" t="s">
        <v>861</v>
      </c>
      <c r="B3066" s="90">
        <v>10430</v>
      </c>
      <c r="C3066" s="88" t="s">
        <v>1582</v>
      </c>
      <c r="D3066" s="90" t="s">
        <v>17</v>
      </c>
      <c r="E3066" s="90" t="s">
        <v>649</v>
      </c>
      <c r="F3066" s="90" t="s">
        <v>861</v>
      </c>
      <c r="G3066" s="137">
        <v>1</v>
      </c>
      <c r="H3066" s="94">
        <v>89.997548964745377</v>
      </c>
      <c r="I3066" s="91">
        <v>46044</v>
      </c>
      <c r="J3066" s="165">
        <v>0.7090277777777777</v>
      </c>
      <c r="K3066" s="94">
        <v>89.997548964745377</v>
      </c>
      <c r="L3066" s="72" t="str">
        <f t="shared" si="48"/>
        <v>Payé</v>
      </c>
    </row>
    <row r="3067" spans="1:14" ht="18" x14ac:dyDescent="0.25">
      <c r="A3067" s="90" t="s">
        <v>861</v>
      </c>
      <c r="B3067" s="90">
        <v>30417</v>
      </c>
      <c r="C3067" s="88" t="s">
        <v>1583</v>
      </c>
      <c r="D3067" s="90" t="s">
        <v>17</v>
      </c>
      <c r="E3067" s="90" t="s">
        <v>649</v>
      </c>
      <c r="F3067" s="90" t="s">
        <v>861</v>
      </c>
      <c r="G3067" s="137">
        <v>5</v>
      </c>
      <c r="H3067" s="94">
        <v>449.98774482372687</v>
      </c>
      <c r="I3067" s="91">
        <v>46044</v>
      </c>
      <c r="J3067" s="165">
        <v>0.7090277777777777</v>
      </c>
      <c r="K3067" s="94">
        <v>449.98774482372687</v>
      </c>
      <c r="L3067" s="72" t="str">
        <f t="shared" si="48"/>
        <v>Payé</v>
      </c>
    </row>
    <row r="3068" spans="1:14" ht="18" x14ac:dyDescent="0.25">
      <c r="A3068" s="90" t="s">
        <v>861</v>
      </c>
      <c r="B3068" s="90"/>
      <c r="C3068" s="88" t="s">
        <v>585</v>
      </c>
      <c r="D3068" s="89" t="s">
        <v>910</v>
      </c>
      <c r="E3068" s="90" t="s">
        <v>123</v>
      </c>
      <c r="F3068" s="90" t="s">
        <v>861</v>
      </c>
      <c r="G3068" s="95">
        <v>109</v>
      </c>
      <c r="H3068" s="92">
        <v>3270</v>
      </c>
      <c r="I3068" s="91">
        <v>46050</v>
      </c>
      <c r="J3068" s="165">
        <v>0.50694444444444442</v>
      </c>
      <c r="K3068" s="92">
        <v>3270</v>
      </c>
      <c r="L3068" s="72" t="str">
        <f t="shared" si="48"/>
        <v>Payé</v>
      </c>
    </row>
    <row r="3069" spans="1:14" ht="18" x14ac:dyDescent="0.25">
      <c r="A3069" s="90" t="s">
        <v>861</v>
      </c>
      <c r="B3069" s="90"/>
      <c r="C3069" s="88" t="s">
        <v>406</v>
      </c>
      <c r="D3069" s="89" t="s">
        <v>910</v>
      </c>
      <c r="E3069" s="90" t="s">
        <v>1191</v>
      </c>
      <c r="F3069" s="90" t="s">
        <v>861</v>
      </c>
      <c r="G3069" s="95">
        <v>82</v>
      </c>
      <c r="H3069" s="92">
        <v>2460</v>
      </c>
      <c r="I3069" s="91">
        <v>46045</v>
      </c>
      <c r="J3069" s="165">
        <v>0.54583333333333328</v>
      </c>
      <c r="K3069" s="92">
        <v>2460</v>
      </c>
      <c r="L3069" s="72" t="str">
        <f t="shared" si="48"/>
        <v>Payé</v>
      </c>
    </row>
    <row r="3070" spans="1:14" ht="18" x14ac:dyDescent="0.25">
      <c r="A3070" s="90" t="s">
        <v>861</v>
      </c>
      <c r="B3070" s="90"/>
      <c r="C3070" s="88" t="s">
        <v>1346</v>
      </c>
      <c r="D3070" s="89" t="s">
        <v>910</v>
      </c>
      <c r="E3070" s="90" t="s">
        <v>649</v>
      </c>
      <c r="F3070" s="90" t="s">
        <v>861</v>
      </c>
      <c r="G3070" s="95">
        <v>231.5</v>
      </c>
      <c r="H3070" s="92">
        <v>6945</v>
      </c>
      <c r="I3070" s="91">
        <v>46044</v>
      </c>
      <c r="J3070" s="165">
        <v>0.7090277777777777</v>
      </c>
      <c r="K3070" s="92">
        <v>6945</v>
      </c>
      <c r="L3070" s="72" t="str">
        <f t="shared" si="48"/>
        <v>Payé</v>
      </c>
    </row>
    <row r="3071" spans="1:14" ht="18" x14ac:dyDescent="0.25">
      <c r="A3071" s="90" t="s">
        <v>861</v>
      </c>
      <c r="B3071" s="90"/>
      <c r="C3071" s="88" t="s">
        <v>630</v>
      </c>
      <c r="D3071" s="89" t="s">
        <v>910</v>
      </c>
      <c r="E3071" s="90" t="s">
        <v>1047</v>
      </c>
      <c r="F3071" s="90" t="s">
        <v>861</v>
      </c>
      <c r="G3071" s="95">
        <v>156</v>
      </c>
      <c r="H3071" s="92">
        <v>4680</v>
      </c>
      <c r="I3071" s="91">
        <v>46045</v>
      </c>
      <c r="J3071" s="165">
        <v>0.59513888888888888</v>
      </c>
      <c r="K3071" s="92">
        <v>4680</v>
      </c>
      <c r="L3071" s="72" t="str">
        <f t="shared" si="48"/>
        <v>Payé</v>
      </c>
    </row>
    <row r="3072" spans="1:14" ht="18" x14ac:dyDescent="0.25">
      <c r="A3072" s="90" t="s">
        <v>861</v>
      </c>
      <c r="B3072" s="90"/>
      <c r="C3072" s="88" t="s">
        <v>719</v>
      </c>
      <c r="D3072" s="89" t="s">
        <v>910</v>
      </c>
      <c r="E3072" s="90" t="s">
        <v>1349</v>
      </c>
      <c r="F3072" s="90" t="s">
        <v>861</v>
      </c>
      <c r="G3072" s="95">
        <v>246.5</v>
      </c>
      <c r="H3072" s="92">
        <v>8627.5</v>
      </c>
      <c r="I3072" s="91">
        <v>46045</v>
      </c>
      <c r="J3072" s="165">
        <v>0.64930555555555558</v>
      </c>
      <c r="K3072" s="92">
        <v>8627.5</v>
      </c>
      <c r="L3072" s="72" t="str">
        <f t="shared" si="48"/>
        <v>Payé</v>
      </c>
    </row>
    <row r="3073" spans="1:14" ht="18" x14ac:dyDescent="0.25">
      <c r="A3073" s="90" t="s">
        <v>861</v>
      </c>
      <c r="B3073" s="90"/>
      <c r="C3073" s="88" t="s">
        <v>1190</v>
      </c>
      <c r="D3073" s="89" t="s">
        <v>910</v>
      </c>
      <c r="E3073" s="90" t="s">
        <v>1350</v>
      </c>
      <c r="F3073" s="90" t="s">
        <v>861</v>
      </c>
      <c r="G3073" s="95">
        <v>164</v>
      </c>
      <c r="H3073" s="92">
        <v>4920</v>
      </c>
      <c r="I3073" s="91">
        <v>46044</v>
      </c>
      <c r="J3073" s="165">
        <v>0.72291666666666676</v>
      </c>
      <c r="K3073" s="92">
        <v>4920</v>
      </c>
      <c r="L3073" s="72" t="str">
        <f t="shared" si="48"/>
        <v>Payé</v>
      </c>
    </row>
    <row r="3074" spans="1:14" ht="18" x14ac:dyDescent="0.25">
      <c r="A3074" s="90" t="s">
        <v>861</v>
      </c>
      <c r="B3074" s="90"/>
      <c r="C3074" s="88" t="s">
        <v>1347</v>
      </c>
      <c r="D3074" s="89" t="s">
        <v>910</v>
      </c>
      <c r="E3074" s="90" t="s">
        <v>667</v>
      </c>
      <c r="F3074" s="90" t="s">
        <v>861</v>
      </c>
      <c r="G3074" s="95">
        <v>200</v>
      </c>
      <c r="H3074" s="92">
        <v>6000</v>
      </c>
      <c r="I3074" s="91">
        <v>46044</v>
      </c>
      <c r="J3074" s="165">
        <v>0.6</v>
      </c>
      <c r="K3074" s="92">
        <v>6000</v>
      </c>
      <c r="L3074" s="72" t="str">
        <f t="shared" si="48"/>
        <v>Payé</v>
      </c>
    </row>
    <row r="3075" spans="1:14" ht="18" x14ac:dyDescent="0.25">
      <c r="A3075" s="90" t="s">
        <v>861</v>
      </c>
      <c r="B3075" s="90"/>
      <c r="C3075" s="88" t="s">
        <v>1189</v>
      </c>
      <c r="D3075" s="89" t="s">
        <v>910</v>
      </c>
      <c r="E3075" s="90" t="s">
        <v>49</v>
      </c>
      <c r="F3075" s="90" t="s">
        <v>861</v>
      </c>
      <c r="G3075" s="95">
        <v>133</v>
      </c>
      <c r="H3075" s="92">
        <v>3990</v>
      </c>
      <c r="I3075" s="91">
        <v>46045</v>
      </c>
      <c r="J3075" s="165">
        <v>0.67847222222222225</v>
      </c>
      <c r="K3075" s="92">
        <v>3990</v>
      </c>
      <c r="L3075" s="72" t="str">
        <f t="shared" si="48"/>
        <v>Payé</v>
      </c>
    </row>
    <row r="3076" spans="1:14" ht="18" x14ac:dyDescent="0.25">
      <c r="A3076" s="90" t="s">
        <v>861</v>
      </c>
      <c r="B3076" s="90"/>
      <c r="C3076" s="88" t="s">
        <v>1529</v>
      </c>
      <c r="D3076" s="89" t="s">
        <v>910</v>
      </c>
      <c r="E3076" s="90" t="s">
        <v>254</v>
      </c>
      <c r="F3076" s="90" t="s">
        <v>861</v>
      </c>
      <c r="G3076" s="95">
        <v>134</v>
      </c>
      <c r="H3076" s="92">
        <v>4020</v>
      </c>
      <c r="I3076" s="91">
        <v>46045</v>
      </c>
      <c r="J3076" s="165">
        <v>0.67222222222222217</v>
      </c>
      <c r="K3076" s="92">
        <v>4020</v>
      </c>
      <c r="L3076" s="72" t="str">
        <f t="shared" si="48"/>
        <v>Payé</v>
      </c>
    </row>
    <row r="3077" spans="1:14" ht="18" x14ac:dyDescent="0.25">
      <c r="A3077" s="90" t="s">
        <v>861</v>
      </c>
      <c r="B3077" s="90"/>
      <c r="C3077" s="88" t="s">
        <v>1530</v>
      </c>
      <c r="D3077" s="89" t="s">
        <v>910</v>
      </c>
      <c r="E3077" s="90" t="s">
        <v>1523</v>
      </c>
      <c r="F3077" s="90" t="s">
        <v>861</v>
      </c>
      <c r="G3077" s="95">
        <v>2</v>
      </c>
      <c r="H3077" s="92">
        <v>60</v>
      </c>
      <c r="I3077" s="87">
        <v>46088</v>
      </c>
      <c r="J3077" s="93">
        <v>0.52361111111111114</v>
      </c>
      <c r="K3077" s="92">
        <v>60</v>
      </c>
      <c r="L3077" s="72" t="str">
        <f t="shared" si="48"/>
        <v>Payé</v>
      </c>
    </row>
    <row r="3078" spans="1:14" ht="18" x14ac:dyDescent="0.25">
      <c r="A3078" s="90" t="s">
        <v>861</v>
      </c>
      <c r="B3078" s="90" t="s">
        <v>1351</v>
      </c>
      <c r="C3078" s="88" t="s">
        <v>1195</v>
      </c>
      <c r="D3078" s="90" t="s">
        <v>912</v>
      </c>
      <c r="E3078" s="90" t="s">
        <v>61</v>
      </c>
      <c r="F3078" s="90" t="s">
        <v>861</v>
      </c>
      <c r="G3078" s="94">
        <v>7</v>
      </c>
      <c r="H3078" s="92">
        <v>3150</v>
      </c>
      <c r="I3078" s="91">
        <v>46045</v>
      </c>
      <c r="J3078" s="165">
        <v>0.61875000000000002</v>
      </c>
      <c r="K3078" s="92">
        <v>3150</v>
      </c>
      <c r="L3078" s="72" t="str">
        <f t="shared" si="48"/>
        <v>Payé</v>
      </c>
    </row>
    <row r="3079" spans="1:14" ht="18" x14ac:dyDescent="0.25">
      <c r="A3079" s="90" t="s">
        <v>861</v>
      </c>
      <c r="B3079" s="90" t="s">
        <v>1201</v>
      </c>
      <c r="C3079" s="88" t="s">
        <v>1202</v>
      </c>
      <c r="D3079" s="90" t="s">
        <v>912</v>
      </c>
      <c r="E3079" s="90" t="s">
        <v>61</v>
      </c>
      <c r="F3079" s="90" t="s">
        <v>861</v>
      </c>
      <c r="G3079" s="94">
        <v>69</v>
      </c>
      <c r="H3079" s="92">
        <v>17250</v>
      </c>
      <c r="I3079" s="91">
        <v>46044</v>
      </c>
      <c r="J3079" s="165">
        <v>0.72638888888888886</v>
      </c>
      <c r="K3079" s="92">
        <v>17250</v>
      </c>
      <c r="L3079" s="72" t="str">
        <f t="shared" si="48"/>
        <v>Payé</v>
      </c>
    </row>
    <row r="3080" spans="1:14" ht="18" x14ac:dyDescent="0.25">
      <c r="A3080" s="90" t="s">
        <v>861</v>
      </c>
      <c r="B3080" s="90" t="s">
        <v>1584</v>
      </c>
      <c r="C3080" s="88" t="s">
        <v>1535</v>
      </c>
      <c r="D3080" s="90" t="s">
        <v>912</v>
      </c>
      <c r="E3080" s="90" t="s">
        <v>61</v>
      </c>
      <c r="F3080" s="90" t="s">
        <v>861</v>
      </c>
      <c r="G3080" s="94">
        <v>27</v>
      </c>
      <c r="H3080" s="92">
        <v>10800</v>
      </c>
      <c r="I3080" s="91">
        <v>46044</v>
      </c>
      <c r="J3080" s="165">
        <v>0.72638888888888886</v>
      </c>
      <c r="K3080" s="92">
        <v>10800</v>
      </c>
      <c r="L3080" s="72" t="str">
        <f t="shared" si="48"/>
        <v>Payé</v>
      </c>
    </row>
    <row r="3081" spans="1:14" ht="18" x14ac:dyDescent="0.25">
      <c r="A3081" s="90" t="s">
        <v>861</v>
      </c>
      <c r="B3081" s="90" t="s">
        <v>1346</v>
      </c>
      <c r="C3081" s="88" t="s">
        <v>1283</v>
      </c>
      <c r="D3081" s="90" t="s">
        <v>912</v>
      </c>
      <c r="E3081" s="90" t="s">
        <v>61</v>
      </c>
      <c r="F3081" s="90" t="s">
        <v>861</v>
      </c>
      <c r="G3081" s="94">
        <v>1</v>
      </c>
      <c r="H3081" s="92">
        <v>150</v>
      </c>
      <c r="I3081" s="91">
        <v>46044</v>
      </c>
      <c r="J3081" s="165">
        <v>0.6</v>
      </c>
      <c r="K3081" s="92">
        <v>150</v>
      </c>
      <c r="L3081" s="72" t="str">
        <f t="shared" si="48"/>
        <v>Payé</v>
      </c>
    </row>
    <row r="3082" spans="1:14" ht="18" x14ac:dyDescent="0.25">
      <c r="A3082" s="90" t="s">
        <v>861</v>
      </c>
      <c r="B3082" s="90" t="s">
        <v>1355</v>
      </c>
      <c r="C3082" s="88" t="s">
        <v>1284</v>
      </c>
      <c r="D3082" s="90" t="s">
        <v>912</v>
      </c>
      <c r="E3082" s="90" t="s">
        <v>61</v>
      </c>
      <c r="F3082" s="90" t="s">
        <v>861</v>
      </c>
      <c r="G3082" s="94">
        <v>20</v>
      </c>
      <c r="H3082" s="92">
        <v>10000</v>
      </c>
      <c r="I3082" s="91">
        <v>46045</v>
      </c>
      <c r="J3082" s="165">
        <v>0.61041666666666672</v>
      </c>
      <c r="K3082" s="92">
        <v>10000</v>
      </c>
      <c r="L3082" s="72" t="str">
        <f t="shared" si="48"/>
        <v>Payé</v>
      </c>
    </row>
    <row r="3083" spans="1:14" s="14" customFormat="1" ht="18" x14ac:dyDescent="0.25">
      <c r="A3083" s="90" t="s">
        <v>863</v>
      </c>
      <c r="B3083" s="90">
        <v>6</v>
      </c>
      <c r="C3083" s="88" t="s">
        <v>542</v>
      </c>
      <c r="D3083" s="90" t="s">
        <v>17</v>
      </c>
      <c r="E3083" s="90" t="s">
        <v>368</v>
      </c>
      <c r="F3083" s="90" t="s">
        <v>863</v>
      </c>
      <c r="G3083" s="137">
        <v>2</v>
      </c>
      <c r="H3083" s="94">
        <v>191</v>
      </c>
      <c r="I3083" s="87">
        <v>46077</v>
      </c>
      <c r="J3083" s="93">
        <v>0.61458333333333337</v>
      </c>
      <c r="K3083" s="94">
        <v>191</v>
      </c>
      <c r="L3083" s="72" t="str">
        <f t="shared" si="48"/>
        <v>Payé</v>
      </c>
      <c r="N3083" s="15"/>
    </row>
    <row r="3084" spans="1:14" s="14" customFormat="1" ht="18" x14ac:dyDescent="0.25">
      <c r="A3084" s="90" t="s">
        <v>863</v>
      </c>
      <c r="B3084" s="90">
        <v>8</v>
      </c>
      <c r="C3084" s="88" t="s">
        <v>543</v>
      </c>
      <c r="D3084" s="90" t="s">
        <v>17</v>
      </c>
      <c r="E3084" s="90" t="s">
        <v>371</v>
      </c>
      <c r="F3084" s="90" t="s">
        <v>863</v>
      </c>
      <c r="G3084" s="137">
        <v>1</v>
      </c>
      <c r="H3084" s="94">
        <v>91</v>
      </c>
      <c r="I3084" s="87">
        <v>46077</v>
      </c>
      <c r="J3084" s="93">
        <v>0.61458333333333337</v>
      </c>
      <c r="K3084" s="94">
        <v>91</v>
      </c>
      <c r="L3084" s="72" t="str">
        <f t="shared" si="48"/>
        <v>Payé</v>
      </c>
      <c r="N3084" s="15"/>
    </row>
    <row r="3085" spans="1:14" s="14" customFormat="1" ht="18" x14ac:dyDescent="0.25">
      <c r="A3085" s="90" t="s">
        <v>863</v>
      </c>
      <c r="B3085" s="90">
        <v>102</v>
      </c>
      <c r="C3085" s="88" t="s">
        <v>594</v>
      </c>
      <c r="D3085" s="90" t="s">
        <v>17</v>
      </c>
      <c r="E3085" s="90" t="s">
        <v>81</v>
      </c>
      <c r="F3085" s="90" t="s">
        <v>863</v>
      </c>
      <c r="G3085" s="137">
        <v>2</v>
      </c>
      <c r="H3085" s="94">
        <v>191</v>
      </c>
      <c r="I3085" s="87">
        <v>46081</v>
      </c>
      <c r="J3085" s="93">
        <v>0.4770833333333333</v>
      </c>
      <c r="K3085" s="94">
        <v>191</v>
      </c>
      <c r="L3085" s="72" t="str">
        <f t="shared" si="48"/>
        <v>Payé</v>
      </c>
      <c r="N3085" s="15"/>
    </row>
    <row r="3086" spans="1:14" s="14" customFormat="1" ht="18" x14ac:dyDescent="0.25">
      <c r="A3086" s="90" t="s">
        <v>863</v>
      </c>
      <c r="B3086" s="90">
        <v>190</v>
      </c>
      <c r="C3086" s="88" t="s">
        <v>597</v>
      </c>
      <c r="D3086" s="90" t="s">
        <v>17</v>
      </c>
      <c r="E3086" s="90" t="s">
        <v>81</v>
      </c>
      <c r="F3086" s="90" t="s">
        <v>863</v>
      </c>
      <c r="G3086" s="137">
        <v>1</v>
      </c>
      <c r="H3086" s="94">
        <v>95</v>
      </c>
      <c r="I3086" s="87">
        <v>46080</v>
      </c>
      <c r="J3086" s="93">
        <v>0.50416666666666665</v>
      </c>
      <c r="K3086" s="94">
        <v>95</v>
      </c>
      <c r="L3086" s="72" t="str">
        <f t="shared" si="48"/>
        <v>Payé</v>
      </c>
      <c r="N3086" s="15"/>
    </row>
    <row r="3087" spans="1:14" s="14" customFormat="1" ht="18" x14ac:dyDescent="0.25">
      <c r="A3087" s="90" t="s">
        <v>863</v>
      </c>
      <c r="B3087" s="90">
        <v>198</v>
      </c>
      <c r="C3087" s="88" t="s">
        <v>380</v>
      </c>
      <c r="D3087" s="90" t="s">
        <v>17</v>
      </c>
      <c r="E3087" s="90" t="s">
        <v>369</v>
      </c>
      <c r="F3087" s="90" t="s">
        <v>863</v>
      </c>
      <c r="G3087" s="137">
        <v>2</v>
      </c>
      <c r="H3087" s="94">
        <v>191</v>
      </c>
      <c r="I3087" s="87">
        <v>46090</v>
      </c>
      <c r="J3087" s="93">
        <v>0.5444444444444444</v>
      </c>
      <c r="K3087" s="94">
        <v>191</v>
      </c>
      <c r="L3087" s="72" t="str">
        <f t="shared" si="48"/>
        <v>Payé</v>
      </c>
      <c r="N3087" s="15"/>
    </row>
    <row r="3088" spans="1:14" s="14" customFormat="1" ht="18" x14ac:dyDescent="0.25">
      <c r="A3088" s="90" t="s">
        <v>863</v>
      </c>
      <c r="B3088" s="90">
        <v>236</v>
      </c>
      <c r="C3088" s="88" t="s">
        <v>1670</v>
      </c>
      <c r="D3088" s="90" t="s">
        <v>17</v>
      </c>
      <c r="E3088" s="90" t="s">
        <v>628</v>
      </c>
      <c r="F3088" s="90" t="s">
        <v>863</v>
      </c>
      <c r="G3088" s="137">
        <v>10</v>
      </c>
      <c r="H3088" s="94">
        <v>900</v>
      </c>
      <c r="I3088" s="87">
        <v>46078</v>
      </c>
      <c r="J3088" s="93">
        <v>0.5229166666666667</v>
      </c>
      <c r="K3088" s="94">
        <v>900</v>
      </c>
      <c r="L3088" s="72" t="str">
        <f t="shared" si="48"/>
        <v>Payé</v>
      </c>
      <c r="N3088" s="15"/>
    </row>
    <row r="3089" spans="1:14" s="14" customFormat="1" ht="18" x14ac:dyDescent="0.25">
      <c r="A3089" s="90" t="s">
        <v>863</v>
      </c>
      <c r="B3089" s="90">
        <v>348</v>
      </c>
      <c r="C3089" s="88" t="s">
        <v>951</v>
      </c>
      <c r="D3089" s="90" t="s">
        <v>17</v>
      </c>
      <c r="E3089" s="90" t="s">
        <v>123</v>
      </c>
      <c r="F3089" s="90" t="s">
        <v>863</v>
      </c>
      <c r="G3089" s="137">
        <v>1</v>
      </c>
      <c r="H3089" s="94">
        <v>91</v>
      </c>
      <c r="I3089" s="87">
        <v>46088</v>
      </c>
      <c r="J3089" s="93">
        <v>0.54027777777777775</v>
      </c>
      <c r="K3089" s="94">
        <v>91</v>
      </c>
      <c r="L3089" s="72" t="str">
        <f t="shared" si="48"/>
        <v>Payé</v>
      </c>
      <c r="N3089" s="15"/>
    </row>
    <row r="3090" spans="1:14" s="14" customFormat="1" ht="18" x14ac:dyDescent="0.25">
      <c r="A3090" s="90" t="s">
        <v>863</v>
      </c>
      <c r="B3090" s="90">
        <v>556</v>
      </c>
      <c r="C3090" s="88" t="s">
        <v>1671</v>
      </c>
      <c r="D3090" s="90" t="s">
        <v>17</v>
      </c>
      <c r="E3090" s="90" t="s">
        <v>1280</v>
      </c>
      <c r="F3090" s="90" t="s">
        <v>863</v>
      </c>
      <c r="G3090" s="137">
        <v>5</v>
      </c>
      <c r="H3090" s="94">
        <v>450</v>
      </c>
      <c r="I3090" s="87">
        <v>46083</v>
      </c>
      <c r="J3090" s="93">
        <v>0.61597222222222225</v>
      </c>
      <c r="K3090" s="94">
        <v>450</v>
      </c>
      <c r="L3090" s="72" t="str">
        <f t="shared" si="48"/>
        <v>Payé</v>
      </c>
      <c r="N3090" s="15"/>
    </row>
    <row r="3091" spans="1:14" s="14" customFormat="1" ht="18" x14ac:dyDescent="0.25">
      <c r="A3091" s="90" t="s">
        <v>863</v>
      </c>
      <c r="B3091" s="90">
        <v>690</v>
      </c>
      <c r="C3091" s="88" t="s">
        <v>1672</v>
      </c>
      <c r="D3091" s="90" t="s">
        <v>17</v>
      </c>
      <c r="E3091" s="90" t="s">
        <v>1280</v>
      </c>
      <c r="F3091" s="90" t="s">
        <v>863</v>
      </c>
      <c r="G3091" s="137">
        <v>6</v>
      </c>
      <c r="H3091" s="94">
        <v>540</v>
      </c>
      <c r="I3091" s="87">
        <v>46078</v>
      </c>
      <c r="J3091" s="93">
        <v>0.63055555555555554</v>
      </c>
      <c r="K3091" s="94">
        <v>540</v>
      </c>
      <c r="L3091" s="72" t="str">
        <f t="shared" si="48"/>
        <v>Payé</v>
      </c>
      <c r="N3091" s="15"/>
    </row>
    <row r="3092" spans="1:14" s="14" customFormat="1" ht="18" x14ac:dyDescent="0.25">
      <c r="A3092" s="90" t="s">
        <v>863</v>
      </c>
      <c r="B3092" s="90">
        <v>990</v>
      </c>
      <c r="C3092" s="88" t="s">
        <v>1585</v>
      </c>
      <c r="D3092" s="90" t="s">
        <v>17</v>
      </c>
      <c r="E3092" s="90" t="s">
        <v>123</v>
      </c>
      <c r="F3092" s="90" t="s">
        <v>863</v>
      </c>
      <c r="G3092" s="137">
        <v>9</v>
      </c>
      <c r="H3092" s="94">
        <v>810</v>
      </c>
      <c r="I3092" s="87">
        <v>46078</v>
      </c>
      <c r="J3092" s="93">
        <v>0.63958333333333328</v>
      </c>
      <c r="K3092" s="94">
        <v>810</v>
      </c>
      <c r="L3092" s="72" t="str">
        <f t="shared" si="48"/>
        <v>Payé</v>
      </c>
      <c r="N3092" s="15"/>
    </row>
    <row r="3093" spans="1:14" s="14" customFormat="1" ht="18" x14ac:dyDescent="0.25">
      <c r="A3093" s="90" t="s">
        <v>863</v>
      </c>
      <c r="B3093" s="90">
        <v>994</v>
      </c>
      <c r="C3093" s="88" t="s">
        <v>381</v>
      </c>
      <c r="D3093" s="90" t="s">
        <v>17</v>
      </c>
      <c r="E3093" s="90" t="s">
        <v>370</v>
      </c>
      <c r="F3093" s="90" t="s">
        <v>863</v>
      </c>
      <c r="G3093" s="137">
        <v>2</v>
      </c>
      <c r="H3093" s="94">
        <v>182</v>
      </c>
      <c r="I3093" s="87">
        <v>46092</v>
      </c>
      <c r="J3093" s="93">
        <v>0.53125</v>
      </c>
      <c r="K3093" s="94">
        <v>182</v>
      </c>
      <c r="L3093" s="72" t="str">
        <f t="shared" si="48"/>
        <v>Payé</v>
      </c>
      <c r="N3093" s="15"/>
    </row>
    <row r="3094" spans="1:14" s="14" customFormat="1" ht="18" x14ac:dyDescent="0.25">
      <c r="A3094" s="90" t="s">
        <v>863</v>
      </c>
      <c r="B3094" s="90" t="s">
        <v>1673</v>
      </c>
      <c r="C3094" s="88" t="s">
        <v>1674</v>
      </c>
      <c r="D3094" s="90" t="s">
        <v>17</v>
      </c>
      <c r="E3094" s="90" t="s">
        <v>1664</v>
      </c>
      <c r="F3094" s="90" t="s">
        <v>863</v>
      </c>
      <c r="G3094" s="137">
        <v>10</v>
      </c>
      <c r="H3094" s="94">
        <v>900</v>
      </c>
      <c r="I3094" s="87">
        <v>46077</v>
      </c>
      <c r="J3094" s="93">
        <v>0.49861111111111112</v>
      </c>
      <c r="K3094" s="94">
        <v>900</v>
      </c>
      <c r="L3094" s="72" t="str">
        <f t="shared" si="48"/>
        <v>Payé</v>
      </c>
      <c r="N3094" s="15"/>
    </row>
    <row r="3095" spans="1:14" s="14" customFormat="1" ht="18" x14ac:dyDescent="0.25">
      <c r="A3095" s="90" t="s">
        <v>863</v>
      </c>
      <c r="B3095" s="90">
        <v>2276</v>
      </c>
      <c r="C3095" s="88" t="s">
        <v>367</v>
      </c>
      <c r="D3095" s="90" t="s">
        <v>17</v>
      </c>
      <c r="E3095" s="90" t="s">
        <v>103</v>
      </c>
      <c r="F3095" s="90" t="s">
        <v>863</v>
      </c>
      <c r="G3095" s="137">
        <v>1</v>
      </c>
      <c r="H3095" s="94">
        <v>91</v>
      </c>
      <c r="I3095" s="87">
        <v>46119</v>
      </c>
      <c r="J3095" s="93">
        <v>0.69305555555555554</v>
      </c>
      <c r="K3095" s="94">
        <v>91</v>
      </c>
      <c r="L3095" s="72" t="str">
        <f t="shared" si="48"/>
        <v>Payé</v>
      </c>
      <c r="N3095" s="15"/>
    </row>
    <row r="3096" spans="1:14" s="14" customFormat="1" ht="18" x14ac:dyDescent="0.25">
      <c r="A3096" s="90" t="s">
        <v>863</v>
      </c>
      <c r="B3096" s="90">
        <v>2311</v>
      </c>
      <c r="C3096" s="88" t="s">
        <v>406</v>
      </c>
      <c r="D3096" s="90" t="s">
        <v>17</v>
      </c>
      <c r="E3096" s="90" t="s">
        <v>420</v>
      </c>
      <c r="F3096" s="90" t="s">
        <v>863</v>
      </c>
      <c r="G3096" s="137">
        <v>2</v>
      </c>
      <c r="H3096" s="94">
        <v>182</v>
      </c>
      <c r="I3096" s="87">
        <v>46080</v>
      </c>
      <c r="J3096" s="93">
        <v>0.50624999999999998</v>
      </c>
      <c r="K3096" s="94">
        <v>182</v>
      </c>
      <c r="L3096" s="72" t="str">
        <f t="shared" si="48"/>
        <v>Payé</v>
      </c>
      <c r="N3096" s="15"/>
    </row>
    <row r="3097" spans="1:14" s="14" customFormat="1" ht="18" x14ac:dyDescent="0.25">
      <c r="A3097" s="90" t="s">
        <v>863</v>
      </c>
      <c r="B3097" s="90">
        <v>2330</v>
      </c>
      <c r="C3097" s="88" t="s">
        <v>1675</v>
      </c>
      <c r="D3097" s="90" t="s">
        <v>17</v>
      </c>
      <c r="E3097" s="90" t="s">
        <v>123</v>
      </c>
      <c r="F3097" s="90" t="s">
        <v>863</v>
      </c>
      <c r="G3097" s="137">
        <v>1</v>
      </c>
      <c r="H3097" s="94">
        <v>90</v>
      </c>
      <c r="I3097" s="87">
        <v>46084</v>
      </c>
      <c r="J3097" s="93">
        <v>0.54027777777777775</v>
      </c>
      <c r="K3097" s="94">
        <v>90</v>
      </c>
      <c r="L3097" s="72" t="str">
        <f t="shared" si="48"/>
        <v>Payé</v>
      </c>
      <c r="N3097" s="78"/>
    </row>
    <row r="3098" spans="1:14" s="14" customFormat="1" ht="18" x14ac:dyDescent="0.25">
      <c r="A3098" s="90" t="s">
        <v>863</v>
      </c>
      <c r="B3098" s="90">
        <v>2331</v>
      </c>
      <c r="C3098" s="88" t="s">
        <v>344</v>
      </c>
      <c r="D3098" s="90" t="s">
        <v>17</v>
      </c>
      <c r="E3098" s="90" t="s">
        <v>81</v>
      </c>
      <c r="F3098" s="90" t="s">
        <v>863</v>
      </c>
      <c r="G3098" s="137">
        <v>2</v>
      </c>
      <c r="H3098" s="94">
        <v>173</v>
      </c>
      <c r="I3098" s="87">
        <v>46077</v>
      </c>
      <c r="J3098" s="93">
        <v>0.5756944444444444</v>
      </c>
      <c r="K3098" s="94">
        <v>173</v>
      </c>
      <c r="L3098" s="72" t="str">
        <f t="shared" si="48"/>
        <v>Payé</v>
      </c>
      <c r="N3098" s="15"/>
    </row>
    <row r="3099" spans="1:14" s="14" customFormat="1" ht="18" x14ac:dyDescent="0.25">
      <c r="A3099" s="90" t="s">
        <v>863</v>
      </c>
      <c r="B3099" s="90">
        <v>2856</v>
      </c>
      <c r="C3099" s="88" t="s">
        <v>1288</v>
      </c>
      <c r="D3099" s="90" t="s">
        <v>17</v>
      </c>
      <c r="E3099" s="90" t="s">
        <v>123</v>
      </c>
      <c r="F3099" s="90" t="s">
        <v>863</v>
      </c>
      <c r="G3099" s="137">
        <v>3</v>
      </c>
      <c r="H3099" s="94">
        <v>290</v>
      </c>
      <c r="I3099" s="87">
        <v>46078</v>
      </c>
      <c r="J3099" s="93">
        <v>0.58194444444444449</v>
      </c>
      <c r="K3099" s="94">
        <v>290</v>
      </c>
      <c r="L3099" s="72" t="str">
        <f t="shared" si="48"/>
        <v>Payé</v>
      </c>
      <c r="N3099" s="15"/>
    </row>
    <row r="3100" spans="1:14" s="14" customFormat="1" ht="18" x14ac:dyDescent="0.25">
      <c r="A3100" s="90" t="s">
        <v>863</v>
      </c>
      <c r="B3100" s="90">
        <v>2929</v>
      </c>
      <c r="C3100" s="88" t="s">
        <v>1676</v>
      </c>
      <c r="D3100" s="90" t="s">
        <v>17</v>
      </c>
      <c r="E3100" s="90" t="s">
        <v>649</v>
      </c>
      <c r="F3100" s="90" t="s">
        <v>863</v>
      </c>
      <c r="G3100" s="137">
        <v>9</v>
      </c>
      <c r="H3100" s="94">
        <v>810</v>
      </c>
      <c r="I3100" s="87">
        <v>46077</v>
      </c>
      <c r="J3100" s="93">
        <v>0.55486111111111114</v>
      </c>
      <c r="K3100" s="94">
        <v>810</v>
      </c>
      <c r="L3100" s="72" t="str">
        <f t="shared" si="48"/>
        <v>Payé</v>
      </c>
      <c r="N3100" s="15"/>
    </row>
    <row r="3101" spans="1:14" s="14" customFormat="1" ht="18" x14ac:dyDescent="0.25">
      <c r="A3101" s="90" t="s">
        <v>863</v>
      </c>
      <c r="B3101" s="90">
        <v>2997</v>
      </c>
      <c r="C3101" s="88" t="s">
        <v>719</v>
      </c>
      <c r="D3101" s="90" t="s">
        <v>17</v>
      </c>
      <c r="E3101" s="90" t="s">
        <v>753</v>
      </c>
      <c r="F3101" s="90" t="s">
        <v>863</v>
      </c>
      <c r="G3101" s="137">
        <v>1</v>
      </c>
      <c r="H3101" s="94">
        <v>100</v>
      </c>
      <c r="I3101" s="87">
        <v>46078</v>
      </c>
      <c r="J3101" s="93">
        <v>0.55763888888888891</v>
      </c>
      <c r="K3101" s="94">
        <v>100</v>
      </c>
      <c r="L3101" s="72" t="str">
        <f t="shared" si="48"/>
        <v>Payé</v>
      </c>
      <c r="N3101" s="15"/>
    </row>
    <row r="3102" spans="1:14" s="14" customFormat="1" ht="18" x14ac:dyDescent="0.25">
      <c r="A3102" s="90" t="s">
        <v>863</v>
      </c>
      <c r="B3102" s="90">
        <v>3020</v>
      </c>
      <c r="C3102" s="88" t="s">
        <v>693</v>
      </c>
      <c r="D3102" s="90" t="s">
        <v>17</v>
      </c>
      <c r="E3102" s="90" t="s">
        <v>649</v>
      </c>
      <c r="F3102" s="90" t="s">
        <v>863</v>
      </c>
      <c r="G3102" s="137">
        <v>9</v>
      </c>
      <c r="H3102" s="94">
        <v>810</v>
      </c>
      <c r="I3102" s="87">
        <v>46077</v>
      </c>
      <c r="J3102" s="93">
        <v>0.55486111111111114</v>
      </c>
      <c r="K3102" s="94">
        <v>810</v>
      </c>
      <c r="L3102" s="72" t="str">
        <f t="shared" ref="L3102:L3165" si="49">IF(ISBLANK(H3102),"",IF(H3102=K3102,"Payé","Impayé"))</f>
        <v>Payé</v>
      </c>
      <c r="N3102" s="15"/>
    </row>
    <row r="3103" spans="1:14" s="14" customFormat="1" ht="18" x14ac:dyDescent="0.25">
      <c r="A3103" s="90" t="s">
        <v>863</v>
      </c>
      <c r="B3103" s="90">
        <v>3087</v>
      </c>
      <c r="C3103" s="88" t="s">
        <v>1238</v>
      </c>
      <c r="D3103" s="90" t="s">
        <v>17</v>
      </c>
      <c r="E3103" s="90" t="s">
        <v>649</v>
      </c>
      <c r="F3103" s="90" t="s">
        <v>863</v>
      </c>
      <c r="G3103" s="137">
        <v>9</v>
      </c>
      <c r="H3103" s="94">
        <v>810</v>
      </c>
      <c r="I3103" s="87">
        <v>46077</v>
      </c>
      <c r="J3103" s="93">
        <v>0.55486111111111114</v>
      </c>
      <c r="K3103" s="94">
        <v>810</v>
      </c>
      <c r="L3103" s="72" t="str">
        <f t="shared" si="49"/>
        <v>Payé</v>
      </c>
      <c r="N3103" s="15"/>
    </row>
    <row r="3104" spans="1:14" s="14" customFormat="1" ht="18" x14ac:dyDescent="0.25">
      <c r="A3104" s="90" t="s">
        <v>863</v>
      </c>
      <c r="B3104" s="90">
        <v>3351</v>
      </c>
      <c r="C3104" s="88" t="s">
        <v>617</v>
      </c>
      <c r="D3104" s="90" t="s">
        <v>17</v>
      </c>
      <c r="E3104" s="90" t="s">
        <v>107</v>
      </c>
      <c r="F3104" s="90" t="s">
        <v>863</v>
      </c>
      <c r="G3104" s="137">
        <v>2</v>
      </c>
      <c r="H3104" s="94">
        <v>182</v>
      </c>
      <c r="I3104" s="87">
        <v>46119</v>
      </c>
      <c r="J3104" s="93">
        <v>0.69305555555555554</v>
      </c>
      <c r="K3104" s="94">
        <v>182</v>
      </c>
      <c r="L3104" s="72" t="str">
        <f t="shared" si="49"/>
        <v>Payé</v>
      </c>
      <c r="N3104" s="15"/>
    </row>
    <row r="3105" spans="1:14" s="14" customFormat="1" ht="18" x14ac:dyDescent="0.25">
      <c r="A3105" s="90" t="s">
        <v>863</v>
      </c>
      <c r="B3105" s="90">
        <v>3398</v>
      </c>
      <c r="C3105" s="88" t="s">
        <v>557</v>
      </c>
      <c r="D3105" s="90" t="s">
        <v>17</v>
      </c>
      <c r="E3105" s="90" t="s">
        <v>420</v>
      </c>
      <c r="F3105" s="90" t="s">
        <v>863</v>
      </c>
      <c r="G3105" s="137">
        <v>2</v>
      </c>
      <c r="H3105" s="94">
        <v>173</v>
      </c>
      <c r="I3105" s="87">
        <v>46078</v>
      </c>
      <c r="J3105" s="93">
        <v>16772</v>
      </c>
      <c r="K3105" s="94">
        <v>173</v>
      </c>
      <c r="L3105" s="72" t="str">
        <f t="shared" si="49"/>
        <v>Payé</v>
      </c>
      <c r="N3105" s="15"/>
    </row>
    <row r="3106" spans="1:14" s="14" customFormat="1" ht="18" x14ac:dyDescent="0.25">
      <c r="A3106" s="90" t="s">
        <v>863</v>
      </c>
      <c r="B3106" s="90">
        <v>3409</v>
      </c>
      <c r="C3106" s="88" t="s">
        <v>559</v>
      </c>
      <c r="D3106" s="90" t="s">
        <v>17</v>
      </c>
      <c r="E3106" s="90" t="s">
        <v>123</v>
      </c>
      <c r="F3106" s="90" t="s">
        <v>863</v>
      </c>
      <c r="G3106" s="137">
        <v>9</v>
      </c>
      <c r="H3106" s="94">
        <v>810</v>
      </c>
      <c r="I3106" s="87">
        <v>46078</v>
      </c>
      <c r="J3106" s="93">
        <v>0.63958333333333328</v>
      </c>
      <c r="K3106" s="94">
        <v>810</v>
      </c>
      <c r="L3106" s="72" t="str">
        <f t="shared" si="49"/>
        <v>Payé</v>
      </c>
      <c r="N3106" s="15"/>
    </row>
    <row r="3107" spans="1:14" s="14" customFormat="1" ht="18" x14ac:dyDescent="0.25">
      <c r="A3107" s="90" t="s">
        <v>863</v>
      </c>
      <c r="B3107" s="90">
        <v>3412</v>
      </c>
      <c r="C3107" s="88" t="s">
        <v>560</v>
      </c>
      <c r="D3107" s="90" t="s">
        <v>17</v>
      </c>
      <c r="E3107" s="90" t="s">
        <v>371</v>
      </c>
      <c r="F3107" s="90" t="s">
        <v>863</v>
      </c>
      <c r="G3107" s="137">
        <v>2</v>
      </c>
      <c r="H3107" s="94">
        <v>173</v>
      </c>
      <c r="I3107" s="87">
        <v>46090</v>
      </c>
      <c r="J3107" s="93">
        <v>0.5756944444444444</v>
      </c>
      <c r="K3107" s="94">
        <v>173</v>
      </c>
      <c r="L3107" s="72" t="str">
        <f t="shared" si="49"/>
        <v>Payé</v>
      </c>
      <c r="N3107" s="15"/>
    </row>
    <row r="3108" spans="1:14" s="14" customFormat="1" ht="18" x14ac:dyDescent="0.25">
      <c r="A3108" s="90" t="s">
        <v>863</v>
      </c>
      <c r="B3108" s="90">
        <v>3440</v>
      </c>
      <c r="C3108" s="88" t="s">
        <v>561</v>
      </c>
      <c r="D3108" s="90" t="s">
        <v>17</v>
      </c>
      <c r="E3108" s="90" t="s">
        <v>49</v>
      </c>
      <c r="F3108" s="90" t="s">
        <v>863</v>
      </c>
      <c r="G3108" s="137">
        <v>11</v>
      </c>
      <c r="H3108" s="94">
        <v>990</v>
      </c>
      <c r="I3108" s="87">
        <v>46077</v>
      </c>
      <c r="J3108" s="93">
        <v>0.62222222222222223</v>
      </c>
      <c r="K3108" s="94">
        <v>990</v>
      </c>
      <c r="L3108" s="72" t="str">
        <f t="shared" si="49"/>
        <v>Payé</v>
      </c>
      <c r="N3108" s="15"/>
    </row>
    <row r="3109" spans="1:14" s="14" customFormat="1" ht="18" x14ac:dyDescent="0.25">
      <c r="A3109" s="90" t="s">
        <v>863</v>
      </c>
      <c r="B3109" s="90">
        <v>3545</v>
      </c>
      <c r="C3109" s="88" t="s">
        <v>606</v>
      </c>
      <c r="D3109" s="90" t="s">
        <v>17</v>
      </c>
      <c r="E3109" s="90" t="s">
        <v>123</v>
      </c>
      <c r="F3109" s="90" t="s">
        <v>863</v>
      </c>
      <c r="G3109" s="137">
        <v>9</v>
      </c>
      <c r="H3109" s="94">
        <v>850</v>
      </c>
      <c r="I3109" s="87">
        <v>46077</v>
      </c>
      <c r="J3109" s="93">
        <v>0.55625000000000002</v>
      </c>
      <c r="K3109" s="94">
        <v>850</v>
      </c>
      <c r="L3109" s="72" t="str">
        <f t="shared" si="49"/>
        <v>Payé</v>
      </c>
      <c r="N3109" s="15"/>
    </row>
    <row r="3110" spans="1:14" s="14" customFormat="1" ht="18" x14ac:dyDescent="0.25">
      <c r="A3110" s="90" t="s">
        <v>863</v>
      </c>
      <c r="B3110" s="90">
        <v>3546</v>
      </c>
      <c r="C3110" s="88" t="s">
        <v>1677</v>
      </c>
      <c r="D3110" s="90" t="s">
        <v>17</v>
      </c>
      <c r="E3110" s="90" t="s">
        <v>123</v>
      </c>
      <c r="F3110" s="90" t="s">
        <v>863</v>
      </c>
      <c r="G3110" s="137">
        <v>8</v>
      </c>
      <c r="H3110" s="94">
        <v>770</v>
      </c>
      <c r="I3110" s="87">
        <v>46078</v>
      </c>
      <c r="J3110" s="93">
        <v>0.54375000000000007</v>
      </c>
      <c r="K3110" s="94">
        <v>770</v>
      </c>
      <c r="L3110" s="72" t="str">
        <f t="shared" si="49"/>
        <v>Payé</v>
      </c>
      <c r="N3110" s="15"/>
    </row>
    <row r="3111" spans="1:14" s="14" customFormat="1" ht="18" x14ac:dyDescent="0.25">
      <c r="A3111" s="90" t="s">
        <v>863</v>
      </c>
      <c r="B3111" s="90">
        <v>3590</v>
      </c>
      <c r="C3111" s="88" t="s">
        <v>425</v>
      </c>
      <c r="D3111" s="90" t="s">
        <v>17</v>
      </c>
      <c r="E3111" s="90" t="s">
        <v>628</v>
      </c>
      <c r="F3111" s="90" t="s">
        <v>863</v>
      </c>
      <c r="G3111" s="137">
        <v>2</v>
      </c>
      <c r="H3111" s="94">
        <v>180</v>
      </c>
      <c r="I3111" s="87">
        <v>46078</v>
      </c>
      <c r="J3111" s="93">
        <v>0.5229166666666667</v>
      </c>
      <c r="K3111" s="94">
        <v>180</v>
      </c>
      <c r="L3111" s="72" t="str">
        <f t="shared" si="49"/>
        <v>Payé</v>
      </c>
      <c r="N3111" s="15"/>
    </row>
    <row r="3112" spans="1:14" s="14" customFormat="1" ht="18" x14ac:dyDescent="0.25">
      <c r="A3112" s="90" t="s">
        <v>863</v>
      </c>
      <c r="B3112" s="90">
        <v>3672</v>
      </c>
      <c r="C3112" s="88" t="s">
        <v>568</v>
      </c>
      <c r="D3112" s="90" t="s">
        <v>17</v>
      </c>
      <c r="E3112" s="90" t="s">
        <v>613</v>
      </c>
      <c r="F3112" s="90" t="s">
        <v>863</v>
      </c>
      <c r="G3112" s="137">
        <v>15</v>
      </c>
      <c r="H3112" s="94">
        <v>1680</v>
      </c>
      <c r="I3112" s="87">
        <v>46077</v>
      </c>
      <c r="J3112" s="93">
        <v>0.62569444444444444</v>
      </c>
      <c r="K3112" s="94">
        <v>1680</v>
      </c>
      <c r="L3112" s="72" t="str">
        <f t="shared" si="49"/>
        <v>Payé</v>
      </c>
      <c r="N3112" s="15"/>
    </row>
    <row r="3113" spans="1:14" s="14" customFormat="1" ht="18" x14ac:dyDescent="0.25">
      <c r="A3113" s="90" t="s">
        <v>863</v>
      </c>
      <c r="B3113" s="90">
        <v>3726</v>
      </c>
      <c r="C3113" s="88" t="s">
        <v>570</v>
      </c>
      <c r="D3113" s="90" t="s">
        <v>17</v>
      </c>
      <c r="E3113" s="90" t="s">
        <v>123</v>
      </c>
      <c r="F3113" s="90" t="s">
        <v>863</v>
      </c>
      <c r="G3113" s="137">
        <v>11</v>
      </c>
      <c r="H3113" s="94">
        <v>990</v>
      </c>
      <c r="I3113" s="87">
        <v>46077</v>
      </c>
      <c r="J3113" s="93">
        <v>0.58958333333333335</v>
      </c>
      <c r="K3113" s="94">
        <v>990</v>
      </c>
      <c r="L3113" s="72" t="str">
        <f t="shared" si="49"/>
        <v>Payé</v>
      </c>
      <c r="N3113" s="15"/>
    </row>
    <row r="3114" spans="1:14" s="14" customFormat="1" ht="18" x14ac:dyDescent="0.25">
      <c r="A3114" s="90" t="s">
        <v>863</v>
      </c>
      <c r="B3114" s="90">
        <v>3760</v>
      </c>
      <c r="C3114" s="88" t="s">
        <v>465</v>
      </c>
      <c r="D3114" s="90" t="s">
        <v>17</v>
      </c>
      <c r="E3114" s="90" t="s">
        <v>49</v>
      </c>
      <c r="F3114" s="90" t="s">
        <v>863</v>
      </c>
      <c r="G3114" s="137">
        <v>11</v>
      </c>
      <c r="H3114" s="94">
        <v>990</v>
      </c>
      <c r="I3114" s="87">
        <v>46077</v>
      </c>
      <c r="J3114" s="93">
        <v>0.62222222222222223</v>
      </c>
      <c r="K3114" s="94">
        <v>990</v>
      </c>
      <c r="L3114" s="72" t="str">
        <f t="shared" si="49"/>
        <v>Payé</v>
      </c>
      <c r="N3114" s="15"/>
    </row>
    <row r="3115" spans="1:14" s="14" customFormat="1" ht="18" x14ac:dyDescent="0.25">
      <c r="A3115" s="90" t="s">
        <v>863</v>
      </c>
      <c r="B3115" s="90">
        <v>3793</v>
      </c>
      <c r="C3115" s="88" t="s">
        <v>572</v>
      </c>
      <c r="D3115" s="90" t="s">
        <v>17</v>
      </c>
      <c r="E3115" s="90" t="s">
        <v>123</v>
      </c>
      <c r="F3115" s="90" t="s">
        <v>863</v>
      </c>
      <c r="G3115" s="137">
        <v>9</v>
      </c>
      <c r="H3115" s="94">
        <v>810</v>
      </c>
      <c r="I3115" s="87">
        <v>46078</v>
      </c>
      <c r="J3115" s="93">
        <v>0.63958333333333328</v>
      </c>
      <c r="K3115" s="94">
        <v>810</v>
      </c>
      <c r="L3115" s="72" t="str">
        <f t="shared" si="49"/>
        <v>Payé</v>
      </c>
      <c r="N3115" s="15"/>
    </row>
    <row r="3116" spans="1:14" s="14" customFormat="1" ht="18" x14ac:dyDescent="0.25">
      <c r="A3116" s="90" t="s">
        <v>863</v>
      </c>
      <c r="B3116" s="90">
        <v>4055</v>
      </c>
      <c r="C3116" s="88" t="s">
        <v>1587</v>
      </c>
      <c r="D3116" s="90" t="s">
        <v>17</v>
      </c>
      <c r="E3116" s="90" t="s">
        <v>649</v>
      </c>
      <c r="F3116" s="90" t="s">
        <v>863</v>
      </c>
      <c r="G3116" s="137">
        <v>1</v>
      </c>
      <c r="H3116" s="94">
        <v>90</v>
      </c>
      <c r="I3116" s="87">
        <v>46077</v>
      </c>
      <c r="J3116" s="93">
        <v>0.55486111111111114</v>
      </c>
      <c r="K3116" s="94">
        <v>90</v>
      </c>
      <c r="L3116" s="72" t="str">
        <f t="shared" si="49"/>
        <v>Payé</v>
      </c>
      <c r="N3116" s="15"/>
    </row>
    <row r="3117" spans="1:14" s="14" customFormat="1" ht="18" x14ac:dyDescent="0.25">
      <c r="A3117" s="90" t="s">
        <v>863</v>
      </c>
      <c r="B3117" s="90">
        <v>4060</v>
      </c>
      <c r="C3117" s="88" t="s">
        <v>986</v>
      </c>
      <c r="D3117" s="90" t="s">
        <v>17</v>
      </c>
      <c r="E3117" s="90" t="s">
        <v>753</v>
      </c>
      <c r="F3117" s="90" t="s">
        <v>863</v>
      </c>
      <c r="G3117" s="137">
        <v>1</v>
      </c>
      <c r="H3117" s="94">
        <v>90</v>
      </c>
      <c r="I3117" s="87">
        <v>46083</v>
      </c>
      <c r="J3117" s="93">
        <v>0.4680555555555555</v>
      </c>
      <c r="K3117" s="94">
        <v>90</v>
      </c>
      <c r="L3117" s="72" t="str">
        <f t="shared" si="49"/>
        <v>Payé</v>
      </c>
      <c r="N3117" s="15"/>
    </row>
    <row r="3118" spans="1:14" s="14" customFormat="1" ht="18" x14ac:dyDescent="0.25">
      <c r="A3118" s="90" t="s">
        <v>863</v>
      </c>
      <c r="B3118" s="90">
        <v>4169</v>
      </c>
      <c r="C3118" s="88" t="s">
        <v>1561</v>
      </c>
      <c r="D3118" s="90" t="s">
        <v>17</v>
      </c>
      <c r="E3118" s="90" t="s">
        <v>649</v>
      </c>
      <c r="F3118" s="90" t="s">
        <v>863</v>
      </c>
      <c r="G3118" s="137">
        <v>9</v>
      </c>
      <c r="H3118" s="94">
        <v>810</v>
      </c>
      <c r="I3118" s="87">
        <v>46077</v>
      </c>
      <c r="J3118" s="93">
        <v>0.55486111111111114</v>
      </c>
      <c r="K3118" s="94">
        <v>810</v>
      </c>
      <c r="L3118" s="72" t="str">
        <f t="shared" si="49"/>
        <v>Payé</v>
      </c>
      <c r="N3118" s="15"/>
    </row>
    <row r="3119" spans="1:14" s="14" customFormat="1" ht="18" x14ac:dyDescent="0.25">
      <c r="A3119" s="90" t="s">
        <v>863</v>
      </c>
      <c r="B3119" s="90">
        <v>4202</v>
      </c>
      <c r="C3119" s="88" t="s">
        <v>609</v>
      </c>
      <c r="D3119" s="90" t="s">
        <v>17</v>
      </c>
      <c r="E3119" s="90" t="s">
        <v>649</v>
      </c>
      <c r="F3119" s="90" t="s">
        <v>863</v>
      </c>
      <c r="G3119" s="137">
        <v>9</v>
      </c>
      <c r="H3119" s="94">
        <v>810</v>
      </c>
      <c r="I3119" s="87">
        <v>46077</v>
      </c>
      <c r="J3119" s="93">
        <v>0.55486111111111114</v>
      </c>
      <c r="K3119" s="94">
        <v>810</v>
      </c>
      <c r="L3119" s="72" t="str">
        <f t="shared" si="49"/>
        <v>Payé</v>
      </c>
      <c r="N3119" s="15"/>
    </row>
    <row r="3120" spans="1:14" s="14" customFormat="1" ht="18" x14ac:dyDescent="0.25">
      <c r="A3120" s="90" t="s">
        <v>863</v>
      </c>
      <c r="B3120" s="90">
        <v>4310</v>
      </c>
      <c r="C3120" s="88" t="s">
        <v>624</v>
      </c>
      <c r="D3120" s="90" t="s">
        <v>17</v>
      </c>
      <c r="E3120" s="90" t="s">
        <v>628</v>
      </c>
      <c r="F3120" s="90" t="s">
        <v>863</v>
      </c>
      <c r="G3120" s="137">
        <v>8</v>
      </c>
      <c r="H3120" s="94">
        <v>720</v>
      </c>
      <c r="I3120" s="87">
        <v>46078</v>
      </c>
      <c r="J3120" s="93">
        <v>0.5229166666666667</v>
      </c>
      <c r="K3120" s="94">
        <v>720</v>
      </c>
      <c r="L3120" s="72" t="str">
        <f t="shared" si="49"/>
        <v>Payé</v>
      </c>
      <c r="N3120" s="15"/>
    </row>
    <row r="3121" spans="1:14" s="14" customFormat="1" ht="18" x14ac:dyDescent="0.25">
      <c r="A3121" s="90" t="s">
        <v>863</v>
      </c>
      <c r="B3121" s="90">
        <v>4333</v>
      </c>
      <c r="C3121" s="88" t="s">
        <v>706</v>
      </c>
      <c r="D3121" s="90" t="s">
        <v>17</v>
      </c>
      <c r="E3121" s="90" t="s">
        <v>628</v>
      </c>
      <c r="F3121" s="90" t="s">
        <v>863</v>
      </c>
      <c r="G3121" s="137">
        <v>11</v>
      </c>
      <c r="H3121" s="94">
        <v>1000</v>
      </c>
      <c r="I3121" s="87">
        <v>46078</v>
      </c>
      <c r="J3121" s="93">
        <v>0.5229166666666667</v>
      </c>
      <c r="K3121" s="94">
        <v>1000</v>
      </c>
      <c r="L3121" s="72" t="str">
        <f t="shared" si="49"/>
        <v>Payé</v>
      </c>
      <c r="N3121" s="15"/>
    </row>
    <row r="3122" spans="1:14" s="14" customFormat="1" ht="18" x14ac:dyDescent="0.25">
      <c r="A3122" s="90" t="s">
        <v>863</v>
      </c>
      <c r="B3122" s="90">
        <v>4334</v>
      </c>
      <c r="C3122" s="88" t="s">
        <v>622</v>
      </c>
      <c r="D3122" s="90" t="s">
        <v>17</v>
      </c>
      <c r="E3122" s="90" t="s">
        <v>628</v>
      </c>
      <c r="F3122" s="90" t="s">
        <v>863</v>
      </c>
      <c r="G3122" s="137">
        <v>10</v>
      </c>
      <c r="H3122" s="94">
        <v>930</v>
      </c>
      <c r="I3122" s="87">
        <v>46078</v>
      </c>
      <c r="J3122" s="93">
        <v>0.5229166666666667</v>
      </c>
      <c r="K3122" s="94">
        <v>930</v>
      </c>
      <c r="L3122" s="72" t="str">
        <f t="shared" si="49"/>
        <v>Payé</v>
      </c>
      <c r="N3122" s="15"/>
    </row>
    <row r="3123" spans="1:14" s="14" customFormat="1" ht="18" x14ac:dyDescent="0.25">
      <c r="A3123" s="90" t="s">
        <v>863</v>
      </c>
      <c r="B3123" s="90">
        <v>4422</v>
      </c>
      <c r="C3123" s="88" t="s">
        <v>1589</v>
      </c>
      <c r="D3123" s="90" t="s">
        <v>17</v>
      </c>
      <c r="E3123" s="90" t="s">
        <v>1104</v>
      </c>
      <c r="F3123" s="90" t="s">
        <v>863</v>
      </c>
      <c r="G3123" s="137">
        <v>12</v>
      </c>
      <c r="H3123" s="94">
        <v>1140</v>
      </c>
      <c r="I3123" s="87">
        <v>46080</v>
      </c>
      <c r="J3123" s="93">
        <v>0.53263888888888888</v>
      </c>
      <c r="K3123" s="94">
        <v>1140</v>
      </c>
      <c r="L3123" s="72" t="str">
        <f t="shared" si="49"/>
        <v>Payé</v>
      </c>
      <c r="N3123" s="15"/>
    </row>
    <row r="3124" spans="1:14" s="14" customFormat="1" ht="18" x14ac:dyDescent="0.25">
      <c r="A3124" s="90" t="s">
        <v>863</v>
      </c>
      <c r="B3124" s="90">
        <v>4470</v>
      </c>
      <c r="C3124" s="88" t="s">
        <v>989</v>
      </c>
      <c r="D3124" s="90" t="s">
        <v>17</v>
      </c>
      <c r="E3124" s="90" t="s">
        <v>628</v>
      </c>
      <c r="F3124" s="90" t="s">
        <v>863</v>
      </c>
      <c r="G3124" s="137">
        <v>4</v>
      </c>
      <c r="H3124" s="94">
        <v>360</v>
      </c>
      <c r="I3124" s="87">
        <v>46078</v>
      </c>
      <c r="J3124" s="93">
        <v>0.5229166666666667</v>
      </c>
      <c r="K3124" s="94">
        <v>360</v>
      </c>
      <c r="L3124" s="72" t="str">
        <f t="shared" si="49"/>
        <v>Payé</v>
      </c>
      <c r="N3124" s="15"/>
    </row>
    <row r="3125" spans="1:14" s="14" customFormat="1" ht="18" x14ac:dyDescent="0.25">
      <c r="A3125" s="90" t="s">
        <v>863</v>
      </c>
      <c r="B3125" s="90">
        <v>4471</v>
      </c>
      <c r="C3125" s="88" t="s">
        <v>1678</v>
      </c>
      <c r="D3125" s="90" t="s">
        <v>17</v>
      </c>
      <c r="E3125" s="90" t="s">
        <v>123</v>
      </c>
      <c r="F3125" s="90" t="s">
        <v>863</v>
      </c>
      <c r="G3125" s="137">
        <v>9</v>
      </c>
      <c r="H3125" s="94">
        <v>810</v>
      </c>
      <c r="I3125" s="87">
        <v>46077</v>
      </c>
      <c r="J3125" s="93">
        <v>0.55625000000000002</v>
      </c>
      <c r="K3125" s="94">
        <v>810</v>
      </c>
      <c r="L3125" s="72" t="str">
        <f t="shared" si="49"/>
        <v>Payé</v>
      </c>
      <c r="N3125" s="15"/>
    </row>
    <row r="3126" spans="1:14" s="14" customFormat="1" ht="18" x14ac:dyDescent="0.25">
      <c r="A3126" s="90" t="s">
        <v>863</v>
      </c>
      <c r="B3126" s="90">
        <v>4473</v>
      </c>
      <c r="C3126" s="88" t="s">
        <v>623</v>
      </c>
      <c r="D3126" s="90" t="s">
        <v>17</v>
      </c>
      <c r="E3126" s="90" t="s">
        <v>628</v>
      </c>
      <c r="F3126" s="90" t="s">
        <v>863</v>
      </c>
      <c r="G3126" s="137">
        <v>10</v>
      </c>
      <c r="H3126" s="94">
        <v>900</v>
      </c>
      <c r="I3126" s="87">
        <v>46078</v>
      </c>
      <c r="J3126" s="93">
        <v>0.5229166666666667</v>
      </c>
      <c r="K3126" s="94">
        <v>900</v>
      </c>
      <c r="L3126" s="72" t="str">
        <f t="shared" si="49"/>
        <v>Payé</v>
      </c>
      <c r="N3126" s="15"/>
    </row>
    <row r="3127" spans="1:14" s="14" customFormat="1" ht="18" x14ac:dyDescent="0.25">
      <c r="A3127" s="90" t="s">
        <v>863</v>
      </c>
      <c r="B3127" s="90">
        <v>4525</v>
      </c>
      <c r="C3127" s="88" t="s">
        <v>1679</v>
      </c>
      <c r="D3127" s="90" t="s">
        <v>17</v>
      </c>
      <c r="E3127" s="90" t="s">
        <v>757</v>
      </c>
      <c r="F3127" s="90" t="s">
        <v>863</v>
      </c>
      <c r="G3127" s="137">
        <v>6</v>
      </c>
      <c r="H3127" s="94">
        <v>540</v>
      </c>
      <c r="I3127" s="87">
        <v>46077</v>
      </c>
      <c r="J3127" s="93">
        <v>0.61388888888888882</v>
      </c>
      <c r="K3127" s="94">
        <v>540</v>
      </c>
      <c r="L3127" s="72" t="str">
        <f t="shared" si="49"/>
        <v>Payé</v>
      </c>
      <c r="N3127" s="15"/>
    </row>
    <row r="3128" spans="1:14" s="14" customFormat="1" ht="18" x14ac:dyDescent="0.25">
      <c r="A3128" s="90" t="s">
        <v>863</v>
      </c>
      <c r="B3128" s="90">
        <v>4606</v>
      </c>
      <c r="C3128" s="88" t="s">
        <v>1680</v>
      </c>
      <c r="D3128" s="90" t="s">
        <v>17</v>
      </c>
      <c r="E3128" s="90" t="s">
        <v>757</v>
      </c>
      <c r="F3128" s="90" t="s">
        <v>863</v>
      </c>
      <c r="G3128" s="137">
        <v>5</v>
      </c>
      <c r="H3128" s="94">
        <v>450</v>
      </c>
      <c r="I3128" s="87">
        <v>46077</v>
      </c>
      <c r="J3128" s="93">
        <v>0.61388888888888882</v>
      </c>
      <c r="K3128" s="94">
        <v>450</v>
      </c>
      <c r="L3128" s="72" t="str">
        <f t="shared" si="49"/>
        <v>Payé</v>
      </c>
      <c r="N3128" s="15"/>
    </row>
    <row r="3129" spans="1:14" s="14" customFormat="1" ht="18" x14ac:dyDescent="0.25">
      <c r="A3129" s="90" t="s">
        <v>863</v>
      </c>
      <c r="B3129" s="90">
        <v>4801</v>
      </c>
      <c r="C3129" s="88" t="s">
        <v>990</v>
      </c>
      <c r="D3129" s="90" t="s">
        <v>17</v>
      </c>
      <c r="E3129" s="90" t="s">
        <v>628</v>
      </c>
      <c r="F3129" s="90" t="s">
        <v>863</v>
      </c>
      <c r="G3129" s="137">
        <v>10</v>
      </c>
      <c r="H3129" s="94">
        <v>900</v>
      </c>
      <c r="I3129" s="87">
        <v>46078</v>
      </c>
      <c r="J3129" s="93">
        <v>0.5229166666666667</v>
      </c>
      <c r="K3129" s="94">
        <v>900</v>
      </c>
      <c r="L3129" s="72" t="str">
        <f t="shared" si="49"/>
        <v>Payé</v>
      </c>
      <c r="N3129" s="15"/>
    </row>
    <row r="3130" spans="1:14" s="14" customFormat="1" ht="18" x14ac:dyDescent="0.25">
      <c r="A3130" s="90" t="s">
        <v>863</v>
      </c>
      <c r="B3130" s="90">
        <v>4840</v>
      </c>
      <c r="C3130" s="88" t="s">
        <v>766</v>
      </c>
      <c r="D3130" s="90" t="s">
        <v>17</v>
      </c>
      <c r="E3130" s="90" t="s">
        <v>49</v>
      </c>
      <c r="F3130" s="90" t="s">
        <v>863</v>
      </c>
      <c r="G3130" s="137">
        <v>13</v>
      </c>
      <c r="H3130" s="94">
        <v>1170</v>
      </c>
      <c r="I3130" s="87">
        <v>46077</v>
      </c>
      <c r="J3130" s="93">
        <v>0.62222222222222223</v>
      </c>
      <c r="K3130" s="94">
        <v>1170</v>
      </c>
      <c r="L3130" s="72" t="str">
        <f t="shared" si="49"/>
        <v>Payé</v>
      </c>
      <c r="N3130" s="15"/>
    </row>
    <row r="3131" spans="1:14" s="14" customFormat="1" ht="18" x14ac:dyDescent="0.25">
      <c r="A3131" s="90" t="s">
        <v>863</v>
      </c>
      <c r="B3131" s="90">
        <v>4848</v>
      </c>
      <c r="C3131" s="88" t="s">
        <v>1064</v>
      </c>
      <c r="D3131" s="90" t="s">
        <v>17</v>
      </c>
      <c r="E3131" s="90" t="s">
        <v>628</v>
      </c>
      <c r="F3131" s="90" t="s">
        <v>863</v>
      </c>
      <c r="G3131" s="137">
        <v>3</v>
      </c>
      <c r="H3131" s="94">
        <v>270</v>
      </c>
      <c r="I3131" s="87">
        <v>46078</v>
      </c>
      <c r="J3131" s="93">
        <v>0.5229166666666667</v>
      </c>
      <c r="K3131" s="94">
        <v>270</v>
      </c>
      <c r="L3131" s="72" t="str">
        <f t="shared" si="49"/>
        <v>Payé</v>
      </c>
      <c r="N3131" s="15"/>
    </row>
    <row r="3132" spans="1:14" s="14" customFormat="1" ht="18" x14ac:dyDescent="0.25">
      <c r="A3132" s="90" t="s">
        <v>863</v>
      </c>
      <c r="B3132" s="90">
        <v>4857</v>
      </c>
      <c r="C3132" s="88" t="s">
        <v>1681</v>
      </c>
      <c r="D3132" s="90" t="s">
        <v>17</v>
      </c>
      <c r="E3132" s="90" t="s">
        <v>123</v>
      </c>
      <c r="F3132" s="90" t="s">
        <v>863</v>
      </c>
      <c r="G3132" s="137">
        <v>10</v>
      </c>
      <c r="H3132" s="94">
        <v>910</v>
      </c>
      <c r="I3132" s="87">
        <v>46078</v>
      </c>
      <c r="J3132" s="93">
        <v>0.63958333333333328</v>
      </c>
      <c r="K3132" s="94">
        <v>910</v>
      </c>
      <c r="L3132" s="72" t="str">
        <f t="shared" si="49"/>
        <v>Payé</v>
      </c>
      <c r="N3132" s="15"/>
    </row>
    <row r="3133" spans="1:14" s="14" customFormat="1" ht="18" x14ac:dyDescent="0.25">
      <c r="A3133" s="90" t="s">
        <v>863</v>
      </c>
      <c r="B3133" s="90">
        <v>5076</v>
      </c>
      <c r="C3133" s="88" t="s">
        <v>991</v>
      </c>
      <c r="D3133" s="90" t="s">
        <v>17</v>
      </c>
      <c r="E3133" s="90" t="s">
        <v>753</v>
      </c>
      <c r="F3133" s="90" t="s">
        <v>863</v>
      </c>
      <c r="G3133" s="137">
        <v>1</v>
      </c>
      <c r="H3133" s="94">
        <v>90</v>
      </c>
      <c r="I3133" s="87">
        <v>46099</v>
      </c>
      <c r="J3133" s="93">
        <v>0.62430555555555556</v>
      </c>
      <c r="K3133" s="94">
        <v>90</v>
      </c>
      <c r="L3133" s="72" t="str">
        <f t="shared" si="49"/>
        <v>Payé</v>
      </c>
      <c r="N3133" s="15"/>
    </row>
    <row r="3134" spans="1:14" s="14" customFormat="1" ht="18" x14ac:dyDescent="0.25">
      <c r="A3134" s="90" t="s">
        <v>863</v>
      </c>
      <c r="B3134" s="90">
        <v>5136</v>
      </c>
      <c r="C3134" s="88" t="s">
        <v>1067</v>
      </c>
      <c r="D3134" s="90" t="s">
        <v>17</v>
      </c>
      <c r="E3134" s="90" t="s">
        <v>1104</v>
      </c>
      <c r="F3134" s="90" t="s">
        <v>863</v>
      </c>
      <c r="G3134" s="137">
        <v>14</v>
      </c>
      <c r="H3134" s="94">
        <v>1320</v>
      </c>
      <c r="I3134" s="87">
        <v>46077</v>
      </c>
      <c r="J3134" s="93">
        <v>0.625</v>
      </c>
      <c r="K3134" s="94">
        <v>1320</v>
      </c>
      <c r="L3134" s="72" t="str">
        <f t="shared" si="49"/>
        <v>Payé</v>
      </c>
      <c r="N3134" s="15"/>
    </row>
    <row r="3135" spans="1:14" s="14" customFormat="1" ht="18" x14ac:dyDescent="0.25">
      <c r="A3135" s="90" t="s">
        <v>863</v>
      </c>
      <c r="B3135" s="90">
        <v>5186</v>
      </c>
      <c r="C3135" s="88" t="s">
        <v>1211</v>
      </c>
      <c r="D3135" s="90" t="s">
        <v>17</v>
      </c>
      <c r="E3135" s="90" t="s">
        <v>753</v>
      </c>
      <c r="F3135" s="90" t="s">
        <v>863</v>
      </c>
      <c r="G3135" s="137">
        <v>2</v>
      </c>
      <c r="H3135" s="94">
        <v>180</v>
      </c>
      <c r="I3135" s="87">
        <v>46078</v>
      </c>
      <c r="J3135" s="93">
        <v>0.55763888888888891</v>
      </c>
      <c r="K3135" s="94">
        <v>180</v>
      </c>
      <c r="L3135" s="72" t="str">
        <f t="shared" si="49"/>
        <v>Payé</v>
      </c>
      <c r="N3135" s="15"/>
    </row>
    <row r="3136" spans="1:14" s="14" customFormat="1" ht="18" x14ac:dyDescent="0.25">
      <c r="A3136" s="90" t="s">
        <v>863</v>
      </c>
      <c r="B3136" s="90">
        <v>5229</v>
      </c>
      <c r="C3136" s="88" t="s">
        <v>879</v>
      </c>
      <c r="D3136" s="90" t="s">
        <v>17</v>
      </c>
      <c r="E3136" s="90" t="s">
        <v>49</v>
      </c>
      <c r="F3136" s="90" t="s">
        <v>863</v>
      </c>
      <c r="G3136" s="137">
        <v>8</v>
      </c>
      <c r="H3136" s="94">
        <v>720</v>
      </c>
      <c r="I3136" s="87">
        <v>46086</v>
      </c>
      <c r="J3136" s="93">
        <v>0.58750000000000002</v>
      </c>
      <c r="K3136" s="94">
        <v>720</v>
      </c>
      <c r="L3136" s="72" t="str">
        <f t="shared" si="49"/>
        <v>Payé</v>
      </c>
      <c r="N3136" s="78"/>
    </row>
    <row r="3137" spans="1:14" s="14" customFormat="1" ht="18" x14ac:dyDescent="0.25">
      <c r="A3137" s="90" t="s">
        <v>863</v>
      </c>
      <c r="B3137" s="90">
        <v>5232</v>
      </c>
      <c r="C3137" s="88" t="s">
        <v>1592</v>
      </c>
      <c r="D3137" s="90" t="s">
        <v>17</v>
      </c>
      <c r="E3137" s="90" t="s">
        <v>1104</v>
      </c>
      <c r="F3137" s="90" t="s">
        <v>863</v>
      </c>
      <c r="G3137" s="137">
        <v>2</v>
      </c>
      <c r="H3137" s="94">
        <v>180</v>
      </c>
      <c r="I3137" s="87">
        <v>46078</v>
      </c>
      <c r="J3137" s="93">
        <v>0.58194444444444449</v>
      </c>
      <c r="K3137" s="94">
        <v>180</v>
      </c>
      <c r="L3137" s="72" t="str">
        <f t="shared" si="49"/>
        <v>Payé</v>
      </c>
      <c r="N3137" s="15"/>
    </row>
    <row r="3138" spans="1:14" s="14" customFormat="1" ht="18" x14ac:dyDescent="0.25">
      <c r="A3138" s="90" t="s">
        <v>863</v>
      </c>
      <c r="B3138" s="90">
        <v>5258</v>
      </c>
      <c r="C3138" s="88" t="s">
        <v>893</v>
      </c>
      <c r="D3138" s="90" t="s">
        <v>17</v>
      </c>
      <c r="E3138" s="90" t="s">
        <v>123</v>
      </c>
      <c r="F3138" s="90" t="s">
        <v>863</v>
      </c>
      <c r="G3138" s="137">
        <v>3</v>
      </c>
      <c r="H3138" s="94">
        <v>270</v>
      </c>
      <c r="I3138" s="87">
        <v>46080</v>
      </c>
      <c r="J3138" s="93">
        <v>0.4916666666666667</v>
      </c>
      <c r="K3138" s="94">
        <v>270</v>
      </c>
      <c r="L3138" s="72" t="str">
        <f t="shared" si="49"/>
        <v>Payé</v>
      </c>
      <c r="N3138" s="15"/>
    </row>
    <row r="3139" spans="1:14" s="14" customFormat="1" ht="18" x14ac:dyDescent="0.25">
      <c r="A3139" s="90" t="s">
        <v>863</v>
      </c>
      <c r="B3139" s="90">
        <v>5262</v>
      </c>
      <c r="C3139" s="88" t="s">
        <v>735</v>
      </c>
      <c r="D3139" s="90" t="s">
        <v>17</v>
      </c>
      <c r="E3139" s="90" t="s">
        <v>649</v>
      </c>
      <c r="F3139" s="90" t="s">
        <v>863</v>
      </c>
      <c r="G3139" s="137">
        <v>9</v>
      </c>
      <c r="H3139" s="94">
        <v>810</v>
      </c>
      <c r="I3139" s="87">
        <v>46077</v>
      </c>
      <c r="J3139" s="93">
        <v>0.55486111111111114</v>
      </c>
      <c r="K3139" s="94">
        <v>810</v>
      </c>
      <c r="L3139" s="72" t="str">
        <f t="shared" si="49"/>
        <v>Payé</v>
      </c>
      <c r="N3139" s="15"/>
    </row>
    <row r="3140" spans="1:14" s="14" customFormat="1" ht="18" x14ac:dyDescent="0.25">
      <c r="A3140" s="90" t="s">
        <v>863</v>
      </c>
      <c r="B3140" s="90">
        <v>5317</v>
      </c>
      <c r="C3140" s="88" t="s">
        <v>551</v>
      </c>
      <c r="D3140" s="90" t="s">
        <v>17</v>
      </c>
      <c r="E3140" s="90" t="s">
        <v>649</v>
      </c>
      <c r="F3140" s="90" t="s">
        <v>863</v>
      </c>
      <c r="G3140" s="137">
        <v>9</v>
      </c>
      <c r="H3140" s="94">
        <v>810</v>
      </c>
      <c r="I3140" s="87">
        <v>46077</v>
      </c>
      <c r="J3140" s="93">
        <v>0.55486111111111114</v>
      </c>
      <c r="K3140" s="94">
        <v>810</v>
      </c>
      <c r="L3140" s="72" t="str">
        <f t="shared" si="49"/>
        <v>Payé</v>
      </c>
      <c r="N3140" s="15"/>
    </row>
    <row r="3141" spans="1:14" s="14" customFormat="1" ht="18" x14ac:dyDescent="0.25">
      <c r="A3141" s="90" t="s">
        <v>863</v>
      </c>
      <c r="B3141" s="90">
        <v>5354</v>
      </c>
      <c r="C3141" s="88" t="s">
        <v>1057</v>
      </c>
      <c r="D3141" s="90" t="s">
        <v>17</v>
      </c>
      <c r="E3141" s="90" t="s">
        <v>1104</v>
      </c>
      <c r="F3141" s="90" t="s">
        <v>863</v>
      </c>
      <c r="G3141" s="137">
        <v>1</v>
      </c>
      <c r="H3141" s="94">
        <v>90</v>
      </c>
      <c r="I3141" s="87">
        <v>46088</v>
      </c>
      <c r="J3141" s="93">
        <v>0.52361111111111114</v>
      </c>
      <c r="K3141" s="94">
        <v>90</v>
      </c>
      <c r="L3141" s="72" t="str">
        <f t="shared" si="49"/>
        <v>Payé</v>
      </c>
      <c r="N3141" s="15"/>
    </row>
    <row r="3142" spans="1:14" s="14" customFormat="1" ht="18" x14ac:dyDescent="0.25">
      <c r="A3142" s="90" t="s">
        <v>863</v>
      </c>
      <c r="B3142" s="90">
        <v>5355</v>
      </c>
      <c r="C3142" s="88" t="s">
        <v>1090</v>
      </c>
      <c r="D3142" s="90" t="s">
        <v>17</v>
      </c>
      <c r="E3142" s="90" t="s">
        <v>1104</v>
      </c>
      <c r="F3142" s="90" t="s">
        <v>863</v>
      </c>
      <c r="G3142" s="137">
        <v>10</v>
      </c>
      <c r="H3142" s="94">
        <v>960</v>
      </c>
      <c r="I3142" s="87">
        <v>46077</v>
      </c>
      <c r="J3142" s="93">
        <v>0.60833333333333328</v>
      </c>
      <c r="K3142" s="94">
        <v>960</v>
      </c>
      <c r="L3142" s="72" t="str">
        <f t="shared" si="49"/>
        <v>Payé</v>
      </c>
      <c r="N3142" s="15"/>
    </row>
    <row r="3143" spans="1:14" s="14" customFormat="1" ht="18" x14ac:dyDescent="0.25">
      <c r="A3143" s="90" t="s">
        <v>863</v>
      </c>
      <c r="B3143" s="90">
        <v>5365</v>
      </c>
      <c r="C3143" s="88" t="s">
        <v>1123</v>
      </c>
      <c r="D3143" s="90" t="s">
        <v>17</v>
      </c>
      <c r="E3143" s="90" t="s">
        <v>370</v>
      </c>
      <c r="F3143" s="90" t="s">
        <v>863</v>
      </c>
      <c r="G3143" s="137">
        <v>15</v>
      </c>
      <c r="H3143" s="94">
        <v>1500</v>
      </c>
      <c r="I3143" s="87">
        <v>46080</v>
      </c>
      <c r="J3143" s="93">
        <v>0.57916666666666672</v>
      </c>
      <c r="K3143" s="94">
        <v>1500</v>
      </c>
      <c r="L3143" s="72" t="str">
        <f t="shared" si="49"/>
        <v>Payé</v>
      </c>
      <c r="N3143" s="15"/>
    </row>
    <row r="3144" spans="1:14" s="14" customFormat="1" ht="18" x14ac:dyDescent="0.25">
      <c r="A3144" s="90" t="s">
        <v>863</v>
      </c>
      <c r="B3144" s="90">
        <v>6037</v>
      </c>
      <c r="C3144" s="88" t="s">
        <v>1682</v>
      </c>
      <c r="D3144" s="90" t="s">
        <v>17</v>
      </c>
      <c r="E3144" s="90" t="s">
        <v>123</v>
      </c>
      <c r="F3144" s="90" t="s">
        <v>863</v>
      </c>
      <c r="G3144" s="137">
        <v>6</v>
      </c>
      <c r="H3144" s="94">
        <v>540</v>
      </c>
      <c r="I3144" s="87">
        <v>46077</v>
      </c>
      <c r="J3144" s="93">
        <v>0.55625000000000002</v>
      </c>
      <c r="K3144" s="94">
        <v>540</v>
      </c>
      <c r="L3144" s="72" t="str">
        <f t="shared" si="49"/>
        <v>Payé</v>
      </c>
      <c r="N3144" s="15"/>
    </row>
    <row r="3145" spans="1:14" s="14" customFormat="1" ht="18" x14ac:dyDescent="0.25">
      <c r="A3145" s="90" t="s">
        <v>863</v>
      </c>
      <c r="B3145" s="90">
        <v>6070</v>
      </c>
      <c r="C3145" s="88" t="s">
        <v>1153</v>
      </c>
      <c r="D3145" s="90" t="s">
        <v>17</v>
      </c>
      <c r="E3145" s="90" t="s">
        <v>49</v>
      </c>
      <c r="F3145" s="90" t="s">
        <v>863</v>
      </c>
      <c r="G3145" s="137">
        <v>8</v>
      </c>
      <c r="H3145" s="94">
        <v>720</v>
      </c>
      <c r="I3145" s="87">
        <v>46077</v>
      </c>
      <c r="J3145" s="93">
        <v>0.62222222222222223</v>
      </c>
      <c r="K3145" s="94">
        <v>720</v>
      </c>
      <c r="L3145" s="72" t="str">
        <f t="shared" si="49"/>
        <v>Payé</v>
      </c>
      <c r="N3145" s="15"/>
    </row>
    <row r="3146" spans="1:14" s="14" customFormat="1" ht="18" x14ac:dyDescent="0.25">
      <c r="A3146" s="90" t="s">
        <v>863</v>
      </c>
      <c r="B3146" s="90">
        <v>7004</v>
      </c>
      <c r="C3146" s="88" t="s">
        <v>713</v>
      </c>
      <c r="D3146" s="90" t="s">
        <v>17</v>
      </c>
      <c r="E3146" s="90" t="s">
        <v>49</v>
      </c>
      <c r="F3146" s="90" t="s">
        <v>863</v>
      </c>
      <c r="G3146" s="137">
        <v>13</v>
      </c>
      <c r="H3146" s="94">
        <v>1170</v>
      </c>
      <c r="I3146" s="87">
        <v>46087</v>
      </c>
      <c r="J3146" s="93">
        <v>0.59236111111111112</v>
      </c>
      <c r="K3146" s="94">
        <v>1170</v>
      </c>
      <c r="L3146" s="72" t="str">
        <f t="shared" si="49"/>
        <v>Payé</v>
      </c>
      <c r="N3146" s="15"/>
    </row>
    <row r="3147" spans="1:14" s="14" customFormat="1" ht="18" x14ac:dyDescent="0.25">
      <c r="A3147" s="90" t="s">
        <v>863</v>
      </c>
      <c r="B3147" s="90">
        <v>8022</v>
      </c>
      <c r="C3147" s="88" t="s">
        <v>707</v>
      </c>
      <c r="D3147" s="90" t="s">
        <v>17</v>
      </c>
      <c r="E3147" s="90" t="s">
        <v>628</v>
      </c>
      <c r="F3147" s="90" t="s">
        <v>863</v>
      </c>
      <c r="G3147" s="137">
        <v>11</v>
      </c>
      <c r="H3147" s="94">
        <v>990</v>
      </c>
      <c r="I3147" s="87">
        <v>46078</v>
      </c>
      <c r="J3147" s="93">
        <v>0.5229166666666667</v>
      </c>
      <c r="K3147" s="94">
        <v>990</v>
      </c>
      <c r="L3147" s="72" t="str">
        <f t="shared" si="49"/>
        <v>Payé</v>
      </c>
      <c r="N3147" s="15"/>
    </row>
    <row r="3148" spans="1:14" s="14" customFormat="1" ht="18" x14ac:dyDescent="0.25">
      <c r="A3148" s="90" t="s">
        <v>863</v>
      </c>
      <c r="B3148" s="90">
        <v>9033</v>
      </c>
      <c r="C3148" s="88" t="s">
        <v>1683</v>
      </c>
      <c r="D3148" s="90" t="s">
        <v>17</v>
      </c>
      <c r="E3148" s="90" t="s">
        <v>49</v>
      </c>
      <c r="F3148" s="90" t="s">
        <v>863</v>
      </c>
      <c r="G3148" s="137">
        <v>6</v>
      </c>
      <c r="H3148" s="94">
        <v>540</v>
      </c>
      <c r="I3148" s="87">
        <v>46080</v>
      </c>
      <c r="J3148" s="93">
        <v>0.51041666666666663</v>
      </c>
      <c r="K3148" s="94">
        <v>540</v>
      </c>
      <c r="L3148" s="72" t="str">
        <f t="shared" si="49"/>
        <v>Payé</v>
      </c>
      <c r="N3148" s="15"/>
    </row>
    <row r="3149" spans="1:14" s="14" customFormat="1" ht="18" x14ac:dyDescent="0.25">
      <c r="A3149" s="90" t="s">
        <v>863</v>
      </c>
      <c r="B3149" s="90">
        <v>9034</v>
      </c>
      <c r="C3149" s="88" t="s">
        <v>736</v>
      </c>
      <c r="D3149" s="90" t="s">
        <v>17</v>
      </c>
      <c r="E3149" s="90" t="s">
        <v>49</v>
      </c>
      <c r="F3149" s="90" t="s">
        <v>863</v>
      </c>
      <c r="G3149" s="137">
        <v>9</v>
      </c>
      <c r="H3149" s="94">
        <v>810</v>
      </c>
      <c r="I3149" s="87">
        <v>46078</v>
      </c>
      <c r="J3149" s="93">
        <v>0.4916666666666667</v>
      </c>
      <c r="K3149" s="94">
        <v>810</v>
      </c>
      <c r="L3149" s="72" t="str">
        <f t="shared" si="49"/>
        <v>Payé</v>
      </c>
      <c r="N3149" s="15"/>
    </row>
    <row r="3150" spans="1:14" s="14" customFormat="1" ht="18" x14ac:dyDescent="0.25">
      <c r="A3150" s="90" t="s">
        <v>863</v>
      </c>
      <c r="B3150" s="90">
        <v>9074</v>
      </c>
      <c r="C3150" s="88" t="s">
        <v>1564</v>
      </c>
      <c r="D3150" s="90" t="s">
        <v>17</v>
      </c>
      <c r="E3150" s="90" t="s">
        <v>649</v>
      </c>
      <c r="F3150" s="90" t="s">
        <v>863</v>
      </c>
      <c r="G3150" s="137">
        <v>1</v>
      </c>
      <c r="H3150" s="94">
        <v>90</v>
      </c>
      <c r="I3150" s="87">
        <v>46077</v>
      </c>
      <c r="J3150" s="93">
        <v>0.55486111111111114</v>
      </c>
      <c r="K3150" s="94">
        <v>90</v>
      </c>
      <c r="L3150" s="72" t="str">
        <f t="shared" si="49"/>
        <v>Payé</v>
      </c>
      <c r="N3150" s="15"/>
    </row>
    <row r="3151" spans="1:14" s="14" customFormat="1" ht="18" x14ac:dyDescent="0.25">
      <c r="A3151" s="90" t="s">
        <v>863</v>
      </c>
      <c r="B3151" s="90">
        <v>10008</v>
      </c>
      <c r="C3151" s="88" t="s">
        <v>1134</v>
      </c>
      <c r="D3151" s="90" t="s">
        <v>17</v>
      </c>
      <c r="E3151" s="90" t="s">
        <v>628</v>
      </c>
      <c r="F3151" s="90" t="s">
        <v>863</v>
      </c>
      <c r="G3151" s="137">
        <v>10</v>
      </c>
      <c r="H3151" s="94">
        <v>900</v>
      </c>
      <c r="I3151" s="87">
        <v>46078</v>
      </c>
      <c r="J3151" s="93">
        <v>0.5229166666666667</v>
      </c>
      <c r="K3151" s="94">
        <v>900</v>
      </c>
      <c r="L3151" s="72" t="str">
        <f t="shared" si="49"/>
        <v>Payé</v>
      </c>
      <c r="N3151" s="15"/>
    </row>
    <row r="3152" spans="1:14" s="14" customFormat="1" ht="18" x14ac:dyDescent="0.25">
      <c r="A3152" s="90" t="s">
        <v>863</v>
      </c>
      <c r="B3152" s="90">
        <v>10011</v>
      </c>
      <c r="C3152" s="88" t="s">
        <v>1159</v>
      </c>
      <c r="D3152" s="90" t="s">
        <v>17</v>
      </c>
      <c r="E3152" s="90" t="s">
        <v>753</v>
      </c>
      <c r="F3152" s="90" t="s">
        <v>863</v>
      </c>
      <c r="G3152" s="137">
        <v>1</v>
      </c>
      <c r="H3152" s="94">
        <v>90</v>
      </c>
      <c r="I3152" s="87">
        <v>46100</v>
      </c>
      <c r="J3152" s="93">
        <v>46102</v>
      </c>
      <c r="K3152" s="94">
        <v>90</v>
      </c>
      <c r="L3152" s="72" t="str">
        <f t="shared" si="49"/>
        <v>Payé</v>
      </c>
      <c r="N3152" s="15"/>
    </row>
    <row r="3153" spans="1:14" s="14" customFormat="1" ht="18" x14ac:dyDescent="0.25">
      <c r="A3153" s="90" t="s">
        <v>863</v>
      </c>
      <c r="B3153" s="90">
        <v>10031</v>
      </c>
      <c r="C3153" s="88" t="s">
        <v>1177</v>
      </c>
      <c r="D3153" s="90" t="s">
        <v>17</v>
      </c>
      <c r="E3153" s="90" t="s">
        <v>753</v>
      </c>
      <c r="F3153" s="90" t="s">
        <v>863</v>
      </c>
      <c r="G3153" s="137">
        <v>1</v>
      </c>
      <c r="H3153" s="94">
        <v>90</v>
      </c>
      <c r="I3153" s="87">
        <v>46083</v>
      </c>
      <c r="J3153" s="93">
        <v>0.4770833333333333</v>
      </c>
      <c r="K3153" s="94">
        <v>90</v>
      </c>
      <c r="L3153" s="72" t="str">
        <f t="shared" si="49"/>
        <v>Payé</v>
      </c>
      <c r="N3153" s="15"/>
    </row>
    <row r="3154" spans="1:14" s="14" customFormat="1" ht="18" x14ac:dyDescent="0.25">
      <c r="A3154" s="90" t="s">
        <v>863</v>
      </c>
      <c r="B3154" s="90">
        <v>10035</v>
      </c>
      <c r="C3154" s="88" t="s">
        <v>1181</v>
      </c>
      <c r="D3154" s="90" t="s">
        <v>17</v>
      </c>
      <c r="E3154" s="90" t="s">
        <v>369</v>
      </c>
      <c r="F3154" s="90" t="s">
        <v>863</v>
      </c>
      <c r="G3154" s="137">
        <v>10</v>
      </c>
      <c r="H3154" s="94">
        <v>1000</v>
      </c>
      <c r="I3154" s="87">
        <v>46077</v>
      </c>
      <c r="J3154" s="93">
        <v>0.61458333333333337</v>
      </c>
      <c r="K3154" s="94">
        <v>1000</v>
      </c>
      <c r="L3154" s="72" t="str">
        <f t="shared" si="49"/>
        <v>Payé</v>
      </c>
      <c r="N3154" s="15"/>
    </row>
    <row r="3155" spans="1:14" s="14" customFormat="1" ht="18" x14ac:dyDescent="0.25">
      <c r="A3155" s="90" t="s">
        <v>863</v>
      </c>
      <c r="B3155" s="90">
        <v>10044</v>
      </c>
      <c r="C3155" s="88" t="s">
        <v>1215</v>
      </c>
      <c r="D3155" s="90" t="s">
        <v>17</v>
      </c>
      <c r="E3155" s="90" t="s">
        <v>1104</v>
      </c>
      <c r="F3155" s="90" t="s">
        <v>863</v>
      </c>
      <c r="G3155" s="137">
        <v>12</v>
      </c>
      <c r="H3155" s="94">
        <v>1140</v>
      </c>
      <c r="I3155" s="87">
        <v>46077</v>
      </c>
      <c r="J3155" s="93">
        <v>0.60833333333333328</v>
      </c>
      <c r="K3155" s="94">
        <v>1140</v>
      </c>
      <c r="L3155" s="72" t="str">
        <f t="shared" si="49"/>
        <v>Payé</v>
      </c>
      <c r="N3155" s="15"/>
    </row>
    <row r="3156" spans="1:14" s="14" customFormat="1" ht="18" x14ac:dyDescent="0.25">
      <c r="A3156" s="90" t="s">
        <v>863</v>
      </c>
      <c r="B3156" s="90">
        <v>10048</v>
      </c>
      <c r="C3156" s="88" t="s">
        <v>1218</v>
      </c>
      <c r="D3156" s="90" t="s">
        <v>17</v>
      </c>
      <c r="E3156" s="90" t="s">
        <v>1104</v>
      </c>
      <c r="F3156" s="90" t="s">
        <v>863</v>
      </c>
      <c r="G3156" s="137">
        <v>14</v>
      </c>
      <c r="H3156" s="94">
        <v>1320</v>
      </c>
      <c r="I3156" s="87">
        <v>46077</v>
      </c>
      <c r="J3156" s="93">
        <v>0.60833333333333328</v>
      </c>
      <c r="K3156" s="94">
        <v>1320</v>
      </c>
      <c r="L3156" s="72" t="str">
        <f t="shared" si="49"/>
        <v>Payé</v>
      </c>
      <c r="N3156" s="15"/>
    </row>
    <row r="3157" spans="1:14" s="14" customFormat="1" ht="18" x14ac:dyDescent="0.25">
      <c r="A3157" s="90" t="s">
        <v>863</v>
      </c>
      <c r="B3157" s="90">
        <v>10049</v>
      </c>
      <c r="C3157" s="88" t="s">
        <v>1219</v>
      </c>
      <c r="D3157" s="90" t="s">
        <v>17</v>
      </c>
      <c r="E3157" s="90" t="s">
        <v>1344</v>
      </c>
      <c r="F3157" s="90" t="s">
        <v>863</v>
      </c>
      <c r="G3157" s="137">
        <v>8</v>
      </c>
      <c r="H3157" s="94">
        <v>720</v>
      </c>
      <c r="I3157" s="87">
        <v>46077</v>
      </c>
      <c r="J3157" s="93">
        <v>0.50208333333333333</v>
      </c>
      <c r="K3157" s="94">
        <v>720</v>
      </c>
      <c r="L3157" s="72" t="str">
        <f t="shared" si="49"/>
        <v>Payé</v>
      </c>
      <c r="N3157" s="15"/>
    </row>
    <row r="3158" spans="1:14" s="14" customFormat="1" ht="18" x14ac:dyDescent="0.25">
      <c r="A3158" s="90" t="s">
        <v>863</v>
      </c>
      <c r="B3158" s="90">
        <v>10054</v>
      </c>
      <c r="C3158" s="88" t="s">
        <v>1222</v>
      </c>
      <c r="D3158" s="90" t="s">
        <v>17</v>
      </c>
      <c r="E3158" s="90" t="s">
        <v>613</v>
      </c>
      <c r="F3158" s="90" t="s">
        <v>863</v>
      </c>
      <c r="G3158" s="137">
        <v>13</v>
      </c>
      <c r="H3158" s="94">
        <v>1560</v>
      </c>
      <c r="I3158" s="87">
        <v>46077</v>
      </c>
      <c r="J3158" s="93">
        <v>0.60972222222222217</v>
      </c>
      <c r="K3158" s="94">
        <v>1560</v>
      </c>
      <c r="L3158" s="72" t="str">
        <f t="shared" si="49"/>
        <v>Payé</v>
      </c>
      <c r="N3158" s="15"/>
    </row>
    <row r="3159" spans="1:14" s="14" customFormat="1" ht="18" x14ac:dyDescent="0.25">
      <c r="A3159" s="90" t="s">
        <v>863</v>
      </c>
      <c r="B3159" s="90">
        <v>10070</v>
      </c>
      <c r="C3159" s="88" t="s">
        <v>1250</v>
      </c>
      <c r="D3159" s="90" t="s">
        <v>17</v>
      </c>
      <c r="E3159" s="90" t="s">
        <v>49</v>
      </c>
      <c r="F3159" s="90" t="s">
        <v>863</v>
      </c>
      <c r="G3159" s="137">
        <v>10</v>
      </c>
      <c r="H3159" s="94">
        <v>900</v>
      </c>
      <c r="I3159" s="87">
        <v>46083</v>
      </c>
      <c r="J3159" s="93">
        <v>0.50208333333333333</v>
      </c>
      <c r="K3159" s="94">
        <v>900</v>
      </c>
      <c r="L3159" s="72" t="str">
        <f t="shared" si="49"/>
        <v>Payé</v>
      </c>
      <c r="N3159" s="15"/>
    </row>
    <row r="3160" spans="1:14" s="14" customFormat="1" ht="18" x14ac:dyDescent="0.25">
      <c r="A3160" s="90" t="s">
        <v>863</v>
      </c>
      <c r="B3160" s="90">
        <v>10083</v>
      </c>
      <c r="C3160" s="88" t="s">
        <v>1260</v>
      </c>
      <c r="D3160" s="90" t="s">
        <v>17</v>
      </c>
      <c r="E3160" s="90" t="s">
        <v>649</v>
      </c>
      <c r="F3160" s="90" t="s">
        <v>863</v>
      </c>
      <c r="G3160" s="137">
        <v>9</v>
      </c>
      <c r="H3160" s="94">
        <v>810</v>
      </c>
      <c r="I3160" s="87">
        <v>46077</v>
      </c>
      <c r="J3160" s="93">
        <v>0.55486111111111114</v>
      </c>
      <c r="K3160" s="94">
        <v>810</v>
      </c>
      <c r="L3160" s="72" t="str">
        <f t="shared" si="49"/>
        <v>Payé</v>
      </c>
      <c r="N3160" s="15"/>
    </row>
    <row r="3161" spans="1:14" s="14" customFormat="1" ht="18" x14ac:dyDescent="0.25">
      <c r="A3161" s="90" t="s">
        <v>863</v>
      </c>
      <c r="B3161" s="90">
        <v>10164</v>
      </c>
      <c r="C3161" s="88" t="s">
        <v>1343</v>
      </c>
      <c r="D3161" s="90" t="s">
        <v>17</v>
      </c>
      <c r="E3161" s="90" t="s">
        <v>1104</v>
      </c>
      <c r="F3161" s="90" t="s">
        <v>863</v>
      </c>
      <c r="G3161" s="137">
        <v>10</v>
      </c>
      <c r="H3161" s="94">
        <v>900</v>
      </c>
      <c r="I3161" s="87">
        <v>46077</v>
      </c>
      <c r="J3161" s="93">
        <v>0.60833333333333328</v>
      </c>
      <c r="K3161" s="94">
        <v>900</v>
      </c>
      <c r="L3161" s="72" t="str">
        <f t="shared" si="49"/>
        <v>Payé</v>
      </c>
      <c r="N3161" s="15"/>
    </row>
    <row r="3162" spans="1:14" s="14" customFormat="1" ht="18" x14ac:dyDescent="0.25">
      <c r="A3162" s="90" t="s">
        <v>863</v>
      </c>
      <c r="B3162" s="90">
        <v>10211</v>
      </c>
      <c r="C3162" s="88" t="s">
        <v>1400</v>
      </c>
      <c r="D3162" s="90" t="s">
        <v>17</v>
      </c>
      <c r="E3162" s="90" t="s">
        <v>123</v>
      </c>
      <c r="F3162" s="90" t="s">
        <v>863</v>
      </c>
      <c r="G3162" s="137">
        <v>5</v>
      </c>
      <c r="H3162" s="94">
        <v>560</v>
      </c>
      <c r="I3162" s="87">
        <v>46077</v>
      </c>
      <c r="J3162" s="93">
        <v>0.57430555555555551</v>
      </c>
      <c r="K3162" s="94">
        <v>560</v>
      </c>
      <c r="L3162" s="72" t="str">
        <f t="shared" si="49"/>
        <v>Payé</v>
      </c>
      <c r="N3162" s="15"/>
    </row>
    <row r="3163" spans="1:14" s="14" customFormat="1" ht="18" x14ac:dyDescent="0.25">
      <c r="A3163" s="90" t="s">
        <v>863</v>
      </c>
      <c r="B3163" s="90">
        <v>10266</v>
      </c>
      <c r="C3163" s="88" t="s">
        <v>1473</v>
      </c>
      <c r="D3163" s="90" t="s">
        <v>17</v>
      </c>
      <c r="E3163" s="90" t="s">
        <v>49</v>
      </c>
      <c r="F3163" s="90" t="s">
        <v>863</v>
      </c>
      <c r="G3163" s="137">
        <v>6</v>
      </c>
      <c r="H3163" s="94">
        <v>540</v>
      </c>
      <c r="I3163" s="87">
        <v>46092</v>
      </c>
      <c r="J3163" s="93">
        <v>0.41319444444444442</v>
      </c>
      <c r="K3163" s="94">
        <v>540</v>
      </c>
      <c r="L3163" s="72" t="str">
        <f t="shared" si="49"/>
        <v>Payé</v>
      </c>
      <c r="N3163" s="15"/>
    </row>
    <row r="3164" spans="1:14" s="14" customFormat="1" ht="18" x14ac:dyDescent="0.25">
      <c r="A3164" s="90" t="s">
        <v>863</v>
      </c>
      <c r="B3164" s="90">
        <v>10325</v>
      </c>
      <c r="C3164" s="88" t="s">
        <v>1447</v>
      </c>
      <c r="D3164" s="90" t="s">
        <v>17</v>
      </c>
      <c r="E3164" s="90" t="s">
        <v>753</v>
      </c>
      <c r="F3164" s="90" t="s">
        <v>863</v>
      </c>
      <c r="G3164" s="137">
        <v>1</v>
      </c>
      <c r="H3164" s="94">
        <v>90</v>
      </c>
      <c r="I3164" s="87">
        <v>46078</v>
      </c>
      <c r="J3164" s="93">
        <v>0.52083333333333337</v>
      </c>
      <c r="K3164" s="94">
        <v>90</v>
      </c>
      <c r="L3164" s="72" t="str">
        <f t="shared" si="49"/>
        <v>Payé</v>
      </c>
      <c r="N3164" s="15"/>
    </row>
    <row r="3165" spans="1:14" s="14" customFormat="1" ht="18" x14ac:dyDescent="0.25">
      <c r="A3165" s="90" t="s">
        <v>863</v>
      </c>
      <c r="B3165" s="90">
        <v>10327</v>
      </c>
      <c r="C3165" s="88" t="s">
        <v>1446</v>
      </c>
      <c r="D3165" s="90" t="s">
        <v>17</v>
      </c>
      <c r="E3165" s="90" t="s">
        <v>753</v>
      </c>
      <c r="F3165" s="90" t="s">
        <v>863</v>
      </c>
      <c r="G3165" s="137">
        <v>1</v>
      </c>
      <c r="H3165" s="94">
        <v>90</v>
      </c>
      <c r="I3165" s="87">
        <v>46099</v>
      </c>
      <c r="J3165" s="93">
        <v>0.57361111111111118</v>
      </c>
      <c r="K3165" s="94">
        <v>90</v>
      </c>
      <c r="L3165" s="72" t="str">
        <f t="shared" si="49"/>
        <v>Payé</v>
      </c>
      <c r="N3165" s="15"/>
    </row>
    <row r="3166" spans="1:14" s="14" customFormat="1" ht="18" x14ac:dyDescent="0.25">
      <c r="A3166" s="90" t="s">
        <v>863</v>
      </c>
      <c r="B3166" s="90">
        <v>10343</v>
      </c>
      <c r="C3166" s="88" t="s">
        <v>1472</v>
      </c>
      <c r="D3166" s="90" t="s">
        <v>17</v>
      </c>
      <c r="E3166" s="90" t="s">
        <v>49</v>
      </c>
      <c r="F3166" s="90" t="s">
        <v>863</v>
      </c>
      <c r="G3166" s="137">
        <v>8</v>
      </c>
      <c r="H3166" s="94">
        <v>720</v>
      </c>
      <c r="I3166" s="87">
        <v>46077</v>
      </c>
      <c r="J3166" s="93">
        <v>0.62222222222222223</v>
      </c>
      <c r="K3166" s="94">
        <v>720</v>
      </c>
      <c r="L3166" s="72" t="str">
        <f t="shared" ref="L3166:L3229" si="50">IF(ISBLANK(H3166),"",IF(H3166=K3166,"Payé","Impayé"))</f>
        <v>Payé</v>
      </c>
      <c r="N3166" s="15"/>
    </row>
    <row r="3167" spans="1:14" s="14" customFormat="1" ht="18" x14ac:dyDescent="0.25">
      <c r="A3167" s="90" t="s">
        <v>863</v>
      </c>
      <c r="B3167" s="90">
        <v>10373</v>
      </c>
      <c r="C3167" s="88" t="s">
        <v>1422</v>
      </c>
      <c r="D3167" s="90" t="s">
        <v>17</v>
      </c>
      <c r="E3167" s="90" t="s">
        <v>1104</v>
      </c>
      <c r="F3167" s="90" t="s">
        <v>863</v>
      </c>
      <c r="G3167" s="137">
        <v>1</v>
      </c>
      <c r="H3167" s="94">
        <v>90</v>
      </c>
      <c r="I3167" s="87">
        <v>46077</v>
      </c>
      <c r="J3167" s="93">
        <v>0.51527777777777783</v>
      </c>
      <c r="K3167" s="94">
        <v>90</v>
      </c>
      <c r="L3167" s="72" t="str">
        <f t="shared" si="50"/>
        <v>Payé</v>
      </c>
      <c r="N3167" s="15"/>
    </row>
    <row r="3168" spans="1:14" s="14" customFormat="1" ht="18" x14ac:dyDescent="0.25">
      <c r="A3168" s="90" t="s">
        <v>863</v>
      </c>
      <c r="B3168" s="90">
        <v>10374</v>
      </c>
      <c r="C3168" s="88" t="s">
        <v>1423</v>
      </c>
      <c r="D3168" s="90" t="s">
        <v>17</v>
      </c>
      <c r="E3168" s="90" t="s">
        <v>1104</v>
      </c>
      <c r="F3168" s="90" t="s">
        <v>863</v>
      </c>
      <c r="G3168" s="137">
        <v>2</v>
      </c>
      <c r="H3168" s="94">
        <v>180</v>
      </c>
      <c r="I3168" s="87">
        <v>46087</v>
      </c>
      <c r="J3168" s="93">
        <v>0.42638888888888887</v>
      </c>
      <c r="K3168" s="94">
        <v>180</v>
      </c>
      <c r="L3168" s="72" t="str">
        <f t="shared" si="50"/>
        <v>Payé</v>
      </c>
      <c r="N3168" s="15"/>
    </row>
    <row r="3169" spans="1:14" s="14" customFormat="1" ht="18" x14ac:dyDescent="0.25">
      <c r="A3169" s="90" t="s">
        <v>863</v>
      </c>
      <c r="B3169" s="90">
        <v>10380</v>
      </c>
      <c r="C3169" s="88" t="s">
        <v>1544</v>
      </c>
      <c r="D3169" s="90" t="s">
        <v>17</v>
      </c>
      <c r="E3169" s="90" t="s">
        <v>753</v>
      </c>
      <c r="F3169" s="90" t="s">
        <v>863</v>
      </c>
      <c r="G3169" s="137">
        <v>1</v>
      </c>
      <c r="H3169" s="94">
        <v>90</v>
      </c>
      <c r="I3169" s="87"/>
      <c r="J3169" s="93"/>
      <c r="K3169" s="92"/>
      <c r="L3169" s="72" t="str">
        <f t="shared" si="50"/>
        <v>Impayé</v>
      </c>
      <c r="N3169" s="15"/>
    </row>
    <row r="3170" spans="1:14" s="14" customFormat="1" ht="18" x14ac:dyDescent="0.25">
      <c r="A3170" s="90" t="s">
        <v>863</v>
      </c>
      <c r="B3170" s="90">
        <v>10381</v>
      </c>
      <c r="C3170" s="88" t="s">
        <v>1545</v>
      </c>
      <c r="D3170" s="90" t="s">
        <v>17</v>
      </c>
      <c r="E3170" s="90" t="s">
        <v>1104</v>
      </c>
      <c r="F3170" s="90" t="s">
        <v>863</v>
      </c>
      <c r="G3170" s="137">
        <v>5</v>
      </c>
      <c r="H3170" s="94">
        <v>450</v>
      </c>
      <c r="I3170" s="87">
        <v>46080</v>
      </c>
      <c r="J3170" s="93">
        <v>0.5131944444444444</v>
      </c>
      <c r="K3170" s="94">
        <v>450</v>
      </c>
      <c r="L3170" s="72" t="str">
        <f t="shared" si="50"/>
        <v>Payé</v>
      </c>
      <c r="N3170" s="15"/>
    </row>
    <row r="3171" spans="1:14" s="14" customFormat="1" ht="18" x14ac:dyDescent="0.25">
      <c r="A3171" s="90" t="s">
        <v>863</v>
      </c>
      <c r="B3171" s="90">
        <v>10469</v>
      </c>
      <c r="C3171" s="88" t="s">
        <v>1625</v>
      </c>
      <c r="D3171" s="90" t="s">
        <v>17</v>
      </c>
      <c r="E3171" s="90" t="s">
        <v>1104</v>
      </c>
      <c r="F3171" s="90" t="s">
        <v>863</v>
      </c>
      <c r="G3171" s="137">
        <v>10</v>
      </c>
      <c r="H3171" s="94">
        <v>900</v>
      </c>
      <c r="I3171" s="87">
        <v>46077</v>
      </c>
      <c r="J3171" s="93">
        <v>0.60833333333333328</v>
      </c>
      <c r="K3171" s="94">
        <v>900</v>
      </c>
      <c r="L3171" s="72" t="str">
        <f t="shared" si="50"/>
        <v>Payé</v>
      </c>
      <c r="N3171" s="15"/>
    </row>
    <row r="3172" spans="1:14" s="14" customFormat="1" ht="18" x14ac:dyDescent="0.25">
      <c r="A3172" s="90" t="s">
        <v>863</v>
      </c>
      <c r="B3172" s="90">
        <v>10477</v>
      </c>
      <c r="C3172" s="88" t="s">
        <v>1633</v>
      </c>
      <c r="D3172" s="90" t="s">
        <v>17</v>
      </c>
      <c r="E3172" s="90" t="s">
        <v>1104</v>
      </c>
      <c r="F3172" s="90" t="s">
        <v>863</v>
      </c>
      <c r="G3172" s="137">
        <v>1</v>
      </c>
      <c r="H3172" s="94">
        <v>90</v>
      </c>
      <c r="I3172" s="87">
        <v>46080</v>
      </c>
      <c r="J3172" s="93">
        <v>0.5131944444444444</v>
      </c>
      <c r="K3172" s="94">
        <v>90</v>
      </c>
      <c r="L3172" s="72" t="str">
        <f t="shared" si="50"/>
        <v>Payé</v>
      </c>
      <c r="N3172" s="15"/>
    </row>
    <row r="3173" spans="1:14" s="14" customFormat="1" ht="18" x14ac:dyDescent="0.25">
      <c r="A3173" s="90" t="s">
        <v>863</v>
      </c>
      <c r="B3173" s="90">
        <v>10492</v>
      </c>
      <c r="C3173" s="88" t="s">
        <v>1645</v>
      </c>
      <c r="D3173" s="90" t="s">
        <v>17</v>
      </c>
      <c r="E3173" s="90" t="s">
        <v>628</v>
      </c>
      <c r="F3173" s="90" t="s">
        <v>863</v>
      </c>
      <c r="G3173" s="137">
        <v>9</v>
      </c>
      <c r="H3173" s="94">
        <v>810</v>
      </c>
      <c r="I3173" s="87">
        <v>46078</v>
      </c>
      <c r="J3173" s="93">
        <v>0.5229166666666667</v>
      </c>
      <c r="K3173" s="94">
        <v>810</v>
      </c>
      <c r="L3173" s="72" t="str">
        <f t="shared" si="50"/>
        <v>Payé</v>
      </c>
      <c r="N3173" s="15"/>
    </row>
    <row r="3174" spans="1:14" s="14" customFormat="1" ht="18" x14ac:dyDescent="0.25">
      <c r="A3174" s="90" t="s">
        <v>863</v>
      </c>
      <c r="B3174" s="90">
        <v>10496</v>
      </c>
      <c r="C3174" s="88" t="s">
        <v>1648</v>
      </c>
      <c r="D3174" s="90" t="s">
        <v>17</v>
      </c>
      <c r="E3174" s="90" t="s">
        <v>753</v>
      </c>
      <c r="F3174" s="90" t="s">
        <v>863</v>
      </c>
      <c r="G3174" s="137">
        <v>1</v>
      </c>
      <c r="H3174" s="94">
        <v>90</v>
      </c>
      <c r="I3174" s="87">
        <v>46087</v>
      </c>
      <c r="J3174" s="93">
        <v>0.43958333333333338</v>
      </c>
      <c r="K3174" s="94">
        <v>90</v>
      </c>
      <c r="L3174" s="72" t="str">
        <f t="shared" si="50"/>
        <v>Payé</v>
      </c>
      <c r="N3174" s="15"/>
    </row>
    <row r="3175" spans="1:14" s="14" customFormat="1" ht="18" x14ac:dyDescent="0.25">
      <c r="A3175" s="90" t="s">
        <v>863</v>
      </c>
      <c r="B3175" s="90">
        <v>10499</v>
      </c>
      <c r="C3175" s="88" t="s">
        <v>1650</v>
      </c>
      <c r="D3175" s="90" t="s">
        <v>17</v>
      </c>
      <c r="E3175" s="90" t="s">
        <v>1104</v>
      </c>
      <c r="F3175" s="90" t="s">
        <v>863</v>
      </c>
      <c r="G3175" s="137">
        <v>1</v>
      </c>
      <c r="H3175" s="94">
        <v>90</v>
      </c>
      <c r="I3175" s="87">
        <v>46087</v>
      </c>
      <c r="J3175" s="93">
        <v>0.49791666666666662</v>
      </c>
      <c r="K3175" s="94">
        <v>90</v>
      </c>
      <c r="L3175" s="72" t="str">
        <f t="shared" si="50"/>
        <v>Payé</v>
      </c>
      <c r="N3175" s="15"/>
    </row>
    <row r="3176" spans="1:14" s="14" customFormat="1" ht="18" x14ac:dyDescent="0.25">
      <c r="A3176" s="90" t="s">
        <v>863</v>
      </c>
      <c r="B3176" s="90">
        <v>10500</v>
      </c>
      <c r="C3176" s="88" t="s">
        <v>1651</v>
      </c>
      <c r="D3176" s="90" t="s">
        <v>17</v>
      </c>
      <c r="E3176" s="90" t="s">
        <v>1104</v>
      </c>
      <c r="F3176" s="90" t="s">
        <v>863</v>
      </c>
      <c r="G3176" s="137">
        <v>1</v>
      </c>
      <c r="H3176" s="94">
        <v>90</v>
      </c>
      <c r="I3176" s="87">
        <v>46077</v>
      </c>
      <c r="J3176" s="93">
        <v>0.51527777777777783</v>
      </c>
      <c r="K3176" s="94">
        <v>90</v>
      </c>
      <c r="L3176" s="72" t="str">
        <f t="shared" si="50"/>
        <v>Payé</v>
      </c>
      <c r="N3176" s="15"/>
    </row>
    <row r="3177" spans="1:14" s="14" customFormat="1" ht="18" x14ac:dyDescent="0.25">
      <c r="A3177" s="90" t="s">
        <v>863</v>
      </c>
      <c r="B3177" s="90">
        <v>10502</v>
      </c>
      <c r="C3177" s="88" t="s">
        <v>1653</v>
      </c>
      <c r="D3177" s="90" t="s">
        <v>17</v>
      </c>
      <c r="E3177" s="90" t="s">
        <v>613</v>
      </c>
      <c r="F3177" s="90" t="s">
        <v>863</v>
      </c>
      <c r="G3177" s="137">
        <v>13</v>
      </c>
      <c r="H3177" s="94">
        <v>1470</v>
      </c>
      <c r="I3177" s="87">
        <v>46077</v>
      </c>
      <c r="J3177" s="93">
        <v>0.5756944444444444</v>
      </c>
      <c r="K3177" s="94">
        <v>1470</v>
      </c>
      <c r="L3177" s="72" t="str">
        <f t="shared" si="50"/>
        <v>Payé</v>
      </c>
      <c r="N3177" s="15"/>
    </row>
    <row r="3178" spans="1:14" s="14" customFormat="1" ht="18" x14ac:dyDescent="0.25">
      <c r="A3178" s="90" t="s">
        <v>863</v>
      </c>
      <c r="B3178" s="90">
        <v>10504</v>
      </c>
      <c r="C3178" s="88" t="s">
        <v>1684</v>
      </c>
      <c r="D3178" s="90" t="s">
        <v>17</v>
      </c>
      <c r="E3178" s="90" t="s">
        <v>1280</v>
      </c>
      <c r="F3178" s="90" t="s">
        <v>863</v>
      </c>
      <c r="G3178" s="137">
        <v>1</v>
      </c>
      <c r="H3178" s="94">
        <v>90</v>
      </c>
      <c r="I3178" s="87">
        <v>46083</v>
      </c>
      <c r="J3178" s="93">
        <v>0.55486111111111114</v>
      </c>
      <c r="K3178" s="94">
        <v>90</v>
      </c>
      <c r="L3178" s="72" t="str">
        <f t="shared" si="50"/>
        <v>Payé</v>
      </c>
      <c r="N3178" s="15"/>
    </row>
    <row r="3179" spans="1:14" s="14" customFormat="1" ht="18" x14ac:dyDescent="0.25">
      <c r="A3179" s="90" t="s">
        <v>863</v>
      </c>
      <c r="B3179" s="90" t="s">
        <v>1685</v>
      </c>
      <c r="C3179" s="88" t="s">
        <v>1686</v>
      </c>
      <c r="D3179" s="90" t="s">
        <v>17</v>
      </c>
      <c r="E3179" s="90" t="s">
        <v>1664</v>
      </c>
      <c r="F3179" s="90" t="s">
        <v>863</v>
      </c>
      <c r="G3179" s="137">
        <v>6</v>
      </c>
      <c r="H3179" s="94">
        <v>540</v>
      </c>
      <c r="I3179" s="87">
        <v>46077</v>
      </c>
      <c r="J3179" s="93">
        <v>0.49861111111111112</v>
      </c>
      <c r="K3179" s="94">
        <v>540</v>
      </c>
      <c r="L3179" s="72" t="str">
        <f t="shared" si="50"/>
        <v>Payé</v>
      </c>
      <c r="N3179" s="15"/>
    </row>
    <row r="3180" spans="1:14" s="14" customFormat="1" ht="18" x14ac:dyDescent="0.25">
      <c r="A3180" s="90" t="s">
        <v>863</v>
      </c>
      <c r="B3180" s="90">
        <v>10507</v>
      </c>
      <c r="C3180" s="88" t="s">
        <v>1657</v>
      </c>
      <c r="D3180" s="90" t="s">
        <v>17</v>
      </c>
      <c r="E3180" s="90" t="s">
        <v>123</v>
      </c>
      <c r="F3180" s="90" t="s">
        <v>863</v>
      </c>
      <c r="G3180" s="137">
        <v>1</v>
      </c>
      <c r="H3180" s="94">
        <v>90</v>
      </c>
      <c r="I3180" s="87">
        <v>46078</v>
      </c>
      <c r="J3180" s="93">
        <v>0.63958333333333328</v>
      </c>
      <c r="K3180" s="94">
        <v>90</v>
      </c>
      <c r="L3180" s="72" t="str">
        <f t="shared" si="50"/>
        <v>Payé</v>
      </c>
      <c r="N3180" s="15"/>
    </row>
    <row r="3181" spans="1:14" s="14" customFormat="1" ht="18" x14ac:dyDescent="0.25">
      <c r="A3181" s="90" t="s">
        <v>863</v>
      </c>
      <c r="B3181" s="90">
        <v>10508</v>
      </c>
      <c r="C3181" s="88" t="s">
        <v>1658</v>
      </c>
      <c r="D3181" s="90" t="s">
        <v>17</v>
      </c>
      <c r="E3181" s="90" t="s">
        <v>123</v>
      </c>
      <c r="F3181" s="90" t="s">
        <v>863</v>
      </c>
      <c r="G3181" s="137">
        <v>8</v>
      </c>
      <c r="H3181" s="94">
        <v>720</v>
      </c>
      <c r="I3181" s="87">
        <v>46078</v>
      </c>
      <c r="J3181" s="93">
        <v>0.63958333333333328</v>
      </c>
      <c r="K3181" s="94">
        <v>720</v>
      </c>
      <c r="L3181" s="72" t="str">
        <f t="shared" si="50"/>
        <v>Payé</v>
      </c>
      <c r="N3181" s="15"/>
    </row>
    <row r="3182" spans="1:14" s="14" customFormat="1" ht="18" x14ac:dyDescent="0.25">
      <c r="A3182" s="90" t="s">
        <v>863</v>
      </c>
      <c r="B3182" s="90">
        <v>10510</v>
      </c>
      <c r="C3182" s="88" t="s">
        <v>1660</v>
      </c>
      <c r="D3182" s="90" t="s">
        <v>17</v>
      </c>
      <c r="E3182" s="90" t="s">
        <v>1104</v>
      </c>
      <c r="F3182" s="90" t="s">
        <v>863</v>
      </c>
      <c r="G3182" s="137">
        <v>1</v>
      </c>
      <c r="H3182" s="94">
        <v>90</v>
      </c>
      <c r="I3182" s="87">
        <v>46087</v>
      </c>
      <c r="J3182" s="93">
        <v>0.49791666666666662</v>
      </c>
      <c r="K3182" s="94">
        <v>90</v>
      </c>
      <c r="L3182" s="72" t="str">
        <f t="shared" si="50"/>
        <v>Payé</v>
      </c>
      <c r="N3182" s="15"/>
    </row>
    <row r="3183" spans="1:14" s="14" customFormat="1" ht="18" x14ac:dyDescent="0.25">
      <c r="A3183" s="90" t="s">
        <v>863</v>
      </c>
      <c r="B3183" s="90">
        <v>10514</v>
      </c>
      <c r="C3183" s="88" t="s">
        <v>1687</v>
      </c>
      <c r="D3183" s="90" t="s">
        <v>17</v>
      </c>
      <c r="E3183" s="90" t="s">
        <v>123</v>
      </c>
      <c r="F3183" s="90" t="s">
        <v>863</v>
      </c>
      <c r="G3183" s="137">
        <v>6</v>
      </c>
      <c r="H3183" s="94">
        <v>540</v>
      </c>
      <c r="I3183" s="87">
        <v>46077</v>
      </c>
      <c r="J3183" s="93">
        <v>0.55625000000000002</v>
      </c>
      <c r="K3183" s="94">
        <v>540</v>
      </c>
      <c r="L3183" s="72" t="str">
        <f t="shared" si="50"/>
        <v>Payé</v>
      </c>
      <c r="N3183" s="15"/>
    </row>
    <row r="3184" spans="1:14" s="14" customFormat="1" ht="18" x14ac:dyDescent="0.25">
      <c r="A3184" s="90" t="s">
        <v>863</v>
      </c>
      <c r="B3184" s="90">
        <v>10515</v>
      </c>
      <c r="C3184" s="88" t="s">
        <v>1688</v>
      </c>
      <c r="D3184" s="90" t="s">
        <v>17</v>
      </c>
      <c r="E3184" s="90" t="s">
        <v>1344</v>
      </c>
      <c r="F3184" s="90" t="s">
        <v>863</v>
      </c>
      <c r="G3184" s="137">
        <v>6</v>
      </c>
      <c r="H3184" s="94">
        <v>560</v>
      </c>
      <c r="I3184" s="87">
        <v>46077</v>
      </c>
      <c r="J3184" s="93">
        <v>0.50208333333333333</v>
      </c>
      <c r="K3184" s="94">
        <v>560</v>
      </c>
      <c r="L3184" s="72" t="str">
        <f t="shared" si="50"/>
        <v>Payé</v>
      </c>
      <c r="N3184" s="15"/>
    </row>
    <row r="3185" spans="1:14" s="14" customFormat="1" ht="18" x14ac:dyDescent="0.25">
      <c r="A3185" s="90" t="s">
        <v>863</v>
      </c>
      <c r="B3185" s="90" t="s">
        <v>1689</v>
      </c>
      <c r="C3185" s="88" t="s">
        <v>1690</v>
      </c>
      <c r="D3185" s="90" t="s">
        <v>17</v>
      </c>
      <c r="E3185" s="90" t="s">
        <v>1664</v>
      </c>
      <c r="F3185" s="90" t="s">
        <v>863</v>
      </c>
      <c r="G3185" s="137">
        <v>11</v>
      </c>
      <c r="H3185" s="94">
        <v>990</v>
      </c>
      <c r="I3185" s="87">
        <v>46077</v>
      </c>
      <c r="J3185" s="93">
        <v>0.49861111111111112</v>
      </c>
      <c r="K3185" s="94">
        <v>990</v>
      </c>
      <c r="L3185" s="72" t="str">
        <f t="shared" si="50"/>
        <v>Payé</v>
      </c>
      <c r="N3185" s="15"/>
    </row>
    <row r="3186" spans="1:14" s="14" customFormat="1" ht="18" x14ac:dyDescent="0.25">
      <c r="A3186" s="90" t="s">
        <v>863</v>
      </c>
      <c r="B3186" s="90" t="s">
        <v>1691</v>
      </c>
      <c r="C3186" s="88" t="s">
        <v>1692</v>
      </c>
      <c r="D3186" s="90" t="s">
        <v>17</v>
      </c>
      <c r="E3186" s="90" t="s">
        <v>1664</v>
      </c>
      <c r="F3186" s="90" t="s">
        <v>863</v>
      </c>
      <c r="G3186" s="137">
        <v>12</v>
      </c>
      <c r="H3186" s="94">
        <v>1080</v>
      </c>
      <c r="I3186" s="87">
        <v>46077</v>
      </c>
      <c r="J3186" s="93">
        <v>0.49861111111111112</v>
      </c>
      <c r="K3186" s="94">
        <v>1080</v>
      </c>
      <c r="L3186" s="72" t="str">
        <f t="shared" si="50"/>
        <v>Payé</v>
      </c>
      <c r="N3186" s="15"/>
    </row>
    <row r="3187" spans="1:14" s="14" customFormat="1" ht="18" x14ac:dyDescent="0.25">
      <c r="A3187" s="90" t="s">
        <v>863</v>
      </c>
      <c r="B3187" s="90" t="s">
        <v>1693</v>
      </c>
      <c r="C3187" s="88" t="s">
        <v>1694</v>
      </c>
      <c r="D3187" s="90" t="s">
        <v>17</v>
      </c>
      <c r="E3187" s="90" t="s">
        <v>1664</v>
      </c>
      <c r="F3187" s="90" t="s">
        <v>863</v>
      </c>
      <c r="G3187" s="137">
        <v>12</v>
      </c>
      <c r="H3187" s="94">
        <v>1080</v>
      </c>
      <c r="I3187" s="87">
        <v>46077</v>
      </c>
      <c r="J3187" s="93">
        <v>0.49861111111111112</v>
      </c>
      <c r="K3187" s="94">
        <v>1080</v>
      </c>
      <c r="L3187" s="72" t="str">
        <f t="shared" si="50"/>
        <v>Payé</v>
      </c>
      <c r="N3187" s="15"/>
    </row>
    <row r="3188" spans="1:14" s="14" customFormat="1" ht="18" x14ac:dyDescent="0.25">
      <c r="A3188" s="90" t="s">
        <v>863</v>
      </c>
      <c r="B3188" s="90" t="s">
        <v>1695</v>
      </c>
      <c r="C3188" s="88" t="s">
        <v>1696</v>
      </c>
      <c r="D3188" s="90" t="s">
        <v>17</v>
      </c>
      <c r="E3188" s="90" t="s">
        <v>1664</v>
      </c>
      <c r="F3188" s="90" t="s">
        <v>863</v>
      </c>
      <c r="G3188" s="137">
        <v>12</v>
      </c>
      <c r="H3188" s="94">
        <v>1080</v>
      </c>
      <c r="I3188" s="87">
        <v>46077</v>
      </c>
      <c r="J3188" s="93">
        <v>0.49861111111111112</v>
      </c>
      <c r="K3188" s="94">
        <v>1080</v>
      </c>
      <c r="L3188" s="72" t="str">
        <f t="shared" si="50"/>
        <v>Payé</v>
      </c>
      <c r="N3188" s="15"/>
    </row>
    <row r="3189" spans="1:14" s="14" customFormat="1" ht="18" x14ac:dyDescent="0.25">
      <c r="A3189" s="90" t="s">
        <v>863</v>
      </c>
      <c r="B3189" s="90" t="s">
        <v>1697</v>
      </c>
      <c r="C3189" s="88" t="s">
        <v>1698</v>
      </c>
      <c r="D3189" s="90" t="s">
        <v>17</v>
      </c>
      <c r="E3189" s="90" t="s">
        <v>1664</v>
      </c>
      <c r="F3189" s="90" t="s">
        <v>863</v>
      </c>
      <c r="G3189" s="137">
        <v>9</v>
      </c>
      <c r="H3189" s="94">
        <v>810</v>
      </c>
      <c r="I3189" s="87">
        <v>46077</v>
      </c>
      <c r="J3189" s="93">
        <v>0.49861111111111112</v>
      </c>
      <c r="K3189" s="94">
        <v>810</v>
      </c>
      <c r="L3189" s="72" t="str">
        <f t="shared" si="50"/>
        <v>Payé</v>
      </c>
      <c r="N3189" s="15"/>
    </row>
    <row r="3190" spans="1:14" s="14" customFormat="1" ht="18" x14ac:dyDescent="0.25">
      <c r="A3190" s="90" t="s">
        <v>863</v>
      </c>
      <c r="B3190" s="90" t="s">
        <v>1699</v>
      </c>
      <c r="C3190" s="88" t="s">
        <v>1700</v>
      </c>
      <c r="D3190" s="90" t="s">
        <v>17</v>
      </c>
      <c r="E3190" s="90" t="s">
        <v>1664</v>
      </c>
      <c r="F3190" s="90" t="s">
        <v>863</v>
      </c>
      <c r="G3190" s="137">
        <v>4</v>
      </c>
      <c r="H3190" s="94">
        <v>360</v>
      </c>
      <c r="I3190" s="87">
        <v>46077</v>
      </c>
      <c r="J3190" s="93">
        <v>0.49861111111111112</v>
      </c>
      <c r="K3190" s="94">
        <v>360</v>
      </c>
      <c r="L3190" s="72" t="str">
        <f t="shared" si="50"/>
        <v>Payé</v>
      </c>
      <c r="N3190" s="15"/>
    </row>
    <row r="3191" spans="1:14" s="14" customFormat="1" ht="18" x14ac:dyDescent="0.25">
      <c r="A3191" s="90" t="s">
        <v>863</v>
      </c>
      <c r="B3191" s="90">
        <v>10522</v>
      </c>
      <c r="C3191" s="88" t="s">
        <v>1701</v>
      </c>
      <c r="D3191" s="90" t="s">
        <v>17</v>
      </c>
      <c r="E3191" s="90" t="s">
        <v>1104</v>
      </c>
      <c r="F3191" s="90" t="s">
        <v>863</v>
      </c>
      <c r="G3191" s="137">
        <v>11</v>
      </c>
      <c r="H3191" s="94">
        <v>990</v>
      </c>
      <c r="I3191" s="87">
        <v>46077</v>
      </c>
      <c r="J3191" s="93">
        <v>0.625</v>
      </c>
      <c r="K3191" s="94">
        <v>990</v>
      </c>
      <c r="L3191" s="72" t="str">
        <f t="shared" si="50"/>
        <v>Payé</v>
      </c>
      <c r="N3191" s="15"/>
    </row>
    <row r="3192" spans="1:14" s="14" customFormat="1" ht="18" x14ac:dyDescent="0.25">
      <c r="A3192" s="90" t="s">
        <v>863</v>
      </c>
      <c r="B3192" s="90">
        <v>10523</v>
      </c>
      <c r="C3192" s="88" t="s">
        <v>1702</v>
      </c>
      <c r="D3192" s="90" t="s">
        <v>17</v>
      </c>
      <c r="E3192" s="90" t="s">
        <v>49</v>
      </c>
      <c r="F3192" s="90" t="s">
        <v>863</v>
      </c>
      <c r="G3192" s="137">
        <v>5</v>
      </c>
      <c r="H3192" s="94">
        <v>450</v>
      </c>
      <c r="I3192" s="87">
        <v>46086</v>
      </c>
      <c r="J3192" s="93">
        <v>0.58680555555555558</v>
      </c>
      <c r="K3192" s="94">
        <v>450</v>
      </c>
      <c r="L3192" s="72" t="str">
        <f t="shared" si="50"/>
        <v>Payé</v>
      </c>
      <c r="N3192" s="15"/>
    </row>
    <row r="3193" spans="1:14" s="14" customFormat="1" ht="18" x14ac:dyDescent="0.25">
      <c r="A3193" s="90" t="s">
        <v>863</v>
      </c>
      <c r="B3193" s="90" t="s">
        <v>1703</v>
      </c>
      <c r="C3193" s="88" t="s">
        <v>1704</v>
      </c>
      <c r="D3193" s="90" t="s">
        <v>17</v>
      </c>
      <c r="E3193" s="90" t="s">
        <v>1664</v>
      </c>
      <c r="F3193" s="90" t="s">
        <v>863</v>
      </c>
      <c r="G3193" s="137">
        <v>11</v>
      </c>
      <c r="H3193" s="94">
        <v>990</v>
      </c>
      <c r="I3193" s="87">
        <v>46077</v>
      </c>
      <c r="J3193" s="93">
        <v>0.49861111111111112</v>
      </c>
      <c r="K3193" s="94">
        <v>990</v>
      </c>
      <c r="L3193" s="72" t="str">
        <f t="shared" si="50"/>
        <v>Payé</v>
      </c>
      <c r="N3193" s="15"/>
    </row>
    <row r="3194" spans="1:14" s="14" customFormat="1" ht="18" x14ac:dyDescent="0.25">
      <c r="A3194" s="90" t="s">
        <v>863</v>
      </c>
      <c r="B3194" s="90" t="s">
        <v>1705</v>
      </c>
      <c r="C3194" s="88" t="s">
        <v>1706</v>
      </c>
      <c r="D3194" s="90" t="s">
        <v>17</v>
      </c>
      <c r="E3194" s="90" t="s">
        <v>1664</v>
      </c>
      <c r="F3194" s="90" t="s">
        <v>863</v>
      </c>
      <c r="G3194" s="137">
        <v>10</v>
      </c>
      <c r="H3194" s="94">
        <v>900</v>
      </c>
      <c r="I3194" s="87">
        <v>46077</v>
      </c>
      <c r="J3194" s="93">
        <v>0.49861111111111112</v>
      </c>
      <c r="K3194" s="94">
        <v>900</v>
      </c>
      <c r="L3194" s="72" t="str">
        <f t="shared" si="50"/>
        <v>Payé</v>
      </c>
      <c r="N3194" s="15"/>
    </row>
    <row r="3195" spans="1:14" s="14" customFormat="1" ht="18" x14ac:dyDescent="0.25">
      <c r="A3195" s="90" t="s">
        <v>863</v>
      </c>
      <c r="B3195" s="90">
        <v>10526</v>
      </c>
      <c r="C3195" s="88" t="s">
        <v>1707</v>
      </c>
      <c r="D3195" s="90" t="s">
        <v>17</v>
      </c>
      <c r="E3195" s="90" t="s">
        <v>1104</v>
      </c>
      <c r="F3195" s="90" t="s">
        <v>863</v>
      </c>
      <c r="G3195" s="137">
        <v>1</v>
      </c>
      <c r="H3195" s="94">
        <v>90</v>
      </c>
      <c r="I3195" s="87"/>
      <c r="J3195" s="93"/>
      <c r="K3195" s="94"/>
      <c r="L3195" s="72" t="str">
        <f t="shared" si="50"/>
        <v>Impayé</v>
      </c>
      <c r="N3195" s="15"/>
    </row>
    <row r="3196" spans="1:14" s="14" customFormat="1" ht="18" x14ac:dyDescent="0.25">
      <c r="A3196" s="90" t="s">
        <v>863</v>
      </c>
      <c r="B3196" s="90">
        <v>10527</v>
      </c>
      <c r="C3196" s="88" t="s">
        <v>1708</v>
      </c>
      <c r="D3196" s="90" t="s">
        <v>17</v>
      </c>
      <c r="E3196" s="90" t="s">
        <v>1104</v>
      </c>
      <c r="F3196" s="90" t="s">
        <v>863</v>
      </c>
      <c r="G3196" s="137">
        <v>4</v>
      </c>
      <c r="H3196" s="94">
        <v>360</v>
      </c>
      <c r="I3196" s="87">
        <v>46077</v>
      </c>
      <c r="J3196" s="93">
        <v>0.6118055555555556</v>
      </c>
      <c r="K3196" s="94">
        <v>360</v>
      </c>
      <c r="L3196" s="72" t="str">
        <f t="shared" si="50"/>
        <v>Payé</v>
      </c>
      <c r="N3196" s="15"/>
    </row>
    <row r="3197" spans="1:14" s="14" customFormat="1" ht="18" x14ac:dyDescent="0.25">
      <c r="A3197" s="90" t="s">
        <v>863</v>
      </c>
      <c r="B3197" s="90">
        <v>10528</v>
      </c>
      <c r="C3197" s="88" t="s">
        <v>1709</v>
      </c>
      <c r="D3197" s="90" t="s">
        <v>17</v>
      </c>
      <c r="E3197" s="90" t="s">
        <v>1104</v>
      </c>
      <c r="F3197" s="90" t="s">
        <v>863</v>
      </c>
      <c r="G3197" s="137">
        <v>3</v>
      </c>
      <c r="H3197" s="94">
        <v>270</v>
      </c>
      <c r="I3197" s="87">
        <v>46078</v>
      </c>
      <c r="J3197" s="93">
        <v>0.49444444444444446</v>
      </c>
      <c r="K3197" s="94">
        <v>270</v>
      </c>
      <c r="L3197" s="72" t="str">
        <f t="shared" si="50"/>
        <v>Payé</v>
      </c>
      <c r="N3197" s="15"/>
    </row>
    <row r="3198" spans="1:14" s="14" customFormat="1" ht="18" x14ac:dyDescent="0.25">
      <c r="A3198" s="90" t="s">
        <v>863</v>
      </c>
      <c r="B3198" s="90">
        <v>10529</v>
      </c>
      <c r="C3198" s="88" t="s">
        <v>1710</v>
      </c>
      <c r="D3198" s="90" t="s">
        <v>17</v>
      </c>
      <c r="E3198" s="90" t="s">
        <v>123</v>
      </c>
      <c r="F3198" s="90" t="s">
        <v>863</v>
      </c>
      <c r="G3198" s="137">
        <v>3</v>
      </c>
      <c r="H3198" s="94">
        <v>270</v>
      </c>
      <c r="I3198" s="87">
        <v>46077</v>
      </c>
      <c r="J3198" s="93">
        <v>0.60625000000000007</v>
      </c>
      <c r="K3198" s="94">
        <v>270</v>
      </c>
      <c r="L3198" s="72" t="str">
        <f t="shared" si="50"/>
        <v>Payé</v>
      </c>
      <c r="N3198" s="15"/>
    </row>
    <row r="3199" spans="1:14" s="14" customFormat="1" ht="18" x14ac:dyDescent="0.25">
      <c r="A3199" s="90" t="s">
        <v>863</v>
      </c>
      <c r="B3199" s="90">
        <v>10530</v>
      </c>
      <c r="C3199" s="88" t="s">
        <v>1711</v>
      </c>
      <c r="D3199" s="90" t="s">
        <v>17</v>
      </c>
      <c r="E3199" s="90" t="s">
        <v>753</v>
      </c>
      <c r="F3199" s="90" t="s">
        <v>863</v>
      </c>
      <c r="G3199" s="137">
        <v>1</v>
      </c>
      <c r="H3199" s="94">
        <v>90</v>
      </c>
      <c r="I3199" s="87">
        <v>46087</v>
      </c>
      <c r="J3199" s="93">
        <v>0.43958333333333338</v>
      </c>
      <c r="K3199" s="94">
        <v>90</v>
      </c>
      <c r="L3199" s="72" t="str">
        <f t="shared" si="50"/>
        <v>Payé</v>
      </c>
      <c r="N3199" s="15"/>
    </row>
    <row r="3200" spans="1:14" s="14" customFormat="1" ht="18" x14ac:dyDescent="0.25">
      <c r="A3200" s="90" t="s">
        <v>863</v>
      </c>
      <c r="B3200" s="90">
        <v>10531</v>
      </c>
      <c r="C3200" s="88" t="s">
        <v>1712</v>
      </c>
      <c r="D3200" s="90" t="s">
        <v>17</v>
      </c>
      <c r="E3200" s="90" t="s">
        <v>753</v>
      </c>
      <c r="F3200" s="90" t="s">
        <v>863</v>
      </c>
      <c r="G3200" s="137">
        <v>1</v>
      </c>
      <c r="H3200" s="94">
        <v>90</v>
      </c>
      <c r="I3200" s="87">
        <v>46087</v>
      </c>
      <c r="J3200" s="93">
        <v>0.43958333333333338</v>
      </c>
      <c r="K3200" s="94">
        <v>90</v>
      </c>
      <c r="L3200" s="72" t="str">
        <f t="shared" si="50"/>
        <v>Payé</v>
      </c>
      <c r="N3200" s="15"/>
    </row>
    <row r="3201" spans="1:14" s="14" customFormat="1" ht="18" x14ac:dyDescent="0.25">
      <c r="A3201" s="90" t="s">
        <v>863</v>
      </c>
      <c r="B3201" s="90">
        <v>10532</v>
      </c>
      <c r="C3201" s="88" t="s">
        <v>1713</v>
      </c>
      <c r="D3201" s="90" t="s">
        <v>17</v>
      </c>
      <c r="E3201" s="90" t="s">
        <v>49</v>
      </c>
      <c r="F3201" s="90" t="s">
        <v>863</v>
      </c>
      <c r="G3201" s="137">
        <v>5</v>
      </c>
      <c r="H3201" s="94">
        <v>450</v>
      </c>
      <c r="I3201" s="87">
        <v>46080</v>
      </c>
      <c r="J3201" s="93">
        <v>0.50972222222222219</v>
      </c>
      <c r="K3201" s="94">
        <v>450</v>
      </c>
      <c r="L3201" s="72" t="str">
        <f t="shared" si="50"/>
        <v>Payé</v>
      </c>
      <c r="N3201" s="15"/>
    </row>
    <row r="3202" spans="1:14" s="14" customFormat="1" ht="18" x14ac:dyDescent="0.25">
      <c r="A3202" s="90" t="s">
        <v>863</v>
      </c>
      <c r="B3202" s="90">
        <v>10533</v>
      </c>
      <c r="C3202" s="88" t="s">
        <v>1714</v>
      </c>
      <c r="D3202" s="90" t="s">
        <v>17</v>
      </c>
      <c r="E3202" s="90" t="s">
        <v>1280</v>
      </c>
      <c r="F3202" s="90" t="s">
        <v>863</v>
      </c>
      <c r="G3202" s="137">
        <v>5</v>
      </c>
      <c r="H3202" s="94">
        <v>450</v>
      </c>
      <c r="I3202" s="87">
        <v>46080</v>
      </c>
      <c r="J3202" s="93">
        <v>0.41041666666666665</v>
      </c>
      <c r="K3202" s="94">
        <v>450</v>
      </c>
      <c r="L3202" s="72" t="str">
        <f t="shared" si="50"/>
        <v>Payé</v>
      </c>
      <c r="N3202" s="15"/>
    </row>
    <row r="3203" spans="1:14" s="14" customFormat="1" ht="18" x14ac:dyDescent="0.25">
      <c r="A3203" s="90" t="s">
        <v>863</v>
      </c>
      <c r="B3203" s="90">
        <v>10534</v>
      </c>
      <c r="C3203" s="88" t="s">
        <v>1715</v>
      </c>
      <c r="D3203" s="90" t="s">
        <v>17</v>
      </c>
      <c r="E3203" s="90" t="s">
        <v>1280</v>
      </c>
      <c r="F3203" s="90" t="s">
        <v>863</v>
      </c>
      <c r="G3203" s="137">
        <v>6</v>
      </c>
      <c r="H3203" s="94">
        <v>540</v>
      </c>
      <c r="I3203" s="87">
        <v>46083</v>
      </c>
      <c r="J3203" s="93">
        <v>0.61597222222222225</v>
      </c>
      <c r="K3203" s="94">
        <v>540</v>
      </c>
      <c r="L3203" s="72" t="str">
        <f t="shared" si="50"/>
        <v>Payé</v>
      </c>
      <c r="N3203" s="15"/>
    </row>
    <row r="3204" spans="1:14" s="14" customFormat="1" ht="18" x14ac:dyDescent="0.25">
      <c r="A3204" s="90" t="s">
        <v>863</v>
      </c>
      <c r="B3204" s="90">
        <v>10535</v>
      </c>
      <c r="C3204" s="88" t="s">
        <v>1716</v>
      </c>
      <c r="D3204" s="90" t="s">
        <v>17</v>
      </c>
      <c r="E3204" s="90" t="s">
        <v>1104</v>
      </c>
      <c r="F3204" s="90" t="s">
        <v>863</v>
      </c>
      <c r="G3204" s="137">
        <v>1</v>
      </c>
      <c r="H3204" s="94">
        <v>90</v>
      </c>
      <c r="I3204" s="87">
        <v>46080</v>
      </c>
      <c r="J3204" s="93">
        <v>0.5083333333333333</v>
      </c>
      <c r="K3204" s="94">
        <v>90</v>
      </c>
      <c r="L3204" s="72" t="str">
        <f t="shared" si="50"/>
        <v>Payé</v>
      </c>
      <c r="N3204" s="15"/>
    </row>
    <row r="3205" spans="1:14" s="14" customFormat="1" ht="18" x14ac:dyDescent="0.25">
      <c r="A3205" s="90" t="s">
        <v>863</v>
      </c>
      <c r="B3205" s="90">
        <v>10536</v>
      </c>
      <c r="C3205" s="88" t="s">
        <v>1717</v>
      </c>
      <c r="D3205" s="90" t="s">
        <v>17</v>
      </c>
      <c r="E3205" s="90" t="s">
        <v>1104</v>
      </c>
      <c r="F3205" s="90" t="s">
        <v>863</v>
      </c>
      <c r="G3205" s="137">
        <v>1</v>
      </c>
      <c r="H3205" s="94">
        <v>90</v>
      </c>
      <c r="I3205" s="87">
        <v>46080</v>
      </c>
      <c r="J3205" s="93">
        <v>0.5083333333333333</v>
      </c>
      <c r="K3205" s="94">
        <v>90</v>
      </c>
      <c r="L3205" s="72" t="str">
        <f t="shared" si="50"/>
        <v>Payé</v>
      </c>
      <c r="N3205" s="15"/>
    </row>
    <row r="3206" spans="1:14" s="14" customFormat="1" ht="18" x14ac:dyDescent="0.25">
      <c r="A3206" s="90" t="s">
        <v>863</v>
      </c>
      <c r="B3206" s="90">
        <v>10537</v>
      </c>
      <c r="C3206" s="88" t="s">
        <v>1718</v>
      </c>
      <c r="D3206" s="90" t="s">
        <v>17</v>
      </c>
      <c r="E3206" s="90" t="s">
        <v>1104</v>
      </c>
      <c r="F3206" s="90" t="s">
        <v>863</v>
      </c>
      <c r="G3206" s="137">
        <v>1</v>
      </c>
      <c r="H3206" s="94">
        <v>90</v>
      </c>
      <c r="I3206" s="87">
        <v>46080</v>
      </c>
      <c r="J3206" s="93">
        <v>0.5083333333333333</v>
      </c>
      <c r="K3206" s="94">
        <v>90</v>
      </c>
      <c r="L3206" s="72" t="str">
        <f t="shared" si="50"/>
        <v>Payé</v>
      </c>
      <c r="N3206" s="15"/>
    </row>
    <row r="3207" spans="1:14" s="14" customFormat="1" ht="18" x14ac:dyDescent="0.25">
      <c r="A3207" s="90" t="s">
        <v>863</v>
      </c>
      <c r="B3207" s="90">
        <v>10538</v>
      </c>
      <c r="C3207" s="88" t="s">
        <v>1719</v>
      </c>
      <c r="D3207" s="90" t="s">
        <v>17</v>
      </c>
      <c r="E3207" s="90" t="s">
        <v>123</v>
      </c>
      <c r="F3207" s="90" t="s">
        <v>863</v>
      </c>
      <c r="G3207" s="137">
        <v>3</v>
      </c>
      <c r="H3207" s="94">
        <v>270</v>
      </c>
      <c r="I3207" s="87">
        <v>46077</v>
      </c>
      <c r="J3207" s="93">
        <v>0.61249999999999993</v>
      </c>
      <c r="K3207" s="94">
        <v>270</v>
      </c>
      <c r="L3207" s="72" t="str">
        <f t="shared" si="50"/>
        <v>Payé</v>
      </c>
      <c r="N3207" s="15"/>
    </row>
    <row r="3208" spans="1:14" s="14" customFormat="1" ht="18" x14ac:dyDescent="0.25">
      <c r="A3208" s="90" t="s">
        <v>863</v>
      </c>
      <c r="B3208" s="90">
        <v>10540</v>
      </c>
      <c r="C3208" s="88" t="s">
        <v>1720</v>
      </c>
      <c r="D3208" s="90" t="s">
        <v>17</v>
      </c>
      <c r="E3208" s="90" t="s">
        <v>1280</v>
      </c>
      <c r="F3208" s="90" t="s">
        <v>863</v>
      </c>
      <c r="G3208" s="137">
        <v>1</v>
      </c>
      <c r="H3208" s="94">
        <v>90</v>
      </c>
      <c r="I3208" s="87"/>
      <c r="J3208" s="93"/>
      <c r="K3208" s="92"/>
      <c r="L3208" s="72" t="str">
        <f t="shared" si="50"/>
        <v>Impayé</v>
      </c>
      <c r="N3208" s="15"/>
    </row>
    <row r="3209" spans="1:14" s="14" customFormat="1" ht="18" x14ac:dyDescent="0.25">
      <c r="A3209" s="90" t="s">
        <v>863</v>
      </c>
      <c r="B3209" s="90">
        <v>10541</v>
      </c>
      <c r="C3209" s="88" t="s">
        <v>1721</v>
      </c>
      <c r="D3209" s="90" t="s">
        <v>17</v>
      </c>
      <c r="E3209" s="90" t="s">
        <v>757</v>
      </c>
      <c r="F3209" s="90" t="s">
        <v>863</v>
      </c>
      <c r="G3209" s="137">
        <v>8</v>
      </c>
      <c r="H3209" s="94">
        <v>720</v>
      </c>
      <c r="I3209" s="87">
        <v>46077</v>
      </c>
      <c r="J3209" s="93">
        <v>0.61388888888888882</v>
      </c>
      <c r="K3209" s="94">
        <v>720</v>
      </c>
      <c r="L3209" s="72" t="str">
        <f t="shared" si="50"/>
        <v>Payé</v>
      </c>
      <c r="N3209" s="15"/>
    </row>
    <row r="3210" spans="1:14" s="14" customFormat="1" ht="18" x14ac:dyDescent="0.25">
      <c r="A3210" s="90" t="s">
        <v>863</v>
      </c>
      <c r="B3210" s="90">
        <v>10542</v>
      </c>
      <c r="C3210" s="88" t="s">
        <v>1722</v>
      </c>
      <c r="D3210" s="90" t="s">
        <v>17</v>
      </c>
      <c r="E3210" s="90" t="s">
        <v>757</v>
      </c>
      <c r="F3210" s="90" t="s">
        <v>863</v>
      </c>
      <c r="G3210" s="137">
        <v>1</v>
      </c>
      <c r="H3210" s="94">
        <v>90</v>
      </c>
      <c r="I3210" s="87">
        <v>46077</v>
      </c>
      <c r="J3210" s="93">
        <v>0.61388888888888882</v>
      </c>
      <c r="K3210" s="94">
        <v>90</v>
      </c>
      <c r="L3210" s="72" t="str">
        <f t="shared" si="50"/>
        <v>Payé</v>
      </c>
      <c r="N3210" s="15"/>
    </row>
    <row r="3211" spans="1:14" s="14" customFormat="1" ht="18" x14ac:dyDescent="0.25">
      <c r="A3211" s="90" t="s">
        <v>863</v>
      </c>
      <c r="B3211" s="90">
        <v>10543</v>
      </c>
      <c r="C3211" s="88" t="s">
        <v>1723</v>
      </c>
      <c r="D3211" s="90" t="s">
        <v>17</v>
      </c>
      <c r="E3211" s="90" t="s">
        <v>123</v>
      </c>
      <c r="F3211" s="90" t="s">
        <v>863</v>
      </c>
      <c r="G3211" s="137">
        <v>7</v>
      </c>
      <c r="H3211" s="94">
        <v>630</v>
      </c>
      <c r="I3211" s="87">
        <v>46077</v>
      </c>
      <c r="J3211" s="93">
        <v>0.58958333333333335</v>
      </c>
      <c r="K3211" s="94">
        <v>630</v>
      </c>
      <c r="L3211" s="72" t="str">
        <f t="shared" si="50"/>
        <v>Payé</v>
      </c>
      <c r="N3211" s="15"/>
    </row>
    <row r="3212" spans="1:14" s="14" customFormat="1" ht="18" x14ac:dyDescent="0.25">
      <c r="A3212" s="90" t="s">
        <v>863</v>
      </c>
      <c r="B3212" s="90">
        <v>10544</v>
      </c>
      <c r="C3212" s="88" t="s">
        <v>1724</v>
      </c>
      <c r="D3212" s="90" t="s">
        <v>17</v>
      </c>
      <c r="E3212" s="90" t="s">
        <v>123</v>
      </c>
      <c r="F3212" s="90" t="s">
        <v>863</v>
      </c>
      <c r="G3212" s="137">
        <v>1</v>
      </c>
      <c r="H3212" s="94">
        <v>90</v>
      </c>
      <c r="I3212" s="87">
        <v>46087</v>
      </c>
      <c r="J3212" s="93">
        <v>0.60902777777777783</v>
      </c>
      <c r="K3212" s="94">
        <v>90</v>
      </c>
      <c r="L3212" s="72" t="str">
        <f t="shared" si="50"/>
        <v>Payé</v>
      </c>
      <c r="N3212" s="15"/>
    </row>
    <row r="3213" spans="1:14" s="14" customFormat="1" ht="18" x14ac:dyDescent="0.25">
      <c r="A3213" s="90" t="s">
        <v>863</v>
      </c>
      <c r="B3213" s="90">
        <v>10545</v>
      </c>
      <c r="C3213" s="88" t="s">
        <v>1725</v>
      </c>
      <c r="D3213" s="90" t="s">
        <v>17</v>
      </c>
      <c r="E3213" s="90" t="s">
        <v>123</v>
      </c>
      <c r="F3213" s="90" t="s">
        <v>863</v>
      </c>
      <c r="G3213" s="137">
        <v>7</v>
      </c>
      <c r="H3213" s="94">
        <v>630</v>
      </c>
      <c r="I3213" s="87">
        <v>46087</v>
      </c>
      <c r="J3213" s="93">
        <v>0.6</v>
      </c>
      <c r="K3213" s="94">
        <v>630</v>
      </c>
      <c r="L3213" s="72" t="str">
        <f t="shared" si="50"/>
        <v>Payé</v>
      </c>
      <c r="N3213" s="15"/>
    </row>
    <row r="3214" spans="1:14" s="14" customFormat="1" ht="18" x14ac:dyDescent="0.25">
      <c r="A3214" s="90" t="s">
        <v>863</v>
      </c>
      <c r="B3214" s="90">
        <v>10546</v>
      </c>
      <c r="C3214" s="88" t="s">
        <v>1726</v>
      </c>
      <c r="D3214" s="90" t="s">
        <v>17</v>
      </c>
      <c r="E3214" s="90" t="s">
        <v>123</v>
      </c>
      <c r="F3214" s="90" t="s">
        <v>863</v>
      </c>
      <c r="G3214" s="137">
        <v>7</v>
      </c>
      <c r="H3214" s="94">
        <v>630</v>
      </c>
      <c r="I3214" s="87">
        <v>46077</v>
      </c>
      <c r="J3214" s="93">
        <v>0.58958333333333335</v>
      </c>
      <c r="K3214" s="94">
        <v>630</v>
      </c>
      <c r="L3214" s="72" t="str">
        <f t="shared" si="50"/>
        <v>Payé</v>
      </c>
      <c r="N3214" s="15"/>
    </row>
    <row r="3215" spans="1:14" s="14" customFormat="1" ht="18" x14ac:dyDescent="0.25">
      <c r="A3215" s="90" t="s">
        <v>863</v>
      </c>
      <c r="B3215" s="90">
        <v>10547</v>
      </c>
      <c r="C3215" s="88" t="s">
        <v>1727</v>
      </c>
      <c r="D3215" s="90" t="s">
        <v>17</v>
      </c>
      <c r="E3215" s="90" t="s">
        <v>123</v>
      </c>
      <c r="F3215" s="90" t="s">
        <v>863</v>
      </c>
      <c r="G3215" s="137">
        <v>4</v>
      </c>
      <c r="H3215" s="94">
        <v>360</v>
      </c>
      <c r="I3215" s="87">
        <v>46077</v>
      </c>
      <c r="J3215" s="93">
        <v>0.55625000000000002</v>
      </c>
      <c r="K3215" s="94">
        <v>360</v>
      </c>
      <c r="L3215" s="72" t="str">
        <f t="shared" si="50"/>
        <v>Payé</v>
      </c>
      <c r="N3215" s="15"/>
    </row>
    <row r="3216" spans="1:14" s="14" customFormat="1" ht="18" x14ac:dyDescent="0.25">
      <c r="A3216" s="90" t="s">
        <v>863</v>
      </c>
      <c r="B3216" s="90" t="s">
        <v>1728</v>
      </c>
      <c r="C3216" s="88" t="s">
        <v>1729</v>
      </c>
      <c r="D3216" s="90" t="s">
        <v>17</v>
      </c>
      <c r="E3216" s="90" t="s">
        <v>1664</v>
      </c>
      <c r="F3216" s="90" t="s">
        <v>863</v>
      </c>
      <c r="G3216" s="137">
        <v>10</v>
      </c>
      <c r="H3216" s="94">
        <v>900</v>
      </c>
      <c r="I3216" s="87">
        <v>46077</v>
      </c>
      <c r="J3216" s="93">
        <v>0.49861111111111112</v>
      </c>
      <c r="K3216" s="94">
        <v>900</v>
      </c>
      <c r="L3216" s="72" t="str">
        <f t="shared" si="50"/>
        <v>Payé</v>
      </c>
      <c r="N3216" s="15"/>
    </row>
    <row r="3217" spans="1:14" s="14" customFormat="1" ht="18" x14ac:dyDescent="0.25">
      <c r="A3217" s="90" t="s">
        <v>863</v>
      </c>
      <c r="B3217" s="90" t="s">
        <v>1730</v>
      </c>
      <c r="C3217" s="88" t="s">
        <v>1731</v>
      </c>
      <c r="D3217" s="90" t="s">
        <v>17</v>
      </c>
      <c r="E3217" s="90" t="s">
        <v>1664</v>
      </c>
      <c r="F3217" s="90" t="s">
        <v>863</v>
      </c>
      <c r="G3217" s="137">
        <v>10</v>
      </c>
      <c r="H3217" s="94">
        <v>1200</v>
      </c>
      <c r="I3217" s="87">
        <v>46077</v>
      </c>
      <c r="J3217" s="93">
        <v>0.49861111111111112</v>
      </c>
      <c r="K3217" s="94">
        <v>1200</v>
      </c>
      <c r="L3217" s="72" t="str">
        <f t="shared" si="50"/>
        <v>Payé</v>
      </c>
      <c r="N3217" s="15"/>
    </row>
    <row r="3218" spans="1:14" s="14" customFormat="1" ht="18" x14ac:dyDescent="0.25">
      <c r="A3218" s="90" t="s">
        <v>863</v>
      </c>
      <c r="B3218" s="90">
        <v>10550</v>
      </c>
      <c r="C3218" s="88" t="s">
        <v>1732</v>
      </c>
      <c r="D3218" s="90" t="s">
        <v>17</v>
      </c>
      <c r="E3218" s="90" t="s">
        <v>1664</v>
      </c>
      <c r="F3218" s="90" t="s">
        <v>863</v>
      </c>
      <c r="G3218" s="137">
        <v>10</v>
      </c>
      <c r="H3218" s="94">
        <v>900</v>
      </c>
      <c r="I3218" s="87">
        <v>46077</v>
      </c>
      <c r="J3218" s="93">
        <v>0.49861111111111112</v>
      </c>
      <c r="K3218" s="94">
        <v>900</v>
      </c>
      <c r="L3218" s="72" t="str">
        <f t="shared" si="50"/>
        <v>Payé</v>
      </c>
      <c r="N3218" s="15"/>
    </row>
    <row r="3219" spans="1:14" s="14" customFormat="1" ht="18" x14ac:dyDescent="0.25">
      <c r="A3219" s="90" t="s">
        <v>863</v>
      </c>
      <c r="B3219" s="90">
        <v>10552</v>
      </c>
      <c r="C3219" s="88" t="s">
        <v>1733</v>
      </c>
      <c r="D3219" s="90" t="s">
        <v>17</v>
      </c>
      <c r="E3219" s="90" t="s">
        <v>1344</v>
      </c>
      <c r="F3219" s="90" t="s">
        <v>863</v>
      </c>
      <c r="G3219" s="137">
        <v>10</v>
      </c>
      <c r="H3219" s="94">
        <v>910</v>
      </c>
      <c r="I3219" s="87">
        <v>46077</v>
      </c>
      <c r="J3219" s="93">
        <v>0.57152777777777775</v>
      </c>
      <c r="K3219" s="94">
        <v>910</v>
      </c>
      <c r="L3219" s="72" t="str">
        <f t="shared" si="50"/>
        <v>Payé</v>
      </c>
      <c r="N3219" s="15"/>
    </row>
    <row r="3220" spans="1:14" s="14" customFormat="1" ht="18" x14ac:dyDescent="0.25">
      <c r="A3220" s="90" t="s">
        <v>863</v>
      </c>
      <c r="B3220" s="90">
        <v>10553</v>
      </c>
      <c r="C3220" s="88" t="s">
        <v>1734</v>
      </c>
      <c r="D3220" s="90" t="s">
        <v>17</v>
      </c>
      <c r="E3220" s="90" t="s">
        <v>123</v>
      </c>
      <c r="F3220" s="90" t="s">
        <v>863</v>
      </c>
      <c r="G3220" s="137">
        <v>4</v>
      </c>
      <c r="H3220" s="94">
        <v>360</v>
      </c>
      <c r="I3220" s="87">
        <v>46080</v>
      </c>
      <c r="J3220" s="93">
        <v>0.56944444444444442</v>
      </c>
      <c r="K3220" s="94">
        <v>360</v>
      </c>
      <c r="L3220" s="72" t="str">
        <f t="shared" si="50"/>
        <v>Payé</v>
      </c>
      <c r="N3220" s="15"/>
    </row>
    <row r="3221" spans="1:14" s="14" customFormat="1" ht="18" x14ac:dyDescent="0.25">
      <c r="A3221" s="90" t="s">
        <v>863</v>
      </c>
      <c r="B3221" s="90">
        <v>10554</v>
      </c>
      <c r="C3221" s="88" t="s">
        <v>1735</v>
      </c>
      <c r="D3221" s="90" t="s">
        <v>17</v>
      </c>
      <c r="E3221" s="90" t="s">
        <v>1344</v>
      </c>
      <c r="F3221" s="90" t="s">
        <v>863</v>
      </c>
      <c r="G3221" s="137">
        <v>8</v>
      </c>
      <c r="H3221" s="94">
        <v>720</v>
      </c>
      <c r="I3221" s="87">
        <v>46077</v>
      </c>
      <c r="J3221" s="93">
        <v>0.50208333333333333</v>
      </c>
      <c r="K3221" s="94">
        <v>720</v>
      </c>
      <c r="L3221" s="72" t="str">
        <f t="shared" si="50"/>
        <v>Payé</v>
      </c>
      <c r="N3221" s="79"/>
    </row>
    <row r="3222" spans="1:14" s="14" customFormat="1" ht="18" x14ac:dyDescent="0.25">
      <c r="A3222" s="90" t="s">
        <v>863</v>
      </c>
      <c r="B3222" s="90">
        <v>10555</v>
      </c>
      <c r="C3222" s="88" t="s">
        <v>1736</v>
      </c>
      <c r="D3222" s="90" t="s">
        <v>17</v>
      </c>
      <c r="E3222" s="90" t="s">
        <v>1344</v>
      </c>
      <c r="F3222" s="90" t="s">
        <v>863</v>
      </c>
      <c r="G3222" s="137">
        <v>2</v>
      </c>
      <c r="H3222" s="94">
        <v>180</v>
      </c>
      <c r="I3222" s="87">
        <v>46077</v>
      </c>
      <c r="J3222" s="93">
        <v>0.57222222222222219</v>
      </c>
      <c r="K3222" s="94">
        <v>180</v>
      </c>
      <c r="L3222" s="72" t="str">
        <f t="shared" si="50"/>
        <v>Payé</v>
      </c>
      <c r="N3222" s="15"/>
    </row>
    <row r="3223" spans="1:14" s="14" customFormat="1" ht="18" x14ac:dyDescent="0.25">
      <c r="A3223" s="90" t="s">
        <v>863</v>
      </c>
      <c r="B3223" s="90">
        <v>10556</v>
      </c>
      <c r="C3223" s="88" t="s">
        <v>1737</v>
      </c>
      <c r="D3223" s="90" t="s">
        <v>17</v>
      </c>
      <c r="E3223" s="90" t="s">
        <v>1344</v>
      </c>
      <c r="F3223" s="90" t="s">
        <v>863</v>
      </c>
      <c r="G3223" s="137">
        <v>10</v>
      </c>
      <c r="H3223" s="94">
        <v>930</v>
      </c>
      <c r="I3223" s="87">
        <v>46077</v>
      </c>
      <c r="J3223" s="93">
        <v>0.50208333333333333</v>
      </c>
      <c r="K3223" s="94">
        <v>930</v>
      </c>
      <c r="L3223" s="72" t="str">
        <f t="shared" si="50"/>
        <v>Payé</v>
      </c>
      <c r="N3223" s="15"/>
    </row>
    <row r="3224" spans="1:14" s="14" customFormat="1" ht="18" x14ac:dyDescent="0.25">
      <c r="A3224" s="90" t="s">
        <v>863</v>
      </c>
      <c r="B3224" s="90">
        <v>10557</v>
      </c>
      <c r="C3224" s="88" t="s">
        <v>1738</v>
      </c>
      <c r="D3224" s="90" t="s">
        <v>17</v>
      </c>
      <c r="E3224" s="90" t="s">
        <v>1344</v>
      </c>
      <c r="F3224" s="90" t="s">
        <v>863</v>
      </c>
      <c r="G3224" s="137">
        <v>8</v>
      </c>
      <c r="H3224" s="94">
        <v>730</v>
      </c>
      <c r="I3224" s="87">
        <v>46077</v>
      </c>
      <c r="J3224" s="93">
        <v>0.57222222222222219</v>
      </c>
      <c r="K3224" s="94">
        <v>730</v>
      </c>
      <c r="L3224" s="72" t="str">
        <f t="shared" si="50"/>
        <v>Payé</v>
      </c>
      <c r="N3224" s="15"/>
    </row>
    <row r="3225" spans="1:14" s="14" customFormat="1" ht="18" x14ac:dyDescent="0.25">
      <c r="A3225" s="90" t="s">
        <v>863</v>
      </c>
      <c r="B3225" s="90">
        <v>10558</v>
      </c>
      <c r="C3225" s="88" t="s">
        <v>1739</v>
      </c>
      <c r="D3225" s="90" t="s">
        <v>17</v>
      </c>
      <c r="E3225" s="90" t="s">
        <v>1344</v>
      </c>
      <c r="F3225" s="90" t="s">
        <v>863</v>
      </c>
      <c r="G3225" s="137">
        <v>10</v>
      </c>
      <c r="H3225" s="94">
        <v>910</v>
      </c>
      <c r="I3225" s="87">
        <v>46077</v>
      </c>
      <c r="J3225" s="93">
        <v>0.50208333333333333</v>
      </c>
      <c r="K3225" s="94">
        <v>910</v>
      </c>
      <c r="L3225" s="72" t="str">
        <f t="shared" si="50"/>
        <v>Payé</v>
      </c>
      <c r="N3225" s="15"/>
    </row>
    <row r="3226" spans="1:14" s="14" customFormat="1" ht="18" x14ac:dyDescent="0.25">
      <c r="A3226" s="90" t="s">
        <v>863</v>
      </c>
      <c r="B3226" s="90">
        <v>10559</v>
      </c>
      <c r="C3226" s="88" t="s">
        <v>1740</v>
      </c>
      <c r="D3226" s="90" t="s">
        <v>17</v>
      </c>
      <c r="E3226" s="90" t="s">
        <v>1344</v>
      </c>
      <c r="F3226" s="90" t="s">
        <v>863</v>
      </c>
      <c r="G3226" s="137">
        <v>1</v>
      </c>
      <c r="H3226" s="94">
        <v>90</v>
      </c>
      <c r="I3226" s="87">
        <v>46077</v>
      </c>
      <c r="J3226" s="93">
        <v>0.50416666666666665</v>
      </c>
      <c r="K3226" s="94">
        <v>90</v>
      </c>
      <c r="L3226" s="72" t="str">
        <f t="shared" si="50"/>
        <v>Payé</v>
      </c>
      <c r="N3226" s="15"/>
    </row>
    <row r="3227" spans="1:14" s="14" customFormat="1" ht="18" x14ac:dyDescent="0.25">
      <c r="A3227" s="90" t="s">
        <v>863</v>
      </c>
      <c r="B3227" s="90">
        <v>10560</v>
      </c>
      <c r="C3227" s="88" t="s">
        <v>1741</v>
      </c>
      <c r="D3227" s="90" t="s">
        <v>17</v>
      </c>
      <c r="E3227" s="90" t="s">
        <v>1344</v>
      </c>
      <c r="F3227" s="90" t="s">
        <v>863</v>
      </c>
      <c r="G3227" s="137">
        <v>4</v>
      </c>
      <c r="H3227" s="94">
        <v>360</v>
      </c>
      <c r="I3227" s="87">
        <v>46078</v>
      </c>
      <c r="J3227" s="93">
        <v>17107</v>
      </c>
      <c r="K3227" s="94">
        <v>360</v>
      </c>
      <c r="L3227" s="72" t="str">
        <f t="shared" si="50"/>
        <v>Payé</v>
      </c>
      <c r="N3227" s="15"/>
    </row>
    <row r="3228" spans="1:14" s="14" customFormat="1" ht="18" x14ac:dyDescent="0.25">
      <c r="A3228" s="90" t="s">
        <v>863</v>
      </c>
      <c r="B3228" s="90">
        <v>10561</v>
      </c>
      <c r="C3228" s="88" t="s">
        <v>1742</v>
      </c>
      <c r="D3228" s="90" t="s">
        <v>17</v>
      </c>
      <c r="E3228" s="90" t="s">
        <v>123</v>
      </c>
      <c r="F3228" s="90" t="s">
        <v>863</v>
      </c>
      <c r="G3228" s="137">
        <v>5</v>
      </c>
      <c r="H3228" s="94">
        <v>450</v>
      </c>
      <c r="I3228" s="87">
        <v>46077</v>
      </c>
      <c r="J3228" s="93">
        <v>0.57013888888888886</v>
      </c>
      <c r="K3228" s="94">
        <v>450</v>
      </c>
      <c r="L3228" s="72" t="str">
        <f t="shared" si="50"/>
        <v>Payé</v>
      </c>
      <c r="N3228" s="15"/>
    </row>
    <row r="3229" spans="1:14" s="14" customFormat="1" ht="18" x14ac:dyDescent="0.25">
      <c r="A3229" s="90" t="s">
        <v>863</v>
      </c>
      <c r="B3229" s="90">
        <v>10562</v>
      </c>
      <c r="C3229" s="88" t="s">
        <v>1743</v>
      </c>
      <c r="D3229" s="90" t="s">
        <v>17</v>
      </c>
      <c r="E3229" s="90" t="s">
        <v>1344</v>
      </c>
      <c r="F3229" s="90" t="s">
        <v>863</v>
      </c>
      <c r="G3229" s="137">
        <v>8</v>
      </c>
      <c r="H3229" s="94">
        <v>760</v>
      </c>
      <c r="I3229" s="87">
        <v>46077</v>
      </c>
      <c r="J3229" s="93">
        <v>0.50208333333333333</v>
      </c>
      <c r="K3229" s="94">
        <v>760</v>
      </c>
      <c r="L3229" s="72" t="str">
        <f t="shared" si="50"/>
        <v>Payé</v>
      </c>
      <c r="N3229" s="15"/>
    </row>
    <row r="3230" spans="1:14" s="14" customFormat="1" ht="18" x14ac:dyDescent="0.25">
      <c r="A3230" s="90" t="s">
        <v>863</v>
      </c>
      <c r="B3230" s="90">
        <v>10563</v>
      </c>
      <c r="C3230" s="88" t="s">
        <v>1744</v>
      </c>
      <c r="D3230" s="90" t="s">
        <v>17</v>
      </c>
      <c r="E3230" s="90" t="s">
        <v>1800</v>
      </c>
      <c r="F3230" s="90" t="s">
        <v>863</v>
      </c>
      <c r="G3230" s="137">
        <v>8</v>
      </c>
      <c r="H3230" s="94">
        <v>720</v>
      </c>
      <c r="I3230" s="87">
        <v>46077</v>
      </c>
      <c r="J3230" s="93">
        <v>0.51041666666666663</v>
      </c>
      <c r="K3230" s="94">
        <v>720</v>
      </c>
      <c r="L3230" s="72" t="str">
        <f t="shared" ref="L3230:L3293" si="51">IF(ISBLANK(H3230),"",IF(H3230=K3230,"Payé","Impayé"))</f>
        <v>Payé</v>
      </c>
      <c r="N3230" s="15"/>
    </row>
    <row r="3231" spans="1:14" s="14" customFormat="1" ht="18" x14ac:dyDescent="0.25">
      <c r="A3231" s="90" t="s">
        <v>863</v>
      </c>
      <c r="B3231" s="90">
        <v>10564</v>
      </c>
      <c r="C3231" s="88" t="s">
        <v>1745</v>
      </c>
      <c r="D3231" s="90" t="s">
        <v>17</v>
      </c>
      <c r="E3231" s="90" t="s">
        <v>1800</v>
      </c>
      <c r="F3231" s="90" t="s">
        <v>863</v>
      </c>
      <c r="G3231" s="137">
        <v>7</v>
      </c>
      <c r="H3231" s="94">
        <v>630</v>
      </c>
      <c r="I3231" s="87">
        <v>46077</v>
      </c>
      <c r="J3231" s="93">
        <v>0.51041666666666663</v>
      </c>
      <c r="K3231" s="94">
        <v>630</v>
      </c>
      <c r="L3231" s="72" t="str">
        <f t="shared" si="51"/>
        <v>Payé</v>
      </c>
      <c r="N3231" s="15"/>
    </row>
    <row r="3232" spans="1:14" s="14" customFormat="1" ht="18" x14ac:dyDescent="0.25">
      <c r="A3232" s="90" t="s">
        <v>863</v>
      </c>
      <c r="B3232" s="90">
        <v>10565</v>
      </c>
      <c r="C3232" s="88" t="s">
        <v>1746</v>
      </c>
      <c r="D3232" s="90" t="s">
        <v>17</v>
      </c>
      <c r="E3232" s="90" t="s">
        <v>1800</v>
      </c>
      <c r="F3232" s="90" t="s">
        <v>863</v>
      </c>
      <c r="G3232" s="137">
        <v>7</v>
      </c>
      <c r="H3232" s="94">
        <v>630</v>
      </c>
      <c r="I3232" s="87">
        <v>46077</v>
      </c>
      <c r="J3232" s="93">
        <v>0.51041666666666663</v>
      </c>
      <c r="K3232" s="94">
        <v>630</v>
      </c>
      <c r="L3232" s="72" t="str">
        <f t="shared" si="51"/>
        <v>Payé</v>
      </c>
      <c r="N3232" s="15"/>
    </row>
    <row r="3233" spans="1:14" s="14" customFormat="1" ht="18" x14ac:dyDescent="0.25">
      <c r="A3233" s="90" t="s">
        <v>863</v>
      </c>
      <c r="B3233" s="90">
        <v>10566</v>
      </c>
      <c r="C3233" s="88" t="s">
        <v>1747</v>
      </c>
      <c r="D3233" s="90" t="s">
        <v>17</v>
      </c>
      <c r="E3233" s="90" t="s">
        <v>1800</v>
      </c>
      <c r="F3233" s="90" t="s">
        <v>863</v>
      </c>
      <c r="G3233" s="137">
        <v>8</v>
      </c>
      <c r="H3233" s="94">
        <v>720</v>
      </c>
      <c r="I3233" s="87">
        <v>46077</v>
      </c>
      <c r="J3233" s="93">
        <v>0.51041666666666663</v>
      </c>
      <c r="K3233" s="94">
        <v>720</v>
      </c>
      <c r="L3233" s="72" t="str">
        <f t="shared" si="51"/>
        <v>Payé</v>
      </c>
      <c r="N3233" s="15"/>
    </row>
    <row r="3234" spans="1:14" s="14" customFormat="1" ht="18" x14ac:dyDescent="0.25">
      <c r="A3234" s="90" t="s">
        <v>863</v>
      </c>
      <c r="B3234" s="90">
        <v>10567</v>
      </c>
      <c r="C3234" s="88" t="s">
        <v>1748</v>
      </c>
      <c r="D3234" s="90" t="s">
        <v>17</v>
      </c>
      <c r="E3234" s="90" t="s">
        <v>1800</v>
      </c>
      <c r="F3234" s="90" t="s">
        <v>863</v>
      </c>
      <c r="G3234" s="137">
        <v>6</v>
      </c>
      <c r="H3234" s="94">
        <v>540</v>
      </c>
      <c r="I3234" s="87">
        <v>46078</v>
      </c>
      <c r="J3234" s="93">
        <v>0.49722222222222223</v>
      </c>
      <c r="K3234" s="193">
        <v>540</v>
      </c>
      <c r="L3234" s="72" t="str">
        <f t="shared" si="51"/>
        <v>Payé</v>
      </c>
      <c r="N3234" s="15"/>
    </row>
    <row r="3235" spans="1:14" s="14" customFormat="1" ht="18" x14ac:dyDescent="0.25">
      <c r="A3235" s="90" t="s">
        <v>863</v>
      </c>
      <c r="B3235" s="90">
        <v>10568</v>
      </c>
      <c r="C3235" s="88" t="s">
        <v>1749</v>
      </c>
      <c r="D3235" s="90" t="s">
        <v>17</v>
      </c>
      <c r="E3235" s="90" t="s">
        <v>1800</v>
      </c>
      <c r="F3235" s="90" t="s">
        <v>863</v>
      </c>
      <c r="G3235" s="137">
        <v>8</v>
      </c>
      <c r="H3235" s="94">
        <v>720</v>
      </c>
      <c r="I3235" s="87">
        <v>46077</v>
      </c>
      <c r="J3235" s="93">
        <v>0.51041666666666663</v>
      </c>
      <c r="K3235" s="94">
        <v>720</v>
      </c>
      <c r="L3235" s="72" t="str">
        <f t="shared" si="51"/>
        <v>Payé</v>
      </c>
      <c r="N3235" s="15"/>
    </row>
    <row r="3236" spans="1:14" s="14" customFormat="1" ht="18" x14ac:dyDescent="0.25">
      <c r="A3236" s="90" t="s">
        <v>863</v>
      </c>
      <c r="B3236" s="90">
        <v>10569</v>
      </c>
      <c r="C3236" s="88" t="s">
        <v>1750</v>
      </c>
      <c r="D3236" s="90" t="s">
        <v>17</v>
      </c>
      <c r="E3236" s="90" t="s">
        <v>1800</v>
      </c>
      <c r="F3236" s="90" t="s">
        <v>863</v>
      </c>
      <c r="G3236" s="137">
        <v>8</v>
      </c>
      <c r="H3236" s="94">
        <v>720</v>
      </c>
      <c r="I3236" s="87">
        <v>46078</v>
      </c>
      <c r="J3236" s="93">
        <v>0.49722222222222223</v>
      </c>
      <c r="K3236" s="193">
        <v>720</v>
      </c>
      <c r="L3236" s="72" t="str">
        <f t="shared" si="51"/>
        <v>Payé</v>
      </c>
      <c r="N3236" s="15"/>
    </row>
    <row r="3237" spans="1:14" s="14" customFormat="1" ht="18" x14ac:dyDescent="0.25">
      <c r="A3237" s="90" t="s">
        <v>863</v>
      </c>
      <c r="B3237" s="90">
        <v>10570</v>
      </c>
      <c r="C3237" s="88" t="s">
        <v>1751</v>
      </c>
      <c r="D3237" s="90" t="s">
        <v>17</v>
      </c>
      <c r="E3237" s="90" t="s">
        <v>1800</v>
      </c>
      <c r="F3237" s="90" t="s">
        <v>863</v>
      </c>
      <c r="G3237" s="137">
        <v>7</v>
      </c>
      <c r="H3237" s="94">
        <v>630</v>
      </c>
      <c r="I3237" s="87">
        <v>46077</v>
      </c>
      <c r="J3237" s="93">
        <v>0.51041666666666663</v>
      </c>
      <c r="K3237" s="94">
        <v>630</v>
      </c>
      <c r="L3237" s="72" t="str">
        <f t="shared" si="51"/>
        <v>Payé</v>
      </c>
      <c r="N3237" s="15"/>
    </row>
    <row r="3238" spans="1:14" s="14" customFormat="1" ht="18" x14ac:dyDescent="0.25">
      <c r="A3238" s="90" t="s">
        <v>863</v>
      </c>
      <c r="B3238" s="90">
        <v>10571</v>
      </c>
      <c r="C3238" s="88" t="s">
        <v>1752</v>
      </c>
      <c r="D3238" s="90" t="s">
        <v>17</v>
      </c>
      <c r="E3238" s="90" t="s">
        <v>1800</v>
      </c>
      <c r="F3238" s="90" t="s">
        <v>863</v>
      </c>
      <c r="G3238" s="137">
        <v>4</v>
      </c>
      <c r="H3238" s="94">
        <v>360</v>
      </c>
      <c r="I3238" s="87">
        <v>46077</v>
      </c>
      <c r="J3238" s="93">
        <v>0.51041666666666663</v>
      </c>
      <c r="K3238" s="94">
        <v>360</v>
      </c>
      <c r="L3238" s="72" t="str">
        <f t="shared" si="51"/>
        <v>Payé</v>
      </c>
      <c r="N3238" s="15"/>
    </row>
    <row r="3239" spans="1:14" s="14" customFormat="1" ht="18" x14ac:dyDescent="0.25">
      <c r="A3239" s="90" t="s">
        <v>863</v>
      </c>
      <c r="B3239" s="90">
        <v>10572</v>
      </c>
      <c r="C3239" s="88" t="s">
        <v>1753</v>
      </c>
      <c r="D3239" s="90" t="s">
        <v>17</v>
      </c>
      <c r="E3239" s="90" t="s">
        <v>1800</v>
      </c>
      <c r="F3239" s="90" t="s">
        <v>863</v>
      </c>
      <c r="G3239" s="137">
        <v>5</v>
      </c>
      <c r="H3239" s="94">
        <v>450</v>
      </c>
      <c r="I3239" s="87">
        <v>46077</v>
      </c>
      <c r="J3239" s="93">
        <v>0.51041666666666663</v>
      </c>
      <c r="K3239" s="94">
        <v>450</v>
      </c>
      <c r="L3239" s="72" t="str">
        <f t="shared" si="51"/>
        <v>Payé</v>
      </c>
      <c r="N3239" s="15"/>
    </row>
    <row r="3240" spans="1:14" s="14" customFormat="1" ht="18" x14ac:dyDescent="0.25">
      <c r="A3240" s="90" t="s">
        <v>863</v>
      </c>
      <c r="B3240" s="90" t="s">
        <v>1754</v>
      </c>
      <c r="C3240" s="88" t="s">
        <v>1755</v>
      </c>
      <c r="D3240" s="90" t="s">
        <v>17</v>
      </c>
      <c r="E3240" s="90" t="s">
        <v>1664</v>
      </c>
      <c r="F3240" s="90" t="s">
        <v>863</v>
      </c>
      <c r="G3240" s="137">
        <v>6</v>
      </c>
      <c r="H3240" s="94">
        <v>540</v>
      </c>
      <c r="I3240" s="87">
        <v>46080</v>
      </c>
      <c r="J3240" s="93">
        <v>0.48680555555555555</v>
      </c>
      <c r="K3240" s="94">
        <v>540</v>
      </c>
      <c r="L3240" s="72" t="str">
        <f t="shared" si="51"/>
        <v>Payé</v>
      </c>
      <c r="N3240" s="15"/>
    </row>
    <row r="3241" spans="1:14" s="14" customFormat="1" ht="18" x14ac:dyDescent="0.25">
      <c r="A3241" s="90" t="s">
        <v>863</v>
      </c>
      <c r="B3241" s="90" t="s">
        <v>1756</v>
      </c>
      <c r="C3241" s="88" t="s">
        <v>1757</v>
      </c>
      <c r="D3241" s="90" t="s">
        <v>17</v>
      </c>
      <c r="E3241" s="90" t="s">
        <v>1664</v>
      </c>
      <c r="F3241" s="90" t="s">
        <v>863</v>
      </c>
      <c r="G3241" s="137">
        <v>7</v>
      </c>
      <c r="H3241" s="94">
        <v>630</v>
      </c>
      <c r="I3241" s="87">
        <v>46077</v>
      </c>
      <c r="J3241" s="93">
        <v>0.49861111111111112</v>
      </c>
      <c r="K3241" s="94">
        <v>630</v>
      </c>
      <c r="L3241" s="72" t="str">
        <f t="shared" si="51"/>
        <v>Payé</v>
      </c>
      <c r="N3241" s="15"/>
    </row>
    <row r="3242" spans="1:14" s="14" customFormat="1" ht="18" x14ac:dyDescent="0.25">
      <c r="A3242" s="90" t="s">
        <v>863</v>
      </c>
      <c r="B3242" s="90" t="s">
        <v>1758</v>
      </c>
      <c r="C3242" s="88" t="s">
        <v>1759</v>
      </c>
      <c r="D3242" s="90" t="s">
        <v>17</v>
      </c>
      <c r="E3242" s="90" t="s">
        <v>1664</v>
      </c>
      <c r="F3242" s="90" t="s">
        <v>863</v>
      </c>
      <c r="G3242" s="137">
        <v>4</v>
      </c>
      <c r="H3242" s="94">
        <v>360</v>
      </c>
      <c r="I3242" s="87">
        <v>46077</v>
      </c>
      <c r="J3242" s="93">
        <v>0.50277777777777777</v>
      </c>
      <c r="K3242" s="94">
        <v>360</v>
      </c>
      <c r="L3242" s="72" t="str">
        <f t="shared" si="51"/>
        <v>Payé</v>
      </c>
      <c r="N3242" s="15"/>
    </row>
    <row r="3243" spans="1:14" s="14" customFormat="1" ht="18" x14ac:dyDescent="0.25">
      <c r="A3243" s="90" t="s">
        <v>863</v>
      </c>
      <c r="B3243" s="90">
        <v>10577</v>
      </c>
      <c r="C3243" s="88" t="s">
        <v>1760</v>
      </c>
      <c r="D3243" s="90" t="s">
        <v>17</v>
      </c>
      <c r="E3243" s="90" t="s">
        <v>1280</v>
      </c>
      <c r="F3243" s="90" t="s">
        <v>863</v>
      </c>
      <c r="G3243" s="137">
        <v>2</v>
      </c>
      <c r="H3243" s="94">
        <v>180</v>
      </c>
      <c r="I3243" s="87">
        <v>46083</v>
      </c>
      <c r="J3243" s="93">
        <v>0.55486111111111114</v>
      </c>
      <c r="K3243" s="94">
        <v>180</v>
      </c>
      <c r="L3243" s="72" t="str">
        <f t="shared" si="51"/>
        <v>Payé</v>
      </c>
      <c r="N3243" s="15"/>
    </row>
    <row r="3244" spans="1:14" s="14" customFormat="1" ht="18" x14ac:dyDescent="0.25">
      <c r="A3244" s="90" t="s">
        <v>863</v>
      </c>
      <c r="B3244" s="90">
        <v>10578</v>
      </c>
      <c r="C3244" s="88" t="s">
        <v>1761</v>
      </c>
      <c r="D3244" s="90" t="s">
        <v>17</v>
      </c>
      <c r="E3244" s="90" t="s">
        <v>1280</v>
      </c>
      <c r="F3244" s="90" t="s">
        <v>863</v>
      </c>
      <c r="G3244" s="137">
        <v>2</v>
      </c>
      <c r="H3244" s="94">
        <v>180</v>
      </c>
      <c r="I3244" s="87">
        <v>46083</v>
      </c>
      <c r="J3244" s="93">
        <v>0.50208333333333333</v>
      </c>
      <c r="K3244" s="94">
        <v>180</v>
      </c>
      <c r="L3244" s="72" t="str">
        <f t="shared" si="51"/>
        <v>Payé</v>
      </c>
      <c r="N3244" s="15"/>
    </row>
    <row r="3245" spans="1:14" s="14" customFormat="1" ht="18" x14ac:dyDescent="0.25">
      <c r="A3245" s="90" t="s">
        <v>863</v>
      </c>
      <c r="B3245" s="90">
        <v>10579</v>
      </c>
      <c r="C3245" s="88" t="s">
        <v>1762</v>
      </c>
      <c r="D3245" s="90" t="s">
        <v>17</v>
      </c>
      <c r="E3245" s="90" t="s">
        <v>1280</v>
      </c>
      <c r="F3245" s="90" t="s">
        <v>863</v>
      </c>
      <c r="G3245" s="137">
        <v>2</v>
      </c>
      <c r="H3245" s="94">
        <v>180</v>
      </c>
      <c r="I3245" s="87">
        <v>46083</v>
      </c>
      <c r="J3245" s="93">
        <v>0.55486111111111114</v>
      </c>
      <c r="K3245" s="94">
        <v>180</v>
      </c>
      <c r="L3245" s="72" t="str">
        <f t="shared" si="51"/>
        <v>Payé</v>
      </c>
      <c r="N3245" s="15"/>
    </row>
    <row r="3246" spans="1:14" s="14" customFormat="1" ht="18" x14ac:dyDescent="0.25">
      <c r="A3246" s="90" t="s">
        <v>863</v>
      </c>
      <c r="B3246" s="90">
        <v>10580</v>
      </c>
      <c r="C3246" s="88" t="s">
        <v>1763</v>
      </c>
      <c r="D3246" s="90" t="s">
        <v>17</v>
      </c>
      <c r="E3246" s="90" t="s">
        <v>1280</v>
      </c>
      <c r="F3246" s="90" t="s">
        <v>863</v>
      </c>
      <c r="G3246" s="137">
        <v>2</v>
      </c>
      <c r="H3246" s="94">
        <v>180</v>
      </c>
      <c r="I3246" s="87">
        <v>46083</v>
      </c>
      <c r="J3246" s="93">
        <v>0.50208333333333333</v>
      </c>
      <c r="K3246" s="94">
        <v>180</v>
      </c>
      <c r="L3246" s="72" t="str">
        <f t="shared" si="51"/>
        <v>Payé</v>
      </c>
      <c r="N3246" s="15"/>
    </row>
    <row r="3247" spans="1:14" s="14" customFormat="1" ht="18" x14ac:dyDescent="0.25">
      <c r="A3247" s="90" t="s">
        <v>863</v>
      </c>
      <c r="B3247" s="90">
        <v>10581</v>
      </c>
      <c r="C3247" s="88" t="s">
        <v>1764</v>
      </c>
      <c r="D3247" s="90" t="s">
        <v>17</v>
      </c>
      <c r="E3247" s="90" t="s">
        <v>1280</v>
      </c>
      <c r="F3247" s="90" t="s">
        <v>863</v>
      </c>
      <c r="G3247" s="137">
        <v>2</v>
      </c>
      <c r="H3247" s="94">
        <v>180</v>
      </c>
      <c r="I3247" s="87">
        <v>46083</v>
      </c>
      <c r="J3247" s="93">
        <v>0.55486111111111114</v>
      </c>
      <c r="K3247" s="94">
        <v>180</v>
      </c>
      <c r="L3247" s="72" t="str">
        <f t="shared" si="51"/>
        <v>Payé</v>
      </c>
      <c r="N3247" s="15"/>
    </row>
    <row r="3248" spans="1:14" s="14" customFormat="1" ht="18" x14ac:dyDescent="0.25">
      <c r="A3248" s="90" t="s">
        <v>863</v>
      </c>
      <c r="B3248" s="90">
        <v>10582</v>
      </c>
      <c r="C3248" s="88" t="s">
        <v>1765</v>
      </c>
      <c r="D3248" s="90" t="s">
        <v>17</v>
      </c>
      <c r="E3248" s="90" t="s">
        <v>123</v>
      </c>
      <c r="F3248" s="90" t="s">
        <v>863</v>
      </c>
      <c r="G3248" s="137">
        <v>5</v>
      </c>
      <c r="H3248" s="94">
        <v>450</v>
      </c>
      <c r="I3248" s="87">
        <v>46077</v>
      </c>
      <c r="J3248" s="93">
        <v>0.57013888888888886</v>
      </c>
      <c r="K3248" s="94">
        <v>450</v>
      </c>
      <c r="L3248" s="72" t="str">
        <f t="shared" si="51"/>
        <v>Payé</v>
      </c>
      <c r="N3248" s="15"/>
    </row>
    <row r="3249" spans="1:14" s="14" customFormat="1" ht="18" x14ac:dyDescent="0.25">
      <c r="A3249" s="90" t="s">
        <v>863</v>
      </c>
      <c r="B3249" s="90">
        <v>10583</v>
      </c>
      <c r="C3249" s="88" t="s">
        <v>1766</v>
      </c>
      <c r="D3249" s="90" t="s">
        <v>17</v>
      </c>
      <c r="E3249" s="90" t="s">
        <v>1104</v>
      </c>
      <c r="F3249" s="90" t="s">
        <v>863</v>
      </c>
      <c r="G3249" s="137">
        <v>4</v>
      </c>
      <c r="H3249" s="94">
        <v>360</v>
      </c>
      <c r="I3249" s="87">
        <v>46077</v>
      </c>
      <c r="J3249" s="93">
        <v>0.6118055555555556</v>
      </c>
      <c r="K3249" s="94">
        <v>360</v>
      </c>
      <c r="L3249" s="72" t="str">
        <f t="shared" si="51"/>
        <v>Payé</v>
      </c>
      <c r="N3249" s="15"/>
    </row>
    <row r="3250" spans="1:14" s="14" customFormat="1" ht="18" x14ac:dyDescent="0.25">
      <c r="A3250" s="90" t="s">
        <v>863</v>
      </c>
      <c r="B3250" s="90">
        <v>10584</v>
      </c>
      <c r="C3250" s="88" t="s">
        <v>1767</v>
      </c>
      <c r="D3250" s="90" t="s">
        <v>17</v>
      </c>
      <c r="E3250" s="90" t="s">
        <v>1104</v>
      </c>
      <c r="F3250" s="90" t="s">
        <v>863</v>
      </c>
      <c r="G3250" s="137">
        <v>5</v>
      </c>
      <c r="H3250" s="94">
        <v>450</v>
      </c>
      <c r="I3250" s="87">
        <v>46077</v>
      </c>
      <c r="J3250" s="93">
        <v>0.60833333333333328</v>
      </c>
      <c r="K3250" s="94">
        <v>450</v>
      </c>
      <c r="L3250" s="72" t="str">
        <f t="shared" si="51"/>
        <v>Payé</v>
      </c>
      <c r="N3250" s="15"/>
    </row>
    <row r="3251" spans="1:14" s="14" customFormat="1" ht="18" x14ac:dyDescent="0.25">
      <c r="A3251" s="90" t="s">
        <v>863</v>
      </c>
      <c r="B3251" s="90">
        <v>10586</v>
      </c>
      <c r="C3251" s="88" t="s">
        <v>1768</v>
      </c>
      <c r="D3251" s="90" t="s">
        <v>17</v>
      </c>
      <c r="E3251" s="90" t="s">
        <v>1104</v>
      </c>
      <c r="F3251" s="90" t="s">
        <v>863</v>
      </c>
      <c r="G3251" s="137">
        <v>5</v>
      </c>
      <c r="H3251" s="94">
        <v>450</v>
      </c>
      <c r="I3251" s="87">
        <v>46078</v>
      </c>
      <c r="J3251" s="93">
        <v>0.49444444444444446</v>
      </c>
      <c r="K3251" s="94">
        <v>450</v>
      </c>
      <c r="L3251" s="72" t="str">
        <f t="shared" si="51"/>
        <v>Payé</v>
      </c>
      <c r="N3251" s="15"/>
    </row>
    <row r="3252" spans="1:14" s="14" customFormat="1" ht="18" x14ac:dyDescent="0.25">
      <c r="A3252" s="90" t="s">
        <v>863</v>
      </c>
      <c r="B3252" s="90">
        <v>10587</v>
      </c>
      <c r="C3252" s="88" t="s">
        <v>1769</v>
      </c>
      <c r="D3252" s="90" t="s">
        <v>17</v>
      </c>
      <c r="E3252" s="90" t="s">
        <v>1104</v>
      </c>
      <c r="F3252" s="90" t="s">
        <v>863</v>
      </c>
      <c r="G3252" s="137">
        <v>6</v>
      </c>
      <c r="H3252" s="94">
        <v>540</v>
      </c>
      <c r="I3252" s="87">
        <v>46078</v>
      </c>
      <c r="J3252" s="93">
        <v>0.49444444444444446</v>
      </c>
      <c r="K3252" s="94">
        <v>540</v>
      </c>
      <c r="L3252" s="72" t="str">
        <f t="shared" si="51"/>
        <v>Payé</v>
      </c>
      <c r="N3252" s="15"/>
    </row>
    <row r="3253" spans="1:14" s="14" customFormat="1" ht="18" x14ac:dyDescent="0.25">
      <c r="A3253" s="90" t="s">
        <v>863</v>
      </c>
      <c r="B3253" s="90">
        <v>10588</v>
      </c>
      <c r="C3253" s="88" t="s">
        <v>1770</v>
      </c>
      <c r="D3253" s="90" t="s">
        <v>17</v>
      </c>
      <c r="E3253" s="90" t="s">
        <v>49</v>
      </c>
      <c r="F3253" s="90" t="s">
        <v>863</v>
      </c>
      <c r="G3253" s="137">
        <v>2</v>
      </c>
      <c r="H3253" s="94">
        <v>180</v>
      </c>
      <c r="I3253" s="87">
        <v>46078</v>
      </c>
      <c r="J3253" s="93">
        <v>45231</v>
      </c>
      <c r="K3253" s="94">
        <v>180</v>
      </c>
      <c r="L3253" s="72" t="str">
        <f t="shared" si="51"/>
        <v>Payé</v>
      </c>
      <c r="N3253" s="15"/>
    </row>
    <row r="3254" spans="1:14" s="14" customFormat="1" ht="18" x14ac:dyDescent="0.25">
      <c r="A3254" s="90" t="s">
        <v>863</v>
      </c>
      <c r="B3254" s="90">
        <v>10590</v>
      </c>
      <c r="C3254" s="88" t="s">
        <v>1771</v>
      </c>
      <c r="D3254" s="90" t="s">
        <v>17</v>
      </c>
      <c r="E3254" s="90" t="s">
        <v>1800</v>
      </c>
      <c r="F3254" s="90" t="s">
        <v>863</v>
      </c>
      <c r="G3254" s="137">
        <v>6</v>
      </c>
      <c r="H3254" s="94">
        <v>540</v>
      </c>
      <c r="I3254" s="87">
        <v>46077</v>
      </c>
      <c r="J3254" s="93">
        <v>0.51041666666666663</v>
      </c>
      <c r="K3254" s="94">
        <v>540</v>
      </c>
      <c r="L3254" s="72" t="str">
        <f t="shared" si="51"/>
        <v>Payé</v>
      </c>
      <c r="N3254" s="15"/>
    </row>
    <row r="3255" spans="1:14" s="14" customFormat="1" ht="18" x14ac:dyDescent="0.25">
      <c r="A3255" s="90" t="s">
        <v>863</v>
      </c>
      <c r="B3255" s="90" t="s">
        <v>1772</v>
      </c>
      <c r="C3255" s="88" t="s">
        <v>1773</v>
      </c>
      <c r="D3255" s="90" t="s">
        <v>17</v>
      </c>
      <c r="E3255" s="90" t="s">
        <v>1664</v>
      </c>
      <c r="F3255" s="90" t="s">
        <v>863</v>
      </c>
      <c r="G3255" s="137">
        <v>7</v>
      </c>
      <c r="H3255" s="94">
        <v>630</v>
      </c>
      <c r="I3255" s="87">
        <v>46077</v>
      </c>
      <c r="J3255" s="93">
        <v>0.49861111111111112</v>
      </c>
      <c r="K3255" s="94">
        <v>630</v>
      </c>
      <c r="L3255" s="72" t="str">
        <f t="shared" si="51"/>
        <v>Payé</v>
      </c>
      <c r="N3255" s="15"/>
    </row>
    <row r="3256" spans="1:14" s="14" customFormat="1" ht="18" x14ac:dyDescent="0.25">
      <c r="A3256" s="90" t="s">
        <v>863</v>
      </c>
      <c r="B3256" s="90" t="s">
        <v>1774</v>
      </c>
      <c r="C3256" s="88" t="s">
        <v>1775</v>
      </c>
      <c r="D3256" s="90" t="s">
        <v>17</v>
      </c>
      <c r="E3256" s="90" t="s">
        <v>1664</v>
      </c>
      <c r="F3256" s="90" t="s">
        <v>863</v>
      </c>
      <c r="G3256" s="137">
        <v>7</v>
      </c>
      <c r="H3256" s="94">
        <v>630</v>
      </c>
      <c r="I3256" s="87">
        <v>46078</v>
      </c>
      <c r="J3256" s="93">
        <v>0.55347222222222225</v>
      </c>
      <c r="K3256" s="94">
        <v>630</v>
      </c>
      <c r="L3256" s="72" t="str">
        <f t="shared" si="51"/>
        <v>Payé</v>
      </c>
      <c r="N3256" s="15"/>
    </row>
    <row r="3257" spans="1:14" s="14" customFormat="1" ht="18" x14ac:dyDescent="0.25">
      <c r="A3257" s="90" t="s">
        <v>863</v>
      </c>
      <c r="B3257" s="90" t="s">
        <v>1776</v>
      </c>
      <c r="C3257" s="88" t="s">
        <v>1777</v>
      </c>
      <c r="D3257" s="90" t="s">
        <v>17</v>
      </c>
      <c r="E3257" s="90" t="s">
        <v>1664</v>
      </c>
      <c r="F3257" s="90" t="s">
        <v>863</v>
      </c>
      <c r="G3257" s="137">
        <v>3</v>
      </c>
      <c r="H3257" s="94">
        <v>270</v>
      </c>
      <c r="I3257" s="87">
        <v>46078</v>
      </c>
      <c r="J3257" s="93">
        <v>16011</v>
      </c>
      <c r="K3257" s="94">
        <v>270</v>
      </c>
      <c r="L3257" s="72" t="str">
        <f t="shared" si="51"/>
        <v>Payé</v>
      </c>
      <c r="N3257" s="15"/>
    </row>
    <row r="3258" spans="1:14" s="14" customFormat="1" ht="18" x14ac:dyDescent="0.25">
      <c r="A3258" s="90" t="s">
        <v>863</v>
      </c>
      <c r="B3258" s="90" t="s">
        <v>1778</v>
      </c>
      <c r="C3258" s="88" t="s">
        <v>1779</v>
      </c>
      <c r="D3258" s="90" t="s">
        <v>17</v>
      </c>
      <c r="E3258" s="90" t="s">
        <v>1664</v>
      </c>
      <c r="F3258" s="90" t="s">
        <v>863</v>
      </c>
      <c r="G3258" s="137">
        <v>3</v>
      </c>
      <c r="H3258" s="94">
        <v>270</v>
      </c>
      <c r="I3258" s="87">
        <v>46077</v>
      </c>
      <c r="J3258" s="93">
        <v>0.49861111111111112</v>
      </c>
      <c r="K3258" s="94">
        <v>270</v>
      </c>
      <c r="L3258" s="72" t="str">
        <f t="shared" si="51"/>
        <v>Payé</v>
      </c>
      <c r="N3258" s="15"/>
    </row>
    <row r="3259" spans="1:14" s="14" customFormat="1" ht="18" x14ac:dyDescent="0.25">
      <c r="A3259" s="90" t="s">
        <v>863</v>
      </c>
      <c r="B3259" s="90" t="s">
        <v>1780</v>
      </c>
      <c r="C3259" s="88" t="s">
        <v>1781</v>
      </c>
      <c r="D3259" s="90" t="s">
        <v>17</v>
      </c>
      <c r="E3259" s="90" t="s">
        <v>1664</v>
      </c>
      <c r="F3259" s="90" t="s">
        <v>863</v>
      </c>
      <c r="G3259" s="137">
        <v>4</v>
      </c>
      <c r="H3259" s="94">
        <v>360</v>
      </c>
      <c r="I3259" s="87">
        <v>46077</v>
      </c>
      <c r="J3259" s="93">
        <v>0.49861111111111112</v>
      </c>
      <c r="K3259" s="94">
        <v>360</v>
      </c>
      <c r="L3259" s="72" t="str">
        <f t="shared" si="51"/>
        <v>Payé</v>
      </c>
      <c r="N3259" s="15"/>
    </row>
    <row r="3260" spans="1:14" s="14" customFormat="1" ht="18" x14ac:dyDescent="0.25">
      <c r="A3260" s="90" t="s">
        <v>863</v>
      </c>
      <c r="B3260" s="90">
        <v>10596</v>
      </c>
      <c r="C3260" s="88" t="s">
        <v>1782</v>
      </c>
      <c r="D3260" s="90" t="s">
        <v>17</v>
      </c>
      <c r="E3260" s="90" t="s">
        <v>1104</v>
      </c>
      <c r="F3260" s="90" t="s">
        <v>863</v>
      </c>
      <c r="G3260" s="137">
        <v>2</v>
      </c>
      <c r="H3260" s="94">
        <v>180</v>
      </c>
      <c r="I3260" s="87">
        <v>46078</v>
      </c>
      <c r="J3260" s="93">
        <v>0.49444444444444446</v>
      </c>
      <c r="K3260" s="94">
        <v>180</v>
      </c>
      <c r="L3260" s="72" t="str">
        <f t="shared" si="51"/>
        <v>Payé</v>
      </c>
      <c r="N3260" s="15"/>
    </row>
    <row r="3261" spans="1:14" s="14" customFormat="1" ht="18" x14ac:dyDescent="0.25">
      <c r="A3261" s="90" t="s">
        <v>863</v>
      </c>
      <c r="B3261" s="90" t="s">
        <v>1783</v>
      </c>
      <c r="C3261" s="88" t="s">
        <v>1784</v>
      </c>
      <c r="D3261" s="90" t="s">
        <v>17</v>
      </c>
      <c r="E3261" s="90" t="s">
        <v>1664</v>
      </c>
      <c r="F3261" s="90" t="s">
        <v>863</v>
      </c>
      <c r="G3261" s="137">
        <v>3</v>
      </c>
      <c r="H3261" s="94">
        <v>270</v>
      </c>
      <c r="I3261" s="87">
        <v>46077</v>
      </c>
      <c r="J3261" s="93">
        <v>0.49861111111111112</v>
      </c>
      <c r="K3261" s="94">
        <v>270</v>
      </c>
      <c r="L3261" s="72" t="str">
        <f t="shared" si="51"/>
        <v>Payé</v>
      </c>
      <c r="N3261" s="15"/>
    </row>
    <row r="3262" spans="1:14" s="14" customFormat="1" ht="18" x14ac:dyDescent="0.25">
      <c r="A3262" s="90" t="s">
        <v>863</v>
      </c>
      <c r="B3262" s="90">
        <v>10599</v>
      </c>
      <c r="C3262" s="88" t="s">
        <v>1785</v>
      </c>
      <c r="D3262" s="90" t="s">
        <v>17</v>
      </c>
      <c r="E3262" s="90" t="s">
        <v>1800</v>
      </c>
      <c r="F3262" s="90" t="s">
        <v>863</v>
      </c>
      <c r="G3262" s="137">
        <v>3</v>
      </c>
      <c r="H3262" s="94">
        <v>270</v>
      </c>
      <c r="I3262" s="87">
        <v>46077</v>
      </c>
      <c r="J3262" s="93">
        <v>0.51041666666666663</v>
      </c>
      <c r="K3262" s="94">
        <v>270</v>
      </c>
      <c r="L3262" s="72" t="str">
        <f t="shared" si="51"/>
        <v>Payé</v>
      </c>
      <c r="N3262" s="15"/>
    </row>
    <row r="3263" spans="1:14" s="14" customFormat="1" ht="18" x14ac:dyDescent="0.25">
      <c r="A3263" s="90" t="s">
        <v>863</v>
      </c>
      <c r="B3263" s="90">
        <v>10600</v>
      </c>
      <c r="C3263" s="88" t="s">
        <v>1786</v>
      </c>
      <c r="D3263" s="90" t="s">
        <v>17</v>
      </c>
      <c r="E3263" s="90" t="s">
        <v>649</v>
      </c>
      <c r="F3263" s="90" t="s">
        <v>863</v>
      </c>
      <c r="G3263" s="137">
        <v>4</v>
      </c>
      <c r="H3263" s="94">
        <v>360</v>
      </c>
      <c r="I3263" s="87">
        <v>46077</v>
      </c>
      <c r="J3263" s="93">
        <v>0.55486111111111114</v>
      </c>
      <c r="K3263" s="94">
        <v>360</v>
      </c>
      <c r="L3263" s="72" t="str">
        <f t="shared" si="51"/>
        <v>Payé</v>
      </c>
      <c r="N3263" s="15"/>
    </row>
    <row r="3264" spans="1:14" s="14" customFormat="1" ht="18" x14ac:dyDescent="0.25">
      <c r="A3264" s="90" t="s">
        <v>863</v>
      </c>
      <c r="B3264" s="90" t="s">
        <v>1787</v>
      </c>
      <c r="C3264" s="88" t="s">
        <v>1788</v>
      </c>
      <c r="D3264" s="90" t="s">
        <v>17</v>
      </c>
      <c r="E3264" s="90" t="s">
        <v>1664</v>
      </c>
      <c r="F3264" s="90" t="s">
        <v>863</v>
      </c>
      <c r="G3264" s="137">
        <v>1</v>
      </c>
      <c r="H3264" s="94">
        <v>90</v>
      </c>
      <c r="I3264" s="87"/>
      <c r="J3264" s="93"/>
      <c r="K3264" s="92"/>
      <c r="L3264" s="72" t="str">
        <f t="shared" si="51"/>
        <v>Impayé</v>
      </c>
      <c r="N3264" s="15"/>
    </row>
    <row r="3265" spans="1:14" s="14" customFormat="1" ht="18" x14ac:dyDescent="0.25">
      <c r="A3265" s="90" t="s">
        <v>863</v>
      </c>
      <c r="B3265" s="90">
        <v>10603</v>
      </c>
      <c r="C3265" s="88" t="s">
        <v>1789</v>
      </c>
      <c r="D3265" s="90" t="s">
        <v>17</v>
      </c>
      <c r="E3265" s="90" t="s">
        <v>1344</v>
      </c>
      <c r="F3265" s="90" t="s">
        <v>863</v>
      </c>
      <c r="G3265" s="137">
        <v>2</v>
      </c>
      <c r="H3265" s="94">
        <v>180</v>
      </c>
      <c r="I3265" s="87">
        <v>46077</v>
      </c>
      <c r="J3265" s="93">
        <v>0.50208333333333333</v>
      </c>
      <c r="K3265" s="94">
        <v>180</v>
      </c>
      <c r="L3265" s="72" t="str">
        <f t="shared" si="51"/>
        <v>Payé</v>
      </c>
      <c r="N3265" s="15"/>
    </row>
    <row r="3266" spans="1:14" s="14" customFormat="1" ht="18" x14ac:dyDescent="0.25">
      <c r="A3266" s="90" t="s">
        <v>863</v>
      </c>
      <c r="B3266" s="90">
        <v>10604</v>
      </c>
      <c r="C3266" s="88" t="s">
        <v>1790</v>
      </c>
      <c r="D3266" s="90" t="s">
        <v>17</v>
      </c>
      <c r="E3266" s="90" t="s">
        <v>1344</v>
      </c>
      <c r="F3266" s="90" t="s">
        <v>863</v>
      </c>
      <c r="G3266" s="137">
        <v>2</v>
      </c>
      <c r="H3266" s="94">
        <v>180</v>
      </c>
      <c r="I3266" s="87">
        <v>46078</v>
      </c>
      <c r="J3266" s="93">
        <v>17107</v>
      </c>
      <c r="K3266" s="94">
        <v>180</v>
      </c>
      <c r="L3266" s="72" t="str">
        <f t="shared" si="51"/>
        <v>Payé</v>
      </c>
      <c r="N3266" s="15"/>
    </row>
    <row r="3267" spans="1:14" s="14" customFormat="1" ht="18" x14ac:dyDescent="0.25">
      <c r="A3267" s="90" t="s">
        <v>863</v>
      </c>
      <c r="B3267" s="90">
        <v>10605</v>
      </c>
      <c r="C3267" s="88" t="s">
        <v>1791</v>
      </c>
      <c r="D3267" s="90" t="s">
        <v>17</v>
      </c>
      <c r="E3267" s="90" t="s">
        <v>1344</v>
      </c>
      <c r="F3267" s="90" t="s">
        <v>863</v>
      </c>
      <c r="G3267" s="137">
        <v>2</v>
      </c>
      <c r="H3267" s="94">
        <v>200</v>
      </c>
      <c r="I3267" s="87">
        <v>46077</v>
      </c>
      <c r="J3267" s="93">
        <v>0.50208333333333333</v>
      </c>
      <c r="K3267" s="94">
        <v>200</v>
      </c>
      <c r="L3267" s="72" t="str">
        <f t="shared" si="51"/>
        <v>Payé</v>
      </c>
      <c r="N3267" s="15"/>
    </row>
    <row r="3268" spans="1:14" s="14" customFormat="1" ht="18" x14ac:dyDescent="0.25">
      <c r="A3268" s="90" t="s">
        <v>863</v>
      </c>
      <c r="B3268" s="90">
        <v>10606</v>
      </c>
      <c r="C3268" s="88" t="s">
        <v>1792</v>
      </c>
      <c r="D3268" s="90" t="s">
        <v>17</v>
      </c>
      <c r="E3268" s="90" t="s">
        <v>613</v>
      </c>
      <c r="F3268" s="90" t="s">
        <v>863</v>
      </c>
      <c r="G3268" s="137">
        <v>1</v>
      </c>
      <c r="H3268" s="94">
        <v>120</v>
      </c>
      <c r="I3268" s="87">
        <v>46080</v>
      </c>
      <c r="J3268" s="93">
        <v>0.4694444444444445</v>
      </c>
      <c r="K3268" s="94">
        <v>120</v>
      </c>
      <c r="L3268" s="72" t="str">
        <f t="shared" si="51"/>
        <v>Payé</v>
      </c>
      <c r="N3268" s="15"/>
    </row>
    <row r="3269" spans="1:14" s="14" customFormat="1" ht="18" x14ac:dyDescent="0.25">
      <c r="A3269" s="90" t="s">
        <v>863</v>
      </c>
      <c r="B3269" s="90">
        <v>10607</v>
      </c>
      <c r="C3269" s="88" t="s">
        <v>1793</v>
      </c>
      <c r="D3269" s="90" t="s">
        <v>17</v>
      </c>
      <c r="E3269" s="90" t="s">
        <v>1800</v>
      </c>
      <c r="F3269" s="90" t="s">
        <v>863</v>
      </c>
      <c r="G3269" s="137">
        <v>2</v>
      </c>
      <c r="H3269" s="94">
        <v>180</v>
      </c>
      <c r="I3269" s="87">
        <v>46077</v>
      </c>
      <c r="J3269" s="93">
        <v>0.51041666666666663</v>
      </c>
      <c r="K3269" s="94">
        <v>180</v>
      </c>
      <c r="L3269" s="72" t="str">
        <f t="shared" si="51"/>
        <v>Payé</v>
      </c>
      <c r="N3269" s="15"/>
    </row>
    <row r="3270" spans="1:14" s="14" customFormat="1" ht="18" x14ac:dyDescent="0.25">
      <c r="A3270" s="90" t="s">
        <v>863</v>
      </c>
      <c r="B3270" s="90" t="s">
        <v>1794</v>
      </c>
      <c r="C3270" s="88" t="s">
        <v>1795</v>
      </c>
      <c r="D3270" s="90" t="s">
        <v>17</v>
      </c>
      <c r="E3270" s="90" t="s">
        <v>1664</v>
      </c>
      <c r="F3270" s="90" t="s">
        <v>863</v>
      </c>
      <c r="G3270" s="137">
        <v>1</v>
      </c>
      <c r="H3270" s="94">
        <v>90</v>
      </c>
      <c r="I3270" s="87">
        <v>46078</v>
      </c>
      <c r="J3270" s="93">
        <v>0.55347222222222225</v>
      </c>
      <c r="K3270" s="94">
        <v>90</v>
      </c>
      <c r="L3270" s="72" t="str">
        <f t="shared" si="51"/>
        <v>Payé</v>
      </c>
      <c r="N3270" s="15"/>
    </row>
    <row r="3271" spans="1:14" s="14" customFormat="1" ht="18" x14ac:dyDescent="0.25">
      <c r="A3271" s="90" t="s">
        <v>863</v>
      </c>
      <c r="B3271" s="90" t="s">
        <v>1796</v>
      </c>
      <c r="C3271" s="88" t="s">
        <v>1797</v>
      </c>
      <c r="D3271" s="90" t="s">
        <v>17</v>
      </c>
      <c r="E3271" s="90" t="s">
        <v>1664</v>
      </c>
      <c r="F3271" s="90" t="s">
        <v>863</v>
      </c>
      <c r="G3271" s="137">
        <v>1</v>
      </c>
      <c r="H3271" s="94">
        <v>90</v>
      </c>
      <c r="I3271" s="87">
        <v>46087</v>
      </c>
      <c r="J3271" s="93">
        <v>13089</v>
      </c>
      <c r="K3271" s="94">
        <v>90</v>
      </c>
      <c r="L3271" s="72" t="str">
        <f t="shared" si="51"/>
        <v>Payé</v>
      </c>
      <c r="N3271" s="15"/>
    </row>
    <row r="3272" spans="1:14" s="14" customFormat="1" ht="18" x14ac:dyDescent="0.25">
      <c r="A3272" s="90" t="s">
        <v>863</v>
      </c>
      <c r="B3272" s="90" t="s">
        <v>1798</v>
      </c>
      <c r="C3272" s="88" t="s">
        <v>1799</v>
      </c>
      <c r="D3272" s="90" t="s">
        <v>17</v>
      </c>
      <c r="E3272" s="90" t="s">
        <v>1664</v>
      </c>
      <c r="F3272" s="90" t="s">
        <v>863</v>
      </c>
      <c r="G3272" s="137">
        <v>2</v>
      </c>
      <c r="H3272" s="94">
        <v>180</v>
      </c>
      <c r="I3272" s="87">
        <v>46077</v>
      </c>
      <c r="J3272" s="93">
        <v>0.49861111111111112</v>
      </c>
      <c r="K3272" s="94">
        <v>180</v>
      </c>
      <c r="L3272" s="72" t="str">
        <f t="shared" si="51"/>
        <v>Payé</v>
      </c>
      <c r="N3272" s="15"/>
    </row>
    <row r="3273" spans="1:14" s="14" customFormat="1" ht="18" x14ac:dyDescent="0.25">
      <c r="A3273" s="90" t="s">
        <v>863</v>
      </c>
      <c r="B3273" s="90">
        <v>30417</v>
      </c>
      <c r="C3273" s="88" t="s">
        <v>1583</v>
      </c>
      <c r="D3273" s="90" t="s">
        <v>17</v>
      </c>
      <c r="E3273" s="90" t="s">
        <v>649</v>
      </c>
      <c r="F3273" s="90" t="s">
        <v>863</v>
      </c>
      <c r="G3273" s="137">
        <v>5</v>
      </c>
      <c r="H3273" s="94">
        <v>450</v>
      </c>
      <c r="I3273" s="87">
        <v>46077</v>
      </c>
      <c r="J3273" s="93">
        <v>0.55486111111111114</v>
      </c>
      <c r="K3273" s="94">
        <v>450</v>
      </c>
      <c r="L3273" s="72" t="str">
        <f t="shared" si="51"/>
        <v>Payé</v>
      </c>
      <c r="N3273" s="15"/>
    </row>
    <row r="3274" spans="1:14" s="14" customFormat="1" ht="18" x14ac:dyDescent="0.25">
      <c r="A3274" s="90" t="s">
        <v>863</v>
      </c>
      <c r="B3274" s="90"/>
      <c r="C3274" s="88" t="s">
        <v>585</v>
      </c>
      <c r="D3274" s="89" t="s">
        <v>910</v>
      </c>
      <c r="E3274" s="90" t="s">
        <v>123</v>
      </c>
      <c r="F3274" s="90" t="s">
        <v>863</v>
      </c>
      <c r="G3274" s="95">
        <v>254</v>
      </c>
      <c r="H3274" s="92">
        <v>7620</v>
      </c>
      <c r="I3274" s="87">
        <v>46091</v>
      </c>
      <c r="J3274" s="93">
        <v>0.5625</v>
      </c>
      <c r="K3274" s="92">
        <v>7620</v>
      </c>
      <c r="L3274" s="72" t="str">
        <f t="shared" si="51"/>
        <v>Payé</v>
      </c>
      <c r="N3274" s="15"/>
    </row>
    <row r="3275" spans="1:14" s="14" customFormat="1" ht="18" x14ac:dyDescent="0.25">
      <c r="A3275" s="90" t="s">
        <v>863</v>
      </c>
      <c r="B3275" s="90"/>
      <c r="C3275" s="88" t="s">
        <v>406</v>
      </c>
      <c r="D3275" s="89" t="s">
        <v>910</v>
      </c>
      <c r="E3275" s="90" t="s">
        <v>1191</v>
      </c>
      <c r="F3275" s="90" t="s">
        <v>863</v>
      </c>
      <c r="G3275" s="95">
        <v>141</v>
      </c>
      <c r="H3275" s="92">
        <v>4230</v>
      </c>
      <c r="I3275" s="87">
        <v>46077</v>
      </c>
      <c r="J3275" s="93">
        <v>0.59513888888888888</v>
      </c>
      <c r="K3275" s="92">
        <v>4230</v>
      </c>
      <c r="L3275" s="72" t="str">
        <f t="shared" si="51"/>
        <v>Payé</v>
      </c>
      <c r="N3275" s="15"/>
    </row>
    <row r="3276" spans="1:14" s="14" customFormat="1" ht="18" x14ac:dyDescent="0.25">
      <c r="A3276" s="90" t="s">
        <v>863</v>
      </c>
      <c r="B3276" s="90"/>
      <c r="C3276" s="88" t="s">
        <v>1346</v>
      </c>
      <c r="D3276" s="89" t="s">
        <v>910</v>
      </c>
      <c r="E3276" s="90" t="s">
        <v>649</v>
      </c>
      <c r="F3276" s="90" t="s">
        <v>863</v>
      </c>
      <c r="G3276" s="95">
        <v>92</v>
      </c>
      <c r="H3276" s="92">
        <v>2760</v>
      </c>
      <c r="I3276" s="87">
        <v>46077</v>
      </c>
      <c r="J3276" s="93">
        <v>0.55208333333333337</v>
      </c>
      <c r="K3276" s="92">
        <v>2760</v>
      </c>
      <c r="L3276" s="72" t="str">
        <f t="shared" si="51"/>
        <v>Payé</v>
      </c>
      <c r="N3276" s="15"/>
    </row>
    <row r="3277" spans="1:14" s="14" customFormat="1" ht="18" x14ac:dyDescent="0.25">
      <c r="A3277" s="90" t="s">
        <v>863</v>
      </c>
      <c r="B3277" s="90"/>
      <c r="C3277" s="88" t="s">
        <v>630</v>
      </c>
      <c r="D3277" s="89" t="s">
        <v>910</v>
      </c>
      <c r="E3277" s="90" t="s">
        <v>1047</v>
      </c>
      <c r="F3277" s="90" t="s">
        <v>863</v>
      </c>
      <c r="G3277" s="95">
        <v>198</v>
      </c>
      <c r="H3277" s="92">
        <v>5940</v>
      </c>
      <c r="I3277" s="87">
        <v>46078</v>
      </c>
      <c r="J3277" s="93">
        <v>0.5229166666666667</v>
      </c>
      <c r="K3277" s="92">
        <v>5940</v>
      </c>
      <c r="L3277" s="72" t="str">
        <f t="shared" si="51"/>
        <v>Payé</v>
      </c>
      <c r="N3277" s="15"/>
    </row>
    <row r="3278" spans="1:14" s="14" customFormat="1" ht="18" x14ac:dyDescent="0.25">
      <c r="A3278" s="90" t="s">
        <v>863</v>
      </c>
      <c r="B3278" s="90"/>
      <c r="C3278" s="88" t="s">
        <v>1672</v>
      </c>
      <c r="D3278" s="89" t="s">
        <v>910</v>
      </c>
      <c r="E3278" s="90" t="s">
        <v>1280</v>
      </c>
      <c r="F3278" s="90" t="s">
        <v>863</v>
      </c>
      <c r="G3278" s="95">
        <v>34</v>
      </c>
      <c r="H3278" s="92">
        <v>1020</v>
      </c>
      <c r="I3278" s="87">
        <v>46078</v>
      </c>
      <c r="J3278" s="93">
        <v>0.63055555555555554</v>
      </c>
      <c r="K3278" s="92">
        <v>1020</v>
      </c>
      <c r="L3278" s="72" t="str">
        <f t="shared" si="51"/>
        <v>Payé</v>
      </c>
      <c r="N3278" s="15"/>
    </row>
    <row r="3279" spans="1:14" s="14" customFormat="1" ht="18" x14ac:dyDescent="0.25">
      <c r="A3279" s="90" t="s">
        <v>863</v>
      </c>
      <c r="B3279" s="90"/>
      <c r="C3279" s="88" t="s">
        <v>1721</v>
      </c>
      <c r="D3279" s="89" t="s">
        <v>910</v>
      </c>
      <c r="E3279" s="90" t="s">
        <v>1801</v>
      </c>
      <c r="F3279" s="90" t="s">
        <v>863</v>
      </c>
      <c r="G3279" s="95">
        <v>20</v>
      </c>
      <c r="H3279" s="92">
        <v>600</v>
      </c>
      <c r="I3279" s="87">
        <v>46077</v>
      </c>
      <c r="J3279" s="93">
        <v>0.61388888888888882</v>
      </c>
      <c r="K3279" s="92">
        <v>600</v>
      </c>
      <c r="L3279" s="72" t="str">
        <f t="shared" si="51"/>
        <v>Payé</v>
      </c>
      <c r="N3279" s="15"/>
    </row>
    <row r="3280" spans="1:14" s="14" customFormat="1" ht="18" x14ac:dyDescent="0.25">
      <c r="A3280" s="90" t="s">
        <v>863</v>
      </c>
      <c r="B3280" s="90"/>
      <c r="C3280" s="88" t="s">
        <v>719</v>
      </c>
      <c r="D3280" s="89" t="s">
        <v>910</v>
      </c>
      <c r="E3280" s="90" t="s">
        <v>1349</v>
      </c>
      <c r="F3280" s="90" t="s">
        <v>863</v>
      </c>
      <c r="G3280" s="95">
        <v>13</v>
      </c>
      <c r="H3280" s="92">
        <v>455</v>
      </c>
      <c r="I3280" s="87">
        <v>46078</v>
      </c>
      <c r="J3280" s="93">
        <v>0.57013888888888886</v>
      </c>
      <c r="K3280" s="92">
        <v>455</v>
      </c>
      <c r="L3280" s="72" t="str">
        <f t="shared" si="51"/>
        <v>Payé</v>
      </c>
      <c r="N3280" s="15"/>
    </row>
    <row r="3281" spans="1:14" s="14" customFormat="1" ht="18" x14ac:dyDescent="0.25">
      <c r="A3281" s="90" t="s">
        <v>863</v>
      </c>
      <c r="B3281" s="90"/>
      <c r="C3281" s="88" t="s">
        <v>1189</v>
      </c>
      <c r="D3281" s="89" t="s">
        <v>910</v>
      </c>
      <c r="E3281" s="90" t="s">
        <v>49</v>
      </c>
      <c r="F3281" s="90" t="s">
        <v>863</v>
      </c>
      <c r="G3281" s="95">
        <v>224</v>
      </c>
      <c r="H3281" s="92">
        <v>6720</v>
      </c>
      <c r="I3281" s="87">
        <v>46077</v>
      </c>
      <c r="J3281" s="93">
        <v>0.62361111111111112</v>
      </c>
      <c r="K3281" s="92">
        <v>6720</v>
      </c>
      <c r="L3281" s="72" t="str">
        <f t="shared" si="51"/>
        <v>Payé</v>
      </c>
      <c r="N3281" s="15"/>
    </row>
    <row r="3282" spans="1:14" s="14" customFormat="1" ht="18" x14ac:dyDescent="0.25">
      <c r="A3282" s="90" t="s">
        <v>863</v>
      </c>
      <c r="B3282" s="90"/>
      <c r="C3282" s="88" t="s">
        <v>1804</v>
      </c>
      <c r="D3282" s="89" t="s">
        <v>910</v>
      </c>
      <c r="E3282" s="90" t="s">
        <v>1344</v>
      </c>
      <c r="F3282" s="90" t="s">
        <v>863</v>
      </c>
      <c r="G3282" s="95">
        <v>81</v>
      </c>
      <c r="H3282" s="92">
        <v>2025</v>
      </c>
      <c r="I3282" s="87">
        <v>46077</v>
      </c>
      <c r="J3282" s="93">
        <v>0.50416666666666665</v>
      </c>
      <c r="K3282" s="92">
        <v>2025</v>
      </c>
      <c r="L3282" s="72" t="str">
        <f t="shared" si="51"/>
        <v>Payé</v>
      </c>
      <c r="N3282" s="15"/>
    </row>
    <row r="3283" spans="1:14" s="14" customFormat="1" ht="18" x14ac:dyDescent="0.25">
      <c r="A3283" s="90" t="s">
        <v>863</v>
      </c>
      <c r="B3283" s="90"/>
      <c r="C3283" s="88" t="s">
        <v>1744</v>
      </c>
      <c r="D3283" s="89" t="s">
        <v>910</v>
      </c>
      <c r="E3283" s="90" t="s">
        <v>1802</v>
      </c>
      <c r="F3283" s="90" t="s">
        <v>863</v>
      </c>
      <c r="G3283" s="95">
        <v>79</v>
      </c>
      <c r="H3283" s="92">
        <v>2370</v>
      </c>
      <c r="I3283" s="87">
        <v>46077</v>
      </c>
      <c r="J3283" s="93">
        <v>0.51041666666666663</v>
      </c>
      <c r="K3283" s="92">
        <v>2370</v>
      </c>
      <c r="L3283" s="72" t="str">
        <f t="shared" si="51"/>
        <v>Payé</v>
      </c>
      <c r="N3283" s="15"/>
    </row>
    <row r="3284" spans="1:14" s="14" customFormat="1" ht="18" x14ac:dyDescent="0.25">
      <c r="A3284" s="90" t="s">
        <v>863</v>
      </c>
      <c r="B3284" s="90"/>
      <c r="C3284" s="88" t="s">
        <v>1805</v>
      </c>
      <c r="D3284" s="89" t="s">
        <v>910</v>
      </c>
      <c r="E3284" s="90" t="s">
        <v>1803</v>
      </c>
      <c r="F3284" s="90" t="s">
        <v>863</v>
      </c>
      <c r="G3284" s="95">
        <v>176</v>
      </c>
      <c r="H3284" s="92">
        <v>5280</v>
      </c>
      <c r="I3284" s="87">
        <v>46079</v>
      </c>
      <c r="J3284" s="93">
        <v>0.45763888888888887</v>
      </c>
      <c r="K3284" s="92">
        <v>5280</v>
      </c>
      <c r="L3284" s="72" t="str">
        <f t="shared" si="51"/>
        <v>Payé</v>
      </c>
      <c r="N3284" s="15"/>
    </row>
    <row r="3285" spans="1:14" s="14" customFormat="1" ht="18" x14ac:dyDescent="0.25">
      <c r="A3285" s="90" t="s">
        <v>863</v>
      </c>
      <c r="B3285" s="90"/>
      <c r="C3285" s="88" t="s">
        <v>1195</v>
      </c>
      <c r="D3285" s="90" t="s">
        <v>912</v>
      </c>
      <c r="E3285" s="90" t="s">
        <v>61</v>
      </c>
      <c r="F3285" s="90" t="s">
        <v>863</v>
      </c>
      <c r="G3285" s="94">
        <v>4</v>
      </c>
      <c r="H3285" s="92">
        <v>1800</v>
      </c>
      <c r="I3285" s="87">
        <v>46078</v>
      </c>
      <c r="J3285" s="93">
        <v>0.5444444444444444</v>
      </c>
      <c r="K3285" s="92">
        <v>1800</v>
      </c>
      <c r="L3285" s="72" t="str">
        <f t="shared" si="51"/>
        <v>Payé</v>
      </c>
      <c r="N3285" s="15"/>
    </row>
    <row r="3286" spans="1:14" s="14" customFormat="1" ht="18" x14ac:dyDescent="0.25">
      <c r="A3286" s="90" t="s">
        <v>863</v>
      </c>
      <c r="B3286" s="90"/>
      <c r="C3286" s="88" t="s">
        <v>1195</v>
      </c>
      <c r="D3286" s="90" t="s">
        <v>912</v>
      </c>
      <c r="E3286" s="90" t="s">
        <v>61</v>
      </c>
      <c r="F3286" s="90" t="s">
        <v>863</v>
      </c>
      <c r="G3286" s="94">
        <v>7</v>
      </c>
      <c r="H3286" s="92">
        <v>3150</v>
      </c>
      <c r="I3286" s="87">
        <v>46078</v>
      </c>
      <c r="J3286" s="93">
        <v>0.5444444444444444</v>
      </c>
      <c r="K3286" s="92">
        <v>3150</v>
      </c>
      <c r="L3286" s="72" t="str">
        <f t="shared" si="51"/>
        <v>Payé</v>
      </c>
      <c r="N3286" s="15"/>
    </row>
    <row r="3287" spans="1:14" s="14" customFormat="1" ht="18" x14ac:dyDescent="0.25">
      <c r="A3287" s="90" t="s">
        <v>863</v>
      </c>
      <c r="B3287" s="90"/>
      <c r="C3287" s="88" t="s">
        <v>1140</v>
      </c>
      <c r="D3287" s="90" t="s">
        <v>912</v>
      </c>
      <c r="E3287" s="90" t="s">
        <v>61</v>
      </c>
      <c r="F3287" s="90" t="s">
        <v>863</v>
      </c>
      <c r="G3287" s="94">
        <v>25</v>
      </c>
      <c r="H3287" s="92">
        <v>7500</v>
      </c>
      <c r="I3287" s="87">
        <v>46091</v>
      </c>
      <c r="J3287" s="93">
        <v>0.59305555555555556</v>
      </c>
      <c r="K3287" s="92">
        <v>7500</v>
      </c>
      <c r="L3287" s="72" t="str">
        <f t="shared" si="51"/>
        <v>Payé</v>
      </c>
      <c r="N3287" s="15"/>
    </row>
    <row r="3288" spans="1:14" s="14" customFormat="1" ht="18" x14ac:dyDescent="0.25">
      <c r="A3288" s="90" t="s">
        <v>863</v>
      </c>
      <c r="B3288" s="90"/>
      <c r="C3288" s="88" t="s">
        <v>1806</v>
      </c>
      <c r="D3288" s="90" t="s">
        <v>912</v>
      </c>
      <c r="E3288" s="90" t="s">
        <v>61</v>
      </c>
      <c r="F3288" s="90" t="s">
        <v>863</v>
      </c>
      <c r="G3288" s="94">
        <v>10</v>
      </c>
      <c r="H3288" s="92">
        <v>1500</v>
      </c>
      <c r="I3288" s="87">
        <v>46077</v>
      </c>
      <c r="J3288" s="93">
        <v>0.59652777777777777</v>
      </c>
      <c r="K3288" s="92">
        <v>1500</v>
      </c>
      <c r="L3288" s="72" t="str">
        <f t="shared" si="51"/>
        <v>Payé</v>
      </c>
      <c r="N3288" s="15"/>
    </row>
    <row r="3289" spans="1:14" s="14" customFormat="1" ht="18" x14ac:dyDescent="0.25">
      <c r="A3289" s="90" t="s">
        <v>863</v>
      </c>
      <c r="B3289" s="90"/>
      <c r="C3289" s="88" t="s">
        <v>1807</v>
      </c>
      <c r="D3289" s="90" t="s">
        <v>912</v>
      </c>
      <c r="E3289" s="90" t="s">
        <v>61</v>
      </c>
      <c r="F3289" s="90" t="s">
        <v>863</v>
      </c>
      <c r="G3289" s="94">
        <v>1</v>
      </c>
      <c r="H3289" s="92">
        <v>250</v>
      </c>
      <c r="I3289" s="87">
        <v>46077</v>
      </c>
      <c r="J3289" s="93">
        <v>0.59652777777777777</v>
      </c>
      <c r="K3289" s="92">
        <v>250</v>
      </c>
      <c r="L3289" s="72" t="str">
        <f t="shared" si="51"/>
        <v>Payé</v>
      </c>
      <c r="N3289" s="15"/>
    </row>
    <row r="3290" spans="1:14" s="14" customFormat="1" ht="18" x14ac:dyDescent="0.25">
      <c r="A3290" s="90" t="s">
        <v>863</v>
      </c>
      <c r="B3290" s="90"/>
      <c r="C3290" s="88" t="s">
        <v>1807</v>
      </c>
      <c r="D3290" s="90" t="s">
        <v>912</v>
      </c>
      <c r="E3290" s="90" t="s">
        <v>61</v>
      </c>
      <c r="F3290" s="90" t="s">
        <v>863</v>
      </c>
      <c r="G3290" s="94">
        <v>1</v>
      </c>
      <c r="H3290" s="92">
        <v>200</v>
      </c>
      <c r="I3290" s="87">
        <v>46078</v>
      </c>
      <c r="J3290" s="93">
        <v>0.55763888888888891</v>
      </c>
      <c r="K3290" s="92">
        <v>200</v>
      </c>
      <c r="L3290" s="72" t="str">
        <f t="shared" si="51"/>
        <v>Payé</v>
      </c>
      <c r="N3290" s="15"/>
    </row>
    <row r="3291" spans="1:14" s="14" customFormat="1" ht="18" x14ac:dyDescent="0.25">
      <c r="A3291" s="90" t="s">
        <v>863</v>
      </c>
      <c r="B3291" s="90"/>
      <c r="C3291" s="88" t="s">
        <v>1140</v>
      </c>
      <c r="D3291" s="90" t="s">
        <v>912</v>
      </c>
      <c r="E3291" s="90" t="s">
        <v>61</v>
      </c>
      <c r="F3291" s="90" t="s">
        <v>863</v>
      </c>
      <c r="G3291" s="94">
        <v>26</v>
      </c>
      <c r="H3291" s="92">
        <v>2860</v>
      </c>
      <c r="I3291" s="87">
        <v>46091</v>
      </c>
      <c r="J3291" s="93">
        <v>0.59305555555555556</v>
      </c>
      <c r="K3291" s="92">
        <v>2860</v>
      </c>
      <c r="L3291" s="72" t="str">
        <f t="shared" si="51"/>
        <v>Payé</v>
      </c>
      <c r="N3291" s="15"/>
    </row>
    <row r="3292" spans="1:14" s="14" customFormat="1" ht="18" x14ac:dyDescent="0.25">
      <c r="A3292" s="90" t="s">
        <v>863</v>
      </c>
      <c r="B3292" s="90"/>
      <c r="C3292" s="88"/>
      <c r="D3292" s="90"/>
      <c r="E3292" s="90" t="s">
        <v>61</v>
      </c>
      <c r="F3292" s="90" t="s">
        <v>863</v>
      </c>
      <c r="G3292" s="94">
        <v>6</v>
      </c>
      <c r="H3292" s="92">
        <v>780</v>
      </c>
      <c r="I3292" s="87">
        <v>46091</v>
      </c>
      <c r="J3292" s="93">
        <v>0.59305555555555556</v>
      </c>
      <c r="K3292" s="92">
        <v>780</v>
      </c>
      <c r="L3292" s="72" t="str">
        <f t="shared" si="51"/>
        <v>Payé</v>
      </c>
      <c r="N3292" s="15"/>
    </row>
    <row r="3293" spans="1:14" s="14" customFormat="1" ht="18" x14ac:dyDescent="0.25">
      <c r="A3293" s="90" t="s">
        <v>863</v>
      </c>
      <c r="B3293" s="90"/>
      <c r="C3293" s="88" t="s">
        <v>1202</v>
      </c>
      <c r="D3293" s="90" t="s">
        <v>912</v>
      </c>
      <c r="E3293" s="90" t="s">
        <v>61</v>
      </c>
      <c r="F3293" s="90" t="s">
        <v>863</v>
      </c>
      <c r="G3293" s="94">
        <v>35</v>
      </c>
      <c r="H3293" s="92">
        <v>8750</v>
      </c>
      <c r="I3293" s="87">
        <v>46077</v>
      </c>
      <c r="J3293" s="93">
        <v>0.57291666666666663</v>
      </c>
      <c r="K3293" s="92">
        <v>8750</v>
      </c>
      <c r="L3293" s="72" t="str">
        <f t="shared" si="51"/>
        <v>Payé</v>
      </c>
      <c r="N3293" s="15"/>
    </row>
    <row r="3294" spans="1:14" s="14" customFormat="1" ht="18" x14ac:dyDescent="0.25">
      <c r="A3294" s="90" t="s">
        <v>863</v>
      </c>
      <c r="B3294" s="90"/>
      <c r="C3294" s="88" t="s">
        <v>1284</v>
      </c>
      <c r="D3294" s="90" t="s">
        <v>912</v>
      </c>
      <c r="E3294" s="90" t="s">
        <v>61</v>
      </c>
      <c r="F3294" s="90" t="s">
        <v>863</v>
      </c>
      <c r="G3294" s="94">
        <v>14</v>
      </c>
      <c r="H3294" s="92">
        <v>3500</v>
      </c>
      <c r="I3294" s="87">
        <v>46077</v>
      </c>
      <c r="J3294" s="93">
        <v>0.5131944444444444</v>
      </c>
      <c r="K3294" s="92">
        <v>3500</v>
      </c>
      <c r="L3294" s="72" t="str">
        <f t="shared" ref="L3294:L3357" si="52">IF(ISBLANK(H3294),"",IF(H3294=K3294,"Payé","Impayé"))</f>
        <v>Payé</v>
      </c>
      <c r="N3294" s="15"/>
    </row>
    <row r="3295" spans="1:14" s="14" customFormat="1" ht="18" x14ac:dyDescent="0.25">
      <c r="A3295" s="90" t="s">
        <v>864</v>
      </c>
      <c r="B3295" s="90">
        <v>6</v>
      </c>
      <c r="C3295" s="88" t="s">
        <v>542</v>
      </c>
      <c r="D3295" s="90" t="s">
        <v>17</v>
      </c>
      <c r="E3295" s="90" t="s">
        <v>368</v>
      </c>
      <c r="F3295" s="90" t="s">
        <v>864</v>
      </c>
      <c r="G3295" s="137">
        <v>2</v>
      </c>
      <c r="H3295" s="94">
        <v>191</v>
      </c>
      <c r="I3295" s="87">
        <v>46090</v>
      </c>
      <c r="J3295" s="93">
        <v>0.5444444444444444</v>
      </c>
      <c r="K3295" s="94">
        <v>191</v>
      </c>
      <c r="L3295" s="72" t="str">
        <f t="shared" si="52"/>
        <v>Payé</v>
      </c>
      <c r="N3295" s="15"/>
    </row>
    <row r="3296" spans="1:14" s="14" customFormat="1" ht="18" x14ac:dyDescent="0.25">
      <c r="A3296" s="90" t="s">
        <v>864</v>
      </c>
      <c r="B3296" s="90">
        <v>9</v>
      </c>
      <c r="C3296" s="88" t="s">
        <v>544</v>
      </c>
      <c r="D3296" s="90" t="s">
        <v>17</v>
      </c>
      <c r="E3296" s="90" t="s">
        <v>371</v>
      </c>
      <c r="F3296" s="90" t="s">
        <v>864</v>
      </c>
      <c r="G3296" s="137">
        <v>1</v>
      </c>
      <c r="H3296" s="94">
        <v>87</v>
      </c>
      <c r="I3296" s="87">
        <v>46090</v>
      </c>
      <c r="J3296" s="93">
        <v>0.5444444444444444</v>
      </c>
      <c r="K3296" s="94">
        <v>87</v>
      </c>
      <c r="L3296" s="72" t="str">
        <f t="shared" si="52"/>
        <v>Payé</v>
      </c>
      <c r="N3296" s="15"/>
    </row>
    <row r="3297" spans="1:14" s="14" customFormat="1" ht="18" x14ac:dyDescent="0.25">
      <c r="A3297" s="90" t="s">
        <v>864</v>
      </c>
      <c r="B3297" s="90">
        <v>41</v>
      </c>
      <c r="C3297" s="88" t="s">
        <v>407</v>
      </c>
      <c r="D3297" s="90" t="s">
        <v>17</v>
      </c>
      <c r="E3297" s="90" t="s">
        <v>370</v>
      </c>
      <c r="F3297" s="90" t="s">
        <v>864</v>
      </c>
      <c r="G3297" s="137">
        <v>2</v>
      </c>
      <c r="H3297" s="94">
        <v>191</v>
      </c>
      <c r="I3297" s="87">
        <v>46090</v>
      </c>
      <c r="J3297" s="93">
        <v>0.5756944444444444</v>
      </c>
      <c r="K3297" s="94">
        <v>191</v>
      </c>
      <c r="L3297" s="72" t="str">
        <f t="shared" si="52"/>
        <v>Payé</v>
      </c>
      <c r="N3297" s="15"/>
    </row>
    <row r="3298" spans="1:14" s="14" customFormat="1" ht="18" x14ac:dyDescent="0.25">
      <c r="A3298" s="90" t="s">
        <v>864</v>
      </c>
      <c r="B3298" s="90">
        <v>95</v>
      </c>
      <c r="C3298" s="88" t="s">
        <v>408</v>
      </c>
      <c r="D3298" s="90" t="s">
        <v>17</v>
      </c>
      <c r="E3298" s="90" t="s">
        <v>103</v>
      </c>
      <c r="F3298" s="90" t="s">
        <v>864</v>
      </c>
      <c r="G3298" s="137">
        <v>1</v>
      </c>
      <c r="H3298" s="94">
        <v>95</v>
      </c>
      <c r="I3298" s="87">
        <v>46100</v>
      </c>
      <c r="J3298" s="93">
        <v>0.47222222222222227</v>
      </c>
      <c r="K3298" s="94">
        <v>95</v>
      </c>
      <c r="L3298" s="72" t="str">
        <f t="shared" si="52"/>
        <v>Payé</v>
      </c>
      <c r="N3298" s="15"/>
    </row>
    <row r="3299" spans="1:14" s="14" customFormat="1" ht="18" x14ac:dyDescent="0.25">
      <c r="A3299" s="90" t="s">
        <v>864</v>
      </c>
      <c r="B3299" s="90">
        <v>102</v>
      </c>
      <c r="C3299" s="88" t="s">
        <v>594</v>
      </c>
      <c r="D3299" s="90" t="s">
        <v>17</v>
      </c>
      <c r="E3299" s="90" t="s">
        <v>103</v>
      </c>
      <c r="F3299" s="90" t="s">
        <v>864</v>
      </c>
      <c r="G3299" s="137">
        <v>2</v>
      </c>
      <c r="H3299" s="94">
        <v>191</v>
      </c>
      <c r="I3299" s="87">
        <v>46092</v>
      </c>
      <c r="J3299" s="93">
        <v>0.52986111111111112</v>
      </c>
      <c r="K3299" s="94">
        <v>191</v>
      </c>
      <c r="L3299" s="72" t="str">
        <f t="shared" si="52"/>
        <v>Payé</v>
      </c>
      <c r="N3299" s="15"/>
    </row>
    <row r="3300" spans="1:14" s="14" customFormat="1" ht="18" x14ac:dyDescent="0.25">
      <c r="A3300" s="90" t="s">
        <v>864</v>
      </c>
      <c r="B3300" s="90">
        <v>191</v>
      </c>
      <c r="C3300" s="88" t="s">
        <v>545</v>
      </c>
      <c r="D3300" s="90" t="s">
        <v>17</v>
      </c>
      <c r="E3300" s="90" t="s">
        <v>103</v>
      </c>
      <c r="F3300" s="90" t="s">
        <v>864</v>
      </c>
      <c r="G3300" s="137">
        <v>1</v>
      </c>
      <c r="H3300" s="94">
        <v>95</v>
      </c>
      <c r="I3300" s="87">
        <v>46104</v>
      </c>
      <c r="J3300" s="93">
        <v>0.64374999999999993</v>
      </c>
      <c r="K3300" s="94">
        <v>95</v>
      </c>
      <c r="L3300" s="72" t="str">
        <f t="shared" si="52"/>
        <v>Payé</v>
      </c>
      <c r="N3300" s="15"/>
    </row>
    <row r="3301" spans="1:14" s="14" customFormat="1" ht="18" x14ac:dyDescent="0.25">
      <c r="A3301" s="90" t="s">
        <v>864</v>
      </c>
      <c r="B3301" s="90">
        <v>198</v>
      </c>
      <c r="C3301" s="88" t="s">
        <v>380</v>
      </c>
      <c r="D3301" s="90" t="s">
        <v>17</v>
      </c>
      <c r="E3301" s="90" t="s">
        <v>369</v>
      </c>
      <c r="F3301" s="90" t="s">
        <v>864</v>
      </c>
      <c r="G3301" s="137">
        <v>2</v>
      </c>
      <c r="H3301" s="94">
        <v>191</v>
      </c>
      <c r="I3301" s="87">
        <v>46090</v>
      </c>
      <c r="J3301" s="93">
        <v>0.5444444444444444</v>
      </c>
      <c r="K3301" s="94">
        <v>191</v>
      </c>
      <c r="L3301" s="72" t="str">
        <f t="shared" si="52"/>
        <v>Payé</v>
      </c>
      <c r="N3301" s="15"/>
    </row>
    <row r="3302" spans="1:14" s="14" customFormat="1" ht="18" x14ac:dyDescent="0.25">
      <c r="A3302" s="90" t="s">
        <v>864</v>
      </c>
      <c r="B3302" s="90">
        <v>348</v>
      </c>
      <c r="C3302" s="88" t="s">
        <v>951</v>
      </c>
      <c r="D3302" s="90" t="s">
        <v>17</v>
      </c>
      <c r="E3302" s="90" t="s">
        <v>1901</v>
      </c>
      <c r="F3302" s="90" t="s">
        <v>864</v>
      </c>
      <c r="G3302" s="137">
        <v>2</v>
      </c>
      <c r="H3302" s="94">
        <v>182</v>
      </c>
      <c r="I3302" s="87">
        <v>46088</v>
      </c>
      <c r="J3302" s="93">
        <v>0.54027777777777775</v>
      </c>
      <c r="K3302" s="94">
        <v>182</v>
      </c>
      <c r="L3302" s="72" t="str">
        <f t="shared" si="52"/>
        <v>Payé</v>
      </c>
      <c r="N3302" s="15"/>
    </row>
    <row r="3303" spans="1:14" s="14" customFormat="1" ht="18" x14ac:dyDescent="0.25">
      <c r="A3303" s="90" t="s">
        <v>864</v>
      </c>
      <c r="B3303" s="90">
        <v>752</v>
      </c>
      <c r="C3303" s="88" t="s">
        <v>384</v>
      </c>
      <c r="D3303" s="90" t="s">
        <v>17</v>
      </c>
      <c r="E3303" s="90" t="s">
        <v>370</v>
      </c>
      <c r="F3303" s="90" t="s">
        <v>864</v>
      </c>
      <c r="G3303" s="137">
        <v>2</v>
      </c>
      <c r="H3303" s="94">
        <v>182</v>
      </c>
      <c r="I3303" s="87">
        <v>46090</v>
      </c>
      <c r="J3303" s="93">
        <v>0.5756944444444444</v>
      </c>
      <c r="K3303" s="94">
        <v>182</v>
      </c>
      <c r="L3303" s="72" t="str">
        <f t="shared" si="52"/>
        <v>Payé</v>
      </c>
      <c r="N3303" s="15"/>
    </row>
    <row r="3304" spans="1:14" s="14" customFormat="1" ht="18" x14ac:dyDescent="0.25">
      <c r="A3304" s="90" t="s">
        <v>864</v>
      </c>
      <c r="B3304" s="90">
        <v>753</v>
      </c>
      <c r="C3304" s="88" t="s">
        <v>956</v>
      </c>
      <c r="D3304" s="90" t="s">
        <v>17</v>
      </c>
      <c r="E3304" s="90" t="s">
        <v>369</v>
      </c>
      <c r="F3304" s="90" t="s">
        <v>864</v>
      </c>
      <c r="G3304" s="137">
        <v>1</v>
      </c>
      <c r="H3304" s="94">
        <v>91</v>
      </c>
      <c r="I3304" s="87"/>
      <c r="J3304" s="93"/>
      <c r="K3304" s="92"/>
      <c r="L3304" s="72" t="str">
        <f t="shared" si="52"/>
        <v>Impayé</v>
      </c>
      <c r="N3304" s="15"/>
    </row>
    <row r="3305" spans="1:14" s="14" customFormat="1" ht="18" x14ac:dyDescent="0.25">
      <c r="A3305" s="90" t="s">
        <v>864</v>
      </c>
      <c r="B3305" s="90">
        <v>783</v>
      </c>
      <c r="C3305" s="88" t="s">
        <v>1808</v>
      </c>
      <c r="D3305" s="90" t="s">
        <v>17</v>
      </c>
      <c r="E3305" s="90" t="s">
        <v>1902</v>
      </c>
      <c r="F3305" s="90" t="s">
        <v>864</v>
      </c>
      <c r="G3305" s="137">
        <v>6</v>
      </c>
      <c r="H3305" s="94">
        <v>540</v>
      </c>
      <c r="I3305" s="87">
        <v>46086</v>
      </c>
      <c r="J3305" s="93">
        <v>0.66111111111111109</v>
      </c>
      <c r="K3305" s="94">
        <v>540</v>
      </c>
      <c r="L3305" s="72" t="str">
        <f t="shared" si="52"/>
        <v>Payé</v>
      </c>
      <c r="N3305" s="15"/>
    </row>
    <row r="3306" spans="1:14" s="14" customFormat="1" ht="18" x14ac:dyDescent="0.25">
      <c r="A3306" s="90" t="s">
        <v>864</v>
      </c>
      <c r="B3306" s="90">
        <v>1041</v>
      </c>
      <c r="C3306" s="88" t="s">
        <v>387</v>
      </c>
      <c r="D3306" s="90" t="s">
        <v>17</v>
      </c>
      <c r="E3306" s="90" t="s">
        <v>368</v>
      </c>
      <c r="F3306" s="90" t="s">
        <v>864</v>
      </c>
      <c r="G3306" s="137">
        <v>1</v>
      </c>
      <c r="H3306" s="94">
        <v>91</v>
      </c>
      <c r="I3306" s="87"/>
      <c r="J3306" s="93"/>
      <c r="K3306" s="92"/>
      <c r="L3306" s="72" t="str">
        <f t="shared" si="52"/>
        <v>Impayé</v>
      </c>
      <c r="N3306" s="15"/>
    </row>
    <row r="3307" spans="1:14" s="14" customFormat="1" ht="18" x14ac:dyDescent="0.25">
      <c r="A3307" s="90" t="s">
        <v>864</v>
      </c>
      <c r="B3307" s="90" t="s">
        <v>1809</v>
      </c>
      <c r="C3307" s="88" t="s">
        <v>1810</v>
      </c>
      <c r="D3307" s="90" t="s">
        <v>17</v>
      </c>
      <c r="E3307" s="90" t="s">
        <v>1664</v>
      </c>
      <c r="F3307" s="90" t="s">
        <v>864</v>
      </c>
      <c r="G3307" s="137">
        <v>2</v>
      </c>
      <c r="H3307" s="94">
        <v>180</v>
      </c>
      <c r="I3307" s="87">
        <v>46088</v>
      </c>
      <c r="J3307" s="93">
        <v>0.46388888888888885</v>
      </c>
      <c r="K3307" s="94">
        <v>180</v>
      </c>
      <c r="L3307" s="72" t="str">
        <f t="shared" si="52"/>
        <v>Payé</v>
      </c>
      <c r="N3307" s="15"/>
    </row>
    <row r="3308" spans="1:14" s="14" customFormat="1" ht="18" x14ac:dyDescent="0.25">
      <c r="A3308" s="90" t="s">
        <v>864</v>
      </c>
      <c r="B3308" s="90">
        <v>1649</v>
      </c>
      <c r="C3308" s="88" t="s">
        <v>1559</v>
      </c>
      <c r="D3308" s="90" t="s">
        <v>17</v>
      </c>
      <c r="E3308" s="90" t="s">
        <v>753</v>
      </c>
      <c r="F3308" s="90" t="s">
        <v>864</v>
      </c>
      <c r="G3308" s="137">
        <v>2</v>
      </c>
      <c r="H3308" s="94">
        <v>180</v>
      </c>
      <c r="I3308" s="87">
        <v>46092</v>
      </c>
      <c r="J3308" s="93">
        <v>0.49027777777777781</v>
      </c>
      <c r="K3308" s="94">
        <v>180</v>
      </c>
      <c r="L3308" s="72" t="str">
        <f t="shared" si="52"/>
        <v>Payé</v>
      </c>
      <c r="N3308" s="15"/>
    </row>
    <row r="3309" spans="1:14" s="14" customFormat="1" ht="18" x14ac:dyDescent="0.25">
      <c r="A3309" s="90" t="s">
        <v>864</v>
      </c>
      <c r="B3309" s="90">
        <v>2244</v>
      </c>
      <c r="C3309" s="88" t="s">
        <v>1811</v>
      </c>
      <c r="D3309" s="90" t="s">
        <v>17</v>
      </c>
      <c r="E3309" s="90" t="s">
        <v>1902</v>
      </c>
      <c r="F3309" s="90" t="s">
        <v>864</v>
      </c>
      <c r="G3309" s="137">
        <v>8</v>
      </c>
      <c r="H3309" s="94">
        <v>720</v>
      </c>
      <c r="I3309" s="87">
        <v>46086</v>
      </c>
      <c r="J3309" s="93">
        <v>0.66111111111111109</v>
      </c>
      <c r="K3309" s="94">
        <v>720</v>
      </c>
      <c r="L3309" s="72" t="str">
        <f t="shared" si="52"/>
        <v>Payé</v>
      </c>
      <c r="N3309" s="15"/>
    </row>
    <row r="3310" spans="1:14" s="14" customFormat="1" ht="18" x14ac:dyDescent="0.25">
      <c r="A3310" s="90" t="s">
        <v>864</v>
      </c>
      <c r="B3310" s="90">
        <v>2253</v>
      </c>
      <c r="C3310" s="88" t="s">
        <v>1812</v>
      </c>
      <c r="D3310" s="90" t="s">
        <v>17</v>
      </c>
      <c r="E3310" s="90" t="s">
        <v>1902</v>
      </c>
      <c r="F3310" s="90" t="s">
        <v>864</v>
      </c>
      <c r="G3310" s="137">
        <v>8</v>
      </c>
      <c r="H3310" s="94">
        <v>720</v>
      </c>
      <c r="I3310" s="87">
        <v>46086</v>
      </c>
      <c r="J3310" s="93">
        <v>0.66111111111111109</v>
      </c>
      <c r="K3310" s="94">
        <v>720</v>
      </c>
      <c r="L3310" s="72" t="str">
        <f t="shared" si="52"/>
        <v>Payé</v>
      </c>
      <c r="N3310" s="15"/>
    </row>
    <row r="3311" spans="1:14" s="14" customFormat="1" ht="18" x14ac:dyDescent="0.25">
      <c r="A3311" s="90" t="s">
        <v>864</v>
      </c>
      <c r="B3311" s="90">
        <v>2254</v>
      </c>
      <c r="C3311" s="88" t="s">
        <v>1813</v>
      </c>
      <c r="D3311" s="90" t="s">
        <v>17</v>
      </c>
      <c r="E3311" s="90" t="s">
        <v>1902</v>
      </c>
      <c r="F3311" s="90" t="s">
        <v>864</v>
      </c>
      <c r="G3311" s="137">
        <v>8</v>
      </c>
      <c r="H3311" s="94">
        <v>720</v>
      </c>
      <c r="I3311" s="87">
        <v>46086</v>
      </c>
      <c r="J3311" s="93">
        <v>0.66111111111111109</v>
      </c>
      <c r="K3311" s="94">
        <v>720</v>
      </c>
      <c r="L3311" s="72" t="str">
        <f t="shared" si="52"/>
        <v>Payé</v>
      </c>
      <c r="N3311" s="15"/>
    </row>
    <row r="3312" spans="1:14" s="14" customFormat="1" ht="18" x14ac:dyDescent="0.25">
      <c r="A3312" s="90" t="s">
        <v>864</v>
      </c>
      <c r="B3312" s="90">
        <v>2259</v>
      </c>
      <c r="C3312" s="88" t="s">
        <v>1814</v>
      </c>
      <c r="D3312" s="90" t="s">
        <v>17</v>
      </c>
      <c r="E3312" s="90" t="s">
        <v>1902</v>
      </c>
      <c r="F3312" s="90" t="s">
        <v>864</v>
      </c>
      <c r="G3312" s="137">
        <v>8</v>
      </c>
      <c r="H3312" s="94">
        <v>720</v>
      </c>
      <c r="I3312" s="87">
        <v>46086</v>
      </c>
      <c r="J3312" s="93">
        <v>0.66111111111111109</v>
      </c>
      <c r="K3312" s="94">
        <v>720</v>
      </c>
      <c r="L3312" s="72" t="str">
        <f t="shared" si="52"/>
        <v>Payé</v>
      </c>
      <c r="N3312" s="15"/>
    </row>
    <row r="3313" spans="1:14" s="14" customFormat="1" ht="18" x14ac:dyDescent="0.25">
      <c r="A3313" s="90" t="s">
        <v>864</v>
      </c>
      <c r="B3313" s="90">
        <v>2331</v>
      </c>
      <c r="C3313" s="88" t="s">
        <v>344</v>
      </c>
      <c r="D3313" s="90" t="s">
        <v>17</v>
      </c>
      <c r="E3313" s="90" t="s">
        <v>81</v>
      </c>
      <c r="F3313" s="90" t="s">
        <v>864</v>
      </c>
      <c r="G3313" s="137">
        <v>1</v>
      </c>
      <c r="H3313" s="94">
        <v>87</v>
      </c>
      <c r="I3313" s="87">
        <v>46087</v>
      </c>
      <c r="J3313" s="93">
        <v>0.42152777777777778</v>
      </c>
      <c r="K3313" s="94">
        <v>87</v>
      </c>
      <c r="L3313" s="72" t="str">
        <f t="shared" si="52"/>
        <v>Payé</v>
      </c>
      <c r="N3313" s="15"/>
    </row>
    <row r="3314" spans="1:14" s="14" customFormat="1" ht="18" x14ac:dyDescent="0.25">
      <c r="A3314" s="90" t="s">
        <v>864</v>
      </c>
      <c r="B3314" s="90">
        <v>2856</v>
      </c>
      <c r="C3314" s="88" t="s">
        <v>1288</v>
      </c>
      <c r="D3314" s="90" t="s">
        <v>17</v>
      </c>
      <c r="E3314" s="90" t="s">
        <v>123</v>
      </c>
      <c r="F3314" s="90" t="s">
        <v>864</v>
      </c>
      <c r="G3314" s="137">
        <v>10</v>
      </c>
      <c r="H3314" s="94">
        <v>940</v>
      </c>
      <c r="I3314" s="87">
        <v>46088</v>
      </c>
      <c r="J3314" s="93">
        <v>0.52500000000000002</v>
      </c>
      <c r="K3314" s="94">
        <v>940</v>
      </c>
      <c r="L3314" s="72" t="str">
        <f t="shared" si="52"/>
        <v>Payé</v>
      </c>
      <c r="N3314" s="15"/>
    </row>
    <row r="3315" spans="1:14" s="14" customFormat="1" ht="18" x14ac:dyDescent="0.25">
      <c r="A3315" s="90" t="s">
        <v>864</v>
      </c>
      <c r="B3315" s="90">
        <v>2965</v>
      </c>
      <c r="C3315" s="88" t="s">
        <v>813</v>
      </c>
      <c r="D3315" s="90" t="s">
        <v>17</v>
      </c>
      <c r="E3315" s="90" t="s">
        <v>753</v>
      </c>
      <c r="F3315" s="90" t="s">
        <v>864</v>
      </c>
      <c r="G3315" s="137">
        <v>1</v>
      </c>
      <c r="H3315" s="94">
        <v>90</v>
      </c>
      <c r="I3315" s="87">
        <v>46102</v>
      </c>
      <c r="J3315" s="93">
        <v>0.46597222222222223</v>
      </c>
      <c r="K3315" s="94">
        <v>90</v>
      </c>
      <c r="L3315" s="72" t="str">
        <f t="shared" si="52"/>
        <v>Payé</v>
      </c>
      <c r="N3315" s="15"/>
    </row>
    <row r="3316" spans="1:14" s="14" customFormat="1" ht="18" x14ac:dyDescent="0.25">
      <c r="A3316" s="90" t="s">
        <v>864</v>
      </c>
      <c r="B3316" s="90">
        <v>2978</v>
      </c>
      <c r="C3316" s="88" t="s">
        <v>1118</v>
      </c>
      <c r="D3316" s="90" t="s">
        <v>17</v>
      </c>
      <c r="E3316" s="90" t="s">
        <v>753</v>
      </c>
      <c r="F3316" s="90" t="s">
        <v>864</v>
      </c>
      <c r="G3316" s="137">
        <v>2</v>
      </c>
      <c r="H3316" s="94">
        <v>180</v>
      </c>
      <c r="I3316" s="87">
        <v>46087</v>
      </c>
      <c r="J3316" s="93">
        <v>0.4381944444444445</v>
      </c>
      <c r="K3316" s="94">
        <v>180</v>
      </c>
      <c r="L3316" s="72" t="str">
        <f t="shared" si="52"/>
        <v>Payé</v>
      </c>
      <c r="N3316" s="15"/>
    </row>
    <row r="3317" spans="1:14" s="14" customFormat="1" ht="18" x14ac:dyDescent="0.25">
      <c r="A3317" s="90" t="s">
        <v>864</v>
      </c>
      <c r="B3317" s="90">
        <v>2983</v>
      </c>
      <c r="C3317" s="88" t="s">
        <v>468</v>
      </c>
      <c r="D3317" s="90" t="s">
        <v>17</v>
      </c>
      <c r="E3317" s="90" t="s">
        <v>753</v>
      </c>
      <c r="F3317" s="90" t="s">
        <v>864</v>
      </c>
      <c r="G3317" s="137">
        <v>1</v>
      </c>
      <c r="H3317" s="94">
        <v>90</v>
      </c>
      <c r="I3317" s="87">
        <v>46120</v>
      </c>
      <c r="J3317" s="93">
        <v>0.69444444444444453</v>
      </c>
      <c r="K3317" s="94">
        <v>90</v>
      </c>
      <c r="L3317" s="72" t="str">
        <f t="shared" si="52"/>
        <v>Payé</v>
      </c>
      <c r="N3317" s="15"/>
    </row>
    <row r="3318" spans="1:14" s="14" customFormat="1" ht="18" x14ac:dyDescent="0.25">
      <c r="A3318" s="90" t="s">
        <v>864</v>
      </c>
      <c r="B3318" s="90">
        <v>2997</v>
      </c>
      <c r="C3318" s="88" t="s">
        <v>719</v>
      </c>
      <c r="D3318" s="90" t="s">
        <v>17</v>
      </c>
      <c r="E3318" s="90" t="s">
        <v>1903</v>
      </c>
      <c r="F3318" s="90" t="s">
        <v>864</v>
      </c>
      <c r="G3318" s="137">
        <v>4</v>
      </c>
      <c r="H3318" s="94">
        <v>400</v>
      </c>
      <c r="I3318" s="87">
        <v>46100</v>
      </c>
      <c r="J3318" s="93">
        <v>0.53472222222222221</v>
      </c>
      <c r="K3318" s="94">
        <v>400</v>
      </c>
      <c r="L3318" s="72" t="str">
        <f t="shared" si="52"/>
        <v>Payé</v>
      </c>
      <c r="N3318" s="15"/>
    </row>
    <row r="3319" spans="1:14" s="14" customFormat="1" ht="18" x14ac:dyDescent="0.25">
      <c r="A3319" s="90" t="s">
        <v>864</v>
      </c>
      <c r="B3319" s="90">
        <v>3011</v>
      </c>
      <c r="C3319" s="88" t="s">
        <v>1815</v>
      </c>
      <c r="D3319" s="90" t="s">
        <v>17</v>
      </c>
      <c r="E3319" s="90" t="s">
        <v>649</v>
      </c>
      <c r="F3319" s="90" t="s">
        <v>864</v>
      </c>
      <c r="G3319" s="137">
        <v>7</v>
      </c>
      <c r="H3319" s="94">
        <v>640</v>
      </c>
      <c r="I3319" s="87">
        <v>46087</v>
      </c>
      <c r="J3319" s="93">
        <v>0.54652777777777783</v>
      </c>
      <c r="K3319" s="94">
        <v>640</v>
      </c>
      <c r="L3319" s="72" t="str">
        <f t="shared" si="52"/>
        <v>Payé</v>
      </c>
      <c r="N3319" s="15"/>
    </row>
    <row r="3320" spans="1:14" s="14" customFormat="1" ht="18" x14ac:dyDescent="0.25">
      <c r="A3320" s="90" t="s">
        <v>864</v>
      </c>
      <c r="B3320" s="90">
        <v>3015</v>
      </c>
      <c r="C3320" s="88" t="s">
        <v>1474</v>
      </c>
      <c r="D3320" s="90" t="s">
        <v>17</v>
      </c>
      <c r="E3320" s="90" t="s">
        <v>649</v>
      </c>
      <c r="F3320" s="90" t="s">
        <v>864</v>
      </c>
      <c r="G3320" s="137">
        <v>3</v>
      </c>
      <c r="H3320" s="94">
        <v>270</v>
      </c>
      <c r="I3320" s="87">
        <v>46087</v>
      </c>
      <c r="J3320" s="93">
        <v>0.5854166666666667</v>
      </c>
      <c r="K3320" s="94">
        <v>270</v>
      </c>
      <c r="L3320" s="72" t="str">
        <f t="shared" si="52"/>
        <v>Payé</v>
      </c>
      <c r="N3320" s="15"/>
    </row>
    <row r="3321" spans="1:14" s="14" customFormat="1" ht="18" x14ac:dyDescent="0.25">
      <c r="A3321" s="90" t="s">
        <v>864</v>
      </c>
      <c r="B3321" s="90">
        <v>3087</v>
      </c>
      <c r="C3321" s="88" t="s">
        <v>1238</v>
      </c>
      <c r="D3321" s="90" t="s">
        <v>17</v>
      </c>
      <c r="E3321" s="90" t="s">
        <v>649</v>
      </c>
      <c r="F3321" s="90" t="s">
        <v>864</v>
      </c>
      <c r="G3321" s="137">
        <v>6</v>
      </c>
      <c r="H3321" s="94">
        <v>540</v>
      </c>
      <c r="I3321" s="87">
        <v>46087</v>
      </c>
      <c r="J3321" s="93">
        <v>0.54652777777777783</v>
      </c>
      <c r="K3321" s="94">
        <v>540</v>
      </c>
      <c r="L3321" s="72" t="str">
        <f t="shared" si="52"/>
        <v>Payé</v>
      </c>
      <c r="N3321" s="15"/>
    </row>
    <row r="3322" spans="1:14" s="14" customFormat="1" ht="18" x14ac:dyDescent="0.25">
      <c r="A3322" s="90" t="s">
        <v>864</v>
      </c>
      <c r="B3322" s="90">
        <v>3130</v>
      </c>
      <c r="C3322" s="88" t="s">
        <v>553</v>
      </c>
      <c r="D3322" s="90" t="s">
        <v>17</v>
      </c>
      <c r="E3322" s="90" t="s">
        <v>649</v>
      </c>
      <c r="F3322" s="90" t="s">
        <v>864</v>
      </c>
      <c r="G3322" s="137">
        <v>8</v>
      </c>
      <c r="H3322" s="94">
        <v>730</v>
      </c>
      <c r="I3322" s="87">
        <v>46087</v>
      </c>
      <c r="J3322" s="93">
        <v>0.54652777777777783</v>
      </c>
      <c r="K3322" s="94">
        <v>730</v>
      </c>
      <c r="L3322" s="72" t="str">
        <f t="shared" si="52"/>
        <v>Payé</v>
      </c>
      <c r="N3322" s="15"/>
    </row>
    <row r="3323" spans="1:14" s="14" customFormat="1" ht="18" x14ac:dyDescent="0.25">
      <c r="A3323" s="90" t="s">
        <v>864</v>
      </c>
      <c r="B3323" s="90">
        <v>3280</v>
      </c>
      <c r="C3323" s="88" t="s">
        <v>1816</v>
      </c>
      <c r="D3323" s="90" t="s">
        <v>17</v>
      </c>
      <c r="E3323" s="90" t="s">
        <v>753</v>
      </c>
      <c r="F3323" s="90" t="s">
        <v>864</v>
      </c>
      <c r="G3323" s="137">
        <v>3</v>
      </c>
      <c r="H3323" s="94">
        <v>270</v>
      </c>
      <c r="I3323" s="87">
        <v>46087</v>
      </c>
      <c r="J3323" s="93">
        <v>0.4381944444444445</v>
      </c>
      <c r="K3323" s="94">
        <v>270</v>
      </c>
      <c r="L3323" s="72" t="str">
        <f t="shared" si="52"/>
        <v>Payé</v>
      </c>
      <c r="N3323" s="15"/>
    </row>
    <row r="3324" spans="1:14" s="14" customFormat="1" ht="18" x14ac:dyDescent="0.25">
      <c r="A3324" s="90" t="s">
        <v>864</v>
      </c>
      <c r="B3324" s="90">
        <v>3351</v>
      </c>
      <c r="C3324" s="88" t="s">
        <v>617</v>
      </c>
      <c r="D3324" s="90" t="s">
        <v>17</v>
      </c>
      <c r="E3324" s="90" t="s">
        <v>103</v>
      </c>
      <c r="F3324" s="90" t="s">
        <v>864</v>
      </c>
      <c r="G3324" s="137">
        <v>1</v>
      </c>
      <c r="H3324" s="94">
        <v>91</v>
      </c>
      <c r="I3324" s="87">
        <v>46119</v>
      </c>
      <c r="J3324" s="93">
        <v>0.69305555555555554</v>
      </c>
      <c r="K3324" s="94">
        <v>91</v>
      </c>
      <c r="L3324" s="72" t="str">
        <f t="shared" si="52"/>
        <v>Payé</v>
      </c>
      <c r="N3324" s="15"/>
    </row>
    <row r="3325" spans="1:14" s="14" customFormat="1" ht="18" x14ac:dyDescent="0.25">
      <c r="A3325" s="90" t="s">
        <v>864</v>
      </c>
      <c r="B3325" s="90">
        <v>3398</v>
      </c>
      <c r="C3325" s="88" t="s">
        <v>557</v>
      </c>
      <c r="D3325" s="90" t="s">
        <v>17</v>
      </c>
      <c r="E3325" s="90" t="s">
        <v>81</v>
      </c>
      <c r="F3325" s="90" t="s">
        <v>864</v>
      </c>
      <c r="G3325" s="137">
        <v>2</v>
      </c>
      <c r="H3325" s="94">
        <v>173</v>
      </c>
      <c r="I3325" s="87">
        <v>46087</v>
      </c>
      <c r="J3325" s="93">
        <v>0.42152777777777778</v>
      </c>
      <c r="K3325" s="94">
        <v>173</v>
      </c>
      <c r="L3325" s="72" t="str">
        <f t="shared" si="52"/>
        <v>Payé</v>
      </c>
      <c r="N3325" s="15"/>
    </row>
    <row r="3326" spans="1:14" s="14" customFormat="1" ht="18" x14ac:dyDescent="0.25">
      <c r="A3326" s="90" t="s">
        <v>864</v>
      </c>
      <c r="B3326" s="90">
        <v>3409</v>
      </c>
      <c r="C3326" s="88" t="s">
        <v>559</v>
      </c>
      <c r="D3326" s="90" t="s">
        <v>17</v>
      </c>
      <c r="E3326" s="90" t="s">
        <v>123</v>
      </c>
      <c r="F3326" s="90" t="s">
        <v>864</v>
      </c>
      <c r="G3326" s="137">
        <v>9</v>
      </c>
      <c r="H3326" s="94">
        <v>820</v>
      </c>
      <c r="I3326" s="87">
        <v>46090</v>
      </c>
      <c r="J3326" s="93">
        <v>0.54097222222222219</v>
      </c>
      <c r="K3326" s="94">
        <v>820</v>
      </c>
      <c r="L3326" s="72" t="str">
        <f t="shared" si="52"/>
        <v>Payé</v>
      </c>
      <c r="N3326" s="15"/>
    </row>
    <row r="3327" spans="1:14" s="14" customFormat="1" ht="18" x14ac:dyDescent="0.25">
      <c r="A3327" s="90" t="s">
        <v>864</v>
      </c>
      <c r="B3327" s="90">
        <v>3412</v>
      </c>
      <c r="C3327" s="88" t="s">
        <v>560</v>
      </c>
      <c r="D3327" s="90" t="s">
        <v>17</v>
      </c>
      <c r="E3327" s="90" t="s">
        <v>371</v>
      </c>
      <c r="F3327" s="90" t="s">
        <v>864</v>
      </c>
      <c r="G3327" s="137">
        <v>1</v>
      </c>
      <c r="H3327" s="94">
        <v>87</v>
      </c>
      <c r="I3327" s="87">
        <v>46088</v>
      </c>
      <c r="J3327" s="93">
        <v>0.52361111111111114</v>
      </c>
      <c r="K3327" s="94">
        <v>87</v>
      </c>
      <c r="L3327" s="72" t="str">
        <f t="shared" si="52"/>
        <v>Payé</v>
      </c>
      <c r="N3327" s="15"/>
    </row>
    <row r="3328" spans="1:14" s="14" customFormat="1" ht="18" x14ac:dyDescent="0.25">
      <c r="A3328" s="90" t="s">
        <v>864</v>
      </c>
      <c r="B3328" s="90">
        <v>3440</v>
      </c>
      <c r="C3328" s="88" t="s">
        <v>561</v>
      </c>
      <c r="D3328" s="90" t="s">
        <v>17</v>
      </c>
      <c r="E3328" s="90" t="s">
        <v>49</v>
      </c>
      <c r="F3328" s="90" t="s">
        <v>864</v>
      </c>
      <c r="G3328" s="137">
        <v>10</v>
      </c>
      <c r="H3328" s="94">
        <v>900</v>
      </c>
      <c r="I3328" s="87">
        <v>46087</v>
      </c>
      <c r="J3328" s="93">
        <v>0.59166666666666667</v>
      </c>
      <c r="K3328" s="94">
        <v>900</v>
      </c>
      <c r="L3328" s="72" t="str">
        <f t="shared" si="52"/>
        <v>Payé</v>
      </c>
      <c r="N3328" s="15"/>
    </row>
    <row r="3329" spans="1:14" s="14" customFormat="1" ht="18" x14ac:dyDescent="0.25">
      <c r="A3329" s="90" t="s">
        <v>864</v>
      </c>
      <c r="B3329" s="90">
        <v>3507</v>
      </c>
      <c r="C3329" s="88" t="s">
        <v>562</v>
      </c>
      <c r="D3329" s="90" t="s">
        <v>17</v>
      </c>
      <c r="E3329" s="90" t="s">
        <v>81</v>
      </c>
      <c r="F3329" s="90" t="s">
        <v>864</v>
      </c>
      <c r="G3329" s="137">
        <v>1</v>
      </c>
      <c r="H3329" s="94">
        <v>87</v>
      </c>
      <c r="I3329" s="87">
        <v>46088</v>
      </c>
      <c r="J3329" s="93">
        <v>0.46597222222222223</v>
      </c>
      <c r="K3329" s="94">
        <v>87</v>
      </c>
      <c r="L3329" s="72" t="str">
        <f t="shared" si="52"/>
        <v>Payé</v>
      </c>
      <c r="N3329" s="15"/>
    </row>
    <row r="3330" spans="1:14" s="14" customFormat="1" ht="18" x14ac:dyDescent="0.25">
      <c r="A3330" s="90" t="s">
        <v>864</v>
      </c>
      <c r="B3330" s="90">
        <v>3518</v>
      </c>
      <c r="C3330" s="88" t="s">
        <v>1061</v>
      </c>
      <c r="D3330" s="90" t="s">
        <v>17</v>
      </c>
      <c r="E3330" s="90" t="s">
        <v>254</v>
      </c>
      <c r="F3330" s="90" t="s">
        <v>864</v>
      </c>
      <c r="G3330" s="137">
        <v>5</v>
      </c>
      <c r="H3330" s="94">
        <v>450</v>
      </c>
      <c r="I3330" s="87">
        <v>46087</v>
      </c>
      <c r="J3330" s="93">
        <v>0.57847222222222217</v>
      </c>
      <c r="K3330" s="94">
        <v>450</v>
      </c>
      <c r="L3330" s="72" t="str">
        <f t="shared" si="52"/>
        <v>Payé</v>
      </c>
      <c r="N3330" s="15"/>
    </row>
    <row r="3331" spans="1:14" s="14" customFormat="1" ht="18" x14ac:dyDescent="0.25">
      <c r="A3331" s="90" t="s">
        <v>864</v>
      </c>
      <c r="B3331" s="90">
        <v>3534</v>
      </c>
      <c r="C3331" s="88" t="s">
        <v>563</v>
      </c>
      <c r="D3331" s="90" t="s">
        <v>17</v>
      </c>
      <c r="E3331" s="90" t="s">
        <v>1904</v>
      </c>
      <c r="F3331" s="90" t="s">
        <v>864</v>
      </c>
      <c r="G3331" s="137">
        <v>7</v>
      </c>
      <c r="H3331" s="94">
        <v>630</v>
      </c>
      <c r="I3331" s="87">
        <v>46087</v>
      </c>
      <c r="J3331" s="93">
        <v>0.56944444444444442</v>
      </c>
      <c r="K3331" s="94">
        <v>630</v>
      </c>
      <c r="L3331" s="72" t="str">
        <f t="shared" si="52"/>
        <v>Payé</v>
      </c>
      <c r="N3331" s="15"/>
    </row>
    <row r="3332" spans="1:14" s="14" customFormat="1" ht="18" x14ac:dyDescent="0.25">
      <c r="A3332" s="90" t="s">
        <v>864</v>
      </c>
      <c r="B3332" s="90">
        <v>3545</v>
      </c>
      <c r="C3332" s="88" t="s">
        <v>606</v>
      </c>
      <c r="D3332" s="90" t="s">
        <v>17</v>
      </c>
      <c r="E3332" s="90" t="s">
        <v>123</v>
      </c>
      <c r="F3332" s="90" t="s">
        <v>864</v>
      </c>
      <c r="G3332" s="137">
        <v>6</v>
      </c>
      <c r="H3332" s="94">
        <v>540</v>
      </c>
      <c r="I3332" s="87">
        <v>46088</v>
      </c>
      <c r="J3332" s="93">
        <v>0.52500000000000002</v>
      </c>
      <c r="K3332" s="94">
        <v>540</v>
      </c>
      <c r="L3332" s="72" t="str">
        <f t="shared" si="52"/>
        <v>Payé</v>
      </c>
      <c r="N3332" s="15"/>
    </row>
    <row r="3333" spans="1:14" s="14" customFormat="1" ht="18" x14ac:dyDescent="0.25">
      <c r="A3333" s="90" t="s">
        <v>864</v>
      </c>
      <c r="B3333" s="90">
        <v>3546</v>
      </c>
      <c r="C3333" s="88" t="s">
        <v>1677</v>
      </c>
      <c r="D3333" s="90" t="s">
        <v>17</v>
      </c>
      <c r="E3333" s="90" t="s">
        <v>123</v>
      </c>
      <c r="F3333" s="90" t="s">
        <v>864</v>
      </c>
      <c r="G3333" s="137">
        <v>4</v>
      </c>
      <c r="H3333" s="94">
        <v>360</v>
      </c>
      <c r="I3333" s="87">
        <v>46090</v>
      </c>
      <c r="J3333" s="93">
        <v>0.54027777777777775</v>
      </c>
      <c r="K3333" s="94">
        <v>360</v>
      </c>
      <c r="L3333" s="72" t="str">
        <f t="shared" si="52"/>
        <v>Payé</v>
      </c>
      <c r="N3333" s="15"/>
    </row>
    <row r="3334" spans="1:14" s="14" customFormat="1" ht="18" x14ac:dyDescent="0.25">
      <c r="A3334" s="90" t="s">
        <v>864</v>
      </c>
      <c r="B3334" s="90">
        <v>3590</v>
      </c>
      <c r="C3334" s="88" t="s">
        <v>425</v>
      </c>
      <c r="D3334" s="90" t="s">
        <v>17</v>
      </c>
      <c r="E3334" s="90" t="s">
        <v>628</v>
      </c>
      <c r="F3334" s="90" t="s">
        <v>864</v>
      </c>
      <c r="G3334" s="137">
        <v>8</v>
      </c>
      <c r="H3334" s="94">
        <v>730</v>
      </c>
      <c r="I3334" s="87">
        <v>46087</v>
      </c>
      <c r="J3334" s="93">
        <v>0.55833333333333335</v>
      </c>
      <c r="K3334" s="94">
        <v>730</v>
      </c>
      <c r="L3334" s="72" t="str">
        <f t="shared" si="52"/>
        <v>Payé</v>
      </c>
      <c r="N3334" s="15"/>
    </row>
    <row r="3335" spans="1:14" s="14" customFormat="1" ht="18" x14ac:dyDescent="0.25">
      <c r="A3335" s="90" t="s">
        <v>864</v>
      </c>
      <c r="B3335" s="90">
        <v>3627</v>
      </c>
      <c r="C3335" s="88" t="s">
        <v>566</v>
      </c>
      <c r="D3335" s="90" t="s">
        <v>17</v>
      </c>
      <c r="E3335" s="90" t="s">
        <v>649</v>
      </c>
      <c r="F3335" s="90" t="s">
        <v>864</v>
      </c>
      <c r="G3335" s="137">
        <v>5</v>
      </c>
      <c r="H3335" s="94">
        <v>450</v>
      </c>
      <c r="I3335" s="87">
        <v>46099</v>
      </c>
      <c r="J3335" s="93">
        <v>0.6333333333333333</v>
      </c>
      <c r="K3335" s="94">
        <v>450</v>
      </c>
      <c r="L3335" s="72" t="str">
        <f t="shared" si="52"/>
        <v>Payé</v>
      </c>
      <c r="N3335" s="15"/>
    </row>
    <row r="3336" spans="1:14" s="14" customFormat="1" ht="18" x14ac:dyDescent="0.25">
      <c r="A3336" s="90" t="s">
        <v>864</v>
      </c>
      <c r="B3336" s="90">
        <v>3672</v>
      </c>
      <c r="C3336" s="88" t="s">
        <v>568</v>
      </c>
      <c r="D3336" s="90" t="s">
        <v>17</v>
      </c>
      <c r="E3336" s="90" t="s">
        <v>1905</v>
      </c>
      <c r="F3336" s="90" t="s">
        <v>864</v>
      </c>
      <c r="G3336" s="137">
        <v>13</v>
      </c>
      <c r="H3336" s="94">
        <v>1430</v>
      </c>
      <c r="I3336" s="87">
        <v>46086</v>
      </c>
      <c r="J3336" s="93">
        <v>0.63680555555555551</v>
      </c>
      <c r="K3336" s="94">
        <v>1430</v>
      </c>
      <c r="L3336" s="72" t="str">
        <f t="shared" si="52"/>
        <v>Payé</v>
      </c>
      <c r="N3336" s="15"/>
    </row>
    <row r="3337" spans="1:14" s="14" customFormat="1" ht="18" x14ac:dyDescent="0.25">
      <c r="A3337" s="90" t="s">
        <v>864</v>
      </c>
      <c r="B3337" s="90">
        <v>3723</v>
      </c>
      <c r="C3337" s="88" t="s">
        <v>1586</v>
      </c>
      <c r="D3337" s="90" t="s">
        <v>17</v>
      </c>
      <c r="E3337" s="90" t="s">
        <v>254</v>
      </c>
      <c r="F3337" s="90" t="s">
        <v>864</v>
      </c>
      <c r="G3337" s="137">
        <v>3</v>
      </c>
      <c r="H3337" s="94">
        <v>270</v>
      </c>
      <c r="I3337" s="87">
        <v>46087</v>
      </c>
      <c r="J3337" s="93">
        <v>0.5</v>
      </c>
      <c r="K3337" s="94">
        <v>270</v>
      </c>
      <c r="L3337" s="72" t="str">
        <f t="shared" si="52"/>
        <v>Payé</v>
      </c>
      <c r="N3337" s="15"/>
    </row>
    <row r="3338" spans="1:14" s="14" customFormat="1" ht="18" x14ac:dyDescent="0.25">
      <c r="A3338" s="90" t="s">
        <v>864</v>
      </c>
      <c r="B3338" s="90">
        <v>3726</v>
      </c>
      <c r="C3338" s="88" t="s">
        <v>570</v>
      </c>
      <c r="D3338" s="90" t="s">
        <v>17</v>
      </c>
      <c r="E3338" s="90" t="s">
        <v>123</v>
      </c>
      <c r="F3338" s="90" t="s">
        <v>864</v>
      </c>
      <c r="G3338" s="137">
        <v>10</v>
      </c>
      <c r="H3338" s="94">
        <v>900</v>
      </c>
      <c r="I3338" s="87">
        <v>46087</v>
      </c>
      <c r="J3338" s="93">
        <v>0.6069444444444444</v>
      </c>
      <c r="K3338" s="94">
        <v>900</v>
      </c>
      <c r="L3338" s="72" t="str">
        <f t="shared" si="52"/>
        <v>Payé</v>
      </c>
      <c r="N3338" s="15"/>
    </row>
    <row r="3339" spans="1:14" s="14" customFormat="1" ht="18" x14ac:dyDescent="0.25">
      <c r="A3339" s="90" t="s">
        <v>864</v>
      </c>
      <c r="B3339" s="90">
        <v>3760</v>
      </c>
      <c r="C3339" s="88" t="s">
        <v>465</v>
      </c>
      <c r="D3339" s="90" t="s">
        <v>17</v>
      </c>
      <c r="E3339" s="90" t="s">
        <v>49</v>
      </c>
      <c r="F3339" s="90" t="s">
        <v>864</v>
      </c>
      <c r="G3339" s="137">
        <v>8</v>
      </c>
      <c r="H3339" s="94">
        <v>720</v>
      </c>
      <c r="I3339" s="87">
        <v>46087</v>
      </c>
      <c r="J3339" s="93">
        <v>0.59166666666666667</v>
      </c>
      <c r="K3339" s="94">
        <v>720</v>
      </c>
      <c r="L3339" s="72" t="str">
        <f t="shared" si="52"/>
        <v>Payé</v>
      </c>
      <c r="N3339" s="15"/>
    </row>
    <row r="3340" spans="1:14" s="14" customFormat="1" ht="18" x14ac:dyDescent="0.25">
      <c r="A3340" s="90" t="s">
        <v>864</v>
      </c>
      <c r="B3340" s="90">
        <v>3793</v>
      </c>
      <c r="C3340" s="88" t="s">
        <v>572</v>
      </c>
      <c r="D3340" s="90" t="s">
        <v>17</v>
      </c>
      <c r="E3340" s="90" t="s">
        <v>123</v>
      </c>
      <c r="F3340" s="90" t="s">
        <v>864</v>
      </c>
      <c r="G3340" s="137">
        <v>9</v>
      </c>
      <c r="H3340" s="94">
        <v>810</v>
      </c>
      <c r="I3340" s="87">
        <v>46090</v>
      </c>
      <c r="J3340" s="93">
        <v>0.54097222222222219</v>
      </c>
      <c r="K3340" s="94">
        <v>810</v>
      </c>
      <c r="L3340" s="72" t="str">
        <f t="shared" si="52"/>
        <v>Payé</v>
      </c>
      <c r="N3340" s="15"/>
    </row>
    <row r="3341" spans="1:14" s="14" customFormat="1" ht="18" x14ac:dyDescent="0.25">
      <c r="A3341" s="90" t="s">
        <v>864</v>
      </c>
      <c r="B3341" s="90">
        <v>3823</v>
      </c>
      <c r="C3341" s="88" t="s">
        <v>824</v>
      </c>
      <c r="D3341" s="90" t="s">
        <v>17</v>
      </c>
      <c r="E3341" s="90" t="s">
        <v>753</v>
      </c>
      <c r="F3341" s="90" t="s">
        <v>864</v>
      </c>
      <c r="G3341" s="137">
        <v>4</v>
      </c>
      <c r="H3341" s="94">
        <v>360</v>
      </c>
      <c r="I3341" s="87">
        <v>46092</v>
      </c>
      <c r="J3341" s="93">
        <v>0.51944444444444449</v>
      </c>
      <c r="K3341" s="94">
        <v>360</v>
      </c>
      <c r="L3341" s="72" t="str">
        <f t="shared" si="52"/>
        <v>Payé</v>
      </c>
      <c r="N3341" s="15"/>
    </row>
    <row r="3342" spans="1:14" s="14" customFormat="1" ht="18" x14ac:dyDescent="0.25">
      <c r="A3342" s="90" t="s">
        <v>864</v>
      </c>
      <c r="B3342" s="90">
        <v>3903</v>
      </c>
      <c r="C3342" s="88" t="s">
        <v>721</v>
      </c>
      <c r="D3342" s="90" t="s">
        <v>17</v>
      </c>
      <c r="E3342" s="90" t="s">
        <v>753</v>
      </c>
      <c r="F3342" s="90" t="s">
        <v>864</v>
      </c>
      <c r="G3342" s="137">
        <v>2</v>
      </c>
      <c r="H3342" s="94">
        <v>180</v>
      </c>
      <c r="I3342" s="87">
        <v>46087</v>
      </c>
      <c r="J3342" s="93">
        <v>0.4381944444444445</v>
      </c>
      <c r="K3342" s="94">
        <v>180</v>
      </c>
      <c r="L3342" s="72" t="str">
        <f t="shared" si="52"/>
        <v>Payé</v>
      </c>
      <c r="N3342" s="15"/>
    </row>
    <row r="3343" spans="1:14" s="14" customFormat="1" ht="18" x14ac:dyDescent="0.25">
      <c r="A3343" s="90" t="s">
        <v>864</v>
      </c>
      <c r="B3343" s="90">
        <v>3979</v>
      </c>
      <c r="C3343" s="88" t="s">
        <v>1538</v>
      </c>
      <c r="D3343" s="90" t="s">
        <v>17</v>
      </c>
      <c r="E3343" s="90" t="s">
        <v>753</v>
      </c>
      <c r="F3343" s="90" t="s">
        <v>864</v>
      </c>
      <c r="G3343" s="137">
        <v>4</v>
      </c>
      <c r="H3343" s="94">
        <v>360</v>
      </c>
      <c r="I3343" s="87">
        <v>46092</v>
      </c>
      <c r="J3343" s="93">
        <v>0.54513888888888895</v>
      </c>
      <c r="K3343" s="94">
        <v>360</v>
      </c>
      <c r="L3343" s="72" t="str">
        <f t="shared" si="52"/>
        <v>Payé</v>
      </c>
      <c r="N3343" s="15"/>
    </row>
    <row r="3344" spans="1:14" s="14" customFormat="1" ht="18" x14ac:dyDescent="0.25">
      <c r="A3344" s="90" t="s">
        <v>864</v>
      </c>
      <c r="B3344" s="90">
        <v>4060</v>
      </c>
      <c r="C3344" s="88" t="s">
        <v>986</v>
      </c>
      <c r="D3344" s="90" t="s">
        <v>17</v>
      </c>
      <c r="E3344" s="90" t="s">
        <v>753</v>
      </c>
      <c r="F3344" s="90" t="s">
        <v>864</v>
      </c>
      <c r="G3344" s="137">
        <v>2</v>
      </c>
      <c r="H3344" s="94">
        <v>180</v>
      </c>
      <c r="I3344" s="87">
        <v>46092</v>
      </c>
      <c r="J3344" s="93">
        <v>45597</v>
      </c>
      <c r="K3344" s="94">
        <v>180</v>
      </c>
      <c r="L3344" s="72" t="str">
        <f t="shared" si="52"/>
        <v>Payé</v>
      </c>
      <c r="N3344" s="15"/>
    </row>
    <row r="3345" spans="1:14" s="14" customFormat="1" ht="18" x14ac:dyDescent="0.25">
      <c r="A3345" s="90" t="s">
        <v>864</v>
      </c>
      <c r="B3345" s="90">
        <v>4169</v>
      </c>
      <c r="C3345" s="88" t="s">
        <v>1561</v>
      </c>
      <c r="D3345" s="90" t="s">
        <v>17</v>
      </c>
      <c r="E3345" s="90" t="s">
        <v>649</v>
      </c>
      <c r="F3345" s="90" t="s">
        <v>864</v>
      </c>
      <c r="G3345" s="137">
        <v>8</v>
      </c>
      <c r="H3345" s="94">
        <v>720</v>
      </c>
      <c r="I3345" s="87">
        <v>46087</v>
      </c>
      <c r="J3345" s="93">
        <v>0.54652777777777783</v>
      </c>
      <c r="K3345" s="94">
        <v>720</v>
      </c>
      <c r="L3345" s="72" t="str">
        <f t="shared" si="52"/>
        <v>Payé</v>
      </c>
      <c r="N3345" s="15"/>
    </row>
    <row r="3346" spans="1:14" s="14" customFormat="1" ht="18" x14ac:dyDescent="0.25">
      <c r="A3346" s="90" t="s">
        <v>864</v>
      </c>
      <c r="B3346" s="90">
        <v>4177</v>
      </c>
      <c r="C3346" s="88" t="s">
        <v>582</v>
      </c>
      <c r="D3346" s="90" t="s">
        <v>17</v>
      </c>
      <c r="E3346" s="90" t="s">
        <v>649</v>
      </c>
      <c r="F3346" s="90" t="s">
        <v>864</v>
      </c>
      <c r="G3346" s="137">
        <v>2</v>
      </c>
      <c r="H3346" s="94">
        <v>180</v>
      </c>
      <c r="I3346" s="87"/>
      <c r="J3346" s="93"/>
      <c r="K3346" s="92"/>
      <c r="L3346" s="72" t="str">
        <f t="shared" si="52"/>
        <v>Impayé</v>
      </c>
      <c r="N3346" s="15"/>
    </row>
    <row r="3347" spans="1:14" s="14" customFormat="1" ht="18" x14ac:dyDescent="0.25">
      <c r="A3347" s="90" t="s">
        <v>864</v>
      </c>
      <c r="B3347" s="90">
        <v>4202</v>
      </c>
      <c r="C3347" s="88" t="s">
        <v>609</v>
      </c>
      <c r="D3347" s="90" t="s">
        <v>17</v>
      </c>
      <c r="E3347" s="90" t="s">
        <v>649</v>
      </c>
      <c r="F3347" s="90" t="s">
        <v>864</v>
      </c>
      <c r="G3347" s="137">
        <v>5</v>
      </c>
      <c r="H3347" s="94">
        <v>450</v>
      </c>
      <c r="I3347" s="87">
        <v>46087</v>
      </c>
      <c r="J3347" s="93">
        <v>0.54652777777777783</v>
      </c>
      <c r="K3347" s="94">
        <v>450</v>
      </c>
      <c r="L3347" s="72" t="str">
        <f t="shared" si="52"/>
        <v>Payé</v>
      </c>
      <c r="N3347" s="15"/>
    </row>
    <row r="3348" spans="1:14" s="14" customFormat="1" ht="18" x14ac:dyDescent="0.25">
      <c r="A3348" s="90" t="s">
        <v>864</v>
      </c>
      <c r="B3348" s="90">
        <v>4204</v>
      </c>
      <c r="C3348" s="88" t="s">
        <v>610</v>
      </c>
      <c r="D3348" s="90" t="s">
        <v>17</v>
      </c>
      <c r="E3348" s="90" t="s">
        <v>649</v>
      </c>
      <c r="F3348" s="90" t="s">
        <v>864</v>
      </c>
      <c r="G3348" s="137">
        <v>7</v>
      </c>
      <c r="H3348" s="94">
        <v>630</v>
      </c>
      <c r="I3348" s="87">
        <v>46087</v>
      </c>
      <c r="J3348" s="93">
        <v>0.54652777777777783</v>
      </c>
      <c r="K3348" s="94">
        <v>630</v>
      </c>
      <c r="L3348" s="72" t="str">
        <f t="shared" si="52"/>
        <v>Payé</v>
      </c>
      <c r="N3348" s="15"/>
    </row>
    <row r="3349" spans="1:14" s="14" customFormat="1" ht="18" x14ac:dyDescent="0.25">
      <c r="A3349" s="90" t="s">
        <v>864</v>
      </c>
      <c r="B3349" s="90">
        <v>4207</v>
      </c>
      <c r="C3349" s="88" t="s">
        <v>1817</v>
      </c>
      <c r="D3349" s="90" t="s">
        <v>17</v>
      </c>
      <c r="E3349" s="90" t="s">
        <v>649</v>
      </c>
      <c r="F3349" s="90" t="s">
        <v>864</v>
      </c>
      <c r="G3349" s="137">
        <v>1</v>
      </c>
      <c r="H3349" s="94">
        <v>90</v>
      </c>
      <c r="I3349" s="87"/>
      <c r="J3349" s="93"/>
      <c r="K3349" s="92"/>
      <c r="L3349" s="72" t="str">
        <f t="shared" si="52"/>
        <v>Impayé</v>
      </c>
      <c r="N3349" s="15"/>
    </row>
    <row r="3350" spans="1:14" s="14" customFormat="1" ht="18" x14ac:dyDescent="0.25">
      <c r="A3350" s="90" t="s">
        <v>864</v>
      </c>
      <c r="B3350" s="90">
        <v>4333</v>
      </c>
      <c r="C3350" s="88" t="s">
        <v>706</v>
      </c>
      <c r="D3350" s="90" t="s">
        <v>17</v>
      </c>
      <c r="E3350" s="90" t="s">
        <v>628</v>
      </c>
      <c r="F3350" s="90" t="s">
        <v>864</v>
      </c>
      <c r="G3350" s="137">
        <v>9</v>
      </c>
      <c r="H3350" s="94">
        <v>820</v>
      </c>
      <c r="I3350" s="87">
        <v>46087</v>
      </c>
      <c r="J3350" s="93">
        <v>0.55833333333333335</v>
      </c>
      <c r="K3350" s="94">
        <v>820</v>
      </c>
      <c r="L3350" s="72" t="str">
        <f t="shared" si="52"/>
        <v>Payé</v>
      </c>
      <c r="N3350" s="15"/>
    </row>
    <row r="3351" spans="1:14" s="14" customFormat="1" ht="18" x14ac:dyDescent="0.25">
      <c r="A3351" s="90" t="s">
        <v>864</v>
      </c>
      <c r="B3351" s="90">
        <v>4334</v>
      </c>
      <c r="C3351" s="88" t="s">
        <v>622</v>
      </c>
      <c r="D3351" s="90" t="s">
        <v>17</v>
      </c>
      <c r="E3351" s="90" t="s">
        <v>628</v>
      </c>
      <c r="F3351" s="90" t="s">
        <v>864</v>
      </c>
      <c r="G3351" s="137">
        <v>9</v>
      </c>
      <c r="H3351" s="94">
        <v>880</v>
      </c>
      <c r="I3351" s="87">
        <v>46087</v>
      </c>
      <c r="J3351" s="93">
        <v>0.55833333333333335</v>
      </c>
      <c r="K3351" s="94">
        <v>880</v>
      </c>
      <c r="L3351" s="72" t="str">
        <f t="shared" si="52"/>
        <v>Payé</v>
      </c>
      <c r="N3351" s="15"/>
    </row>
    <row r="3352" spans="1:14" s="14" customFormat="1" ht="18" x14ac:dyDescent="0.25">
      <c r="A3352" s="90" t="s">
        <v>864</v>
      </c>
      <c r="B3352" s="90">
        <v>4421</v>
      </c>
      <c r="C3352" s="88" t="s">
        <v>1588</v>
      </c>
      <c r="D3352" s="90" t="s">
        <v>17</v>
      </c>
      <c r="E3352" s="90" t="s">
        <v>1104</v>
      </c>
      <c r="F3352" s="90" t="s">
        <v>864</v>
      </c>
      <c r="G3352" s="137">
        <v>5</v>
      </c>
      <c r="H3352" s="94">
        <v>450</v>
      </c>
      <c r="I3352" s="87">
        <v>46090</v>
      </c>
      <c r="J3352" s="93">
        <v>0.54027777777777775</v>
      </c>
      <c r="K3352" s="94">
        <v>450</v>
      </c>
      <c r="L3352" s="72" t="str">
        <f t="shared" si="52"/>
        <v>Payé</v>
      </c>
      <c r="N3352" s="15"/>
    </row>
    <row r="3353" spans="1:14" s="14" customFormat="1" ht="18" x14ac:dyDescent="0.25">
      <c r="A3353" s="90" t="s">
        <v>864</v>
      </c>
      <c r="B3353" s="90">
        <v>4427</v>
      </c>
      <c r="C3353" s="88" t="s">
        <v>1590</v>
      </c>
      <c r="D3353" s="90" t="s">
        <v>17</v>
      </c>
      <c r="E3353" s="90" t="s">
        <v>254</v>
      </c>
      <c r="F3353" s="90" t="s">
        <v>864</v>
      </c>
      <c r="G3353" s="137">
        <v>1</v>
      </c>
      <c r="H3353" s="94">
        <v>90</v>
      </c>
      <c r="I3353" s="87">
        <v>46087</v>
      </c>
      <c r="J3353" s="93">
        <v>0.57847222222222217</v>
      </c>
      <c r="K3353" s="94">
        <v>90</v>
      </c>
      <c r="L3353" s="72" t="str">
        <f t="shared" si="52"/>
        <v>Payé</v>
      </c>
      <c r="N3353" s="15"/>
    </row>
    <row r="3354" spans="1:14" s="14" customFormat="1" ht="18" x14ac:dyDescent="0.25">
      <c r="A3354" s="90" t="s">
        <v>864</v>
      </c>
      <c r="B3354" s="90">
        <v>4428</v>
      </c>
      <c r="C3354" s="88" t="s">
        <v>1562</v>
      </c>
      <c r="D3354" s="90" t="s">
        <v>17</v>
      </c>
      <c r="E3354" s="90" t="s">
        <v>254</v>
      </c>
      <c r="F3354" s="90" t="s">
        <v>864</v>
      </c>
      <c r="G3354" s="137">
        <v>6</v>
      </c>
      <c r="H3354" s="94">
        <v>540</v>
      </c>
      <c r="I3354" s="87">
        <v>46087</v>
      </c>
      <c r="J3354" s="93">
        <v>0.57847222222222217</v>
      </c>
      <c r="K3354" s="94">
        <v>540</v>
      </c>
      <c r="L3354" s="72" t="str">
        <f t="shared" si="52"/>
        <v>Payé</v>
      </c>
      <c r="N3354" s="15"/>
    </row>
    <row r="3355" spans="1:14" s="14" customFormat="1" ht="18" x14ac:dyDescent="0.25">
      <c r="A3355" s="90" t="s">
        <v>864</v>
      </c>
      <c r="B3355" s="90">
        <v>4470</v>
      </c>
      <c r="C3355" s="88" t="s">
        <v>989</v>
      </c>
      <c r="D3355" s="90" t="s">
        <v>17</v>
      </c>
      <c r="E3355" s="90" t="s">
        <v>628</v>
      </c>
      <c r="F3355" s="90" t="s">
        <v>864</v>
      </c>
      <c r="G3355" s="137">
        <v>1</v>
      </c>
      <c r="H3355" s="94">
        <v>90</v>
      </c>
      <c r="I3355" s="87">
        <v>46087</v>
      </c>
      <c r="J3355" s="93">
        <v>0.55833333333333335</v>
      </c>
      <c r="K3355" s="94">
        <v>90</v>
      </c>
      <c r="L3355" s="72" t="str">
        <f t="shared" si="52"/>
        <v>Payé</v>
      </c>
      <c r="N3355" s="15"/>
    </row>
    <row r="3356" spans="1:14" s="14" customFormat="1" ht="18" x14ac:dyDescent="0.25">
      <c r="A3356" s="90" t="s">
        <v>864</v>
      </c>
      <c r="B3356" s="90">
        <v>4471</v>
      </c>
      <c r="C3356" s="88" t="s">
        <v>1678</v>
      </c>
      <c r="D3356" s="90" t="s">
        <v>17</v>
      </c>
      <c r="E3356" s="90" t="s">
        <v>123</v>
      </c>
      <c r="F3356" s="90" t="s">
        <v>864</v>
      </c>
      <c r="G3356" s="137">
        <v>4</v>
      </c>
      <c r="H3356" s="94">
        <v>360</v>
      </c>
      <c r="I3356" s="87">
        <v>46090</v>
      </c>
      <c r="J3356" s="93">
        <v>0.55069444444444449</v>
      </c>
      <c r="K3356" s="94">
        <v>360</v>
      </c>
      <c r="L3356" s="72" t="str">
        <f t="shared" si="52"/>
        <v>Payé</v>
      </c>
      <c r="N3356" s="15"/>
    </row>
    <row r="3357" spans="1:14" s="14" customFormat="1" ht="18" x14ac:dyDescent="0.25">
      <c r="A3357" s="90" t="s">
        <v>864</v>
      </c>
      <c r="B3357" s="90">
        <v>4473</v>
      </c>
      <c r="C3357" s="88" t="s">
        <v>623</v>
      </c>
      <c r="D3357" s="90" t="s">
        <v>17</v>
      </c>
      <c r="E3357" s="90" t="s">
        <v>628</v>
      </c>
      <c r="F3357" s="90" t="s">
        <v>864</v>
      </c>
      <c r="G3357" s="137">
        <v>8</v>
      </c>
      <c r="H3357" s="94">
        <v>720</v>
      </c>
      <c r="I3357" s="87">
        <v>46087</v>
      </c>
      <c r="J3357" s="93">
        <v>0.55833333333333335</v>
      </c>
      <c r="K3357" s="94">
        <v>720</v>
      </c>
      <c r="L3357" s="72" t="str">
        <f t="shared" si="52"/>
        <v>Payé</v>
      </c>
      <c r="N3357" s="15"/>
    </row>
    <row r="3358" spans="1:14" s="14" customFormat="1" ht="18" x14ac:dyDescent="0.25">
      <c r="A3358" s="90" t="s">
        <v>864</v>
      </c>
      <c r="B3358" s="90">
        <v>4525</v>
      </c>
      <c r="C3358" s="88" t="s">
        <v>1679</v>
      </c>
      <c r="D3358" s="90" t="s">
        <v>17</v>
      </c>
      <c r="E3358" s="90" t="s">
        <v>757</v>
      </c>
      <c r="F3358" s="90" t="s">
        <v>864</v>
      </c>
      <c r="G3358" s="137">
        <v>4</v>
      </c>
      <c r="H3358" s="94">
        <v>360</v>
      </c>
      <c r="I3358" s="87">
        <v>46087</v>
      </c>
      <c r="J3358" s="93">
        <v>0.64027777777777783</v>
      </c>
      <c r="K3358" s="94">
        <v>360</v>
      </c>
      <c r="L3358" s="72" t="str">
        <f t="shared" ref="L3358:L3421" si="53">IF(ISBLANK(H3358),"",IF(H3358=K3358,"Payé","Impayé"))</f>
        <v>Payé</v>
      </c>
      <c r="N3358" s="15"/>
    </row>
    <row r="3359" spans="1:14" s="14" customFormat="1" ht="18" x14ac:dyDescent="0.25">
      <c r="A3359" s="90" t="s">
        <v>864</v>
      </c>
      <c r="B3359" s="90">
        <v>4598</v>
      </c>
      <c r="C3359" s="88" t="s">
        <v>1818</v>
      </c>
      <c r="D3359" s="90" t="s">
        <v>17</v>
      </c>
      <c r="E3359" s="90" t="s">
        <v>757</v>
      </c>
      <c r="F3359" s="90" t="s">
        <v>864</v>
      </c>
      <c r="G3359" s="137">
        <v>1</v>
      </c>
      <c r="H3359" s="94">
        <v>90</v>
      </c>
      <c r="I3359" s="87">
        <v>46087</v>
      </c>
      <c r="J3359" s="93">
        <v>0.64027777777777783</v>
      </c>
      <c r="K3359" s="94">
        <v>90</v>
      </c>
      <c r="L3359" s="72" t="str">
        <f t="shared" si="53"/>
        <v>Payé</v>
      </c>
      <c r="N3359" s="15"/>
    </row>
    <row r="3360" spans="1:14" s="14" customFormat="1" ht="18" x14ac:dyDescent="0.25">
      <c r="A3360" s="90" t="s">
        <v>864</v>
      </c>
      <c r="B3360" s="90">
        <v>4606</v>
      </c>
      <c r="C3360" s="88" t="s">
        <v>1680</v>
      </c>
      <c r="D3360" s="90" t="s">
        <v>17</v>
      </c>
      <c r="E3360" s="90" t="s">
        <v>757</v>
      </c>
      <c r="F3360" s="90" t="s">
        <v>864</v>
      </c>
      <c r="G3360" s="137">
        <v>2</v>
      </c>
      <c r="H3360" s="94">
        <v>180</v>
      </c>
      <c r="I3360" s="87">
        <v>46087</v>
      </c>
      <c r="J3360" s="93">
        <v>0.64027777777777783</v>
      </c>
      <c r="K3360" s="94">
        <v>180</v>
      </c>
      <c r="L3360" s="72" t="str">
        <f t="shared" si="53"/>
        <v>Payé</v>
      </c>
      <c r="N3360" s="15"/>
    </row>
    <row r="3361" spans="1:14" s="14" customFormat="1" ht="18" x14ac:dyDescent="0.25">
      <c r="A3361" s="90" t="s">
        <v>864</v>
      </c>
      <c r="B3361" s="90">
        <v>4608</v>
      </c>
      <c r="C3361" s="88" t="s">
        <v>1819</v>
      </c>
      <c r="D3361" s="90" t="s">
        <v>17</v>
      </c>
      <c r="E3361" s="90" t="s">
        <v>757</v>
      </c>
      <c r="F3361" s="90" t="s">
        <v>864</v>
      </c>
      <c r="G3361" s="137">
        <v>3</v>
      </c>
      <c r="H3361" s="94">
        <v>270</v>
      </c>
      <c r="I3361" s="87">
        <v>46087</v>
      </c>
      <c r="J3361" s="93">
        <v>0.64027777777777783</v>
      </c>
      <c r="K3361" s="94">
        <v>270</v>
      </c>
      <c r="L3361" s="72" t="str">
        <f t="shared" si="53"/>
        <v>Payé</v>
      </c>
      <c r="N3361" s="15"/>
    </row>
    <row r="3362" spans="1:14" s="14" customFormat="1" ht="18" x14ac:dyDescent="0.25">
      <c r="A3362" s="90" t="s">
        <v>864</v>
      </c>
      <c r="B3362" s="90">
        <v>4758</v>
      </c>
      <c r="C3362" s="88" t="s">
        <v>1425</v>
      </c>
      <c r="D3362" s="90" t="s">
        <v>17</v>
      </c>
      <c r="E3362" s="90" t="s">
        <v>649</v>
      </c>
      <c r="F3362" s="90" t="s">
        <v>864</v>
      </c>
      <c r="G3362" s="137">
        <v>2</v>
      </c>
      <c r="H3362" s="94">
        <v>180</v>
      </c>
      <c r="I3362" s="87">
        <v>46111</v>
      </c>
      <c r="J3362" s="93">
        <v>0.62708333333333333</v>
      </c>
      <c r="K3362" s="94">
        <v>180</v>
      </c>
      <c r="L3362" s="72" t="str">
        <f t="shared" si="53"/>
        <v>Payé</v>
      </c>
      <c r="N3362" s="15"/>
    </row>
    <row r="3363" spans="1:14" s="14" customFormat="1" ht="18" x14ac:dyDescent="0.25">
      <c r="A3363" s="90" t="s">
        <v>864</v>
      </c>
      <c r="B3363" s="90">
        <v>4759</v>
      </c>
      <c r="C3363" s="88" t="s">
        <v>1150</v>
      </c>
      <c r="D3363" s="90" t="s">
        <v>17</v>
      </c>
      <c r="E3363" s="90" t="s">
        <v>254</v>
      </c>
      <c r="F3363" s="90" t="s">
        <v>864</v>
      </c>
      <c r="G3363" s="137">
        <v>6</v>
      </c>
      <c r="H3363" s="94">
        <v>540</v>
      </c>
      <c r="I3363" s="87">
        <v>46087</v>
      </c>
      <c r="J3363" s="93">
        <v>0.57847222222222217</v>
      </c>
      <c r="K3363" s="94">
        <v>540</v>
      </c>
      <c r="L3363" s="72" t="str">
        <f t="shared" si="53"/>
        <v>Payé</v>
      </c>
      <c r="N3363" s="15"/>
    </row>
    <row r="3364" spans="1:14" s="14" customFormat="1" ht="18" x14ac:dyDescent="0.25">
      <c r="A3364" s="90" t="s">
        <v>864</v>
      </c>
      <c r="B3364" s="90">
        <v>4802</v>
      </c>
      <c r="C3364" s="88" t="s">
        <v>1360</v>
      </c>
      <c r="D3364" s="90" t="s">
        <v>17</v>
      </c>
      <c r="E3364" s="90" t="s">
        <v>1904</v>
      </c>
      <c r="F3364" s="90" t="s">
        <v>864</v>
      </c>
      <c r="G3364" s="137">
        <v>5</v>
      </c>
      <c r="H3364" s="94">
        <v>450</v>
      </c>
      <c r="I3364" s="87">
        <v>46087</v>
      </c>
      <c r="J3364" s="93">
        <v>0.56944444444444442</v>
      </c>
      <c r="K3364" s="94">
        <v>450</v>
      </c>
      <c r="L3364" s="72" t="str">
        <f t="shared" si="53"/>
        <v>Payé</v>
      </c>
      <c r="N3364" s="15"/>
    </row>
    <row r="3365" spans="1:14" s="14" customFormat="1" ht="18" x14ac:dyDescent="0.25">
      <c r="A3365" s="90" t="s">
        <v>864</v>
      </c>
      <c r="B3365" s="90">
        <v>4840</v>
      </c>
      <c r="C3365" s="88" t="s">
        <v>766</v>
      </c>
      <c r="D3365" s="90" t="s">
        <v>17</v>
      </c>
      <c r="E3365" s="90" t="s">
        <v>49</v>
      </c>
      <c r="F3365" s="90" t="s">
        <v>864</v>
      </c>
      <c r="G3365" s="137">
        <v>7</v>
      </c>
      <c r="H3365" s="94">
        <v>630</v>
      </c>
      <c r="I3365" s="87">
        <v>46087</v>
      </c>
      <c r="J3365" s="93">
        <v>0.59166666666666667</v>
      </c>
      <c r="K3365" s="94">
        <v>630</v>
      </c>
      <c r="L3365" s="72" t="str">
        <f t="shared" si="53"/>
        <v>Payé</v>
      </c>
      <c r="N3365" s="15"/>
    </row>
    <row r="3366" spans="1:14" s="14" customFormat="1" ht="18" x14ac:dyDescent="0.25">
      <c r="A3366" s="90" t="s">
        <v>864</v>
      </c>
      <c r="B3366" s="90">
        <v>4857</v>
      </c>
      <c r="C3366" s="88" t="s">
        <v>1681</v>
      </c>
      <c r="D3366" s="90" t="s">
        <v>17</v>
      </c>
      <c r="E3366" s="90" t="s">
        <v>123</v>
      </c>
      <c r="F3366" s="90" t="s">
        <v>864</v>
      </c>
      <c r="G3366" s="137">
        <v>4</v>
      </c>
      <c r="H3366" s="94">
        <v>360</v>
      </c>
      <c r="I3366" s="87">
        <v>46091</v>
      </c>
      <c r="J3366" s="93">
        <v>0.56180555555555556</v>
      </c>
      <c r="K3366" s="94">
        <v>360</v>
      </c>
      <c r="L3366" s="72" t="str">
        <f t="shared" si="53"/>
        <v>Payé</v>
      </c>
      <c r="N3366" s="15"/>
    </row>
    <row r="3367" spans="1:14" s="14" customFormat="1" ht="18" x14ac:dyDescent="0.25">
      <c r="A3367" s="90" t="s">
        <v>864</v>
      </c>
      <c r="B3367" s="90">
        <v>4868</v>
      </c>
      <c r="C3367" s="88" t="s">
        <v>767</v>
      </c>
      <c r="D3367" s="90" t="s">
        <v>17</v>
      </c>
      <c r="E3367" s="90" t="s">
        <v>753</v>
      </c>
      <c r="F3367" s="90" t="s">
        <v>864</v>
      </c>
      <c r="G3367" s="137">
        <v>2</v>
      </c>
      <c r="H3367" s="94">
        <v>180</v>
      </c>
      <c r="I3367" s="87">
        <v>46097</v>
      </c>
      <c r="J3367" s="93">
        <v>0.55277777777777781</v>
      </c>
      <c r="K3367" s="94">
        <v>180</v>
      </c>
      <c r="L3367" s="72" t="str">
        <f t="shared" si="53"/>
        <v>Payé</v>
      </c>
      <c r="N3367" s="15"/>
    </row>
    <row r="3368" spans="1:14" s="76" customFormat="1" ht="18" x14ac:dyDescent="0.25">
      <c r="A3368" s="90" t="s">
        <v>864</v>
      </c>
      <c r="B3368" s="90">
        <v>4890</v>
      </c>
      <c r="C3368" s="88" t="s">
        <v>1563</v>
      </c>
      <c r="D3368" s="90" t="s">
        <v>17</v>
      </c>
      <c r="E3368" s="90" t="s">
        <v>123</v>
      </c>
      <c r="F3368" s="90" t="s">
        <v>864</v>
      </c>
      <c r="G3368" s="137">
        <v>6</v>
      </c>
      <c r="H3368" s="94">
        <v>540</v>
      </c>
      <c r="I3368" s="87">
        <v>46091</v>
      </c>
      <c r="J3368" s="93">
        <v>0.56874999999999998</v>
      </c>
      <c r="K3368" s="94">
        <v>540</v>
      </c>
      <c r="L3368" s="72" t="str">
        <f t="shared" si="53"/>
        <v>Payé</v>
      </c>
      <c r="M3368" s="14"/>
      <c r="N3368" s="15"/>
    </row>
    <row r="3369" spans="1:14" s="14" customFormat="1" ht="18" x14ac:dyDescent="0.25">
      <c r="A3369" s="90" t="s">
        <v>864</v>
      </c>
      <c r="B3369" s="90">
        <v>4907</v>
      </c>
      <c r="C3369" s="88" t="s">
        <v>1820</v>
      </c>
      <c r="D3369" s="90" t="s">
        <v>17</v>
      </c>
      <c r="E3369" s="90" t="s">
        <v>757</v>
      </c>
      <c r="F3369" s="90" t="s">
        <v>864</v>
      </c>
      <c r="G3369" s="137">
        <v>1</v>
      </c>
      <c r="H3369" s="94">
        <v>90</v>
      </c>
      <c r="I3369" s="87">
        <v>46087</v>
      </c>
      <c r="J3369" s="93">
        <v>0.64027777777777783</v>
      </c>
      <c r="K3369" s="94">
        <v>90</v>
      </c>
      <c r="L3369" s="72" t="str">
        <f t="shared" si="53"/>
        <v>Payé</v>
      </c>
      <c r="N3369" s="15"/>
    </row>
    <row r="3370" spans="1:14" s="14" customFormat="1" ht="18" x14ac:dyDescent="0.25">
      <c r="A3370" s="90" t="s">
        <v>864</v>
      </c>
      <c r="B3370" s="90">
        <v>4923</v>
      </c>
      <c r="C3370" s="88" t="s">
        <v>1539</v>
      </c>
      <c r="D3370" s="90" t="s">
        <v>17</v>
      </c>
      <c r="E3370" s="90" t="s">
        <v>753</v>
      </c>
      <c r="F3370" s="90" t="s">
        <v>864</v>
      </c>
      <c r="G3370" s="137">
        <v>4</v>
      </c>
      <c r="H3370" s="94">
        <v>360</v>
      </c>
      <c r="I3370" s="87">
        <v>46092</v>
      </c>
      <c r="J3370" s="93">
        <v>0.54513888888888895</v>
      </c>
      <c r="K3370" s="94">
        <v>360</v>
      </c>
      <c r="L3370" s="72" t="str">
        <f t="shared" si="53"/>
        <v>Payé</v>
      </c>
      <c r="N3370" s="15"/>
    </row>
    <row r="3371" spans="1:14" s="14" customFormat="1" ht="18" x14ac:dyDescent="0.25">
      <c r="A3371" s="90" t="s">
        <v>864</v>
      </c>
      <c r="B3371" s="90">
        <v>5136</v>
      </c>
      <c r="C3371" s="88" t="s">
        <v>1067</v>
      </c>
      <c r="D3371" s="90" t="s">
        <v>17</v>
      </c>
      <c r="E3371" s="90" t="s">
        <v>1104</v>
      </c>
      <c r="F3371" s="90" t="s">
        <v>864</v>
      </c>
      <c r="G3371" s="137">
        <v>10</v>
      </c>
      <c r="H3371" s="94">
        <v>900</v>
      </c>
      <c r="I3371" s="87">
        <v>46087</v>
      </c>
      <c r="J3371" s="93">
        <v>0.61111111111111105</v>
      </c>
      <c r="K3371" s="94">
        <v>900</v>
      </c>
      <c r="L3371" s="72" t="str">
        <f t="shared" si="53"/>
        <v>Payé</v>
      </c>
      <c r="N3371" s="15"/>
    </row>
    <row r="3372" spans="1:14" s="14" customFormat="1" ht="18" x14ac:dyDescent="0.25">
      <c r="A3372" s="90" t="s">
        <v>864</v>
      </c>
      <c r="B3372" s="90">
        <v>5186</v>
      </c>
      <c r="C3372" s="88" t="s">
        <v>1211</v>
      </c>
      <c r="D3372" s="90" t="s">
        <v>17</v>
      </c>
      <c r="E3372" s="90" t="s">
        <v>753</v>
      </c>
      <c r="F3372" s="90" t="s">
        <v>864</v>
      </c>
      <c r="G3372" s="137">
        <v>4</v>
      </c>
      <c r="H3372" s="94">
        <v>360</v>
      </c>
      <c r="I3372" s="87">
        <v>46097</v>
      </c>
      <c r="J3372" s="93">
        <v>0.55277777777777781</v>
      </c>
      <c r="K3372" s="94">
        <v>360</v>
      </c>
      <c r="L3372" s="72" t="str">
        <f t="shared" si="53"/>
        <v>Payé</v>
      </c>
      <c r="N3372" s="15"/>
    </row>
    <row r="3373" spans="1:14" s="14" customFormat="1" ht="18" x14ac:dyDescent="0.25">
      <c r="A3373" s="90" t="s">
        <v>864</v>
      </c>
      <c r="B3373" s="90">
        <v>5258</v>
      </c>
      <c r="C3373" s="88" t="s">
        <v>893</v>
      </c>
      <c r="D3373" s="90" t="s">
        <v>17</v>
      </c>
      <c r="E3373" s="90" t="s">
        <v>123</v>
      </c>
      <c r="F3373" s="90" t="s">
        <v>864</v>
      </c>
      <c r="G3373" s="137">
        <v>5</v>
      </c>
      <c r="H3373" s="94">
        <v>450</v>
      </c>
      <c r="I3373" s="87">
        <v>46091</v>
      </c>
      <c r="J3373" s="93">
        <v>0.56874999999999998</v>
      </c>
      <c r="K3373" s="94">
        <v>450</v>
      </c>
      <c r="L3373" s="72" t="str">
        <f t="shared" si="53"/>
        <v>Payé</v>
      </c>
      <c r="N3373" s="15"/>
    </row>
    <row r="3374" spans="1:14" s="14" customFormat="1" ht="18" x14ac:dyDescent="0.25">
      <c r="A3374" s="90" t="s">
        <v>864</v>
      </c>
      <c r="B3374" s="90">
        <v>5259</v>
      </c>
      <c r="C3374" s="88" t="s">
        <v>908</v>
      </c>
      <c r="D3374" s="90" t="s">
        <v>17</v>
      </c>
      <c r="E3374" s="90" t="s">
        <v>1904</v>
      </c>
      <c r="F3374" s="90" t="s">
        <v>864</v>
      </c>
      <c r="G3374" s="137">
        <v>1</v>
      </c>
      <c r="H3374" s="94">
        <v>90</v>
      </c>
      <c r="I3374" s="87">
        <v>46087</v>
      </c>
      <c r="J3374" s="93">
        <v>0.56944444444444442</v>
      </c>
      <c r="K3374" s="94">
        <v>90</v>
      </c>
      <c r="L3374" s="72" t="str">
        <f t="shared" si="53"/>
        <v>Payé</v>
      </c>
      <c r="N3374" s="15"/>
    </row>
    <row r="3375" spans="1:14" s="14" customFormat="1" ht="18" x14ac:dyDescent="0.25">
      <c r="A3375" s="90" t="s">
        <v>864</v>
      </c>
      <c r="B3375" s="90">
        <v>5260</v>
      </c>
      <c r="C3375" s="88" t="s">
        <v>917</v>
      </c>
      <c r="D3375" s="90" t="s">
        <v>17</v>
      </c>
      <c r="E3375" s="90" t="s">
        <v>649</v>
      </c>
      <c r="F3375" s="90" t="s">
        <v>864</v>
      </c>
      <c r="G3375" s="137">
        <v>1</v>
      </c>
      <c r="H3375" s="94">
        <v>90</v>
      </c>
      <c r="I3375" s="87"/>
      <c r="J3375" s="93"/>
      <c r="K3375" s="92"/>
      <c r="L3375" s="72" t="str">
        <f t="shared" si="53"/>
        <v>Impayé</v>
      </c>
      <c r="N3375" s="15"/>
    </row>
    <row r="3376" spans="1:14" s="14" customFormat="1" ht="18" x14ac:dyDescent="0.25">
      <c r="A3376" s="90" t="s">
        <v>864</v>
      </c>
      <c r="B3376" s="90">
        <v>5262</v>
      </c>
      <c r="C3376" s="88" t="s">
        <v>735</v>
      </c>
      <c r="D3376" s="90" t="s">
        <v>17</v>
      </c>
      <c r="E3376" s="90" t="s">
        <v>649</v>
      </c>
      <c r="F3376" s="90" t="s">
        <v>864</v>
      </c>
      <c r="G3376" s="137">
        <v>3</v>
      </c>
      <c r="H3376" s="94">
        <v>270</v>
      </c>
      <c r="I3376" s="87">
        <v>46090</v>
      </c>
      <c r="J3376" s="93">
        <v>0.46180555555555558</v>
      </c>
      <c r="K3376" s="94">
        <v>270</v>
      </c>
      <c r="L3376" s="72" t="str">
        <f t="shared" si="53"/>
        <v>Payé</v>
      </c>
      <c r="N3376" s="15"/>
    </row>
    <row r="3377" spans="1:14" s="14" customFormat="1" ht="18" x14ac:dyDescent="0.25">
      <c r="A3377" s="90" t="s">
        <v>864</v>
      </c>
      <c r="B3377" s="90">
        <v>5292</v>
      </c>
      <c r="C3377" s="88" t="s">
        <v>1003</v>
      </c>
      <c r="D3377" s="90" t="s">
        <v>17</v>
      </c>
      <c r="E3377" s="90" t="s">
        <v>1904</v>
      </c>
      <c r="F3377" s="90" t="s">
        <v>864</v>
      </c>
      <c r="G3377" s="137">
        <v>6</v>
      </c>
      <c r="H3377" s="94">
        <v>540</v>
      </c>
      <c r="I3377" s="87">
        <v>46087</v>
      </c>
      <c r="J3377" s="93">
        <v>0.56944444444444442</v>
      </c>
      <c r="K3377" s="158">
        <v>540</v>
      </c>
      <c r="L3377" s="72" t="str">
        <f t="shared" si="53"/>
        <v>Payé</v>
      </c>
      <c r="N3377" s="15"/>
    </row>
    <row r="3378" spans="1:14" s="14" customFormat="1" ht="18" x14ac:dyDescent="0.25">
      <c r="A3378" s="90" t="s">
        <v>864</v>
      </c>
      <c r="B3378" s="90">
        <v>5317</v>
      </c>
      <c r="C3378" s="88" t="s">
        <v>551</v>
      </c>
      <c r="D3378" s="90" t="s">
        <v>17</v>
      </c>
      <c r="E3378" s="90" t="s">
        <v>649</v>
      </c>
      <c r="F3378" s="90" t="s">
        <v>864</v>
      </c>
      <c r="G3378" s="137">
        <v>7</v>
      </c>
      <c r="H3378" s="94">
        <v>630</v>
      </c>
      <c r="I3378" s="87">
        <v>46087</v>
      </c>
      <c r="J3378" s="93">
        <v>0.54652777777777783</v>
      </c>
      <c r="K3378" s="94">
        <v>630</v>
      </c>
      <c r="L3378" s="72" t="str">
        <f t="shared" si="53"/>
        <v>Payé</v>
      </c>
      <c r="N3378" s="15"/>
    </row>
    <row r="3379" spans="1:14" s="14" customFormat="1" ht="18" x14ac:dyDescent="0.25">
      <c r="A3379" s="90" t="s">
        <v>864</v>
      </c>
      <c r="B3379" s="90">
        <v>5327</v>
      </c>
      <c r="C3379" s="88" t="s">
        <v>1033</v>
      </c>
      <c r="D3379" s="90" t="s">
        <v>17</v>
      </c>
      <c r="E3379" s="90" t="s">
        <v>753</v>
      </c>
      <c r="F3379" s="90" t="s">
        <v>864</v>
      </c>
      <c r="G3379" s="137">
        <v>2</v>
      </c>
      <c r="H3379" s="94">
        <v>180</v>
      </c>
      <c r="I3379" s="87">
        <v>46087</v>
      </c>
      <c r="J3379" s="93">
        <v>0.4381944444444445</v>
      </c>
      <c r="K3379" s="94">
        <v>180</v>
      </c>
      <c r="L3379" s="72" t="str">
        <f t="shared" si="53"/>
        <v>Payé</v>
      </c>
      <c r="N3379" s="15"/>
    </row>
    <row r="3380" spans="1:14" s="14" customFormat="1" ht="18" x14ac:dyDescent="0.25">
      <c r="A3380" s="90" t="s">
        <v>864</v>
      </c>
      <c r="B3380" s="90">
        <v>5355</v>
      </c>
      <c r="C3380" s="88" t="s">
        <v>1090</v>
      </c>
      <c r="D3380" s="90" t="s">
        <v>17</v>
      </c>
      <c r="E3380" s="90" t="s">
        <v>1104</v>
      </c>
      <c r="F3380" s="90" t="s">
        <v>864</v>
      </c>
      <c r="G3380" s="137">
        <v>8</v>
      </c>
      <c r="H3380" s="94">
        <v>730</v>
      </c>
      <c r="I3380" s="87">
        <v>46087</v>
      </c>
      <c r="J3380" s="93">
        <v>0.61111111111111105</v>
      </c>
      <c r="K3380" s="94">
        <v>730</v>
      </c>
      <c r="L3380" s="72" t="str">
        <f t="shared" si="53"/>
        <v>Payé</v>
      </c>
      <c r="N3380" s="15"/>
    </row>
    <row r="3381" spans="1:14" s="14" customFormat="1" ht="18" x14ac:dyDescent="0.25">
      <c r="A3381" s="90" t="s">
        <v>864</v>
      </c>
      <c r="B3381" s="90">
        <v>5365</v>
      </c>
      <c r="C3381" s="88" t="s">
        <v>1123</v>
      </c>
      <c r="D3381" s="90" t="s">
        <v>17</v>
      </c>
      <c r="E3381" s="90" t="s">
        <v>370</v>
      </c>
      <c r="F3381" s="90" t="s">
        <v>864</v>
      </c>
      <c r="G3381" s="137">
        <v>13</v>
      </c>
      <c r="H3381" s="94">
        <v>1300</v>
      </c>
      <c r="I3381" s="87">
        <v>46088</v>
      </c>
      <c r="J3381" s="93">
        <v>0.46875</v>
      </c>
      <c r="K3381" s="94">
        <v>1300</v>
      </c>
      <c r="L3381" s="72" t="str">
        <f t="shared" si="53"/>
        <v>Payé</v>
      </c>
      <c r="N3381" s="15"/>
    </row>
    <row r="3382" spans="1:14" s="14" customFormat="1" ht="18" x14ac:dyDescent="0.25">
      <c r="A3382" s="90" t="s">
        <v>864</v>
      </c>
      <c r="B3382" s="90">
        <v>6037</v>
      </c>
      <c r="C3382" s="88" t="s">
        <v>1682</v>
      </c>
      <c r="D3382" s="90" t="s">
        <v>17</v>
      </c>
      <c r="E3382" s="90" t="s">
        <v>123</v>
      </c>
      <c r="F3382" s="90" t="s">
        <v>864</v>
      </c>
      <c r="G3382" s="137">
        <v>3</v>
      </c>
      <c r="H3382" s="94">
        <v>270</v>
      </c>
      <c r="I3382" s="87">
        <v>46088</v>
      </c>
      <c r="J3382" s="93">
        <v>0.52500000000000002</v>
      </c>
      <c r="K3382" s="94">
        <v>270</v>
      </c>
      <c r="L3382" s="72" t="str">
        <f t="shared" si="53"/>
        <v>Payé</v>
      </c>
      <c r="N3382" s="15"/>
    </row>
    <row r="3383" spans="1:14" s="14" customFormat="1" ht="18" x14ac:dyDescent="0.25">
      <c r="A3383" s="90" t="s">
        <v>864</v>
      </c>
      <c r="B3383" s="90">
        <v>6070</v>
      </c>
      <c r="C3383" s="88" t="s">
        <v>1153</v>
      </c>
      <c r="D3383" s="90" t="s">
        <v>17</v>
      </c>
      <c r="E3383" s="90" t="s">
        <v>49</v>
      </c>
      <c r="F3383" s="90" t="s">
        <v>864</v>
      </c>
      <c r="G3383" s="137">
        <v>6</v>
      </c>
      <c r="H3383" s="94">
        <v>540</v>
      </c>
      <c r="I3383" s="87">
        <v>46087</v>
      </c>
      <c r="J3383" s="93">
        <v>0.59166666666666667</v>
      </c>
      <c r="K3383" s="94">
        <v>540</v>
      </c>
      <c r="L3383" s="72" t="str">
        <f t="shared" si="53"/>
        <v>Payé</v>
      </c>
      <c r="N3383" s="15"/>
    </row>
    <row r="3384" spans="1:14" s="14" customFormat="1" ht="18" x14ac:dyDescent="0.25">
      <c r="A3384" s="90" t="s">
        <v>864</v>
      </c>
      <c r="B3384" s="90">
        <v>7004</v>
      </c>
      <c r="C3384" s="88" t="s">
        <v>713</v>
      </c>
      <c r="D3384" s="90" t="s">
        <v>17</v>
      </c>
      <c r="E3384" s="90" t="s">
        <v>49</v>
      </c>
      <c r="F3384" s="90" t="s">
        <v>864</v>
      </c>
      <c r="G3384" s="137">
        <v>7</v>
      </c>
      <c r="H3384" s="94">
        <v>630</v>
      </c>
      <c r="I3384" s="87">
        <v>46087</v>
      </c>
      <c r="J3384" s="93">
        <v>0.59166666666666667</v>
      </c>
      <c r="K3384" s="94">
        <v>630</v>
      </c>
      <c r="L3384" s="72" t="str">
        <f t="shared" si="53"/>
        <v>Payé</v>
      </c>
      <c r="N3384" s="15"/>
    </row>
    <row r="3385" spans="1:14" s="14" customFormat="1" ht="18" x14ac:dyDescent="0.25">
      <c r="A3385" s="90" t="s">
        <v>864</v>
      </c>
      <c r="B3385" s="90">
        <v>7012</v>
      </c>
      <c r="C3385" s="88" t="s">
        <v>724</v>
      </c>
      <c r="D3385" s="90" t="s">
        <v>17</v>
      </c>
      <c r="E3385" s="90" t="s">
        <v>1904</v>
      </c>
      <c r="F3385" s="90" t="s">
        <v>864</v>
      </c>
      <c r="G3385" s="137">
        <v>7</v>
      </c>
      <c r="H3385" s="94">
        <v>630</v>
      </c>
      <c r="I3385" s="87">
        <v>46087</v>
      </c>
      <c r="J3385" s="93">
        <v>0.56944444444444442</v>
      </c>
      <c r="K3385" s="94">
        <v>630</v>
      </c>
      <c r="L3385" s="72" t="str">
        <f t="shared" si="53"/>
        <v>Payé</v>
      </c>
      <c r="N3385" s="15"/>
    </row>
    <row r="3386" spans="1:14" s="14" customFormat="1" ht="18" x14ac:dyDescent="0.25">
      <c r="A3386" s="90" t="s">
        <v>864</v>
      </c>
      <c r="B3386" s="90">
        <v>7082</v>
      </c>
      <c r="C3386" s="88" t="s">
        <v>1821</v>
      </c>
      <c r="D3386" s="90" t="s">
        <v>17</v>
      </c>
      <c r="E3386" s="90" t="s">
        <v>254</v>
      </c>
      <c r="F3386" s="90" t="s">
        <v>864</v>
      </c>
      <c r="G3386" s="137">
        <v>2</v>
      </c>
      <c r="H3386" s="94">
        <v>180</v>
      </c>
      <c r="I3386" s="87">
        <v>46087</v>
      </c>
      <c r="J3386" s="93">
        <v>0.57847222222222217</v>
      </c>
      <c r="K3386" s="94">
        <v>180</v>
      </c>
      <c r="L3386" s="72" t="str">
        <f t="shared" si="53"/>
        <v>Payé</v>
      </c>
      <c r="N3386" s="15"/>
    </row>
    <row r="3387" spans="1:14" s="14" customFormat="1" ht="18" x14ac:dyDescent="0.25">
      <c r="A3387" s="90" t="s">
        <v>864</v>
      </c>
      <c r="B3387" s="90">
        <v>7087</v>
      </c>
      <c r="C3387" s="88" t="s">
        <v>1477</v>
      </c>
      <c r="D3387" s="90" t="s">
        <v>17</v>
      </c>
      <c r="E3387" s="90" t="s">
        <v>254</v>
      </c>
      <c r="F3387" s="90" t="s">
        <v>864</v>
      </c>
      <c r="G3387" s="137">
        <v>1</v>
      </c>
      <c r="H3387" s="94">
        <v>90</v>
      </c>
      <c r="I3387" s="87">
        <v>46087</v>
      </c>
      <c r="J3387" s="93">
        <v>0.57847222222222217</v>
      </c>
      <c r="K3387" s="94">
        <v>90</v>
      </c>
      <c r="L3387" s="72" t="str">
        <f t="shared" si="53"/>
        <v>Payé</v>
      </c>
      <c r="N3387" s="15"/>
    </row>
    <row r="3388" spans="1:14" s="14" customFormat="1" ht="18" x14ac:dyDescent="0.25">
      <c r="A3388" s="90" t="s">
        <v>864</v>
      </c>
      <c r="B3388" s="90">
        <v>8022</v>
      </c>
      <c r="C3388" s="88" t="s">
        <v>707</v>
      </c>
      <c r="D3388" s="90" t="s">
        <v>17</v>
      </c>
      <c r="E3388" s="90" t="s">
        <v>628</v>
      </c>
      <c r="F3388" s="90" t="s">
        <v>864</v>
      </c>
      <c r="G3388" s="137">
        <v>9</v>
      </c>
      <c r="H3388" s="94">
        <v>810</v>
      </c>
      <c r="I3388" s="87">
        <v>46087</v>
      </c>
      <c r="J3388" s="93">
        <v>0.55833333333333335</v>
      </c>
      <c r="K3388" s="94">
        <v>810</v>
      </c>
      <c r="L3388" s="72" t="str">
        <f t="shared" si="53"/>
        <v>Payé</v>
      </c>
      <c r="N3388" s="15"/>
    </row>
    <row r="3389" spans="1:14" s="14" customFormat="1" ht="18" x14ac:dyDescent="0.25">
      <c r="A3389" s="90" t="s">
        <v>864</v>
      </c>
      <c r="B3389" s="90">
        <v>9016</v>
      </c>
      <c r="C3389" s="88" t="s">
        <v>1822</v>
      </c>
      <c r="D3389" s="90" t="s">
        <v>17</v>
      </c>
      <c r="E3389" s="90" t="s">
        <v>649</v>
      </c>
      <c r="F3389" s="90" t="s">
        <v>864</v>
      </c>
      <c r="G3389" s="137">
        <v>6</v>
      </c>
      <c r="H3389" s="94">
        <v>540</v>
      </c>
      <c r="I3389" s="87">
        <v>46087</v>
      </c>
      <c r="J3389" s="93">
        <v>0.54652777777777783</v>
      </c>
      <c r="K3389" s="94">
        <v>540</v>
      </c>
      <c r="L3389" s="72" t="str">
        <f t="shared" si="53"/>
        <v>Payé</v>
      </c>
      <c r="N3389" s="15"/>
    </row>
    <row r="3390" spans="1:14" s="14" customFormat="1" ht="18" x14ac:dyDescent="0.25">
      <c r="A3390" s="90" t="s">
        <v>864</v>
      </c>
      <c r="B3390" s="90">
        <v>9033</v>
      </c>
      <c r="C3390" s="88" t="s">
        <v>1683</v>
      </c>
      <c r="D3390" s="90" t="s">
        <v>17</v>
      </c>
      <c r="E3390" s="90" t="s">
        <v>49</v>
      </c>
      <c r="F3390" s="90" t="s">
        <v>864</v>
      </c>
      <c r="G3390" s="137">
        <v>4</v>
      </c>
      <c r="H3390" s="94">
        <v>360</v>
      </c>
      <c r="I3390" s="87">
        <v>46087</v>
      </c>
      <c r="J3390" s="93">
        <v>0.59166666666666667</v>
      </c>
      <c r="K3390" s="94">
        <v>360</v>
      </c>
      <c r="L3390" s="72" t="str">
        <f t="shared" si="53"/>
        <v>Payé</v>
      </c>
      <c r="N3390" s="15"/>
    </row>
    <row r="3391" spans="1:14" s="14" customFormat="1" ht="18" x14ac:dyDescent="0.25">
      <c r="A3391" s="90" t="s">
        <v>864</v>
      </c>
      <c r="B3391" s="90">
        <v>9034</v>
      </c>
      <c r="C3391" s="88" t="s">
        <v>736</v>
      </c>
      <c r="D3391" s="90" t="s">
        <v>17</v>
      </c>
      <c r="E3391" s="90" t="s">
        <v>49</v>
      </c>
      <c r="F3391" s="90" t="s">
        <v>864</v>
      </c>
      <c r="G3391" s="137">
        <v>2</v>
      </c>
      <c r="H3391" s="94">
        <v>180</v>
      </c>
      <c r="I3391" s="87">
        <v>46087</v>
      </c>
      <c r="J3391" s="93">
        <v>0.59166666666666667</v>
      </c>
      <c r="K3391" s="94">
        <v>180</v>
      </c>
      <c r="L3391" s="72" t="str">
        <f t="shared" si="53"/>
        <v>Payé</v>
      </c>
      <c r="N3391" s="15"/>
    </row>
    <row r="3392" spans="1:14" s="14" customFormat="1" ht="18" x14ac:dyDescent="0.25">
      <c r="A3392" s="90" t="s">
        <v>864</v>
      </c>
      <c r="B3392" s="90">
        <v>9047</v>
      </c>
      <c r="C3392" s="88" t="s">
        <v>1823</v>
      </c>
      <c r="D3392" s="90" t="s">
        <v>17</v>
      </c>
      <c r="E3392" s="90" t="s">
        <v>628</v>
      </c>
      <c r="F3392" s="90" t="s">
        <v>864</v>
      </c>
      <c r="G3392" s="137">
        <v>1</v>
      </c>
      <c r="H3392" s="94">
        <v>90</v>
      </c>
      <c r="I3392" s="87">
        <v>46087</v>
      </c>
      <c r="J3392" s="93">
        <v>0.55833333333333335</v>
      </c>
      <c r="K3392" s="94">
        <v>90</v>
      </c>
      <c r="L3392" s="72" t="str">
        <f t="shared" si="53"/>
        <v>Payé</v>
      </c>
      <c r="N3392" s="15"/>
    </row>
    <row r="3393" spans="1:14" s="14" customFormat="1" ht="18" x14ac:dyDescent="0.25">
      <c r="A3393" s="90" t="s">
        <v>864</v>
      </c>
      <c r="B3393" s="90">
        <v>10008</v>
      </c>
      <c r="C3393" s="88" t="s">
        <v>1134</v>
      </c>
      <c r="D3393" s="90" t="s">
        <v>17</v>
      </c>
      <c r="E3393" s="90" t="s">
        <v>628</v>
      </c>
      <c r="F3393" s="90" t="s">
        <v>864</v>
      </c>
      <c r="G3393" s="137">
        <v>8</v>
      </c>
      <c r="H3393" s="94">
        <v>720</v>
      </c>
      <c r="I3393" s="87">
        <v>46087</v>
      </c>
      <c r="J3393" s="93">
        <v>0.55833333333333335</v>
      </c>
      <c r="K3393" s="94">
        <v>720</v>
      </c>
      <c r="L3393" s="72" t="str">
        <f t="shared" si="53"/>
        <v>Payé</v>
      </c>
      <c r="N3393" s="15"/>
    </row>
    <row r="3394" spans="1:14" s="14" customFormat="1" ht="18" x14ac:dyDescent="0.25">
      <c r="A3394" s="90" t="s">
        <v>864</v>
      </c>
      <c r="B3394" s="90">
        <v>10031</v>
      </c>
      <c r="C3394" s="88" t="s">
        <v>1177</v>
      </c>
      <c r="D3394" s="90" t="s">
        <v>17</v>
      </c>
      <c r="E3394" s="90" t="s">
        <v>753</v>
      </c>
      <c r="F3394" s="90" t="s">
        <v>864</v>
      </c>
      <c r="G3394" s="137">
        <v>5</v>
      </c>
      <c r="H3394" s="94">
        <v>450</v>
      </c>
      <c r="I3394" s="87">
        <v>46087</v>
      </c>
      <c r="J3394" s="93">
        <v>0.4381944444444445</v>
      </c>
      <c r="K3394" s="94">
        <v>450</v>
      </c>
      <c r="L3394" s="72" t="str">
        <f t="shared" si="53"/>
        <v>Payé</v>
      </c>
      <c r="N3394" s="15"/>
    </row>
    <row r="3395" spans="1:14" s="14" customFormat="1" ht="18" x14ac:dyDescent="0.25">
      <c r="A3395" s="90" t="s">
        <v>864</v>
      </c>
      <c r="B3395" s="90">
        <v>10035</v>
      </c>
      <c r="C3395" s="88" t="s">
        <v>1181</v>
      </c>
      <c r="D3395" s="90" t="s">
        <v>17</v>
      </c>
      <c r="E3395" s="90" t="s">
        <v>1906</v>
      </c>
      <c r="F3395" s="90" t="s">
        <v>864</v>
      </c>
      <c r="G3395" s="137">
        <v>9</v>
      </c>
      <c r="H3395" s="94">
        <v>900</v>
      </c>
      <c r="I3395" s="87">
        <v>46092</v>
      </c>
      <c r="J3395" s="93">
        <v>0.39583333333333331</v>
      </c>
      <c r="K3395" s="94">
        <v>900</v>
      </c>
      <c r="L3395" s="72" t="str">
        <f t="shared" si="53"/>
        <v>Payé</v>
      </c>
      <c r="N3395" s="15"/>
    </row>
    <row r="3396" spans="1:14" s="14" customFormat="1" ht="18" x14ac:dyDescent="0.25">
      <c r="A3396" s="90" t="s">
        <v>864</v>
      </c>
      <c r="B3396" s="90">
        <v>10040</v>
      </c>
      <c r="C3396" s="88" t="s">
        <v>1184</v>
      </c>
      <c r="D3396" s="90" t="s">
        <v>17</v>
      </c>
      <c r="E3396" s="90" t="s">
        <v>1904</v>
      </c>
      <c r="F3396" s="90" t="s">
        <v>864</v>
      </c>
      <c r="G3396" s="137">
        <v>8</v>
      </c>
      <c r="H3396" s="94">
        <v>720</v>
      </c>
      <c r="I3396" s="87">
        <v>46087</v>
      </c>
      <c r="J3396" s="93">
        <v>0.56944444444444442</v>
      </c>
      <c r="K3396" s="94">
        <v>720</v>
      </c>
      <c r="L3396" s="72" t="str">
        <f t="shared" si="53"/>
        <v>Payé</v>
      </c>
      <c r="N3396" s="15"/>
    </row>
    <row r="3397" spans="1:14" s="14" customFormat="1" ht="18" x14ac:dyDescent="0.25">
      <c r="A3397" s="90" t="s">
        <v>864</v>
      </c>
      <c r="B3397" s="90">
        <v>10041</v>
      </c>
      <c r="C3397" s="88" t="s">
        <v>1213</v>
      </c>
      <c r="D3397" s="90" t="s">
        <v>17</v>
      </c>
      <c r="E3397" s="90" t="s">
        <v>753</v>
      </c>
      <c r="F3397" s="90" t="s">
        <v>864</v>
      </c>
      <c r="G3397" s="137">
        <v>1</v>
      </c>
      <c r="H3397" s="94">
        <v>90</v>
      </c>
      <c r="I3397" s="188">
        <v>46071</v>
      </c>
      <c r="J3397" s="223">
        <v>0.55138888888888882</v>
      </c>
      <c r="K3397" s="94">
        <v>90</v>
      </c>
      <c r="L3397" s="72" t="str">
        <f t="shared" si="53"/>
        <v>Payé</v>
      </c>
      <c r="N3397" s="15"/>
    </row>
    <row r="3398" spans="1:14" s="14" customFormat="1" ht="18" x14ac:dyDescent="0.25">
      <c r="A3398" s="90" t="s">
        <v>864</v>
      </c>
      <c r="B3398" s="90">
        <v>10044</v>
      </c>
      <c r="C3398" s="88" t="s">
        <v>1215</v>
      </c>
      <c r="D3398" s="90" t="s">
        <v>17</v>
      </c>
      <c r="E3398" s="90" t="s">
        <v>1104</v>
      </c>
      <c r="F3398" s="90" t="s">
        <v>864</v>
      </c>
      <c r="G3398" s="137">
        <v>9</v>
      </c>
      <c r="H3398" s="94">
        <v>810</v>
      </c>
      <c r="I3398" s="87">
        <v>46087</v>
      </c>
      <c r="J3398" s="93">
        <v>0.59791666666666665</v>
      </c>
      <c r="K3398" s="94">
        <v>810</v>
      </c>
      <c r="L3398" s="72" t="str">
        <f t="shared" si="53"/>
        <v>Payé</v>
      </c>
      <c r="N3398" s="15"/>
    </row>
    <row r="3399" spans="1:14" s="14" customFormat="1" ht="18" x14ac:dyDescent="0.25">
      <c r="A3399" s="90" t="s">
        <v>864</v>
      </c>
      <c r="B3399" s="90">
        <v>10048</v>
      </c>
      <c r="C3399" s="88" t="s">
        <v>1218</v>
      </c>
      <c r="D3399" s="90" t="s">
        <v>17</v>
      </c>
      <c r="E3399" s="90" t="s">
        <v>1104</v>
      </c>
      <c r="F3399" s="90" t="s">
        <v>864</v>
      </c>
      <c r="G3399" s="137">
        <v>10</v>
      </c>
      <c r="H3399" s="94">
        <v>900</v>
      </c>
      <c r="I3399" s="87">
        <v>46087</v>
      </c>
      <c r="J3399" s="93">
        <v>0.59791666666666665</v>
      </c>
      <c r="K3399" s="94">
        <v>900</v>
      </c>
      <c r="L3399" s="72" t="str">
        <f t="shared" si="53"/>
        <v>Payé</v>
      </c>
      <c r="N3399" s="15"/>
    </row>
    <row r="3400" spans="1:14" s="14" customFormat="1" ht="18" x14ac:dyDescent="0.25">
      <c r="A3400" s="90" t="s">
        <v>864</v>
      </c>
      <c r="B3400" s="90">
        <v>10049</v>
      </c>
      <c r="C3400" s="88" t="s">
        <v>1219</v>
      </c>
      <c r="D3400" s="90" t="s">
        <v>17</v>
      </c>
      <c r="E3400" s="90" t="s">
        <v>1907</v>
      </c>
      <c r="F3400" s="90" t="s">
        <v>864</v>
      </c>
      <c r="G3400" s="137">
        <v>11</v>
      </c>
      <c r="H3400" s="94">
        <v>1010</v>
      </c>
      <c r="I3400" s="87">
        <v>46086</v>
      </c>
      <c r="J3400" s="93">
        <v>0.57708333333333328</v>
      </c>
      <c r="K3400" s="94">
        <v>1010</v>
      </c>
      <c r="L3400" s="72" t="str">
        <f t="shared" si="53"/>
        <v>Payé</v>
      </c>
      <c r="N3400" s="15"/>
    </row>
    <row r="3401" spans="1:14" s="14" customFormat="1" ht="18" x14ac:dyDescent="0.25">
      <c r="A3401" s="90" t="s">
        <v>864</v>
      </c>
      <c r="B3401" s="90">
        <v>10054</v>
      </c>
      <c r="C3401" s="88" t="s">
        <v>1222</v>
      </c>
      <c r="D3401" s="90" t="s">
        <v>17</v>
      </c>
      <c r="E3401" s="90" t="s">
        <v>1104</v>
      </c>
      <c r="F3401" s="90" t="s">
        <v>864</v>
      </c>
      <c r="G3401" s="137">
        <v>3</v>
      </c>
      <c r="H3401" s="94">
        <v>270</v>
      </c>
      <c r="I3401" s="87">
        <v>46087</v>
      </c>
      <c r="J3401" s="93">
        <v>0.59791666666666665</v>
      </c>
      <c r="K3401" s="94">
        <v>270</v>
      </c>
      <c r="L3401" s="72" t="str">
        <f t="shared" si="53"/>
        <v>Payé</v>
      </c>
      <c r="N3401" s="15"/>
    </row>
    <row r="3402" spans="1:14" s="14" customFormat="1" ht="18" x14ac:dyDescent="0.25">
      <c r="A3402" s="90" t="s">
        <v>864</v>
      </c>
      <c r="B3402" s="90">
        <v>10069</v>
      </c>
      <c r="C3402" s="88" t="s">
        <v>1249</v>
      </c>
      <c r="D3402" s="90" t="s">
        <v>17</v>
      </c>
      <c r="E3402" s="90" t="s">
        <v>753</v>
      </c>
      <c r="F3402" s="90" t="s">
        <v>864</v>
      </c>
      <c r="G3402" s="137">
        <v>4</v>
      </c>
      <c r="H3402" s="94">
        <v>360</v>
      </c>
      <c r="I3402" s="87">
        <v>46087</v>
      </c>
      <c r="J3402" s="93">
        <v>0.4381944444444445</v>
      </c>
      <c r="K3402" s="94">
        <v>360</v>
      </c>
      <c r="L3402" s="72" t="str">
        <f t="shared" si="53"/>
        <v>Payé</v>
      </c>
      <c r="N3402" s="15"/>
    </row>
    <row r="3403" spans="1:14" s="14" customFormat="1" ht="18" x14ac:dyDescent="0.25">
      <c r="A3403" s="90" t="s">
        <v>864</v>
      </c>
      <c r="B3403" s="90">
        <v>10070</v>
      </c>
      <c r="C3403" s="88" t="s">
        <v>1250</v>
      </c>
      <c r="D3403" s="90" t="s">
        <v>17</v>
      </c>
      <c r="E3403" s="90" t="s">
        <v>49</v>
      </c>
      <c r="F3403" s="90" t="s">
        <v>864</v>
      </c>
      <c r="G3403" s="137">
        <v>6</v>
      </c>
      <c r="H3403" s="94">
        <v>540</v>
      </c>
      <c r="I3403" s="87">
        <v>46087</v>
      </c>
      <c r="J3403" s="93">
        <v>0.59166666666666667</v>
      </c>
      <c r="K3403" s="94">
        <v>540</v>
      </c>
      <c r="L3403" s="72" t="str">
        <f t="shared" si="53"/>
        <v>Payé</v>
      </c>
      <c r="N3403" s="15"/>
    </row>
    <row r="3404" spans="1:14" s="14" customFormat="1" ht="18" x14ac:dyDescent="0.25">
      <c r="A3404" s="90" t="s">
        <v>864</v>
      </c>
      <c r="B3404" s="90">
        <v>10081</v>
      </c>
      <c r="C3404" s="88" t="s">
        <v>1258</v>
      </c>
      <c r="D3404" s="90" t="s">
        <v>17</v>
      </c>
      <c r="E3404" s="90" t="s">
        <v>613</v>
      </c>
      <c r="F3404" s="90" t="s">
        <v>864</v>
      </c>
      <c r="G3404" s="137">
        <v>1</v>
      </c>
      <c r="H3404" s="94">
        <v>87</v>
      </c>
      <c r="I3404" s="87">
        <v>46088</v>
      </c>
      <c r="J3404" s="93">
        <v>0.46875</v>
      </c>
      <c r="K3404" s="94">
        <v>87</v>
      </c>
      <c r="L3404" s="72" t="str">
        <f t="shared" si="53"/>
        <v>Payé</v>
      </c>
      <c r="N3404" s="15"/>
    </row>
    <row r="3405" spans="1:14" s="14" customFormat="1" ht="18" x14ac:dyDescent="0.25">
      <c r="A3405" s="90" t="s">
        <v>864</v>
      </c>
      <c r="B3405" s="90">
        <v>10082</v>
      </c>
      <c r="C3405" s="88" t="s">
        <v>1259</v>
      </c>
      <c r="D3405" s="90" t="s">
        <v>17</v>
      </c>
      <c r="E3405" s="90" t="s">
        <v>254</v>
      </c>
      <c r="F3405" s="90" t="s">
        <v>864</v>
      </c>
      <c r="G3405" s="137">
        <v>6</v>
      </c>
      <c r="H3405" s="94">
        <v>540</v>
      </c>
      <c r="I3405" s="87">
        <v>46087</v>
      </c>
      <c r="J3405" s="93">
        <v>0.57847222222222217</v>
      </c>
      <c r="K3405" s="94">
        <v>540</v>
      </c>
      <c r="L3405" s="72" t="str">
        <f t="shared" si="53"/>
        <v>Payé</v>
      </c>
      <c r="N3405" s="15"/>
    </row>
    <row r="3406" spans="1:14" s="14" customFormat="1" ht="18" x14ac:dyDescent="0.25">
      <c r="A3406" s="90" t="s">
        <v>864</v>
      </c>
      <c r="B3406" s="90">
        <v>10083</v>
      </c>
      <c r="C3406" s="88" t="s">
        <v>1273</v>
      </c>
      <c r="D3406" s="90" t="s">
        <v>17</v>
      </c>
      <c r="E3406" s="90" t="s">
        <v>254</v>
      </c>
      <c r="F3406" s="90" t="s">
        <v>864</v>
      </c>
      <c r="G3406" s="137">
        <v>6</v>
      </c>
      <c r="H3406" s="94">
        <v>540</v>
      </c>
      <c r="I3406" s="87">
        <v>46087</v>
      </c>
      <c r="J3406" s="93">
        <v>0.57847222222222217</v>
      </c>
      <c r="K3406" s="94">
        <v>540</v>
      </c>
      <c r="L3406" s="72" t="str">
        <f t="shared" si="53"/>
        <v>Payé</v>
      </c>
      <c r="N3406" s="15"/>
    </row>
    <row r="3407" spans="1:14" s="14" customFormat="1" ht="18" x14ac:dyDescent="0.25">
      <c r="A3407" s="90" t="s">
        <v>864</v>
      </c>
      <c r="B3407" s="90">
        <v>10084</v>
      </c>
      <c r="C3407" s="88" t="s">
        <v>1274</v>
      </c>
      <c r="D3407" s="90" t="s">
        <v>17</v>
      </c>
      <c r="E3407" s="90" t="s">
        <v>254</v>
      </c>
      <c r="F3407" s="90" t="s">
        <v>864</v>
      </c>
      <c r="G3407" s="137">
        <v>5</v>
      </c>
      <c r="H3407" s="94">
        <v>450</v>
      </c>
      <c r="I3407" s="87">
        <v>46087</v>
      </c>
      <c r="J3407" s="93">
        <v>0.57847222222222217</v>
      </c>
      <c r="K3407" s="94">
        <v>450</v>
      </c>
      <c r="L3407" s="72" t="str">
        <f t="shared" si="53"/>
        <v>Payé</v>
      </c>
      <c r="N3407" s="15"/>
    </row>
    <row r="3408" spans="1:14" s="14" customFormat="1" ht="18" x14ac:dyDescent="0.25">
      <c r="A3408" s="90" t="s">
        <v>864</v>
      </c>
      <c r="B3408" s="90">
        <v>10093</v>
      </c>
      <c r="C3408" s="88" t="s">
        <v>1277</v>
      </c>
      <c r="D3408" s="90" t="s">
        <v>17</v>
      </c>
      <c r="E3408" s="90" t="s">
        <v>649</v>
      </c>
      <c r="F3408" s="90" t="s">
        <v>864</v>
      </c>
      <c r="G3408" s="137">
        <v>1</v>
      </c>
      <c r="H3408" s="94">
        <v>90</v>
      </c>
      <c r="I3408" s="87">
        <v>46092</v>
      </c>
      <c r="J3408" s="93">
        <v>0.3972222222222222</v>
      </c>
      <c r="K3408" s="94">
        <v>90</v>
      </c>
      <c r="L3408" s="72" t="str">
        <f t="shared" si="53"/>
        <v>Payé</v>
      </c>
      <c r="N3408" s="15"/>
    </row>
    <row r="3409" spans="1:14" s="14" customFormat="1" ht="18" x14ac:dyDescent="0.25">
      <c r="A3409" s="90" t="s">
        <v>864</v>
      </c>
      <c r="B3409" s="90">
        <v>10104</v>
      </c>
      <c r="C3409" s="88" t="s">
        <v>1299</v>
      </c>
      <c r="D3409" s="90" t="s">
        <v>17</v>
      </c>
      <c r="E3409" s="90" t="s">
        <v>649</v>
      </c>
      <c r="F3409" s="90" t="s">
        <v>864</v>
      </c>
      <c r="G3409" s="137">
        <v>3</v>
      </c>
      <c r="H3409" s="94">
        <v>270</v>
      </c>
      <c r="I3409" s="87"/>
      <c r="J3409" s="93"/>
      <c r="K3409" s="92"/>
      <c r="L3409" s="72" t="str">
        <f t="shared" si="53"/>
        <v>Impayé</v>
      </c>
      <c r="N3409" s="15"/>
    </row>
    <row r="3410" spans="1:14" s="14" customFormat="1" ht="18" x14ac:dyDescent="0.25">
      <c r="A3410" s="90" t="s">
        <v>864</v>
      </c>
      <c r="B3410" s="90">
        <v>10105</v>
      </c>
      <c r="C3410" s="88" t="s">
        <v>1300</v>
      </c>
      <c r="D3410" s="90" t="s">
        <v>17</v>
      </c>
      <c r="E3410" s="90" t="s">
        <v>649</v>
      </c>
      <c r="F3410" s="90" t="s">
        <v>864</v>
      </c>
      <c r="G3410" s="137">
        <v>7</v>
      </c>
      <c r="H3410" s="94">
        <v>630</v>
      </c>
      <c r="I3410" s="87">
        <v>46087</v>
      </c>
      <c r="J3410" s="93">
        <v>0.54652777777777783</v>
      </c>
      <c r="K3410" s="94">
        <v>630</v>
      </c>
      <c r="L3410" s="72" t="str">
        <f t="shared" si="53"/>
        <v>Payé</v>
      </c>
      <c r="N3410" s="15"/>
    </row>
    <row r="3411" spans="1:14" s="14" customFormat="1" ht="18" x14ac:dyDescent="0.25">
      <c r="A3411" s="90" t="s">
        <v>864</v>
      </c>
      <c r="B3411" s="90">
        <v>10133</v>
      </c>
      <c r="C3411" s="88" t="s">
        <v>1325</v>
      </c>
      <c r="D3411" s="90" t="s">
        <v>17</v>
      </c>
      <c r="E3411" s="90" t="s">
        <v>753</v>
      </c>
      <c r="F3411" s="90" t="s">
        <v>864</v>
      </c>
      <c r="G3411" s="137">
        <v>3</v>
      </c>
      <c r="H3411" s="94">
        <v>270</v>
      </c>
      <c r="I3411" s="87">
        <v>46097</v>
      </c>
      <c r="J3411" s="93">
        <v>0.55277777777777781</v>
      </c>
      <c r="K3411" s="94">
        <v>270</v>
      </c>
      <c r="L3411" s="72" t="str">
        <f t="shared" si="53"/>
        <v>Payé</v>
      </c>
      <c r="N3411" s="15"/>
    </row>
    <row r="3412" spans="1:14" s="14" customFormat="1" ht="18" x14ac:dyDescent="0.25">
      <c r="A3412" s="90" t="s">
        <v>864</v>
      </c>
      <c r="B3412" s="90">
        <v>10164</v>
      </c>
      <c r="C3412" s="88" t="s">
        <v>1343</v>
      </c>
      <c r="D3412" s="90" t="s">
        <v>17</v>
      </c>
      <c r="E3412" s="90" t="s">
        <v>1104</v>
      </c>
      <c r="F3412" s="90" t="s">
        <v>864</v>
      </c>
      <c r="G3412" s="137">
        <v>10</v>
      </c>
      <c r="H3412" s="94">
        <v>900</v>
      </c>
      <c r="I3412" s="87">
        <v>46087</v>
      </c>
      <c r="J3412" s="93">
        <v>0.54999999999999993</v>
      </c>
      <c r="K3412" s="94">
        <v>900</v>
      </c>
      <c r="L3412" s="72" t="str">
        <f t="shared" si="53"/>
        <v>Payé</v>
      </c>
      <c r="N3412" s="15"/>
    </row>
    <row r="3413" spans="1:14" s="14" customFormat="1" ht="18" x14ac:dyDescent="0.25">
      <c r="A3413" s="90" t="s">
        <v>864</v>
      </c>
      <c r="B3413" s="90">
        <v>10211</v>
      </c>
      <c r="C3413" s="88" t="s">
        <v>1400</v>
      </c>
      <c r="D3413" s="90" t="s">
        <v>17</v>
      </c>
      <c r="E3413" s="90" t="s">
        <v>1905</v>
      </c>
      <c r="F3413" s="90" t="s">
        <v>864</v>
      </c>
      <c r="G3413" s="137">
        <v>7</v>
      </c>
      <c r="H3413" s="94">
        <v>770</v>
      </c>
      <c r="I3413" s="87">
        <v>46087</v>
      </c>
      <c r="J3413" s="93">
        <v>0.55347222222222225</v>
      </c>
      <c r="K3413" s="94">
        <v>770</v>
      </c>
      <c r="L3413" s="72" t="str">
        <f t="shared" si="53"/>
        <v>Payé</v>
      </c>
      <c r="N3413" s="15"/>
    </row>
    <row r="3414" spans="1:14" s="14" customFormat="1" ht="18" x14ac:dyDescent="0.25">
      <c r="A3414" s="90" t="s">
        <v>864</v>
      </c>
      <c r="B3414" s="90">
        <v>10214</v>
      </c>
      <c r="C3414" s="88" t="s">
        <v>1403</v>
      </c>
      <c r="D3414" s="90" t="s">
        <v>17</v>
      </c>
      <c r="E3414" s="90" t="s">
        <v>753</v>
      </c>
      <c r="F3414" s="90" t="s">
        <v>864</v>
      </c>
      <c r="G3414" s="137">
        <v>5</v>
      </c>
      <c r="H3414" s="94">
        <v>450</v>
      </c>
      <c r="I3414" s="87">
        <v>46088</v>
      </c>
      <c r="J3414" s="93">
        <v>0.4604166666666667</v>
      </c>
      <c r="K3414" s="94">
        <v>450</v>
      </c>
      <c r="L3414" s="72" t="str">
        <f t="shared" si="53"/>
        <v>Payé</v>
      </c>
      <c r="N3414" s="15"/>
    </row>
    <row r="3415" spans="1:14" s="14" customFormat="1" ht="18" x14ac:dyDescent="0.25">
      <c r="A3415" s="90" t="s">
        <v>864</v>
      </c>
      <c r="B3415" s="90">
        <v>10240</v>
      </c>
      <c r="C3415" s="88" t="s">
        <v>1409</v>
      </c>
      <c r="D3415" s="90" t="s">
        <v>17</v>
      </c>
      <c r="E3415" s="90" t="s">
        <v>649</v>
      </c>
      <c r="F3415" s="90" t="s">
        <v>864</v>
      </c>
      <c r="G3415" s="137">
        <v>1</v>
      </c>
      <c r="H3415" s="94">
        <v>90</v>
      </c>
      <c r="I3415" s="87"/>
      <c r="J3415" s="93"/>
      <c r="K3415" s="92"/>
      <c r="L3415" s="72" t="str">
        <f t="shared" si="53"/>
        <v>Impayé</v>
      </c>
      <c r="N3415" s="15"/>
    </row>
    <row r="3416" spans="1:14" s="14" customFormat="1" ht="18" x14ac:dyDescent="0.25">
      <c r="A3416" s="90" t="s">
        <v>864</v>
      </c>
      <c r="B3416" s="90">
        <v>10250</v>
      </c>
      <c r="C3416" s="88" t="s">
        <v>1824</v>
      </c>
      <c r="D3416" s="90" t="s">
        <v>17</v>
      </c>
      <c r="E3416" s="90" t="s">
        <v>1902</v>
      </c>
      <c r="F3416" s="90" t="s">
        <v>864</v>
      </c>
      <c r="G3416" s="137">
        <v>7</v>
      </c>
      <c r="H3416" s="94">
        <v>630</v>
      </c>
      <c r="I3416" s="87">
        <v>46092</v>
      </c>
      <c r="J3416" s="93">
        <v>0.52222222222222225</v>
      </c>
      <c r="K3416" s="94">
        <v>630</v>
      </c>
      <c r="L3416" s="72" t="str">
        <f t="shared" si="53"/>
        <v>Payé</v>
      </c>
      <c r="N3416" s="15"/>
    </row>
    <row r="3417" spans="1:14" s="14" customFormat="1" ht="18" x14ac:dyDescent="0.25">
      <c r="A3417" s="90" t="s">
        <v>864</v>
      </c>
      <c r="B3417" s="90">
        <v>10251</v>
      </c>
      <c r="C3417" s="88" t="s">
        <v>1825</v>
      </c>
      <c r="D3417" s="90" t="s">
        <v>17</v>
      </c>
      <c r="E3417" s="90" t="s">
        <v>1902</v>
      </c>
      <c r="F3417" s="90" t="s">
        <v>864</v>
      </c>
      <c r="G3417" s="137">
        <v>8</v>
      </c>
      <c r="H3417" s="94">
        <v>720</v>
      </c>
      <c r="I3417" s="87">
        <v>46086</v>
      </c>
      <c r="J3417" s="93">
        <v>0.66111111111111109</v>
      </c>
      <c r="K3417" s="94">
        <v>720</v>
      </c>
      <c r="L3417" s="72" t="str">
        <f t="shared" si="53"/>
        <v>Payé</v>
      </c>
      <c r="N3417" s="15"/>
    </row>
    <row r="3418" spans="1:14" s="14" customFormat="1" ht="18" x14ac:dyDescent="0.25">
      <c r="A3418" s="90" t="s">
        <v>864</v>
      </c>
      <c r="B3418" s="90">
        <v>10252</v>
      </c>
      <c r="C3418" s="88" t="s">
        <v>1826</v>
      </c>
      <c r="D3418" s="90" t="s">
        <v>17</v>
      </c>
      <c r="E3418" s="90" t="s">
        <v>1902</v>
      </c>
      <c r="F3418" s="90" t="s">
        <v>864</v>
      </c>
      <c r="G3418" s="137">
        <v>8</v>
      </c>
      <c r="H3418" s="94">
        <v>720</v>
      </c>
      <c r="I3418" s="87">
        <v>46086</v>
      </c>
      <c r="J3418" s="93">
        <v>0.66111111111111109</v>
      </c>
      <c r="K3418" s="94">
        <v>720</v>
      </c>
      <c r="L3418" s="72" t="str">
        <f t="shared" si="53"/>
        <v>Payé</v>
      </c>
      <c r="N3418" s="15"/>
    </row>
    <row r="3419" spans="1:14" s="14" customFormat="1" ht="18" x14ac:dyDescent="0.25">
      <c r="A3419" s="90" t="s">
        <v>864</v>
      </c>
      <c r="B3419" s="90">
        <v>10253</v>
      </c>
      <c r="C3419" s="88" t="s">
        <v>1827</v>
      </c>
      <c r="D3419" s="90" t="s">
        <v>17</v>
      </c>
      <c r="E3419" s="90" t="s">
        <v>1902</v>
      </c>
      <c r="F3419" s="90" t="s">
        <v>864</v>
      </c>
      <c r="G3419" s="137">
        <v>7</v>
      </c>
      <c r="H3419" s="94">
        <v>630</v>
      </c>
      <c r="I3419" s="87">
        <v>46086</v>
      </c>
      <c r="J3419" s="93">
        <v>0.66111111111111109</v>
      </c>
      <c r="K3419" s="94">
        <v>630</v>
      </c>
      <c r="L3419" s="72" t="str">
        <f t="shared" si="53"/>
        <v>Payé</v>
      </c>
      <c r="N3419" s="15"/>
    </row>
    <row r="3420" spans="1:14" s="14" customFormat="1" ht="18" x14ac:dyDescent="0.25">
      <c r="A3420" s="90" t="s">
        <v>864</v>
      </c>
      <c r="B3420" s="90">
        <v>10254</v>
      </c>
      <c r="C3420" s="88" t="s">
        <v>1828</v>
      </c>
      <c r="D3420" s="90" t="s">
        <v>17</v>
      </c>
      <c r="E3420" s="90" t="s">
        <v>1902</v>
      </c>
      <c r="F3420" s="90" t="s">
        <v>864</v>
      </c>
      <c r="G3420" s="137">
        <v>8</v>
      </c>
      <c r="H3420" s="94">
        <v>720</v>
      </c>
      <c r="I3420" s="87">
        <v>46086</v>
      </c>
      <c r="J3420" s="93">
        <v>0.66111111111111109</v>
      </c>
      <c r="K3420" s="94">
        <v>720</v>
      </c>
      <c r="L3420" s="72" t="str">
        <f t="shared" si="53"/>
        <v>Payé</v>
      </c>
      <c r="N3420" s="15"/>
    </row>
    <row r="3421" spans="1:14" s="14" customFormat="1" ht="18" x14ac:dyDescent="0.25">
      <c r="A3421" s="90" t="s">
        <v>864</v>
      </c>
      <c r="B3421" s="90">
        <v>10255</v>
      </c>
      <c r="C3421" s="88" t="s">
        <v>1829</v>
      </c>
      <c r="D3421" s="90" t="s">
        <v>17</v>
      </c>
      <c r="E3421" s="90" t="s">
        <v>1902</v>
      </c>
      <c r="F3421" s="90" t="s">
        <v>864</v>
      </c>
      <c r="G3421" s="137">
        <v>8</v>
      </c>
      <c r="H3421" s="94">
        <v>720</v>
      </c>
      <c r="I3421" s="87">
        <v>46086</v>
      </c>
      <c r="J3421" s="93">
        <v>0.66111111111111109</v>
      </c>
      <c r="K3421" s="94">
        <v>720</v>
      </c>
      <c r="L3421" s="72" t="str">
        <f t="shared" si="53"/>
        <v>Payé</v>
      </c>
      <c r="N3421" s="15"/>
    </row>
    <row r="3422" spans="1:14" s="14" customFormat="1" ht="18" x14ac:dyDescent="0.25">
      <c r="A3422" s="90" t="s">
        <v>864</v>
      </c>
      <c r="B3422" s="90">
        <v>10325</v>
      </c>
      <c r="C3422" s="88" t="s">
        <v>1447</v>
      </c>
      <c r="D3422" s="90" t="s">
        <v>17</v>
      </c>
      <c r="E3422" s="90" t="s">
        <v>753</v>
      </c>
      <c r="F3422" s="90" t="s">
        <v>864</v>
      </c>
      <c r="G3422" s="137">
        <v>4</v>
      </c>
      <c r="H3422" s="94">
        <v>360</v>
      </c>
      <c r="I3422" s="87">
        <v>46087</v>
      </c>
      <c r="J3422" s="93">
        <v>0.4381944444444445</v>
      </c>
      <c r="K3422" s="94">
        <v>360</v>
      </c>
      <c r="L3422" s="72" t="str">
        <f t="shared" ref="L3422:L3485" si="54">IF(ISBLANK(H3422),"",IF(H3422=K3422,"Payé","Impayé"))</f>
        <v>Payé</v>
      </c>
      <c r="N3422" s="15"/>
    </row>
    <row r="3423" spans="1:14" s="14" customFormat="1" ht="18" x14ac:dyDescent="0.25">
      <c r="A3423" s="90" t="s">
        <v>864</v>
      </c>
      <c r="B3423" s="90">
        <v>10338</v>
      </c>
      <c r="C3423" s="88" t="s">
        <v>1449</v>
      </c>
      <c r="D3423" s="90" t="s">
        <v>17</v>
      </c>
      <c r="E3423" s="90" t="s">
        <v>753</v>
      </c>
      <c r="F3423" s="90" t="s">
        <v>864</v>
      </c>
      <c r="G3423" s="137">
        <v>3</v>
      </c>
      <c r="H3423" s="94">
        <v>270</v>
      </c>
      <c r="I3423" s="87">
        <v>46090</v>
      </c>
      <c r="J3423" s="93">
        <v>0.53680555555555554</v>
      </c>
      <c r="K3423" s="94">
        <v>270</v>
      </c>
      <c r="L3423" s="72" t="str">
        <f t="shared" si="54"/>
        <v>Payé</v>
      </c>
      <c r="N3423" s="15"/>
    </row>
    <row r="3424" spans="1:14" s="14" customFormat="1" ht="18" x14ac:dyDescent="0.25">
      <c r="A3424" s="90" t="s">
        <v>864</v>
      </c>
      <c r="B3424" s="90">
        <v>10343</v>
      </c>
      <c r="C3424" s="88" t="s">
        <v>1472</v>
      </c>
      <c r="D3424" s="90" t="s">
        <v>17</v>
      </c>
      <c r="E3424" s="90" t="s">
        <v>49</v>
      </c>
      <c r="F3424" s="90" t="s">
        <v>864</v>
      </c>
      <c r="G3424" s="137">
        <v>7</v>
      </c>
      <c r="H3424" s="94">
        <v>630</v>
      </c>
      <c r="I3424" s="87">
        <v>46087</v>
      </c>
      <c r="J3424" s="93">
        <v>0.59166666666666667</v>
      </c>
      <c r="K3424" s="94">
        <v>630</v>
      </c>
      <c r="L3424" s="72" t="str">
        <f t="shared" si="54"/>
        <v>Payé</v>
      </c>
      <c r="N3424" s="15"/>
    </row>
    <row r="3425" spans="1:14" s="14" customFormat="1" ht="18" x14ac:dyDescent="0.25">
      <c r="A3425" s="90" t="s">
        <v>864</v>
      </c>
      <c r="B3425" s="90">
        <v>10368</v>
      </c>
      <c r="C3425" s="88" t="s">
        <v>1483</v>
      </c>
      <c r="D3425" s="90" t="s">
        <v>17</v>
      </c>
      <c r="E3425" s="90" t="s">
        <v>254</v>
      </c>
      <c r="F3425" s="90" t="s">
        <v>864</v>
      </c>
      <c r="G3425" s="137">
        <v>6</v>
      </c>
      <c r="H3425" s="94">
        <v>540</v>
      </c>
      <c r="I3425" s="87">
        <v>46087</v>
      </c>
      <c r="J3425" s="93">
        <v>0.57847222222222217</v>
      </c>
      <c r="K3425" s="94">
        <v>540</v>
      </c>
      <c r="L3425" s="72" t="str">
        <f t="shared" si="54"/>
        <v>Payé</v>
      </c>
      <c r="N3425" s="15"/>
    </row>
    <row r="3426" spans="1:14" s="14" customFormat="1" ht="18" x14ac:dyDescent="0.25">
      <c r="A3426" s="90" t="s">
        <v>864</v>
      </c>
      <c r="B3426" s="90">
        <v>10383</v>
      </c>
      <c r="C3426" s="88" t="s">
        <v>1547</v>
      </c>
      <c r="D3426" s="90" t="s">
        <v>17</v>
      </c>
      <c r="E3426" s="90" t="s">
        <v>649</v>
      </c>
      <c r="F3426" s="90" t="s">
        <v>864</v>
      </c>
      <c r="G3426" s="137">
        <v>3</v>
      </c>
      <c r="H3426" s="94">
        <v>270</v>
      </c>
      <c r="I3426" s="87">
        <v>46090</v>
      </c>
      <c r="J3426" s="93">
        <v>0.54236111111111118</v>
      </c>
      <c r="K3426" s="94">
        <v>270</v>
      </c>
      <c r="L3426" s="72" t="str">
        <f t="shared" si="54"/>
        <v>Payé</v>
      </c>
      <c r="N3426" s="15"/>
    </row>
    <row r="3427" spans="1:14" s="14" customFormat="1" ht="18" x14ac:dyDescent="0.25">
      <c r="A3427" s="90" t="s">
        <v>864</v>
      </c>
      <c r="B3427" s="90">
        <v>10384</v>
      </c>
      <c r="C3427" s="88" t="s">
        <v>1548</v>
      </c>
      <c r="D3427" s="90" t="s">
        <v>17</v>
      </c>
      <c r="E3427" s="90" t="s">
        <v>753</v>
      </c>
      <c r="F3427" s="90" t="s">
        <v>864</v>
      </c>
      <c r="G3427" s="137">
        <v>4</v>
      </c>
      <c r="H3427" s="94">
        <v>360</v>
      </c>
      <c r="I3427" s="87">
        <v>46087</v>
      </c>
      <c r="J3427" s="93">
        <v>0.4381944444444445</v>
      </c>
      <c r="K3427" s="94">
        <v>360</v>
      </c>
      <c r="L3427" s="72" t="str">
        <f t="shared" si="54"/>
        <v>Payé</v>
      </c>
      <c r="N3427" s="15"/>
    </row>
    <row r="3428" spans="1:14" s="14" customFormat="1" ht="18" x14ac:dyDescent="0.25">
      <c r="A3428" s="90" t="s">
        <v>864</v>
      </c>
      <c r="B3428" s="90">
        <v>10386</v>
      </c>
      <c r="C3428" s="88" t="s">
        <v>1550</v>
      </c>
      <c r="D3428" s="90" t="s">
        <v>17</v>
      </c>
      <c r="E3428" s="90" t="s">
        <v>1904</v>
      </c>
      <c r="F3428" s="90" t="s">
        <v>864</v>
      </c>
      <c r="G3428" s="137">
        <v>4</v>
      </c>
      <c r="H3428" s="94">
        <v>360</v>
      </c>
      <c r="I3428" s="87">
        <v>46099</v>
      </c>
      <c r="J3428" s="93">
        <v>0.57430555555555551</v>
      </c>
      <c r="K3428" s="94">
        <v>360</v>
      </c>
      <c r="L3428" s="72" t="str">
        <f t="shared" si="54"/>
        <v>Payé</v>
      </c>
      <c r="N3428" s="15"/>
    </row>
    <row r="3429" spans="1:14" s="14" customFormat="1" ht="18" x14ac:dyDescent="0.25">
      <c r="A3429" s="90" t="s">
        <v>864</v>
      </c>
      <c r="B3429" s="90">
        <v>10389</v>
      </c>
      <c r="C3429" s="88" t="s">
        <v>1553</v>
      </c>
      <c r="D3429" s="90" t="s">
        <v>17</v>
      </c>
      <c r="E3429" s="90" t="s">
        <v>254</v>
      </c>
      <c r="F3429" s="90" t="s">
        <v>864</v>
      </c>
      <c r="G3429" s="137">
        <v>4</v>
      </c>
      <c r="H3429" s="94">
        <v>360</v>
      </c>
      <c r="I3429" s="87">
        <v>46099</v>
      </c>
      <c r="J3429" s="93">
        <v>0.64722222222222225</v>
      </c>
      <c r="K3429" s="94">
        <v>360</v>
      </c>
      <c r="L3429" s="72" t="str">
        <f t="shared" si="54"/>
        <v>Payé</v>
      </c>
      <c r="N3429" s="15"/>
    </row>
    <row r="3430" spans="1:14" s="14" customFormat="1" ht="18" x14ac:dyDescent="0.25">
      <c r="A3430" s="90" t="s">
        <v>864</v>
      </c>
      <c r="B3430" s="90">
        <v>10390</v>
      </c>
      <c r="C3430" s="88" t="s">
        <v>1554</v>
      </c>
      <c r="D3430" s="90" t="s">
        <v>17</v>
      </c>
      <c r="E3430" s="90" t="s">
        <v>649</v>
      </c>
      <c r="F3430" s="90" t="s">
        <v>864</v>
      </c>
      <c r="G3430" s="137">
        <v>1</v>
      </c>
      <c r="H3430" s="94">
        <v>90</v>
      </c>
      <c r="I3430" s="87">
        <v>46111</v>
      </c>
      <c r="J3430" s="93">
        <v>0.63541666666666663</v>
      </c>
      <c r="K3430" s="94">
        <v>90</v>
      </c>
      <c r="L3430" s="72" t="str">
        <f t="shared" si="54"/>
        <v>Payé</v>
      </c>
      <c r="N3430" s="15"/>
    </row>
    <row r="3431" spans="1:14" s="14" customFormat="1" ht="18" x14ac:dyDescent="0.25">
      <c r="A3431" s="90" t="s">
        <v>864</v>
      </c>
      <c r="B3431" s="90">
        <v>10397</v>
      </c>
      <c r="C3431" s="88" t="s">
        <v>1558</v>
      </c>
      <c r="D3431" s="90" t="s">
        <v>17</v>
      </c>
      <c r="E3431" s="90" t="s">
        <v>753</v>
      </c>
      <c r="F3431" s="90" t="s">
        <v>864</v>
      </c>
      <c r="G3431" s="137">
        <v>4</v>
      </c>
      <c r="H3431" s="94">
        <v>360</v>
      </c>
      <c r="I3431" s="87">
        <v>46097</v>
      </c>
      <c r="J3431" s="93">
        <v>0.55277777777777781</v>
      </c>
      <c r="K3431" s="94">
        <v>360</v>
      </c>
      <c r="L3431" s="72" t="str">
        <f t="shared" si="54"/>
        <v>Payé</v>
      </c>
      <c r="N3431" s="15"/>
    </row>
    <row r="3432" spans="1:14" s="14" customFormat="1" ht="18" x14ac:dyDescent="0.25">
      <c r="A3432" s="90" t="s">
        <v>864</v>
      </c>
      <c r="B3432" s="90">
        <v>10405</v>
      </c>
      <c r="C3432" s="88" t="s">
        <v>1571</v>
      </c>
      <c r="D3432" s="90" t="s">
        <v>17</v>
      </c>
      <c r="E3432" s="90" t="s">
        <v>753</v>
      </c>
      <c r="F3432" s="90" t="s">
        <v>864</v>
      </c>
      <c r="G3432" s="137">
        <v>5</v>
      </c>
      <c r="H3432" s="94">
        <v>450</v>
      </c>
      <c r="I3432" s="87">
        <v>46087</v>
      </c>
      <c r="J3432" s="93">
        <v>0.4381944444444445</v>
      </c>
      <c r="K3432" s="94">
        <v>450</v>
      </c>
      <c r="L3432" s="72" t="str">
        <f t="shared" si="54"/>
        <v>Payé</v>
      </c>
      <c r="N3432" s="15"/>
    </row>
    <row r="3433" spans="1:14" s="14" customFormat="1" ht="18" x14ac:dyDescent="0.25">
      <c r="A3433" s="90" t="s">
        <v>864</v>
      </c>
      <c r="B3433" s="90">
        <v>10407</v>
      </c>
      <c r="C3433" s="88" t="s">
        <v>1572</v>
      </c>
      <c r="D3433" s="90" t="s">
        <v>17</v>
      </c>
      <c r="E3433" s="90" t="s">
        <v>753</v>
      </c>
      <c r="F3433" s="90" t="s">
        <v>864</v>
      </c>
      <c r="G3433" s="137">
        <v>3</v>
      </c>
      <c r="H3433" s="94">
        <v>270</v>
      </c>
      <c r="I3433" s="87">
        <v>46087</v>
      </c>
      <c r="J3433" s="93">
        <v>0.4381944444444445</v>
      </c>
      <c r="K3433" s="94">
        <v>270</v>
      </c>
      <c r="L3433" s="72" t="str">
        <f t="shared" si="54"/>
        <v>Payé</v>
      </c>
      <c r="N3433" s="15"/>
    </row>
    <row r="3434" spans="1:14" s="14" customFormat="1" ht="18" x14ac:dyDescent="0.25">
      <c r="A3434" s="90" t="s">
        <v>864</v>
      </c>
      <c r="B3434" s="90">
        <v>10413</v>
      </c>
      <c r="C3434" s="88" t="s">
        <v>1576</v>
      </c>
      <c r="D3434" s="90" t="s">
        <v>17</v>
      </c>
      <c r="E3434" s="90" t="s">
        <v>753</v>
      </c>
      <c r="F3434" s="90" t="s">
        <v>864</v>
      </c>
      <c r="G3434" s="137">
        <v>2</v>
      </c>
      <c r="H3434" s="94">
        <v>180</v>
      </c>
      <c r="I3434" s="87">
        <v>46100</v>
      </c>
      <c r="J3434" s="93">
        <v>0.57222222222222219</v>
      </c>
      <c r="K3434" s="94">
        <v>180</v>
      </c>
      <c r="L3434" s="72" t="str">
        <f t="shared" si="54"/>
        <v>Payé</v>
      </c>
      <c r="N3434" s="15"/>
    </row>
    <row r="3435" spans="1:14" s="14" customFormat="1" ht="18" x14ac:dyDescent="0.25">
      <c r="A3435" s="90" t="s">
        <v>864</v>
      </c>
      <c r="B3435" s="90">
        <v>10415</v>
      </c>
      <c r="C3435" s="88" t="s">
        <v>1578</v>
      </c>
      <c r="D3435" s="90" t="s">
        <v>17</v>
      </c>
      <c r="E3435" s="90" t="s">
        <v>649</v>
      </c>
      <c r="F3435" s="90" t="s">
        <v>864</v>
      </c>
      <c r="G3435" s="137">
        <v>2</v>
      </c>
      <c r="H3435" s="94">
        <v>180</v>
      </c>
      <c r="I3435" s="87"/>
      <c r="J3435" s="93"/>
      <c r="K3435" s="92"/>
      <c r="L3435" s="72" t="str">
        <f t="shared" si="54"/>
        <v>Impayé</v>
      </c>
      <c r="N3435" s="15"/>
    </row>
    <row r="3436" spans="1:14" s="14" customFormat="1" ht="18" x14ac:dyDescent="0.25">
      <c r="A3436" s="90" t="s">
        <v>864</v>
      </c>
      <c r="B3436" s="90">
        <v>10416</v>
      </c>
      <c r="C3436" s="88" t="s">
        <v>1579</v>
      </c>
      <c r="D3436" s="90" t="s">
        <v>17</v>
      </c>
      <c r="E3436" s="90" t="s">
        <v>753</v>
      </c>
      <c r="F3436" s="90" t="s">
        <v>864</v>
      </c>
      <c r="G3436" s="137">
        <v>3</v>
      </c>
      <c r="H3436" s="94">
        <v>270</v>
      </c>
      <c r="I3436" s="87">
        <v>46087</v>
      </c>
      <c r="J3436" s="93">
        <v>0.4381944444444445</v>
      </c>
      <c r="K3436" s="94">
        <v>270</v>
      </c>
      <c r="L3436" s="72" t="str">
        <f t="shared" si="54"/>
        <v>Payé</v>
      </c>
      <c r="N3436" s="15"/>
    </row>
    <row r="3437" spans="1:14" s="14" customFormat="1" ht="18" x14ac:dyDescent="0.25">
      <c r="A3437" s="90" t="s">
        <v>864</v>
      </c>
      <c r="B3437" s="90">
        <v>10417</v>
      </c>
      <c r="C3437" s="88" t="s">
        <v>1830</v>
      </c>
      <c r="D3437" s="90" t="s">
        <v>17</v>
      </c>
      <c r="E3437" s="90" t="s">
        <v>1907</v>
      </c>
      <c r="F3437" s="90" t="s">
        <v>864</v>
      </c>
      <c r="G3437" s="137">
        <v>1</v>
      </c>
      <c r="H3437" s="94">
        <v>90</v>
      </c>
      <c r="I3437" s="194">
        <v>46087</v>
      </c>
      <c r="J3437" s="195">
        <v>0.54999999999999993</v>
      </c>
      <c r="K3437" s="141">
        <v>90</v>
      </c>
      <c r="L3437" s="72" t="str">
        <f t="shared" si="54"/>
        <v>Payé</v>
      </c>
      <c r="N3437" s="15"/>
    </row>
    <row r="3438" spans="1:14" s="14" customFormat="1" ht="18" x14ac:dyDescent="0.25">
      <c r="A3438" s="90" t="s">
        <v>864</v>
      </c>
      <c r="B3438" s="90">
        <v>10430</v>
      </c>
      <c r="C3438" s="88" t="s">
        <v>1582</v>
      </c>
      <c r="D3438" s="90" t="s">
        <v>17</v>
      </c>
      <c r="E3438" s="90" t="s">
        <v>649</v>
      </c>
      <c r="F3438" s="90" t="s">
        <v>864</v>
      </c>
      <c r="G3438" s="137">
        <v>1</v>
      </c>
      <c r="H3438" s="94">
        <v>90</v>
      </c>
      <c r="I3438" s="87"/>
      <c r="J3438" s="93"/>
      <c r="K3438" s="92"/>
      <c r="L3438" s="72" t="str">
        <f t="shared" si="54"/>
        <v>Impayé</v>
      </c>
      <c r="N3438" s="15"/>
    </row>
    <row r="3439" spans="1:14" s="14" customFormat="1" ht="18" x14ac:dyDescent="0.25">
      <c r="A3439" s="90" t="s">
        <v>864</v>
      </c>
      <c r="B3439" s="90">
        <v>10431</v>
      </c>
      <c r="C3439" s="88" t="s">
        <v>1604</v>
      </c>
      <c r="D3439" s="90" t="s">
        <v>17</v>
      </c>
      <c r="E3439" s="90" t="s">
        <v>649</v>
      </c>
      <c r="F3439" s="90" t="s">
        <v>864</v>
      </c>
      <c r="G3439" s="137">
        <v>5</v>
      </c>
      <c r="H3439" s="94">
        <v>450</v>
      </c>
      <c r="I3439" s="87">
        <v>46091</v>
      </c>
      <c r="J3439" s="93">
        <v>0.44305555555555554</v>
      </c>
      <c r="K3439" s="94">
        <v>450</v>
      </c>
      <c r="L3439" s="72" t="str">
        <f t="shared" si="54"/>
        <v>Payé</v>
      </c>
      <c r="N3439" s="15"/>
    </row>
    <row r="3440" spans="1:14" s="14" customFormat="1" ht="18" x14ac:dyDescent="0.25">
      <c r="A3440" s="90" t="s">
        <v>864</v>
      </c>
      <c r="B3440" s="90">
        <v>10432</v>
      </c>
      <c r="C3440" s="88" t="s">
        <v>1605</v>
      </c>
      <c r="D3440" s="90" t="s">
        <v>17</v>
      </c>
      <c r="E3440" s="90" t="s">
        <v>649</v>
      </c>
      <c r="F3440" s="90" t="s">
        <v>864</v>
      </c>
      <c r="G3440" s="137">
        <v>1</v>
      </c>
      <c r="H3440" s="94">
        <v>90</v>
      </c>
      <c r="I3440" s="87"/>
      <c r="J3440" s="93"/>
      <c r="K3440" s="92"/>
      <c r="L3440" s="72" t="str">
        <f t="shared" si="54"/>
        <v>Impayé</v>
      </c>
      <c r="N3440" s="15"/>
    </row>
    <row r="3441" spans="1:14" s="14" customFormat="1" ht="18" x14ac:dyDescent="0.25">
      <c r="A3441" s="90" t="s">
        <v>864</v>
      </c>
      <c r="B3441" s="90">
        <v>10433</v>
      </c>
      <c r="C3441" s="88" t="s">
        <v>1606</v>
      </c>
      <c r="D3441" s="90" t="s">
        <v>17</v>
      </c>
      <c r="E3441" s="90" t="s">
        <v>649</v>
      </c>
      <c r="F3441" s="90" t="s">
        <v>864</v>
      </c>
      <c r="G3441" s="137">
        <v>5</v>
      </c>
      <c r="H3441" s="94">
        <v>450</v>
      </c>
      <c r="I3441" s="87">
        <v>46099</v>
      </c>
      <c r="J3441" s="93">
        <v>0.63263888888888886</v>
      </c>
      <c r="K3441" s="94">
        <v>450</v>
      </c>
      <c r="L3441" s="72" t="str">
        <f t="shared" si="54"/>
        <v>Payé</v>
      </c>
      <c r="N3441" s="15"/>
    </row>
    <row r="3442" spans="1:14" s="14" customFormat="1" ht="18" x14ac:dyDescent="0.25">
      <c r="A3442" s="90" t="s">
        <v>864</v>
      </c>
      <c r="B3442" s="90" t="s">
        <v>1831</v>
      </c>
      <c r="C3442" s="88" t="s">
        <v>1832</v>
      </c>
      <c r="D3442" s="90" t="s">
        <v>17</v>
      </c>
      <c r="E3442" s="90" t="s">
        <v>1664</v>
      </c>
      <c r="F3442" s="90" t="s">
        <v>864</v>
      </c>
      <c r="G3442" s="137">
        <v>1</v>
      </c>
      <c r="H3442" s="94">
        <v>90</v>
      </c>
      <c r="I3442" s="87">
        <v>46087</v>
      </c>
      <c r="J3442" s="93">
        <v>0.5541666666666667</v>
      </c>
      <c r="K3442" s="94">
        <v>90</v>
      </c>
      <c r="L3442" s="72" t="str">
        <f t="shared" si="54"/>
        <v>Payé</v>
      </c>
      <c r="N3442" s="15"/>
    </row>
    <row r="3443" spans="1:14" s="14" customFormat="1" ht="18" x14ac:dyDescent="0.25">
      <c r="A3443" s="90" t="s">
        <v>864</v>
      </c>
      <c r="B3443" s="90" t="s">
        <v>1833</v>
      </c>
      <c r="C3443" s="88" t="s">
        <v>1834</v>
      </c>
      <c r="D3443" s="90" t="s">
        <v>17</v>
      </c>
      <c r="E3443" s="90" t="s">
        <v>1664</v>
      </c>
      <c r="F3443" s="90" t="s">
        <v>864</v>
      </c>
      <c r="G3443" s="137">
        <v>1</v>
      </c>
      <c r="H3443" s="94">
        <v>90</v>
      </c>
      <c r="I3443" s="87">
        <v>46086</v>
      </c>
      <c r="J3443" s="93">
        <v>0.58888888888888891</v>
      </c>
      <c r="K3443" s="94">
        <v>90</v>
      </c>
      <c r="L3443" s="72" t="str">
        <f t="shared" si="54"/>
        <v>Payé</v>
      </c>
      <c r="N3443" s="15"/>
    </row>
    <row r="3444" spans="1:14" s="14" customFormat="1" ht="18" x14ac:dyDescent="0.25">
      <c r="A3444" s="90" t="s">
        <v>864</v>
      </c>
      <c r="B3444" s="90" t="s">
        <v>1835</v>
      </c>
      <c r="C3444" s="88" t="s">
        <v>1836</v>
      </c>
      <c r="D3444" s="90" t="s">
        <v>17</v>
      </c>
      <c r="E3444" s="90" t="s">
        <v>1664</v>
      </c>
      <c r="F3444" s="90" t="s">
        <v>864</v>
      </c>
      <c r="G3444" s="137">
        <v>1</v>
      </c>
      <c r="H3444" s="94">
        <v>90</v>
      </c>
      <c r="I3444" s="87">
        <v>46086</v>
      </c>
      <c r="J3444" s="93">
        <v>0.58124999999999993</v>
      </c>
      <c r="K3444" s="94">
        <v>90</v>
      </c>
      <c r="L3444" s="72" t="str">
        <f t="shared" si="54"/>
        <v>Payé</v>
      </c>
      <c r="N3444" s="15"/>
    </row>
    <row r="3445" spans="1:14" s="14" customFormat="1" ht="18" x14ac:dyDescent="0.25">
      <c r="A3445" s="90" t="s">
        <v>864</v>
      </c>
      <c r="B3445" s="90">
        <v>10468</v>
      </c>
      <c r="C3445" s="88" t="s">
        <v>1624</v>
      </c>
      <c r="D3445" s="90" t="s">
        <v>17</v>
      </c>
      <c r="E3445" s="90" t="s">
        <v>649</v>
      </c>
      <c r="F3445" s="90" t="s">
        <v>864</v>
      </c>
      <c r="G3445" s="137">
        <v>6</v>
      </c>
      <c r="H3445" s="94">
        <v>540</v>
      </c>
      <c r="I3445" s="87">
        <v>46087</v>
      </c>
      <c r="J3445" s="93">
        <v>0.54652777777777783</v>
      </c>
      <c r="K3445" s="94">
        <v>540</v>
      </c>
      <c r="L3445" s="72" t="str">
        <f t="shared" si="54"/>
        <v>Payé</v>
      </c>
      <c r="N3445" s="15"/>
    </row>
    <row r="3446" spans="1:14" s="14" customFormat="1" ht="18" x14ac:dyDescent="0.25">
      <c r="A3446" s="90" t="s">
        <v>864</v>
      </c>
      <c r="B3446" s="90">
        <v>10469</v>
      </c>
      <c r="C3446" s="88" t="s">
        <v>1625</v>
      </c>
      <c r="D3446" s="90" t="s">
        <v>17</v>
      </c>
      <c r="E3446" s="90" t="s">
        <v>1104</v>
      </c>
      <c r="F3446" s="90" t="s">
        <v>864</v>
      </c>
      <c r="G3446" s="137">
        <v>10</v>
      </c>
      <c r="H3446" s="94">
        <v>900</v>
      </c>
      <c r="I3446" s="87">
        <v>46087</v>
      </c>
      <c r="J3446" s="93">
        <v>0.59791666666666665</v>
      </c>
      <c r="K3446" s="94">
        <v>900</v>
      </c>
      <c r="L3446" s="72" t="str">
        <f t="shared" si="54"/>
        <v>Payé</v>
      </c>
      <c r="N3446" s="15"/>
    </row>
    <row r="3447" spans="1:14" s="14" customFormat="1" ht="18" x14ac:dyDescent="0.25">
      <c r="A3447" s="90" t="s">
        <v>864</v>
      </c>
      <c r="B3447" s="90">
        <v>10476</v>
      </c>
      <c r="C3447" s="88" t="s">
        <v>1632</v>
      </c>
      <c r="D3447" s="90" t="s">
        <v>17</v>
      </c>
      <c r="E3447" s="90" t="s">
        <v>1904</v>
      </c>
      <c r="F3447" s="90" t="s">
        <v>864</v>
      </c>
      <c r="G3447" s="137">
        <v>6</v>
      </c>
      <c r="H3447" s="94">
        <v>540</v>
      </c>
      <c r="I3447" s="87">
        <v>46087</v>
      </c>
      <c r="J3447" s="93">
        <v>0.56944444444444442</v>
      </c>
      <c r="K3447" s="94">
        <v>540</v>
      </c>
      <c r="L3447" s="72" t="str">
        <f t="shared" si="54"/>
        <v>Payé</v>
      </c>
      <c r="N3447" s="15"/>
    </row>
    <row r="3448" spans="1:14" s="14" customFormat="1" ht="18" x14ac:dyDescent="0.25">
      <c r="A3448" s="90" t="s">
        <v>864</v>
      </c>
      <c r="B3448" s="90">
        <v>10490</v>
      </c>
      <c r="C3448" s="88" t="s">
        <v>1643</v>
      </c>
      <c r="D3448" s="90" t="s">
        <v>17</v>
      </c>
      <c r="E3448" s="90" t="s">
        <v>649</v>
      </c>
      <c r="F3448" s="90" t="s">
        <v>864</v>
      </c>
      <c r="G3448" s="137">
        <v>1</v>
      </c>
      <c r="H3448" s="94">
        <v>90</v>
      </c>
      <c r="I3448" s="87">
        <v>46090</v>
      </c>
      <c r="J3448" s="93">
        <v>0.46180555555555558</v>
      </c>
      <c r="K3448" s="94">
        <v>90</v>
      </c>
      <c r="L3448" s="72" t="str">
        <f t="shared" si="54"/>
        <v>Payé</v>
      </c>
      <c r="N3448" s="15"/>
    </row>
    <row r="3449" spans="1:14" s="14" customFormat="1" ht="18" x14ac:dyDescent="0.25">
      <c r="A3449" s="90" t="s">
        <v>864</v>
      </c>
      <c r="B3449" s="90">
        <v>10492</v>
      </c>
      <c r="C3449" s="88" t="s">
        <v>1645</v>
      </c>
      <c r="D3449" s="90" t="s">
        <v>17</v>
      </c>
      <c r="E3449" s="90" t="s">
        <v>628</v>
      </c>
      <c r="F3449" s="90" t="s">
        <v>864</v>
      </c>
      <c r="G3449" s="137">
        <v>1</v>
      </c>
      <c r="H3449" s="94">
        <v>90</v>
      </c>
      <c r="I3449" s="87">
        <v>46087</v>
      </c>
      <c r="J3449" s="93">
        <v>0.55833333333333335</v>
      </c>
      <c r="K3449" s="94">
        <v>90</v>
      </c>
      <c r="L3449" s="72" t="str">
        <f t="shared" si="54"/>
        <v>Payé</v>
      </c>
      <c r="N3449" s="15"/>
    </row>
    <row r="3450" spans="1:14" s="14" customFormat="1" ht="18" x14ac:dyDescent="0.25">
      <c r="A3450" s="90" t="s">
        <v>864</v>
      </c>
      <c r="B3450" s="90">
        <v>10496</v>
      </c>
      <c r="C3450" s="88" t="s">
        <v>1648</v>
      </c>
      <c r="D3450" s="90" t="s">
        <v>17</v>
      </c>
      <c r="E3450" s="90" t="s">
        <v>753</v>
      </c>
      <c r="F3450" s="90" t="s">
        <v>864</v>
      </c>
      <c r="G3450" s="137">
        <v>5</v>
      </c>
      <c r="H3450" s="94">
        <v>450</v>
      </c>
      <c r="I3450" s="87">
        <v>46087</v>
      </c>
      <c r="J3450" s="93">
        <v>0.4381944444444445</v>
      </c>
      <c r="K3450" s="94">
        <v>450</v>
      </c>
      <c r="L3450" s="72" t="str">
        <f t="shared" si="54"/>
        <v>Payé</v>
      </c>
      <c r="N3450" s="15"/>
    </row>
    <row r="3451" spans="1:14" s="14" customFormat="1" ht="18" x14ac:dyDescent="0.25">
      <c r="A3451" s="90" t="s">
        <v>864</v>
      </c>
      <c r="B3451" s="90">
        <v>10502</v>
      </c>
      <c r="C3451" s="88" t="s">
        <v>1653</v>
      </c>
      <c r="D3451" s="90" t="s">
        <v>17</v>
      </c>
      <c r="E3451" s="90" t="s">
        <v>81</v>
      </c>
      <c r="F3451" s="90" t="s">
        <v>864</v>
      </c>
      <c r="G3451" s="137">
        <v>1</v>
      </c>
      <c r="H3451" s="94">
        <v>87</v>
      </c>
      <c r="I3451" s="87">
        <v>46088</v>
      </c>
      <c r="J3451" s="93">
        <v>0.46597222222222223</v>
      </c>
      <c r="K3451" s="94">
        <v>87</v>
      </c>
      <c r="L3451" s="72" t="str">
        <f t="shared" si="54"/>
        <v>Payé</v>
      </c>
      <c r="N3451" s="15"/>
    </row>
    <row r="3452" spans="1:14" s="14" customFormat="1" ht="18" x14ac:dyDescent="0.25">
      <c r="A3452" s="90" t="s">
        <v>864</v>
      </c>
      <c r="B3452" s="90" t="s">
        <v>1685</v>
      </c>
      <c r="C3452" s="88" t="s">
        <v>1686</v>
      </c>
      <c r="D3452" s="90" t="s">
        <v>17</v>
      </c>
      <c r="E3452" s="90" t="s">
        <v>1664</v>
      </c>
      <c r="F3452" s="90" t="s">
        <v>864</v>
      </c>
      <c r="G3452" s="137">
        <v>2</v>
      </c>
      <c r="H3452" s="94">
        <v>173</v>
      </c>
      <c r="I3452" s="87">
        <v>46087</v>
      </c>
      <c r="J3452" s="93">
        <v>0.50624999999999998</v>
      </c>
      <c r="K3452" s="94">
        <v>173</v>
      </c>
      <c r="L3452" s="72" t="str">
        <f t="shared" si="54"/>
        <v>Payé</v>
      </c>
      <c r="N3452" s="15"/>
    </row>
    <row r="3453" spans="1:14" s="14" customFormat="1" ht="18" x14ac:dyDescent="0.25">
      <c r="A3453" s="90" t="s">
        <v>864</v>
      </c>
      <c r="B3453" s="90">
        <v>10507</v>
      </c>
      <c r="C3453" s="88" t="s">
        <v>1657</v>
      </c>
      <c r="D3453" s="90" t="s">
        <v>17</v>
      </c>
      <c r="E3453" s="90" t="s">
        <v>123</v>
      </c>
      <c r="F3453" s="90" t="s">
        <v>864</v>
      </c>
      <c r="G3453" s="137">
        <v>2</v>
      </c>
      <c r="H3453" s="94">
        <v>180</v>
      </c>
      <c r="I3453" s="87">
        <v>46090</v>
      </c>
      <c r="J3453" s="93">
        <v>0.54097222222222219</v>
      </c>
      <c r="K3453" s="94">
        <v>180</v>
      </c>
      <c r="L3453" s="72" t="str">
        <f t="shared" si="54"/>
        <v>Payé</v>
      </c>
      <c r="N3453" s="15"/>
    </row>
    <row r="3454" spans="1:14" s="14" customFormat="1" ht="18" x14ac:dyDescent="0.25">
      <c r="A3454" s="90" t="s">
        <v>864</v>
      </c>
      <c r="B3454" s="90">
        <v>10514</v>
      </c>
      <c r="C3454" s="88" t="s">
        <v>1687</v>
      </c>
      <c r="D3454" s="90" t="s">
        <v>17</v>
      </c>
      <c r="E3454" s="90" t="s">
        <v>123</v>
      </c>
      <c r="F3454" s="90" t="s">
        <v>864</v>
      </c>
      <c r="G3454" s="137">
        <v>4</v>
      </c>
      <c r="H3454" s="94">
        <v>360</v>
      </c>
      <c r="I3454" s="87">
        <v>46090</v>
      </c>
      <c r="J3454" s="93">
        <v>0.55069444444444449</v>
      </c>
      <c r="K3454" s="94">
        <v>360</v>
      </c>
      <c r="L3454" s="72" t="str">
        <f t="shared" si="54"/>
        <v>Payé</v>
      </c>
      <c r="N3454" s="15"/>
    </row>
    <row r="3455" spans="1:14" s="14" customFormat="1" ht="18" x14ac:dyDescent="0.25">
      <c r="A3455" s="90" t="s">
        <v>864</v>
      </c>
      <c r="B3455" s="90">
        <v>10515</v>
      </c>
      <c r="C3455" s="88" t="s">
        <v>1688</v>
      </c>
      <c r="D3455" s="90" t="s">
        <v>17</v>
      </c>
      <c r="E3455" s="90" t="s">
        <v>1907</v>
      </c>
      <c r="F3455" s="90" t="s">
        <v>864</v>
      </c>
      <c r="G3455" s="137">
        <v>4</v>
      </c>
      <c r="H3455" s="94">
        <v>360</v>
      </c>
      <c r="I3455" s="87">
        <v>46087</v>
      </c>
      <c r="J3455" s="93">
        <v>0.49374999999999997</v>
      </c>
      <c r="K3455" s="94">
        <v>360</v>
      </c>
      <c r="L3455" s="72" t="str">
        <f t="shared" si="54"/>
        <v>Payé</v>
      </c>
      <c r="N3455" s="15"/>
    </row>
    <row r="3456" spans="1:14" s="14" customFormat="1" ht="18" x14ac:dyDescent="0.25">
      <c r="A3456" s="90" t="s">
        <v>864</v>
      </c>
      <c r="B3456" s="90" t="s">
        <v>1689</v>
      </c>
      <c r="C3456" s="88" t="s">
        <v>1690</v>
      </c>
      <c r="D3456" s="90" t="s">
        <v>17</v>
      </c>
      <c r="E3456" s="90" t="s">
        <v>1664</v>
      </c>
      <c r="F3456" s="90" t="s">
        <v>864</v>
      </c>
      <c r="G3456" s="137">
        <v>1</v>
      </c>
      <c r="H3456" s="94">
        <v>87</v>
      </c>
      <c r="I3456" s="87"/>
      <c r="J3456" s="93"/>
      <c r="K3456" s="92"/>
      <c r="L3456" s="72" t="str">
        <f t="shared" si="54"/>
        <v>Impayé</v>
      </c>
      <c r="N3456" s="15"/>
    </row>
    <row r="3457" spans="1:14" s="14" customFormat="1" ht="18" x14ac:dyDescent="0.25">
      <c r="A3457" s="90" t="s">
        <v>864</v>
      </c>
      <c r="B3457" s="90" t="s">
        <v>1691</v>
      </c>
      <c r="C3457" s="88" t="s">
        <v>1692</v>
      </c>
      <c r="D3457" s="90" t="s">
        <v>17</v>
      </c>
      <c r="E3457" s="90" t="s">
        <v>1664</v>
      </c>
      <c r="F3457" s="90" t="s">
        <v>864</v>
      </c>
      <c r="G3457" s="137">
        <v>1</v>
      </c>
      <c r="H3457" s="94">
        <v>87</v>
      </c>
      <c r="I3457" s="87">
        <v>46086</v>
      </c>
      <c r="J3457" s="93">
        <v>0.58124999999999993</v>
      </c>
      <c r="K3457" s="94">
        <v>87</v>
      </c>
      <c r="L3457" s="72" t="str">
        <f t="shared" si="54"/>
        <v>Payé</v>
      </c>
      <c r="N3457" s="15"/>
    </row>
    <row r="3458" spans="1:14" s="14" customFormat="1" ht="18" x14ac:dyDescent="0.25">
      <c r="A3458" s="90" t="s">
        <v>864</v>
      </c>
      <c r="B3458" s="90" t="s">
        <v>1693</v>
      </c>
      <c r="C3458" s="88" t="s">
        <v>1694</v>
      </c>
      <c r="D3458" s="90" t="s">
        <v>17</v>
      </c>
      <c r="E3458" s="90" t="s">
        <v>1664</v>
      </c>
      <c r="F3458" s="90" t="s">
        <v>864</v>
      </c>
      <c r="G3458" s="137">
        <v>1</v>
      </c>
      <c r="H3458" s="94">
        <v>87</v>
      </c>
      <c r="I3458" s="87"/>
      <c r="J3458" s="93"/>
      <c r="K3458" s="92"/>
      <c r="L3458" s="72" t="str">
        <f t="shared" si="54"/>
        <v>Impayé</v>
      </c>
      <c r="N3458" s="15"/>
    </row>
    <row r="3459" spans="1:14" s="14" customFormat="1" ht="18" x14ac:dyDescent="0.25">
      <c r="A3459" s="90" t="s">
        <v>864</v>
      </c>
      <c r="B3459" s="90" t="s">
        <v>1699</v>
      </c>
      <c r="C3459" s="88" t="s">
        <v>1700</v>
      </c>
      <c r="D3459" s="90" t="s">
        <v>17</v>
      </c>
      <c r="E3459" s="90" t="s">
        <v>1664</v>
      </c>
      <c r="F3459" s="90" t="s">
        <v>864</v>
      </c>
      <c r="G3459" s="137">
        <v>1</v>
      </c>
      <c r="H3459" s="94">
        <v>87</v>
      </c>
      <c r="I3459" s="87">
        <v>46088</v>
      </c>
      <c r="J3459" s="93">
        <v>0.52152777777777781</v>
      </c>
      <c r="K3459" s="94">
        <v>87</v>
      </c>
      <c r="L3459" s="72" t="str">
        <f t="shared" si="54"/>
        <v>Payé</v>
      </c>
      <c r="N3459" s="15"/>
    </row>
    <row r="3460" spans="1:14" s="14" customFormat="1" ht="18" x14ac:dyDescent="0.25">
      <c r="A3460" s="90" t="s">
        <v>864</v>
      </c>
      <c r="B3460" s="90">
        <v>10522</v>
      </c>
      <c r="C3460" s="88" t="s">
        <v>1701</v>
      </c>
      <c r="D3460" s="90" t="s">
        <v>17</v>
      </c>
      <c r="E3460" s="90" t="s">
        <v>1104</v>
      </c>
      <c r="F3460" s="90" t="s">
        <v>864</v>
      </c>
      <c r="G3460" s="137">
        <v>6</v>
      </c>
      <c r="H3460" s="94">
        <v>540</v>
      </c>
      <c r="I3460" s="87">
        <v>46088</v>
      </c>
      <c r="J3460" s="93">
        <v>0.54097222222222219</v>
      </c>
      <c r="K3460" s="94">
        <v>540</v>
      </c>
      <c r="L3460" s="72" t="str">
        <f t="shared" si="54"/>
        <v>Payé</v>
      </c>
      <c r="N3460" s="15"/>
    </row>
    <row r="3461" spans="1:14" s="14" customFormat="1" ht="18" x14ac:dyDescent="0.25">
      <c r="A3461" s="90" t="s">
        <v>864</v>
      </c>
      <c r="B3461" s="90" t="s">
        <v>1703</v>
      </c>
      <c r="C3461" s="88" t="s">
        <v>1704</v>
      </c>
      <c r="D3461" s="90" t="s">
        <v>17</v>
      </c>
      <c r="E3461" s="90" t="s">
        <v>1664</v>
      </c>
      <c r="F3461" s="90" t="s">
        <v>864</v>
      </c>
      <c r="G3461" s="137">
        <v>1</v>
      </c>
      <c r="H3461" s="94">
        <v>87</v>
      </c>
      <c r="I3461" s="87"/>
      <c r="J3461" s="93"/>
      <c r="K3461" s="92"/>
      <c r="L3461" s="72" t="str">
        <f t="shared" si="54"/>
        <v>Impayé</v>
      </c>
      <c r="N3461" s="15"/>
    </row>
    <row r="3462" spans="1:14" s="14" customFormat="1" ht="18" x14ac:dyDescent="0.25">
      <c r="A3462" s="90" t="s">
        <v>864</v>
      </c>
      <c r="B3462" s="90">
        <v>10527</v>
      </c>
      <c r="C3462" s="88" t="s">
        <v>1708</v>
      </c>
      <c r="D3462" s="90" t="s">
        <v>17</v>
      </c>
      <c r="E3462" s="90" t="s">
        <v>1104</v>
      </c>
      <c r="F3462" s="90" t="s">
        <v>864</v>
      </c>
      <c r="G3462" s="137">
        <v>6</v>
      </c>
      <c r="H3462" s="94">
        <v>540</v>
      </c>
      <c r="I3462" s="87">
        <v>46087</v>
      </c>
      <c r="J3462" s="93">
        <v>0.61111111111111105</v>
      </c>
      <c r="K3462" s="94">
        <v>540</v>
      </c>
      <c r="L3462" s="72" t="str">
        <f t="shared" si="54"/>
        <v>Payé</v>
      </c>
      <c r="N3462" s="15"/>
    </row>
    <row r="3463" spans="1:14" s="14" customFormat="1" ht="18" x14ac:dyDescent="0.25">
      <c r="A3463" s="90" t="s">
        <v>864</v>
      </c>
      <c r="B3463" s="90">
        <v>10528</v>
      </c>
      <c r="C3463" s="88" t="s">
        <v>1709</v>
      </c>
      <c r="D3463" s="90" t="s">
        <v>17</v>
      </c>
      <c r="E3463" s="90" t="s">
        <v>1104</v>
      </c>
      <c r="F3463" s="90" t="s">
        <v>864</v>
      </c>
      <c r="G3463" s="137">
        <v>7</v>
      </c>
      <c r="H3463" s="94">
        <v>630</v>
      </c>
      <c r="I3463" s="87">
        <v>46087</v>
      </c>
      <c r="J3463" s="93">
        <v>0.59791666666666665</v>
      </c>
      <c r="K3463" s="94">
        <v>630</v>
      </c>
      <c r="L3463" s="72" t="str">
        <f t="shared" si="54"/>
        <v>Payé</v>
      </c>
      <c r="N3463" s="15"/>
    </row>
    <row r="3464" spans="1:14" s="14" customFormat="1" ht="18" x14ac:dyDescent="0.25">
      <c r="A3464" s="90" t="s">
        <v>864</v>
      </c>
      <c r="B3464" s="90">
        <v>10530</v>
      </c>
      <c r="C3464" s="88" t="s">
        <v>1711</v>
      </c>
      <c r="D3464" s="90" t="s">
        <v>17</v>
      </c>
      <c r="E3464" s="90" t="s">
        <v>753</v>
      </c>
      <c r="F3464" s="90" t="s">
        <v>864</v>
      </c>
      <c r="G3464" s="137">
        <v>4</v>
      </c>
      <c r="H3464" s="94">
        <v>360</v>
      </c>
      <c r="I3464" s="87">
        <v>46087</v>
      </c>
      <c r="J3464" s="93">
        <v>0.4381944444444445</v>
      </c>
      <c r="K3464" s="94">
        <v>360</v>
      </c>
      <c r="L3464" s="72" t="str">
        <f t="shared" si="54"/>
        <v>Payé</v>
      </c>
      <c r="N3464" s="15"/>
    </row>
    <row r="3465" spans="1:14" s="14" customFormat="1" ht="18" x14ac:dyDescent="0.25">
      <c r="A3465" s="90" t="s">
        <v>864</v>
      </c>
      <c r="B3465" s="90">
        <v>10531</v>
      </c>
      <c r="C3465" s="88" t="s">
        <v>1712</v>
      </c>
      <c r="D3465" s="90" t="s">
        <v>17</v>
      </c>
      <c r="E3465" s="90" t="s">
        <v>753</v>
      </c>
      <c r="F3465" s="90" t="s">
        <v>864</v>
      </c>
      <c r="G3465" s="137">
        <v>4</v>
      </c>
      <c r="H3465" s="94">
        <v>360</v>
      </c>
      <c r="I3465" s="87">
        <v>46087</v>
      </c>
      <c r="J3465" s="93">
        <v>0.4381944444444445</v>
      </c>
      <c r="K3465" s="94">
        <v>360</v>
      </c>
      <c r="L3465" s="72" t="str">
        <f t="shared" si="54"/>
        <v>Payé</v>
      </c>
      <c r="N3465" s="15"/>
    </row>
    <row r="3466" spans="1:14" s="14" customFormat="1" ht="18" x14ac:dyDescent="0.25">
      <c r="A3466" s="90" t="s">
        <v>864</v>
      </c>
      <c r="B3466" s="90">
        <v>10532</v>
      </c>
      <c r="C3466" s="88" t="s">
        <v>1713</v>
      </c>
      <c r="D3466" s="90" t="s">
        <v>17</v>
      </c>
      <c r="E3466" s="90" t="s">
        <v>49</v>
      </c>
      <c r="F3466" s="90" t="s">
        <v>864</v>
      </c>
      <c r="G3466" s="137">
        <v>1</v>
      </c>
      <c r="H3466" s="94">
        <v>90</v>
      </c>
      <c r="I3466" s="87"/>
      <c r="J3466" s="93"/>
      <c r="K3466" s="92"/>
      <c r="L3466" s="72" t="str">
        <f t="shared" si="54"/>
        <v>Impayé</v>
      </c>
      <c r="N3466" s="15"/>
    </row>
    <row r="3467" spans="1:14" s="14" customFormat="1" ht="18" x14ac:dyDescent="0.25">
      <c r="A3467" s="90" t="s">
        <v>864</v>
      </c>
      <c r="B3467" s="90">
        <v>10538</v>
      </c>
      <c r="C3467" s="88" t="s">
        <v>1719</v>
      </c>
      <c r="D3467" s="90" t="s">
        <v>17</v>
      </c>
      <c r="E3467" s="90" t="s">
        <v>123</v>
      </c>
      <c r="F3467" s="90" t="s">
        <v>864</v>
      </c>
      <c r="G3467" s="137">
        <v>4</v>
      </c>
      <c r="H3467" s="94">
        <v>380</v>
      </c>
      <c r="I3467" s="87">
        <v>46090</v>
      </c>
      <c r="J3467" s="93">
        <v>0.46458333333333335</v>
      </c>
      <c r="K3467" s="94">
        <v>380</v>
      </c>
      <c r="L3467" s="72" t="str">
        <f t="shared" si="54"/>
        <v>Payé</v>
      </c>
      <c r="N3467" s="15"/>
    </row>
    <row r="3468" spans="1:14" s="14" customFormat="1" ht="18" x14ac:dyDescent="0.25">
      <c r="A3468" s="90" t="s">
        <v>864</v>
      </c>
      <c r="B3468" s="90">
        <v>10539</v>
      </c>
      <c r="C3468" s="88" t="s">
        <v>1837</v>
      </c>
      <c r="D3468" s="90" t="s">
        <v>17</v>
      </c>
      <c r="E3468" s="90" t="s">
        <v>1800</v>
      </c>
      <c r="F3468" s="90" t="s">
        <v>864</v>
      </c>
      <c r="G3468" s="137">
        <v>11</v>
      </c>
      <c r="H3468" s="94">
        <v>990</v>
      </c>
      <c r="I3468" s="87">
        <v>46087</v>
      </c>
      <c r="J3468" s="93">
        <v>0.55555555555555558</v>
      </c>
      <c r="K3468" s="94">
        <v>990</v>
      </c>
      <c r="L3468" s="72" t="str">
        <f t="shared" si="54"/>
        <v>Payé</v>
      </c>
      <c r="N3468" s="15"/>
    </row>
    <row r="3469" spans="1:14" s="14" customFormat="1" ht="18" x14ac:dyDescent="0.25">
      <c r="A3469" s="90" t="s">
        <v>864</v>
      </c>
      <c r="B3469" s="90">
        <v>10541</v>
      </c>
      <c r="C3469" s="88" t="s">
        <v>1721</v>
      </c>
      <c r="D3469" s="90" t="s">
        <v>17</v>
      </c>
      <c r="E3469" s="90" t="s">
        <v>757</v>
      </c>
      <c r="F3469" s="90" t="s">
        <v>864</v>
      </c>
      <c r="G3469" s="137">
        <v>3</v>
      </c>
      <c r="H3469" s="94">
        <v>270</v>
      </c>
      <c r="I3469" s="87">
        <v>46087</v>
      </c>
      <c r="J3469" s="93">
        <v>0.64027777777777783</v>
      </c>
      <c r="K3469" s="94">
        <v>270</v>
      </c>
      <c r="L3469" s="72" t="str">
        <f t="shared" si="54"/>
        <v>Payé</v>
      </c>
      <c r="N3469" s="15"/>
    </row>
    <row r="3470" spans="1:14" s="14" customFormat="1" ht="18" x14ac:dyDescent="0.25">
      <c r="A3470" s="90" t="s">
        <v>864</v>
      </c>
      <c r="B3470" s="90">
        <v>10543</v>
      </c>
      <c r="C3470" s="88" t="s">
        <v>1723</v>
      </c>
      <c r="D3470" s="90" t="s">
        <v>17</v>
      </c>
      <c r="E3470" s="90" t="s">
        <v>123</v>
      </c>
      <c r="F3470" s="90" t="s">
        <v>864</v>
      </c>
      <c r="G3470" s="137">
        <v>4</v>
      </c>
      <c r="H3470" s="94">
        <v>360</v>
      </c>
      <c r="I3470" s="87">
        <v>46090</v>
      </c>
      <c r="J3470" s="93">
        <v>0.54027777777777775</v>
      </c>
      <c r="K3470" s="94">
        <v>360</v>
      </c>
      <c r="L3470" s="72" t="str">
        <f t="shared" si="54"/>
        <v>Payé</v>
      </c>
      <c r="N3470" s="15"/>
    </row>
    <row r="3471" spans="1:14" s="14" customFormat="1" ht="18" x14ac:dyDescent="0.25">
      <c r="A3471" s="90" t="s">
        <v>864</v>
      </c>
      <c r="B3471" s="90">
        <v>10545</v>
      </c>
      <c r="C3471" s="88" t="s">
        <v>1725</v>
      </c>
      <c r="D3471" s="90" t="s">
        <v>17</v>
      </c>
      <c r="E3471" s="90" t="s">
        <v>123</v>
      </c>
      <c r="F3471" s="90" t="s">
        <v>864</v>
      </c>
      <c r="G3471" s="137">
        <v>1</v>
      </c>
      <c r="H3471" s="94">
        <v>90</v>
      </c>
      <c r="I3471" s="87">
        <v>46087</v>
      </c>
      <c r="J3471" s="93">
        <v>0.60347222222222219</v>
      </c>
      <c r="K3471" s="94">
        <v>90</v>
      </c>
      <c r="L3471" s="72" t="str">
        <f t="shared" si="54"/>
        <v>Payé</v>
      </c>
      <c r="N3471" s="15"/>
    </row>
    <row r="3472" spans="1:14" s="14" customFormat="1" ht="18" x14ac:dyDescent="0.25">
      <c r="A3472" s="90" t="s">
        <v>864</v>
      </c>
      <c r="B3472" s="90">
        <v>10546</v>
      </c>
      <c r="C3472" s="88" t="s">
        <v>1726</v>
      </c>
      <c r="D3472" s="90" t="s">
        <v>17</v>
      </c>
      <c r="E3472" s="90" t="s">
        <v>123</v>
      </c>
      <c r="F3472" s="90" t="s">
        <v>864</v>
      </c>
      <c r="G3472" s="137">
        <v>4</v>
      </c>
      <c r="H3472" s="94">
        <v>360</v>
      </c>
      <c r="I3472" s="87">
        <v>46090</v>
      </c>
      <c r="J3472" s="93">
        <v>0.54027777777777775</v>
      </c>
      <c r="K3472" s="94">
        <v>360</v>
      </c>
      <c r="L3472" s="72" t="str">
        <f t="shared" si="54"/>
        <v>Payé</v>
      </c>
      <c r="N3472" s="15"/>
    </row>
    <row r="3473" spans="1:14" s="14" customFormat="1" ht="18" x14ac:dyDescent="0.25">
      <c r="A3473" s="90" t="s">
        <v>864</v>
      </c>
      <c r="B3473" s="90">
        <v>10547</v>
      </c>
      <c r="C3473" s="88" t="s">
        <v>1727</v>
      </c>
      <c r="D3473" s="90" t="s">
        <v>17</v>
      </c>
      <c r="E3473" s="90" t="s">
        <v>123</v>
      </c>
      <c r="F3473" s="90" t="s">
        <v>864</v>
      </c>
      <c r="G3473" s="137">
        <v>1</v>
      </c>
      <c r="H3473" s="94">
        <v>90</v>
      </c>
      <c r="I3473" s="194">
        <v>46100</v>
      </c>
      <c r="J3473" s="195">
        <v>0.53888888888888886</v>
      </c>
      <c r="K3473" s="141">
        <v>90</v>
      </c>
      <c r="L3473" s="72" t="str">
        <f t="shared" si="54"/>
        <v>Payé</v>
      </c>
      <c r="N3473" s="15"/>
    </row>
    <row r="3474" spans="1:14" s="14" customFormat="1" ht="18" x14ac:dyDescent="0.25">
      <c r="A3474" s="90" t="s">
        <v>864</v>
      </c>
      <c r="B3474" s="90" t="s">
        <v>1730</v>
      </c>
      <c r="C3474" s="88" t="s">
        <v>1731</v>
      </c>
      <c r="D3474" s="90" t="s">
        <v>17</v>
      </c>
      <c r="E3474" s="90" t="s">
        <v>1908</v>
      </c>
      <c r="F3474" s="90" t="s">
        <v>864</v>
      </c>
      <c r="G3474" s="137">
        <v>2</v>
      </c>
      <c r="H3474" s="94">
        <v>173</v>
      </c>
      <c r="I3474" s="87">
        <v>46088</v>
      </c>
      <c r="J3474" s="93">
        <v>0.46736111111111112</v>
      </c>
      <c r="K3474" s="94">
        <v>173</v>
      </c>
      <c r="L3474" s="72" t="str">
        <f t="shared" si="54"/>
        <v>Payé</v>
      </c>
      <c r="N3474" s="15"/>
    </row>
    <row r="3475" spans="1:14" s="14" customFormat="1" ht="18" x14ac:dyDescent="0.25">
      <c r="A3475" s="90" t="s">
        <v>864</v>
      </c>
      <c r="B3475" s="90">
        <v>10552</v>
      </c>
      <c r="C3475" s="88" t="s">
        <v>1733</v>
      </c>
      <c r="D3475" s="90" t="s">
        <v>17</v>
      </c>
      <c r="E3475" s="90" t="s">
        <v>1907</v>
      </c>
      <c r="F3475" s="90" t="s">
        <v>864</v>
      </c>
      <c r="G3475" s="137">
        <v>5</v>
      </c>
      <c r="H3475" s="94">
        <v>450</v>
      </c>
      <c r="I3475" s="87">
        <v>46092</v>
      </c>
      <c r="J3475" s="93">
        <v>0.54027777777777775</v>
      </c>
      <c r="K3475" s="94">
        <v>450</v>
      </c>
      <c r="L3475" s="72" t="str">
        <f t="shared" si="54"/>
        <v>Payé</v>
      </c>
      <c r="N3475" s="15"/>
    </row>
    <row r="3476" spans="1:14" s="14" customFormat="1" ht="18" x14ac:dyDescent="0.25">
      <c r="A3476" s="90" t="s">
        <v>864</v>
      </c>
      <c r="B3476" s="90">
        <v>10554</v>
      </c>
      <c r="C3476" s="88" t="s">
        <v>1735</v>
      </c>
      <c r="D3476" s="90" t="s">
        <v>17</v>
      </c>
      <c r="E3476" s="90" t="s">
        <v>1907</v>
      </c>
      <c r="F3476" s="90" t="s">
        <v>864</v>
      </c>
      <c r="G3476" s="137">
        <v>3</v>
      </c>
      <c r="H3476" s="94">
        <v>270</v>
      </c>
      <c r="I3476" s="87">
        <v>46087</v>
      </c>
      <c r="J3476" s="93">
        <v>0.48958333333333331</v>
      </c>
      <c r="K3476" s="94">
        <v>270</v>
      </c>
      <c r="L3476" s="72" t="str">
        <f t="shared" si="54"/>
        <v>Payé</v>
      </c>
      <c r="N3476" s="15"/>
    </row>
    <row r="3477" spans="1:14" s="14" customFormat="1" ht="18" x14ac:dyDescent="0.25">
      <c r="A3477" s="90" t="s">
        <v>864</v>
      </c>
      <c r="B3477" s="90">
        <v>10555</v>
      </c>
      <c r="C3477" s="88" t="s">
        <v>1736</v>
      </c>
      <c r="D3477" s="90" t="s">
        <v>17</v>
      </c>
      <c r="E3477" s="90" t="s">
        <v>1907</v>
      </c>
      <c r="F3477" s="90" t="s">
        <v>864</v>
      </c>
      <c r="G3477" s="137">
        <v>7</v>
      </c>
      <c r="H3477" s="94">
        <v>650</v>
      </c>
      <c r="I3477" s="87">
        <v>46086</v>
      </c>
      <c r="J3477" s="93">
        <v>0.66319444444444442</v>
      </c>
      <c r="K3477" s="94">
        <v>650</v>
      </c>
      <c r="L3477" s="72" t="str">
        <f t="shared" si="54"/>
        <v>Payé</v>
      </c>
      <c r="N3477" s="15"/>
    </row>
    <row r="3478" spans="1:14" s="14" customFormat="1" ht="18" x14ac:dyDescent="0.25">
      <c r="A3478" s="90" t="s">
        <v>864</v>
      </c>
      <c r="B3478" s="90">
        <v>10556</v>
      </c>
      <c r="C3478" s="88" t="s">
        <v>1737</v>
      </c>
      <c r="D3478" s="90" t="s">
        <v>17</v>
      </c>
      <c r="E3478" s="90" t="s">
        <v>1907</v>
      </c>
      <c r="F3478" s="90" t="s">
        <v>864</v>
      </c>
      <c r="G3478" s="137">
        <v>12</v>
      </c>
      <c r="H3478" s="94">
        <v>1080</v>
      </c>
      <c r="I3478" s="87">
        <v>46086</v>
      </c>
      <c r="J3478" s="93">
        <v>0.57708333333333328</v>
      </c>
      <c r="K3478" s="94">
        <v>1080</v>
      </c>
      <c r="L3478" s="72" t="str">
        <f t="shared" si="54"/>
        <v>Payé</v>
      </c>
      <c r="N3478" s="15"/>
    </row>
    <row r="3479" spans="1:14" s="14" customFormat="1" ht="18" x14ac:dyDescent="0.25">
      <c r="A3479" s="90" t="s">
        <v>864</v>
      </c>
      <c r="B3479" s="90">
        <v>10557</v>
      </c>
      <c r="C3479" s="88" t="s">
        <v>1738</v>
      </c>
      <c r="D3479" s="90" t="s">
        <v>17</v>
      </c>
      <c r="E3479" s="90" t="s">
        <v>1907</v>
      </c>
      <c r="F3479" s="90" t="s">
        <v>864</v>
      </c>
      <c r="G3479" s="137">
        <v>9</v>
      </c>
      <c r="H3479" s="94">
        <v>840</v>
      </c>
      <c r="I3479" s="87">
        <v>46086</v>
      </c>
      <c r="J3479" s="93">
        <v>0.57708333333333328</v>
      </c>
      <c r="K3479" s="94">
        <v>840</v>
      </c>
      <c r="L3479" s="72" t="str">
        <f t="shared" si="54"/>
        <v>Payé</v>
      </c>
      <c r="N3479" s="15"/>
    </row>
    <row r="3480" spans="1:14" s="14" customFormat="1" ht="18" x14ac:dyDescent="0.25">
      <c r="A3480" s="90" t="s">
        <v>864</v>
      </c>
      <c r="B3480" s="90">
        <v>10558</v>
      </c>
      <c r="C3480" s="88" t="s">
        <v>1739</v>
      </c>
      <c r="D3480" s="90" t="s">
        <v>17</v>
      </c>
      <c r="E3480" s="90" t="s">
        <v>1907</v>
      </c>
      <c r="F3480" s="90" t="s">
        <v>864</v>
      </c>
      <c r="G3480" s="137">
        <v>4</v>
      </c>
      <c r="H3480" s="94">
        <v>360</v>
      </c>
      <c r="I3480" s="87">
        <v>46087</v>
      </c>
      <c r="J3480" s="93">
        <v>0.49444444444444446</v>
      </c>
      <c r="K3480" s="94">
        <v>360</v>
      </c>
      <c r="L3480" s="72" t="str">
        <f t="shared" si="54"/>
        <v>Payé</v>
      </c>
      <c r="N3480" s="15"/>
    </row>
    <row r="3481" spans="1:14" s="14" customFormat="1" ht="18" x14ac:dyDescent="0.25">
      <c r="A3481" s="90" t="s">
        <v>864</v>
      </c>
      <c r="B3481" s="90">
        <v>10561</v>
      </c>
      <c r="C3481" s="88" t="s">
        <v>1742</v>
      </c>
      <c r="D3481" s="90" t="s">
        <v>17</v>
      </c>
      <c r="E3481" s="90" t="s">
        <v>123</v>
      </c>
      <c r="F3481" s="90" t="s">
        <v>864</v>
      </c>
      <c r="G3481" s="137">
        <v>4</v>
      </c>
      <c r="H3481" s="94">
        <v>360</v>
      </c>
      <c r="I3481" s="87">
        <v>46090</v>
      </c>
      <c r="J3481" s="93">
        <v>0.54027777777777775</v>
      </c>
      <c r="K3481" s="94">
        <v>360</v>
      </c>
      <c r="L3481" s="72" t="str">
        <f t="shared" si="54"/>
        <v>Payé</v>
      </c>
      <c r="N3481" s="15"/>
    </row>
    <row r="3482" spans="1:14" s="14" customFormat="1" ht="18" x14ac:dyDescent="0.25">
      <c r="A3482" s="90" t="s">
        <v>864</v>
      </c>
      <c r="B3482" s="90">
        <v>10562</v>
      </c>
      <c r="C3482" s="88" t="s">
        <v>1743</v>
      </c>
      <c r="D3482" s="90" t="s">
        <v>17</v>
      </c>
      <c r="E3482" s="90" t="s">
        <v>1907</v>
      </c>
      <c r="F3482" s="90" t="s">
        <v>864</v>
      </c>
      <c r="G3482" s="137">
        <v>9</v>
      </c>
      <c r="H3482" s="94">
        <v>820</v>
      </c>
      <c r="I3482" s="87">
        <v>46086</v>
      </c>
      <c r="J3482" s="93">
        <v>0.57708333333333328</v>
      </c>
      <c r="K3482" s="94">
        <v>820</v>
      </c>
      <c r="L3482" s="72" t="str">
        <f t="shared" si="54"/>
        <v>Payé</v>
      </c>
      <c r="N3482" s="15"/>
    </row>
    <row r="3483" spans="1:14" s="14" customFormat="1" ht="18" x14ac:dyDescent="0.25">
      <c r="A3483" s="90" t="s">
        <v>864</v>
      </c>
      <c r="B3483" s="90">
        <v>10563</v>
      </c>
      <c r="C3483" s="88" t="s">
        <v>1744</v>
      </c>
      <c r="D3483" s="90" t="s">
        <v>17</v>
      </c>
      <c r="E3483" s="90" t="s">
        <v>1800</v>
      </c>
      <c r="F3483" s="90" t="s">
        <v>864</v>
      </c>
      <c r="G3483" s="137">
        <v>11</v>
      </c>
      <c r="H3483" s="94">
        <v>990</v>
      </c>
      <c r="I3483" s="87">
        <v>46086</v>
      </c>
      <c r="J3483" s="93">
        <v>0.64722222222222225</v>
      </c>
      <c r="K3483" s="94">
        <v>990</v>
      </c>
      <c r="L3483" s="72" t="str">
        <f t="shared" si="54"/>
        <v>Payé</v>
      </c>
      <c r="N3483" s="15"/>
    </row>
    <row r="3484" spans="1:14" s="14" customFormat="1" ht="18" x14ac:dyDescent="0.25">
      <c r="A3484" s="90" t="s">
        <v>864</v>
      </c>
      <c r="B3484" s="90">
        <v>10564</v>
      </c>
      <c r="C3484" s="88" t="s">
        <v>1745</v>
      </c>
      <c r="D3484" s="90" t="s">
        <v>17</v>
      </c>
      <c r="E3484" s="90" t="s">
        <v>1800</v>
      </c>
      <c r="F3484" s="90" t="s">
        <v>864</v>
      </c>
      <c r="G3484" s="137">
        <v>10</v>
      </c>
      <c r="H3484" s="94">
        <v>900</v>
      </c>
      <c r="I3484" s="87">
        <v>46086</v>
      </c>
      <c r="J3484" s="93">
        <v>0.66249999999999998</v>
      </c>
      <c r="K3484" s="94">
        <v>900</v>
      </c>
      <c r="L3484" s="72" t="str">
        <f t="shared" si="54"/>
        <v>Payé</v>
      </c>
      <c r="N3484" s="15"/>
    </row>
    <row r="3485" spans="1:14" s="14" customFormat="1" ht="18" x14ac:dyDescent="0.25">
      <c r="A3485" s="90" t="s">
        <v>864</v>
      </c>
      <c r="B3485" s="90">
        <v>10565</v>
      </c>
      <c r="C3485" s="88" t="s">
        <v>1746</v>
      </c>
      <c r="D3485" s="90" t="s">
        <v>17</v>
      </c>
      <c r="E3485" s="90" t="s">
        <v>1800</v>
      </c>
      <c r="F3485" s="90" t="s">
        <v>864</v>
      </c>
      <c r="G3485" s="137">
        <v>9</v>
      </c>
      <c r="H3485" s="94">
        <v>810</v>
      </c>
      <c r="I3485" s="87">
        <v>46086</v>
      </c>
      <c r="J3485" s="93">
        <v>0.64722222222222225</v>
      </c>
      <c r="K3485" s="94">
        <v>810</v>
      </c>
      <c r="L3485" s="72" t="str">
        <f t="shared" si="54"/>
        <v>Payé</v>
      </c>
      <c r="N3485" s="15"/>
    </row>
    <row r="3486" spans="1:14" s="14" customFormat="1" ht="18" x14ac:dyDescent="0.25">
      <c r="A3486" s="90" t="s">
        <v>864</v>
      </c>
      <c r="B3486" s="90">
        <v>10566</v>
      </c>
      <c r="C3486" s="88" t="s">
        <v>1747</v>
      </c>
      <c r="D3486" s="90" t="s">
        <v>17</v>
      </c>
      <c r="E3486" s="90" t="s">
        <v>1800</v>
      </c>
      <c r="F3486" s="90" t="s">
        <v>864</v>
      </c>
      <c r="G3486" s="137">
        <v>11</v>
      </c>
      <c r="H3486" s="94">
        <v>990</v>
      </c>
      <c r="I3486" s="87">
        <v>46086</v>
      </c>
      <c r="J3486" s="93">
        <v>0.64722222222222225</v>
      </c>
      <c r="K3486" s="94">
        <v>990</v>
      </c>
      <c r="L3486" s="72" t="str">
        <f t="shared" ref="L3486:L3549" si="55">IF(ISBLANK(H3486),"",IF(H3486=K3486,"Payé","Impayé"))</f>
        <v>Payé</v>
      </c>
      <c r="N3486" s="15"/>
    </row>
    <row r="3487" spans="1:14" s="14" customFormat="1" ht="18" x14ac:dyDescent="0.25">
      <c r="A3487" s="90" t="s">
        <v>864</v>
      </c>
      <c r="B3487" s="90">
        <v>10567</v>
      </c>
      <c r="C3487" s="88" t="s">
        <v>1748</v>
      </c>
      <c r="D3487" s="90" t="s">
        <v>17</v>
      </c>
      <c r="E3487" s="90" t="s">
        <v>1800</v>
      </c>
      <c r="F3487" s="90" t="s">
        <v>864</v>
      </c>
      <c r="G3487" s="137">
        <v>4</v>
      </c>
      <c r="H3487" s="94">
        <v>360</v>
      </c>
      <c r="I3487" s="87">
        <v>46086</v>
      </c>
      <c r="J3487" s="93">
        <v>0.64722222222222225</v>
      </c>
      <c r="K3487" s="94">
        <v>360</v>
      </c>
      <c r="L3487" s="72" t="str">
        <f t="shared" si="55"/>
        <v>Payé</v>
      </c>
      <c r="N3487" s="15"/>
    </row>
    <row r="3488" spans="1:14" s="14" customFormat="1" ht="18" x14ac:dyDescent="0.25">
      <c r="A3488" s="90" t="s">
        <v>864</v>
      </c>
      <c r="B3488" s="90">
        <v>10568</v>
      </c>
      <c r="C3488" s="88" t="s">
        <v>1749</v>
      </c>
      <c r="D3488" s="90" t="s">
        <v>17</v>
      </c>
      <c r="E3488" s="90" t="s">
        <v>1800</v>
      </c>
      <c r="F3488" s="90" t="s">
        <v>864</v>
      </c>
      <c r="G3488" s="137">
        <v>11</v>
      </c>
      <c r="H3488" s="94">
        <v>990</v>
      </c>
      <c r="I3488" s="87">
        <v>46086</v>
      </c>
      <c r="J3488" s="93">
        <v>0.66249999999999998</v>
      </c>
      <c r="K3488" s="94">
        <v>990</v>
      </c>
      <c r="L3488" s="72" t="str">
        <f t="shared" si="55"/>
        <v>Payé</v>
      </c>
      <c r="N3488" s="15"/>
    </row>
    <row r="3489" spans="1:14" s="14" customFormat="1" ht="18" x14ac:dyDescent="0.25">
      <c r="A3489" s="90" t="s">
        <v>864</v>
      </c>
      <c r="B3489" s="90">
        <v>10569</v>
      </c>
      <c r="C3489" s="88" t="s">
        <v>1750</v>
      </c>
      <c r="D3489" s="90" t="s">
        <v>17</v>
      </c>
      <c r="E3489" s="90" t="s">
        <v>1800</v>
      </c>
      <c r="F3489" s="90" t="s">
        <v>864</v>
      </c>
      <c r="G3489" s="137">
        <v>10</v>
      </c>
      <c r="H3489" s="94">
        <v>900</v>
      </c>
      <c r="I3489" s="87">
        <v>46086</v>
      </c>
      <c r="J3489" s="93">
        <v>0.64722222222222225</v>
      </c>
      <c r="K3489" s="94">
        <v>900</v>
      </c>
      <c r="L3489" s="72" t="str">
        <f t="shared" si="55"/>
        <v>Payé</v>
      </c>
      <c r="N3489" s="15"/>
    </row>
    <row r="3490" spans="1:14" s="14" customFormat="1" ht="18" x14ac:dyDescent="0.25">
      <c r="A3490" s="90" t="s">
        <v>864</v>
      </c>
      <c r="B3490" s="90">
        <v>10570</v>
      </c>
      <c r="C3490" s="88" t="s">
        <v>1751</v>
      </c>
      <c r="D3490" s="90" t="s">
        <v>17</v>
      </c>
      <c r="E3490" s="90" t="s">
        <v>1800</v>
      </c>
      <c r="F3490" s="90" t="s">
        <v>864</v>
      </c>
      <c r="G3490" s="137">
        <v>9</v>
      </c>
      <c r="H3490" s="94">
        <v>810</v>
      </c>
      <c r="I3490" s="87">
        <v>46087</v>
      </c>
      <c r="J3490" s="93">
        <v>0.55555555555555558</v>
      </c>
      <c r="K3490" s="94">
        <v>810</v>
      </c>
      <c r="L3490" s="72" t="str">
        <f t="shared" si="55"/>
        <v>Payé</v>
      </c>
      <c r="N3490" s="15"/>
    </row>
    <row r="3491" spans="1:14" s="14" customFormat="1" ht="18" x14ac:dyDescent="0.25">
      <c r="A3491" s="90" t="s">
        <v>864</v>
      </c>
      <c r="B3491" s="90">
        <v>10571</v>
      </c>
      <c r="C3491" s="88" t="s">
        <v>1752</v>
      </c>
      <c r="D3491" s="90" t="s">
        <v>17</v>
      </c>
      <c r="E3491" s="90" t="s">
        <v>1800</v>
      </c>
      <c r="F3491" s="90" t="s">
        <v>864</v>
      </c>
      <c r="G3491" s="137">
        <v>8</v>
      </c>
      <c r="H3491" s="94">
        <v>720</v>
      </c>
      <c r="I3491" s="87">
        <v>46086</v>
      </c>
      <c r="J3491" s="93">
        <v>0.59166666666666667</v>
      </c>
      <c r="K3491" s="94">
        <v>720</v>
      </c>
      <c r="L3491" s="72" t="str">
        <f t="shared" si="55"/>
        <v>Payé</v>
      </c>
      <c r="N3491" s="15"/>
    </row>
    <row r="3492" spans="1:14" s="14" customFormat="1" ht="18" x14ac:dyDescent="0.25">
      <c r="A3492" s="90" t="s">
        <v>864</v>
      </c>
      <c r="B3492" s="90">
        <v>10573</v>
      </c>
      <c r="C3492" s="88" t="s">
        <v>1838</v>
      </c>
      <c r="D3492" s="90" t="s">
        <v>17</v>
      </c>
      <c r="E3492" s="90" t="s">
        <v>1104</v>
      </c>
      <c r="F3492" s="90" t="s">
        <v>864</v>
      </c>
      <c r="G3492" s="137">
        <v>6</v>
      </c>
      <c r="H3492" s="94">
        <v>540</v>
      </c>
      <c r="I3492" s="87">
        <v>46087</v>
      </c>
      <c r="J3492" s="93">
        <v>0.5493055555555556</v>
      </c>
      <c r="K3492" s="94">
        <v>540</v>
      </c>
      <c r="L3492" s="72" t="str">
        <f t="shared" si="55"/>
        <v>Payé</v>
      </c>
      <c r="N3492" s="15"/>
    </row>
    <row r="3493" spans="1:14" s="14" customFormat="1" ht="18" x14ac:dyDescent="0.25">
      <c r="A3493" s="90" t="s">
        <v>864</v>
      </c>
      <c r="B3493" s="90">
        <v>10582</v>
      </c>
      <c r="C3493" s="88" t="s">
        <v>1765</v>
      </c>
      <c r="D3493" s="90" t="s">
        <v>17</v>
      </c>
      <c r="E3493" s="90" t="s">
        <v>123</v>
      </c>
      <c r="F3493" s="90" t="s">
        <v>864</v>
      </c>
      <c r="G3493" s="137">
        <v>4</v>
      </c>
      <c r="H3493" s="94">
        <v>380</v>
      </c>
      <c r="I3493" s="87">
        <v>46090</v>
      </c>
      <c r="J3493" s="93">
        <v>0.54027777777777775</v>
      </c>
      <c r="K3493" s="94">
        <v>380</v>
      </c>
      <c r="L3493" s="72" t="str">
        <f t="shared" si="55"/>
        <v>Payé</v>
      </c>
      <c r="N3493" s="15"/>
    </row>
    <row r="3494" spans="1:14" s="14" customFormat="1" ht="18" x14ac:dyDescent="0.25">
      <c r="A3494" s="90" t="s">
        <v>864</v>
      </c>
      <c r="B3494" s="90">
        <v>10583</v>
      </c>
      <c r="C3494" s="88" t="s">
        <v>1766</v>
      </c>
      <c r="D3494" s="90" t="s">
        <v>17</v>
      </c>
      <c r="E3494" s="90" t="s">
        <v>1104</v>
      </c>
      <c r="F3494" s="90" t="s">
        <v>864</v>
      </c>
      <c r="G3494" s="137">
        <v>4</v>
      </c>
      <c r="H3494" s="94">
        <v>360</v>
      </c>
      <c r="I3494" s="87">
        <v>46087</v>
      </c>
      <c r="J3494" s="93">
        <v>0.48402777777777778</v>
      </c>
      <c r="K3494" s="94">
        <v>360</v>
      </c>
      <c r="L3494" s="72" t="str">
        <f t="shared" si="55"/>
        <v>Payé</v>
      </c>
      <c r="N3494" s="15"/>
    </row>
    <row r="3495" spans="1:14" s="14" customFormat="1" ht="18" x14ac:dyDescent="0.25">
      <c r="A3495" s="90" t="s">
        <v>864</v>
      </c>
      <c r="B3495" s="90">
        <v>10584</v>
      </c>
      <c r="C3495" s="88" t="s">
        <v>1767</v>
      </c>
      <c r="D3495" s="90" t="s">
        <v>17</v>
      </c>
      <c r="E3495" s="90" t="s">
        <v>1104</v>
      </c>
      <c r="F3495" s="90" t="s">
        <v>864</v>
      </c>
      <c r="G3495" s="137">
        <v>7</v>
      </c>
      <c r="H3495" s="94">
        <v>630</v>
      </c>
      <c r="I3495" s="87">
        <v>46087</v>
      </c>
      <c r="J3495" s="93">
        <v>0.50555555555555554</v>
      </c>
      <c r="K3495" s="94">
        <v>630</v>
      </c>
      <c r="L3495" s="72" t="str">
        <f t="shared" si="55"/>
        <v>Payé</v>
      </c>
      <c r="N3495" s="15"/>
    </row>
    <row r="3496" spans="1:14" s="14" customFormat="1" ht="18" x14ac:dyDescent="0.25">
      <c r="A3496" s="90" t="s">
        <v>864</v>
      </c>
      <c r="B3496" s="90" t="s">
        <v>1776</v>
      </c>
      <c r="C3496" s="88" t="s">
        <v>1777</v>
      </c>
      <c r="D3496" s="90" t="s">
        <v>17</v>
      </c>
      <c r="E3496" s="90" t="s">
        <v>1664</v>
      </c>
      <c r="F3496" s="90" t="s">
        <v>864</v>
      </c>
      <c r="G3496" s="137">
        <v>1</v>
      </c>
      <c r="H3496" s="94">
        <v>87</v>
      </c>
      <c r="I3496" s="87">
        <v>46086</v>
      </c>
      <c r="J3496" s="93">
        <v>0.58124999999999993</v>
      </c>
      <c r="K3496" s="94">
        <v>87</v>
      </c>
      <c r="L3496" s="72" t="str">
        <f t="shared" si="55"/>
        <v>Payé</v>
      </c>
      <c r="N3496" s="15"/>
    </row>
    <row r="3497" spans="1:14" s="14" customFormat="1" ht="18" x14ac:dyDescent="0.25">
      <c r="A3497" s="90" t="s">
        <v>864</v>
      </c>
      <c r="B3497" s="90">
        <v>10596</v>
      </c>
      <c r="C3497" s="88" t="s">
        <v>1782</v>
      </c>
      <c r="D3497" s="90" t="s">
        <v>17</v>
      </c>
      <c r="E3497" s="90" t="s">
        <v>1104</v>
      </c>
      <c r="F3497" s="90" t="s">
        <v>864</v>
      </c>
      <c r="G3497" s="137">
        <v>4</v>
      </c>
      <c r="H3497" s="94">
        <v>360</v>
      </c>
      <c r="I3497" s="87">
        <v>46087</v>
      </c>
      <c r="J3497" s="93">
        <v>0.59791666666666665</v>
      </c>
      <c r="K3497" s="94">
        <v>360</v>
      </c>
      <c r="L3497" s="72" t="str">
        <f t="shared" si="55"/>
        <v>Payé</v>
      </c>
      <c r="N3497" s="15"/>
    </row>
    <row r="3498" spans="1:14" s="14" customFormat="1" ht="18" x14ac:dyDescent="0.25">
      <c r="A3498" s="90" t="s">
        <v>864</v>
      </c>
      <c r="B3498" s="90" t="s">
        <v>1783</v>
      </c>
      <c r="C3498" s="88" t="s">
        <v>1784</v>
      </c>
      <c r="D3498" s="90" t="s">
        <v>17</v>
      </c>
      <c r="E3498" s="90" t="s">
        <v>1664</v>
      </c>
      <c r="F3498" s="90" t="s">
        <v>864</v>
      </c>
      <c r="G3498" s="137">
        <v>1</v>
      </c>
      <c r="H3498" s="94">
        <v>87</v>
      </c>
      <c r="I3498" s="87">
        <v>46086</v>
      </c>
      <c r="J3498" s="93">
        <v>0.58124999999999993</v>
      </c>
      <c r="K3498" s="94">
        <v>87</v>
      </c>
      <c r="L3498" s="72" t="str">
        <f t="shared" si="55"/>
        <v>Payé</v>
      </c>
      <c r="N3498" s="15"/>
    </row>
    <row r="3499" spans="1:14" s="14" customFormat="1" ht="18" x14ac:dyDescent="0.25">
      <c r="A3499" s="90" t="s">
        <v>864</v>
      </c>
      <c r="B3499" s="90">
        <v>10603</v>
      </c>
      <c r="C3499" s="88" t="s">
        <v>1789</v>
      </c>
      <c r="D3499" s="90" t="s">
        <v>17</v>
      </c>
      <c r="E3499" s="90" t="s">
        <v>1907</v>
      </c>
      <c r="F3499" s="90" t="s">
        <v>864</v>
      </c>
      <c r="G3499" s="137">
        <v>1</v>
      </c>
      <c r="H3499" s="94">
        <v>90</v>
      </c>
      <c r="I3499" s="87"/>
      <c r="J3499" s="93"/>
      <c r="K3499" s="92"/>
      <c r="L3499" s="72" t="str">
        <f t="shared" si="55"/>
        <v>Impayé</v>
      </c>
      <c r="N3499" s="15"/>
    </row>
    <row r="3500" spans="1:14" s="14" customFormat="1" ht="18" x14ac:dyDescent="0.25">
      <c r="A3500" s="90" t="s">
        <v>864</v>
      </c>
      <c r="B3500" s="90">
        <v>10605</v>
      </c>
      <c r="C3500" s="88" t="s">
        <v>1791</v>
      </c>
      <c r="D3500" s="90" t="s">
        <v>17</v>
      </c>
      <c r="E3500" s="90" t="s">
        <v>1907</v>
      </c>
      <c r="F3500" s="90" t="s">
        <v>864</v>
      </c>
      <c r="G3500" s="137">
        <v>7</v>
      </c>
      <c r="H3500" s="94">
        <v>630</v>
      </c>
      <c r="I3500" s="87">
        <v>46086</v>
      </c>
      <c r="J3500" s="93">
        <v>0.57708333333333328</v>
      </c>
      <c r="K3500" s="94">
        <v>630</v>
      </c>
      <c r="L3500" s="72" t="str">
        <f t="shared" si="55"/>
        <v>Payé</v>
      </c>
      <c r="N3500" s="15"/>
    </row>
    <row r="3501" spans="1:14" s="14" customFormat="1" ht="18" x14ac:dyDescent="0.25">
      <c r="A3501" s="90" t="s">
        <v>864</v>
      </c>
      <c r="B3501" s="90">
        <v>10606</v>
      </c>
      <c r="C3501" s="88" t="s">
        <v>1792</v>
      </c>
      <c r="D3501" s="90" t="s">
        <v>17</v>
      </c>
      <c r="E3501" s="90" t="s">
        <v>1909</v>
      </c>
      <c r="F3501" s="90" t="s">
        <v>864</v>
      </c>
      <c r="G3501" s="137">
        <v>13</v>
      </c>
      <c r="H3501" s="94">
        <v>1560</v>
      </c>
      <c r="I3501" s="87">
        <v>46090</v>
      </c>
      <c r="J3501" s="93">
        <v>0.5756944444444444</v>
      </c>
      <c r="K3501" s="94">
        <v>1560</v>
      </c>
      <c r="L3501" s="72" t="str">
        <f t="shared" si="55"/>
        <v>Payé</v>
      </c>
      <c r="N3501" s="15"/>
    </row>
    <row r="3502" spans="1:14" s="14" customFormat="1" ht="18" x14ac:dyDescent="0.25">
      <c r="A3502" s="90" t="s">
        <v>864</v>
      </c>
      <c r="B3502" s="90">
        <v>10607</v>
      </c>
      <c r="C3502" s="88" t="s">
        <v>1793</v>
      </c>
      <c r="D3502" s="90" t="s">
        <v>17</v>
      </c>
      <c r="E3502" s="90" t="s">
        <v>1800</v>
      </c>
      <c r="F3502" s="90" t="s">
        <v>864</v>
      </c>
      <c r="G3502" s="137">
        <v>9</v>
      </c>
      <c r="H3502" s="94">
        <v>810</v>
      </c>
      <c r="I3502" s="194">
        <v>46087</v>
      </c>
      <c r="J3502" s="195">
        <v>0.59375</v>
      </c>
      <c r="K3502" s="141">
        <v>810</v>
      </c>
      <c r="L3502" s="72" t="str">
        <f t="shared" si="55"/>
        <v>Payé</v>
      </c>
      <c r="N3502" s="15"/>
    </row>
    <row r="3503" spans="1:14" s="14" customFormat="1" ht="18" x14ac:dyDescent="0.25">
      <c r="A3503" s="90" t="s">
        <v>864</v>
      </c>
      <c r="B3503" s="90" t="s">
        <v>1796</v>
      </c>
      <c r="C3503" s="88" t="s">
        <v>1797</v>
      </c>
      <c r="D3503" s="90" t="s">
        <v>17</v>
      </c>
      <c r="E3503" s="90" t="s">
        <v>1664</v>
      </c>
      <c r="F3503" s="90" t="s">
        <v>864</v>
      </c>
      <c r="G3503" s="137">
        <v>2</v>
      </c>
      <c r="H3503" s="94">
        <v>180</v>
      </c>
      <c r="I3503" s="87">
        <v>46087</v>
      </c>
      <c r="J3503" s="93">
        <v>13089</v>
      </c>
      <c r="K3503" s="94">
        <v>180</v>
      </c>
      <c r="L3503" s="72" t="str">
        <f t="shared" si="55"/>
        <v>Payé</v>
      </c>
      <c r="N3503" s="15"/>
    </row>
    <row r="3504" spans="1:14" s="14" customFormat="1" ht="18" x14ac:dyDescent="0.25">
      <c r="A3504" s="90" t="s">
        <v>864</v>
      </c>
      <c r="B3504" s="90">
        <v>10611</v>
      </c>
      <c r="C3504" s="88" t="s">
        <v>1839</v>
      </c>
      <c r="D3504" s="90" t="s">
        <v>17</v>
      </c>
      <c r="E3504" s="90" t="s">
        <v>1104</v>
      </c>
      <c r="F3504" s="90" t="s">
        <v>864</v>
      </c>
      <c r="G3504" s="137">
        <v>5</v>
      </c>
      <c r="H3504" s="94">
        <v>450</v>
      </c>
      <c r="I3504" s="87">
        <v>46087</v>
      </c>
      <c r="J3504" s="93">
        <v>0.5493055555555556</v>
      </c>
      <c r="K3504" s="94">
        <v>450</v>
      </c>
      <c r="L3504" s="72" t="str">
        <f t="shared" si="55"/>
        <v>Payé</v>
      </c>
      <c r="N3504" s="15"/>
    </row>
    <row r="3505" spans="1:14" s="14" customFormat="1" ht="18" x14ac:dyDescent="0.25">
      <c r="A3505" s="90" t="s">
        <v>864</v>
      </c>
      <c r="B3505" s="90">
        <v>10612</v>
      </c>
      <c r="C3505" s="88" t="s">
        <v>1840</v>
      </c>
      <c r="D3505" s="90" t="s">
        <v>17</v>
      </c>
      <c r="E3505" s="90" t="s">
        <v>1907</v>
      </c>
      <c r="F3505" s="90" t="s">
        <v>864</v>
      </c>
      <c r="G3505" s="137">
        <v>3</v>
      </c>
      <c r="H3505" s="94">
        <v>270</v>
      </c>
      <c r="I3505" s="87">
        <v>46091</v>
      </c>
      <c r="J3505" s="93">
        <v>0.53749999999999998</v>
      </c>
      <c r="K3505" s="94">
        <v>270</v>
      </c>
      <c r="L3505" s="72" t="str">
        <f t="shared" si="55"/>
        <v>Payé</v>
      </c>
      <c r="N3505" s="15"/>
    </row>
    <row r="3506" spans="1:14" s="14" customFormat="1" ht="18" x14ac:dyDescent="0.25">
      <c r="A3506" s="90" t="s">
        <v>864</v>
      </c>
      <c r="B3506" s="90">
        <v>10614</v>
      </c>
      <c r="C3506" s="88" t="s">
        <v>1841</v>
      </c>
      <c r="D3506" s="90" t="s">
        <v>17</v>
      </c>
      <c r="E3506" s="90" t="s">
        <v>1907</v>
      </c>
      <c r="F3506" s="90" t="s">
        <v>864</v>
      </c>
      <c r="G3506" s="137">
        <v>2</v>
      </c>
      <c r="H3506" s="94">
        <v>180</v>
      </c>
      <c r="I3506" s="87">
        <v>46087</v>
      </c>
      <c r="J3506" s="93">
        <v>0.60486111111111118</v>
      </c>
      <c r="K3506" s="94">
        <v>180</v>
      </c>
      <c r="L3506" s="72" t="str">
        <f t="shared" si="55"/>
        <v>Payé</v>
      </c>
      <c r="N3506" s="15"/>
    </row>
    <row r="3507" spans="1:14" s="14" customFormat="1" ht="18" x14ac:dyDescent="0.25">
      <c r="A3507" s="90" t="s">
        <v>864</v>
      </c>
      <c r="B3507" s="90">
        <v>10615</v>
      </c>
      <c r="C3507" s="88" t="s">
        <v>731</v>
      </c>
      <c r="D3507" s="90" t="s">
        <v>17</v>
      </c>
      <c r="E3507" s="90" t="s">
        <v>649</v>
      </c>
      <c r="F3507" s="90" t="s">
        <v>864</v>
      </c>
      <c r="G3507" s="137">
        <v>6</v>
      </c>
      <c r="H3507" s="94">
        <v>540</v>
      </c>
      <c r="I3507" s="87">
        <v>46090</v>
      </c>
      <c r="J3507" s="93">
        <v>0.54236111111111118</v>
      </c>
      <c r="K3507" s="94">
        <v>540</v>
      </c>
      <c r="L3507" s="72" t="str">
        <f t="shared" si="55"/>
        <v>Payé</v>
      </c>
      <c r="N3507" s="15"/>
    </row>
    <row r="3508" spans="1:14" s="14" customFormat="1" ht="18" x14ac:dyDescent="0.25">
      <c r="A3508" s="90" t="s">
        <v>864</v>
      </c>
      <c r="B3508" s="90">
        <v>10616</v>
      </c>
      <c r="C3508" s="88" t="s">
        <v>1842</v>
      </c>
      <c r="D3508" s="90" t="s">
        <v>17</v>
      </c>
      <c r="E3508" s="90" t="s">
        <v>757</v>
      </c>
      <c r="F3508" s="90" t="s">
        <v>864</v>
      </c>
      <c r="G3508" s="137">
        <v>3</v>
      </c>
      <c r="H3508" s="94">
        <v>270</v>
      </c>
      <c r="I3508" s="87">
        <v>46087</v>
      </c>
      <c r="J3508" s="93">
        <v>0.64027777777777783</v>
      </c>
      <c r="K3508" s="94">
        <v>270</v>
      </c>
      <c r="L3508" s="72" t="str">
        <f t="shared" si="55"/>
        <v>Payé</v>
      </c>
      <c r="N3508" s="15"/>
    </row>
    <row r="3509" spans="1:14" s="14" customFormat="1" ht="18" x14ac:dyDescent="0.25">
      <c r="A3509" s="90" t="s">
        <v>864</v>
      </c>
      <c r="B3509" s="90">
        <v>10617</v>
      </c>
      <c r="C3509" s="88" t="s">
        <v>1843</v>
      </c>
      <c r="D3509" s="90" t="s">
        <v>17</v>
      </c>
      <c r="E3509" s="90" t="s">
        <v>649</v>
      </c>
      <c r="F3509" s="90" t="s">
        <v>864</v>
      </c>
      <c r="G3509" s="137">
        <v>5</v>
      </c>
      <c r="H3509" s="94">
        <v>450</v>
      </c>
      <c r="I3509" s="87">
        <v>46092</v>
      </c>
      <c r="J3509" s="93">
        <v>0.50972222222222219</v>
      </c>
      <c r="K3509" s="94">
        <v>450</v>
      </c>
      <c r="L3509" s="72" t="str">
        <f t="shared" si="55"/>
        <v>Payé</v>
      </c>
      <c r="N3509" s="15"/>
    </row>
    <row r="3510" spans="1:14" s="14" customFormat="1" ht="18" x14ac:dyDescent="0.25">
      <c r="A3510" s="90" t="s">
        <v>864</v>
      </c>
      <c r="B3510" s="90">
        <v>10618</v>
      </c>
      <c r="C3510" s="88" t="s">
        <v>1844</v>
      </c>
      <c r="D3510" s="90" t="s">
        <v>17</v>
      </c>
      <c r="E3510" s="90" t="s">
        <v>757</v>
      </c>
      <c r="F3510" s="90" t="s">
        <v>864</v>
      </c>
      <c r="G3510" s="137">
        <v>3</v>
      </c>
      <c r="H3510" s="94">
        <v>270</v>
      </c>
      <c r="I3510" s="87">
        <v>46087</v>
      </c>
      <c r="J3510" s="93">
        <v>0.64027777777777783</v>
      </c>
      <c r="K3510" s="94">
        <v>270</v>
      </c>
      <c r="L3510" s="72" t="str">
        <f t="shared" si="55"/>
        <v>Payé</v>
      </c>
      <c r="N3510" s="15"/>
    </row>
    <row r="3511" spans="1:14" s="14" customFormat="1" ht="18" x14ac:dyDescent="0.25">
      <c r="A3511" s="90" t="s">
        <v>864</v>
      </c>
      <c r="B3511" s="90">
        <v>10619</v>
      </c>
      <c r="C3511" s="88" t="s">
        <v>1845</v>
      </c>
      <c r="D3511" s="90" t="s">
        <v>17</v>
      </c>
      <c r="E3511" s="90" t="s">
        <v>1104</v>
      </c>
      <c r="F3511" s="90" t="s">
        <v>864</v>
      </c>
      <c r="G3511" s="137">
        <v>7</v>
      </c>
      <c r="H3511" s="94">
        <v>630</v>
      </c>
      <c r="I3511" s="87">
        <v>46087</v>
      </c>
      <c r="J3511" s="93">
        <v>0.59791666666666665</v>
      </c>
      <c r="K3511" s="94">
        <v>630</v>
      </c>
      <c r="L3511" s="72" t="str">
        <f t="shared" si="55"/>
        <v>Payé</v>
      </c>
      <c r="N3511" s="15"/>
    </row>
    <row r="3512" spans="1:14" s="14" customFormat="1" ht="18" x14ac:dyDescent="0.25">
      <c r="A3512" s="90" t="s">
        <v>864</v>
      </c>
      <c r="B3512" s="90">
        <v>10620</v>
      </c>
      <c r="C3512" s="88" t="s">
        <v>1846</v>
      </c>
      <c r="D3512" s="90" t="s">
        <v>17</v>
      </c>
      <c r="E3512" s="90" t="s">
        <v>1104</v>
      </c>
      <c r="F3512" s="90" t="s">
        <v>864</v>
      </c>
      <c r="G3512" s="137">
        <v>2</v>
      </c>
      <c r="H3512" s="94">
        <v>180</v>
      </c>
      <c r="I3512" s="87">
        <v>46091</v>
      </c>
      <c r="J3512" s="93">
        <v>0.51458333333333328</v>
      </c>
      <c r="K3512" s="94">
        <v>180</v>
      </c>
      <c r="L3512" s="72" t="str">
        <f t="shared" si="55"/>
        <v>Payé</v>
      </c>
      <c r="N3512" s="15"/>
    </row>
    <row r="3513" spans="1:14" s="14" customFormat="1" ht="18" x14ac:dyDescent="0.25">
      <c r="A3513" s="90" t="s">
        <v>864</v>
      </c>
      <c r="B3513" s="90">
        <v>10621</v>
      </c>
      <c r="C3513" s="88" t="s">
        <v>1847</v>
      </c>
      <c r="D3513" s="90" t="s">
        <v>17</v>
      </c>
      <c r="E3513" s="90" t="s">
        <v>123</v>
      </c>
      <c r="F3513" s="90" t="s">
        <v>864</v>
      </c>
      <c r="G3513" s="137">
        <v>3</v>
      </c>
      <c r="H3513" s="94">
        <v>270</v>
      </c>
      <c r="I3513" s="87">
        <v>46099</v>
      </c>
      <c r="J3513" s="93">
        <v>0.61805555555555558</v>
      </c>
      <c r="K3513" s="94">
        <v>270</v>
      </c>
      <c r="L3513" s="72" t="str">
        <f t="shared" si="55"/>
        <v>Payé</v>
      </c>
      <c r="N3513" s="15"/>
    </row>
    <row r="3514" spans="1:14" s="14" customFormat="1" ht="18" x14ac:dyDescent="0.25">
      <c r="A3514" s="90" t="s">
        <v>864</v>
      </c>
      <c r="B3514" s="90">
        <v>10622</v>
      </c>
      <c r="C3514" s="88" t="s">
        <v>1848</v>
      </c>
      <c r="D3514" s="90" t="s">
        <v>17</v>
      </c>
      <c r="E3514" s="90" t="s">
        <v>1902</v>
      </c>
      <c r="F3514" s="90" t="s">
        <v>864</v>
      </c>
      <c r="G3514" s="137">
        <v>8</v>
      </c>
      <c r="H3514" s="94">
        <v>720</v>
      </c>
      <c r="I3514" s="87">
        <v>46086</v>
      </c>
      <c r="J3514" s="93">
        <v>0.66111111111111109</v>
      </c>
      <c r="K3514" s="94">
        <v>720</v>
      </c>
      <c r="L3514" s="72" t="str">
        <f t="shared" si="55"/>
        <v>Payé</v>
      </c>
      <c r="N3514" s="15"/>
    </row>
    <row r="3515" spans="1:14" s="14" customFormat="1" ht="18" x14ac:dyDescent="0.25">
      <c r="A3515" s="90" t="s">
        <v>864</v>
      </c>
      <c r="B3515" s="90">
        <v>10623</v>
      </c>
      <c r="C3515" s="88" t="s">
        <v>1849</v>
      </c>
      <c r="D3515" s="90" t="s">
        <v>17</v>
      </c>
      <c r="E3515" s="90" t="s">
        <v>1902</v>
      </c>
      <c r="F3515" s="90" t="s">
        <v>864</v>
      </c>
      <c r="G3515" s="137">
        <v>6</v>
      </c>
      <c r="H3515" s="94">
        <v>540</v>
      </c>
      <c r="I3515" s="87">
        <v>46086</v>
      </c>
      <c r="J3515" s="93">
        <v>0.66111111111111109</v>
      </c>
      <c r="K3515" s="94">
        <v>540</v>
      </c>
      <c r="L3515" s="72" t="str">
        <f t="shared" si="55"/>
        <v>Payé</v>
      </c>
      <c r="N3515" s="15"/>
    </row>
    <row r="3516" spans="1:14" s="14" customFormat="1" ht="18" x14ac:dyDescent="0.25">
      <c r="A3516" s="90" t="s">
        <v>864</v>
      </c>
      <c r="B3516" s="90">
        <v>10624</v>
      </c>
      <c r="C3516" s="88" t="s">
        <v>1850</v>
      </c>
      <c r="D3516" s="90" t="s">
        <v>17</v>
      </c>
      <c r="E3516" s="90" t="s">
        <v>1902</v>
      </c>
      <c r="F3516" s="90" t="s">
        <v>864</v>
      </c>
      <c r="G3516" s="137">
        <v>8</v>
      </c>
      <c r="H3516" s="94">
        <v>720</v>
      </c>
      <c r="I3516" s="87">
        <v>46090</v>
      </c>
      <c r="J3516" s="93">
        <v>0.54791666666666672</v>
      </c>
      <c r="K3516" s="94">
        <v>720</v>
      </c>
      <c r="L3516" s="72" t="str">
        <f t="shared" si="55"/>
        <v>Payé</v>
      </c>
      <c r="N3516" s="15"/>
    </row>
    <row r="3517" spans="1:14" s="14" customFormat="1" ht="18" x14ac:dyDescent="0.25">
      <c r="A3517" s="90" t="s">
        <v>864</v>
      </c>
      <c r="B3517" s="90">
        <v>10625</v>
      </c>
      <c r="C3517" s="88" t="s">
        <v>1851</v>
      </c>
      <c r="D3517" s="90" t="s">
        <v>17</v>
      </c>
      <c r="E3517" s="90" t="s">
        <v>1902</v>
      </c>
      <c r="F3517" s="90" t="s">
        <v>864</v>
      </c>
      <c r="G3517" s="137">
        <v>7</v>
      </c>
      <c r="H3517" s="94">
        <v>630</v>
      </c>
      <c r="I3517" s="87">
        <v>46086</v>
      </c>
      <c r="J3517" s="93">
        <v>0.66111111111111109</v>
      </c>
      <c r="K3517" s="94">
        <v>630</v>
      </c>
      <c r="L3517" s="72" t="str">
        <f t="shared" si="55"/>
        <v>Payé</v>
      </c>
      <c r="N3517" s="15"/>
    </row>
    <row r="3518" spans="1:14" s="14" customFormat="1" ht="18" x14ac:dyDescent="0.25">
      <c r="A3518" s="90" t="s">
        <v>864</v>
      </c>
      <c r="B3518" s="90">
        <v>10626</v>
      </c>
      <c r="C3518" s="88" t="s">
        <v>1852</v>
      </c>
      <c r="D3518" s="90" t="s">
        <v>17</v>
      </c>
      <c r="E3518" s="90" t="s">
        <v>1902</v>
      </c>
      <c r="F3518" s="90" t="s">
        <v>864</v>
      </c>
      <c r="G3518" s="137">
        <v>7</v>
      </c>
      <c r="H3518" s="94">
        <v>630</v>
      </c>
      <c r="I3518" s="87">
        <v>46091</v>
      </c>
      <c r="J3518" s="93">
        <v>0.56736111111111109</v>
      </c>
      <c r="K3518" s="94">
        <v>630</v>
      </c>
      <c r="L3518" s="72" t="str">
        <f t="shared" si="55"/>
        <v>Payé</v>
      </c>
      <c r="N3518" s="15"/>
    </row>
    <row r="3519" spans="1:14" s="14" customFormat="1" ht="18" x14ac:dyDescent="0.25">
      <c r="A3519" s="90" t="s">
        <v>864</v>
      </c>
      <c r="B3519" s="90">
        <v>10627</v>
      </c>
      <c r="C3519" s="88" t="s">
        <v>1853</v>
      </c>
      <c r="D3519" s="90" t="s">
        <v>17</v>
      </c>
      <c r="E3519" s="90" t="s">
        <v>1902</v>
      </c>
      <c r="F3519" s="90" t="s">
        <v>864</v>
      </c>
      <c r="G3519" s="137">
        <v>8</v>
      </c>
      <c r="H3519" s="94">
        <v>720</v>
      </c>
      <c r="I3519" s="87">
        <v>46086</v>
      </c>
      <c r="J3519" s="93">
        <v>0.66111111111111109</v>
      </c>
      <c r="K3519" s="94">
        <v>720</v>
      </c>
      <c r="L3519" s="72" t="str">
        <f t="shared" si="55"/>
        <v>Payé</v>
      </c>
      <c r="N3519" s="15"/>
    </row>
    <row r="3520" spans="1:14" s="14" customFormat="1" ht="18" x14ac:dyDescent="0.25">
      <c r="A3520" s="90" t="s">
        <v>864</v>
      </c>
      <c r="B3520" s="90">
        <v>10628</v>
      </c>
      <c r="C3520" s="88" t="s">
        <v>1854</v>
      </c>
      <c r="D3520" s="90" t="s">
        <v>17</v>
      </c>
      <c r="E3520" s="90" t="s">
        <v>1902</v>
      </c>
      <c r="F3520" s="90" t="s">
        <v>864</v>
      </c>
      <c r="G3520" s="137">
        <v>8</v>
      </c>
      <c r="H3520" s="94">
        <v>720</v>
      </c>
      <c r="I3520" s="87">
        <v>46086</v>
      </c>
      <c r="J3520" s="93">
        <v>0.66111111111111109</v>
      </c>
      <c r="K3520" s="94">
        <v>720</v>
      </c>
      <c r="L3520" s="72" t="str">
        <f t="shared" si="55"/>
        <v>Payé</v>
      </c>
      <c r="N3520" s="15"/>
    </row>
    <row r="3521" spans="1:14" s="14" customFormat="1" ht="18" x14ac:dyDescent="0.25">
      <c r="A3521" s="90" t="s">
        <v>864</v>
      </c>
      <c r="B3521" s="90">
        <v>10629</v>
      </c>
      <c r="C3521" s="88" t="s">
        <v>1855</v>
      </c>
      <c r="D3521" s="90" t="s">
        <v>17</v>
      </c>
      <c r="E3521" s="90" t="s">
        <v>1902</v>
      </c>
      <c r="F3521" s="90" t="s">
        <v>864</v>
      </c>
      <c r="G3521" s="137">
        <v>7</v>
      </c>
      <c r="H3521" s="94">
        <v>630</v>
      </c>
      <c r="I3521" s="87">
        <v>46086</v>
      </c>
      <c r="J3521" s="93">
        <v>0.66111111111111109</v>
      </c>
      <c r="K3521" s="94">
        <v>630</v>
      </c>
      <c r="L3521" s="72" t="str">
        <f t="shared" si="55"/>
        <v>Payé</v>
      </c>
      <c r="N3521" s="15"/>
    </row>
    <row r="3522" spans="1:14" s="14" customFormat="1" ht="18" x14ac:dyDescent="0.25">
      <c r="A3522" s="90" t="s">
        <v>864</v>
      </c>
      <c r="B3522" s="90">
        <v>10630</v>
      </c>
      <c r="C3522" s="88" t="s">
        <v>1856</v>
      </c>
      <c r="D3522" s="90" t="s">
        <v>17</v>
      </c>
      <c r="E3522" s="90" t="s">
        <v>1902</v>
      </c>
      <c r="F3522" s="90" t="s">
        <v>864</v>
      </c>
      <c r="G3522" s="137">
        <v>7</v>
      </c>
      <c r="H3522" s="94">
        <v>630</v>
      </c>
      <c r="I3522" s="87">
        <v>46086</v>
      </c>
      <c r="J3522" s="93">
        <v>0.66111111111111109</v>
      </c>
      <c r="K3522" s="94">
        <v>630</v>
      </c>
      <c r="L3522" s="72" t="str">
        <f t="shared" si="55"/>
        <v>Payé</v>
      </c>
      <c r="N3522" s="15"/>
    </row>
    <row r="3523" spans="1:14" s="14" customFormat="1" ht="18" x14ac:dyDescent="0.25">
      <c r="A3523" s="90" t="s">
        <v>864</v>
      </c>
      <c r="B3523" s="90">
        <v>10631</v>
      </c>
      <c r="C3523" s="88" t="s">
        <v>1857</v>
      </c>
      <c r="D3523" s="90" t="s">
        <v>17</v>
      </c>
      <c r="E3523" s="90" t="s">
        <v>1902</v>
      </c>
      <c r="F3523" s="90" t="s">
        <v>864</v>
      </c>
      <c r="G3523" s="137">
        <v>8</v>
      </c>
      <c r="H3523" s="94">
        <v>720</v>
      </c>
      <c r="I3523" s="87">
        <v>46086</v>
      </c>
      <c r="J3523" s="93">
        <v>0.66111111111111109</v>
      </c>
      <c r="K3523" s="94">
        <v>720</v>
      </c>
      <c r="L3523" s="72" t="str">
        <f t="shared" si="55"/>
        <v>Payé</v>
      </c>
      <c r="N3523" s="15"/>
    </row>
    <row r="3524" spans="1:14" s="14" customFormat="1" ht="18" x14ac:dyDescent="0.25">
      <c r="A3524" s="90" t="s">
        <v>864</v>
      </c>
      <c r="B3524" s="90">
        <v>10632</v>
      </c>
      <c r="C3524" s="88" t="s">
        <v>1858</v>
      </c>
      <c r="D3524" s="90" t="s">
        <v>17</v>
      </c>
      <c r="E3524" s="90" t="s">
        <v>1902</v>
      </c>
      <c r="F3524" s="90" t="s">
        <v>864</v>
      </c>
      <c r="G3524" s="137">
        <v>8</v>
      </c>
      <c r="H3524" s="94">
        <v>720</v>
      </c>
      <c r="I3524" s="87">
        <v>46090</v>
      </c>
      <c r="J3524" s="93">
        <v>0.54791666666666672</v>
      </c>
      <c r="K3524" s="94">
        <v>720</v>
      </c>
      <c r="L3524" s="72" t="str">
        <f t="shared" si="55"/>
        <v>Payé</v>
      </c>
      <c r="N3524" s="15"/>
    </row>
    <row r="3525" spans="1:14" s="14" customFormat="1" ht="18" x14ac:dyDescent="0.25">
      <c r="A3525" s="90" t="s">
        <v>864</v>
      </c>
      <c r="B3525" s="90">
        <v>10633</v>
      </c>
      <c r="C3525" s="88" t="s">
        <v>1859</v>
      </c>
      <c r="D3525" s="90" t="s">
        <v>17</v>
      </c>
      <c r="E3525" s="90" t="s">
        <v>1902</v>
      </c>
      <c r="F3525" s="90" t="s">
        <v>864</v>
      </c>
      <c r="G3525" s="137">
        <v>7</v>
      </c>
      <c r="H3525" s="94">
        <v>630</v>
      </c>
      <c r="I3525" s="87">
        <v>46086</v>
      </c>
      <c r="J3525" s="93">
        <v>0.66111111111111109</v>
      </c>
      <c r="K3525" s="94">
        <v>630</v>
      </c>
      <c r="L3525" s="72" t="str">
        <f t="shared" si="55"/>
        <v>Payé</v>
      </c>
      <c r="N3525" s="15"/>
    </row>
    <row r="3526" spans="1:14" s="14" customFormat="1" ht="18" x14ac:dyDescent="0.25">
      <c r="A3526" s="90" t="s">
        <v>864</v>
      </c>
      <c r="B3526" s="90">
        <v>10634</v>
      </c>
      <c r="C3526" s="88" t="s">
        <v>1860</v>
      </c>
      <c r="D3526" s="90" t="s">
        <v>17</v>
      </c>
      <c r="E3526" s="90" t="s">
        <v>1800</v>
      </c>
      <c r="F3526" s="90" t="s">
        <v>864</v>
      </c>
      <c r="G3526" s="137">
        <v>5</v>
      </c>
      <c r="H3526" s="94">
        <v>450</v>
      </c>
      <c r="I3526" s="194">
        <v>46087</v>
      </c>
      <c r="J3526" s="195">
        <v>0.59375</v>
      </c>
      <c r="K3526" s="141">
        <v>450</v>
      </c>
      <c r="L3526" s="72" t="str">
        <f t="shared" si="55"/>
        <v>Payé</v>
      </c>
      <c r="N3526" s="15"/>
    </row>
    <row r="3527" spans="1:14" s="14" customFormat="1" ht="18" x14ac:dyDescent="0.25">
      <c r="A3527" s="90" t="s">
        <v>864</v>
      </c>
      <c r="B3527" s="90">
        <v>10635</v>
      </c>
      <c r="C3527" s="88" t="s">
        <v>1861</v>
      </c>
      <c r="D3527" s="90" t="s">
        <v>17</v>
      </c>
      <c r="E3527" s="90" t="s">
        <v>1800</v>
      </c>
      <c r="F3527" s="90" t="s">
        <v>864</v>
      </c>
      <c r="G3527" s="137">
        <v>5</v>
      </c>
      <c r="H3527" s="94">
        <v>450</v>
      </c>
      <c r="I3527" s="87">
        <v>46087</v>
      </c>
      <c r="J3527" s="93">
        <v>0.53333333333333333</v>
      </c>
      <c r="K3527" s="94">
        <v>450</v>
      </c>
      <c r="L3527" s="72" t="str">
        <f t="shared" si="55"/>
        <v>Payé</v>
      </c>
      <c r="N3527" s="15"/>
    </row>
    <row r="3528" spans="1:14" s="14" customFormat="1" ht="18" x14ac:dyDescent="0.25">
      <c r="A3528" s="90" t="s">
        <v>864</v>
      </c>
      <c r="B3528" s="90">
        <v>10637</v>
      </c>
      <c r="C3528" s="88" t="s">
        <v>1862</v>
      </c>
      <c r="D3528" s="90" t="s">
        <v>17</v>
      </c>
      <c r="E3528" s="90" t="s">
        <v>649</v>
      </c>
      <c r="F3528" s="90" t="s">
        <v>864</v>
      </c>
      <c r="G3528" s="137">
        <v>3</v>
      </c>
      <c r="H3528" s="94">
        <v>270</v>
      </c>
      <c r="I3528" s="87">
        <v>46099</v>
      </c>
      <c r="J3528" s="93">
        <v>0.63680555555555551</v>
      </c>
      <c r="K3528" s="94">
        <v>270</v>
      </c>
      <c r="L3528" s="72" t="str">
        <f t="shared" si="55"/>
        <v>Payé</v>
      </c>
      <c r="N3528" s="15"/>
    </row>
    <row r="3529" spans="1:14" s="14" customFormat="1" ht="18" x14ac:dyDescent="0.25">
      <c r="A3529" s="90" t="s">
        <v>864</v>
      </c>
      <c r="B3529" s="90">
        <v>10638</v>
      </c>
      <c r="C3529" s="88" t="s">
        <v>1863</v>
      </c>
      <c r="D3529" s="90" t="s">
        <v>17</v>
      </c>
      <c r="E3529" s="90" t="s">
        <v>1902</v>
      </c>
      <c r="F3529" s="90" t="s">
        <v>864</v>
      </c>
      <c r="G3529" s="137">
        <v>6</v>
      </c>
      <c r="H3529" s="94">
        <v>540</v>
      </c>
      <c r="I3529" s="87">
        <v>46086</v>
      </c>
      <c r="J3529" s="93">
        <v>0.66111111111111109</v>
      </c>
      <c r="K3529" s="94">
        <v>540</v>
      </c>
      <c r="L3529" s="72" t="str">
        <f t="shared" si="55"/>
        <v>Payé</v>
      </c>
      <c r="N3529" s="15"/>
    </row>
    <row r="3530" spans="1:14" s="77" customFormat="1" ht="18" x14ac:dyDescent="0.25">
      <c r="A3530" s="90" t="s">
        <v>864</v>
      </c>
      <c r="B3530" s="90">
        <v>10639</v>
      </c>
      <c r="C3530" s="88" t="s">
        <v>1864</v>
      </c>
      <c r="D3530" s="90" t="s">
        <v>17</v>
      </c>
      <c r="E3530" s="90" t="s">
        <v>1902</v>
      </c>
      <c r="F3530" s="90" t="s">
        <v>864</v>
      </c>
      <c r="G3530" s="137">
        <v>5</v>
      </c>
      <c r="H3530" s="94">
        <v>450</v>
      </c>
      <c r="I3530" s="87">
        <v>46088</v>
      </c>
      <c r="J3530" s="93">
        <v>0.53472222222222221</v>
      </c>
      <c r="K3530" s="94">
        <v>450</v>
      </c>
      <c r="L3530" s="72" t="str">
        <f t="shared" si="55"/>
        <v>Payé</v>
      </c>
      <c r="M3530" s="14"/>
      <c r="N3530" s="15"/>
    </row>
    <row r="3531" spans="1:14" s="14" customFormat="1" ht="18" x14ac:dyDescent="0.25">
      <c r="A3531" s="90" t="s">
        <v>864</v>
      </c>
      <c r="B3531" s="90">
        <v>10640</v>
      </c>
      <c r="C3531" s="88" t="s">
        <v>1865</v>
      </c>
      <c r="D3531" s="90" t="s">
        <v>17</v>
      </c>
      <c r="E3531" s="90" t="s">
        <v>1902</v>
      </c>
      <c r="F3531" s="90" t="s">
        <v>864</v>
      </c>
      <c r="G3531" s="137">
        <v>6</v>
      </c>
      <c r="H3531" s="94">
        <v>540</v>
      </c>
      <c r="I3531" s="87">
        <v>46086</v>
      </c>
      <c r="J3531" s="93">
        <v>0.66111111111111109</v>
      </c>
      <c r="K3531" s="94">
        <v>540</v>
      </c>
      <c r="L3531" s="72" t="str">
        <f t="shared" si="55"/>
        <v>Payé</v>
      </c>
      <c r="N3531" s="15"/>
    </row>
    <row r="3532" spans="1:14" s="14" customFormat="1" ht="18" x14ac:dyDescent="0.25">
      <c r="A3532" s="90" t="s">
        <v>864</v>
      </c>
      <c r="B3532" s="90">
        <v>10641</v>
      </c>
      <c r="C3532" s="88" t="s">
        <v>1866</v>
      </c>
      <c r="D3532" s="90" t="s">
        <v>17</v>
      </c>
      <c r="E3532" s="90" t="s">
        <v>1902</v>
      </c>
      <c r="F3532" s="90" t="s">
        <v>864</v>
      </c>
      <c r="G3532" s="137">
        <v>7</v>
      </c>
      <c r="H3532" s="94">
        <v>630</v>
      </c>
      <c r="I3532" s="87">
        <v>46086</v>
      </c>
      <c r="J3532" s="93">
        <v>0.66111111111111109</v>
      </c>
      <c r="K3532" s="94">
        <v>630</v>
      </c>
      <c r="L3532" s="72" t="str">
        <f t="shared" si="55"/>
        <v>Payé</v>
      </c>
      <c r="N3532" s="15"/>
    </row>
    <row r="3533" spans="1:14" s="14" customFormat="1" ht="18" x14ac:dyDescent="0.25">
      <c r="A3533" s="90" t="s">
        <v>864</v>
      </c>
      <c r="B3533" s="90">
        <v>10642</v>
      </c>
      <c r="C3533" s="88" t="s">
        <v>1315</v>
      </c>
      <c r="D3533" s="90" t="s">
        <v>17</v>
      </c>
      <c r="E3533" s="90" t="s">
        <v>1902</v>
      </c>
      <c r="F3533" s="90" t="s">
        <v>864</v>
      </c>
      <c r="G3533" s="137">
        <v>7</v>
      </c>
      <c r="H3533" s="94">
        <v>630</v>
      </c>
      <c r="I3533" s="87">
        <v>46086</v>
      </c>
      <c r="J3533" s="93">
        <v>0.66111111111111109</v>
      </c>
      <c r="K3533" s="94">
        <v>630</v>
      </c>
      <c r="L3533" s="72" t="str">
        <f t="shared" si="55"/>
        <v>Payé</v>
      </c>
      <c r="N3533" s="15"/>
    </row>
    <row r="3534" spans="1:14" s="14" customFormat="1" ht="18" x14ac:dyDescent="0.25">
      <c r="A3534" s="90" t="s">
        <v>864</v>
      </c>
      <c r="B3534" s="90">
        <v>10643</v>
      </c>
      <c r="C3534" s="88" t="s">
        <v>1867</v>
      </c>
      <c r="D3534" s="90" t="s">
        <v>17</v>
      </c>
      <c r="E3534" s="90" t="s">
        <v>1902</v>
      </c>
      <c r="F3534" s="90" t="s">
        <v>864</v>
      </c>
      <c r="G3534" s="137">
        <v>6</v>
      </c>
      <c r="H3534" s="94">
        <v>540</v>
      </c>
      <c r="I3534" s="87">
        <v>46090</v>
      </c>
      <c r="J3534" s="93">
        <v>0.54791666666666672</v>
      </c>
      <c r="K3534" s="94">
        <v>540</v>
      </c>
      <c r="L3534" s="72" t="str">
        <f t="shared" si="55"/>
        <v>Payé</v>
      </c>
      <c r="N3534" s="15"/>
    </row>
    <row r="3535" spans="1:14" s="14" customFormat="1" ht="18" x14ac:dyDescent="0.25">
      <c r="A3535" s="90" t="s">
        <v>864</v>
      </c>
      <c r="B3535" s="90">
        <v>10644</v>
      </c>
      <c r="C3535" s="88" t="s">
        <v>1868</v>
      </c>
      <c r="D3535" s="90" t="s">
        <v>17</v>
      </c>
      <c r="E3535" s="90" t="s">
        <v>1902</v>
      </c>
      <c r="F3535" s="90" t="s">
        <v>864</v>
      </c>
      <c r="G3535" s="137">
        <v>6</v>
      </c>
      <c r="H3535" s="94">
        <v>540</v>
      </c>
      <c r="I3535" s="87">
        <v>46086</v>
      </c>
      <c r="J3535" s="93">
        <v>0.66111111111111109</v>
      </c>
      <c r="K3535" s="94">
        <v>540</v>
      </c>
      <c r="L3535" s="72" t="str">
        <f t="shared" si="55"/>
        <v>Payé</v>
      </c>
      <c r="N3535" s="15"/>
    </row>
    <row r="3536" spans="1:14" s="14" customFormat="1" ht="18" x14ac:dyDescent="0.25">
      <c r="A3536" s="90" t="s">
        <v>864</v>
      </c>
      <c r="B3536" s="90">
        <v>10648</v>
      </c>
      <c r="C3536" s="88" t="s">
        <v>1869</v>
      </c>
      <c r="D3536" s="90" t="s">
        <v>17</v>
      </c>
      <c r="E3536" s="90" t="s">
        <v>757</v>
      </c>
      <c r="F3536" s="90" t="s">
        <v>864</v>
      </c>
      <c r="G3536" s="137">
        <v>2</v>
      </c>
      <c r="H3536" s="94">
        <v>180</v>
      </c>
      <c r="I3536" s="87">
        <v>46087</v>
      </c>
      <c r="J3536" s="93">
        <v>0.64027777777777783</v>
      </c>
      <c r="K3536" s="94">
        <v>180</v>
      </c>
      <c r="L3536" s="72" t="str">
        <f t="shared" si="55"/>
        <v>Payé</v>
      </c>
      <c r="N3536" s="15"/>
    </row>
    <row r="3537" spans="1:14" s="14" customFormat="1" ht="18" x14ac:dyDescent="0.25">
      <c r="A3537" s="90" t="s">
        <v>864</v>
      </c>
      <c r="B3537" s="90">
        <v>10649</v>
      </c>
      <c r="C3537" s="88" t="s">
        <v>1870</v>
      </c>
      <c r="D3537" s="90" t="s">
        <v>17</v>
      </c>
      <c r="E3537" s="90" t="s">
        <v>757</v>
      </c>
      <c r="F3537" s="90" t="s">
        <v>864</v>
      </c>
      <c r="G3537" s="137">
        <v>1</v>
      </c>
      <c r="H3537" s="94">
        <v>90</v>
      </c>
      <c r="I3537" s="87">
        <v>46087</v>
      </c>
      <c r="J3537" s="93">
        <v>0.64027777777777783</v>
      </c>
      <c r="K3537" s="94">
        <v>90</v>
      </c>
      <c r="L3537" s="72" t="str">
        <f t="shared" si="55"/>
        <v>Payé</v>
      </c>
      <c r="N3537" s="15"/>
    </row>
    <row r="3538" spans="1:14" s="14" customFormat="1" ht="18" x14ac:dyDescent="0.25">
      <c r="A3538" s="90" t="s">
        <v>864</v>
      </c>
      <c r="B3538" s="90">
        <v>10650</v>
      </c>
      <c r="C3538" s="88" t="s">
        <v>1871</v>
      </c>
      <c r="D3538" s="90" t="s">
        <v>17</v>
      </c>
      <c r="E3538" s="90" t="s">
        <v>1902</v>
      </c>
      <c r="F3538" s="90" t="s">
        <v>864</v>
      </c>
      <c r="G3538" s="137">
        <v>6</v>
      </c>
      <c r="H3538" s="94">
        <v>540</v>
      </c>
      <c r="I3538" s="87">
        <v>46086</v>
      </c>
      <c r="J3538" s="93">
        <v>0.66111111111111109</v>
      </c>
      <c r="K3538" s="94">
        <v>540</v>
      </c>
      <c r="L3538" s="72" t="str">
        <f t="shared" si="55"/>
        <v>Payé</v>
      </c>
      <c r="N3538" s="15"/>
    </row>
    <row r="3539" spans="1:14" s="14" customFormat="1" ht="18" x14ac:dyDescent="0.25">
      <c r="A3539" s="90" t="s">
        <v>864</v>
      </c>
      <c r="B3539" s="90">
        <v>10651</v>
      </c>
      <c r="C3539" s="88" t="s">
        <v>1872</v>
      </c>
      <c r="D3539" s="90" t="s">
        <v>17</v>
      </c>
      <c r="E3539" s="90" t="s">
        <v>1902</v>
      </c>
      <c r="F3539" s="90" t="s">
        <v>864</v>
      </c>
      <c r="G3539" s="137">
        <v>1</v>
      </c>
      <c r="H3539" s="94">
        <v>90</v>
      </c>
      <c r="I3539" s="87">
        <v>46088</v>
      </c>
      <c r="J3539" s="93">
        <v>0.53541666666666665</v>
      </c>
      <c r="K3539" s="94">
        <v>90</v>
      </c>
      <c r="L3539" s="72" t="str">
        <f t="shared" si="55"/>
        <v>Payé</v>
      </c>
      <c r="N3539" s="15"/>
    </row>
    <row r="3540" spans="1:14" s="14" customFormat="1" ht="18" x14ac:dyDescent="0.25">
      <c r="A3540" s="90" t="s">
        <v>864</v>
      </c>
      <c r="B3540" s="90">
        <v>10652</v>
      </c>
      <c r="C3540" s="88" t="s">
        <v>1873</v>
      </c>
      <c r="D3540" s="90" t="s">
        <v>17</v>
      </c>
      <c r="E3540" s="90" t="s">
        <v>1902</v>
      </c>
      <c r="F3540" s="90" t="s">
        <v>864</v>
      </c>
      <c r="G3540" s="137">
        <v>4</v>
      </c>
      <c r="H3540" s="94">
        <v>360</v>
      </c>
      <c r="I3540" s="87">
        <v>46090</v>
      </c>
      <c r="J3540" s="93">
        <v>0.54791666666666672</v>
      </c>
      <c r="K3540" s="94">
        <v>360</v>
      </c>
      <c r="L3540" s="72" t="str">
        <f t="shared" si="55"/>
        <v>Payé</v>
      </c>
      <c r="N3540" s="15"/>
    </row>
    <row r="3541" spans="1:14" s="14" customFormat="1" ht="18" x14ac:dyDescent="0.25">
      <c r="A3541" s="90" t="s">
        <v>864</v>
      </c>
      <c r="B3541" s="90">
        <v>10653</v>
      </c>
      <c r="C3541" s="88" t="s">
        <v>1874</v>
      </c>
      <c r="D3541" s="90" t="s">
        <v>17</v>
      </c>
      <c r="E3541" s="90" t="s">
        <v>1902</v>
      </c>
      <c r="F3541" s="90" t="s">
        <v>864</v>
      </c>
      <c r="G3541" s="137">
        <v>4</v>
      </c>
      <c r="H3541" s="94">
        <v>360</v>
      </c>
      <c r="I3541" s="87">
        <v>46088</v>
      </c>
      <c r="J3541" s="93">
        <v>0.53541666666666665</v>
      </c>
      <c r="K3541" s="94">
        <v>360</v>
      </c>
      <c r="L3541" s="72" t="str">
        <f t="shared" si="55"/>
        <v>Payé</v>
      </c>
      <c r="N3541" s="15"/>
    </row>
    <row r="3542" spans="1:14" s="14" customFormat="1" ht="18" x14ac:dyDescent="0.25">
      <c r="A3542" s="90" t="s">
        <v>864</v>
      </c>
      <c r="B3542" s="90">
        <v>10655</v>
      </c>
      <c r="C3542" s="88" t="s">
        <v>1875</v>
      </c>
      <c r="D3542" s="90" t="s">
        <v>17</v>
      </c>
      <c r="E3542" s="90" t="s">
        <v>1907</v>
      </c>
      <c r="F3542" s="90" t="s">
        <v>864</v>
      </c>
      <c r="G3542" s="137">
        <v>7</v>
      </c>
      <c r="H3542" s="94">
        <v>630</v>
      </c>
      <c r="I3542" s="87">
        <v>46086</v>
      </c>
      <c r="J3542" s="93">
        <v>0.57708333333333328</v>
      </c>
      <c r="K3542" s="94">
        <v>630</v>
      </c>
      <c r="L3542" s="72" t="str">
        <f t="shared" si="55"/>
        <v>Payé</v>
      </c>
      <c r="N3542" s="15"/>
    </row>
    <row r="3543" spans="1:14" s="14" customFormat="1" ht="18" x14ac:dyDescent="0.25">
      <c r="A3543" s="90" t="s">
        <v>864</v>
      </c>
      <c r="B3543" s="90">
        <v>10656</v>
      </c>
      <c r="C3543" s="88" t="s">
        <v>1876</v>
      </c>
      <c r="D3543" s="90" t="s">
        <v>17</v>
      </c>
      <c r="E3543" s="90" t="s">
        <v>1902</v>
      </c>
      <c r="F3543" s="90" t="s">
        <v>864</v>
      </c>
      <c r="G3543" s="137">
        <v>5</v>
      </c>
      <c r="H3543" s="94">
        <v>450</v>
      </c>
      <c r="I3543" s="87">
        <v>46086</v>
      </c>
      <c r="J3543" s="93">
        <v>0.66111111111111109</v>
      </c>
      <c r="K3543" s="94">
        <v>450</v>
      </c>
      <c r="L3543" s="72" t="str">
        <f t="shared" si="55"/>
        <v>Payé</v>
      </c>
      <c r="N3543" s="15"/>
    </row>
    <row r="3544" spans="1:14" s="14" customFormat="1" ht="18" x14ac:dyDescent="0.25">
      <c r="A3544" s="90" t="s">
        <v>864</v>
      </c>
      <c r="B3544" s="90">
        <v>10657</v>
      </c>
      <c r="C3544" s="88" t="s">
        <v>1877</v>
      </c>
      <c r="D3544" s="90" t="s">
        <v>17</v>
      </c>
      <c r="E3544" s="90" t="s">
        <v>1800</v>
      </c>
      <c r="F3544" s="90" t="s">
        <v>864</v>
      </c>
      <c r="G3544" s="137">
        <v>4</v>
      </c>
      <c r="H3544" s="94">
        <v>360</v>
      </c>
      <c r="I3544" s="87">
        <v>46086</v>
      </c>
      <c r="J3544" s="93">
        <v>0.59166666666666667</v>
      </c>
      <c r="K3544" s="94">
        <v>360</v>
      </c>
      <c r="L3544" s="72" t="str">
        <f t="shared" si="55"/>
        <v>Payé</v>
      </c>
      <c r="N3544" s="15"/>
    </row>
    <row r="3545" spans="1:14" s="14" customFormat="1" ht="18" x14ac:dyDescent="0.25">
      <c r="A3545" s="90" t="s">
        <v>864</v>
      </c>
      <c r="B3545" s="90">
        <v>10658</v>
      </c>
      <c r="C3545" s="88" t="s">
        <v>1878</v>
      </c>
      <c r="D3545" s="90" t="s">
        <v>17</v>
      </c>
      <c r="E3545" s="90" t="s">
        <v>123</v>
      </c>
      <c r="F3545" s="90" t="s">
        <v>864</v>
      </c>
      <c r="G3545" s="137">
        <v>1</v>
      </c>
      <c r="H3545" s="94">
        <v>90</v>
      </c>
      <c r="I3545" s="87">
        <v>46100</v>
      </c>
      <c r="J3545" s="93">
        <v>0.53888888888888886</v>
      </c>
      <c r="K3545" s="94">
        <v>90</v>
      </c>
      <c r="L3545" s="72" t="str">
        <f t="shared" si="55"/>
        <v>Payé</v>
      </c>
      <c r="N3545" s="15"/>
    </row>
    <row r="3546" spans="1:14" s="14" customFormat="1" ht="18" x14ac:dyDescent="0.25">
      <c r="A3546" s="90" t="s">
        <v>864</v>
      </c>
      <c r="B3546" s="90">
        <v>10659</v>
      </c>
      <c r="C3546" s="88" t="s">
        <v>1879</v>
      </c>
      <c r="D3546" s="90" t="s">
        <v>17</v>
      </c>
      <c r="E3546" s="90" t="s">
        <v>649</v>
      </c>
      <c r="F3546" s="90" t="s">
        <v>864</v>
      </c>
      <c r="G3546" s="137">
        <v>4</v>
      </c>
      <c r="H3546" s="94">
        <v>360</v>
      </c>
      <c r="I3546" s="87">
        <v>46087</v>
      </c>
      <c r="J3546" s="93">
        <v>0.54652777777777783</v>
      </c>
      <c r="K3546" s="94">
        <v>360</v>
      </c>
      <c r="L3546" s="72" t="str">
        <f t="shared" si="55"/>
        <v>Payé</v>
      </c>
      <c r="N3546" s="15"/>
    </row>
    <row r="3547" spans="1:14" s="14" customFormat="1" ht="18" x14ac:dyDescent="0.25">
      <c r="A3547" s="90" t="s">
        <v>864</v>
      </c>
      <c r="B3547" s="90">
        <v>10660</v>
      </c>
      <c r="C3547" s="88" t="s">
        <v>1880</v>
      </c>
      <c r="D3547" s="90" t="s">
        <v>17</v>
      </c>
      <c r="E3547" s="90" t="s">
        <v>123</v>
      </c>
      <c r="F3547" s="90" t="s">
        <v>864</v>
      </c>
      <c r="G3547" s="137">
        <v>6</v>
      </c>
      <c r="H3547" s="94">
        <v>540</v>
      </c>
      <c r="I3547" s="87">
        <v>46088</v>
      </c>
      <c r="J3547" s="93">
        <v>0.52500000000000002</v>
      </c>
      <c r="K3547" s="94">
        <v>540</v>
      </c>
      <c r="L3547" s="72" t="str">
        <f t="shared" si="55"/>
        <v>Payé</v>
      </c>
      <c r="N3547" s="15"/>
    </row>
    <row r="3548" spans="1:14" s="14" customFormat="1" ht="18" x14ac:dyDescent="0.25">
      <c r="A3548" s="90" t="s">
        <v>864</v>
      </c>
      <c r="B3548" s="90">
        <v>10661</v>
      </c>
      <c r="C3548" s="88" t="s">
        <v>1881</v>
      </c>
      <c r="D3548" s="90" t="s">
        <v>17</v>
      </c>
      <c r="E3548" s="90" t="s">
        <v>1904</v>
      </c>
      <c r="F3548" s="90" t="s">
        <v>864</v>
      </c>
      <c r="G3548" s="137">
        <v>6</v>
      </c>
      <c r="H3548" s="94">
        <v>540</v>
      </c>
      <c r="I3548" s="87">
        <v>46087</v>
      </c>
      <c r="J3548" s="93">
        <v>0.56944444444444442</v>
      </c>
      <c r="K3548" s="94">
        <v>540</v>
      </c>
      <c r="L3548" s="72" t="str">
        <f t="shared" si="55"/>
        <v>Payé</v>
      </c>
      <c r="N3548" s="15"/>
    </row>
    <row r="3549" spans="1:14" s="14" customFormat="1" ht="18" x14ac:dyDescent="0.25">
      <c r="A3549" s="90" t="s">
        <v>864</v>
      </c>
      <c r="B3549" s="90">
        <v>10662</v>
      </c>
      <c r="C3549" s="88" t="s">
        <v>1882</v>
      </c>
      <c r="D3549" s="90" t="s">
        <v>17</v>
      </c>
      <c r="E3549" s="90" t="s">
        <v>1104</v>
      </c>
      <c r="F3549" s="90" t="s">
        <v>864</v>
      </c>
      <c r="G3549" s="137">
        <v>2</v>
      </c>
      <c r="H3549" s="94">
        <v>180</v>
      </c>
      <c r="I3549" s="87">
        <v>46087</v>
      </c>
      <c r="J3549" s="93">
        <v>0.50763888888888886</v>
      </c>
      <c r="K3549" s="94">
        <v>180</v>
      </c>
      <c r="L3549" s="72" t="str">
        <f t="shared" si="55"/>
        <v>Payé</v>
      </c>
      <c r="N3549" s="15"/>
    </row>
    <row r="3550" spans="1:14" s="77" customFormat="1" ht="18" x14ac:dyDescent="0.25">
      <c r="A3550" s="90" t="s">
        <v>864</v>
      </c>
      <c r="B3550" s="90">
        <v>10663</v>
      </c>
      <c r="C3550" s="88" t="s">
        <v>1883</v>
      </c>
      <c r="D3550" s="90" t="s">
        <v>17</v>
      </c>
      <c r="E3550" s="90" t="s">
        <v>1907</v>
      </c>
      <c r="F3550" s="90" t="s">
        <v>864</v>
      </c>
      <c r="G3550" s="137">
        <v>5</v>
      </c>
      <c r="H3550" s="94">
        <v>450</v>
      </c>
      <c r="I3550" s="87">
        <v>46086</v>
      </c>
      <c r="J3550" s="93">
        <v>0.57708333333333328</v>
      </c>
      <c r="K3550" s="94">
        <v>450</v>
      </c>
      <c r="L3550" s="72" t="str">
        <f t="shared" ref="L3550:L3613" si="56">IF(ISBLANK(H3550),"",IF(H3550=K3550,"Payé","Impayé"))</f>
        <v>Payé</v>
      </c>
      <c r="M3550" s="14"/>
      <c r="N3550" s="15"/>
    </row>
    <row r="3551" spans="1:14" s="14" customFormat="1" ht="18" x14ac:dyDescent="0.25">
      <c r="A3551" s="90" t="s">
        <v>864</v>
      </c>
      <c r="B3551" s="90">
        <v>10664</v>
      </c>
      <c r="C3551" s="88" t="s">
        <v>1884</v>
      </c>
      <c r="D3551" s="90" t="s">
        <v>17</v>
      </c>
      <c r="E3551" s="90" t="s">
        <v>753</v>
      </c>
      <c r="F3551" s="90" t="s">
        <v>864</v>
      </c>
      <c r="G3551" s="137">
        <v>1</v>
      </c>
      <c r="H3551" s="94">
        <v>90</v>
      </c>
      <c r="I3551" s="87">
        <v>46087</v>
      </c>
      <c r="J3551" s="93">
        <v>0.4381944444444445</v>
      </c>
      <c r="K3551" s="94">
        <v>90</v>
      </c>
      <c r="L3551" s="72" t="str">
        <f t="shared" si="56"/>
        <v>Payé</v>
      </c>
      <c r="N3551" s="15"/>
    </row>
    <row r="3552" spans="1:14" s="14" customFormat="1" ht="18" x14ac:dyDescent="0.25">
      <c r="A3552" s="90" t="s">
        <v>864</v>
      </c>
      <c r="B3552" s="90">
        <v>10665</v>
      </c>
      <c r="C3552" s="88" t="s">
        <v>1885</v>
      </c>
      <c r="D3552" s="90" t="s">
        <v>17</v>
      </c>
      <c r="E3552" s="90" t="s">
        <v>753</v>
      </c>
      <c r="F3552" s="90" t="s">
        <v>864</v>
      </c>
      <c r="G3552" s="137">
        <v>2</v>
      </c>
      <c r="H3552" s="94">
        <v>180</v>
      </c>
      <c r="I3552" s="87">
        <v>46087</v>
      </c>
      <c r="J3552" s="93">
        <v>0.4381944444444445</v>
      </c>
      <c r="K3552" s="94">
        <v>180</v>
      </c>
      <c r="L3552" s="72" t="str">
        <f t="shared" si="56"/>
        <v>Payé</v>
      </c>
      <c r="N3552" s="15"/>
    </row>
    <row r="3553" spans="1:14" s="14" customFormat="1" ht="18" x14ac:dyDescent="0.25">
      <c r="A3553" s="90" t="s">
        <v>864</v>
      </c>
      <c r="B3553" s="90">
        <v>10666</v>
      </c>
      <c r="C3553" s="88" t="s">
        <v>1886</v>
      </c>
      <c r="D3553" s="90" t="s">
        <v>17</v>
      </c>
      <c r="E3553" s="90" t="s">
        <v>1907</v>
      </c>
      <c r="F3553" s="90" t="s">
        <v>864</v>
      </c>
      <c r="G3553" s="137">
        <v>2</v>
      </c>
      <c r="H3553" s="94">
        <v>180</v>
      </c>
      <c r="I3553" s="87">
        <v>46087</v>
      </c>
      <c r="J3553" s="93">
        <v>0.51458333333333328</v>
      </c>
      <c r="K3553" s="94">
        <v>180</v>
      </c>
      <c r="L3553" s="72" t="str">
        <f t="shared" si="56"/>
        <v>Payé</v>
      </c>
      <c r="N3553" s="15"/>
    </row>
    <row r="3554" spans="1:14" s="14" customFormat="1" ht="18" x14ac:dyDescent="0.25">
      <c r="A3554" s="90" t="s">
        <v>864</v>
      </c>
      <c r="B3554" s="90">
        <v>10667</v>
      </c>
      <c r="C3554" s="88" t="s">
        <v>1887</v>
      </c>
      <c r="D3554" s="90" t="s">
        <v>17</v>
      </c>
      <c r="E3554" s="90" t="s">
        <v>753</v>
      </c>
      <c r="F3554" s="90" t="s">
        <v>864</v>
      </c>
      <c r="G3554" s="137">
        <v>2</v>
      </c>
      <c r="H3554" s="94">
        <v>180</v>
      </c>
      <c r="I3554" s="87">
        <v>46087</v>
      </c>
      <c r="J3554" s="93">
        <v>0.4381944444444445</v>
      </c>
      <c r="K3554" s="94">
        <v>180</v>
      </c>
      <c r="L3554" s="72" t="str">
        <f t="shared" si="56"/>
        <v>Payé</v>
      </c>
      <c r="N3554" s="15"/>
    </row>
    <row r="3555" spans="1:14" s="14" customFormat="1" ht="18" x14ac:dyDescent="0.25">
      <c r="A3555" s="90" t="s">
        <v>864</v>
      </c>
      <c r="B3555" s="90">
        <v>10668</v>
      </c>
      <c r="C3555" s="88" t="s">
        <v>1888</v>
      </c>
      <c r="D3555" s="90" t="s">
        <v>17</v>
      </c>
      <c r="E3555" s="90" t="s">
        <v>753</v>
      </c>
      <c r="F3555" s="90" t="s">
        <v>864</v>
      </c>
      <c r="G3555" s="137">
        <v>2</v>
      </c>
      <c r="H3555" s="94">
        <v>180</v>
      </c>
      <c r="I3555" s="87">
        <v>46087</v>
      </c>
      <c r="J3555" s="93">
        <v>0.4381944444444445</v>
      </c>
      <c r="K3555" s="94">
        <v>180</v>
      </c>
      <c r="L3555" s="72" t="str">
        <f t="shared" si="56"/>
        <v>Payé</v>
      </c>
      <c r="N3555" s="15"/>
    </row>
    <row r="3556" spans="1:14" s="14" customFormat="1" ht="18" x14ac:dyDescent="0.25">
      <c r="A3556" s="90" t="s">
        <v>864</v>
      </c>
      <c r="B3556" s="90">
        <v>10669</v>
      </c>
      <c r="C3556" s="88" t="s">
        <v>1889</v>
      </c>
      <c r="D3556" s="90" t="s">
        <v>17</v>
      </c>
      <c r="E3556" s="90" t="s">
        <v>753</v>
      </c>
      <c r="F3556" s="90" t="s">
        <v>864</v>
      </c>
      <c r="G3556" s="137">
        <v>1</v>
      </c>
      <c r="H3556" s="94">
        <v>90</v>
      </c>
      <c r="I3556" s="87">
        <v>46087</v>
      </c>
      <c r="J3556" s="93">
        <v>0.4381944444444445</v>
      </c>
      <c r="K3556" s="94">
        <v>90</v>
      </c>
      <c r="L3556" s="72" t="str">
        <f t="shared" si="56"/>
        <v>Payé</v>
      </c>
      <c r="N3556" s="15"/>
    </row>
    <row r="3557" spans="1:14" s="14" customFormat="1" ht="18" x14ac:dyDescent="0.25">
      <c r="A3557" s="90" t="s">
        <v>864</v>
      </c>
      <c r="B3557" s="90" t="s">
        <v>1890</v>
      </c>
      <c r="C3557" s="88" t="s">
        <v>1891</v>
      </c>
      <c r="D3557" s="90" t="s">
        <v>17</v>
      </c>
      <c r="E3557" s="90" t="s">
        <v>1664</v>
      </c>
      <c r="F3557" s="90" t="s">
        <v>864</v>
      </c>
      <c r="G3557" s="137">
        <v>2</v>
      </c>
      <c r="H3557" s="94">
        <v>180</v>
      </c>
      <c r="I3557" s="87">
        <v>46086</v>
      </c>
      <c r="J3557" s="93">
        <v>0.58124999999999993</v>
      </c>
      <c r="K3557" s="94">
        <v>180</v>
      </c>
      <c r="L3557" s="72" t="str">
        <f t="shared" si="56"/>
        <v>Payé</v>
      </c>
      <c r="N3557" s="15"/>
    </row>
    <row r="3558" spans="1:14" s="14" customFormat="1" ht="18" x14ac:dyDescent="0.25">
      <c r="A3558" s="90" t="s">
        <v>864</v>
      </c>
      <c r="B3558" s="90" t="s">
        <v>1892</v>
      </c>
      <c r="C3558" s="88" t="s">
        <v>1893</v>
      </c>
      <c r="D3558" s="90" t="s">
        <v>17</v>
      </c>
      <c r="E3558" s="90" t="s">
        <v>1664</v>
      </c>
      <c r="F3558" s="90" t="s">
        <v>864</v>
      </c>
      <c r="G3558" s="137">
        <v>2</v>
      </c>
      <c r="H3558" s="94">
        <v>180</v>
      </c>
      <c r="I3558" s="87">
        <v>46087</v>
      </c>
      <c r="J3558" s="93">
        <v>0.4993055555555555</v>
      </c>
      <c r="K3558" s="94">
        <v>180</v>
      </c>
      <c r="L3558" s="72" t="str">
        <f t="shared" si="56"/>
        <v>Payé</v>
      </c>
      <c r="N3558" s="15"/>
    </row>
    <row r="3559" spans="1:14" s="14" customFormat="1" ht="18" x14ac:dyDescent="0.25">
      <c r="A3559" s="90" t="s">
        <v>864</v>
      </c>
      <c r="B3559" s="90" t="s">
        <v>1894</v>
      </c>
      <c r="C3559" s="88" t="s">
        <v>1895</v>
      </c>
      <c r="D3559" s="90" t="s">
        <v>17</v>
      </c>
      <c r="E3559" s="90" t="s">
        <v>1664</v>
      </c>
      <c r="F3559" s="90" t="s">
        <v>864</v>
      </c>
      <c r="G3559" s="137">
        <v>2</v>
      </c>
      <c r="H3559" s="94">
        <v>180</v>
      </c>
      <c r="I3559" s="87">
        <v>46087</v>
      </c>
      <c r="J3559" s="93">
        <v>0.49444444444444446</v>
      </c>
      <c r="K3559" s="94">
        <v>180</v>
      </c>
      <c r="L3559" s="72" t="str">
        <f t="shared" si="56"/>
        <v>Payé</v>
      </c>
      <c r="N3559" s="15"/>
    </row>
    <row r="3560" spans="1:14" s="14" customFormat="1" ht="18" x14ac:dyDescent="0.25">
      <c r="A3560" s="90" t="s">
        <v>864</v>
      </c>
      <c r="B3560" s="90" t="s">
        <v>1758</v>
      </c>
      <c r="C3560" s="88" t="s">
        <v>1759</v>
      </c>
      <c r="D3560" s="90" t="s">
        <v>17</v>
      </c>
      <c r="E3560" s="90" t="s">
        <v>1664</v>
      </c>
      <c r="F3560" s="90" t="s">
        <v>864</v>
      </c>
      <c r="G3560" s="137">
        <v>1</v>
      </c>
      <c r="H3560" s="94">
        <v>90</v>
      </c>
      <c r="I3560" s="87">
        <v>46088</v>
      </c>
      <c r="J3560" s="93">
        <v>0.46736111111111112</v>
      </c>
      <c r="K3560" s="94">
        <v>90</v>
      </c>
      <c r="L3560" s="72" t="str">
        <f t="shared" si="56"/>
        <v>Payé</v>
      </c>
      <c r="N3560" s="15"/>
    </row>
    <row r="3561" spans="1:14" s="14" customFormat="1" ht="18" x14ac:dyDescent="0.25">
      <c r="A3561" s="90" t="s">
        <v>864</v>
      </c>
      <c r="B3561" s="90">
        <v>236</v>
      </c>
      <c r="C3561" s="88" t="s">
        <v>1670</v>
      </c>
      <c r="D3561" s="90" t="s">
        <v>17</v>
      </c>
      <c r="E3561" s="90" t="s">
        <v>628</v>
      </c>
      <c r="F3561" s="90" t="s">
        <v>864</v>
      </c>
      <c r="G3561" s="137">
        <v>7</v>
      </c>
      <c r="H3561" s="94">
        <v>630</v>
      </c>
      <c r="I3561" s="87">
        <v>46087</v>
      </c>
      <c r="J3561" s="93">
        <v>0.55833333333333335</v>
      </c>
      <c r="K3561" s="94">
        <v>630</v>
      </c>
      <c r="L3561" s="72" t="str">
        <f t="shared" si="56"/>
        <v>Payé</v>
      </c>
      <c r="N3561" s="15"/>
    </row>
    <row r="3562" spans="1:14" s="14" customFormat="1" ht="18" x14ac:dyDescent="0.25">
      <c r="A3562" s="90" t="s">
        <v>864</v>
      </c>
      <c r="B3562" s="90">
        <v>529</v>
      </c>
      <c r="C3562" s="88" t="s">
        <v>702</v>
      </c>
      <c r="D3562" s="90" t="s">
        <v>17</v>
      </c>
      <c r="E3562" s="90" t="s">
        <v>1904</v>
      </c>
      <c r="F3562" s="90" t="s">
        <v>864</v>
      </c>
      <c r="G3562" s="137">
        <v>4</v>
      </c>
      <c r="H3562" s="94">
        <v>360</v>
      </c>
      <c r="I3562" s="87">
        <v>46087</v>
      </c>
      <c r="J3562" s="93">
        <v>0.56944444444444442</v>
      </c>
      <c r="K3562" s="94">
        <v>360</v>
      </c>
      <c r="L3562" s="72" t="str">
        <f t="shared" si="56"/>
        <v>Payé</v>
      </c>
      <c r="N3562" s="15"/>
    </row>
    <row r="3563" spans="1:14" s="14" customFormat="1" ht="18" x14ac:dyDescent="0.25">
      <c r="A3563" s="90" t="s">
        <v>864</v>
      </c>
      <c r="B3563" s="90">
        <v>990</v>
      </c>
      <c r="C3563" s="88" t="s">
        <v>1585</v>
      </c>
      <c r="D3563" s="90" t="s">
        <v>17</v>
      </c>
      <c r="E3563" s="90" t="s">
        <v>123</v>
      </c>
      <c r="F3563" s="90" t="s">
        <v>864</v>
      </c>
      <c r="G3563" s="137">
        <v>6</v>
      </c>
      <c r="H3563" s="94">
        <v>540</v>
      </c>
      <c r="I3563" s="87">
        <v>46091</v>
      </c>
      <c r="J3563" s="93">
        <v>0.56874999999999998</v>
      </c>
      <c r="K3563" s="94">
        <v>540</v>
      </c>
      <c r="L3563" s="72" t="str">
        <f t="shared" si="56"/>
        <v>Payé</v>
      </c>
      <c r="N3563" s="15"/>
    </row>
    <row r="3564" spans="1:14" s="14" customFormat="1" ht="18" x14ac:dyDescent="0.25">
      <c r="A3564" s="90" t="s">
        <v>864</v>
      </c>
      <c r="B3564" s="90" t="s">
        <v>1896</v>
      </c>
      <c r="C3564" s="88" t="s">
        <v>1897</v>
      </c>
      <c r="D3564" s="90" t="s">
        <v>17</v>
      </c>
      <c r="E3564" s="90" t="s">
        <v>1664</v>
      </c>
      <c r="F3564" s="90" t="s">
        <v>864</v>
      </c>
      <c r="G3564" s="137">
        <v>2</v>
      </c>
      <c r="H3564" s="94">
        <v>180</v>
      </c>
      <c r="I3564" s="87">
        <v>46086</v>
      </c>
      <c r="J3564" s="93">
        <v>0.58124999999999993</v>
      </c>
      <c r="K3564" s="94">
        <v>180</v>
      </c>
      <c r="L3564" s="72" t="str">
        <f t="shared" si="56"/>
        <v>Payé</v>
      </c>
      <c r="N3564" s="15"/>
    </row>
    <row r="3565" spans="1:14" s="14" customFormat="1" ht="18" x14ac:dyDescent="0.25">
      <c r="A3565" s="90" t="s">
        <v>864</v>
      </c>
      <c r="B3565" s="90" t="s">
        <v>1898</v>
      </c>
      <c r="C3565" s="88" t="s">
        <v>1899</v>
      </c>
      <c r="D3565" s="90" t="s">
        <v>17</v>
      </c>
      <c r="E3565" s="90" t="s">
        <v>1664</v>
      </c>
      <c r="F3565" s="90" t="s">
        <v>864</v>
      </c>
      <c r="G3565" s="137">
        <v>2</v>
      </c>
      <c r="H3565" s="94">
        <v>180</v>
      </c>
      <c r="I3565" s="87">
        <v>46086</v>
      </c>
      <c r="J3565" s="93">
        <v>0.58124999999999993</v>
      </c>
      <c r="K3565" s="94">
        <v>180</v>
      </c>
      <c r="L3565" s="72" t="str">
        <f t="shared" si="56"/>
        <v>Payé</v>
      </c>
      <c r="N3565" s="15"/>
    </row>
    <row r="3566" spans="1:14" s="14" customFormat="1" ht="18" x14ac:dyDescent="0.25">
      <c r="A3566" s="90" t="s">
        <v>864</v>
      </c>
      <c r="B3566" s="90">
        <v>10699</v>
      </c>
      <c r="C3566" s="88" t="s">
        <v>1785</v>
      </c>
      <c r="D3566" s="90" t="s">
        <v>17</v>
      </c>
      <c r="E3566" s="90" t="s">
        <v>1800</v>
      </c>
      <c r="F3566" s="90" t="s">
        <v>864</v>
      </c>
      <c r="G3566" s="137">
        <v>9</v>
      </c>
      <c r="H3566" s="94">
        <v>810</v>
      </c>
      <c r="I3566" s="87">
        <v>46087</v>
      </c>
      <c r="J3566" s="93">
        <v>0.55555555555555558</v>
      </c>
      <c r="K3566" s="94">
        <v>810</v>
      </c>
      <c r="L3566" s="72" t="str">
        <f t="shared" si="56"/>
        <v>Payé</v>
      </c>
      <c r="N3566" s="15"/>
    </row>
    <row r="3567" spans="1:14" s="14" customFormat="1" ht="18" x14ac:dyDescent="0.25">
      <c r="A3567" s="90" t="s">
        <v>864</v>
      </c>
      <c r="B3567" s="90">
        <v>10700</v>
      </c>
      <c r="C3567" s="88" t="s">
        <v>1900</v>
      </c>
      <c r="D3567" s="90" t="s">
        <v>17</v>
      </c>
      <c r="E3567" s="90" t="s">
        <v>1800</v>
      </c>
      <c r="F3567" s="90" t="s">
        <v>864</v>
      </c>
      <c r="G3567" s="137">
        <v>7</v>
      </c>
      <c r="H3567" s="94">
        <v>630</v>
      </c>
      <c r="I3567" s="87">
        <v>46088</v>
      </c>
      <c r="J3567" s="93">
        <v>0.53749999999999998</v>
      </c>
      <c r="K3567" s="94">
        <v>630</v>
      </c>
      <c r="L3567" s="72" t="str">
        <f t="shared" si="56"/>
        <v>Payé</v>
      </c>
      <c r="N3567" s="15"/>
    </row>
    <row r="3568" spans="1:14" s="14" customFormat="1" ht="18" x14ac:dyDescent="0.25">
      <c r="A3568" s="90" t="s">
        <v>864</v>
      </c>
      <c r="B3568" s="90">
        <v>30417</v>
      </c>
      <c r="C3568" s="88" t="s">
        <v>1583</v>
      </c>
      <c r="D3568" s="90" t="s">
        <v>17</v>
      </c>
      <c r="E3568" s="90" t="s">
        <v>649</v>
      </c>
      <c r="F3568" s="90" t="s">
        <v>864</v>
      </c>
      <c r="G3568" s="137">
        <v>8</v>
      </c>
      <c r="H3568" s="94">
        <v>720</v>
      </c>
      <c r="I3568" s="87">
        <v>46087</v>
      </c>
      <c r="J3568" s="93">
        <v>0.54652777777777783</v>
      </c>
      <c r="K3568" s="94">
        <v>720</v>
      </c>
      <c r="L3568" s="72" t="str">
        <f t="shared" si="56"/>
        <v>Payé</v>
      </c>
      <c r="N3568" s="15"/>
    </row>
    <row r="3569" spans="1:14" s="14" customFormat="1" ht="18" x14ac:dyDescent="0.25">
      <c r="A3569" s="90" t="s">
        <v>864</v>
      </c>
      <c r="B3569" s="90" t="s">
        <v>1754</v>
      </c>
      <c r="C3569" s="198" t="s">
        <v>1755</v>
      </c>
      <c r="D3569" s="90" t="s">
        <v>17</v>
      </c>
      <c r="E3569" s="90" t="s">
        <v>1664</v>
      </c>
      <c r="F3569" s="90" t="s">
        <v>864</v>
      </c>
      <c r="G3569" s="90">
        <v>4</v>
      </c>
      <c r="H3569" s="90">
        <v>360</v>
      </c>
      <c r="I3569" s="87">
        <v>46086</v>
      </c>
      <c r="J3569" s="93">
        <v>0.60069444444444442</v>
      </c>
      <c r="K3569" s="90">
        <v>360</v>
      </c>
      <c r="L3569" s="72" t="str">
        <f t="shared" si="56"/>
        <v>Payé</v>
      </c>
      <c r="N3569" s="15"/>
    </row>
    <row r="3570" spans="1:14" s="14" customFormat="1" ht="18" x14ac:dyDescent="0.25">
      <c r="A3570" s="90" t="s">
        <v>864</v>
      </c>
      <c r="B3570" s="90"/>
      <c r="C3570" s="88" t="s">
        <v>585</v>
      </c>
      <c r="D3570" s="89" t="s">
        <v>910</v>
      </c>
      <c r="E3570" s="90" t="s">
        <v>123</v>
      </c>
      <c r="F3570" s="90" t="s">
        <v>864</v>
      </c>
      <c r="G3570" s="95">
        <v>218</v>
      </c>
      <c r="H3570" s="92">
        <v>6540</v>
      </c>
      <c r="I3570" s="87">
        <v>46091</v>
      </c>
      <c r="J3570" s="93">
        <v>0.5625</v>
      </c>
      <c r="K3570" s="92">
        <v>6540</v>
      </c>
      <c r="L3570" s="72" t="str">
        <f t="shared" si="56"/>
        <v>Payé</v>
      </c>
      <c r="N3570" s="15"/>
    </row>
    <row r="3571" spans="1:14" s="75" customFormat="1" ht="18" x14ac:dyDescent="0.25">
      <c r="A3571" s="90" t="s">
        <v>864</v>
      </c>
      <c r="B3571" s="90"/>
      <c r="C3571" s="88" t="s">
        <v>406</v>
      </c>
      <c r="D3571" s="89" t="s">
        <v>910</v>
      </c>
      <c r="E3571" s="90" t="s">
        <v>1191</v>
      </c>
      <c r="F3571" s="90" t="s">
        <v>864</v>
      </c>
      <c r="G3571" s="95">
        <v>121</v>
      </c>
      <c r="H3571" s="92">
        <v>3630</v>
      </c>
      <c r="I3571" s="87">
        <v>46087</v>
      </c>
      <c r="J3571" s="93">
        <v>0.61111111111111105</v>
      </c>
      <c r="K3571" s="92">
        <v>3630</v>
      </c>
      <c r="L3571" s="72" t="str">
        <f t="shared" si="56"/>
        <v>Payé</v>
      </c>
      <c r="M3571" s="14"/>
      <c r="N3571" s="15"/>
    </row>
    <row r="3572" spans="1:14" s="14" customFormat="1" ht="18" x14ac:dyDescent="0.25">
      <c r="A3572" s="90" t="s">
        <v>864</v>
      </c>
      <c r="B3572" s="90"/>
      <c r="C3572" s="88" t="s">
        <v>1346</v>
      </c>
      <c r="D3572" s="89" t="s">
        <v>910</v>
      </c>
      <c r="E3572" s="90" t="s">
        <v>649</v>
      </c>
      <c r="F3572" s="90" t="s">
        <v>864</v>
      </c>
      <c r="G3572" s="95">
        <v>143</v>
      </c>
      <c r="H3572" s="92">
        <v>4290</v>
      </c>
      <c r="I3572" s="87">
        <v>46087</v>
      </c>
      <c r="J3572" s="93">
        <v>0.54652777777777783</v>
      </c>
      <c r="K3572" s="92">
        <v>4290</v>
      </c>
      <c r="L3572" s="72" t="str">
        <f t="shared" si="56"/>
        <v>Payé</v>
      </c>
      <c r="N3572" s="15"/>
    </row>
    <row r="3573" spans="1:14" s="14" customFormat="1" ht="18" x14ac:dyDescent="0.25">
      <c r="A3573" s="90" t="s">
        <v>864</v>
      </c>
      <c r="B3573" s="90"/>
      <c r="C3573" s="88" t="s">
        <v>630</v>
      </c>
      <c r="D3573" s="89" t="s">
        <v>910</v>
      </c>
      <c r="E3573" s="90" t="s">
        <v>1047</v>
      </c>
      <c r="F3573" s="90" t="s">
        <v>864</v>
      </c>
      <c r="G3573" s="95">
        <v>178</v>
      </c>
      <c r="H3573" s="92">
        <v>5340</v>
      </c>
      <c r="I3573" s="87">
        <v>46087</v>
      </c>
      <c r="J3573" s="93">
        <v>0.56111111111111112</v>
      </c>
      <c r="K3573" s="92">
        <v>5340</v>
      </c>
      <c r="L3573" s="72" t="str">
        <f t="shared" si="56"/>
        <v>Payé</v>
      </c>
      <c r="N3573" s="15"/>
    </row>
    <row r="3574" spans="1:14" s="14" customFormat="1" ht="18" x14ac:dyDescent="0.25">
      <c r="A3574" s="90" t="s">
        <v>864</v>
      </c>
      <c r="B3574" s="90"/>
      <c r="C3574" s="88" t="s">
        <v>1721</v>
      </c>
      <c r="D3574" s="89" t="s">
        <v>910</v>
      </c>
      <c r="E3574" s="90" t="s">
        <v>1801</v>
      </c>
      <c r="F3574" s="90" t="s">
        <v>864</v>
      </c>
      <c r="G3574" s="95">
        <v>23</v>
      </c>
      <c r="H3574" s="92">
        <v>690</v>
      </c>
      <c r="I3574" s="87">
        <v>46087</v>
      </c>
      <c r="J3574" s="93">
        <v>0.64027777777777783</v>
      </c>
      <c r="K3574" s="92">
        <v>690</v>
      </c>
      <c r="L3574" s="72" t="str">
        <f t="shared" si="56"/>
        <v>Payé</v>
      </c>
      <c r="N3574" s="15"/>
    </row>
    <row r="3575" spans="1:14" s="14" customFormat="1" ht="18" x14ac:dyDescent="0.25">
      <c r="A3575" s="90" t="s">
        <v>864</v>
      </c>
      <c r="B3575" s="90"/>
      <c r="C3575" s="88" t="s">
        <v>719</v>
      </c>
      <c r="D3575" s="89" t="s">
        <v>910</v>
      </c>
      <c r="E3575" s="90" t="s">
        <v>1349</v>
      </c>
      <c r="F3575" s="90" t="s">
        <v>864</v>
      </c>
      <c r="G3575" s="95">
        <v>104</v>
      </c>
      <c r="H3575" s="92">
        <v>3640</v>
      </c>
      <c r="I3575" s="87">
        <v>46087</v>
      </c>
      <c r="J3575" s="93">
        <v>0.44027777777777777</v>
      </c>
      <c r="K3575" s="92">
        <v>3640</v>
      </c>
      <c r="L3575" s="72" t="str">
        <f t="shared" si="56"/>
        <v>Payé</v>
      </c>
      <c r="N3575" s="15"/>
    </row>
    <row r="3576" spans="1:14" s="14" customFormat="1" ht="18" x14ac:dyDescent="0.25">
      <c r="A3576" s="90" t="s">
        <v>864</v>
      </c>
      <c r="B3576" s="90"/>
      <c r="C3576" s="88" t="s">
        <v>1189</v>
      </c>
      <c r="D3576" s="89" t="s">
        <v>910</v>
      </c>
      <c r="E3576" s="90" t="s">
        <v>49</v>
      </c>
      <c r="F3576" s="90" t="s">
        <v>864</v>
      </c>
      <c r="G3576" s="95">
        <v>139</v>
      </c>
      <c r="H3576" s="92">
        <v>4170</v>
      </c>
      <c r="I3576" s="87">
        <v>46087</v>
      </c>
      <c r="J3576" s="93">
        <v>0.60555555555555551</v>
      </c>
      <c r="K3576" s="92">
        <v>4170</v>
      </c>
      <c r="L3576" s="72" t="str">
        <f t="shared" si="56"/>
        <v>Payé</v>
      </c>
      <c r="N3576" s="15"/>
    </row>
    <row r="3577" spans="1:14" s="14" customFormat="1" ht="18" x14ac:dyDescent="0.25">
      <c r="A3577" s="90" t="s">
        <v>864</v>
      </c>
      <c r="B3577" s="90"/>
      <c r="C3577" s="88" t="s">
        <v>632</v>
      </c>
      <c r="D3577" s="89" t="s">
        <v>910</v>
      </c>
      <c r="E3577" s="90" t="s">
        <v>1913</v>
      </c>
      <c r="F3577" s="90" t="s">
        <v>864</v>
      </c>
      <c r="G3577" s="95">
        <v>141</v>
      </c>
      <c r="H3577" s="92">
        <v>4230</v>
      </c>
      <c r="I3577" s="87">
        <v>46087</v>
      </c>
      <c r="J3577" s="93">
        <v>0.57013888888888886</v>
      </c>
      <c r="K3577" s="92">
        <v>4230</v>
      </c>
      <c r="L3577" s="72" t="str">
        <f t="shared" si="56"/>
        <v>Payé</v>
      </c>
      <c r="N3577" s="15"/>
    </row>
    <row r="3578" spans="1:14" s="14" customFormat="1" ht="18" x14ac:dyDescent="0.25">
      <c r="A3578" s="90" t="s">
        <v>864</v>
      </c>
      <c r="B3578" s="90"/>
      <c r="C3578" s="88" t="s">
        <v>1529</v>
      </c>
      <c r="D3578" s="89" t="s">
        <v>910</v>
      </c>
      <c r="E3578" s="90" t="s">
        <v>254</v>
      </c>
      <c r="F3578" s="90" t="s">
        <v>864</v>
      </c>
      <c r="G3578" s="95">
        <v>69</v>
      </c>
      <c r="H3578" s="92">
        <v>2070</v>
      </c>
      <c r="I3578" s="87">
        <v>46087</v>
      </c>
      <c r="J3578" s="93">
        <v>0.57847222222222217</v>
      </c>
      <c r="K3578" s="92">
        <v>2070</v>
      </c>
      <c r="L3578" s="72" t="str">
        <f t="shared" si="56"/>
        <v>Payé</v>
      </c>
      <c r="N3578" s="15"/>
    </row>
    <row r="3579" spans="1:14" s="14" customFormat="1" ht="18" x14ac:dyDescent="0.25">
      <c r="A3579" s="90" t="s">
        <v>864</v>
      </c>
      <c r="B3579" s="90"/>
      <c r="C3579" s="88" t="s">
        <v>1910</v>
      </c>
      <c r="D3579" s="89" t="s">
        <v>910</v>
      </c>
      <c r="E3579" s="90" t="s">
        <v>1914</v>
      </c>
      <c r="F3579" s="90" t="s">
        <v>864</v>
      </c>
      <c r="G3579" s="95">
        <v>92</v>
      </c>
      <c r="H3579" s="92">
        <v>2760</v>
      </c>
      <c r="I3579" s="87">
        <v>46087</v>
      </c>
      <c r="J3579" s="93">
        <v>0.50069444444444444</v>
      </c>
      <c r="K3579" s="92">
        <v>2760</v>
      </c>
      <c r="L3579" s="72" t="str">
        <f t="shared" si="56"/>
        <v>Payé</v>
      </c>
      <c r="N3579" s="15"/>
    </row>
    <row r="3580" spans="1:14" s="14" customFormat="1" ht="18" x14ac:dyDescent="0.25">
      <c r="A3580" s="90" t="s">
        <v>864</v>
      </c>
      <c r="B3580" s="90"/>
      <c r="C3580" s="88" t="s">
        <v>1744</v>
      </c>
      <c r="D3580" s="89" t="s">
        <v>910</v>
      </c>
      <c r="E3580" s="90" t="s">
        <v>1802</v>
      </c>
      <c r="F3580" s="90" t="s">
        <v>864</v>
      </c>
      <c r="G3580" s="95">
        <v>133</v>
      </c>
      <c r="H3580" s="92">
        <v>3325</v>
      </c>
      <c r="I3580" s="87">
        <v>46086</v>
      </c>
      <c r="J3580" s="93">
        <v>0.66249999999999998</v>
      </c>
      <c r="K3580" s="92">
        <v>3325</v>
      </c>
      <c r="L3580" s="72" t="str">
        <f t="shared" si="56"/>
        <v>Payé</v>
      </c>
      <c r="N3580" s="15"/>
    </row>
    <row r="3581" spans="1:14" s="14" customFormat="1" ht="18" x14ac:dyDescent="0.25">
      <c r="A3581" s="90" t="s">
        <v>864</v>
      </c>
      <c r="B3581" s="90"/>
      <c r="C3581" s="88" t="s">
        <v>1911</v>
      </c>
      <c r="D3581" s="89" t="s">
        <v>910</v>
      </c>
      <c r="E3581" s="90" t="s">
        <v>1902</v>
      </c>
      <c r="F3581" s="90" t="s">
        <v>864</v>
      </c>
      <c r="G3581" s="95">
        <v>236</v>
      </c>
      <c r="H3581" s="92">
        <v>7080</v>
      </c>
      <c r="I3581" s="87">
        <v>46086</v>
      </c>
      <c r="J3581" s="93">
        <v>0.6020833333333333</v>
      </c>
      <c r="K3581" s="92">
        <v>7080</v>
      </c>
      <c r="L3581" s="72" t="str">
        <f t="shared" si="56"/>
        <v>Payé</v>
      </c>
      <c r="N3581" s="15"/>
    </row>
    <row r="3582" spans="1:14" s="14" customFormat="1" ht="18" x14ac:dyDescent="0.25">
      <c r="A3582" s="90" t="s">
        <v>864</v>
      </c>
      <c r="B3582" s="90"/>
      <c r="C3582" s="88" t="s">
        <v>1912</v>
      </c>
      <c r="D3582" s="89" t="s">
        <v>910</v>
      </c>
      <c r="E3582" s="90" t="s">
        <v>1803</v>
      </c>
      <c r="F3582" s="90" t="s">
        <v>864</v>
      </c>
      <c r="G3582" s="95">
        <v>278</v>
      </c>
      <c r="H3582" s="92">
        <v>8340</v>
      </c>
      <c r="I3582" s="87">
        <v>46086</v>
      </c>
      <c r="J3582" s="93">
        <v>0.59861111111111109</v>
      </c>
      <c r="K3582" s="92">
        <v>8340</v>
      </c>
      <c r="L3582" s="72" t="str">
        <f t="shared" si="56"/>
        <v>Payé</v>
      </c>
      <c r="N3582" s="15"/>
    </row>
    <row r="3583" spans="1:14" s="14" customFormat="1" ht="18" x14ac:dyDescent="0.25">
      <c r="A3583" s="90" t="s">
        <v>864</v>
      </c>
      <c r="B3583" s="90" t="s">
        <v>1351</v>
      </c>
      <c r="C3583" s="88" t="s">
        <v>1195</v>
      </c>
      <c r="D3583" s="89"/>
      <c r="E3583" s="90" t="s">
        <v>1915</v>
      </c>
      <c r="F3583" s="90" t="s">
        <v>864</v>
      </c>
      <c r="G3583" s="94">
        <v>3</v>
      </c>
      <c r="H3583" s="92">
        <v>1350</v>
      </c>
      <c r="I3583" s="87">
        <v>46087</v>
      </c>
      <c r="J3583" s="93">
        <v>0.625</v>
      </c>
      <c r="K3583" s="92">
        <v>1350</v>
      </c>
      <c r="L3583" s="72" t="str">
        <f t="shared" si="56"/>
        <v>Payé</v>
      </c>
      <c r="N3583" s="15"/>
    </row>
    <row r="3584" spans="1:14" s="14" customFormat="1" ht="18" x14ac:dyDescent="0.25">
      <c r="A3584" s="90" t="s">
        <v>864</v>
      </c>
      <c r="B3584" s="90" t="s">
        <v>1351</v>
      </c>
      <c r="C3584" s="88" t="s">
        <v>1195</v>
      </c>
      <c r="D3584" s="89"/>
      <c r="E3584" s="90" t="s">
        <v>1916</v>
      </c>
      <c r="F3584" s="90" t="s">
        <v>864</v>
      </c>
      <c r="G3584" s="94">
        <v>2</v>
      </c>
      <c r="H3584" s="92">
        <v>900</v>
      </c>
      <c r="I3584" s="87">
        <v>46087</v>
      </c>
      <c r="J3584" s="93">
        <v>0.625</v>
      </c>
      <c r="K3584" s="92">
        <v>900</v>
      </c>
      <c r="L3584" s="72" t="str">
        <f t="shared" si="56"/>
        <v>Payé</v>
      </c>
      <c r="N3584" s="15"/>
    </row>
    <row r="3585" spans="1:14" s="14" customFormat="1" ht="18" x14ac:dyDescent="0.25">
      <c r="A3585" s="90" t="s">
        <v>864</v>
      </c>
      <c r="B3585" s="90" t="s">
        <v>1351</v>
      </c>
      <c r="C3585" s="88" t="s">
        <v>1195</v>
      </c>
      <c r="D3585" s="89"/>
      <c r="E3585" s="90" t="s">
        <v>1917</v>
      </c>
      <c r="F3585" s="90" t="s">
        <v>864</v>
      </c>
      <c r="G3585" s="94">
        <v>1</v>
      </c>
      <c r="H3585" s="92">
        <v>500</v>
      </c>
      <c r="I3585" s="87">
        <v>46087</v>
      </c>
      <c r="J3585" s="93">
        <v>0.625</v>
      </c>
      <c r="K3585" s="92">
        <v>500</v>
      </c>
      <c r="L3585" s="72" t="str">
        <f t="shared" si="56"/>
        <v>Payé</v>
      </c>
      <c r="N3585" s="15"/>
    </row>
    <row r="3586" spans="1:14" s="14" customFormat="1" ht="18" x14ac:dyDescent="0.25">
      <c r="A3586" s="90" t="s">
        <v>864</v>
      </c>
      <c r="B3586" s="90" t="s">
        <v>1201</v>
      </c>
      <c r="C3586" s="88" t="s">
        <v>1202</v>
      </c>
      <c r="D3586" s="89"/>
      <c r="E3586" s="90" t="s">
        <v>1534</v>
      </c>
      <c r="F3586" s="90" t="s">
        <v>864</v>
      </c>
      <c r="G3586" s="94">
        <v>24</v>
      </c>
      <c r="H3586" s="92">
        <v>6000</v>
      </c>
      <c r="I3586" s="87">
        <v>46087</v>
      </c>
      <c r="J3586" s="93">
        <v>0.625</v>
      </c>
      <c r="K3586" s="92">
        <v>6000</v>
      </c>
      <c r="L3586" s="72" t="str">
        <f t="shared" si="56"/>
        <v>Payé</v>
      </c>
      <c r="N3586" s="15"/>
    </row>
    <row r="3587" spans="1:14" s="14" customFormat="1" ht="18" x14ac:dyDescent="0.25">
      <c r="A3587" s="90" t="s">
        <v>864</v>
      </c>
      <c r="B3587" s="90" t="s">
        <v>389</v>
      </c>
      <c r="C3587" s="88" t="s">
        <v>1195</v>
      </c>
      <c r="D3587" s="89"/>
      <c r="E3587" s="90" t="s">
        <v>1915</v>
      </c>
      <c r="F3587" s="90" t="s">
        <v>864</v>
      </c>
      <c r="G3587" s="94">
        <v>0.5</v>
      </c>
      <c r="H3587" s="92">
        <v>225</v>
      </c>
      <c r="I3587" s="87">
        <v>46105</v>
      </c>
      <c r="J3587" s="93">
        <v>0.56805555555555554</v>
      </c>
      <c r="K3587" s="92">
        <v>225</v>
      </c>
      <c r="L3587" s="72" t="str">
        <f t="shared" si="56"/>
        <v>Payé</v>
      </c>
      <c r="N3587" s="15"/>
    </row>
    <row r="3588" spans="1:14" s="14" customFormat="1" ht="18" x14ac:dyDescent="0.25">
      <c r="A3588" s="90" t="s">
        <v>864</v>
      </c>
      <c r="B3588" s="90" t="s">
        <v>1355</v>
      </c>
      <c r="C3588" s="88" t="s">
        <v>1284</v>
      </c>
      <c r="D3588" s="89"/>
      <c r="E3588" s="90" t="s">
        <v>1284</v>
      </c>
      <c r="F3588" s="90" t="s">
        <v>864</v>
      </c>
      <c r="G3588" s="94">
        <v>5</v>
      </c>
      <c r="H3588" s="92">
        <v>1250</v>
      </c>
      <c r="I3588" s="87">
        <v>46098</v>
      </c>
      <c r="J3588" s="93">
        <v>0.59236111111111112</v>
      </c>
      <c r="K3588" s="92">
        <v>1250</v>
      </c>
      <c r="L3588" s="72" t="str">
        <f t="shared" si="56"/>
        <v>Payé</v>
      </c>
      <c r="N3588" s="15"/>
    </row>
    <row r="3589" spans="1:14" s="14" customFormat="1" ht="18" x14ac:dyDescent="0.25">
      <c r="A3589" s="90" t="s">
        <v>864</v>
      </c>
      <c r="B3589" s="90" t="s">
        <v>1346</v>
      </c>
      <c r="C3589" s="88" t="s">
        <v>1283</v>
      </c>
      <c r="D3589" s="89"/>
      <c r="E3589" s="90" t="s">
        <v>1283</v>
      </c>
      <c r="F3589" s="90" t="s">
        <v>864</v>
      </c>
      <c r="G3589" s="94">
        <v>2</v>
      </c>
      <c r="H3589" s="92">
        <v>300</v>
      </c>
      <c r="I3589" s="87">
        <v>46087</v>
      </c>
      <c r="J3589" s="93">
        <v>0.54791666666666672</v>
      </c>
      <c r="K3589" s="92">
        <v>300</v>
      </c>
      <c r="L3589" s="72" t="str">
        <f t="shared" si="56"/>
        <v>Payé</v>
      </c>
      <c r="N3589" s="15"/>
    </row>
    <row r="3590" spans="1:14" s="14" customFormat="1" ht="18" x14ac:dyDescent="0.25">
      <c r="A3590" s="90" t="s">
        <v>864</v>
      </c>
      <c r="B3590" s="90" t="s">
        <v>1355</v>
      </c>
      <c r="C3590" s="88" t="s">
        <v>1284</v>
      </c>
      <c r="D3590" s="89"/>
      <c r="E3590" s="90" t="s">
        <v>1284</v>
      </c>
      <c r="F3590" s="90" t="s">
        <v>864</v>
      </c>
      <c r="G3590" s="94">
        <v>8</v>
      </c>
      <c r="H3590" s="92">
        <v>4000</v>
      </c>
      <c r="I3590" s="87">
        <v>46098</v>
      </c>
      <c r="J3590" s="93">
        <v>0.59236111111111112</v>
      </c>
      <c r="K3590" s="92">
        <v>4000</v>
      </c>
      <c r="L3590" s="72" t="str">
        <f t="shared" si="56"/>
        <v>Payé</v>
      </c>
      <c r="N3590" s="15"/>
    </row>
    <row r="3591" spans="1:14" s="14" customFormat="1" ht="18" x14ac:dyDescent="0.25">
      <c r="A3591" s="90" t="s">
        <v>865</v>
      </c>
      <c r="B3591" s="90">
        <v>6</v>
      </c>
      <c r="C3591" s="88" t="s">
        <v>542</v>
      </c>
      <c r="D3591" s="90" t="s">
        <v>17</v>
      </c>
      <c r="E3591" s="90" t="s">
        <v>368</v>
      </c>
      <c r="F3591" s="90" t="s">
        <v>865</v>
      </c>
      <c r="G3591" s="137">
        <v>2</v>
      </c>
      <c r="H3591" s="94">
        <v>191</v>
      </c>
      <c r="I3591" s="87">
        <v>46107</v>
      </c>
      <c r="J3591" s="93">
        <v>0.71736111111111101</v>
      </c>
      <c r="K3591" s="94">
        <v>191</v>
      </c>
      <c r="L3591" s="72" t="str">
        <f t="shared" si="56"/>
        <v>Payé</v>
      </c>
      <c r="N3591" s="15"/>
    </row>
    <row r="3592" spans="1:14" s="14" customFormat="1" ht="18" x14ac:dyDescent="0.25">
      <c r="A3592" s="90" t="s">
        <v>865</v>
      </c>
      <c r="B3592" s="90">
        <v>41</v>
      </c>
      <c r="C3592" s="88" t="s">
        <v>407</v>
      </c>
      <c r="D3592" s="90" t="s">
        <v>17</v>
      </c>
      <c r="E3592" s="90" t="s">
        <v>370</v>
      </c>
      <c r="F3592" s="90" t="s">
        <v>865</v>
      </c>
      <c r="G3592" s="137">
        <v>2</v>
      </c>
      <c r="H3592" s="94">
        <v>191</v>
      </c>
      <c r="I3592" s="87">
        <v>46122</v>
      </c>
      <c r="J3592" s="93">
        <v>0.66180555555555554</v>
      </c>
      <c r="K3592" s="94">
        <v>191</v>
      </c>
      <c r="L3592" s="72" t="str">
        <f t="shared" si="56"/>
        <v>Payé</v>
      </c>
      <c r="N3592" s="15"/>
    </row>
    <row r="3593" spans="1:14" s="14" customFormat="1" ht="18" x14ac:dyDescent="0.25">
      <c r="A3593" s="90" t="s">
        <v>865</v>
      </c>
      <c r="B3593" s="90">
        <v>95</v>
      </c>
      <c r="C3593" s="88" t="s">
        <v>408</v>
      </c>
      <c r="D3593" s="90" t="s">
        <v>17</v>
      </c>
      <c r="E3593" s="90" t="s">
        <v>103</v>
      </c>
      <c r="F3593" s="90" t="s">
        <v>865</v>
      </c>
      <c r="G3593" s="137">
        <v>2</v>
      </c>
      <c r="H3593" s="94">
        <v>191</v>
      </c>
      <c r="I3593" s="194">
        <v>46100</v>
      </c>
      <c r="J3593" s="195">
        <v>0.47222222222222227</v>
      </c>
      <c r="K3593" s="141">
        <v>191</v>
      </c>
      <c r="L3593" s="72" t="str">
        <f t="shared" si="56"/>
        <v>Payé</v>
      </c>
      <c r="N3593" s="15"/>
    </row>
    <row r="3594" spans="1:14" s="14" customFormat="1" ht="18" x14ac:dyDescent="0.25">
      <c r="A3594" s="90" t="s">
        <v>865</v>
      </c>
      <c r="B3594" s="90">
        <v>102</v>
      </c>
      <c r="C3594" s="88" t="s">
        <v>594</v>
      </c>
      <c r="D3594" s="90" t="s">
        <v>17</v>
      </c>
      <c r="E3594" s="90" t="s">
        <v>103</v>
      </c>
      <c r="F3594" s="90" t="s">
        <v>865</v>
      </c>
      <c r="G3594" s="137">
        <v>2</v>
      </c>
      <c r="H3594" s="94">
        <v>191</v>
      </c>
      <c r="I3594" s="87">
        <v>46100</v>
      </c>
      <c r="J3594" s="93">
        <v>0.53194444444444444</v>
      </c>
      <c r="K3594" s="94">
        <v>191</v>
      </c>
      <c r="L3594" s="72" t="str">
        <f t="shared" si="56"/>
        <v>Payé</v>
      </c>
      <c r="N3594" s="15"/>
    </row>
    <row r="3595" spans="1:14" s="14" customFormat="1" ht="18" x14ac:dyDescent="0.25">
      <c r="A3595" s="90" t="s">
        <v>865</v>
      </c>
      <c r="B3595" s="90">
        <v>198</v>
      </c>
      <c r="C3595" s="88" t="s">
        <v>380</v>
      </c>
      <c r="D3595" s="90" t="s">
        <v>17</v>
      </c>
      <c r="E3595" s="90" t="s">
        <v>369</v>
      </c>
      <c r="F3595" s="90" t="s">
        <v>865</v>
      </c>
      <c r="G3595" s="137">
        <v>2</v>
      </c>
      <c r="H3595" s="94">
        <v>191</v>
      </c>
      <c r="I3595" s="87">
        <v>46121</v>
      </c>
      <c r="J3595" s="93">
        <v>0.71180555555555547</v>
      </c>
      <c r="K3595" s="94">
        <v>191</v>
      </c>
      <c r="L3595" s="72" t="str">
        <f t="shared" si="56"/>
        <v>Payé</v>
      </c>
      <c r="N3595" s="15"/>
    </row>
    <row r="3596" spans="1:14" s="14" customFormat="1" ht="18" x14ac:dyDescent="0.25">
      <c r="A3596" s="90" t="s">
        <v>865</v>
      </c>
      <c r="B3596" s="90">
        <v>236</v>
      </c>
      <c r="C3596" s="88" t="s">
        <v>1670</v>
      </c>
      <c r="D3596" s="90" t="s">
        <v>17</v>
      </c>
      <c r="E3596" s="90" t="s">
        <v>628</v>
      </c>
      <c r="F3596" s="90" t="s">
        <v>865</v>
      </c>
      <c r="G3596" s="137">
        <v>11</v>
      </c>
      <c r="H3596" s="94">
        <v>1010</v>
      </c>
      <c r="I3596" s="87">
        <v>46100</v>
      </c>
      <c r="J3596" s="93">
        <v>0.52986111111111112</v>
      </c>
      <c r="K3596" s="94">
        <v>1010</v>
      </c>
      <c r="L3596" s="72" t="str">
        <f t="shared" si="56"/>
        <v>Payé</v>
      </c>
      <c r="N3596" s="15"/>
    </row>
    <row r="3597" spans="1:14" s="14" customFormat="1" ht="18" x14ac:dyDescent="0.25">
      <c r="A3597" s="90" t="s">
        <v>865</v>
      </c>
      <c r="B3597" s="90">
        <v>348</v>
      </c>
      <c r="C3597" s="88" t="s">
        <v>951</v>
      </c>
      <c r="D3597" s="90" t="s">
        <v>17</v>
      </c>
      <c r="E3597" s="90" t="s">
        <v>123</v>
      </c>
      <c r="F3597" s="90" t="s">
        <v>865</v>
      </c>
      <c r="G3597" s="137">
        <v>1</v>
      </c>
      <c r="H3597" s="94">
        <v>91</v>
      </c>
      <c r="I3597" s="87">
        <v>46100</v>
      </c>
      <c r="J3597" s="93">
        <v>0.53749999999999998</v>
      </c>
      <c r="K3597" s="94">
        <v>91</v>
      </c>
      <c r="L3597" s="72" t="str">
        <f t="shared" si="56"/>
        <v>Payé</v>
      </c>
      <c r="N3597" s="15"/>
    </row>
    <row r="3598" spans="1:14" s="14" customFormat="1" ht="18" x14ac:dyDescent="0.25">
      <c r="A3598" s="90" t="s">
        <v>865</v>
      </c>
      <c r="B3598" s="90">
        <v>529</v>
      </c>
      <c r="C3598" s="88" t="s">
        <v>702</v>
      </c>
      <c r="D3598" s="90" t="s">
        <v>17</v>
      </c>
      <c r="E3598" s="90" t="s">
        <v>1904</v>
      </c>
      <c r="F3598" s="90" t="s">
        <v>865</v>
      </c>
      <c r="G3598" s="137">
        <v>7</v>
      </c>
      <c r="H3598" s="94">
        <v>630</v>
      </c>
      <c r="I3598" s="87">
        <v>46099</v>
      </c>
      <c r="J3598" s="93">
        <v>0.86111111111111116</v>
      </c>
      <c r="K3598" s="94">
        <v>630</v>
      </c>
      <c r="L3598" s="72" t="str">
        <f t="shared" si="56"/>
        <v>Payé</v>
      </c>
      <c r="N3598" s="15"/>
    </row>
    <row r="3599" spans="1:14" s="14" customFormat="1" ht="18" x14ac:dyDescent="0.25">
      <c r="A3599" s="90" t="s">
        <v>865</v>
      </c>
      <c r="B3599" s="90">
        <v>752</v>
      </c>
      <c r="C3599" s="88" t="s">
        <v>384</v>
      </c>
      <c r="D3599" s="90" t="s">
        <v>17</v>
      </c>
      <c r="E3599" s="90" t="s">
        <v>370</v>
      </c>
      <c r="F3599" s="90" t="s">
        <v>865</v>
      </c>
      <c r="G3599" s="137">
        <v>2</v>
      </c>
      <c r="H3599" s="94">
        <v>182</v>
      </c>
      <c r="I3599" s="87">
        <v>46122</v>
      </c>
      <c r="J3599" s="93">
        <v>0.66180555555555554</v>
      </c>
      <c r="K3599" s="94">
        <v>182</v>
      </c>
      <c r="L3599" s="72" t="str">
        <f t="shared" si="56"/>
        <v>Payé</v>
      </c>
      <c r="N3599" s="15"/>
    </row>
    <row r="3600" spans="1:14" s="14" customFormat="1" ht="18" x14ac:dyDescent="0.25">
      <c r="A3600" s="90" t="s">
        <v>865</v>
      </c>
      <c r="B3600" s="90">
        <v>990</v>
      </c>
      <c r="C3600" s="88" t="s">
        <v>1585</v>
      </c>
      <c r="D3600" s="90" t="s">
        <v>17</v>
      </c>
      <c r="E3600" s="90" t="s">
        <v>123</v>
      </c>
      <c r="F3600" s="90" t="s">
        <v>865</v>
      </c>
      <c r="G3600" s="137">
        <v>8</v>
      </c>
      <c r="H3600" s="94">
        <v>720</v>
      </c>
      <c r="I3600" s="87">
        <v>46100</v>
      </c>
      <c r="J3600" s="93">
        <v>0.53749999999999998</v>
      </c>
      <c r="K3600" s="94">
        <v>720</v>
      </c>
      <c r="L3600" s="72" t="str">
        <f t="shared" si="56"/>
        <v>Payé</v>
      </c>
      <c r="N3600" s="15"/>
    </row>
    <row r="3601" spans="1:14" s="14" customFormat="1" ht="18" x14ac:dyDescent="0.25">
      <c r="A3601" s="90" t="s">
        <v>865</v>
      </c>
      <c r="B3601" s="90">
        <v>1593</v>
      </c>
      <c r="C3601" s="88" t="s">
        <v>965</v>
      </c>
      <c r="D3601" s="90" t="s">
        <v>17</v>
      </c>
      <c r="E3601" s="90" t="s">
        <v>123</v>
      </c>
      <c r="F3601" s="90" t="s">
        <v>865</v>
      </c>
      <c r="G3601" s="137">
        <v>1.5</v>
      </c>
      <c r="H3601" s="94">
        <v>135</v>
      </c>
      <c r="I3601" s="87">
        <v>46100</v>
      </c>
      <c r="J3601" s="93">
        <v>0.53749999999999998</v>
      </c>
      <c r="K3601" s="94">
        <v>135</v>
      </c>
      <c r="L3601" s="72" t="str">
        <f t="shared" si="56"/>
        <v>Payé</v>
      </c>
      <c r="N3601" s="15"/>
    </row>
    <row r="3602" spans="1:14" s="14" customFormat="1" ht="18" x14ac:dyDescent="0.25">
      <c r="A3602" s="90" t="s">
        <v>865</v>
      </c>
      <c r="B3602" s="90">
        <v>1688</v>
      </c>
      <c r="C3602" s="88" t="s">
        <v>1114</v>
      </c>
      <c r="D3602" s="90" t="s">
        <v>17</v>
      </c>
      <c r="E3602" s="90" t="s">
        <v>254</v>
      </c>
      <c r="F3602" s="90" t="s">
        <v>865</v>
      </c>
      <c r="G3602" s="137">
        <v>9</v>
      </c>
      <c r="H3602" s="94">
        <v>830</v>
      </c>
      <c r="I3602" s="87">
        <v>46099</v>
      </c>
      <c r="J3602" s="93">
        <v>0.64444444444444449</v>
      </c>
      <c r="K3602" s="94">
        <v>830</v>
      </c>
      <c r="L3602" s="72" t="str">
        <f t="shared" si="56"/>
        <v>Payé</v>
      </c>
      <c r="N3602" s="15"/>
    </row>
    <row r="3603" spans="1:14" s="14" customFormat="1" ht="18" x14ac:dyDescent="0.25">
      <c r="A3603" s="90" t="s">
        <v>865</v>
      </c>
      <c r="B3603" s="90">
        <v>1888</v>
      </c>
      <c r="C3603" s="88" t="s">
        <v>1918</v>
      </c>
      <c r="D3603" s="90" t="s">
        <v>17</v>
      </c>
      <c r="E3603" s="90" t="s">
        <v>1907</v>
      </c>
      <c r="F3603" s="90" t="s">
        <v>865</v>
      </c>
      <c r="G3603" s="137">
        <v>5</v>
      </c>
      <c r="H3603" s="94">
        <v>460</v>
      </c>
      <c r="I3603" s="87">
        <v>46100</v>
      </c>
      <c r="J3603" s="93">
        <v>0.39861111111111108</v>
      </c>
      <c r="K3603" s="94">
        <v>460</v>
      </c>
      <c r="L3603" s="72" t="str">
        <f t="shared" si="56"/>
        <v>Payé</v>
      </c>
      <c r="N3603" s="15"/>
    </row>
    <row r="3604" spans="1:14" s="14" customFormat="1" ht="18" x14ac:dyDescent="0.25">
      <c r="A3604" s="90" t="s">
        <v>865</v>
      </c>
      <c r="B3604" s="90">
        <v>2331</v>
      </c>
      <c r="C3604" s="88" t="s">
        <v>344</v>
      </c>
      <c r="D3604" s="90" t="s">
        <v>17</v>
      </c>
      <c r="E3604" s="90" t="s">
        <v>81</v>
      </c>
      <c r="F3604" s="90" t="s">
        <v>865</v>
      </c>
      <c r="G3604" s="137">
        <v>1</v>
      </c>
      <c r="H3604" s="94">
        <v>87</v>
      </c>
      <c r="I3604" s="87">
        <v>46100</v>
      </c>
      <c r="J3604" s="93">
        <v>0.60902777777777783</v>
      </c>
      <c r="K3604" s="94">
        <v>87</v>
      </c>
      <c r="L3604" s="72" t="str">
        <f t="shared" si="56"/>
        <v>Payé</v>
      </c>
      <c r="N3604" s="15"/>
    </row>
    <row r="3605" spans="1:14" s="14" customFormat="1" ht="18" x14ac:dyDescent="0.25">
      <c r="A3605" s="90" t="s">
        <v>865</v>
      </c>
      <c r="B3605" s="90">
        <v>2384</v>
      </c>
      <c r="C3605" s="88" t="s">
        <v>541</v>
      </c>
      <c r="D3605" s="90" t="s">
        <v>17</v>
      </c>
      <c r="E3605" s="90" t="s">
        <v>103</v>
      </c>
      <c r="F3605" s="90" t="s">
        <v>865</v>
      </c>
      <c r="G3605" s="137">
        <v>2</v>
      </c>
      <c r="H3605" s="94">
        <v>173</v>
      </c>
      <c r="I3605" s="87">
        <v>46104</v>
      </c>
      <c r="J3605" s="93">
        <v>0.64374999999999993</v>
      </c>
      <c r="K3605" s="94">
        <v>173</v>
      </c>
      <c r="L3605" s="72" t="str">
        <f t="shared" si="56"/>
        <v>Payé</v>
      </c>
      <c r="N3605" s="15"/>
    </row>
    <row r="3606" spans="1:14" s="14" customFormat="1" ht="18" x14ac:dyDescent="0.25">
      <c r="A3606" s="90" t="s">
        <v>865</v>
      </c>
      <c r="B3606" s="90">
        <v>2582</v>
      </c>
      <c r="C3606" s="88" t="s">
        <v>1919</v>
      </c>
      <c r="D3606" s="90" t="s">
        <v>17</v>
      </c>
      <c r="E3606" s="90" t="s">
        <v>254</v>
      </c>
      <c r="F3606" s="90" t="s">
        <v>865</v>
      </c>
      <c r="G3606" s="137">
        <v>6</v>
      </c>
      <c r="H3606" s="94">
        <v>550</v>
      </c>
      <c r="I3606" s="87">
        <v>46099</v>
      </c>
      <c r="J3606" s="93">
        <v>0.64444444444444449</v>
      </c>
      <c r="K3606" s="94">
        <v>550</v>
      </c>
      <c r="L3606" s="72" t="str">
        <f t="shared" si="56"/>
        <v>Payé</v>
      </c>
      <c r="N3606" s="15"/>
    </row>
    <row r="3607" spans="1:14" s="14" customFormat="1" ht="18" x14ac:dyDescent="0.25">
      <c r="A3607" s="90" t="s">
        <v>865</v>
      </c>
      <c r="B3607" s="90">
        <v>2750</v>
      </c>
      <c r="C3607" s="88" t="s">
        <v>1093</v>
      </c>
      <c r="D3607" s="90" t="s">
        <v>17</v>
      </c>
      <c r="E3607" s="90" t="s">
        <v>254</v>
      </c>
      <c r="F3607" s="90" t="s">
        <v>865</v>
      </c>
      <c r="G3607" s="137">
        <v>11</v>
      </c>
      <c r="H3607" s="94">
        <v>990</v>
      </c>
      <c r="I3607" s="87">
        <v>46099</v>
      </c>
      <c r="J3607" s="93">
        <v>0.64444444444444449</v>
      </c>
      <c r="K3607" s="94">
        <v>990</v>
      </c>
      <c r="L3607" s="72" t="str">
        <f t="shared" si="56"/>
        <v>Payé</v>
      </c>
      <c r="N3607" s="15"/>
    </row>
    <row r="3608" spans="1:14" s="14" customFormat="1" ht="18" x14ac:dyDescent="0.25">
      <c r="A3608" s="90" t="s">
        <v>865</v>
      </c>
      <c r="B3608" s="90">
        <v>2765</v>
      </c>
      <c r="C3608" s="88" t="s">
        <v>1920</v>
      </c>
      <c r="D3608" s="90" t="s">
        <v>17</v>
      </c>
      <c r="E3608" s="90" t="s">
        <v>1902</v>
      </c>
      <c r="F3608" s="90" t="s">
        <v>865</v>
      </c>
      <c r="G3608" s="137">
        <v>3</v>
      </c>
      <c r="H3608" s="94">
        <v>270</v>
      </c>
      <c r="I3608" s="194">
        <v>46100</v>
      </c>
      <c r="J3608" s="195">
        <v>1335</v>
      </c>
      <c r="K3608" s="141">
        <v>270</v>
      </c>
      <c r="L3608" s="72" t="str">
        <f t="shared" si="56"/>
        <v>Payé</v>
      </c>
      <c r="N3608" s="15"/>
    </row>
    <row r="3609" spans="1:14" s="14" customFormat="1" ht="18" x14ac:dyDescent="0.25">
      <c r="A3609" s="90" t="s">
        <v>865</v>
      </c>
      <c r="B3609" s="90">
        <v>2856</v>
      </c>
      <c r="C3609" s="88" t="s">
        <v>1288</v>
      </c>
      <c r="D3609" s="90" t="s">
        <v>17</v>
      </c>
      <c r="E3609" s="90" t="s">
        <v>123</v>
      </c>
      <c r="F3609" s="90" t="s">
        <v>865</v>
      </c>
      <c r="G3609" s="137">
        <v>11</v>
      </c>
      <c r="H3609" s="94">
        <v>1055</v>
      </c>
      <c r="I3609" s="87">
        <v>46099</v>
      </c>
      <c r="J3609" s="93">
        <v>0.61805555555555558</v>
      </c>
      <c r="K3609" s="94">
        <v>1055</v>
      </c>
      <c r="L3609" s="72" t="str">
        <f t="shared" si="56"/>
        <v>Payé</v>
      </c>
      <c r="N3609" s="15"/>
    </row>
    <row r="3610" spans="1:14" s="14" customFormat="1" ht="18" x14ac:dyDescent="0.25">
      <c r="A3610" s="90" t="s">
        <v>865</v>
      </c>
      <c r="B3610" s="90">
        <v>2965</v>
      </c>
      <c r="C3610" s="88" t="s">
        <v>813</v>
      </c>
      <c r="D3610" s="90" t="s">
        <v>17</v>
      </c>
      <c r="E3610" s="90" t="s">
        <v>753</v>
      </c>
      <c r="F3610" s="90" t="s">
        <v>865</v>
      </c>
      <c r="G3610" s="137">
        <v>1</v>
      </c>
      <c r="H3610" s="94">
        <v>90</v>
      </c>
      <c r="I3610" s="87">
        <v>46102</v>
      </c>
      <c r="J3610" s="93">
        <v>0.46597222222222223</v>
      </c>
      <c r="K3610" s="94">
        <v>90</v>
      </c>
      <c r="L3610" s="72" t="str">
        <f t="shared" si="56"/>
        <v>Payé</v>
      </c>
      <c r="N3610" s="15"/>
    </row>
    <row r="3611" spans="1:14" s="14" customFormat="1" ht="18" x14ac:dyDescent="0.25">
      <c r="A3611" s="90" t="s">
        <v>865</v>
      </c>
      <c r="B3611" s="90">
        <v>2978</v>
      </c>
      <c r="C3611" s="88" t="s">
        <v>1118</v>
      </c>
      <c r="D3611" s="90" t="s">
        <v>17</v>
      </c>
      <c r="E3611" s="90" t="s">
        <v>753</v>
      </c>
      <c r="F3611" s="90" t="s">
        <v>865</v>
      </c>
      <c r="G3611" s="137">
        <v>2</v>
      </c>
      <c r="H3611" s="94">
        <v>180</v>
      </c>
      <c r="I3611" s="87">
        <v>46100</v>
      </c>
      <c r="J3611" s="93">
        <v>0.53333333333333333</v>
      </c>
      <c r="K3611" s="94">
        <v>180</v>
      </c>
      <c r="L3611" s="72" t="str">
        <f t="shared" si="56"/>
        <v>Payé</v>
      </c>
      <c r="N3611" s="15"/>
    </row>
    <row r="3612" spans="1:14" s="14" customFormat="1" ht="18" x14ac:dyDescent="0.25">
      <c r="A3612" s="90" t="s">
        <v>865</v>
      </c>
      <c r="B3612" s="90">
        <v>3001</v>
      </c>
      <c r="C3612" s="88" t="s">
        <v>799</v>
      </c>
      <c r="D3612" s="90" t="s">
        <v>17</v>
      </c>
      <c r="E3612" s="90" t="s">
        <v>753</v>
      </c>
      <c r="F3612" s="90" t="s">
        <v>865</v>
      </c>
      <c r="G3612" s="137">
        <v>1</v>
      </c>
      <c r="H3612" s="94">
        <v>100</v>
      </c>
      <c r="I3612" s="87">
        <v>46099</v>
      </c>
      <c r="J3612" s="93">
        <v>0.61944444444444446</v>
      </c>
      <c r="K3612" s="94">
        <v>100</v>
      </c>
      <c r="L3612" s="72" t="str">
        <f t="shared" si="56"/>
        <v>Payé</v>
      </c>
      <c r="N3612" s="15"/>
    </row>
    <row r="3613" spans="1:14" s="14" customFormat="1" ht="18" x14ac:dyDescent="0.25">
      <c r="A3613" s="90" t="s">
        <v>865</v>
      </c>
      <c r="B3613" s="90">
        <v>3011</v>
      </c>
      <c r="C3613" s="88" t="s">
        <v>1815</v>
      </c>
      <c r="D3613" s="90" t="s">
        <v>17</v>
      </c>
      <c r="E3613" s="90" t="s">
        <v>649</v>
      </c>
      <c r="F3613" s="90" t="s">
        <v>865</v>
      </c>
      <c r="G3613" s="137">
        <v>4</v>
      </c>
      <c r="H3613" s="94">
        <v>360</v>
      </c>
      <c r="I3613" s="87">
        <v>46099</v>
      </c>
      <c r="J3613" s="93">
        <v>0.63124999999999998</v>
      </c>
      <c r="K3613" s="94">
        <v>360</v>
      </c>
      <c r="L3613" s="72" t="str">
        <f t="shared" si="56"/>
        <v>Payé</v>
      </c>
      <c r="N3613" s="15"/>
    </row>
    <row r="3614" spans="1:14" s="14" customFormat="1" ht="18" x14ac:dyDescent="0.25">
      <c r="A3614" s="90" t="s">
        <v>865</v>
      </c>
      <c r="B3614" s="90">
        <v>3087</v>
      </c>
      <c r="C3614" s="88" t="s">
        <v>1238</v>
      </c>
      <c r="D3614" s="90" t="s">
        <v>17</v>
      </c>
      <c r="E3614" s="90" t="s">
        <v>649</v>
      </c>
      <c r="F3614" s="90" t="s">
        <v>865</v>
      </c>
      <c r="G3614" s="137">
        <v>7</v>
      </c>
      <c r="H3614" s="94">
        <v>630</v>
      </c>
      <c r="I3614" s="87">
        <v>46099</v>
      </c>
      <c r="J3614" s="93">
        <v>0.63124999999999998</v>
      </c>
      <c r="K3614" s="94">
        <v>630</v>
      </c>
      <c r="L3614" s="72" t="str">
        <f t="shared" ref="L3614:L3677" si="57">IF(ISBLANK(H3614),"",IF(H3614=K3614,"Payé","Impayé"))</f>
        <v>Payé</v>
      </c>
      <c r="N3614" s="15"/>
    </row>
    <row r="3615" spans="1:14" s="14" customFormat="1" ht="18" x14ac:dyDescent="0.25">
      <c r="A3615" s="90" t="s">
        <v>865</v>
      </c>
      <c r="B3615" s="90">
        <v>3130</v>
      </c>
      <c r="C3615" s="88" t="s">
        <v>553</v>
      </c>
      <c r="D3615" s="90" t="s">
        <v>17</v>
      </c>
      <c r="E3615" s="90" t="s">
        <v>649</v>
      </c>
      <c r="F3615" s="90" t="s">
        <v>865</v>
      </c>
      <c r="G3615" s="137">
        <v>8</v>
      </c>
      <c r="H3615" s="94">
        <v>720</v>
      </c>
      <c r="I3615" s="87">
        <v>46099</v>
      </c>
      <c r="J3615" s="93">
        <v>0.63124999999999998</v>
      </c>
      <c r="K3615" s="94">
        <v>720</v>
      </c>
      <c r="L3615" s="72" t="str">
        <f t="shared" si="57"/>
        <v>Payé</v>
      </c>
      <c r="N3615" s="15"/>
    </row>
    <row r="3616" spans="1:14" s="14" customFormat="1" ht="18" x14ac:dyDescent="0.25">
      <c r="A3616" s="90" t="s">
        <v>865</v>
      </c>
      <c r="B3616" s="90">
        <v>3351</v>
      </c>
      <c r="C3616" s="88" t="s">
        <v>617</v>
      </c>
      <c r="D3616" s="90" t="s">
        <v>17</v>
      </c>
      <c r="E3616" s="90" t="s">
        <v>103</v>
      </c>
      <c r="F3616" s="90" t="s">
        <v>865</v>
      </c>
      <c r="G3616" s="137">
        <v>1</v>
      </c>
      <c r="H3616" s="94">
        <v>91</v>
      </c>
      <c r="I3616" s="87">
        <v>46119</v>
      </c>
      <c r="J3616" s="93">
        <v>0.69305555555555554</v>
      </c>
      <c r="K3616" s="94">
        <v>91</v>
      </c>
      <c r="L3616" s="72" t="str">
        <f t="shared" si="57"/>
        <v>Payé</v>
      </c>
      <c r="N3616" s="15"/>
    </row>
    <row r="3617" spans="1:14" s="14" customFormat="1" ht="18" x14ac:dyDescent="0.25">
      <c r="A3617" s="90" t="s">
        <v>865</v>
      </c>
      <c r="B3617" s="90">
        <v>3397</v>
      </c>
      <c r="C3617" s="88" t="s">
        <v>976</v>
      </c>
      <c r="D3617" s="90" t="s">
        <v>17</v>
      </c>
      <c r="E3617" s="90" t="s">
        <v>81</v>
      </c>
      <c r="F3617" s="90" t="s">
        <v>865</v>
      </c>
      <c r="G3617" s="137">
        <v>1</v>
      </c>
      <c r="H3617" s="94">
        <v>87</v>
      </c>
      <c r="I3617" s="87">
        <v>46107</v>
      </c>
      <c r="J3617" s="93">
        <v>0.71736111111111101</v>
      </c>
      <c r="K3617" s="94">
        <v>87</v>
      </c>
      <c r="L3617" s="72" t="str">
        <f t="shared" si="57"/>
        <v>Payé</v>
      </c>
      <c r="N3617" s="15"/>
    </row>
    <row r="3618" spans="1:14" s="14" customFormat="1" ht="18" x14ac:dyDescent="0.25">
      <c r="A3618" s="90" t="s">
        <v>865</v>
      </c>
      <c r="B3618" s="90">
        <v>3398</v>
      </c>
      <c r="C3618" s="88" t="s">
        <v>557</v>
      </c>
      <c r="D3618" s="90" t="s">
        <v>17</v>
      </c>
      <c r="E3618" s="90" t="s">
        <v>81</v>
      </c>
      <c r="F3618" s="90" t="s">
        <v>865</v>
      </c>
      <c r="G3618" s="137">
        <v>2</v>
      </c>
      <c r="H3618" s="94">
        <v>182</v>
      </c>
      <c r="I3618" s="87">
        <v>46100</v>
      </c>
      <c r="J3618" s="93">
        <v>0.39166666666666666</v>
      </c>
      <c r="K3618" s="94">
        <v>182</v>
      </c>
      <c r="L3618" s="72" t="str">
        <f t="shared" si="57"/>
        <v>Payé</v>
      </c>
      <c r="N3618" s="15"/>
    </row>
    <row r="3619" spans="1:14" s="14" customFormat="1" ht="18" x14ac:dyDescent="0.25">
      <c r="A3619" s="90" t="s">
        <v>865</v>
      </c>
      <c r="B3619" s="90">
        <v>3409</v>
      </c>
      <c r="C3619" s="88" t="s">
        <v>559</v>
      </c>
      <c r="D3619" s="90" t="s">
        <v>17</v>
      </c>
      <c r="E3619" s="90" t="s">
        <v>123</v>
      </c>
      <c r="F3619" s="90" t="s">
        <v>865</v>
      </c>
      <c r="G3619" s="137">
        <v>5</v>
      </c>
      <c r="H3619" s="94">
        <v>450</v>
      </c>
      <c r="I3619" s="87">
        <v>46100</v>
      </c>
      <c r="J3619" s="93">
        <v>0.53749999999999998</v>
      </c>
      <c r="K3619" s="94">
        <v>450</v>
      </c>
      <c r="L3619" s="72" t="str">
        <f t="shared" si="57"/>
        <v>Payé</v>
      </c>
      <c r="N3619" s="15"/>
    </row>
    <row r="3620" spans="1:14" s="14" customFormat="1" ht="18" x14ac:dyDescent="0.25">
      <c r="A3620" s="90" t="s">
        <v>865</v>
      </c>
      <c r="B3620" s="90">
        <v>3427</v>
      </c>
      <c r="C3620" s="88" t="s">
        <v>979</v>
      </c>
      <c r="D3620" s="90" t="s">
        <v>17</v>
      </c>
      <c r="E3620" s="90" t="s">
        <v>123</v>
      </c>
      <c r="F3620" s="90" t="s">
        <v>865</v>
      </c>
      <c r="G3620" s="137">
        <v>3</v>
      </c>
      <c r="H3620" s="94">
        <v>270</v>
      </c>
      <c r="I3620" s="87">
        <v>46100</v>
      </c>
      <c r="J3620" s="93">
        <v>0.53749999999999998</v>
      </c>
      <c r="K3620" s="94">
        <v>270</v>
      </c>
      <c r="L3620" s="72" t="str">
        <f t="shared" si="57"/>
        <v>Payé</v>
      </c>
      <c r="N3620" s="15"/>
    </row>
    <row r="3621" spans="1:14" s="14" customFormat="1" ht="18" x14ac:dyDescent="0.25">
      <c r="A3621" s="90" t="s">
        <v>865</v>
      </c>
      <c r="B3621" s="90">
        <v>3440</v>
      </c>
      <c r="C3621" s="88" t="s">
        <v>561</v>
      </c>
      <c r="D3621" s="90" t="s">
        <v>17</v>
      </c>
      <c r="E3621" s="90" t="s">
        <v>49</v>
      </c>
      <c r="F3621" s="90" t="s">
        <v>865</v>
      </c>
      <c r="G3621" s="137">
        <v>10</v>
      </c>
      <c r="H3621" s="94">
        <v>900</v>
      </c>
      <c r="I3621" s="87">
        <v>46099</v>
      </c>
      <c r="J3621" s="93">
        <v>0.61388888888888882</v>
      </c>
      <c r="K3621" s="94">
        <v>900</v>
      </c>
      <c r="L3621" s="72" t="str">
        <f t="shared" si="57"/>
        <v>Payé</v>
      </c>
      <c r="N3621" s="15"/>
    </row>
    <row r="3622" spans="1:14" s="14" customFormat="1" ht="18" x14ac:dyDescent="0.25">
      <c r="A3622" s="90" t="s">
        <v>865</v>
      </c>
      <c r="B3622" s="90">
        <v>3518</v>
      </c>
      <c r="C3622" s="88" t="s">
        <v>1061</v>
      </c>
      <c r="D3622" s="90" t="s">
        <v>17</v>
      </c>
      <c r="E3622" s="90" t="s">
        <v>254</v>
      </c>
      <c r="F3622" s="90" t="s">
        <v>865</v>
      </c>
      <c r="G3622" s="137">
        <v>11</v>
      </c>
      <c r="H3622" s="94">
        <v>990</v>
      </c>
      <c r="I3622" s="87">
        <v>46099</v>
      </c>
      <c r="J3622" s="93">
        <v>0.64444444444444449</v>
      </c>
      <c r="K3622" s="94">
        <v>990</v>
      </c>
      <c r="L3622" s="72" t="str">
        <f t="shared" si="57"/>
        <v>Payé</v>
      </c>
      <c r="N3622" s="15"/>
    </row>
    <row r="3623" spans="1:14" s="14" customFormat="1" ht="18" x14ac:dyDescent="0.25">
      <c r="A3623" s="90" t="s">
        <v>865</v>
      </c>
      <c r="B3623" s="90">
        <v>3534</v>
      </c>
      <c r="C3623" s="88" t="s">
        <v>563</v>
      </c>
      <c r="D3623" s="90" t="s">
        <v>17</v>
      </c>
      <c r="E3623" s="90" t="s">
        <v>1904</v>
      </c>
      <c r="F3623" s="90" t="s">
        <v>865</v>
      </c>
      <c r="G3623" s="137">
        <v>8</v>
      </c>
      <c r="H3623" s="94">
        <v>720</v>
      </c>
      <c r="I3623" s="87">
        <v>46099</v>
      </c>
      <c r="J3623" s="93">
        <v>0.86111111111111116</v>
      </c>
      <c r="K3623" s="94">
        <v>720</v>
      </c>
      <c r="L3623" s="72" t="str">
        <f t="shared" si="57"/>
        <v>Payé</v>
      </c>
      <c r="N3623" s="15"/>
    </row>
    <row r="3624" spans="1:14" s="14" customFormat="1" ht="18" x14ac:dyDescent="0.25">
      <c r="A3624" s="90" t="s">
        <v>865</v>
      </c>
      <c r="B3624" s="90">
        <v>3535</v>
      </c>
      <c r="C3624" s="88" t="s">
        <v>564</v>
      </c>
      <c r="D3624" s="90" t="s">
        <v>17</v>
      </c>
      <c r="E3624" s="90" t="s">
        <v>1904</v>
      </c>
      <c r="F3624" s="90" t="s">
        <v>865</v>
      </c>
      <c r="G3624" s="137">
        <v>12</v>
      </c>
      <c r="H3624" s="94">
        <v>1080</v>
      </c>
      <c r="I3624" s="87">
        <v>46099</v>
      </c>
      <c r="J3624" s="93">
        <v>0.86111111111111116</v>
      </c>
      <c r="K3624" s="94">
        <v>1080</v>
      </c>
      <c r="L3624" s="72" t="str">
        <f t="shared" si="57"/>
        <v>Payé</v>
      </c>
      <c r="N3624" s="15"/>
    </row>
    <row r="3625" spans="1:14" s="14" customFormat="1" ht="18" x14ac:dyDescent="0.25">
      <c r="A3625" s="90" t="s">
        <v>865</v>
      </c>
      <c r="B3625" s="90">
        <v>3545</v>
      </c>
      <c r="C3625" s="88" t="s">
        <v>606</v>
      </c>
      <c r="D3625" s="90" t="s">
        <v>17</v>
      </c>
      <c r="E3625" s="90" t="s">
        <v>123</v>
      </c>
      <c r="F3625" s="90" t="s">
        <v>865</v>
      </c>
      <c r="G3625" s="137">
        <v>7</v>
      </c>
      <c r="H3625" s="94">
        <v>630</v>
      </c>
      <c r="I3625" s="87">
        <v>46099</v>
      </c>
      <c r="J3625" s="93">
        <v>0.61875000000000002</v>
      </c>
      <c r="K3625" s="94">
        <v>630</v>
      </c>
      <c r="L3625" s="72" t="str">
        <f t="shared" si="57"/>
        <v>Payé</v>
      </c>
      <c r="N3625" s="15"/>
    </row>
    <row r="3626" spans="1:14" s="14" customFormat="1" ht="18" x14ac:dyDescent="0.25">
      <c r="A3626" s="90" t="s">
        <v>865</v>
      </c>
      <c r="B3626" s="90">
        <v>3546</v>
      </c>
      <c r="C3626" s="88" t="s">
        <v>1677</v>
      </c>
      <c r="D3626" s="90" t="s">
        <v>17</v>
      </c>
      <c r="E3626" s="90" t="s">
        <v>123</v>
      </c>
      <c r="F3626" s="90" t="s">
        <v>865</v>
      </c>
      <c r="G3626" s="137">
        <v>3</v>
      </c>
      <c r="H3626" s="94">
        <v>270</v>
      </c>
      <c r="I3626" s="87">
        <v>46099</v>
      </c>
      <c r="J3626" s="93">
        <v>0.65486111111111112</v>
      </c>
      <c r="K3626" s="94">
        <v>270</v>
      </c>
      <c r="L3626" s="72" t="str">
        <f t="shared" si="57"/>
        <v>Payé</v>
      </c>
      <c r="N3626" s="15"/>
    </row>
    <row r="3627" spans="1:14" s="14" customFormat="1" ht="18" x14ac:dyDescent="0.25">
      <c r="A3627" s="90" t="s">
        <v>865</v>
      </c>
      <c r="B3627" s="90">
        <v>3590</v>
      </c>
      <c r="C3627" s="88" t="s">
        <v>425</v>
      </c>
      <c r="D3627" s="90" t="s">
        <v>17</v>
      </c>
      <c r="E3627" s="90" t="s">
        <v>628</v>
      </c>
      <c r="F3627" s="90" t="s">
        <v>865</v>
      </c>
      <c r="G3627" s="137">
        <v>10</v>
      </c>
      <c r="H3627" s="94">
        <v>1040</v>
      </c>
      <c r="I3627" s="87">
        <v>46100</v>
      </c>
      <c r="J3627" s="93">
        <v>0.52986111111111112</v>
      </c>
      <c r="K3627" s="94">
        <v>1040</v>
      </c>
      <c r="L3627" s="72" t="str">
        <f t="shared" si="57"/>
        <v>Payé</v>
      </c>
      <c r="N3627" s="15"/>
    </row>
    <row r="3628" spans="1:14" s="14" customFormat="1" ht="18" x14ac:dyDescent="0.25">
      <c r="A3628" s="90" t="s">
        <v>865</v>
      </c>
      <c r="B3628" s="90">
        <v>3672</v>
      </c>
      <c r="C3628" s="88" t="s">
        <v>568</v>
      </c>
      <c r="D3628" s="90" t="s">
        <v>17</v>
      </c>
      <c r="E3628" s="90" t="s">
        <v>1905</v>
      </c>
      <c r="F3628" s="90" t="s">
        <v>865</v>
      </c>
      <c r="G3628" s="137">
        <v>15</v>
      </c>
      <c r="H3628" s="94">
        <v>1650</v>
      </c>
      <c r="I3628" s="87">
        <v>46099</v>
      </c>
      <c r="J3628" s="93">
        <v>0.59236111111111112</v>
      </c>
      <c r="K3628" s="94">
        <v>1650</v>
      </c>
      <c r="L3628" s="72" t="str">
        <f t="shared" si="57"/>
        <v>Payé</v>
      </c>
      <c r="N3628" s="15"/>
    </row>
    <row r="3629" spans="1:14" s="14" customFormat="1" ht="18" x14ac:dyDescent="0.25">
      <c r="A3629" s="90" t="s">
        <v>865</v>
      </c>
      <c r="B3629" s="90">
        <v>3726</v>
      </c>
      <c r="C3629" s="88" t="s">
        <v>570</v>
      </c>
      <c r="D3629" s="90" t="s">
        <v>17</v>
      </c>
      <c r="E3629" s="90" t="s">
        <v>123</v>
      </c>
      <c r="F3629" s="90" t="s">
        <v>865</v>
      </c>
      <c r="G3629" s="137">
        <v>11.5</v>
      </c>
      <c r="H3629" s="94">
        <v>1035</v>
      </c>
      <c r="I3629" s="87">
        <v>46099</v>
      </c>
      <c r="J3629" s="93">
        <v>0.59166666666666667</v>
      </c>
      <c r="K3629" s="94">
        <v>1035</v>
      </c>
      <c r="L3629" s="72" t="str">
        <f t="shared" si="57"/>
        <v>Payé</v>
      </c>
      <c r="N3629" s="15"/>
    </row>
    <row r="3630" spans="1:14" s="14" customFormat="1" ht="18" x14ac:dyDescent="0.25">
      <c r="A3630" s="90" t="s">
        <v>865</v>
      </c>
      <c r="B3630" s="90">
        <v>3760</v>
      </c>
      <c r="C3630" s="88" t="s">
        <v>465</v>
      </c>
      <c r="D3630" s="90" t="s">
        <v>17</v>
      </c>
      <c r="E3630" s="90" t="s">
        <v>49</v>
      </c>
      <c r="F3630" s="90" t="s">
        <v>865</v>
      </c>
      <c r="G3630" s="137">
        <v>10</v>
      </c>
      <c r="H3630" s="94">
        <v>900</v>
      </c>
      <c r="I3630" s="87">
        <v>46099</v>
      </c>
      <c r="J3630" s="93">
        <v>0.61388888888888882</v>
      </c>
      <c r="K3630" s="94">
        <v>900</v>
      </c>
      <c r="L3630" s="72" t="str">
        <f t="shared" si="57"/>
        <v>Payé</v>
      </c>
      <c r="N3630" s="15"/>
    </row>
    <row r="3631" spans="1:14" s="14" customFormat="1" ht="18" x14ac:dyDescent="0.25">
      <c r="A3631" s="90" t="s">
        <v>865</v>
      </c>
      <c r="B3631" s="90">
        <v>3793</v>
      </c>
      <c r="C3631" s="88" t="s">
        <v>572</v>
      </c>
      <c r="D3631" s="90" t="s">
        <v>17</v>
      </c>
      <c r="E3631" s="90" t="s">
        <v>123</v>
      </c>
      <c r="F3631" s="90" t="s">
        <v>865</v>
      </c>
      <c r="G3631" s="137">
        <v>9.5</v>
      </c>
      <c r="H3631" s="94">
        <v>855</v>
      </c>
      <c r="I3631" s="87">
        <v>46100</v>
      </c>
      <c r="J3631" s="93">
        <v>0.53749999999999998</v>
      </c>
      <c r="K3631" s="94">
        <v>855</v>
      </c>
      <c r="L3631" s="72" t="str">
        <f t="shared" si="57"/>
        <v>Payé</v>
      </c>
      <c r="N3631" s="15"/>
    </row>
    <row r="3632" spans="1:14" s="14" customFormat="1" ht="18" x14ac:dyDescent="0.25">
      <c r="A3632" s="90" t="s">
        <v>865</v>
      </c>
      <c r="B3632" s="90">
        <v>3819</v>
      </c>
      <c r="C3632" s="88" t="s">
        <v>1537</v>
      </c>
      <c r="D3632" s="90" t="s">
        <v>17</v>
      </c>
      <c r="E3632" s="90" t="s">
        <v>753</v>
      </c>
      <c r="F3632" s="90" t="s">
        <v>865</v>
      </c>
      <c r="G3632" s="137">
        <v>1</v>
      </c>
      <c r="H3632" s="94">
        <v>90</v>
      </c>
      <c r="I3632" s="87">
        <v>46100</v>
      </c>
      <c r="J3632" s="93">
        <v>0.53333333333333333</v>
      </c>
      <c r="K3632" s="94">
        <v>90</v>
      </c>
      <c r="L3632" s="72" t="str">
        <f t="shared" si="57"/>
        <v>Payé</v>
      </c>
      <c r="N3632" s="15"/>
    </row>
    <row r="3633" spans="1:14" s="14" customFormat="1" ht="18" x14ac:dyDescent="0.25">
      <c r="A3633" s="90" t="s">
        <v>865</v>
      </c>
      <c r="B3633" s="90">
        <v>3823</v>
      </c>
      <c r="C3633" s="88" t="s">
        <v>824</v>
      </c>
      <c r="D3633" s="90" t="s">
        <v>17</v>
      </c>
      <c r="E3633" s="90" t="s">
        <v>753</v>
      </c>
      <c r="F3633" s="90" t="s">
        <v>865</v>
      </c>
      <c r="G3633" s="137">
        <v>1</v>
      </c>
      <c r="H3633" s="94">
        <v>90</v>
      </c>
      <c r="I3633" s="87">
        <v>46120</v>
      </c>
      <c r="J3633" s="93">
        <v>0.5854166666666667</v>
      </c>
      <c r="K3633" s="94">
        <v>90</v>
      </c>
      <c r="L3633" s="72" t="str">
        <f t="shared" si="57"/>
        <v>Payé</v>
      </c>
      <c r="N3633" s="15"/>
    </row>
    <row r="3634" spans="1:14" s="14" customFormat="1" ht="18" x14ac:dyDescent="0.25">
      <c r="A3634" s="90" t="s">
        <v>865</v>
      </c>
      <c r="B3634" s="90">
        <v>3903</v>
      </c>
      <c r="C3634" s="88" t="s">
        <v>721</v>
      </c>
      <c r="D3634" s="90" t="s">
        <v>17</v>
      </c>
      <c r="E3634" s="90" t="s">
        <v>753</v>
      </c>
      <c r="F3634" s="90" t="s">
        <v>865</v>
      </c>
      <c r="G3634" s="137">
        <v>1</v>
      </c>
      <c r="H3634" s="94">
        <v>90</v>
      </c>
      <c r="I3634" s="87">
        <v>46102</v>
      </c>
      <c r="J3634" s="93">
        <v>0.46597222222222223</v>
      </c>
      <c r="K3634" s="94">
        <v>90</v>
      </c>
      <c r="L3634" s="72" t="str">
        <f t="shared" si="57"/>
        <v>Payé</v>
      </c>
      <c r="N3634" s="15"/>
    </row>
    <row r="3635" spans="1:14" s="14" customFormat="1" ht="18" x14ac:dyDescent="0.25">
      <c r="A3635" s="90" t="s">
        <v>865</v>
      </c>
      <c r="B3635" s="90">
        <v>3979</v>
      </c>
      <c r="C3635" s="88" t="s">
        <v>1538</v>
      </c>
      <c r="D3635" s="90" t="s">
        <v>17</v>
      </c>
      <c r="E3635" s="90" t="s">
        <v>753</v>
      </c>
      <c r="F3635" s="90" t="s">
        <v>865</v>
      </c>
      <c r="G3635" s="137">
        <v>1</v>
      </c>
      <c r="H3635" s="94">
        <v>90</v>
      </c>
      <c r="I3635" s="87">
        <v>46120</v>
      </c>
      <c r="J3635" s="93">
        <v>0.69444444444444453</v>
      </c>
      <c r="K3635" s="94">
        <v>90</v>
      </c>
      <c r="L3635" s="72" t="str">
        <f t="shared" si="57"/>
        <v>Payé</v>
      </c>
      <c r="N3635" s="15"/>
    </row>
    <row r="3636" spans="1:14" s="14" customFormat="1" ht="18" x14ac:dyDescent="0.25">
      <c r="A3636" s="90" t="s">
        <v>865</v>
      </c>
      <c r="B3636" s="90">
        <v>4050</v>
      </c>
      <c r="C3636" s="88" t="s">
        <v>1921</v>
      </c>
      <c r="D3636" s="90" t="s">
        <v>17</v>
      </c>
      <c r="E3636" s="90" t="s">
        <v>254</v>
      </c>
      <c r="F3636" s="90" t="s">
        <v>865</v>
      </c>
      <c r="G3636" s="137">
        <v>1</v>
      </c>
      <c r="H3636" s="94">
        <v>90</v>
      </c>
      <c r="I3636" s="87">
        <v>46099</v>
      </c>
      <c r="J3636" s="93">
        <v>0.64374999999999993</v>
      </c>
      <c r="K3636" s="94">
        <v>90</v>
      </c>
      <c r="L3636" s="72" t="str">
        <f t="shared" si="57"/>
        <v>Payé</v>
      </c>
      <c r="N3636" s="15"/>
    </row>
    <row r="3637" spans="1:14" s="14" customFormat="1" ht="18" x14ac:dyDescent="0.25">
      <c r="A3637" s="90" t="s">
        <v>865</v>
      </c>
      <c r="B3637" s="90">
        <v>4060</v>
      </c>
      <c r="C3637" s="88" t="s">
        <v>986</v>
      </c>
      <c r="D3637" s="90" t="s">
        <v>17</v>
      </c>
      <c r="E3637" s="90" t="s">
        <v>753</v>
      </c>
      <c r="F3637" s="90" t="s">
        <v>865</v>
      </c>
      <c r="G3637" s="137">
        <v>3</v>
      </c>
      <c r="H3637" s="94">
        <v>270</v>
      </c>
      <c r="I3637" s="87">
        <v>46120</v>
      </c>
      <c r="J3637" s="93">
        <v>0.69652777777777775</v>
      </c>
      <c r="K3637" s="94">
        <v>270</v>
      </c>
      <c r="L3637" s="72" t="str">
        <f t="shared" si="57"/>
        <v>Payé</v>
      </c>
      <c r="N3637" s="15"/>
    </row>
    <row r="3638" spans="1:14" s="14" customFormat="1" ht="18" x14ac:dyDescent="0.25">
      <c r="A3638" s="90" t="s">
        <v>865</v>
      </c>
      <c r="B3638" s="90">
        <v>4169</v>
      </c>
      <c r="C3638" s="88" t="s">
        <v>1561</v>
      </c>
      <c r="D3638" s="90" t="s">
        <v>17</v>
      </c>
      <c r="E3638" s="90" t="s">
        <v>649</v>
      </c>
      <c r="F3638" s="90" t="s">
        <v>865</v>
      </c>
      <c r="G3638" s="137">
        <v>6</v>
      </c>
      <c r="H3638" s="94">
        <v>540</v>
      </c>
      <c r="I3638" s="87">
        <v>46099</v>
      </c>
      <c r="J3638" s="93">
        <v>0.63124999999999998</v>
      </c>
      <c r="K3638" s="94">
        <v>540</v>
      </c>
      <c r="L3638" s="72" t="str">
        <f t="shared" si="57"/>
        <v>Payé</v>
      </c>
      <c r="N3638" s="15"/>
    </row>
    <row r="3639" spans="1:14" s="14" customFormat="1" ht="18" x14ac:dyDescent="0.25">
      <c r="A3639" s="90" t="s">
        <v>865</v>
      </c>
      <c r="B3639" s="90">
        <v>4177</v>
      </c>
      <c r="C3639" s="88" t="s">
        <v>582</v>
      </c>
      <c r="D3639" s="90" t="s">
        <v>17</v>
      </c>
      <c r="E3639" s="90" t="s">
        <v>649</v>
      </c>
      <c r="F3639" s="90" t="s">
        <v>865</v>
      </c>
      <c r="G3639" s="137">
        <v>1</v>
      </c>
      <c r="H3639" s="94">
        <v>90</v>
      </c>
      <c r="I3639" s="87"/>
      <c r="J3639" s="93"/>
      <c r="K3639" s="92"/>
      <c r="L3639" s="72" t="str">
        <f t="shared" si="57"/>
        <v>Impayé</v>
      </c>
      <c r="N3639" s="15"/>
    </row>
    <row r="3640" spans="1:14" s="14" customFormat="1" ht="18" x14ac:dyDescent="0.25">
      <c r="A3640" s="90" t="s">
        <v>865</v>
      </c>
      <c r="B3640" s="90">
        <v>4202</v>
      </c>
      <c r="C3640" s="88" t="s">
        <v>609</v>
      </c>
      <c r="D3640" s="90" t="s">
        <v>17</v>
      </c>
      <c r="E3640" s="90" t="s">
        <v>649</v>
      </c>
      <c r="F3640" s="90" t="s">
        <v>865</v>
      </c>
      <c r="G3640" s="137">
        <v>7</v>
      </c>
      <c r="H3640" s="94">
        <v>630</v>
      </c>
      <c r="I3640" s="87">
        <v>46099</v>
      </c>
      <c r="J3640" s="93">
        <v>0.57708333333333328</v>
      </c>
      <c r="K3640" s="94">
        <v>630</v>
      </c>
      <c r="L3640" s="72" t="str">
        <f t="shared" si="57"/>
        <v>Payé</v>
      </c>
      <c r="N3640" s="15"/>
    </row>
    <row r="3641" spans="1:14" s="14" customFormat="1" ht="18" x14ac:dyDescent="0.25">
      <c r="A3641" s="90" t="s">
        <v>865</v>
      </c>
      <c r="B3641" s="90">
        <v>4204</v>
      </c>
      <c r="C3641" s="88" t="s">
        <v>610</v>
      </c>
      <c r="D3641" s="90" t="s">
        <v>17</v>
      </c>
      <c r="E3641" s="90" t="s">
        <v>649</v>
      </c>
      <c r="F3641" s="90" t="s">
        <v>865</v>
      </c>
      <c r="G3641" s="137">
        <v>8</v>
      </c>
      <c r="H3641" s="94">
        <v>720</v>
      </c>
      <c r="I3641" s="87">
        <v>46099</v>
      </c>
      <c r="J3641" s="93">
        <v>0.63124999999999998</v>
      </c>
      <c r="K3641" s="94">
        <v>720</v>
      </c>
      <c r="L3641" s="72" t="str">
        <f t="shared" si="57"/>
        <v>Payé</v>
      </c>
      <c r="N3641" s="15"/>
    </row>
    <row r="3642" spans="1:14" s="14" customFormat="1" ht="18" x14ac:dyDescent="0.25">
      <c r="A3642" s="90" t="s">
        <v>865</v>
      </c>
      <c r="B3642" s="90">
        <v>4333</v>
      </c>
      <c r="C3642" s="88" t="s">
        <v>706</v>
      </c>
      <c r="D3642" s="90" t="s">
        <v>17</v>
      </c>
      <c r="E3642" s="90" t="s">
        <v>628</v>
      </c>
      <c r="F3642" s="90" t="s">
        <v>865</v>
      </c>
      <c r="G3642" s="137">
        <v>7</v>
      </c>
      <c r="H3642" s="94">
        <v>630</v>
      </c>
      <c r="I3642" s="87">
        <v>46100</v>
      </c>
      <c r="J3642" s="93">
        <v>0.52986111111111112</v>
      </c>
      <c r="K3642" s="94">
        <v>630</v>
      </c>
      <c r="L3642" s="72" t="str">
        <f t="shared" si="57"/>
        <v>Payé</v>
      </c>
      <c r="N3642" s="15"/>
    </row>
    <row r="3643" spans="1:14" s="14" customFormat="1" ht="18" x14ac:dyDescent="0.25">
      <c r="A3643" s="90" t="s">
        <v>865</v>
      </c>
      <c r="B3643" s="90">
        <v>4334</v>
      </c>
      <c r="C3643" s="88" t="s">
        <v>622</v>
      </c>
      <c r="D3643" s="90" t="s">
        <v>17</v>
      </c>
      <c r="E3643" s="90" t="s">
        <v>628</v>
      </c>
      <c r="F3643" s="90" t="s">
        <v>865</v>
      </c>
      <c r="G3643" s="137">
        <v>10</v>
      </c>
      <c r="H3643" s="94">
        <v>970</v>
      </c>
      <c r="I3643" s="87">
        <v>46100</v>
      </c>
      <c r="J3643" s="93">
        <v>0.52986111111111112</v>
      </c>
      <c r="K3643" s="94">
        <v>970</v>
      </c>
      <c r="L3643" s="72" t="str">
        <f t="shared" si="57"/>
        <v>Payé</v>
      </c>
      <c r="N3643" s="15"/>
    </row>
    <row r="3644" spans="1:14" s="14" customFormat="1" ht="18" x14ac:dyDescent="0.25">
      <c r="A3644" s="90" t="s">
        <v>865</v>
      </c>
      <c r="B3644" s="90">
        <v>4422</v>
      </c>
      <c r="C3644" s="88" t="s">
        <v>1589</v>
      </c>
      <c r="D3644" s="90" t="s">
        <v>17</v>
      </c>
      <c r="E3644" s="90" t="s">
        <v>1104</v>
      </c>
      <c r="F3644" s="90" t="s">
        <v>865</v>
      </c>
      <c r="G3644" s="137">
        <v>2</v>
      </c>
      <c r="H3644" s="94">
        <v>190</v>
      </c>
      <c r="I3644" s="87">
        <v>46099</v>
      </c>
      <c r="J3644" s="93">
        <v>0.60416666666666663</v>
      </c>
      <c r="K3644" s="94">
        <v>190</v>
      </c>
      <c r="L3644" s="72" t="str">
        <f t="shared" si="57"/>
        <v>Payé</v>
      </c>
      <c r="N3644" s="15"/>
    </row>
    <row r="3645" spans="1:14" s="14" customFormat="1" ht="18" x14ac:dyDescent="0.25">
      <c r="A3645" s="90" t="s">
        <v>865</v>
      </c>
      <c r="B3645" s="90">
        <v>4427</v>
      </c>
      <c r="C3645" s="88" t="s">
        <v>1590</v>
      </c>
      <c r="D3645" s="90" t="s">
        <v>17</v>
      </c>
      <c r="E3645" s="90" t="s">
        <v>254</v>
      </c>
      <c r="F3645" s="90" t="s">
        <v>865</v>
      </c>
      <c r="G3645" s="137">
        <v>10</v>
      </c>
      <c r="H3645" s="94">
        <v>900</v>
      </c>
      <c r="I3645" s="87">
        <v>46099</v>
      </c>
      <c r="J3645" s="93">
        <v>0.64444444444444449</v>
      </c>
      <c r="K3645" s="94">
        <v>900</v>
      </c>
      <c r="L3645" s="72" t="str">
        <f t="shared" si="57"/>
        <v>Payé</v>
      </c>
      <c r="N3645" s="15"/>
    </row>
    <row r="3646" spans="1:14" s="14" customFormat="1" ht="18" x14ac:dyDescent="0.25">
      <c r="A3646" s="90" t="s">
        <v>865</v>
      </c>
      <c r="B3646" s="90">
        <v>4428</v>
      </c>
      <c r="C3646" s="88" t="s">
        <v>1562</v>
      </c>
      <c r="D3646" s="90" t="s">
        <v>17</v>
      </c>
      <c r="E3646" s="90" t="s">
        <v>254</v>
      </c>
      <c r="F3646" s="90" t="s">
        <v>865</v>
      </c>
      <c r="G3646" s="137">
        <v>11</v>
      </c>
      <c r="H3646" s="94">
        <v>990</v>
      </c>
      <c r="I3646" s="87">
        <v>46099</v>
      </c>
      <c r="J3646" s="93">
        <v>0.64444444444444449</v>
      </c>
      <c r="K3646" s="94">
        <v>990</v>
      </c>
      <c r="L3646" s="72" t="str">
        <f t="shared" si="57"/>
        <v>Payé</v>
      </c>
      <c r="N3646" s="15"/>
    </row>
    <row r="3647" spans="1:14" s="14" customFormat="1" ht="18" x14ac:dyDescent="0.25">
      <c r="A3647" s="90" t="s">
        <v>865</v>
      </c>
      <c r="B3647" s="90">
        <v>4470</v>
      </c>
      <c r="C3647" s="88" t="s">
        <v>989</v>
      </c>
      <c r="D3647" s="90" t="s">
        <v>17</v>
      </c>
      <c r="E3647" s="90" t="s">
        <v>628</v>
      </c>
      <c r="F3647" s="90" t="s">
        <v>865</v>
      </c>
      <c r="G3647" s="137">
        <v>5</v>
      </c>
      <c r="H3647" s="94">
        <v>450</v>
      </c>
      <c r="I3647" s="87">
        <v>46100</v>
      </c>
      <c r="J3647" s="93">
        <v>0.52986111111111112</v>
      </c>
      <c r="K3647" s="94">
        <v>450</v>
      </c>
      <c r="L3647" s="72" t="str">
        <f t="shared" si="57"/>
        <v>Payé</v>
      </c>
      <c r="N3647" s="15"/>
    </row>
    <row r="3648" spans="1:14" s="14" customFormat="1" ht="18" x14ac:dyDescent="0.25">
      <c r="A3648" s="90" t="s">
        <v>865</v>
      </c>
      <c r="B3648" s="90">
        <v>4473</v>
      </c>
      <c r="C3648" s="88" t="s">
        <v>623</v>
      </c>
      <c r="D3648" s="90" t="s">
        <v>17</v>
      </c>
      <c r="E3648" s="90" t="s">
        <v>628</v>
      </c>
      <c r="F3648" s="90" t="s">
        <v>865</v>
      </c>
      <c r="G3648" s="137">
        <v>11</v>
      </c>
      <c r="H3648" s="94">
        <v>1110</v>
      </c>
      <c r="I3648" s="87">
        <v>46100</v>
      </c>
      <c r="J3648" s="93">
        <v>0.52986111111111112</v>
      </c>
      <c r="K3648" s="94">
        <v>1110</v>
      </c>
      <c r="L3648" s="72" t="str">
        <f t="shared" si="57"/>
        <v>Payé</v>
      </c>
      <c r="N3648" s="15"/>
    </row>
    <row r="3649" spans="1:14" s="14" customFormat="1" ht="18" x14ac:dyDescent="0.25">
      <c r="A3649" s="90" t="s">
        <v>865</v>
      </c>
      <c r="B3649" s="90">
        <v>4759</v>
      </c>
      <c r="C3649" s="88" t="s">
        <v>1150</v>
      </c>
      <c r="D3649" s="90" t="s">
        <v>17</v>
      </c>
      <c r="E3649" s="90" t="s">
        <v>254</v>
      </c>
      <c r="F3649" s="90" t="s">
        <v>865</v>
      </c>
      <c r="G3649" s="137">
        <v>11</v>
      </c>
      <c r="H3649" s="94">
        <v>990</v>
      </c>
      <c r="I3649" s="87">
        <v>46099</v>
      </c>
      <c r="J3649" s="93">
        <v>0.64444444444444449</v>
      </c>
      <c r="K3649" s="94">
        <v>990</v>
      </c>
      <c r="L3649" s="72" t="str">
        <f t="shared" si="57"/>
        <v>Payé</v>
      </c>
      <c r="N3649" s="15"/>
    </row>
    <row r="3650" spans="1:14" s="14" customFormat="1" ht="18" x14ac:dyDescent="0.25">
      <c r="A3650" s="90" t="s">
        <v>865</v>
      </c>
      <c r="B3650" s="90">
        <v>4801</v>
      </c>
      <c r="C3650" s="88" t="s">
        <v>990</v>
      </c>
      <c r="D3650" s="90" t="s">
        <v>17</v>
      </c>
      <c r="E3650" s="90" t="s">
        <v>628</v>
      </c>
      <c r="F3650" s="90" t="s">
        <v>865</v>
      </c>
      <c r="G3650" s="137">
        <v>3</v>
      </c>
      <c r="H3650" s="94">
        <v>270</v>
      </c>
      <c r="I3650" s="87">
        <v>46100</v>
      </c>
      <c r="J3650" s="93">
        <v>0.52986111111111112</v>
      </c>
      <c r="K3650" s="94">
        <v>270</v>
      </c>
      <c r="L3650" s="72" t="str">
        <f t="shared" si="57"/>
        <v>Payé</v>
      </c>
      <c r="N3650" s="15"/>
    </row>
    <row r="3651" spans="1:14" s="14" customFormat="1" ht="18" x14ac:dyDescent="0.25">
      <c r="A3651" s="90" t="s">
        <v>865</v>
      </c>
      <c r="B3651" s="90">
        <v>4802</v>
      </c>
      <c r="C3651" s="88" t="s">
        <v>1360</v>
      </c>
      <c r="D3651" s="90" t="s">
        <v>17</v>
      </c>
      <c r="E3651" s="90" t="s">
        <v>1904</v>
      </c>
      <c r="F3651" s="90" t="s">
        <v>865</v>
      </c>
      <c r="G3651" s="137">
        <v>4</v>
      </c>
      <c r="H3651" s="94">
        <v>360</v>
      </c>
      <c r="I3651" s="87">
        <v>46099</v>
      </c>
      <c r="J3651" s="93">
        <v>0.86111111111111116</v>
      </c>
      <c r="K3651" s="94">
        <v>360</v>
      </c>
      <c r="L3651" s="72" t="str">
        <f t="shared" si="57"/>
        <v>Payé</v>
      </c>
      <c r="N3651" s="15"/>
    </row>
    <row r="3652" spans="1:14" s="14" customFormat="1" ht="18" x14ac:dyDescent="0.25">
      <c r="A3652" s="90" t="s">
        <v>865</v>
      </c>
      <c r="B3652" s="90">
        <v>4840</v>
      </c>
      <c r="C3652" s="88" t="s">
        <v>766</v>
      </c>
      <c r="D3652" s="90" t="s">
        <v>17</v>
      </c>
      <c r="E3652" s="90" t="s">
        <v>49</v>
      </c>
      <c r="F3652" s="90" t="s">
        <v>865</v>
      </c>
      <c r="G3652" s="137">
        <v>11</v>
      </c>
      <c r="H3652" s="94">
        <v>990</v>
      </c>
      <c r="I3652" s="87">
        <v>46099</v>
      </c>
      <c r="J3652" s="93">
        <v>0.61388888888888882</v>
      </c>
      <c r="K3652" s="94">
        <v>990</v>
      </c>
      <c r="L3652" s="72" t="str">
        <f t="shared" si="57"/>
        <v>Payé</v>
      </c>
      <c r="N3652" s="15"/>
    </row>
    <row r="3653" spans="1:14" s="14" customFormat="1" ht="18" x14ac:dyDescent="0.25">
      <c r="A3653" s="90" t="s">
        <v>865</v>
      </c>
      <c r="B3653" s="90">
        <v>4848</v>
      </c>
      <c r="C3653" s="88" t="s">
        <v>1064</v>
      </c>
      <c r="D3653" s="90" t="s">
        <v>17</v>
      </c>
      <c r="E3653" s="90" t="s">
        <v>628</v>
      </c>
      <c r="F3653" s="90" t="s">
        <v>865</v>
      </c>
      <c r="G3653" s="137">
        <v>2</v>
      </c>
      <c r="H3653" s="94">
        <v>180</v>
      </c>
      <c r="I3653" s="87">
        <v>46100</v>
      </c>
      <c r="J3653" s="93">
        <v>0.52986111111111112</v>
      </c>
      <c r="K3653" s="94">
        <v>180</v>
      </c>
      <c r="L3653" s="72" t="str">
        <f t="shared" si="57"/>
        <v>Payé</v>
      </c>
      <c r="N3653" s="15"/>
    </row>
    <row r="3654" spans="1:14" s="14" customFormat="1" ht="18" x14ac:dyDescent="0.25">
      <c r="A3654" s="90" t="s">
        <v>865</v>
      </c>
      <c r="B3654" s="90">
        <v>4857</v>
      </c>
      <c r="C3654" s="88" t="s">
        <v>1681</v>
      </c>
      <c r="D3654" s="90" t="s">
        <v>17</v>
      </c>
      <c r="E3654" s="90" t="s">
        <v>123</v>
      </c>
      <c r="F3654" s="90" t="s">
        <v>865</v>
      </c>
      <c r="G3654" s="137">
        <v>8</v>
      </c>
      <c r="H3654" s="94">
        <v>720</v>
      </c>
      <c r="I3654" s="87">
        <v>46099</v>
      </c>
      <c r="J3654" s="93">
        <v>0.61805555555555558</v>
      </c>
      <c r="K3654" s="94">
        <v>720</v>
      </c>
      <c r="L3654" s="72" t="str">
        <f t="shared" si="57"/>
        <v>Payé</v>
      </c>
      <c r="N3654" s="15"/>
    </row>
    <row r="3655" spans="1:14" s="14" customFormat="1" ht="18" x14ac:dyDescent="0.25">
      <c r="A3655" s="90" t="s">
        <v>865</v>
      </c>
      <c r="B3655" s="90">
        <v>4868</v>
      </c>
      <c r="C3655" s="88" t="s">
        <v>767</v>
      </c>
      <c r="D3655" s="90" t="s">
        <v>17</v>
      </c>
      <c r="E3655" s="90" t="s">
        <v>753</v>
      </c>
      <c r="F3655" s="90" t="s">
        <v>865</v>
      </c>
      <c r="G3655" s="137">
        <v>1</v>
      </c>
      <c r="H3655" s="94">
        <v>90</v>
      </c>
      <c r="I3655" s="87">
        <v>46119</v>
      </c>
      <c r="J3655" s="93">
        <v>0.70972222222222225</v>
      </c>
      <c r="K3655" s="94">
        <v>90</v>
      </c>
      <c r="L3655" s="72" t="str">
        <f t="shared" si="57"/>
        <v>Payé</v>
      </c>
      <c r="N3655" s="15"/>
    </row>
    <row r="3656" spans="1:14" s="14" customFormat="1" ht="18" x14ac:dyDescent="0.25">
      <c r="A3656" s="90" t="s">
        <v>865</v>
      </c>
      <c r="B3656" s="90">
        <v>4890</v>
      </c>
      <c r="C3656" s="88" t="s">
        <v>1563</v>
      </c>
      <c r="D3656" s="90" t="s">
        <v>17</v>
      </c>
      <c r="E3656" s="90" t="s">
        <v>123</v>
      </c>
      <c r="F3656" s="90" t="s">
        <v>865</v>
      </c>
      <c r="G3656" s="137">
        <v>10</v>
      </c>
      <c r="H3656" s="94">
        <v>900</v>
      </c>
      <c r="I3656" s="87">
        <v>46100</v>
      </c>
      <c r="J3656" s="93">
        <v>0.53749999999999998</v>
      </c>
      <c r="K3656" s="94">
        <v>900</v>
      </c>
      <c r="L3656" s="72" t="str">
        <f t="shared" si="57"/>
        <v>Payé</v>
      </c>
      <c r="N3656" s="15"/>
    </row>
    <row r="3657" spans="1:14" s="14" customFormat="1" ht="18" x14ac:dyDescent="0.25">
      <c r="A3657" s="90" t="s">
        <v>865</v>
      </c>
      <c r="B3657" s="90">
        <v>4923</v>
      </c>
      <c r="C3657" s="88" t="s">
        <v>1539</v>
      </c>
      <c r="D3657" s="90" t="s">
        <v>17</v>
      </c>
      <c r="E3657" s="90" t="s">
        <v>753</v>
      </c>
      <c r="F3657" s="90" t="s">
        <v>865</v>
      </c>
      <c r="G3657" s="137">
        <v>1</v>
      </c>
      <c r="H3657" s="94">
        <v>90</v>
      </c>
      <c r="I3657" s="87">
        <v>46122</v>
      </c>
      <c r="J3657" s="93">
        <v>0.44097222222222227</v>
      </c>
      <c r="K3657" s="94">
        <v>90</v>
      </c>
      <c r="L3657" s="72" t="str">
        <f t="shared" si="57"/>
        <v>Payé</v>
      </c>
      <c r="N3657" s="15"/>
    </row>
    <row r="3658" spans="1:14" s="14" customFormat="1" ht="18" x14ac:dyDescent="0.25">
      <c r="A3658" s="90" t="s">
        <v>865</v>
      </c>
      <c r="B3658" s="90">
        <v>5136</v>
      </c>
      <c r="C3658" s="88" t="s">
        <v>1067</v>
      </c>
      <c r="D3658" s="90" t="s">
        <v>17</v>
      </c>
      <c r="E3658" s="90" t="s">
        <v>1104</v>
      </c>
      <c r="F3658" s="90" t="s">
        <v>865</v>
      </c>
      <c r="G3658" s="137">
        <v>11</v>
      </c>
      <c r="H3658" s="94">
        <v>995</v>
      </c>
      <c r="I3658" s="87">
        <v>46099</v>
      </c>
      <c r="J3658" s="93">
        <v>0.60416666666666663</v>
      </c>
      <c r="K3658" s="94">
        <v>995</v>
      </c>
      <c r="L3658" s="72" t="str">
        <f t="shared" si="57"/>
        <v>Payé</v>
      </c>
      <c r="N3658" s="15"/>
    </row>
    <row r="3659" spans="1:14" s="14" customFormat="1" ht="18" x14ac:dyDescent="0.25">
      <c r="A3659" s="90" t="s">
        <v>865</v>
      </c>
      <c r="B3659" s="90">
        <v>5170</v>
      </c>
      <c r="C3659" s="88" t="s">
        <v>1922</v>
      </c>
      <c r="D3659" s="90" t="s">
        <v>17</v>
      </c>
      <c r="E3659" s="90" t="s">
        <v>1104</v>
      </c>
      <c r="F3659" s="90" t="s">
        <v>865</v>
      </c>
      <c r="G3659" s="137">
        <v>3</v>
      </c>
      <c r="H3659" s="94">
        <v>270</v>
      </c>
      <c r="I3659" s="87">
        <v>46120</v>
      </c>
      <c r="J3659" s="93">
        <v>0.71527777777777779</v>
      </c>
      <c r="K3659" s="94">
        <v>270</v>
      </c>
      <c r="L3659" s="72" t="str">
        <f t="shared" si="57"/>
        <v>Payé</v>
      </c>
      <c r="N3659" s="15"/>
    </row>
    <row r="3660" spans="1:14" s="14" customFormat="1" ht="18" x14ac:dyDescent="0.25">
      <c r="A3660" s="90" t="s">
        <v>865</v>
      </c>
      <c r="B3660" s="90">
        <v>5186</v>
      </c>
      <c r="C3660" s="88" t="s">
        <v>1211</v>
      </c>
      <c r="D3660" s="90" t="s">
        <v>17</v>
      </c>
      <c r="E3660" s="90" t="s">
        <v>753</v>
      </c>
      <c r="F3660" s="90" t="s">
        <v>865</v>
      </c>
      <c r="G3660" s="137">
        <v>1</v>
      </c>
      <c r="H3660" s="94">
        <v>90</v>
      </c>
      <c r="I3660" s="87">
        <v>46120</v>
      </c>
      <c r="J3660" s="93">
        <v>0.70000000000000007</v>
      </c>
      <c r="K3660" s="94">
        <v>90</v>
      </c>
      <c r="L3660" s="72" t="str">
        <f t="shared" si="57"/>
        <v>Payé</v>
      </c>
      <c r="N3660" s="15"/>
    </row>
    <row r="3661" spans="1:14" s="14" customFormat="1" ht="18" x14ac:dyDescent="0.25">
      <c r="A3661" s="90" t="s">
        <v>865</v>
      </c>
      <c r="B3661" s="90">
        <v>5259</v>
      </c>
      <c r="C3661" s="88" t="s">
        <v>908</v>
      </c>
      <c r="D3661" s="90" t="s">
        <v>17</v>
      </c>
      <c r="E3661" s="90" t="s">
        <v>1904</v>
      </c>
      <c r="F3661" s="90" t="s">
        <v>865</v>
      </c>
      <c r="G3661" s="137">
        <v>9</v>
      </c>
      <c r="H3661" s="94">
        <v>810</v>
      </c>
      <c r="I3661" s="87">
        <v>46099</v>
      </c>
      <c r="J3661" s="93">
        <v>0.86111111111111116</v>
      </c>
      <c r="K3661" s="94">
        <v>810</v>
      </c>
      <c r="L3661" s="72" t="str">
        <f t="shared" si="57"/>
        <v>Payé</v>
      </c>
      <c r="N3661" s="15"/>
    </row>
    <row r="3662" spans="1:14" s="14" customFormat="1" ht="18" x14ac:dyDescent="0.25">
      <c r="A3662" s="90" t="s">
        <v>865</v>
      </c>
      <c r="B3662" s="90">
        <v>5292</v>
      </c>
      <c r="C3662" s="88" t="s">
        <v>1003</v>
      </c>
      <c r="D3662" s="90" t="s">
        <v>17</v>
      </c>
      <c r="E3662" s="90" t="s">
        <v>1904</v>
      </c>
      <c r="F3662" s="90" t="s">
        <v>865</v>
      </c>
      <c r="G3662" s="137">
        <v>11</v>
      </c>
      <c r="H3662" s="94">
        <v>990</v>
      </c>
      <c r="I3662" s="87">
        <v>46099</v>
      </c>
      <c r="J3662" s="93">
        <v>0.86111111111111116</v>
      </c>
      <c r="K3662" s="94">
        <v>990</v>
      </c>
      <c r="L3662" s="72" t="str">
        <f t="shared" si="57"/>
        <v>Payé</v>
      </c>
      <c r="N3662" s="15"/>
    </row>
    <row r="3663" spans="1:14" s="14" customFormat="1" ht="18" x14ac:dyDescent="0.25">
      <c r="A3663" s="90" t="s">
        <v>865</v>
      </c>
      <c r="B3663" s="90">
        <v>5317</v>
      </c>
      <c r="C3663" s="88" t="s">
        <v>551</v>
      </c>
      <c r="D3663" s="90" t="s">
        <v>17</v>
      </c>
      <c r="E3663" s="90" t="s">
        <v>649</v>
      </c>
      <c r="F3663" s="90" t="s">
        <v>865</v>
      </c>
      <c r="G3663" s="137">
        <v>6</v>
      </c>
      <c r="H3663" s="94">
        <v>540</v>
      </c>
      <c r="I3663" s="87">
        <v>46099</v>
      </c>
      <c r="J3663" s="93">
        <v>0.63124999999999998</v>
      </c>
      <c r="K3663" s="94">
        <v>540</v>
      </c>
      <c r="L3663" s="72" t="str">
        <f t="shared" si="57"/>
        <v>Payé</v>
      </c>
      <c r="N3663" s="15"/>
    </row>
    <row r="3664" spans="1:14" s="14" customFormat="1" ht="18" x14ac:dyDescent="0.25">
      <c r="A3664" s="90" t="s">
        <v>865</v>
      </c>
      <c r="B3664" s="90" t="s">
        <v>1082</v>
      </c>
      <c r="C3664" s="88" t="s">
        <v>1083</v>
      </c>
      <c r="D3664" s="90" t="s">
        <v>17</v>
      </c>
      <c r="E3664" s="90" t="s">
        <v>370</v>
      </c>
      <c r="F3664" s="90" t="s">
        <v>865</v>
      </c>
      <c r="G3664" s="137">
        <v>2</v>
      </c>
      <c r="H3664" s="94">
        <v>173</v>
      </c>
      <c r="I3664" s="87">
        <v>46126</v>
      </c>
      <c r="J3664" s="93">
        <v>0.45347222222222222</v>
      </c>
      <c r="K3664" s="94">
        <v>173</v>
      </c>
      <c r="L3664" s="72" t="str">
        <f t="shared" si="57"/>
        <v>Payé</v>
      </c>
      <c r="N3664" s="15"/>
    </row>
    <row r="3665" spans="1:14" s="14" customFormat="1" ht="18" x14ac:dyDescent="0.25">
      <c r="A3665" s="90" t="s">
        <v>865</v>
      </c>
      <c r="B3665" s="90">
        <v>5355</v>
      </c>
      <c r="C3665" s="88" t="s">
        <v>1090</v>
      </c>
      <c r="D3665" s="90" t="s">
        <v>17</v>
      </c>
      <c r="E3665" s="90" t="s">
        <v>1104</v>
      </c>
      <c r="F3665" s="90" t="s">
        <v>865</v>
      </c>
      <c r="G3665" s="137">
        <v>9</v>
      </c>
      <c r="H3665" s="94">
        <v>810</v>
      </c>
      <c r="I3665" s="87">
        <v>46105</v>
      </c>
      <c r="J3665" s="93">
        <v>0.62013888888888891</v>
      </c>
      <c r="K3665" s="94">
        <v>810</v>
      </c>
      <c r="L3665" s="72" t="str">
        <f t="shared" si="57"/>
        <v>Payé</v>
      </c>
      <c r="N3665" s="15"/>
    </row>
    <row r="3666" spans="1:14" s="14" customFormat="1" ht="18" x14ac:dyDescent="0.25">
      <c r="A3666" s="90" t="s">
        <v>865</v>
      </c>
      <c r="B3666" s="90">
        <v>5365</v>
      </c>
      <c r="C3666" s="88" t="s">
        <v>1123</v>
      </c>
      <c r="D3666" s="90" t="s">
        <v>17</v>
      </c>
      <c r="E3666" s="90" t="s">
        <v>370</v>
      </c>
      <c r="F3666" s="90" t="s">
        <v>865</v>
      </c>
      <c r="G3666" s="137">
        <v>15</v>
      </c>
      <c r="H3666" s="94">
        <v>1500</v>
      </c>
      <c r="I3666" s="87">
        <v>46111</v>
      </c>
      <c r="J3666" s="93">
        <v>0.63263888888888886</v>
      </c>
      <c r="K3666" s="94">
        <v>1500</v>
      </c>
      <c r="L3666" s="72" t="str">
        <f t="shared" si="57"/>
        <v>Payé</v>
      </c>
      <c r="N3666" s="15"/>
    </row>
    <row r="3667" spans="1:14" s="14" customFormat="1" ht="18" x14ac:dyDescent="0.25">
      <c r="A3667" s="90" t="s">
        <v>865</v>
      </c>
      <c r="B3667" s="90">
        <v>6037</v>
      </c>
      <c r="C3667" s="88" t="s">
        <v>1682</v>
      </c>
      <c r="D3667" s="90" t="s">
        <v>17</v>
      </c>
      <c r="E3667" s="90" t="s">
        <v>123</v>
      </c>
      <c r="F3667" s="90" t="s">
        <v>865</v>
      </c>
      <c r="G3667" s="137">
        <v>9</v>
      </c>
      <c r="H3667" s="94">
        <v>810</v>
      </c>
      <c r="I3667" s="87">
        <v>46099</v>
      </c>
      <c r="J3667" s="93">
        <v>0.57222222222222219</v>
      </c>
      <c r="K3667" s="94">
        <v>810</v>
      </c>
      <c r="L3667" s="72" t="str">
        <f t="shared" si="57"/>
        <v>Payé</v>
      </c>
      <c r="N3667" s="15"/>
    </row>
    <row r="3668" spans="1:14" s="14" customFormat="1" ht="18" x14ac:dyDescent="0.25">
      <c r="A3668" s="90" t="s">
        <v>865</v>
      </c>
      <c r="B3668" s="90">
        <v>6070</v>
      </c>
      <c r="C3668" s="88" t="s">
        <v>1153</v>
      </c>
      <c r="D3668" s="90" t="s">
        <v>17</v>
      </c>
      <c r="E3668" s="90" t="s">
        <v>49</v>
      </c>
      <c r="F3668" s="90" t="s">
        <v>865</v>
      </c>
      <c r="G3668" s="137">
        <v>7</v>
      </c>
      <c r="H3668" s="94">
        <v>630</v>
      </c>
      <c r="I3668" s="87">
        <v>46099</v>
      </c>
      <c r="J3668" s="93">
        <v>0.61388888888888882</v>
      </c>
      <c r="K3668" s="94">
        <v>630</v>
      </c>
      <c r="L3668" s="72" t="str">
        <f t="shared" si="57"/>
        <v>Payé</v>
      </c>
      <c r="N3668" s="15"/>
    </row>
    <row r="3669" spans="1:14" s="14" customFormat="1" ht="18" x14ac:dyDescent="0.25">
      <c r="A3669" s="90" t="s">
        <v>865</v>
      </c>
      <c r="B3669" s="90">
        <v>7004</v>
      </c>
      <c r="C3669" s="88" t="s">
        <v>713</v>
      </c>
      <c r="D3669" s="90" t="s">
        <v>17</v>
      </c>
      <c r="E3669" s="90" t="s">
        <v>49</v>
      </c>
      <c r="F3669" s="90" t="s">
        <v>865</v>
      </c>
      <c r="G3669" s="137">
        <v>10</v>
      </c>
      <c r="H3669" s="94">
        <v>900</v>
      </c>
      <c r="I3669" s="87">
        <v>46099</v>
      </c>
      <c r="J3669" s="93">
        <v>0.61388888888888882</v>
      </c>
      <c r="K3669" s="94">
        <v>900</v>
      </c>
      <c r="L3669" s="72" t="str">
        <f t="shared" si="57"/>
        <v>Payé</v>
      </c>
      <c r="N3669" s="15"/>
    </row>
    <row r="3670" spans="1:14" s="14" customFormat="1" ht="18" x14ac:dyDescent="0.25">
      <c r="A3670" s="90" t="s">
        <v>865</v>
      </c>
      <c r="B3670" s="90">
        <v>7012</v>
      </c>
      <c r="C3670" s="88" t="s">
        <v>724</v>
      </c>
      <c r="D3670" s="90" t="s">
        <v>17</v>
      </c>
      <c r="E3670" s="90" t="s">
        <v>1904</v>
      </c>
      <c r="F3670" s="90" t="s">
        <v>865</v>
      </c>
      <c r="G3670" s="137">
        <v>12</v>
      </c>
      <c r="H3670" s="94">
        <v>1080</v>
      </c>
      <c r="I3670" s="87">
        <v>46099</v>
      </c>
      <c r="J3670" s="93">
        <v>0.86111111111111116</v>
      </c>
      <c r="K3670" s="94">
        <v>1080</v>
      </c>
      <c r="L3670" s="72" t="str">
        <f t="shared" si="57"/>
        <v>Payé</v>
      </c>
      <c r="N3670" s="15"/>
    </row>
    <row r="3671" spans="1:14" s="14" customFormat="1" ht="18" x14ac:dyDescent="0.25">
      <c r="A3671" s="90" t="s">
        <v>865</v>
      </c>
      <c r="B3671" s="90">
        <v>7082</v>
      </c>
      <c r="C3671" s="88" t="s">
        <v>1821</v>
      </c>
      <c r="D3671" s="90" t="s">
        <v>17</v>
      </c>
      <c r="E3671" s="90" t="s">
        <v>254</v>
      </c>
      <c r="F3671" s="90" t="s">
        <v>865</v>
      </c>
      <c r="G3671" s="137">
        <v>5</v>
      </c>
      <c r="H3671" s="94">
        <v>450</v>
      </c>
      <c r="I3671" s="87">
        <v>46099</v>
      </c>
      <c r="J3671" s="93">
        <v>0.64444444444444449</v>
      </c>
      <c r="K3671" s="94">
        <v>450</v>
      </c>
      <c r="L3671" s="72" t="str">
        <f t="shared" si="57"/>
        <v>Payé</v>
      </c>
      <c r="N3671" s="15"/>
    </row>
    <row r="3672" spans="1:14" s="14" customFormat="1" ht="18" x14ac:dyDescent="0.25">
      <c r="A3672" s="90" t="s">
        <v>865</v>
      </c>
      <c r="B3672" s="90">
        <v>7087</v>
      </c>
      <c r="C3672" s="88" t="s">
        <v>1477</v>
      </c>
      <c r="D3672" s="90" t="s">
        <v>17</v>
      </c>
      <c r="E3672" s="90" t="s">
        <v>254</v>
      </c>
      <c r="F3672" s="90" t="s">
        <v>865</v>
      </c>
      <c r="G3672" s="137">
        <v>4</v>
      </c>
      <c r="H3672" s="94">
        <v>360</v>
      </c>
      <c r="I3672" s="87">
        <v>46099</v>
      </c>
      <c r="J3672" s="93">
        <v>0.64444444444444449</v>
      </c>
      <c r="K3672" s="94">
        <v>360</v>
      </c>
      <c r="L3672" s="72" t="str">
        <f t="shared" si="57"/>
        <v>Payé</v>
      </c>
      <c r="N3672" s="15"/>
    </row>
    <row r="3673" spans="1:14" s="14" customFormat="1" ht="18" x14ac:dyDescent="0.25">
      <c r="A3673" s="90" t="s">
        <v>865</v>
      </c>
      <c r="B3673" s="90">
        <v>8022</v>
      </c>
      <c r="C3673" s="88" t="s">
        <v>707</v>
      </c>
      <c r="D3673" s="90" t="s">
        <v>17</v>
      </c>
      <c r="E3673" s="90" t="s">
        <v>628</v>
      </c>
      <c r="F3673" s="90" t="s">
        <v>865</v>
      </c>
      <c r="G3673" s="137">
        <v>11</v>
      </c>
      <c r="H3673" s="94">
        <v>1050</v>
      </c>
      <c r="I3673" s="87">
        <v>46100</v>
      </c>
      <c r="J3673" s="93">
        <v>0.52986111111111112</v>
      </c>
      <c r="K3673" s="94">
        <v>1050</v>
      </c>
      <c r="L3673" s="72" t="str">
        <f t="shared" si="57"/>
        <v>Payé</v>
      </c>
      <c r="N3673" s="15"/>
    </row>
    <row r="3674" spans="1:14" s="14" customFormat="1" ht="18" x14ac:dyDescent="0.25">
      <c r="A3674" s="90" t="s">
        <v>865</v>
      </c>
      <c r="B3674" s="90">
        <v>9016</v>
      </c>
      <c r="C3674" s="88" t="s">
        <v>1822</v>
      </c>
      <c r="D3674" s="90" t="s">
        <v>17</v>
      </c>
      <c r="E3674" s="90" t="s">
        <v>649</v>
      </c>
      <c r="F3674" s="90" t="s">
        <v>865</v>
      </c>
      <c r="G3674" s="137">
        <v>8</v>
      </c>
      <c r="H3674" s="94">
        <v>720</v>
      </c>
      <c r="I3674" s="87">
        <v>46099</v>
      </c>
      <c r="J3674" s="93">
        <v>0.63124999999999998</v>
      </c>
      <c r="K3674" s="94">
        <v>720</v>
      </c>
      <c r="L3674" s="72" t="str">
        <f t="shared" si="57"/>
        <v>Payé</v>
      </c>
      <c r="N3674" s="15"/>
    </row>
    <row r="3675" spans="1:14" s="14" customFormat="1" ht="18" x14ac:dyDescent="0.25">
      <c r="A3675" s="90" t="s">
        <v>865</v>
      </c>
      <c r="B3675" s="90">
        <v>9033</v>
      </c>
      <c r="C3675" s="88" t="s">
        <v>1683</v>
      </c>
      <c r="D3675" s="90" t="s">
        <v>17</v>
      </c>
      <c r="E3675" s="90" t="s">
        <v>49</v>
      </c>
      <c r="F3675" s="90" t="s">
        <v>865</v>
      </c>
      <c r="G3675" s="137">
        <v>7</v>
      </c>
      <c r="H3675" s="94">
        <v>630</v>
      </c>
      <c r="I3675" s="87">
        <v>46099</v>
      </c>
      <c r="J3675" s="93">
        <v>0.61388888888888882</v>
      </c>
      <c r="K3675" s="94">
        <v>630</v>
      </c>
      <c r="L3675" s="72" t="str">
        <f t="shared" si="57"/>
        <v>Payé</v>
      </c>
      <c r="N3675" s="15"/>
    </row>
    <row r="3676" spans="1:14" s="14" customFormat="1" ht="18" x14ac:dyDescent="0.25">
      <c r="A3676" s="90" t="s">
        <v>865</v>
      </c>
      <c r="B3676" s="90">
        <v>9034</v>
      </c>
      <c r="C3676" s="88" t="s">
        <v>736</v>
      </c>
      <c r="D3676" s="90" t="s">
        <v>17</v>
      </c>
      <c r="E3676" s="90" t="s">
        <v>49</v>
      </c>
      <c r="F3676" s="90" t="s">
        <v>865</v>
      </c>
      <c r="G3676" s="137">
        <v>8</v>
      </c>
      <c r="H3676" s="94">
        <v>720</v>
      </c>
      <c r="I3676" s="87">
        <v>46099</v>
      </c>
      <c r="J3676" s="93">
        <v>0.61388888888888882</v>
      </c>
      <c r="K3676" s="94">
        <v>720</v>
      </c>
      <c r="L3676" s="72" t="str">
        <f t="shared" si="57"/>
        <v>Payé</v>
      </c>
      <c r="N3676" s="15"/>
    </row>
    <row r="3677" spans="1:14" s="14" customFormat="1" ht="18" x14ac:dyDescent="0.25">
      <c r="A3677" s="90" t="s">
        <v>865</v>
      </c>
      <c r="B3677" s="90">
        <v>9047</v>
      </c>
      <c r="C3677" s="88" t="s">
        <v>1823</v>
      </c>
      <c r="D3677" s="90" t="s">
        <v>17</v>
      </c>
      <c r="E3677" s="90" t="s">
        <v>628</v>
      </c>
      <c r="F3677" s="90" t="s">
        <v>865</v>
      </c>
      <c r="G3677" s="137">
        <v>2</v>
      </c>
      <c r="H3677" s="94">
        <v>180</v>
      </c>
      <c r="I3677" s="87">
        <v>46100</v>
      </c>
      <c r="J3677" s="93">
        <v>0.52986111111111112</v>
      </c>
      <c r="K3677" s="94">
        <v>180</v>
      </c>
      <c r="L3677" s="72" t="str">
        <f t="shared" si="57"/>
        <v>Payé</v>
      </c>
      <c r="N3677" s="15"/>
    </row>
    <row r="3678" spans="1:14" s="14" customFormat="1" ht="18" x14ac:dyDescent="0.25">
      <c r="A3678" s="90" t="s">
        <v>865</v>
      </c>
      <c r="B3678" s="90">
        <v>10008</v>
      </c>
      <c r="C3678" s="88" t="s">
        <v>1134</v>
      </c>
      <c r="D3678" s="90" t="s">
        <v>17</v>
      </c>
      <c r="E3678" s="90" t="s">
        <v>628</v>
      </c>
      <c r="F3678" s="90" t="s">
        <v>865</v>
      </c>
      <c r="G3678" s="137">
        <v>10</v>
      </c>
      <c r="H3678" s="94">
        <v>940</v>
      </c>
      <c r="I3678" s="87">
        <v>46100</v>
      </c>
      <c r="J3678" s="93">
        <v>0.52986111111111112</v>
      </c>
      <c r="K3678" s="94">
        <v>940</v>
      </c>
      <c r="L3678" s="72" t="str">
        <f t="shared" ref="L3678:L3741" si="58">IF(ISBLANK(H3678),"",IF(H3678=K3678,"Payé","Impayé"))</f>
        <v>Payé</v>
      </c>
      <c r="N3678" s="15"/>
    </row>
    <row r="3679" spans="1:14" s="14" customFormat="1" ht="18" x14ac:dyDescent="0.25">
      <c r="A3679" s="90" t="s">
        <v>865</v>
      </c>
      <c r="B3679" s="90">
        <v>10031</v>
      </c>
      <c r="C3679" s="88" t="s">
        <v>1177</v>
      </c>
      <c r="D3679" s="90" t="s">
        <v>17</v>
      </c>
      <c r="E3679" s="90" t="s">
        <v>753</v>
      </c>
      <c r="F3679" s="90" t="s">
        <v>865</v>
      </c>
      <c r="G3679" s="137">
        <v>2</v>
      </c>
      <c r="H3679" s="94">
        <v>180</v>
      </c>
      <c r="I3679" s="87">
        <v>46099</v>
      </c>
      <c r="J3679" s="93">
        <v>0.62291666666666667</v>
      </c>
      <c r="K3679" s="94">
        <v>180</v>
      </c>
      <c r="L3679" s="72" t="str">
        <f t="shared" si="58"/>
        <v>Payé</v>
      </c>
      <c r="N3679" s="15"/>
    </row>
    <row r="3680" spans="1:14" s="14" customFormat="1" ht="18" x14ac:dyDescent="0.25">
      <c r="A3680" s="90" t="s">
        <v>865</v>
      </c>
      <c r="B3680" s="90">
        <v>10035</v>
      </c>
      <c r="C3680" s="88" t="s">
        <v>1181</v>
      </c>
      <c r="D3680" s="90" t="s">
        <v>17</v>
      </c>
      <c r="E3680" s="90" t="s">
        <v>1906</v>
      </c>
      <c r="F3680" s="90" t="s">
        <v>865</v>
      </c>
      <c r="G3680" s="137">
        <v>10</v>
      </c>
      <c r="H3680" s="94">
        <v>1000</v>
      </c>
      <c r="I3680" s="87">
        <v>46104</v>
      </c>
      <c r="J3680" s="93">
        <v>0.64097222222222217</v>
      </c>
      <c r="K3680" s="94">
        <v>1000</v>
      </c>
      <c r="L3680" s="72" t="str">
        <f t="shared" si="58"/>
        <v>Payé</v>
      </c>
      <c r="N3680" s="15"/>
    </row>
    <row r="3681" spans="1:14" s="14" customFormat="1" ht="18" x14ac:dyDescent="0.25">
      <c r="A3681" s="90" t="s">
        <v>865</v>
      </c>
      <c r="B3681" s="90">
        <v>10036</v>
      </c>
      <c r="C3681" s="88" t="s">
        <v>1923</v>
      </c>
      <c r="D3681" s="90" t="s">
        <v>17</v>
      </c>
      <c r="E3681" s="90" t="s">
        <v>1104</v>
      </c>
      <c r="F3681" s="90" t="s">
        <v>865</v>
      </c>
      <c r="G3681" s="137">
        <v>10</v>
      </c>
      <c r="H3681" s="94">
        <v>900</v>
      </c>
      <c r="I3681" s="87">
        <v>46099</v>
      </c>
      <c r="J3681" s="93">
        <v>0.60416666666666663</v>
      </c>
      <c r="K3681" s="94">
        <v>900</v>
      </c>
      <c r="L3681" s="72" t="str">
        <f t="shared" si="58"/>
        <v>Payé</v>
      </c>
      <c r="N3681" s="15"/>
    </row>
    <row r="3682" spans="1:14" s="14" customFormat="1" ht="18" x14ac:dyDescent="0.25">
      <c r="A3682" s="90" t="s">
        <v>865</v>
      </c>
      <c r="B3682" s="90">
        <v>10037</v>
      </c>
      <c r="C3682" s="88" t="s">
        <v>1924</v>
      </c>
      <c r="D3682" s="90" t="s">
        <v>17</v>
      </c>
      <c r="E3682" s="90" t="s">
        <v>1104</v>
      </c>
      <c r="F3682" s="90" t="s">
        <v>865</v>
      </c>
      <c r="G3682" s="137">
        <v>2</v>
      </c>
      <c r="H3682" s="94">
        <v>180</v>
      </c>
      <c r="I3682" s="87">
        <v>46119</v>
      </c>
      <c r="J3682" s="93">
        <v>0.65763888888888888</v>
      </c>
      <c r="K3682" s="94">
        <v>180</v>
      </c>
      <c r="L3682" s="72" t="str">
        <f t="shared" si="58"/>
        <v>Payé</v>
      </c>
      <c r="N3682" s="15"/>
    </row>
    <row r="3683" spans="1:14" s="14" customFormat="1" ht="18" x14ac:dyDescent="0.25">
      <c r="A3683" s="90" t="s">
        <v>865</v>
      </c>
      <c r="B3683" s="90">
        <v>10044</v>
      </c>
      <c r="C3683" s="88" t="s">
        <v>1215</v>
      </c>
      <c r="D3683" s="90" t="s">
        <v>17</v>
      </c>
      <c r="E3683" s="90" t="s">
        <v>1104</v>
      </c>
      <c r="F3683" s="90" t="s">
        <v>865</v>
      </c>
      <c r="G3683" s="137">
        <v>12</v>
      </c>
      <c r="H3683" s="94">
        <v>1105</v>
      </c>
      <c r="I3683" s="87">
        <v>46099</v>
      </c>
      <c r="J3683" s="93">
        <v>0.60416666666666663</v>
      </c>
      <c r="K3683" s="94">
        <v>1105</v>
      </c>
      <c r="L3683" s="72" t="str">
        <f t="shared" si="58"/>
        <v>Payé</v>
      </c>
      <c r="N3683" s="15"/>
    </row>
    <row r="3684" spans="1:14" s="14" customFormat="1" ht="18" x14ac:dyDescent="0.25">
      <c r="A3684" s="90" t="s">
        <v>865</v>
      </c>
      <c r="B3684" s="90">
        <v>10048</v>
      </c>
      <c r="C3684" s="88" t="s">
        <v>1218</v>
      </c>
      <c r="D3684" s="90" t="s">
        <v>17</v>
      </c>
      <c r="E3684" s="90" t="s">
        <v>1104</v>
      </c>
      <c r="F3684" s="90" t="s">
        <v>865</v>
      </c>
      <c r="G3684" s="137">
        <v>12</v>
      </c>
      <c r="H3684" s="94">
        <v>1100</v>
      </c>
      <c r="I3684" s="87">
        <v>46099</v>
      </c>
      <c r="J3684" s="93">
        <v>0.60416666666666663</v>
      </c>
      <c r="K3684" s="94">
        <v>1100</v>
      </c>
      <c r="L3684" s="72" t="str">
        <f t="shared" si="58"/>
        <v>Payé</v>
      </c>
      <c r="N3684" s="15"/>
    </row>
    <row r="3685" spans="1:14" s="14" customFormat="1" ht="18" x14ac:dyDescent="0.25">
      <c r="A3685" s="90" t="s">
        <v>865</v>
      </c>
      <c r="B3685" s="90">
        <v>10049</v>
      </c>
      <c r="C3685" s="88" t="s">
        <v>1219</v>
      </c>
      <c r="D3685" s="90" t="s">
        <v>17</v>
      </c>
      <c r="E3685" s="90" t="s">
        <v>1907</v>
      </c>
      <c r="F3685" s="90" t="s">
        <v>865</v>
      </c>
      <c r="G3685" s="137">
        <v>8</v>
      </c>
      <c r="H3685" s="94">
        <v>720</v>
      </c>
      <c r="I3685" s="87">
        <v>46109</v>
      </c>
      <c r="J3685" s="93">
        <v>0.54027777777777775</v>
      </c>
      <c r="K3685" s="94">
        <v>720</v>
      </c>
      <c r="L3685" s="72" t="str">
        <f t="shared" si="58"/>
        <v>Payé</v>
      </c>
      <c r="N3685" s="15"/>
    </row>
    <row r="3686" spans="1:14" s="14" customFormat="1" ht="18" x14ac:dyDescent="0.25">
      <c r="A3686" s="90" t="s">
        <v>865</v>
      </c>
      <c r="B3686" s="90">
        <v>10054</v>
      </c>
      <c r="C3686" s="88" t="s">
        <v>1222</v>
      </c>
      <c r="D3686" s="90" t="s">
        <v>17</v>
      </c>
      <c r="E3686" s="90" t="s">
        <v>1104</v>
      </c>
      <c r="F3686" s="90" t="s">
        <v>865</v>
      </c>
      <c r="G3686" s="137">
        <v>9</v>
      </c>
      <c r="H3686" s="94">
        <v>820</v>
      </c>
      <c r="I3686" s="87">
        <v>46099</v>
      </c>
      <c r="J3686" s="93">
        <v>0.60416666666666663</v>
      </c>
      <c r="K3686" s="94">
        <v>820</v>
      </c>
      <c r="L3686" s="72" t="str">
        <f t="shared" si="58"/>
        <v>Payé</v>
      </c>
      <c r="N3686" s="15"/>
    </row>
    <row r="3687" spans="1:14" s="14" customFormat="1" ht="18" x14ac:dyDescent="0.25">
      <c r="A3687" s="90" t="s">
        <v>865</v>
      </c>
      <c r="B3687" s="90">
        <v>10059</v>
      </c>
      <c r="C3687" s="88" t="s">
        <v>1925</v>
      </c>
      <c r="D3687" s="90" t="s">
        <v>17</v>
      </c>
      <c r="E3687" s="90" t="s">
        <v>1104</v>
      </c>
      <c r="F3687" s="90" t="s">
        <v>865</v>
      </c>
      <c r="G3687" s="137">
        <v>10</v>
      </c>
      <c r="H3687" s="94">
        <v>910</v>
      </c>
      <c r="I3687" s="87">
        <v>46099</v>
      </c>
      <c r="J3687" s="93">
        <v>0.60416666666666663</v>
      </c>
      <c r="K3687" s="94">
        <v>910</v>
      </c>
      <c r="L3687" s="72" t="str">
        <f t="shared" si="58"/>
        <v>Payé</v>
      </c>
      <c r="N3687" s="15"/>
    </row>
    <row r="3688" spans="1:14" s="14" customFormat="1" ht="18" x14ac:dyDescent="0.25">
      <c r="A3688" s="90" t="s">
        <v>865</v>
      </c>
      <c r="B3688" s="90">
        <v>10069</v>
      </c>
      <c r="C3688" s="88" t="s">
        <v>1249</v>
      </c>
      <c r="D3688" s="90" t="s">
        <v>17</v>
      </c>
      <c r="E3688" s="90" t="s">
        <v>753</v>
      </c>
      <c r="F3688" s="90" t="s">
        <v>865</v>
      </c>
      <c r="G3688" s="137">
        <v>2</v>
      </c>
      <c r="H3688" s="94">
        <v>190</v>
      </c>
      <c r="I3688" s="87">
        <v>46099</v>
      </c>
      <c r="J3688" s="93">
        <v>0.62291666666666667</v>
      </c>
      <c r="K3688" s="94">
        <v>190</v>
      </c>
      <c r="L3688" s="72" t="str">
        <f t="shared" si="58"/>
        <v>Payé</v>
      </c>
      <c r="N3688" s="15"/>
    </row>
    <row r="3689" spans="1:14" s="14" customFormat="1" ht="18" x14ac:dyDescent="0.25">
      <c r="A3689" s="90" t="s">
        <v>865</v>
      </c>
      <c r="B3689" s="90">
        <v>10070</v>
      </c>
      <c r="C3689" s="88" t="s">
        <v>1250</v>
      </c>
      <c r="D3689" s="90" t="s">
        <v>17</v>
      </c>
      <c r="E3689" s="90" t="s">
        <v>49</v>
      </c>
      <c r="F3689" s="90" t="s">
        <v>865</v>
      </c>
      <c r="G3689" s="137">
        <v>9</v>
      </c>
      <c r="H3689" s="94">
        <v>810</v>
      </c>
      <c r="I3689" s="87">
        <v>46099</v>
      </c>
      <c r="J3689" s="93">
        <v>0.61388888888888882</v>
      </c>
      <c r="K3689" s="94">
        <v>810</v>
      </c>
      <c r="L3689" s="72" t="str">
        <f t="shared" si="58"/>
        <v>Payé</v>
      </c>
      <c r="N3689" s="15"/>
    </row>
    <row r="3690" spans="1:14" s="14" customFormat="1" ht="18" x14ac:dyDescent="0.25">
      <c r="A3690" s="90" t="s">
        <v>865</v>
      </c>
      <c r="B3690" s="90">
        <v>10082</v>
      </c>
      <c r="C3690" s="88" t="s">
        <v>1259</v>
      </c>
      <c r="D3690" s="90" t="s">
        <v>17</v>
      </c>
      <c r="E3690" s="90" t="s">
        <v>254</v>
      </c>
      <c r="F3690" s="90" t="s">
        <v>865</v>
      </c>
      <c r="G3690" s="137">
        <v>11</v>
      </c>
      <c r="H3690" s="94">
        <v>990</v>
      </c>
      <c r="I3690" s="87">
        <v>46099</v>
      </c>
      <c r="J3690" s="93">
        <v>0.64444444444444449</v>
      </c>
      <c r="K3690" s="94">
        <v>990</v>
      </c>
      <c r="L3690" s="72" t="str">
        <f t="shared" si="58"/>
        <v>Payé</v>
      </c>
      <c r="N3690" s="15"/>
    </row>
    <row r="3691" spans="1:14" s="14" customFormat="1" ht="18" x14ac:dyDescent="0.25">
      <c r="A3691" s="90" t="s">
        <v>865</v>
      </c>
      <c r="B3691" s="90">
        <v>10083</v>
      </c>
      <c r="C3691" s="88" t="s">
        <v>1273</v>
      </c>
      <c r="D3691" s="90" t="s">
        <v>17</v>
      </c>
      <c r="E3691" s="90" t="s">
        <v>254</v>
      </c>
      <c r="F3691" s="90" t="s">
        <v>865</v>
      </c>
      <c r="G3691" s="137">
        <v>11</v>
      </c>
      <c r="H3691" s="94">
        <v>1010</v>
      </c>
      <c r="I3691" s="87">
        <v>46099</v>
      </c>
      <c r="J3691" s="93">
        <v>0.64444444444444449</v>
      </c>
      <c r="K3691" s="94">
        <v>1010</v>
      </c>
      <c r="L3691" s="72" t="str">
        <f t="shared" si="58"/>
        <v>Payé</v>
      </c>
      <c r="N3691" s="15"/>
    </row>
    <row r="3692" spans="1:14" s="14" customFormat="1" ht="18" x14ac:dyDescent="0.25">
      <c r="A3692" s="90" t="s">
        <v>865</v>
      </c>
      <c r="B3692" s="90">
        <v>10084</v>
      </c>
      <c r="C3692" s="88" t="s">
        <v>1274</v>
      </c>
      <c r="D3692" s="90" t="s">
        <v>17</v>
      </c>
      <c r="E3692" s="90" t="s">
        <v>254</v>
      </c>
      <c r="F3692" s="90" t="s">
        <v>865</v>
      </c>
      <c r="G3692" s="137">
        <v>11</v>
      </c>
      <c r="H3692" s="94">
        <v>990</v>
      </c>
      <c r="I3692" s="87">
        <v>46099</v>
      </c>
      <c r="J3692" s="93">
        <v>0.64444444444444449</v>
      </c>
      <c r="K3692" s="94">
        <v>990</v>
      </c>
      <c r="L3692" s="72" t="str">
        <f t="shared" si="58"/>
        <v>Payé</v>
      </c>
      <c r="N3692" s="15"/>
    </row>
    <row r="3693" spans="1:14" s="14" customFormat="1" ht="18" x14ac:dyDescent="0.25">
      <c r="A3693" s="90" t="s">
        <v>865</v>
      </c>
      <c r="B3693" s="90">
        <v>10098</v>
      </c>
      <c r="C3693" s="88" t="s">
        <v>1926</v>
      </c>
      <c r="D3693" s="90" t="s">
        <v>17</v>
      </c>
      <c r="E3693" s="90" t="s">
        <v>1664</v>
      </c>
      <c r="F3693" s="90" t="s">
        <v>865</v>
      </c>
      <c r="G3693" s="137">
        <v>7</v>
      </c>
      <c r="H3693" s="94">
        <v>640</v>
      </c>
      <c r="I3693" s="87">
        <v>46104</v>
      </c>
      <c r="J3693" s="93">
        <v>0.42083333333333334</v>
      </c>
      <c r="K3693" s="94">
        <v>640</v>
      </c>
      <c r="L3693" s="72" t="str">
        <f t="shared" si="58"/>
        <v>Payé</v>
      </c>
      <c r="N3693" s="15"/>
    </row>
    <row r="3694" spans="1:14" s="14" customFormat="1" ht="18" x14ac:dyDescent="0.25">
      <c r="A3694" s="90" t="s">
        <v>865</v>
      </c>
      <c r="B3694" s="90">
        <v>10099</v>
      </c>
      <c r="C3694" s="88" t="s">
        <v>1927</v>
      </c>
      <c r="D3694" s="90" t="s">
        <v>17</v>
      </c>
      <c r="E3694" s="90" t="s">
        <v>1904</v>
      </c>
      <c r="F3694" s="90" t="s">
        <v>865</v>
      </c>
      <c r="G3694" s="137">
        <v>9</v>
      </c>
      <c r="H3694" s="94">
        <v>810</v>
      </c>
      <c r="I3694" s="87">
        <v>46099</v>
      </c>
      <c r="J3694" s="93">
        <v>0.86111111111111116</v>
      </c>
      <c r="K3694" s="94">
        <v>810</v>
      </c>
      <c r="L3694" s="72" t="str">
        <f t="shared" si="58"/>
        <v>Payé</v>
      </c>
      <c r="N3694" s="15"/>
    </row>
    <row r="3695" spans="1:14" s="14" customFormat="1" ht="18" x14ac:dyDescent="0.25">
      <c r="A3695" s="90" t="s">
        <v>865</v>
      </c>
      <c r="B3695" s="90">
        <v>10101</v>
      </c>
      <c r="C3695" s="88" t="s">
        <v>1928</v>
      </c>
      <c r="D3695" s="90" t="s">
        <v>17</v>
      </c>
      <c r="E3695" s="90" t="s">
        <v>649</v>
      </c>
      <c r="F3695" s="90" t="s">
        <v>865</v>
      </c>
      <c r="G3695" s="137">
        <v>4</v>
      </c>
      <c r="H3695" s="94">
        <v>360</v>
      </c>
      <c r="I3695" s="87"/>
      <c r="J3695" s="93"/>
      <c r="K3695" s="92"/>
      <c r="L3695" s="72" t="str">
        <f t="shared" si="58"/>
        <v>Impayé</v>
      </c>
      <c r="N3695" s="15"/>
    </row>
    <row r="3696" spans="1:14" s="14" customFormat="1" ht="18" x14ac:dyDescent="0.25">
      <c r="A3696" s="90" t="s">
        <v>865</v>
      </c>
      <c r="B3696" s="90">
        <v>10102</v>
      </c>
      <c r="C3696" s="88" t="s">
        <v>1929</v>
      </c>
      <c r="D3696" s="90" t="s">
        <v>17</v>
      </c>
      <c r="E3696" s="90" t="s">
        <v>1104</v>
      </c>
      <c r="F3696" s="90" t="s">
        <v>865</v>
      </c>
      <c r="G3696" s="137">
        <v>9</v>
      </c>
      <c r="H3696" s="94">
        <v>810</v>
      </c>
      <c r="I3696" s="87">
        <v>46099</v>
      </c>
      <c r="J3696" s="93">
        <v>0.60416666666666663</v>
      </c>
      <c r="K3696" s="94">
        <v>810</v>
      </c>
      <c r="L3696" s="72" t="str">
        <f t="shared" si="58"/>
        <v>Payé</v>
      </c>
      <c r="N3696" s="15"/>
    </row>
    <row r="3697" spans="1:15" s="14" customFormat="1" ht="18" x14ac:dyDescent="0.25">
      <c r="A3697" s="90" t="s">
        <v>865</v>
      </c>
      <c r="B3697" s="90">
        <v>10105</v>
      </c>
      <c r="C3697" s="88" t="s">
        <v>1300</v>
      </c>
      <c r="D3697" s="90" t="s">
        <v>17</v>
      </c>
      <c r="E3697" s="90" t="s">
        <v>649</v>
      </c>
      <c r="F3697" s="90" t="s">
        <v>865</v>
      </c>
      <c r="G3697" s="137">
        <v>8</v>
      </c>
      <c r="H3697" s="94">
        <v>720</v>
      </c>
      <c r="I3697" s="87">
        <v>46099</v>
      </c>
      <c r="J3697" s="93">
        <v>0.63124999999999998</v>
      </c>
      <c r="K3697" s="94">
        <v>720</v>
      </c>
      <c r="L3697" s="72" t="str">
        <f t="shared" si="58"/>
        <v>Payé</v>
      </c>
      <c r="N3697" s="15"/>
    </row>
    <row r="3698" spans="1:15" s="14" customFormat="1" ht="18" x14ac:dyDescent="0.25">
      <c r="A3698" s="90" t="s">
        <v>865</v>
      </c>
      <c r="B3698" s="90">
        <v>10107</v>
      </c>
      <c r="C3698" s="88" t="s">
        <v>1930</v>
      </c>
      <c r="D3698" s="90" t="s">
        <v>17</v>
      </c>
      <c r="E3698" s="90" t="s">
        <v>649</v>
      </c>
      <c r="F3698" s="90" t="s">
        <v>865</v>
      </c>
      <c r="G3698" s="137">
        <v>2</v>
      </c>
      <c r="H3698" s="94">
        <v>190</v>
      </c>
      <c r="I3698" s="87">
        <v>46104</v>
      </c>
      <c r="J3698" s="93">
        <v>0.66319444444444442</v>
      </c>
      <c r="K3698" s="94">
        <v>190</v>
      </c>
      <c r="L3698" s="72" t="str">
        <f t="shared" si="58"/>
        <v>Payé</v>
      </c>
      <c r="N3698" s="15"/>
    </row>
    <row r="3699" spans="1:15" s="14" customFormat="1" ht="18" x14ac:dyDescent="0.25">
      <c r="A3699" s="90" t="s">
        <v>865</v>
      </c>
      <c r="B3699" s="90">
        <v>10108</v>
      </c>
      <c r="C3699" s="88" t="s">
        <v>1931</v>
      </c>
      <c r="D3699" s="90" t="s">
        <v>17</v>
      </c>
      <c r="E3699" s="90" t="s">
        <v>1902</v>
      </c>
      <c r="F3699" s="90" t="s">
        <v>865</v>
      </c>
      <c r="G3699" s="137">
        <v>3</v>
      </c>
      <c r="H3699" s="94">
        <v>270</v>
      </c>
      <c r="I3699" s="87">
        <v>46099</v>
      </c>
      <c r="J3699" s="93">
        <v>0.58888888888888891</v>
      </c>
      <c r="K3699" s="94">
        <v>270</v>
      </c>
      <c r="L3699" s="72" t="str">
        <f t="shared" si="58"/>
        <v>Payé</v>
      </c>
      <c r="N3699" s="15"/>
    </row>
    <row r="3700" spans="1:15" s="14" customFormat="1" ht="18" x14ac:dyDescent="0.25">
      <c r="A3700" s="90" t="s">
        <v>865</v>
      </c>
      <c r="B3700" s="90">
        <v>10109</v>
      </c>
      <c r="C3700" s="88" t="s">
        <v>1932</v>
      </c>
      <c r="D3700" s="90" t="s">
        <v>17</v>
      </c>
      <c r="E3700" s="90" t="s">
        <v>1902</v>
      </c>
      <c r="F3700" s="90" t="s">
        <v>865</v>
      </c>
      <c r="G3700" s="137">
        <v>9</v>
      </c>
      <c r="H3700" s="94">
        <v>963</v>
      </c>
      <c r="I3700" s="87">
        <v>46099</v>
      </c>
      <c r="J3700" s="93">
        <v>0.58888888888888891</v>
      </c>
      <c r="K3700" s="94">
        <v>963</v>
      </c>
      <c r="L3700" s="72" t="str">
        <f t="shared" si="58"/>
        <v>Payé</v>
      </c>
      <c r="N3700" s="15"/>
    </row>
    <row r="3701" spans="1:15" s="14" customFormat="1" ht="18" x14ac:dyDescent="0.25">
      <c r="A3701" s="90" t="s">
        <v>865</v>
      </c>
      <c r="B3701" s="90">
        <v>10112</v>
      </c>
      <c r="C3701" s="88" t="s">
        <v>1933</v>
      </c>
      <c r="D3701" s="90" t="s">
        <v>17</v>
      </c>
      <c r="E3701" s="90" t="s">
        <v>1664</v>
      </c>
      <c r="F3701" s="90" t="s">
        <v>865</v>
      </c>
      <c r="G3701" s="137">
        <v>5</v>
      </c>
      <c r="H3701" s="94">
        <v>450</v>
      </c>
      <c r="I3701" s="87">
        <v>46099</v>
      </c>
      <c r="J3701" s="93">
        <v>0.55486111111111114</v>
      </c>
      <c r="K3701" s="94">
        <v>450</v>
      </c>
      <c r="L3701" s="72" t="str">
        <f t="shared" si="58"/>
        <v>Payé</v>
      </c>
      <c r="N3701" s="15"/>
    </row>
    <row r="3702" spans="1:15" s="14" customFormat="1" ht="18" x14ac:dyDescent="0.25">
      <c r="A3702" s="90" t="s">
        <v>865</v>
      </c>
      <c r="B3702" s="90">
        <v>10113</v>
      </c>
      <c r="C3702" s="88" t="s">
        <v>1934</v>
      </c>
      <c r="D3702" s="90" t="s">
        <v>17</v>
      </c>
      <c r="E3702" s="90" t="s">
        <v>1664</v>
      </c>
      <c r="F3702" s="90" t="s">
        <v>865</v>
      </c>
      <c r="G3702" s="137">
        <v>7</v>
      </c>
      <c r="H3702" s="94">
        <v>640</v>
      </c>
      <c r="I3702" s="87">
        <v>46106</v>
      </c>
      <c r="J3702" s="93">
        <v>15250</v>
      </c>
      <c r="K3702" s="94">
        <v>640</v>
      </c>
      <c r="L3702" s="72" t="str">
        <f t="shared" si="58"/>
        <v>Payé</v>
      </c>
      <c r="N3702" s="15"/>
    </row>
    <row r="3703" spans="1:15" s="14" customFormat="1" ht="18" x14ac:dyDescent="0.25">
      <c r="A3703" s="90" t="s">
        <v>865</v>
      </c>
      <c r="B3703" s="90">
        <v>10114</v>
      </c>
      <c r="C3703" s="88" t="s">
        <v>1935</v>
      </c>
      <c r="D3703" s="90" t="s">
        <v>17</v>
      </c>
      <c r="E3703" s="90" t="s">
        <v>1664</v>
      </c>
      <c r="F3703" s="90" t="s">
        <v>865</v>
      </c>
      <c r="G3703" s="137">
        <v>9</v>
      </c>
      <c r="H3703" s="94">
        <v>865</v>
      </c>
      <c r="I3703" s="87">
        <v>46099</v>
      </c>
      <c r="J3703" s="93">
        <v>0.58888888888888891</v>
      </c>
      <c r="K3703" s="94">
        <v>865</v>
      </c>
      <c r="L3703" s="72" t="str">
        <f t="shared" si="58"/>
        <v>Payé</v>
      </c>
      <c r="N3703" s="15"/>
    </row>
    <row r="3704" spans="1:15" s="14" customFormat="1" ht="18" x14ac:dyDescent="0.25">
      <c r="A3704" s="90" t="s">
        <v>865</v>
      </c>
      <c r="B3704" s="90">
        <v>10115</v>
      </c>
      <c r="C3704" s="88" t="s">
        <v>1936</v>
      </c>
      <c r="D3704" s="90" t="s">
        <v>17</v>
      </c>
      <c r="E3704" s="90" t="s">
        <v>1664</v>
      </c>
      <c r="F3704" s="90" t="s">
        <v>865</v>
      </c>
      <c r="G3704" s="137">
        <v>2</v>
      </c>
      <c r="H3704" s="94">
        <v>185</v>
      </c>
      <c r="I3704" s="87">
        <v>46105</v>
      </c>
      <c r="J3704" s="93">
        <v>0.65902777777777777</v>
      </c>
      <c r="K3704" s="94">
        <v>185</v>
      </c>
      <c r="L3704" s="72" t="str">
        <f t="shared" si="58"/>
        <v>Payé</v>
      </c>
      <c r="N3704" s="15"/>
    </row>
    <row r="3705" spans="1:15" s="14" customFormat="1" ht="18" x14ac:dyDescent="0.25">
      <c r="A3705" s="90" t="s">
        <v>865</v>
      </c>
      <c r="B3705" s="90">
        <v>10130</v>
      </c>
      <c r="C3705" s="88" t="s">
        <v>1336</v>
      </c>
      <c r="D3705" s="90" t="s">
        <v>17</v>
      </c>
      <c r="E3705" s="90" t="s">
        <v>649</v>
      </c>
      <c r="F3705" s="90" t="s">
        <v>865</v>
      </c>
      <c r="G3705" s="137">
        <v>6</v>
      </c>
      <c r="H3705" s="94">
        <v>540</v>
      </c>
      <c r="I3705" s="87"/>
      <c r="J3705" s="93"/>
      <c r="K3705" s="92"/>
      <c r="L3705" s="72" t="str">
        <f t="shared" si="58"/>
        <v>Impayé</v>
      </c>
      <c r="N3705" s="15"/>
    </row>
    <row r="3706" spans="1:15" s="14" customFormat="1" ht="18" x14ac:dyDescent="0.25">
      <c r="A3706" s="90" t="s">
        <v>865</v>
      </c>
      <c r="B3706" s="90">
        <v>10134</v>
      </c>
      <c r="C3706" s="88" t="s">
        <v>1937</v>
      </c>
      <c r="D3706" s="90" t="s">
        <v>17</v>
      </c>
      <c r="E3706" s="90" t="s">
        <v>49</v>
      </c>
      <c r="F3706" s="90" t="s">
        <v>865</v>
      </c>
      <c r="G3706" s="137">
        <v>1</v>
      </c>
      <c r="H3706" s="94">
        <v>90</v>
      </c>
      <c r="I3706" s="87">
        <v>46099</v>
      </c>
      <c r="J3706" s="93">
        <v>0.61388888888888882</v>
      </c>
      <c r="K3706" s="94">
        <v>90</v>
      </c>
      <c r="L3706" s="72" t="str">
        <f t="shared" si="58"/>
        <v>Payé</v>
      </c>
      <c r="N3706" s="15"/>
    </row>
    <row r="3707" spans="1:15" s="14" customFormat="1" ht="18" x14ac:dyDescent="0.25">
      <c r="A3707" s="90" t="s">
        <v>865</v>
      </c>
      <c r="B3707" s="90">
        <v>10135</v>
      </c>
      <c r="C3707" s="88" t="s">
        <v>1938</v>
      </c>
      <c r="D3707" s="90" t="s">
        <v>17</v>
      </c>
      <c r="E3707" s="90" t="s">
        <v>1104</v>
      </c>
      <c r="F3707" s="90" t="s">
        <v>865</v>
      </c>
      <c r="G3707" s="137">
        <v>6</v>
      </c>
      <c r="H3707" s="94">
        <v>560</v>
      </c>
      <c r="I3707" s="87">
        <v>46104</v>
      </c>
      <c r="J3707" s="93">
        <v>0.62569444444444444</v>
      </c>
      <c r="K3707" s="94">
        <v>560</v>
      </c>
      <c r="L3707" s="72" t="str">
        <f t="shared" si="58"/>
        <v>Payé</v>
      </c>
      <c r="N3707" s="15"/>
      <c r="O3707" s="169" t="s">
        <v>1960</v>
      </c>
    </row>
    <row r="3708" spans="1:15" s="14" customFormat="1" ht="18" x14ac:dyDescent="0.25">
      <c r="A3708" s="90" t="s">
        <v>865</v>
      </c>
      <c r="B3708" s="90">
        <v>10138</v>
      </c>
      <c r="C3708" s="88" t="s">
        <v>1939</v>
      </c>
      <c r="D3708" s="90" t="s">
        <v>17</v>
      </c>
      <c r="E3708" s="90" t="s">
        <v>1104</v>
      </c>
      <c r="F3708" s="90" t="s">
        <v>865</v>
      </c>
      <c r="G3708" s="137">
        <v>5</v>
      </c>
      <c r="H3708" s="94">
        <v>450</v>
      </c>
      <c r="I3708" s="87">
        <v>46099</v>
      </c>
      <c r="J3708" s="93">
        <v>0.60416666666666663</v>
      </c>
      <c r="K3708" s="94">
        <v>450</v>
      </c>
      <c r="L3708" s="72" t="str">
        <f t="shared" si="58"/>
        <v>Payé</v>
      </c>
      <c r="N3708" s="15"/>
    </row>
    <row r="3709" spans="1:15" s="14" customFormat="1" ht="18" x14ac:dyDescent="0.25">
      <c r="A3709" s="90" t="s">
        <v>865</v>
      </c>
      <c r="B3709" s="90">
        <v>10139</v>
      </c>
      <c r="C3709" s="88" t="s">
        <v>1940</v>
      </c>
      <c r="D3709" s="90" t="s">
        <v>17</v>
      </c>
      <c r="E3709" s="90" t="s">
        <v>1104</v>
      </c>
      <c r="F3709" s="90" t="s">
        <v>865</v>
      </c>
      <c r="G3709" s="137">
        <v>4</v>
      </c>
      <c r="H3709" s="94">
        <v>360</v>
      </c>
      <c r="I3709" s="87">
        <v>46100</v>
      </c>
      <c r="J3709" s="93">
        <v>0.40833333333333338</v>
      </c>
      <c r="K3709" s="94">
        <v>360</v>
      </c>
      <c r="L3709" s="72" t="str">
        <f t="shared" si="58"/>
        <v>Payé</v>
      </c>
      <c r="N3709" s="15"/>
    </row>
    <row r="3710" spans="1:15" s="14" customFormat="1" ht="18" x14ac:dyDescent="0.25">
      <c r="A3710" s="90" t="s">
        <v>865</v>
      </c>
      <c r="B3710" s="90">
        <v>10142</v>
      </c>
      <c r="C3710" s="88" t="s">
        <v>1941</v>
      </c>
      <c r="D3710" s="90" t="s">
        <v>17</v>
      </c>
      <c r="E3710" s="90" t="s">
        <v>1907</v>
      </c>
      <c r="F3710" s="90" t="s">
        <v>865</v>
      </c>
      <c r="G3710" s="137">
        <v>4</v>
      </c>
      <c r="H3710" s="94">
        <v>360</v>
      </c>
      <c r="I3710" s="87">
        <v>46099</v>
      </c>
      <c r="J3710" s="93">
        <v>0.57916666666666672</v>
      </c>
      <c r="K3710" s="94">
        <v>360</v>
      </c>
      <c r="L3710" s="72" t="str">
        <f t="shared" si="58"/>
        <v>Payé</v>
      </c>
      <c r="N3710" s="15"/>
    </row>
    <row r="3711" spans="1:15" s="14" customFormat="1" ht="18" x14ac:dyDescent="0.25">
      <c r="A3711" s="90" t="s">
        <v>865</v>
      </c>
      <c r="B3711" s="90">
        <v>10164</v>
      </c>
      <c r="C3711" s="88" t="s">
        <v>1343</v>
      </c>
      <c r="D3711" s="90" t="s">
        <v>17</v>
      </c>
      <c r="E3711" s="90" t="s">
        <v>1104</v>
      </c>
      <c r="F3711" s="90" t="s">
        <v>865</v>
      </c>
      <c r="G3711" s="137">
        <v>11</v>
      </c>
      <c r="H3711" s="94">
        <v>990</v>
      </c>
      <c r="I3711" s="87">
        <v>46099</v>
      </c>
      <c r="J3711" s="93">
        <v>0.60416666666666663</v>
      </c>
      <c r="K3711" s="94">
        <v>990</v>
      </c>
      <c r="L3711" s="72" t="str">
        <f t="shared" si="58"/>
        <v>Payé</v>
      </c>
      <c r="N3711" s="15"/>
    </row>
    <row r="3712" spans="1:15" s="14" customFormat="1" ht="18" x14ac:dyDescent="0.25">
      <c r="A3712" s="90" t="s">
        <v>865</v>
      </c>
      <c r="B3712" s="90">
        <v>10211</v>
      </c>
      <c r="C3712" s="88" t="s">
        <v>1400</v>
      </c>
      <c r="D3712" s="90" t="s">
        <v>17</v>
      </c>
      <c r="E3712" s="90" t="s">
        <v>1905</v>
      </c>
      <c r="F3712" s="90" t="s">
        <v>865</v>
      </c>
      <c r="G3712" s="137">
        <v>7</v>
      </c>
      <c r="H3712" s="94">
        <v>810</v>
      </c>
      <c r="I3712" s="87">
        <v>46099</v>
      </c>
      <c r="J3712" s="93">
        <v>0.60486111111111118</v>
      </c>
      <c r="K3712" s="94">
        <v>810</v>
      </c>
      <c r="L3712" s="72" t="str">
        <f t="shared" si="58"/>
        <v>Payé</v>
      </c>
      <c r="N3712" s="15"/>
    </row>
    <row r="3713" spans="1:14" s="14" customFormat="1" ht="18" x14ac:dyDescent="0.25">
      <c r="A3713" s="90" t="s">
        <v>865</v>
      </c>
      <c r="B3713" s="90">
        <v>10214</v>
      </c>
      <c r="C3713" s="88" t="s">
        <v>1403</v>
      </c>
      <c r="D3713" s="90" t="s">
        <v>17</v>
      </c>
      <c r="E3713" s="90" t="s">
        <v>753</v>
      </c>
      <c r="F3713" s="90" t="s">
        <v>865</v>
      </c>
      <c r="G3713" s="137">
        <v>1</v>
      </c>
      <c r="H3713" s="94">
        <v>90</v>
      </c>
      <c r="I3713" s="87">
        <v>46119</v>
      </c>
      <c r="J3713" s="93">
        <v>0.71319444444444446</v>
      </c>
      <c r="K3713" s="94">
        <v>90</v>
      </c>
      <c r="L3713" s="72" t="str">
        <f t="shared" si="58"/>
        <v>Payé</v>
      </c>
      <c r="N3713" s="15"/>
    </row>
    <row r="3714" spans="1:14" s="14" customFormat="1" ht="18" x14ac:dyDescent="0.25">
      <c r="A3714" s="90" t="s">
        <v>865</v>
      </c>
      <c r="B3714" s="90">
        <v>10251</v>
      </c>
      <c r="C3714" s="88" t="s">
        <v>1825</v>
      </c>
      <c r="D3714" s="90" t="s">
        <v>17</v>
      </c>
      <c r="E3714" s="90" t="s">
        <v>1902</v>
      </c>
      <c r="F3714" s="90" t="s">
        <v>865</v>
      </c>
      <c r="G3714" s="137">
        <v>1</v>
      </c>
      <c r="H3714" s="94">
        <v>87</v>
      </c>
      <c r="I3714" s="87">
        <v>46099</v>
      </c>
      <c r="J3714" s="93">
        <v>0.58888888888888891</v>
      </c>
      <c r="K3714" s="94">
        <v>87</v>
      </c>
      <c r="L3714" s="72" t="str">
        <f t="shared" si="58"/>
        <v>Payé</v>
      </c>
      <c r="N3714" s="15"/>
    </row>
    <row r="3715" spans="1:14" s="14" customFormat="1" ht="18" x14ac:dyDescent="0.25">
      <c r="A3715" s="90" t="s">
        <v>865</v>
      </c>
      <c r="B3715" s="90">
        <v>10252</v>
      </c>
      <c r="C3715" s="88" t="s">
        <v>1826</v>
      </c>
      <c r="D3715" s="90" t="s">
        <v>17</v>
      </c>
      <c r="E3715" s="90" t="s">
        <v>1902</v>
      </c>
      <c r="F3715" s="90" t="s">
        <v>865</v>
      </c>
      <c r="G3715" s="137">
        <v>8</v>
      </c>
      <c r="H3715" s="94">
        <v>780</v>
      </c>
      <c r="I3715" s="87">
        <v>46099</v>
      </c>
      <c r="J3715" s="93">
        <v>0.58888888888888891</v>
      </c>
      <c r="K3715" s="94">
        <v>780</v>
      </c>
      <c r="L3715" s="72" t="str">
        <f t="shared" si="58"/>
        <v>Payé</v>
      </c>
      <c r="N3715" s="15"/>
    </row>
    <row r="3716" spans="1:14" s="14" customFormat="1" ht="18" x14ac:dyDescent="0.25">
      <c r="A3716" s="90" t="s">
        <v>865</v>
      </c>
      <c r="B3716" s="90">
        <v>10263</v>
      </c>
      <c r="C3716" s="88" t="s">
        <v>1440</v>
      </c>
      <c r="D3716" s="90" t="s">
        <v>17</v>
      </c>
      <c r="E3716" s="90" t="s">
        <v>753</v>
      </c>
      <c r="F3716" s="90" t="s">
        <v>865</v>
      </c>
      <c r="G3716" s="137">
        <v>1</v>
      </c>
      <c r="H3716" s="94">
        <v>90</v>
      </c>
      <c r="I3716" s="87">
        <v>46119</v>
      </c>
      <c r="J3716" s="93">
        <v>0.7104166666666667</v>
      </c>
      <c r="K3716" s="94">
        <v>90</v>
      </c>
      <c r="L3716" s="72" t="str">
        <f t="shared" si="58"/>
        <v>Payé</v>
      </c>
      <c r="N3716" s="15"/>
    </row>
    <row r="3717" spans="1:14" s="14" customFormat="1" ht="18" x14ac:dyDescent="0.25">
      <c r="A3717" s="90" t="s">
        <v>865</v>
      </c>
      <c r="B3717" s="90">
        <v>10325</v>
      </c>
      <c r="C3717" s="88" t="s">
        <v>1447</v>
      </c>
      <c r="D3717" s="90" t="s">
        <v>17</v>
      </c>
      <c r="E3717" s="90" t="s">
        <v>753</v>
      </c>
      <c r="F3717" s="90" t="s">
        <v>865</v>
      </c>
      <c r="G3717" s="137">
        <v>2</v>
      </c>
      <c r="H3717" s="94">
        <v>180</v>
      </c>
      <c r="I3717" s="87">
        <v>46099</v>
      </c>
      <c r="J3717" s="93">
        <v>0.62291666666666667</v>
      </c>
      <c r="K3717" s="94">
        <v>180</v>
      </c>
      <c r="L3717" s="72" t="str">
        <f t="shared" si="58"/>
        <v>Payé</v>
      </c>
      <c r="N3717" s="15"/>
    </row>
    <row r="3718" spans="1:14" s="14" customFormat="1" ht="18" x14ac:dyDescent="0.25">
      <c r="A3718" s="90" t="s">
        <v>865</v>
      </c>
      <c r="B3718" s="90">
        <v>10338</v>
      </c>
      <c r="C3718" s="88" t="s">
        <v>1449</v>
      </c>
      <c r="D3718" s="90" t="s">
        <v>17</v>
      </c>
      <c r="E3718" s="90" t="s">
        <v>753</v>
      </c>
      <c r="F3718" s="90" t="s">
        <v>865</v>
      </c>
      <c r="G3718" s="137">
        <v>3</v>
      </c>
      <c r="H3718" s="94">
        <v>280</v>
      </c>
      <c r="I3718" s="87">
        <v>46099</v>
      </c>
      <c r="J3718" s="93">
        <v>0.62291666666666667</v>
      </c>
      <c r="K3718" s="94">
        <v>280</v>
      </c>
      <c r="L3718" s="72" t="str">
        <f t="shared" si="58"/>
        <v>Payé</v>
      </c>
      <c r="N3718" s="15"/>
    </row>
    <row r="3719" spans="1:14" s="14" customFormat="1" ht="18" x14ac:dyDescent="0.25">
      <c r="A3719" s="90" t="s">
        <v>865</v>
      </c>
      <c r="B3719" s="90">
        <v>10343</v>
      </c>
      <c r="C3719" s="88" t="s">
        <v>1472</v>
      </c>
      <c r="D3719" s="90" t="s">
        <v>17</v>
      </c>
      <c r="E3719" s="90" t="s">
        <v>49</v>
      </c>
      <c r="F3719" s="90" t="s">
        <v>865</v>
      </c>
      <c r="G3719" s="137">
        <v>8</v>
      </c>
      <c r="H3719" s="94">
        <v>720</v>
      </c>
      <c r="I3719" s="87">
        <v>46099</v>
      </c>
      <c r="J3719" s="93">
        <v>0.61388888888888882</v>
      </c>
      <c r="K3719" s="94">
        <v>720</v>
      </c>
      <c r="L3719" s="72" t="str">
        <f t="shared" si="58"/>
        <v>Payé</v>
      </c>
      <c r="N3719" s="15"/>
    </row>
    <row r="3720" spans="1:14" s="14" customFormat="1" ht="18" x14ac:dyDescent="0.25">
      <c r="A3720" s="90" t="s">
        <v>865</v>
      </c>
      <c r="B3720" s="90">
        <v>10368</v>
      </c>
      <c r="C3720" s="88" t="s">
        <v>1483</v>
      </c>
      <c r="D3720" s="90" t="s">
        <v>17</v>
      </c>
      <c r="E3720" s="90" t="s">
        <v>254</v>
      </c>
      <c r="F3720" s="90" t="s">
        <v>865</v>
      </c>
      <c r="G3720" s="137">
        <v>6</v>
      </c>
      <c r="H3720" s="94">
        <v>540</v>
      </c>
      <c r="I3720" s="87">
        <v>46099</v>
      </c>
      <c r="J3720" s="93">
        <v>0.64444444444444449</v>
      </c>
      <c r="K3720" s="94">
        <v>540</v>
      </c>
      <c r="L3720" s="72" t="str">
        <f t="shared" si="58"/>
        <v>Payé</v>
      </c>
      <c r="N3720" s="15"/>
    </row>
    <row r="3721" spans="1:14" s="14" customFormat="1" ht="18" x14ac:dyDescent="0.25">
      <c r="A3721" s="90" t="s">
        <v>865</v>
      </c>
      <c r="B3721" s="90">
        <v>10374</v>
      </c>
      <c r="C3721" s="88" t="s">
        <v>1423</v>
      </c>
      <c r="D3721" s="90" t="s">
        <v>17</v>
      </c>
      <c r="E3721" s="90" t="s">
        <v>254</v>
      </c>
      <c r="F3721" s="90" t="s">
        <v>865</v>
      </c>
      <c r="G3721" s="137">
        <v>1</v>
      </c>
      <c r="H3721" s="94">
        <v>90</v>
      </c>
      <c r="I3721" s="87"/>
      <c r="J3721" s="93"/>
      <c r="K3721" s="92"/>
      <c r="L3721" s="72" t="str">
        <f t="shared" si="58"/>
        <v>Impayé</v>
      </c>
      <c r="N3721" s="15"/>
    </row>
    <row r="3722" spans="1:14" s="14" customFormat="1" ht="18" x14ac:dyDescent="0.25">
      <c r="A3722" s="90" t="s">
        <v>865</v>
      </c>
      <c r="B3722" s="90">
        <v>10384</v>
      </c>
      <c r="C3722" s="88" t="s">
        <v>1548</v>
      </c>
      <c r="D3722" s="90" t="s">
        <v>17</v>
      </c>
      <c r="E3722" s="90" t="s">
        <v>753</v>
      </c>
      <c r="F3722" s="90" t="s">
        <v>865</v>
      </c>
      <c r="G3722" s="137">
        <v>2</v>
      </c>
      <c r="H3722" s="94">
        <v>180</v>
      </c>
      <c r="I3722" s="87">
        <v>46099</v>
      </c>
      <c r="J3722" s="93">
        <v>0.62291666666666667</v>
      </c>
      <c r="K3722" s="94">
        <v>180</v>
      </c>
      <c r="L3722" s="72" t="str">
        <f t="shared" si="58"/>
        <v>Payé</v>
      </c>
      <c r="N3722" s="15"/>
    </row>
    <row r="3723" spans="1:14" s="14" customFormat="1" ht="18" x14ac:dyDescent="0.25">
      <c r="A3723" s="90" t="s">
        <v>865</v>
      </c>
      <c r="B3723" s="90">
        <v>10386</v>
      </c>
      <c r="C3723" s="88" t="s">
        <v>1550</v>
      </c>
      <c r="D3723" s="90" t="s">
        <v>17</v>
      </c>
      <c r="E3723" s="90" t="s">
        <v>1904</v>
      </c>
      <c r="F3723" s="90" t="s">
        <v>865</v>
      </c>
      <c r="G3723" s="137">
        <v>7</v>
      </c>
      <c r="H3723" s="94">
        <v>630</v>
      </c>
      <c r="I3723" s="87">
        <v>46099</v>
      </c>
      <c r="J3723" s="93">
        <v>0.57430555555555551</v>
      </c>
      <c r="K3723" s="94">
        <v>630</v>
      </c>
      <c r="L3723" s="72" t="str">
        <f t="shared" si="58"/>
        <v>Payé</v>
      </c>
      <c r="N3723" s="15"/>
    </row>
    <row r="3724" spans="1:14" s="14" customFormat="1" ht="18" x14ac:dyDescent="0.25">
      <c r="A3724" s="90" t="s">
        <v>865</v>
      </c>
      <c r="B3724" s="90">
        <v>10387</v>
      </c>
      <c r="C3724" s="88" t="s">
        <v>1551</v>
      </c>
      <c r="D3724" s="90" t="s">
        <v>17</v>
      </c>
      <c r="E3724" s="90" t="s">
        <v>649</v>
      </c>
      <c r="F3724" s="90" t="s">
        <v>865</v>
      </c>
      <c r="G3724" s="137">
        <v>5</v>
      </c>
      <c r="H3724" s="94">
        <v>450</v>
      </c>
      <c r="I3724" s="87">
        <v>46100</v>
      </c>
      <c r="J3724" s="93">
        <v>0.39999999999999997</v>
      </c>
      <c r="K3724" s="94">
        <v>450</v>
      </c>
      <c r="L3724" s="72" t="str">
        <f t="shared" si="58"/>
        <v>Payé</v>
      </c>
      <c r="N3724" s="15"/>
    </row>
    <row r="3725" spans="1:14" s="14" customFormat="1" ht="18" x14ac:dyDescent="0.25">
      <c r="A3725" s="90" t="s">
        <v>865</v>
      </c>
      <c r="B3725" s="90">
        <v>10389</v>
      </c>
      <c r="C3725" s="88" t="s">
        <v>1553</v>
      </c>
      <c r="D3725" s="90" t="s">
        <v>17</v>
      </c>
      <c r="E3725" s="90" t="s">
        <v>254</v>
      </c>
      <c r="F3725" s="90" t="s">
        <v>865</v>
      </c>
      <c r="G3725" s="137">
        <v>1</v>
      </c>
      <c r="H3725" s="94">
        <v>90</v>
      </c>
      <c r="I3725" s="87">
        <v>46099</v>
      </c>
      <c r="J3725" s="93">
        <v>0.64722222222222225</v>
      </c>
      <c r="K3725" s="94">
        <v>90</v>
      </c>
      <c r="L3725" s="72" t="str">
        <f t="shared" si="58"/>
        <v>Payé</v>
      </c>
      <c r="N3725" s="15"/>
    </row>
    <row r="3726" spans="1:14" s="14" customFormat="1" ht="18" x14ac:dyDescent="0.25">
      <c r="A3726" s="90" t="s">
        <v>865</v>
      </c>
      <c r="B3726" s="90">
        <v>10394</v>
      </c>
      <c r="C3726" s="88" t="s">
        <v>1566</v>
      </c>
      <c r="D3726" s="90" t="s">
        <v>17</v>
      </c>
      <c r="E3726" s="90" t="s">
        <v>254</v>
      </c>
      <c r="F3726" s="90" t="s">
        <v>865</v>
      </c>
      <c r="G3726" s="137">
        <v>4</v>
      </c>
      <c r="H3726" s="94">
        <v>360</v>
      </c>
      <c r="I3726" s="87">
        <v>46099</v>
      </c>
      <c r="J3726" s="93">
        <v>0.64374999999999993</v>
      </c>
      <c r="K3726" s="94">
        <v>360</v>
      </c>
      <c r="L3726" s="72" t="str">
        <f t="shared" si="58"/>
        <v>Payé</v>
      </c>
      <c r="N3726" s="15"/>
    </row>
    <row r="3727" spans="1:14" s="14" customFormat="1" ht="18" x14ac:dyDescent="0.25">
      <c r="A3727" s="90" t="s">
        <v>865</v>
      </c>
      <c r="B3727" s="90">
        <v>10395</v>
      </c>
      <c r="C3727" s="88" t="s">
        <v>1567</v>
      </c>
      <c r="D3727" s="90" t="s">
        <v>17</v>
      </c>
      <c r="E3727" s="90" t="s">
        <v>254</v>
      </c>
      <c r="F3727" s="90" t="s">
        <v>865</v>
      </c>
      <c r="G3727" s="137">
        <v>4</v>
      </c>
      <c r="H3727" s="94">
        <v>360</v>
      </c>
      <c r="I3727" s="87">
        <v>46099</v>
      </c>
      <c r="J3727" s="93">
        <v>0.64374999999999993</v>
      </c>
      <c r="K3727" s="94">
        <v>360</v>
      </c>
      <c r="L3727" s="72" t="str">
        <f t="shared" si="58"/>
        <v>Payé</v>
      </c>
      <c r="N3727" s="15"/>
    </row>
    <row r="3728" spans="1:14" s="14" customFormat="1" ht="18" x14ac:dyDescent="0.25">
      <c r="A3728" s="90" t="s">
        <v>865</v>
      </c>
      <c r="B3728" s="90">
        <v>10405</v>
      </c>
      <c r="C3728" s="88" t="s">
        <v>1571</v>
      </c>
      <c r="D3728" s="90" t="s">
        <v>17</v>
      </c>
      <c r="E3728" s="90" t="s">
        <v>753</v>
      </c>
      <c r="F3728" s="90" t="s">
        <v>865</v>
      </c>
      <c r="G3728" s="137">
        <v>2</v>
      </c>
      <c r="H3728" s="94">
        <v>180</v>
      </c>
      <c r="I3728" s="87">
        <v>46099</v>
      </c>
      <c r="J3728" s="93">
        <v>0.62291666666666667</v>
      </c>
      <c r="K3728" s="94">
        <v>180</v>
      </c>
      <c r="L3728" s="72" t="str">
        <f t="shared" si="58"/>
        <v>Payé</v>
      </c>
      <c r="N3728" s="15"/>
    </row>
    <row r="3729" spans="1:14" s="14" customFormat="1" ht="18" x14ac:dyDescent="0.25">
      <c r="A3729" s="90" t="s">
        <v>865</v>
      </c>
      <c r="B3729" s="90">
        <v>10407</v>
      </c>
      <c r="C3729" s="88" t="s">
        <v>1572</v>
      </c>
      <c r="D3729" s="90" t="s">
        <v>17</v>
      </c>
      <c r="E3729" s="90" t="s">
        <v>753</v>
      </c>
      <c r="F3729" s="90" t="s">
        <v>865</v>
      </c>
      <c r="G3729" s="137">
        <v>2</v>
      </c>
      <c r="H3729" s="94">
        <v>180</v>
      </c>
      <c r="I3729" s="87">
        <v>46120</v>
      </c>
      <c r="J3729" s="93">
        <v>0.69444444444444453</v>
      </c>
      <c r="K3729" s="94">
        <v>180</v>
      </c>
      <c r="L3729" s="72" t="str">
        <f t="shared" si="58"/>
        <v>Payé</v>
      </c>
      <c r="N3729" s="15"/>
    </row>
    <row r="3730" spans="1:14" s="14" customFormat="1" ht="18" x14ac:dyDescent="0.25">
      <c r="A3730" s="90" t="s">
        <v>865</v>
      </c>
      <c r="B3730" s="90">
        <v>10416</v>
      </c>
      <c r="C3730" s="88" t="s">
        <v>1579</v>
      </c>
      <c r="D3730" s="90" t="s">
        <v>17</v>
      </c>
      <c r="E3730" s="90" t="s">
        <v>753</v>
      </c>
      <c r="F3730" s="90" t="s">
        <v>865</v>
      </c>
      <c r="G3730" s="137">
        <v>1</v>
      </c>
      <c r="H3730" s="94">
        <v>90</v>
      </c>
      <c r="I3730" s="87"/>
      <c r="J3730" s="93"/>
      <c r="K3730" s="92"/>
      <c r="L3730" s="72" t="str">
        <f t="shared" si="58"/>
        <v>Impayé</v>
      </c>
      <c r="N3730" s="15"/>
    </row>
    <row r="3731" spans="1:14" s="14" customFormat="1" ht="18" x14ac:dyDescent="0.25">
      <c r="A3731" s="90" t="s">
        <v>865</v>
      </c>
      <c r="B3731" s="90">
        <v>10417</v>
      </c>
      <c r="C3731" s="88" t="s">
        <v>1830</v>
      </c>
      <c r="D3731" s="90" t="s">
        <v>17</v>
      </c>
      <c r="E3731" s="90" t="s">
        <v>1907</v>
      </c>
      <c r="F3731" s="90" t="s">
        <v>865</v>
      </c>
      <c r="G3731" s="137">
        <v>7</v>
      </c>
      <c r="H3731" s="94">
        <v>640</v>
      </c>
      <c r="I3731" s="87">
        <v>46099</v>
      </c>
      <c r="J3731" s="93">
        <v>0.57916666666666672</v>
      </c>
      <c r="K3731" s="94">
        <v>640</v>
      </c>
      <c r="L3731" s="72" t="str">
        <f t="shared" si="58"/>
        <v>Payé</v>
      </c>
      <c r="N3731" s="15"/>
    </row>
    <row r="3732" spans="1:14" s="14" customFormat="1" ht="18" x14ac:dyDescent="0.25">
      <c r="A3732" s="90" t="s">
        <v>865</v>
      </c>
      <c r="B3732" s="90">
        <v>10431</v>
      </c>
      <c r="C3732" s="88" t="s">
        <v>1604</v>
      </c>
      <c r="D3732" s="90" t="s">
        <v>17</v>
      </c>
      <c r="E3732" s="90" t="s">
        <v>649</v>
      </c>
      <c r="F3732" s="90" t="s">
        <v>865</v>
      </c>
      <c r="G3732" s="137">
        <v>1</v>
      </c>
      <c r="H3732" s="94">
        <v>90</v>
      </c>
      <c r="I3732" s="87"/>
      <c r="J3732" s="93"/>
      <c r="K3732" s="92"/>
      <c r="L3732" s="72" t="str">
        <f t="shared" si="58"/>
        <v>Impayé</v>
      </c>
      <c r="N3732" s="15"/>
    </row>
    <row r="3733" spans="1:14" s="14" customFormat="1" ht="18" x14ac:dyDescent="0.25">
      <c r="A3733" s="90" t="s">
        <v>865</v>
      </c>
      <c r="B3733" s="90" t="s">
        <v>1833</v>
      </c>
      <c r="C3733" s="88" t="s">
        <v>1834</v>
      </c>
      <c r="D3733" s="90" t="s">
        <v>17</v>
      </c>
      <c r="E3733" s="90" t="s">
        <v>1664</v>
      </c>
      <c r="F3733" s="90" t="s">
        <v>865</v>
      </c>
      <c r="G3733" s="137">
        <v>1</v>
      </c>
      <c r="H3733" s="94">
        <v>87</v>
      </c>
      <c r="I3733" s="87">
        <v>46099</v>
      </c>
      <c r="J3733" s="93">
        <v>0.58888888888888891</v>
      </c>
      <c r="K3733" s="94">
        <v>87</v>
      </c>
      <c r="L3733" s="72" t="str">
        <f t="shared" si="58"/>
        <v>Payé</v>
      </c>
      <c r="N3733" s="15"/>
    </row>
    <row r="3734" spans="1:14" s="14" customFormat="1" ht="18" x14ac:dyDescent="0.25">
      <c r="A3734" s="90" t="s">
        <v>865</v>
      </c>
      <c r="B3734" s="90">
        <v>10468</v>
      </c>
      <c r="C3734" s="88" t="s">
        <v>1624</v>
      </c>
      <c r="D3734" s="90" t="s">
        <v>17</v>
      </c>
      <c r="E3734" s="90" t="s">
        <v>649</v>
      </c>
      <c r="F3734" s="90" t="s">
        <v>865</v>
      </c>
      <c r="G3734" s="137">
        <v>7</v>
      </c>
      <c r="H3734" s="94">
        <v>630</v>
      </c>
      <c r="I3734" s="87">
        <v>46099</v>
      </c>
      <c r="J3734" s="93">
        <v>0.57708333333333328</v>
      </c>
      <c r="K3734" s="94">
        <v>630</v>
      </c>
      <c r="L3734" s="72" t="str">
        <f t="shared" si="58"/>
        <v>Payé</v>
      </c>
      <c r="N3734" s="15"/>
    </row>
    <row r="3735" spans="1:14" s="14" customFormat="1" ht="18" x14ac:dyDescent="0.25">
      <c r="A3735" s="90" t="s">
        <v>865</v>
      </c>
      <c r="B3735" s="90">
        <v>10469</v>
      </c>
      <c r="C3735" s="88" t="s">
        <v>1625</v>
      </c>
      <c r="D3735" s="90" t="s">
        <v>17</v>
      </c>
      <c r="E3735" s="90" t="s">
        <v>1104</v>
      </c>
      <c r="F3735" s="90" t="s">
        <v>865</v>
      </c>
      <c r="G3735" s="137">
        <v>7</v>
      </c>
      <c r="H3735" s="94">
        <v>660</v>
      </c>
      <c r="I3735" s="87">
        <v>46107</v>
      </c>
      <c r="J3735" s="93">
        <v>0.65486111111111112</v>
      </c>
      <c r="K3735" s="94">
        <v>660</v>
      </c>
      <c r="L3735" s="72" t="str">
        <f t="shared" si="58"/>
        <v>Payé</v>
      </c>
      <c r="N3735" s="15"/>
    </row>
    <row r="3736" spans="1:14" s="14" customFormat="1" ht="18" x14ac:dyDescent="0.25">
      <c r="A3736" s="90" t="s">
        <v>865</v>
      </c>
      <c r="B3736" s="90">
        <v>10471</v>
      </c>
      <c r="C3736" s="88" t="s">
        <v>1627</v>
      </c>
      <c r="D3736" s="90" t="s">
        <v>17</v>
      </c>
      <c r="E3736" s="90" t="s">
        <v>254</v>
      </c>
      <c r="F3736" s="90" t="s">
        <v>865</v>
      </c>
      <c r="G3736" s="137">
        <v>7</v>
      </c>
      <c r="H3736" s="94">
        <v>630</v>
      </c>
      <c r="I3736" s="87">
        <v>46099</v>
      </c>
      <c r="J3736" s="93">
        <v>0.64444444444444449</v>
      </c>
      <c r="K3736" s="94">
        <v>630</v>
      </c>
      <c r="L3736" s="72" t="str">
        <f t="shared" si="58"/>
        <v>Payé</v>
      </c>
      <c r="N3736" s="15"/>
    </row>
    <row r="3737" spans="1:14" s="14" customFormat="1" ht="18" x14ac:dyDescent="0.25">
      <c r="A3737" s="90" t="s">
        <v>865</v>
      </c>
      <c r="B3737" s="90">
        <v>10476</v>
      </c>
      <c r="C3737" s="88" t="s">
        <v>1632</v>
      </c>
      <c r="D3737" s="90" t="s">
        <v>17</v>
      </c>
      <c r="E3737" s="90" t="s">
        <v>1904</v>
      </c>
      <c r="F3737" s="90" t="s">
        <v>865</v>
      </c>
      <c r="G3737" s="137">
        <v>12</v>
      </c>
      <c r="H3737" s="94">
        <v>1080</v>
      </c>
      <c r="I3737" s="87">
        <v>46099</v>
      </c>
      <c r="J3737" s="93">
        <v>0.86111111111111116</v>
      </c>
      <c r="K3737" s="94">
        <v>1080</v>
      </c>
      <c r="L3737" s="72" t="str">
        <f t="shared" si="58"/>
        <v>Payé</v>
      </c>
      <c r="N3737" s="15"/>
    </row>
    <row r="3738" spans="1:14" s="14" customFormat="1" ht="18" x14ac:dyDescent="0.25">
      <c r="A3738" s="90" t="s">
        <v>865</v>
      </c>
      <c r="B3738" s="90">
        <v>10488</v>
      </c>
      <c r="C3738" s="88" t="s">
        <v>1641</v>
      </c>
      <c r="D3738" s="90" t="s">
        <v>17</v>
      </c>
      <c r="E3738" s="90" t="s">
        <v>1104</v>
      </c>
      <c r="F3738" s="90" t="s">
        <v>865</v>
      </c>
      <c r="G3738" s="137">
        <v>1</v>
      </c>
      <c r="H3738" s="94">
        <v>90</v>
      </c>
      <c r="I3738" s="87"/>
      <c r="J3738" s="93"/>
      <c r="K3738" s="92"/>
      <c r="L3738" s="72" t="str">
        <f t="shared" si="58"/>
        <v>Impayé</v>
      </c>
      <c r="N3738" s="15"/>
    </row>
    <row r="3739" spans="1:14" s="14" customFormat="1" ht="18" x14ac:dyDescent="0.25">
      <c r="A3739" s="90" t="s">
        <v>865</v>
      </c>
      <c r="B3739" s="90">
        <v>10492</v>
      </c>
      <c r="C3739" s="88" t="s">
        <v>1645</v>
      </c>
      <c r="D3739" s="90" t="s">
        <v>17</v>
      </c>
      <c r="E3739" s="90" t="s">
        <v>628</v>
      </c>
      <c r="F3739" s="90" t="s">
        <v>865</v>
      </c>
      <c r="G3739" s="137">
        <v>4</v>
      </c>
      <c r="H3739" s="94">
        <v>360</v>
      </c>
      <c r="I3739" s="87">
        <v>46100</v>
      </c>
      <c r="J3739" s="93">
        <v>0.52986111111111112</v>
      </c>
      <c r="K3739" s="94">
        <v>360</v>
      </c>
      <c r="L3739" s="72" t="str">
        <f t="shared" si="58"/>
        <v>Payé</v>
      </c>
      <c r="N3739" s="15"/>
    </row>
    <row r="3740" spans="1:14" s="14" customFormat="1" ht="18" x14ac:dyDescent="0.25">
      <c r="A3740" s="90" t="s">
        <v>865</v>
      </c>
      <c r="B3740" s="90">
        <v>10496</v>
      </c>
      <c r="C3740" s="88" t="s">
        <v>1648</v>
      </c>
      <c r="D3740" s="90" t="s">
        <v>17</v>
      </c>
      <c r="E3740" s="90" t="s">
        <v>753</v>
      </c>
      <c r="F3740" s="90" t="s">
        <v>865</v>
      </c>
      <c r="G3740" s="137">
        <v>1</v>
      </c>
      <c r="H3740" s="94">
        <v>90</v>
      </c>
      <c r="I3740" s="87"/>
      <c r="J3740" s="93"/>
      <c r="K3740" s="92"/>
      <c r="L3740" s="72" t="str">
        <f t="shared" si="58"/>
        <v>Impayé</v>
      </c>
      <c r="N3740" s="15"/>
    </row>
    <row r="3741" spans="1:14" s="14" customFormat="1" ht="18" x14ac:dyDescent="0.25">
      <c r="A3741" s="90" t="s">
        <v>865</v>
      </c>
      <c r="B3741" s="90">
        <v>10507</v>
      </c>
      <c r="C3741" s="88" t="s">
        <v>1657</v>
      </c>
      <c r="D3741" s="90" t="s">
        <v>17</v>
      </c>
      <c r="E3741" s="90" t="s">
        <v>123</v>
      </c>
      <c r="F3741" s="90" t="s">
        <v>865</v>
      </c>
      <c r="G3741" s="137">
        <v>4.5</v>
      </c>
      <c r="H3741" s="94">
        <v>405</v>
      </c>
      <c r="I3741" s="87">
        <v>46100</v>
      </c>
      <c r="J3741" s="93">
        <v>0.53749999999999998</v>
      </c>
      <c r="K3741" s="94">
        <v>405</v>
      </c>
      <c r="L3741" s="72" t="str">
        <f t="shared" si="58"/>
        <v>Payé</v>
      </c>
      <c r="N3741" s="15"/>
    </row>
    <row r="3742" spans="1:14" s="14" customFormat="1" ht="18" x14ac:dyDescent="0.25">
      <c r="A3742" s="90" t="s">
        <v>865</v>
      </c>
      <c r="B3742" s="90">
        <v>10512</v>
      </c>
      <c r="C3742" s="88" t="s">
        <v>1662</v>
      </c>
      <c r="D3742" s="90" t="s">
        <v>17</v>
      </c>
      <c r="E3742" s="90" t="s">
        <v>123</v>
      </c>
      <c r="F3742" s="90" t="s">
        <v>865</v>
      </c>
      <c r="G3742" s="137">
        <v>3</v>
      </c>
      <c r="H3742" s="94">
        <v>270</v>
      </c>
      <c r="I3742" s="87">
        <v>46100</v>
      </c>
      <c r="J3742" s="93">
        <v>0.53749999999999998</v>
      </c>
      <c r="K3742" s="94">
        <v>270</v>
      </c>
      <c r="L3742" s="72" t="str">
        <f t="shared" ref="L3742:L3805" si="59">IF(ISBLANK(H3742),"",IF(H3742=K3742,"Payé","Impayé"))</f>
        <v>Payé</v>
      </c>
      <c r="N3742" s="15"/>
    </row>
    <row r="3743" spans="1:14" s="14" customFormat="1" ht="18" x14ac:dyDescent="0.25">
      <c r="A3743" s="90" t="s">
        <v>865</v>
      </c>
      <c r="B3743" s="90">
        <v>10520</v>
      </c>
      <c r="C3743" s="88" t="s">
        <v>1698</v>
      </c>
      <c r="D3743" s="90" t="s">
        <v>17</v>
      </c>
      <c r="E3743" s="90" t="s">
        <v>1664</v>
      </c>
      <c r="F3743" s="90" t="s">
        <v>865</v>
      </c>
      <c r="G3743" s="137">
        <v>3</v>
      </c>
      <c r="H3743" s="94">
        <v>270</v>
      </c>
      <c r="I3743" s="87"/>
      <c r="J3743" s="93"/>
      <c r="K3743" s="92"/>
      <c r="L3743" s="72" t="str">
        <f t="shared" si="59"/>
        <v>Impayé</v>
      </c>
      <c r="N3743" s="15"/>
    </row>
    <row r="3744" spans="1:14" s="14" customFormat="1" ht="18" x14ac:dyDescent="0.25">
      <c r="A3744" s="90" t="s">
        <v>865</v>
      </c>
      <c r="B3744" s="90" t="s">
        <v>1699</v>
      </c>
      <c r="C3744" s="88" t="s">
        <v>1700</v>
      </c>
      <c r="D3744" s="90" t="s">
        <v>17</v>
      </c>
      <c r="E3744" s="90" t="s">
        <v>1664</v>
      </c>
      <c r="F3744" s="90" t="s">
        <v>865</v>
      </c>
      <c r="G3744" s="137">
        <v>1</v>
      </c>
      <c r="H3744" s="94">
        <v>87</v>
      </c>
      <c r="I3744" s="87">
        <v>46099</v>
      </c>
      <c r="J3744" s="93">
        <v>0.58888888888888891</v>
      </c>
      <c r="K3744" s="94">
        <v>87</v>
      </c>
      <c r="L3744" s="72" t="str">
        <f t="shared" si="59"/>
        <v>Payé</v>
      </c>
      <c r="N3744" s="15"/>
    </row>
    <row r="3745" spans="1:14" s="14" customFormat="1" ht="18" x14ac:dyDescent="0.25">
      <c r="A3745" s="90" t="s">
        <v>865</v>
      </c>
      <c r="B3745" s="90" t="s">
        <v>1705</v>
      </c>
      <c r="C3745" s="88" t="s">
        <v>1706</v>
      </c>
      <c r="D3745" s="90" t="s">
        <v>17</v>
      </c>
      <c r="E3745" s="90" t="s">
        <v>1664</v>
      </c>
      <c r="F3745" s="90" t="s">
        <v>865</v>
      </c>
      <c r="G3745" s="137">
        <v>1</v>
      </c>
      <c r="H3745" s="94">
        <v>87</v>
      </c>
      <c r="I3745" s="87">
        <v>46099</v>
      </c>
      <c r="J3745" s="93">
        <v>0.61597222222222225</v>
      </c>
      <c r="K3745" s="94">
        <v>87</v>
      </c>
      <c r="L3745" s="72" t="str">
        <f t="shared" si="59"/>
        <v>Payé</v>
      </c>
      <c r="N3745" s="15"/>
    </row>
    <row r="3746" spans="1:14" s="14" customFormat="1" ht="18" x14ac:dyDescent="0.25">
      <c r="A3746" s="90" t="s">
        <v>865</v>
      </c>
      <c r="B3746" s="90">
        <v>10530</v>
      </c>
      <c r="C3746" s="88" t="s">
        <v>1711</v>
      </c>
      <c r="D3746" s="90" t="s">
        <v>17</v>
      </c>
      <c r="E3746" s="90" t="s">
        <v>753</v>
      </c>
      <c r="F3746" s="90" t="s">
        <v>865</v>
      </c>
      <c r="G3746" s="137">
        <v>1</v>
      </c>
      <c r="H3746" s="94">
        <v>90</v>
      </c>
      <c r="I3746" s="87"/>
      <c r="J3746" s="93"/>
      <c r="K3746" s="92"/>
      <c r="L3746" s="72" t="str">
        <f t="shared" si="59"/>
        <v>Impayé</v>
      </c>
      <c r="N3746" s="15"/>
    </row>
    <row r="3747" spans="1:14" s="14" customFormat="1" ht="18" x14ac:dyDescent="0.25">
      <c r="A3747" s="90" t="s">
        <v>865</v>
      </c>
      <c r="B3747" s="90">
        <v>10531</v>
      </c>
      <c r="C3747" s="88" t="s">
        <v>1712</v>
      </c>
      <c r="D3747" s="90" t="s">
        <v>17</v>
      </c>
      <c r="E3747" s="90" t="s">
        <v>753</v>
      </c>
      <c r="F3747" s="90" t="s">
        <v>865</v>
      </c>
      <c r="G3747" s="137">
        <v>1</v>
      </c>
      <c r="H3747" s="94">
        <v>90</v>
      </c>
      <c r="I3747" s="87"/>
      <c r="J3747" s="93"/>
      <c r="K3747" s="92"/>
      <c r="L3747" s="72" t="str">
        <f t="shared" si="59"/>
        <v>Impayé</v>
      </c>
      <c r="N3747" s="15"/>
    </row>
    <row r="3748" spans="1:14" s="14" customFormat="1" ht="18" x14ac:dyDescent="0.25">
      <c r="A3748" s="90" t="s">
        <v>865</v>
      </c>
      <c r="B3748" s="90" t="s">
        <v>1730</v>
      </c>
      <c r="C3748" s="88" t="s">
        <v>1731</v>
      </c>
      <c r="D3748" s="90" t="s">
        <v>17</v>
      </c>
      <c r="E3748" s="90" t="s">
        <v>1664</v>
      </c>
      <c r="F3748" s="90" t="s">
        <v>865</v>
      </c>
      <c r="G3748" s="137">
        <v>2</v>
      </c>
      <c r="H3748" s="94">
        <v>173</v>
      </c>
      <c r="I3748" s="87">
        <v>46099</v>
      </c>
      <c r="J3748" s="93">
        <v>0.58888888888888891</v>
      </c>
      <c r="K3748" s="94">
        <v>173</v>
      </c>
      <c r="L3748" s="72" t="str">
        <f t="shared" si="59"/>
        <v>Payé</v>
      </c>
      <c r="N3748" s="15"/>
    </row>
    <row r="3749" spans="1:14" s="14" customFormat="1" ht="18" x14ac:dyDescent="0.25">
      <c r="A3749" s="90" t="s">
        <v>865</v>
      </c>
      <c r="B3749" s="90">
        <v>10552</v>
      </c>
      <c r="C3749" s="88" t="s">
        <v>1733</v>
      </c>
      <c r="D3749" s="90" t="s">
        <v>17</v>
      </c>
      <c r="E3749" s="90" t="s">
        <v>1907</v>
      </c>
      <c r="F3749" s="90" t="s">
        <v>865</v>
      </c>
      <c r="G3749" s="137">
        <v>1</v>
      </c>
      <c r="H3749" s="94">
        <v>100</v>
      </c>
      <c r="I3749" s="87">
        <v>46100</v>
      </c>
      <c r="J3749" s="93">
        <v>0.47361111111111115</v>
      </c>
      <c r="K3749" s="94">
        <v>100</v>
      </c>
      <c r="L3749" s="72" t="str">
        <f t="shared" si="59"/>
        <v>Payé</v>
      </c>
      <c r="N3749" s="15"/>
    </row>
    <row r="3750" spans="1:14" s="14" customFormat="1" ht="18" x14ac:dyDescent="0.25">
      <c r="A3750" s="90" t="s">
        <v>865</v>
      </c>
      <c r="B3750" s="90">
        <v>10555</v>
      </c>
      <c r="C3750" s="88" t="s">
        <v>1736</v>
      </c>
      <c r="D3750" s="90" t="s">
        <v>17</v>
      </c>
      <c r="E3750" s="90" t="s">
        <v>1907</v>
      </c>
      <c r="F3750" s="90" t="s">
        <v>865</v>
      </c>
      <c r="G3750" s="137">
        <v>5</v>
      </c>
      <c r="H3750" s="94">
        <v>450</v>
      </c>
      <c r="I3750" s="87">
        <v>46099</v>
      </c>
      <c r="J3750" s="93">
        <v>0.59444444444444444</v>
      </c>
      <c r="K3750" s="94">
        <v>450</v>
      </c>
      <c r="L3750" s="72" t="str">
        <f t="shared" si="59"/>
        <v>Payé</v>
      </c>
      <c r="N3750" s="15"/>
    </row>
    <row r="3751" spans="1:14" s="14" customFormat="1" ht="18" x14ac:dyDescent="0.25">
      <c r="A3751" s="90" t="s">
        <v>865</v>
      </c>
      <c r="B3751" s="90">
        <v>10556</v>
      </c>
      <c r="C3751" s="88" t="s">
        <v>1737</v>
      </c>
      <c r="D3751" s="90" t="s">
        <v>17</v>
      </c>
      <c r="E3751" s="90" t="s">
        <v>1907</v>
      </c>
      <c r="F3751" s="90" t="s">
        <v>865</v>
      </c>
      <c r="G3751" s="137">
        <v>10</v>
      </c>
      <c r="H3751" s="94">
        <v>900</v>
      </c>
      <c r="I3751" s="87">
        <v>46099</v>
      </c>
      <c r="J3751" s="93">
        <v>0.59444444444444444</v>
      </c>
      <c r="K3751" s="94">
        <v>900</v>
      </c>
      <c r="L3751" s="72" t="str">
        <f t="shared" si="59"/>
        <v>Payé</v>
      </c>
      <c r="N3751" s="15"/>
    </row>
    <row r="3752" spans="1:14" s="14" customFormat="1" ht="18" x14ac:dyDescent="0.25">
      <c r="A3752" s="90" t="s">
        <v>865</v>
      </c>
      <c r="B3752" s="90">
        <v>10557</v>
      </c>
      <c r="C3752" s="88" t="s">
        <v>1738</v>
      </c>
      <c r="D3752" s="90" t="s">
        <v>17</v>
      </c>
      <c r="E3752" s="90" t="s">
        <v>1907</v>
      </c>
      <c r="F3752" s="90" t="s">
        <v>865</v>
      </c>
      <c r="G3752" s="137">
        <v>7</v>
      </c>
      <c r="H3752" s="94">
        <v>630</v>
      </c>
      <c r="I3752" s="87">
        <v>46099</v>
      </c>
      <c r="J3752" s="93">
        <v>0.59444444444444444</v>
      </c>
      <c r="K3752" s="94">
        <v>630</v>
      </c>
      <c r="L3752" s="72" t="str">
        <f t="shared" si="59"/>
        <v>Payé</v>
      </c>
      <c r="N3752" s="15"/>
    </row>
    <row r="3753" spans="1:14" s="14" customFormat="1" ht="18" x14ac:dyDescent="0.25">
      <c r="A3753" s="90" t="s">
        <v>865</v>
      </c>
      <c r="B3753" s="90">
        <v>10562</v>
      </c>
      <c r="C3753" s="88" t="s">
        <v>1743</v>
      </c>
      <c r="D3753" s="90" t="s">
        <v>17</v>
      </c>
      <c r="E3753" s="90" t="s">
        <v>1907</v>
      </c>
      <c r="F3753" s="90" t="s">
        <v>865</v>
      </c>
      <c r="G3753" s="137">
        <v>4</v>
      </c>
      <c r="H3753" s="94">
        <v>360</v>
      </c>
      <c r="I3753" s="87">
        <v>46100</v>
      </c>
      <c r="J3753" s="93">
        <v>0.51736111111111105</v>
      </c>
      <c r="K3753" s="94">
        <v>360</v>
      </c>
      <c r="L3753" s="72" t="str">
        <f t="shared" si="59"/>
        <v>Payé</v>
      </c>
      <c r="N3753" s="15"/>
    </row>
    <row r="3754" spans="1:14" s="14" customFormat="1" ht="18" x14ac:dyDescent="0.25">
      <c r="A3754" s="90" t="s">
        <v>865</v>
      </c>
      <c r="B3754" s="90">
        <v>10563</v>
      </c>
      <c r="C3754" s="88" t="s">
        <v>1744</v>
      </c>
      <c r="D3754" s="90" t="s">
        <v>17</v>
      </c>
      <c r="E3754" s="90" t="s">
        <v>1800</v>
      </c>
      <c r="F3754" s="90" t="s">
        <v>865</v>
      </c>
      <c r="G3754" s="137">
        <v>14</v>
      </c>
      <c r="H3754" s="94">
        <v>1779</v>
      </c>
      <c r="I3754" s="87">
        <v>46099</v>
      </c>
      <c r="J3754" s="93">
        <v>0.56527777777777777</v>
      </c>
      <c r="K3754" s="94">
        <v>1779</v>
      </c>
      <c r="L3754" s="72" t="str">
        <f t="shared" si="59"/>
        <v>Payé</v>
      </c>
      <c r="N3754" s="15"/>
    </row>
    <row r="3755" spans="1:14" s="14" customFormat="1" ht="18" x14ac:dyDescent="0.25">
      <c r="A3755" s="90" t="s">
        <v>865</v>
      </c>
      <c r="B3755" s="90">
        <v>10564</v>
      </c>
      <c r="C3755" s="88" t="s">
        <v>1745</v>
      </c>
      <c r="D3755" s="90" t="s">
        <v>17</v>
      </c>
      <c r="E3755" s="90" t="s">
        <v>1800</v>
      </c>
      <c r="F3755" s="90" t="s">
        <v>865</v>
      </c>
      <c r="G3755" s="137">
        <v>14</v>
      </c>
      <c r="H3755" s="94">
        <v>1370</v>
      </c>
      <c r="I3755" s="87">
        <v>46099</v>
      </c>
      <c r="J3755" s="93">
        <v>0.56527777777777777</v>
      </c>
      <c r="K3755" s="94">
        <v>1370</v>
      </c>
      <c r="L3755" s="72" t="str">
        <f t="shared" si="59"/>
        <v>Payé</v>
      </c>
      <c r="N3755" s="15"/>
    </row>
    <row r="3756" spans="1:14" s="14" customFormat="1" ht="18" x14ac:dyDescent="0.25">
      <c r="A3756" s="90" t="s">
        <v>865</v>
      </c>
      <c r="B3756" s="90">
        <v>10565</v>
      </c>
      <c r="C3756" s="88" t="s">
        <v>1746</v>
      </c>
      <c r="D3756" s="90" t="s">
        <v>17</v>
      </c>
      <c r="E3756" s="90" t="s">
        <v>1800</v>
      </c>
      <c r="F3756" s="90" t="s">
        <v>865</v>
      </c>
      <c r="G3756" s="137">
        <v>13</v>
      </c>
      <c r="H3756" s="94">
        <v>1331</v>
      </c>
      <c r="I3756" s="87">
        <v>46099</v>
      </c>
      <c r="J3756" s="93">
        <v>0.56527777777777777</v>
      </c>
      <c r="K3756" s="94">
        <v>1331</v>
      </c>
      <c r="L3756" s="72" t="str">
        <f t="shared" si="59"/>
        <v>Payé</v>
      </c>
      <c r="N3756" s="15"/>
    </row>
    <row r="3757" spans="1:14" s="14" customFormat="1" ht="18" x14ac:dyDescent="0.25">
      <c r="A3757" s="90" t="s">
        <v>865</v>
      </c>
      <c r="B3757" s="90">
        <v>10566</v>
      </c>
      <c r="C3757" s="88" t="s">
        <v>1747</v>
      </c>
      <c r="D3757" s="90" t="s">
        <v>17</v>
      </c>
      <c r="E3757" s="90" t="s">
        <v>1800</v>
      </c>
      <c r="F3757" s="90" t="s">
        <v>865</v>
      </c>
      <c r="G3757" s="137">
        <v>13</v>
      </c>
      <c r="H3757" s="94">
        <v>1319</v>
      </c>
      <c r="I3757" s="87">
        <v>46099</v>
      </c>
      <c r="J3757" s="93">
        <v>0.56527777777777777</v>
      </c>
      <c r="K3757" s="94">
        <v>1319</v>
      </c>
      <c r="L3757" s="72" t="str">
        <f t="shared" si="59"/>
        <v>Payé</v>
      </c>
      <c r="N3757" s="15"/>
    </row>
    <row r="3758" spans="1:14" s="14" customFormat="1" ht="18" x14ac:dyDescent="0.25">
      <c r="A3758" s="90" t="s">
        <v>865</v>
      </c>
      <c r="B3758" s="90">
        <v>10567</v>
      </c>
      <c r="C3758" s="88" t="s">
        <v>1748</v>
      </c>
      <c r="D3758" s="90" t="s">
        <v>17</v>
      </c>
      <c r="E3758" s="90" t="s">
        <v>1800</v>
      </c>
      <c r="F3758" s="90" t="s">
        <v>865</v>
      </c>
      <c r="G3758" s="137">
        <v>11</v>
      </c>
      <c r="H3758" s="94">
        <v>990</v>
      </c>
      <c r="I3758" s="87">
        <v>46099</v>
      </c>
      <c r="J3758" s="93">
        <v>0.56527777777777777</v>
      </c>
      <c r="K3758" s="94">
        <v>990</v>
      </c>
      <c r="L3758" s="72" t="str">
        <f t="shared" si="59"/>
        <v>Payé</v>
      </c>
      <c r="N3758" s="15"/>
    </row>
    <row r="3759" spans="1:14" s="14" customFormat="1" ht="18" x14ac:dyDescent="0.25">
      <c r="A3759" s="90" t="s">
        <v>865</v>
      </c>
      <c r="B3759" s="90">
        <v>10568</v>
      </c>
      <c r="C3759" s="88" t="s">
        <v>1749</v>
      </c>
      <c r="D3759" s="90" t="s">
        <v>17</v>
      </c>
      <c r="E3759" s="90" t="s">
        <v>1800</v>
      </c>
      <c r="F3759" s="90" t="s">
        <v>865</v>
      </c>
      <c r="G3759" s="137">
        <v>13</v>
      </c>
      <c r="H3759" s="94">
        <v>1270</v>
      </c>
      <c r="I3759" s="87">
        <v>46099</v>
      </c>
      <c r="J3759" s="93">
        <v>0.56527777777777777</v>
      </c>
      <c r="K3759" s="94">
        <v>1270</v>
      </c>
      <c r="L3759" s="72" t="str">
        <f t="shared" si="59"/>
        <v>Payé</v>
      </c>
      <c r="N3759" s="15"/>
    </row>
    <row r="3760" spans="1:14" s="14" customFormat="1" ht="18" x14ac:dyDescent="0.25">
      <c r="A3760" s="90" t="s">
        <v>865</v>
      </c>
      <c r="B3760" s="90">
        <v>10569</v>
      </c>
      <c r="C3760" s="88" t="s">
        <v>1750</v>
      </c>
      <c r="D3760" s="90" t="s">
        <v>17</v>
      </c>
      <c r="E3760" s="90" t="s">
        <v>1800</v>
      </c>
      <c r="F3760" s="90" t="s">
        <v>865</v>
      </c>
      <c r="G3760" s="137">
        <v>13</v>
      </c>
      <c r="H3760" s="94">
        <v>1170</v>
      </c>
      <c r="I3760" s="87">
        <v>46099</v>
      </c>
      <c r="J3760" s="93">
        <v>0.56527777777777777</v>
      </c>
      <c r="K3760" s="94">
        <v>1170</v>
      </c>
      <c r="L3760" s="72" t="str">
        <f t="shared" si="59"/>
        <v>Payé</v>
      </c>
      <c r="N3760" s="15"/>
    </row>
    <row r="3761" spans="1:14" s="14" customFormat="1" ht="18" x14ac:dyDescent="0.25">
      <c r="A3761" s="90" t="s">
        <v>865</v>
      </c>
      <c r="B3761" s="90">
        <v>10570</v>
      </c>
      <c r="C3761" s="88" t="s">
        <v>1751</v>
      </c>
      <c r="D3761" s="90" t="s">
        <v>17</v>
      </c>
      <c r="E3761" s="90" t="s">
        <v>1800</v>
      </c>
      <c r="F3761" s="90" t="s">
        <v>865</v>
      </c>
      <c r="G3761" s="137">
        <v>12</v>
      </c>
      <c r="H3761" s="94">
        <v>1085</v>
      </c>
      <c r="I3761" s="87">
        <v>46099</v>
      </c>
      <c r="J3761" s="93">
        <v>0.56527777777777777</v>
      </c>
      <c r="K3761" s="94">
        <v>1085</v>
      </c>
      <c r="L3761" s="72" t="str">
        <f t="shared" si="59"/>
        <v>Payé</v>
      </c>
      <c r="N3761" s="15"/>
    </row>
    <row r="3762" spans="1:14" s="14" customFormat="1" ht="18" x14ac:dyDescent="0.25">
      <c r="A3762" s="90" t="s">
        <v>865</v>
      </c>
      <c r="B3762" s="90">
        <v>10571</v>
      </c>
      <c r="C3762" s="88" t="s">
        <v>1752</v>
      </c>
      <c r="D3762" s="90" t="s">
        <v>17</v>
      </c>
      <c r="E3762" s="90" t="s">
        <v>1800</v>
      </c>
      <c r="F3762" s="90" t="s">
        <v>865</v>
      </c>
      <c r="G3762" s="137">
        <v>12</v>
      </c>
      <c r="H3762" s="94">
        <v>1080</v>
      </c>
      <c r="I3762" s="87">
        <v>46099</v>
      </c>
      <c r="J3762" s="93">
        <v>0.56527777777777777</v>
      </c>
      <c r="K3762" s="94">
        <v>1080</v>
      </c>
      <c r="L3762" s="72" t="str">
        <f t="shared" si="59"/>
        <v>Payé</v>
      </c>
      <c r="N3762" s="15"/>
    </row>
    <row r="3763" spans="1:14" s="14" customFormat="1" ht="18" x14ac:dyDescent="0.25">
      <c r="A3763" s="90" t="s">
        <v>865</v>
      </c>
      <c r="B3763" s="90" t="s">
        <v>1754</v>
      </c>
      <c r="C3763" s="88" t="s">
        <v>1755</v>
      </c>
      <c r="D3763" s="90" t="s">
        <v>17</v>
      </c>
      <c r="E3763" s="90" t="s">
        <v>1664</v>
      </c>
      <c r="F3763" s="90" t="s">
        <v>865</v>
      </c>
      <c r="G3763" s="137">
        <v>1</v>
      </c>
      <c r="H3763" s="94">
        <v>87</v>
      </c>
      <c r="I3763" s="87">
        <v>46099</v>
      </c>
      <c r="J3763" s="93">
        <v>0.58888888888888891</v>
      </c>
      <c r="K3763" s="94">
        <v>87</v>
      </c>
      <c r="L3763" s="72" t="str">
        <f t="shared" si="59"/>
        <v>Payé</v>
      </c>
      <c r="N3763" s="15"/>
    </row>
    <row r="3764" spans="1:14" s="14" customFormat="1" ht="18" x14ac:dyDescent="0.25">
      <c r="A3764" s="90" t="s">
        <v>865</v>
      </c>
      <c r="B3764" s="90" t="s">
        <v>1756</v>
      </c>
      <c r="C3764" s="88" t="s">
        <v>1757</v>
      </c>
      <c r="D3764" s="90" t="s">
        <v>17</v>
      </c>
      <c r="E3764" s="90" t="s">
        <v>1664</v>
      </c>
      <c r="F3764" s="90" t="s">
        <v>865</v>
      </c>
      <c r="G3764" s="137">
        <v>2</v>
      </c>
      <c r="H3764" s="94">
        <v>173</v>
      </c>
      <c r="I3764" s="87">
        <v>46100</v>
      </c>
      <c r="J3764" s="93">
        <v>0.56874999999999998</v>
      </c>
      <c r="K3764" s="94">
        <v>173</v>
      </c>
      <c r="L3764" s="72" t="str">
        <f t="shared" si="59"/>
        <v>Payé</v>
      </c>
      <c r="N3764" s="15"/>
    </row>
    <row r="3765" spans="1:14" s="14" customFormat="1" ht="18" x14ac:dyDescent="0.25">
      <c r="A3765" s="90" t="s">
        <v>865</v>
      </c>
      <c r="B3765" s="90" t="s">
        <v>1783</v>
      </c>
      <c r="C3765" s="88" t="s">
        <v>1784</v>
      </c>
      <c r="D3765" s="90" t="s">
        <v>17</v>
      </c>
      <c r="E3765" s="90" t="s">
        <v>1664</v>
      </c>
      <c r="F3765" s="90" t="s">
        <v>865</v>
      </c>
      <c r="G3765" s="137">
        <v>1</v>
      </c>
      <c r="H3765" s="94">
        <v>87</v>
      </c>
      <c r="I3765" s="87">
        <v>46099</v>
      </c>
      <c r="J3765" s="93">
        <v>0.58888888888888891</v>
      </c>
      <c r="K3765" s="94">
        <v>87</v>
      </c>
      <c r="L3765" s="72" t="str">
        <f t="shared" si="59"/>
        <v>Payé</v>
      </c>
      <c r="N3765" s="15"/>
    </row>
    <row r="3766" spans="1:14" s="14" customFormat="1" ht="18" x14ac:dyDescent="0.25">
      <c r="A3766" s="90" t="s">
        <v>865</v>
      </c>
      <c r="B3766" s="90">
        <v>10605</v>
      </c>
      <c r="C3766" s="88" t="s">
        <v>1791</v>
      </c>
      <c r="D3766" s="90" t="s">
        <v>17</v>
      </c>
      <c r="E3766" s="90" t="s">
        <v>1907</v>
      </c>
      <c r="F3766" s="90" t="s">
        <v>865</v>
      </c>
      <c r="G3766" s="137">
        <v>10</v>
      </c>
      <c r="H3766" s="94">
        <v>900</v>
      </c>
      <c r="I3766" s="87">
        <v>46099</v>
      </c>
      <c r="J3766" s="93">
        <v>0.59444444444444444</v>
      </c>
      <c r="K3766" s="94">
        <v>900</v>
      </c>
      <c r="L3766" s="72" t="str">
        <f t="shared" si="59"/>
        <v>Payé</v>
      </c>
      <c r="N3766" s="15"/>
    </row>
    <row r="3767" spans="1:14" s="14" customFormat="1" ht="18" x14ac:dyDescent="0.25">
      <c r="A3767" s="90" t="s">
        <v>865</v>
      </c>
      <c r="B3767" s="90">
        <v>10606</v>
      </c>
      <c r="C3767" s="88" t="s">
        <v>1792</v>
      </c>
      <c r="D3767" s="90" t="s">
        <v>17</v>
      </c>
      <c r="E3767" s="90" t="s">
        <v>1909</v>
      </c>
      <c r="F3767" s="90" t="s">
        <v>865</v>
      </c>
      <c r="G3767" s="137">
        <v>15</v>
      </c>
      <c r="H3767" s="94">
        <v>1800</v>
      </c>
      <c r="I3767" s="87">
        <v>46100</v>
      </c>
      <c r="J3767" s="93">
        <v>0.39166666666666666</v>
      </c>
      <c r="K3767" s="94">
        <v>1800</v>
      </c>
      <c r="L3767" s="72" t="str">
        <f t="shared" si="59"/>
        <v>Payé</v>
      </c>
      <c r="N3767" s="15"/>
    </row>
    <row r="3768" spans="1:14" s="14" customFormat="1" ht="18" x14ac:dyDescent="0.25">
      <c r="A3768" s="90" t="s">
        <v>865</v>
      </c>
      <c r="B3768" s="90">
        <v>10607</v>
      </c>
      <c r="C3768" s="88" t="s">
        <v>1793</v>
      </c>
      <c r="D3768" s="90" t="s">
        <v>17</v>
      </c>
      <c r="E3768" s="90" t="s">
        <v>1800</v>
      </c>
      <c r="F3768" s="90" t="s">
        <v>865</v>
      </c>
      <c r="G3768" s="137">
        <v>2</v>
      </c>
      <c r="H3768" s="94">
        <v>180</v>
      </c>
      <c r="I3768" s="87">
        <v>46099</v>
      </c>
      <c r="J3768" s="93">
        <v>0.56527777777777777</v>
      </c>
      <c r="K3768" s="94">
        <v>180</v>
      </c>
      <c r="L3768" s="72" t="str">
        <f t="shared" si="59"/>
        <v>Payé</v>
      </c>
      <c r="N3768" s="15"/>
    </row>
    <row r="3769" spans="1:14" s="14" customFormat="1" ht="18" x14ac:dyDescent="0.25">
      <c r="A3769" s="90" t="s">
        <v>865</v>
      </c>
      <c r="B3769" s="90">
        <v>10615</v>
      </c>
      <c r="C3769" s="88" t="s">
        <v>731</v>
      </c>
      <c r="D3769" s="90" t="s">
        <v>17</v>
      </c>
      <c r="E3769" s="90" t="s">
        <v>649</v>
      </c>
      <c r="F3769" s="90" t="s">
        <v>865</v>
      </c>
      <c r="G3769" s="137">
        <v>7</v>
      </c>
      <c r="H3769" s="94">
        <v>630</v>
      </c>
      <c r="I3769" s="87">
        <v>46099</v>
      </c>
      <c r="J3769" s="93">
        <v>0.57708333333333328</v>
      </c>
      <c r="K3769" s="94">
        <v>630</v>
      </c>
      <c r="L3769" s="72" t="str">
        <f t="shared" si="59"/>
        <v>Payé</v>
      </c>
      <c r="N3769" s="15"/>
    </row>
    <row r="3770" spans="1:14" s="14" customFormat="1" ht="18" x14ac:dyDescent="0.25">
      <c r="A3770" s="90" t="s">
        <v>865</v>
      </c>
      <c r="B3770" s="90">
        <v>10617</v>
      </c>
      <c r="C3770" s="88" t="s">
        <v>1843</v>
      </c>
      <c r="D3770" s="90" t="s">
        <v>17</v>
      </c>
      <c r="E3770" s="90" t="s">
        <v>649</v>
      </c>
      <c r="F3770" s="90" t="s">
        <v>865</v>
      </c>
      <c r="G3770" s="137">
        <v>3</v>
      </c>
      <c r="H3770" s="94">
        <v>270</v>
      </c>
      <c r="I3770" s="87">
        <v>46100</v>
      </c>
      <c r="J3770" s="93">
        <v>0.51944444444444449</v>
      </c>
      <c r="K3770" s="94">
        <v>270</v>
      </c>
      <c r="L3770" s="72" t="str">
        <f t="shared" si="59"/>
        <v>Payé</v>
      </c>
      <c r="N3770" s="15"/>
    </row>
    <row r="3771" spans="1:14" s="14" customFormat="1" ht="18" x14ac:dyDescent="0.25">
      <c r="A3771" s="90" t="s">
        <v>865</v>
      </c>
      <c r="B3771" s="90">
        <v>10619</v>
      </c>
      <c r="C3771" s="88" t="s">
        <v>1845</v>
      </c>
      <c r="D3771" s="90" t="s">
        <v>17</v>
      </c>
      <c r="E3771" s="90" t="s">
        <v>1104</v>
      </c>
      <c r="F3771" s="90" t="s">
        <v>865</v>
      </c>
      <c r="G3771" s="137">
        <v>5</v>
      </c>
      <c r="H3771" s="94">
        <v>450</v>
      </c>
      <c r="I3771" s="87">
        <v>46104</v>
      </c>
      <c r="J3771" s="93">
        <v>0.57361111111111118</v>
      </c>
      <c r="K3771" s="94">
        <v>450</v>
      </c>
      <c r="L3771" s="72" t="str">
        <f t="shared" si="59"/>
        <v>Payé</v>
      </c>
      <c r="N3771" s="15"/>
    </row>
    <row r="3772" spans="1:14" s="14" customFormat="1" ht="18" x14ac:dyDescent="0.25">
      <c r="A3772" s="90" t="s">
        <v>865</v>
      </c>
      <c r="B3772" s="90">
        <v>10621</v>
      </c>
      <c r="C3772" s="88" t="s">
        <v>1847</v>
      </c>
      <c r="D3772" s="90" t="s">
        <v>17</v>
      </c>
      <c r="E3772" s="90" t="s">
        <v>123</v>
      </c>
      <c r="F3772" s="90" t="s">
        <v>865</v>
      </c>
      <c r="G3772" s="137">
        <v>8</v>
      </c>
      <c r="H3772" s="94">
        <v>720</v>
      </c>
      <c r="I3772" s="87">
        <v>46099</v>
      </c>
      <c r="J3772" s="93">
        <v>0.61805555555555558</v>
      </c>
      <c r="K3772" s="94">
        <v>720</v>
      </c>
      <c r="L3772" s="72" t="str">
        <f t="shared" si="59"/>
        <v>Payé</v>
      </c>
      <c r="N3772" s="15"/>
    </row>
    <row r="3773" spans="1:14" s="14" customFormat="1" ht="18" x14ac:dyDescent="0.25">
      <c r="A3773" s="90" t="s">
        <v>865</v>
      </c>
      <c r="B3773" s="90">
        <v>10623</v>
      </c>
      <c r="C3773" s="88" t="s">
        <v>1849</v>
      </c>
      <c r="D3773" s="90" t="s">
        <v>17</v>
      </c>
      <c r="E3773" s="90" t="s">
        <v>1902</v>
      </c>
      <c r="F3773" s="90" t="s">
        <v>865</v>
      </c>
      <c r="G3773" s="137">
        <v>12</v>
      </c>
      <c r="H3773" s="94">
        <v>1219</v>
      </c>
      <c r="I3773" s="87">
        <v>46099</v>
      </c>
      <c r="J3773" s="93">
        <v>0.58888888888888891</v>
      </c>
      <c r="K3773" s="94">
        <v>1219</v>
      </c>
      <c r="L3773" s="72" t="str">
        <f t="shared" si="59"/>
        <v>Payé</v>
      </c>
      <c r="N3773" s="15"/>
    </row>
    <row r="3774" spans="1:14" s="14" customFormat="1" ht="18" x14ac:dyDescent="0.25">
      <c r="A3774" s="90" t="s">
        <v>865</v>
      </c>
      <c r="B3774" s="90">
        <v>10625</v>
      </c>
      <c r="C3774" s="88" t="s">
        <v>1851</v>
      </c>
      <c r="D3774" s="90" t="s">
        <v>17</v>
      </c>
      <c r="E3774" s="90" t="s">
        <v>1902</v>
      </c>
      <c r="F3774" s="90" t="s">
        <v>865</v>
      </c>
      <c r="G3774" s="137">
        <v>1</v>
      </c>
      <c r="H3774" s="94">
        <v>87</v>
      </c>
      <c r="I3774" s="87">
        <v>46113</v>
      </c>
      <c r="J3774" s="93">
        <v>0.54999999999999993</v>
      </c>
      <c r="K3774" s="94">
        <v>87</v>
      </c>
      <c r="L3774" s="72" t="str">
        <f t="shared" si="59"/>
        <v>Payé</v>
      </c>
      <c r="N3774" s="15"/>
    </row>
    <row r="3775" spans="1:14" s="14" customFormat="1" ht="18" x14ac:dyDescent="0.25">
      <c r="A3775" s="90" t="s">
        <v>865</v>
      </c>
      <c r="B3775" s="90">
        <v>10627</v>
      </c>
      <c r="C3775" s="88" t="s">
        <v>1853</v>
      </c>
      <c r="D3775" s="90" t="s">
        <v>17</v>
      </c>
      <c r="E3775" s="90" t="s">
        <v>1902</v>
      </c>
      <c r="F3775" s="90" t="s">
        <v>865</v>
      </c>
      <c r="G3775" s="137">
        <v>1</v>
      </c>
      <c r="H3775" s="94">
        <v>87</v>
      </c>
      <c r="I3775" s="87">
        <v>46099</v>
      </c>
      <c r="J3775" s="93">
        <v>0.58888888888888891</v>
      </c>
      <c r="K3775" s="94">
        <v>87</v>
      </c>
      <c r="L3775" s="72" t="str">
        <f t="shared" si="59"/>
        <v>Payé</v>
      </c>
      <c r="N3775" s="15"/>
    </row>
    <row r="3776" spans="1:14" s="14" customFormat="1" ht="18" x14ac:dyDescent="0.25">
      <c r="A3776" s="90" t="s">
        <v>865</v>
      </c>
      <c r="B3776" s="90">
        <v>10629</v>
      </c>
      <c r="C3776" s="88" t="s">
        <v>1855</v>
      </c>
      <c r="D3776" s="90" t="s">
        <v>17</v>
      </c>
      <c r="E3776" s="90" t="s">
        <v>1902</v>
      </c>
      <c r="F3776" s="90" t="s">
        <v>865</v>
      </c>
      <c r="G3776" s="137">
        <v>11</v>
      </c>
      <c r="H3776" s="94">
        <v>1130</v>
      </c>
      <c r="I3776" s="87">
        <v>46099</v>
      </c>
      <c r="J3776" s="93">
        <v>0.58888888888888891</v>
      </c>
      <c r="K3776" s="94">
        <v>1130</v>
      </c>
      <c r="L3776" s="72" t="str">
        <f t="shared" si="59"/>
        <v>Payé</v>
      </c>
      <c r="N3776" s="15"/>
    </row>
    <row r="3777" spans="1:14" s="14" customFormat="1" ht="18" x14ac:dyDescent="0.25">
      <c r="A3777" s="90" t="s">
        <v>865</v>
      </c>
      <c r="B3777" s="90">
        <v>10630</v>
      </c>
      <c r="C3777" s="88" t="s">
        <v>1856</v>
      </c>
      <c r="D3777" s="90" t="s">
        <v>17</v>
      </c>
      <c r="E3777" s="90" t="s">
        <v>1902</v>
      </c>
      <c r="F3777" s="90" t="s">
        <v>865</v>
      </c>
      <c r="G3777" s="137">
        <v>14</v>
      </c>
      <c r="H3777" s="94">
        <v>1320</v>
      </c>
      <c r="I3777" s="87">
        <v>46099</v>
      </c>
      <c r="J3777" s="93">
        <v>0.58888888888888891</v>
      </c>
      <c r="K3777" s="94">
        <v>1320</v>
      </c>
      <c r="L3777" s="72" t="str">
        <f t="shared" si="59"/>
        <v>Payé</v>
      </c>
      <c r="N3777" s="15"/>
    </row>
    <row r="3778" spans="1:14" s="14" customFormat="1" ht="18" x14ac:dyDescent="0.25">
      <c r="A3778" s="90" t="s">
        <v>865</v>
      </c>
      <c r="B3778" s="90">
        <v>10631</v>
      </c>
      <c r="C3778" s="88" t="s">
        <v>1857</v>
      </c>
      <c r="D3778" s="90" t="s">
        <v>17</v>
      </c>
      <c r="E3778" s="90" t="s">
        <v>1902</v>
      </c>
      <c r="F3778" s="90" t="s">
        <v>865</v>
      </c>
      <c r="G3778" s="137">
        <v>11</v>
      </c>
      <c r="H3778" s="94">
        <v>1143</v>
      </c>
      <c r="I3778" s="87">
        <v>46099</v>
      </c>
      <c r="J3778" s="93">
        <v>0.58888888888888891</v>
      </c>
      <c r="K3778" s="94">
        <v>1143</v>
      </c>
      <c r="L3778" s="72" t="str">
        <f t="shared" si="59"/>
        <v>Payé</v>
      </c>
      <c r="N3778" s="15"/>
    </row>
    <row r="3779" spans="1:14" s="14" customFormat="1" ht="18" x14ac:dyDescent="0.25">
      <c r="A3779" s="90" t="s">
        <v>865</v>
      </c>
      <c r="B3779" s="90">
        <v>10633</v>
      </c>
      <c r="C3779" s="88" t="s">
        <v>1859</v>
      </c>
      <c r="D3779" s="90" t="s">
        <v>17</v>
      </c>
      <c r="E3779" s="90" t="s">
        <v>1902</v>
      </c>
      <c r="F3779" s="90" t="s">
        <v>865</v>
      </c>
      <c r="G3779" s="137">
        <v>14</v>
      </c>
      <c r="H3779" s="94">
        <v>1300</v>
      </c>
      <c r="I3779" s="87">
        <v>46111</v>
      </c>
      <c r="J3779" s="93">
        <v>0.68819444444444444</v>
      </c>
      <c r="K3779" s="94">
        <v>1300</v>
      </c>
      <c r="L3779" s="72" t="str">
        <f t="shared" si="59"/>
        <v>Payé</v>
      </c>
      <c r="N3779" s="15"/>
    </row>
    <row r="3780" spans="1:14" s="14" customFormat="1" ht="18" x14ac:dyDescent="0.25">
      <c r="A3780" s="90" t="s">
        <v>865</v>
      </c>
      <c r="B3780" s="90">
        <v>10634</v>
      </c>
      <c r="C3780" s="88" t="s">
        <v>1860</v>
      </c>
      <c r="D3780" s="90" t="s">
        <v>17</v>
      </c>
      <c r="E3780" s="90" t="s">
        <v>1800</v>
      </c>
      <c r="F3780" s="90" t="s">
        <v>865</v>
      </c>
      <c r="G3780" s="137">
        <v>3</v>
      </c>
      <c r="H3780" s="94">
        <v>270</v>
      </c>
      <c r="I3780" s="87">
        <v>46099</v>
      </c>
      <c r="J3780" s="93">
        <v>0.56527777777777777</v>
      </c>
      <c r="K3780" s="94">
        <v>270</v>
      </c>
      <c r="L3780" s="72" t="str">
        <f t="shared" si="59"/>
        <v>Payé</v>
      </c>
      <c r="N3780" s="15"/>
    </row>
    <row r="3781" spans="1:14" s="14" customFormat="1" ht="18" x14ac:dyDescent="0.25">
      <c r="A3781" s="90" t="s">
        <v>865</v>
      </c>
      <c r="B3781" s="90">
        <v>10635</v>
      </c>
      <c r="C3781" s="88" t="s">
        <v>1861</v>
      </c>
      <c r="D3781" s="90" t="s">
        <v>17</v>
      </c>
      <c r="E3781" s="90" t="s">
        <v>1800</v>
      </c>
      <c r="F3781" s="90" t="s">
        <v>865</v>
      </c>
      <c r="G3781" s="137">
        <v>12</v>
      </c>
      <c r="H3781" s="94">
        <v>1080</v>
      </c>
      <c r="I3781" s="87">
        <v>46099</v>
      </c>
      <c r="J3781" s="93">
        <v>0.56527777777777777</v>
      </c>
      <c r="K3781" s="94">
        <v>1080</v>
      </c>
      <c r="L3781" s="72" t="str">
        <f t="shared" si="59"/>
        <v>Payé</v>
      </c>
      <c r="N3781" s="15"/>
    </row>
    <row r="3782" spans="1:14" s="14" customFormat="1" ht="18" x14ac:dyDescent="0.25">
      <c r="A3782" s="90" t="s">
        <v>865</v>
      </c>
      <c r="B3782" s="90">
        <v>10636</v>
      </c>
      <c r="C3782" s="88" t="s">
        <v>1942</v>
      </c>
      <c r="D3782" s="90" t="s">
        <v>17</v>
      </c>
      <c r="E3782" s="90" t="s">
        <v>1664</v>
      </c>
      <c r="F3782" s="90" t="s">
        <v>865</v>
      </c>
      <c r="G3782" s="137">
        <v>2</v>
      </c>
      <c r="H3782" s="94">
        <v>173</v>
      </c>
      <c r="I3782" s="87">
        <v>46099</v>
      </c>
      <c r="J3782" s="93">
        <v>0.61597222222222225</v>
      </c>
      <c r="K3782" s="94">
        <v>173</v>
      </c>
      <c r="L3782" s="72" t="str">
        <f t="shared" si="59"/>
        <v>Payé</v>
      </c>
      <c r="N3782" s="15"/>
    </row>
    <row r="3783" spans="1:14" s="14" customFormat="1" ht="18" x14ac:dyDescent="0.25">
      <c r="A3783" s="90" t="s">
        <v>865</v>
      </c>
      <c r="B3783" s="90">
        <v>10640</v>
      </c>
      <c r="C3783" s="88" t="s">
        <v>1865</v>
      </c>
      <c r="D3783" s="90" t="s">
        <v>17</v>
      </c>
      <c r="E3783" s="90" t="s">
        <v>1902</v>
      </c>
      <c r="F3783" s="90" t="s">
        <v>865</v>
      </c>
      <c r="G3783" s="137">
        <v>11</v>
      </c>
      <c r="H3783" s="94">
        <v>990</v>
      </c>
      <c r="I3783" s="87">
        <v>46099</v>
      </c>
      <c r="J3783" s="93">
        <v>0.58888888888888891</v>
      </c>
      <c r="K3783" s="94">
        <v>990</v>
      </c>
      <c r="L3783" s="72" t="str">
        <f t="shared" si="59"/>
        <v>Payé</v>
      </c>
      <c r="N3783" s="15"/>
    </row>
    <row r="3784" spans="1:14" s="14" customFormat="1" ht="18" x14ac:dyDescent="0.25">
      <c r="A3784" s="90" t="s">
        <v>865</v>
      </c>
      <c r="B3784" s="90">
        <v>10642</v>
      </c>
      <c r="C3784" s="88" t="s">
        <v>1315</v>
      </c>
      <c r="D3784" s="90" t="s">
        <v>17</v>
      </c>
      <c r="E3784" s="90" t="s">
        <v>1902</v>
      </c>
      <c r="F3784" s="90" t="s">
        <v>865</v>
      </c>
      <c r="G3784" s="137">
        <v>7</v>
      </c>
      <c r="H3784" s="94">
        <v>774</v>
      </c>
      <c r="I3784" s="87">
        <v>46104</v>
      </c>
      <c r="J3784" s="93">
        <v>0.55902777777777779</v>
      </c>
      <c r="K3784" s="94">
        <v>774</v>
      </c>
      <c r="L3784" s="72" t="str">
        <f t="shared" si="59"/>
        <v>Payé</v>
      </c>
      <c r="N3784" s="15"/>
    </row>
    <row r="3785" spans="1:14" s="14" customFormat="1" ht="18" x14ac:dyDescent="0.25">
      <c r="A3785" s="90" t="s">
        <v>865</v>
      </c>
      <c r="B3785" s="90">
        <v>10643</v>
      </c>
      <c r="C3785" s="88" t="s">
        <v>1867</v>
      </c>
      <c r="D3785" s="90" t="s">
        <v>17</v>
      </c>
      <c r="E3785" s="90" t="s">
        <v>1902</v>
      </c>
      <c r="F3785" s="90" t="s">
        <v>865</v>
      </c>
      <c r="G3785" s="137">
        <v>2</v>
      </c>
      <c r="H3785" s="94">
        <v>200</v>
      </c>
      <c r="I3785" s="87"/>
      <c r="J3785" s="93"/>
      <c r="K3785" s="92"/>
      <c r="L3785" s="72" t="str">
        <f t="shared" si="59"/>
        <v>Impayé</v>
      </c>
      <c r="N3785" s="15"/>
    </row>
    <row r="3786" spans="1:14" s="14" customFormat="1" ht="18" x14ac:dyDescent="0.25">
      <c r="A3786" s="90" t="s">
        <v>865</v>
      </c>
      <c r="B3786" s="90">
        <v>10646</v>
      </c>
      <c r="C3786" s="88" t="s">
        <v>1943</v>
      </c>
      <c r="D3786" s="90" t="s">
        <v>17</v>
      </c>
      <c r="E3786" s="90" t="s">
        <v>1664</v>
      </c>
      <c r="F3786" s="90" t="s">
        <v>865</v>
      </c>
      <c r="G3786" s="137">
        <v>1</v>
      </c>
      <c r="H3786" s="94">
        <v>90</v>
      </c>
      <c r="I3786" s="87">
        <v>46106</v>
      </c>
      <c r="J3786" s="93">
        <v>0.58750000000000002</v>
      </c>
      <c r="K3786" s="94">
        <v>90</v>
      </c>
      <c r="L3786" s="72" t="str">
        <f t="shared" si="59"/>
        <v>Payé</v>
      </c>
      <c r="N3786" s="15"/>
    </row>
    <row r="3787" spans="1:14" s="14" customFormat="1" ht="18" x14ac:dyDescent="0.25">
      <c r="A3787" s="90" t="s">
        <v>865</v>
      </c>
      <c r="B3787" s="90">
        <v>10651</v>
      </c>
      <c r="C3787" s="88" t="s">
        <v>1872</v>
      </c>
      <c r="D3787" s="90" t="s">
        <v>17</v>
      </c>
      <c r="E3787" s="90" t="s">
        <v>1902</v>
      </c>
      <c r="F3787" s="90" t="s">
        <v>865</v>
      </c>
      <c r="G3787" s="137">
        <v>1</v>
      </c>
      <c r="H3787" s="94">
        <v>90</v>
      </c>
      <c r="I3787" s="87">
        <v>46099</v>
      </c>
      <c r="J3787" s="93">
        <v>0.58888888888888891</v>
      </c>
      <c r="K3787" s="94">
        <v>90</v>
      </c>
      <c r="L3787" s="72" t="str">
        <f t="shared" si="59"/>
        <v>Payé</v>
      </c>
      <c r="N3787" s="15"/>
    </row>
    <row r="3788" spans="1:14" s="14" customFormat="1" ht="18" x14ac:dyDescent="0.25">
      <c r="A3788" s="90" t="s">
        <v>865</v>
      </c>
      <c r="B3788" s="90">
        <v>10655</v>
      </c>
      <c r="C3788" s="88" t="s">
        <v>1875</v>
      </c>
      <c r="D3788" s="90" t="s">
        <v>17</v>
      </c>
      <c r="E3788" s="90" t="s">
        <v>1907</v>
      </c>
      <c r="F3788" s="90" t="s">
        <v>865</v>
      </c>
      <c r="G3788" s="137">
        <v>6</v>
      </c>
      <c r="H3788" s="94">
        <v>550</v>
      </c>
      <c r="I3788" s="87">
        <v>46099</v>
      </c>
      <c r="J3788" s="93">
        <v>0.59444444444444444</v>
      </c>
      <c r="K3788" s="94">
        <v>550</v>
      </c>
      <c r="L3788" s="72" t="str">
        <f t="shared" si="59"/>
        <v>Payé</v>
      </c>
      <c r="N3788" s="15"/>
    </row>
    <row r="3789" spans="1:14" s="14" customFormat="1" ht="18" x14ac:dyDescent="0.25">
      <c r="A3789" s="90" t="s">
        <v>865</v>
      </c>
      <c r="B3789" s="90">
        <v>10657</v>
      </c>
      <c r="C3789" s="88" t="s">
        <v>1877</v>
      </c>
      <c r="D3789" s="90" t="s">
        <v>17</v>
      </c>
      <c r="E3789" s="90" t="s">
        <v>1800</v>
      </c>
      <c r="F3789" s="90" t="s">
        <v>865</v>
      </c>
      <c r="G3789" s="137">
        <v>6</v>
      </c>
      <c r="H3789" s="94">
        <v>540</v>
      </c>
      <c r="I3789" s="87">
        <v>46099</v>
      </c>
      <c r="J3789" s="93">
        <v>0.56527777777777777</v>
      </c>
      <c r="K3789" s="94">
        <v>540</v>
      </c>
      <c r="L3789" s="72" t="str">
        <f t="shared" si="59"/>
        <v>Payé</v>
      </c>
      <c r="N3789" s="15"/>
    </row>
    <row r="3790" spans="1:14" s="14" customFormat="1" ht="18" x14ac:dyDescent="0.25">
      <c r="A3790" s="90" t="s">
        <v>865</v>
      </c>
      <c r="B3790" s="90">
        <v>10659</v>
      </c>
      <c r="C3790" s="88" t="s">
        <v>1879</v>
      </c>
      <c r="D3790" s="90" t="s">
        <v>17</v>
      </c>
      <c r="E3790" s="90" t="s">
        <v>649</v>
      </c>
      <c r="F3790" s="90" t="s">
        <v>865</v>
      </c>
      <c r="G3790" s="137">
        <v>5</v>
      </c>
      <c r="H3790" s="94">
        <v>450</v>
      </c>
      <c r="I3790" s="87">
        <v>46099</v>
      </c>
      <c r="J3790" s="93">
        <v>0.63124999999999998</v>
      </c>
      <c r="K3790" s="94">
        <v>450</v>
      </c>
      <c r="L3790" s="72" t="str">
        <f t="shared" si="59"/>
        <v>Payé</v>
      </c>
      <c r="N3790" s="15"/>
    </row>
    <row r="3791" spans="1:14" s="14" customFormat="1" ht="18" x14ac:dyDescent="0.25">
      <c r="A3791" s="90" t="s">
        <v>865</v>
      </c>
      <c r="B3791" s="90">
        <v>10660</v>
      </c>
      <c r="C3791" s="88" t="s">
        <v>1880</v>
      </c>
      <c r="D3791" s="90" t="s">
        <v>17</v>
      </c>
      <c r="E3791" s="90" t="s">
        <v>123</v>
      </c>
      <c r="F3791" s="90" t="s">
        <v>865</v>
      </c>
      <c r="G3791" s="137">
        <v>11</v>
      </c>
      <c r="H3791" s="94">
        <v>990</v>
      </c>
      <c r="I3791" s="87">
        <v>46099</v>
      </c>
      <c r="J3791" s="93">
        <v>0.57222222222222219</v>
      </c>
      <c r="K3791" s="94">
        <v>990</v>
      </c>
      <c r="L3791" s="72" t="str">
        <f t="shared" si="59"/>
        <v>Payé</v>
      </c>
      <c r="N3791" s="15"/>
    </row>
    <row r="3792" spans="1:14" s="14" customFormat="1" ht="18" x14ac:dyDescent="0.25">
      <c r="A3792" s="90" t="s">
        <v>865</v>
      </c>
      <c r="B3792" s="90">
        <v>10661</v>
      </c>
      <c r="C3792" s="88" t="s">
        <v>1881</v>
      </c>
      <c r="D3792" s="90" t="s">
        <v>17</v>
      </c>
      <c r="E3792" s="90" t="s">
        <v>1904</v>
      </c>
      <c r="F3792" s="90" t="s">
        <v>865</v>
      </c>
      <c r="G3792" s="137">
        <v>10</v>
      </c>
      <c r="H3792" s="94">
        <v>915</v>
      </c>
      <c r="I3792" s="87">
        <v>46099</v>
      </c>
      <c r="J3792" s="93">
        <v>0.86111111111111116</v>
      </c>
      <c r="K3792" s="94">
        <v>915</v>
      </c>
      <c r="L3792" s="72" t="str">
        <f t="shared" si="59"/>
        <v>Payé</v>
      </c>
      <c r="N3792" s="15"/>
    </row>
    <row r="3793" spans="1:15" s="14" customFormat="1" ht="18" x14ac:dyDescent="0.25">
      <c r="A3793" s="90" t="s">
        <v>865</v>
      </c>
      <c r="B3793" s="90">
        <v>10663</v>
      </c>
      <c r="C3793" s="88" t="s">
        <v>1883</v>
      </c>
      <c r="D3793" s="90" t="s">
        <v>17</v>
      </c>
      <c r="E3793" s="90" t="s">
        <v>1907</v>
      </c>
      <c r="F3793" s="90" t="s">
        <v>865</v>
      </c>
      <c r="G3793" s="137">
        <v>8</v>
      </c>
      <c r="H3793" s="94">
        <v>740</v>
      </c>
      <c r="I3793" s="87">
        <v>46100</v>
      </c>
      <c r="J3793" s="93">
        <v>0.5708333333333333</v>
      </c>
      <c r="K3793" s="94">
        <v>740</v>
      </c>
      <c r="L3793" s="72" t="str">
        <f t="shared" si="59"/>
        <v>Payé</v>
      </c>
      <c r="N3793" s="15"/>
    </row>
    <row r="3794" spans="1:15" s="14" customFormat="1" ht="18" x14ac:dyDescent="0.25">
      <c r="A3794" s="90" t="s">
        <v>865</v>
      </c>
      <c r="B3794" s="90">
        <v>10665</v>
      </c>
      <c r="C3794" s="88" t="s">
        <v>1885</v>
      </c>
      <c r="D3794" s="90" t="s">
        <v>17</v>
      </c>
      <c r="E3794" s="90" t="s">
        <v>753</v>
      </c>
      <c r="F3794" s="90" t="s">
        <v>865</v>
      </c>
      <c r="G3794" s="137">
        <v>3</v>
      </c>
      <c r="H3794" s="94">
        <v>280</v>
      </c>
      <c r="I3794" s="87">
        <v>46099</v>
      </c>
      <c r="J3794" s="93">
        <v>0.62291666666666667</v>
      </c>
      <c r="K3794" s="94">
        <v>280</v>
      </c>
      <c r="L3794" s="72" t="str">
        <f t="shared" si="59"/>
        <v>Payé</v>
      </c>
      <c r="N3794" s="15"/>
    </row>
    <row r="3795" spans="1:15" s="14" customFormat="1" ht="18" x14ac:dyDescent="0.25">
      <c r="A3795" s="90" t="s">
        <v>865</v>
      </c>
      <c r="B3795" s="90">
        <v>10666</v>
      </c>
      <c r="C3795" s="88" t="s">
        <v>1886</v>
      </c>
      <c r="D3795" s="90" t="s">
        <v>17</v>
      </c>
      <c r="E3795" s="90" t="s">
        <v>1907</v>
      </c>
      <c r="F3795" s="90" t="s">
        <v>865</v>
      </c>
      <c r="G3795" s="137">
        <v>5</v>
      </c>
      <c r="H3795" s="94">
        <v>450</v>
      </c>
      <c r="I3795" s="87">
        <v>46099</v>
      </c>
      <c r="J3795" s="93">
        <v>0.59444444444444444</v>
      </c>
      <c r="K3795" s="94">
        <v>450</v>
      </c>
      <c r="L3795" s="72" t="str">
        <f t="shared" si="59"/>
        <v>Payé</v>
      </c>
      <c r="N3795" s="15"/>
    </row>
    <row r="3796" spans="1:15" s="14" customFormat="1" ht="18" x14ac:dyDescent="0.25">
      <c r="A3796" s="90" t="s">
        <v>865</v>
      </c>
      <c r="B3796" s="90">
        <v>10667</v>
      </c>
      <c r="C3796" s="88" t="s">
        <v>1887</v>
      </c>
      <c r="D3796" s="90" t="s">
        <v>17</v>
      </c>
      <c r="E3796" s="90" t="s">
        <v>753</v>
      </c>
      <c r="F3796" s="90" t="s">
        <v>865</v>
      </c>
      <c r="G3796" s="137">
        <v>1</v>
      </c>
      <c r="H3796" s="94">
        <v>90</v>
      </c>
      <c r="I3796" s="87"/>
      <c r="J3796" s="93"/>
      <c r="K3796" s="92"/>
      <c r="L3796" s="72" t="str">
        <f t="shared" si="59"/>
        <v>Impayé</v>
      </c>
      <c r="N3796" s="15"/>
    </row>
    <row r="3797" spans="1:15" s="14" customFormat="1" ht="18" x14ac:dyDescent="0.25">
      <c r="A3797" s="90" t="s">
        <v>865</v>
      </c>
      <c r="B3797" s="90">
        <v>10668</v>
      </c>
      <c r="C3797" s="88" t="s">
        <v>1888</v>
      </c>
      <c r="D3797" s="90" t="s">
        <v>17</v>
      </c>
      <c r="E3797" s="90" t="s">
        <v>753</v>
      </c>
      <c r="F3797" s="90" t="s">
        <v>865</v>
      </c>
      <c r="G3797" s="137">
        <v>3</v>
      </c>
      <c r="H3797" s="94">
        <v>270</v>
      </c>
      <c r="I3797" s="87">
        <v>46100</v>
      </c>
      <c r="J3797" s="93">
        <v>0.53333333333333333</v>
      </c>
      <c r="K3797" s="94">
        <v>270</v>
      </c>
      <c r="L3797" s="72" t="str">
        <f t="shared" si="59"/>
        <v>Payé</v>
      </c>
      <c r="N3797" s="15"/>
    </row>
    <row r="3798" spans="1:15" s="14" customFormat="1" ht="18" x14ac:dyDescent="0.25">
      <c r="A3798" s="90" t="s">
        <v>865</v>
      </c>
      <c r="B3798" s="90">
        <v>10669</v>
      </c>
      <c r="C3798" s="88" t="s">
        <v>1889</v>
      </c>
      <c r="D3798" s="90" t="s">
        <v>17</v>
      </c>
      <c r="E3798" s="90" t="s">
        <v>753</v>
      </c>
      <c r="F3798" s="90" t="s">
        <v>865</v>
      </c>
      <c r="G3798" s="137">
        <v>1</v>
      </c>
      <c r="H3798" s="94">
        <v>90</v>
      </c>
      <c r="I3798" s="87">
        <v>46119</v>
      </c>
      <c r="J3798" s="93">
        <v>0.71388888888888891</v>
      </c>
      <c r="K3798" s="94">
        <v>90</v>
      </c>
      <c r="L3798" s="72" t="str">
        <f t="shared" si="59"/>
        <v>Payé</v>
      </c>
      <c r="N3798" s="15"/>
    </row>
    <row r="3799" spans="1:15" s="14" customFormat="1" ht="18" x14ac:dyDescent="0.25">
      <c r="A3799" s="90" t="s">
        <v>865</v>
      </c>
      <c r="B3799" s="90" t="s">
        <v>1896</v>
      </c>
      <c r="C3799" s="88" t="s">
        <v>1897</v>
      </c>
      <c r="D3799" s="90" t="s">
        <v>17</v>
      </c>
      <c r="E3799" s="90" t="s">
        <v>1664</v>
      </c>
      <c r="F3799" s="90" t="s">
        <v>865</v>
      </c>
      <c r="G3799" s="137">
        <v>2</v>
      </c>
      <c r="H3799" s="94">
        <v>173</v>
      </c>
      <c r="I3799" s="87">
        <v>46100</v>
      </c>
      <c r="J3799" s="93">
        <v>0.58680555555555558</v>
      </c>
      <c r="K3799" s="94">
        <v>173</v>
      </c>
      <c r="L3799" s="72" t="str">
        <f t="shared" si="59"/>
        <v>Payé</v>
      </c>
      <c r="N3799" s="15"/>
    </row>
    <row r="3800" spans="1:15" s="14" customFormat="1" ht="18" x14ac:dyDescent="0.25">
      <c r="A3800" s="90" t="s">
        <v>865</v>
      </c>
      <c r="B3800" s="90">
        <v>10672</v>
      </c>
      <c r="C3800" s="88" t="s">
        <v>1893</v>
      </c>
      <c r="D3800" s="90" t="s">
        <v>17</v>
      </c>
      <c r="E3800" s="90" t="s">
        <v>1664</v>
      </c>
      <c r="F3800" s="90" t="s">
        <v>865</v>
      </c>
      <c r="G3800" s="137">
        <v>1</v>
      </c>
      <c r="H3800" s="94">
        <v>87</v>
      </c>
      <c r="I3800" s="87">
        <v>46100</v>
      </c>
      <c r="J3800" s="93">
        <v>0.56874999999999998</v>
      </c>
      <c r="K3800" s="94">
        <v>87</v>
      </c>
      <c r="L3800" s="72" t="str">
        <f t="shared" si="59"/>
        <v>Payé</v>
      </c>
      <c r="N3800" s="15"/>
    </row>
    <row r="3801" spans="1:15" s="14" customFormat="1" ht="18" x14ac:dyDescent="0.25">
      <c r="A3801" s="90" t="s">
        <v>865</v>
      </c>
      <c r="B3801" s="90">
        <v>10674</v>
      </c>
      <c r="C3801" s="88" t="s">
        <v>1899</v>
      </c>
      <c r="D3801" s="90" t="s">
        <v>17</v>
      </c>
      <c r="E3801" s="90" t="s">
        <v>1664</v>
      </c>
      <c r="F3801" s="90" t="s">
        <v>865</v>
      </c>
      <c r="G3801" s="137">
        <v>1</v>
      </c>
      <c r="H3801" s="94">
        <v>87</v>
      </c>
      <c r="I3801" s="87">
        <v>46100</v>
      </c>
      <c r="J3801" s="93">
        <v>0.56874999999999998</v>
      </c>
      <c r="K3801" s="94">
        <v>87</v>
      </c>
      <c r="L3801" s="72" t="str">
        <f t="shared" si="59"/>
        <v>Payé</v>
      </c>
      <c r="N3801" s="15"/>
    </row>
    <row r="3802" spans="1:15" s="14" customFormat="1" ht="18" x14ac:dyDescent="0.25">
      <c r="A3802" s="90" t="s">
        <v>865</v>
      </c>
      <c r="B3802" s="90">
        <v>10677</v>
      </c>
      <c r="C3802" s="88" t="s">
        <v>1944</v>
      </c>
      <c r="D3802" s="90" t="s">
        <v>17</v>
      </c>
      <c r="E3802" s="90" t="s">
        <v>1902</v>
      </c>
      <c r="F3802" s="90" t="s">
        <v>865</v>
      </c>
      <c r="G3802" s="137">
        <v>1</v>
      </c>
      <c r="H3802" s="94">
        <v>90</v>
      </c>
      <c r="I3802" s="194">
        <v>46100</v>
      </c>
      <c r="J3802" s="195">
        <v>1335</v>
      </c>
      <c r="K3802" s="141">
        <v>90</v>
      </c>
      <c r="L3802" s="72" t="str">
        <f t="shared" si="59"/>
        <v>Payé</v>
      </c>
      <c r="N3802" s="15"/>
    </row>
    <row r="3803" spans="1:15" s="14" customFormat="1" ht="18" x14ac:dyDescent="0.25">
      <c r="A3803" s="90" t="s">
        <v>865</v>
      </c>
      <c r="B3803" s="90">
        <v>10678</v>
      </c>
      <c r="C3803" s="88" t="s">
        <v>1945</v>
      </c>
      <c r="D3803" s="90" t="s">
        <v>17</v>
      </c>
      <c r="E3803" s="90" t="s">
        <v>1902</v>
      </c>
      <c r="F3803" s="90" t="s">
        <v>865</v>
      </c>
      <c r="G3803" s="137">
        <v>1</v>
      </c>
      <c r="H3803" s="94">
        <v>90</v>
      </c>
      <c r="I3803" s="194">
        <v>46100</v>
      </c>
      <c r="J3803" s="195">
        <v>1335</v>
      </c>
      <c r="K3803" s="141">
        <v>90</v>
      </c>
      <c r="L3803" s="72" t="str">
        <f t="shared" si="59"/>
        <v>Payé</v>
      </c>
      <c r="N3803" s="15"/>
    </row>
    <row r="3804" spans="1:15" s="14" customFormat="1" ht="18" x14ac:dyDescent="0.25">
      <c r="A3804" s="90" t="s">
        <v>865</v>
      </c>
      <c r="B3804" s="90">
        <v>10679</v>
      </c>
      <c r="C3804" s="88" t="s">
        <v>1946</v>
      </c>
      <c r="D3804" s="90" t="s">
        <v>17</v>
      </c>
      <c r="E3804" s="90" t="s">
        <v>649</v>
      </c>
      <c r="F3804" s="90" t="s">
        <v>865</v>
      </c>
      <c r="G3804" s="137">
        <v>5</v>
      </c>
      <c r="H3804" s="94">
        <v>450</v>
      </c>
      <c r="I3804" s="194">
        <v>46104</v>
      </c>
      <c r="J3804" s="195">
        <v>0.66319444444444442</v>
      </c>
      <c r="K3804" s="141">
        <v>450</v>
      </c>
      <c r="L3804" s="72" t="str">
        <f t="shared" si="59"/>
        <v>Payé</v>
      </c>
      <c r="N3804" s="15"/>
      <c r="O3804" s="224" t="s">
        <v>1961</v>
      </c>
    </row>
    <row r="3805" spans="1:15" s="14" customFormat="1" ht="18" x14ac:dyDescent="0.25">
      <c r="A3805" s="90" t="s">
        <v>865</v>
      </c>
      <c r="B3805" s="90">
        <v>10683</v>
      </c>
      <c r="C3805" s="88" t="s">
        <v>1947</v>
      </c>
      <c r="D3805" s="90" t="s">
        <v>17</v>
      </c>
      <c r="E3805" s="90" t="s">
        <v>254</v>
      </c>
      <c r="F3805" s="90" t="s">
        <v>865</v>
      </c>
      <c r="G3805" s="137">
        <v>1</v>
      </c>
      <c r="H3805" s="94">
        <v>90</v>
      </c>
      <c r="K3805" s="92"/>
      <c r="L3805" s="72" t="str">
        <f t="shared" si="59"/>
        <v>Impayé</v>
      </c>
      <c r="N3805" s="15"/>
    </row>
    <row r="3806" spans="1:15" s="14" customFormat="1" ht="18" x14ac:dyDescent="0.25">
      <c r="A3806" s="90" t="s">
        <v>865</v>
      </c>
      <c r="B3806" s="90">
        <v>10700</v>
      </c>
      <c r="C3806" s="88" t="s">
        <v>1900</v>
      </c>
      <c r="D3806" s="90" t="s">
        <v>17</v>
      </c>
      <c r="E3806" s="90" t="s">
        <v>1800</v>
      </c>
      <c r="F3806" s="90" t="s">
        <v>865</v>
      </c>
      <c r="G3806" s="137">
        <v>7</v>
      </c>
      <c r="H3806" s="94">
        <v>630</v>
      </c>
      <c r="I3806" s="87">
        <v>46099</v>
      </c>
      <c r="J3806" s="93">
        <v>0.56527777777777777</v>
      </c>
      <c r="K3806" s="94">
        <v>630</v>
      </c>
      <c r="L3806" s="72" t="str">
        <f t="shared" ref="L3806:L3869" si="60">IF(ISBLANK(H3806),"",IF(H3806=K3806,"Payé","Impayé"))</f>
        <v>Payé</v>
      </c>
      <c r="N3806" s="15"/>
    </row>
    <row r="3807" spans="1:15" s="14" customFormat="1" ht="18" x14ac:dyDescent="0.25">
      <c r="A3807" s="90" t="s">
        <v>865</v>
      </c>
      <c r="B3807" s="90">
        <v>10701</v>
      </c>
      <c r="C3807" s="88" t="s">
        <v>1948</v>
      </c>
      <c r="D3807" s="90" t="s">
        <v>17</v>
      </c>
      <c r="E3807" s="90" t="s">
        <v>1902</v>
      </c>
      <c r="F3807" s="90" t="s">
        <v>865</v>
      </c>
      <c r="G3807" s="137">
        <v>8</v>
      </c>
      <c r="H3807" s="94">
        <v>822</v>
      </c>
      <c r="I3807" s="87">
        <v>46099</v>
      </c>
      <c r="J3807" s="93">
        <v>0.58888888888888891</v>
      </c>
      <c r="K3807" s="94">
        <v>822</v>
      </c>
      <c r="L3807" s="72" t="str">
        <f t="shared" si="60"/>
        <v>Payé</v>
      </c>
      <c r="N3807" s="15"/>
    </row>
    <row r="3808" spans="1:15" s="14" customFormat="1" ht="18" x14ac:dyDescent="0.25">
      <c r="A3808" s="90" t="s">
        <v>865</v>
      </c>
      <c r="B3808" s="90">
        <v>10702</v>
      </c>
      <c r="C3808" s="88" t="s">
        <v>1949</v>
      </c>
      <c r="D3808" s="90" t="s">
        <v>17</v>
      </c>
      <c r="E3808" s="90" t="s">
        <v>254</v>
      </c>
      <c r="F3808" s="90" t="s">
        <v>865</v>
      </c>
      <c r="G3808" s="137">
        <v>7</v>
      </c>
      <c r="H3808" s="94">
        <v>680</v>
      </c>
      <c r="I3808" s="87">
        <v>46099</v>
      </c>
      <c r="J3808" s="93">
        <v>0.64374999999999993</v>
      </c>
      <c r="K3808" s="94">
        <v>680</v>
      </c>
      <c r="L3808" s="72" t="str">
        <f t="shared" si="60"/>
        <v>Payé</v>
      </c>
      <c r="N3808" s="15"/>
    </row>
    <row r="3809" spans="1:14" s="14" customFormat="1" ht="18" x14ac:dyDescent="0.25">
      <c r="A3809" s="90" t="s">
        <v>865</v>
      </c>
      <c r="B3809" s="90">
        <v>10704</v>
      </c>
      <c r="C3809" s="88" t="s">
        <v>1950</v>
      </c>
      <c r="D3809" s="90" t="s">
        <v>17</v>
      </c>
      <c r="E3809" s="90" t="s">
        <v>1902</v>
      </c>
      <c r="F3809" s="90" t="s">
        <v>865</v>
      </c>
      <c r="G3809" s="137">
        <v>2</v>
      </c>
      <c r="H3809" s="94">
        <v>180</v>
      </c>
      <c r="I3809" s="194">
        <v>46100</v>
      </c>
      <c r="J3809" s="195">
        <v>1335</v>
      </c>
      <c r="K3809" s="141">
        <v>180</v>
      </c>
      <c r="L3809" s="72" t="str">
        <f t="shared" si="60"/>
        <v>Payé</v>
      </c>
      <c r="N3809" s="15"/>
    </row>
    <row r="3810" spans="1:14" s="14" customFormat="1" ht="18" x14ac:dyDescent="0.25">
      <c r="A3810" s="90" t="s">
        <v>865</v>
      </c>
      <c r="B3810" s="90">
        <v>10710</v>
      </c>
      <c r="C3810" s="88" t="s">
        <v>1785</v>
      </c>
      <c r="D3810" s="90" t="s">
        <v>17</v>
      </c>
      <c r="E3810" s="90" t="s">
        <v>1800</v>
      </c>
      <c r="F3810" s="90" t="s">
        <v>865</v>
      </c>
      <c r="G3810" s="137">
        <v>4</v>
      </c>
      <c r="H3810" s="94">
        <v>360</v>
      </c>
      <c r="I3810" s="87">
        <v>46099</v>
      </c>
      <c r="J3810" s="93">
        <v>0.56527777777777777</v>
      </c>
      <c r="K3810" s="94">
        <v>360</v>
      </c>
      <c r="L3810" s="72" t="str">
        <f t="shared" si="60"/>
        <v>Payé</v>
      </c>
      <c r="N3810" s="15"/>
    </row>
    <row r="3811" spans="1:14" s="14" customFormat="1" ht="18" x14ac:dyDescent="0.25">
      <c r="A3811" s="90" t="s">
        <v>865</v>
      </c>
      <c r="B3811" s="90">
        <v>10712</v>
      </c>
      <c r="C3811" s="88" t="s">
        <v>1951</v>
      </c>
      <c r="D3811" s="90" t="s">
        <v>17</v>
      </c>
      <c r="E3811" s="90" t="s">
        <v>123</v>
      </c>
      <c r="F3811" s="90" t="s">
        <v>865</v>
      </c>
      <c r="G3811" s="137">
        <v>1</v>
      </c>
      <c r="H3811" s="94">
        <v>90</v>
      </c>
      <c r="I3811" s="87">
        <v>46100</v>
      </c>
      <c r="J3811" s="93">
        <v>0.53749999999999998</v>
      </c>
      <c r="K3811" s="94">
        <v>90</v>
      </c>
      <c r="L3811" s="72" t="str">
        <f t="shared" si="60"/>
        <v>Payé</v>
      </c>
      <c r="N3811" s="15"/>
    </row>
    <row r="3812" spans="1:14" s="14" customFormat="1" ht="18" x14ac:dyDescent="0.25">
      <c r="A3812" s="90" t="s">
        <v>865</v>
      </c>
      <c r="B3812" s="90">
        <v>10713</v>
      </c>
      <c r="C3812" s="88" t="s">
        <v>1952</v>
      </c>
      <c r="D3812" s="90" t="s">
        <v>17</v>
      </c>
      <c r="E3812" s="90" t="s">
        <v>254</v>
      </c>
      <c r="F3812" s="90" t="s">
        <v>865</v>
      </c>
      <c r="G3812" s="137">
        <v>2</v>
      </c>
      <c r="H3812" s="94">
        <v>190</v>
      </c>
      <c r="I3812" s="87">
        <v>46099</v>
      </c>
      <c r="J3812" s="93">
        <v>0.64444444444444449</v>
      </c>
      <c r="K3812" s="94">
        <v>190</v>
      </c>
      <c r="L3812" s="72" t="str">
        <f t="shared" si="60"/>
        <v>Payé</v>
      </c>
      <c r="N3812" s="15"/>
    </row>
    <row r="3813" spans="1:14" s="14" customFormat="1" ht="18" x14ac:dyDescent="0.25">
      <c r="A3813" s="90" t="s">
        <v>865</v>
      </c>
      <c r="B3813" s="90">
        <v>10714</v>
      </c>
      <c r="C3813" s="88" t="s">
        <v>1953</v>
      </c>
      <c r="D3813" s="90" t="s">
        <v>17</v>
      </c>
      <c r="E3813" s="90" t="s">
        <v>254</v>
      </c>
      <c r="F3813" s="90" t="s">
        <v>865</v>
      </c>
      <c r="G3813" s="137">
        <v>2</v>
      </c>
      <c r="H3813" s="94">
        <v>180</v>
      </c>
      <c r="I3813" s="87">
        <v>46099</v>
      </c>
      <c r="J3813" s="93">
        <v>0.64444444444444449</v>
      </c>
      <c r="K3813" s="94">
        <v>180</v>
      </c>
      <c r="L3813" s="72" t="str">
        <f t="shared" si="60"/>
        <v>Payé</v>
      </c>
      <c r="N3813" s="15"/>
    </row>
    <row r="3814" spans="1:14" s="14" customFormat="1" ht="18" x14ac:dyDescent="0.25">
      <c r="A3814" s="90" t="s">
        <v>865</v>
      </c>
      <c r="B3814" s="90">
        <v>10800</v>
      </c>
      <c r="C3814" s="88" t="s">
        <v>1299</v>
      </c>
      <c r="D3814" s="90" t="s">
        <v>17</v>
      </c>
      <c r="E3814" s="90" t="s">
        <v>649</v>
      </c>
      <c r="F3814" s="90" t="s">
        <v>865</v>
      </c>
      <c r="G3814" s="137">
        <v>1</v>
      </c>
      <c r="H3814" s="94">
        <v>90</v>
      </c>
      <c r="I3814" s="87"/>
      <c r="J3814" s="93"/>
      <c r="K3814" s="92"/>
      <c r="L3814" s="72" t="str">
        <f t="shared" si="60"/>
        <v>Impayé</v>
      </c>
      <c r="N3814" s="15"/>
    </row>
    <row r="3815" spans="1:14" s="14" customFormat="1" ht="18" x14ac:dyDescent="0.25">
      <c r="A3815" s="90" t="s">
        <v>865</v>
      </c>
      <c r="B3815" s="90">
        <v>30417</v>
      </c>
      <c r="C3815" s="88" t="s">
        <v>1583</v>
      </c>
      <c r="D3815" s="90" t="s">
        <v>17</v>
      </c>
      <c r="E3815" s="90" t="s">
        <v>649</v>
      </c>
      <c r="F3815" s="90" t="s">
        <v>865</v>
      </c>
      <c r="G3815" s="137">
        <v>8</v>
      </c>
      <c r="H3815" s="94">
        <v>720</v>
      </c>
      <c r="I3815" s="87">
        <v>46099</v>
      </c>
      <c r="J3815" s="93">
        <v>0.63124999999999998</v>
      </c>
      <c r="K3815" s="94">
        <v>720</v>
      </c>
      <c r="L3815" s="72" t="str">
        <f t="shared" si="60"/>
        <v>Payé</v>
      </c>
      <c r="N3815" s="15"/>
    </row>
    <row r="3816" spans="1:14" s="14" customFormat="1" ht="18" x14ac:dyDescent="0.25">
      <c r="A3816" s="90" t="s">
        <v>865</v>
      </c>
      <c r="B3816" s="90"/>
      <c r="C3816" s="88" t="s">
        <v>585</v>
      </c>
      <c r="D3816" s="89" t="s">
        <v>910</v>
      </c>
      <c r="E3816" s="90" t="s">
        <v>123</v>
      </c>
      <c r="F3816" s="90" t="s">
        <v>865</v>
      </c>
      <c r="G3816" s="95">
        <v>225</v>
      </c>
      <c r="H3816" s="92">
        <v>6750</v>
      </c>
      <c r="I3816" s="87">
        <v>46100</v>
      </c>
      <c r="J3816" s="93">
        <v>0.53541666666666665</v>
      </c>
      <c r="K3816" s="92">
        <v>6750</v>
      </c>
      <c r="L3816" s="72" t="str">
        <f t="shared" si="60"/>
        <v>Payé</v>
      </c>
      <c r="N3816" s="15"/>
    </row>
    <row r="3817" spans="1:14" s="14" customFormat="1" ht="18" x14ac:dyDescent="0.25">
      <c r="A3817" s="90" t="s">
        <v>865</v>
      </c>
      <c r="B3817" s="90"/>
      <c r="C3817" s="88" t="s">
        <v>406</v>
      </c>
      <c r="D3817" s="89" t="s">
        <v>910</v>
      </c>
      <c r="E3817" s="90" t="s">
        <v>1191</v>
      </c>
      <c r="F3817" s="90" t="s">
        <v>865</v>
      </c>
      <c r="G3817" s="95">
        <v>128</v>
      </c>
      <c r="H3817" s="92">
        <v>3840</v>
      </c>
      <c r="I3817" s="87">
        <v>46100</v>
      </c>
      <c r="J3817" s="93">
        <v>0.40347222222222223</v>
      </c>
      <c r="K3817" s="92">
        <v>3840</v>
      </c>
      <c r="L3817" s="72" t="str">
        <f t="shared" si="60"/>
        <v>Payé</v>
      </c>
      <c r="N3817" s="15"/>
    </row>
    <row r="3818" spans="1:14" s="14" customFormat="1" ht="18" x14ac:dyDescent="0.25">
      <c r="A3818" s="90" t="s">
        <v>865</v>
      </c>
      <c r="B3818" s="90"/>
      <c r="C3818" s="88" t="s">
        <v>1346</v>
      </c>
      <c r="D3818" s="89" t="s">
        <v>910</v>
      </c>
      <c r="E3818" s="90" t="s">
        <v>649</v>
      </c>
      <c r="F3818" s="90" t="s">
        <v>865</v>
      </c>
      <c r="G3818" s="95">
        <v>123</v>
      </c>
      <c r="H3818" s="92">
        <v>3690</v>
      </c>
      <c r="I3818" s="87">
        <v>46099</v>
      </c>
      <c r="J3818" s="93">
        <v>0.63124999999999998</v>
      </c>
      <c r="K3818" s="92">
        <v>3690</v>
      </c>
      <c r="L3818" s="72" t="str">
        <f t="shared" si="60"/>
        <v>Payé</v>
      </c>
      <c r="N3818" s="15"/>
    </row>
    <row r="3819" spans="1:14" s="14" customFormat="1" ht="18" x14ac:dyDescent="0.25">
      <c r="A3819" s="90" t="s">
        <v>865</v>
      </c>
      <c r="B3819" s="90"/>
      <c r="C3819" s="88" t="s">
        <v>630</v>
      </c>
      <c r="D3819" s="89" t="s">
        <v>910</v>
      </c>
      <c r="E3819" s="90" t="s">
        <v>1047</v>
      </c>
      <c r="F3819" s="90" t="s">
        <v>865</v>
      </c>
      <c r="G3819" s="95">
        <v>266</v>
      </c>
      <c r="H3819" s="92">
        <v>7980</v>
      </c>
      <c r="I3819" s="87">
        <v>46100</v>
      </c>
      <c r="J3819" s="93">
        <v>0.52013888888888882</v>
      </c>
      <c r="K3819" s="92">
        <v>7980</v>
      </c>
      <c r="L3819" s="72" t="str">
        <f t="shared" si="60"/>
        <v>Payé</v>
      </c>
      <c r="N3819" s="15"/>
    </row>
    <row r="3820" spans="1:14" s="14" customFormat="1" ht="18" x14ac:dyDescent="0.25">
      <c r="A3820" s="90" t="s">
        <v>865</v>
      </c>
      <c r="B3820" s="90"/>
      <c r="C3820" s="88" t="s">
        <v>719</v>
      </c>
      <c r="D3820" s="89" t="s">
        <v>910</v>
      </c>
      <c r="E3820" s="90" t="s">
        <v>1349</v>
      </c>
      <c r="F3820" s="90" t="s">
        <v>865</v>
      </c>
      <c r="G3820" s="95">
        <v>43</v>
      </c>
      <c r="H3820" s="92">
        <v>1505</v>
      </c>
      <c r="I3820" s="87">
        <v>46099</v>
      </c>
      <c r="J3820" s="93">
        <v>0.62291666666666667</v>
      </c>
      <c r="K3820" s="92">
        <v>1505</v>
      </c>
      <c r="L3820" s="72" t="str">
        <f t="shared" si="60"/>
        <v>Payé</v>
      </c>
      <c r="N3820" s="15"/>
    </row>
    <row r="3821" spans="1:14" s="14" customFormat="1" ht="18" x14ac:dyDescent="0.25">
      <c r="A3821" s="90" t="s">
        <v>865</v>
      </c>
      <c r="B3821" s="90"/>
      <c r="C3821" s="88" t="s">
        <v>1189</v>
      </c>
      <c r="D3821" s="89" t="s">
        <v>910</v>
      </c>
      <c r="E3821" s="90" t="s">
        <v>49</v>
      </c>
      <c r="F3821" s="90" t="s">
        <v>865</v>
      </c>
      <c r="G3821" s="95">
        <v>166</v>
      </c>
      <c r="H3821" s="92">
        <v>4980</v>
      </c>
      <c r="I3821" s="87">
        <v>46099</v>
      </c>
      <c r="J3821" s="93">
        <v>0.61249999999999993</v>
      </c>
      <c r="K3821" s="92">
        <v>4980</v>
      </c>
      <c r="L3821" s="72" t="str">
        <f t="shared" si="60"/>
        <v>Payé</v>
      </c>
      <c r="N3821" s="15"/>
    </row>
    <row r="3822" spans="1:14" s="14" customFormat="1" ht="18" x14ac:dyDescent="0.25">
      <c r="A3822" s="90" t="s">
        <v>865</v>
      </c>
      <c r="B3822" s="90"/>
      <c r="C3822" s="88" t="s">
        <v>632</v>
      </c>
      <c r="D3822" s="89" t="s">
        <v>910</v>
      </c>
      <c r="E3822" s="90" t="s">
        <v>1913</v>
      </c>
      <c r="F3822" s="90" t="s">
        <v>865</v>
      </c>
      <c r="G3822" s="95">
        <v>267</v>
      </c>
      <c r="H3822" s="92">
        <v>8010</v>
      </c>
      <c r="I3822" s="87">
        <v>46099</v>
      </c>
      <c r="J3822" s="93">
        <v>0.61249999999999993</v>
      </c>
      <c r="K3822" s="92">
        <v>8010</v>
      </c>
      <c r="L3822" s="72" t="str">
        <f t="shared" si="60"/>
        <v>Payé</v>
      </c>
      <c r="N3822" s="15"/>
    </row>
    <row r="3823" spans="1:14" s="14" customFormat="1" ht="18" x14ac:dyDescent="0.25">
      <c r="A3823" s="90" t="s">
        <v>865</v>
      </c>
      <c r="B3823" s="90"/>
      <c r="C3823" s="88" t="s">
        <v>1954</v>
      </c>
      <c r="D3823" s="89" t="s">
        <v>910</v>
      </c>
      <c r="E3823" s="90" t="s">
        <v>1956</v>
      </c>
      <c r="F3823" s="90" t="s">
        <v>865</v>
      </c>
      <c r="G3823" s="95">
        <v>200</v>
      </c>
      <c r="H3823" s="92">
        <v>6000</v>
      </c>
      <c r="I3823" s="87">
        <v>46099</v>
      </c>
      <c r="J3823" s="93">
        <v>0.64374999999999993</v>
      </c>
      <c r="K3823" s="92">
        <v>6000</v>
      </c>
      <c r="L3823" s="72" t="str">
        <f t="shared" si="60"/>
        <v>Payé</v>
      </c>
      <c r="N3823" s="15"/>
    </row>
    <row r="3824" spans="1:14" s="14" customFormat="1" ht="18" x14ac:dyDescent="0.25">
      <c r="A3824" s="90" t="s">
        <v>865</v>
      </c>
      <c r="B3824" s="90"/>
      <c r="C3824" s="88" t="s">
        <v>1804</v>
      </c>
      <c r="D3824" s="89" t="s">
        <v>910</v>
      </c>
      <c r="E3824" s="90" t="s">
        <v>1344</v>
      </c>
      <c r="F3824" s="90" t="s">
        <v>865</v>
      </c>
      <c r="G3824" s="95">
        <v>80</v>
      </c>
      <c r="H3824" s="92">
        <v>2000</v>
      </c>
      <c r="I3824" s="87">
        <v>46099</v>
      </c>
      <c r="J3824" s="93">
        <v>0.56527777777777777</v>
      </c>
      <c r="K3824" s="92">
        <v>2000</v>
      </c>
      <c r="L3824" s="72" t="str">
        <f t="shared" si="60"/>
        <v>Payé</v>
      </c>
      <c r="N3824" s="15"/>
    </row>
    <row r="3825" spans="1:14" s="14" customFormat="1" ht="18" x14ac:dyDescent="0.25">
      <c r="A3825" s="90" t="s">
        <v>865</v>
      </c>
      <c r="B3825" s="90"/>
      <c r="C3825" s="88" t="s">
        <v>1744</v>
      </c>
      <c r="D3825" s="89" t="s">
        <v>910</v>
      </c>
      <c r="E3825" s="90" t="s">
        <v>1802</v>
      </c>
      <c r="F3825" s="90" t="s">
        <v>865</v>
      </c>
      <c r="G3825" s="95">
        <v>161</v>
      </c>
      <c r="H3825" s="92">
        <v>4830</v>
      </c>
      <c r="I3825" s="87">
        <v>46099</v>
      </c>
      <c r="J3825" s="93">
        <v>0.56527777777777777</v>
      </c>
      <c r="K3825" s="92">
        <v>4830</v>
      </c>
      <c r="L3825" s="72" t="str">
        <f t="shared" si="60"/>
        <v>Payé</v>
      </c>
      <c r="N3825" s="15"/>
    </row>
    <row r="3826" spans="1:14" s="14" customFormat="1" ht="18" x14ac:dyDescent="0.25">
      <c r="A3826" s="90" t="s">
        <v>865</v>
      </c>
      <c r="B3826" s="90"/>
      <c r="C3826" s="88" t="s">
        <v>1955</v>
      </c>
      <c r="D3826" s="89" t="s">
        <v>910</v>
      </c>
      <c r="E3826" s="90" t="s">
        <v>1957</v>
      </c>
      <c r="F3826" s="90" t="s">
        <v>865</v>
      </c>
      <c r="G3826" s="95">
        <v>395</v>
      </c>
      <c r="H3826" s="92">
        <v>11850</v>
      </c>
      <c r="I3826" s="87">
        <v>46099</v>
      </c>
      <c r="J3826" s="93">
        <v>0.64861111111111114</v>
      </c>
      <c r="K3826" s="92">
        <v>11850</v>
      </c>
      <c r="L3826" s="72" t="str">
        <f t="shared" si="60"/>
        <v>Payé</v>
      </c>
      <c r="N3826" s="15"/>
    </row>
    <row r="3827" spans="1:14" s="14" customFormat="1" ht="18" x14ac:dyDescent="0.25">
      <c r="A3827" s="90" t="s">
        <v>865</v>
      </c>
      <c r="B3827" s="90"/>
      <c r="C3827" s="88" t="s">
        <v>1955</v>
      </c>
      <c r="D3827" s="89" t="s">
        <v>910</v>
      </c>
      <c r="E3827" s="90" t="s">
        <v>1664</v>
      </c>
      <c r="F3827" s="90" t="s">
        <v>865</v>
      </c>
      <c r="G3827" s="95">
        <v>461</v>
      </c>
      <c r="H3827" s="92">
        <v>13830</v>
      </c>
      <c r="I3827" s="87">
        <v>46099</v>
      </c>
      <c r="J3827" s="93">
        <v>0.64861111111111114</v>
      </c>
      <c r="K3827" s="92">
        <v>13830</v>
      </c>
      <c r="L3827" s="72" t="str">
        <f t="shared" si="60"/>
        <v>Payé</v>
      </c>
      <c r="N3827" s="15"/>
    </row>
    <row r="3828" spans="1:14" s="14" customFormat="1" ht="18" x14ac:dyDescent="0.25">
      <c r="A3828" s="90" t="s">
        <v>865</v>
      </c>
      <c r="B3828" s="90"/>
      <c r="C3828" s="212" t="s">
        <v>1351</v>
      </c>
      <c r="D3828" s="89" t="s">
        <v>912</v>
      </c>
      <c r="E3828" s="136" t="s">
        <v>1195</v>
      </c>
      <c r="F3828" s="90" t="s">
        <v>865</v>
      </c>
      <c r="G3828" s="94">
        <v>3</v>
      </c>
      <c r="H3828" s="92">
        <v>1350</v>
      </c>
      <c r="I3828" s="87">
        <v>46100</v>
      </c>
      <c r="J3828" s="93">
        <v>0.52777777777777779</v>
      </c>
      <c r="K3828" s="92">
        <v>1350</v>
      </c>
      <c r="L3828" s="72" t="str">
        <f t="shared" si="60"/>
        <v>Payé</v>
      </c>
      <c r="N3828" s="15"/>
    </row>
    <row r="3829" spans="1:14" s="14" customFormat="1" ht="18" x14ac:dyDescent="0.25">
      <c r="A3829" s="90" t="s">
        <v>865</v>
      </c>
      <c r="B3829" s="90"/>
      <c r="C3829" s="212" t="s">
        <v>1351</v>
      </c>
      <c r="D3829" s="89" t="s">
        <v>912</v>
      </c>
      <c r="E3829" s="136" t="s">
        <v>1195</v>
      </c>
      <c r="F3829" s="90" t="s">
        <v>865</v>
      </c>
      <c r="G3829" s="94">
        <v>2</v>
      </c>
      <c r="H3829" s="92">
        <v>900</v>
      </c>
      <c r="I3829" s="87">
        <v>46100</v>
      </c>
      <c r="J3829" s="93">
        <v>0.52777777777777779</v>
      </c>
      <c r="K3829" s="92">
        <v>900</v>
      </c>
      <c r="L3829" s="72" t="str">
        <f t="shared" si="60"/>
        <v>Payé</v>
      </c>
      <c r="N3829" s="15"/>
    </row>
    <row r="3830" spans="1:14" s="14" customFormat="1" ht="18" x14ac:dyDescent="0.25">
      <c r="A3830" s="90" t="s">
        <v>865</v>
      </c>
      <c r="B3830" s="90"/>
      <c r="C3830" s="212" t="s">
        <v>1351</v>
      </c>
      <c r="D3830" s="89" t="s">
        <v>912</v>
      </c>
      <c r="E3830" s="136" t="s">
        <v>1195</v>
      </c>
      <c r="F3830" s="90" t="s">
        <v>865</v>
      </c>
      <c r="G3830" s="94">
        <v>1</v>
      </c>
      <c r="H3830" s="92">
        <v>450</v>
      </c>
      <c r="I3830" s="87">
        <v>46100</v>
      </c>
      <c r="J3830" s="93">
        <v>0.52777777777777779</v>
      </c>
      <c r="K3830" s="92">
        <v>450</v>
      </c>
      <c r="L3830" s="72" t="str">
        <f t="shared" si="60"/>
        <v>Payé</v>
      </c>
      <c r="N3830" s="15"/>
    </row>
    <row r="3831" spans="1:14" s="14" customFormat="1" ht="18" x14ac:dyDescent="0.25">
      <c r="A3831" s="90" t="s">
        <v>865</v>
      </c>
      <c r="B3831" s="90"/>
      <c r="C3831" s="212" t="s">
        <v>1352</v>
      </c>
      <c r="D3831" s="89" t="s">
        <v>912</v>
      </c>
      <c r="E3831" s="136" t="s">
        <v>1195</v>
      </c>
      <c r="F3831" s="90" t="s">
        <v>865</v>
      </c>
      <c r="G3831" s="94">
        <v>3</v>
      </c>
      <c r="H3831" s="92">
        <v>1350</v>
      </c>
      <c r="I3831" s="87">
        <v>46099</v>
      </c>
      <c r="J3831" s="93">
        <v>0.59791666666666665</v>
      </c>
      <c r="K3831" s="92">
        <v>1350</v>
      </c>
      <c r="L3831" s="72" t="str">
        <f t="shared" si="60"/>
        <v>Payé</v>
      </c>
      <c r="N3831" s="15"/>
    </row>
    <row r="3832" spans="1:14" s="14" customFormat="1" ht="18" x14ac:dyDescent="0.25">
      <c r="A3832" s="90" t="s">
        <v>865</v>
      </c>
      <c r="B3832" s="90"/>
      <c r="C3832" s="198" t="s">
        <v>548</v>
      </c>
      <c r="D3832" s="89" t="s">
        <v>912</v>
      </c>
      <c r="E3832" s="136" t="s">
        <v>146</v>
      </c>
      <c r="F3832" s="90" t="s">
        <v>865</v>
      </c>
      <c r="G3832" s="94">
        <v>1</v>
      </c>
      <c r="H3832" s="92">
        <v>150</v>
      </c>
      <c r="I3832" s="87">
        <v>46099</v>
      </c>
      <c r="J3832" s="93">
        <v>0.63541666666666663</v>
      </c>
      <c r="K3832" s="92">
        <v>150</v>
      </c>
      <c r="L3832" s="72" t="str">
        <f t="shared" si="60"/>
        <v>Payé</v>
      </c>
      <c r="N3832" s="15"/>
    </row>
    <row r="3833" spans="1:14" s="14" customFormat="1" ht="18" x14ac:dyDescent="0.25">
      <c r="A3833" s="90" t="s">
        <v>865</v>
      </c>
      <c r="B3833" s="90"/>
      <c r="C3833" s="198" t="s">
        <v>1744</v>
      </c>
      <c r="D3833" s="89" t="s">
        <v>912</v>
      </c>
      <c r="E3833" s="136" t="s">
        <v>146</v>
      </c>
      <c r="F3833" s="90" t="s">
        <v>865</v>
      </c>
      <c r="G3833" s="94">
        <v>4</v>
      </c>
      <c r="H3833" s="92">
        <v>600</v>
      </c>
      <c r="I3833" s="87">
        <v>46099</v>
      </c>
      <c r="J3833" s="93">
        <v>0.56805555555555554</v>
      </c>
      <c r="K3833" s="92">
        <v>600</v>
      </c>
      <c r="L3833" s="72" t="str">
        <f t="shared" si="60"/>
        <v>Payé</v>
      </c>
      <c r="N3833" s="15"/>
    </row>
    <row r="3834" spans="1:14" s="14" customFormat="1" ht="18" x14ac:dyDescent="0.25">
      <c r="A3834" s="90" t="s">
        <v>865</v>
      </c>
      <c r="B3834" s="90"/>
      <c r="C3834" s="198" t="s">
        <v>1744</v>
      </c>
      <c r="D3834" s="89" t="s">
        <v>912</v>
      </c>
      <c r="E3834" s="136" t="s">
        <v>146</v>
      </c>
      <c r="F3834" s="90" t="s">
        <v>865</v>
      </c>
      <c r="G3834" s="94">
        <v>13</v>
      </c>
      <c r="H3834" s="92">
        <v>1300</v>
      </c>
      <c r="I3834" s="87">
        <v>46099</v>
      </c>
      <c r="J3834" s="93">
        <v>0.56805555555555554</v>
      </c>
      <c r="K3834" s="92">
        <v>1300</v>
      </c>
      <c r="L3834" s="72" t="str">
        <f t="shared" si="60"/>
        <v>Payé</v>
      </c>
      <c r="N3834" s="15"/>
    </row>
    <row r="3835" spans="1:14" s="14" customFormat="1" ht="18" x14ac:dyDescent="0.25">
      <c r="A3835" s="90" t="s">
        <v>865</v>
      </c>
      <c r="B3835" s="90"/>
      <c r="C3835" s="212" t="s">
        <v>1355</v>
      </c>
      <c r="D3835" s="89" t="s">
        <v>912</v>
      </c>
      <c r="E3835" s="136" t="s">
        <v>1284</v>
      </c>
      <c r="F3835" s="90" t="s">
        <v>865</v>
      </c>
      <c r="G3835" s="94">
        <v>24</v>
      </c>
      <c r="H3835" s="92">
        <v>12000</v>
      </c>
      <c r="I3835" s="87">
        <v>46104</v>
      </c>
      <c r="J3835" s="93">
        <v>0.51736111111111105</v>
      </c>
      <c r="K3835" s="92">
        <v>12000</v>
      </c>
      <c r="L3835" s="72" t="str">
        <f t="shared" si="60"/>
        <v>Payé</v>
      </c>
      <c r="N3835" s="15"/>
    </row>
    <row r="3836" spans="1:14" s="14" customFormat="1" ht="18" x14ac:dyDescent="0.25">
      <c r="A3836" s="90" t="s">
        <v>865</v>
      </c>
      <c r="B3836" s="90">
        <v>10103</v>
      </c>
      <c r="C3836" s="88" t="s">
        <v>1958</v>
      </c>
      <c r="D3836" s="89" t="s">
        <v>17</v>
      </c>
      <c r="E3836" s="90"/>
      <c r="F3836" s="90" t="s">
        <v>865</v>
      </c>
      <c r="G3836" s="94">
        <v>6</v>
      </c>
      <c r="H3836" s="92">
        <v>540</v>
      </c>
      <c r="I3836" s="87">
        <v>46105</v>
      </c>
      <c r="J3836" s="93">
        <v>0.53263888888888888</v>
      </c>
      <c r="K3836" s="92">
        <v>540</v>
      </c>
      <c r="L3836" s="72" t="str">
        <f t="shared" si="60"/>
        <v>Payé</v>
      </c>
      <c r="N3836" s="15"/>
    </row>
    <row r="3837" spans="1:14" s="14" customFormat="1" ht="18" x14ac:dyDescent="0.25">
      <c r="A3837" s="90" t="s">
        <v>865</v>
      </c>
      <c r="B3837" s="90">
        <v>10624</v>
      </c>
      <c r="C3837" s="88" t="s">
        <v>1850</v>
      </c>
      <c r="D3837" s="89" t="s">
        <v>17</v>
      </c>
      <c r="E3837" s="90"/>
      <c r="F3837" s="90" t="s">
        <v>865</v>
      </c>
      <c r="G3837" s="94">
        <v>11</v>
      </c>
      <c r="H3837" s="92">
        <v>1030</v>
      </c>
      <c r="I3837" s="87">
        <v>46100</v>
      </c>
      <c r="J3837" s="93">
        <v>0.57638888888888895</v>
      </c>
      <c r="K3837" s="92">
        <v>1030</v>
      </c>
      <c r="L3837" s="72" t="str">
        <f t="shared" si="60"/>
        <v>Payé</v>
      </c>
      <c r="N3837" s="15"/>
    </row>
    <row r="3838" spans="1:14" s="14" customFormat="1" ht="18" x14ac:dyDescent="0.25">
      <c r="A3838" s="90" t="s">
        <v>865</v>
      </c>
      <c r="B3838" s="90">
        <v>10705</v>
      </c>
      <c r="C3838" s="88" t="s">
        <v>1959</v>
      </c>
      <c r="D3838" s="89" t="s">
        <v>17</v>
      </c>
      <c r="E3838" s="90"/>
      <c r="F3838" s="90" t="s">
        <v>865</v>
      </c>
      <c r="G3838" s="94">
        <v>7</v>
      </c>
      <c r="H3838" s="92">
        <v>660</v>
      </c>
      <c r="I3838" s="87">
        <v>46099</v>
      </c>
      <c r="J3838" s="93">
        <v>0.60625000000000007</v>
      </c>
      <c r="K3838" s="92">
        <v>660</v>
      </c>
      <c r="L3838" s="72" t="str">
        <f t="shared" si="60"/>
        <v>Payé</v>
      </c>
      <c r="N3838" s="15"/>
    </row>
    <row r="3839" spans="1:14" s="14" customFormat="1" ht="18" x14ac:dyDescent="0.25">
      <c r="A3839" s="90" t="s">
        <v>866</v>
      </c>
      <c r="B3839" s="90">
        <v>6</v>
      </c>
      <c r="C3839" s="88" t="s">
        <v>542</v>
      </c>
      <c r="D3839" s="89" t="s">
        <v>17</v>
      </c>
      <c r="E3839" s="90" t="s">
        <v>368</v>
      </c>
      <c r="F3839" s="90" t="s">
        <v>866</v>
      </c>
      <c r="G3839" s="137">
        <v>2</v>
      </c>
      <c r="H3839" s="94">
        <v>191</v>
      </c>
      <c r="I3839" s="87">
        <v>46119</v>
      </c>
      <c r="J3839" s="93">
        <v>0.58888888888888891</v>
      </c>
      <c r="K3839" s="94">
        <v>191</v>
      </c>
      <c r="L3839" s="72" t="str">
        <f t="shared" si="60"/>
        <v>Payé</v>
      </c>
      <c r="N3839" s="15"/>
    </row>
    <row r="3840" spans="1:14" s="14" customFormat="1" ht="18" x14ac:dyDescent="0.25">
      <c r="A3840" s="90" t="s">
        <v>866</v>
      </c>
      <c r="B3840" s="90">
        <v>41</v>
      </c>
      <c r="C3840" s="88" t="s">
        <v>407</v>
      </c>
      <c r="D3840" s="89" t="s">
        <v>17</v>
      </c>
      <c r="E3840" s="90" t="s">
        <v>370</v>
      </c>
      <c r="F3840" s="90" t="s">
        <v>866</v>
      </c>
      <c r="G3840" s="137">
        <v>2</v>
      </c>
      <c r="H3840" s="94">
        <v>191</v>
      </c>
      <c r="I3840" s="87">
        <v>46122</v>
      </c>
      <c r="J3840" s="93">
        <v>0.66180555555555554</v>
      </c>
      <c r="K3840" s="94">
        <v>191</v>
      </c>
      <c r="L3840" s="72" t="str">
        <f t="shared" si="60"/>
        <v>Payé</v>
      </c>
      <c r="N3840" s="15"/>
    </row>
    <row r="3841" spans="1:14" s="14" customFormat="1" ht="18" x14ac:dyDescent="0.25">
      <c r="A3841" s="90" t="s">
        <v>866</v>
      </c>
      <c r="B3841" s="90">
        <v>95</v>
      </c>
      <c r="C3841" s="88" t="s">
        <v>408</v>
      </c>
      <c r="D3841" s="89" t="s">
        <v>17</v>
      </c>
      <c r="E3841" s="90" t="s">
        <v>103</v>
      </c>
      <c r="F3841" s="90" t="s">
        <v>866</v>
      </c>
      <c r="G3841" s="137">
        <v>2</v>
      </c>
      <c r="H3841" s="94">
        <v>191</v>
      </c>
      <c r="I3841" s="87">
        <v>46119</v>
      </c>
      <c r="J3841" s="93">
        <v>0.71527777777777779</v>
      </c>
      <c r="K3841" s="94">
        <v>191</v>
      </c>
      <c r="L3841" s="72" t="str">
        <f t="shared" si="60"/>
        <v>Payé</v>
      </c>
      <c r="N3841" s="15"/>
    </row>
    <row r="3842" spans="1:14" s="14" customFormat="1" ht="18" x14ac:dyDescent="0.25">
      <c r="A3842" s="90" t="s">
        <v>866</v>
      </c>
      <c r="B3842" s="90">
        <v>102</v>
      </c>
      <c r="C3842" s="88" t="s">
        <v>594</v>
      </c>
      <c r="D3842" s="89" t="s">
        <v>17</v>
      </c>
      <c r="E3842" s="90" t="s">
        <v>103</v>
      </c>
      <c r="F3842" s="90" t="s">
        <v>866</v>
      </c>
      <c r="G3842" s="137">
        <v>2</v>
      </c>
      <c r="H3842" s="94">
        <v>191</v>
      </c>
      <c r="I3842" s="87">
        <v>46119</v>
      </c>
      <c r="J3842" s="93">
        <v>0.69513888888888886</v>
      </c>
      <c r="K3842" s="94">
        <v>191</v>
      </c>
      <c r="L3842" s="72" t="str">
        <f t="shared" si="60"/>
        <v>Payé</v>
      </c>
      <c r="N3842" s="15"/>
    </row>
    <row r="3843" spans="1:14" s="14" customFormat="1" ht="18" x14ac:dyDescent="0.25">
      <c r="A3843" s="90" t="s">
        <v>866</v>
      </c>
      <c r="B3843" s="90">
        <v>198</v>
      </c>
      <c r="C3843" s="88" t="s">
        <v>380</v>
      </c>
      <c r="D3843" s="89" t="s">
        <v>17</v>
      </c>
      <c r="E3843" s="90" t="s">
        <v>369</v>
      </c>
      <c r="F3843" s="90" t="s">
        <v>866</v>
      </c>
      <c r="G3843" s="137">
        <v>2</v>
      </c>
      <c r="H3843" s="94">
        <v>191</v>
      </c>
      <c r="I3843" s="87">
        <v>46121</v>
      </c>
      <c r="J3843" s="93">
        <v>0.71180555555555547</v>
      </c>
      <c r="K3843" s="94">
        <v>191</v>
      </c>
      <c r="L3843" s="72" t="str">
        <f t="shared" si="60"/>
        <v>Payé</v>
      </c>
      <c r="N3843" s="15"/>
    </row>
    <row r="3844" spans="1:14" s="14" customFormat="1" ht="18" x14ac:dyDescent="0.25">
      <c r="A3844" s="90" t="s">
        <v>866</v>
      </c>
      <c r="B3844" s="90">
        <v>201</v>
      </c>
      <c r="C3844" s="88" t="s">
        <v>599</v>
      </c>
      <c r="D3844" s="89" t="s">
        <v>17</v>
      </c>
      <c r="E3844" s="90" t="s">
        <v>81</v>
      </c>
      <c r="F3844" s="90" t="s">
        <v>866</v>
      </c>
      <c r="G3844" s="137">
        <v>1</v>
      </c>
      <c r="H3844" s="94">
        <v>95</v>
      </c>
      <c r="I3844" s="87">
        <v>46119</v>
      </c>
      <c r="J3844" s="93">
        <v>0.62291666666666667</v>
      </c>
      <c r="K3844" s="94">
        <v>95</v>
      </c>
      <c r="L3844" s="72" t="str">
        <f t="shared" si="60"/>
        <v>Payé</v>
      </c>
      <c r="N3844" s="15"/>
    </row>
    <row r="3845" spans="1:14" s="14" customFormat="1" ht="18" x14ac:dyDescent="0.25">
      <c r="A3845" s="90" t="s">
        <v>866</v>
      </c>
      <c r="B3845" s="90">
        <v>236</v>
      </c>
      <c r="C3845" s="88" t="s">
        <v>1670</v>
      </c>
      <c r="D3845" s="89" t="s">
        <v>17</v>
      </c>
      <c r="E3845" s="90" t="s">
        <v>628</v>
      </c>
      <c r="F3845" s="90" t="s">
        <v>866</v>
      </c>
      <c r="G3845" s="137">
        <v>9</v>
      </c>
      <c r="H3845" s="94">
        <v>890</v>
      </c>
      <c r="I3845" s="87">
        <v>46118</v>
      </c>
      <c r="J3845" s="93">
        <v>0.69305555555555554</v>
      </c>
      <c r="K3845" s="94">
        <v>890</v>
      </c>
      <c r="L3845" s="72" t="str">
        <f t="shared" si="60"/>
        <v>Payé</v>
      </c>
      <c r="N3845" s="15"/>
    </row>
    <row r="3846" spans="1:14" s="14" customFormat="1" ht="18" x14ac:dyDescent="0.25">
      <c r="A3846" s="90" t="s">
        <v>866</v>
      </c>
      <c r="B3846" s="90">
        <v>487</v>
      </c>
      <c r="C3846" s="88" t="s">
        <v>1113</v>
      </c>
      <c r="D3846" s="89" t="s">
        <v>17</v>
      </c>
      <c r="E3846" s="90" t="s">
        <v>123</v>
      </c>
      <c r="F3846" s="90" t="s">
        <v>866</v>
      </c>
      <c r="G3846" s="137">
        <v>1</v>
      </c>
      <c r="H3846" s="94">
        <v>91</v>
      </c>
      <c r="I3846" s="91"/>
      <c r="J3846" s="165"/>
      <c r="K3846" s="92"/>
      <c r="L3846" s="72" t="str">
        <f t="shared" si="60"/>
        <v>Impayé</v>
      </c>
      <c r="N3846" s="15"/>
    </row>
    <row r="3847" spans="1:14" s="14" customFormat="1" ht="18" x14ac:dyDescent="0.25">
      <c r="A3847" s="90" t="s">
        <v>866</v>
      </c>
      <c r="B3847" s="90">
        <v>752</v>
      </c>
      <c r="C3847" s="88" t="s">
        <v>384</v>
      </c>
      <c r="D3847" s="89" t="s">
        <v>17</v>
      </c>
      <c r="E3847" s="90" t="s">
        <v>370</v>
      </c>
      <c r="F3847" s="90" t="s">
        <v>866</v>
      </c>
      <c r="G3847" s="137">
        <v>2</v>
      </c>
      <c r="H3847" s="94">
        <v>182</v>
      </c>
      <c r="I3847" s="87">
        <v>46122</v>
      </c>
      <c r="J3847" s="93">
        <v>0.66180555555555554</v>
      </c>
      <c r="K3847" s="94">
        <v>182</v>
      </c>
      <c r="L3847" s="72" t="str">
        <f t="shared" si="60"/>
        <v>Payé</v>
      </c>
      <c r="N3847" s="15"/>
    </row>
    <row r="3848" spans="1:14" s="14" customFormat="1" ht="18" x14ac:dyDescent="0.25">
      <c r="A3848" s="90" t="s">
        <v>866</v>
      </c>
      <c r="B3848" s="90">
        <v>851</v>
      </c>
      <c r="C3848" s="88" t="s">
        <v>403</v>
      </c>
      <c r="D3848" s="89" t="s">
        <v>17</v>
      </c>
      <c r="E3848" s="90" t="s">
        <v>49</v>
      </c>
      <c r="F3848" s="90" t="s">
        <v>866</v>
      </c>
      <c r="G3848" s="137">
        <v>2</v>
      </c>
      <c r="H3848" s="94">
        <v>182</v>
      </c>
      <c r="I3848" s="87">
        <v>46119</v>
      </c>
      <c r="J3848" s="93">
        <v>0.6875</v>
      </c>
      <c r="K3848" s="94">
        <v>182</v>
      </c>
      <c r="L3848" s="72" t="str">
        <f t="shared" si="60"/>
        <v>Payé</v>
      </c>
      <c r="N3848" s="15"/>
    </row>
    <row r="3849" spans="1:14" s="14" customFormat="1" ht="18" x14ac:dyDescent="0.25">
      <c r="A3849" s="90" t="s">
        <v>866</v>
      </c>
      <c r="B3849" s="90">
        <v>990</v>
      </c>
      <c r="C3849" s="88" t="s">
        <v>1585</v>
      </c>
      <c r="D3849" s="89" t="s">
        <v>17</v>
      </c>
      <c r="E3849" s="90" t="s">
        <v>123</v>
      </c>
      <c r="F3849" s="90" t="s">
        <v>866</v>
      </c>
      <c r="G3849" s="137">
        <v>10</v>
      </c>
      <c r="H3849" s="94">
        <v>1078</v>
      </c>
      <c r="I3849" s="91"/>
      <c r="J3849" s="165"/>
      <c r="K3849" s="92"/>
      <c r="L3849" s="72" t="str">
        <f t="shared" si="60"/>
        <v>Impayé</v>
      </c>
      <c r="N3849" s="15"/>
    </row>
    <row r="3850" spans="1:14" s="14" customFormat="1" ht="18" x14ac:dyDescent="0.25">
      <c r="A3850" s="90" t="s">
        <v>866</v>
      </c>
      <c r="B3850" s="90">
        <v>1588</v>
      </c>
      <c r="C3850" s="88" t="s">
        <v>616</v>
      </c>
      <c r="D3850" s="89" t="s">
        <v>17</v>
      </c>
      <c r="E3850" s="90" t="s">
        <v>1905</v>
      </c>
      <c r="F3850" s="90" t="s">
        <v>866</v>
      </c>
      <c r="G3850" s="137">
        <v>1</v>
      </c>
      <c r="H3850" s="94">
        <v>132</v>
      </c>
      <c r="I3850" s="87">
        <v>46123</v>
      </c>
      <c r="J3850" s="93">
        <v>0.5444444444444444</v>
      </c>
      <c r="K3850" s="94">
        <v>132</v>
      </c>
      <c r="L3850" s="72" t="str">
        <f t="shared" si="60"/>
        <v>Payé</v>
      </c>
      <c r="N3850" s="15"/>
    </row>
    <row r="3851" spans="1:14" s="14" customFormat="1" ht="18" x14ac:dyDescent="0.25">
      <c r="A3851" s="90" t="s">
        <v>866</v>
      </c>
      <c r="B3851" s="90">
        <v>1608</v>
      </c>
      <c r="C3851" s="88" t="s">
        <v>1962</v>
      </c>
      <c r="D3851" s="89" t="s">
        <v>17</v>
      </c>
      <c r="E3851" s="90" t="s">
        <v>1664</v>
      </c>
      <c r="F3851" s="90" t="s">
        <v>866</v>
      </c>
      <c r="G3851" s="137">
        <v>2</v>
      </c>
      <c r="H3851" s="94">
        <v>173</v>
      </c>
      <c r="I3851" s="87">
        <v>46118</v>
      </c>
      <c r="J3851" s="93">
        <v>0.70347222222222217</v>
      </c>
      <c r="K3851" s="94">
        <v>173</v>
      </c>
      <c r="L3851" s="72" t="str">
        <f t="shared" si="60"/>
        <v>Payé</v>
      </c>
      <c r="N3851" s="15"/>
    </row>
    <row r="3852" spans="1:14" s="14" customFormat="1" ht="18" x14ac:dyDescent="0.25">
      <c r="A3852" s="90" t="s">
        <v>866</v>
      </c>
      <c r="B3852" s="90">
        <v>1688</v>
      </c>
      <c r="C3852" s="88" t="s">
        <v>1114</v>
      </c>
      <c r="D3852" s="89" t="s">
        <v>17</v>
      </c>
      <c r="E3852" s="90" t="s">
        <v>254</v>
      </c>
      <c r="F3852" s="90" t="s">
        <v>866</v>
      </c>
      <c r="G3852" s="137">
        <v>8</v>
      </c>
      <c r="H3852" s="94">
        <v>738</v>
      </c>
      <c r="I3852" s="87">
        <v>46120</v>
      </c>
      <c r="J3852" s="93">
        <v>0.68194444444444446</v>
      </c>
      <c r="K3852" s="94">
        <v>738</v>
      </c>
      <c r="L3852" s="72" t="str">
        <f t="shared" si="60"/>
        <v>Payé</v>
      </c>
      <c r="N3852" s="15"/>
    </row>
    <row r="3853" spans="1:14" s="14" customFormat="1" ht="18" x14ac:dyDescent="0.25">
      <c r="A3853" s="90" t="s">
        <v>866</v>
      </c>
      <c r="B3853" s="90">
        <v>2160</v>
      </c>
      <c r="C3853" s="88" t="s">
        <v>602</v>
      </c>
      <c r="D3853" s="89" t="s">
        <v>17</v>
      </c>
      <c r="E3853" s="90" t="s">
        <v>103</v>
      </c>
      <c r="F3853" s="90" t="s">
        <v>866</v>
      </c>
      <c r="G3853" s="137">
        <v>1</v>
      </c>
      <c r="H3853" s="94">
        <v>91</v>
      </c>
      <c r="I3853" s="87">
        <v>46119</v>
      </c>
      <c r="J3853" s="93">
        <v>0.69305555555555554</v>
      </c>
      <c r="K3853" s="94">
        <v>91</v>
      </c>
      <c r="L3853" s="72" t="str">
        <f t="shared" si="60"/>
        <v>Payé</v>
      </c>
      <c r="N3853" s="15"/>
    </row>
    <row r="3854" spans="1:14" s="14" customFormat="1" ht="18" x14ac:dyDescent="0.25">
      <c r="A3854" s="90" t="s">
        <v>866</v>
      </c>
      <c r="B3854" s="90">
        <v>2311</v>
      </c>
      <c r="C3854" s="88" t="s">
        <v>406</v>
      </c>
      <c r="D3854" s="89" t="s">
        <v>17</v>
      </c>
      <c r="E3854" s="90" t="s">
        <v>368</v>
      </c>
      <c r="F3854" s="90" t="s">
        <v>866</v>
      </c>
      <c r="G3854" s="137">
        <v>2</v>
      </c>
      <c r="H3854" s="94">
        <v>182</v>
      </c>
      <c r="I3854" s="87">
        <v>46121</v>
      </c>
      <c r="J3854" s="93">
        <v>0.39583333333333331</v>
      </c>
      <c r="K3854" s="94">
        <v>182</v>
      </c>
      <c r="L3854" s="72" t="str">
        <f t="shared" si="60"/>
        <v>Payé</v>
      </c>
      <c r="N3854" s="15"/>
    </row>
    <row r="3855" spans="1:14" s="14" customFormat="1" ht="18" x14ac:dyDescent="0.25">
      <c r="A3855" s="90" t="s">
        <v>866</v>
      </c>
      <c r="B3855" s="90">
        <v>2331</v>
      </c>
      <c r="C3855" s="88" t="s">
        <v>344</v>
      </c>
      <c r="D3855" s="89" t="s">
        <v>17</v>
      </c>
      <c r="E3855" s="90" t="s">
        <v>81</v>
      </c>
      <c r="F3855" s="90" t="s">
        <v>866</v>
      </c>
      <c r="G3855" s="137">
        <v>2</v>
      </c>
      <c r="H3855" s="94">
        <v>173</v>
      </c>
      <c r="I3855" s="87">
        <v>46119</v>
      </c>
      <c r="J3855" s="93">
        <v>0.62638888888888888</v>
      </c>
      <c r="K3855" s="94">
        <v>173</v>
      </c>
      <c r="L3855" s="72" t="str">
        <f t="shared" si="60"/>
        <v>Payé</v>
      </c>
      <c r="N3855" s="15"/>
    </row>
    <row r="3856" spans="1:14" s="14" customFormat="1" ht="18" x14ac:dyDescent="0.25">
      <c r="A3856" s="90" t="s">
        <v>866</v>
      </c>
      <c r="B3856" s="90">
        <v>2497</v>
      </c>
      <c r="C3856" s="88" t="s">
        <v>330</v>
      </c>
      <c r="D3856" s="89" t="s">
        <v>17</v>
      </c>
      <c r="E3856" s="90" t="s">
        <v>254</v>
      </c>
      <c r="F3856" s="90" t="s">
        <v>866</v>
      </c>
      <c r="G3856" s="137">
        <v>2</v>
      </c>
      <c r="H3856" s="94">
        <v>180</v>
      </c>
      <c r="I3856" s="87">
        <v>46119</v>
      </c>
      <c r="J3856" s="93">
        <v>0.7416666666666667</v>
      </c>
      <c r="K3856" s="94">
        <v>180</v>
      </c>
      <c r="L3856" s="72" t="str">
        <f t="shared" si="60"/>
        <v>Payé</v>
      </c>
      <c r="N3856" s="15"/>
    </row>
    <row r="3857" spans="1:14" s="14" customFormat="1" ht="18" x14ac:dyDescent="0.25">
      <c r="A3857" s="90" t="s">
        <v>866</v>
      </c>
      <c r="B3857" s="90">
        <v>2510</v>
      </c>
      <c r="C3857" s="88" t="s">
        <v>1963</v>
      </c>
      <c r="D3857" s="89" t="s">
        <v>17</v>
      </c>
      <c r="E3857" s="90" t="s">
        <v>254</v>
      </c>
      <c r="F3857" s="90" t="s">
        <v>866</v>
      </c>
      <c r="G3857" s="137">
        <v>1</v>
      </c>
      <c r="H3857" s="94">
        <v>90</v>
      </c>
      <c r="I3857" s="87">
        <v>46122</v>
      </c>
      <c r="J3857" s="93">
        <v>0.67986111111111114</v>
      </c>
      <c r="K3857" s="94">
        <v>90</v>
      </c>
      <c r="L3857" s="72" t="str">
        <f t="shared" si="60"/>
        <v>Payé</v>
      </c>
      <c r="N3857" s="15"/>
    </row>
    <row r="3858" spans="1:14" s="14" customFormat="1" ht="18" x14ac:dyDescent="0.25">
      <c r="A3858" s="90" t="s">
        <v>866</v>
      </c>
      <c r="B3858" s="90">
        <v>2750</v>
      </c>
      <c r="C3858" s="88" t="s">
        <v>1093</v>
      </c>
      <c r="D3858" s="89" t="s">
        <v>17</v>
      </c>
      <c r="E3858" s="90" t="s">
        <v>254</v>
      </c>
      <c r="F3858" s="90" t="s">
        <v>866</v>
      </c>
      <c r="G3858" s="137">
        <v>3</v>
      </c>
      <c r="H3858" s="94">
        <v>270</v>
      </c>
      <c r="I3858" s="87">
        <v>46119</v>
      </c>
      <c r="J3858" s="93">
        <v>0.7416666666666667</v>
      </c>
      <c r="K3858" s="94">
        <v>270</v>
      </c>
      <c r="L3858" s="72" t="str">
        <f t="shared" si="60"/>
        <v>Payé</v>
      </c>
      <c r="N3858" s="15"/>
    </row>
    <row r="3859" spans="1:14" s="14" customFormat="1" ht="18" x14ac:dyDescent="0.25">
      <c r="A3859" s="90" t="s">
        <v>866</v>
      </c>
      <c r="B3859" s="90">
        <v>2856</v>
      </c>
      <c r="C3859" s="88" t="s">
        <v>1288</v>
      </c>
      <c r="D3859" s="89" t="s">
        <v>17</v>
      </c>
      <c r="E3859" s="90" t="s">
        <v>123</v>
      </c>
      <c r="F3859" s="90" t="s">
        <v>866</v>
      </c>
      <c r="G3859" s="137">
        <v>11</v>
      </c>
      <c r="H3859" s="94">
        <v>1000</v>
      </c>
      <c r="I3859" s="87">
        <v>46121</v>
      </c>
      <c r="J3859" s="93">
        <v>0.6069444444444444</v>
      </c>
      <c r="K3859" s="94">
        <v>1000</v>
      </c>
      <c r="L3859" s="72" t="str">
        <f t="shared" si="60"/>
        <v>Payé</v>
      </c>
      <c r="N3859" s="15"/>
    </row>
    <row r="3860" spans="1:14" s="14" customFormat="1" ht="18" x14ac:dyDescent="0.25">
      <c r="A3860" s="90" t="s">
        <v>866</v>
      </c>
      <c r="B3860" s="90">
        <v>2997</v>
      </c>
      <c r="C3860" s="88" t="s">
        <v>719</v>
      </c>
      <c r="D3860" s="89" t="s">
        <v>17</v>
      </c>
      <c r="E3860" s="90" t="s">
        <v>753</v>
      </c>
      <c r="F3860" s="90" t="s">
        <v>866</v>
      </c>
      <c r="G3860" s="137">
        <v>12</v>
      </c>
      <c r="H3860" s="94">
        <v>1200</v>
      </c>
      <c r="I3860" s="87">
        <v>46119</v>
      </c>
      <c r="J3860" s="93">
        <v>0.70833333333333337</v>
      </c>
      <c r="K3860" s="94">
        <v>1200</v>
      </c>
      <c r="L3860" s="72" t="str">
        <f t="shared" si="60"/>
        <v>Payé</v>
      </c>
      <c r="N3860" s="15"/>
    </row>
    <row r="3861" spans="1:14" s="14" customFormat="1" ht="18" x14ac:dyDescent="0.25">
      <c r="A3861" s="90" t="s">
        <v>866</v>
      </c>
      <c r="B3861" s="90">
        <v>2998</v>
      </c>
      <c r="C3861" s="88" t="s">
        <v>1964</v>
      </c>
      <c r="D3861" s="89" t="s">
        <v>17</v>
      </c>
      <c r="E3861" s="90" t="s">
        <v>753</v>
      </c>
      <c r="F3861" s="90" t="s">
        <v>866</v>
      </c>
      <c r="G3861" s="137">
        <v>3</v>
      </c>
      <c r="H3861" s="94">
        <v>270</v>
      </c>
      <c r="I3861" s="87">
        <v>46119</v>
      </c>
      <c r="J3861" s="93">
        <v>0.70833333333333337</v>
      </c>
      <c r="K3861" s="94">
        <v>270</v>
      </c>
      <c r="L3861" s="72" t="str">
        <f t="shared" si="60"/>
        <v>Payé</v>
      </c>
      <c r="N3861" s="15"/>
    </row>
    <row r="3862" spans="1:14" s="14" customFormat="1" ht="18" x14ac:dyDescent="0.25">
      <c r="A3862" s="90" t="s">
        <v>866</v>
      </c>
      <c r="B3862" s="90">
        <v>3001</v>
      </c>
      <c r="C3862" s="88" t="s">
        <v>799</v>
      </c>
      <c r="D3862" s="89" t="s">
        <v>17</v>
      </c>
      <c r="E3862" s="90" t="s">
        <v>753</v>
      </c>
      <c r="F3862" s="90" t="s">
        <v>866</v>
      </c>
      <c r="G3862" s="137">
        <v>11</v>
      </c>
      <c r="H3862" s="94">
        <v>990</v>
      </c>
      <c r="I3862" s="87">
        <v>46121</v>
      </c>
      <c r="J3862" s="93">
        <v>0.56527777777777777</v>
      </c>
      <c r="K3862" s="94">
        <v>990</v>
      </c>
      <c r="L3862" s="72" t="str">
        <f t="shared" si="60"/>
        <v>Payé</v>
      </c>
      <c r="N3862" s="15"/>
    </row>
    <row r="3863" spans="1:14" s="14" customFormat="1" ht="18" x14ac:dyDescent="0.25">
      <c r="A3863" s="90" t="s">
        <v>866</v>
      </c>
      <c r="B3863" s="90">
        <v>3011</v>
      </c>
      <c r="C3863" s="88" t="s">
        <v>1815</v>
      </c>
      <c r="D3863" s="89" t="s">
        <v>17</v>
      </c>
      <c r="E3863" s="90" t="s">
        <v>649</v>
      </c>
      <c r="F3863" s="90" t="s">
        <v>866</v>
      </c>
      <c r="G3863" s="137">
        <v>1</v>
      </c>
      <c r="H3863" s="94">
        <v>90</v>
      </c>
      <c r="I3863" s="87">
        <v>46125</v>
      </c>
      <c r="J3863" s="93">
        <v>0.70694444444444438</v>
      </c>
      <c r="K3863" s="94">
        <v>90</v>
      </c>
      <c r="L3863" s="72" t="str">
        <f t="shared" si="60"/>
        <v>Payé</v>
      </c>
      <c r="N3863" s="15"/>
    </row>
    <row r="3864" spans="1:14" s="14" customFormat="1" ht="18" x14ac:dyDescent="0.25">
      <c r="A3864" s="90" t="s">
        <v>866</v>
      </c>
      <c r="B3864" s="90">
        <v>3087</v>
      </c>
      <c r="C3864" s="88" t="s">
        <v>1238</v>
      </c>
      <c r="D3864" s="89" t="s">
        <v>17</v>
      </c>
      <c r="E3864" s="90" t="s">
        <v>649</v>
      </c>
      <c r="F3864" s="90" t="s">
        <v>866</v>
      </c>
      <c r="G3864" s="137">
        <v>9</v>
      </c>
      <c r="H3864" s="94">
        <v>810</v>
      </c>
      <c r="I3864" s="87">
        <v>46119</v>
      </c>
      <c r="J3864" s="93">
        <v>0.72291666666666676</v>
      </c>
      <c r="K3864" s="94">
        <v>810</v>
      </c>
      <c r="L3864" s="72" t="str">
        <f t="shared" si="60"/>
        <v>Payé</v>
      </c>
      <c r="N3864" s="15"/>
    </row>
    <row r="3865" spans="1:14" s="14" customFormat="1" ht="18" x14ac:dyDescent="0.25">
      <c r="A3865" s="90" t="s">
        <v>866</v>
      </c>
      <c r="B3865" s="90">
        <v>3130</v>
      </c>
      <c r="C3865" s="88" t="s">
        <v>553</v>
      </c>
      <c r="D3865" s="89" t="s">
        <v>17</v>
      </c>
      <c r="E3865" s="90" t="s">
        <v>649</v>
      </c>
      <c r="F3865" s="90" t="s">
        <v>866</v>
      </c>
      <c r="G3865" s="137">
        <v>11</v>
      </c>
      <c r="H3865" s="94">
        <v>990</v>
      </c>
      <c r="I3865" s="87">
        <v>46119</v>
      </c>
      <c r="J3865" s="93">
        <v>0.72291666666666676</v>
      </c>
      <c r="K3865" s="94">
        <v>990</v>
      </c>
      <c r="L3865" s="72" t="str">
        <f t="shared" si="60"/>
        <v>Payé</v>
      </c>
      <c r="N3865" s="15"/>
    </row>
    <row r="3866" spans="1:14" s="14" customFormat="1" ht="18" x14ac:dyDescent="0.25">
      <c r="A3866" s="90" t="s">
        <v>866</v>
      </c>
      <c r="B3866" s="90">
        <v>3260</v>
      </c>
      <c r="C3866" s="88" t="s">
        <v>1119</v>
      </c>
      <c r="D3866" s="89" t="s">
        <v>17</v>
      </c>
      <c r="E3866" s="90" t="s">
        <v>628</v>
      </c>
      <c r="F3866" s="90" t="s">
        <v>866</v>
      </c>
      <c r="G3866" s="137">
        <v>7</v>
      </c>
      <c r="H3866" s="94">
        <v>790</v>
      </c>
      <c r="I3866" s="87">
        <v>46118</v>
      </c>
      <c r="J3866" s="93">
        <v>0.69305555555555554</v>
      </c>
      <c r="K3866" s="94">
        <v>790</v>
      </c>
      <c r="L3866" s="72" t="str">
        <f t="shared" si="60"/>
        <v>Payé</v>
      </c>
      <c r="N3866" s="15"/>
    </row>
    <row r="3867" spans="1:14" s="14" customFormat="1" ht="18" x14ac:dyDescent="0.25">
      <c r="A3867" s="90" t="s">
        <v>866</v>
      </c>
      <c r="B3867" s="90">
        <v>3343</v>
      </c>
      <c r="C3867" s="88" t="s">
        <v>1965</v>
      </c>
      <c r="D3867" s="89" t="s">
        <v>17</v>
      </c>
      <c r="E3867" s="90" t="s">
        <v>254</v>
      </c>
      <c r="F3867" s="90" t="s">
        <v>866</v>
      </c>
      <c r="G3867" s="137">
        <v>3</v>
      </c>
      <c r="H3867" s="94">
        <v>270</v>
      </c>
      <c r="I3867" s="87">
        <v>46119</v>
      </c>
      <c r="J3867" s="93">
        <v>0.7416666666666667</v>
      </c>
      <c r="K3867" s="94">
        <v>270</v>
      </c>
      <c r="L3867" s="72" t="str">
        <f t="shared" si="60"/>
        <v>Payé</v>
      </c>
      <c r="N3867" s="15"/>
    </row>
    <row r="3868" spans="1:14" s="14" customFormat="1" ht="18" x14ac:dyDescent="0.25">
      <c r="A3868" s="90" t="s">
        <v>866</v>
      </c>
      <c r="B3868" s="90">
        <v>3351</v>
      </c>
      <c r="C3868" s="88" t="s">
        <v>617</v>
      </c>
      <c r="D3868" s="89" t="s">
        <v>17</v>
      </c>
      <c r="E3868" s="90" t="s">
        <v>103</v>
      </c>
      <c r="F3868" s="90" t="s">
        <v>866</v>
      </c>
      <c r="G3868" s="137">
        <v>1</v>
      </c>
      <c r="H3868" s="94">
        <v>91</v>
      </c>
      <c r="I3868" s="87">
        <v>46119</v>
      </c>
      <c r="J3868" s="93">
        <v>0.69305555555555554</v>
      </c>
      <c r="K3868" s="94">
        <v>91</v>
      </c>
      <c r="L3868" s="72" t="str">
        <f t="shared" si="60"/>
        <v>Payé</v>
      </c>
      <c r="N3868" s="15"/>
    </row>
    <row r="3869" spans="1:14" s="14" customFormat="1" ht="18" x14ac:dyDescent="0.25">
      <c r="A3869" s="90" t="s">
        <v>866</v>
      </c>
      <c r="B3869" s="90">
        <v>3398</v>
      </c>
      <c r="C3869" s="88" t="s">
        <v>557</v>
      </c>
      <c r="D3869" s="89" t="s">
        <v>17</v>
      </c>
      <c r="E3869" s="90" t="s">
        <v>81</v>
      </c>
      <c r="F3869" s="90" t="s">
        <v>866</v>
      </c>
      <c r="G3869" s="137">
        <v>1</v>
      </c>
      <c r="H3869" s="94">
        <v>91</v>
      </c>
      <c r="I3869" s="87">
        <v>46122</v>
      </c>
      <c r="J3869" s="93">
        <v>0.66180555555555554</v>
      </c>
      <c r="K3869" s="94">
        <v>91</v>
      </c>
      <c r="L3869" s="72" t="str">
        <f t="shared" si="60"/>
        <v>Payé</v>
      </c>
      <c r="N3869" s="15"/>
    </row>
    <row r="3870" spans="1:14" s="14" customFormat="1" ht="18" x14ac:dyDescent="0.25">
      <c r="A3870" s="90" t="s">
        <v>866</v>
      </c>
      <c r="B3870" s="90">
        <v>3409</v>
      </c>
      <c r="C3870" s="88" t="s">
        <v>559</v>
      </c>
      <c r="D3870" s="89" t="s">
        <v>17</v>
      </c>
      <c r="E3870" s="90" t="s">
        <v>123</v>
      </c>
      <c r="F3870" s="90" t="s">
        <v>866</v>
      </c>
      <c r="G3870" s="137">
        <v>1</v>
      </c>
      <c r="H3870" s="94">
        <v>90</v>
      </c>
      <c r="I3870" s="91"/>
      <c r="J3870" s="165"/>
      <c r="K3870" s="92"/>
      <c r="L3870" s="72" t="str">
        <f t="shared" ref="L3870:L3933" si="61">IF(ISBLANK(H3870),"",IF(H3870=K3870,"Payé","Impayé"))</f>
        <v>Impayé</v>
      </c>
      <c r="N3870" s="15"/>
    </row>
    <row r="3871" spans="1:14" s="14" customFormat="1" ht="18" x14ac:dyDescent="0.25">
      <c r="A3871" s="90" t="s">
        <v>866</v>
      </c>
      <c r="B3871" s="90">
        <v>3427</v>
      </c>
      <c r="C3871" s="88" t="s">
        <v>979</v>
      </c>
      <c r="D3871" s="89" t="s">
        <v>17</v>
      </c>
      <c r="E3871" s="90" t="s">
        <v>123</v>
      </c>
      <c r="F3871" s="90" t="s">
        <v>866</v>
      </c>
      <c r="G3871" s="137">
        <v>2</v>
      </c>
      <c r="H3871" s="94">
        <v>180</v>
      </c>
      <c r="I3871" s="91"/>
      <c r="J3871" s="165"/>
      <c r="K3871" s="92"/>
      <c r="L3871" s="72" t="str">
        <f t="shared" si="61"/>
        <v>Impayé</v>
      </c>
      <c r="N3871" s="15"/>
    </row>
    <row r="3872" spans="1:14" s="14" customFormat="1" ht="18" x14ac:dyDescent="0.25">
      <c r="A3872" s="90" t="s">
        <v>866</v>
      </c>
      <c r="B3872" s="90">
        <v>3440</v>
      </c>
      <c r="C3872" s="88" t="s">
        <v>561</v>
      </c>
      <c r="D3872" s="89" t="s">
        <v>17</v>
      </c>
      <c r="E3872" s="90" t="s">
        <v>49</v>
      </c>
      <c r="F3872" s="90" t="s">
        <v>866</v>
      </c>
      <c r="G3872" s="137">
        <v>16</v>
      </c>
      <c r="H3872" s="94">
        <v>1520</v>
      </c>
      <c r="I3872" s="87">
        <v>46119</v>
      </c>
      <c r="J3872" s="93">
        <v>0.6875</v>
      </c>
      <c r="K3872" s="94">
        <v>1520</v>
      </c>
      <c r="L3872" s="72" t="str">
        <f t="shared" si="61"/>
        <v>Payé</v>
      </c>
      <c r="N3872" s="15"/>
    </row>
    <row r="3873" spans="1:14" s="14" customFormat="1" ht="18" x14ac:dyDescent="0.25">
      <c r="A3873" s="90" t="s">
        <v>866</v>
      </c>
      <c r="B3873" s="90">
        <v>3518</v>
      </c>
      <c r="C3873" s="88" t="s">
        <v>1061</v>
      </c>
      <c r="D3873" s="89" t="s">
        <v>17</v>
      </c>
      <c r="E3873" s="90" t="s">
        <v>254</v>
      </c>
      <c r="F3873" s="90" t="s">
        <v>866</v>
      </c>
      <c r="G3873" s="137">
        <v>14</v>
      </c>
      <c r="H3873" s="94">
        <v>1278</v>
      </c>
      <c r="I3873" s="87">
        <v>46119</v>
      </c>
      <c r="J3873" s="93">
        <v>0.7416666666666667</v>
      </c>
      <c r="K3873" s="94">
        <v>1278</v>
      </c>
      <c r="L3873" s="72" t="str">
        <f t="shared" si="61"/>
        <v>Payé</v>
      </c>
      <c r="N3873" s="15"/>
    </row>
    <row r="3874" spans="1:14" s="14" customFormat="1" ht="18" x14ac:dyDescent="0.25">
      <c r="A3874" s="90" t="s">
        <v>866</v>
      </c>
      <c r="B3874" s="90">
        <v>3534</v>
      </c>
      <c r="C3874" s="88" t="s">
        <v>563</v>
      </c>
      <c r="D3874" s="89" t="s">
        <v>17</v>
      </c>
      <c r="E3874" s="90" t="s">
        <v>1904</v>
      </c>
      <c r="F3874" s="90" t="s">
        <v>866</v>
      </c>
      <c r="G3874" s="137">
        <v>8</v>
      </c>
      <c r="H3874" s="94">
        <v>795</v>
      </c>
      <c r="I3874" s="87">
        <v>46119</v>
      </c>
      <c r="J3874" s="93">
        <v>0.73055555555555562</v>
      </c>
      <c r="K3874" s="94">
        <v>795</v>
      </c>
      <c r="L3874" s="72" t="str">
        <f t="shared" si="61"/>
        <v>Payé</v>
      </c>
      <c r="N3874" s="15"/>
    </row>
    <row r="3875" spans="1:14" s="14" customFormat="1" ht="18" x14ac:dyDescent="0.25">
      <c r="A3875" s="90" t="s">
        <v>866</v>
      </c>
      <c r="B3875" s="90">
        <v>3535</v>
      </c>
      <c r="C3875" s="88" t="s">
        <v>564</v>
      </c>
      <c r="D3875" s="89" t="s">
        <v>17</v>
      </c>
      <c r="E3875" s="90" t="s">
        <v>1904</v>
      </c>
      <c r="F3875" s="90" t="s">
        <v>866</v>
      </c>
      <c r="G3875" s="137">
        <v>13</v>
      </c>
      <c r="H3875" s="94">
        <v>1188</v>
      </c>
      <c r="I3875" s="87">
        <v>46119</v>
      </c>
      <c r="J3875" s="93">
        <v>0.73055555555555562</v>
      </c>
      <c r="K3875" s="94">
        <v>1188</v>
      </c>
      <c r="L3875" s="72" t="str">
        <f t="shared" si="61"/>
        <v>Payé</v>
      </c>
      <c r="N3875" s="15"/>
    </row>
    <row r="3876" spans="1:14" s="14" customFormat="1" ht="18" x14ac:dyDescent="0.25">
      <c r="A3876" s="90" t="s">
        <v>866</v>
      </c>
      <c r="B3876" s="90">
        <v>3545</v>
      </c>
      <c r="C3876" s="88" t="s">
        <v>606</v>
      </c>
      <c r="D3876" s="89" t="s">
        <v>17</v>
      </c>
      <c r="E3876" s="90" t="s">
        <v>123</v>
      </c>
      <c r="F3876" s="90" t="s">
        <v>866</v>
      </c>
      <c r="G3876" s="137">
        <v>14</v>
      </c>
      <c r="H3876" s="94">
        <v>1271</v>
      </c>
      <c r="I3876" s="87">
        <v>46119</v>
      </c>
      <c r="J3876" s="93">
        <v>0.69236111111111109</v>
      </c>
      <c r="K3876" s="94">
        <v>1271</v>
      </c>
      <c r="L3876" s="72" t="str">
        <f t="shared" si="61"/>
        <v>Payé</v>
      </c>
      <c r="N3876" s="15"/>
    </row>
    <row r="3877" spans="1:14" s="14" customFormat="1" ht="18" x14ac:dyDescent="0.25">
      <c r="A3877" s="90" t="s">
        <v>866</v>
      </c>
      <c r="B3877" s="90">
        <v>3546</v>
      </c>
      <c r="C3877" s="88" t="s">
        <v>1677</v>
      </c>
      <c r="D3877" s="89" t="s">
        <v>17</v>
      </c>
      <c r="E3877" s="90" t="s">
        <v>123</v>
      </c>
      <c r="F3877" s="90" t="s">
        <v>866</v>
      </c>
      <c r="G3877" s="137">
        <v>1</v>
      </c>
      <c r="H3877" s="94">
        <v>90</v>
      </c>
      <c r="I3877" s="87">
        <v>46119</v>
      </c>
      <c r="J3877" s="93">
        <v>0.45</v>
      </c>
      <c r="K3877" s="94">
        <v>90</v>
      </c>
      <c r="L3877" s="72" t="str">
        <f t="shared" si="61"/>
        <v>Payé</v>
      </c>
      <c r="N3877" s="15"/>
    </row>
    <row r="3878" spans="1:14" s="14" customFormat="1" ht="18" x14ac:dyDescent="0.25">
      <c r="A3878" s="90" t="s">
        <v>866</v>
      </c>
      <c r="B3878" s="90">
        <v>3590</v>
      </c>
      <c r="C3878" s="88" t="s">
        <v>425</v>
      </c>
      <c r="D3878" s="89" t="s">
        <v>17</v>
      </c>
      <c r="E3878" s="90" t="s">
        <v>628</v>
      </c>
      <c r="F3878" s="90" t="s">
        <v>866</v>
      </c>
      <c r="G3878" s="137">
        <v>3</v>
      </c>
      <c r="H3878" s="94">
        <v>350</v>
      </c>
      <c r="I3878" s="87">
        <v>46118</v>
      </c>
      <c r="J3878" s="93">
        <v>0.69305555555555554</v>
      </c>
      <c r="K3878" s="94">
        <v>350</v>
      </c>
      <c r="L3878" s="72" t="str">
        <f t="shared" si="61"/>
        <v>Payé</v>
      </c>
      <c r="N3878" s="15"/>
    </row>
    <row r="3879" spans="1:14" s="14" customFormat="1" ht="18" x14ac:dyDescent="0.25">
      <c r="A3879" s="90" t="s">
        <v>866</v>
      </c>
      <c r="B3879" s="90">
        <v>3627</v>
      </c>
      <c r="C3879" s="88" t="s">
        <v>566</v>
      </c>
      <c r="D3879" s="89" t="s">
        <v>17</v>
      </c>
      <c r="E3879" s="90" t="s">
        <v>649</v>
      </c>
      <c r="F3879" s="90" t="s">
        <v>866</v>
      </c>
      <c r="G3879" s="137">
        <v>2</v>
      </c>
      <c r="H3879" s="94">
        <v>180</v>
      </c>
      <c r="I3879" s="87">
        <v>46122</v>
      </c>
      <c r="J3879" s="93">
        <v>0.71597222222222223</v>
      </c>
      <c r="K3879" s="94">
        <v>180</v>
      </c>
      <c r="L3879" s="72" t="str">
        <f t="shared" si="61"/>
        <v>Payé</v>
      </c>
      <c r="N3879" s="15"/>
    </row>
    <row r="3880" spans="1:14" s="14" customFormat="1" ht="18" x14ac:dyDescent="0.25">
      <c r="A3880" s="90" t="s">
        <v>866</v>
      </c>
      <c r="B3880" s="90">
        <v>3672</v>
      </c>
      <c r="C3880" s="88" t="s">
        <v>568</v>
      </c>
      <c r="D3880" s="89" t="s">
        <v>17</v>
      </c>
      <c r="E3880" s="90" t="s">
        <v>1905</v>
      </c>
      <c r="F3880" s="90" t="s">
        <v>866</v>
      </c>
      <c r="G3880" s="137">
        <v>17</v>
      </c>
      <c r="H3880" s="94">
        <v>1870</v>
      </c>
      <c r="I3880" s="87">
        <v>46118</v>
      </c>
      <c r="J3880" s="93">
        <v>0.70972222222222225</v>
      </c>
      <c r="K3880" s="94">
        <v>1870</v>
      </c>
      <c r="L3880" s="72" t="str">
        <f t="shared" si="61"/>
        <v>Payé</v>
      </c>
      <c r="N3880" s="15"/>
    </row>
    <row r="3881" spans="1:14" s="14" customFormat="1" ht="18" x14ac:dyDescent="0.25">
      <c r="A3881" s="90" t="s">
        <v>866</v>
      </c>
      <c r="B3881" s="90">
        <v>3726</v>
      </c>
      <c r="C3881" s="88" t="s">
        <v>570</v>
      </c>
      <c r="D3881" s="89" t="s">
        <v>17</v>
      </c>
      <c r="E3881" s="90" t="s">
        <v>123</v>
      </c>
      <c r="F3881" s="90" t="s">
        <v>866</v>
      </c>
      <c r="G3881" s="137">
        <v>15</v>
      </c>
      <c r="H3881" s="94">
        <v>1370</v>
      </c>
      <c r="I3881" s="87">
        <v>46119</v>
      </c>
      <c r="J3881" s="93">
        <v>0.71597222222222223</v>
      </c>
      <c r="K3881" s="94">
        <v>1370</v>
      </c>
      <c r="L3881" s="72" t="str">
        <f t="shared" si="61"/>
        <v>Payé</v>
      </c>
      <c r="N3881" s="15"/>
    </row>
    <row r="3882" spans="1:14" s="14" customFormat="1" ht="18" x14ac:dyDescent="0.25">
      <c r="A3882" s="90" t="s">
        <v>866</v>
      </c>
      <c r="B3882" s="90">
        <v>3760</v>
      </c>
      <c r="C3882" s="88" t="s">
        <v>465</v>
      </c>
      <c r="D3882" s="89" t="s">
        <v>17</v>
      </c>
      <c r="E3882" s="90" t="s">
        <v>49</v>
      </c>
      <c r="F3882" s="90" t="s">
        <v>866</v>
      </c>
      <c r="G3882" s="137">
        <v>12</v>
      </c>
      <c r="H3882" s="94">
        <v>1080</v>
      </c>
      <c r="I3882" s="87">
        <v>46119</v>
      </c>
      <c r="J3882" s="93">
        <v>0.6875</v>
      </c>
      <c r="K3882" s="94">
        <v>1080</v>
      </c>
      <c r="L3882" s="72" t="str">
        <f t="shared" si="61"/>
        <v>Payé</v>
      </c>
      <c r="N3882" s="15"/>
    </row>
    <row r="3883" spans="1:14" s="14" customFormat="1" ht="18" x14ac:dyDescent="0.25">
      <c r="A3883" s="90" t="s">
        <v>866</v>
      </c>
      <c r="B3883" s="90">
        <v>3793</v>
      </c>
      <c r="C3883" s="88" t="s">
        <v>572</v>
      </c>
      <c r="D3883" s="89" t="s">
        <v>17</v>
      </c>
      <c r="E3883" s="90" t="s">
        <v>123</v>
      </c>
      <c r="F3883" s="90" t="s">
        <v>866</v>
      </c>
      <c r="G3883" s="137">
        <v>10</v>
      </c>
      <c r="H3883" s="94">
        <v>900</v>
      </c>
      <c r="I3883" s="91"/>
      <c r="J3883" s="165"/>
      <c r="K3883" s="92"/>
      <c r="L3883" s="72" t="str">
        <f t="shared" si="61"/>
        <v>Impayé</v>
      </c>
      <c r="N3883" s="15"/>
    </row>
    <row r="3884" spans="1:14" s="14" customFormat="1" ht="18" x14ac:dyDescent="0.25">
      <c r="A3884" s="90" t="s">
        <v>866</v>
      </c>
      <c r="B3884" s="90">
        <v>3819</v>
      </c>
      <c r="C3884" s="88" t="s">
        <v>1537</v>
      </c>
      <c r="D3884" s="89" t="s">
        <v>17</v>
      </c>
      <c r="E3884" s="90" t="s">
        <v>753</v>
      </c>
      <c r="F3884" s="90" t="s">
        <v>866</v>
      </c>
      <c r="G3884" s="137">
        <v>2</v>
      </c>
      <c r="H3884" s="94">
        <v>180</v>
      </c>
      <c r="I3884" s="87">
        <v>46119</v>
      </c>
      <c r="J3884" s="93">
        <v>0.71527777777777779</v>
      </c>
      <c r="K3884" s="94">
        <v>180</v>
      </c>
      <c r="L3884" s="72" t="str">
        <f t="shared" si="61"/>
        <v>Payé</v>
      </c>
      <c r="N3884" s="15"/>
    </row>
    <row r="3885" spans="1:14" s="14" customFormat="1" ht="18" x14ac:dyDescent="0.25">
      <c r="A3885" s="90" t="s">
        <v>866</v>
      </c>
      <c r="B3885" s="90">
        <v>3823</v>
      </c>
      <c r="C3885" s="88" t="s">
        <v>824</v>
      </c>
      <c r="D3885" s="89" t="s">
        <v>17</v>
      </c>
      <c r="E3885" s="90" t="s">
        <v>753</v>
      </c>
      <c r="F3885" s="90" t="s">
        <v>866</v>
      </c>
      <c r="G3885" s="137">
        <v>12</v>
      </c>
      <c r="H3885" s="94">
        <v>1090</v>
      </c>
      <c r="I3885" s="87">
        <v>46120</v>
      </c>
      <c r="J3885" s="93">
        <v>0.5854166666666667</v>
      </c>
      <c r="K3885" s="94">
        <v>1090</v>
      </c>
      <c r="L3885" s="72" t="str">
        <f t="shared" si="61"/>
        <v>Payé</v>
      </c>
      <c r="N3885" s="15"/>
    </row>
    <row r="3886" spans="1:14" s="14" customFormat="1" ht="18" x14ac:dyDescent="0.25">
      <c r="A3886" s="90" t="s">
        <v>866</v>
      </c>
      <c r="B3886" s="90">
        <v>3903</v>
      </c>
      <c r="C3886" s="88" t="s">
        <v>721</v>
      </c>
      <c r="D3886" s="89" t="s">
        <v>17</v>
      </c>
      <c r="E3886" s="90" t="s">
        <v>753</v>
      </c>
      <c r="F3886" s="90" t="s">
        <v>866</v>
      </c>
      <c r="G3886" s="137">
        <v>6</v>
      </c>
      <c r="H3886" s="94">
        <v>540</v>
      </c>
      <c r="I3886" s="87">
        <v>46119</v>
      </c>
      <c r="J3886" s="93">
        <v>0.70833333333333337</v>
      </c>
      <c r="K3886" s="94">
        <v>540</v>
      </c>
      <c r="L3886" s="72" t="str">
        <f t="shared" si="61"/>
        <v>Payé</v>
      </c>
      <c r="N3886" s="15"/>
    </row>
    <row r="3887" spans="1:14" s="14" customFormat="1" ht="18" x14ac:dyDescent="0.25">
      <c r="A3887" s="90" t="s">
        <v>866</v>
      </c>
      <c r="B3887" s="90">
        <v>3947</v>
      </c>
      <c r="C3887" s="88" t="s">
        <v>576</v>
      </c>
      <c r="D3887" s="89" t="s">
        <v>17</v>
      </c>
      <c r="E3887" s="90" t="s">
        <v>1904</v>
      </c>
      <c r="F3887" s="90" t="s">
        <v>866</v>
      </c>
      <c r="G3887" s="137">
        <v>5</v>
      </c>
      <c r="H3887" s="94">
        <v>462</v>
      </c>
      <c r="I3887" s="87">
        <v>46119</v>
      </c>
      <c r="J3887" s="93">
        <v>0.73055555555555562</v>
      </c>
      <c r="K3887" s="94">
        <v>462</v>
      </c>
      <c r="L3887" s="72" t="str">
        <f t="shared" si="61"/>
        <v>Payé</v>
      </c>
      <c r="N3887" s="15"/>
    </row>
    <row r="3888" spans="1:14" s="14" customFormat="1" ht="18" x14ac:dyDescent="0.25">
      <c r="A3888" s="90" t="s">
        <v>866</v>
      </c>
      <c r="B3888" s="90">
        <v>3979</v>
      </c>
      <c r="C3888" s="88" t="s">
        <v>1538</v>
      </c>
      <c r="D3888" s="89" t="s">
        <v>17</v>
      </c>
      <c r="E3888" s="90" t="s">
        <v>753</v>
      </c>
      <c r="F3888" s="90" t="s">
        <v>866</v>
      </c>
      <c r="G3888" s="137">
        <v>5</v>
      </c>
      <c r="H3888" s="94">
        <v>450</v>
      </c>
      <c r="I3888" s="87">
        <v>46120</v>
      </c>
      <c r="J3888" s="93">
        <v>0.69236111111111109</v>
      </c>
      <c r="K3888" s="94">
        <v>450</v>
      </c>
      <c r="L3888" s="72" t="str">
        <f t="shared" si="61"/>
        <v>Payé</v>
      </c>
      <c r="N3888" s="15"/>
    </row>
    <row r="3889" spans="1:14" s="14" customFormat="1" ht="18" x14ac:dyDescent="0.25">
      <c r="A3889" s="90" t="s">
        <v>866</v>
      </c>
      <c r="B3889" s="90">
        <v>4060</v>
      </c>
      <c r="C3889" s="88" t="s">
        <v>986</v>
      </c>
      <c r="D3889" s="89" t="s">
        <v>17</v>
      </c>
      <c r="E3889" s="90" t="s">
        <v>753</v>
      </c>
      <c r="F3889" s="90" t="s">
        <v>866</v>
      </c>
      <c r="G3889" s="137">
        <v>6</v>
      </c>
      <c r="H3889" s="94">
        <v>540</v>
      </c>
      <c r="I3889" s="87">
        <v>46120</v>
      </c>
      <c r="J3889" s="93">
        <v>0.69236111111111109</v>
      </c>
      <c r="K3889" s="94">
        <v>540</v>
      </c>
      <c r="L3889" s="72" t="str">
        <f t="shared" si="61"/>
        <v>Payé</v>
      </c>
      <c r="N3889" s="15"/>
    </row>
    <row r="3890" spans="1:14" s="14" customFormat="1" ht="18" x14ac:dyDescent="0.25">
      <c r="A3890" s="90" t="s">
        <v>866</v>
      </c>
      <c r="B3890" s="90">
        <v>4120</v>
      </c>
      <c r="C3890" s="88" t="s">
        <v>1243</v>
      </c>
      <c r="D3890" s="89" t="s">
        <v>17</v>
      </c>
      <c r="E3890" s="90" t="s">
        <v>254</v>
      </c>
      <c r="F3890" s="90" t="s">
        <v>866</v>
      </c>
      <c r="G3890" s="137">
        <v>2</v>
      </c>
      <c r="H3890" s="94">
        <v>180</v>
      </c>
      <c r="I3890" s="87">
        <v>46119</v>
      </c>
      <c r="J3890" s="93">
        <v>0.7416666666666667</v>
      </c>
      <c r="K3890" s="94">
        <v>180</v>
      </c>
      <c r="L3890" s="72" t="str">
        <f t="shared" si="61"/>
        <v>Payé</v>
      </c>
      <c r="N3890" s="15"/>
    </row>
    <row r="3891" spans="1:14" s="14" customFormat="1" ht="18" x14ac:dyDescent="0.25">
      <c r="A3891" s="90" t="s">
        <v>866</v>
      </c>
      <c r="B3891" s="90">
        <v>4169</v>
      </c>
      <c r="C3891" s="88" t="s">
        <v>1561</v>
      </c>
      <c r="D3891" s="89" t="s">
        <v>17</v>
      </c>
      <c r="E3891" s="90" t="s">
        <v>649</v>
      </c>
      <c r="F3891" s="90" t="s">
        <v>866</v>
      </c>
      <c r="G3891" s="137">
        <v>10</v>
      </c>
      <c r="H3891" s="94">
        <v>900</v>
      </c>
      <c r="I3891" s="87">
        <v>46122</v>
      </c>
      <c r="J3891" s="93">
        <v>0.43888888888888888</v>
      </c>
      <c r="K3891" s="94">
        <v>900</v>
      </c>
      <c r="L3891" s="72" t="str">
        <f t="shared" si="61"/>
        <v>Payé</v>
      </c>
      <c r="N3891" s="15"/>
    </row>
    <row r="3892" spans="1:14" s="14" customFormat="1" ht="18" x14ac:dyDescent="0.25">
      <c r="A3892" s="90" t="s">
        <v>866</v>
      </c>
      <c r="B3892" s="90">
        <v>4202</v>
      </c>
      <c r="C3892" s="88" t="s">
        <v>609</v>
      </c>
      <c r="D3892" s="89" t="s">
        <v>17</v>
      </c>
      <c r="E3892" s="90" t="s">
        <v>649</v>
      </c>
      <c r="F3892" s="90" t="s">
        <v>866</v>
      </c>
      <c r="G3892" s="137">
        <v>1</v>
      </c>
      <c r="H3892" s="94">
        <v>90</v>
      </c>
      <c r="I3892" s="87">
        <v>46119</v>
      </c>
      <c r="J3892" s="93">
        <v>0.72291666666666676</v>
      </c>
      <c r="K3892" s="94">
        <v>90</v>
      </c>
      <c r="L3892" s="72" t="str">
        <f t="shared" si="61"/>
        <v>Payé</v>
      </c>
      <c r="N3892" s="15"/>
    </row>
    <row r="3893" spans="1:14" s="14" customFormat="1" ht="18" x14ac:dyDescent="0.25">
      <c r="A3893" s="90" t="s">
        <v>866</v>
      </c>
      <c r="B3893" s="90">
        <v>4204</v>
      </c>
      <c r="C3893" s="88" t="s">
        <v>610</v>
      </c>
      <c r="D3893" s="89" t="s">
        <v>17</v>
      </c>
      <c r="E3893" s="90" t="s">
        <v>649</v>
      </c>
      <c r="F3893" s="90" t="s">
        <v>866</v>
      </c>
      <c r="G3893" s="137">
        <v>11</v>
      </c>
      <c r="H3893" s="94">
        <v>1000</v>
      </c>
      <c r="I3893" s="87">
        <v>46119</v>
      </c>
      <c r="J3893" s="93">
        <v>0.72291666666666676</v>
      </c>
      <c r="K3893" s="94">
        <v>1000</v>
      </c>
      <c r="L3893" s="72" t="str">
        <f t="shared" si="61"/>
        <v>Payé</v>
      </c>
      <c r="N3893" s="15"/>
    </row>
    <row r="3894" spans="1:14" s="14" customFormat="1" ht="18" x14ac:dyDescent="0.25">
      <c r="A3894" s="90" t="s">
        <v>866</v>
      </c>
      <c r="B3894" s="90">
        <v>4333</v>
      </c>
      <c r="C3894" s="88" t="s">
        <v>706</v>
      </c>
      <c r="D3894" s="89" t="s">
        <v>17</v>
      </c>
      <c r="E3894" s="90" t="s">
        <v>628</v>
      </c>
      <c r="F3894" s="90" t="s">
        <v>866</v>
      </c>
      <c r="G3894" s="137">
        <v>6</v>
      </c>
      <c r="H3894" s="94">
        <v>580</v>
      </c>
      <c r="I3894" s="87">
        <v>46118</v>
      </c>
      <c r="J3894" s="93">
        <v>0.69305555555555554</v>
      </c>
      <c r="K3894" s="94">
        <v>580</v>
      </c>
      <c r="L3894" s="72" t="str">
        <f t="shared" si="61"/>
        <v>Payé</v>
      </c>
      <c r="N3894" s="15"/>
    </row>
    <row r="3895" spans="1:14" s="14" customFormat="1" ht="18" x14ac:dyDescent="0.25">
      <c r="A3895" s="90" t="s">
        <v>866</v>
      </c>
      <c r="B3895" s="90">
        <v>4334</v>
      </c>
      <c r="C3895" s="88" t="s">
        <v>622</v>
      </c>
      <c r="D3895" s="89" t="s">
        <v>17</v>
      </c>
      <c r="E3895" s="90" t="s">
        <v>628</v>
      </c>
      <c r="F3895" s="90" t="s">
        <v>866</v>
      </c>
      <c r="G3895" s="137">
        <v>14</v>
      </c>
      <c r="H3895" s="94">
        <v>1390</v>
      </c>
      <c r="I3895" s="87">
        <v>46118</v>
      </c>
      <c r="J3895" s="93">
        <v>0.69305555555555554</v>
      </c>
      <c r="K3895" s="94">
        <v>1390</v>
      </c>
      <c r="L3895" s="72" t="str">
        <f t="shared" si="61"/>
        <v>Payé</v>
      </c>
      <c r="N3895" s="15"/>
    </row>
    <row r="3896" spans="1:14" s="14" customFormat="1" ht="18" x14ac:dyDescent="0.25">
      <c r="A3896" s="90" t="s">
        <v>866</v>
      </c>
      <c r="B3896" s="90">
        <v>4422</v>
      </c>
      <c r="C3896" s="88" t="s">
        <v>1589</v>
      </c>
      <c r="D3896" s="89" t="s">
        <v>17</v>
      </c>
      <c r="E3896" s="90" t="s">
        <v>1104</v>
      </c>
      <c r="F3896" s="90" t="s">
        <v>866</v>
      </c>
      <c r="G3896" s="137">
        <v>8</v>
      </c>
      <c r="H3896" s="94">
        <v>740</v>
      </c>
      <c r="I3896" s="87">
        <v>46119</v>
      </c>
      <c r="J3896" s="93">
        <v>0.6069444444444444</v>
      </c>
      <c r="K3896" s="94">
        <v>740</v>
      </c>
      <c r="L3896" s="72" t="str">
        <f t="shared" si="61"/>
        <v>Payé</v>
      </c>
      <c r="N3896" s="15"/>
    </row>
    <row r="3897" spans="1:14" s="14" customFormat="1" ht="18" x14ac:dyDescent="0.25">
      <c r="A3897" s="90" t="s">
        <v>866</v>
      </c>
      <c r="B3897" s="90">
        <v>4427</v>
      </c>
      <c r="C3897" s="88" t="s">
        <v>1590</v>
      </c>
      <c r="D3897" s="89" t="s">
        <v>17</v>
      </c>
      <c r="E3897" s="90" t="s">
        <v>254</v>
      </c>
      <c r="F3897" s="90" t="s">
        <v>866</v>
      </c>
      <c r="G3897" s="137">
        <v>7</v>
      </c>
      <c r="H3897" s="94">
        <v>648</v>
      </c>
      <c r="I3897" s="87">
        <v>46119</v>
      </c>
      <c r="J3897" s="93">
        <v>0.7416666666666667</v>
      </c>
      <c r="K3897" s="94">
        <v>648</v>
      </c>
      <c r="L3897" s="72" t="str">
        <f t="shared" si="61"/>
        <v>Payé</v>
      </c>
      <c r="N3897" s="15"/>
    </row>
    <row r="3898" spans="1:14" s="14" customFormat="1" ht="18" x14ac:dyDescent="0.25">
      <c r="A3898" s="90" t="s">
        <v>866</v>
      </c>
      <c r="B3898" s="90">
        <v>4428</v>
      </c>
      <c r="C3898" s="88" t="s">
        <v>1562</v>
      </c>
      <c r="D3898" s="89" t="s">
        <v>17</v>
      </c>
      <c r="E3898" s="90" t="s">
        <v>254</v>
      </c>
      <c r="F3898" s="90" t="s">
        <v>866</v>
      </c>
      <c r="G3898" s="137">
        <v>3</v>
      </c>
      <c r="H3898" s="94">
        <v>270</v>
      </c>
      <c r="I3898" s="87">
        <v>46119</v>
      </c>
      <c r="J3898" s="93">
        <v>0.7416666666666667</v>
      </c>
      <c r="K3898" s="94">
        <v>270</v>
      </c>
      <c r="L3898" s="72" t="str">
        <f t="shared" si="61"/>
        <v>Payé</v>
      </c>
      <c r="N3898" s="15"/>
    </row>
    <row r="3899" spans="1:14" s="14" customFormat="1" ht="18" x14ac:dyDescent="0.25">
      <c r="A3899" s="90" t="s">
        <v>866</v>
      </c>
      <c r="B3899" s="90">
        <v>4470</v>
      </c>
      <c r="C3899" s="88" t="s">
        <v>989</v>
      </c>
      <c r="D3899" s="89" t="s">
        <v>17</v>
      </c>
      <c r="E3899" s="90" t="s">
        <v>628</v>
      </c>
      <c r="F3899" s="90" t="s">
        <v>866</v>
      </c>
      <c r="G3899" s="137">
        <v>8</v>
      </c>
      <c r="H3899" s="94">
        <v>720</v>
      </c>
      <c r="I3899" s="87">
        <v>46118</v>
      </c>
      <c r="J3899" s="93">
        <v>0.69305555555555554</v>
      </c>
      <c r="K3899" s="94">
        <v>720</v>
      </c>
      <c r="L3899" s="72" t="str">
        <f t="shared" si="61"/>
        <v>Payé</v>
      </c>
      <c r="N3899" s="15"/>
    </row>
    <row r="3900" spans="1:14" s="14" customFormat="1" ht="18" x14ac:dyDescent="0.25">
      <c r="A3900" s="90" t="s">
        <v>866</v>
      </c>
      <c r="B3900" s="90">
        <v>4471</v>
      </c>
      <c r="C3900" s="88" t="s">
        <v>1678</v>
      </c>
      <c r="D3900" s="89" t="s">
        <v>17</v>
      </c>
      <c r="E3900" s="90" t="s">
        <v>123</v>
      </c>
      <c r="F3900" s="90" t="s">
        <v>866</v>
      </c>
      <c r="G3900" s="137">
        <v>6</v>
      </c>
      <c r="H3900" s="94">
        <v>560</v>
      </c>
      <c r="I3900" s="87">
        <v>46119</v>
      </c>
      <c r="J3900" s="93">
        <v>0.60347222222222219</v>
      </c>
      <c r="K3900" s="94">
        <v>560</v>
      </c>
      <c r="L3900" s="72" t="str">
        <f t="shared" si="61"/>
        <v>Payé</v>
      </c>
      <c r="N3900" s="15"/>
    </row>
    <row r="3901" spans="1:14" s="14" customFormat="1" ht="18" x14ac:dyDescent="0.25">
      <c r="A3901" s="90" t="s">
        <v>866</v>
      </c>
      <c r="B3901" s="90">
        <v>4473</v>
      </c>
      <c r="C3901" s="88" t="s">
        <v>623</v>
      </c>
      <c r="D3901" s="89" t="s">
        <v>17</v>
      </c>
      <c r="E3901" s="90" t="s">
        <v>628</v>
      </c>
      <c r="F3901" s="90" t="s">
        <v>866</v>
      </c>
      <c r="G3901" s="137">
        <v>12</v>
      </c>
      <c r="H3901" s="94">
        <v>1508</v>
      </c>
      <c r="I3901" s="87">
        <v>46118</v>
      </c>
      <c r="J3901" s="93">
        <v>0.69305555555555554</v>
      </c>
      <c r="K3901" s="94">
        <v>1508</v>
      </c>
      <c r="L3901" s="72" t="str">
        <f t="shared" si="61"/>
        <v>Payé</v>
      </c>
      <c r="N3901" s="15"/>
    </row>
    <row r="3902" spans="1:14" s="14" customFormat="1" ht="18" x14ac:dyDescent="0.25">
      <c r="A3902" s="90" t="s">
        <v>866</v>
      </c>
      <c r="B3902" s="90">
        <v>4550</v>
      </c>
      <c r="C3902" s="88" t="s">
        <v>739</v>
      </c>
      <c r="D3902" s="89" t="s">
        <v>17</v>
      </c>
      <c r="E3902" s="90" t="s">
        <v>123</v>
      </c>
      <c r="F3902" s="90" t="s">
        <v>866</v>
      </c>
      <c r="G3902" s="137">
        <v>6</v>
      </c>
      <c r="H3902" s="94">
        <v>540</v>
      </c>
      <c r="I3902" s="87">
        <v>46119</v>
      </c>
      <c r="J3902" s="93">
        <v>0.71597222222222223</v>
      </c>
      <c r="K3902" s="94">
        <v>540</v>
      </c>
      <c r="L3902" s="72" t="str">
        <f t="shared" si="61"/>
        <v>Payé</v>
      </c>
      <c r="N3902" s="15"/>
    </row>
    <row r="3903" spans="1:14" s="14" customFormat="1" ht="18" x14ac:dyDescent="0.25">
      <c r="A3903" s="90" t="s">
        <v>866</v>
      </c>
      <c r="B3903" s="90">
        <v>4759</v>
      </c>
      <c r="C3903" s="88" t="s">
        <v>1150</v>
      </c>
      <c r="D3903" s="89" t="s">
        <v>17</v>
      </c>
      <c r="E3903" s="90" t="s">
        <v>254</v>
      </c>
      <c r="F3903" s="90" t="s">
        <v>866</v>
      </c>
      <c r="G3903" s="137">
        <v>13</v>
      </c>
      <c r="H3903" s="94">
        <v>1286</v>
      </c>
      <c r="I3903" s="87">
        <v>46119</v>
      </c>
      <c r="J3903" s="93">
        <v>0.7416666666666667</v>
      </c>
      <c r="K3903" s="94">
        <v>1286</v>
      </c>
      <c r="L3903" s="72" t="str">
        <f t="shared" si="61"/>
        <v>Payé</v>
      </c>
      <c r="N3903" s="15"/>
    </row>
    <row r="3904" spans="1:14" s="14" customFormat="1" ht="18" x14ac:dyDescent="0.25">
      <c r="A3904" s="90" t="s">
        <v>866</v>
      </c>
      <c r="B3904" s="90">
        <v>4801</v>
      </c>
      <c r="C3904" s="88" t="s">
        <v>990</v>
      </c>
      <c r="D3904" s="89" t="s">
        <v>17</v>
      </c>
      <c r="E3904" s="90" t="s">
        <v>628</v>
      </c>
      <c r="F3904" s="90" t="s">
        <v>866</v>
      </c>
      <c r="G3904" s="137">
        <v>7</v>
      </c>
      <c r="H3904" s="94">
        <v>750</v>
      </c>
      <c r="I3904" s="87">
        <v>46118</v>
      </c>
      <c r="J3904" s="93">
        <v>0.69305555555555554</v>
      </c>
      <c r="K3904" s="94">
        <v>750</v>
      </c>
      <c r="L3904" s="72" t="str">
        <f t="shared" si="61"/>
        <v>Payé</v>
      </c>
      <c r="N3904" s="15"/>
    </row>
    <row r="3905" spans="1:14" s="14" customFormat="1" ht="18" x14ac:dyDescent="0.25">
      <c r="A3905" s="90" t="s">
        <v>866</v>
      </c>
      <c r="B3905" s="90">
        <v>4840</v>
      </c>
      <c r="C3905" s="88" t="s">
        <v>766</v>
      </c>
      <c r="D3905" s="89" t="s">
        <v>17</v>
      </c>
      <c r="E3905" s="90" t="s">
        <v>49</v>
      </c>
      <c r="F3905" s="90" t="s">
        <v>866</v>
      </c>
      <c r="G3905" s="137">
        <v>13</v>
      </c>
      <c r="H3905" s="94">
        <v>1343</v>
      </c>
      <c r="I3905" s="87">
        <v>46119</v>
      </c>
      <c r="J3905" s="93">
        <v>0.6875</v>
      </c>
      <c r="K3905" s="94">
        <v>1343</v>
      </c>
      <c r="L3905" s="72" t="str">
        <f t="shared" si="61"/>
        <v>Payé</v>
      </c>
      <c r="N3905" s="15"/>
    </row>
    <row r="3906" spans="1:14" s="14" customFormat="1" ht="18" x14ac:dyDescent="0.25">
      <c r="A3906" s="90" t="s">
        <v>866</v>
      </c>
      <c r="B3906" s="90">
        <v>4848</v>
      </c>
      <c r="C3906" s="88" t="s">
        <v>1064</v>
      </c>
      <c r="D3906" s="89" t="s">
        <v>17</v>
      </c>
      <c r="E3906" s="90" t="s">
        <v>628</v>
      </c>
      <c r="F3906" s="90" t="s">
        <v>866</v>
      </c>
      <c r="G3906" s="137">
        <v>6</v>
      </c>
      <c r="H3906" s="94">
        <v>540</v>
      </c>
      <c r="I3906" s="87">
        <v>46118</v>
      </c>
      <c r="J3906" s="93">
        <v>0.69305555555555554</v>
      </c>
      <c r="K3906" s="94">
        <v>540</v>
      </c>
      <c r="L3906" s="72" t="str">
        <f t="shared" si="61"/>
        <v>Payé</v>
      </c>
      <c r="N3906" s="15"/>
    </row>
    <row r="3907" spans="1:14" s="14" customFormat="1" ht="18" x14ac:dyDescent="0.25">
      <c r="A3907" s="90" t="s">
        <v>866</v>
      </c>
      <c r="B3907" s="90">
        <v>4868</v>
      </c>
      <c r="C3907" s="88" t="s">
        <v>767</v>
      </c>
      <c r="D3907" s="89" t="s">
        <v>17</v>
      </c>
      <c r="E3907" s="90" t="s">
        <v>753</v>
      </c>
      <c r="F3907" s="90" t="s">
        <v>866</v>
      </c>
      <c r="G3907" s="137">
        <v>9</v>
      </c>
      <c r="H3907" s="94">
        <v>820</v>
      </c>
      <c r="I3907" s="87">
        <v>46119</v>
      </c>
      <c r="J3907" s="93">
        <v>0.70833333333333337</v>
      </c>
      <c r="K3907" s="94">
        <v>820</v>
      </c>
      <c r="L3907" s="72" t="str">
        <f t="shared" si="61"/>
        <v>Payé</v>
      </c>
      <c r="N3907" s="15"/>
    </row>
    <row r="3908" spans="1:14" s="14" customFormat="1" ht="18" x14ac:dyDescent="0.25">
      <c r="A3908" s="90" t="s">
        <v>866</v>
      </c>
      <c r="B3908" s="90">
        <v>4890</v>
      </c>
      <c r="C3908" s="88" t="s">
        <v>1563</v>
      </c>
      <c r="D3908" s="89" t="s">
        <v>17</v>
      </c>
      <c r="E3908" s="90" t="s">
        <v>123</v>
      </c>
      <c r="F3908" s="90" t="s">
        <v>866</v>
      </c>
      <c r="G3908" s="137">
        <v>8</v>
      </c>
      <c r="H3908" s="94">
        <v>800</v>
      </c>
      <c r="I3908" s="91"/>
      <c r="J3908" s="165"/>
      <c r="K3908" s="92"/>
      <c r="L3908" s="72" t="str">
        <f t="shared" si="61"/>
        <v>Impayé</v>
      </c>
      <c r="N3908" s="15"/>
    </row>
    <row r="3909" spans="1:14" s="14" customFormat="1" ht="18" x14ac:dyDescent="0.25">
      <c r="A3909" s="90" t="s">
        <v>866</v>
      </c>
      <c r="B3909" s="90">
        <v>4923</v>
      </c>
      <c r="C3909" s="88" t="s">
        <v>1539</v>
      </c>
      <c r="D3909" s="89" t="s">
        <v>17</v>
      </c>
      <c r="E3909" s="90" t="s">
        <v>753</v>
      </c>
      <c r="F3909" s="90" t="s">
        <v>866</v>
      </c>
      <c r="G3909" s="137">
        <v>5</v>
      </c>
      <c r="H3909" s="94">
        <v>450</v>
      </c>
      <c r="I3909" s="87">
        <v>46122</v>
      </c>
      <c r="J3909" s="93">
        <v>0.44097222222222227</v>
      </c>
      <c r="K3909" s="94">
        <v>450</v>
      </c>
      <c r="L3909" s="72" t="str">
        <f t="shared" si="61"/>
        <v>Payé</v>
      </c>
      <c r="N3909" s="15"/>
    </row>
    <row r="3910" spans="1:14" s="14" customFormat="1" ht="18" x14ac:dyDescent="0.25">
      <c r="A3910" s="90" t="s">
        <v>866</v>
      </c>
      <c r="B3910" s="90">
        <v>5076</v>
      </c>
      <c r="C3910" s="88" t="s">
        <v>991</v>
      </c>
      <c r="D3910" s="89" t="s">
        <v>17</v>
      </c>
      <c r="E3910" s="90" t="s">
        <v>753</v>
      </c>
      <c r="F3910" s="90" t="s">
        <v>866</v>
      </c>
      <c r="G3910" s="137">
        <v>12</v>
      </c>
      <c r="H3910" s="94">
        <v>1080</v>
      </c>
      <c r="I3910" s="87">
        <v>46120</v>
      </c>
      <c r="J3910" s="93">
        <v>0.67569444444444438</v>
      </c>
      <c r="K3910" s="94">
        <v>1080</v>
      </c>
      <c r="L3910" s="72" t="str">
        <f t="shared" si="61"/>
        <v>Payé</v>
      </c>
      <c r="N3910" s="15"/>
    </row>
    <row r="3911" spans="1:14" s="14" customFormat="1" ht="18" x14ac:dyDescent="0.25">
      <c r="A3911" s="90" t="s">
        <v>866</v>
      </c>
      <c r="B3911" s="90">
        <v>5136</v>
      </c>
      <c r="C3911" s="88" t="s">
        <v>1067</v>
      </c>
      <c r="D3911" s="89" t="s">
        <v>17</v>
      </c>
      <c r="E3911" s="90" t="s">
        <v>1104</v>
      </c>
      <c r="F3911" s="90" t="s">
        <v>866</v>
      </c>
      <c r="G3911" s="137">
        <v>12</v>
      </c>
      <c r="H3911" s="94">
        <v>1140</v>
      </c>
      <c r="I3911" s="87">
        <v>46119</v>
      </c>
      <c r="J3911" s="93">
        <v>0.6069444444444444</v>
      </c>
      <c r="K3911" s="94">
        <v>1140</v>
      </c>
      <c r="L3911" s="72" t="str">
        <f t="shared" si="61"/>
        <v>Payé</v>
      </c>
      <c r="N3911" s="15"/>
    </row>
    <row r="3912" spans="1:14" s="14" customFormat="1" ht="18" x14ac:dyDescent="0.25">
      <c r="A3912" s="90" t="s">
        <v>866</v>
      </c>
      <c r="B3912" s="90">
        <v>5170</v>
      </c>
      <c r="C3912" s="88" t="s">
        <v>1922</v>
      </c>
      <c r="D3912" s="89" t="s">
        <v>17</v>
      </c>
      <c r="E3912" s="90" t="s">
        <v>1104</v>
      </c>
      <c r="F3912" s="90" t="s">
        <v>866</v>
      </c>
      <c r="G3912" s="137">
        <v>4</v>
      </c>
      <c r="H3912" s="94">
        <v>360</v>
      </c>
      <c r="I3912" s="87">
        <v>46119</v>
      </c>
      <c r="J3912" s="93">
        <v>0.6069444444444444</v>
      </c>
      <c r="K3912" s="94">
        <v>360</v>
      </c>
      <c r="L3912" s="72" t="str">
        <f t="shared" si="61"/>
        <v>Payé</v>
      </c>
      <c r="N3912" s="15"/>
    </row>
    <row r="3913" spans="1:14" s="14" customFormat="1" ht="18" x14ac:dyDescent="0.25">
      <c r="A3913" s="90" t="s">
        <v>866</v>
      </c>
      <c r="B3913" s="90">
        <v>5209</v>
      </c>
      <c r="C3913" s="88" t="s">
        <v>835</v>
      </c>
      <c r="D3913" s="89" t="s">
        <v>17</v>
      </c>
      <c r="E3913" s="90" t="s">
        <v>753</v>
      </c>
      <c r="F3913" s="90" t="s">
        <v>866</v>
      </c>
      <c r="G3913" s="137">
        <v>12</v>
      </c>
      <c r="H3913" s="94">
        <v>1090</v>
      </c>
      <c r="I3913" s="87">
        <v>46119</v>
      </c>
      <c r="J3913" s="93">
        <v>0.70833333333333337</v>
      </c>
      <c r="K3913" s="94">
        <v>1090</v>
      </c>
      <c r="L3913" s="72" t="str">
        <f t="shared" si="61"/>
        <v>Payé</v>
      </c>
      <c r="N3913" s="15"/>
    </row>
    <row r="3914" spans="1:14" s="14" customFormat="1" ht="18" x14ac:dyDescent="0.25">
      <c r="A3914" s="90" t="s">
        <v>866</v>
      </c>
      <c r="B3914" s="90">
        <v>5240</v>
      </c>
      <c r="C3914" s="88" t="s">
        <v>885</v>
      </c>
      <c r="D3914" s="89" t="s">
        <v>17</v>
      </c>
      <c r="E3914" s="90" t="s">
        <v>753</v>
      </c>
      <c r="F3914" s="90" t="s">
        <v>866</v>
      </c>
      <c r="G3914" s="137">
        <v>5</v>
      </c>
      <c r="H3914" s="94">
        <v>450</v>
      </c>
      <c r="I3914" s="87">
        <v>46119</v>
      </c>
      <c r="J3914" s="93">
        <v>0.70833333333333337</v>
      </c>
      <c r="K3914" s="94">
        <v>450</v>
      </c>
      <c r="L3914" s="72" t="str">
        <f t="shared" si="61"/>
        <v>Payé</v>
      </c>
      <c r="N3914" s="15"/>
    </row>
    <row r="3915" spans="1:14" s="14" customFormat="1" ht="18" x14ac:dyDescent="0.25">
      <c r="A3915" s="90" t="s">
        <v>866</v>
      </c>
      <c r="B3915" s="90">
        <v>5253</v>
      </c>
      <c r="C3915" s="88" t="s">
        <v>902</v>
      </c>
      <c r="D3915" s="89" t="s">
        <v>17</v>
      </c>
      <c r="E3915" s="90" t="s">
        <v>753</v>
      </c>
      <c r="F3915" s="90" t="s">
        <v>866</v>
      </c>
      <c r="G3915" s="137">
        <v>5</v>
      </c>
      <c r="H3915" s="94">
        <v>450</v>
      </c>
      <c r="I3915" s="87">
        <v>46119</v>
      </c>
      <c r="J3915" s="93">
        <v>0.70833333333333337</v>
      </c>
      <c r="K3915" s="94">
        <v>450</v>
      </c>
      <c r="L3915" s="72" t="str">
        <f t="shared" si="61"/>
        <v>Payé</v>
      </c>
      <c r="N3915" s="15"/>
    </row>
    <row r="3916" spans="1:14" s="14" customFormat="1" ht="18" x14ac:dyDescent="0.25">
      <c r="A3916" s="90" t="s">
        <v>866</v>
      </c>
      <c r="B3916" s="90">
        <v>5259</v>
      </c>
      <c r="C3916" s="88" t="s">
        <v>908</v>
      </c>
      <c r="D3916" s="89" t="s">
        <v>17</v>
      </c>
      <c r="E3916" s="90" t="s">
        <v>1904</v>
      </c>
      <c r="F3916" s="90" t="s">
        <v>866</v>
      </c>
      <c r="G3916" s="137">
        <v>2</v>
      </c>
      <c r="H3916" s="94">
        <v>180</v>
      </c>
      <c r="I3916" s="87">
        <v>46119</v>
      </c>
      <c r="J3916" s="93">
        <v>0.73055555555555562</v>
      </c>
      <c r="K3916" s="94">
        <v>180</v>
      </c>
      <c r="L3916" s="72" t="str">
        <f t="shared" si="61"/>
        <v>Payé</v>
      </c>
      <c r="N3916" s="15"/>
    </row>
    <row r="3917" spans="1:14" s="14" customFormat="1" ht="18" x14ac:dyDescent="0.25">
      <c r="A3917" s="90" t="s">
        <v>866</v>
      </c>
      <c r="B3917" s="90">
        <v>5262</v>
      </c>
      <c r="C3917" s="88" t="s">
        <v>735</v>
      </c>
      <c r="D3917" s="89" t="s">
        <v>17</v>
      </c>
      <c r="E3917" s="90" t="s">
        <v>649</v>
      </c>
      <c r="F3917" s="90" t="s">
        <v>866</v>
      </c>
      <c r="G3917" s="137">
        <v>1</v>
      </c>
      <c r="H3917" s="94">
        <v>90</v>
      </c>
      <c r="I3917" s="87"/>
      <c r="J3917" s="93"/>
      <c r="K3917" s="92"/>
      <c r="L3917" s="72" t="str">
        <f t="shared" si="61"/>
        <v>Impayé</v>
      </c>
      <c r="N3917" s="15"/>
    </row>
    <row r="3918" spans="1:14" s="14" customFormat="1" ht="18" x14ac:dyDescent="0.25">
      <c r="A3918" s="90" t="s">
        <v>866</v>
      </c>
      <c r="B3918" s="90">
        <v>5292</v>
      </c>
      <c r="C3918" s="88" t="s">
        <v>1003</v>
      </c>
      <c r="D3918" s="89" t="s">
        <v>17</v>
      </c>
      <c r="E3918" s="90" t="s">
        <v>1904</v>
      </c>
      <c r="F3918" s="90" t="s">
        <v>866</v>
      </c>
      <c r="G3918" s="137">
        <v>4</v>
      </c>
      <c r="H3918" s="94">
        <v>360</v>
      </c>
      <c r="I3918" s="87">
        <v>46119</v>
      </c>
      <c r="J3918" s="93">
        <v>0.73055555555555562</v>
      </c>
      <c r="K3918" s="94">
        <v>360</v>
      </c>
      <c r="L3918" s="72" t="str">
        <f t="shared" si="61"/>
        <v>Payé</v>
      </c>
      <c r="N3918" s="15"/>
    </row>
    <row r="3919" spans="1:14" s="14" customFormat="1" ht="18" x14ac:dyDescent="0.25">
      <c r="A3919" s="90" t="s">
        <v>866</v>
      </c>
      <c r="B3919" s="90">
        <v>5317</v>
      </c>
      <c r="C3919" s="88" t="s">
        <v>551</v>
      </c>
      <c r="D3919" s="89" t="s">
        <v>17</v>
      </c>
      <c r="E3919" s="90" t="s">
        <v>649</v>
      </c>
      <c r="F3919" s="90" t="s">
        <v>866</v>
      </c>
      <c r="G3919" s="137">
        <v>11</v>
      </c>
      <c r="H3919" s="94">
        <v>1000</v>
      </c>
      <c r="I3919" s="87">
        <v>46119</v>
      </c>
      <c r="J3919" s="93">
        <v>0.72291666666666676</v>
      </c>
      <c r="K3919" s="94">
        <v>1000</v>
      </c>
      <c r="L3919" s="72" t="str">
        <f t="shared" si="61"/>
        <v>Payé</v>
      </c>
      <c r="N3919" s="15"/>
    </row>
    <row r="3920" spans="1:14" s="14" customFormat="1" ht="18" x14ac:dyDescent="0.25">
      <c r="A3920" s="90" t="s">
        <v>866</v>
      </c>
      <c r="B3920" s="90">
        <v>5327</v>
      </c>
      <c r="C3920" s="88" t="s">
        <v>1033</v>
      </c>
      <c r="D3920" s="89" t="s">
        <v>17</v>
      </c>
      <c r="E3920" s="90" t="s">
        <v>753</v>
      </c>
      <c r="F3920" s="90" t="s">
        <v>866</v>
      </c>
      <c r="G3920" s="137">
        <v>1</v>
      </c>
      <c r="H3920" s="94">
        <v>90</v>
      </c>
      <c r="I3920" s="87"/>
      <c r="J3920" s="93"/>
      <c r="K3920" s="92"/>
      <c r="L3920" s="72" t="str">
        <f t="shared" si="61"/>
        <v>Impayé</v>
      </c>
      <c r="N3920" s="15"/>
    </row>
    <row r="3921" spans="1:14" s="14" customFormat="1" ht="18" x14ac:dyDescent="0.25">
      <c r="A3921" s="90" t="s">
        <v>866</v>
      </c>
      <c r="B3921" s="90">
        <v>5335</v>
      </c>
      <c r="C3921" s="88" t="s">
        <v>1040</v>
      </c>
      <c r="D3921" s="89" t="s">
        <v>17</v>
      </c>
      <c r="E3921" s="90" t="s">
        <v>753</v>
      </c>
      <c r="F3921" s="90" t="s">
        <v>866</v>
      </c>
      <c r="G3921" s="137">
        <v>6</v>
      </c>
      <c r="H3921" s="94">
        <v>540</v>
      </c>
      <c r="I3921" s="87">
        <v>46119</v>
      </c>
      <c r="J3921" s="93">
        <v>0.70833333333333337</v>
      </c>
      <c r="K3921" s="94">
        <v>540</v>
      </c>
      <c r="L3921" s="72" t="str">
        <f t="shared" si="61"/>
        <v>Payé</v>
      </c>
      <c r="N3921" s="15"/>
    </row>
    <row r="3922" spans="1:14" s="14" customFormat="1" ht="18" x14ac:dyDescent="0.25">
      <c r="A3922" s="90" t="s">
        <v>866</v>
      </c>
      <c r="B3922" s="90">
        <v>5348</v>
      </c>
      <c r="C3922" s="88" t="s">
        <v>1083</v>
      </c>
      <c r="D3922" s="89" t="s">
        <v>17</v>
      </c>
      <c r="E3922" s="90" t="s">
        <v>370</v>
      </c>
      <c r="F3922" s="90" t="s">
        <v>866</v>
      </c>
      <c r="G3922" s="137">
        <v>2</v>
      </c>
      <c r="H3922" s="94">
        <v>173</v>
      </c>
      <c r="I3922" s="87">
        <v>46126</v>
      </c>
      <c r="J3922" s="93">
        <v>0.45347222222222222</v>
      </c>
      <c r="K3922" s="94">
        <v>173</v>
      </c>
      <c r="L3922" s="72" t="str">
        <f t="shared" si="61"/>
        <v>Payé</v>
      </c>
      <c r="N3922" s="15"/>
    </row>
    <row r="3923" spans="1:14" s="14" customFormat="1" ht="18" x14ac:dyDescent="0.25">
      <c r="A3923" s="90" t="s">
        <v>866</v>
      </c>
      <c r="B3923" s="90">
        <v>5365</v>
      </c>
      <c r="C3923" s="88" t="s">
        <v>1123</v>
      </c>
      <c r="D3923" s="89" t="s">
        <v>17</v>
      </c>
      <c r="E3923" s="90" t="s">
        <v>370</v>
      </c>
      <c r="F3923" s="90" t="s">
        <v>866</v>
      </c>
      <c r="G3923" s="137">
        <v>8</v>
      </c>
      <c r="H3923" s="94">
        <v>800</v>
      </c>
      <c r="I3923" s="87">
        <v>46120</v>
      </c>
      <c r="J3923" s="93">
        <v>0.59027777777777779</v>
      </c>
      <c r="K3923" s="94">
        <v>800</v>
      </c>
      <c r="L3923" s="72" t="str">
        <f t="shared" si="61"/>
        <v>Payé</v>
      </c>
      <c r="N3923" s="15"/>
    </row>
    <row r="3924" spans="1:14" s="14" customFormat="1" ht="18" x14ac:dyDescent="0.25">
      <c r="A3924" s="90" t="s">
        <v>866</v>
      </c>
      <c r="B3924" s="90">
        <v>6037</v>
      </c>
      <c r="C3924" s="88" t="s">
        <v>1682</v>
      </c>
      <c r="D3924" s="89" t="s">
        <v>17</v>
      </c>
      <c r="E3924" s="90" t="s">
        <v>123</v>
      </c>
      <c r="F3924" s="90" t="s">
        <v>866</v>
      </c>
      <c r="G3924" s="137">
        <v>8</v>
      </c>
      <c r="H3924" s="94">
        <v>720</v>
      </c>
      <c r="I3924" s="87">
        <v>46119</v>
      </c>
      <c r="J3924" s="93">
        <v>0.60347222222222219</v>
      </c>
      <c r="K3924" s="94">
        <v>720</v>
      </c>
      <c r="L3924" s="72" t="str">
        <f t="shared" si="61"/>
        <v>Payé</v>
      </c>
      <c r="N3924" s="15"/>
    </row>
    <row r="3925" spans="1:14" s="14" customFormat="1" ht="18" x14ac:dyDescent="0.25">
      <c r="A3925" s="90" t="s">
        <v>866</v>
      </c>
      <c r="B3925" s="90">
        <v>6070</v>
      </c>
      <c r="C3925" s="88" t="s">
        <v>1153</v>
      </c>
      <c r="D3925" s="89" t="s">
        <v>17</v>
      </c>
      <c r="E3925" s="90" t="s">
        <v>49</v>
      </c>
      <c r="F3925" s="90" t="s">
        <v>866</v>
      </c>
      <c r="G3925" s="137">
        <v>13</v>
      </c>
      <c r="H3925" s="94">
        <v>1210</v>
      </c>
      <c r="I3925" s="87">
        <v>46119</v>
      </c>
      <c r="J3925" s="93">
        <v>0.6875</v>
      </c>
      <c r="K3925" s="94">
        <v>1210</v>
      </c>
      <c r="L3925" s="72" t="str">
        <f t="shared" si="61"/>
        <v>Payé</v>
      </c>
      <c r="N3925" s="15"/>
    </row>
    <row r="3926" spans="1:14" s="14" customFormat="1" ht="18" x14ac:dyDescent="0.25">
      <c r="A3926" s="90" t="s">
        <v>866</v>
      </c>
      <c r="B3926" s="90">
        <v>7004</v>
      </c>
      <c r="C3926" s="88" t="s">
        <v>713</v>
      </c>
      <c r="D3926" s="89" t="s">
        <v>17</v>
      </c>
      <c r="E3926" s="90" t="s">
        <v>49</v>
      </c>
      <c r="F3926" s="90" t="s">
        <v>866</v>
      </c>
      <c r="G3926" s="137">
        <v>15</v>
      </c>
      <c r="H3926" s="94">
        <v>1510</v>
      </c>
      <c r="I3926" s="87">
        <v>46119</v>
      </c>
      <c r="J3926" s="93">
        <v>0.6875</v>
      </c>
      <c r="K3926" s="94">
        <v>1510</v>
      </c>
      <c r="L3926" s="72" t="str">
        <f t="shared" si="61"/>
        <v>Payé</v>
      </c>
      <c r="N3926" s="15"/>
    </row>
    <row r="3927" spans="1:14" s="14" customFormat="1" ht="18" x14ac:dyDescent="0.25">
      <c r="A3927" s="90" t="s">
        <v>866</v>
      </c>
      <c r="B3927" s="90">
        <v>7012</v>
      </c>
      <c r="C3927" s="88" t="s">
        <v>724</v>
      </c>
      <c r="D3927" s="89" t="s">
        <v>17</v>
      </c>
      <c r="E3927" s="90" t="s">
        <v>1904</v>
      </c>
      <c r="F3927" s="90" t="s">
        <v>866</v>
      </c>
      <c r="G3927" s="137">
        <v>14</v>
      </c>
      <c r="H3927" s="94">
        <v>1293</v>
      </c>
      <c r="I3927" s="87">
        <v>46119</v>
      </c>
      <c r="J3927" s="93">
        <v>0.73055555555555562</v>
      </c>
      <c r="K3927" s="94">
        <v>1293</v>
      </c>
      <c r="L3927" s="72" t="str">
        <f t="shared" si="61"/>
        <v>Payé</v>
      </c>
      <c r="N3927" s="15"/>
    </row>
    <row r="3928" spans="1:14" s="14" customFormat="1" ht="18" x14ac:dyDescent="0.25">
      <c r="A3928" s="90" t="s">
        <v>866</v>
      </c>
      <c r="B3928" s="90">
        <v>7082</v>
      </c>
      <c r="C3928" s="88" t="s">
        <v>1821</v>
      </c>
      <c r="D3928" s="89" t="s">
        <v>17</v>
      </c>
      <c r="E3928" s="90" t="s">
        <v>254</v>
      </c>
      <c r="F3928" s="90" t="s">
        <v>866</v>
      </c>
      <c r="G3928" s="137">
        <v>5</v>
      </c>
      <c r="H3928" s="94">
        <v>465</v>
      </c>
      <c r="I3928" s="87">
        <v>46119</v>
      </c>
      <c r="J3928" s="93">
        <v>0.7416666666666667</v>
      </c>
      <c r="K3928" s="94">
        <v>465</v>
      </c>
      <c r="L3928" s="72" t="str">
        <f t="shared" si="61"/>
        <v>Payé</v>
      </c>
      <c r="N3928" s="15"/>
    </row>
    <row r="3929" spans="1:14" s="14" customFormat="1" ht="18" x14ac:dyDescent="0.25">
      <c r="A3929" s="90" t="s">
        <v>866</v>
      </c>
      <c r="B3929" s="90">
        <v>7087</v>
      </c>
      <c r="C3929" s="88" t="s">
        <v>1477</v>
      </c>
      <c r="D3929" s="89" t="s">
        <v>17</v>
      </c>
      <c r="E3929" s="90" t="s">
        <v>254</v>
      </c>
      <c r="F3929" s="90" t="s">
        <v>866</v>
      </c>
      <c r="G3929" s="137">
        <v>6</v>
      </c>
      <c r="H3929" s="94">
        <v>540</v>
      </c>
      <c r="I3929" s="87">
        <v>46119</v>
      </c>
      <c r="J3929" s="93">
        <v>0.7416666666666667</v>
      </c>
      <c r="K3929" s="94">
        <v>540</v>
      </c>
      <c r="L3929" s="72" t="str">
        <f t="shared" si="61"/>
        <v>Payé</v>
      </c>
      <c r="N3929" s="15"/>
    </row>
    <row r="3930" spans="1:14" s="14" customFormat="1" ht="18" x14ac:dyDescent="0.25">
      <c r="A3930" s="90" t="s">
        <v>866</v>
      </c>
      <c r="B3930" s="90">
        <v>8022</v>
      </c>
      <c r="C3930" s="88" t="s">
        <v>707</v>
      </c>
      <c r="D3930" s="89" t="s">
        <v>17</v>
      </c>
      <c r="E3930" s="90" t="s">
        <v>628</v>
      </c>
      <c r="F3930" s="90" t="s">
        <v>866</v>
      </c>
      <c r="G3930" s="137">
        <v>12</v>
      </c>
      <c r="H3930" s="94">
        <v>1160</v>
      </c>
      <c r="I3930" s="87">
        <v>46118</v>
      </c>
      <c r="J3930" s="93">
        <v>0.69305555555555554</v>
      </c>
      <c r="K3930" s="94">
        <v>1160</v>
      </c>
      <c r="L3930" s="72" t="str">
        <f t="shared" si="61"/>
        <v>Payé</v>
      </c>
      <c r="N3930" s="15"/>
    </row>
    <row r="3931" spans="1:14" s="14" customFormat="1" ht="18" x14ac:dyDescent="0.25">
      <c r="A3931" s="90" t="s">
        <v>866</v>
      </c>
      <c r="B3931" s="90">
        <v>9016</v>
      </c>
      <c r="C3931" s="88" t="s">
        <v>1822</v>
      </c>
      <c r="D3931" s="89" t="s">
        <v>17</v>
      </c>
      <c r="E3931" s="90" t="s">
        <v>649</v>
      </c>
      <c r="F3931" s="90" t="s">
        <v>866</v>
      </c>
      <c r="G3931" s="137">
        <v>2</v>
      </c>
      <c r="H3931" s="94">
        <v>180</v>
      </c>
      <c r="I3931" s="87">
        <v>46122</v>
      </c>
      <c r="J3931" s="93">
        <v>0.71527777777777779</v>
      </c>
      <c r="K3931" s="94">
        <v>180</v>
      </c>
      <c r="L3931" s="72" t="str">
        <f t="shared" si="61"/>
        <v>Payé</v>
      </c>
      <c r="N3931" s="15"/>
    </row>
    <row r="3932" spans="1:14" s="14" customFormat="1" ht="18" x14ac:dyDescent="0.25">
      <c r="A3932" s="90" t="s">
        <v>866</v>
      </c>
      <c r="B3932" s="90">
        <v>9034</v>
      </c>
      <c r="C3932" s="88" t="s">
        <v>736</v>
      </c>
      <c r="D3932" s="89" t="s">
        <v>17</v>
      </c>
      <c r="E3932" s="90" t="s">
        <v>49</v>
      </c>
      <c r="F3932" s="90" t="s">
        <v>866</v>
      </c>
      <c r="G3932" s="137">
        <v>17</v>
      </c>
      <c r="H3932" s="94">
        <v>1570</v>
      </c>
      <c r="I3932" s="87">
        <v>46119</v>
      </c>
      <c r="J3932" s="93">
        <v>0.6875</v>
      </c>
      <c r="K3932" s="94">
        <v>1570</v>
      </c>
      <c r="L3932" s="72" t="str">
        <f t="shared" si="61"/>
        <v>Payé</v>
      </c>
      <c r="N3932" s="15"/>
    </row>
    <row r="3933" spans="1:14" s="14" customFormat="1" ht="18" x14ac:dyDescent="0.25">
      <c r="A3933" s="90" t="s">
        <v>866</v>
      </c>
      <c r="B3933" s="90">
        <v>9047</v>
      </c>
      <c r="C3933" s="88" t="s">
        <v>1823</v>
      </c>
      <c r="D3933" s="89" t="s">
        <v>17</v>
      </c>
      <c r="E3933" s="90" t="s">
        <v>628</v>
      </c>
      <c r="F3933" s="90" t="s">
        <v>866</v>
      </c>
      <c r="G3933" s="137">
        <v>1</v>
      </c>
      <c r="H3933" s="94">
        <v>90</v>
      </c>
      <c r="I3933" s="87">
        <v>46118</v>
      </c>
      <c r="J3933" s="93">
        <v>0.69305555555555554</v>
      </c>
      <c r="K3933" s="94">
        <v>90</v>
      </c>
      <c r="L3933" s="72" t="str">
        <f t="shared" si="61"/>
        <v>Payé</v>
      </c>
      <c r="N3933" s="15"/>
    </row>
    <row r="3934" spans="1:14" s="14" customFormat="1" ht="18" x14ac:dyDescent="0.25">
      <c r="A3934" s="90" t="s">
        <v>866</v>
      </c>
      <c r="B3934" s="90">
        <v>10007</v>
      </c>
      <c r="C3934" s="88" t="s">
        <v>1133</v>
      </c>
      <c r="D3934" s="89" t="s">
        <v>17</v>
      </c>
      <c r="E3934" s="90" t="s">
        <v>420</v>
      </c>
      <c r="F3934" s="90" t="s">
        <v>866</v>
      </c>
      <c r="G3934" s="137">
        <v>4</v>
      </c>
      <c r="H3934" s="94">
        <v>360</v>
      </c>
      <c r="I3934" s="87">
        <v>46121</v>
      </c>
      <c r="J3934" s="93">
        <v>0.54791666666666672</v>
      </c>
      <c r="K3934" s="94">
        <v>360</v>
      </c>
      <c r="L3934" s="72" t="str">
        <f t="shared" ref="L3934:L3997" si="62">IF(ISBLANK(H3934),"",IF(H3934=K3934,"Payé","Impayé"))</f>
        <v>Payé</v>
      </c>
      <c r="N3934" s="15"/>
    </row>
    <row r="3935" spans="1:14" s="14" customFormat="1" ht="18" x14ac:dyDescent="0.25">
      <c r="A3935" s="90" t="s">
        <v>866</v>
      </c>
      <c r="B3935" s="90">
        <v>10008</v>
      </c>
      <c r="C3935" s="88" t="s">
        <v>1134</v>
      </c>
      <c r="D3935" s="89" t="s">
        <v>17</v>
      </c>
      <c r="E3935" s="90" t="s">
        <v>628</v>
      </c>
      <c r="F3935" s="90" t="s">
        <v>866</v>
      </c>
      <c r="G3935" s="137">
        <v>10</v>
      </c>
      <c r="H3935" s="94">
        <v>1084</v>
      </c>
      <c r="I3935" s="87">
        <v>46118</v>
      </c>
      <c r="J3935" s="93">
        <v>0.69305555555555554</v>
      </c>
      <c r="K3935" s="94">
        <v>1084</v>
      </c>
      <c r="L3935" s="72" t="str">
        <f t="shared" si="62"/>
        <v>Payé</v>
      </c>
      <c r="N3935" s="15"/>
    </row>
    <row r="3936" spans="1:14" s="14" customFormat="1" ht="18" x14ac:dyDescent="0.25">
      <c r="A3936" s="90" t="s">
        <v>866</v>
      </c>
      <c r="B3936" s="90">
        <v>10010</v>
      </c>
      <c r="C3936" s="88" t="s">
        <v>1158</v>
      </c>
      <c r="D3936" s="89" t="s">
        <v>17</v>
      </c>
      <c r="E3936" s="90" t="s">
        <v>753</v>
      </c>
      <c r="F3936" s="90" t="s">
        <v>866</v>
      </c>
      <c r="G3936" s="137">
        <v>11</v>
      </c>
      <c r="H3936" s="94">
        <v>1000</v>
      </c>
      <c r="I3936" s="87">
        <v>46119</v>
      </c>
      <c r="J3936" s="93">
        <v>0.70833333333333337</v>
      </c>
      <c r="K3936" s="94">
        <v>1000</v>
      </c>
      <c r="L3936" s="72" t="str">
        <f t="shared" si="62"/>
        <v>Payé</v>
      </c>
      <c r="N3936" s="15"/>
    </row>
    <row r="3937" spans="1:14" s="14" customFormat="1" ht="18" x14ac:dyDescent="0.25">
      <c r="A3937" s="90" t="s">
        <v>866</v>
      </c>
      <c r="B3937" s="90">
        <v>10026</v>
      </c>
      <c r="C3937" s="88" t="s">
        <v>1172</v>
      </c>
      <c r="D3937" s="89" t="s">
        <v>17</v>
      </c>
      <c r="E3937" s="90" t="s">
        <v>1104</v>
      </c>
      <c r="F3937" s="90" t="s">
        <v>866</v>
      </c>
      <c r="G3937" s="137">
        <v>1</v>
      </c>
      <c r="H3937" s="94">
        <v>90</v>
      </c>
      <c r="I3937" s="87">
        <v>46119</v>
      </c>
      <c r="J3937" s="93">
        <v>0.65694444444444444</v>
      </c>
      <c r="K3937" s="94">
        <v>90</v>
      </c>
      <c r="L3937" s="72" t="str">
        <f t="shared" si="62"/>
        <v>Payé</v>
      </c>
      <c r="N3937" s="15"/>
    </row>
    <row r="3938" spans="1:14" s="14" customFormat="1" ht="18" x14ac:dyDescent="0.25">
      <c r="A3938" s="90" t="s">
        <v>866</v>
      </c>
      <c r="B3938" s="90">
        <v>10031</v>
      </c>
      <c r="C3938" s="88" t="s">
        <v>1177</v>
      </c>
      <c r="D3938" s="89" t="s">
        <v>17</v>
      </c>
      <c r="E3938" s="90" t="s">
        <v>753</v>
      </c>
      <c r="F3938" s="90" t="s">
        <v>866</v>
      </c>
      <c r="G3938" s="137">
        <v>15</v>
      </c>
      <c r="H3938" s="94">
        <v>1360</v>
      </c>
      <c r="I3938" s="87">
        <v>46119</v>
      </c>
      <c r="J3938" s="93">
        <v>0.70833333333333337</v>
      </c>
      <c r="K3938" s="94">
        <v>1360</v>
      </c>
      <c r="L3938" s="72" t="str">
        <f t="shared" si="62"/>
        <v>Payé</v>
      </c>
      <c r="N3938" s="15"/>
    </row>
    <row r="3939" spans="1:14" s="14" customFormat="1" ht="18" x14ac:dyDescent="0.25">
      <c r="A3939" s="90" t="s">
        <v>866</v>
      </c>
      <c r="B3939" s="90">
        <v>10034</v>
      </c>
      <c r="C3939" s="88" t="s">
        <v>1180</v>
      </c>
      <c r="D3939" s="89" t="s">
        <v>17</v>
      </c>
      <c r="E3939" s="90" t="s">
        <v>254</v>
      </c>
      <c r="F3939" s="90" t="s">
        <v>866</v>
      </c>
      <c r="G3939" s="137">
        <v>4</v>
      </c>
      <c r="H3939" s="94">
        <v>421</v>
      </c>
      <c r="I3939" s="87">
        <v>46119</v>
      </c>
      <c r="J3939" s="93">
        <v>0.74305555555555547</v>
      </c>
      <c r="K3939" s="94">
        <v>421</v>
      </c>
      <c r="L3939" s="72" t="str">
        <f t="shared" si="62"/>
        <v>Payé</v>
      </c>
      <c r="N3939" s="15"/>
    </row>
    <row r="3940" spans="1:14" s="14" customFormat="1" ht="18" x14ac:dyDescent="0.25">
      <c r="A3940" s="90" t="s">
        <v>866</v>
      </c>
      <c r="B3940" s="90">
        <v>10035</v>
      </c>
      <c r="C3940" s="88" t="s">
        <v>1181</v>
      </c>
      <c r="D3940" s="89" t="s">
        <v>17</v>
      </c>
      <c r="E3940" s="90" t="s">
        <v>1906</v>
      </c>
      <c r="F3940" s="90" t="s">
        <v>866</v>
      </c>
      <c r="G3940" s="137">
        <v>13</v>
      </c>
      <c r="H3940" s="94">
        <v>1300</v>
      </c>
      <c r="I3940" s="87">
        <v>46119</v>
      </c>
      <c r="J3940" s="93">
        <v>0.69513888888888886</v>
      </c>
      <c r="K3940" s="94">
        <v>1300</v>
      </c>
      <c r="L3940" s="72" t="str">
        <f t="shared" si="62"/>
        <v>Payé</v>
      </c>
      <c r="N3940" s="15"/>
    </row>
    <row r="3941" spans="1:14" s="14" customFormat="1" ht="18" x14ac:dyDescent="0.25">
      <c r="A3941" s="90" t="s">
        <v>866</v>
      </c>
      <c r="B3941" s="90">
        <v>10036</v>
      </c>
      <c r="C3941" s="88" t="s">
        <v>1923</v>
      </c>
      <c r="D3941" s="89" t="s">
        <v>17</v>
      </c>
      <c r="E3941" s="90" t="s">
        <v>1104</v>
      </c>
      <c r="F3941" s="90" t="s">
        <v>866</v>
      </c>
      <c r="G3941" s="137">
        <v>4</v>
      </c>
      <c r="H3941" s="94">
        <v>380</v>
      </c>
      <c r="I3941" s="87">
        <v>46121</v>
      </c>
      <c r="J3941" s="93">
        <v>0.54652777777777783</v>
      </c>
      <c r="K3941" s="94">
        <v>380</v>
      </c>
      <c r="L3941" s="72" t="str">
        <f t="shared" si="62"/>
        <v>Payé</v>
      </c>
      <c r="N3941" s="15"/>
    </row>
    <row r="3942" spans="1:14" s="14" customFormat="1" ht="18" x14ac:dyDescent="0.25">
      <c r="A3942" s="90" t="s">
        <v>866</v>
      </c>
      <c r="B3942" s="90">
        <v>10037</v>
      </c>
      <c r="C3942" s="88" t="s">
        <v>1924</v>
      </c>
      <c r="D3942" s="89" t="s">
        <v>17</v>
      </c>
      <c r="E3942" s="90" t="s">
        <v>1104</v>
      </c>
      <c r="F3942" s="90" t="s">
        <v>866</v>
      </c>
      <c r="G3942" s="137">
        <v>2</v>
      </c>
      <c r="H3942" s="94">
        <v>180</v>
      </c>
      <c r="I3942" s="87">
        <v>46119</v>
      </c>
      <c r="J3942" s="93">
        <v>0.65694444444444444</v>
      </c>
      <c r="K3942" s="94">
        <v>180</v>
      </c>
      <c r="L3942" s="72" t="str">
        <f t="shared" si="62"/>
        <v>Payé</v>
      </c>
      <c r="N3942" s="15"/>
    </row>
    <row r="3943" spans="1:14" s="14" customFormat="1" ht="18" x14ac:dyDescent="0.25">
      <c r="A3943" s="90" t="s">
        <v>866</v>
      </c>
      <c r="B3943" s="90">
        <v>10039</v>
      </c>
      <c r="C3943" s="88" t="s">
        <v>1183</v>
      </c>
      <c r="D3943" s="89" t="s">
        <v>17</v>
      </c>
      <c r="E3943" s="90" t="s">
        <v>753</v>
      </c>
      <c r="F3943" s="90" t="s">
        <v>866</v>
      </c>
      <c r="G3943" s="137">
        <v>1</v>
      </c>
      <c r="H3943" s="94">
        <v>90</v>
      </c>
      <c r="I3943" s="87">
        <v>46119</v>
      </c>
      <c r="J3943" s="93">
        <v>0.70833333333333337</v>
      </c>
      <c r="K3943" s="94">
        <v>90</v>
      </c>
      <c r="L3943" s="72" t="str">
        <f t="shared" si="62"/>
        <v>Payé</v>
      </c>
      <c r="N3943" s="15"/>
    </row>
    <row r="3944" spans="1:14" s="14" customFormat="1" ht="18" x14ac:dyDescent="0.25">
      <c r="A3944" s="90" t="s">
        <v>866</v>
      </c>
      <c r="B3944" s="90">
        <v>10044</v>
      </c>
      <c r="C3944" s="88" t="s">
        <v>1215</v>
      </c>
      <c r="D3944" s="89" t="s">
        <v>17</v>
      </c>
      <c r="E3944" s="90" t="s">
        <v>1104</v>
      </c>
      <c r="F3944" s="90" t="s">
        <v>866</v>
      </c>
      <c r="G3944" s="137">
        <v>16</v>
      </c>
      <c r="H3944" s="94">
        <v>1490</v>
      </c>
      <c r="I3944" s="87">
        <v>46119</v>
      </c>
      <c r="J3944" s="93">
        <v>0.62222222222222223</v>
      </c>
      <c r="K3944" s="94">
        <v>1490</v>
      </c>
      <c r="L3944" s="72" t="str">
        <f t="shared" si="62"/>
        <v>Payé</v>
      </c>
      <c r="N3944" s="15"/>
    </row>
    <row r="3945" spans="1:14" s="14" customFormat="1" ht="18" x14ac:dyDescent="0.25">
      <c r="A3945" s="90" t="s">
        <v>866</v>
      </c>
      <c r="B3945" s="90">
        <v>10048</v>
      </c>
      <c r="C3945" s="88" t="s">
        <v>1218</v>
      </c>
      <c r="D3945" s="89" t="s">
        <v>17</v>
      </c>
      <c r="E3945" s="90" t="s">
        <v>1104</v>
      </c>
      <c r="F3945" s="90" t="s">
        <v>866</v>
      </c>
      <c r="G3945" s="137">
        <v>11</v>
      </c>
      <c r="H3945" s="94">
        <v>1010</v>
      </c>
      <c r="I3945" s="87">
        <v>46119</v>
      </c>
      <c r="J3945" s="93">
        <v>0.6069444444444444</v>
      </c>
      <c r="K3945" s="94">
        <v>1010</v>
      </c>
      <c r="L3945" s="72" t="str">
        <f t="shared" si="62"/>
        <v>Payé</v>
      </c>
      <c r="N3945" s="15"/>
    </row>
    <row r="3946" spans="1:14" s="14" customFormat="1" ht="18" x14ac:dyDescent="0.25">
      <c r="A3946" s="90" t="s">
        <v>866</v>
      </c>
      <c r="B3946" s="90">
        <v>10049</v>
      </c>
      <c r="C3946" s="88" t="s">
        <v>1219</v>
      </c>
      <c r="D3946" s="89" t="s">
        <v>17</v>
      </c>
      <c r="E3946" s="90" t="s">
        <v>1907</v>
      </c>
      <c r="F3946" s="90" t="s">
        <v>866</v>
      </c>
      <c r="G3946" s="137">
        <v>4</v>
      </c>
      <c r="H3946" s="94">
        <v>360</v>
      </c>
      <c r="I3946" s="87">
        <v>46121</v>
      </c>
      <c r="J3946" s="93">
        <v>0.56666666666666665</v>
      </c>
      <c r="K3946" s="94">
        <v>360</v>
      </c>
      <c r="L3946" s="72" t="str">
        <f t="shared" si="62"/>
        <v>Payé</v>
      </c>
      <c r="N3946" s="15"/>
    </row>
    <row r="3947" spans="1:14" s="14" customFormat="1" ht="18" x14ac:dyDescent="0.25">
      <c r="A3947" s="90" t="s">
        <v>866</v>
      </c>
      <c r="B3947" s="90">
        <v>10054</v>
      </c>
      <c r="C3947" s="88" t="s">
        <v>1222</v>
      </c>
      <c r="D3947" s="89" t="s">
        <v>17</v>
      </c>
      <c r="E3947" s="90" t="s">
        <v>1104</v>
      </c>
      <c r="F3947" s="90" t="s">
        <v>866</v>
      </c>
      <c r="G3947" s="137">
        <v>13</v>
      </c>
      <c r="H3947" s="94">
        <v>1200</v>
      </c>
      <c r="I3947" s="87">
        <v>46119</v>
      </c>
      <c r="J3947" s="93">
        <v>0.6069444444444444</v>
      </c>
      <c r="K3947" s="94">
        <v>1200</v>
      </c>
      <c r="L3947" s="72" t="str">
        <f t="shared" si="62"/>
        <v>Payé</v>
      </c>
      <c r="N3947" s="15"/>
    </row>
    <row r="3948" spans="1:14" s="14" customFormat="1" ht="18" x14ac:dyDescent="0.25">
      <c r="A3948" s="90" t="s">
        <v>866</v>
      </c>
      <c r="B3948" s="90">
        <v>10059</v>
      </c>
      <c r="C3948" s="88" t="s">
        <v>1925</v>
      </c>
      <c r="D3948" s="89" t="s">
        <v>17</v>
      </c>
      <c r="E3948" s="90" t="s">
        <v>1104</v>
      </c>
      <c r="F3948" s="90" t="s">
        <v>866</v>
      </c>
      <c r="G3948" s="137">
        <v>3</v>
      </c>
      <c r="H3948" s="94">
        <v>280</v>
      </c>
      <c r="I3948" s="87">
        <v>46121</v>
      </c>
      <c r="J3948" s="93">
        <v>0.63263888888888886</v>
      </c>
      <c r="K3948" s="94">
        <v>280</v>
      </c>
      <c r="L3948" s="72" t="str">
        <f t="shared" si="62"/>
        <v>Payé</v>
      </c>
      <c r="N3948" s="15"/>
    </row>
    <row r="3949" spans="1:14" s="14" customFormat="1" ht="18" x14ac:dyDescent="0.25">
      <c r="A3949" s="90" t="s">
        <v>866</v>
      </c>
      <c r="B3949" s="90">
        <v>10069</v>
      </c>
      <c r="C3949" s="88" t="s">
        <v>1249</v>
      </c>
      <c r="D3949" s="89" t="s">
        <v>17</v>
      </c>
      <c r="E3949" s="90" t="s">
        <v>753</v>
      </c>
      <c r="F3949" s="90" t="s">
        <v>866</v>
      </c>
      <c r="G3949" s="137">
        <v>6</v>
      </c>
      <c r="H3949" s="94">
        <v>540</v>
      </c>
      <c r="I3949" s="87">
        <v>46120</v>
      </c>
      <c r="J3949" s="93">
        <v>0.69236111111111109</v>
      </c>
      <c r="K3949" s="94">
        <v>540</v>
      </c>
      <c r="L3949" s="72" t="str">
        <f t="shared" si="62"/>
        <v>Payé</v>
      </c>
      <c r="N3949" s="15"/>
    </row>
    <row r="3950" spans="1:14" s="14" customFormat="1" ht="18" x14ac:dyDescent="0.25">
      <c r="A3950" s="90" t="s">
        <v>866</v>
      </c>
      <c r="B3950" s="90">
        <v>10070</v>
      </c>
      <c r="C3950" s="88" t="s">
        <v>1250</v>
      </c>
      <c r="D3950" s="89" t="s">
        <v>17</v>
      </c>
      <c r="E3950" s="90" t="s">
        <v>49</v>
      </c>
      <c r="F3950" s="90" t="s">
        <v>866</v>
      </c>
      <c r="G3950" s="137">
        <v>9</v>
      </c>
      <c r="H3950" s="94">
        <v>830</v>
      </c>
      <c r="I3950" s="87">
        <v>46119</v>
      </c>
      <c r="J3950" s="93">
        <v>0.6875</v>
      </c>
      <c r="K3950" s="94">
        <v>830</v>
      </c>
      <c r="L3950" s="72" t="str">
        <f t="shared" si="62"/>
        <v>Payé</v>
      </c>
      <c r="N3950" s="15"/>
    </row>
    <row r="3951" spans="1:14" s="14" customFormat="1" ht="18" x14ac:dyDescent="0.25">
      <c r="A3951" s="90" t="s">
        <v>866</v>
      </c>
      <c r="B3951" s="90">
        <v>10081</v>
      </c>
      <c r="C3951" s="88" t="s">
        <v>1258</v>
      </c>
      <c r="D3951" s="89" t="s">
        <v>17</v>
      </c>
      <c r="E3951" s="90" t="s">
        <v>613</v>
      </c>
      <c r="F3951" s="90" t="s">
        <v>866</v>
      </c>
      <c r="G3951" s="137">
        <v>2</v>
      </c>
      <c r="H3951" s="94">
        <v>173</v>
      </c>
      <c r="I3951" s="87">
        <v>46119</v>
      </c>
      <c r="J3951" s="93">
        <v>0.62638888888888888</v>
      </c>
      <c r="K3951" s="94">
        <v>173</v>
      </c>
      <c r="L3951" s="72" t="str">
        <f t="shared" si="62"/>
        <v>Payé</v>
      </c>
      <c r="N3951" s="15"/>
    </row>
    <row r="3952" spans="1:14" s="14" customFormat="1" ht="18" x14ac:dyDescent="0.25">
      <c r="A3952" s="90" t="s">
        <v>866</v>
      </c>
      <c r="B3952" s="90">
        <v>10082</v>
      </c>
      <c r="C3952" s="88" t="s">
        <v>1259</v>
      </c>
      <c r="D3952" s="89" t="s">
        <v>17</v>
      </c>
      <c r="E3952" s="90" t="s">
        <v>254</v>
      </c>
      <c r="F3952" s="90" t="s">
        <v>866</v>
      </c>
      <c r="G3952" s="137">
        <v>11</v>
      </c>
      <c r="H3952" s="94">
        <v>1000</v>
      </c>
      <c r="I3952" s="87">
        <v>46119</v>
      </c>
      <c r="J3952" s="93">
        <v>0.7416666666666667</v>
      </c>
      <c r="K3952" s="94">
        <v>1000</v>
      </c>
      <c r="L3952" s="72" t="str">
        <f t="shared" si="62"/>
        <v>Payé</v>
      </c>
      <c r="N3952" s="15"/>
    </row>
    <row r="3953" spans="1:14" s="14" customFormat="1" ht="18" x14ac:dyDescent="0.25">
      <c r="A3953" s="90" t="s">
        <v>866</v>
      </c>
      <c r="B3953" s="90">
        <v>10083</v>
      </c>
      <c r="C3953" s="88" t="s">
        <v>1273</v>
      </c>
      <c r="D3953" s="89" t="s">
        <v>17</v>
      </c>
      <c r="E3953" s="90" t="s">
        <v>254</v>
      </c>
      <c r="F3953" s="90" t="s">
        <v>866</v>
      </c>
      <c r="G3953" s="137">
        <v>11</v>
      </c>
      <c r="H3953" s="94">
        <v>1020</v>
      </c>
      <c r="I3953" s="87">
        <v>46119</v>
      </c>
      <c r="J3953" s="93">
        <v>0.7416666666666667</v>
      </c>
      <c r="K3953" s="94">
        <v>1020</v>
      </c>
      <c r="L3953" s="72" t="str">
        <f t="shared" si="62"/>
        <v>Payé</v>
      </c>
      <c r="N3953" s="15"/>
    </row>
    <row r="3954" spans="1:14" s="14" customFormat="1" ht="18" x14ac:dyDescent="0.25">
      <c r="A3954" s="90" t="s">
        <v>866</v>
      </c>
      <c r="B3954" s="90">
        <v>10084</v>
      </c>
      <c r="C3954" s="88" t="s">
        <v>1274</v>
      </c>
      <c r="D3954" s="89" t="s">
        <v>17</v>
      </c>
      <c r="E3954" s="90" t="s">
        <v>254</v>
      </c>
      <c r="F3954" s="90" t="s">
        <v>866</v>
      </c>
      <c r="G3954" s="137">
        <v>10</v>
      </c>
      <c r="H3954" s="94">
        <v>909</v>
      </c>
      <c r="I3954" s="87">
        <v>46119</v>
      </c>
      <c r="J3954" s="93">
        <v>0.7416666666666667</v>
      </c>
      <c r="K3954" s="94">
        <v>909</v>
      </c>
      <c r="L3954" s="72" t="str">
        <f t="shared" si="62"/>
        <v>Payé</v>
      </c>
      <c r="N3954" s="15"/>
    </row>
    <row r="3955" spans="1:14" s="14" customFormat="1" ht="18" x14ac:dyDescent="0.25">
      <c r="A3955" s="90" t="s">
        <v>866</v>
      </c>
      <c r="B3955" s="90">
        <v>10099</v>
      </c>
      <c r="C3955" s="88" t="s">
        <v>1927</v>
      </c>
      <c r="D3955" s="89" t="s">
        <v>17</v>
      </c>
      <c r="E3955" s="90" t="s">
        <v>1904</v>
      </c>
      <c r="F3955" s="90" t="s">
        <v>866</v>
      </c>
      <c r="G3955" s="137">
        <v>9</v>
      </c>
      <c r="H3955" s="94">
        <v>813</v>
      </c>
      <c r="I3955" s="87">
        <v>46119</v>
      </c>
      <c r="J3955" s="93">
        <v>0.73055555555555562</v>
      </c>
      <c r="K3955" s="94">
        <v>813</v>
      </c>
      <c r="L3955" s="72" t="str">
        <f t="shared" si="62"/>
        <v>Payé</v>
      </c>
      <c r="N3955" s="15"/>
    </row>
    <row r="3956" spans="1:14" s="14" customFormat="1" ht="18" x14ac:dyDescent="0.25">
      <c r="A3956" s="90" t="s">
        <v>866</v>
      </c>
      <c r="B3956" s="90">
        <v>10102</v>
      </c>
      <c r="C3956" s="88" t="s">
        <v>1929</v>
      </c>
      <c r="D3956" s="89" t="s">
        <v>17</v>
      </c>
      <c r="E3956" s="90" t="s">
        <v>1104</v>
      </c>
      <c r="F3956" s="90" t="s">
        <v>866</v>
      </c>
      <c r="G3956" s="137">
        <v>1</v>
      </c>
      <c r="H3956" s="94">
        <v>90</v>
      </c>
      <c r="I3956" s="87">
        <v>46125</v>
      </c>
      <c r="J3956" s="93">
        <v>0.66249999999999998</v>
      </c>
      <c r="K3956" s="94">
        <v>90</v>
      </c>
      <c r="L3956" s="72" t="str">
        <f t="shared" si="62"/>
        <v>Payé</v>
      </c>
      <c r="N3956" s="15"/>
    </row>
    <row r="3957" spans="1:14" s="14" customFormat="1" ht="18" x14ac:dyDescent="0.25">
      <c r="A3957" s="90" t="s">
        <v>866</v>
      </c>
      <c r="B3957" s="90">
        <v>10105</v>
      </c>
      <c r="C3957" s="88" t="s">
        <v>1300</v>
      </c>
      <c r="D3957" s="89" t="s">
        <v>17</v>
      </c>
      <c r="E3957" s="90" t="s">
        <v>649</v>
      </c>
      <c r="F3957" s="90" t="s">
        <v>866</v>
      </c>
      <c r="G3957" s="137">
        <v>11</v>
      </c>
      <c r="H3957" s="94">
        <v>990</v>
      </c>
      <c r="I3957" s="87">
        <v>46119</v>
      </c>
      <c r="J3957" s="93">
        <v>0.72291666666666676</v>
      </c>
      <c r="K3957" s="94">
        <v>990</v>
      </c>
      <c r="L3957" s="72" t="str">
        <f t="shared" si="62"/>
        <v>Payé</v>
      </c>
      <c r="N3957" s="15"/>
    </row>
    <row r="3958" spans="1:14" s="14" customFormat="1" ht="18" x14ac:dyDescent="0.25">
      <c r="A3958" s="90" t="s">
        <v>866</v>
      </c>
      <c r="B3958" s="90">
        <v>10107</v>
      </c>
      <c r="C3958" s="88" t="s">
        <v>1930</v>
      </c>
      <c r="D3958" s="89" t="s">
        <v>17</v>
      </c>
      <c r="E3958" s="90" t="s">
        <v>649</v>
      </c>
      <c r="F3958" s="90" t="s">
        <v>866</v>
      </c>
      <c r="G3958" s="137">
        <v>8</v>
      </c>
      <c r="H3958" s="94">
        <v>720</v>
      </c>
      <c r="I3958" s="87">
        <v>46122</v>
      </c>
      <c r="J3958" s="93">
        <v>0.71458333333333324</v>
      </c>
      <c r="K3958" s="94">
        <v>720</v>
      </c>
      <c r="L3958" s="72" t="str">
        <f t="shared" si="62"/>
        <v>Payé</v>
      </c>
      <c r="N3958" s="15"/>
    </row>
    <row r="3959" spans="1:14" s="14" customFormat="1" ht="18" x14ac:dyDescent="0.25">
      <c r="A3959" s="90" t="s">
        <v>866</v>
      </c>
      <c r="B3959" s="90">
        <v>10109</v>
      </c>
      <c r="C3959" s="88" t="s">
        <v>1932</v>
      </c>
      <c r="D3959" s="89" t="s">
        <v>17</v>
      </c>
      <c r="E3959" s="90" t="s">
        <v>1902</v>
      </c>
      <c r="F3959" s="90" t="s">
        <v>866</v>
      </c>
      <c r="G3959" s="137">
        <v>10</v>
      </c>
      <c r="H3959" s="94">
        <v>1565</v>
      </c>
      <c r="I3959" s="87"/>
      <c r="J3959" s="93"/>
      <c r="K3959" s="92"/>
      <c r="L3959" s="72" t="str">
        <f t="shared" si="62"/>
        <v>Impayé</v>
      </c>
      <c r="N3959" s="15"/>
    </row>
    <row r="3960" spans="1:14" s="14" customFormat="1" ht="18" x14ac:dyDescent="0.25">
      <c r="A3960" s="90" t="s">
        <v>866</v>
      </c>
      <c r="B3960" s="90">
        <v>10112</v>
      </c>
      <c r="C3960" s="88" t="s">
        <v>1933</v>
      </c>
      <c r="D3960" s="89" t="s">
        <v>17</v>
      </c>
      <c r="E3960" s="90" t="s">
        <v>1664</v>
      </c>
      <c r="F3960" s="90" t="s">
        <v>866</v>
      </c>
      <c r="G3960" s="137">
        <v>5</v>
      </c>
      <c r="H3960" s="94">
        <v>470</v>
      </c>
      <c r="I3960" s="87">
        <v>46118</v>
      </c>
      <c r="J3960" s="93">
        <v>0.70347222222222217</v>
      </c>
      <c r="K3960" s="94">
        <v>470</v>
      </c>
      <c r="L3960" s="72" t="str">
        <f t="shared" si="62"/>
        <v>Payé</v>
      </c>
      <c r="N3960" s="15"/>
    </row>
    <row r="3961" spans="1:14" s="14" customFormat="1" ht="18" x14ac:dyDescent="0.25">
      <c r="A3961" s="90" t="s">
        <v>866</v>
      </c>
      <c r="B3961" s="90">
        <v>10113</v>
      </c>
      <c r="C3961" s="88" t="s">
        <v>1934</v>
      </c>
      <c r="D3961" s="89" t="s">
        <v>17</v>
      </c>
      <c r="E3961" s="90" t="s">
        <v>1664</v>
      </c>
      <c r="F3961" s="90" t="s">
        <v>866</v>
      </c>
      <c r="G3961" s="137">
        <v>11</v>
      </c>
      <c r="H3961" s="94">
        <v>1050</v>
      </c>
      <c r="I3961" s="87">
        <v>46121</v>
      </c>
      <c r="J3961" s="93">
        <v>0.54861111111111105</v>
      </c>
      <c r="K3961" s="94">
        <v>1050</v>
      </c>
      <c r="L3961" s="72" t="str">
        <f t="shared" si="62"/>
        <v>Payé</v>
      </c>
      <c r="N3961" s="15"/>
    </row>
    <row r="3962" spans="1:14" s="14" customFormat="1" ht="18" x14ac:dyDescent="0.25">
      <c r="A3962" s="90" t="s">
        <v>866</v>
      </c>
      <c r="B3962" s="90">
        <v>10114</v>
      </c>
      <c r="C3962" s="88" t="s">
        <v>1935</v>
      </c>
      <c r="D3962" s="89" t="s">
        <v>17</v>
      </c>
      <c r="E3962" s="90" t="s">
        <v>1664</v>
      </c>
      <c r="F3962" s="90" t="s">
        <v>866</v>
      </c>
      <c r="G3962" s="137">
        <v>16</v>
      </c>
      <c r="H3962" s="94">
        <v>1590</v>
      </c>
      <c r="I3962" s="87">
        <v>46118</v>
      </c>
      <c r="J3962" s="93">
        <v>0.70347222222222217</v>
      </c>
      <c r="K3962" s="94">
        <v>1590</v>
      </c>
      <c r="L3962" s="72" t="str">
        <f t="shared" si="62"/>
        <v>Payé</v>
      </c>
      <c r="N3962" s="15"/>
    </row>
    <row r="3963" spans="1:14" s="14" customFormat="1" ht="18" x14ac:dyDescent="0.25">
      <c r="A3963" s="90" t="s">
        <v>866</v>
      </c>
      <c r="B3963" s="90">
        <v>10133</v>
      </c>
      <c r="C3963" s="88" t="s">
        <v>1325</v>
      </c>
      <c r="D3963" s="89" t="s">
        <v>17</v>
      </c>
      <c r="E3963" s="90" t="s">
        <v>753</v>
      </c>
      <c r="F3963" s="90" t="s">
        <v>866</v>
      </c>
      <c r="G3963" s="137">
        <v>1</v>
      </c>
      <c r="H3963" s="94">
        <v>90</v>
      </c>
      <c r="I3963" s="87"/>
      <c r="J3963" s="93"/>
      <c r="K3963" s="92"/>
      <c r="L3963" s="72" t="str">
        <f t="shared" si="62"/>
        <v>Impayé</v>
      </c>
      <c r="N3963" s="15"/>
    </row>
    <row r="3964" spans="1:14" s="14" customFormat="1" ht="18" x14ac:dyDescent="0.25">
      <c r="A3964" s="90" t="s">
        <v>866</v>
      </c>
      <c r="B3964" s="90">
        <v>10135</v>
      </c>
      <c r="C3964" s="88" t="s">
        <v>1938</v>
      </c>
      <c r="D3964" s="89" t="s">
        <v>17</v>
      </c>
      <c r="E3964" s="90" t="s">
        <v>1104</v>
      </c>
      <c r="F3964" s="90" t="s">
        <v>866</v>
      </c>
      <c r="G3964" s="137">
        <v>1</v>
      </c>
      <c r="H3964" s="94">
        <v>100</v>
      </c>
      <c r="I3964" s="87"/>
      <c r="J3964" s="93"/>
      <c r="K3964" s="92"/>
      <c r="L3964" s="72" t="str">
        <f t="shared" si="62"/>
        <v>Impayé</v>
      </c>
      <c r="N3964" s="15"/>
    </row>
    <row r="3965" spans="1:14" s="14" customFormat="1" ht="18" x14ac:dyDescent="0.25">
      <c r="A3965" s="90" t="s">
        <v>866</v>
      </c>
      <c r="B3965" s="90">
        <v>10138</v>
      </c>
      <c r="C3965" s="88" t="s">
        <v>1939</v>
      </c>
      <c r="D3965" s="89" t="s">
        <v>17</v>
      </c>
      <c r="E3965" s="90" t="s">
        <v>1104</v>
      </c>
      <c r="F3965" s="90" t="s">
        <v>866</v>
      </c>
      <c r="G3965" s="137">
        <v>11</v>
      </c>
      <c r="H3965" s="94">
        <v>990</v>
      </c>
      <c r="I3965" s="87">
        <v>46119</v>
      </c>
      <c r="J3965" s="93">
        <v>0.6069444444444444</v>
      </c>
      <c r="K3965" s="94">
        <v>990</v>
      </c>
      <c r="L3965" s="72" t="str">
        <f t="shared" si="62"/>
        <v>Payé</v>
      </c>
      <c r="N3965" s="15"/>
    </row>
    <row r="3966" spans="1:14" s="14" customFormat="1" ht="18" x14ac:dyDescent="0.25">
      <c r="A3966" s="90" t="s">
        <v>866</v>
      </c>
      <c r="B3966" s="90">
        <v>10139</v>
      </c>
      <c r="C3966" s="88" t="s">
        <v>1940</v>
      </c>
      <c r="D3966" s="89" t="s">
        <v>17</v>
      </c>
      <c r="E3966" s="90" t="s">
        <v>1104</v>
      </c>
      <c r="F3966" s="90" t="s">
        <v>866</v>
      </c>
      <c r="G3966" s="137">
        <v>1</v>
      </c>
      <c r="H3966" s="94">
        <v>90</v>
      </c>
      <c r="I3966" s="87">
        <v>46121</v>
      </c>
      <c r="J3966" s="93">
        <v>0.44166666666666665</v>
      </c>
      <c r="K3966" s="94">
        <v>90</v>
      </c>
      <c r="L3966" s="72" t="str">
        <f t="shared" si="62"/>
        <v>Payé</v>
      </c>
      <c r="N3966" s="15"/>
    </row>
    <row r="3967" spans="1:14" s="14" customFormat="1" ht="18" x14ac:dyDescent="0.25">
      <c r="A3967" s="90" t="s">
        <v>866</v>
      </c>
      <c r="B3967" s="90">
        <v>10142</v>
      </c>
      <c r="C3967" s="88" t="s">
        <v>1941</v>
      </c>
      <c r="D3967" s="89" t="s">
        <v>17</v>
      </c>
      <c r="E3967" s="90" t="s">
        <v>1907</v>
      </c>
      <c r="F3967" s="90" t="s">
        <v>866</v>
      </c>
      <c r="G3967" s="137">
        <v>8</v>
      </c>
      <c r="H3967" s="94">
        <v>720</v>
      </c>
      <c r="I3967" s="87">
        <v>46118</v>
      </c>
      <c r="J3967" s="93">
        <v>0.71111111111111114</v>
      </c>
      <c r="K3967" s="94">
        <v>720</v>
      </c>
      <c r="L3967" s="72" t="str">
        <f t="shared" si="62"/>
        <v>Payé</v>
      </c>
      <c r="N3967" s="15"/>
    </row>
    <row r="3968" spans="1:14" s="14" customFormat="1" ht="18" x14ac:dyDescent="0.25">
      <c r="A3968" s="90" t="s">
        <v>866</v>
      </c>
      <c r="B3968" s="90">
        <v>10164</v>
      </c>
      <c r="C3968" s="88" t="s">
        <v>1343</v>
      </c>
      <c r="D3968" s="89" t="s">
        <v>17</v>
      </c>
      <c r="E3968" s="90" t="s">
        <v>1104</v>
      </c>
      <c r="F3968" s="90" t="s">
        <v>866</v>
      </c>
      <c r="G3968" s="137">
        <v>10</v>
      </c>
      <c r="H3968" s="94">
        <v>930</v>
      </c>
      <c r="I3968" s="87">
        <v>46119</v>
      </c>
      <c r="J3968" s="93">
        <v>0.6069444444444444</v>
      </c>
      <c r="K3968" s="94">
        <v>930</v>
      </c>
      <c r="L3968" s="72" t="str">
        <f t="shared" si="62"/>
        <v>Payé</v>
      </c>
      <c r="N3968" s="15"/>
    </row>
    <row r="3969" spans="1:14" s="14" customFormat="1" ht="18" x14ac:dyDescent="0.25">
      <c r="A3969" s="90" t="s">
        <v>866</v>
      </c>
      <c r="B3969" s="90">
        <v>10211</v>
      </c>
      <c r="C3969" s="88" t="s">
        <v>1400</v>
      </c>
      <c r="D3969" s="89" t="s">
        <v>17</v>
      </c>
      <c r="E3969" s="90" t="s">
        <v>1905</v>
      </c>
      <c r="F3969" s="90" t="s">
        <v>866</v>
      </c>
      <c r="G3969" s="137">
        <v>5</v>
      </c>
      <c r="H3969" s="94">
        <v>550</v>
      </c>
      <c r="I3969" s="87">
        <v>46119</v>
      </c>
      <c r="J3969" s="93">
        <v>0.6020833333333333</v>
      </c>
      <c r="K3969" s="94">
        <v>550</v>
      </c>
      <c r="L3969" s="72" t="str">
        <f t="shared" si="62"/>
        <v>Payé</v>
      </c>
      <c r="N3969" s="15"/>
    </row>
    <row r="3970" spans="1:14" s="14" customFormat="1" ht="18" x14ac:dyDescent="0.25">
      <c r="A3970" s="90" t="s">
        <v>866</v>
      </c>
      <c r="B3970" s="90">
        <v>10214</v>
      </c>
      <c r="C3970" s="88" t="s">
        <v>1403</v>
      </c>
      <c r="D3970" s="89" t="s">
        <v>17</v>
      </c>
      <c r="E3970" s="90" t="s">
        <v>753</v>
      </c>
      <c r="F3970" s="90" t="s">
        <v>866</v>
      </c>
      <c r="G3970" s="137">
        <v>5</v>
      </c>
      <c r="H3970" s="94">
        <v>450</v>
      </c>
      <c r="I3970" s="87">
        <v>46119</v>
      </c>
      <c r="J3970" s="93">
        <v>0.70833333333333337</v>
      </c>
      <c r="K3970" s="94">
        <v>450</v>
      </c>
      <c r="L3970" s="72" t="str">
        <f t="shared" si="62"/>
        <v>Payé</v>
      </c>
      <c r="N3970" s="15"/>
    </row>
    <row r="3971" spans="1:14" s="14" customFormat="1" ht="18" x14ac:dyDescent="0.25">
      <c r="A3971" s="90" t="s">
        <v>866</v>
      </c>
      <c r="B3971" s="90">
        <v>10215</v>
      </c>
      <c r="C3971" s="88" t="s">
        <v>1966</v>
      </c>
      <c r="D3971" s="89" t="s">
        <v>17</v>
      </c>
      <c r="E3971" s="90" t="s">
        <v>673</v>
      </c>
      <c r="F3971" s="90" t="s">
        <v>866</v>
      </c>
      <c r="G3971" s="137">
        <v>2</v>
      </c>
      <c r="H3971" s="94">
        <v>180</v>
      </c>
      <c r="I3971" s="87">
        <v>46119</v>
      </c>
      <c r="J3971" s="93">
        <v>0.66180555555555554</v>
      </c>
      <c r="K3971" s="94">
        <v>180</v>
      </c>
      <c r="L3971" s="72" t="str">
        <f t="shared" si="62"/>
        <v>Payé</v>
      </c>
      <c r="N3971" s="15"/>
    </row>
    <row r="3972" spans="1:14" s="14" customFormat="1" ht="18" x14ac:dyDescent="0.25">
      <c r="A3972" s="90" t="s">
        <v>866</v>
      </c>
      <c r="B3972" s="90">
        <v>10216</v>
      </c>
      <c r="C3972" s="88" t="s">
        <v>1967</v>
      </c>
      <c r="D3972" s="89" t="s">
        <v>17</v>
      </c>
      <c r="E3972" s="90" t="s">
        <v>673</v>
      </c>
      <c r="F3972" s="90" t="s">
        <v>866</v>
      </c>
      <c r="G3972" s="137">
        <v>3</v>
      </c>
      <c r="H3972" s="94">
        <v>270</v>
      </c>
      <c r="I3972" s="87">
        <v>46119</v>
      </c>
      <c r="J3972" s="93">
        <v>0.66180555555555554</v>
      </c>
      <c r="K3972" s="94">
        <v>270</v>
      </c>
      <c r="L3972" s="72" t="str">
        <f t="shared" si="62"/>
        <v>Payé</v>
      </c>
      <c r="N3972" s="15"/>
    </row>
    <row r="3973" spans="1:14" s="14" customFormat="1" ht="18" x14ac:dyDescent="0.25">
      <c r="A3973" s="90" t="s">
        <v>866</v>
      </c>
      <c r="B3973" s="90">
        <v>10217</v>
      </c>
      <c r="C3973" s="88" t="s">
        <v>1968</v>
      </c>
      <c r="D3973" s="89" t="s">
        <v>17</v>
      </c>
      <c r="E3973" s="90" t="s">
        <v>673</v>
      </c>
      <c r="F3973" s="90" t="s">
        <v>866</v>
      </c>
      <c r="G3973" s="137">
        <v>3</v>
      </c>
      <c r="H3973" s="94">
        <v>270</v>
      </c>
      <c r="I3973" s="87">
        <v>46119</v>
      </c>
      <c r="J3973" s="93">
        <v>0.66180555555555554</v>
      </c>
      <c r="K3973" s="94">
        <v>270</v>
      </c>
      <c r="L3973" s="72" t="str">
        <f t="shared" si="62"/>
        <v>Payé</v>
      </c>
      <c r="N3973" s="15"/>
    </row>
    <row r="3974" spans="1:14" s="14" customFormat="1" ht="18" x14ac:dyDescent="0.25">
      <c r="A3974" s="90" t="s">
        <v>866</v>
      </c>
      <c r="B3974" s="90">
        <v>10218</v>
      </c>
      <c r="C3974" s="88" t="s">
        <v>1969</v>
      </c>
      <c r="D3974" s="89" t="s">
        <v>17</v>
      </c>
      <c r="E3974" s="90" t="s">
        <v>673</v>
      </c>
      <c r="F3974" s="90" t="s">
        <v>866</v>
      </c>
      <c r="G3974" s="137">
        <v>1</v>
      </c>
      <c r="H3974" s="94">
        <v>90</v>
      </c>
      <c r="I3974" s="87">
        <v>46119</v>
      </c>
      <c r="J3974" s="93">
        <v>0.66180555555555554</v>
      </c>
      <c r="K3974" s="94">
        <v>90</v>
      </c>
      <c r="L3974" s="72" t="str">
        <f t="shared" si="62"/>
        <v>Payé</v>
      </c>
      <c r="N3974" s="15"/>
    </row>
    <row r="3975" spans="1:14" s="14" customFormat="1" ht="18" x14ac:dyDescent="0.25">
      <c r="A3975" s="90" t="s">
        <v>866</v>
      </c>
      <c r="B3975" s="90">
        <v>10219</v>
      </c>
      <c r="C3975" s="88" t="s">
        <v>1970</v>
      </c>
      <c r="D3975" s="89" t="s">
        <v>17</v>
      </c>
      <c r="E3975" s="90" t="s">
        <v>673</v>
      </c>
      <c r="F3975" s="90" t="s">
        <v>866</v>
      </c>
      <c r="G3975" s="137">
        <v>1</v>
      </c>
      <c r="H3975" s="94">
        <v>90</v>
      </c>
      <c r="I3975" s="87">
        <v>46119</v>
      </c>
      <c r="J3975" s="93">
        <v>0.66180555555555554</v>
      </c>
      <c r="K3975" s="94">
        <v>90</v>
      </c>
      <c r="L3975" s="72" t="str">
        <f t="shared" si="62"/>
        <v>Payé</v>
      </c>
      <c r="N3975" s="15"/>
    </row>
    <row r="3976" spans="1:14" s="14" customFormat="1" ht="18" x14ac:dyDescent="0.25">
      <c r="A3976" s="90" t="s">
        <v>866</v>
      </c>
      <c r="B3976" s="90">
        <v>10221</v>
      </c>
      <c r="C3976" s="88" t="s">
        <v>1971</v>
      </c>
      <c r="D3976" s="89" t="s">
        <v>17</v>
      </c>
      <c r="E3976" s="90" t="s">
        <v>673</v>
      </c>
      <c r="F3976" s="90" t="s">
        <v>866</v>
      </c>
      <c r="G3976" s="137">
        <v>1</v>
      </c>
      <c r="H3976" s="94">
        <v>90</v>
      </c>
      <c r="I3976" s="87">
        <v>46119</v>
      </c>
      <c r="J3976" s="93">
        <v>0.66180555555555554</v>
      </c>
      <c r="K3976" s="94">
        <v>90</v>
      </c>
      <c r="L3976" s="72" t="str">
        <f t="shared" si="62"/>
        <v>Payé</v>
      </c>
      <c r="N3976" s="15"/>
    </row>
    <row r="3977" spans="1:14" s="14" customFormat="1" ht="18" x14ac:dyDescent="0.25">
      <c r="A3977" s="90" t="s">
        <v>866</v>
      </c>
      <c r="B3977" s="90">
        <v>10232</v>
      </c>
      <c r="C3977" s="88" t="s">
        <v>1972</v>
      </c>
      <c r="D3977" s="89" t="s">
        <v>17</v>
      </c>
      <c r="E3977" s="90" t="s">
        <v>2003</v>
      </c>
      <c r="F3977" s="90" t="s">
        <v>866</v>
      </c>
      <c r="G3977" s="137">
        <v>1</v>
      </c>
      <c r="H3977" s="94">
        <v>90</v>
      </c>
      <c r="I3977" s="87"/>
      <c r="J3977" s="93"/>
      <c r="K3977" s="92"/>
      <c r="L3977" s="72" t="str">
        <f t="shared" si="62"/>
        <v>Impayé</v>
      </c>
      <c r="N3977" s="15"/>
    </row>
    <row r="3978" spans="1:14" s="14" customFormat="1" ht="18" x14ac:dyDescent="0.25">
      <c r="A3978" s="90" t="s">
        <v>866</v>
      </c>
      <c r="B3978" s="90">
        <v>10233</v>
      </c>
      <c r="C3978" s="88" t="s">
        <v>1973</v>
      </c>
      <c r="D3978" s="89" t="s">
        <v>17</v>
      </c>
      <c r="E3978" s="90" t="s">
        <v>254</v>
      </c>
      <c r="F3978" s="90" t="s">
        <v>866</v>
      </c>
      <c r="G3978" s="137">
        <v>7</v>
      </c>
      <c r="H3978" s="94">
        <v>630</v>
      </c>
      <c r="I3978" s="87">
        <v>46119</v>
      </c>
      <c r="J3978" s="93">
        <v>0.7416666666666667</v>
      </c>
      <c r="K3978" s="94">
        <v>630</v>
      </c>
      <c r="L3978" s="72" t="str">
        <f t="shared" si="62"/>
        <v>Payé</v>
      </c>
      <c r="N3978" s="15"/>
    </row>
    <row r="3979" spans="1:14" s="14" customFormat="1" ht="18" x14ac:dyDescent="0.25">
      <c r="A3979" s="90" t="s">
        <v>866</v>
      </c>
      <c r="B3979" s="90">
        <v>10234</v>
      </c>
      <c r="C3979" s="88" t="s">
        <v>1974</v>
      </c>
      <c r="D3979" s="89" t="s">
        <v>17</v>
      </c>
      <c r="E3979" s="90" t="s">
        <v>254</v>
      </c>
      <c r="F3979" s="90" t="s">
        <v>866</v>
      </c>
      <c r="G3979" s="137">
        <v>5</v>
      </c>
      <c r="H3979" s="94">
        <v>468</v>
      </c>
      <c r="I3979" s="87">
        <v>46119</v>
      </c>
      <c r="J3979" s="93">
        <v>0.7416666666666667</v>
      </c>
      <c r="K3979" s="94">
        <v>468</v>
      </c>
      <c r="L3979" s="72" t="str">
        <f t="shared" si="62"/>
        <v>Payé</v>
      </c>
      <c r="N3979" s="15"/>
    </row>
    <row r="3980" spans="1:14" s="14" customFormat="1" ht="18" x14ac:dyDescent="0.25">
      <c r="A3980" s="90" t="s">
        <v>866</v>
      </c>
      <c r="B3980" s="90">
        <v>10241</v>
      </c>
      <c r="C3980" s="88" t="s">
        <v>1975</v>
      </c>
      <c r="D3980" s="89" t="s">
        <v>17</v>
      </c>
      <c r="E3980" s="90" t="s">
        <v>2003</v>
      </c>
      <c r="F3980" s="90" t="s">
        <v>866</v>
      </c>
      <c r="G3980" s="137">
        <v>6</v>
      </c>
      <c r="H3980" s="94">
        <v>560</v>
      </c>
      <c r="I3980" s="87">
        <v>46120</v>
      </c>
      <c r="J3980" s="93">
        <v>0.71388888888888891</v>
      </c>
      <c r="K3980" s="94">
        <v>560</v>
      </c>
      <c r="L3980" s="72" t="str">
        <f t="shared" si="62"/>
        <v>Payé</v>
      </c>
      <c r="N3980" s="15"/>
    </row>
    <row r="3981" spans="1:14" s="14" customFormat="1" ht="18" x14ac:dyDescent="0.25">
      <c r="A3981" s="90" t="s">
        <v>866</v>
      </c>
      <c r="B3981" s="90">
        <v>10242</v>
      </c>
      <c r="C3981" s="88" t="s">
        <v>1976</v>
      </c>
      <c r="D3981" s="89" t="s">
        <v>17</v>
      </c>
      <c r="E3981" s="90" t="s">
        <v>1902</v>
      </c>
      <c r="F3981" s="90" t="s">
        <v>866</v>
      </c>
      <c r="G3981" s="137">
        <v>6</v>
      </c>
      <c r="H3981" s="94">
        <v>620</v>
      </c>
      <c r="I3981" s="87">
        <v>46121</v>
      </c>
      <c r="J3981" s="93">
        <v>0.60972222222222217</v>
      </c>
      <c r="K3981" s="94">
        <v>620</v>
      </c>
      <c r="L3981" s="72" t="str">
        <f t="shared" si="62"/>
        <v>Payé</v>
      </c>
      <c r="N3981" s="15"/>
    </row>
    <row r="3982" spans="1:14" s="14" customFormat="1" ht="18" x14ac:dyDescent="0.25">
      <c r="A3982" s="90" t="s">
        <v>866</v>
      </c>
      <c r="B3982" s="90">
        <v>10243</v>
      </c>
      <c r="C3982" s="88" t="s">
        <v>1977</v>
      </c>
      <c r="D3982" s="89" t="s">
        <v>17</v>
      </c>
      <c r="E3982" s="90" t="s">
        <v>1902</v>
      </c>
      <c r="F3982" s="90" t="s">
        <v>866</v>
      </c>
      <c r="G3982" s="137">
        <v>5</v>
      </c>
      <c r="H3982" s="94">
        <v>530</v>
      </c>
      <c r="I3982" s="87">
        <v>46119</v>
      </c>
      <c r="J3982" s="93">
        <v>0.62430555555555556</v>
      </c>
      <c r="K3982" s="94">
        <v>530</v>
      </c>
      <c r="L3982" s="72" t="str">
        <f t="shared" si="62"/>
        <v>Payé</v>
      </c>
      <c r="N3982" s="15"/>
    </row>
    <row r="3983" spans="1:14" s="14" customFormat="1" ht="18" x14ac:dyDescent="0.25">
      <c r="A3983" s="90" t="s">
        <v>866</v>
      </c>
      <c r="B3983" s="90">
        <v>10244</v>
      </c>
      <c r="C3983" s="88" t="s">
        <v>1978</v>
      </c>
      <c r="D3983" s="89" t="s">
        <v>17</v>
      </c>
      <c r="E3983" s="90" t="s">
        <v>753</v>
      </c>
      <c r="F3983" s="90" t="s">
        <v>866</v>
      </c>
      <c r="G3983" s="137">
        <v>4</v>
      </c>
      <c r="H3983" s="94">
        <v>360</v>
      </c>
      <c r="I3983" s="87">
        <v>46119</v>
      </c>
      <c r="J3983" s="93">
        <v>0.70833333333333337</v>
      </c>
      <c r="K3983" s="94">
        <v>360</v>
      </c>
      <c r="L3983" s="72" t="str">
        <f t="shared" si="62"/>
        <v>Payé</v>
      </c>
      <c r="N3983" s="15"/>
    </row>
    <row r="3984" spans="1:14" s="14" customFormat="1" ht="18" x14ac:dyDescent="0.25">
      <c r="A3984" s="90" t="s">
        <v>866</v>
      </c>
      <c r="B3984" s="90">
        <v>10245</v>
      </c>
      <c r="C3984" s="88" t="s">
        <v>1979</v>
      </c>
      <c r="D3984" s="89" t="s">
        <v>17</v>
      </c>
      <c r="E3984" s="90" t="s">
        <v>1664</v>
      </c>
      <c r="F3984" s="90" t="s">
        <v>866</v>
      </c>
      <c r="G3984" s="137">
        <v>4</v>
      </c>
      <c r="H3984" s="94">
        <v>360</v>
      </c>
      <c r="I3984" s="87">
        <v>46118</v>
      </c>
      <c r="J3984" s="93">
        <v>0.70347222222222217</v>
      </c>
      <c r="K3984" s="94">
        <v>360</v>
      </c>
      <c r="L3984" s="72" t="str">
        <f t="shared" si="62"/>
        <v>Payé</v>
      </c>
      <c r="N3984" s="15"/>
    </row>
    <row r="3985" spans="1:14" s="14" customFormat="1" ht="18" x14ac:dyDescent="0.25">
      <c r="A3985" s="90" t="s">
        <v>866</v>
      </c>
      <c r="B3985" s="90">
        <v>10246</v>
      </c>
      <c r="C3985" s="88" t="s">
        <v>1980</v>
      </c>
      <c r="D3985" s="89" t="s">
        <v>17</v>
      </c>
      <c r="E3985" s="90" t="s">
        <v>1907</v>
      </c>
      <c r="F3985" s="90" t="s">
        <v>866</v>
      </c>
      <c r="G3985" s="137">
        <v>3</v>
      </c>
      <c r="H3985" s="94">
        <v>270</v>
      </c>
      <c r="I3985" s="87">
        <v>46120</v>
      </c>
      <c r="J3985" s="93">
        <v>0.59027777777777779</v>
      </c>
      <c r="K3985" s="94">
        <v>270</v>
      </c>
      <c r="L3985" s="72" t="str">
        <f t="shared" si="62"/>
        <v>Payé</v>
      </c>
      <c r="N3985" s="15"/>
    </row>
    <row r="3986" spans="1:14" s="14" customFormat="1" ht="18" x14ac:dyDescent="0.25">
      <c r="A3986" s="90" t="s">
        <v>866</v>
      </c>
      <c r="B3986" s="90">
        <v>10247</v>
      </c>
      <c r="C3986" s="88" t="s">
        <v>1981</v>
      </c>
      <c r="D3986" s="89" t="s">
        <v>17</v>
      </c>
      <c r="E3986" s="90" t="s">
        <v>1907</v>
      </c>
      <c r="F3986" s="90" t="s">
        <v>866</v>
      </c>
      <c r="G3986" s="137">
        <v>1</v>
      </c>
      <c r="H3986" s="94">
        <v>90</v>
      </c>
      <c r="I3986" s="87">
        <v>46121</v>
      </c>
      <c r="J3986" s="93">
        <v>0.56666666666666665</v>
      </c>
      <c r="K3986" s="94">
        <v>90</v>
      </c>
      <c r="L3986" s="72" t="str">
        <f t="shared" si="62"/>
        <v>Payé</v>
      </c>
      <c r="N3986" s="15"/>
    </row>
    <row r="3987" spans="1:14" s="14" customFormat="1" ht="18" x14ac:dyDescent="0.25">
      <c r="A3987" s="90" t="s">
        <v>866</v>
      </c>
      <c r="B3987" s="90">
        <v>10248</v>
      </c>
      <c r="C3987" s="88" t="s">
        <v>1982</v>
      </c>
      <c r="D3987" s="89" t="s">
        <v>17</v>
      </c>
      <c r="E3987" s="90" t="s">
        <v>1907</v>
      </c>
      <c r="F3987" s="90" t="s">
        <v>866</v>
      </c>
      <c r="G3987" s="137">
        <v>1</v>
      </c>
      <c r="H3987" s="94">
        <v>90</v>
      </c>
      <c r="I3987" s="87">
        <v>46121</v>
      </c>
      <c r="J3987" s="93">
        <v>0.60902777777777783</v>
      </c>
      <c r="K3987" s="94">
        <v>90</v>
      </c>
      <c r="L3987" s="72" t="str">
        <f t="shared" si="62"/>
        <v>Payé</v>
      </c>
      <c r="N3987" s="15"/>
    </row>
    <row r="3988" spans="1:14" s="14" customFormat="1" ht="18" x14ac:dyDescent="0.25">
      <c r="A3988" s="90" t="s">
        <v>866</v>
      </c>
      <c r="B3988" s="90">
        <v>10249</v>
      </c>
      <c r="C3988" s="88" t="s">
        <v>1983</v>
      </c>
      <c r="D3988" s="89" t="s">
        <v>17</v>
      </c>
      <c r="E3988" s="90" t="s">
        <v>1907</v>
      </c>
      <c r="F3988" s="90" t="s">
        <v>866</v>
      </c>
      <c r="G3988" s="137">
        <v>1</v>
      </c>
      <c r="H3988" s="94">
        <v>90</v>
      </c>
      <c r="I3988" s="87">
        <v>46118</v>
      </c>
      <c r="J3988" s="93">
        <v>0.69861111111111107</v>
      </c>
      <c r="K3988" s="94">
        <v>90</v>
      </c>
      <c r="L3988" s="72" t="str">
        <f t="shared" si="62"/>
        <v>Payé</v>
      </c>
      <c r="N3988" s="15"/>
    </row>
    <row r="3989" spans="1:14" s="14" customFormat="1" ht="18" x14ac:dyDescent="0.25">
      <c r="A3989" s="90" t="s">
        <v>866</v>
      </c>
      <c r="B3989" s="90">
        <v>10258</v>
      </c>
      <c r="C3989" s="88" t="s">
        <v>1984</v>
      </c>
      <c r="D3989" s="89" t="s">
        <v>17</v>
      </c>
      <c r="E3989" s="90" t="s">
        <v>2003</v>
      </c>
      <c r="F3989" s="90" t="s">
        <v>866</v>
      </c>
      <c r="G3989" s="137">
        <v>2</v>
      </c>
      <c r="H3989" s="94">
        <v>180</v>
      </c>
      <c r="I3989" s="87"/>
      <c r="J3989" s="93"/>
      <c r="K3989" s="92"/>
      <c r="L3989" s="72" t="str">
        <f t="shared" si="62"/>
        <v>Impayé</v>
      </c>
      <c r="N3989" s="15"/>
    </row>
    <row r="3990" spans="1:14" s="14" customFormat="1" ht="18" x14ac:dyDescent="0.25">
      <c r="A3990" s="90" t="s">
        <v>866</v>
      </c>
      <c r="B3990" s="90">
        <v>10263</v>
      </c>
      <c r="C3990" s="88" t="s">
        <v>1440</v>
      </c>
      <c r="D3990" s="89" t="s">
        <v>17</v>
      </c>
      <c r="E3990" s="90" t="s">
        <v>753</v>
      </c>
      <c r="F3990" s="90" t="s">
        <v>866</v>
      </c>
      <c r="G3990" s="137">
        <v>3</v>
      </c>
      <c r="H3990" s="94">
        <v>270</v>
      </c>
      <c r="I3990" s="87">
        <v>46119</v>
      </c>
      <c r="J3990" s="93">
        <v>0.70833333333333337</v>
      </c>
      <c r="K3990" s="94">
        <v>270</v>
      </c>
      <c r="L3990" s="72" t="str">
        <f t="shared" si="62"/>
        <v>Payé</v>
      </c>
      <c r="N3990" s="15"/>
    </row>
    <row r="3991" spans="1:14" s="14" customFormat="1" ht="18" x14ac:dyDescent="0.25">
      <c r="A3991" s="90" t="s">
        <v>866</v>
      </c>
      <c r="B3991" s="90">
        <v>10266</v>
      </c>
      <c r="C3991" s="88" t="s">
        <v>1473</v>
      </c>
      <c r="D3991" s="89" t="s">
        <v>17</v>
      </c>
      <c r="E3991" s="90" t="s">
        <v>49</v>
      </c>
      <c r="F3991" s="90" t="s">
        <v>866</v>
      </c>
      <c r="G3991" s="137">
        <v>4</v>
      </c>
      <c r="H3991" s="94">
        <v>360</v>
      </c>
      <c r="I3991" s="87">
        <v>46119</v>
      </c>
      <c r="J3991" s="93">
        <v>0.6875</v>
      </c>
      <c r="K3991" s="94">
        <v>360</v>
      </c>
      <c r="L3991" s="72" t="str">
        <f t="shared" si="62"/>
        <v>Payé</v>
      </c>
      <c r="N3991" s="15"/>
    </row>
    <row r="3992" spans="1:14" s="14" customFormat="1" ht="18" x14ac:dyDescent="0.25">
      <c r="A3992" s="90" t="s">
        <v>866</v>
      </c>
      <c r="B3992" s="90">
        <v>10325</v>
      </c>
      <c r="C3992" s="88" t="s">
        <v>1447</v>
      </c>
      <c r="D3992" s="89" t="s">
        <v>17</v>
      </c>
      <c r="E3992" s="90" t="s">
        <v>753</v>
      </c>
      <c r="F3992" s="90" t="s">
        <v>866</v>
      </c>
      <c r="G3992" s="137">
        <v>14</v>
      </c>
      <c r="H3992" s="94">
        <v>1260</v>
      </c>
      <c r="I3992" s="87">
        <v>46119</v>
      </c>
      <c r="J3992" s="93">
        <v>0.70833333333333337</v>
      </c>
      <c r="K3992" s="94">
        <v>1260</v>
      </c>
      <c r="L3992" s="72" t="str">
        <f t="shared" si="62"/>
        <v>Payé</v>
      </c>
      <c r="N3992" s="15"/>
    </row>
    <row r="3993" spans="1:14" s="14" customFormat="1" ht="18" x14ac:dyDescent="0.25">
      <c r="A3993" s="90" t="s">
        <v>866</v>
      </c>
      <c r="B3993" s="90">
        <v>10327</v>
      </c>
      <c r="C3993" s="88" t="s">
        <v>1446</v>
      </c>
      <c r="D3993" s="89" t="s">
        <v>17</v>
      </c>
      <c r="E3993" s="90" t="s">
        <v>753</v>
      </c>
      <c r="F3993" s="90" t="s">
        <v>866</v>
      </c>
      <c r="G3993" s="137">
        <v>1</v>
      </c>
      <c r="H3993" s="94">
        <v>90</v>
      </c>
      <c r="I3993" s="87"/>
      <c r="J3993" s="93"/>
      <c r="K3993" s="92"/>
      <c r="L3993" s="72" t="str">
        <f t="shared" si="62"/>
        <v>Impayé</v>
      </c>
      <c r="N3993" s="15"/>
    </row>
    <row r="3994" spans="1:14" s="14" customFormat="1" ht="18" x14ac:dyDescent="0.25">
      <c r="A3994" s="90" t="s">
        <v>866</v>
      </c>
      <c r="B3994" s="90">
        <v>10338</v>
      </c>
      <c r="C3994" s="88" t="s">
        <v>1449</v>
      </c>
      <c r="D3994" s="89" t="s">
        <v>17</v>
      </c>
      <c r="E3994" s="90" t="s">
        <v>753</v>
      </c>
      <c r="F3994" s="90" t="s">
        <v>866</v>
      </c>
      <c r="G3994" s="137">
        <v>12</v>
      </c>
      <c r="H3994" s="94">
        <v>1090</v>
      </c>
      <c r="I3994" s="87">
        <v>46119</v>
      </c>
      <c r="J3994" s="93">
        <v>0.70833333333333337</v>
      </c>
      <c r="K3994" s="94">
        <v>1090</v>
      </c>
      <c r="L3994" s="72" t="str">
        <f t="shared" si="62"/>
        <v>Payé</v>
      </c>
      <c r="N3994" s="15"/>
    </row>
    <row r="3995" spans="1:14" s="14" customFormat="1" ht="18" x14ac:dyDescent="0.25">
      <c r="A3995" s="90" t="s">
        <v>866</v>
      </c>
      <c r="B3995" s="90">
        <v>10343</v>
      </c>
      <c r="C3995" s="88" t="s">
        <v>1472</v>
      </c>
      <c r="D3995" s="89" t="s">
        <v>17</v>
      </c>
      <c r="E3995" s="90" t="s">
        <v>49</v>
      </c>
      <c r="F3995" s="90" t="s">
        <v>866</v>
      </c>
      <c r="G3995" s="137">
        <v>7</v>
      </c>
      <c r="H3995" s="94">
        <v>630</v>
      </c>
      <c r="I3995" s="87">
        <v>46119</v>
      </c>
      <c r="J3995" s="93">
        <v>0.6875</v>
      </c>
      <c r="K3995" s="94">
        <v>630</v>
      </c>
      <c r="L3995" s="72" t="str">
        <f t="shared" si="62"/>
        <v>Payé</v>
      </c>
      <c r="N3995" s="15"/>
    </row>
    <row r="3996" spans="1:14" s="14" customFormat="1" ht="18" x14ac:dyDescent="0.25">
      <c r="A3996" s="90" t="s">
        <v>866</v>
      </c>
      <c r="B3996" s="90">
        <v>10384</v>
      </c>
      <c r="C3996" s="88" t="s">
        <v>1548</v>
      </c>
      <c r="D3996" s="89" t="s">
        <v>17</v>
      </c>
      <c r="E3996" s="90" t="s">
        <v>753</v>
      </c>
      <c r="F3996" s="90" t="s">
        <v>866</v>
      </c>
      <c r="G3996" s="137">
        <v>14</v>
      </c>
      <c r="H3996" s="94">
        <v>1260</v>
      </c>
      <c r="I3996" s="87">
        <v>46119</v>
      </c>
      <c r="J3996" s="93">
        <v>0.70833333333333337</v>
      </c>
      <c r="K3996" s="94">
        <v>1260</v>
      </c>
      <c r="L3996" s="72" t="str">
        <f t="shared" si="62"/>
        <v>Payé</v>
      </c>
      <c r="N3996" s="15"/>
    </row>
    <row r="3997" spans="1:14" s="14" customFormat="1" ht="18" x14ac:dyDescent="0.25">
      <c r="A3997" s="90" t="s">
        <v>866</v>
      </c>
      <c r="B3997" s="90">
        <v>10387</v>
      </c>
      <c r="C3997" s="88" t="s">
        <v>1551</v>
      </c>
      <c r="D3997" s="89" t="s">
        <v>17</v>
      </c>
      <c r="E3997" s="90" t="s">
        <v>649</v>
      </c>
      <c r="F3997" s="90" t="s">
        <v>866</v>
      </c>
      <c r="G3997" s="137">
        <v>1</v>
      </c>
      <c r="H3997" s="94">
        <v>90</v>
      </c>
      <c r="I3997" s="87"/>
      <c r="J3997" s="93"/>
      <c r="K3997" s="92"/>
      <c r="L3997" s="72" t="str">
        <f t="shared" si="62"/>
        <v>Impayé</v>
      </c>
      <c r="N3997" s="15"/>
    </row>
    <row r="3998" spans="1:14" s="14" customFormat="1" ht="18" x14ac:dyDescent="0.25">
      <c r="A3998" s="90" t="s">
        <v>866</v>
      </c>
      <c r="B3998" s="90">
        <v>10389</v>
      </c>
      <c r="C3998" s="88" t="s">
        <v>1553</v>
      </c>
      <c r="D3998" s="89" t="s">
        <v>17</v>
      </c>
      <c r="E3998" s="90" t="s">
        <v>254</v>
      </c>
      <c r="F3998" s="90" t="s">
        <v>866</v>
      </c>
      <c r="G3998" s="137">
        <v>3</v>
      </c>
      <c r="H3998" s="94">
        <v>270</v>
      </c>
      <c r="I3998" s="87"/>
      <c r="J3998" s="93"/>
      <c r="K3998" s="92"/>
      <c r="L3998" s="72" t="str">
        <f t="shared" ref="L3998:L4061" si="63">IF(ISBLANK(H3998),"",IF(H3998=K3998,"Payé","Impayé"))</f>
        <v>Impayé</v>
      </c>
      <c r="N3998" s="15"/>
    </row>
    <row r="3999" spans="1:14" s="14" customFormat="1" ht="18" x14ac:dyDescent="0.25">
      <c r="A3999" s="90" t="s">
        <v>866</v>
      </c>
      <c r="B3999" s="90">
        <v>10394</v>
      </c>
      <c r="C3999" s="88" t="s">
        <v>1566</v>
      </c>
      <c r="D3999" s="89" t="s">
        <v>17</v>
      </c>
      <c r="E3999" s="90" t="s">
        <v>254</v>
      </c>
      <c r="F3999" s="90" t="s">
        <v>866</v>
      </c>
      <c r="G3999" s="137">
        <v>5</v>
      </c>
      <c r="H3999" s="94">
        <v>460</v>
      </c>
      <c r="I3999" s="87">
        <v>46119</v>
      </c>
      <c r="J3999" s="93">
        <v>0.65972222222222221</v>
      </c>
      <c r="K3999" s="94">
        <v>460</v>
      </c>
      <c r="L3999" s="72" t="str">
        <f t="shared" si="63"/>
        <v>Payé</v>
      </c>
      <c r="N3999" s="15"/>
    </row>
    <row r="4000" spans="1:14" s="14" customFormat="1" ht="18" x14ac:dyDescent="0.25">
      <c r="A4000" s="90" t="s">
        <v>866</v>
      </c>
      <c r="B4000" s="90">
        <v>10395</v>
      </c>
      <c r="C4000" s="88" t="s">
        <v>1567</v>
      </c>
      <c r="D4000" s="89" t="s">
        <v>17</v>
      </c>
      <c r="E4000" s="90" t="s">
        <v>254</v>
      </c>
      <c r="F4000" s="90" t="s">
        <v>866</v>
      </c>
      <c r="G4000" s="137">
        <v>8</v>
      </c>
      <c r="H4000" s="94">
        <v>792</v>
      </c>
      <c r="I4000" s="87">
        <v>46119</v>
      </c>
      <c r="J4000" s="93">
        <v>0.7416666666666667</v>
      </c>
      <c r="K4000" s="94">
        <v>792</v>
      </c>
      <c r="L4000" s="72" t="str">
        <f t="shared" si="63"/>
        <v>Payé</v>
      </c>
      <c r="N4000" s="15"/>
    </row>
    <row r="4001" spans="1:14" s="14" customFormat="1" ht="18" x14ac:dyDescent="0.25">
      <c r="A4001" s="90" t="s">
        <v>866</v>
      </c>
      <c r="B4001" s="90">
        <v>10397</v>
      </c>
      <c r="C4001" s="88" t="s">
        <v>1558</v>
      </c>
      <c r="D4001" s="89" t="s">
        <v>17</v>
      </c>
      <c r="E4001" s="90" t="s">
        <v>753</v>
      </c>
      <c r="F4001" s="90" t="s">
        <v>866</v>
      </c>
      <c r="G4001" s="137">
        <v>10</v>
      </c>
      <c r="H4001" s="94">
        <v>910</v>
      </c>
      <c r="I4001" s="87">
        <v>46120</v>
      </c>
      <c r="J4001" s="93">
        <v>0.69236111111111109</v>
      </c>
      <c r="K4001" s="94">
        <v>910</v>
      </c>
      <c r="L4001" s="72" t="str">
        <f t="shared" si="63"/>
        <v>Payé</v>
      </c>
      <c r="N4001" s="15"/>
    </row>
    <row r="4002" spans="1:14" s="14" customFormat="1" ht="18" x14ac:dyDescent="0.25">
      <c r="A4002" s="90" t="s">
        <v>866</v>
      </c>
      <c r="B4002" s="90">
        <v>10402</v>
      </c>
      <c r="C4002" s="88" t="s">
        <v>1569</v>
      </c>
      <c r="D4002" s="89" t="s">
        <v>17</v>
      </c>
      <c r="E4002" s="90" t="s">
        <v>254</v>
      </c>
      <c r="F4002" s="90" t="s">
        <v>866</v>
      </c>
      <c r="G4002" s="137">
        <v>7</v>
      </c>
      <c r="H4002" s="94">
        <v>630</v>
      </c>
      <c r="I4002" s="87">
        <v>46119</v>
      </c>
      <c r="J4002" s="93">
        <v>0.44930555555555557</v>
      </c>
      <c r="K4002" s="94">
        <v>630</v>
      </c>
      <c r="L4002" s="72" t="str">
        <f t="shared" si="63"/>
        <v>Payé</v>
      </c>
      <c r="N4002" s="15"/>
    </row>
    <row r="4003" spans="1:14" s="14" customFormat="1" ht="18" x14ac:dyDescent="0.25">
      <c r="A4003" s="90" t="s">
        <v>866</v>
      </c>
      <c r="B4003" s="90">
        <v>10403</v>
      </c>
      <c r="C4003" s="88" t="s">
        <v>1570</v>
      </c>
      <c r="D4003" s="89" t="s">
        <v>17</v>
      </c>
      <c r="E4003" s="90" t="s">
        <v>254</v>
      </c>
      <c r="F4003" s="90" t="s">
        <v>866</v>
      </c>
      <c r="G4003" s="137">
        <v>3</v>
      </c>
      <c r="H4003" s="94">
        <v>270</v>
      </c>
      <c r="I4003" s="87">
        <v>46119</v>
      </c>
      <c r="J4003" s="93">
        <v>0.7416666666666667</v>
      </c>
      <c r="K4003" s="94">
        <v>270</v>
      </c>
      <c r="L4003" s="72" t="str">
        <f t="shared" si="63"/>
        <v>Payé</v>
      </c>
      <c r="N4003" s="15"/>
    </row>
    <row r="4004" spans="1:14" s="14" customFormat="1" ht="18" x14ac:dyDescent="0.25">
      <c r="A4004" s="90" t="s">
        <v>866</v>
      </c>
      <c r="B4004" s="90">
        <v>10405</v>
      </c>
      <c r="C4004" s="88" t="s">
        <v>1571</v>
      </c>
      <c r="D4004" s="89" t="s">
        <v>17</v>
      </c>
      <c r="E4004" s="90" t="s">
        <v>753</v>
      </c>
      <c r="F4004" s="90" t="s">
        <v>866</v>
      </c>
      <c r="G4004" s="137">
        <v>13</v>
      </c>
      <c r="H4004" s="94">
        <v>1170</v>
      </c>
      <c r="I4004" s="87">
        <v>46119</v>
      </c>
      <c r="J4004" s="93">
        <v>0.70833333333333337</v>
      </c>
      <c r="K4004" s="94">
        <v>1170</v>
      </c>
      <c r="L4004" s="72" t="str">
        <f t="shared" si="63"/>
        <v>Payé</v>
      </c>
      <c r="N4004" s="15"/>
    </row>
    <row r="4005" spans="1:14" s="14" customFormat="1" ht="18" x14ac:dyDescent="0.25">
      <c r="A4005" s="90" t="s">
        <v>866</v>
      </c>
      <c r="B4005" s="90">
        <v>10407</v>
      </c>
      <c r="C4005" s="88" t="s">
        <v>1572</v>
      </c>
      <c r="D4005" s="89" t="s">
        <v>17</v>
      </c>
      <c r="E4005" s="90" t="s">
        <v>753</v>
      </c>
      <c r="F4005" s="90" t="s">
        <v>866</v>
      </c>
      <c r="G4005" s="137">
        <v>4</v>
      </c>
      <c r="H4005" s="94">
        <v>360</v>
      </c>
      <c r="I4005" s="87">
        <v>46120</v>
      </c>
      <c r="J4005" s="93">
        <v>0.69236111111111109</v>
      </c>
      <c r="K4005" s="94">
        <v>360</v>
      </c>
      <c r="L4005" s="72" t="str">
        <f t="shared" si="63"/>
        <v>Payé</v>
      </c>
      <c r="N4005" s="15"/>
    </row>
    <row r="4006" spans="1:14" s="14" customFormat="1" ht="18" x14ac:dyDescent="0.25">
      <c r="A4006" s="90" t="s">
        <v>866</v>
      </c>
      <c r="B4006" s="90">
        <v>10413</v>
      </c>
      <c r="C4006" s="88" t="s">
        <v>1576</v>
      </c>
      <c r="D4006" s="89" t="s">
        <v>17</v>
      </c>
      <c r="E4006" s="90" t="s">
        <v>753</v>
      </c>
      <c r="F4006" s="90" t="s">
        <v>866</v>
      </c>
      <c r="G4006" s="137">
        <v>1</v>
      </c>
      <c r="H4006" s="94">
        <v>90</v>
      </c>
      <c r="I4006" s="87">
        <v>46119</v>
      </c>
      <c r="J4006" s="93">
        <v>0.70833333333333337</v>
      </c>
      <c r="K4006" s="94">
        <v>90</v>
      </c>
      <c r="L4006" s="72" t="str">
        <f t="shared" si="63"/>
        <v>Payé</v>
      </c>
      <c r="N4006" s="15"/>
    </row>
    <row r="4007" spans="1:14" s="14" customFormat="1" ht="18" x14ac:dyDescent="0.25">
      <c r="A4007" s="90" t="s">
        <v>866</v>
      </c>
      <c r="B4007" s="90">
        <v>10416</v>
      </c>
      <c r="C4007" s="88" t="s">
        <v>1579</v>
      </c>
      <c r="D4007" s="89" t="s">
        <v>17</v>
      </c>
      <c r="E4007" s="90" t="s">
        <v>753</v>
      </c>
      <c r="F4007" s="90" t="s">
        <v>866</v>
      </c>
      <c r="G4007" s="137">
        <v>6</v>
      </c>
      <c r="H4007" s="94">
        <v>540</v>
      </c>
      <c r="I4007" s="87">
        <v>46119</v>
      </c>
      <c r="J4007" s="93">
        <v>0.70833333333333337</v>
      </c>
      <c r="K4007" s="94">
        <v>540</v>
      </c>
      <c r="L4007" s="72" t="str">
        <f t="shared" si="63"/>
        <v>Payé</v>
      </c>
      <c r="N4007" s="15"/>
    </row>
    <row r="4008" spans="1:14" s="14" customFormat="1" ht="18" x14ac:dyDescent="0.25">
      <c r="A4008" s="90" t="s">
        <v>866</v>
      </c>
      <c r="B4008" s="90">
        <v>10417</v>
      </c>
      <c r="C4008" s="88" t="s">
        <v>1830</v>
      </c>
      <c r="D4008" s="89" t="s">
        <v>17</v>
      </c>
      <c r="E4008" s="90" t="s">
        <v>1907</v>
      </c>
      <c r="F4008" s="90" t="s">
        <v>866</v>
      </c>
      <c r="G4008" s="137">
        <v>6</v>
      </c>
      <c r="H4008" s="94">
        <v>540</v>
      </c>
      <c r="I4008" s="87">
        <v>46119</v>
      </c>
      <c r="J4008" s="93">
        <v>0.6069444444444444</v>
      </c>
      <c r="K4008" s="94">
        <v>540</v>
      </c>
      <c r="L4008" s="72" t="str">
        <f t="shared" si="63"/>
        <v>Payé</v>
      </c>
      <c r="N4008" s="15"/>
    </row>
    <row r="4009" spans="1:14" s="14" customFormat="1" ht="18" x14ac:dyDescent="0.25">
      <c r="A4009" s="90" t="s">
        <v>866</v>
      </c>
      <c r="B4009" s="90">
        <v>10433</v>
      </c>
      <c r="C4009" s="88" t="s">
        <v>1606</v>
      </c>
      <c r="D4009" s="89" t="s">
        <v>17</v>
      </c>
      <c r="E4009" s="90" t="s">
        <v>649</v>
      </c>
      <c r="F4009" s="90" t="s">
        <v>866</v>
      </c>
      <c r="G4009" s="137">
        <v>6</v>
      </c>
      <c r="H4009" s="94">
        <v>540</v>
      </c>
      <c r="I4009" s="87"/>
      <c r="J4009" s="93"/>
      <c r="K4009" s="92"/>
      <c r="L4009" s="72" t="str">
        <f t="shared" si="63"/>
        <v>Impayé</v>
      </c>
      <c r="N4009" s="15"/>
    </row>
    <row r="4010" spans="1:14" s="14" customFormat="1" ht="18" x14ac:dyDescent="0.25">
      <c r="A4010" s="90" t="s">
        <v>866</v>
      </c>
      <c r="B4010" s="90">
        <v>10438</v>
      </c>
      <c r="C4010" s="88" t="s">
        <v>1834</v>
      </c>
      <c r="D4010" s="89" t="s">
        <v>17</v>
      </c>
      <c r="E4010" s="90" t="s">
        <v>1664</v>
      </c>
      <c r="F4010" s="90" t="s">
        <v>866</v>
      </c>
      <c r="G4010" s="137">
        <v>1</v>
      </c>
      <c r="H4010" s="94">
        <v>87</v>
      </c>
      <c r="I4010" s="87">
        <v>46118</v>
      </c>
      <c r="J4010" s="93">
        <v>0.70347222222222217</v>
      </c>
      <c r="K4010" s="94">
        <v>87</v>
      </c>
      <c r="L4010" s="72" t="str">
        <f t="shared" si="63"/>
        <v>Payé</v>
      </c>
      <c r="N4010" s="15"/>
    </row>
    <row r="4011" spans="1:14" s="14" customFormat="1" ht="18" x14ac:dyDescent="0.25">
      <c r="A4011" s="90" t="s">
        <v>866</v>
      </c>
      <c r="B4011" s="90">
        <v>10452</v>
      </c>
      <c r="C4011" s="88" t="s">
        <v>1985</v>
      </c>
      <c r="D4011" s="89" t="s">
        <v>17</v>
      </c>
      <c r="E4011" s="90" t="s">
        <v>1902</v>
      </c>
      <c r="F4011" s="90" t="s">
        <v>866</v>
      </c>
      <c r="G4011" s="137">
        <v>1</v>
      </c>
      <c r="H4011" s="94">
        <v>90</v>
      </c>
      <c r="I4011" s="87">
        <v>46119</v>
      </c>
      <c r="J4011" s="93">
        <v>0.61736111111111114</v>
      </c>
      <c r="K4011" s="94">
        <v>90</v>
      </c>
      <c r="L4011" s="72" t="str">
        <f t="shared" si="63"/>
        <v>Payé</v>
      </c>
      <c r="N4011" s="15"/>
    </row>
    <row r="4012" spans="1:14" s="14" customFormat="1" ht="18" x14ac:dyDescent="0.25">
      <c r="A4012" s="90" t="s">
        <v>866</v>
      </c>
      <c r="B4012" s="90">
        <v>10453</v>
      </c>
      <c r="C4012" s="88" t="s">
        <v>1986</v>
      </c>
      <c r="D4012" s="89" t="s">
        <v>17</v>
      </c>
      <c r="E4012" s="90" t="s">
        <v>1902</v>
      </c>
      <c r="F4012" s="90" t="s">
        <v>866</v>
      </c>
      <c r="G4012" s="137">
        <v>2</v>
      </c>
      <c r="H4012" s="94">
        <v>220</v>
      </c>
      <c r="I4012" s="87">
        <v>46119</v>
      </c>
      <c r="J4012" s="93">
        <v>0.61736111111111114</v>
      </c>
      <c r="K4012" s="94">
        <v>220</v>
      </c>
      <c r="L4012" s="72" t="str">
        <f t="shared" si="63"/>
        <v>Payé</v>
      </c>
      <c r="N4012" s="15"/>
    </row>
    <row r="4013" spans="1:14" s="14" customFormat="1" ht="18" x14ac:dyDescent="0.25">
      <c r="A4013" s="90" t="s">
        <v>866</v>
      </c>
      <c r="B4013" s="90">
        <v>10465</v>
      </c>
      <c r="C4013" s="88" t="s">
        <v>1622</v>
      </c>
      <c r="D4013" s="89" t="s">
        <v>17</v>
      </c>
      <c r="E4013" s="90" t="s">
        <v>753</v>
      </c>
      <c r="F4013" s="90" t="s">
        <v>866</v>
      </c>
      <c r="G4013" s="137">
        <v>1</v>
      </c>
      <c r="H4013" s="94">
        <v>90</v>
      </c>
      <c r="I4013" s="87">
        <v>46119</v>
      </c>
      <c r="J4013" s="93">
        <v>0.71527777777777779</v>
      </c>
      <c r="K4013" s="94">
        <v>90</v>
      </c>
      <c r="L4013" s="72" t="str">
        <f t="shared" si="63"/>
        <v>Payé</v>
      </c>
      <c r="N4013" s="15"/>
    </row>
    <row r="4014" spans="1:14" s="14" customFormat="1" ht="18" x14ac:dyDescent="0.25">
      <c r="A4014" s="90" t="s">
        <v>866</v>
      </c>
      <c r="B4014" s="90">
        <v>10468</v>
      </c>
      <c r="C4014" s="88" t="s">
        <v>1624</v>
      </c>
      <c r="D4014" s="89" t="s">
        <v>17</v>
      </c>
      <c r="E4014" s="90" t="s">
        <v>649</v>
      </c>
      <c r="F4014" s="90" t="s">
        <v>866</v>
      </c>
      <c r="G4014" s="137">
        <v>1</v>
      </c>
      <c r="H4014" s="94">
        <v>90</v>
      </c>
      <c r="I4014" s="87"/>
      <c r="J4014" s="93"/>
      <c r="K4014" s="92"/>
      <c r="L4014" s="72" t="str">
        <f t="shared" si="63"/>
        <v>Impayé</v>
      </c>
      <c r="N4014" s="15"/>
    </row>
    <row r="4015" spans="1:14" s="14" customFormat="1" ht="18" x14ac:dyDescent="0.25">
      <c r="A4015" s="90" t="s">
        <v>866</v>
      </c>
      <c r="B4015" s="90">
        <v>10469</v>
      </c>
      <c r="C4015" s="88" t="s">
        <v>1625</v>
      </c>
      <c r="D4015" s="89" t="s">
        <v>17</v>
      </c>
      <c r="E4015" s="90" t="s">
        <v>1104</v>
      </c>
      <c r="F4015" s="90" t="s">
        <v>866</v>
      </c>
      <c r="G4015" s="137">
        <v>11</v>
      </c>
      <c r="H4015" s="94">
        <v>1030</v>
      </c>
      <c r="I4015" s="87">
        <v>46119</v>
      </c>
      <c r="J4015" s="93">
        <v>0.62222222222222223</v>
      </c>
      <c r="K4015" s="94">
        <v>1030</v>
      </c>
      <c r="L4015" s="72" t="str">
        <f t="shared" si="63"/>
        <v>Payé</v>
      </c>
      <c r="N4015" s="15"/>
    </row>
    <row r="4016" spans="1:14" s="14" customFormat="1" ht="18" x14ac:dyDescent="0.25">
      <c r="A4016" s="90" t="s">
        <v>866</v>
      </c>
      <c r="B4016" s="90">
        <v>10471</v>
      </c>
      <c r="C4016" s="88" t="s">
        <v>1627</v>
      </c>
      <c r="D4016" s="89" t="s">
        <v>17</v>
      </c>
      <c r="E4016" s="90" t="s">
        <v>254</v>
      </c>
      <c r="F4016" s="90" t="s">
        <v>866</v>
      </c>
      <c r="G4016" s="137">
        <v>11</v>
      </c>
      <c r="H4016" s="94">
        <v>1022</v>
      </c>
      <c r="I4016" s="87">
        <v>46119</v>
      </c>
      <c r="J4016" s="93">
        <v>0.7416666666666667</v>
      </c>
      <c r="K4016" s="94">
        <v>1022</v>
      </c>
      <c r="L4016" s="72" t="str">
        <f t="shared" si="63"/>
        <v>Payé</v>
      </c>
      <c r="N4016" s="15"/>
    </row>
    <row r="4017" spans="1:14" s="14" customFormat="1" ht="18" x14ac:dyDescent="0.25">
      <c r="A4017" s="90" t="s">
        <v>866</v>
      </c>
      <c r="B4017" s="90">
        <v>10475</v>
      </c>
      <c r="C4017" s="88" t="s">
        <v>1631</v>
      </c>
      <c r="D4017" s="89" t="s">
        <v>17</v>
      </c>
      <c r="E4017" s="90" t="s">
        <v>254</v>
      </c>
      <c r="F4017" s="90" t="s">
        <v>866</v>
      </c>
      <c r="G4017" s="137">
        <v>2</v>
      </c>
      <c r="H4017" s="94">
        <v>180</v>
      </c>
      <c r="I4017" s="87">
        <v>46119</v>
      </c>
      <c r="J4017" s="93">
        <v>0.66041666666666665</v>
      </c>
      <c r="K4017" s="94">
        <v>180</v>
      </c>
      <c r="L4017" s="72" t="str">
        <f t="shared" si="63"/>
        <v>Payé</v>
      </c>
      <c r="N4017" s="15"/>
    </row>
    <row r="4018" spans="1:14" s="14" customFormat="1" ht="18" x14ac:dyDescent="0.25">
      <c r="A4018" s="90" t="s">
        <v>866</v>
      </c>
      <c r="B4018" s="90">
        <v>10476</v>
      </c>
      <c r="C4018" s="88" t="s">
        <v>1632</v>
      </c>
      <c r="D4018" s="89" t="s">
        <v>17</v>
      </c>
      <c r="E4018" s="90" t="s">
        <v>1904</v>
      </c>
      <c r="F4018" s="90" t="s">
        <v>866</v>
      </c>
      <c r="G4018" s="137">
        <v>10</v>
      </c>
      <c r="H4018" s="94">
        <v>900</v>
      </c>
      <c r="I4018" s="87">
        <v>46119</v>
      </c>
      <c r="J4018" s="93">
        <v>0.73055555555555562</v>
      </c>
      <c r="K4018" s="94">
        <v>900</v>
      </c>
      <c r="L4018" s="72" t="str">
        <f t="shared" si="63"/>
        <v>Payé</v>
      </c>
      <c r="N4018" s="15"/>
    </row>
    <row r="4019" spans="1:14" s="14" customFormat="1" ht="18" x14ac:dyDescent="0.25">
      <c r="A4019" s="90" t="s">
        <v>866</v>
      </c>
      <c r="B4019" s="90">
        <v>10487</v>
      </c>
      <c r="C4019" s="88" t="s">
        <v>1640</v>
      </c>
      <c r="D4019" s="89" t="s">
        <v>17</v>
      </c>
      <c r="E4019" s="90" t="s">
        <v>753</v>
      </c>
      <c r="F4019" s="90" t="s">
        <v>866</v>
      </c>
      <c r="G4019" s="137">
        <v>7</v>
      </c>
      <c r="H4019" s="94">
        <v>630</v>
      </c>
      <c r="I4019" s="87">
        <v>46119</v>
      </c>
      <c r="J4019" s="93">
        <v>0.70833333333333337</v>
      </c>
      <c r="K4019" s="94">
        <v>630</v>
      </c>
      <c r="L4019" s="72" t="str">
        <f t="shared" si="63"/>
        <v>Payé</v>
      </c>
      <c r="N4019" s="15"/>
    </row>
    <row r="4020" spans="1:14" s="14" customFormat="1" ht="18" x14ac:dyDescent="0.25">
      <c r="A4020" s="90" t="s">
        <v>866</v>
      </c>
      <c r="B4020" s="90">
        <v>10492</v>
      </c>
      <c r="C4020" s="88" t="s">
        <v>1645</v>
      </c>
      <c r="D4020" s="89" t="s">
        <v>17</v>
      </c>
      <c r="E4020" s="90" t="s">
        <v>628</v>
      </c>
      <c r="F4020" s="90" t="s">
        <v>866</v>
      </c>
      <c r="G4020" s="137">
        <v>6</v>
      </c>
      <c r="H4020" s="94">
        <v>540</v>
      </c>
      <c r="I4020" s="87">
        <v>46118</v>
      </c>
      <c r="J4020" s="93">
        <v>0.69305555555555554</v>
      </c>
      <c r="K4020" s="94">
        <v>540</v>
      </c>
      <c r="L4020" s="72" t="str">
        <f t="shared" si="63"/>
        <v>Payé</v>
      </c>
      <c r="N4020" s="15"/>
    </row>
    <row r="4021" spans="1:14" s="14" customFormat="1" ht="18" x14ac:dyDescent="0.25">
      <c r="A4021" s="90" t="s">
        <v>866</v>
      </c>
      <c r="B4021" s="90">
        <v>10496</v>
      </c>
      <c r="C4021" s="88" t="s">
        <v>1648</v>
      </c>
      <c r="D4021" s="89" t="s">
        <v>17</v>
      </c>
      <c r="E4021" s="90" t="s">
        <v>753</v>
      </c>
      <c r="F4021" s="90" t="s">
        <v>866</v>
      </c>
      <c r="G4021" s="137">
        <v>3</v>
      </c>
      <c r="H4021" s="94">
        <v>270</v>
      </c>
      <c r="I4021" s="87"/>
      <c r="J4021" s="93"/>
      <c r="K4021" s="92"/>
      <c r="L4021" s="72" t="str">
        <f t="shared" si="63"/>
        <v>Impayé</v>
      </c>
      <c r="N4021" s="15"/>
    </row>
    <row r="4022" spans="1:14" s="14" customFormat="1" ht="18" x14ac:dyDescent="0.25">
      <c r="A4022" s="90" t="s">
        <v>866</v>
      </c>
      <c r="B4022" s="90">
        <v>10507</v>
      </c>
      <c r="C4022" s="88" t="s">
        <v>1657</v>
      </c>
      <c r="D4022" s="89" t="s">
        <v>17</v>
      </c>
      <c r="E4022" s="90" t="s">
        <v>123</v>
      </c>
      <c r="F4022" s="90" t="s">
        <v>866</v>
      </c>
      <c r="G4022" s="137">
        <v>8</v>
      </c>
      <c r="H4022" s="94">
        <v>720</v>
      </c>
      <c r="I4022" s="91"/>
      <c r="J4022" s="165"/>
      <c r="K4022" s="92"/>
      <c r="L4022" s="72" t="str">
        <f t="shared" si="63"/>
        <v>Impayé</v>
      </c>
      <c r="N4022" s="15"/>
    </row>
    <row r="4023" spans="1:14" s="14" customFormat="1" ht="18" x14ac:dyDescent="0.25">
      <c r="A4023" s="90" t="s">
        <v>866</v>
      </c>
      <c r="B4023" s="90">
        <v>10514</v>
      </c>
      <c r="C4023" s="88" t="s">
        <v>1687</v>
      </c>
      <c r="D4023" s="89" t="s">
        <v>17</v>
      </c>
      <c r="E4023" s="90" t="s">
        <v>123</v>
      </c>
      <c r="F4023" s="90" t="s">
        <v>866</v>
      </c>
      <c r="G4023" s="137">
        <v>7</v>
      </c>
      <c r="H4023" s="94">
        <v>630</v>
      </c>
      <c r="I4023" s="87">
        <v>46119</v>
      </c>
      <c r="J4023" s="93">
        <v>0.69236111111111109</v>
      </c>
      <c r="K4023" s="94">
        <v>630</v>
      </c>
      <c r="L4023" s="72" t="str">
        <f t="shared" si="63"/>
        <v>Payé</v>
      </c>
      <c r="N4023" s="15"/>
    </row>
    <row r="4024" spans="1:14" s="14" customFormat="1" ht="18" x14ac:dyDescent="0.25">
      <c r="A4024" s="90" t="s">
        <v>866</v>
      </c>
      <c r="B4024" s="90">
        <v>10521</v>
      </c>
      <c r="C4024" s="88" t="s">
        <v>1700</v>
      </c>
      <c r="D4024" s="89" t="s">
        <v>17</v>
      </c>
      <c r="E4024" s="90" t="s">
        <v>1664</v>
      </c>
      <c r="F4024" s="90" t="s">
        <v>866</v>
      </c>
      <c r="G4024" s="137">
        <v>2</v>
      </c>
      <c r="H4024" s="94">
        <v>173</v>
      </c>
      <c r="I4024" s="87">
        <v>46118</v>
      </c>
      <c r="J4024" s="93">
        <v>0.70347222222222217</v>
      </c>
      <c r="K4024" s="94">
        <v>173</v>
      </c>
      <c r="L4024" s="72" t="str">
        <f t="shared" si="63"/>
        <v>Payé</v>
      </c>
      <c r="N4024" s="15"/>
    </row>
    <row r="4025" spans="1:14" s="14" customFormat="1" ht="18" x14ac:dyDescent="0.25">
      <c r="A4025" s="90" t="s">
        <v>866</v>
      </c>
      <c r="B4025" s="90">
        <v>10525</v>
      </c>
      <c r="C4025" s="88" t="s">
        <v>1706</v>
      </c>
      <c r="D4025" s="89" t="s">
        <v>17</v>
      </c>
      <c r="E4025" s="90" t="s">
        <v>1664</v>
      </c>
      <c r="F4025" s="90" t="s">
        <v>866</v>
      </c>
      <c r="G4025" s="137">
        <v>1</v>
      </c>
      <c r="H4025" s="94">
        <v>87</v>
      </c>
      <c r="I4025" s="87">
        <v>46118</v>
      </c>
      <c r="J4025" s="93">
        <v>0.70347222222222217</v>
      </c>
      <c r="K4025" s="94">
        <v>87</v>
      </c>
      <c r="L4025" s="72" t="str">
        <f t="shared" si="63"/>
        <v>Payé</v>
      </c>
      <c r="N4025" s="15"/>
    </row>
    <row r="4026" spans="1:14" s="14" customFormat="1" ht="18" x14ac:dyDescent="0.25">
      <c r="A4026" s="90" t="s">
        <v>866</v>
      </c>
      <c r="B4026" s="90">
        <v>10549</v>
      </c>
      <c r="C4026" s="88" t="s">
        <v>1731</v>
      </c>
      <c r="D4026" s="89" t="s">
        <v>17</v>
      </c>
      <c r="E4026" s="90" t="s">
        <v>1664</v>
      </c>
      <c r="F4026" s="90" t="s">
        <v>866</v>
      </c>
      <c r="G4026" s="137">
        <v>2</v>
      </c>
      <c r="H4026" s="94">
        <v>173</v>
      </c>
      <c r="I4026" s="87">
        <v>46118</v>
      </c>
      <c r="J4026" s="93">
        <v>0.70347222222222217</v>
      </c>
      <c r="K4026" s="94">
        <v>173</v>
      </c>
      <c r="L4026" s="72" t="str">
        <f t="shared" si="63"/>
        <v>Payé</v>
      </c>
      <c r="N4026" s="15"/>
    </row>
    <row r="4027" spans="1:14" s="14" customFormat="1" ht="18" x14ac:dyDescent="0.25">
      <c r="A4027" s="90" t="s">
        <v>866</v>
      </c>
      <c r="B4027" s="90">
        <v>10555</v>
      </c>
      <c r="C4027" s="88" t="s">
        <v>1736</v>
      </c>
      <c r="D4027" s="89" t="s">
        <v>17</v>
      </c>
      <c r="E4027" s="90" t="s">
        <v>1907</v>
      </c>
      <c r="F4027" s="90" t="s">
        <v>866</v>
      </c>
      <c r="G4027" s="137">
        <v>9</v>
      </c>
      <c r="H4027" s="94">
        <v>810</v>
      </c>
      <c r="I4027" s="87">
        <v>46118</v>
      </c>
      <c r="J4027" s="93">
        <v>0.69861111111111107</v>
      </c>
      <c r="K4027" s="94">
        <v>810</v>
      </c>
      <c r="L4027" s="72" t="str">
        <f t="shared" si="63"/>
        <v>Payé</v>
      </c>
      <c r="N4027" s="15"/>
    </row>
    <row r="4028" spans="1:14" s="14" customFormat="1" ht="18" x14ac:dyDescent="0.25">
      <c r="A4028" s="90" t="s">
        <v>866</v>
      </c>
      <c r="B4028" s="90">
        <v>10556</v>
      </c>
      <c r="C4028" s="88" t="s">
        <v>1737</v>
      </c>
      <c r="D4028" s="89" t="s">
        <v>17</v>
      </c>
      <c r="E4028" s="90" t="s">
        <v>1907</v>
      </c>
      <c r="F4028" s="90" t="s">
        <v>866</v>
      </c>
      <c r="G4028" s="137">
        <v>7</v>
      </c>
      <c r="H4028" s="94">
        <v>630</v>
      </c>
      <c r="I4028" s="87">
        <v>46119</v>
      </c>
      <c r="J4028" s="93">
        <v>0.71944444444444444</v>
      </c>
      <c r="K4028" s="94">
        <v>630</v>
      </c>
      <c r="L4028" s="72" t="str">
        <f t="shared" si="63"/>
        <v>Payé</v>
      </c>
      <c r="N4028" s="15"/>
    </row>
    <row r="4029" spans="1:14" s="14" customFormat="1" ht="18" x14ac:dyDescent="0.25">
      <c r="A4029" s="90" t="s">
        <v>866</v>
      </c>
      <c r="B4029" s="90">
        <v>10557</v>
      </c>
      <c r="C4029" s="88" t="s">
        <v>1738</v>
      </c>
      <c r="D4029" s="89" t="s">
        <v>17</v>
      </c>
      <c r="E4029" s="90" t="s">
        <v>1907</v>
      </c>
      <c r="F4029" s="90" t="s">
        <v>866</v>
      </c>
      <c r="G4029" s="137">
        <v>9</v>
      </c>
      <c r="H4029" s="94">
        <v>810</v>
      </c>
      <c r="I4029" s="87">
        <v>46118</v>
      </c>
      <c r="J4029" s="93">
        <v>0.69861111111111107</v>
      </c>
      <c r="K4029" s="94">
        <v>810</v>
      </c>
      <c r="L4029" s="72" t="str">
        <f t="shared" si="63"/>
        <v>Payé</v>
      </c>
      <c r="N4029" s="15"/>
    </row>
    <row r="4030" spans="1:14" s="14" customFormat="1" ht="18" x14ac:dyDescent="0.25">
      <c r="A4030" s="90" t="s">
        <v>866</v>
      </c>
      <c r="B4030" s="90">
        <v>10563</v>
      </c>
      <c r="C4030" s="88" t="s">
        <v>1744</v>
      </c>
      <c r="D4030" s="89" t="s">
        <v>17</v>
      </c>
      <c r="E4030" s="90" t="s">
        <v>1800</v>
      </c>
      <c r="F4030" s="90" t="s">
        <v>866</v>
      </c>
      <c r="G4030" s="137">
        <v>15</v>
      </c>
      <c r="H4030" s="94">
        <v>1757</v>
      </c>
      <c r="I4030" s="87">
        <v>46119</v>
      </c>
      <c r="J4030" s="93">
        <v>0.67638888888888893</v>
      </c>
      <c r="K4030" s="94">
        <v>1757</v>
      </c>
      <c r="L4030" s="72" t="str">
        <f t="shared" si="63"/>
        <v>Payé</v>
      </c>
      <c r="N4030" s="15"/>
    </row>
    <row r="4031" spans="1:14" s="14" customFormat="1" ht="18" x14ac:dyDescent="0.25">
      <c r="A4031" s="90" t="s">
        <v>866</v>
      </c>
      <c r="B4031" s="90">
        <v>10564</v>
      </c>
      <c r="C4031" s="88" t="s">
        <v>1745</v>
      </c>
      <c r="D4031" s="89" t="s">
        <v>17</v>
      </c>
      <c r="E4031" s="90" t="s">
        <v>1800</v>
      </c>
      <c r="F4031" s="90" t="s">
        <v>866</v>
      </c>
      <c r="G4031" s="137">
        <v>14</v>
      </c>
      <c r="H4031" s="94">
        <v>1400</v>
      </c>
      <c r="I4031" s="87">
        <v>46119</v>
      </c>
      <c r="J4031" s="93">
        <v>0.66527777777777775</v>
      </c>
      <c r="K4031" s="94">
        <v>1400</v>
      </c>
      <c r="L4031" s="72" t="str">
        <f t="shared" si="63"/>
        <v>Payé</v>
      </c>
      <c r="N4031" s="15"/>
    </row>
    <row r="4032" spans="1:14" s="14" customFormat="1" ht="18" x14ac:dyDescent="0.25">
      <c r="A4032" s="90" t="s">
        <v>866</v>
      </c>
      <c r="B4032" s="90">
        <v>10565</v>
      </c>
      <c r="C4032" s="88" t="s">
        <v>1746</v>
      </c>
      <c r="D4032" s="89" t="s">
        <v>17</v>
      </c>
      <c r="E4032" s="90" t="s">
        <v>1800</v>
      </c>
      <c r="F4032" s="90" t="s">
        <v>866</v>
      </c>
      <c r="G4032" s="137">
        <v>13</v>
      </c>
      <c r="H4032" s="94">
        <v>1965</v>
      </c>
      <c r="I4032" s="87">
        <v>46119</v>
      </c>
      <c r="J4032" s="93">
        <v>0.67638888888888893</v>
      </c>
      <c r="K4032" s="94">
        <v>1965</v>
      </c>
      <c r="L4032" s="72" t="str">
        <f t="shared" si="63"/>
        <v>Payé</v>
      </c>
      <c r="N4032" s="15"/>
    </row>
    <row r="4033" spans="1:14" s="14" customFormat="1" ht="18" x14ac:dyDescent="0.25">
      <c r="A4033" s="90" t="s">
        <v>866</v>
      </c>
      <c r="B4033" s="90">
        <v>10566</v>
      </c>
      <c r="C4033" s="88" t="s">
        <v>1747</v>
      </c>
      <c r="D4033" s="89" t="s">
        <v>17</v>
      </c>
      <c r="E4033" s="90" t="s">
        <v>1800</v>
      </c>
      <c r="F4033" s="90" t="s">
        <v>866</v>
      </c>
      <c r="G4033" s="137">
        <v>15</v>
      </c>
      <c r="H4033" s="94">
        <v>2099</v>
      </c>
      <c r="I4033" s="87">
        <v>46119</v>
      </c>
      <c r="J4033" s="93">
        <v>0.67638888888888893</v>
      </c>
      <c r="K4033" s="94">
        <v>2099</v>
      </c>
      <c r="L4033" s="72" t="str">
        <f t="shared" si="63"/>
        <v>Payé</v>
      </c>
      <c r="N4033" s="15"/>
    </row>
    <row r="4034" spans="1:14" s="14" customFormat="1" ht="18" x14ac:dyDescent="0.25">
      <c r="A4034" s="90" t="s">
        <v>866</v>
      </c>
      <c r="B4034" s="90">
        <v>10567</v>
      </c>
      <c r="C4034" s="88" t="s">
        <v>1748</v>
      </c>
      <c r="D4034" s="89" t="s">
        <v>17</v>
      </c>
      <c r="E4034" s="90" t="s">
        <v>1800</v>
      </c>
      <c r="F4034" s="90" t="s">
        <v>866</v>
      </c>
      <c r="G4034" s="137">
        <v>8</v>
      </c>
      <c r="H4034" s="94">
        <v>902</v>
      </c>
      <c r="I4034" s="87">
        <v>46119</v>
      </c>
      <c r="J4034" s="93">
        <v>0.67638888888888893</v>
      </c>
      <c r="K4034" s="94">
        <v>902</v>
      </c>
      <c r="L4034" s="72" t="str">
        <f t="shared" si="63"/>
        <v>Payé</v>
      </c>
      <c r="N4034" s="15"/>
    </row>
    <row r="4035" spans="1:14" s="14" customFormat="1" ht="18" x14ac:dyDescent="0.25">
      <c r="A4035" s="90" t="s">
        <v>866</v>
      </c>
      <c r="B4035" s="90">
        <v>10568</v>
      </c>
      <c r="C4035" s="88" t="s">
        <v>1749</v>
      </c>
      <c r="D4035" s="89" t="s">
        <v>17</v>
      </c>
      <c r="E4035" s="90" t="s">
        <v>1800</v>
      </c>
      <c r="F4035" s="90" t="s">
        <v>866</v>
      </c>
      <c r="G4035" s="137">
        <v>14</v>
      </c>
      <c r="H4035" s="94">
        <v>1400</v>
      </c>
      <c r="I4035" s="87">
        <v>46119</v>
      </c>
      <c r="J4035" s="93">
        <v>0.67638888888888893</v>
      </c>
      <c r="K4035" s="94">
        <v>1400</v>
      </c>
      <c r="L4035" s="72" t="str">
        <f t="shared" si="63"/>
        <v>Payé</v>
      </c>
      <c r="N4035" s="15"/>
    </row>
    <row r="4036" spans="1:14" s="14" customFormat="1" ht="18" x14ac:dyDescent="0.25">
      <c r="A4036" s="90" t="s">
        <v>866</v>
      </c>
      <c r="B4036" s="90">
        <v>10569</v>
      </c>
      <c r="C4036" s="88" t="s">
        <v>1750</v>
      </c>
      <c r="D4036" s="89" t="s">
        <v>17</v>
      </c>
      <c r="E4036" s="90" t="s">
        <v>1800</v>
      </c>
      <c r="F4036" s="90" t="s">
        <v>866</v>
      </c>
      <c r="G4036" s="137">
        <v>15</v>
      </c>
      <c r="H4036" s="94">
        <v>1657</v>
      </c>
      <c r="I4036" s="87">
        <v>46119</v>
      </c>
      <c r="J4036" s="93">
        <v>0.67638888888888893</v>
      </c>
      <c r="K4036" s="94">
        <v>1657</v>
      </c>
      <c r="L4036" s="72" t="str">
        <f t="shared" si="63"/>
        <v>Payé</v>
      </c>
      <c r="N4036" s="15"/>
    </row>
    <row r="4037" spans="1:14" s="14" customFormat="1" ht="18" x14ac:dyDescent="0.25">
      <c r="A4037" s="90" t="s">
        <v>866</v>
      </c>
      <c r="B4037" s="90">
        <v>10570</v>
      </c>
      <c r="C4037" s="88" t="s">
        <v>1751</v>
      </c>
      <c r="D4037" s="89" t="s">
        <v>17</v>
      </c>
      <c r="E4037" s="90" t="s">
        <v>1800</v>
      </c>
      <c r="F4037" s="90" t="s">
        <v>866</v>
      </c>
      <c r="G4037" s="137">
        <v>5</v>
      </c>
      <c r="H4037" s="94">
        <v>510</v>
      </c>
      <c r="I4037" s="87">
        <v>46119</v>
      </c>
      <c r="J4037" s="93">
        <v>0.67638888888888893</v>
      </c>
      <c r="K4037" s="94">
        <v>510</v>
      </c>
      <c r="L4037" s="72" t="str">
        <f t="shared" si="63"/>
        <v>Payé</v>
      </c>
      <c r="N4037" s="15"/>
    </row>
    <row r="4038" spans="1:14" s="14" customFormat="1" ht="18" x14ac:dyDescent="0.25">
      <c r="A4038" s="90" t="s">
        <v>866</v>
      </c>
      <c r="B4038" s="90">
        <v>10571</v>
      </c>
      <c r="C4038" s="88" t="s">
        <v>1752</v>
      </c>
      <c r="D4038" s="89" t="s">
        <v>17</v>
      </c>
      <c r="E4038" s="90" t="s">
        <v>1800</v>
      </c>
      <c r="F4038" s="90" t="s">
        <v>866</v>
      </c>
      <c r="G4038" s="137">
        <v>3</v>
      </c>
      <c r="H4038" s="94">
        <v>270</v>
      </c>
      <c r="I4038" s="87">
        <v>46119</v>
      </c>
      <c r="J4038" s="93">
        <v>0.62152777777777779</v>
      </c>
      <c r="K4038" s="94">
        <v>270</v>
      </c>
      <c r="L4038" s="72" t="str">
        <f t="shared" si="63"/>
        <v>Payé</v>
      </c>
      <c r="N4038" s="15"/>
    </row>
    <row r="4039" spans="1:14" s="14" customFormat="1" ht="18" x14ac:dyDescent="0.25">
      <c r="A4039" s="90" t="s">
        <v>866</v>
      </c>
      <c r="B4039" s="90">
        <v>10605</v>
      </c>
      <c r="C4039" s="88" t="s">
        <v>1791</v>
      </c>
      <c r="D4039" s="89" t="s">
        <v>17</v>
      </c>
      <c r="E4039" s="90" t="s">
        <v>1907</v>
      </c>
      <c r="F4039" s="90" t="s">
        <v>866</v>
      </c>
      <c r="G4039" s="137">
        <v>14</v>
      </c>
      <c r="H4039" s="94">
        <v>1300</v>
      </c>
      <c r="I4039" s="87">
        <v>46118</v>
      </c>
      <c r="J4039" s="93">
        <v>0.71111111111111114</v>
      </c>
      <c r="K4039" s="94">
        <v>1300</v>
      </c>
      <c r="L4039" s="72" t="str">
        <f t="shared" si="63"/>
        <v>Payé</v>
      </c>
      <c r="N4039" s="15"/>
    </row>
    <row r="4040" spans="1:14" s="14" customFormat="1" ht="18" x14ac:dyDescent="0.25">
      <c r="A4040" s="90" t="s">
        <v>866</v>
      </c>
      <c r="B4040" s="90">
        <v>10606</v>
      </c>
      <c r="C4040" s="88" t="s">
        <v>1792</v>
      </c>
      <c r="D4040" s="89" t="s">
        <v>17</v>
      </c>
      <c r="E4040" s="90" t="s">
        <v>1909</v>
      </c>
      <c r="F4040" s="90" t="s">
        <v>866</v>
      </c>
      <c r="G4040" s="137">
        <v>13</v>
      </c>
      <c r="H4040" s="94">
        <v>1560</v>
      </c>
      <c r="I4040" s="87">
        <v>46119</v>
      </c>
      <c r="J4040" s="93">
        <v>0.71527777777777779</v>
      </c>
      <c r="K4040" s="94">
        <v>1560</v>
      </c>
      <c r="L4040" s="72" t="str">
        <f t="shared" si="63"/>
        <v>Payé</v>
      </c>
      <c r="N4040" s="15"/>
    </row>
    <row r="4041" spans="1:14" s="14" customFormat="1" ht="18" x14ac:dyDescent="0.25">
      <c r="A4041" s="90" t="s">
        <v>866</v>
      </c>
      <c r="B4041" s="90">
        <v>10615</v>
      </c>
      <c r="C4041" s="88" t="s">
        <v>731</v>
      </c>
      <c r="D4041" s="89" t="s">
        <v>17</v>
      </c>
      <c r="E4041" s="90" t="s">
        <v>649</v>
      </c>
      <c r="F4041" s="90" t="s">
        <v>866</v>
      </c>
      <c r="G4041" s="137">
        <v>1</v>
      </c>
      <c r="H4041" s="94">
        <v>90</v>
      </c>
      <c r="I4041" s="87"/>
      <c r="J4041" s="93"/>
      <c r="K4041" s="92"/>
      <c r="L4041" s="72" t="str">
        <f t="shared" si="63"/>
        <v>Impayé</v>
      </c>
      <c r="N4041" s="15"/>
    </row>
    <row r="4042" spans="1:14" s="14" customFormat="1" ht="18" x14ac:dyDescent="0.25">
      <c r="A4042" s="90" t="s">
        <v>866</v>
      </c>
      <c r="B4042" s="90">
        <v>10621</v>
      </c>
      <c r="C4042" s="88" t="s">
        <v>1847</v>
      </c>
      <c r="D4042" s="89" t="s">
        <v>17</v>
      </c>
      <c r="E4042" s="90" t="s">
        <v>123</v>
      </c>
      <c r="F4042" s="90" t="s">
        <v>866</v>
      </c>
      <c r="G4042" s="137">
        <v>14</v>
      </c>
      <c r="H4042" s="94">
        <v>1280</v>
      </c>
      <c r="I4042" s="87">
        <v>46119</v>
      </c>
      <c r="J4042" s="93">
        <v>0.69236111111111109</v>
      </c>
      <c r="K4042" s="94">
        <v>1280</v>
      </c>
      <c r="L4042" s="72" t="str">
        <f t="shared" si="63"/>
        <v>Payé</v>
      </c>
      <c r="N4042" s="15"/>
    </row>
    <row r="4043" spans="1:14" s="14" customFormat="1" ht="18" x14ac:dyDescent="0.25">
      <c r="A4043" s="90" t="s">
        <v>866</v>
      </c>
      <c r="B4043" s="90">
        <v>10623</v>
      </c>
      <c r="C4043" s="88" t="s">
        <v>1849</v>
      </c>
      <c r="D4043" s="89" t="s">
        <v>17</v>
      </c>
      <c r="E4043" s="90" t="s">
        <v>1902</v>
      </c>
      <c r="F4043" s="90" t="s">
        <v>866</v>
      </c>
      <c r="G4043" s="137">
        <v>7</v>
      </c>
      <c r="H4043" s="94">
        <v>750</v>
      </c>
      <c r="I4043" s="87">
        <v>46119</v>
      </c>
      <c r="J4043" s="93">
        <v>0.61736111111111114</v>
      </c>
      <c r="K4043" s="94">
        <v>750</v>
      </c>
      <c r="L4043" s="72" t="str">
        <f t="shared" si="63"/>
        <v>Payé</v>
      </c>
      <c r="N4043" s="15"/>
    </row>
    <row r="4044" spans="1:14" s="14" customFormat="1" ht="18" x14ac:dyDescent="0.25">
      <c r="A4044" s="90" t="s">
        <v>866</v>
      </c>
      <c r="B4044" s="90">
        <v>10629</v>
      </c>
      <c r="C4044" s="88" t="s">
        <v>1855</v>
      </c>
      <c r="D4044" s="89" t="s">
        <v>17</v>
      </c>
      <c r="E4044" s="90" t="s">
        <v>1902</v>
      </c>
      <c r="F4044" s="90" t="s">
        <v>866</v>
      </c>
      <c r="G4044" s="137">
        <v>11</v>
      </c>
      <c r="H4044" s="94">
        <v>1090</v>
      </c>
      <c r="I4044" s="87">
        <v>46119</v>
      </c>
      <c r="J4044" s="93">
        <v>0.61736111111111114</v>
      </c>
      <c r="K4044" s="94">
        <v>1090</v>
      </c>
      <c r="L4044" s="72" t="str">
        <f t="shared" si="63"/>
        <v>Payé</v>
      </c>
      <c r="N4044" s="15"/>
    </row>
    <row r="4045" spans="1:14" s="14" customFormat="1" ht="18" x14ac:dyDescent="0.25">
      <c r="A4045" s="90" t="s">
        <v>866</v>
      </c>
      <c r="B4045" s="90">
        <v>10630</v>
      </c>
      <c r="C4045" s="88" t="s">
        <v>1856</v>
      </c>
      <c r="D4045" s="89" t="s">
        <v>17</v>
      </c>
      <c r="E4045" s="90" t="s">
        <v>1902</v>
      </c>
      <c r="F4045" s="90" t="s">
        <v>866</v>
      </c>
      <c r="G4045" s="137">
        <v>15</v>
      </c>
      <c r="H4045" s="94">
        <v>1708</v>
      </c>
      <c r="I4045" s="87">
        <v>46119</v>
      </c>
      <c r="J4045" s="93">
        <v>0.61736111111111114</v>
      </c>
      <c r="K4045" s="94">
        <v>1708</v>
      </c>
      <c r="L4045" s="72" t="str">
        <f t="shared" si="63"/>
        <v>Payé</v>
      </c>
      <c r="N4045" s="15"/>
    </row>
    <row r="4046" spans="1:14" s="14" customFormat="1" ht="18" x14ac:dyDescent="0.25">
      <c r="A4046" s="90" t="s">
        <v>866</v>
      </c>
      <c r="B4046" s="90">
        <v>10631</v>
      </c>
      <c r="C4046" s="88" t="s">
        <v>1857</v>
      </c>
      <c r="D4046" s="89" t="s">
        <v>17</v>
      </c>
      <c r="E4046" s="90" t="s">
        <v>1902</v>
      </c>
      <c r="F4046" s="90" t="s">
        <v>866</v>
      </c>
      <c r="G4046" s="137">
        <v>6</v>
      </c>
      <c r="H4046" s="94">
        <v>762</v>
      </c>
      <c r="I4046" s="87">
        <v>46119</v>
      </c>
      <c r="J4046" s="93">
        <v>0.61736111111111114</v>
      </c>
      <c r="K4046" s="94">
        <v>762</v>
      </c>
      <c r="L4046" s="72" t="str">
        <f t="shared" si="63"/>
        <v>Payé</v>
      </c>
      <c r="N4046" s="15"/>
    </row>
    <row r="4047" spans="1:14" s="14" customFormat="1" ht="18" x14ac:dyDescent="0.25">
      <c r="A4047" s="90" t="s">
        <v>866</v>
      </c>
      <c r="B4047" s="90">
        <v>10632</v>
      </c>
      <c r="C4047" s="88" t="s">
        <v>1858</v>
      </c>
      <c r="D4047" s="89" t="s">
        <v>17</v>
      </c>
      <c r="E4047" s="90" t="s">
        <v>1902</v>
      </c>
      <c r="F4047" s="90" t="s">
        <v>866</v>
      </c>
      <c r="G4047" s="137">
        <v>6</v>
      </c>
      <c r="H4047" s="94">
        <v>580</v>
      </c>
      <c r="I4047" s="87">
        <v>46119</v>
      </c>
      <c r="J4047" s="93">
        <v>0.61736111111111114</v>
      </c>
      <c r="K4047" s="94">
        <v>580</v>
      </c>
      <c r="L4047" s="72" t="str">
        <f t="shared" si="63"/>
        <v>Payé</v>
      </c>
      <c r="N4047" s="15"/>
    </row>
    <row r="4048" spans="1:14" s="14" customFormat="1" ht="18" x14ac:dyDescent="0.25">
      <c r="A4048" s="90" t="s">
        <v>866</v>
      </c>
      <c r="B4048" s="90">
        <v>10633</v>
      </c>
      <c r="C4048" s="88" t="s">
        <v>1859</v>
      </c>
      <c r="D4048" s="89" t="s">
        <v>17</v>
      </c>
      <c r="E4048" s="90" t="s">
        <v>1902</v>
      </c>
      <c r="F4048" s="90" t="s">
        <v>866</v>
      </c>
      <c r="G4048" s="137">
        <v>2</v>
      </c>
      <c r="H4048" s="94">
        <v>180</v>
      </c>
      <c r="I4048" s="87"/>
      <c r="J4048" s="93"/>
      <c r="K4048" s="92"/>
      <c r="L4048" s="72" t="str">
        <f t="shared" si="63"/>
        <v>Impayé</v>
      </c>
      <c r="N4048" s="15"/>
    </row>
    <row r="4049" spans="1:14" s="14" customFormat="1" ht="18" x14ac:dyDescent="0.25">
      <c r="A4049" s="90" t="s">
        <v>866</v>
      </c>
      <c r="B4049" s="90">
        <v>10635</v>
      </c>
      <c r="C4049" s="88" t="s">
        <v>1861</v>
      </c>
      <c r="D4049" s="89" t="s">
        <v>17</v>
      </c>
      <c r="E4049" s="90" t="s">
        <v>1800</v>
      </c>
      <c r="F4049" s="90" t="s">
        <v>866</v>
      </c>
      <c r="G4049" s="137">
        <v>11</v>
      </c>
      <c r="H4049" s="94">
        <v>990</v>
      </c>
      <c r="I4049" s="87">
        <v>46119</v>
      </c>
      <c r="J4049" s="93">
        <v>0.67638888888888893</v>
      </c>
      <c r="K4049" s="94">
        <v>990</v>
      </c>
      <c r="L4049" s="72" t="str">
        <f t="shared" si="63"/>
        <v>Payé</v>
      </c>
      <c r="N4049" s="15"/>
    </row>
    <row r="4050" spans="1:14" s="14" customFormat="1" ht="18" x14ac:dyDescent="0.25">
      <c r="A4050" s="90" t="s">
        <v>866</v>
      </c>
      <c r="B4050" s="90">
        <v>10636</v>
      </c>
      <c r="C4050" s="88" t="s">
        <v>1942</v>
      </c>
      <c r="D4050" s="89" t="s">
        <v>17</v>
      </c>
      <c r="E4050" s="90" t="s">
        <v>1664</v>
      </c>
      <c r="F4050" s="90" t="s">
        <v>866</v>
      </c>
      <c r="G4050" s="137">
        <v>1</v>
      </c>
      <c r="H4050" s="94">
        <v>87</v>
      </c>
      <c r="I4050" s="87">
        <v>46118</v>
      </c>
      <c r="J4050" s="93">
        <v>0.70347222222222217</v>
      </c>
      <c r="K4050" s="94">
        <v>87</v>
      </c>
      <c r="L4050" s="72" t="str">
        <f t="shared" si="63"/>
        <v>Payé</v>
      </c>
      <c r="N4050" s="15"/>
    </row>
    <row r="4051" spans="1:14" s="14" customFormat="1" ht="18" x14ac:dyDescent="0.25">
      <c r="A4051" s="90" t="s">
        <v>866</v>
      </c>
      <c r="B4051" s="90">
        <v>10640</v>
      </c>
      <c r="C4051" s="88" t="s">
        <v>1865</v>
      </c>
      <c r="D4051" s="89" t="s">
        <v>17</v>
      </c>
      <c r="E4051" s="90" t="s">
        <v>1902</v>
      </c>
      <c r="F4051" s="90" t="s">
        <v>866</v>
      </c>
      <c r="G4051" s="137">
        <v>3</v>
      </c>
      <c r="H4051" s="94">
        <v>330</v>
      </c>
      <c r="I4051" s="87">
        <v>46119</v>
      </c>
      <c r="J4051" s="93">
        <v>0.61736111111111114</v>
      </c>
      <c r="K4051" s="94">
        <v>330</v>
      </c>
      <c r="L4051" s="72" t="str">
        <f t="shared" si="63"/>
        <v>Payé</v>
      </c>
      <c r="N4051" s="15"/>
    </row>
    <row r="4052" spans="1:14" s="14" customFormat="1" ht="18" x14ac:dyDescent="0.25">
      <c r="A4052" s="90" t="s">
        <v>866</v>
      </c>
      <c r="B4052" s="90">
        <v>10651</v>
      </c>
      <c r="C4052" s="88" t="s">
        <v>1872</v>
      </c>
      <c r="D4052" s="89" t="s">
        <v>17</v>
      </c>
      <c r="E4052" s="90" t="s">
        <v>1902</v>
      </c>
      <c r="F4052" s="90" t="s">
        <v>866</v>
      </c>
      <c r="G4052" s="137">
        <v>4</v>
      </c>
      <c r="H4052" s="94">
        <v>360</v>
      </c>
      <c r="I4052" s="87">
        <v>46119</v>
      </c>
      <c r="J4052" s="93">
        <v>0.62916666666666665</v>
      </c>
      <c r="K4052" s="94">
        <v>360</v>
      </c>
      <c r="L4052" s="72" t="str">
        <f t="shared" si="63"/>
        <v>Payé</v>
      </c>
      <c r="N4052" s="15"/>
    </row>
    <row r="4053" spans="1:14" s="14" customFormat="1" ht="18" x14ac:dyDescent="0.25">
      <c r="A4053" s="90" t="s">
        <v>866</v>
      </c>
      <c r="B4053" s="90">
        <v>10655</v>
      </c>
      <c r="C4053" s="88" t="s">
        <v>1875</v>
      </c>
      <c r="D4053" s="89" t="s">
        <v>17</v>
      </c>
      <c r="E4053" s="90" t="s">
        <v>1907</v>
      </c>
      <c r="F4053" s="90" t="s">
        <v>866</v>
      </c>
      <c r="G4053" s="137">
        <v>4</v>
      </c>
      <c r="H4053" s="94">
        <v>360</v>
      </c>
      <c r="I4053" s="87">
        <v>46118</v>
      </c>
      <c r="J4053" s="93">
        <v>0.71111111111111114</v>
      </c>
      <c r="K4053" s="94">
        <v>360</v>
      </c>
      <c r="L4053" s="72" t="str">
        <f t="shared" si="63"/>
        <v>Payé</v>
      </c>
      <c r="N4053" s="15"/>
    </row>
    <row r="4054" spans="1:14" s="14" customFormat="1" ht="18" x14ac:dyDescent="0.25">
      <c r="A4054" s="90" t="s">
        <v>866</v>
      </c>
      <c r="B4054" s="90">
        <v>10658</v>
      </c>
      <c r="C4054" s="88" t="s">
        <v>1878</v>
      </c>
      <c r="D4054" s="89" t="s">
        <v>17</v>
      </c>
      <c r="E4054" s="90" t="s">
        <v>123</v>
      </c>
      <c r="F4054" s="90" t="s">
        <v>866</v>
      </c>
      <c r="G4054" s="137">
        <v>1</v>
      </c>
      <c r="H4054" s="94">
        <v>90</v>
      </c>
      <c r="I4054" s="87">
        <v>46121</v>
      </c>
      <c r="J4054" s="93">
        <v>0.67708333333333337</v>
      </c>
      <c r="K4054" s="94">
        <v>90</v>
      </c>
      <c r="L4054" s="72" t="str">
        <f t="shared" si="63"/>
        <v>Payé</v>
      </c>
      <c r="N4054" s="15"/>
    </row>
    <row r="4055" spans="1:14" s="14" customFormat="1" ht="18" x14ac:dyDescent="0.25">
      <c r="A4055" s="90" t="s">
        <v>866</v>
      </c>
      <c r="B4055" s="90">
        <v>10659</v>
      </c>
      <c r="C4055" s="88" t="s">
        <v>1879</v>
      </c>
      <c r="D4055" s="89" t="s">
        <v>17</v>
      </c>
      <c r="E4055" s="90" t="s">
        <v>649</v>
      </c>
      <c r="F4055" s="90" t="s">
        <v>866</v>
      </c>
      <c r="G4055" s="137">
        <v>11</v>
      </c>
      <c r="H4055" s="94">
        <v>990</v>
      </c>
      <c r="I4055" s="87">
        <v>46119</v>
      </c>
      <c r="J4055" s="93">
        <v>0.72291666666666676</v>
      </c>
      <c r="K4055" s="94">
        <v>990</v>
      </c>
      <c r="L4055" s="72" t="str">
        <f t="shared" si="63"/>
        <v>Payé</v>
      </c>
      <c r="N4055" s="15"/>
    </row>
    <row r="4056" spans="1:14" s="14" customFormat="1" ht="18" x14ac:dyDescent="0.25">
      <c r="A4056" s="90" t="s">
        <v>866</v>
      </c>
      <c r="B4056" s="90">
        <v>10660</v>
      </c>
      <c r="C4056" s="88" t="s">
        <v>1880</v>
      </c>
      <c r="D4056" s="89" t="s">
        <v>17</v>
      </c>
      <c r="E4056" s="90" t="s">
        <v>123</v>
      </c>
      <c r="F4056" s="90" t="s">
        <v>866</v>
      </c>
      <c r="G4056" s="137">
        <v>11</v>
      </c>
      <c r="H4056" s="94">
        <v>1003</v>
      </c>
      <c r="I4056" s="87">
        <v>46119</v>
      </c>
      <c r="J4056" s="93">
        <v>0.69236111111111109</v>
      </c>
      <c r="K4056" s="94">
        <v>1003</v>
      </c>
      <c r="L4056" s="72" t="str">
        <f t="shared" si="63"/>
        <v>Payé</v>
      </c>
      <c r="N4056" s="15"/>
    </row>
    <row r="4057" spans="1:14" s="14" customFormat="1" ht="18" x14ac:dyDescent="0.25">
      <c r="A4057" s="90" t="s">
        <v>866</v>
      </c>
      <c r="B4057" s="90">
        <v>10661</v>
      </c>
      <c r="C4057" s="88" t="s">
        <v>1881</v>
      </c>
      <c r="D4057" s="89" t="s">
        <v>17</v>
      </c>
      <c r="E4057" s="90" t="s">
        <v>1904</v>
      </c>
      <c r="F4057" s="90" t="s">
        <v>866</v>
      </c>
      <c r="G4057" s="137">
        <v>1</v>
      </c>
      <c r="H4057" s="94">
        <v>100</v>
      </c>
      <c r="I4057" s="87">
        <v>46119</v>
      </c>
      <c r="J4057" s="93">
        <v>0.73055555555555562</v>
      </c>
      <c r="K4057" s="94">
        <v>100</v>
      </c>
      <c r="L4057" s="72" t="str">
        <f t="shared" si="63"/>
        <v>Payé</v>
      </c>
      <c r="N4057" s="15"/>
    </row>
    <row r="4058" spans="1:14" s="14" customFormat="1" ht="18" x14ac:dyDescent="0.25">
      <c r="A4058" s="90" t="s">
        <v>866</v>
      </c>
      <c r="B4058" s="90">
        <v>10663</v>
      </c>
      <c r="C4058" s="88" t="s">
        <v>1883</v>
      </c>
      <c r="D4058" s="89" t="s">
        <v>17</v>
      </c>
      <c r="E4058" s="90" t="s">
        <v>1907</v>
      </c>
      <c r="F4058" s="90" t="s">
        <v>866</v>
      </c>
      <c r="G4058" s="137">
        <v>5</v>
      </c>
      <c r="H4058" s="94">
        <v>450</v>
      </c>
      <c r="I4058" s="87">
        <v>46120</v>
      </c>
      <c r="J4058" s="93">
        <v>0.58611111111111114</v>
      </c>
      <c r="K4058" s="94">
        <v>450</v>
      </c>
      <c r="L4058" s="72" t="str">
        <f t="shared" si="63"/>
        <v>Payé</v>
      </c>
      <c r="N4058" s="15"/>
    </row>
    <row r="4059" spans="1:14" s="14" customFormat="1" ht="18" x14ac:dyDescent="0.25">
      <c r="A4059" s="90" t="s">
        <v>866</v>
      </c>
      <c r="B4059" s="90">
        <v>10665</v>
      </c>
      <c r="C4059" s="88" t="s">
        <v>1885</v>
      </c>
      <c r="D4059" s="89" t="s">
        <v>17</v>
      </c>
      <c r="E4059" s="90" t="s">
        <v>753</v>
      </c>
      <c r="F4059" s="90" t="s">
        <v>866</v>
      </c>
      <c r="G4059" s="137">
        <v>7</v>
      </c>
      <c r="H4059" s="94">
        <v>630</v>
      </c>
      <c r="I4059" s="87">
        <v>46119</v>
      </c>
      <c r="J4059" s="93">
        <v>0.70833333333333337</v>
      </c>
      <c r="K4059" s="94">
        <v>630</v>
      </c>
      <c r="L4059" s="72" t="str">
        <f t="shared" si="63"/>
        <v>Payé</v>
      </c>
      <c r="N4059" s="15"/>
    </row>
    <row r="4060" spans="1:14" s="14" customFormat="1" ht="18" x14ac:dyDescent="0.25">
      <c r="A4060" s="90" t="s">
        <v>866</v>
      </c>
      <c r="B4060" s="90">
        <v>10666</v>
      </c>
      <c r="C4060" s="88" t="s">
        <v>1886</v>
      </c>
      <c r="D4060" s="89" t="s">
        <v>17</v>
      </c>
      <c r="E4060" s="90" t="s">
        <v>1907</v>
      </c>
      <c r="F4060" s="90" t="s">
        <v>866</v>
      </c>
      <c r="G4060" s="137">
        <v>4</v>
      </c>
      <c r="H4060" s="94">
        <v>360</v>
      </c>
      <c r="I4060" s="87">
        <v>46118</v>
      </c>
      <c r="J4060" s="93">
        <v>0.69861111111111107</v>
      </c>
      <c r="K4060" s="94">
        <v>360</v>
      </c>
      <c r="L4060" s="72" t="str">
        <f t="shared" si="63"/>
        <v>Payé</v>
      </c>
      <c r="N4060" s="15"/>
    </row>
    <row r="4061" spans="1:14" s="14" customFormat="1" ht="18" x14ac:dyDescent="0.25">
      <c r="A4061" s="90" t="s">
        <v>866</v>
      </c>
      <c r="B4061" s="90">
        <v>10667</v>
      </c>
      <c r="C4061" s="88" t="s">
        <v>1887</v>
      </c>
      <c r="D4061" s="89" t="s">
        <v>17</v>
      </c>
      <c r="E4061" s="90" t="s">
        <v>753</v>
      </c>
      <c r="F4061" s="90" t="s">
        <v>866</v>
      </c>
      <c r="G4061" s="137">
        <v>1</v>
      </c>
      <c r="H4061" s="94">
        <v>90</v>
      </c>
      <c r="I4061" s="87"/>
      <c r="J4061" s="93"/>
      <c r="K4061" s="92"/>
      <c r="L4061" s="72" t="str">
        <f t="shared" si="63"/>
        <v>Impayé</v>
      </c>
      <c r="N4061" s="15"/>
    </row>
    <row r="4062" spans="1:14" s="14" customFormat="1" ht="18" x14ac:dyDescent="0.25">
      <c r="A4062" s="90" t="s">
        <v>866</v>
      </c>
      <c r="B4062" s="90">
        <v>10669</v>
      </c>
      <c r="C4062" s="88" t="s">
        <v>1889</v>
      </c>
      <c r="D4062" s="89" t="s">
        <v>17</v>
      </c>
      <c r="E4062" s="90" t="s">
        <v>753</v>
      </c>
      <c r="F4062" s="90" t="s">
        <v>866</v>
      </c>
      <c r="G4062" s="137">
        <v>7</v>
      </c>
      <c r="H4062" s="94">
        <v>640</v>
      </c>
      <c r="I4062" s="87">
        <v>46119</v>
      </c>
      <c r="J4062" s="93">
        <v>0.70833333333333337</v>
      </c>
      <c r="K4062" s="94">
        <v>640</v>
      </c>
      <c r="L4062" s="72" t="str">
        <f t="shared" ref="L4062:L4125" si="64">IF(ISBLANK(H4062),"",IF(H4062=K4062,"Payé","Impayé"))</f>
        <v>Payé</v>
      </c>
      <c r="N4062" s="15"/>
    </row>
    <row r="4063" spans="1:14" s="14" customFormat="1" ht="18" x14ac:dyDescent="0.25">
      <c r="A4063" s="90" t="s">
        <v>866</v>
      </c>
      <c r="B4063" s="90">
        <v>10700</v>
      </c>
      <c r="C4063" s="88" t="s">
        <v>1900</v>
      </c>
      <c r="D4063" s="89" t="s">
        <v>17</v>
      </c>
      <c r="E4063" s="90" t="s">
        <v>1800</v>
      </c>
      <c r="F4063" s="90" t="s">
        <v>866</v>
      </c>
      <c r="G4063" s="137">
        <v>7</v>
      </c>
      <c r="H4063" s="94">
        <v>630</v>
      </c>
      <c r="I4063" s="87">
        <v>46119</v>
      </c>
      <c r="J4063" s="93">
        <v>0.67083333333333339</v>
      </c>
      <c r="K4063" s="94">
        <v>630</v>
      </c>
      <c r="L4063" s="72" t="str">
        <f t="shared" si="64"/>
        <v>Payé</v>
      </c>
      <c r="N4063" s="15"/>
    </row>
    <row r="4064" spans="1:14" s="14" customFormat="1" ht="18" x14ac:dyDescent="0.25">
      <c r="A4064" s="90" t="s">
        <v>866</v>
      </c>
      <c r="B4064" s="90">
        <v>10701</v>
      </c>
      <c r="C4064" s="88" t="s">
        <v>1948</v>
      </c>
      <c r="D4064" s="89" t="s">
        <v>17</v>
      </c>
      <c r="E4064" s="90" t="s">
        <v>1902</v>
      </c>
      <c r="F4064" s="90" t="s">
        <v>866</v>
      </c>
      <c r="G4064" s="137">
        <v>13</v>
      </c>
      <c r="H4064" s="94">
        <v>1743</v>
      </c>
      <c r="I4064" s="87">
        <v>46119</v>
      </c>
      <c r="J4064" s="93">
        <v>0.61736111111111114</v>
      </c>
      <c r="K4064" s="94">
        <v>1743</v>
      </c>
      <c r="L4064" s="72" t="str">
        <f t="shared" si="64"/>
        <v>Payé</v>
      </c>
      <c r="N4064" s="15"/>
    </row>
    <row r="4065" spans="1:14" s="14" customFormat="1" ht="18" x14ac:dyDescent="0.25">
      <c r="A4065" s="90" t="s">
        <v>866</v>
      </c>
      <c r="B4065" s="90">
        <v>10702</v>
      </c>
      <c r="C4065" s="88" t="s">
        <v>1949</v>
      </c>
      <c r="D4065" s="89" t="s">
        <v>17</v>
      </c>
      <c r="E4065" s="90" t="s">
        <v>254</v>
      </c>
      <c r="F4065" s="90" t="s">
        <v>866</v>
      </c>
      <c r="G4065" s="137">
        <v>3.5</v>
      </c>
      <c r="H4065" s="94">
        <v>345</v>
      </c>
      <c r="I4065" s="87">
        <v>46119</v>
      </c>
      <c r="J4065" s="93">
        <v>0.7416666666666667</v>
      </c>
      <c r="K4065" s="94">
        <v>345</v>
      </c>
      <c r="L4065" s="72" t="str">
        <f t="shared" si="64"/>
        <v>Payé</v>
      </c>
      <c r="N4065" s="15"/>
    </row>
    <row r="4066" spans="1:14" s="14" customFormat="1" ht="18" x14ac:dyDescent="0.25">
      <c r="A4066" s="90" t="s">
        <v>866</v>
      </c>
      <c r="B4066" s="90">
        <v>10705</v>
      </c>
      <c r="C4066" s="88" t="s">
        <v>1959</v>
      </c>
      <c r="D4066" s="89" t="s">
        <v>17</v>
      </c>
      <c r="E4066" s="90" t="s">
        <v>1664</v>
      </c>
      <c r="F4066" s="90" t="s">
        <v>866</v>
      </c>
      <c r="G4066" s="137">
        <v>1</v>
      </c>
      <c r="H4066" s="94">
        <v>87</v>
      </c>
      <c r="I4066" s="87">
        <v>46118</v>
      </c>
      <c r="J4066" s="93">
        <v>0.70347222222222217</v>
      </c>
      <c r="K4066" s="94">
        <v>87</v>
      </c>
      <c r="L4066" s="72" t="str">
        <f t="shared" si="64"/>
        <v>Payé</v>
      </c>
      <c r="N4066" s="15"/>
    </row>
    <row r="4067" spans="1:14" s="14" customFormat="1" ht="18" x14ac:dyDescent="0.25">
      <c r="A4067" s="90" t="s">
        <v>866</v>
      </c>
      <c r="B4067" s="90">
        <v>10712</v>
      </c>
      <c r="C4067" s="88" t="s">
        <v>1951</v>
      </c>
      <c r="D4067" s="89" t="s">
        <v>17</v>
      </c>
      <c r="E4067" s="90" t="s">
        <v>123</v>
      </c>
      <c r="F4067" s="90" t="s">
        <v>866</v>
      </c>
      <c r="G4067" s="137">
        <v>1</v>
      </c>
      <c r="H4067" s="94">
        <v>90</v>
      </c>
      <c r="I4067" s="91"/>
      <c r="J4067" s="165"/>
      <c r="K4067" s="92"/>
      <c r="L4067" s="72" t="str">
        <f t="shared" si="64"/>
        <v>Impayé</v>
      </c>
      <c r="N4067" s="15"/>
    </row>
    <row r="4068" spans="1:14" s="14" customFormat="1" ht="18" x14ac:dyDescent="0.25">
      <c r="A4068" s="90" t="s">
        <v>866</v>
      </c>
      <c r="B4068" s="90">
        <v>10713</v>
      </c>
      <c r="C4068" s="88" t="s">
        <v>1952</v>
      </c>
      <c r="D4068" s="89" t="s">
        <v>17</v>
      </c>
      <c r="E4068" s="90" t="s">
        <v>254</v>
      </c>
      <c r="F4068" s="90" t="s">
        <v>866</v>
      </c>
      <c r="G4068" s="137">
        <v>4</v>
      </c>
      <c r="H4068" s="94">
        <v>360</v>
      </c>
      <c r="I4068" s="87">
        <v>46125</v>
      </c>
      <c r="J4068" s="93">
        <v>0.66180555555555554</v>
      </c>
      <c r="K4068" s="94">
        <v>360</v>
      </c>
      <c r="L4068" s="72" t="str">
        <f t="shared" si="64"/>
        <v>Payé</v>
      </c>
      <c r="N4068" s="15"/>
    </row>
    <row r="4069" spans="1:14" s="14" customFormat="1" ht="18" x14ac:dyDescent="0.25">
      <c r="A4069" s="90" t="s">
        <v>866</v>
      </c>
      <c r="B4069" s="90">
        <v>10715</v>
      </c>
      <c r="C4069" s="88" t="s">
        <v>1987</v>
      </c>
      <c r="D4069" s="89" t="s">
        <v>17</v>
      </c>
      <c r="E4069" s="90" t="s">
        <v>1664</v>
      </c>
      <c r="F4069" s="90" t="s">
        <v>866</v>
      </c>
      <c r="G4069" s="137">
        <v>10</v>
      </c>
      <c r="H4069" s="94">
        <v>940</v>
      </c>
      <c r="I4069" s="87">
        <v>46121</v>
      </c>
      <c r="J4069" s="93">
        <v>0.5854166666666667</v>
      </c>
      <c r="K4069" s="94">
        <v>940</v>
      </c>
      <c r="L4069" s="72" t="str">
        <f t="shared" si="64"/>
        <v>Payé</v>
      </c>
      <c r="N4069" s="15"/>
    </row>
    <row r="4070" spans="1:14" s="14" customFormat="1" ht="18" x14ac:dyDescent="0.25">
      <c r="A4070" s="90" t="s">
        <v>866</v>
      </c>
      <c r="B4070" s="90">
        <v>10716</v>
      </c>
      <c r="C4070" s="88" t="s">
        <v>1988</v>
      </c>
      <c r="D4070" s="89" t="s">
        <v>17</v>
      </c>
      <c r="E4070" s="90" t="s">
        <v>1664</v>
      </c>
      <c r="F4070" s="90" t="s">
        <v>866</v>
      </c>
      <c r="G4070" s="137">
        <v>1</v>
      </c>
      <c r="H4070" s="94">
        <v>90</v>
      </c>
      <c r="I4070" s="87">
        <v>46121</v>
      </c>
      <c r="J4070" s="93">
        <v>0.63263888888888886</v>
      </c>
      <c r="K4070" s="94">
        <v>90</v>
      </c>
      <c r="L4070" s="72" t="str">
        <f t="shared" si="64"/>
        <v>Payé</v>
      </c>
      <c r="N4070" s="15"/>
    </row>
    <row r="4071" spans="1:14" s="14" customFormat="1" ht="18" x14ac:dyDescent="0.25">
      <c r="A4071" s="90" t="s">
        <v>866</v>
      </c>
      <c r="B4071" s="90">
        <v>10718</v>
      </c>
      <c r="C4071" s="88" t="s">
        <v>1989</v>
      </c>
      <c r="D4071" s="89" t="s">
        <v>17</v>
      </c>
      <c r="E4071" s="90" t="s">
        <v>649</v>
      </c>
      <c r="F4071" s="90" t="s">
        <v>866</v>
      </c>
      <c r="G4071" s="137">
        <v>9</v>
      </c>
      <c r="H4071" s="94">
        <v>810</v>
      </c>
      <c r="I4071" s="87">
        <v>46119</v>
      </c>
      <c r="J4071" s="93">
        <v>0.72291666666666676</v>
      </c>
      <c r="K4071" s="94">
        <v>810</v>
      </c>
      <c r="L4071" s="72" t="str">
        <f t="shared" si="64"/>
        <v>Payé</v>
      </c>
      <c r="N4071" s="15"/>
    </row>
    <row r="4072" spans="1:14" s="14" customFormat="1" ht="18" x14ac:dyDescent="0.25">
      <c r="A4072" s="90" t="s">
        <v>866</v>
      </c>
      <c r="B4072" s="90">
        <v>10719</v>
      </c>
      <c r="C4072" s="88" t="s">
        <v>1990</v>
      </c>
      <c r="D4072" s="89" t="s">
        <v>17</v>
      </c>
      <c r="E4072" s="90" t="s">
        <v>123</v>
      </c>
      <c r="F4072" s="90" t="s">
        <v>866</v>
      </c>
      <c r="G4072" s="137">
        <v>14</v>
      </c>
      <c r="H4072" s="94">
        <v>1260</v>
      </c>
      <c r="I4072" s="91"/>
      <c r="J4072" s="165"/>
      <c r="K4072" s="92"/>
      <c r="L4072" s="72" t="str">
        <f t="shared" si="64"/>
        <v>Impayé</v>
      </c>
      <c r="N4072" s="15"/>
    </row>
    <row r="4073" spans="1:14" s="14" customFormat="1" ht="18" x14ac:dyDescent="0.25">
      <c r="A4073" s="90" t="s">
        <v>866</v>
      </c>
      <c r="B4073" s="90">
        <v>10720</v>
      </c>
      <c r="C4073" s="88" t="s">
        <v>1991</v>
      </c>
      <c r="D4073" s="89" t="s">
        <v>17</v>
      </c>
      <c r="E4073" s="90" t="s">
        <v>673</v>
      </c>
      <c r="F4073" s="90" t="s">
        <v>866</v>
      </c>
      <c r="G4073" s="137">
        <v>1</v>
      </c>
      <c r="H4073" s="94">
        <v>90</v>
      </c>
      <c r="I4073" s="87">
        <v>46119</v>
      </c>
      <c r="J4073" s="93">
        <v>0.66180555555555554</v>
      </c>
      <c r="K4073" s="94">
        <v>90</v>
      </c>
      <c r="L4073" s="72" t="str">
        <f t="shared" si="64"/>
        <v>Payé</v>
      </c>
      <c r="N4073" s="15"/>
    </row>
    <row r="4074" spans="1:14" s="14" customFormat="1" ht="18" x14ac:dyDescent="0.25">
      <c r="A4074" s="90" t="s">
        <v>866</v>
      </c>
      <c r="B4074" s="90">
        <v>10721</v>
      </c>
      <c r="C4074" s="88" t="s">
        <v>1992</v>
      </c>
      <c r="D4074" s="89" t="s">
        <v>17</v>
      </c>
      <c r="E4074" s="90" t="s">
        <v>673</v>
      </c>
      <c r="F4074" s="90" t="s">
        <v>866</v>
      </c>
      <c r="G4074" s="137">
        <v>1</v>
      </c>
      <c r="H4074" s="94">
        <v>90</v>
      </c>
      <c r="I4074" s="87">
        <v>46119</v>
      </c>
      <c r="J4074" s="93">
        <v>0.66180555555555554</v>
      </c>
      <c r="K4074" s="94">
        <v>90</v>
      </c>
      <c r="L4074" s="72" t="str">
        <f t="shared" si="64"/>
        <v>Payé</v>
      </c>
      <c r="N4074" s="15"/>
    </row>
    <row r="4075" spans="1:14" s="14" customFormat="1" ht="18" x14ac:dyDescent="0.25">
      <c r="A4075" s="90" t="s">
        <v>866</v>
      </c>
      <c r="B4075" s="90">
        <v>10722</v>
      </c>
      <c r="C4075" s="88" t="s">
        <v>1993</v>
      </c>
      <c r="D4075" s="89" t="s">
        <v>17</v>
      </c>
      <c r="E4075" s="90" t="s">
        <v>673</v>
      </c>
      <c r="F4075" s="90" t="s">
        <v>866</v>
      </c>
      <c r="G4075" s="137">
        <v>2</v>
      </c>
      <c r="H4075" s="94">
        <v>180</v>
      </c>
      <c r="I4075" s="87">
        <v>46119</v>
      </c>
      <c r="J4075" s="93">
        <v>0.66180555555555554</v>
      </c>
      <c r="K4075" s="94">
        <v>180</v>
      </c>
      <c r="L4075" s="72" t="str">
        <f t="shared" si="64"/>
        <v>Payé</v>
      </c>
      <c r="N4075" s="15"/>
    </row>
    <row r="4076" spans="1:14" s="14" customFormat="1" ht="18" x14ac:dyDescent="0.25">
      <c r="A4076" s="90" t="s">
        <v>866</v>
      </c>
      <c r="B4076" s="90">
        <v>10723</v>
      </c>
      <c r="C4076" s="88" t="s">
        <v>1994</v>
      </c>
      <c r="D4076" s="89" t="s">
        <v>17</v>
      </c>
      <c r="E4076" s="90" t="s">
        <v>613</v>
      </c>
      <c r="F4076" s="90" t="s">
        <v>866</v>
      </c>
      <c r="G4076" s="137">
        <v>8</v>
      </c>
      <c r="H4076" s="94">
        <v>800</v>
      </c>
      <c r="I4076" s="87">
        <v>46118</v>
      </c>
      <c r="J4076" s="93">
        <v>0.70763888888888893</v>
      </c>
      <c r="K4076" s="94">
        <v>800</v>
      </c>
      <c r="L4076" s="72" t="str">
        <f t="shared" si="64"/>
        <v>Payé</v>
      </c>
      <c r="N4076" s="15"/>
    </row>
    <row r="4077" spans="1:14" s="14" customFormat="1" ht="18" x14ac:dyDescent="0.25">
      <c r="A4077" s="90" t="s">
        <v>866</v>
      </c>
      <c r="B4077" s="90">
        <v>10724</v>
      </c>
      <c r="C4077" s="88" t="s">
        <v>1995</v>
      </c>
      <c r="D4077" s="89" t="s">
        <v>17</v>
      </c>
      <c r="E4077" s="90" t="s">
        <v>1664</v>
      </c>
      <c r="F4077" s="90" t="s">
        <v>866</v>
      </c>
      <c r="G4077" s="137">
        <v>3</v>
      </c>
      <c r="H4077" s="94">
        <v>280</v>
      </c>
      <c r="I4077" s="87"/>
      <c r="J4077" s="93"/>
      <c r="K4077" s="92"/>
      <c r="L4077" s="72" t="str">
        <f t="shared" si="64"/>
        <v>Impayé</v>
      </c>
      <c r="N4077" s="15"/>
    </row>
    <row r="4078" spans="1:14" s="14" customFormat="1" ht="18" x14ac:dyDescent="0.25">
      <c r="A4078" s="90" t="s">
        <v>866</v>
      </c>
      <c r="B4078" s="90">
        <v>10725</v>
      </c>
      <c r="C4078" s="88" t="s">
        <v>1996</v>
      </c>
      <c r="D4078" s="89" t="s">
        <v>17</v>
      </c>
      <c r="E4078" s="90" t="s">
        <v>649</v>
      </c>
      <c r="F4078" s="90" t="s">
        <v>866</v>
      </c>
      <c r="G4078" s="137">
        <v>7</v>
      </c>
      <c r="H4078" s="94">
        <v>640</v>
      </c>
      <c r="I4078" s="87">
        <v>46119</v>
      </c>
      <c r="J4078" s="93">
        <v>0.72291666666666676</v>
      </c>
      <c r="K4078" s="94">
        <v>640</v>
      </c>
      <c r="L4078" s="72" t="str">
        <f t="shared" si="64"/>
        <v>Payé</v>
      </c>
      <c r="N4078" s="15"/>
    </row>
    <row r="4079" spans="1:14" s="14" customFormat="1" ht="18" x14ac:dyDescent="0.25">
      <c r="A4079" s="90" t="s">
        <v>866</v>
      </c>
      <c r="B4079" s="90">
        <v>10726</v>
      </c>
      <c r="C4079" s="88" t="s">
        <v>1997</v>
      </c>
      <c r="D4079" s="89" t="s">
        <v>17</v>
      </c>
      <c r="E4079" s="90" t="s">
        <v>254</v>
      </c>
      <c r="F4079" s="90" t="s">
        <v>866</v>
      </c>
      <c r="G4079" s="137">
        <v>5</v>
      </c>
      <c r="H4079" s="94">
        <v>460</v>
      </c>
      <c r="I4079" s="87">
        <v>46119</v>
      </c>
      <c r="J4079" s="93">
        <v>0.7416666666666667</v>
      </c>
      <c r="K4079" s="94">
        <v>460</v>
      </c>
      <c r="L4079" s="72" t="str">
        <f t="shared" si="64"/>
        <v>Payé</v>
      </c>
      <c r="N4079" s="15"/>
    </row>
    <row r="4080" spans="1:14" s="14" customFormat="1" ht="18" x14ac:dyDescent="0.25">
      <c r="A4080" s="90" t="s">
        <v>866</v>
      </c>
      <c r="B4080" s="90">
        <v>10727</v>
      </c>
      <c r="C4080" s="88" t="s">
        <v>1998</v>
      </c>
      <c r="D4080" s="89" t="s">
        <v>17</v>
      </c>
      <c r="E4080" s="90" t="s">
        <v>753</v>
      </c>
      <c r="F4080" s="90" t="s">
        <v>866</v>
      </c>
      <c r="G4080" s="137">
        <v>6</v>
      </c>
      <c r="H4080" s="94">
        <v>540</v>
      </c>
      <c r="I4080" s="87">
        <v>46119</v>
      </c>
      <c r="J4080" s="93">
        <v>0.70833333333333337</v>
      </c>
      <c r="K4080" s="94">
        <v>540</v>
      </c>
      <c r="L4080" s="72" t="str">
        <f t="shared" si="64"/>
        <v>Payé</v>
      </c>
      <c r="N4080" s="15"/>
    </row>
    <row r="4081" spans="1:14" s="14" customFormat="1" ht="18" x14ac:dyDescent="0.25">
      <c r="A4081" s="90" t="s">
        <v>866</v>
      </c>
      <c r="B4081" s="90">
        <v>10751</v>
      </c>
      <c r="C4081" s="88" t="s">
        <v>1999</v>
      </c>
      <c r="D4081" s="89" t="s">
        <v>17</v>
      </c>
      <c r="E4081" s="90" t="s">
        <v>753</v>
      </c>
      <c r="F4081" s="90" t="s">
        <v>866</v>
      </c>
      <c r="G4081" s="137">
        <v>5</v>
      </c>
      <c r="H4081" s="94">
        <v>450</v>
      </c>
      <c r="I4081" s="87">
        <v>46119</v>
      </c>
      <c r="J4081" s="93">
        <v>0.70833333333333337</v>
      </c>
      <c r="K4081" s="94">
        <v>450</v>
      </c>
      <c r="L4081" s="72" t="str">
        <f t="shared" si="64"/>
        <v>Payé</v>
      </c>
      <c r="N4081" s="15"/>
    </row>
    <row r="4082" spans="1:14" s="14" customFormat="1" ht="18" x14ac:dyDescent="0.25">
      <c r="A4082" s="90" t="s">
        <v>866</v>
      </c>
      <c r="B4082" s="90">
        <v>10752</v>
      </c>
      <c r="C4082" s="88" t="s">
        <v>2000</v>
      </c>
      <c r="D4082" s="89" t="s">
        <v>17</v>
      </c>
      <c r="E4082" s="90" t="s">
        <v>254</v>
      </c>
      <c r="F4082" s="90" t="s">
        <v>866</v>
      </c>
      <c r="G4082" s="137">
        <v>1</v>
      </c>
      <c r="H4082" s="94">
        <v>90</v>
      </c>
      <c r="I4082" s="87">
        <v>46122</v>
      </c>
      <c r="J4082" s="93">
        <v>0.67986111111111114</v>
      </c>
      <c r="K4082" s="94">
        <v>90</v>
      </c>
      <c r="L4082" s="72" t="str">
        <f t="shared" si="64"/>
        <v>Payé</v>
      </c>
      <c r="N4082" s="15"/>
    </row>
    <row r="4083" spans="1:14" s="14" customFormat="1" ht="18" x14ac:dyDescent="0.25">
      <c r="A4083" s="90" t="s">
        <v>866</v>
      </c>
      <c r="B4083" s="90">
        <v>10753</v>
      </c>
      <c r="C4083" s="88" t="s">
        <v>2001</v>
      </c>
      <c r="D4083" s="89" t="s">
        <v>17</v>
      </c>
      <c r="E4083" s="90" t="s">
        <v>254</v>
      </c>
      <c r="F4083" s="90" t="s">
        <v>866</v>
      </c>
      <c r="G4083" s="137">
        <v>1</v>
      </c>
      <c r="H4083" s="94">
        <v>112</v>
      </c>
      <c r="I4083" s="87">
        <v>46119</v>
      </c>
      <c r="J4083" s="93">
        <v>0.74305555555555547</v>
      </c>
      <c r="K4083" s="94">
        <v>112</v>
      </c>
      <c r="L4083" s="72" t="str">
        <f t="shared" si="64"/>
        <v>Payé</v>
      </c>
      <c r="N4083" s="15"/>
    </row>
    <row r="4084" spans="1:14" s="14" customFormat="1" ht="18" x14ac:dyDescent="0.25">
      <c r="A4084" s="90" t="s">
        <v>866</v>
      </c>
      <c r="B4084" s="90">
        <v>10754</v>
      </c>
      <c r="C4084" s="88" t="s">
        <v>2002</v>
      </c>
      <c r="D4084" s="89" t="s">
        <v>17</v>
      </c>
      <c r="E4084" s="90" t="s">
        <v>2003</v>
      </c>
      <c r="F4084" s="90" t="s">
        <v>866</v>
      </c>
      <c r="G4084" s="137">
        <v>1</v>
      </c>
      <c r="H4084" s="94">
        <v>90</v>
      </c>
      <c r="I4084" s="87">
        <v>46119</v>
      </c>
      <c r="J4084" s="93">
        <v>0.62569444444444444</v>
      </c>
      <c r="K4084" s="94">
        <v>90</v>
      </c>
      <c r="L4084" s="72" t="str">
        <f t="shared" si="64"/>
        <v>Payé</v>
      </c>
      <c r="N4084" s="15"/>
    </row>
    <row r="4085" spans="1:14" s="14" customFormat="1" ht="18" x14ac:dyDescent="0.25">
      <c r="A4085" s="90" t="s">
        <v>866</v>
      </c>
      <c r="B4085" s="90">
        <v>30417</v>
      </c>
      <c r="C4085" s="88" t="s">
        <v>1583</v>
      </c>
      <c r="D4085" s="89" t="s">
        <v>17</v>
      </c>
      <c r="E4085" s="90" t="s">
        <v>649</v>
      </c>
      <c r="F4085" s="90" t="s">
        <v>866</v>
      </c>
      <c r="G4085" s="137">
        <v>2</v>
      </c>
      <c r="H4085" s="94">
        <v>180</v>
      </c>
      <c r="I4085" s="87"/>
      <c r="J4085" s="93"/>
      <c r="K4085" s="92"/>
      <c r="L4085" s="72" t="str">
        <f t="shared" si="64"/>
        <v>Impayé</v>
      </c>
      <c r="N4085" s="15"/>
    </row>
    <row r="4086" spans="1:14" s="14" customFormat="1" ht="18" x14ac:dyDescent="0.25">
      <c r="A4086" s="90" t="s">
        <v>866</v>
      </c>
      <c r="B4086" s="90">
        <v>10705</v>
      </c>
      <c r="C4086" s="88" t="s">
        <v>1959</v>
      </c>
      <c r="D4086" s="89" t="s">
        <v>17</v>
      </c>
      <c r="E4086" s="90" t="s">
        <v>2004</v>
      </c>
      <c r="F4086" s="90" t="s">
        <v>866</v>
      </c>
      <c r="G4086" s="90">
        <v>15</v>
      </c>
      <c r="H4086" s="90">
        <v>1504</v>
      </c>
      <c r="I4086" s="87">
        <v>46118</v>
      </c>
      <c r="J4086" s="93">
        <v>0.7055555555555556</v>
      </c>
      <c r="K4086" s="90">
        <v>1504</v>
      </c>
      <c r="L4086" s="72" t="str">
        <f t="shared" si="64"/>
        <v>Payé</v>
      </c>
      <c r="N4086" s="15"/>
    </row>
    <row r="4087" spans="1:14" s="14" customFormat="1" ht="18" x14ac:dyDescent="0.25">
      <c r="A4087" s="90" t="s">
        <v>866</v>
      </c>
      <c r="B4087" s="90">
        <v>10624</v>
      </c>
      <c r="C4087" s="88" t="s">
        <v>1850</v>
      </c>
      <c r="D4087" s="89" t="s">
        <v>17</v>
      </c>
      <c r="E4087" s="90" t="s">
        <v>2004</v>
      </c>
      <c r="F4087" s="90" t="s">
        <v>866</v>
      </c>
      <c r="G4087" s="90">
        <v>1</v>
      </c>
      <c r="H4087" s="90">
        <v>90</v>
      </c>
      <c r="I4087" s="87"/>
      <c r="J4087" s="93"/>
      <c r="K4087" s="92"/>
      <c r="L4087" s="72" t="str">
        <f t="shared" si="64"/>
        <v>Impayé</v>
      </c>
      <c r="N4087" s="15"/>
    </row>
    <row r="4088" spans="1:14" s="14" customFormat="1" ht="18" x14ac:dyDescent="0.25">
      <c r="A4088" s="90" t="s">
        <v>866</v>
      </c>
      <c r="B4088" s="90">
        <v>3246</v>
      </c>
      <c r="C4088" s="88" t="s">
        <v>555</v>
      </c>
      <c r="D4088" s="89" t="s">
        <v>17</v>
      </c>
      <c r="E4088" s="90" t="s">
        <v>2004</v>
      </c>
      <c r="F4088" s="90" t="s">
        <v>866</v>
      </c>
      <c r="G4088" s="90">
        <v>15</v>
      </c>
      <c r="H4088" s="90">
        <v>1370</v>
      </c>
      <c r="I4088" s="87">
        <v>46119</v>
      </c>
      <c r="J4088" s="93">
        <v>0.68888888888888899</v>
      </c>
      <c r="K4088" s="90">
        <v>1370</v>
      </c>
      <c r="L4088" s="72" t="str">
        <f t="shared" si="64"/>
        <v>Payé</v>
      </c>
      <c r="N4088" s="15"/>
    </row>
    <row r="4089" spans="1:14" s="14" customFormat="1" ht="18" x14ac:dyDescent="0.25">
      <c r="A4089" s="90" t="s">
        <v>866</v>
      </c>
      <c r="B4089" s="90">
        <v>10627</v>
      </c>
      <c r="C4089" s="88" t="s">
        <v>1853</v>
      </c>
      <c r="D4089" s="89" t="s">
        <v>17</v>
      </c>
      <c r="E4089" s="90" t="s">
        <v>2004</v>
      </c>
      <c r="F4089" s="90" t="s">
        <v>866</v>
      </c>
      <c r="G4089" s="90">
        <v>13</v>
      </c>
      <c r="H4089" s="90">
        <v>1519</v>
      </c>
      <c r="I4089" s="87">
        <v>46119</v>
      </c>
      <c r="J4089" s="93">
        <v>0.61875000000000002</v>
      </c>
      <c r="K4089" s="90">
        <v>1519</v>
      </c>
      <c r="L4089" s="72" t="str">
        <f t="shared" si="64"/>
        <v>Payé</v>
      </c>
      <c r="N4089" s="15"/>
    </row>
    <row r="4090" spans="1:14" s="14" customFormat="1" ht="18" x14ac:dyDescent="0.25">
      <c r="A4090" s="90" t="s">
        <v>866</v>
      </c>
      <c r="B4090" s="90"/>
      <c r="C4090" s="88" t="s">
        <v>585</v>
      </c>
      <c r="D4090" s="89" t="s">
        <v>910</v>
      </c>
      <c r="E4090" s="90" t="s">
        <v>123</v>
      </c>
      <c r="F4090" s="90" t="s">
        <v>866</v>
      </c>
      <c r="G4090" s="95">
        <v>257</v>
      </c>
      <c r="H4090" s="92">
        <v>7710</v>
      </c>
      <c r="I4090" s="87">
        <v>46123</v>
      </c>
      <c r="J4090" s="93">
        <v>0.66527777777777775</v>
      </c>
      <c r="K4090" s="92">
        <v>7710</v>
      </c>
      <c r="L4090" s="72" t="str">
        <f t="shared" si="64"/>
        <v>Payé</v>
      </c>
      <c r="N4090" s="15"/>
    </row>
    <row r="4091" spans="1:14" s="14" customFormat="1" ht="18" x14ac:dyDescent="0.25">
      <c r="A4091" s="90" t="s">
        <v>866</v>
      </c>
      <c r="B4091" s="90"/>
      <c r="C4091" s="88" t="s">
        <v>406</v>
      </c>
      <c r="D4091" s="89" t="s">
        <v>910</v>
      </c>
      <c r="E4091" s="90" t="s">
        <v>1191</v>
      </c>
      <c r="F4091" s="90" t="s">
        <v>866</v>
      </c>
      <c r="G4091" s="95">
        <v>101</v>
      </c>
      <c r="H4091" s="92">
        <v>3030</v>
      </c>
      <c r="I4091" s="87">
        <v>46123</v>
      </c>
      <c r="J4091" s="93">
        <v>0.41111111111111115</v>
      </c>
      <c r="K4091" s="92">
        <v>3030</v>
      </c>
      <c r="L4091" s="72" t="str">
        <f t="shared" si="64"/>
        <v>Payé</v>
      </c>
      <c r="N4091" s="15"/>
    </row>
    <row r="4092" spans="1:14" s="14" customFormat="1" ht="18" x14ac:dyDescent="0.25">
      <c r="A4092" s="90" t="s">
        <v>866</v>
      </c>
      <c r="B4092" s="90"/>
      <c r="C4092" s="88" t="s">
        <v>1346</v>
      </c>
      <c r="D4092" s="89" t="s">
        <v>910</v>
      </c>
      <c r="E4092" s="90" t="s">
        <v>649</v>
      </c>
      <c r="F4092" s="90" t="s">
        <v>866</v>
      </c>
      <c r="G4092" s="95">
        <v>126</v>
      </c>
      <c r="H4092" s="92">
        <v>3780</v>
      </c>
      <c r="I4092" s="87">
        <v>46122</v>
      </c>
      <c r="J4092" s="93">
        <v>0.72013888888888899</v>
      </c>
      <c r="K4092" s="92">
        <v>3780</v>
      </c>
      <c r="L4092" s="72" t="str">
        <f t="shared" si="64"/>
        <v>Payé</v>
      </c>
      <c r="N4092" s="15"/>
    </row>
    <row r="4093" spans="1:14" s="14" customFormat="1" ht="18" x14ac:dyDescent="0.25">
      <c r="A4093" s="90" t="s">
        <v>866</v>
      </c>
      <c r="B4093" s="90"/>
      <c r="C4093" s="88" t="s">
        <v>630</v>
      </c>
      <c r="D4093" s="89" t="s">
        <v>910</v>
      </c>
      <c r="E4093" s="90" t="s">
        <v>1047</v>
      </c>
      <c r="F4093" s="90" t="s">
        <v>866</v>
      </c>
      <c r="G4093" s="95">
        <v>228</v>
      </c>
      <c r="H4093" s="92">
        <v>6840</v>
      </c>
      <c r="I4093" s="87">
        <v>46122</v>
      </c>
      <c r="J4093" s="93">
        <v>0.68402777777777779</v>
      </c>
      <c r="K4093" s="92">
        <v>6840</v>
      </c>
      <c r="L4093" s="72" t="str">
        <f t="shared" si="64"/>
        <v>Payé</v>
      </c>
      <c r="N4093" s="15"/>
    </row>
    <row r="4094" spans="1:14" s="14" customFormat="1" ht="18" x14ac:dyDescent="0.25">
      <c r="A4094" s="90" t="s">
        <v>866</v>
      </c>
      <c r="B4094" s="90"/>
      <c r="C4094" s="88" t="s">
        <v>719</v>
      </c>
      <c r="D4094" s="89" t="s">
        <v>910</v>
      </c>
      <c r="E4094" s="90" t="s">
        <v>1349</v>
      </c>
      <c r="F4094" s="90" t="s">
        <v>866</v>
      </c>
      <c r="G4094" s="95">
        <v>261</v>
      </c>
      <c r="H4094" s="92">
        <v>9135</v>
      </c>
      <c r="I4094" s="87">
        <v>46122</v>
      </c>
      <c r="J4094" s="93">
        <v>0.7104166666666667</v>
      </c>
      <c r="K4094" s="92">
        <v>9135</v>
      </c>
      <c r="L4094" s="72" t="str">
        <f t="shared" si="64"/>
        <v>Payé</v>
      </c>
      <c r="N4094" s="15"/>
    </row>
    <row r="4095" spans="1:14" s="14" customFormat="1" ht="18" x14ac:dyDescent="0.25">
      <c r="A4095" s="90" t="s">
        <v>866</v>
      </c>
      <c r="B4095" s="90"/>
      <c r="C4095" s="88" t="s">
        <v>1189</v>
      </c>
      <c r="D4095" s="89" t="s">
        <v>910</v>
      </c>
      <c r="E4095" s="90" t="s">
        <v>49</v>
      </c>
      <c r="F4095" s="90" t="s">
        <v>866</v>
      </c>
      <c r="G4095" s="95">
        <v>202</v>
      </c>
      <c r="H4095" s="92">
        <v>6060</v>
      </c>
      <c r="I4095" s="87">
        <v>46122</v>
      </c>
      <c r="J4095" s="93">
        <v>0.68402777777777779</v>
      </c>
      <c r="K4095" s="92">
        <v>6060</v>
      </c>
      <c r="L4095" s="72" t="str">
        <f t="shared" si="64"/>
        <v>Payé</v>
      </c>
      <c r="N4095" s="15"/>
    </row>
    <row r="4096" spans="1:14" s="14" customFormat="1" ht="18" x14ac:dyDescent="0.25">
      <c r="A4096" s="90" t="s">
        <v>866</v>
      </c>
      <c r="B4096" s="90"/>
      <c r="C4096" s="88" t="s">
        <v>632</v>
      </c>
      <c r="D4096" s="89" t="s">
        <v>910</v>
      </c>
      <c r="E4096" s="90" t="s">
        <v>1913</v>
      </c>
      <c r="F4096" s="90" t="s">
        <v>866</v>
      </c>
      <c r="G4096" s="95">
        <v>236</v>
      </c>
      <c r="H4096" s="92">
        <v>7080</v>
      </c>
      <c r="I4096" s="87">
        <v>46122</v>
      </c>
      <c r="J4096" s="93">
        <v>0.6777777777777777</v>
      </c>
      <c r="K4096" s="92">
        <v>7080</v>
      </c>
      <c r="L4096" s="72" t="str">
        <f t="shared" si="64"/>
        <v>Payé</v>
      </c>
      <c r="N4096" s="15"/>
    </row>
    <row r="4097" spans="1:14" s="14" customFormat="1" ht="18" x14ac:dyDescent="0.25">
      <c r="A4097" s="90" t="s">
        <v>866</v>
      </c>
      <c r="B4097" s="90"/>
      <c r="C4097" s="88" t="s">
        <v>1954</v>
      </c>
      <c r="D4097" s="89" t="s">
        <v>910</v>
      </c>
      <c r="E4097" s="90" t="s">
        <v>1956</v>
      </c>
      <c r="F4097" s="90" t="s">
        <v>866</v>
      </c>
      <c r="G4097" s="95">
        <v>222.5</v>
      </c>
      <c r="H4097" s="92">
        <v>6675</v>
      </c>
      <c r="I4097" s="87">
        <v>46122</v>
      </c>
      <c r="J4097" s="93">
        <v>0.66805555555555562</v>
      </c>
      <c r="K4097" s="92">
        <v>6675</v>
      </c>
      <c r="L4097" s="72" t="str">
        <f t="shared" si="64"/>
        <v>Payé</v>
      </c>
      <c r="N4097" s="15"/>
    </row>
    <row r="4098" spans="1:14" s="14" customFormat="1" ht="18" x14ac:dyDescent="0.25">
      <c r="A4098" s="90" t="s">
        <v>866</v>
      </c>
      <c r="B4098" s="90"/>
      <c r="C4098" s="88" t="s">
        <v>2005</v>
      </c>
      <c r="D4098" s="89" t="s">
        <v>910</v>
      </c>
      <c r="E4098" s="90" t="s">
        <v>673</v>
      </c>
      <c r="F4098" s="90" t="s">
        <v>866</v>
      </c>
      <c r="G4098" s="95">
        <v>15</v>
      </c>
      <c r="H4098" s="92">
        <v>450</v>
      </c>
      <c r="I4098" s="87">
        <v>46119</v>
      </c>
      <c r="J4098" s="93">
        <v>0.66180555555555554</v>
      </c>
      <c r="K4098" s="92">
        <v>450</v>
      </c>
      <c r="L4098" s="72" t="str">
        <f t="shared" si="64"/>
        <v>Payé</v>
      </c>
      <c r="N4098" s="15"/>
    </row>
    <row r="4099" spans="1:14" s="14" customFormat="1" ht="18" x14ac:dyDescent="0.25">
      <c r="A4099" s="90" t="s">
        <v>866</v>
      </c>
      <c r="B4099" s="90"/>
      <c r="C4099" s="88" t="s">
        <v>1804</v>
      </c>
      <c r="D4099" s="89" t="s">
        <v>910</v>
      </c>
      <c r="E4099" s="90" t="s">
        <v>1344</v>
      </c>
      <c r="F4099" s="90" t="s">
        <v>866</v>
      </c>
      <c r="G4099" s="95">
        <v>70</v>
      </c>
      <c r="H4099" s="92">
        <v>1750</v>
      </c>
      <c r="I4099" s="87">
        <v>46122</v>
      </c>
      <c r="J4099" s="93">
        <v>0.6972222222222223</v>
      </c>
      <c r="K4099" s="92">
        <v>1750</v>
      </c>
      <c r="L4099" s="72" t="str">
        <f t="shared" si="64"/>
        <v>Payé</v>
      </c>
      <c r="N4099" s="15"/>
    </row>
    <row r="4100" spans="1:14" s="14" customFormat="1" ht="18" x14ac:dyDescent="0.25">
      <c r="A4100" s="90" t="s">
        <v>866</v>
      </c>
      <c r="B4100" s="90"/>
      <c r="C4100" s="88" t="s">
        <v>1744</v>
      </c>
      <c r="D4100" s="89" t="s">
        <v>910</v>
      </c>
      <c r="E4100" s="90" t="s">
        <v>1802</v>
      </c>
      <c r="F4100" s="90" t="s">
        <v>866</v>
      </c>
      <c r="G4100" s="95">
        <v>134</v>
      </c>
      <c r="H4100" s="92">
        <v>4020</v>
      </c>
      <c r="I4100" s="87">
        <v>46123</v>
      </c>
      <c r="J4100" s="93">
        <v>0.47152777777777777</v>
      </c>
      <c r="K4100" s="92">
        <v>4020</v>
      </c>
      <c r="L4100" s="72" t="str">
        <f t="shared" si="64"/>
        <v>Payé</v>
      </c>
      <c r="N4100" s="15"/>
    </row>
    <row r="4101" spans="1:14" s="14" customFormat="1" ht="18" x14ac:dyDescent="0.25">
      <c r="A4101" s="90" t="s">
        <v>866</v>
      </c>
      <c r="B4101" s="90"/>
      <c r="C4101" s="88" t="s">
        <v>1955</v>
      </c>
      <c r="D4101" s="89" t="s">
        <v>910</v>
      </c>
      <c r="E4101" s="90" t="s">
        <v>1957</v>
      </c>
      <c r="F4101" s="90" t="s">
        <v>866</v>
      </c>
      <c r="G4101" s="95">
        <v>195</v>
      </c>
      <c r="H4101" s="92">
        <v>5850</v>
      </c>
      <c r="I4101" s="87">
        <v>46122</v>
      </c>
      <c r="J4101" s="93">
        <v>0.70486111111111116</v>
      </c>
      <c r="K4101" s="92">
        <v>5850</v>
      </c>
      <c r="L4101" s="72" t="str">
        <f t="shared" si="64"/>
        <v>Payé</v>
      </c>
      <c r="N4101" s="15"/>
    </row>
    <row r="4102" spans="1:14" s="14" customFormat="1" ht="18" x14ac:dyDescent="0.25">
      <c r="A4102" s="90" t="s">
        <v>866</v>
      </c>
      <c r="B4102" s="90"/>
      <c r="C4102" s="88" t="s">
        <v>2006</v>
      </c>
      <c r="D4102" s="89" t="s">
        <v>910</v>
      </c>
      <c r="E4102" s="90" t="s">
        <v>2003</v>
      </c>
      <c r="F4102" s="90" t="s">
        <v>866</v>
      </c>
      <c r="G4102" s="95">
        <v>70</v>
      </c>
      <c r="H4102" s="92">
        <v>2450</v>
      </c>
      <c r="I4102" s="87">
        <v>46122</v>
      </c>
      <c r="J4102" s="93">
        <v>0.67986111111111114</v>
      </c>
      <c r="K4102" s="92">
        <v>2450</v>
      </c>
      <c r="L4102" s="72" t="str">
        <f t="shared" si="64"/>
        <v>Payé</v>
      </c>
      <c r="N4102" s="15"/>
    </row>
    <row r="4103" spans="1:14" s="14" customFormat="1" ht="18" x14ac:dyDescent="0.25">
      <c r="A4103" s="90" t="s">
        <v>866</v>
      </c>
      <c r="B4103" s="90"/>
      <c r="C4103" s="88" t="s">
        <v>1955</v>
      </c>
      <c r="D4103" s="89" t="s">
        <v>910</v>
      </c>
      <c r="E4103" s="90" t="s">
        <v>1664</v>
      </c>
      <c r="F4103" s="90" t="s">
        <v>866</v>
      </c>
      <c r="G4103" s="95">
        <v>399</v>
      </c>
      <c r="H4103" s="92">
        <v>11970</v>
      </c>
      <c r="I4103" s="87">
        <v>46122</v>
      </c>
      <c r="J4103" s="93">
        <v>0.70486111111111116</v>
      </c>
      <c r="K4103" s="92">
        <v>11970</v>
      </c>
      <c r="L4103" s="72" t="str">
        <f t="shared" si="64"/>
        <v>Payé</v>
      </c>
      <c r="N4103" s="15"/>
    </row>
    <row r="4104" spans="1:14" s="14" customFormat="1" ht="18" x14ac:dyDescent="0.25">
      <c r="A4104" s="90" t="s">
        <v>866</v>
      </c>
      <c r="B4104" s="90" t="s">
        <v>1195</v>
      </c>
      <c r="C4104" s="88" t="s">
        <v>2007</v>
      </c>
      <c r="D4104" s="89" t="s">
        <v>912</v>
      </c>
      <c r="E4104" s="90" t="s">
        <v>1351</v>
      </c>
      <c r="F4104" s="90" t="s">
        <v>866</v>
      </c>
      <c r="G4104" s="94">
        <v>12</v>
      </c>
      <c r="H4104" s="92">
        <v>5400</v>
      </c>
      <c r="I4104" s="87">
        <v>46122</v>
      </c>
      <c r="J4104" s="93">
        <v>0.68680555555555556</v>
      </c>
      <c r="K4104" s="92">
        <v>5400</v>
      </c>
      <c r="L4104" s="72" t="str">
        <f t="shared" si="64"/>
        <v>Payé</v>
      </c>
      <c r="N4104" s="15"/>
    </row>
    <row r="4105" spans="1:14" s="14" customFormat="1" ht="18" x14ac:dyDescent="0.25">
      <c r="A4105" s="90" t="s">
        <v>866</v>
      </c>
      <c r="B4105" s="90" t="s">
        <v>1195</v>
      </c>
      <c r="C4105" s="88" t="s">
        <v>2008</v>
      </c>
      <c r="D4105" s="89" t="s">
        <v>912</v>
      </c>
      <c r="E4105" s="90" t="s">
        <v>1352</v>
      </c>
      <c r="F4105" s="90" t="s">
        <v>866</v>
      </c>
      <c r="G4105" s="94">
        <v>4</v>
      </c>
      <c r="H4105" s="92">
        <v>1800</v>
      </c>
      <c r="I4105" s="87">
        <v>46119</v>
      </c>
      <c r="J4105" s="93">
        <v>0.66180555555555554</v>
      </c>
      <c r="K4105" s="92">
        <v>1800</v>
      </c>
      <c r="L4105" s="72" t="str">
        <f t="shared" si="64"/>
        <v>Payé</v>
      </c>
      <c r="N4105" s="15"/>
    </row>
    <row r="4106" spans="1:14" s="14" customFormat="1" ht="18" x14ac:dyDescent="0.25">
      <c r="A4106" s="90" t="s">
        <v>866</v>
      </c>
      <c r="B4106" s="90" t="s">
        <v>146</v>
      </c>
      <c r="C4106" s="88" t="s">
        <v>2009</v>
      </c>
      <c r="D4106" s="89" t="s">
        <v>912</v>
      </c>
      <c r="E4106" s="90" t="s">
        <v>408</v>
      </c>
      <c r="F4106" s="90" t="s">
        <v>866</v>
      </c>
      <c r="G4106" s="94">
        <v>4</v>
      </c>
      <c r="H4106" s="92">
        <v>1600</v>
      </c>
      <c r="I4106" s="87">
        <v>46122</v>
      </c>
      <c r="J4106" s="93">
        <v>0.70972222222222225</v>
      </c>
      <c r="K4106" s="92">
        <v>1600</v>
      </c>
      <c r="L4106" s="72" t="str">
        <f t="shared" si="64"/>
        <v>Payé</v>
      </c>
      <c r="N4106" s="15"/>
    </row>
    <row r="4107" spans="1:14" s="14" customFormat="1" ht="18" x14ac:dyDescent="0.25">
      <c r="A4107" s="90" t="s">
        <v>866</v>
      </c>
      <c r="B4107" s="90" t="s">
        <v>1202</v>
      </c>
      <c r="C4107" s="88" t="s">
        <v>1534</v>
      </c>
      <c r="D4107" s="89" t="s">
        <v>912</v>
      </c>
      <c r="E4107" s="90" t="s">
        <v>1201</v>
      </c>
      <c r="F4107" s="90" t="s">
        <v>866</v>
      </c>
      <c r="G4107" s="94">
        <v>29.5</v>
      </c>
      <c r="H4107" s="92">
        <v>7375</v>
      </c>
      <c r="I4107" s="87">
        <v>46119</v>
      </c>
      <c r="J4107" s="93">
        <v>0.66180555555555554</v>
      </c>
      <c r="K4107" s="92">
        <v>7375</v>
      </c>
      <c r="L4107" s="72" t="str">
        <f t="shared" si="64"/>
        <v>Payé</v>
      </c>
      <c r="N4107" s="15"/>
    </row>
    <row r="4108" spans="1:14" s="14" customFormat="1" ht="18" x14ac:dyDescent="0.25">
      <c r="A4108" s="90" t="s">
        <v>866</v>
      </c>
      <c r="B4108" s="90" t="s">
        <v>1195</v>
      </c>
      <c r="C4108" s="88" t="s">
        <v>2007</v>
      </c>
      <c r="D4108" s="89" t="s">
        <v>912</v>
      </c>
      <c r="E4108" s="90" t="s">
        <v>389</v>
      </c>
      <c r="F4108" s="90" t="s">
        <v>866</v>
      </c>
      <c r="G4108" s="94">
        <v>1</v>
      </c>
      <c r="H4108" s="92">
        <v>450</v>
      </c>
      <c r="I4108" s="87">
        <v>46123</v>
      </c>
      <c r="J4108" s="93">
        <v>0.41111111111111115</v>
      </c>
      <c r="K4108" s="92">
        <v>450</v>
      </c>
      <c r="L4108" s="72" t="str">
        <f t="shared" si="64"/>
        <v>Payé</v>
      </c>
      <c r="N4108" s="15"/>
    </row>
    <row r="4109" spans="1:14" s="14" customFormat="1" ht="18" x14ac:dyDescent="0.25">
      <c r="A4109" s="90" t="s">
        <v>866</v>
      </c>
      <c r="B4109" s="90" t="s">
        <v>1666</v>
      </c>
      <c r="C4109" s="88" t="s">
        <v>2010</v>
      </c>
      <c r="D4109" s="89" t="s">
        <v>912</v>
      </c>
      <c r="E4109" s="90" t="s">
        <v>1744</v>
      </c>
      <c r="F4109" s="90" t="s">
        <v>866</v>
      </c>
      <c r="G4109" s="94">
        <v>17</v>
      </c>
      <c r="H4109" s="92">
        <v>1700</v>
      </c>
      <c r="I4109" s="87">
        <v>46123</v>
      </c>
      <c r="J4109" s="93">
        <v>0.47152777777777777</v>
      </c>
      <c r="K4109" s="92">
        <v>1700</v>
      </c>
      <c r="L4109" s="72" t="str">
        <f t="shared" si="64"/>
        <v>Payé</v>
      </c>
      <c r="N4109" s="15"/>
    </row>
    <row r="4110" spans="1:14" s="14" customFormat="1" ht="18" x14ac:dyDescent="0.25">
      <c r="A4110" s="90" t="s">
        <v>866</v>
      </c>
      <c r="B4110" s="90" t="s">
        <v>1195</v>
      </c>
      <c r="C4110" s="88" t="s">
        <v>2011</v>
      </c>
      <c r="D4110" s="89" t="s">
        <v>912</v>
      </c>
      <c r="E4110" s="90" t="s">
        <v>2013</v>
      </c>
      <c r="F4110" s="90" t="s">
        <v>866</v>
      </c>
      <c r="G4110" s="94">
        <v>1</v>
      </c>
      <c r="H4110" s="92">
        <v>400</v>
      </c>
      <c r="I4110" s="87"/>
      <c r="J4110" s="93"/>
      <c r="K4110" s="92"/>
      <c r="L4110" s="72" t="str">
        <f t="shared" si="64"/>
        <v>Impayé</v>
      </c>
      <c r="N4110" s="15"/>
    </row>
    <row r="4111" spans="1:14" s="14" customFormat="1" ht="18" x14ac:dyDescent="0.25">
      <c r="A4111" s="90" t="s">
        <v>866</v>
      </c>
      <c r="B4111" s="90" t="s">
        <v>1666</v>
      </c>
      <c r="C4111" s="88" t="s">
        <v>2012</v>
      </c>
      <c r="D4111" s="89" t="s">
        <v>912</v>
      </c>
      <c r="E4111" s="90" t="s">
        <v>1355</v>
      </c>
      <c r="F4111" s="90" t="s">
        <v>866</v>
      </c>
      <c r="G4111" s="94">
        <v>1</v>
      </c>
      <c r="H4111" s="92">
        <v>200</v>
      </c>
      <c r="I4111" s="87">
        <v>46119</v>
      </c>
      <c r="J4111" s="93">
        <v>0.66180555555555554</v>
      </c>
      <c r="K4111" s="92">
        <v>200</v>
      </c>
      <c r="L4111" s="72" t="str">
        <f t="shared" si="64"/>
        <v>Payé</v>
      </c>
      <c r="N4111" s="15"/>
    </row>
    <row r="4112" spans="1:14" s="14" customFormat="1" ht="18" x14ac:dyDescent="0.25">
      <c r="A4112" s="90" t="s">
        <v>866</v>
      </c>
      <c r="B4112" s="90" t="s">
        <v>1666</v>
      </c>
      <c r="C4112" s="88" t="s">
        <v>2012</v>
      </c>
      <c r="D4112" s="89" t="s">
        <v>912</v>
      </c>
      <c r="E4112" s="90" t="s">
        <v>1744</v>
      </c>
      <c r="F4112" s="90" t="s">
        <v>866</v>
      </c>
      <c r="G4112" s="94">
        <v>2</v>
      </c>
      <c r="H4112" s="92">
        <v>200</v>
      </c>
      <c r="I4112" s="87">
        <v>46123</v>
      </c>
      <c r="J4112" s="93">
        <v>0.47152777777777777</v>
      </c>
      <c r="K4112" s="92">
        <v>200</v>
      </c>
      <c r="L4112" s="72" t="str">
        <f t="shared" si="64"/>
        <v>Payé</v>
      </c>
      <c r="N4112" s="15"/>
    </row>
    <row r="4113" spans="1:14" s="14" customFormat="1" ht="18" x14ac:dyDescent="0.25">
      <c r="A4113" s="90" t="s">
        <v>866</v>
      </c>
      <c r="B4113" s="90" t="s">
        <v>1283</v>
      </c>
      <c r="C4113" s="88" t="s">
        <v>2012</v>
      </c>
      <c r="D4113" s="89" t="s">
        <v>912</v>
      </c>
      <c r="E4113" s="90" t="s">
        <v>1346</v>
      </c>
      <c r="F4113" s="90" t="s">
        <v>866</v>
      </c>
      <c r="G4113" s="94">
        <v>2</v>
      </c>
      <c r="H4113" s="92">
        <v>300</v>
      </c>
      <c r="I4113" s="87">
        <v>46122</v>
      </c>
      <c r="J4113" s="93">
        <v>0.70972222222222225</v>
      </c>
      <c r="K4113" s="92">
        <v>300</v>
      </c>
      <c r="L4113" s="72" t="str">
        <f t="shared" si="64"/>
        <v>Payé</v>
      </c>
      <c r="N4113" s="15"/>
    </row>
    <row r="4114" spans="1:14" s="14" customFormat="1" ht="18" x14ac:dyDescent="0.25">
      <c r="A4114" s="90" t="s">
        <v>866</v>
      </c>
      <c r="B4114" s="90" t="s">
        <v>1284</v>
      </c>
      <c r="C4114" s="88" t="s">
        <v>1284</v>
      </c>
      <c r="D4114" s="89" t="s">
        <v>912</v>
      </c>
      <c r="E4114" s="90" t="s">
        <v>1355</v>
      </c>
      <c r="F4114" s="90" t="s">
        <v>866</v>
      </c>
      <c r="G4114" s="94">
        <v>34</v>
      </c>
      <c r="H4114" s="92">
        <v>17000</v>
      </c>
      <c r="I4114" s="87">
        <v>46119</v>
      </c>
      <c r="J4114" s="93">
        <v>0.66180555555555554</v>
      </c>
      <c r="K4114" s="92">
        <v>17000</v>
      </c>
      <c r="L4114" s="72" t="str">
        <f t="shared" si="64"/>
        <v>Payé</v>
      </c>
      <c r="N4114" s="15"/>
    </row>
    <row r="4115" spans="1:14" s="14" customFormat="1" ht="18" x14ac:dyDescent="0.25">
      <c r="A4115" s="91"/>
      <c r="B4115" s="90"/>
      <c r="C4115" s="88"/>
      <c r="D4115" s="89"/>
      <c r="E4115" s="90"/>
      <c r="F4115" s="91"/>
      <c r="G4115" s="90"/>
      <c r="H4115" s="92"/>
      <c r="I4115" s="87"/>
      <c r="J4115" s="93"/>
      <c r="K4115" s="92"/>
      <c r="L4115" s="72" t="str">
        <f t="shared" si="64"/>
        <v/>
      </c>
      <c r="N4115" s="15"/>
    </row>
    <row r="4116" spans="1:14" s="14" customFormat="1" ht="18" x14ac:dyDescent="0.25">
      <c r="A4116" s="91"/>
      <c r="B4116" s="90"/>
      <c r="C4116" s="88"/>
      <c r="D4116" s="89"/>
      <c r="E4116" s="90"/>
      <c r="F4116" s="91"/>
      <c r="G4116" s="90"/>
      <c r="H4116" s="92"/>
      <c r="I4116" s="87"/>
      <c r="J4116" s="93"/>
      <c r="K4116" s="92"/>
      <c r="L4116" s="72" t="str">
        <f t="shared" si="64"/>
        <v/>
      </c>
      <c r="N4116" s="15"/>
    </row>
    <row r="4117" spans="1:14" s="14" customFormat="1" ht="18" x14ac:dyDescent="0.25">
      <c r="A4117" s="91"/>
      <c r="B4117" s="90"/>
      <c r="C4117" s="88"/>
      <c r="D4117" s="89"/>
      <c r="E4117" s="90"/>
      <c r="F4117" s="91"/>
      <c r="G4117" s="90"/>
      <c r="H4117" s="92"/>
      <c r="I4117" s="87"/>
      <c r="J4117" s="93"/>
      <c r="K4117" s="92"/>
      <c r="L4117" s="72" t="str">
        <f t="shared" si="64"/>
        <v/>
      </c>
      <c r="N4117" s="15"/>
    </row>
    <row r="4118" spans="1:14" s="14" customFormat="1" ht="18" x14ac:dyDescent="0.25">
      <c r="A4118" s="91"/>
      <c r="B4118" s="90"/>
      <c r="C4118" s="88"/>
      <c r="D4118" s="89"/>
      <c r="E4118" s="90"/>
      <c r="F4118" s="91"/>
      <c r="G4118" s="90"/>
      <c r="H4118" s="92"/>
      <c r="I4118" s="87"/>
      <c r="J4118" s="93"/>
      <c r="K4118" s="92"/>
      <c r="L4118" s="72" t="str">
        <f t="shared" si="64"/>
        <v/>
      </c>
      <c r="N4118" s="15"/>
    </row>
    <row r="4119" spans="1:14" s="14" customFormat="1" ht="18" x14ac:dyDescent="0.25">
      <c r="A4119" s="91"/>
      <c r="B4119" s="90"/>
      <c r="C4119" s="88"/>
      <c r="D4119" s="89"/>
      <c r="E4119" s="90"/>
      <c r="F4119" s="91"/>
      <c r="G4119" s="90"/>
      <c r="H4119" s="92"/>
      <c r="I4119" s="87"/>
      <c r="J4119" s="93"/>
      <c r="K4119" s="92"/>
      <c r="L4119" s="72" t="str">
        <f t="shared" si="64"/>
        <v/>
      </c>
      <c r="N4119" s="15"/>
    </row>
    <row r="4120" spans="1:14" s="14" customFormat="1" ht="18" x14ac:dyDescent="0.25">
      <c r="A4120" s="91"/>
      <c r="B4120" s="90"/>
      <c r="C4120" s="88"/>
      <c r="D4120" s="89"/>
      <c r="E4120" s="90"/>
      <c r="F4120" s="91"/>
      <c r="G4120" s="90"/>
      <c r="H4120" s="92"/>
      <c r="I4120" s="87"/>
      <c r="J4120" s="93"/>
      <c r="K4120" s="92"/>
      <c r="L4120" s="72" t="str">
        <f t="shared" si="64"/>
        <v/>
      </c>
      <c r="N4120" s="15"/>
    </row>
    <row r="4121" spans="1:14" s="14" customFormat="1" ht="18" x14ac:dyDescent="0.25">
      <c r="A4121" s="91"/>
      <c r="B4121" s="90"/>
      <c r="C4121" s="88"/>
      <c r="D4121" s="89"/>
      <c r="E4121" s="90"/>
      <c r="F4121" s="91"/>
      <c r="G4121" s="90"/>
      <c r="H4121" s="92"/>
      <c r="I4121" s="87"/>
      <c r="J4121" s="93"/>
      <c r="K4121" s="92"/>
      <c r="L4121" s="72" t="str">
        <f t="shared" si="64"/>
        <v/>
      </c>
      <c r="N4121" s="15"/>
    </row>
    <row r="4122" spans="1:14" s="14" customFormat="1" ht="18" x14ac:dyDescent="0.25">
      <c r="A4122" s="91"/>
      <c r="B4122" s="90"/>
      <c r="C4122" s="88"/>
      <c r="D4122" s="89"/>
      <c r="E4122" s="90"/>
      <c r="F4122" s="91"/>
      <c r="G4122" s="90"/>
      <c r="H4122" s="92"/>
      <c r="I4122" s="87"/>
      <c r="J4122" s="93"/>
      <c r="K4122" s="92"/>
      <c r="L4122" s="72" t="str">
        <f t="shared" si="64"/>
        <v/>
      </c>
      <c r="N4122" s="15"/>
    </row>
    <row r="4123" spans="1:14" s="14" customFormat="1" ht="18" x14ac:dyDescent="0.25">
      <c r="A4123" s="91"/>
      <c r="B4123" s="90"/>
      <c r="C4123" s="88"/>
      <c r="D4123" s="89"/>
      <c r="E4123" s="90"/>
      <c r="F4123" s="91"/>
      <c r="G4123" s="90"/>
      <c r="H4123" s="92"/>
      <c r="I4123" s="87"/>
      <c r="J4123" s="93"/>
      <c r="K4123" s="92"/>
      <c r="L4123" s="72" t="str">
        <f t="shared" si="64"/>
        <v/>
      </c>
      <c r="N4123" s="15"/>
    </row>
    <row r="4124" spans="1:14" s="14" customFormat="1" ht="18" x14ac:dyDescent="0.25">
      <c r="A4124" s="91"/>
      <c r="B4124" s="90"/>
      <c r="C4124" s="88"/>
      <c r="D4124" s="89"/>
      <c r="E4124" s="90"/>
      <c r="F4124" s="91"/>
      <c r="G4124" s="90"/>
      <c r="H4124" s="92"/>
      <c r="I4124" s="87"/>
      <c r="J4124" s="93"/>
      <c r="K4124" s="92"/>
      <c r="L4124" s="72" t="str">
        <f t="shared" si="64"/>
        <v/>
      </c>
      <c r="N4124" s="15"/>
    </row>
    <row r="4125" spans="1:14" s="14" customFormat="1" ht="18" x14ac:dyDescent="0.25">
      <c r="A4125" s="91"/>
      <c r="B4125" s="90"/>
      <c r="C4125" s="88"/>
      <c r="D4125" s="89"/>
      <c r="E4125" s="90"/>
      <c r="F4125" s="91"/>
      <c r="G4125" s="90"/>
      <c r="H4125" s="92"/>
      <c r="I4125" s="87"/>
      <c r="J4125" s="93"/>
      <c r="K4125" s="92"/>
      <c r="L4125" s="72" t="str">
        <f t="shared" si="64"/>
        <v/>
      </c>
      <c r="N4125" s="15"/>
    </row>
    <row r="4126" spans="1:14" s="14" customFormat="1" ht="18" x14ac:dyDescent="0.25">
      <c r="A4126" s="91"/>
      <c r="B4126" s="90"/>
      <c r="C4126" s="88"/>
      <c r="D4126" s="89"/>
      <c r="E4126" s="90"/>
      <c r="F4126" s="91"/>
      <c r="G4126" s="90"/>
      <c r="H4126" s="92"/>
      <c r="I4126" s="87"/>
      <c r="J4126" s="93"/>
      <c r="K4126" s="92"/>
      <c r="L4126" s="72" t="str">
        <f t="shared" ref="L4126:L4189" si="65">IF(ISBLANK(H4126),"",IF(H4126=K4126,"Payé","Impayé"))</f>
        <v/>
      </c>
      <c r="N4126" s="15"/>
    </row>
    <row r="4127" spans="1:14" s="14" customFormat="1" ht="18" x14ac:dyDescent="0.25">
      <c r="A4127" s="91"/>
      <c r="B4127" s="90"/>
      <c r="C4127" s="88"/>
      <c r="D4127" s="89"/>
      <c r="E4127" s="90"/>
      <c r="F4127" s="91"/>
      <c r="G4127" s="90"/>
      <c r="H4127" s="92"/>
      <c r="I4127" s="87"/>
      <c r="J4127" s="93"/>
      <c r="K4127" s="92"/>
      <c r="L4127" s="72" t="str">
        <f t="shared" si="65"/>
        <v/>
      </c>
      <c r="N4127" s="15"/>
    </row>
    <row r="4128" spans="1:14" s="14" customFormat="1" ht="18" x14ac:dyDescent="0.25">
      <c r="A4128" s="91"/>
      <c r="B4128" s="90"/>
      <c r="C4128" s="88"/>
      <c r="D4128" s="89"/>
      <c r="E4128" s="90"/>
      <c r="F4128" s="91"/>
      <c r="G4128" s="90"/>
      <c r="H4128" s="92"/>
      <c r="I4128" s="87"/>
      <c r="J4128" s="93"/>
      <c r="K4128" s="92"/>
      <c r="L4128" s="72" t="str">
        <f t="shared" si="65"/>
        <v/>
      </c>
      <c r="N4128" s="15"/>
    </row>
    <row r="4129" spans="1:14" s="14" customFormat="1" ht="18" x14ac:dyDescent="0.25">
      <c r="A4129" s="91"/>
      <c r="B4129" s="90"/>
      <c r="C4129" s="88"/>
      <c r="D4129" s="89"/>
      <c r="E4129" s="90"/>
      <c r="F4129" s="91"/>
      <c r="G4129" s="90"/>
      <c r="H4129" s="92"/>
      <c r="I4129" s="87"/>
      <c r="J4129" s="93"/>
      <c r="K4129" s="92"/>
      <c r="L4129" s="72" t="str">
        <f t="shared" si="65"/>
        <v/>
      </c>
      <c r="N4129" s="15"/>
    </row>
    <row r="4130" spans="1:14" s="14" customFormat="1" ht="18" x14ac:dyDescent="0.25">
      <c r="A4130" s="91"/>
      <c r="B4130" s="90"/>
      <c r="C4130" s="88"/>
      <c r="D4130" s="89"/>
      <c r="E4130" s="90"/>
      <c r="F4130" s="91"/>
      <c r="G4130" s="90"/>
      <c r="H4130" s="92"/>
      <c r="I4130" s="87"/>
      <c r="J4130" s="93"/>
      <c r="K4130" s="92"/>
      <c r="L4130" s="72" t="str">
        <f t="shared" si="65"/>
        <v/>
      </c>
      <c r="N4130" s="15"/>
    </row>
    <row r="4131" spans="1:14" s="14" customFormat="1" ht="18" x14ac:dyDescent="0.25">
      <c r="A4131" s="91"/>
      <c r="B4131" s="90"/>
      <c r="C4131" s="88"/>
      <c r="D4131" s="89"/>
      <c r="E4131" s="90"/>
      <c r="F4131" s="91"/>
      <c r="G4131" s="90"/>
      <c r="H4131" s="92"/>
      <c r="I4131" s="87"/>
      <c r="J4131" s="93"/>
      <c r="K4131" s="92"/>
      <c r="L4131" s="72" t="str">
        <f t="shared" si="65"/>
        <v/>
      </c>
      <c r="N4131" s="15"/>
    </row>
    <row r="4132" spans="1:14" s="14" customFormat="1" ht="18" x14ac:dyDescent="0.25">
      <c r="A4132" s="91"/>
      <c r="B4132" s="90"/>
      <c r="C4132" s="88"/>
      <c r="D4132" s="89"/>
      <c r="E4132" s="90"/>
      <c r="F4132" s="91"/>
      <c r="G4132" s="90"/>
      <c r="H4132" s="92"/>
      <c r="I4132" s="87"/>
      <c r="J4132" s="93"/>
      <c r="K4132" s="92"/>
      <c r="L4132" s="72" t="str">
        <f t="shared" si="65"/>
        <v/>
      </c>
      <c r="N4132" s="15"/>
    </row>
    <row r="4133" spans="1:14" s="14" customFormat="1" ht="18" x14ac:dyDescent="0.25">
      <c r="A4133" s="91"/>
      <c r="B4133" s="90"/>
      <c r="C4133" s="88"/>
      <c r="D4133" s="89"/>
      <c r="E4133" s="90"/>
      <c r="F4133" s="91"/>
      <c r="G4133" s="90"/>
      <c r="H4133" s="92"/>
      <c r="I4133" s="87"/>
      <c r="J4133" s="93"/>
      <c r="K4133" s="92"/>
      <c r="L4133" s="72" t="str">
        <f t="shared" si="65"/>
        <v/>
      </c>
      <c r="N4133" s="15"/>
    </row>
    <row r="4134" spans="1:14" s="14" customFormat="1" ht="18" x14ac:dyDescent="0.25">
      <c r="A4134" s="91"/>
      <c r="B4134" s="90"/>
      <c r="C4134" s="88"/>
      <c r="D4134" s="89"/>
      <c r="E4134" s="90"/>
      <c r="F4134" s="91"/>
      <c r="G4134" s="90"/>
      <c r="H4134" s="92"/>
      <c r="I4134" s="87"/>
      <c r="J4134" s="93"/>
      <c r="K4134" s="92"/>
      <c r="L4134" s="72" t="str">
        <f t="shared" si="65"/>
        <v/>
      </c>
      <c r="N4134" s="15"/>
    </row>
    <row r="4135" spans="1:14" s="14" customFormat="1" ht="18" x14ac:dyDescent="0.25">
      <c r="A4135" s="91"/>
      <c r="B4135" s="90"/>
      <c r="C4135" s="88"/>
      <c r="D4135" s="89"/>
      <c r="E4135" s="90"/>
      <c r="F4135" s="91"/>
      <c r="G4135" s="90"/>
      <c r="H4135" s="92"/>
      <c r="I4135" s="87"/>
      <c r="J4135" s="93"/>
      <c r="K4135" s="92"/>
      <c r="L4135" s="72" t="str">
        <f t="shared" si="65"/>
        <v/>
      </c>
      <c r="N4135" s="15"/>
    </row>
    <row r="4136" spans="1:14" s="14" customFormat="1" ht="18" x14ac:dyDescent="0.25">
      <c r="A4136" s="91"/>
      <c r="B4136" s="90"/>
      <c r="C4136" s="88"/>
      <c r="D4136" s="89"/>
      <c r="E4136" s="90"/>
      <c r="F4136" s="91"/>
      <c r="G4136" s="90"/>
      <c r="H4136" s="92"/>
      <c r="I4136" s="87"/>
      <c r="J4136" s="93"/>
      <c r="K4136" s="92"/>
      <c r="L4136" s="72" t="str">
        <f t="shared" si="65"/>
        <v/>
      </c>
      <c r="N4136" s="15"/>
    </row>
    <row r="4137" spans="1:14" s="14" customFormat="1" ht="18" x14ac:dyDescent="0.25">
      <c r="A4137" s="91"/>
      <c r="B4137" s="90"/>
      <c r="C4137" s="88"/>
      <c r="D4137" s="89"/>
      <c r="E4137" s="90"/>
      <c r="F4137" s="91"/>
      <c r="G4137" s="90"/>
      <c r="H4137" s="92"/>
      <c r="I4137" s="87"/>
      <c r="J4137" s="93"/>
      <c r="K4137" s="92"/>
      <c r="L4137" s="72" t="str">
        <f t="shared" si="65"/>
        <v/>
      </c>
      <c r="N4137" s="15"/>
    </row>
    <row r="4138" spans="1:14" s="14" customFormat="1" ht="18" x14ac:dyDescent="0.25">
      <c r="A4138" s="91"/>
      <c r="B4138" s="90"/>
      <c r="C4138" s="88"/>
      <c r="D4138" s="89"/>
      <c r="E4138" s="90"/>
      <c r="F4138" s="91"/>
      <c r="G4138" s="90"/>
      <c r="H4138" s="92"/>
      <c r="I4138" s="87"/>
      <c r="J4138" s="93"/>
      <c r="K4138" s="92"/>
      <c r="L4138" s="72" t="str">
        <f t="shared" si="65"/>
        <v/>
      </c>
      <c r="N4138" s="15"/>
    </row>
    <row r="4139" spans="1:14" s="14" customFormat="1" ht="18" x14ac:dyDescent="0.25">
      <c r="A4139" s="91"/>
      <c r="B4139" s="90"/>
      <c r="C4139" s="88"/>
      <c r="D4139" s="89"/>
      <c r="E4139" s="90"/>
      <c r="F4139" s="91"/>
      <c r="G4139" s="90"/>
      <c r="H4139" s="92"/>
      <c r="I4139" s="87"/>
      <c r="J4139" s="93"/>
      <c r="K4139" s="92"/>
      <c r="L4139" s="72" t="str">
        <f t="shared" si="65"/>
        <v/>
      </c>
      <c r="N4139" s="15"/>
    </row>
    <row r="4140" spans="1:14" s="14" customFormat="1" ht="18" x14ac:dyDescent="0.25">
      <c r="A4140" s="91"/>
      <c r="B4140" s="90"/>
      <c r="C4140" s="88"/>
      <c r="D4140" s="89"/>
      <c r="E4140" s="90"/>
      <c r="F4140" s="91"/>
      <c r="G4140" s="90"/>
      <c r="H4140" s="92"/>
      <c r="I4140" s="87"/>
      <c r="J4140" s="93"/>
      <c r="K4140" s="92"/>
      <c r="L4140" s="72" t="str">
        <f t="shared" si="65"/>
        <v/>
      </c>
      <c r="N4140" s="15"/>
    </row>
    <row r="4141" spans="1:14" s="14" customFormat="1" ht="18" x14ac:dyDescent="0.25">
      <c r="A4141" s="91"/>
      <c r="B4141" s="90"/>
      <c r="C4141" s="88"/>
      <c r="D4141" s="89"/>
      <c r="E4141" s="90"/>
      <c r="F4141" s="91"/>
      <c r="G4141" s="90"/>
      <c r="H4141" s="92"/>
      <c r="I4141" s="87"/>
      <c r="J4141" s="93"/>
      <c r="K4141" s="92"/>
      <c r="L4141" s="72" t="str">
        <f t="shared" si="65"/>
        <v/>
      </c>
      <c r="N4141" s="15"/>
    </row>
    <row r="4142" spans="1:14" s="14" customFormat="1" ht="18" x14ac:dyDescent="0.25">
      <c r="A4142" s="91"/>
      <c r="B4142" s="90"/>
      <c r="C4142" s="88"/>
      <c r="D4142" s="89"/>
      <c r="E4142" s="90"/>
      <c r="F4142" s="91"/>
      <c r="G4142" s="90"/>
      <c r="H4142" s="92"/>
      <c r="I4142" s="87"/>
      <c r="J4142" s="93"/>
      <c r="K4142" s="92"/>
      <c r="L4142" s="72" t="str">
        <f t="shared" si="65"/>
        <v/>
      </c>
      <c r="N4142" s="15"/>
    </row>
    <row r="4143" spans="1:14" s="14" customFormat="1" ht="18" x14ac:dyDescent="0.25">
      <c r="A4143" s="91"/>
      <c r="B4143" s="90"/>
      <c r="C4143" s="88"/>
      <c r="D4143" s="89"/>
      <c r="E4143" s="90"/>
      <c r="F4143" s="91"/>
      <c r="G4143" s="90"/>
      <c r="H4143" s="92"/>
      <c r="I4143" s="87"/>
      <c r="J4143" s="93"/>
      <c r="K4143" s="92"/>
      <c r="L4143" s="72" t="str">
        <f t="shared" si="65"/>
        <v/>
      </c>
      <c r="N4143" s="15"/>
    </row>
    <row r="4144" spans="1:14" s="14" customFormat="1" ht="18" x14ac:dyDescent="0.25">
      <c r="A4144" s="91"/>
      <c r="B4144" s="90"/>
      <c r="C4144" s="88"/>
      <c r="D4144" s="89"/>
      <c r="E4144" s="90"/>
      <c r="F4144" s="91"/>
      <c r="G4144" s="90"/>
      <c r="H4144" s="92"/>
      <c r="I4144" s="87"/>
      <c r="J4144" s="93"/>
      <c r="K4144" s="92"/>
      <c r="L4144" s="72" t="str">
        <f t="shared" si="65"/>
        <v/>
      </c>
      <c r="N4144" s="15"/>
    </row>
    <row r="4145" spans="1:14" s="14" customFormat="1" ht="18" x14ac:dyDescent="0.25">
      <c r="A4145" s="91"/>
      <c r="B4145" s="90"/>
      <c r="C4145" s="88"/>
      <c r="D4145" s="89"/>
      <c r="E4145" s="90"/>
      <c r="F4145" s="91"/>
      <c r="G4145" s="90"/>
      <c r="H4145" s="92"/>
      <c r="I4145" s="87"/>
      <c r="J4145" s="93"/>
      <c r="K4145" s="92"/>
      <c r="L4145" s="72" t="str">
        <f t="shared" si="65"/>
        <v/>
      </c>
      <c r="N4145" s="15"/>
    </row>
    <row r="4146" spans="1:14" s="14" customFormat="1" ht="18" x14ac:dyDescent="0.25">
      <c r="A4146" s="91"/>
      <c r="B4146" s="90"/>
      <c r="C4146" s="88"/>
      <c r="D4146" s="89"/>
      <c r="E4146" s="90"/>
      <c r="F4146" s="91"/>
      <c r="G4146" s="90"/>
      <c r="H4146" s="92"/>
      <c r="I4146" s="87"/>
      <c r="J4146" s="93"/>
      <c r="K4146" s="92"/>
      <c r="L4146" s="72" t="str">
        <f t="shared" si="65"/>
        <v/>
      </c>
      <c r="N4146" s="15"/>
    </row>
    <row r="4147" spans="1:14" s="14" customFormat="1" ht="18" x14ac:dyDescent="0.25">
      <c r="A4147" s="91"/>
      <c r="B4147" s="90"/>
      <c r="C4147" s="88"/>
      <c r="D4147" s="89"/>
      <c r="E4147" s="90"/>
      <c r="F4147" s="91"/>
      <c r="G4147" s="90"/>
      <c r="H4147" s="92"/>
      <c r="I4147" s="87"/>
      <c r="J4147" s="93"/>
      <c r="K4147" s="92"/>
      <c r="L4147" s="72" t="str">
        <f t="shared" si="65"/>
        <v/>
      </c>
      <c r="N4147" s="15"/>
    </row>
    <row r="4148" spans="1:14" s="14" customFormat="1" ht="18" x14ac:dyDescent="0.25">
      <c r="A4148" s="91"/>
      <c r="B4148" s="90"/>
      <c r="C4148" s="88"/>
      <c r="D4148" s="89"/>
      <c r="E4148" s="90"/>
      <c r="F4148" s="91"/>
      <c r="G4148" s="90"/>
      <c r="H4148" s="92"/>
      <c r="I4148" s="87"/>
      <c r="J4148" s="93"/>
      <c r="K4148" s="92"/>
      <c r="L4148" s="72" t="str">
        <f t="shared" si="65"/>
        <v/>
      </c>
      <c r="N4148" s="15"/>
    </row>
    <row r="4149" spans="1:14" s="14" customFormat="1" ht="18" x14ac:dyDescent="0.25">
      <c r="A4149" s="91"/>
      <c r="B4149" s="90"/>
      <c r="C4149" s="88"/>
      <c r="D4149" s="89"/>
      <c r="E4149" s="90"/>
      <c r="F4149" s="91"/>
      <c r="G4149" s="90"/>
      <c r="H4149" s="92"/>
      <c r="I4149" s="87"/>
      <c r="J4149" s="93"/>
      <c r="K4149" s="92"/>
      <c r="L4149" s="72" t="str">
        <f t="shared" si="65"/>
        <v/>
      </c>
      <c r="N4149" s="15"/>
    </row>
    <row r="4150" spans="1:14" s="14" customFormat="1" ht="18" x14ac:dyDescent="0.25">
      <c r="A4150" s="91"/>
      <c r="B4150" s="90"/>
      <c r="C4150" s="88"/>
      <c r="D4150" s="89"/>
      <c r="E4150" s="90"/>
      <c r="F4150" s="91"/>
      <c r="G4150" s="90"/>
      <c r="H4150" s="92"/>
      <c r="I4150" s="87"/>
      <c r="J4150" s="93"/>
      <c r="K4150" s="92"/>
      <c r="L4150" s="72" t="str">
        <f t="shared" si="65"/>
        <v/>
      </c>
      <c r="N4150" s="15"/>
    </row>
    <row r="4151" spans="1:14" s="14" customFormat="1" ht="18" x14ac:dyDescent="0.25">
      <c r="A4151" s="91"/>
      <c r="B4151" s="90"/>
      <c r="C4151" s="88"/>
      <c r="D4151" s="89"/>
      <c r="E4151" s="90"/>
      <c r="F4151" s="91"/>
      <c r="G4151" s="90"/>
      <c r="H4151" s="92"/>
      <c r="I4151" s="87"/>
      <c r="J4151" s="93"/>
      <c r="K4151" s="92"/>
      <c r="L4151" s="72" t="str">
        <f t="shared" si="65"/>
        <v/>
      </c>
      <c r="N4151" s="15"/>
    </row>
    <row r="4152" spans="1:14" s="14" customFormat="1" ht="18" x14ac:dyDescent="0.25">
      <c r="A4152" s="91"/>
      <c r="B4152" s="90"/>
      <c r="C4152" s="88"/>
      <c r="D4152" s="89"/>
      <c r="E4152" s="90"/>
      <c r="F4152" s="91"/>
      <c r="G4152" s="90"/>
      <c r="H4152" s="92"/>
      <c r="I4152" s="87"/>
      <c r="J4152" s="93"/>
      <c r="K4152" s="92"/>
      <c r="L4152" s="72" t="str">
        <f t="shared" si="65"/>
        <v/>
      </c>
      <c r="N4152" s="15"/>
    </row>
    <row r="4153" spans="1:14" s="14" customFormat="1" ht="18" x14ac:dyDescent="0.25">
      <c r="A4153" s="91"/>
      <c r="B4153" s="90"/>
      <c r="C4153" s="88"/>
      <c r="D4153" s="89"/>
      <c r="E4153" s="90"/>
      <c r="F4153" s="91"/>
      <c r="G4153" s="90"/>
      <c r="H4153" s="92"/>
      <c r="I4153" s="87"/>
      <c r="J4153" s="93"/>
      <c r="K4153" s="92"/>
      <c r="L4153" s="72" t="str">
        <f t="shared" si="65"/>
        <v/>
      </c>
      <c r="N4153" s="15"/>
    </row>
    <row r="4154" spans="1:14" s="14" customFormat="1" ht="18" x14ac:dyDescent="0.25">
      <c r="A4154" s="91"/>
      <c r="B4154" s="90"/>
      <c r="C4154" s="88"/>
      <c r="D4154" s="89"/>
      <c r="E4154" s="90"/>
      <c r="F4154" s="91"/>
      <c r="G4154" s="90"/>
      <c r="H4154" s="92"/>
      <c r="I4154" s="87"/>
      <c r="J4154" s="93"/>
      <c r="K4154" s="92"/>
      <c r="L4154" s="72" t="str">
        <f t="shared" si="65"/>
        <v/>
      </c>
      <c r="N4154" s="15"/>
    </row>
    <row r="4155" spans="1:14" s="14" customFormat="1" ht="18" x14ac:dyDescent="0.25">
      <c r="A4155" s="91"/>
      <c r="B4155" s="90"/>
      <c r="C4155" s="88"/>
      <c r="D4155" s="89"/>
      <c r="E4155" s="90"/>
      <c r="F4155" s="91"/>
      <c r="G4155" s="90"/>
      <c r="H4155" s="92"/>
      <c r="I4155" s="87"/>
      <c r="J4155" s="93"/>
      <c r="K4155" s="92"/>
      <c r="L4155" s="72" t="str">
        <f t="shared" si="65"/>
        <v/>
      </c>
      <c r="N4155" s="15"/>
    </row>
    <row r="4156" spans="1:14" s="14" customFormat="1" ht="18" x14ac:dyDescent="0.25">
      <c r="A4156" s="91"/>
      <c r="B4156" s="90"/>
      <c r="C4156" s="88"/>
      <c r="D4156" s="89"/>
      <c r="E4156" s="90"/>
      <c r="F4156" s="91"/>
      <c r="G4156" s="90"/>
      <c r="H4156" s="92"/>
      <c r="I4156" s="87"/>
      <c r="J4156" s="93"/>
      <c r="K4156" s="92"/>
      <c r="L4156" s="72" t="str">
        <f t="shared" si="65"/>
        <v/>
      </c>
      <c r="N4156" s="15"/>
    </row>
    <row r="4157" spans="1:14" s="14" customFormat="1" ht="18" x14ac:dyDescent="0.25">
      <c r="A4157" s="91"/>
      <c r="B4157" s="90"/>
      <c r="C4157" s="88"/>
      <c r="D4157" s="89"/>
      <c r="E4157" s="90"/>
      <c r="F4157" s="91"/>
      <c r="G4157" s="90"/>
      <c r="H4157" s="92"/>
      <c r="I4157" s="87"/>
      <c r="J4157" s="93"/>
      <c r="K4157" s="92"/>
      <c r="L4157" s="72" t="str">
        <f t="shared" si="65"/>
        <v/>
      </c>
      <c r="N4157" s="15"/>
    </row>
    <row r="4158" spans="1:14" s="14" customFormat="1" ht="18" x14ac:dyDescent="0.25">
      <c r="A4158" s="91"/>
      <c r="B4158" s="90"/>
      <c r="C4158" s="88"/>
      <c r="D4158" s="89"/>
      <c r="E4158" s="90"/>
      <c r="F4158" s="91"/>
      <c r="G4158" s="90"/>
      <c r="H4158" s="92"/>
      <c r="I4158" s="87"/>
      <c r="J4158" s="93"/>
      <c r="K4158" s="92"/>
      <c r="L4158" s="72" t="str">
        <f t="shared" si="65"/>
        <v/>
      </c>
      <c r="N4158" s="15"/>
    </row>
    <row r="4159" spans="1:14" s="14" customFormat="1" ht="18" x14ac:dyDescent="0.25">
      <c r="A4159" s="91"/>
      <c r="B4159" s="90"/>
      <c r="C4159" s="88"/>
      <c r="D4159" s="89"/>
      <c r="E4159" s="90"/>
      <c r="F4159" s="91"/>
      <c r="G4159" s="90"/>
      <c r="H4159" s="92"/>
      <c r="I4159" s="87"/>
      <c r="J4159" s="93"/>
      <c r="K4159" s="92"/>
      <c r="L4159" s="72" t="str">
        <f t="shared" si="65"/>
        <v/>
      </c>
      <c r="N4159" s="15"/>
    </row>
    <row r="4160" spans="1:14" s="14" customFormat="1" ht="18" x14ac:dyDescent="0.25">
      <c r="A4160" s="91"/>
      <c r="B4160" s="90"/>
      <c r="C4160" s="88"/>
      <c r="D4160" s="89"/>
      <c r="E4160" s="90"/>
      <c r="F4160" s="91"/>
      <c r="G4160" s="90"/>
      <c r="H4160" s="92"/>
      <c r="I4160" s="87"/>
      <c r="J4160" s="93"/>
      <c r="K4160" s="92"/>
      <c r="L4160" s="72" t="str">
        <f t="shared" si="65"/>
        <v/>
      </c>
      <c r="N4160" s="15"/>
    </row>
    <row r="4161" spans="1:14" s="14" customFormat="1" ht="18" x14ac:dyDescent="0.25">
      <c r="A4161" s="91"/>
      <c r="B4161" s="90"/>
      <c r="C4161" s="88"/>
      <c r="D4161" s="89"/>
      <c r="E4161" s="90"/>
      <c r="F4161" s="91"/>
      <c r="G4161" s="90"/>
      <c r="H4161" s="92"/>
      <c r="I4161" s="87"/>
      <c r="J4161" s="93"/>
      <c r="K4161" s="92"/>
      <c r="L4161" s="72" t="str">
        <f t="shared" si="65"/>
        <v/>
      </c>
      <c r="N4161" s="15"/>
    </row>
    <row r="4162" spans="1:14" s="14" customFormat="1" ht="18" x14ac:dyDescent="0.25">
      <c r="A4162" s="91"/>
      <c r="B4162" s="90"/>
      <c r="C4162" s="88"/>
      <c r="D4162" s="89"/>
      <c r="E4162" s="90"/>
      <c r="F4162" s="91"/>
      <c r="G4162" s="90"/>
      <c r="H4162" s="92"/>
      <c r="I4162" s="87"/>
      <c r="J4162" s="93"/>
      <c r="K4162" s="92"/>
      <c r="L4162" s="72" t="str">
        <f t="shared" si="65"/>
        <v/>
      </c>
      <c r="N4162" s="15"/>
    </row>
    <row r="4163" spans="1:14" s="14" customFormat="1" ht="18" x14ac:dyDescent="0.25">
      <c r="A4163" s="91"/>
      <c r="B4163" s="90"/>
      <c r="C4163" s="88"/>
      <c r="D4163" s="89"/>
      <c r="E4163" s="90"/>
      <c r="F4163" s="91"/>
      <c r="G4163" s="90"/>
      <c r="H4163" s="92"/>
      <c r="I4163" s="87"/>
      <c r="J4163" s="93"/>
      <c r="K4163" s="92"/>
      <c r="L4163" s="72" t="str">
        <f t="shared" si="65"/>
        <v/>
      </c>
      <c r="N4163" s="15"/>
    </row>
    <row r="4164" spans="1:14" s="14" customFormat="1" ht="18" x14ac:dyDescent="0.25">
      <c r="A4164" s="91"/>
      <c r="B4164" s="90"/>
      <c r="C4164" s="88"/>
      <c r="D4164" s="89"/>
      <c r="E4164" s="90"/>
      <c r="F4164" s="91"/>
      <c r="G4164" s="90"/>
      <c r="H4164" s="92"/>
      <c r="I4164" s="87"/>
      <c r="J4164" s="93"/>
      <c r="K4164" s="92"/>
      <c r="L4164" s="72" t="str">
        <f t="shared" si="65"/>
        <v/>
      </c>
      <c r="N4164" s="15"/>
    </row>
    <row r="4165" spans="1:14" s="14" customFormat="1" ht="18" x14ac:dyDescent="0.25">
      <c r="A4165" s="91"/>
      <c r="B4165" s="90"/>
      <c r="C4165" s="88"/>
      <c r="D4165" s="89"/>
      <c r="E4165" s="90"/>
      <c r="F4165" s="91"/>
      <c r="G4165" s="90"/>
      <c r="H4165" s="92"/>
      <c r="I4165" s="87"/>
      <c r="J4165" s="93"/>
      <c r="K4165" s="92"/>
      <c r="L4165" s="72" t="str">
        <f t="shared" si="65"/>
        <v/>
      </c>
      <c r="N4165" s="15"/>
    </row>
    <row r="4166" spans="1:14" s="14" customFormat="1" ht="18" x14ac:dyDescent="0.25">
      <c r="A4166" s="91"/>
      <c r="B4166" s="90"/>
      <c r="C4166" s="88"/>
      <c r="D4166" s="89"/>
      <c r="E4166" s="90"/>
      <c r="F4166" s="91"/>
      <c r="G4166" s="90"/>
      <c r="H4166" s="92"/>
      <c r="I4166" s="87"/>
      <c r="J4166" s="93"/>
      <c r="K4166" s="92"/>
      <c r="L4166" s="72" t="str">
        <f t="shared" si="65"/>
        <v/>
      </c>
      <c r="N4166" s="15"/>
    </row>
    <row r="4167" spans="1:14" s="14" customFormat="1" ht="18" x14ac:dyDescent="0.25">
      <c r="A4167" s="91"/>
      <c r="B4167" s="90"/>
      <c r="C4167" s="88"/>
      <c r="D4167" s="89"/>
      <c r="E4167" s="90"/>
      <c r="F4167" s="91"/>
      <c r="G4167" s="90"/>
      <c r="H4167" s="92"/>
      <c r="I4167" s="87"/>
      <c r="J4167" s="93"/>
      <c r="K4167" s="92"/>
      <c r="L4167" s="72" t="str">
        <f t="shared" si="65"/>
        <v/>
      </c>
      <c r="N4167" s="15"/>
    </row>
    <row r="4168" spans="1:14" s="14" customFormat="1" ht="18" x14ac:dyDescent="0.25">
      <c r="A4168" s="91"/>
      <c r="B4168" s="90"/>
      <c r="C4168" s="88"/>
      <c r="D4168" s="89"/>
      <c r="E4168" s="90"/>
      <c r="F4168" s="91"/>
      <c r="G4168" s="90"/>
      <c r="H4168" s="92"/>
      <c r="I4168" s="87"/>
      <c r="J4168" s="93"/>
      <c r="K4168" s="92"/>
      <c r="L4168" s="72" t="str">
        <f t="shared" si="65"/>
        <v/>
      </c>
      <c r="N4168" s="15"/>
    </row>
    <row r="4169" spans="1:14" s="14" customFormat="1" ht="18" x14ac:dyDescent="0.25">
      <c r="A4169" s="91"/>
      <c r="B4169" s="90"/>
      <c r="C4169" s="88"/>
      <c r="D4169" s="89"/>
      <c r="E4169" s="90"/>
      <c r="F4169" s="91"/>
      <c r="G4169" s="90"/>
      <c r="H4169" s="92"/>
      <c r="I4169" s="87"/>
      <c r="J4169" s="93"/>
      <c r="K4169" s="92"/>
      <c r="L4169" s="72" t="str">
        <f t="shared" si="65"/>
        <v/>
      </c>
      <c r="N4169" s="15"/>
    </row>
    <row r="4170" spans="1:14" s="14" customFormat="1" ht="18" x14ac:dyDescent="0.25">
      <c r="A4170" s="91"/>
      <c r="B4170" s="90"/>
      <c r="C4170" s="88"/>
      <c r="D4170" s="89"/>
      <c r="E4170" s="90"/>
      <c r="F4170" s="91"/>
      <c r="G4170" s="90"/>
      <c r="H4170" s="92"/>
      <c r="I4170" s="87"/>
      <c r="J4170" s="93"/>
      <c r="K4170" s="92"/>
      <c r="L4170" s="72" t="str">
        <f t="shared" si="65"/>
        <v/>
      </c>
      <c r="N4170" s="15"/>
    </row>
    <row r="4171" spans="1:14" s="14" customFormat="1" ht="18" x14ac:dyDescent="0.25">
      <c r="A4171" s="91"/>
      <c r="B4171" s="90"/>
      <c r="C4171" s="88"/>
      <c r="D4171" s="89"/>
      <c r="E4171" s="90"/>
      <c r="F4171" s="91"/>
      <c r="G4171" s="90"/>
      <c r="H4171" s="92"/>
      <c r="I4171" s="87"/>
      <c r="J4171" s="93"/>
      <c r="K4171" s="92"/>
      <c r="L4171" s="72" t="str">
        <f t="shared" si="65"/>
        <v/>
      </c>
      <c r="N4171" s="15"/>
    </row>
    <row r="4172" spans="1:14" s="14" customFormat="1" ht="18" x14ac:dyDescent="0.25">
      <c r="A4172" s="91"/>
      <c r="B4172" s="90"/>
      <c r="C4172" s="88"/>
      <c r="D4172" s="89"/>
      <c r="E4172" s="90"/>
      <c r="F4172" s="91"/>
      <c r="G4172" s="90"/>
      <c r="H4172" s="92"/>
      <c r="I4172" s="87"/>
      <c r="J4172" s="93"/>
      <c r="K4172" s="92"/>
      <c r="L4172" s="72" t="str">
        <f t="shared" si="65"/>
        <v/>
      </c>
      <c r="N4172" s="15"/>
    </row>
    <row r="4173" spans="1:14" s="14" customFormat="1" ht="18" x14ac:dyDescent="0.25">
      <c r="A4173" s="91"/>
      <c r="B4173" s="90"/>
      <c r="C4173" s="88"/>
      <c r="D4173" s="89"/>
      <c r="E4173" s="90"/>
      <c r="F4173" s="91"/>
      <c r="G4173" s="90"/>
      <c r="H4173" s="92"/>
      <c r="I4173" s="87"/>
      <c r="J4173" s="93"/>
      <c r="K4173" s="92"/>
      <c r="L4173" s="72" t="str">
        <f t="shared" si="65"/>
        <v/>
      </c>
      <c r="N4173" s="15"/>
    </row>
    <row r="4174" spans="1:14" s="14" customFormat="1" ht="18" x14ac:dyDescent="0.25">
      <c r="A4174" s="91"/>
      <c r="B4174" s="90"/>
      <c r="C4174" s="88"/>
      <c r="D4174" s="89"/>
      <c r="E4174" s="90"/>
      <c r="F4174" s="91"/>
      <c r="G4174" s="90"/>
      <c r="H4174" s="92"/>
      <c r="I4174" s="87"/>
      <c r="J4174" s="93"/>
      <c r="K4174" s="92"/>
      <c r="L4174" s="72" t="str">
        <f t="shared" si="65"/>
        <v/>
      </c>
      <c r="N4174" s="15"/>
    </row>
    <row r="4175" spans="1:14" s="14" customFormat="1" ht="18" x14ac:dyDescent="0.25">
      <c r="A4175" s="91"/>
      <c r="B4175" s="90"/>
      <c r="C4175" s="88"/>
      <c r="D4175" s="89"/>
      <c r="E4175" s="90"/>
      <c r="F4175" s="91"/>
      <c r="G4175" s="90"/>
      <c r="H4175" s="92"/>
      <c r="I4175" s="87"/>
      <c r="J4175" s="93"/>
      <c r="K4175" s="92"/>
      <c r="L4175" s="72" t="str">
        <f t="shared" si="65"/>
        <v/>
      </c>
      <c r="N4175" s="15"/>
    </row>
    <row r="4176" spans="1:14" s="14" customFormat="1" ht="18" x14ac:dyDescent="0.25">
      <c r="A4176" s="91"/>
      <c r="B4176" s="90"/>
      <c r="C4176" s="88"/>
      <c r="D4176" s="89"/>
      <c r="E4176" s="90"/>
      <c r="F4176" s="91"/>
      <c r="G4176" s="90"/>
      <c r="H4176" s="92"/>
      <c r="I4176" s="87"/>
      <c r="J4176" s="93"/>
      <c r="K4176" s="92"/>
      <c r="L4176" s="72" t="str">
        <f t="shared" si="65"/>
        <v/>
      </c>
      <c r="N4176" s="15"/>
    </row>
    <row r="4177" spans="1:14" s="14" customFormat="1" ht="18" x14ac:dyDescent="0.25">
      <c r="A4177" s="91"/>
      <c r="B4177" s="90"/>
      <c r="C4177" s="88"/>
      <c r="D4177" s="89"/>
      <c r="E4177" s="90"/>
      <c r="F4177" s="91"/>
      <c r="G4177" s="90"/>
      <c r="H4177" s="92"/>
      <c r="I4177" s="87"/>
      <c r="J4177" s="93"/>
      <c r="K4177" s="92"/>
      <c r="L4177" s="72" t="str">
        <f t="shared" si="65"/>
        <v/>
      </c>
      <c r="N4177" s="15"/>
    </row>
    <row r="4178" spans="1:14" s="14" customFormat="1" ht="18" x14ac:dyDescent="0.25">
      <c r="A4178" s="91"/>
      <c r="B4178" s="90"/>
      <c r="C4178" s="88"/>
      <c r="D4178" s="89"/>
      <c r="E4178" s="90"/>
      <c r="F4178" s="91"/>
      <c r="G4178" s="90"/>
      <c r="H4178" s="92"/>
      <c r="I4178" s="87"/>
      <c r="J4178" s="93"/>
      <c r="K4178" s="92"/>
      <c r="L4178" s="72" t="str">
        <f t="shared" si="65"/>
        <v/>
      </c>
      <c r="N4178" s="15"/>
    </row>
    <row r="4179" spans="1:14" s="14" customFormat="1" ht="18" x14ac:dyDescent="0.25">
      <c r="A4179" s="91"/>
      <c r="B4179" s="90"/>
      <c r="C4179" s="88"/>
      <c r="D4179" s="89"/>
      <c r="E4179" s="90"/>
      <c r="F4179" s="91"/>
      <c r="G4179" s="90"/>
      <c r="H4179" s="92"/>
      <c r="I4179" s="87"/>
      <c r="J4179" s="93"/>
      <c r="K4179" s="92"/>
      <c r="L4179" s="72" t="str">
        <f t="shared" si="65"/>
        <v/>
      </c>
      <c r="N4179" s="15"/>
    </row>
    <row r="4180" spans="1:14" s="14" customFormat="1" ht="18" x14ac:dyDescent="0.25">
      <c r="A4180" s="91"/>
      <c r="B4180" s="90"/>
      <c r="C4180" s="88"/>
      <c r="D4180" s="89"/>
      <c r="E4180" s="90"/>
      <c r="F4180" s="91"/>
      <c r="G4180" s="90"/>
      <c r="H4180" s="92"/>
      <c r="I4180" s="87"/>
      <c r="J4180" s="93"/>
      <c r="K4180" s="92"/>
      <c r="L4180" s="72" t="str">
        <f t="shared" si="65"/>
        <v/>
      </c>
      <c r="N4180" s="15"/>
    </row>
    <row r="4181" spans="1:14" s="14" customFormat="1" ht="18" x14ac:dyDescent="0.25">
      <c r="A4181" s="91"/>
      <c r="B4181" s="90"/>
      <c r="C4181" s="88"/>
      <c r="D4181" s="89"/>
      <c r="E4181" s="90"/>
      <c r="F4181" s="91"/>
      <c r="G4181" s="90"/>
      <c r="H4181" s="92"/>
      <c r="I4181" s="87"/>
      <c r="J4181" s="93"/>
      <c r="K4181" s="92"/>
      <c r="L4181" s="72" t="str">
        <f t="shared" si="65"/>
        <v/>
      </c>
      <c r="N4181" s="15"/>
    </row>
    <row r="4182" spans="1:14" s="14" customFormat="1" ht="18" x14ac:dyDescent="0.25">
      <c r="A4182" s="91"/>
      <c r="B4182" s="90"/>
      <c r="C4182" s="88"/>
      <c r="D4182" s="89"/>
      <c r="E4182" s="90"/>
      <c r="F4182" s="91"/>
      <c r="G4182" s="90"/>
      <c r="H4182" s="92"/>
      <c r="I4182" s="87"/>
      <c r="J4182" s="93"/>
      <c r="K4182" s="92"/>
      <c r="L4182" s="72" t="str">
        <f t="shared" si="65"/>
        <v/>
      </c>
      <c r="N4182" s="15"/>
    </row>
    <row r="4183" spans="1:14" s="14" customFormat="1" ht="18" x14ac:dyDescent="0.25">
      <c r="A4183" s="91"/>
      <c r="B4183" s="90"/>
      <c r="C4183" s="88"/>
      <c r="D4183" s="89"/>
      <c r="E4183" s="90"/>
      <c r="F4183" s="91"/>
      <c r="G4183" s="90"/>
      <c r="H4183" s="92"/>
      <c r="I4183" s="87"/>
      <c r="J4183" s="93"/>
      <c r="K4183" s="92"/>
      <c r="L4183" s="72" t="str">
        <f t="shared" si="65"/>
        <v/>
      </c>
      <c r="N4183" s="15"/>
    </row>
    <row r="4184" spans="1:14" s="14" customFormat="1" ht="18" x14ac:dyDescent="0.25">
      <c r="A4184" s="91"/>
      <c r="B4184" s="90"/>
      <c r="C4184" s="88"/>
      <c r="D4184" s="89"/>
      <c r="E4184" s="90"/>
      <c r="F4184" s="91"/>
      <c r="G4184" s="90"/>
      <c r="H4184" s="92"/>
      <c r="I4184" s="87"/>
      <c r="J4184" s="93"/>
      <c r="K4184" s="92"/>
      <c r="L4184" s="72" t="str">
        <f t="shared" si="65"/>
        <v/>
      </c>
      <c r="N4184" s="15"/>
    </row>
    <row r="4185" spans="1:14" s="14" customFormat="1" ht="18" x14ac:dyDescent="0.25">
      <c r="A4185" s="91"/>
      <c r="B4185" s="90"/>
      <c r="C4185" s="88"/>
      <c r="D4185" s="89"/>
      <c r="E4185" s="90"/>
      <c r="F4185" s="91"/>
      <c r="G4185" s="90"/>
      <c r="H4185" s="92"/>
      <c r="I4185" s="87"/>
      <c r="J4185" s="93"/>
      <c r="K4185" s="92"/>
      <c r="L4185" s="72" t="str">
        <f t="shared" si="65"/>
        <v/>
      </c>
      <c r="N4185" s="15"/>
    </row>
    <row r="4186" spans="1:14" s="14" customFormat="1" ht="18" x14ac:dyDescent="0.25">
      <c r="A4186" s="91"/>
      <c r="B4186" s="90"/>
      <c r="C4186" s="88"/>
      <c r="D4186" s="89"/>
      <c r="E4186" s="90"/>
      <c r="F4186" s="91"/>
      <c r="G4186" s="90"/>
      <c r="H4186" s="92"/>
      <c r="I4186" s="87"/>
      <c r="J4186" s="93"/>
      <c r="K4186" s="92"/>
      <c r="L4186" s="72" t="str">
        <f t="shared" si="65"/>
        <v/>
      </c>
      <c r="N4186" s="15"/>
    </row>
    <row r="4187" spans="1:14" s="14" customFormat="1" ht="18" x14ac:dyDescent="0.25">
      <c r="A4187" s="91"/>
      <c r="B4187" s="90"/>
      <c r="C4187" s="88"/>
      <c r="D4187" s="89"/>
      <c r="E4187" s="90"/>
      <c r="F4187" s="91"/>
      <c r="G4187" s="90"/>
      <c r="H4187" s="92"/>
      <c r="I4187" s="87"/>
      <c r="J4187" s="93"/>
      <c r="K4187" s="92"/>
      <c r="L4187" s="72" t="str">
        <f t="shared" si="65"/>
        <v/>
      </c>
      <c r="N4187" s="15"/>
    </row>
    <row r="4188" spans="1:14" s="14" customFormat="1" ht="18" x14ac:dyDescent="0.25">
      <c r="A4188" s="91"/>
      <c r="B4188" s="90"/>
      <c r="C4188" s="88"/>
      <c r="D4188" s="89"/>
      <c r="E4188" s="90"/>
      <c r="F4188" s="91"/>
      <c r="G4188" s="90"/>
      <c r="H4188" s="92"/>
      <c r="I4188" s="87"/>
      <c r="J4188" s="93"/>
      <c r="K4188" s="92"/>
      <c r="L4188" s="72" t="str">
        <f t="shared" si="65"/>
        <v/>
      </c>
      <c r="N4188" s="15"/>
    </row>
    <row r="4189" spans="1:14" s="14" customFormat="1" ht="18" x14ac:dyDescent="0.25">
      <c r="A4189" s="91"/>
      <c r="B4189" s="90"/>
      <c r="C4189" s="88"/>
      <c r="D4189" s="89"/>
      <c r="E4189" s="90"/>
      <c r="F4189" s="91"/>
      <c r="G4189" s="90"/>
      <c r="H4189" s="92"/>
      <c r="I4189" s="87"/>
      <c r="J4189" s="93"/>
      <c r="K4189" s="92"/>
      <c r="L4189" s="72" t="str">
        <f t="shared" si="65"/>
        <v/>
      </c>
      <c r="N4189" s="15"/>
    </row>
    <row r="4190" spans="1:14" s="14" customFormat="1" ht="18" x14ac:dyDescent="0.25">
      <c r="A4190" s="91"/>
      <c r="B4190" s="90"/>
      <c r="C4190" s="88"/>
      <c r="D4190" s="89"/>
      <c r="E4190" s="90"/>
      <c r="F4190" s="91"/>
      <c r="G4190" s="90"/>
      <c r="H4190" s="92"/>
      <c r="I4190" s="87"/>
      <c r="J4190" s="93"/>
      <c r="K4190" s="92"/>
      <c r="L4190" s="72" t="str">
        <f t="shared" ref="L4190:L4253" si="66">IF(ISBLANK(H4190),"",IF(H4190=K4190,"Payé","Impayé"))</f>
        <v/>
      </c>
      <c r="N4190" s="15"/>
    </row>
    <row r="4191" spans="1:14" s="14" customFormat="1" ht="18" x14ac:dyDescent="0.25">
      <c r="A4191" s="91"/>
      <c r="B4191" s="90"/>
      <c r="C4191" s="88"/>
      <c r="D4191" s="89"/>
      <c r="E4191" s="90"/>
      <c r="F4191" s="91"/>
      <c r="G4191" s="90"/>
      <c r="H4191" s="92"/>
      <c r="I4191" s="87"/>
      <c r="J4191" s="93"/>
      <c r="K4191" s="92"/>
      <c r="L4191" s="72" t="str">
        <f t="shared" si="66"/>
        <v/>
      </c>
      <c r="N4191" s="15"/>
    </row>
    <row r="4192" spans="1:14" s="14" customFormat="1" ht="18" x14ac:dyDescent="0.25">
      <c r="A4192" s="91"/>
      <c r="B4192" s="90"/>
      <c r="C4192" s="88"/>
      <c r="D4192" s="89"/>
      <c r="E4192" s="90"/>
      <c r="F4192" s="91"/>
      <c r="G4192" s="90"/>
      <c r="H4192" s="92"/>
      <c r="I4192" s="87"/>
      <c r="J4192" s="93"/>
      <c r="K4192" s="92"/>
      <c r="L4192" s="72" t="str">
        <f t="shared" si="66"/>
        <v/>
      </c>
      <c r="N4192" s="15"/>
    </row>
    <row r="4193" spans="1:14" s="14" customFormat="1" ht="18" x14ac:dyDescent="0.25">
      <c r="A4193" s="91"/>
      <c r="B4193" s="90"/>
      <c r="C4193" s="88"/>
      <c r="D4193" s="89"/>
      <c r="E4193" s="90"/>
      <c r="F4193" s="91"/>
      <c r="G4193" s="90"/>
      <c r="H4193" s="92"/>
      <c r="I4193" s="87"/>
      <c r="J4193" s="93"/>
      <c r="K4193" s="92"/>
      <c r="L4193" s="72" t="str">
        <f t="shared" si="66"/>
        <v/>
      </c>
      <c r="N4193" s="15"/>
    </row>
    <row r="4194" spans="1:14" s="14" customFormat="1" ht="18" x14ac:dyDescent="0.25">
      <c r="A4194" s="91"/>
      <c r="B4194" s="90"/>
      <c r="C4194" s="88"/>
      <c r="D4194" s="89"/>
      <c r="E4194" s="90"/>
      <c r="F4194" s="91"/>
      <c r="G4194" s="90"/>
      <c r="H4194" s="92"/>
      <c r="I4194" s="87"/>
      <c r="J4194" s="93"/>
      <c r="K4194" s="92"/>
      <c r="L4194" s="72" t="str">
        <f t="shared" si="66"/>
        <v/>
      </c>
      <c r="N4194" s="15"/>
    </row>
    <row r="4195" spans="1:14" s="14" customFormat="1" ht="18" x14ac:dyDescent="0.25">
      <c r="A4195" s="91"/>
      <c r="B4195" s="90"/>
      <c r="C4195" s="88"/>
      <c r="D4195" s="89"/>
      <c r="E4195" s="90"/>
      <c r="F4195" s="91"/>
      <c r="G4195" s="90"/>
      <c r="H4195" s="92"/>
      <c r="I4195" s="87"/>
      <c r="J4195" s="93"/>
      <c r="K4195" s="92"/>
      <c r="L4195" s="72" t="str">
        <f t="shared" si="66"/>
        <v/>
      </c>
      <c r="N4195" s="15"/>
    </row>
    <row r="4196" spans="1:14" s="14" customFormat="1" ht="18" x14ac:dyDescent="0.25">
      <c r="A4196" s="91"/>
      <c r="B4196" s="90"/>
      <c r="C4196" s="88"/>
      <c r="D4196" s="89"/>
      <c r="E4196" s="90"/>
      <c r="F4196" s="91"/>
      <c r="G4196" s="90"/>
      <c r="H4196" s="92"/>
      <c r="I4196" s="87"/>
      <c r="J4196" s="93"/>
      <c r="K4196" s="92"/>
      <c r="L4196" s="72" t="str">
        <f t="shared" si="66"/>
        <v/>
      </c>
      <c r="N4196" s="15"/>
    </row>
    <row r="4197" spans="1:14" s="14" customFormat="1" ht="18" x14ac:dyDescent="0.25">
      <c r="A4197" s="91"/>
      <c r="B4197" s="90"/>
      <c r="C4197" s="88"/>
      <c r="D4197" s="89"/>
      <c r="E4197" s="90"/>
      <c r="F4197" s="91"/>
      <c r="G4197" s="90"/>
      <c r="H4197" s="92"/>
      <c r="I4197" s="87"/>
      <c r="J4197" s="93"/>
      <c r="K4197" s="92"/>
      <c r="L4197" s="72" t="str">
        <f t="shared" si="66"/>
        <v/>
      </c>
      <c r="N4197" s="15"/>
    </row>
    <row r="4198" spans="1:14" s="14" customFormat="1" ht="18" x14ac:dyDescent="0.25">
      <c r="A4198" s="91"/>
      <c r="B4198" s="90"/>
      <c r="C4198" s="88"/>
      <c r="D4198" s="89"/>
      <c r="E4198" s="90"/>
      <c r="F4198" s="91"/>
      <c r="G4198" s="90"/>
      <c r="H4198" s="92"/>
      <c r="I4198" s="87"/>
      <c r="J4198" s="93"/>
      <c r="K4198" s="92"/>
      <c r="L4198" s="72" t="str">
        <f t="shared" si="66"/>
        <v/>
      </c>
      <c r="N4198" s="15"/>
    </row>
    <row r="4199" spans="1:14" s="14" customFormat="1" ht="18" x14ac:dyDescent="0.25">
      <c r="A4199" s="91"/>
      <c r="B4199" s="90"/>
      <c r="C4199" s="88"/>
      <c r="D4199" s="89"/>
      <c r="E4199" s="90"/>
      <c r="F4199" s="91"/>
      <c r="G4199" s="90"/>
      <c r="H4199" s="92"/>
      <c r="I4199" s="87"/>
      <c r="J4199" s="93"/>
      <c r="K4199" s="92"/>
      <c r="L4199" s="72" t="str">
        <f t="shared" si="66"/>
        <v/>
      </c>
      <c r="N4199" s="15"/>
    </row>
    <row r="4200" spans="1:14" s="14" customFormat="1" ht="18" x14ac:dyDescent="0.25">
      <c r="A4200" s="91"/>
      <c r="B4200" s="90"/>
      <c r="C4200" s="88"/>
      <c r="D4200" s="89"/>
      <c r="E4200" s="90"/>
      <c r="F4200" s="91"/>
      <c r="G4200" s="90"/>
      <c r="H4200" s="92"/>
      <c r="I4200" s="87"/>
      <c r="J4200" s="93"/>
      <c r="K4200" s="92"/>
      <c r="L4200" s="72" t="str">
        <f t="shared" si="66"/>
        <v/>
      </c>
      <c r="N4200" s="15"/>
    </row>
    <row r="4201" spans="1:14" s="14" customFormat="1" ht="18" x14ac:dyDescent="0.25">
      <c r="A4201" s="91"/>
      <c r="B4201" s="90"/>
      <c r="C4201" s="88"/>
      <c r="D4201" s="89"/>
      <c r="E4201" s="90"/>
      <c r="F4201" s="91"/>
      <c r="G4201" s="90"/>
      <c r="H4201" s="92"/>
      <c r="I4201" s="87"/>
      <c r="J4201" s="93"/>
      <c r="K4201" s="92"/>
      <c r="L4201" s="72" t="str">
        <f t="shared" si="66"/>
        <v/>
      </c>
      <c r="N4201" s="15"/>
    </row>
    <row r="4202" spans="1:14" s="14" customFormat="1" ht="18" x14ac:dyDescent="0.25">
      <c r="A4202" s="91"/>
      <c r="B4202" s="90"/>
      <c r="C4202" s="88"/>
      <c r="D4202" s="89"/>
      <c r="E4202" s="90"/>
      <c r="F4202" s="91"/>
      <c r="G4202" s="90"/>
      <c r="H4202" s="92"/>
      <c r="I4202" s="87"/>
      <c r="J4202" s="93"/>
      <c r="K4202" s="92"/>
      <c r="L4202" s="72" t="str">
        <f t="shared" si="66"/>
        <v/>
      </c>
      <c r="N4202" s="15"/>
    </row>
    <row r="4203" spans="1:14" s="14" customFormat="1" ht="18" x14ac:dyDescent="0.25">
      <c r="A4203" s="91"/>
      <c r="B4203" s="90"/>
      <c r="C4203" s="88"/>
      <c r="D4203" s="89"/>
      <c r="E4203" s="90"/>
      <c r="F4203" s="91"/>
      <c r="G4203" s="90"/>
      <c r="H4203" s="92"/>
      <c r="I4203" s="87"/>
      <c r="J4203" s="93"/>
      <c r="K4203" s="92"/>
      <c r="L4203" s="72" t="str">
        <f t="shared" si="66"/>
        <v/>
      </c>
      <c r="N4203" s="15"/>
    </row>
    <row r="4204" spans="1:14" s="14" customFormat="1" ht="18" x14ac:dyDescent="0.25">
      <c r="A4204" s="91"/>
      <c r="B4204" s="90"/>
      <c r="C4204" s="88"/>
      <c r="D4204" s="89"/>
      <c r="E4204" s="90"/>
      <c r="F4204" s="91"/>
      <c r="G4204" s="90"/>
      <c r="H4204" s="92"/>
      <c r="I4204" s="87"/>
      <c r="J4204" s="93"/>
      <c r="K4204" s="92"/>
      <c r="L4204" s="72" t="str">
        <f t="shared" si="66"/>
        <v/>
      </c>
      <c r="N4204" s="15"/>
    </row>
    <row r="4205" spans="1:14" s="14" customFormat="1" ht="18" x14ac:dyDescent="0.25">
      <c r="A4205" s="91"/>
      <c r="B4205" s="90"/>
      <c r="C4205" s="88"/>
      <c r="D4205" s="89"/>
      <c r="E4205" s="90"/>
      <c r="F4205" s="91"/>
      <c r="G4205" s="90"/>
      <c r="H4205" s="92"/>
      <c r="I4205" s="87"/>
      <c r="J4205" s="93"/>
      <c r="K4205" s="92"/>
      <c r="L4205" s="72" t="str">
        <f t="shared" si="66"/>
        <v/>
      </c>
      <c r="N4205" s="15"/>
    </row>
    <row r="4206" spans="1:14" s="14" customFormat="1" ht="18" x14ac:dyDescent="0.25">
      <c r="A4206" s="91"/>
      <c r="B4206" s="90"/>
      <c r="C4206" s="88"/>
      <c r="D4206" s="89"/>
      <c r="E4206" s="90"/>
      <c r="F4206" s="91"/>
      <c r="G4206" s="90"/>
      <c r="H4206" s="92"/>
      <c r="I4206" s="87"/>
      <c r="J4206" s="93"/>
      <c r="K4206" s="92"/>
      <c r="L4206" s="72" t="str">
        <f t="shared" si="66"/>
        <v/>
      </c>
      <c r="N4206" s="15"/>
    </row>
    <row r="4207" spans="1:14" s="14" customFormat="1" ht="18" x14ac:dyDescent="0.25">
      <c r="A4207" s="91"/>
      <c r="B4207" s="90"/>
      <c r="C4207" s="88"/>
      <c r="D4207" s="89"/>
      <c r="E4207" s="90"/>
      <c r="F4207" s="91"/>
      <c r="G4207" s="90"/>
      <c r="H4207" s="92"/>
      <c r="I4207" s="87"/>
      <c r="J4207" s="93"/>
      <c r="K4207" s="92"/>
      <c r="L4207" s="72" t="str">
        <f t="shared" si="66"/>
        <v/>
      </c>
      <c r="N4207" s="15"/>
    </row>
    <row r="4208" spans="1:14" s="14" customFormat="1" ht="18" x14ac:dyDescent="0.25">
      <c r="A4208" s="91"/>
      <c r="B4208" s="90"/>
      <c r="C4208" s="88"/>
      <c r="D4208" s="89"/>
      <c r="E4208" s="90"/>
      <c r="F4208" s="91"/>
      <c r="G4208" s="90"/>
      <c r="H4208" s="92"/>
      <c r="I4208" s="87"/>
      <c r="J4208" s="93"/>
      <c r="K4208" s="92"/>
      <c r="L4208" s="72" t="str">
        <f t="shared" si="66"/>
        <v/>
      </c>
      <c r="N4208" s="15"/>
    </row>
    <row r="4209" spans="1:14" s="14" customFormat="1" ht="18" x14ac:dyDescent="0.25">
      <c r="A4209" s="91"/>
      <c r="B4209" s="90"/>
      <c r="C4209" s="88"/>
      <c r="D4209" s="89"/>
      <c r="E4209" s="90"/>
      <c r="F4209" s="91"/>
      <c r="G4209" s="90"/>
      <c r="H4209" s="92"/>
      <c r="I4209" s="87"/>
      <c r="J4209" s="93"/>
      <c r="K4209" s="92"/>
      <c r="L4209" s="72" t="str">
        <f t="shared" si="66"/>
        <v/>
      </c>
      <c r="N4209" s="15"/>
    </row>
    <row r="4210" spans="1:14" s="14" customFormat="1" ht="18" x14ac:dyDescent="0.25">
      <c r="A4210" s="91"/>
      <c r="B4210" s="90"/>
      <c r="C4210" s="88"/>
      <c r="D4210" s="89"/>
      <c r="E4210" s="90"/>
      <c r="F4210" s="91"/>
      <c r="G4210" s="90"/>
      <c r="H4210" s="92"/>
      <c r="I4210" s="87"/>
      <c r="J4210" s="93"/>
      <c r="K4210" s="92"/>
      <c r="L4210" s="72" t="str">
        <f t="shared" si="66"/>
        <v/>
      </c>
      <c r="N4210" s="15"/>
    </row>
    <row r="4211" spans="1:14" s="14" customFormat="1" ht="18" x14ac:dyDescent="0.25">
      <c r="A4211" s="91"/>
      <c r="B4211" s="90"/>
      <c r="C4211" s="88"/>
      <c r="D4211" s="89"/>
      <c r="E4211" s="90"/>
      <c r="F4211" s="91"/>
      <c r="G4211" s="90"/>
      <c r="H4211" s="92"/>
      <c r="I4211" s="87"/>
      <c r="J4211" s="93"/>
      <c r="K4211" s="92"/>
      <c r="L4211" s="72" t="str">
        <f t="shared" si="66"/>
        <v/>
      </c>
      <c r="N4211" s="15"/>
    </row>
    <row r="4212" spans="1:14" s="14" customFormat="1" ht="18" x14ac:dyDescent="0.25">
      <c r="A4212" s="91"/>
      <c r="B4212" s="90"/>
      <c r="C4212" s="88"/>
      <c r="D4212" s="89"/>
      <c r="E4212" s="90"/>
      <c r="F4212" s="91"/>
      <c r="G4212" s="90"/>
      <c r="H4212" s="92"/>
      <c r="I4212" s="87"/>
      <c r="J4212" s="93"/>
      <c r="K4212" s="92"/>
      <c r="L4212" s="72" t="str">
        <f t="shared" si="66"/>
        <v/>
      </c>
      <c r="N4212" s="15"/>
    </row>
    <row r="4213" spans="1:14" s="14" customFormat="1" ht="18" x14ac:dyDescent="0.25">
      <c r="A4213" s="91"/>
      <c r="B4213" s="90"/>
      <c r="C4213" s="88"/>
      <c r="D4213" s="89"/>
      <c r="E4213" s="90"/>
      <c r="F4213" s="91"/>
      <c r="G4213" s="90"/>
      <c r="H4213" s="92"/>
      <c r="I4213" s="87"/>
      <c r="J4213" s="93"/>
      <c r="K4213" s="92"/>
      <c r="L4213" s="72" t="str">
        <f t="shared" si="66"/>
        <v/>
      </c>
      <c r="N4213" s="15"/>
    </row>
    <row r="4214" spans="1:14" s="14" customFormat="1" ht="18" x14ac:dyDescent="0.25">
      <c r="A4214" s="91"/>
      <c r="B4214" s="90"/>
      <c r="C4214" s="88"/>
      <c r="D4214" s="89"/>
      <c r="E4214" s="90"/>
      <c r="F4214" s="91"/>
      <c r="G4214" s="90"/>
      <c r="H4214" s="92"/>
      <c r="I4214" s="87"/>
      <c r="J4214" s="93"/>
      <c r="K4214" s="92"/>
      <c r="L4214" s="72" t="str">
        <f t="shared" si="66"/>
        <v/>
      </c>
      <c r="N4214" s="15"/>
    </row>
    <row r="4215" spans="1:14" s="14" customFormat="1" ht="18" x14ac:dyDescent="0.25">
      <c r="A4215" s="91"/>
      <c r="B4215" s="90"/>
      <c r="C4215" s="88"/>
      <c r="D4215" s="89"/>
      <c r="E4215" s="90"/>
      <c r="F4215" s="91"/>
      <c r="G4215" s="90"/>
      <c r="H4215" s="92"/>
      <c r="I4215" s="87"/>
      <c r="J4215" s="93"/>
      <c r="K4215" s="92"/>
      <c r="L4215" s="72" t="str">
        <f t="shared" si="66"/>
        <v/>
      </c>
      <c r="N4215" s="15"/>
    </row>
    <row r="4216" spans="1:14" s="14" customFormat="1" ht="18" x14ac:dyDescent="0.25">
      <c r="A4216" s="91"/>
      <c r="B4216" s="90"/>
      <c r="C4216" s="88"/>
      <c r="D4216" s="89"/>
      <c r="E4216" s="90"/>
      <c r="F4216" s="91"/>
      <c r="G4216" s="90"/>
      <c r="H4216" s="92"/>
      <c r="I4216" s="87"/>
      <c r="J4216" s="93"/>
      <c r="K4216" s="92"/>
      <c r="L4216" s="72" t="str">
        <f t="shared" si="66"/>
        <v/>
      </c>
      <c r="N4216" s="15"/>
    </row>
    <row r="4217" spans="1:14" s="14" customFormat="1" ht="18" x14ac:dyDescent="0.25">
      <c r="A4217" s="91"/>
      <c r="B4217" s="90"/>
      <c r="C4217" s="88"/>
      <c r="D4217" s="89"/>
      <c r="E4217" s="90"/>
      <c r="F4217" s="91"/>
      <c r="G4217" s="90"/>
      <c r="H4217" s="92"/>
      <c r="I4217" s="87"/>
      <c r="J4217" s="93"/>
      <c r="K4217" s="92"/>
      <c r="L4217" s="72" t="str">
        <f t="shared" si="66"/>
        <v/>
      </c>
      <c r="N4217" s="15"/>
    </row>
    <row r="4218" spans="1:14" s="14" customFormat="1" ht="18" x14ac:dyDescent="0.25">
      <c r="A4218" s="91"/>
      <c r="B4218" s="90"/>
      <c r="C4218" s="88"/>
      <c r="D4218" s="89"/>
      <c r="E4218" s="90"/>
      <c r="F4218" s="91"/>
      <c r="G4218" s="90"/>
      <c r="H4218" s="92"/>
      <c r="I4218" s="87"/>
      <c r="J4218" s="93"/>
      <c r="K4218" s="92"/>
      <c r="L4218" s="72" t="str">
        <f t="shared" si="66"/>
        <v/>
      </c>
      <c r="N4218" s="15"/>
    </row>
    <row r="4219" spans="1:14" s="14" customFormat="1" ht="18" x14ac:dyDescent="0.25">
      <c r="A4219" s="91"/>
      <c r="B4219" s="90"/>
      <c r="C4219" s="88"/>
      <c r="D4219" s="89"/>
      <c r="E4219" s="90"/>
      <c r="F4219" s="91"/>
      <c r="G4219" s="90"/>
      <c r="H4219" s="92"/>
      <c r="I4219" s="87"/>
      <c r="J4219" s="93"/>
      <c r="K4219" s="92"/>
      <c r="L4219" s="72" t="str">
        <f t="shared" si="66"/>
        <v/>
      </c>
      <c r="N4219" s="15"/>
    </row>
    <row r="4220" spans="1:14" s="14" customFormat="1" ht="18" x14ac:dyDescent="0.25">
      <c r="A4220" s="91"/>
      <c r="B4220" s="90"/>
      <c r="C4220" s="88"/>
      <c r="D4220" s="89"/>
      <c r="E4220" s="90"/>
      <c r="F4220" s="91"/>
      <c r="G4220" s="90"/>
      <c r="H4220" s="92"/>
      <c r="I4220" s="87"/>
      <c r="J4220" s="93"/>
      <c r="K4220" s="92"/>
      <c r="L4220" s="72" t="str">
        <f t="shared" si="66"/>
        <v/>
      </c>
      <c r="N4220" s="15"/>
    </row>
    <row r="4221" spans="1:14" s="14" customFormat="1" ht="18" x14ac:dyDescent="0.25">
      <c r="A4221" s="91"/>
      <c r="B4221" s="90"/>
      <c r="C4221" s="88"/>
      <c r="D4221" s="89"/>
      <c r="E4221" s="90"/>
      <c r="F4221" s="91"/>
      <c r="G4221" s="90"/>
      <c r="H4221" s="92"/>
      <c r="I4221" s="87"/>
      <c r="J4221" s="93"/>
      <c r="K4221" s="92"/>
      <c r="L4221" s="72" t="str">
        <f t="shared" si="66"/>
        <v/>
      </c>
      <c r="N4221" s="15"/>
    </row>
    <row r="4222" spans="1:14" s="14" customFormat="1" ht="18" x14ac:dyDescent="0.25">
      <c r="A4222" s="91"/>
      <c r="B4222" s="90"/>
      <c r="C4222" s="88"/>
      <c r="D4222" s="89"/>
      <c r="E4222" s="90"/>
      <c r="F4222" s="91"/>
      <c r="G4222" s="90"/>
      <c r="H4222" s="92"/>
      <c r="I4222" s="87"/>
      <c r="J4222" s="93"/>
      <c r="K4222" s="92"/>
      <c r="L4222" s="72" t="str">
        <f t="shared" si="66"/>
        <v/>
      </c>
      <c r="N4222" s="15"/>
    </row>
    <row r="4223" spans="1:14" s="14" customFormat="1" ht="18" x14ac:dyDescent="0.25">
      <c r="A4223" s="91"/>
      <c r="B4223" s="90"/>
      <c r="C4223" s="88"/>
      <c r="D4223" s="89"/>
      <c r="E4223" s="90"/>
      <c r="F4223" s="91"/>
      <c r="G4223" s="90"/>
      <c r="H4223" s="92"/>
      <c r="I4223" s="87"/>
      <c r="J4223" s="93"/>
      <c r="K4223" s="92"/>
      <c r="L4223" s="72" t="str">
        <f t="shared" si="66"/>
        <v/>
      </c>
      <c r="N4223" s="15"/>
    </row>
    <row r="4224" spans="1:14" s="14" customFormat="1" ht="18" x14ac:dyDescent="0.25">
      <c r="A4224" s="91"/>
      <c r="B4224" s="90"/>
      <c r="C4224" s="88"/>
      <c r="D4224" s="89"/>
      <c r="E4224" s="90"/>
      <c r="F4224" s="91"/>
      <c r="G4224" s="90"/>
      <c r="H4224" s="92"/>
      <c r="I4224" s="87"/>
      <c r="J4224" s="93"/>
      <c r="K4224" s="92"/>
      <c r="L4224" s="72" t="str">
        <f t="shared" si="66"/>
        <v/>
      </c>
      <c r="N4224" s="15"/>
    </row>
    <row r="4225" spans="1:14" s="14" customFormat="1" ht="18" x14ac:dyDescent="0.25">
      <c r="A4225" s="91"/>
      <c r="B4225" s="90"/>
      <c r="C4225" s="88"/>
      <c r="D4225" s="89"/>
      <c r="E4225" s="90"/>
      <c r="F4225" s="91"/>
      <c r="G4225" s="90"/>
      <c r="H4225" s="92"/>
      <c r="I4225" s="87"/>
      <c r="J4225" s="93"/>
      <c r="K4225" s="92"/>
      <c r="L4225" s="72" t="str">
        <f t="shared" si="66"/>
        <v/>
      </c>
      <c r="N4225" s="15"/>
    </row>
    <row r="4226" spans="1:14" s="14" customFormat="1" ht="18" x14ac:dyDescent="0.25">
      <c r="A4226" s="91"/>
      <c r="B4226" s="90"/>
      <c r="C4226" s="88"/>
      <c r="D4226" s="89"/>
      <c r="E4226" s="90"/>
      <c r="F4226" s="91"/>
      <c r="G4226" s="90"/>
      <c r="H4226" s="92"/>
      <c r="I4226" s="87"/>
      <c r="J4226" s="93"/>
      <c r="K4226" s="92"/>
      <c r="L4226" s="72" t="str">
        <f t="shared" si="66"/>
        <v/>
      </c>
      <c r="N4226" s="15"/>
    </row>
    <row r="4227" spans="1:14" s="14" customFormat="1" ht="18" x14ac:dyDescent="0.25">
      <c r="A4227" s="91"/>
      <c r="B4227" s="90"/>
      <c r="C4227" s="88"/>
      <c r="D4227" s="89"/>
      <c r="E4227" s="90"/>
      <c r="F4227" s="91"/>
      <c r="G4227" s="90"/>
      <c r="H4227" s="92"/>
      <c r="I4227" s="87"/>
      <c r="J4227" s="93"/>
      <c r="K4227" s="92"/>
      <c r="L4227" s="72" t="str">
        <f t="shared" si="66"/>
        <v/>
      </c>
      <c r="N4227" s="15"/>
    </row>
    <row r="4228" spans="1:14" s="14" customFormat="1" ht="18" x14ac:dyDescent="0.25">
      <c r="A4228" s="91"/>
      <c r="B4228" s="90"/>
      <c r="C4228" s="88"/>
      <c r="D4228" s="89"/>
      <c r="E4228" s="90"/>
      <c r="F4228" s="91"/>
      <c r="G4228" s="90"/>
      <c r="H4228" s="92"/>
      <c r="I4228" s="87"/>
      <c r="J4228" s="93"/>
      <c r="K4228" s="92"/>
      <c r="L4228" s="72" t="str">
        <f t="shared" si="66"/>
        <v/>
      </c>
      <c r="N4228" s="15"/>
    </row>
    <row r="4229" spans="1:14" s="14" customFormat="1" ht="18" x14ac:dyDescent="0.25">
      <c r="A4229" s="91"/>
      <c r="B4229" s="90"/>
      <c r="C4229" s="88"/>
      <c r="D4229" s="89"/>
      <c r="E4229" s="90"/>
      <c r="F4229" s="91"/>
      <c r="G4229" s="90"/>
      <c r="H4229" s="92"/>
      <c r="I4229" s="87"/>
      <c r="J4229" s="93"/>
      <c r="K4229" s="92"/>
      <c r="L4229" s="72" t="str">
        <f t="shared" si="66"/>
        <v/>
      </c>
      <c r="N4229" s="15"/>
    </row>
    <row r="4230" spans="1:14" s="14" customFormat="1" ht="18" x14ac:dyDescent="0.25">
      <c r="A4230" s="91"/>
      <c r="B4230" s="90"/>
      <c r="C4230" s="88"/>
      <c r="D4230" s="89"/>
      <c r="E4230" s="90"/>
      <c r="F4230" s="91"/>
      <c r="G4230" s="90"/>
      <c r="H4230" s="92"/>
      <c r="I4230" s="87"/>
      <c r="J4230" s="93"/>
      <c r="K4230" s="92"/>
      <c r="L4230" s="72" t="str">
        <f t="shared" si="66"/>
        <v/>
      </c>
      <c r="N4230" s="15"/>
    </row>
    <row r="4231" spans="1:14" s="14" customFormat="1" ht="18" x14ac:dyDescent="0.25">
      <c r="A4231" s="91"/>
      <c r="B4231" s="90"/>
      <c r="C4231" s="88"/>
      <c r="D4231" s="89"/>
      <c r="E4231" s="90"/>
      <c r="F4231" s="91"/>
      <c r="G4231" s="90"/>
      <c r="H4231" s="92"/>
      <c r="I4231" s="87"/>
      <c r="J4231" s="93"/>
      <c r="K4231" s="92"/>
      <c r="L4231" s="72" t="str">
        <f t="shared" si="66"/>
        <v/>
      </c>
      <c r="N4231" s="15"/>
    </row>
    <row r="4232" spans="1:14" s="14" customFormat="1" ht="18" x14ac:dyDescent="0.25">
      <c r="A4232" s="91"/>
      <c r="B4232" s="90"/>
      <c r="C4232" s="88"/>
      <c r="D4232" s="89"/>
      <c r="E4232" s="90"/>
      <c r="F4232" s="91"/>
      <c r="G4232" s="90"/>
      <c r="H4232" s="92"/>
      <c r="I4232" s="87"/>
      <c r="J4232" s="93"/>
      <c r="K4232" s="92"/>
      <c r="L4232" s="72" t="str">
        <f t="shared" si="66"/>
        <v/>
      </c>
      <c r="N4232" s="15"/>
    </row>
    <row r="4233" spans="1:14" s="14" customFormat="1" ht="18" x14ac:dyDescent="0.25">
      <c r="A4233" s="91"/>
      <c r="B4233" s="90"/>
      <c r="C4233" s="88"/>
      <c r="D4233" s="89"/>
      <c r="E4233" s="90"/>
      <c r="F4233" s="91"/>
      <c r="G4233" s="90"/>
      <c r="H4233" s="92"/>
      <c r="I4233" s="87"/>
      <c r="J4233" s="93"/>
      <c r="K4233" s="92"/>
      <c r="L4233" s="72" t="str">
        <f t="shared" si="66"/>
        <v/>
      </c>
      <c r="N4233" s="15"/>
    </row>
    <row r="4234" spans="1:14" s="14" customFormat="1" ht="18" x14ac:dyDescent="0.25">
      <c r="A4234" s="91"/>
      <c r="B4234" s="90"/>
      <c r="C4234" s="88"/>
      <c r="D4234" s="89"/>
      <c r="E4234" s="90"/>
      <c r="F4234" s="91"/>
      <c r="G4234" s="90"/>
      <c r="H4234" s="92"/>
      <c r="I4234" s="87"/>
      <c r="J4234" s="93"/>
      <c r="K4234" s="92"/>
      <c r="L4234" s="72" t="str">
        <f t="shared" si="66"/>
        <v/>
      </c>
      <c r="N4234" s="15"/>
    </row>
    <row r="4235" spans="1:14" s="14" customFormat="1" ht="18" x14ac:dyDescent="0.25">
      <c r="A4235" s="91"/>
      <c r="B4235" s="90"/>
      <c r="C4235" s="88"/>
      <c r="D4235" s="89"/>
      <c r="E4235" s="90"/>
      <c r="F4235" s="91"/>
      <c r="G4235" s="90"/>
      <c r="H4235" s="92"/>
      <c r="I4235" s="87"/>
      <c r="J4235" s="93"/>
      <c r="K4235" s="92"/>
      <c r="L4235" s="72" t="str">
        <f t="shared" si="66"/>
        <v/>
      </c>
      <c r="N4235" s="15"/>
    </row>
    <row r="4236" spans="1:14" s="14" customFormat="1" ht="18" x14ac:dyDescent="0.25">
      <c r="A4236" s="91"/>
      <c r="B4236" s="90"/>
      <c r="C4236" s="88"/>
      <c r="D4236" s="89"/>
      <c r="E4236" s="90"/>
      <c r="F4236" s="91"/>
      <c r="G4236" s="90"/>
      <c r="H4236" s="92"/>
      <c r="I4236" s="87"/>
      <c r="J4236" s="93"/>
      <c r="K4236" s="92"/>
      <c r="L4236" s="72" t="str">
        <f t="shared" si="66"/>
        <v/>
      </c>
      <c r="N4236" s="15"/>
    </row>
    <row r="4237" spans="1:14" s="14" customFormat="1" ht="18" x14ac:dyDescent="0.25">
      <c r="A4237" s="91"/>
      <c r="B4237" s="90"/>
      <c r="C4237" s="88"/>
      <c r="D4237" s="89"/>
      <c r="E4237" s="90"/>
      <c r="F4237" s="91"/>
      <c r="G4237" s="90"/>
      <c r="H4237" s="92"/>
      <c r="I4237" s="87"/>
      <c r="J4237" s="93"/>
      <c r="K4237" s="92"/>
      <c r="L4237" s="72" t="str">
        <f t="shared" si="66"/>
        <v/>
      </c>
      <c r="N4237" s="15"/>
    </row>
    <row r="4238" spans="1:14" s="14" customFormat="1" ht="18" x14ac:dyDescent="0.25">
      <c r="A4238" s="91"/>
      <c r="B4238" s="90"/>
      <c r="C4238" s="88"/>
      <c r="D4238" s="89"/>
      <c r="E4238" s="90"/>
      <c r="F4238" s="91"/>
      <c r="G4238" s="90"/>
      <c r="H4238" s="92"/>
      <c r="I4238" s="87"/>
      <c r="J4238" s="93"/>
      <c r="K4238" s="92"/>
      <c r="L4238" s="72" t="str">
        <f t="shared" si="66"/>
        <v/>
      </c>
      <c r="N4238" s="15"/>
    </row>
    <row r="4239" spans="1:14" s="14" customFormat="1" ht="18" x14ac:dyDescent="0.25">
      <c r="A4239" s="91"/>
      <c r="B4239" s="90"/>
      <c r="C4239" s="88"/>
      <c r="D4239" s="89"/>
      <c r="E4239" s="90"/>
      <c r="F4239" s="91"/>
      <c r="G4239" s="90"/>
      <c r="H4239" s="92"/>
      <c r="I4239" s="87"/>
      <c r="J4239" s="93"/>
      <c r="K4239" s="92"/>
      <c r="L4239" s="72" t="str">
        <f t="shared" si="66"/>
        <v/>
      </c>
      <c r="N4239" s="15"/>
    </row>
    <row r="4240" spans="1:14" s="14" customFormat="1" ht="18" x14ac:dyDescent="0.25">
      <c r="A4240" s="91"/>
      <c r="B4240" s="90"/>
      <c r="C4240" s="88"/>
      <c r="D4240" s="89"/>
      <c r="E4240" s="90"/>
      <c r="F4240" s="91"/>
      <c r="G4240" s="90"/>
      <c r="H4240" s="92"/>
      <c r="I4240" s="87"/>
      <c r="J4240" s="93"/>
      <c r="K4240" s="92"/>
      <c r="L4240" s="72" t="str">
        <f t="shared" si="66"/>
        <v/>
      </c>
      <c r="N4240" s="15"/>
    </row>
    <row r="4241" spans="1:14" s="14" customFormat="1" ht="18" x14ac:dyDescent="0.25">
      <c r="A4241" s="91"/>
      <c r="B4241" s="90"/>
      <c r="C4241" s="88"/>
      <c r="D4241" s="89"/>
      <c r="E4241" s="90"/>
      <c r="F4241" s="91"/>
      <c r="G4241" s="90"/>
      <c r="H4241" s="92"/>
      <c r="I4241" s="87"/>
      <c r="J4241" s="93"/>
      <c r="K4241" s="92"/>
      <c r="L4241" s="72" t="str">
        <f t="shared" si="66"/>
        <v/>
      </c>
      <c r="N4241" s="15"/>
    </row>
    <row r="4242" spans="1:14" s="14" customFormat="1" ht="18" x14ac:dyDescent="0.25">
      <c r="A4242" s="91"/>
      <c r="B4242" s="90"/>
      <c r="C4242" s="88"/>
      <c r="D4242" s="89"/>
      <c r="E4242" s="90"/>
      <c r="F4242" s="91"/>
      <c r="G4242" s="90"/>
      <c r="H4242" s="92"/>
      <c r="I4242" s="87"/>
      <c r="J4242" s="93"/>
      <c r="K4242" s="92"/>
      <c r="L4242" s="72" t="str">
        <f t="shared" si="66"/>
        <v/>
      </c>
      <c r="N4242" s="15"/>
    </row>
    <row r="4243" spans="1:14" s="14" customFormat="1" ht="18" x14ac:dyDescent="0.25">
      <c r="A4243" s="91"/>
      <c r="B4243" s="90"/>
      <c r="C4243" s="88"/>
      <c r="D4243" s="89"/>
      <c r="E4243" s="90"/>
      <c r="F4243" s="91"/>
      <c r="G4243" s="90"/>
      <c r="H4243" s="92"/>
      <c r="I4243" s="87"/>
      <c r="J4243" s="93"/>
      <c r="K4243" s="92"/>
      <c r="L4243" s="72" t="str">
        <f t="shared" si="66"/>
        <v/>
      </c>
      <c r="N4243" s="15"/>
    </row>
    <row r="4244" spans="1:14" s="14" customFormat="1" ht="18" x14ac:dyDescent="0.25">
      <c r="A4244" s="91"/>
      <c r="B4244" s="90"/>
      <c r="C4244" s="88"/>
      <c r="D4244" s="89"/>
      <c r="E4244" s="90"/>
      <c r="F4244" s="91"/>
      <c r="G4244" s="90"/>
      <c r="H4244" s="92"/>
      <c r="I4244" s="87"/>
      <c r="J4244" s="93"/>
      <c r="K4244" s="92"/>
      <c r="L4244" s="72" t="str">
        <f t="shared" si="66"/>
        <v/>
      </c>
      <c r="N4244" s="15"/>
    </row>
    <row r="4245" spans="1:14" s="14" customFormat="1" ht="18" x14ac:dyDescent="0.25">
      <c r="A4245" s="91"/>
      <c r="B4245" s="90"/>
      <c r="C4245" s="88"/>
      <c r="D4245" s="89"/>
      <c r="E4245" s="90"/>
      <c r="F4245" s="91"/>
      <c r="G4245" s="90"/>
      <c r="H4245" s="92"/>
      <c r="I4245" s="87"/>
      <c r="J4245" s="93"/>
      <c r="K4245" s="92"/>
      <c r="L4245" s="72" t="str">
        <f t="shared" si="66"/>
        <v/>
      </c>
      <c r="N4245" s="15"/>
    </row>
    <row r="4246" spans="1:14" s="14" customFormat="1" ht="18" x14ac:dyDescent="0.25">
      <c r="A4246" s="91"/>
      <c r="B4246" s="90"/>
      <c r="C4246" s="88"/>
      <c r="D4246" s="89"/>
      <c r="E4246" s="90"/>
      <c r="F4246" s="91"/>
      <c r="G4246" s="90"/>
      <c r="H4246" s="92"/>
      <c r="I4246" s="87"/>
      <c r="J4246" s="93"/>
      <c r="K4246" s="92"/>
      <c r="L4246" s="72" t="str">
        <f t="shared" si="66"/>
        <v/>
      </c>
      <c r="N4246" s="15"/>
    </row>
    <row r="4247" spans="1:14" s="14" customFormat="1" ht="18" x14ac:dyDescent="0.25">
      <c r="A4247" s="91"/>
      <c r="B4247" s="90"/>
      <c r="C4247" s="88"/>
      <c r="D4247" s="89"/>
      <c r="E4247" s="90"/>
      <c r="F4247" s="91"/>
      <c r="G4247" s="90"/>
      <c r="H4247" s="92"/>
      <c r="I4247" s="87"/>
      <c r="J4247" s="93"/>
      <c r="K4247" s="92"/>
      <c r="L4247" s="72" t="str">
        <f t="shared" si="66"/>
        <v/>
      </c>
      <c r="N4247" s="15"/>
    </row>
    <row r="4248" spans="1:14" s="14" customFormat="1" ht="18" x14ac:dyDescent="0.25">
      <c r="A4248" s="91"/>
      <c r="B4248" s="90"/>
      <c r="C4248" s="88"/>
      <c r="D4248" s="89"/>
      <c r="E4248" s="90"/>
      <c r="F4248" s="91"/>
      <c r="G4248" s="90"/>
      <c r="H4248" s="92"/>
      <c r="I4248" s="87"/>
      <c r="J4248" s="93"/>
      <c r="K4248" s="92"/>
      <c r="L4248" s="72" t="str">
        <f t="shared" si="66"/>
        <v/>
      </c>
      <c r="N4248" s="15"/>
    </row>
    <row r="4249" spans="1:14" s="14" customFormat="1" ht="18" x14ac:dyDescent="0.25">
      <c r="A4249" s="91"/>
      <c r="B4249" s="90"/>
      <c r="C4249" s="88"/>
      <c r="D4249" s="89"/>
      <c r="E4249" s="90"/>
      <c r="F4249" s="91"/>
      <c r="G4249" s="90"/>
      <c r="H4249" s="92"/>
      <c r="I4249" s="87"/>
      <c r="J4249" s="93"/>
      <c r="K4249" s="92"/>
      <c r="L4249" s="72" t="str">
        <f t="shared" si="66"/>
        <v/>
      </c>
      <c r="N4249" s="15"/>
    </row>
    <row r="4250" spans="1:14" s="14" customFormat="1" ht="18" x14ac:dyDescent="0.25">
      <c r="A4250" s="91"/>
      <c r="B4250" s="90"/>
      <c r="C4250" s="88"/>
      <c r="D4250" s="89"/>
      <c r="E4250" s="90"/>
      <c r="F4250" s="91"/>
      <c r="G4250" s="90"/>
      <c r="H4250" s="92"/>
      <c r="I4250" s="87"/>
      <c r="J4250" s="93"/>
      <c r="K4250" s="92"/>
      <c r="L4250" s="72" t="str">
        <f t="shared" si="66"/>
        <v/>
      </c>
      <c r="N4250" s="15"/>
    </row>
    <row r="4251" spans="1:14" s="14" customFormat="1" ht="18" x14ac:dyDescent="0.25">
      <c r="A4251" s="91"/>
      <c r="B4251" s="90"/>
      <c r="C4251" s="88"/>
      <c r="D4251" s="89"/>
      <c r="E4251" s="90"/>
      <c r="F4251" s="91"/>
      <c r="G4251" s="90"/>
      <c r="H4251" s="92"/>
      <c r="I4251" s="87"/>
      <c r="J4251" s="93"/>
      <c r="K4251" s="92"/>
      <c r="L4251" s="72" t="str">
        <f t="shared" si="66"/>
        <v/>
      </c>
      <c r="N4251" s="15"/>
    </row>
    <row r="4252" spans="1:14" s="14" customFormat="1" ht="18" x14ac:dyDescent="0.25">
      <c r="A4252" s="91"/>
      <c r="B4252" s="90"/>
      <c r="C4252" s="88"/>
      <c r="D4252" s="89"/>
      <c r="E4252" s="90"/>
      <c r="F4252" s="91"/>
      <c r="G4252" s="90"/>
      <c r="H4252" s="92"/>
      <c r="I4252" s="87"/>
      <c r="J4252" s="93"/>
      <c r="K4252" s="92"/>
      <c r="L4252" s="72" t="str">
        <f t="shared" si="66"/>
        <v/>
      </c>
      <c r="N4252" s="15"/>
    </row>
    <row r="4253" spans="1:14" s="14" customFormat="1" ht="18" x14ac:dyDescent="0.25">
      <c r="A4253" s="91"/>
      <c r="B4253" s="90"/>
      <c r="C4253" s="88"/>
      <c r="D4253" s="89"/>
      <c r="E4253" s="90"/>
      <c r="F4253" s="91"/>
      <c r="G4253" s="90"/>
      <c r="H4253" s="92"/>
      <c r="I4253" s="87"/>
      <c r="J4253" s="93"/>
      <c r="K4253" s="92"/>
      <c r="L4253" s="72" t="str">
        <f t="shared" si="66"/>
        <v/>
      </c>
      <c r="N4253" s="15"/>
    </row>
    <row r="4254" spans="1:14" s="14" customFormat="1" ht="18" x14ac:dyDescent="0.25">
      <c r="A4254" s="91"/>
      <c r="B4254" s="90"/>
      <c r="C4254" s="88"/>
      <c r="D4254" s="89"/>
      <c r="E4254" s="90"/>
      <c r="F4254" s="91"/>
      <c r="G4254" s="90"/>
      <c r="H4254" s="92"/>
      <c r="I4254" s="87"/>
      <c r="J4254" s="93"/>
      <c r="K4254" s="92"/>
      <c r="L4254" s="72" t="str">
        <f t="shared" ref="L4254:L4317" si="67">IF(ISBLANK(H4254),"",IF(H4254=K4254,"Payé","Impayé"))</f>
        <v/>
      </c>
      <c r="N4254" s="15"/>
    </row>
    <row r="4255" spans="1:14" s="14" customFormat="1" ht="18" x14ac:dyDescent="0.25">
      <c r="A4255" s="91"/>
      <c r="B4255" s="90"/>
      <c r="C4255" s="88"/>
      <c r="D4255" s="89"/>
      <c r="E4255" s="90"/>
      <c r="F4255" s="91"/>
      <c r="G4255" s="90"/>
      <c r="H4255" s="92"/>
      <c r="I4255" s="87"/>
      <c r="J4255" s="93"/>
      <c r="K4255" s="92"/>
      <c r="L4255" s="72" t="str">
        <f t="shared" si="67"/>
        <v/>
      </c>
      <c r="N4255" s="15"/>
    </row>
    <row r="4256" spans="1:14" s="14" customFormat="1" ht="18" x14ac:dyDescent="0.25">
      <c r="A4256" s="91"/>
      <c r="B4256" s="90"/>
      <c r="C4256" s="88"/>
      <c r="D4256" s="89"/>
      <c r="E4256" s="90"/>
      <c r="F4256" s="91"/>
      <c r="G4256" s="90"/>
      <c r="H4256" s="92"/>
      <c r="I4256" s="87"/>
      <c r="J4256" s="93"/>
      <c r="K4256" s="92"/>
      <c r="L4256" s="72" t="str">
        <f t="shared" si="67"/>
        <v/>
      </c>
      <c r="N4256" s="15"/>
    </row>
    <row r="4257" spans="1:14" s="14" customFormat="1" ht="18" x14ac:dyDescent="0.25">
      <c r="A4257" s="91"/>
      <c r="B4257" s="90"/>
      <c r="C4257" s="88"/>
      <c r="D4257" s="89"/>
      <c r="E4257" s="90"/>
      <c r="F4257" s="91"/>
      <c r="G4257" s="90"/>
      <c r="H4257" s="92"/>
      <c r="I4257" s="87"/>
      <c r="J4257" s="93"/>
      <c r="K4257" s="92"/>
      <c r="L4257" s="72" t="str">
        <f t="shared" si="67"/>
        <v/>
      </c>
      <c r="N4257" s="15"/>
    </row>
    <row r="4258" spans="1:14" s="14" customFormat="1" ht="18" x14ac:dyDescent="0.25">
      <c r="A4258" s="91"/>
      <c r="B4258" s="90"/>
      <c r="C4258" s="88"/>
      <c r="D4258" s="89"/>
      <c r="E4258" s="90"/>
      <c r="F4258" s="91"/>
      <c r="G4258" s="90"/>
      <c r="H4258" s="92"/>
      <c r="I4258" s="87"/>
      <c r="J4258" s="93"/>
      <c r="K4258" s="92"/>
      <c r="L4258" s="72" t="str">
        <f t="shared" si="67"/>
        <v/>
      </c>
      <c r="N4258" s="15"/>
    </row>
    <row r="4259" spans="1:14" s="14" customFormat="1" ht="18" x14ac:dyDescent="0.25">
      <c r="A4259" s="91"/>
      <c r="B4259" s="90"/>
      <c r="C4259" s="88"/>
      <c r="D4259" s="89"/>
      <c r="E4259" s="90"/>
      <c r="F4259" s="91"/>
      <c r="G4259" s="90"/>
      <c r="H4259" s="92"/>
      <c r="I4259" s="87"/>
      <c r="J4259" s="93"/>
      <c r="K4259" s="92"/>
      <c r="L4259" s="72" t="str">
        <f t="shared" si="67"/>
        <v/>
      </c>
      <c r="N4259" s="15"/>
    </row>
    <row r="4260" spans="1:14" s="14" customFormat="1" ht="18" x14ac:dyDescent="0.25">
      <c r="A4260" s="91"/>
      <c r="B4260" s="90"/>
      <c r="C4260" s="88"/>
      <c r="D4260" s="89"/>
      <c r="E4260" s="90"/>
      <c r="F4260" s="91"/>
      <c r="G4260" s="90"/>
      <c r="H4260" s="92"/>
      <c r="I4260" s="87"/>
      <c r="J4260" s="93"/>
      <c r="K4260" s="92"/>
      <c r="L4260" s="72" t="str">
        <f t="shared" si="67"/>
        <v/>
      </c>
      <c r="N4260" s="15"/>
    </row>
    <row r="4261" spans="1:14" s="14" customFormat="1" ht="18" x14ac:dyDescent="0.25">
      <c r="A4261" s="91"/>
      <c r="B4261" s="90"/>
      <c r="C4261" s="88"/>
      <c r="D4261" s="89"/>
      <c r="E4261" s="90"/>
      <c r="F4261" s="91"/>
      <c r="G4261" s="90"/>
      <c r="H4261" s="92"/>
      <c r="I4261" s="87"/>
      <c r="J4261" s="93"/>
      <c r="K4261" s="92"/>
      <c r="L4261" s="72" t="str">
        <f t="shared" si="67"/>
        <v/>
      </c>
      <c r="N4261" s="15"/>
    </row>
    <row r="4262" spans="1:14" s="14" customFormat="1" ht="18" x14ac:dyDescent="0.25">
      <c r="A4262" s="91"/>
      <c r="B4262" s="90"/>
      <c r="C4262" s="88"/>
      <c r="D4262" s="89"/>
      <c r="E4262" s="90"/>
      <c r="F4262" s="91"/>
      <c r="G4262" s="90"/>
      <c r="H4262" s="92"/>
      <c r="I4262" s="87"/>
      <c r="J4262" s="93"/>
      <c r="K4262" s="92"/>
      <c r="L4262" s="72" t="str">
        <f t="shared" si="67"/>
        <v/>
      </c>
      <c r="N4262" s="15"/>
    </row>
    <row r="4263" spans="1:14" s="14" customFormat="1" ht="18" x14ac:dyDescent="0.25">
      <c r="A4263" s="91"/>
      <c r="B4263" s="90"/>
      <c r="C4263" s="88"/>
      <c r="D4263" s="89"/>
      <c r="E4263" s="90"/>
      <c r="F4263" s="91"/>
      <c r="G4263" s="90"/>
      <c r="H4263" s="92"/>
      <c r="I4263" s="87"/>
      <c r="J4263" s="93"/>
      <c r="K4263" s="92"/>
      <c r="L4263" s="72" t="str">
        <f t="shared" si="67"/>
        <v/>
      </c>
      <c r="N4263" s="15"/>
    </row>
    <row r="4264" spans="1:14" s="14" customFormat="1" ht="18" x14ac:dyDescent="0.25">
      <c r="A4264" s="91"/>
      <c r="B4264" s="90"/>
      <c r="C4264" s="88"/>
      <c r="D4264" s="89"/>
      <c r="E4264" s="90"/>
      <c r="F4264" s="91"/>
      <c r="G4264" s="90"/>
      <c r="H4264" s="92"/>
      <c r="I4264" s="87"/>
      <c r="J4264" s="93"/>
      <c r="K4264" s="92"/>
      <c r="L4264" s="72" t="str">
        <f t="shared" si="67"/>
        <v/>
      </c>
      <c r="N4264" s="15"/>
    </row>
    <row r="4265" spans="1:14" s="14" customFormat="1" ht="18" x14ac:dyDescent="0.25">
      <c r="A4265" s="91"/>
      <c r="B4265" s="90"/>
      <c r="C4265" s="88"/>
      <c r="D4265" s="89"/>
      <c r="E4265" s="90"/>
      <c r="F4265" s="91"/>
      <c r="G4265" s="90"/>
      <c r="H4265" s="92"/>
      <c r="I4265" s="87"/>
      <c r="J4265" s="93"/>
      <c r="K4265" s="92"/>
      <c r="L4265" s="72" t="str">
        <f t="shared" si="67"/>
        <v/>
      </c>
      <c r="N4265" s="15"/>
    </row>
    <row r="4266" spans="1:14" s="14" customFormat="1" ht="18" x14ac:dyDescent="0.25">
      <c r="A4266" s="91"/>
      <c r="B4266" s="90"/>
      <c r="C4266" s="88"/>
      <c r="D4266" s="89"/>
      <c r="E4266" s="90"/>
      <c r="F4266" s="91"/>
      <c r="G4266" s="90"/>
      <c r="H4266" s="92"/>
      <c r="I4266" s="87"/>
      <c r="J4266" s="93"/>
      <c r="K4266" s="92"/>
      <c r="L4266" s="72" t="str">
        <f t="shared" si="67"/>
        <v/>
      </c>
      <c r="N4266" s="15"/>
    </row>
    <row r="4267" spans="1:14" s="14" customFormat="1" ht="18" x14ac:dyDescent="0.25">
      <c r="A4267" s="91"/>
      <c r="B4267" s="90"/>
      <c r="C4267" s="88"/>
      <c r="D4267" s="89"/>
      <c r="E4267" s="90"/>
      <c r="F4267" s="91"/>
      <c r="G4267" s="90"/>
      <c r="H4267" s="92"/>
      <c r="I4267" s="87"/>
      <c r="J4267" s="93"/>
      <c r="K4267" s="92"/>
      <c r="L4267" s="72" t="str">
        <f t="shared" si="67"/>
        <v/>
      </c>
      <c r="N4267" s="15"/>
    </row>
    <row r="4268" spans="1:14" s="14" customFormat="1" ht="18" x14ac:dyDescent="0.25">
      <c r="A4268" s="91"/>
      <c r="B4268" s="90"/>
      <c r="C4268" s="88"/>
      <c r="D4268" s="89"/>
      <c r="E4268" s="90"/>
      <c r="F4268" s="91"/>
      <c r="G4268" s="90"/>
      <c r="H4268" s="92"/>
      <c r="I4268" s="87"/>
      <c r="J4268" s="93"/>
      <c r="K4268" s="92"/>
      <c r="L4268" s="72" t="str">
        <f t="shared" si="67"/>
        <v/>
      </c>
      <c r="N4268" s="15"/>
    </row>
    <row r="4269" spans="1:14" s="14" customFormat="1" ht="18" x14ac:dyDescent="0.25">
      <c r="A4269" s="91"/>
      <c r="B4269" s="90"/>
      <c r="C4269" s="88"/>
      <c r="D4269" s="89"/>
      <c r="E4269" s="90"/>
      <c r="F4269" s="91"/>
      <c r="G4269" s="90"/>
      <c r="H4269" s="92"/>
      <c r="I4269" s="87"/>
      <c r="J4269" s="93"/>
      <c r="K4269" s="92"/>
      <c r="L4269" s="72" t="str">
        <f t="shared" si="67"/>
        <v/>
      </c>
      <c r="N4269" s="15"/>
    </row>
    <row r="4270" spans="1:14" s="14" customFormat="1" ht="18" x14ac:dyDescent="0.25">
      <c r="A4270" s="91"/>
      <c r="B4270" s="90"/>
      <c r="C4270" s="88"/>
      <c r="D4270" s="89"/>
      <c r="E4270" s="90"/>
      <c r="F4270" s="91"/>
      <c r="G4270" s="90"/>
      <c r="H4270" s="92"/>
      <c r="I4270" s="87"/>
      <c r="J4270" s="93"/>
      <c r="K4270" s="92"/>
      <c r="L4270" s="72" t="str">
        <f t="shared" si="67"/>
        <v/>
      </c>
      <c r="N4270" s="15"/>
    </row>
    <row r="4271" spans="1:14" s="14" customFormat="1" ht="18" x14ac:dyDescent="0.25">
      <c r="A4271" s="91"/>
      <c r="B4271" s="90"/>
      <c r="C4271" s="88"/>
      <c r="D4271" s="89"/>
      <c r="E4271" s="90"/>
      <c r="F4271" s="91"/>
      <c r="G4271" s="90"/>
      <c r="H4271" s="92"/>
      <c r="I4271" s="87"/>
      <c r="J4271" s="93"/>
      <c r="K4271" s="92"/>
      <c r="L4271" s="72" t="str">
        <f t="shared" si="67"/>
        <v/>
      </c>
      <c r="N4271" s="15"/>
    </row>
    <row r="4272" spans="1:14" s="14" customFormat="1" ht="18" x14ac:dyDescent="0.25">
      <c r="A4272" s="91"/>
      <c r="B4272" s="90"/>
      <c r="C4272" s="88"/>
      <c r="D4272" s="89"/>
      <c r="E4272" s="90"/>
      <c r="F4272" s="91"/>
      <c r="G4272" s="90"/>
      <c r="H4272" s="92"/>
      <c r="I4272" s="87"/>
      <c r="J4272" s="93"/>
      <c r="K4272" s="92"/>
      <c r="L4272" s="72" t="str">
        <f t="shared" si="67"/>
        <v/>
      </c>
      <c r="N4272" s="15"/>
    </row>
    <row r="4273" spans="1:14" s="14" customFormat="1" ht="18" x14ac:dyDescent="0.25">
      <c r="A4273" s="91"/>
      <c r="B4273" s="90"/>
      <c r="C4273" s="88"/>
      <c r="D4273" s="89"/>
      <c r="E4273" s="90"/>
      <c r="F4273" s="91"/>
      <c r="G4273" s="90"/>
      <c r="H4273" s="92"/>
      <c r="I4273" s="87"/>
      <c r="J4273" s="93"/>
      <c r="K4273" s="92"/>
      <c r="L4273" s="72" t="str">
        <f t="shared" si="67"/>
        <v/>
      </c>
      <c r="N4273" s="15"/>
    </row>
    <row r="4274" spans="1:14" s="14" customFormat="1" ht="18" x14ac:dyDescent="0.25">
      <c r="A4274" s="91"/>
      <c r="B4274" s="90"/>
      <c r="C4274" s="88"/>
      <c r="D4274" s="89"/>
      <c r="E4274" s="90"/>
      <c r="F4274" s="91"/>
      <c r="G4274" s="90"/>
      <c r="H4274" s="92"/>
      <c r="I4274" s="87"/>
      <c r="J4274" s="93"/>
      <c r="K4274" s="92"/>
      <c r="L4274" s="72" t="str">
        <f t="shared" si="67"/>
        <v/>
      </c>
      <c r="N4274" s="15"/>
    </row>
    <row r="4275" spans="1:14" s="14" customFormat="1" ht="18" x14ac:dyDescent="0.25">
      <c r="A4275" s="91"/>
      <c r="B4275" s="90"/>
      <c r="C4275" s="88"/>
      <c r="D4275" s="89"/>
      <c r="E4275" s="90"/>
      <c r="F4275" s="91"/>
      <c r="G4275" s="90"/>
      <c r="H4275" s="92"/>
      <c r="I4275" s="87"/>
      <c r="J4275" s="93"/>
      <c r="K4275" s="92"/>
      <c r="L4275" s="72" t="str">
        <f t="shared" si="67"/>
        <v/>
      </c>
      <c r="N4275" s="15"/>
    </row>
    <row r="4276" spans="1:14" s="14" customFormat="1" ht="18" x14ac:dyDescent="0.25">
      <c r="A4276" s="91"/>
      <c r="B4276" s="90"/>
      <c r="C4276" s="88"/>
      <c r="D4276" s="89"/>
      <c r="E4276" s="90"/>
      <c r="F4276" s="91"/>
      <c r="G4276" s="90"/>
      <c r="H4276" s="92"/>
      <c r="I4276" s="87"/>
      <c r="J4276" s="93"/>
      <c r="K4276" s="92"/>
      <c r="L4276" s="72" t="str">
        <f t="shared" si="67"/>
        <v/>
      </c>
      <c r="N4276" s="15"/>
    </row>
    <row r="4277" spans="1:14" s="14" customFormat="1" ht="18" x14ac:dyDescent="0.25">
      <c r="A4277" s="91"/>
      <c r="B4277" s="90"/>
      <c r="C4277" s="88"/>
      <c r="D4277" s="89"/>
      <c r="E4277" s="90"/>
      <c r="F4277" s="91"/>
      <c r="G4277" s="90"/>
      <c r="H4277" s="92"/>
      <c r="I4277" s="87"/>
      <c r="J4277" s="93"/>
      <c r="K4277" s="92"/>
      <c r="L4277" s="72" t="str">
        <f t="shared" si="67"/>
        <v/>
      </c>
      <c r="N4277" s="15"/>
    </row>
    <row r="4278" spans="1:14" s="14" customFormat="1" ht="18" x14ac:dyDescent="0.25">
      <c r="A4278" s="91"/>
      <c r="B4278" s="90"/>
      <c r="C4278" s="88"/>
      <c r="D4278" s="89"/>
      <c r="E4278" s="90"/>
      <c r="F4278" s="91"/>
      <c r="G4278" s="90"/>
      <c r="H4278" s="92"/>
      <c r="I4278" s="87"/>
      <c r="J4278" s="93"/>
      <c r="K4278" s="92"/>
      <c r="L4278" s="72" t="str">
        <f t="shared" si="67"/>
        <v/>
      </c>
      <c r="N4278" s="15"/>
    </row>
    <row r="4279" spans="1:14" s="14" customFormat="1" ht="18" x14ac:dyDescent="0.25">
      <c r="A4279" s="91"/>
      <c r="B4279" s="90"/>
      <c r="C4279" s="88"/>
      <c r="D4279" s="89"/>
      <c r="E4279" s="90"/>
      <c r="F4279" s="91"/>
      <c r="G4279" s="90"/>
      <c r="H4279" s="92"/>
      <c r="I4279" s="87"/>
      <c r="J4279" s="93"/>
      <c r="K4279" s="92"/>
      <c r="L4279" s="72" t="str">
        <f t="shared" si="67"/>
        <v/>
      </c>
      <c r="N4279" s="15"/>
    </row>
    <row r="4280" spans="1:14" s="14" customFormat="1" ht="18" x14ac:dyDescent="0.25">
      <c r="A4280" s="91"/>
      <c r="B4280" s="90"/>
      <c r="C4280" s="88"/>
      <c r="D4280" s="89"/>
      <c r="E4280" s="90"/>
      <c r="F4280" s="91"/>
      <c r="G4280" s="90"/>
      <c r="H4280" s="92"/>
      <c r="I4280" s="87"/>
      <c r="J4280" s="93"/>
      <c r="K4280" s="92"/>
      <c r="L4280" s="72" t="str">
        <f t="shared" si="67"/>
        <v/>
      </c>
      <c r="N4280" s="15"/>
    </row>
    <row r="4281" spans="1:14" s="14" customFormat="1" ht="18" x14ac:dyDescent="0.25">
      <c r="A4281" s="91"/>
      <c r="B4281" s="90"/>
      <c r="C4281" s="88"/>
      <c r="D4281" s="89"/>
      <c r="E4281" s="90"/>
      <c r="F4281" s="91"/>
      <c r="G4281" s="90"/>
      <c r="H4281" s="92"/>
      <c r="I4281" s="87"/>
      <c r="J4281" s="93"/>
      <c r="K4281" s="92"/>
      <c r="L4281" s="72" t="str">
        <f t="shared" si="67"/>
        <v/>
      </c>
      <c r="N4281" s="15"/>
    </row>
    <row r="4282" spans="1:14" s="14" customFormat="1" ht="18" x14ac:dyDescent="0.25">
      <c r="A4282" s="91"/>
      <c r="B4282" s="90"/>
      <c r="C4282" s="88"/>
      <c r="D4282" s="89"/>
      <c r="E4282" s="90"/>
      <c r="F4282" s="91"/>
      <c r="G4282" s="90"/>
      <c r="H4282" s="92"/>
      <c r="I4282" s="87"/>
      <c r="J4282" s="93"/>
      <c r="K4282" s="92"/>
      <c r="L4282" s="72" t="str">
        <f t="shared" si="67"/>
        <v/>
      </c>
      <c r="N4282" s="15"/>
    </row>
    <row r="4283" spans="1:14" s="14" customFormat="1" ht="18" x14ac:dyDescent="0.25">
      <c r="A4283" s="91"/>
      <c r="B4283" s="90"/>
      <c r="C4283" s="88"/>
      <c r="D4283" s="89"/>
      <c r="E4283" s="90"/>
      <c r="F4283" s="91"/>
      <c r="G4283" s="90"/>
      <c r="H4283" s="92"/>
      <c r="I4283" s="87"/>
      <c r="J4283" s="93"/>
      <c r="K4283" s="92"/>
      <c r="L4283" s="72" t="str">
        <f t="shared" si="67"/>
        <v/>
      </c>
      <c r="N4283" s="15"/>
    </row>
    <row r="4284" spans="1:14" s="14" customFormat="1" ht="18" x14ac:dyDescent="0.25">
      <c r="A4284" s="91"/>
      <c r="B4284" s="90"/>
      <c r="C4284" s="88"/>
      <c r="D4284" s="89"/>
      <c r="E4284" s="90"/>
      <c r="F4284" s="91"/>
      <c r="G4284" s="90"/>
      <c r="H4284" s="92"/>
      <c r="I4284" s="87"/>
      <c r="J4284" s="93"/>
      <c r="K4284" s="92"/>
      <c r="L4284" s="72" t="str">
        <f t="shared" si="67"/>
        <v/>
      </c>
      <c r="N4284" s="15"/>
    </row>
    <row r="4285" spans="1:14" s="14" customFormat="1" ht="18" x14ac:dyDescent="0.25">
      <c r="A4285" s="91"/>
      <c r="B4285" s="90"/>
      <c r="C4285" s="88"/>
      <c r="D4285" s="89"/>
      <c r="E4285" s="90"/>
      <c r="F4285" s="91"/>
      <c r="G4285" s="90"/>
      <c r="H4285" s="92"/>
      <c r="I4285" s="87"/>
      <c r="J4285" s="93"/>
      <c r="K4285" s="92"/>
      <c r="L4285" s="72" t="str">
        <f t="shared" si="67"/>
        <v/>
      </c>
      <c r="N4285" s="15"/>
    </row>
    <row r="4286" spans="1:14" s="14" customFormat="1" ht="18" x14ac:dyDescent="0.25">
      <c r="A4286" s="91"/>
      <c r="B4286" s="90"/>
      <c r="C4286" s="88"/>
      <c r="D4286" s="89"/>
      <c r="E4286" s="90"/>
      <c r="F4286" s="91"/>
      <c r="G4286" s="90"/>
      <c r="H4286" s="92"/>
      <c r="I4286" s="87"/>
      <c r="J4286" s="93"/>
      <c r="K4286" s="92"/>
      <c r="L4286" s="72" t="str">
        <f t="shared" si="67"/>
        <v/>
      </c>
      <c r="N4286" s="15"/>
    </row>
    <row r="4287" spans="1:14" s="14" customFormat="1" ht="18" x14ac:dyDescent="0.25">
      <c r="A4287" s="91"/>
      <c r="B4287" s="90"/>
      <c r="C4287" s="88"/>
      <c r="D4287" s="89"/>
      <c r="E4287" s="90"/>
      <c r="F4287" s="91"/>
      <c r="G4287" s="90"/>
      <c r="H4287" s="92"/>
      <c r="I4287" s="87"/>
      <c r="J4287" s="93"/>
      <c r="K4287" s="92"/>
      <c r="L4287" s="72" t="str">
        <f t="shared" si="67"/>
        <v/>
      </c>
      <c r="N4287" s="15"/>
    </row>
    <row r="4288" spans="1:14" s="14" customFormat="1" ht="18" x14ac:dyDescent="0.25">
      <c r="A4288" s="91"/>
      <c r="B4288" s="90"/>
      <c r="C4288" s="88"/>
      <c r="D4288" s="89"/>
      <c r="E4288" s="90"/>
      <c r="F4288" s="91"/>
      <c r="G4288" s="90"/>
      <c r="H4288" s="92"/>
      <c r="I4288" s="87"/>
      <c r="J4288" s="93"/>
      <c r="K4288" s="92"/>
      <c r="L4288" s="72" t="str">
        <f t="shared" si="67"/>
        <v/>
      </c>
      <c r="N4288" s="15"/>
    </row>
    <row r="4289" spans="1:14" s="14" customFormat="1" ht="18" x14ac:dyDescent="0.25">
      <c r="A4289" s="91"/>
      <c r="B4289" s="90"/>
      <c r="C4289" s="88"/>
      <c r="D4289" s="89"/>
      <c r="E4289" s="90"/>
      <c r="F4289" s="91"/>
      <c r="G4289" s="90"/>
      <c r="H4289" s="92"/>
      <c r="I4289" s="87"/>
      <c r="J4289" s="93"/>
      <c r="K4289" s="92"/>
      <c r="L4289" s="72" t="str">
        <f t="shared" si="67"/>
        <v/>
      </c>
      <c r="N4289" s="15"/>
    </row>
    <row r="4290" spans="1:14" s="14" customFormat="1" ht="18" x14ac:dyDescent="0.25">
      <c r="A4290" s="91"/>
      <c r="B4290" s="90"/>
      <c r="C4290" s="88"/>
      <c r="D4290" s="89"/>
      <c r="E4290" s="90"/>
      <c r="F4290" s="91"/>
      <c r="G4290" s="90"/>
      <c r="H4290" s="92"/>
      <c r="I4290" s="87"/>
      <c r="J4290" s="93"/>
      <c r="K4290" s="92"/>
      <c r="L4290" s="72" t="str">
        <f t="shared" si="67"/>
        <v/>
      </c>
      <c r="N4290" s="15"/>
    </row>
    <row r="4291" spans="1:14" s="14" customFormat="1" ht="18" x14ac:dyDescent="0.25">
      <c r="A4291" s="91"/>
      <c r="B4291" s="90"/>
      <c r="C4291" s="88"/>
      <c r="D4291" s="89"/>
      <c r="E4291" s="90"/>
      <c r="F4291" s="91"/>
      <c r="G4291" s="90"/>
      <c r="H4291" s="92"/>
      <c r="I4291" s="87"/>
      <c r="J4291" s="93"/>
      <c r="K4291" s="92"/>
      <c r="L4291" s="72" t="str">
        <f t="shared" si="67"/>
        <v/>
      </c>
      <c r="N4291" s="15"/>
    </row>
    <row r="4292" spans="1:14" s="14" customFormat="1" ht="18" x14ac:dyDescent="0.25">
      <c r="A4292" s="91"/>
      <c r="B4292" s="90"/>
      <c r="C4292" s="88"/>
      <c r="D4292" s="89"/>
      <c r="E4292" s="90"/>
      <c r="F4292" s="91"/>
      <c r="G4292" s="90"/>
      <c r="H4292" s="92"/>
      <c r="I4292" s="87"/>
      <c r="J4292" s="93"/>
      <c r="K4292" s="92"/>
      <c r="L4292" s="72" t="str">
        <f t="shared" si="67"/>
        <v/>
      </c>
      <c r="N4292" s="15"/>
    </row>
    <row r="4293" spans="1:14" s="14" customFormat="1" ht="18" x14ac:dyDescent="0.25">
      <c r="A4293" s="91"/>
      <c r="B4293" s="90"/>
      <c r="C4293" s="88"/>
      <c r="D4293" s="89"/>
      <c r="E4293" s="90"/>
      <c r="F4293" s="91"/>
      <c r="G4293" s="90"/>
      <c r="H4293" s="92"/>
      <c r="I4293" s="87"/>
      <c r="J4293" s="93"/>
      <c r="K4293" s="92"/>
      <c r="L4293" s="72" t="str">
        <f t="shared" si="67"/>
        <v/>
      </c>
      <c r="N4293" s="15"/>
    </row>
    <row r="4294" spans="1:14" s="14" customFormat="1" ht="18" x14ac:dyDescent="0.25">
      <c r="A4294" s="91"/>
      <c r="B4294" s="90"/>
      <c r="C4294" s="88"/>
      <c r="D4294" s="89"/>
      <c r="E4294" s="90"/>
      <c r="F4294" s="91"/>
      <c r="G4294" s="90"/>
      <c r="H4294" s="92"/>
      <c r="I4294" s="87"/>
      <c r="J4294" s="93"/>
      <c r="K4294" s="92"/>
      <c r="L4294" s="72" t="str">
        <f t="shared" si="67"/>
        <v/>
      </c>
      <c r="N4294" s="15"/>
    </row>
    <row r="4295" spans="1:14" s="14" customFormat="1" ht="18" x14ac:dyDescent="0.25">
      <c r="A4295" s="91"/>
      <c r="B4295" s="90"/>
      <c r="C4295" s="88"/>
      <c r="D4295" s="89"/>
      <c r="E4295" s="90"/>
      <c r="F4295" s="91"/>
      <c r="G4295" s="90"/>
      <c r="H4295" s="92"/>
      <c r="I4295" s="87"/>
      <c r="J4295" s="93"/>
      <c r="K4295" s="92"/>
      <c r="L4295" s="72" t="str">
        <f t="shared" si="67"/>
        <v/>
      </c>
      <c r="N4295" s="15"/>
    </row>
    <row r="4296" spans="1:14" s="14" customFormat="1" ht="18" x14ac:dyDescent="0.25">
      <c r="A4296" s="91"/>
      <c r="B4296" s="90"/>
      <c r="C4296" s="88"/>
      <c r="D4296" s="89"/>
      <c r="E4296" s="90"/>
      <c r="F4296" s="91"/>
      <c r="G4296" s="90"/>
      <c r="H4296" s="92"/>
      <c r="I4296" s="87"/>
      <c r="J4296" s="93"/>
      <c r="K4296" s="92"/>
      <c r="L4296" s="72" t="str">
        <f t="shared" si="67"/>
        <v/>
      </c>
      <c r="N4296" s="15"/>
    </row>
    <row r="4297" spans="1:14" s="14" customFormat="1" ht="18" x14ac:dyDescent="0.25">
      <c r="A4297" s="91"/>
      <c r="B4297" s="90"/>
      <c r="C4297" s="88"/>
      <c r="D4297" s="89"/>
      <c r="E4297" s="90"/>
      <c r="F4297" s="91"/>
      <c r="G4297" s="90"/>
      <c r="H4297" s="92"/>
      <c r="I4297" s="87"/>
      <c r="J4297" s="93"/>
      <c r="K4297" s="92"/>
      <c r="L4297" s="72" t="str">
        <f t="shared" si="67"/>
        <v/>
      </c>
      <c r="N4297" s="15"/>
    </row>
    <row r="4298" spans="1:14" s="14" customFormat="1" ht="18" x14ac:dyDescent="0.25">
      <c r="A4298" s="91"/>
      <c r="B4298" s="90"/>
      <c r="C4298" s="88"/>
      <c r="D4298" s="89"/>
      <c r="E4298" s="90"/>
      <c r="F4298" s="91"/>
      <c r="G4298" s="90"/>
      <c r="H4298" s="92"/>
      <c r="I4298" s="87"/>
      <c r="J4298" s="93"/>
      <c r="K4298" s="92"/>
      <c r="L4298" s="72" t="str">
        <f t="shared" si="67"/>
        <v/>
      </c>
      <c r="N4298" s="15"/>
    </row>
    <row r="4299" spans="1:14" s="14" customFormat="1" ht="18" x14ac:dyDescent="0.25">
      <c r="A4299" s="91"/>
      <c r="B4299" s="90"/>
      <c r="C4299" s="88"/>
      <c r="D4299" s="89"/>
      <c r="E4299" s="90"/>
      <c r="F4299" s="91"/>
      <c r="G4299" s="90"/>
      <c r="H4299" s="92"/>
      <c r="I4299" s="87"/>
      <c r="J4299" s="93"/>
      <c r="K4299" s="92"/>
      <c r="L4299" s="72" t="str">
        <f t="shared" si="67"/>
        <v/>
      </c>
      <c r="N4299" s="15"/>
    </row>
    <row r="4300" spans="1:14" s="14" customFormat="1" ht="18" x14ac:dyDescent="0.25">
      <c r="A4300" s="91"/>
      <c r="B4300" s="90"/>
      <c r="C4300" s="88"/>
      <c r="D4300" s="89"/>
      <c r="E4300" s="90"/>
      <c r="F4300" s="91"/>
      <c r="G4300" s="90"/>
      <c r="H4300" s="92"/>
      <c r="I4300" s="87"/>
      <c r="J4300" s="93"/>
      <c r="K4300" s="92"/>
      <c r="L4300" s="72" t="str">
        <f t="shared" si="67"/>
        <v/>
      </c>
      <c r="N4300" s="15"/>
    </row>
    <row r="4301" spans="1:14" s="14" customFormat="1" ht="18" x14ac:dyDescent="0.25">
      <c r="A4301" s="91"/>
      <c r="B4301" s="90"/>
      <c r="C4301" s="88"/>
      <c r="D4301" s="89"/>
      <c r="E4301" s="90"/>
      <c r="F4301" s="91"/>
      <c r="G4301" s="90"/>
      <c r="H4301" s="92"/>
      <c r="I4301" s="87"/>
      <c r="J4301" s="93"/>
      <c r="K4301" s="92"/>
      <c r="L4301" s="72" t="str">
        <f t="shared" si="67"/>
        <v/>
      </c>
      <c r="N4301" s="15"/>
    </row>
    <row r="4302" spans="1:14" s="14" customFormat="1" ht="18" x14ac:dyDescent="0.25">
      <c r="A4302" s="91"/>
      <c r="B4302" s="90"/>
      <c r="C4302" s="88"/>
      <c r="D4302" s="89"/>
      <c r="E4302" s="90"/>
      <c r="F4302" s="91"/>
      <c r="G4302" s="90"/>
      <c r="H4302" s="92"/>
      <c r="I4302" s="87"/>
      <c r="J4302" s="93"/>
      <c r="K4302" s="92"/>
      <c r="L4302" s="72" t="str">
        <f t="shared" si="67"/>
        <v/>
      </c>
      <c r="N4302" s="15"/>
    </row>
    <row r="4303" spans="1:14" s="14" customFormat="1" ht="18" x14ac:dyDescent="0.25">
      <c r="A4303" s="91"/>
      <c r="B4303" s="90"/>
      <c r="C4303" s="88"/>
      <c r="D4303" s="89"/>
      <c r="E4303" s="90"/>
      <c r="F4303" s="91"/>
      <c r="G4303" s="90"/>
      <c r="H4303" s="92"/>
      <c r="I4303" s="87"/>
      <c r="J4303" s="93"/>
      <c r="K4303" s="92"/>
      <c r="L4303" s="72" t="str">
        <f t="shared" si="67"/>
        <v/>
      </c>
      <c r="N4303" s="15"/>
    </row>
    <row r="4304" spans="1:14" s="14" customFormat="1" ht="18" x14ac:dyDescent="0.25">
      <c r="A4304" s="91"/>
      <c r="B4304" s="90"/>
      <c r="C4304" s="88"/>
      <c r="D4304" s="89"/>
      <c r="E4304" s="90"/>
      <c r="F4304" s="91"/>
      <c r="G4304" s="90"/>
      <c r="H4304" s="92"/>
      <c r="I4304" s="87"/>
      <c r="J4304" s="93"/>
      <c r="K4304" s="92"/>
      <c r="L4304" s="72" t="str">
        <f t="shared" si="67"/>
        <v/>
      </c>
      <c r="N4304" s="15"/>
    </row>
    <row r="4305" spans="1:14" s="14" customFormat="1" ht="18" x14ac:dyDescent="0.25">
      <c r="A4305" s="91"/>
      <c r="B4305" s="90"/>
      <c r="C4305" s="88"/>
      <c r="D4305" s="89"/>
      <c r="E4305" s="90"/>
      <c r="F4305" s="91"/>
      <c r="G4305" s="90"/>
      <c r="H4305" s="92"/>
      <c r="I4305" s="87"/>
      <c r="J4305" s="93"/>
      <c r="K4305" s="92"/>
      <c r="L4305" s="72" t="str">
        <f t="shared" si="67"/>
        <v/>
      </c>
      <c r="N4305" s="15"/>
    </row>
    <row r="4306" spans="1:14" s="14" customFormat="1" ht="18" x14ac:dyDescent="0.25">
      <c r="A4306" s="91"/>
      <c r="B4306" s="90"/>
      <c r="C4306" s="88"/>
      <c r="D4306" s="89"/>
      <c r="E4306" s="90"/>
      <c r="F4306" s="91"/>
      <c r="G4306" s="90"/>
      <c r="H4306" s="92"/>
      <c r="I4306" s="87"/>
      <c r="J4306" s="93"/>
      <c r="K4306" s="92"/>
      <c r="L4306" s="72" t="str">
        <f t="shared" si="67"/>
        <v/>
      </c>
      <c r="N4306" s="15"/>
    </row>
    <row r="4307" spans="1:14" s="14" customFormat="1" ht="18" x14ac:dyDescent="0.25">
      <c r="A4307" s="91"/>
      <c r="B4307" s="90"/>
      <c r="C4307" s="88"/>
      <c r="D4307" s="89"/>
      <c r="E4307" s="90"/>
      <c r="F4307" s="91"/>
      <c r="G4307" s="90"/>
      <c r="H4307" s="92"/>
      <c r="I4307" s="87"/>
      <c r="J4307" s="93"/>
      <c r="K4307" s="92"/>
      <c r="L4307" s="72" t="str">
        <f t="shared" si="67"/>
        <v/>
      </c>
      <c r="N4307" s="15"/>
    </row>
    <row r="4308" spans="1:14" s="14" customFormat="1" ht="18" x14ac:dyDescent="0.25">
      <c r="A4308" s="91"/>
      <c r="B4308" s="90"/>
      <c r="C4308" s="88"/>
      <c r="D4308" s="89"/>
      <c r="E4308" s="90"/>
      <c r="F4308" s="91"/>
      <c r="G4308" s="90"/>
      <c r="H4308" s="92"/>
      <c r="I4308" s="87"/>
      <c r="J4308" s="93"/>
      <c r="K4308" s="92"/>
      <c r="L4308" s="72" t="str">
        <f t="shared" si="67"/>
        <v/>
      </c>
      <c r="N4308" s="15"/>
    </row>
    <row r="4309" spans="1:14" s="14" customFormat="1" ht="18" x14ac:dyDescent="0.25">
      <c r="A4309" s="91"/>
      <c r="B4309" s="90"/>
      <c r="C4309" s="88"/>
      <c r="D4309" s="89"/>
      <c r="E4309" s="90"/>
      <c r="F4309" s="91"/>
      <c r="G4309" s="90"/>
      <c r="H4309" s="92"/>
      <c r="I4309" s="87"/>
      <c r="J4309" s="93"/>
      <c r="K4309" s="92"/>
      <c r="L4309" s="72" t="str">
        <f t="shared" si="67"/>
        <v/>
      </c>
      <c r="N4309" s="15"/>
    </row>
    <row r="4310" spans="1:14" s="14" customFormat="1" ht="18" x14ac:dyDescent="0.25">
      <c r="A4310" s="91"/>
      <c r="B4310" s="90"/>
      <c r="C4310" s="88"/>
      <c r="D4310" s="89"/>
      <c r="E4310" s="90"/>
      <c r="F4310" s="91"/>
      <c r="G4310" s="90"/>
      <c r="H4310" s="92"/>
      <c r="I4310" s="87"/>
      <c r="J4310" s="93"/>
      <c r="K4310" s="92"/>
      <c r="L4310" s="72" t="str">
        <f t="shared" si="67"/>
        <v/>
      </c>
      <c r="N4310" s="15"/>
    </row>
    <row r="4311" spans="1:14" s="14" customFormat="1" ht="18" x14ac:dyDescent="0.25">
      <c r="A4311" s="91"/>
      <c r="B4311" s="90"/>
      <c r="C4311" s="88"/>
      <c r="D4311" s="89"/>
      <c r="E4311" s="90"/>
      <c r="F4311" s="91"/>
      <c r="G4311" s="90"/>
      <c r="H4311" s="92"/>
      <c r="I4311" s="87"/>
      <c r="J4311" s="93"/>
      <c r="K4311" s="92"/>
      <c r="L4311" s="72" t="str">
        <f t="shared" si="67"/>
        <v/>
      </c>
      <c r="N4311" s="15"/>
    </row>
    <row r="4312" spans="1:14" s="14" customFormat="1" ht="18" x14ac:dyDescent="0.25">
      <c r="A4312" s="91"/>
      <c r="B4312" s="90"/>
      <c r="C4312" s="88"/>
      <c r="D4312" s="89"/>
      <c r="E4312" s="90"/>
      <c r="F4312" s="91"/>
      <c r="G4312" s="90"/>
      <c r="H4312" s="92"/>
      <c r="I4312" s="87"/>
      <c r="J4312" s="93"/>
      <c r="K4312" s="92"/>
      <c r="L4312" s="72" t="str">
        <f t="shared" si="67"/>
        <v/>
      </c>
      <c r="N4312" s="15"/>
    </row>
    <row r="4313" spans="1:14" s="14" customFormat="1" ht="18" x14ac:dyDescent="0.25">
      <c r="A4313" s="91"/>
      <c r="B4313" s="90"/>
      <c r="C4313" s="88"/>
      <c r="D4313" s="89"/>
      <c r="E4313" s="90"/>
      <c r="F4313" s="91"/>
      <c r="G4313" s="90"/>
      <c r="H4313" s="92"/>
      <c r="I4313" s="87"/>
      <c r="J4313" s="93"/>
      <c r="K4313" s="92"/>
      <c r="L4313" s="72" t="str">
        <f t="shared" si="67"/>
        <v/>
      </c>
      <c r="N4313" s="15"/>
    </row>
    <row r="4314" spans="1:14" s="14" customFormat="1" ht="18" x14ac:dyDescent="0.25">
      <c r="A4314" s="91"/>
      <c r="B4314" s="90"/>
      <c r="C4314" s="88"/>
      <c r="D4314" s="89"/>
      <c r="E4314" s="90"/>
      <c r="F4314" s="91"/>
      <c r="G4314" s="90"/>
      <c r="H4314" s="92"/>
      <c r="I4314" s="87"/>
      <c r="J4314" s="93"/>
      <c r="K4314" s="92"/>
      <c r="L4314" s="72" t="str">
        <f t="shared" si="67"/>
        <v/>
      </c>
      <c r="N4314" s="15"/>
    </row>
    <row r="4315" spans="1:14" s="14" customFormat="1" ht="18" x14ac:dyDescent="0.25">
      <c r="A4315" s="91"/>
      <c r="B4315" s="90"/>
      <c r="C4315" s="88"/>
      <c r="D4315" s="89"/>
      <c r="E4315" s="90"/>
      <c r="F4315" s="91"/>
      <c r="G4315" s="90"/>
      <c r="H4315" s="92"/>
      <c r="I4315" s="87"/>
      <c r="J4315" s="93"/>
      <c r="K4315" s="92"/>
      <c r="L4315" s="72" t="str">
        <f t="shared" si="67"/>
        <v/>
      </c>
      <c r="N4315" s="15"/>
    </row>
    <row r="4316" spans="1:14" s="14" customFormat="1" ht="18" x14ac:dyDescent="0.25">
      <c r="A4316" s="91"/>
      <c r="B4316" s="90"/>
      <c r="C4316" s="88"/>
      <c r="D4316" s="89"/>
      <c r="E4316" s="90"/>
      <c r="F4316" s="91"/>
      <c r="G4316" s="90"/>
      <c r="H4316" s="92"/>
      <c r="I4316" s="87"/>
      <c r="J4316" s="93"/>
      <c r="K4316" s="92"/>
      <c r="L4316" s="72" t="str">
        <f t="shared" si="67"/>
        <v/>
      </c>
      <c r="N4316" s="15"/>
    </row>
    <row r="4317" spans="1:14" s="14" customFormat="1" ht="18" x14ac:dyDescent="0.25">
      <c r="A4317" s="91"/>
      <c r="B4317" s="90"/>
      <c r="C4317" s="88"/>
      <c r="D4317" s="89"/>
      <c r="E4317" s="90"/>
      <c r="F4317" s="91"/>
      <c r="G4317" s="90"/>
      <c r="H4317" s="92"/>
      <c r="I4317" s="87"/>
      <c r="J4317" s="93"/>
      <c r="K4317" s="92"/>
      <c r="L4317" s="72" t="str">
        <f t="shared" si="67"/>
        <v/>
      </c>
      <c r="N4317" s="15"/>
    </row>
    <row r="4318" spans="1:14" s="14" customFormat="1" ht="18" x14ac:dyDescent="0.25">
      <c r="A4318" s="91"/>
      <c r="B4318" s="90"/>
      <c r="C4318" s="88"/>
      <c r="D4318" s="89"/>
      <c r="E4318" s="90"/>
      <c r="F4318" s="91"/>
      <c r="G4318" s="90"/>
      <c r="H4318" s="92"/>
      <c r="I4318" s="87"/>
      <c r="J4318" s="93"/>
      <c r="K4318" s="92"/>
      <c r="L4318" s="72" t="str">
        <f t="shared" ref="L4318:L4381" si="68">IF(ISBLANK(H4318),"",IF(H4318=K4318,"Payé","Impayé"))</f>
        <v/>
      </c>
      <c r="N4318" s="15"/>
    </row>
    <row r="4319" spans="1:14" s="14" customFormat="1" ht="18" x14ac:dyDescent="0.25">
      <c r="A4319" s="91"/>
      <c r="B4319" s="90"/>
      <c r="C4319" s="88"/>
      <c r="D4319" s="89"/>
      <c r="E4319" s="90"/>
      <c r="F4319" s="91"/>
      <c r="G4319" s="90"/>
      <c r="H4319" s="92"/>
      <c r="I4319" s="87"/>
      <c r="J4319" s="93"/>
      <c r="K4319" s="92"/>
      <c r="L4319" s="72" t="str">
        <f t="shared" si="68"/>
        <v/>
      </c>
      <c r="N4319" s="15"/>
    </row>
    <row r="4320" spans="1:14" s="14" customFormat="1" ht="18" x14ac:dyDescent="0.25">
      <c r="A4320" s="91"/>
      <c r="B4320" s="90"/>
      <c r="C4320" s="88"/>
      <c r="D4320" s="89"/>
      <c r="E4320" s="90"/>
      <c r="F4320" s="91"/>
      <c r="G4320" s="90"/>
      <c r="H4320" s="92"/>
      <c r="I4320" s="87"/>
      <c r="J4320" s="93"/>
      <c r="K4320" s="92"/>
      <c r="L4320" s="72" t="str">
        <f t="shared" si="68"/>
        <v/>
      </c>
      <c r="N4320" s="15"/>
    </row>
    <row r="4321" spans="1:14" s="14" customFormat="1" ht="18" x14ac:dyDescent="0.25">
      <c r="A4321" s="91"/>
      <c r="B4321" s="90"/>
      <c r="C4321" s="88"/>
      <c r="D4321" s="89"/>
      <c r="E4321" s="90"/>
      <c r="F4321" s="91"/>
      <c r="G4321" s="90"/>
      <c r="H4321" s="92"/>
      <c r="I4321" s="87"/>
      <c r="J4321" s="93"/>
      <c r="K4321" s="92"/>
      <c r="L4321" s="72" t="str">
        <f t="shared" si="68"/>
        <v/>
      </c>
      <c r="N4321" s="15"/>
    </row>
    <row r="4322" spans="1:14" s="14" customFormat="1" ht="18" x14ac:dyDescent="0.25">
      <c r="A4322" s="91"/>
      <c r="B4322" s="90"/>
      <c r="C4322" s="88"/>
      <c r="D4322" s="89"/>
      <c r="E4322" s="90"/>
      <c r="F4322" s="91"/>
      <c r="G4322" s="90"/>
      <c r="H4322" s="92"/>
      <c r="I4322" s="87"/>
      <c r="J4322" s="93"/>
      <c r="K4322" s="92"/>
      <c r="L4322" s="72" t="str">
        <f t="shared" si="68"/>
        <v/>
      </c>
      <c r="N4322" s="15"/>
    </row>
    <row r="4323" spans="1:14" s="14" customFormat="1" ht="18" x14ac:dyDescent="0.25">
      <c r="A4323" s="91"/>
      <c r="B4323" s="90"/>
      <c r="C4323" s="88"/>
      <c r="D4323" s="89"/>
      <c r="E4323" s="90"/>
      <c r="F4323" s="91"/>
      <c r="G4323" s="90"/>
      <c r="H4323" s="92"/>
      <c r="I4323" s="87"/>
      <c r="J4323" s="93"/>
      <c r="K4323" s="92"/>
      <c r="L4323" s="72" t="str">
        <f t="shared" si="68"/>
        <v/>
      </c>
      <c r="N4323" s="15"/>
    </row>
    <row r="4324" spans="1:14" s="14" customFormat="1" ht="18" x14ac:dyDescent="0.25">
      <c r="A4324" s="91"/>
      <c r="B4324" s="90"/>
      <c r="C4324" s="88"/>
      <c r="D4324" s="89"/>
      <c r="E4324" s="90"/>
      <c r="F4324" s="91"/>
      <c r="G4324" s="90"/>
      <c r="H4324" s="92"/>
      <c r="I4324" s="87"/>
      <c r="J4324" s="93"/>
      <c r="K4324" s="92"/>
      <c r="L4324" s="72" t="str">
        <f t="shared" si="68"/>
        <v/>
      </c>
      <c r="N4324" s="15"/>
    </row>
    <row r="4325" spans="1:14" s="14" customFormat="1" ht="18" x14ac:dyDescent="0.25">
      <c r="A4325" s="91"/>
      <c r="B4325" s="90"/>
      <c r="C4325" s="88"/>
      <c r="D4325" s="89"/>
      <c r="E4325" s="90"/>
      <c r="F4325" s="91"/>
      <c r="G4325" s="90"/>
      <c r="H4325" s="92"/>
      <c r="I4325" s="87"/>
      <c r="J4325" s="93"/>
      <c r="K4325" s="92"/>
      <c r="L4325" s="72" t="str">
        <f t="shared" si="68"/>
        <v/>
      </c>
      <c r="N4325" s="15"/>
    </row>
    <row r="4326" spans="1:14" s="14" customFormat="1" ht="18" x14ac:dyDescent="0.25">
      <c r="A4326" s="91"/>
      <c r="B4326" s="90"/>
      <c r="C4326" s="88"/>
      <c r="D4326" s="89"/>
      <c r="E4326" s="90"/>
      <c r="F4326" s="91"/>
      <c r="G4326" s="90"/>
      <c r="H4326" s="92"/>
      <c r="I4326" s="87"/>
      <c r="J4326" s="93"/>
      <c r="K4326" s="92"/>
      <c r="L4326" s="72" t="str">
        <f t="shared" si="68"/>
        <v/>
      </c>
      <c r="N4326" s="15"/>
    </row>
    <row r="4327" spans="1:14" s="14" customFormat="1" ht="18" x14ac:dyDescent="0.25">
      <c r="A4327" s="91"/>
      <c r="B4327" s="90"/>
      <c r="C4327" s="88"/>
      <c r="D4327" s="89"/>
      <c r="E4327" s="90"/>
      <c r="F4327" s="91"/>
      <c r="G4327" s="90"/>
      <c r="H4327" s="92"/>
      <c r="I4327" s="87"/>
      <c r="J4327" s="93"/>
      <c r="K4327" s="92"/>
      <c r="L4327" s="72" t="str">
        <f t="shared" si="68"/>
        <v/>
      </c>
      <c r="N4327" s="15"/>
    </row>
    <row r="4328" spans="1:14" s="14" customFormat="1" ht="18" x14ac:dyDescent="0.25">
      <c r="A4328" s="91"/>
      <c r="B4328" s="90"/>
      <c r="C4328" s="88"/>
      <c r="D4328" s="89"/>
      <c r="E4328" s="90"/>
      <c r="F4328" s="91"/>
      <c r="G4328" s="90"/>
      <c r="H4328" s="92"/>
      <c r="I4328" s="87"/>
      <c r="J4328" s="93"/>
      <c r="K4328" s="92"/>
      <c r="L4328" s="72" t="str">
        <f t="shared" si="68"/>
        <v/>
      </c>
      <c r="N4328" s="15"/>
    </row>
    <row r="4329" spans="1:14" s="14" customFormat="1" ht="18" x14ac:dyDescent="0.25">
      <c r="A4329" s="91"/>
      <c r="B4329" s="90"/>
      <c r="C4329" s="88"/>
      <c r="D4329" s="89"/>
      <c r="E4329" s="90"/>
      <c r="F4329" s="91"/>
      <c r="G4329" s="90"/>
      <c r="H4329" s="92"/>
      <c r="I4329" s="87"/>
      <c r="J4329" s="93"/>
      <c r="K4329" s="92"/>
      <c r="L4329" s="72" t="str">
        <f t="shared" si="68"/>
        <v/>
      </c>
      <c r="N4329" s="15"/>
    </row>
    <row r="4330" spans="1:14" s="14" customFormat="1" ht="18" x14ac:dyDescent="0.25">
      <c r="A4330" s="91"/>
      <c r="B4330" s="90"/>
      <c r="C4330" s="88"/>
      <c r="D4330" s="89"/>
      <c r="E4330" s="90"/>
      <c r="F4330" s="91"/>
      <c r="G4330" s="90"/>
      <c r="H4330" s="92"/>
      <c r="I4330" s="87"/>
      <c r="J4330" s="93"/>
      <c r="K4330" s="92"/>
      <c r="L4330" s="72" t="str">
        <f t="shared" si="68"/>
        <v/>
      </c>
      <c r="N4330" s="15"/>
    </row>
    <row r="4331" spans="1:14" s="14" customFormat="1" ht="18" x14ac:dyDescent="0.25">
      <c r="A4331" s="91"/>
      <c r="B4331" s="90"/>
      <c r="C4331" s="88"/>
      <c r="D4331" s="89"/>
      <c r="E4331" s="90"/>
      <c r="F4331" s="91"/>
      <c r="G4331" s="90"/>
      <c r="H4331" s="92"/>
      <c r="I4331" s="87"/>
      <c r="J4331" s="93"/>
      <c r="K4331" s="92"/>
      <c r="L4331" s="72" t="str">
        <f t="shared" si="68"/>
        <v/>
      </c>
      <c r="N4331" s="15"/>
    </row>
    <row r="4332" spans="1:14" s="14" customFormat="1" ht="18" x14ac:dyDescent="0.25">
      <c r="A4332" s="91"/>
      <c r="B4332" s="90"/>
      <c r="C4332" s="88"/>
      <c r="D4332" s="89"/>
      <c r="E4332" s="90"/>
      <c r="F4332" s="91"/>
      <c r="G4332" s="90"/>
      <c r="H4332" s="92"/>
      <c r="I4332" s="87"/>
      <c r="J4332" s="93"/>
      <c r="K4332" s="92"/>
      <c r="L4332" s="72" t="str">
        <f t="shared" si="68"/>
        <v/>
      </c>
      <c r="N4332" s="15"/>
    </row>
    <row r="4333" spans="1:14" s="14" customFormat="1" ht="18" x14ac:dyDescent="0.25">
      <c r="A4333" s="91"/>
      <c r="B4333" s="90"/>
      <c r="C4333" s="88"/>
      <c r="D4333" s="89"/>
      <c r="E4333" s="90"/>
      <c r="F4333" s="91"/>
      <c r="G4333" s="90"/>
      <c r="H4333" s="92"/>
      <c r="I4333" s="87"/>
      <c r="J4333" s="93"/>
      <c r="K4333" s="92"/>
      <c r="L4333" s="72" t="str">
        <f t="shared" si="68"/>
        <v/>
      </c>
      <c r="N4333" s="15"/>
    </row>
    <row r="4334" spans="1:14" s="14" customFormat="1" ht="18" x14ac:dyDescent="0.25">
      <c r="A4334" s="91"/>
      <c r="B4334" s="90"/>
      <c r="C4334" s="88"/>
      <c r="D4334" s="89"/>
      <c r="E4334" s="90"/>
      <c r="F4334" s="91"/>
      <c r="G4334" s="90"/>
      <c r="H4334" s="92"/>
      <c r="I4334" s="87"/>
      <c r="J4334" s="93"/>
      <c r="K4334" s="92"/>
      <c r="L4334" s="72" t="str">
        <f t="shared" si="68"/>
        <v/>
      </c>
      <c r="N4334" s="15"/>
    </row>
    <row r="4335" spans="1:14" s="14" customFormat="1" ht="18" x14ac:dyDescent="0.25">
      <c r="A4335" s="91"/>
      <c r="B4335" s="90"/>
      <c r="C4335" s="88"/>
      <c r="D4335" s="89"/>
      <c r="E4335" s="90"/>
      <c r="F4335" s="91"/>
      <c r="G4335" s="90"/>
      <c r="H4335" s="92"/>
      <c r="I4335" s="87"/>
      <c r="J4335" s="93"/>
      <c r="K4335" s="92"/>
      <c r="L4335" s="72" t="str">
        <f t="shared" si="68"/>
        <v/>
      </c>
      <c r="N4335" s="15"/>
    </row>
    <row r="4336" spans="1:14" s="14" customFormat="1" ht="18" x14ac:dyDescent="0.25">
      <c r="A4336" s="91"/>
      <c r="B4336" s="90"/>
      <c r="C4336" s="88"/>
      <c r="D4336" s="89"/>
      <c r="E4336" s="90"/>
      <c r="F4336" s="91"/>
      <c r="G4336" s="90"/>
      <c r="H4336" s="92"/>
      <c r="I4336" s="87"/>
      <c r="J4336" s="93"/>
      <c r="K4336" s="92"/>
      <c r="L4336" s="72" t="str">
        <f t="shared" si="68"/>
        <v/>
      </c>
      <c r="N4336" s="15"/>
    </row>
    <row r="4337" spans="1:14" s="14" customFormat="1" ht="18" x14ac:dyDescent="0.25">
      <c r="A4337" s="91"/>
      <c r="B4337" s="90"/>
      <c r="C4337" s="88"/>
      <c r="D4337" s="89"/>
      <c r="E4337" s="90"/>
      <c r="F4337" s="91"/>
      <c r="G4337" s="90"/>
      <c r="H4337" s="92"/>
      <c r="I4337" s="87"/>
      <c r="J4337" s="93"/>
      <c r="K4337" s="92"/>
      <c r="L4337" s="72" t="str">
        <f t="shared" si="68"/>
        <v/>
      </c>
      <c r="N4337" s="15"/>
    </row>
    <row r="4338" spans="1:14" s="14" customFormat="1" ht="18" x14ac:dyDescent="0.25">
      <c r="A4338" s="91"/>
      <c r="B4338" s="90"/>
      <c r="C4338" s="88"/>
      <c r="D4338" s="89"/>
      <c r="E4338" s="90"/>
      <c r="F4338" s="91"/>
      <c r="G4338" s="90"/>
      <c r="H4338" s="92"/>
      <c r="I4338" s="87"/>
      <c r="J4338" s="93"/>
      <c r="K4338" s="92"/>
      <c r="L4338" s="72" t="str">
        <f t="shared" si="68"/>
        <v/>
      </c>
      <c r="N4338" s="15"/>
    </row>
    <row r="4339" spans="1:14" s="14" customFormat="1" ht="18" x14ac:dyDescent="0.25">
      <c r="A4339" s="91"/>
      <c r="B4339" s="90"/>
      <c r="C4339" s="88"/>
      <c r="D4339" s="89"/>
      <c r="E4339" s="90"/>
      <c r="F4339" s="91"/>
      <c r="G4339" s="90"/>
      <c r="H4339" s="92"/>
      <c r="I4339" s="87"/>
      <c r="J4339" s="93"/>
      <c r="K4339" s="92"/>
      <c r="L4339" s="72" t="str">
        <f t="shared" si="68"/>
        <v/>
      </c>
      <c r="N4339" s="15"/>
    </row>
    <row r="4340" spans="1:14" s="14" customFormat="1" ht="18" x14ac:dyDescent="0.25">
      <c r="A4340" s="91"/>
      <c r="B4340" s="90"/>
      <c r="C4340" s="88"/>
      <c r="D4340" s="89"/>
      <c r="E4340" s="90"/>
      <c r="F4340" s="91"/>
      <c r="G4340" s="90"/>
      <c r="H4340" s="92"/>
      <c r="I4340" s="87"/>
      <c r="J4340" s="93"/>
      <c r="K4340" s="92"/>
      <c r="L4340" s="72" t="str">
        <f t="shared" si="68"/>
        <v/>
      </c>
      <c r="N4340" s="15"/>
    </row>
    <row r="4341" spans="1:14" s="14" customFormat="1" ht="18" x14ac:dyDescent="0.25">
      <c r="A4341" s="91"/>
      <c r="B4341" s="90"/>
      <c r="C4341" s="88"/>
      <c r="D4341" s="89"/>
      <c r="E4341" s="90"/>
      <c r="F4341" s="91"/>
      <c r="G4341" s="90"/>
      <c r="H4341" s="92"/>
      <c r="I4341" s="87"/>
      <c r="J4341" s="93"/>
      <c r="K4341" s="92"/>
      <c r="L4341" s="72" t="str">
        <f t="shared" si="68"/>
        <v/>
      </c>
      <c r="N4341" s="15"/>
    </row>
    <row r="4342" spans="1:14" s="14" customFormat="1" ht="18" x14ac:dyDescent="0.25">
      <c r="A4342" s="91"/>
      <c r="B4342" s="90"/>
      <c r="C4342" s="88"/>
      <c r="D4342" s="89"/>
      <c r="E4342" s="90"/>
      <c r="F4342" s="91"/>
      <c r="G4342" s="90"/>
      <c r="H4342" s="92"/>
      <c r="I4342" s="87"/>
      <c r="J4342" s="93"/>
      <c r="K4342" s="92"/>
      <c r="L4342" s="72" t="str">
        <f t="shared" si="68"/>
        <v/>
      </c>
      <c r="N4342" s="15"/>
    </row>
    <row r="4343" spans="1:14" s="14" customFormat="1" ht="18" x14ac:dyDescent="0.25">
      <c r="A4343" s="91"/>
      <c r="B4343" s="90"/>
      <c r="C4343" s="88"/>
      <c r="D4343" s="89"/>
      <c r="E4343" s="90"/>
      <c r="F4343" s="91"/>
      <c r="G4343" s="90"/>
      <c r="H4343" s="92"/>
      <c r="I4343" s="87"/>
      <c r="J4343" s="93"/>
      <c r="K4343" s="92"/>
      <c r="L4343" s="72" t="str">
        <f t="shared" si="68"/>
        <v/>
      </c>
      <c r="N4343" s="15"/>
    </row>
    <row r="4344" spans="1:14" s="14" customFormat="1" ht="18" x14ac:dyDescent="0.25">
      <c r="A4344" s="91"/>
      <c r="B4344" s="90"/>
      <c r="C4344" s="88"/>
      <c r="D4344" s="89"/>
      <c r="E4344" s="90"/>
      <c r="F4344" s="91"/>
      <c r="G4344" s="90"/>
      <c r="H4344" s="92"/>
      <c r="I4344" s="87"/>
      <c r="J4344" s="93"/>
      <c r="K4344" s="92"/>
      <c r="L4344" s="72" t="str">
        <f t="shared" si="68"/>
        <v/>
      </c>
      <c r="N4344" s="15"/>
    </row>
    <row r="4345" spans="1:14" s="14" customFormat="1" ht="18" x14ac:dyDescent="0.25">
      <c r="A4345" s="91"/>
      <c r="B4345" s="90"/>
      <c r="C4345" s="88"/>
      <c r="D4345" s="89"/>
      <c r="E4345" s="90"/>
      <c r="F4345" s="91"/>
      <c r="G4345" s="90"/>
      <c r="H4345" s="92"/>
      <c r="I4345" s="87"/>
      <c r="J4345" s="93"/>
      <c r="K4345" s="92"/>
      <c r="L4345" s="72" t="str">
        <f t="shared" si="68"/>
        <v/>
      </c>
      <c r="N4345" s="15"/>
    </row>
    <row r="4346" spans="1:14" s="14" customFormat="1" ht="18" x14ac:dyDescent="0.25">
      <c r="A4346" s="91"/>
      <c r="B4346" s="90"/>
      <c r="C4346" s="88"/>
      <c r="D4346" s="89"/>
      <c r="E4346" s="90"/>
      <c r="F4346" s="91"/>
      <c r="G4346" s="90"/>
      <c r="H4346" s="92"/>
      <c r="I4346" s="87"/>
      <c r="J4346" s="93"/>
      <c r="K4346" s="92"/>
      <c r="L4346" s="72" t="str">
        <f t="shared" si="68"/>
        <v/>
      </c>
      <c r="N4346" s="15"/>
    </row>
    <row r="4347" spans="1:14" s="14" customFormat="1" ht="18" x14ac:dyDescent="0.25">
      <c r="A4347" s="91"/>
      <c r="B4347" s="90"/>
      <c r="C4347" s="88"/>
      <c r="D4347" s="89"/>
      <c r="E4347" s="90"/>
      <c r="F4347" s="91"/>
      <c r="G4347" s="90"/>
      <c r="H4347" s="92"/>
      <c r="I4347" s="87"/>
      <c r="J4347" s="93"/>
      <c r="K4347" s="92"/>
      <c r="L4347" s="72" t="str">
        <f t="shared" si="68"/>
        <v/>
      </c>
      <c r="N4347" s="15"/>
    </row>
    <row r="4348" spans="1:14" s="14" customFormat="1" ht="18" x14ac:dyDescent="0.25">
      <c r="A4348" s="91"/>
      <c r="B4348" s="90"/>
      <c r="C4348" s="88"/>
      <c r="D4348" s="89"/>
      <c r="E4348" s="90"/>
      <c r="F4348" s="91"/>
      <c r="G4348" s="90"/>
      <c r="H4348" s="92"/>
      <c r="I4348" s="87"/>
      <c r="J4348" s="93"/>
      <c r="K4348" s="92"/>
      <c r="L4348" s="72" t="str">
        <f t="shared" si="68"/>
        <v/>
      </c>
      <c r="N4348" s="15"/>
    </row>
    <row r="4349" spans="1:14" s="14" customFormat="1" ht="18" x14ac:dyDescent="0.25">
      <c r="A4349" s="91"/>
      <c r="B4349" s="90"/>
      <c r="C4349" s="88"/>
      <c r="D4349" s="89"/>
      <c r="E4349" s="90"/>
      <c r="F4349" s="91"/>
      <c r="G4349" s="90"/>
      <c r="H4349" s="92"/>
      <c r="I4349" s="87"/>
      <c r="J4349" s="93"/>
      <c r="K4349" s="92"/>
      <c r="L4349" s="72" t="str">
        <f t="shared" si="68"/>
        <v/>
      </c>
      <c r="N4349" s="15"/>
    </row>
    <row r="4350" spans="1:14" s="14" customFormat="1" ht="18" x14ac:dyDescent="0.25">
      <c r="A4350" s="91"/>
      <c r="B4350" s="90"/>
      <c r="C4350" s="88"/>
      <c r="D4350" s="89"/>
      <c r="E4350" s="90"/>
      <c r="F4350" s="91"/>
      <c r="G4350" s="90"/>
      <c r="H4350" s="92"/>
      <c r="I4350" s="87"/>
      <c r="J4350" s="93"/>
      <c r="K4350" s="92"/>
      <c r="L4350" s="72" t="str">
        <f t="shared" si="68"/>
        <v/>
      </c>
      <c r="N4350" s="15"/>
    </row>
    <row r="4351" spans="1:14" s="14" customFormat="1" ht="18" x14ac:dyDescent="0.25">
      <c r="A4351" s="91"/>
      <c r="B4351" s="90"/>
      <c r="C4351" s="88"/>
      <c r="D4351" s="89"/>
      <c r="E4351" s="90"/>
      <c r="F4351" s="91"/>
      <c r="G4351" s="90"/>
      <c r="H4351" s="92"/>
      <c r="I4351" s="87"/>
      <c r="J4351" s="93"/>
      <c r="K4351" s="92"/>
      <c r="L4351" s="72" t="str">
        <f t="shared" si="68"/>
        <v/>
      </c>
      <c r="N4351" s="15"/>
    </row>
    <row r="4352" spans="1:14" s="14" customFormat="1" ht="18" x14ac:dyDescent="0.25">
      <c r="A4352" s="91"/>
      <c r="B4352" s="90"/>
      <c r="C4352" s="88"/>
      <c r="D4352" s="89"/>
      <c r="E4352" s="90"/>
      <c r="F4352" s="91"/>
      <c r="G4352" s="90"/>
      <c r="H4352" s="92"/>
      <c r="I4352" s="87"/>
      <c r="J4352" s="93"/>
      <c r="K4352" s="92"/>
      <c r="L4352" s="72" t="str">
        <f t="shared" si="68"/>
        <v/>
      </c>
      <c r="N4352" s="15"/>
    </row>
    <row r="4353" spans="1:14" s="14" customFormat="1" ht="18" x14ac:dyDescent="0.25">
      <c r="A4353" s="91"/>
      <c r="B4353" s="90"/>
      <c r="C4353" s="88"/>
      <c r="D4353" s="89"/>
      <c r="E4353" s="90"/>
      <c r="F4353" s="91"/>
      <c r="G4353" s="90"/>
      <c r="H4353" s="92"/>
      <c r="I4353" s="87"/>
      <c r="J4353" s="93"/>
      <c r="K4353" s="92"/>
      <c r="L4353" s="72" t="str">
        <f t="shared" si="68"/>
        <v/>
      </c>
      <c r="N4353" s="15"/>
    </row>
    <row r="4354" spans="1:14" s="14" customFormat="1" ht="18" x14ac:dyDescent="0.25">
      <c r="A4354" s="91"/>
      <c r="B4354" s="90"/>
      <c r="C4354" s="88"/>
      <c r="D4354" s="89"/>
      <c r="E4354" s="90"/>
      <c r="F4354" s="91"/>
      <c r="G4354" s="90"/>
      <c r="H4354" s="92"/>
      <c r="I4354" s="87"/>
      <c r="J4354" s="93"/>
      <c r="K4354" s="92"/>
      <c r="L4354" s="72" t="str">
        <f t="shared" si="68"/>
        <v/>
      </c>
      <c r="N4354" s="15"/>
    </row>
    <row r="4355" spans="1:14" s="14" customFormat="1" ht="18" x14ac:dyDescent="0.25">
      <c r="A4355" s="91"/>
      <c r="B4355" s="90"/>
      <c r="C4355" s="88"/>
      <c r="D4355" s="89"/>
      <c r="E4355" s="90"/>
      <c r="F4355" s="91"/>
      <c r="G4355" s="90"/>
      <c r="H4355" s="92"/>
      <c r="I4355" s="87"/>
      <c r="J4355" s="93"/>
      <c r="K4355" s="92"/>
      <c r="L4355" s="72" t="str">
        <f t="shared" si="68"/>
        <v/>
      </c>
      <c r="N4355" s="15"/>
    </row>
    <row r="4356" spans="1:14" s="14" customFormat="1" ht="18" x14ac:dyDescent="0.25">
      <c r="A4356" s="91"/>
      <c r="B4356" s="90"/>
      <c r="C4356" s="88"/>
      <c r="D4356" s="89"/>
      <c r="E4356" s="90"/>
      <c r="F4356" s="91"/>
      <c r="G4356" s="90"/>
      <c r="H4356" s="92"/>
      <c r="I4356" s="87"/>
      <c r="J4356" s="93"/>
      <c r="K4356" s="92"/>
      <c r="L4356" s="72" t="str">
        <f t="shared" si="68"/>
        <v/>
      </c>
      <c r="N4356" s="15"/>
    </row>
    <row r="4357" spans="1:14" s="14" customFormat="1" ht="18" x14ac:dyDescent="0.25">
      <c r="A4357" s="91"/>
      <c r="B4357" s="90"/>
      <c r="C4357" s="88"/>
      <c r="D4357" s="89"/>
      <c r="E4357" s="90"/>
      <c r="F4357" s="91"/>
      <c r="G4357" s="90"/>
      <c r="H4357" s="92"/>
      <c r="I4357" s="87"/>
      <c r="J4357" s="93"/>
      <c r="K4357" s="92"/>
      <c r="L4357" s="72" t="str">
        <f t="shared" si="68"/>
        <v/>
      </c>
      <c r="N4357" s="15"/>
    </row>
    <row r="4358" spans="1:14" s="14" customFormat="1" ht="18" x14ac:dyDescent="0.25">
      <c r="A4358" s="91"/>
      <c r="B4358" s="90"/>
      <c r="C4358" s="88"/>
      <c r="D4358" s="89"/>
      <c r="E4358" s="90"/>
      <c r="F4358" s="91"/>
      <c r="G4358" s="90"/>
      <c r="H4358" s="92"/>
      <c r="I4358" s="87"/>
      <c r="J4358" s="93"/>
      <c r="K4358" s="92"/>
      <c r="L4358" s="72" t="str">
        <f t="shared" si="68"/>
        <v/>
      </c>
      <c r="N4358" s="15"/>
    </row>
    <row r="4359" spans="1:14" s="14" customFormat="1" ht="18" x14ac:dyDescent="0.25">
      <c r="A4359" s="91"/>
      <c r="B4359" s="90"/>
      <c r="C4359" s="88"/>
      <c r="D4359" s="89"/>
      <c r="E4359" s="90"/>
      <c r="F4359" s="91"/>
      <c r="G4359" s="90"/>
      <c r="H4359" s="92"/>
      <c r="I4359" s="87"/>
      <c r="J4359" s="93"/>
      <c r="K4359" s="92"/>
      <c r="L4359" s="72" t="str">
        <f t="shared" si="68"/>
        <v/>
      </c>
      <c r="N4359" s="15"/>
    </row>
    <row r="4360" spans="1:14" s="14" customFormat="1" ht="18" x14ac:dyDescent="0.25">
      <c r="A4360" s="91"/>
      <c r="B4360" s="90"/>
      <c r="C4360" s="88"/>
      <c r="D4360" s="89"/>
      <c r="E4360" s="90"/>
      <c r="F4360" s="91"/>
      <c r="G4360" s="90"/>
      <c r="H4360" s="92"/>
      <c r="I4360" s="87"/>
      <c r="J4360" s="93"/>
      <c r="K4360" s="92"/>
      <c r="L4360" s="72" t="str">
        <f t="shared" si="68"/>
        <v/>
      </c>
      <c r="N4360" s="15"/>
    </row>
    <row r="4361" spans="1:14" s="14" customFormat="1" ht="18" x14ac:dyDescent="0.25">
      <c r="A4361" s="91"/>
      <c r="B4361" s="90"/>
      <c r="C4361" s="88"/>
      <c r="D4361" s="89"/>
      <c r="E4361" s="90"/>
      <c r="F4361" s="91"/>
      <c r="G4361" s="90"/>
      <c r="H4361" s="92"/>
      <c r="I4361" s="87"/>
      <c r="J4361" s="93"/>
      <c r="K4361" s="92"/>
      <c r="L4361" s="72" t="str">
        <f t="shared" si="68"/>
        <v/>
      </c>
      <c r="N4361" s="15"/>
    </row>
    <row r="4362" spans="1:14" s="14" customFormat="1" ht="18" x14ac:dyDescent="0.25">
      <c r="A4362" s="91"/>
      <c r="B4362" s="90"/>
      <c r="C4362" s="88"/>
      <c r="D4362" s="89"/>
      <c r="E4362" s="90"/>
      <c r="F4362" s="91"/>
      <c r="G4362" s="90"/>
      <c r="H4362" s="92"/>
      <c r="I4362" s="87"/>
      <c r="J4362" s="93"/>
      <c r="K4362" s="92"/>
      <c r="L4362" s="72" t="str">
        <f t="shared" si="68"/>
        <v/>
      </c>
      <c r="N4362" s="15"/>
    </row>
    <row r="4363" spans="1:14" s="14" customFormat="1" ht="18" x14ac:dyDescent="0.25">
      <c r="A4363" s="91"/>
      <c r="B4363" s="90"/>
      <c r="C4363" s="88"/>
      <c r="D4363" s="89"/>
      <c r="E4363" s="90"/>
      <c r="F4363" s="91"/>
      <c r="G4363" s="90"/>
      <c r="H4363" s="92"/>
      <c r="I4363" s="87"/>
      <c r="J4363" s="93"/>
      <c r="K4363" s="92"/>
      <c r="L4363" s="72" t="str">
        <f t="shared" si="68"/>
        <v/>
      </c>
      <c r="N4363" s="15"/>
    </row>
    <row r="4364" spans="1:14" s="14" customFormat="1" ht="18" x14ac:dyDescent="0.25">
      <c r="A4364" s="91"/>
      <c r="B4364" s="90"/>
      <c r="C4364" s="88"/>
      <c r="D4364" s="89"/>
      <c r="E4364" s="90"/>
      <c r="F4364" s="91"/>
      <c r="G4364" s="90"/>
      <c r="H4364" s="92"/>
      <c r="I4364" s="87"/>
      <c r="J4364" s="93"/>
      <c r="K4364" s="92"/>
      <c r="L4364" s="72" t="str">
        <f t="shared" si="68"/>
        <v/>
      </c>
      <c r="N4364" s="15"/>
    </row>
    <row r="4365" spans="1:14" s="14" customFormat="1" ht="18" x14ac:dyDescent="0.25">
      <c r="A4365" s="91"/>
      <c r="B4365" s="90"/>
      <c r="C4365" s="88"/>
      <c r="D4365" s="89"/>
      <c r="E4365" s="90"/>
      <c r="F4365" s="91"/>
      <c r="G4365" s="90"/>
      <c r="H4365" s="92"/>
      <c r="I4365" s="87"/>
      <c r="J4365" s="93"/>
      <c r="K4365" s="92"/>
      <c r="L4365" s="72" t="str">
        <f t="shared" si="68"/>
        <v/>
      </c>
      <c r="N4365" s="15"/>
    </row>
    <row r="4366" spans="1:14" s="14" customFormat="1" ht="18" x14ac:dyDescent="0.25">
      <c r="A4366" s="91"/>
      <c r="B4366" s="90"/>
      <c r="C4366" s="88"/>
      <c r="D4366" s="89"/>
      <c r="E4366" s="90"/>
      <c r="F4366" s="91"/>
      <c r="G4366" s="90"/>
      <c r="H4366" s="92"/>
      <c r="I4366" s="87"/>
      <c r="J4366" s="93"/>
      <c r="K4366" s="92"/>
      <c r="L4366" s="72" t="str">
        <f t="shared" si="68"/>
        <v/>
      </c>
      <c r="N4366" s="15"/>
    </row>
    <row r="4367" spans="1:14" s="14" customFormat="1" ht="18" x14ac:dyDescent="0.25">
      <c r="A4367" s="91"/>
      <c r="B4367" s="90"/>
      <c r="C4367" s="88"/>
      <c r="D4367" s="89"/>
      <c r="E4367" s="90"/>
      <c r="F4367" s="91"/>
      <c r="G4367" s="90"/>
      <c r="H4367" s="92"/>
      <c r="I4367" s="87"/>
      <c r="J4367" s="93"/>
      <c r="K4367" s="92"/>
      <c r="L4367" s="72" t="str">
        <f t="shared" si="68"/>
        <v/>
      </c>
      <c r="N4367" s="15"/>
    </row>
    <row r="4368" spans="1:14" s="14" customFormat="1" ht="18" x14ac:dyDescent="0.25">
      <c r="A4368" s="91"/>
      <c r="B4368" s="90"/>
      <c r="C4368" s="88"/>
      <c r="D4368" s="89"/>
      <c r="E4368" s="90"/>
      <c r="F4368" s="91"/>
      <c r="G4368" s="90"/>
      <c r="H4368" s="92"/>
      <c r="I4368" s="87"/>
      <c r="J4368" s="93"/>
      <c r="K4368" s="92"/>
      <c r="L4368" s="72" t="str">
        <f t="shared" si="68"/>
        <v/>
      </c>
      <c r="N4368" s="15"/>
    </row>
    <row r="4369" spans="1:14" s="14" customFormat="1" ht="18" x14ac:dyDescent="0.25">
      <c r="A4369" s="91"/>
      <c r="B4369" s="90"/>
      <c r="C4369" s="88"/>
      <c r="D4369" s="89"/>
      <c r="E4369" s="90"/>
      <c r="F4369" s="91"/>
      <c r="G4369" s="90"/>
      <c r="H4369" s="92"/>
      <c r="I4369" s="87"/>
      <c r="J4369" s="93"/>
      <c r="K4369" s="92"/>
      <c r="L4369" s="72" t="str">
        <f t="shared" si="68"/>
        <v/>
      </c>
      <c r="N4369" s="15"/>
    </row>
    <row r="4370" spans="1:14" s="14" customFormat="1" ht="18" x14ac:dyDescent="0.25">
      <c r="A4370" s="91"/>
      <c r="B4370" s="90"/>
      <c r="C4370" s="88"/>
      <c r="D4370" s="89"/>
      <c r="E4370" s="90"/>
      <c r="F4370" s="91"/>
      <c r="G4370" s="90"/>
      <c r="H4370" s="92"/>
      <c r="I4370" s="87"/>
      <c r="J4370" s="93"/>
      <c r="K4370" s="92"/>
      <c r="L4370" s="72" t="str">
        <f t="shared" si="68"/>
        <v/>
      </c>
      <c r="N4370" s="15"/>
    </row>
    <row r="4371" spans="1:14" s="14" customFormat="1" ht="18" x14ac:dyDescent="0.25">
      <c r="A4371" s="91"/>
      <c r="B4371" s="90"/>
      <c r="C4371" s="88"/>
      <c r="D4371" s="89"/>
      <c r="E4371" s="90"/>
      <c r="F4371" s="91"/>
      <c r="G4371" s="90"/>
      <c r="H4371" s="92"/>
      <c r="I4371" s="87"/>
      <c r="J4371" s="93"/>
      <c r="K4371" s="92"/>
      <c r="L4371" s="72" t="str">
        <f t="shared" si="68"/>
        <v/>
      </c>
      <c r="N4371" s="15"/>
    </row>
    <row r="4372" spans="1:14" s="14" customFormat="1" ht="18" x14ac:dyDescent="0.25">
      <c r="A4372" s="91"/>
      <c r="B4372" s="90"/>
      <c r="C4372" s="88"/>
      <c r="D4372" s="89"/>
      <c r="E4372" s="90"/>
      <c r="F4372" s="91"/>
      <c r="G4372" s="90"/>
      <c r="H4372" s="92"/>
      <c r="I4372" s="87"/>
      <c r="J4372" s="93"/>
      <c r="K4372" s="92"/>
      <c r="L4372" s="72" t="str">
        <f t="shared" si="68"/>
        <v/>
      </c>
      <c r="N4372" s="15"/>
    </row>
    <row r="4373" spans="1:14" s="14" customFormat="1" ht="18" x14ac:dyDescent="0.25">
      <c r="A4373" s="91"/>
      <c r="B4373" s="90"/>
      <c r="C4373" s="88"/>
      <c r="D4373" s="89"/>
      <c r="E4373" s="90"/>
      <c r="F4373" s="91"/>
      <c r="G4373" s="90"/>
      <c r="H4373" s="92"/>
      <c r="I4373" s="87"/>
      <c r="J4373" s="93"/>
      <c r="K4373" s="92"/>
      <c r="L4373" s="72" t="str">
        <f t="shared" si="68"/>
        <v/>
      </c>
      <c r="N4373" s="15"/>
    </row>
    <row r="4374" spans="1:14" s="14" customFormat="1" ht="18" x14ac:dyDescent="0.25">
      <c r="A4374" s="91"/>
      <c r="B4374" s="90"/>
      <c r="C4374" s="88"/>
      <c r="D4374" s="89"/>
      <c r="E4374" s="90"/>
      <c r="F4374" s="91"/>
      <c r="G4374" s="90"/>
      <c r="H4374" s="92"/>
      <c r="I4374" s="87"/>
      <c r="J4374" s="93"/>
      <c r="K4374" s="92"/>
      <c r="L4374" s="72" t="str">
        <f t="shared" si="68"/>
        <v/>
      </c>
      <c r="N4374" s="15"/>
    </row>
    <row r="4375" spans="1:14" s="14" customFormat="1" ht="18" x14ac:dyDescent="0.25">
      <c r="A4375" s="91"/>
      <c r="B4375" s="90"/>
      <c r="C4375" s="88"/>
      <c r="D4375" s="89"/>
      <c r="E4375" s="90"/>
      <c r="F4375" s="91"/>
      <c r="G4375" s="90"/>
      <c r="H4375" s="92"/>
      <c r="I4375" s="87"/>
      <c r="J4375" s="93"/>
      <c r="K4375" s="92"/>
      <c r="L4375" s="72" t="str">
        <f t="shared" si="68"/>
        <v/>
      </c>
      <c r="N4375" s="15"/>
    </row>
    <row r="4376" spans="1:14" s="14" customFormat="1" ht="18" x14ac:dyDescent="0.25">
      <c r="A4376" s="91"/>
      <c r="B4376" s="90"/>
      <c r="C4376" s="88"/>
      <c r="D4376" s="89"/>
      <c r="E4376" s="90"/>
      <c r="F4376" s="91"/>
      <c r="G4376" s="90"/>
      <c r="H4376" s="92"/>
      <c r="I4376" s="87"/>
      <c r="J4376" s="93"/>
      <c r="K4376" s="92"/>
      <c r="L4376" s="72" t="str">
        <f t="shared" si="68"/>
        <v/>
      </c>
      <c r="N4376" s="15"/>
    </row>
    <row r="4377" spans="1:14" s="14" customFormat="1" ht="18" x14ac:dyDescent="0.25">
      <c r="A4377" s="91"/>
      <c r="B4377" s="90"/>
      <c r="C4377" s="88"/>
      <c r="D4377" s="89"/>
      <c r="E4377" s="90"/>
      <c r="F4377" s="91"/>
      <c r="G4377" s="90"/>
      <c r="H4377" s="92"/>
      <c r="I4377" s="87"/>
      <c r="J4377" s="93"/>
      <c r="K4377" s="92"/>
      <c r="L4377" s="72" t="str">
        <f t="shared" si="68"/>
        <v/>
      </c>
      <c r="N4377" s="15"/>
    </row>
    <row r="4378" spans="1:14" s="14" customFormat="1" ht="18" x14ac:dyDescent="0.25">
      <c r="A4378" s="91"/>
      <c r="B4378" s="90"/>
      <c r="C4378" s="88"/>
      <c r="D4378" s="89"/>
      <c r="E4378" s="90"/>
      <c r="F4378" s="91"/>
      <c r="G4378" s="90"/>
      <c r="H4378" s="92"/>
      <c r="I4378" s="87"/>
      <c r="J4378" s="93"/>
      <c r="K4378" s="92"/>
      <c r="L4378" s="72" t="str">
        <f t="shared" si="68"/>
        <v/>
      </c>
      <c r="N4378" s="15"/>
    </row>
    <row r="4379" spans="1:14" s="14" customFormat="1" ht="18" x14ac:dyDescent="0.25">
      <c r="A4379" s="91"/>
      <c r="B4379" s="90"/>
      <c r="C4379" s="88"/>
      <c r="D4379" s="89"/>
      <c r="E4379" s="90"/>
      <c r="F4379" s="91"/>
      <c r="G4379" s="90"/>
      <c r="H4379" s="92"/>
      <c r="I4379" s="87"/>
      <c r="J4379" s="93"/>
      <c r="K4379" s="92"/>
      <c r="L4379" s="72" t="str">
        <f t="shared" si="68"/>
        <v/>
      </c>
      <c r="N4379" s="15"/>
    </row>
    <row r="4380" spans="1:14" s="14" customFormat="1" ht="18" x14ac:dyDescent="0.25">
      <c r="A4380" s="91"/>
      <c r="B4380" s="90"/>
      <c r="C4380" s="88"/>
      <c r="D4380" s="89"/>
      <c r="E4380" s="90"/>
      <c r="F4380" s="91"/>
      <c r="G4380" s="90"/>
      <c r="H4380" s="92"/>
      <c r="I4380" s="87"/>
      <c r="J4380" s="93"/>
      <c r="K4380" s="92"/>
      <c r="L4380" s="72" t="str">
        <f t="shared" si="68"/>
        <v/>
      </c>
      <c r="N4380" s="15"/>
    </row>
    <row r="4381" spans="1:14" s="14" customFormat="1" ht="18" x14ac:dyDescent="0.25">
      <c r="A4381" s="91"/>
      <c r="B4381" s="90"/>
      <c r="C4381" s="88"/>
      <c r="D4381" s="89"/>
      <c r="E4381" s="90"/>
      <c r="F4381" s="91"/>
      <c r="G4381" s="90"/>
      <c r="H4381" s="92"/>
      <c r="I4381" s="87"/>
      <c r="J4381" s="93"/>
      <c r="K4381" s="92"/>
      <c r="L4381" s="72" t="str">
        <f t="shared" si="68"/>
        <v/>
      </c>
      <c r="N4381" s="15"/>
    </row>
    <row r="4382" spans="1:14" s="14" customFormat="1" ht="18" x14ac:dyDescent="0.25">
      <c r="A4382" s="91"/>
      <c r="B4382" s="90"/>
      <c r="C4382" s="88"/>
      <c r="D4382" s="89"/>
      <c r="E4382" s="90"/>
      <c r="F4382" s="91"/>
      <c r="G4382" s="90"/>
      <c r="H4382" s="92"/>
      <c r="I4382" s="87"/>
      <c r="J4382" s="93"/>
      <c r="K4382" s="92"/>
      <c r="L4382" s="72" t="str">
        <f t="shared" ref="L4382:L4445" si="69">IF(ISBLANK(H4382),"",IF(H4382=K4382,"Payé","Impayé"))</f>
        <v/>
      </c>
      <c r="N4382" s="15"/>
    </row>
    <row r="4383" spans="1:14" s="14" customFormat="1" ht="18" x14ac:dyDescent="0.25">
      <c r="A4383" s="91"/>
      <c r="B4383" s="90"/>
      <c r="C4383" s="88"/>
      <c r="D4383" s="89"/>
      <c r="E4383" s="90"/>
      <c r="F4383" s="91"/>
      <c r="G4383" s="90"/>
      <c r="H4383" s="92"/>
      <c r="I4383" s="87"/>
      <c r="J4383" s="93"/>
      <c r="K4383" s="92"/>
      <c r="L4383" s="72" t="str">
        <f t="shared" si="69"/>
        <v/>
      </c>
      <c r="N4383" s="15"/>
    </row>
    <row r="4384" spans="1:14" s="14" customFormat="1" ht="18" x14ac:dyDescent="0.25">
      <c r="A4384" s="91"/>
      <c r="B4384" s="90"/>
      <c r="C4384" s="88"/>
      <c r="D4384" s="89"/>
      <c r="E4384" s="90"/>
      <c r="F4384" s="91"/>
      <c r="G4384" s="90"/>
      <c r="H4384" s="92"/>
      <c r="I4384" s="87"/>
      <c r="J4384" s="93"/>
      <c r="K4384" s="92"/>
      <c r="L4384" s="72" t="str">
        <f t="shared" si="69"/>
        <v/>
      </c>
      <c r="N4384" s="15"/>
    </row>
    <row r="4385" spans="1:14" s="14" customFormat="1" ht="18" x14ac:dyDescent="0.25">
      <c r="A4385" s="91"/>
      <c r="B4385" s="90"/>
      <c r="C4385" s="88"/>
      <c r="D4385" s="89"/>
      <c r="E4385" s="90"/>
      <c r="F4385" s="91"/>
      <c r="G4385" s="90"/>
      <c r="H4385" s="92"/>
      <c r="I4385" s="87"/>
      <c r="J4385" s="93"/>
      <c r="K4385" s="92"/>
      <c r="L4385" s="72" t="str">
        <f t="shared" si="69"/>
        <v/>
      </c>
      <c r="N4385" s="15"/>
    </row>
    <row r="4386" spans="1:14" s="14" customFormat="1" ht="18" x14ac:dyDescent="0.25">
      <c r="A4386" s="91"/>
      <c r="B4386" s="90"/>
      <c r="C4386" s="88"/>
      <c r="D4386" s="89"/>
      <c r="E4386" s="90"/>
      <c r="F4386" s="91"/>
      <c r="G4386" s="90"/>
      <c r="H4386" s="92"/>
      <c r="I4386" s="87"/>
      <c r="J4386" s="93"/>
      <c r="K4386" s="92"/>
      <c r="L4386" s="72" t="str">
        <f t="shared" si="69"/>
        <v/>
      </c>
      <c r="N4386" s="15"/>
    </row>
    <row r="4387" spans="1:14" s="14" customFormat="1" ht="18" x14ac:dyDescent="0.25">
      <c r="A4387" s="91"/>
      <c r="B4387" s="90"/>
      <c r="C4387" s="88"/>
      <c r="D4387" s="89"/>
      <c r="E4387" s="90"/>
      <c r="F4387" s="91"/>
      <c r="G4387" s="90"/>
      <c r="H4387" s="92"/>
      <c r="I4387" s="87"/>
      <c r="J4387" s="93"/>
      <c r="K4387" s="92"/>
      <c r="L4387" s="72" t="str">
        <f t="shared" si="69"/>
        <v/>
      </c>
      <c r="N4387" s="15"/>
    </row>
    <row r="4388" spans="1:14" s="14" customFormat="1" ht="18" x14ac:dyDescent="0.25">
      <c r="A4388" s="91"/>
      <c r="B4388" s="90"/>
      <c r="C4388" s="88"/>
      <c r="D4388" s="89"/>
      <c r="E4388" s="90"/>
      <c r="F4388" s="91"/>
      <c r="G4388" s="90"/>
      <c r="H4388" s="92"/>
      <c r="I4388" s="87"/>
      <c r="J4388" s="93"/>
      <c r="K4388" s="92"/>
      <c r="L4388" s="72" t="str">
        <f t="shared" si="69"/>
        <v/>
      </c>
      <c r="N4388" s="15"/>
    </row>
    <row r="4389" spans="1:14" s="14" customFormat="1" ht="18" x14ac:dyDescent="0.25">
      <c r="A4389" s="91"/>
      <c r="B4389" s="90"/>
      <c r="C4389" s="88"/>
      <c r="D4389" s="89"/>
      <c r="E4389" s="90"/>
      <c r="F4389" s="91"/>
      <c r="G4389" s="90"/>
      <c r="H4389" s="92"/>
      <c r="I4389" s="87"/>
      <c r="J4389" s="93"/>
      <c r="K4389" s="92"/>
      <c r="L4389" s="72" t="str">
        <f t="shared" si="69"/>
        <v/>
      </c>
      <c r="N4389" s="15"/>
    </row>
    <row r="4390" spans="1:14" s="14" customFormat="1" ht="18" x14ac:dyDescent="0.25">
      <c r="A4390" s="91"/>
      <c r="B4390" s="90"/>
      <c r="C4390" s="88"/>
      <c r="D4390" s="89"/>
      <c r="E4390" s="90"/>
      <c r="F4390" s="91"/>
      <c r="G4390" s="90"/>
      <c r="H4390" s="92"/>
      <c r="I4390" s="87"/>
      <c r="J4390" s="93"/>
      <c r="K4390" s="92"/>
      <c r="L4390" s="72" t="str">
        <f t="shared" si="69"/>
        <v/>
      </c>
      <c r="N4390" s="15"/>
    </row>
    <row r="4391" spans="1:14" s="14" customFormat="1" ht="18" x14ac:dyDescent="0.25">
      <c r="A4391" s="91"/>
      <c r="B4391" s="90"/>
      <c r="C4391" s="88"/>
      <c r="D4391" s="89"/>
      <c r="E4391" s="90"/>
      <c r="F4391" s="91"/>
      <c r="G4391" s="90"/>
      <c r="H4391" s="92"/>
      <c r="I4391" s="87"/>
      <c r="J4391" s="93"/>
      <c r="K4391" s="92"/>
      <c r="L4391" s="72" t="str">
        <f t="shared" si="69"/>
        <v/>
      </c>
      <c r="N4391" s="15"/>
    </row>
    <row r="4392" spans="1:14" s="14" customFormat="1" ht="18" x14ac:dyDescent="0.25">
      <c r="A4392" s="91"/>
      <c r="B4392" s="90"/>
      <c r="C4392" s="88"/>
      <c r="D4392" s="89"/>
      <c r="E4392" s="90"/>
      <c r="F4392" s="91"/>
      <c r="G4392" s="90"/>
      <c r="H4392" s="92"/>
      <c r="I4392" s="87"/>
      <c r="J4392" s="93"/>
      <c r="K4392" s="92"/>
      <c r="L4392" s="72" t="str">
        <f t="shared" si="69"/>
        <v/>
      </c>
      <c r="N4392" s="15"/>
    </row>
    <row r="4393" spans="1:14" s="14" customFormat="1" ht="18" x14ac:dyDescent="0.25">
      <c r="A4393" s="91"/>
      <c r="B4393" s="90"/>
      <c r="C4393" s="88"/>
      <c r="D4393" s="89"/>
      <c r="E4393" s="90"/>
      <c r="F4393" s="91"/>
      <c r="G4393" s="90"/>
      <c r="H4393" s="92"/>
      <c r="I4393" s="87"/>
      <c r="J4393" s="93"/>
      <c r="K4393" s="92"/>
      <c r="L4393" s="72" t="str">
        <f t="shared" si="69"/>
        <v/>
      </c>
      <c r="N4393" s="15"/>
    </row>
    <row r="4394" spans="1:14" s="14" customFormat="1" ht="18" x14ac:dyDescent="0.25">
      <c r="A4394" s="91"/>
      <c r="B4394" s="90"/>
      <c r="C4394" s="88"/>
      <c r="D4394" s="89"/>
      <c r="E4394" s="90"/>
      <c r="F4394" s="91"/>
      <c r="G4394" s="90"/>
      <c r="H4394" s="92"/>
      <c r="I4394" s="87"/>
      <c r="J4394" s="93"/>
      <c r="K4394" s="92"/>
      <c r="L4394" s="72" t="str">
        <f t="shared" si="69"/>
        <v/>
      </c>
      <c r="N4394" s="15"/>
    </row>
    <row r="4395" spans="1:14" s="14" customFormat="1" ht="18" x14ac:dyDescent="0.25">
      <c r="A4395" s="91"/>
      <c r="B4395" s="90"/>
      <c r="C4395" s="88"/>
      <c r="D4395" s="89"/>
      <c r="E4395" s="90"/>
      <c r="F4395" s="91"/>
      <c r="G4395" s="90"/>
      <c r="H4395" s="92"/>
      <c r="I4395" s="87"/>
      <c r="J4395" s="93"/>
      <c r="K4395" s="92"/>
      <c r="L4395" s="72" t="str">
        <f t="shared" si="69"/>
        <v/>
      </c>
      <c r="N4395" s="15"/>
    </row>
    <row r="4396" spans="1:14" s="14" customFormat="1" ht="18" x14ac:dyDescent="0.25">
      <c r="A4396" s="91"/>
      <c r="B4396" s="90"/>
      <c r="C4396" s="88"/>
      <c r="D4396" s="89"/>
      <c r="E4396" s="90"/>
      <c r="F4396" s="91"/>
      <c r="G4396" s="90"/>
      <c r="H4396" s="92"/>
      <c r="I4396" s="87"/>
      <c r="J4396" s="93"/>
      <c r="K4396" s="92"/>
      <c r="L4396" s="72" t="str">
        <f t="shared" si="69"/>
        <v/>
      </c>
      <c r="N4396" s="15"/>
    </row>
    <row r="4397" spans="1:14" s="14" customFormat="1" ht="18" x14ac:dyDescent="0.25">
      <c r="A4397" s="91"/>
      <c r="B4397" s="90"/>
      <c r="C4397" s="88"/>
      <c r="D4397" s="89"/>
      <c r="E4397" s="90"/>
      <c r="F4397" s="91"/>
      <c r="G4397" s="90"/>
      <c r="H4397" s="92"/>
      <c r="I4397" s="87"/>
      <c r="J4397" s="93"/>
      <c r="K4397" s="92"/>
      <c r="L4397" s="72" t="str">
        <f t="shared" si="69"/>
        <v/>
      </c>
      <c r="N4397" s="15"/>
    </row>
    <row r="4398" spans="1:14" s="14" customFormat="1" ht="18" x14ac:dyDescent="0.25">
      <c r="A4398" s="91"/>
      <c r="B4398" s="90"/>
      <c r="C4398" s="88"/>
      <c r="D4398" s="89"/>
      <c r="E4398" s="90"/>
      <c r="F4398" s="91"/>
      <c r="G4398" s="90"/>
      <c r="H4398" s="92"/>
      <c r="I4398" s="87"/>
      <c r="J4398" s="93"/>
      <c r="K4398" s="92"/>
      <c r="L4398" s="72" t="str">
        <f t="shared" si="69"/>
        <v/>
      </c>
      <c r="N4398" s="15"/>
    </row>
    <row r="4399" spans="1:14" s="14" customFormat="1" ht="18" x14ac:dyDescent="0.25">
      <c r="A4399" s="91"/>
      <c r="B4399" s="90"/>
      <c r="C4399" s="88"/>
      <c r="D4399" s="89"/>
      <c r="E4399" s="90"/>
      <c r="F4399" s="91"/>
      <c r="G4399" s="90"/>
      <c r="H4399" s="92"/>
      <c r="I4399" s="87"/>
      <c r="J4399" s="93"/>
      <c r="K4399" s="92"/>
      <c r="L4399" s="72" t="str">
        <f t="shared" si="69"/>
        <v/>
      </c>
      <c r="N4399" s="15"/>
    </row>
    <row r="4400" spans="1:14" s="14" customFormat="1" ht="18" x14ac:dyDescent="0.25">
      <c r="A4400" s="91"/>
      <c r="B4400" s="90"/>
      <c r="C4400" s="88"/>
      <c r="D4400" s="89"/>
      <c r="E4400" s="90"/>
      <c r="F4400" s="91"/>
      <c r="G4400" s="90"/>
      <c r="H4400" s="92"/>
      <c r="I4400" s="87"/>
      <c r="J4400" s="93"/>
      <c r="K4400" s="92"/>
      <c r="L4400" s="72" t="str">
        <f t="shared" si="69"/>
        <v/>
      </c>
      <c r="N4400" s="15"/>
    </row>
    <row r="4401" spans="1:14" s="14" customFormat="1" ht="18" x14ac:dyDescent="0.25">
      <c r="A4401" s="91"/>
      <c r="B4401" s="90"/>
      <c r="C4401" s="88"/>
      <c r="D4401" s="89"/>
      <c r="E4401" s="90"/>
      <c r="F4401" s="91"/>
      <c r="G4401" s="90"/>
      <c r="H4401" s="92"/>
      <c r="I4401" s="87"/>
      <c r="J4401" s="93"/>
      <c r="K4401" s="92"/>
      <c r="L4401" s="72" t="str">
        <f t="shared" si="69"/>
        <v/>
      </c>
      <c r="N4401" s="15"/>
    </row>
    <row r="4402" spans="1:14" s="14" customFormat="1" ht="18" x14ac:dyDescent="0.25">
      <c r="A4402" s="91"/>
      <c r="B4402" s="90"/>
      <c r="C4402" s="88"/>
      <c r="D4402" s="89"/>
      <c r="E4402" s="90"/>
      <c r="F4402" s="91"/>
      <c r="G4402" s="90"/>
      <c r="H4402" s="92"/>
      <c r="I4402" s="87"/>
      <c r="J4402" s="93"/>
      <c r="K4402" s="92"/>
      <c r="L4402" s="72" t="str">
        <f t="shared" si="69"/>
        <v/>
      </c>
      <c r="N4402" s="15"/>
    </row>
    <row r="4403" spans="1:14" s="14" customFormat="1" ht="18" x14ac:dyDescent="0.25">
      <c r="A4403" s="91"/>
      <c r="B4403" s="90"/>
      <c r="C4403" s="88"/>
      <c r="D4403" s="89"/>
      <c r="E4403" s="90"/>
      <c r="F4403" s="91"/>
      <c r="G4403" s="90"/>
      <c r="H4403" s="92"/>
      <c r="I4403" s="87"/>
      <c r="J4403" s="93"/>
      <c r="K4403" s="92"/>
      <c r="L4403" s="72" t="str">
        <f t="shared" si="69"/>
        <v/>
      </c>
      <c r="N4403" s="15"/>
    </row>
    <row r="4404" spans="1:14" s="14" customFormat="1" ht="18" x14ac:dyDescent="0.25">
      <c r="A4404" s="91"/>
      <c r="B4404" s="90"/>
      <c r="C4404" s="88"/>
      <c r="D4404" s="89"/>
      <c r="E4404" s="90"/>
      <c r="F4404" s="91"/>
      <c r="G4404" s="90"/>
      <c r="H4404" s="92"/>
      <c r="I4404" s="87"/>
      <c r="J4404" s="93"/>
      <c r="K4404" s="92"/>
      <c r="L4404" s="72" t="str">
        <f t="shared" si="69"/>
        <v/>
      </c>
      <c r="N4404" s="15"/>
    </row>
    <row r="4405" spans="1:14" s="14" customFormat="1" ht="18" x14ac:dyDescent="0.25">
      <c r="A4405" s="91"/>
      <c r="B4405" s="90"/>
      <c r="C4405" s="88"/>
      <c r="D4405" s="89"/>
      <c r="E4405" s="90"/>
      <c r="F4405" s="91"/>
      <c r="G4405" s="90"/>
      <c r="H4405" s="92"/>
      <c r="I4405" s="87"/>
      <c r="J4405" s="93"/>
      <c r="K4405" s="92"/>
      <c r="L4405" s="72" t="str">
        <f t="shared" si="69"/>
        <v/>
      </c>
      <c r="N4405" s="15"/>
    </row>
    <row r="4406" spans="1:14" s="14" customFormat="1" ht="18" x14ac:dyDescent="0.25">
      <c r="A4406" s="91"/>
      <c r="B4406" s="90"/>
      <c r="C4406" s="88"/>
      <c r="D4406" s="89"/>
      <c r="E4406" s="90"/>
      <c r="F4406" s="91"/>
      <c r="G4406" s="90"/>
      <c r="H4406" s="92"/>
      <c r="I4406" s="87"/>
      <c r="J4406" s="93"/>
      <c r="K4406" s="92"/>
      <c r="L4406" s="72" t="str">
        <f t="shared" si="69"/>
        <v/>
      </c>
      <c r="N4406" s="15"/>
    </row>
    <row r="4407" spans="1:14" s="14" customFormat="1" ht="18" x14ac:dyDescent="0.25">
      <c r="A4407" s="91"/>
      <c r="B4407" s="90"/>
      <c r="C4407" s="88"/>
      <c r="D4407" s="89"/>
      <c r="E4407" s="90"/>
      <c r="F4407" s="91"/>
      <c r="G4407" s="90"/>
      <c r="H4407" s="92"/>
      <c r="I4407" s="87"/>
      <c r="J4407" s="93"/>
      <c r="K4407" s="92"/>
      <c r="L4407" s="72" t="str">
        <f t="shared" si="69"/>
        <v/>
      </c>
      <c r="N4407" s="15"/>
    </row>
    <row r="4408" spans="1:14" s="14" customFormat="1" ht="18" x14ac:dyDescent="0.25">
      <c r="A4408" s="91"/>
      <c r="B4408" s="90"/>
      <c r="C4408" s="88"/>
      <c r="D4408" s="89"/>
      <c r="E4408" s="90"/>
      <c r="F4408" s="91"/>
      <c r="G4408" s="90"/>
      <c r="H4408" s="92"/>
      <c r="I4408" s="87"/>
      <c r="J4408" s="93"/>
      <c r="K4408" s="92"/>
      <c r="L4408" s="72" t="str">
        <f t="shared" si="69"/>
        <v/>
      </c>
      <c r="N4408" s="15"/>
    </row>
    <row r="4409" spans="1:14" s="14" customFormat="1" ht="18" x14ac:dyDescent="0.25">
      <c r="A4409" s="91"/>
      <c r="B4409" s="90"/>
      <c r="C4409" s="88"/>
      <c r="D4409" s="89"/>
      <c r="E4409" s="90"/>
      <c r="F4409" s="91"/>
      <c r="G4409" s="90"/>
      <c r="H4409" s="92"/>
      <c r="I4409" s="87"/>
      <c r="J4409" s="93"/>
      <c r="K4409" s="92"/>
      <c r="L4409" s="72" t="str">
        <f t="shared" si="69"/>
        <v/>
      </c>
      <c r="N4409" s="15"/>
    </row>
    <row r="4410" spans="1:14" s="14" customFormat="1" ht="18" x14ac:dyDescent="0.25">
      <c r="A4410" s="91"/>
      <c r="B4410" s="90"/>
      <c r="C4410" s="88"/>
      <c r="D4410" s="89"/>
      <c r="E4410" s="90"/>
      <c r="F4410" s="91"/>
      <c r="G4410" s="90"/>
      <c r="H4410" s="92"/>
      <c r="I4410" s="87"/>
      <c r="J4410" s="93"/>
      <c r="K4410" s="92"/>
      <c r="L4410" s="72" t="str">
        <f t="shared" si="69"/>
        <v/>
      </c>
      <c r="N4410" s="15"/>
    </row>
    <row r="4411" spans="1:14" s="14" customFormat="1" ht="18" x14ac:dyDescent="0.25">
      <c r="A4411" s="91"/>
      <c r="B4411" s="90"/>
      <c r="C4411" s="88"/>
      <c r="D4411" s="89"/>
      <c r="E4411" s="90"/>
      <c r="F4411" s="91"/>
      <c r="G4411" s="90"/>
      <c r="H4411" s="92"/>
      <c r="I4411" s="87"/>
      <c r="J4411" s="93"/>
      <c r="K4411" s="92"/>
      <c r="L4411" s="72" t="str">
        <f t="shared" si="69"/>
        <v/>
      </c>
      <c r="N4411" s="15"/>
    </row>
    <row r="4412" spans="1:14" s="14" customFormat="1" ht="18" x14ac:dyDescent="0.25">
      <c r="A4412" s="91"/>
      <c r="B4412" s="90"/>
      <c r="C4412" s="88"/>
      <c r="D4412" s="89"/>
      <c r="E4412" s="90"/>
      <c r="F4412" s="91"/>
      <c r="G4412" s="90"/>
      <c r="H4412" s="92"/>
      <c r="I4412" s="87"/>
      <c r="J4412" s="93"/>
      <c r="K4412" s="92"/>
      <c r="L4412" s="72" t="str">
        <f t="shared" si="69"/>
        <v/>
      </c>
      <c r="N4412" s="15"/>
    </row>
    <row r="4413" spans="1:14" s="14" customFormat="1" ht="18" x14ac:dyDescent="0.25">
      <c r="A4413" s="91"/>
      <c r="B4413" s="90"/>
      <c r="C4413" s="88"/>
      <c r="D4413" s="89"/>
      <c r="E4413" s="90"/>
      <c r="F4413" s="91"/>
      <c r="G4413" s="90"/>
      <c r="H4413" s="92"/>
      <c r="I4413" s="87"/>
      <c r="J4413" s="93"/>
      <c r="K4413" s="92"/>
      <c r="L4413" s="72" t="str">
        <f t="shared" si="69"/>
        <v/>
      </c>
      <c r="N4413" s="15"/>
    </row>
    <row r="4414" spans="1:14" s="14" customFormat="1" ht="18" x14ac:dyDescent="0.25">
      <c r="A4414" s="91"/>
      <c r="B4414" s="90"/>
      <c r="C4414" s="88"/>
      <c r="D4414" s="89"/>
      <c r="E4414" s="90"/>
      <c r="F4414" s="91"/>
      <c r="G4414" s="90"/>
      <c r="H4414" s="92"/>
      <c r="I4414" s="87"/>
      <c r="J4414" s="93"/>
      <c r="K4414" s="92"/>
      <c r="L4414" s="72" t="str">
        <f t="shared" si="69"/>
        <v/>
      </c>
      <c r="N4414" s="15"/>
    </row>
    <row r="4415" spans="1:14" s="14" customFormat="1" ht="18" x14ac:dyDescent="0.25">
      <c r="A4415" s="91"/>
      <c r="B4415" s="90"/>
      <c r="C4415" s="88"/>
      <c r="D4415" s="89"/>
      <c r="E4415" s="90"/>
      <c r="F4415" s="91"/>
      <c r="G4415" s="90"/>
      <c r="H4415" s="92"/>
      <c r="I4415" s="87"/>
      <c r="J4415" s="93"/>
      <c r="K4415" s="92"/>
      <c r="L4415" s="72" t="str">
        <f t="shared" si="69"/>
        <v/>
      </c>
      <c r="N4415" s="15"/>
    </row>
    <row r="4416" spans="1:14" s="14" customFormat="1" ht="18" x14ac:dyDescent="0.25">
      <c r="A4416" s="91"/>
      <c r="B4416" s="90"/>
      <c r="C4416" s="88"/>
      <c r="D4416" s="89"/>
      <c r="E4416" s="90"/>
      <c r="F4416" s="91"/>
      <c r="G4416" s="90"/>
      <c r="H4416" s="92"/>
      <c r="I4416" s="87"/>
      <c r="J4416" s="93"/>
      <c r="K4416" s="92"/>
      <c r="L4416" s="72" t="str">
        <f t="shared" si="69"/>
        <v/>
      </c>
      <c r="N4416" s="15"/>
    </row>
    <row r="4417" spans="1:14" s="14" customFormat="1" ht="18" x14ac:dyDescent="0.25">
      <c r="A4417" s="91"/>
      <c r="B4417" s="90"/>
      <c r="C4417" s="88"/>
      <c r="D4417" s="89"/>
      <c r="E4417" s="90"/>
      <c r="F4417" s="91"/>
      <c r="G4417" s="90"/>
      <c r="H4417" s="92"/>
      <c r="I4417" s="87"/>
      <c r="J4417" s="93"/>
      <c r="K4417" s="92"/>
      <c r="L4417" s="72" t="str">
        <f t="shared" si="69"/>
        <v/>
      </c>
      <c r="N4417" s="15"/>
    </row>
    <row r="4418" spans="1:14" s="14" customFormat="1" ht="18" x14ac:dyDescent="0.25">
      <c r="A4418" s="91"/>
      <c r="B4418" s="90"/>
      <c r="C4418" s="88"/>
      <c r="D4418" s="89"/>
      <c r="E4418" s="90"/>
      <c r="F4418" s="91"/>
      <c r="G4418" s="90"/>
      <c r="H4418" s="92"/>
      <c r="I4418" s="87"/>
      <c r="J4418" s="93"/>
      <c r="K4418" s="92"/>
      <c r="L4418" s="72" t="str">
        <f t="shared" si="69"/>
        <v/>
      </c>
      <c r="N4418" s="15"/>
    </row>
    <row r="4419" spans="1:14" s="14" customFormat="1" ht="18" x14ac:dyDescent="0.25">
      <c r="A4419" s="91"/>
      <c r="B4419" s="90"/>
      <c r="C4419" s="88"/>
      <c r="D4419" s="89"/>
      <c r="E4419" s="90"/>
      <c r="F4419" s="91"/>
      <c r="G4419" s="90"/>
      <c r="H4419" s="92"/>
      <c r="I4419" s="87"/>
      <c r="J4419" s="93"/>
      <c r="K4419" s="92"/>
      <c r="L4419" s="72" t="str">
        <f t="shared" si="69"/>
        <v/>
      </c>
      <c r="N4419" s="15"/>
    </row>
    <row r="4420" spans="1:14" s="14" customFormat="1" ht="18" x14ac:dyDescent="0.25">
      <c r="A4420" s="91"/>
      <c r="B4420" s="90"/>
      <c r="C4420" s="88"/>
      <c r="D4420" s="89"/>
      <c r="E4420" s="90"/>
      <c r="F4420" s="91"/>
      <c r="G4420" s="90"/>
      <c r="H4420" s="92"/>
      <c r="I4420" s="87"/>
      <c r="J4420" s="93"/>
      <c r="K4420" s="92"/>
      <c r="L4420" s="72" t="str">
        <f t="shared" si="69"/>
        <v/>
      </c>
      <c r="N4420" s="15"/>
    </row>
    <row r="4421" spans="1:14" s="14" customFormat="1" ht="18" x14ac:dyDescent="0.25">
      <c r="A4421" s="91"/>
      <c r="B4421" s="90"/>
      <c r="C4421" s="88"/>
      <c r="D4421" s="89"/>
      <c r="E4421" s="90"/>
      <c r="F4421" s="91"/>
      <c r="G4421" s="90"/>
      <c r="H4421" s="92"/>
      <c r="I4421" s="87"/>
      <c r="J4421" s="93"/>
      <c r="K4421" s="92"/>
      <c r="L4421" s="72" t="str">
        <f t="shared" si="69"/>
        <v/>
      </c>
      <c r="N4421" s="15"/>
    </row>
    <row r="4422" spans="1:14" s="14" customFormat="1" ht="18" x14ac:dyDescent="0.25">
      <c r="A4422" s="91"/>
      <c r="B4422" s="90"/>
      <c r="C4422" s="88"/>
      <c r="D4422" s="89"/>
      <c r="E4422" s="90"/>
      <c r="F4422" s="91"/>
      <c r="G4422" s="90"/>
      <c r="H4422" s="92"/>
      <c r="I4422" s="87"/>
      <c r="J4422" s="93"/>
      <c r="K4422" s="92"/>
      <c r="L4422" s="72" t="str">
        <f t="shared" si="69"/>
        <v/>
      </c>
      <c r="N4422" s="15"/>
    </row>
    <row r="4423" spans="1:14" s="14" customFormat="1" ht="18" x14ac:dyDescent="0.25">
      <c r="A4423" s="91"/>
      <c r="B4423" s="90"/>
      <c r="C4423" s="88"/>
      <c r="D4423" s="89"/>
      <c r="E4423" s="90"/>
      <c r="F4423" s="91"/>
      <c r="G4423" s="90"/>
      <c r="H4423" s="92"/>
      <c r="I4423" s="87"/>
      <c r="J4423" s="93"/>
      <c r="K4423" s="92"/>
      <c r="L4423" s="72" t="str">
        <f t="shared" si="69"/>
        <v/>
      </c>
      <c r="N4423" s="15"/>
    </row>
    <row r="4424" spans="1:14" s="14" customFormat="1" ht="18" x14ac:dyDescent="0.25">
      <c r="A4424" s="91"/>
      <c r="B4424" s="90"/>
      <c r="C4424" s="88"/>
      <c r="D4424" s="89"/>
      <c r="E4424" s="90"/>
      <c r="F4424" s="91"/>
      <c r="G4424" s="90"/>
      <c r="H4424" s="92"/>
      <c r="I4424" s="87"/>
      <c r="J4424" s="93"/>
      <c r="K4424" s="92"/>
      <c r="L4424" s="72" t="str">
        <f t="shared" si="69"/>
        <v/>
      </c>
      <c r="N4424" s="15"/>
    </row>
    <row r="4425" spans="1:14" s="14" customFormat="1" ht="18" x14ac:dyDescent="0.25">
      <c r="A4425" s="91"/>
      <c r="B4425" s="90"/>
      <c r="C4425" s="88"/>
      <c r="D4425" s="89"/>
      <c r="E4425" s="90"/>
      <c r="F4425" s="91"/>
      <c r="G4425" s="90"/>
      <c r="H4425" s="92"/>
      <c r="I4425" s="87"/>
      <c r="J4425" s="93"/>
      <c r="K4425" s="92"/>
      <c r="L4425" s="72" t="str">
        <f t="shared" si="69"/>
        <v/>
      </c>
      <c r="N4425" s="15"/>
    </row>
    <row r="4426" spans="1:14" s="14" customFormat="1" ht="18" x14ac:dyDescent="0.25">
      <c r="A4426" s="91"/>
      <c r="B4426" s="90"/>
      <c r="C4426" s="88"/>
      <c r="D4426" s="89"/>
      <c r="E4426" s="90"/>
      <c r="F4426" s="91"/>
      <c r="G4426" s="90"/>
      <c r="H4426" s="92"/>
      <c r="I4426" s="87"/>
      <c r="J4426" s="93"/>
      <c r="K4426" s="92"/>
      <c r="L4426" s="72" t="str">
        <f t="shared" si="69"/>
        <v/>
      </c>
      <c r="N4426" s="15"/>
    </row>
    <row r="4427" spans="1:14" s="14" customFormat="1" ht="18" x14ac:dyDescent="0.25">
      <c r="A4427" s="91"/>
      <c r="B4427" s="90"/>
      <c r="C4427" s="88"/>
      <c r="D4427" s="89"/>
      <c r="E4427" s="90"/>
      <c r="F4427" s="91"/>
      <c r="G4427" s="90"/>
      <c r="H4427" s="92"/>
      <c r="I4427" s="87"/>
      <c r="J4427" s="93"/>
      <c r="K4427" s="92"/>
      <c r="L4427" s="72" t="str">
        <f t="shared" si="69"/>
        <v/>
      </c>
      <c r="N4427" s="15"/>
    </row>
    <row r="4428" spans="1:14" s="14" customFormat="1" ht="18" x14ac:dyDescent="0.25">
      <c r="A4428" s="91"/>
      <c r="B4428" s="90"/>
      <c r="C4428" s="88"/>
      <c r="D4428" s="89"/>
      <c r="E4428" s="90"/>
      <c r="F4428" s="91"/>
      <c r="G4428" s="90"/>
      <c r="H4428" s="92"/>
      <c r="I4428" s="87"/>
      <c r="J4428" s="93"/>
      <c r="K4428" s="92"/>
      <c r="L4428" s="72" t="str">
        <f t="shared" si="69"/>
        <v/>
      </c>
      <c r="N4428" s="15"/>
    </row>
    <row r="4429" spans="1:14" s="14" customFormat="1" ht="18" x14ac:dyDescent="0.25">
      <c r="A4429" s="91"/>
      <c r="B4429" s="90"/>
      <c r="C4429" s="88"/>
      <c r="D4429" s="89"/>
      <c r="E4429" s="90"/>
      <c r="F4429" s="91"/>
      <c r="G4429" s="90"/>
      <c r="H4429" s="92"/>
      <c r="I4429" s="87"/>
      <c r="J4429" s="93"/>
      <c r="K4429" s="92"/>
      <c r="L4429" s="72" t="str">
        <f t="shared" si="69"/>
        <v/>
      </c>
      <c r="N4429" s="15"/>
    </row>
    <row r="4430" spans="1:14" s="14" customFormat="1" ht="18" x14ac:dyDescent="0.25">
      <c r="A4430" s="91"/>
      <c r="B4430" s="90"/>
      <c r="C4430" s="88"/>
      <c r="D4430" s="89"/>
      <c r="E4430" s="90"/>
      <c r="F4430" s="91"/>
      <c r="G4430" s="90"/>
      <c r="H4430" s="92"/>
      <c r="I4430" s="87"/>
      <c r="J4430" s="93"/>
      <c r="K4430" s="92"/>
      <c r="L4430" s="72" t="str">
        <f t="shared" si="69"/>
        <v/>
      </c>
      <c r="N4430" s="15"/>
    </row>
    <row r="4431" spans="1:14" s="14" customFormat="1" ht="18" x14ac:dyDescent="0.25">
      <c r="A4431" s="91"/>
      <c r="B4431" s="90"/>
      <c r="C4431" s="88"/>
      <c r="D4431" s="89"/>
      <c r="E4431" s="90"/>
      <c r="F4431" s="91"/>
      <c r="G4431" s="90"/>
      <c r="H4431" s="92"/>
      <c r="I4431" s="87"/>
      <c r="J4431" s="93"/>
      <c r="K4431" s="92"/>
      <c r="L4431" s="72" t="str">
        <f t="shared" si="69"/>
        <v/>
      </c>
      <c r="N4431" s="15"/>
    </row>
    <row r="4432" spans="1:14" s="14" customFormat="1" ht="18" x14ac:dyDescent="0.25">
      <c r="A4432" s="91"/>
      <c r="B4432" s="90"/>
      <c r="C4432" s="88"/>
      <c r="D4432" s="89"/>
      <c r="E4432" s="90"/>
      <c r="F4432" s="91"/>
      <c r="G4432" s="90"/>
      <c r="H4432" s="92"/>
      <c r="I4432" s="87"/>
      <c r="J4432" s="93"/>
      <c r="K4432" s="92"/>
      <c r="L4432" s="72" t="str">
        <f t="shared" si="69"/>
        <v/>
      </c>
      <c r="N4432" s="15"/>
    </row>
    <row r="4433" spans="1:14" s="14" customFormat="1" ht="18" x14ac:dyDescent="0.25">
      <c r="A4433" s="91"/>
      <c r="B4433" s="90"/>
      <c r="C4433" s="88"/>
      <c r="D4433" s="89"/>
      <c r="E4433" s="90"/>
      <c r="F4433" s="91"/>
      <c r="G4433" s="90"/>
      <c r="H4433" s="92"/>
      <c r="I4433" s="87"/>
      <c r="J4433" s="93"/>
      <c r="K4433" s="92"/>
      <c r="L4433" s="72" t="str">
        <f t="shared" si="69"/>
        <v/>
      </c>
      <c r="N4433" s="15"/>
    </row>
    <row r="4434" spans="1:14" s="14" customFormat="1" ht="18" x14ac:dyDescent="0.25">
      <c r="A4434" s="91"/>
      <c r="B4434" s="90"/>
      <c r="C4434" s="88"/>
      <c r="D4434" s="89"/>
      <c r="E4434" s="90"/>
      <c r="F4434" s="91"/>
      <c r="G4434" s="90"/>
      <c r="H4434" s="92"/>
      <c r="I4434" s="87"/>
      <c r="J4434" s="93"/>
      <c r="K4434" s="92"/>
      <c r="L4434" s="72" t="str">
        <f t="shared" si="69"/>
        <v/>
      </c>
      <c r="N4434" s="15"/>
    </row>
    <row r="4435" spans="1:14" s="14" customFormat="1" ht="18" x14ac:dyDescent="0.25">
      <c r="A4435" s="91"/>
      <c r="B4435" s="90"/>
      <c r="C4435" s="88"/>
      <c r="D4435" s="89"/>
      <c r="E4435" s="90"/>
      <c r="F4435" s="91"/>
      <c r="G4435" s="90"/>
      <c r="H4435" s="92"/>
      <c r="I4435" s="87"/>
      <c r="J4435" s="93"/>
      <c r="K4435" s="92"/>
      <c r="L4435" s="72" t="str">
        <f t="shared" si="69"/>
        <v/>
      </c>
      <c r="N4435" s="15"/>
    </row>
    <row r="4436" spans="1:14" s="14" customFormat="1" ht="18" x14ac:dyDescent="0.25">
      <c r="A4436" s="91"/>
      <c r="B4436" s="90"/>
      <c r="C4436" s="88"/>
      <c r="D4436" s="89"/>
      <c r="E4436" s="90"/>
      <c r="F4436" s="91"/>
      <c r="G4436" s="90"/>
      <c r="H4436" s="92"/>
      <c r="I4436" s="87"/>
      <c r="J4436" s="93"/>
      <c r="K4436" s="92"/>
      <c r="L4436" s="72" t="str">
        <f t="shared" si="69"/>
        <v/>
      </c>
      <c r="N4436" s="15"/>
    </row>
    <row r="4437" spans="1:14" s="14" customFormat="1" ht="18" x14ac:dyDescent="0.25">
      <c r="A4437" s="91"/>
      <c r="B4437" s="90"/>
      <c r="C4437" s="88"/>
      <c r="D4437" s="89"/>
      <c r="E4437" s="90"/>
      <c r="F4437" s="91"/>
      <c r="G4437" s="90"/>
      <c r="H4437" s="92"/>
      <c r="I4437" s="87"/>
      <c r="J4437" s="93"/>
      <c r="K4437" s="92"/>
      <c r="L4437" s="72" t="str">
        <f t="shared" si="69"/>
        <v/>
      </c>
      <c r="N4437" s="15"/>
    </row>
    <row r="4438" spans="1:14" s="14" customFormat="1" ht="18" x14ac:dyDescent="0.25">
      <c r="A4438" s="91"/>
      <c r="B4438" s="90"/>
      <c r="C4438" s="88"/>
      <c r="D4438" s="89"/>
      <c r="E4438" s="90"/>
      <c r="F4438" s="91"/>
      <c r="G4438" s="90"/>
      <c r="H4438" s="92"/>
      <c r="I4438" s="87"/>
      <c r="J4438" s="93"/>
      <c r="K4438" s="92"/>
      <c r="L4438" s="72" t="str">
        <f t="shared" si="69"/>
        <v/>
      </c>
      <c r="N4438" s="15"/>
    </row>
    <row r="4439" spans="1:14" s="14" customFormat="1" ht="18" x14ac:dyDescent="0.25">
      <c r="A4439" s="91"/>
      <c r="B4439" s="90"/>
      <c r="C4439" s="88"/>
      <c r="D4439" s="89"/>
      <c r="E4439" s="90"/>
      <c r="F4439" s="91"/>
      <c r="G4439" s="90"/>
      <c r="H4439" s="92"/>
      <c r="I4439" s="87"/>
      <c r="J4439" s="93"/>
      <c r="K4439" s="92"/>
      <c r="L4439" s="72" t="str">
        <f t="shared" si="69"/>
        <v/>
      </c>
      <c r="N4439" s="15"/>
    </row>
    <row r="4440" spans="1:14" s="14" customFormat="1" ht="18" x14ac:dyDescent="0.25">
      <c r="A4440" s="91"/>
      <c r="B4440" s="90"/>
      <c r="C4440" s="88"/>
      <c r="D4440" s="89"/>
      <c r="E4440" s="90"/>
      <c r="F4440" s="91"/>
      <c r="G4440" s="90"/>
      <c r="H4440" s="92"/>
      <c r="I4440" s="87"/>
      <c r="J4440" s="93"/>
      <c r="K4440" s="92"/>
      <c r="L4440" s="72" t="str">
        <f t="shared" si="69"/>
        <v/>
      </c>
      <c r="N4440" s="15"/>
    </row>
    <row r="4441" spans="1:14" s="14" customFormat="1" ht="18" x14ac:dyDescent="0.25">
      <c r="A4441" s="91"/>
      <c r="B4441" s="90"/>
      <c r="C4441" s="88"/>
      <c r="D4441" s="89"/>
      <c r="E4441" s="90"/>
      <c r="F4441" s="91"/>
      <c r="G4441" s="90"/>
      <c r="H4441" s="92"/>
      <c r="I4441" s="87"/>
      <c r="J4441" s="93"/>
      <c r="K4441" s="92"/>
      <c r="L4441" s="72" t="str">
        <f t="shared" si="69"/>
        <v/>
      </c>
      <c r="N4441" s="15"/>
    </row>
    <row r="4442" spans="1:14" s="14" customFormat="1" ht="18" x14ac:dyDescent="0.25">
      <c r="A4442" s="91"/>
      <c r="B4442" s="90"/>
      <c r="C4442" s="88"/>
      <c r="D4442" s="89"/>
      <c r="E4442" s="90"/>
      <c r="F4442" s="91"/>
      <c r="G4442" s="90"/>
      <c r="H4442" s="92"/>
      <c r="I4442" s="87"/>
      <c r="J4442" s="93"/>
      <c r="K4442" s="92"/>
      <c r="L4442" s="72" t="str">
        <f t="shared" si="69"/>
        <v/>
      </c>
      <c r="N4442" s="15"/>
    </row>
    <row r="4443" spans="1:14" s="14" customFormat="1" ht="18" x14ac:dyDescent="0.25">
      <c r="A4443" s="91"/>
      <c r="B4443" s="90"/>
      <c r="C4443" s="88"/>
      <c r="D4443" s="89"/>
      <c r="E4443" s="90"/>
      <c r="F4443" s="91"/>
      <c r="G4443" s="90"/>
      <c r="H4443" s="92"/>
      <c r="I4443" s="87"/>
      <c r="J4443" s="93"/>
      <c r="K4443" s="92"/>
      <c r="L4443" s="72" t="str">
        <f t="shared" si="69"/>
        <v/>
      </c>
      <c r="N4443" s="15"/>
    </row>
    <row r="4444" spans="1:14" s="14" customFormat="1" ht="18" x14ac:dyDescent="0.25">
      <c r="A4444" s="91"/>
      <c r="B4444" s="90"/>
      <c r="C4444" s="88"/>
      <c r="D4444" s="89"/>
      <c r="E4444" s="90"/>
      <c r="F4444" s="91"/>
      <c r="G4444" s="90"/>
      <c r="H4444" s="92"/>
      <c r="I4444" s="87"/>
      <c r="J4444" s="93"/>
      <c r="K4444" s="92"/>
      <c r="L4444" s="72" t="str">
        <f t="shared" si="69"/>
        <v/>
      </c>
      <c r="N4444" s="15"/>
    </row>
    <row r="4445" spans="1:14" s="14" customFormat="1" ht="18" x14ac:dyDescent="0.25">
      <c r="A4445" s="91"/>
      <c r="B4445" s="90"/>
      <c r="C4445" s="88"/>
      <c r="D4445" s="89"/>
      <c r="E4445" s="90"/>
      <c r="F4445" s="91"/>
      <c r="G4445" s="90"/>
      <c r="H4445" s="92"/>
      <c r="I4445" s="87"/>
      <c r="J4445" s="93"/>
      <c r="K4445" s="92"/>
      <c r="L4445" s="72" t="str">
        <f t="shared" si="69"/>
        <v/>
      </c>
      <c r="N4445" s="15"/>
    </row>
    <row r="4446" spans="1:14" s="14" customFormat="1" ht="18" x14ac:dyDescent="0.25">
      <c r="A4446" s="91"/>
      <c r="B4446" s="90"/>
      <c r="C4446" s="88"/>
      <c r="D4446" s="89"/>
      <c r="E4446" s="90"/>
      <c r="F4446" s="91"/>
      <c r="G4446" s="90"/>
      <c r="H4446" s="92"/>
      <c r="I4446" s="87"/>
      <c r="J4446" s="93"/>
      <c r="K4446" s="92"/>
      <c r="L4446" s="72" t="str">
        <f t="shared" ref="L4446:L4509" si="70">IF(ISBLANK(H4446),"",IF(H4446=K4446,"Payé","Impayé"))</f>
        <v/>
      </c>
      <c r="N4446" s="15"/>
    </row>
    <row r="4447" spans="1:14" s="14" customFormat="1" ht="18" x14ac:dyDescent="0.25">
      <c r="A4447" s="91"/>
      <c r="B4447" s="90"/>
      <c r="C4447" s="88"/>
      <c r="D4447" s="89"/>
      <c r="E4447" s="90"/>
      <c r="F4447" s="91"/>
      <c r="G4447" s="90"/>
      <c r="H4447" s="92"/>
      <c r="I4447" s="87"/>
      <c r="J4447" s="93"/>
      <c r="K4447" s="92"/>
      <c r="L4447" s="72" t="str">
        <f t="shared" si="70"/>
        <v/>
      </c>
      <c r="N4447" s="15"/>
    </row>
    <row r="4448" spans="1:14" s="14" customFormat="1" ht="18" x14ac:dyDescent="0.25">
      <c r="A4448" s="91"/>
      <c r="B4448" s="90"/>
      <c r="C4448" s="88"/>
      <c r="D4448" s="89"/>
      <c r="E4448" s="90"/>
      <c r="F4448" s="91"/>
      <c r="G4448" s="90"/>
      <c r="H4448" s="92"/>
      <c r="I4448" s="87"/>
      <c r="J4448" s="93"/>
      <c r="K4448" s="92"/>
      <c r="L4448" s="72" t="str">
        <f t="shared" si="70"/>
        <v/>
      </c>
      <c r="N4448" s="15"/>
    </row>
    <row r="4449" spans="1:14" s="14" customFormat="1" ht="18" x14ac:dyDescent="0.25">
      <c r="A4449" s="91"/>
      <c r="B4449" s="90"/>
      <c r="C4449" s="88"/>
      <c r="D4449" s="89"/>
      <c r="E4449" s="90"/>
      <c r="F4449" s="91"/>
      <c r="G4449" s="90"/>
      <c r="H4449" s="92"/>
      <c r="I4449" s="87"/>
      <c r="J4449" s="93"/>
      <c r="K4449" s="92"/>
      <c r="L4449" s="72" t="str">
        <f t="shared" si="70"/>
        <v/>
      </c>
      <c r="N4449" s="15"/>
    </row>
    <row r="4450" spans="1:14" s="14" customFormat="1" ht="18" x14ac:dyDescent="0.25">
      <c r="A4450" s="91"/>
      <c r="B4450" s="90"/>
      <c r="C4450" s="88"/>
      <c r="D4450" s="89"/>
      <c r="E4450" s="90"/>
      <c r="F4450" s="91"/>
      <c r="G4450" s="90"/>
      <c r="H4450" s="92"/>
      <c r="I4450" s="87"/>
      <c r="J4450" s="93"/>
      <c r="K4450" s="92"/>
      <c r="L4450" s="72" t="str">
        <f t="shared" si="70"/>
        <v/>
      </c>
      <c r="N4450" s="15"/>
    </row>
    <row r="4451" spans="1:14" s="14" customFormat="1" ht="18" x14ac:dyDescent="0.25">
      <c r="A4451" s="91"/>
      <c r="B4451" s="90"/>
      <c r="C4451" s="88"/>
      <c r="D4451" s="89"/>
      <c r="E4451" s="90"/>
      <c r="F4451" s="91"/>
      <c r="G4451" s="90"/>
      <c r="H4451" s="92"/>
      <c r="I4451" s="87"/>
      <c r="J4451" s="93"/>
      <c r="K4451" s="92"/>
      <c r="L4451" s="72" t="str">
        <f t="shared" si="70"/>
        <v/>
      </c>
      <c r="N4451" s="15"/>
    </row>
    <row r="4452" spans="1:14" s="14" customFormat="1" ht="18" x14ac:dyDescent="0.25">
      <c r="A4452" s="91"/>
      <c r="B4452" s="90"/>
      <c r="C4452" s="88"/>
      <c r="D4452" s="89"/>
      <c r="E4452" s="90"/>
      <c r="F4452" s="91"/>
      <c r="G4452" s="90"/>
      <c r="H4452" s="92"/>
      <c r="I4452" s="87"/>
      <c r="J4452" s="93"/>
      <c r="K4452" s="92"/>
      <c r="L4452" s="72" t="str">
        <f t="shared" si="70"/>
        <v/>
      </c>
      <c r="N4452" s="15"/>
    </row>
    <row r="4453" spans="1:14" s="14" customFormat="1" ht="18" x14ac:dyDescent="0.25">
      <c r="A4453" s="91"/>
      <c r="B4453" s="90"/>
      <c r="C4453" s="88"/>
      <c r="D4453" s="89"/>
      <c r="E4453" s="90"/>
      <c r="F4453" s="91"/>
      <c r="G4453" s="90"/>
      <c r="H4453" s="92"/>
      <c r="I4453" s="87"/>
      <c r="J4453" s="93"/>
      <c r="K4453" s="92"/>
      <c r="L4453" s="72" t="str">
        <f t="shared" si="70"/>
        <v/>
      </c>
      <c r="N4453" s="15"/>
    </row>
    <row r="4454" spans="1:14" s="14" customFormat="1" ht="18" x14ac:dyDescent="0.25">
      <c r="A4454" s="91"/>
      <c r="B4454" s="90"/>
      <c r="C4454" s="88"/>
      <c r="D4454" s="89"/>
      <c r="E4454" s="90"/>
      <c r="F4454" s="91"/>
      <c r="G4454" s="90"/>
      <c r="H4454" s="92"/>
      <c r="I4454" s="87"/>
      <c r="J4454" s="93"/>
      <c r="K4454" s="92"/>
      <c r="L4454" s="72" t="str">
        <f t="shared" si="70"/>
        <v/>
      </c>
      <c r="N4454" s="15"/>
    </row>
    <row r="4455" spans="1:14" s="14" customFormat="1" ht="18" x14ac:dyDescent="0.25">
      <c r="A4455" s="91"/>
      <c r="B4455" s="90"/>
      <c r="C4455" s="88"/>
      <c r="D4455" s="89"/>
      <c r="E4455" s="90"/>
      <c r="F4455" s="91"/>
      <c r="G4455" s="90"/>
      <c r="H4455" s="92"/>
      <c r="I4455" s="87"/>
      <c r="J4455" s="93"/>
      <c r="K4455" s="92"/>
      <c r="L4455" s="72" t="str">
        <f t="shared" si="70"/>
        <v/>
      </c>
      <c r="N4455" s="15"/>
    </row>
    <row r="4456" spans="1:14" s="14" customFormat="1" ht="18" x14ac:dyDescent="0.25">
      <c r="A4456" s="91"/>
      <c r="B4456" s="90"/>
      <c r="C4456" s="88"/>
      <c r="D4456" s="89"/>
      <c r="E4456" s="90"/>
      <c r="F4456" s="91"/>
      <c r="G4456" s="90"/>
      <c r="H4456" s="92"/>
      <c r="I4456" s="87"/>
      <c r="J4456" s="93"/>
      <c r="K4456" s="92"/>
      <c r="L4456" s="72" t="str">
        <f t="shared" si="70"/>
        <v/>
      </c>
      <c r="N4456" s="15"/>
    </row>
    <row r="4457" spans="1:14" s="14" customFormat="1" ht="18" x14ac:dyDescent="0.25">
      <c r="A4457" s="91"/>
      <c r="B4457" s="90"/>
      <c r="C4457" s="88"/>
      <c r="D4457" s="89"/>
      <c r="E4457" s="90"/>
      <c r="F4457" s="91"/>
      <c r="G4457" s="90"/>
      <c r="H4457" s="92"/>
      <c r="I4457" s="87"/>
      <c r="J4457" s="93"/>
      <c r="K4457" s="92"/>
      <c r="L4457" s="72" t="str">
        <f t="shared" si="70"/>
        <v/>
      </c>
      <c r="N4457" s="15"/>
    </row>
    <row r="4458" spans="1:14" s="14" customFormat="1" ht="18" x14ac:dyDescent="0.25">
      <c r="A4458" s="91"/>
      <c r="B4458" s="90"/>
      <c r="C4458" s="88"/>
      <c r="D4458" s="89"/>
      <c r="E4458" s="90"/>
      <c r="F4458" s="91"/>
      <c r="G4458" s="90"/>
      <c r="H4458" s="92"/>
      <c r="I4458" s="87"/>
      <c r="J4458" s="93"/>
      <c r="K4458" s="92"/>
      <c r="L4458" s="72" t="str">
        <f t="shared" si="70"/>
        <v/>
      </c>
      <c r="N4458" s="15"/>
    </row>
    <row r="4459" spans="1:14" s="14" customFormat="1" ht="18" x14ac:dyDescent="0.25">
      <c r="A4459" s="91"/>
      <c r="B4459" s="90"/>
      <c r="C4459" s="88"/>
      <c r="D4459" s="89"/>
      <c r="E4459" s="90"/>
      <c r="F4459" s="91"/>
      <c r="G4459" s="90"/>
      <c r="H4459" s="92"/>
      <c r="I4459" s="87"/>
      <c r="J4459" s="93"/>
      <c r="K4459" s="92"/>
      <c r="L4459" s="72" t="str">
        <f t="shared" si="70"/>
        <v/>
      </c>
      <c r="N4459" s="15"/>
    </row>
    <row r="4460" spans="1:14" s="14" customFormat="1" ht="18" x14ac:dyDescent="0.25">
      <c r="A4460" s="91"/>
      <c r="B4460" s="90"/>
      <c r="C4460" s="88"/>
      <c r="D4460" s="89"/>
      <c r="E4460" s="90"/>
      <c r="F4460" s="91"/>
      <c r="G4460" s="90"/>
      <c r="H4460" s="92"/>
      <c r="I4460" s="87"/>
      <c r="J4460" s="93"/>
      <c r="K4460" s="92"/>
      <c r="L4460" s="72" t="str">
        <f t="shared" si="70"/>
        <v/>
      </c>
      <c r="N4460" s="15"/>
    </row>
    <row r="4461" spans="1:14" s="14" customFormat="1" ht="18" x14ac:dyDescent="0.25">
      <c r="A4461" s="91"/>
      <c r="B4461" s="90"/>
      <c r="C4461" s="88"/>
      <c r="D4461" s="89"/>
      <c r="E4461" s="90"/>
      <c r="F4461" s="91"/>
      <c r="G4461" s="90"/>
      <c r="H4461" s="92"/>
      <c r="I4461" s="87"/>
      <c r="J4461" s="93"/>
      <c r="K4461" s="92"/>
      <c r="L4461" s="72" t="str">
        <f t="shared" si="70"/>
        <v/>
      </c>
      <c r="N4461" s="15"/>
    </row>
    <row r="4462" spans="1:14" s="14" customFormat="1" ht="18" x14ac:dyDescent="0.25">
      <c r="A4462" s="91"/>
      <c r="B4462" s="90"/>
      <c r="C4462" s="88"/>
      <c r="D4462" s="89"/>
      <c r="E4462" s="90"/>
      <c r="F4462" s="91"/>
      <c r="G4462" s="90"/>
      <c r="H4462" s="92"/>
      <c r="I4462" s="87"/>
      <c r="J4462" s="93"/>
      <c r="K4462" s="92"/>
      <c r="L4462" s="72" t="str">
        <f t="shared" si="70"/>
        <v/>
      </c>
      <c r="N4462" s="15"/>
    </row>
    <row r="4463" spans="1:14" s="14" customFormat="1" ht="18" x14ac:dyDescent="0.25">
      <c r="A4463" s="91"/>
      <c r="B4463" s="90"/>
      <c r="C4463" s="88"/>
      <c r="D4463" s="89"/>
      <c r="E4463" s="90"/>
      <c r="F4463" s="91"/>
      <c r="G4463" s="90"/>
      <c r="H4463" s="92"/>
      <c r="I4463" s="87"/>
      <c r="J4463" s="93"/>
      <c r="K4463" s="92"/>
      <c r="L4463" s="72" t="str">
        <f t="shared" si="70"/>
        <v/>
      </c>
      <c r="N4463" s="15"/>
    </row>
    <row r="4464" spans="1:14" s="14" customFormat="1" ht="18" x14ac:dyDescent="0.25">
      <c r="A4464" s="91"/>
      <c r="B4464" s="90"/>
      <c r="C4464" s="88"/>
      <c r="D4464" s="89"/>
      <c r="E4464" s="90"/>
      <c r="F4464" s="91"/>
      <c r="G4464" s="90"/>
      <c r="H4464" s="92"/>
      <c r="I4464" s="87"/>
      <c r="J4464" s="93"/>
      <c r="K4464" s="92"/>
      <c r="L4464" s="72" t="str">
        <f t="shared" si="70"/>
        <v/>
      </c>
      <c r="N4464" s="15"/>
    </row>
    <row r="4465" spans="1:14" s="14" customFormat="1" ht="18" x14ac:dyDescent="0.25">
      <c r="A4465" s="91"/>
      <c r="B4465" s="90"/>
      <c r="C4465" s="88"/>
      <c r="D4465" s="89"/>
      <c r="E4465" s="90"/>
      <c r="F4465" s="91"/>
      <c r="G4465" s="90"/>
      <c r="H4465" s="92"/>
      <c r="I4465" s="87"/>
      <c r="J4465" s="93"/>
      <c r="K4465" s="92"/>
      <c r="L4465" s="72" t="str">
        <f t="shared" si="70"/>
        <v/>
      </c>
      <c r="N4465" s="15"/>
    </row>
    <row r="4466" spans="1:14" s="14" customFormat="1" ht="18" x14ac:dyDescent="0.25">
      <c r="A4466" s="91"/>
      <c r="B4466" s="90"/>
      <c r="C4466" s="88"/>
      <c r="D4466" s="89"/>
      <c r="E4466" s="90"/>
      <c r="F4466" s="91"/>
      <c r="G4466" s="90"/>
      <c r="H4466" s="92"/>
      <c r="I4466" s="87"/>
      <c r="J4466" s="93"/>
      <c r="K4466" s="92"/>
      <c r="L4466" s="72" t="str">
        <f t="shared" si="70"/>
        <v/>
      </c>
      <c r="N4466" s="15"/>
    </row>
    <row r="4467" spans="1:14" s="14" customFormat="1" ht="18" x14ac:dyDescent="0.25">
      <c r="A4467" s="91"/>
      <c r="B4467" s="90"/>
      <c r="C4467" s="88"/>
      <c r="D4467" s="89"/>
      <c r="E4467" s="90"/>
      <c r="F4467" s="91"/>
      <c r="G4467" s="90"/>
      <c r="H4467" s="92"/>
      <c r="I4467" s="87"/>
      <c r="J4467" s="93"/>
      <c r="K4467" s="92"/>
      <c r="L4467" s="72" t="str">
        <f t="shared" si="70"/>
        <v/>
      </c>
      <c r="N4467" s="15"/>
    </row>
    <row r="4468" spans="1:14" s="14" customFormat="1" ht="18" x14ac:dyDescent="0.25">
      <c r="A4468" s="91"/>
      <c r="B4468" s="90"/>
      <c r="C4468" s="88"/>
      <c r="D4468" s="89"/>
      <c r="E4468" s="90"/>
      <c r="F4468" s="91"/>
      <c r="G4468" s="90"/>
      <c r="H4468" s="92"/>
      <c r="I4468" s="87"/>
      <c r="J4468" s="93"/>
      <c r="K4468" s="92"/>
      <c r="L4468" s="72" t="str">
        <f t="shared" si="70"/>
        <v/>
      </c>
      <c r="N4468" s="15"/>
    </row>
    <row r="4469" spans="1:14" s="14" customFormat="1" ht="18" x14ac:dyDescent="0.25">
      <c r="A4469" s="91"/>
      <c r="B4469" s="90"/>
      <c r="C4469" s="88"/>
      <c r="D4469" s="89"/>
      <c r="E4469" s="90"/>
      <c r="F4469" s="91"/>
      <c r="G4469" s="90"/>
      <c r="H4469" s="92"/>
      <c r="I4469" s="87"/>
      <c r="J4469" s="93"/>
      <c r="K4469" s="92"/>
      <c r="L4469" s="72" t="str">
        <f t="shared" si="70"/>
        <v/>
      </c>
      <c r="N4469" s="15"/>
    </row>
    <row r="4470" spans="1:14" s="14" customFormat="1" ht="18" x14ac:dyDescent="0.25">
      <c r="A4470" s="91"/>
      <c r="B4470" s="90"/>
      <c r="C4470" s="88"/>
      <c r="D4470" s="89"/>
      <c r="E4470" s="90"/>
      <c r="F4470" s="91"/>
      <c r="G4470" s="90"/>
      <c r="H4470" s="92"/>
      <c r="I4470" s="87"/>
      <c r="J4470" s="93"/>
      <c r="K4470" s="92"/>
      <c r="L4470" s="72" t="str">
        <f t="shared" si="70"/>
        <v/>
      </c>
      <c r="N4470" s="15"/>
    </row>
    <row r="4471" spans="1:14" s="14" customFormat="1" ht="18" x14ac:dyDescent="0.25">
      <c r="A4471" s="91"/>
      <c r="B4471" s="90"/>
      <c r="C4471" s="88"/>
      <c r="D4471" s="89"/>
      <c r="E4471" s="90"/>
      <c r="F4471" s="91"/>
      <c r="G4471" s="90"/>
      <c r="H4471" s="92"/>
      <c r="I4471" s="87"/>
      <c r="J4471" s="93"/>
      <c r="K4471" s="92"/>
      <c r="L4471" s="72" t="str">
        <f t="shared" si="70"/>
        <v/>
      </c>
      <c r="N4471" s="15"/>
    </row>
    <row r="4472" spans="1:14" s="14" customFormat="1" ht="18" x14ac:dyDescent="0.25">
      <c r="A4472" s="91"/>
      <c r="B4472" s="90"/>
      <c r="C4472" s="88"/>
      <c r="D4472" s="89"/>
      <c r="E4472" s="90"/>
      <c r="F4472" s="91"/>
      <c r="G4472" s="90"/>
      <c r="H4472" s="92"/>
      <c r="I4472" s="87"/>
      <c r="J4472" s="93"/>
      <c r="K4472" s="92"/>
      <c r="L4472" s="72" t="str">
        <f t="shared" si="70"/>
        <v/>
      </c>
      <c r="N4472" s="15"/>
    </row>
    <row r="4473" spans="1:14" s="14" customFormat="1" ht="18" x14ac:dyDescent="0.25">
      <c r="A4473" s="91"/>
      <c r="B4473" s="90"/>
      <c r="C4473" s="88"/>
      <c r="D4473" s="89"/>
      <c r="E4473" s="90"/>
      <c r="F4473" s="91"/>
      <c r="G4473" s="90"/>
      <c r="H4473" s="92"/>
      <c r="I4473" s="87"/>
      <c r="J4473" s="93"/>
      <c r="K4473" s="92"/>
      <c r="L4473" s="72" t="str">
        <f t="shared" si="70"/>
        <v/>
      </c>
      <c r="N4473" s="15"/>
    </row>
    <row r="4474" spans="1:14" s="14" customFormat="1" ht="18" x14ac:dyDescent="0.25">
      <c r="A4474" s="91"/>
      <c r="B4474" s="90"/>
      <c r="C4474" s="88"/>
      <c r="D4474" s="89"/>
      <c r="E4474" s="90"/>
      <c r="F4474" s="91"/>
      <c r="G4474" s="90"/>
      <c r="H4474" s="92"/>
      <c r="I4474" s="87"/>
      <c r="J4474" s="93"/>
      <c r="K4474" s="92"/>
      <c r="L4474" s="72" t="str">
        <f t="shared" si="70"/>
        <v/>
      </c>
      <c r="N4474" s="15"/>
    </row>
    <row r="4475" spans="1:14" s="14" customFormat="1" ht="18" x14ac:dyDescent="0.25">
      <c r="A4475" s="91"/>
      <c r="B4475" s="90"/>
      <c r="C4475" s="88"/>
      <c r="D4475" s="89"/>
      <c r="E4475" s="90"/>
      <c r="F4475" s="91"/>
      <c r="G4475" s="90"/>
      <c r="H4475" s="92"/>
      <c r="I4475" s="87"/>
      <c r="J4475" s="93"/>
      <c r="K4475" s="92"/>
      <c r="L4475" s="72" t="str">
        <f t="shared" si="70"/>
        <v/>
      </c>
      <c r="N4475" s="15"/>
    </row>
    <row r="4476" spans="1:14" s="14" customFormat="1" ht="18" x14ac:dyDescent="0.25">
      <c r="A4476" s="91"/>
      <c r="B4476" s="90"/>
      <c r="C4476" s="88"/>
      <c r="D4476" s="89"/>
      <c r="E4476" s="90"/>
      <c r="F4476" s="91"/>
      <c r="G4476" s="90"/>
      <c r="H4476" s="92"/>
      <c r="I4476" s="87"/>
      <c r="J4476" s="93"/>
      <c r="K4476" s="92"/>
      <c r="L4476" s="72" t="str">
        <f t="shared" si="70"/>
        <v/>
      </c>
      <c r="N4476" s="15"/>
    </row>
    <row r="4477" spans="1:14" s="14" customFormat="1" ht="18" x14ac:dyDescent="0.25">
      <c r="A4477" s="91"/>
      <c r="B4477" s="90"/>
      <c r="C4477" s="88"/>
      <c r="D4477" s="89"/>
      <c r="E4477" s="90"/>
      <c r="F4477" s="91"/>
      <c r="G4477" s="90"/>
      <c r="H4477" s="92"/>
      <c r="I4477" s="87"/>
      <c r="J4477" s="93"/>
      <c r="K4477" s="92"/>
      <c r="L4477" s="72" t="str">
        <f t="shared" si="70"/>
        <v/>
      </c>
      <c r="N4477" s="15"/>
    </row>
    <row r="4478" spans="1:14" s="14" customFormat="1" ht="18" x14ac:dyDescent="0.25">
      <c r="A4478" s="91"/>
      <c r="B4478" s="90"/>
      <c r="C4478" s="88"/>
      <c r="D4478" s="89"/>
      <c r="E4478" s="90"/>
      <c r="F4478" s="91"/>
      <c r="G4478" s="90"/>
      <c r="H4478" s="92"/>
      <c r="I4478" s="87"/>
      <c r="J4478" s="93"/>
      <c r="K4478" s="92"/>
      <c r="L4478" s="72" t="str">
        <f t="shared" si="70"/>
        <v/>
      </c>
      <c r="N4478" s="15"/>
    </row>
    <row r="4479" spans="1:14" s="14" customFormat="1" ht="18" x14ac:dyDescent="0.25">
      <c r="A4479" s="91"/>
      <c r="B4479" s="90"/>
      <c r="C4479" s="88"/>
      <c r="D4479" s="89"/>
      <c r="E4479" s="90"/>
      <c r="F4479" s="91"/>
      <c r="G4479" s="90"/>
      <c r="H4479" s="92"/>
      <c r="I4479" s="87"/>
      <c r="J4479" s="93"/>
      <c r="K4479" s="92"/>
      <c r="L4479" s="72" t="str">
        <f t="shared" si="70"/>
        <v/>
      </c>
      <c r="N4479" s="15"/>
    </row>
    <row r="4480" spans="1:14" s="14" customFormat="1" ht="18" x14ac:dyDescent="0.25">
      <c r="A4480" s="91"/>
      <c r="B4480" s="90"/>
      <c r="C4480" s="88"/>
      <c r="D4480" s="89"/>
      <c r="E4480" s="90"/>
      <c r="F4480" s="91"/>
      <c r="G4480" s="90"/>
      <c r="H4480" s="92"/>
      <c r="I4480" s="87"/>
      <c r="J4480" s="93"/>
      <c r="K4480" s="92"/>
      <c r="L4480" s="72" t="str">
        <f t="shared" si="70"/>
        <v/>
      </c>
      <c r="N4480" s="15"/>
    </row>
    <row r="4481" spans="1:14" s="14" customFormat="1" ht="18" x14ac:dyDescent="0.25">
      <c r="A4481" s="91"/>
      <c r="B4481" s="90"/>
      <c r="C4481" s="88"/>
      <c r="D4481" s="89"/>
      <c r="E4481" s="90"/>
      <c r="F4481" s="91"/>
      <c r="G4481" s="90"/>
      <c r="H4481" s="92"/>
      <c r="I4481" s="87"/>
      <c r="J4481" s="93"/>
      <c r="K4481" s="92"/>
      <c r="L4481" s="72" t="str">
        <f t="shared" si="70"/>
        <v/>
      </c>
      <c r="N4481" s="15"/>
    </row>
    <row r="4482" spans="1:14" s="14" customFormat="1" ht="18" x14ac:dyDescent="0.25">
      <c r="A4482" s="91"/>
      <c r="B4482" s="90"/>
      <c r="C4482" s="88"/>
      <c r="D4482" s="89"/>
      <c r="E4482" s="90"/>
      <c r="F4482" s="91"/>
      <c r="G4482" s="90"/>
      <c r="H4482" s="92"/>
      <c r="I4482" s="87"/>
      <c r="J4482" s="93"/>
      <c r="K4482" s="92"/>
      <c r="L4482" s="72" t="str">
        <f t="shared" si="70"/>
        <v/>
      </c>
      <c r="N4482" s="15"/>
    </row>
    <row r="4483" spans="1:14" s="14" customFormat="1" ht="18" x14ac:dyDescent="0.25">
      <c r="A4483" s="91"/>
      <c r="B4483" s="90"/>
      <c r="C4483" s="88"/>
      <c r="D4483" s="89"/>
      <c r="E4483" s="90"/>
      <c r="F4483" s="91"/>
      <c r="G4483" s="90"/>
      <c r="H4483" s="92"/>
      <c r="I4483" s="87"/>
      <c r="J4483" s="93"/>
      <c r="K4483" s="92"/>
      <c r="L4483" s="72" t="str">
        <f t="shared" si="70"/>
        <v/>
      </c>
      <c r="N4483" s="15"/>
    </row>
    <row r="4484" spans="1:14" s="14" customFormat="1" ht="18" x14ac:dyDescent="0.25">
      <c r="A4484" s="91"/>
      <c r="B4484" s="90"/>
      <c r="C4484" s="88"/>
      <c r="D4484" s="89"/>
      <c r="E4484" s="90"/>
      <c r="F4484" s="91"/>
      <c r="G4484" s="90"/>
      <c r="H4484" s="92"/>
      <c r="I4484" s="87"/>
      <c r="J4484" s="93"/>
      <c r="K4484" s="92"/>
      <c r="L4484" s="72" t="str">
        <f t="shared" si="70"/>
        <v/>
      </c>
      <c r="N4484" s="15"/>
    </row>
    <row r="4485" spans="1:14" s="14" customFormat="1" ht="18" x14ac:dyDescent="0.25">
      <c r="A4485" s="91"/>
      <c r="B4485" s="90"/>
      <c r="C4485" s="88"/>
      <c r="D4485" s="89"/>
      <c r="E4485" s="90"/>
      <c r="F4485" s="91"/>
      <c r="G4485" s="90"/>
      <c r="H4485" s="92"/>
      <c r="I4485" s="87"/>
      <c r="J4485" s="93"/>
      <c r="K4485" s="92"/>
      <c r="L4485" s="72" t="str">
        <f t="shared" si="70"/>
        <v/>
      </c>
      <c r="N4485" s="15"/>
    </row>
    <row r="4486" spans="1:14" s="14" customFormat="1" ht="18" x14ac:dyDescent="0.25">
      <c r="A4486" s="91"/>
      <c r="B4486" s="90"/>
      <c r="C4486" s="88"/>
      <c r="D4486" s="89"/>
      <c r="E4486" s="90"/>
      <c r="F4486" s="91"/>
      <c r="G4486" s="90"/>
      <c r="H4486" s="92"/>
      <c r="I4486" s="87"/>
      <c r="J4486" s="93"/>
      <c r="K4486" s="92"/>
      <c r="L4486" s="72" t="str">
        <f t="shared" si="70"/>
        <v/>
      </c>
      <c r="N4486" s="15"/>
    </row>
    <row r="4487" spans="1:14" s="14" customFormat="1" ht="18" x14ac:dyDescent="0.25">
      <c r="A4487" s="91"/>
      <c r="B4487" s="90"/>
      <c r="C4487" s="88"/>
      <c r="D4487" s="89"/>
      <c r="E4487" s="90"/>
      <c r="F4487" s="91"/>
      <c r="G4487" s="90"/>
      <c r="H4487" s="92"/>
      <c r="I4487" s="87"/>
      <c r="J4487" s="93"/>
      <c r="K4487" s="92"/>
      <c r="L4487" s="72" t="str">
        <f t="shared" si="70"/>
        <v/>
      </c>
      <c r="N4487" s="15"/>
    </row>
    <row r="4488" spans="1:14" s="14" customFormat="1" ht="18" x14ac:dyDescent="0.25">
      <c r="A4488" s="91"/>
      <c r="B4488" s="90"/>
      <c r="C4488" s="88"/>
      <c r="D4488" s="89"/>
      <c r="E4488" s="90"/>
      <c r="F4488" s="91"/>
      <c r="G4488" s="90"/>
      <c r="H4488" s="92"/>
      <c r="I4488" s="87"/>
      <c r="J4488" s="93"/>
      <c r="K4488" s="92"/>
      <c r="L4488" s="72" t="str">
        <f t="shared" si="70"/>
        <v/>
      </c>
      <c r="N4488" s="15"/>
    </row>
    <row r="4489" spans="1:14" s="14" customFormat="1" ht="18" x14ac:dyDescent="0.25">
      <c r="A4489" s="91"/>
      <c r="B4489" s="90"/>
      <c r="C4489" s="88"/>
      <c r="D4489" s="89"/>
      <c r="E4489" s="90"/>
      <c r="F4489" s="91"/>
      <c r="G4489" s="90"/>
      <c r="H4489" s="92"/>
      <c r="I4489" s="87"/>
      <c r="J4489" s="93"/>
      <c r="K4489" s="92"/>
      <c r="L4489" s="72" t="str">
        <f t="shared" si="70"/>
        <v/>
      </c>
      <c r="N4489" s="15"/>
    </row>
    <row r="4490" spans="1:14" s="14" customFormat="1" ht="18" x14ac:dyDescent="0.25">
      <c r="A4490" s="91"/>
      <c r="B4490" s="90"/>
      <c r="C4490" s="88"/>
      <c r="D4490" s="89"/>
      <c r="E4490" s="90"/>
      <c r="F4490" s="91"/>
      <c r="G4490" s="90"/>
      <c r="H4490" s="92"/>
      <c r="I4490" s="87"/>
      <c r="J4490" s="93"/>
      <c r="K4490" s="92"/>
      <c r="L4490" s="72" t="str">
        <f t="shared" si="70"/>
        <v/>
      </c>
      <c r="N4490" s="15"/>
    </row>
    <row r="4491" spans="1:14" s="14" customFormat="1" ht="18" x14ac:dyDescent="0.25">
      <c r="A4491" s="91"/>
      <c r="B4491" s="90"/>
      <c r="C4491" s="88"/>
      <c r="D4491" s="89"/>
      <c r="E4491" s="90"/>
      <c r="F4491" s="91"/>
      <c r="G4491" s="90"/>
      <c r="H4491" s="92"/>
      <c r="I4491" s="87"/>
      <c r="J4491" s="93"/>
      <c r="K4491" s="92"/>
      <c r="L4491" s="72" t="str">
        <f t="shared" si="70"/>
        <v/>
      </c>
      <c r="N4491" s="15"/>
    </row>
    <row r="4492" spans="1:14" s="14" customFormat="1" ht="18" x14ac:dyDescent="0.25">
      <c r="A4492" s="91"/>
      <c r="B4492" s="90"/>
      <c r="C4492" s="88"/>
      <c r="D4492" s="89"/>
      <c r="E4492" s="90"/>
      <c r="F4492" s="91"/>
      <c r="G4492" s="90"/>
      <c r="H4492" s="92"/>
      <c r="I4492" s="87"/>
      <c r="J4492" s="93"/>
      <c r="K4492" s="92"/>
      <c r="L4492" s="72" t="str">
        <f t="shared" si="70"/>
        <v/>
      </c>
      <c r="N4492" s="15"/>
    </row>
    <row r="4493" spans="1:14" s="14" customFormat="1" ht="18" x14ac:dyDescent="0.25">
      <c r="A4493" s="91"/>
      <c r="B4493" s="90"/>
      <c r="C4493" s="88"/>
      <c r="D4493" s="89"/>
      <c r="E4493" s="90"/>
      <c r="F4493" s="91"/>
      <c r="G4493" s="90"/>
      <c r="H4493" s="92"/>
      <c r="I4493" s="87"/>
      <c r="J4493" s="93"/>
      <c r="K4493" s="92"/>
      <c r="L4493" s="72" t="str">
        <f t="shared" si="70"/>
        <v/>
      </c>
      <c r="N4493" s="15"/>
    </row>
    <row r="4494" spans="1:14" s="14" customFormat="1" ht="18" x14ac:dyDescent="0.25">
      <c r="A4494" s="91"/>
      <c r="B4494" s="90"/>
      <c r="C4494" s="88"/>
      <c r="D4494" s="89"/>
      <c r="E4494" s="90"/>
      <c r="F4494" s="91"/>
      <c r="G4494" s="90"/>
      <c r="H4494" s="92"/>
      <c r="I4494" s="87"/>
      <c r="J4494" s="93"/>
      <c r="K4494" s="92"/>
      <c r="L4494" s="72" t="str">
        <f t="shared" si="70"/>
        <v/>
      </c>
      <c r="M4494" s="84"/>
      <c r="N4494" s="15"/>
    </row>
    <row r="4495" spans="1:14" s="14" customFormat="1" ht="18" x14ac:dyDescent="0.25">
      <c r="A4495" s="91"/>
      <c r="B4495" s="90"/>
      <c r="C4495" s="88"/>
      <c r="D4495" s="89"/>
      <c r="E4495" s="90"/>
      <c r="F4495" s="91"/>
      <c r="G4495" s="90"/>
      <c r="H4495" s="92"/>
      <c r="I4495" s="87"/>
      <c r="J4495" s="93"/>
      <c r="K4495" s="92"/>
      <c r="L4495" s="72" t="str">
        <f t="shared" si="70"/>
        <v/>
      </c>
      <c r="N4495" s="15"/>
    </row>
    <row r="4496" spans="1:14" s="14" customFormat="1" ht="18" x14ac:dyDescent="0.25">
      <c r="A4496" s="91"/>
      <c r="B4496" s="90"/>
      <c r="C4496" s="88"/>
      <c r="D4496" s="89"/>
      <c r="E4496" s="90"/>
      <c r="F4496" s="91"/>
      <c r="G4496" s="90"/>
      <c r="H4496" s="92"/>
      <c r="I4496" s="87"/>
      <c r="J4496" s="93"/>
      <c r="K4496" s="92"/>
      <c r="L4496" s="72" t="str">
        <f t="shared" si="70"/>
        <v/>
      </c>
      <c r="N4496" s="15"/>
    </row>
    <row r="4497" spans="1:14" s="14" customFormat="1" ht="18" x14ac:dyDescent="0.25">
      <c r="A4497" s="91"/>
      <c r="B4497" s="90"/>
      <c r="C4497" s="88"/>
      <c r="D4497" s="89"/>
      <c r="E4497" s="90"/>
      <c r="F4497" s="91"/>
      <c r="G4497" s="90"/>
      <c r="H4497" s="92"/>
      <c r="I4497" s="87"/>
      <c r="J4497" s="93"/>
      <c r="K4497" s="92"/>
      <c r="L4497" s="72" t="str">
        <f t="shared" si="70"/>
        <v/>
      </c>
      <c r="N4497" s="15"/>
    </row>
    <row r="4498" spans="1:14" s="14" customFormat="1" ht="18" x14ac:dyDescent="0.25">
      <c r="A4498" s="91"/>
      <c r="B4498" s="90"/>
      <c r="C4498" s="88"/>
      <c r="D4498" s="89"/>
      <c r="E4498" s="90"/>
      <c r="F4498" s="91"/>
      <c r="G4498" s="90"/>
      <c r="H4498" s="92"/>
      <c r="I4498" s="87"/>
      <c r="J4498" s="93"/>
      <c r="K4498" s="92"/>
      <c r="L4498" s="72" t="str">
        <f t="shared" si="70"/>
        <v/>
      </c>
      <c r="N4498" s="15"/>
    </row>
    <row r="4499" spans="1:14" s="14" customFormat="1" ht="18" x14ac:dyDescent="0.25">
      <c r="A4499" s="91"/>
      <c r="B4499" s="90"/>
      <c r="C4499" s="88"/>
      <c r="D4499" s="89"/>
      <c r="E4499" s="90"/>
      <c r="F4499" s="91"/>
      <c r="G4499" s="90"/>
      <c r="H4499" s="92"/>
      <c r="I4499" s="87"/>
      <c r="J4499" s="93"/>
      <c r="K4499" s="92"/>
      <c r="L4499" s="72" t="str">
        <f t="shared" si="70"/>
        <v/>
      </c>
      <c r="N4499" s="15"/>
    </row>
    <row r="4500" spans="1:14" s="14" customFormat="1" ht="18" x14ac:dyDescent="0.25">
      <c r="A4500" s="91"/>
      <c r="B4500" s="90"/>
      <c r="C4500" s="88"/>
      <c r="D4500" s="89"/>
      <c r="E4500" s="90"/>
      <c r="F4500" s="91"/>
      <c r="G4500" s="90"/>
      <c r="H4500" s="92"/>
      <c r="I4500" s="87"/>
      <c r="J4500" s="93"/>
      <c r="K4500" s="92"/>
      <c r="L4500" s="72" t="str">
        <f t="shared" si="70"/>
        <v/>
      </c>
      <c r="N4500" s="15"/>
    </row>
    <row r="4501" spans="1:14" s="14" customFormat="1" ht="18" x14ac:dyDescent="0.25">
      <c r="A4501" s="91"/>
      <c r="B4501" s="90"/>
      <c r="C4501" s="88"/>
      <c r="D4501" s="89"/>
      <c r="E4501" s="90"/>
      <c r="F4501" s="91"/>
      <c r="G4501" s="90"/>
      <c r="H4501" s="92"/>
      <c r="I4501" s="87"/>
      <c r="J4501" s="93"/>
      <c r="K4501" s="92"/>
      <c r="L4501" s="72" t="str">
        <f t="shared" si="70"/>
        <v/>
      </c>
      <c r="N4501" s="15"/>
    </row>
    <row r="4502" spans="1:14" s="14" customFormat="1" ht="18" x14ac:dyDescent="0.25">
      <c r="A4502" s="91"/>
      <c r="B4502" s="90"/>
      <c r="C4502" s="88"/>
      <c r="D4502" s="89"/>
      <c r="E4502" s="90"/>
      <c r="F4502" s="91"/>
      <c r="G4502" s="90"/>
      <c r="H4502" s="92"/>
      <c r="I4502" s="87"/>
      <c r="J4502" s="93"/>
      <c r="K4502" s="92"/>
      <c r="L4502" s="72" t="str">
        <f t="shared" si="70"/>
        <v/>
      </c>
      <c r="N4502" s="15"/>
    </row>
    <row r="4503" spans="1:14" s="14" customFormat="1" ht="18" x14ac:dyDescent="0.25">
      <c r="A4503" s="91"/>
      <c r="B4503" s="90"/>
      <c r="C4503" s="88"/>
      <c r="D4503" s="89"/>
      <c r="E4503" s="90"/>
      <c r="F4503" s="91"/>
      <c r="G4503" s="90"/>
      <c r="H4503" s="92"/>
      <c r="I4503" s="87"/>
      <c r="J4503" s="93"/>
      <c r="K4503" s="92"/>
      <c r="L4503" s="72" t="str">
        <f t="shared" si="70"/>
        <v/>
      </c>
      <c r="N4503" s="15"/>
    </row>
    <row r="4504" spans="1:14" s="14" customFormat="1" ht="18" x14ac:dyDescent="0.25">
      <c r="A4504" s="91"/>
      <c r="B4504" s="90"/>
      <c r="C4504" s="88"/>
      <c r="D4504" s="89"/>
      <c r="E4504" s="90"/>
      <c r="F4504" s="91"/>
      <c r="G4504" s="90"/>
      <c r="H4504" s="92"/>
      <c r="I4504" s="87"/>
      <c r="J4504" s="93"/>
      <c r="K4504" s="92"/>
      <c r="L4504" s="72" t="str">
        <f t="shared" si="70"/>
        <v/>
      </c>
      <c r="N4504" s="15"/>
    </row>
    <row r="4505" spans="1:14" s="14" customFormat="1" ht="18" x14ac:dyDescent="0.25">
      <c r="A4505" s="91"/>
      <c r="B4505" s="90"/>
      <c r="C4505" s="88"/>
      <c r="D4505" s="89"/>
      <c r="E4505" s="90"/>
      <c r="F4505" s="91"/>
      <c r="G4505" s="90"/>
      <c r="H4505" s="92"/>
      <c r="I4505" s="87"/>
      <c r="J4505" s="93"/>
      <c r="K4505" s="92"/>
      <c r="L4505" s="72" t="str">
        <f t="shared" si="70"/>
        <v/>
      </c>
      <c r="N4505" s="15"/>
    </row>
    <row r="4506" spans="1:14" s="14" customFormat="1" ht="18" x14ac:dyDescent="0.25">
      <c r="A4506" s="91"/>
      <c r="B4506" s="90"/>
      <c r="C4506" s="88"/>
      <c r="D4506" s="89"/>
      <c r="E4506" s="90"/>
      <c r="F4506" s="91"/>
      <c r="G4506" s="90"/>
      <c r="H4506" s="92"/>
      <c r="I4506" s="87"/>
      <c r="J4506" s="93"/>
      <c r="K4506" s="92"/>
      <c r="L4506" s="72" t="str">
        <f t="shared" si="70"/>
        <v/>
      </c>
      <c r="N4506" s="15"/>
    </row>
    <row r="4507" spans="1:14" s="14" customFormat="1" ht="18" x14ac:dyDescent="0.25">
      <c r="A4507" s="91"/>
      <c r="B4507" s="90"/>
      <c r="C4507" s="88"/>
      <c r="D4507" s="89"/>
      <c r="E4507" s="90"/>
      <c r="F4507" s="91"/>
      <c r="G4507" s="90"/>
      <c r="H4507" s="92"/>
      <c r="I4507" s="87"/>
      <c r="J4507" s="93"/>
      <c r="K4507" s="92"/>
      <c r="L4507" s="72" t="str">
        <f t="shared" si="70"/>
        <v/>
      </c>
      <c r="N4507" s="15"/>
    </row>
    <row r="4508" spans="1:14" s="14" customFormat="1" ht="18" x14ac:dyDescent="0.25">
      <c r="A4508" s="91"/>
      <c r="B4508" s="90"/>
      <c r="C4508" s="88"/>
      <c r="D4508" s="89"/>
      <c r="E4508" s="90"/>
      <c r="F4508" s="91"/>
      <c r="G4508" s="90"/>
      <c r="H4508" s="92"/>
      <c r="I4508" s="87"/>
      <c r="J4508" s="93"/>
      <c r="K4508" s="92"/>
      <c r="L4508" s="72" t="str">
        <f t="shared" si="70"/>
        <v/>
      </c>
      <c r="N4508" s="15"/>
    </row>
    <row r="4509" spans="1:14" s="14" customFormat="1" ht="18" x14ac:dyDescent="0.25">
      <c r="A4509" s="91"/>
      <c r="B4509" s="90"/>
      <c r="C4509" s="88"/>
      <c r="D4509" s="89"/>
      <c r="E4509" s="90"/>
      <c r="F4509" s="91"/>
      <c r="G4509" s="90"/>
      <c r="H4509" s="92"/>
      <c r="I4509" s="87"/>
      <c r="J4509" s="93"/>
      <c r="K4509" s="92"/>
      <c r="L4509" s="72" t="str">
        <f t="shared" si="70"/>
        <v/>
      </c>
      <c r="N4509" s="15"/>
    </row>
    <row r="4510" spans="1:14" s="14" customFormat="1" ht="18" x14ac:dyDescent="0.25">
      <c r="A4510" s="91"/>
      <c r="B4510" s="90"/>
      <c r="C4510" s="88"/>
      <c r="D4510" s="89"/>
      <c r="E4510" s="90"/>
      <c r="F4510" s="91"/>
      <c r="G4510" s="90"/>
      <c r="H4510" s="92"/>
      <c r="I4510" s="87"/>
      <c r="J4510" s="93"/>
      <c r="K4510" s="92"/>
      <c r="L4510" s="72" t="str">
        <f t="shared" ref="L4510:L4573" si="71">IF(ISBLANK(H4510),"",IF(H4510=K4510,"Payé","Impayé"))</f>
        <v/>
      </c>
      <c r="N4510" s="15"/>
    </row>
    <row r="4511" spans="1:14" s="14" customFormat="1" ht="18" x14ac:dyDescent="0.25">
      <c r="A4511" s="91"/>
      <c r="B4511" s="90"/>
      <c r="C4511" s="88"/>
      <c r="D4511" s="89"/>
      <c r="E4511" s="90"/>
      <c r="F4511" s="91"/>
      <c r="G4511" s="90"/>
      <c r="H4511" s="92"/>
      <c r="I4511" s="87"/>
      <c r="J4511" s="93"/>
      <c r="K4511" s="92"/>
      <c r="L4511" s="72" t="str">
        <f t="shared" si="71"/>
        <v/>
      </c>
      <c r="N4511" s="15"/>
    </row>
    <row r="4512" spans="1:14" s="14" customFormat="1" ht="18" x14ac:dyDescent="0.25">
      <c r="A4512" s="91"/>
      <c r="B4512" s="90"/>
      <c r="C4512" s="88"/>
      <c r="D4512" s="89"/>
      <c r="E4512" s="90"/>
      <c r="F4512" s="91"/>
      <c r="G4512" s="90"/>
      <c r="H4512" s="92"/>
      <c r="I4512" s="87"/>
      <c r="J4512" s="93"/>
      <c r="K4512" s="92"/>
      <c r="L4512" s="72" t="str">
        <f t="shared" si="71"/>
        <v/>
      </c>
      <c r="N4512" s="15"/>
    </row>
    <row r="4513" spans="1:14" s="14" customFormat="1" ht="18" x14ac:dyDescent="0.25">
      <c r="A4513" s="91"/>
      <c r="B4513" s="90"/>
      <c r="C4513" s="88"/>
      <c r="D4513" s="89"/>
      <c r="E4513" s="90"/>
      <c r="F4513" s="91"/>
      <c r="G4513" s="90"/>
      <c r="H4513" s="92"/>
      <c r="I4513" s="87"/>
      <c r="J4513" s="93"/>
      <c r="K4513" s="92"/>
      <c r="L4513" s="72" t="str">
        <f t="shared" si="71"/>
        <v/>
      </c>
      <c r="N4513" s="15"/>
    </row>
    <row r="4514" spans="1:14" s="14" customFormat="1" ht="18" x14ac:dyDescent="0.25">
      <c r="A4514" s="91"/>
      <c r="B4514" s="90"/>
      <c r="C4514" s="88"/>
      <c r="D4514" s="89"/>
      <c r="E4514" s="90"/>
      <c r="F4514" s="91"/>
      <c r="G4514" s="90"/>
      <c r="H4514" s="92"/>
      <c r="I4514" s="87"/>
      <c r="J4514" s="93"/>
      <c r="K4514" s="92"/>
      <c r="L4514" s="72" t="str">
        <f t="shared" si="71"/>
        <v/>
      </c>
      <c r="N4514" s="15"/>
    </row>
    <row r="4515" spans="1:14" s="14" customFormat="1" ht="18" x14ac:dyDescent="0.25">
      <c r="A4515" s="91"/>
      <c r="B4515" s="90"/>
      <c r="C4515" s="88"/>
      <c r="D4515" s="89"/>
      <c r="E4515" s="90"/>
      <c r="F4515" s="91"/>
      <c r="G4515" s="90"/>
      <c r="H4515" s="92"/>
      <c r="I4515" s="87"/>
      <c r="J4515" s="93"/>
      <c r="K4515" s="92"/>
      <c r="L4515" s="72" t="str">
        <f t="shared" si="71"/>
        <v/>
      </c>
      <c r="N4515" s="15"/>
    </row>
    <row r="4516" spans="1:14" s="14" customFormat="1" ht="18" x14ac:dyDescent="0.25">
      <c r="A4516" s="91"/>
      <c r="B4516" s="90"/>
      <c r="C4516" s="88"/>
      <c r="D4516" s="89"/>
      <c r="E4516" s="90"/>
      <c r="F4516" s="91"/>
      <c r="G4516" s="90"/>
      <c r="H4516" s="92"/>
      <c r="I4516" s="87"/>
      <c r="J4516" s="93"/>
      <c r="K4516" s="92"/>
      <c r="L4516" s="72" t="str">
        <f t="shared" si="71"/>
        <v/>
      </c>
      <c r="N4516" s="15"/>
    </row>
    <row r="4517" spans="1:14" s="14" customFormat="1" ht="18" x14ac:dyDescent="0.25">
      <c r="A4517" s="91"/>
      <c r="B4517" s="90"/>
      <c r="C4517" s="88"/>
      <c r="D4517" s="89"/>
      <c r="E4517" s="90"/>
      <c r="F4517" s="91"/>
      <c r="G4517" s="90"/>
      <c r="H4517" s="92"/>
      <c r="I4517" s="87"/>
      <c r="J4517" s="93"/>
      <c r="K4517" s="92"/>
      <c r="L4517" s="72" t="str">
        <f t="shared" si="71"/>
        <v/>
      </c>
      <c r="N4517" s="15"/>
    </row>
    <row r="4518" spans="1:14" s="14" customFormat="1" ht="18" x14ac:dyDescent="0.25">
      <c r="A4518" s="91"/>
      <c r="B4518" s="90"/>
      <c r="C4518" s="88"/>
      <c r="D4518" s="89"/>
      <c r="E4518" s="90"/>
      <c r="F4518" s="91"/>
      <c r="G4518" s="90"/>
      <c r="H4518" s="92"/>
      <c r="I4518" s="87"/>
      <c r="J4518" s="93"/>
      <c r="K4518" s="92"/>
      <c r="L4518" s="72" t="str">
        <f t="shared" si="71"/>
        <v/>
      </c>
      <c r="N4518" s="15"/>
    </row>
    <row r="4519" spans="1:14" s="14" customFormat="1" ht="18" x14ac:dyDescent="0.25">
      <c r="A4519" s="91"/>
      <c r="B4519" s="90"/>
      <c r="C4519" s="88"/>
      <c r="D4519" s="89"/>
      <c r="E4519" s="90"/>
      <c r="F4519" s="91"/>
      <c r="G4519" s="90"/>
      <c r="H4519" s="92"/>
      <c r="I4519" s="87"/>
      <c r="J4519" s="93"/>
      <c r="K4519" s="92"/>
      <c r="L4519" s="72" t="str">
        <f t="shared" si="71"/>
        <v/>
      </c>
      <c r="N4519" s="15"/>
    </row>
    <row r="4520" spans="1:14" s="14" customFormat="1" ht="18" x14ac:dyDescent="0.25">
      <c r="A4520" s="91"/>
      <c r="B4520" s="90"/>
      <c r="C4520" s="88"/>
      <c r="D4520" s="89"/>
      <c r="E4520" s="90"/>
      <c r="F4520" s="91"/>
      <c r="G4520" s="90"/>
      <c r="H4520" s="92"/>
      <c r="I4520" s="87"/>
      <c r="J4520" s="93"/>
      <c r="K4520" s="92"/>
      <c r="L4520" s="72" t="str">
        <f t="shared" si="71"/>
        <v/>
      </c>
      <c r="N4520" s="15"/>
    </row>
    <row r="4521" spans="1:14" s="14" customFormat="1" ht="18" x14ac:dyDescent="0.25">
      <c r="A4521" s="91"/>
      <c r="B4521" s="90"/>
      <c r="C4521" s="88"/>
      <c r="D4521" s="89"/>
      <c r="E4521" s="90"/>
      <c r="F4521" s="91"/>
      <c r="G4521" s="90"/>
      <c r="H4521" s="92"/>
      <c r="I4521" s="87"/>
      <c r="J4521" s="93"/>
      <c r="K4521" s="92"/>
      <c r="L4521" s="72" t="str">
        <f t="shared" si="71"/>
        <v/>
      </c>
      <c r="N4521" s="15"/>
    </row>
    <row r="4522" spans="1:14" s="14" customFormat="1" ht="18" x14ac:dyDescent="0.25">
      <c r="A4522" s="91"/>
      <c r="B4522" s="90"/>
      <c r="C4522" s="88"/>
      <c r="D4522" s="89"/>
      <c r="E4522" s="90"/>
      <c r="F4522" s="91"/>
      <c r="G4522" s="90"/>
      <c r="H4522" s="92"/>
      <c r="I4522" s="87"/>
      <c r="J4522" s="93"/>
      <c r="K4522" s="92"/>
      <c r="L4522" s="72" t="str">
        <f t="shared" si="71"/>
        <v/>
      </c>
      <c r="N4522" s="15"/>
    </row>
    <row r="4523" spans="1:14" s="14" customFormat="1" ht="18" x14ac:dyDescent="0.25">
      <c r="A4523" s="91"/>
      <c r="B4523" s="90"/>
      <c r="C4523" s="88"/>
      <c r="D4523" s="89"/>
      <c r="E4523" s="90"/>
      <c r="F4523" s="91"/>
      <c r="G4523" s="90"/>
      <c r="H4523" s="92"/>
      <c r="I4523" s="87"/>
      <c r="J4523" s="93"/>
      <c r="K4523" s="92"/>
      <c r="L4523" s="72" t="str">
        <f t="shared" si="71"/>
        <v/>
      </c>
      <c r="N4523" s="15"/>
    </row>
    <row r="4524" spans="1:14" s="14" customFormat="1" ht="18" x14ac:dyDescent="0.25">
      <c r="A4524" s="91"/>
      <c r="B4524" s="90"/>
      <c r="C4524" s="88"/>
      <c r="D4524" s="89"/>
      <c r="E4524" s="90"/>
      <c r="F4524" s="91"/>
      <c r="G4524" s="90"/>
      <c r="H4524" s="92"/>
      <c r="I4524" s="87"/>
      <c r="J4524" s="93"/>
      <c r="K4524" s="92"/>
      <c r="L4524" s="72" t="str">
        <f t="shared" si="71"/>
        <v/>
      </c>
      <c r="N4524" s="15"/>
    </row>
    <row r="4525" spans="1:14" s="14" customFormat="1" ht="18" x14ac:dyDescent="0.25">
      <c r="A4525" s="91"/>
      <c r="B4525" s="90"/>
      <c r="C4525" s="88"/>
      <c r="D4525" s="89"/>
      <c r="E4525" s="90"/>
      <c r="F4525" s="91"/>
      <c r="G4525" s="90"/>
      <c r="H4525" s="92"/>
      <c r="I4525" s="87"/>
      <c r="J4525" s="93"/>
      <c r="K4525" s="92"/>
      <c r="L4525" s="72" t="str">
        <f t="shared" si="71"/>
        <v/>
      </c>
      <c r="N4525" s="15"/>
    </row>
    <row r="4526" spans="1:14" s="14" customFormat="1" ht="18" x14ac:dyDescent="0.25">
      <c r="A4526" s="91"/>
      <c r="B4526" s="90"/>
      <c r="C4526" s="88"/>
      <c r="D4526" s="89"/>
      <c r="E4526" s="90"/>
      <c r="F4526" s="91"/>
      <c r="G4526" s="90"/>
      <c r="H4526" s="92"/>
      <c r="I4526" s="87"/>
      <c r="J4526" s="93"/>
      <c r="K4526" s="92"/>
      <c r="L4526" s="72" t="str">
        <f t="shared" si="71"/>
        <v/>
      </c>
      <c r="N4526" s="15"/>
    </row>
    <row r="4527" spans="1:14" s="14" customFormat="1" ht="18" x14ac:dyDescent="0.25">
      <c r="A4527" s="91"/>
      <c r="B4527" s="90"/>
      <c r="C4527" s="88"/>
      <c r="D4527" s="89"/>
      <c r="E4527" s="90"/>
      <c r="F4527" s="91"/>
      <c r="G4527" s="90"/>
      <c r="H4527" s="92"/>
      <c r="I4527" s="87"/>
      <c r="J4527" s="93"/>
      <c r="K4527" s="92"/>
      <c r="L4527" s="72" t="str">
        <f t="shared" si="71"/>
        <v/>
      </c>
      <c r="N4527" s="15"/>
    </row>
    <row r="4528" spans="1:14" s="14" customFormat="1" ht="18" x14ac:dyDescent="0.25">
      <c r="A4528" s="91"/>
      <c r="B4528" s="90"/>
      <c r="C4528" s="88"/>
      <c r="D4528" s="89"/>
      <c r="E4528" s="90"/>
      <c r="F4528" s="91"/>
      <c r="G4528" s="90"/>
      <c r="H4528" s="92"/>
      <c r="I4528" s="87"/>
      <c r="J4528" s="93"/>
      <c r="K4528" s="92"/>
      <c r="L4528" s="72" t="str">
        <f t="shared" si="71"/>
        <v/>
      </c>
      <c r="N4528" s="15"/>
    </row>
    <row r="4529" spans="1:14" s="14" customFormat="1" ht="18" x14ac:dyDescent="0.25">
      <c r="A4529" s="91"/>
      <c r="B4529" s="90"/>
      <c r="C4529" s="88"/>
      <c r="D4529" s="89"/>
      <c r="E4529" s="90"/>
      <c r="F4529" s="91"/>
      <c r="G4529" s="90"/>
      <c r="H4529" s="92"/>
      <c r="I4529" s="87"/>
      <c r="J4529" s="93"/>
      <c r="K4529" s="92"/>
      <c r="L4529" s="72" t="str">
        <f t="shared" si="71"/>
        <v/>
      </c>
      <c r="N4529" s="15"/>
    </row>
    <row r="4530" spans="1:14" s="14" customFormat="1" ht="18" x14ac:dyDescent="0.25">
      <c r="A4530" s="91"/>
      <c r="B4530" s="90"/>
      <c r="C4530" s="88"/>
      <c r="D4530" s="89"/>
      <c r="E4530" s="90"/>
      <c r="F4530" s="91"/>
      <c r="G4530" s="90"/>
      <c r="H4530" s="92"/>
      <c r="I4530" s="87"/>
      <c r="J4530" s="93"/>
      <c r="K4530" s="92"/>
      <c r="L4530" s="72" t="str">
        <f t="shared" si="71"/>
        <v/>
      </c>
      <c r="N4530" s="15"/>
    </row>
    <row r="4531" spans="1:14" s="14" customFormat="1" ht="18" x14ac:dyDescent="0.25">
      <c r="A4531" s="91"/>
      <c r="B4531" s="90"/>
      <c r="C4531" s="88"/>
      <c r="D4531" s="89"/>
      <c r="E4531" s="90"/>
      <c r="F4531" s="91"/>
      <c r="G4531" s="90"/>
      <c r="H4531" s="92"/>
      <c r="I4531" s="87"/>
      <c r="J4531" s="93"/>
      <c r="K4531" s="92"/>
      <c r="L4531" s="72" t="str">
        <f t="shared" si="71"/>
        <v/>
      </c>
      <c r="N4531" s="15"/>
    </row>
    <row r="4532" spans="1:14" s="14" customFormat="1" ht="18" x14ac:dyDescent="0.25">
      <c r="A4532" s="91"/>
      <c r="B4532" s="90"/>
      <c r="C4532" s="88"/>
      <c r="D4532" s="89"/>
      <c r="E4532" s="90"/>
      <c r="F4532" s="91"/>
      <c r="G4532" s="90"/>
      <c r="H4532" s="92"/>
      <c r="I4532" s="87"/>
      <c r="J4532" s="93"/>
      <c r="K4532" s="92"/>
      <c r="L4532" s="72" t="str">
        <f t="shared" si="71"/>
        <v/>
      </c>
      <c r="N4532" s="15"/>
    </row>
    <row r="4533" spans="1:14" s="14" customFormat="1" ht="18" x14ac:dyDescent="0.25">
      <c r="A4533" s="91"/>
      <c r="B4533" s="90"/>
      <c r="C4533" s="88"/>
      <c r="D4533" s="89"/>
      <c r="E4533" s="90"/>
      <c r="F4533" s="91"/>
      <c r="G4533" s="90"/>
      <c r="H4533" s="92"/>
      <c r="I4533" s="87"/>
      <c r="J4533" s="93"/>
      <c r="K4533" s="92"/>
      <c r="L4533" s="72" t="str">
        <f t="shared" si="71"/>
        <v/>
      </c>
      <c r="N4533" s="15"/>
    </row>
    <row r="4534" spans="1:14" s="14" customFormat="1" ht="18" x14ac:dyDescent="0.25">
      <c r="A4534" s="91"/>
      <c r="B4534" s="90"/>
      <c r="C4534" s="88"/>
      <c r="D4534" s="89"/>
      <c r="E4534" s="90"/>
      <c r="F4534" s="91"/>
      <c r="G4534" s="90"/>
      <c r="H4534" s="92"/>
      <c r="I4534" s="87"/>
      <c r="J4534" s="93"/>
      <c r="K4534" s="92"/>
      <c r="L4534" s="72" t="str">
        <f t="shared" si="71"/>
        <v/>
      </c>
      <c r="N4534" s="15"/>
    </row>
    <row r="4535" spans="1:14" s="14" customFormat="1" ht="18" x14ac:dyDescent="0.25">
      <c r="A4535" s="91"/>
      <c r="B4535" s="90"/>
      <c r="C4535" s="88"/>
      <c r="D4535" s="89"/>
      <c r="E4535" s="90"/>
      <c r="F4535" s="91"/>
      <c r="G4535" s="90"/>
      <c r="H4535" s="92"/>
      <c r="I4535" s="87"/>
      <c r="J4535" s="93"/>
      <c r="K4535" s="92"/>
      <c r="L4535" s="72" t="str">
        <f t="shared" si="71"/>
        <v/>
      </c>
      <c r="N4535" s="15"/>
    </row>
    <row r="4536" spans="1:14" s="14" customFormat="1" ht="18" x14ac:dyDescent="0.25">
      <c r="A4536" s="91"/>
      <c r="B4536" s="90"/>
      <c r="C4536" s="88"/>
      <c r="D4536" s="89"/>
      <c r="E4536" s="90"/>
      <c r="F4536" s="91"/>
      <c r="G4536" s="90"/>
      <c r="H4536" s="92"/>
      <c r="I4536" s="87"/>
      <c r="J4536" s="93"/>
      <c r="K4536" s="92"/>
      <c r="L4536" s="72" t="str">
        <f t="shared" si="71"/>
        <v/>
      </c>
      <c r="N4536" s="15"/>
    </row>
    <row r="4537" spans="1:14" s="14" customFormat="1" ht="18" x14ac:dyDescent="0.25">
      <c r="A4537" s="91"/>
      <c r="B4537" s="90"/>
      <c r="C4537" s="88"/>
      <c r="D4537" s="89"/>
      <c r="E4537" s="90"/>
      <c r="F4537" s="91"/>
      <c r="G4537" s="90"/>
      <c r="H4537" s="92"/>
      <c r="I4537" s="87"/>
      <c r="J4537" s="93"/>
      <c r="K4537" s="92"/>
      <c r="L4537" s="72" t="str">
        <f t="shared" si="71"/>
        <v/>
      </c>
      <c r="N4537" s="15"/>
    </row>
    <row r="4538" spans="1:14" s="14" customFormat="1" ht="18" x14ac:dyDescent="0.25">
      <c r="A4538" s="91"/>
      <c r="B4538" s="90"/>
      <c r="C4538" s="88"/>
      <c r="D4538" s="89"/>
      <c r="E4538" s="90"/>
      <c r="F4538" s="91"/>
      <c r="G4538" s="90"/>
      <c r="H4538" s="92"/>
      <c r="I4538" s="87"/>
      <c r="J4538" s="93"/>
      <c r="K4538" s="92"/>
      <c r="L4538" s="72" t="str">
        <f t="shared" si="71"/>
        <v/>
      </c>
      <c r="N4538" s="15"/>
    </row>
    <row r="4539" spans="1:14" s="14" customFormat="1" ht="18" x14ac:dyDescent="0.25">
      <c r="A4539" s="91"/>
      <c r="B4539" s="90"/>
      <c r="C4539" s="88"/>
      <c r="D4539" s="89"/>
      <c r="E4539" s="90"/>
      <c r="F4539" s="91"/>
      <c r="G4539" s="90"/>
      <c r="H4539" s="92"/>
      <c r="I4539" s="87"/>
      <c r="J4539" s="93"/>
      <c r="K4539" s="92"/>
      <c r="L4539" s="72" t="str">
        <f t="shared" si="71"/>
        <v/>
      </c>
      <c r="N4539" s="15"/>
    </row>
    <row r="4540" spans="1:14" s="14" customFormat="1" ht="18" x14ac:dyDescent="0.25">
      <c r="A4540" s="91"/>
      <c r="B4540" s="90"/>
      <c r="C4540" s="88"/>
      <c r="D4540" s="89"/>
      <c r="E4540" s="90"/>
      <c r="F4540" s="91"/>
      <c r="G4540" s="90"/>
      <c r="H4540" s="92"/>
      <c r="I4540" s="87"/>
      <c r="J4540" s="93"/>
      <c r="K4540" s="92"/>
      <c r="L4540" s="72" t="str">
        <f t="shared" si="71"/>
        <v/>
      </c>
      <c r="N4540" s="15"/>
    </row>
    <row r="4541" spans="1:14" s="14" customFormat="1" ht="18" x14ac:dyDescent="0.25">
      <c r="A4541" s="91"/>
      <c r="B4541" s="90"/>
      <c r="C4541" s="88"/>
      <c r="D4541" s="89"/>
      <c r="E4541" s="90"/>
      <c r="F4541" s="91"/>
      <c r="G4541" s="90"/>
      <c r="H4541" s="92"/>
      <c r="I4541" s="87"/>
      <c r="J4541" s="93"/>
      <c r="K4541" s="92"/>
      <c r="L4541" s="72" t="str">
        <f t="shared" si="71"/>
        <v/>
      </c>
      <c r="N4541" s="15"/>
    </row>
    <row r="4542" spans="1:14" s="14" customFormat="1" ht="18" x14ac:dyDescent="0.25">
      <c r="A4542" s="91"/>
      <c r="B4542" s="90"/>
      <c r="C4542" s="88"/>
      <c r="D4542" s="89"/>
      <c r="E4542" s="90"/>
      <c r="F4542" s="91"/>
      <c r="G4542" s="90"/>
      <c r="H4542" s="92"/>
      <c r="I4542" s="87"/>
      <c r="J4542" s="93"/>
      <c r="K4542" s="92"/>
      <c r="L4542" s="72" t="str">
        <f t="shared" si="71"/>
        <v/>
      </c>
      <c r="N4542" s="15"/>
    </row>
    <row r="4543" spans="1:14" s="14" customFormat="1" ht="18" x14ac:dyDescent="0.25">
      <c r="A4543" s="91"/>
      <c r="B4543" s="90"/>
      <c r="C4543" s="88"/>
      <c r="D4543" s="89"/>
      <c r="E4543" s="90"/>
      <c r="F4543" s="91"/>
      <c r="G4543" s="90"/>
      <c r="H4543" s="92"/>
      <c r="I4543" s="87"/>
      <c r="J4543" s="93"/>
      <c r="K4543" s="92"/>
      <c r="L4543" s="72" t="str">
        <f t="shared" si="71"/>
        <v/>
      </c>
      <c r="N4543" s="15"/>
    </row>
    <row r="4544" spans="1:14" s="14" customFormat="1" ht="18" x14ac:dyDescent="0.25">
      <c r="A4544" s="91"/>
      <c r="B4544" s="90"/>
      <c r="C4544" s="88"/>
      <c r="D4544" s="89"/>
      <c r="E4544" s="90"/>
      <c r="F4544" s="91"/>
      <c r="G4544" s="90"/>
      <c r="H4544" s="92"/>
      <c r="I4544" s="87"/>
      <c r="J4544" s="93"/>
      <c r="K4544" s="92"/>
      <c r="L4544" s="72" t="str">
        <f t="shared" si="71"/>
        <v/>
      </c>
      <c r="N4544" s="15"/>
    </row>
    <row r="4545" spans="1:14" s="14" customFormat="1" ht="18" x14ac:dyDescent="0.25">
      <c r="A4545" s="91"/>
      <c r="B4545" s="90"/>
      <c r="C4545" s="88"/>
      <c r="D4545" s="89"/>
      <c r="E4545" s="90"/>
      <c r="F4545" s="91"/>
      <c r="G4545" s="90"/>
      <c r="H4545" s="92"/>
      <c r="I4545" s="87"/>
      <c r="J4545" s="93"/>
      <c r="K4545" s="92"/>
      <c r="L4545" s="72" t="str">
        <f t="shared" si="71"/>
        <v/>
      </c>
      <c r="N4545" s="15"/>
    </row>
    <row r="4546" spans="1:14" s="14" customFormat="1" ht="18" x14ac:dyDescent="0.25">
      <c r="A4546" s="91"/>
      <c r="B4546" s="90"/>
      <c r="C4546" s="88"/>
      <c r="D4546" s="89"/>
      <c r="E4546" s="90"/>
      <c r="F4546" s="91"/>
      <c r="G4546" s="90"/>
      <c r="H4546" s="92"/>
      <c r="I4546" s="87"/>
      <c r="J4546" s="93"/>
      <c r="K4546" s="92"/>
      <c r="L4546" s="72" t="str">
        <f t="shared" si="71"/>
        <v/>
      </c>
      <c r="N4546" s="15"/>
    </row>
    <row r="4547" spans="1:14" s="14" customFormat="1" ht="18" x14ac:dyDescent="0.25">
      <c r="A4547" s="91"/>
      <c r="B4547" s="90"/>
      <c r="C4547" s="88"/>
      <c r="D4547" s="89"/>
      <c r="E4547" s="90"/>
      <c r="F4547" s="91"/>
      <c r="G4547" s="90"/>
      <c r="H4547" s="92"/>
      <c r="I4547" s="87"/>
      <c r="J4547" s="93"/>
      <c r="K4547" s="92"/>
      <c r="L4547" s="72" t="str">
        <f t="shared" si="71"/>
        <v/>
      </c>
      <c r="N4547" s="15"/>
    </row>
    <row r="4548" spans="1:14" s="14" customFormat="1" ht="18" x14ac:dyDescent="0.25">
      <c r="A4548" s="91"/>
      <c r="B4548" s="90"/>
      <c r="C4548" s="88"/>
      <c r="D4548" s="89"/>
      <c r="E4548" s="90"/>
      <c r="F4548" s="91"/>
      <c r="G4548" s="90"/>
      <c r="H4548" s="92"/>
      <c r="I4548" s="87"/>
      <c r="J4548" s="93"/>
      <c r="K4548" s="92"/>
      <c r="L4548" s="72" t="str">
        <f t="shared" si="71"/>
        <v/>
      </c>
      <c r="N4548" s="15"/>
    </row>
    <row r="4549" spans="1:14" s="14" customFormat="1" ht="18" x14ac:dyDescent="0.25">
      <c r="A4549" s="91"/>
      <c r="B4549" s="90"/>
      <c r="C4549" s="88"/>
      <c r="D4549" s="89"/>
      <c r="E4549" s="90"/>
      <c r="F4549" s="91"/>
      <c r="G4549" s="90"/>
      <c r="H4549" s="92"/>
      <c r="I4549" s="87"/>
      <c r="J4549" s="93"/>
      <c r="K4549" s="92"/>
      <c r="L4549" s="72" t="str">
        <f t="shared" si="71"/>
        <v/>
      </c>
      <c r="N4549" s="15"/>
    </row>
    <row r="4550" spans="1:14" s="14" customFormat="1" ht="18" x14ac:dyDescent="0.25">
      <c r="A4550" s="91"/>
      <c r="B4550" s="90"/>
      <c r="C4550" s="88"/>
      <c r="D4550" s="89"/>
      <c r="E4550" s="90"/>
      <c r="F4550" s="91"/>
      <c r="G4550" s="90"/>
      <c r="H4550" s="92"/>
      <c r="I4550" s="87"/>
      <c r="J4550" s="93"/>
      <c r="K4550" s="92"/>
      <c r="L4550" s="72" t="str">
        <f t="shared" si="71"/>
        <v/>
      </c>
      <c r="N4550" s="15"/>
    </row>
    <row r="4551" spans="1:14" s="14" customFormat="1" ht="18" x14ac:dyDescent="0.25">
      <c r="A4551" s="91"/>
      <c r="B4551" s="90"/>
      <c r="C4551" s="88"/>
      <c r="D4551" s="89"/>
      <c r="E4551" s="90"/>
      <c r="F4551" s="91"/>
      <c r="G4551" s="90"/>
      <c r="H4551" s="92"/>
      <c r="I4551" s="87"/>
      <c r="J4551" s="93"/>
      <c r="K4551" s="92"/>
      <c r="L4551" s="72" t="str">
        <f t="shared" si="71"/>
        <v/>
      </c>
      <c r="N4551" s="15"/>
    </row>
    <row r="4552" spans="1:14" s="14" customFormat="1" ht="18" x14ac:dyDescent="0.25">
      <c r="A4552" s="91"/>
      <c r="B4552" s="90"/>
      <c r="C4552" s="88"/>
      <c r="D4552" s="89"/>
      <c r="E4552" s="90"/>
      <c r="F4552" s="91"/>
      <c r="G4552" s="90"/>
      <c r="H4552" s="92"/>
      <c r="I4552" s="87"/>
      <c r="J4552" s="93"/>
      <c r="K4552" s="92"/>
      <c r="L4552" s="72" t="str">
        <f t="shared" si="71"/>
        <v/>
      </c>
      <c r="N4552" s="15"/>
    </row>
    <row r="4553" spans="1:14" s="14" customFormat="1" ht="18" x14ac:dyDescent="0.25">
      <c r="A4553" s="91"/>
      <c r="B4553" s="90"/>
      <c r="C4553" s="88"/>
      <c r="D4553" s="89"/>
      <c r="E4553" s="90"/>
      <c r="F4553" s="91"/>
      <c r="G4553" s="90"/>
      <c r="H4553" s="92"/>
      <c r="I4553" s="87"/>
      <c r="J4553" s="93"/>
      <c r="K4553" s="92"/>
      <c r="L4553" s="72" t="str">
        <f t="shared" si="71"/>
        <v/>
      </c>
      <c r="N4553" s="15"/>
    </row>
    <row r="4554" spans="1:14" s="14" customFormat="1" ht="18" x14ac:dyDescent="0.25">
      <c r="A4554" s="91"/>
      <c r="B4554" s="90"/>
      <c r="C4554" s="88"/>
      <c r="D4554" s="89"/>
      <c r="E4554" s="90"/>
      <c r="F4554" s="91"/>
      <c r="G4554" s="90"/>
      <c r="H4554" s="92"/>
      <c r="I4554" s="87"/>
      <c r="J4554" s="93"/>
      <c r="K4554" s="92"/>
      <c r="L4554" s="72" t="str">
        <f t="shared" si="71"/>
        <v/>
      </c>
      <c r="N4554" s="15"/>
    </row>
    <row r="4555" spans="1:14" s="14" customFormat="1" ht="18" x14ac:dyDescent="0.25">
      <c r="A4555" s="91"/>
      <c r="B4555" s="90"/>
      <c r="C4555" s="88"/>
      <c r="D4555" s="89"/>
      <c r="E4555" s="90"/>
      <c r="F4555" s="91"/>
      <c r="G4555" s="90"/>
      <c r="H4555" s="92"/>
      <c r="I4555" s="87"/>
      <c r="J4555" s="93"/>
      <c r="K4555" s="92"/>
      <c r="L4555" s="72" t="str">
        <f t="shared" si="71"/>
        <v/>
      </c>
      <c r="N4555" s="15"/>
    </row>
    <row r="4556" spans="1:14" s="14" customFormat="1" ht="18" x14ac:dyDescent="0.25">
      <c r="A4556" s="91"/>
      <c r="B4556" s="90"/>
      <c r="C4556" s="88"/>
      <c r="D4556" s="89"/>
      <c r="E4556" s="90"/>
      <c r="F4556" s="91"/>
      <c r="G4556" s="90"/>
      <c r="H4556" s="92"/>
      <c r="I4556" s="87"/>
      <c r="J4556" s="93"/>
      <c r="K4556" s="92"/>
      <c r="L4556" s="72" t="str">
        <f t="shared" si="71"/>
        <v/>
      </c>
      <c r="N4556" s="15"/>
    </row>
    <row r="4557" spans="1:14" s="14" customFormat="1" ht="18" x14ac:dyDescent="0.25">
      <c r="A4557" s="91"/>
      <c r="B4557" s="90"/>
      <c r="C4557" s="88"/>
      <c r="D4557" s="89"/>
      <c r="E4557" s="90"/>
      <c r="F4557" s="91"/>
      <c r="G4557" s="90"/>
      <c r="H4557" s="92"/>
      <c r="I4557" s="87"/>
      <c r="J4557" s="93"/>
      <c r="K4557" s="92"/>
      <c r="L4557" s="72" t="str">
        <f t="shared" si="71"/>
        <v/>
      </c>
      <c r="N4557" s="15"/>
    </row>
    <row r="4558" spans="1:14" s="14" customFormat="1" ht="18" x14ac:dyDescent="0.25">
      <c r="A4558" s="91"/>
      <c r="B4558" s="90"/>
      <c r="C4558" s="88"/>
      <c r="D4558" s="89"/>
      <c r="E4558" s="90"/>
      <c r="F4558" s="91"/>
      <c r="G4558" s="90"/>
      <c r="H4558" s="92"/>
      <c r="I4558" s="87"/>
      <c r="J4558" s="93"/>
      <c r="K4558" s="92"/>
      <c r="L4558" s="72" t="str">
        <f t="shared" si="71"/>
        <v/>
      </c>
      <c r="N4558" s="70"/>
    </row>
    <row r="4559" spans="1:14" s="14" customFormat="1" ht="18" x14ac:dyDescent="0.25">
      <c r="A4559" s="91"/>
      <c r="B4559" s="90"/>
      <c r="C4559" s="88"/>
      <c r="D4559" s="89"/>
      <c r="E4559" s="90"/>
      <c r="F4559" s="91"/>
      <c r="G4559" s="90"/>
      <c r="H4559" s="92"/>
      <c r="I4559" s="87"/>
      <c r="J4559" s="93"/>
      <c r="K4559" s="92"/>
      <c r="L4559" s="72" t="str">
        <f t="shared" si="71"/>
        <v/>
      </c>
      <c r="N4559" s="15"/>
    </row>
    <row r="4560" spans="1:14" s="14" customFormat="1" ht="18" x14ac:dyDescent="0.25">
      <c r="A4560" s="91"/>
      <c r="B4560" s="90"/>
      <c r="C4560" s="88"/>
      <c r="D4560" s="89"/>
      <c r="E4560" s="90"/>
      <c r="F4560" s="91"/>
      <c r="G4560" s="90"/>
      <c r="H4560" s="92"/>
      <c r="I4560" s="87"/>
      <c r="J4560" s="93"/>
      <c r="K4560" s="92"/>
      <c r="L4560" s="72" t="str">
        <f t="shared" si="71"/>
        <v/>
      </c>
      <c r="N4560" s="15"/>
    </row>
    <row r="4561" spans="1:14" s="14" customFormat="1" ht="18" x14ac:dyDescent="0.25">
      <c r="A4561" s="91"/>
      <c r="B4561" s="90"/>
      <c r="C4561" s="88"/>
      <c r="D4561" s="89"/>
      <c r="E4561" s="90"/>
      <c r="F4561" s="91"/>
      <c r="G4561" s="90"/>
      <c r="H4561" s="92"/>
      <c r="I4561" s="87"/>
      <c r="J4561" s="93"/>
      <c r="K4561" s="92"/>
      <c r="L4561" s="72" t="str">
        <f t="shared" si="71"/>
        <v/>
      </c>
      <c r="N4561" s="15"/>
    </row>
    <row r="4562" spans="1:14" s="14" customFormat="1" ht="18" x14ac:dyDescent="0.25">
      <c r="A4562" s="91"/>
      <c r="B4562" s="90"/>
      <c r="C4562" s="88"/>
      <c r="D4562" s="89"/>
      <c r="E4562" s="90"/>
      <c r="F4562" s="91"/>
      <c r="G4562" s="90"/>
      <c r="H4562" s="92"/>
      <c r="I4562" s="87"/>
      <c r="J4562" s="93"/>
      <c r="K4562" s="92"/>
      <c r="L4562" s="72" t="str">
        <f t="shared" si="71"/>
        <v/>
      </c>
      <c r="N4562" s="15"/>
    </row>
    <row r="4563" spans="1:14" s="14" customFormat="1" ht="18" x14ac:dyDescent="0.25">
      <c r="A4563" s="91"/>
      <c r="B4563" s="90"/>
      <c r="C4563" s="88"/>
      <c r="D4563" s="89"/>
      <c r="E4563" s="90"/>
      <c r="F4563" s="91"/>
      <c r="G4563" s="90"/>
      <c r="H4563" s="92"/>
      <c r="I4563" s="87"/>
      <c r="J4563" s="93"/>
      <c r="K4563" s="92"/>
      <c r="L4563" s="72" t="str">
        <f t="shared" si="71"/>
        <v/>
      </c>
      <c r="N4563" s="15"/>
    </row>
    <row r="4564" spans="1:14" s="14" customFormat="1" ht="18" x14ac:dyDescent="0.25">
      <c r="A4564" s="91"/>
      <c r="B4564" s="90"/>
      <c r="C4564" s="88"/>
      <c r="D4564" s="89"/>
      <c r="E4564" s="90"/>
      <c r="F4564" s="91"/>
      <c r="G4564" s="90"/>
      <c r="H4564" s="92"/>
      <c r="I4564" s="87"/>
      <c r="J4564" s="93"/>
      <c r="K4564" s="92"/>
      <c r="L4564" s="72" t="str">
        <f t="shared" si="71"/>
        <v/>
      </c>
      <c r="N4564" s="15"/>
    </row>
    <row r="4565" spans="1:14" s="14" customFormat="1" ht="18" x14ac:dyDescent="0.25">
      <c r="A4565" s="91"/>
      <c r="B4565" s="90"/>
      <c r="C4565" s="88"/>
      <c r="D4565" s="89"/>
      <c r="E4565" s="90"/>
      <c r="F4565" s="91"/>
      <c r="G4565" s="90"/>
      <c r="H4565" s="92"/>
      <c r="I4565" s="87"/>
      <c r="J4565" s="93"/>
      <c r="K4565" s="92"/>
      <c r="L4565" s="72" t="str">
        <f t="shared" si="71"/>
        <v/>
      </c>
      <c r="N4565" s="15"/>
    </row>
    <row r="4566" spans="1:14" s="14" customFormat="1" ht="18" x14ac:dyDescent="0.25">
      <c r="A4566" s="91"/>
      <c r="B4566" s="90"/>
      <c r="C4566" s="88"/>
      <c r="D4566" s="89"/>
      <c r="E4566" s="90"/>
      <c r="F4566" s="91"/>
      <c r="G4566" s="90"/>
      <c r="H4566" s="92"/>
      <c r="I4566" s="87"/>
      <c r="J4566" s="93"/>
      <c r="K4566" s="92"/>
      <c r="L4566" s="72" t="str">
        <f t="shared" si="71"/>
        <v/>
      </c>
      <c r="N4566" s="15"/>
    </row>
    <row r="4567" spans="1:14" s="14" customFormat="1" ht="18" x14ac:dyDescent="0.25">
      <c r="A4567" s="91"/>
      <c r="B4567" s="90"/>
      <c r="C4567" s="88"/>
      <c r="D4567" s="89"/>
      <c r="E4567" s="90"/>
      <c r="F4567" s="91"/>
      <c r="G4567" s="90"/>
      <c r="H4567" s="92"/>
      <c r="I4567" s="87"/>
      <c r="J4567" s="93"/>
      <c r="K4567" s="92"/>
      <c r="L4567" s="72" t="str">
        <f t="shared" si="71"/>
        <v/>
      </c>
      <c r="N4567" s="15"/>
    </row>
    <row r="4568" spans="1:14" s="14" customFormat="1" ht="18" x14ac:dyDescent="0.25">
      <c r="A4568" s="91"/>
      <c r="B4568" s="90"/>
      <c r="C4568" s="88"/>
      <c r="D4568" s="89"/>
      <c r="E4568" s="90"/>
      <c r="F4568" s="91"/>
      <c r="G4568" s="90"/>
      <c r="H4568" s="92"/>
      <c r="I4568" s="87"/>
      <c r="J4568" s="93"/>
      <c r="K4568" s="92"/>
      <c r="L4568" s="72" t="str">
        <f t="shared" si="71"/>
        <v/>
      </c>
      <c r="N4568" s="15"/>
    </row>
    <row r="4569" spans="1:14" s="14" customFormat="1" ht="18" x14ac:dyDescent="0.25">
      <c r="A4569" s="91"/>
      <c r="B4569" s="90"/>
      <c r="C4569" s="88"/>
      <c r="D4569" s="89"/>
      <c r="E4569" s="90"/>
      <c r="F4569" s="91"/>
      <c r="G4569" s="90"/>
      <c r="H4569" s="92"/>
      <c r="I4569" s="87"/>
      <c r="J4569" s="93"/>
      <c r="K4569" s="92"/>
      <c r="L4569" s="72" t="str">
        <f t="shared" si="71"/>
        <v/>
      </c>
      <c r="N4569" s="15"/>
    </row>
    <row r="4570" spans="1:14" s="14" customFormat="1" ht="18" x14ac:dyDescent="0.25">
      <c r="A4570" s="91"/>
      <c r="B4570" s="90"/>
      <c r="C4570" s="88"/>
      <c r="D4570" s="89"/>
      <c r="E4570" s="90"/>
      <c r="F4570" s="91"/>
      <c r="G4570" s="90"/>
      <c r="H4570" s="92"/>
      <c r="I4570" s="87"/>
      <c r="J4570" s="93"/>
      <c r="K4570" s="92"/>
      <c r="L4570" s="72" t="str">
        <f t="shared" si="71"/>
        <v/>
      </c>
      <c r="N4570" s="15"/>
    </row>
    <row r="4571" spans="1:14" s="14" customFormat="1" ht="18" x14ac:dyDescent="0.25">
      <c r="A4571" s="91"/>
      <c r="B4571" s="90"/>
      <c r="C4571" s="88"/>
      <c r="D4571" s="89"/>
      <c r="E4571" s="90"/>
      <c r="F4571" s="91"/>
      <c r="G4571" s="90"/>
      <c r="H4571" s="92"/>
      <c r="I4571" s="87"/>
      <c r="J4571" s="93"/>
      <c r="K4571" s="92"/>
      <c r="L4571" s="72" t="str">
        <f t="shared" si="71"/>
        <v/>
      </c>
      <c r="N4571" s="15"/>
    </row>
    <row r="4572" spans="1:14" s="14" customFormat="1" ht="18" x14ac:dyDescent="0.25">
      <c r="A4572" s="91"/>
      <c r="B4572" s="90"/>
      <c r="C4572" s="88"/>
      <c r="D4572" s="89"/>
      <c r="E4572" s="90"/>
      <c r="F4572" s="91"/>
      <c r="G4572" s="90"/>
      <c r="H4572" s="92"/>
      <c r="I4572" s="87"/>
      <c r="J4572" s="93"/>
      <c r="K4572" s="92"/>
      <c r="L4572" s="72" t="str">
        <f t="shared" si="71"/>
        <v/>
      </c>
      <c r="N4572" s="15"/>
    </row>
    <row r="4573" spans="1:14" s="14" customFormat="1" ht="18" x14ac:dyDescent="0.25">
      <c r="A4573" s="91"/>
      <c r="B4573" s="90"/>
      <c r="C4573" s="88"/>
      <c r="D4573" s="89"/>
      <c r="E4573" s="90"/>
      <c r="F4573" s="91"/>
      <c r="G4573" s="90"/>
      <c r="H4573" s="92"/>
      <c r="I4573" s="87"/>
      <c r="J4573" s="93"/>
      <c r="K4573" s="92"/>
      <c r="L4573" s="72" t="str">
        <f t="shared" si="71"/>
        <v/>
      </c>
      <c r="N4573" s="15"/>
    </row>
    <row r="4574" spans="1:14" s="14" customFormat="1" ht="18" x14ac:dyDescent="0.25">
      <c r="A4574" s="91"/>
      <c r="B4574" s="90"/>
      <c r="C4574" s="88"/>
      <c r="D4574" s="89"/>
      <c r="E4574" s="90"/>
      <c r="F4574" s="91"/>
      <c r="G4574" s="90"/>
      <c r="H4574" s="92"/>
      <c r="I4574" s="87"/>
      <c r="J4574" s="93"/>
      <c r="K4574" s="92"/>
      <c r="L4574" s="72" t="str">
        <f t="shared" ref="L4574:L4637" si="72">IF(ISBLANK(H4574),"",IF(H4574=K4574,"Payé","Impayé"))</f>
        <v/>
      </c>
      <c r="N4574" s="15"/>
    </row>
    <row r="4575" spans="1:14" s="14" customFormat="1" ht="18" x14ac:dyDescent="0.25">
      <c r="A4575" s="91"/>
      <c r="B4575" s="90"/>
      <c r="C4575" s="88"/>
      <c r="D4575" s="89"/>
      <c r="E4575" s="90"/>
      <c r="F4575" s="91"/>
      <c r="G4575" s="90"/>
      <c r="H4575" s="92"/>
      <c r="I4575" s="87"/>
      <c r="J4575" s="93"/>
      <c r="K4575" s="92"/>
      <c r="L4575" s="72" t="str">
        <f t="shared" si="72"/>
        <v/>
      </c>
      <c r="N4575" s="15"/>
    </row>
    <row r="4576" spans="1:14" s="14" customFormat="1" ht="18" x14ac:dyDescent="0.25">
      <c r="A4576" s="91"/>
      <c r="B4576" s="90"/>
      <c r="C4576" s="88"/>
      <c r="D4576" s="89"/>
      <c r="E4576" s="90"/>
      <c r="F4576" s="91"/>
      <c r="G4576" s="90"/>
      <c r="H4576" s="92"/>
      <c r="I4576" s="87"/>
      <c r="J4576" s="93"/>
      <c r="K4576" s="92"/>
      <c r="L4576" s="72" t="str">
        <f t="shared" si="72"/>
        <v/>
      </c>
      <c r="N4576" s="15"/>
    </row>
    <row r="4577" spans="1:14" s="14" customFormat="1" ht="18" x14ac:dyDescent="0.25">
      <c r="A4577" s="91"/>
      <c r="B4577" s="90"/>
      <c r="C4577" s="88"/>
      <c r="D4577" s="89"/>
      <c r="E4577" s="90"/>
      <c r="F4577" s="91"/>
      <c r="G4577" s="90"/>
      <c r="H4577" s="92"/>
      <c r="I4577" s="87"/>
      <c r="J4577" s="93"/>
      <c r="K4577" s="92"/>
      <c r="L4577" s="72" t="str">
        <f t="shared" si="72"/>
        <v/>
      </c>
      <c r="N4577" s="15"/>
    </row>
    <row r="4578" spans="1:14" s="14" customFormat="1" ht="18" x14ac:dyDescent="0.25">
      <c r="A4578" s="91"/>
      <c r="B4578" s="90"/>
      <c r="C4578" s="88"/>
      <c r="D4578" s="89"/>
      <c r="E4578" s="90"/>
      <c r="F4578" s="91"/>
      <c r="G4578" s="90"/>
      <c r="H4578" s="92"/>
      <c r="I4578" s="87"/>
      <c r="J4578" s="93"/>
      <c r="K4578" s="92"/>
      <c r="L4578" s="72" t="str">
        <f t="shared" si="72"/>
        <v/>
      </c>
      <c r="N4578" s="15"/>
    </row>
    <row r="4579" spans="1:14" s="14" customFormat="1" ht="18" x14ac:dyDescent="0.25">
      <c r="A4579" s="91"/>
      <c r="B4579" s="90"/>
      <c r="C4579" s="88"/>
      <c r="D4579" s="89"/>
      <c r="E4579" s="90"/>
      <c r="F4579" s="91"/>
      <c r="G4579" s="90"/>
      <c r="H4579" s="92"/>
      <c r="I4579" s="87"/>
      <c r="J4579" s="93"/>
      <c r="K4579" s="92"/>
      <c r="L4579" s="72" t="str">
        <f t="shared" si="72"/>
        <v/>
      </c>
      <c r="N4579" s="15"/>
    </row>
    <row r="4580" spans="1:14" s="14" customFormat="1" ht="18" x14ac:dyDescent="0.25">
      <c r="A4580" s="91"/>
      <c r="B4580" s="90"/>
      <c r="C4580" s="88"/>
      <c r="D4580" s="89"/>
      <c r="E4580" s="90"/>
      <c r="F4580" s="91"/>
      <c r="G4580" s="90"/>
      <c r="H4580" s="92"/>
      <c r="I4580" s="87"/>
      <c r="J4580" s="93"/>
      <c r="K4580" s="92"/>
      <c r="L4580" s="72" t="str">
        <f t="shared" si="72"/>
        <v/>
      </c>
      <c r="N4580" s="15"/>
    </row>
    <row r="4581" spans="1:14" s="14" customFormat="1" ht="18" x14ac:dyDescent="0.25">
      <c r="A4581" s="91"/>
      <c r="B4581" s="90"/>
      <c r="C4581" s="88"/>
      <c r="D4581" s="89"/>
      <c r="E4581" s="90"/>
      <c r="F4581" s="91"/>
      <c r="G4581" s="90"/>
      <c r="H4581" s="92"/>
      <c r="I4581" s="87"/>
      <c r="J4581" s="93"/>
      <c r="K4581" s="92"/>
      <c r="L4581" s="72" t="str">
        <f t="shared" si="72"/>
        <v/>
      </c>
      <c r="N4581" s="15"/>
    </row>
    <row r="4582" spans="1:14" s="14" customFormat="1" ht="18" x14ac:dyDescent="0.25">
      <c r="A4582" s="91"/>
      <c r="B4582" s="90"/>
      <c r="C4582" s="88"/>
      <c r="D4582" s="89"/>
      <c r="E4582" s="90"/>
      <c r="F4582" s="91"/>
      <c r="G4582" s="90"/>
      <c r="H4582" s="92"/>
      <c r="I4582" s="87"/>
      <c r="J4582" s="93"/>
      <c r="K4582" s="92"/>
      <c r="L4582" s="72" t="str">
        <f t="shared" si="72"/>
        <v/>
      </c>
      <c r="N4582" s="15"/>
    </row>
    <row r="4583" spans="1:14" s="14" customFormat="1" ht="18" x14ac:dyDescent="0.25">
      <c r="A4583" s="91"/>
      <c r="B4583" s="90"/>
      <c r="C4583" s="88"/>
      <c r="D4583" s="89"/>
      <c r="E4583" s="90"/>
      <c r="F4583" s="91"/>
      <c r="G4583" s="90"/>
      <c r="H4583" s="92"/>
      <c r="I4583" s="87"/>
      <c r="J4583" s="93"/>
      <c r="K4583" s="92"/>
      <c r="L4583" s="72" t="str">
        <f t="shared" si="72"/>
        <v/>
      </c>
      <c r="N4583" s="15"/>
    </row>
    <row r="4584" spans="1:14" s="14" customFormat="1" ht="18" x14ac:dyDescent="0.25">
      <c r="A4584" s="91"/>
      <c r="B4584" s="90"/>
      <c r="C4584" s="88"/>
      <c r="D4584" s="89"/>
      <c r="E4584" s="90"/>
      <c r="F4584" s="91"/>
      <c r="G4584" s="90"/>
      <c r="H4584" s="92"/>
      <c r="I4584" s="87"/>
      <c r="J4584" s="93"/>
      <c r="K4584" s="92"/>
      <c r="L4584" s="72" t="str">
        <f t="shared" si="72"/>
        <v/>
      </c>
      <c r="N4584" s="15"/>
    </row>
    <row r="4585" spans="1:14" s="14" customFormat="1" ht="18" x14ac:dyDescent="0.25">
      <c r="A4585" s="91"/>
      <c r="B4585" s="90"/>
      <c r="C4585" s="88"/>
      <c r="D4585" s="89"/>
      <c r="E4585" s="90"/>
      <c r="F4585" s="91"/>
      <c r="G4585" s="90"/>
      <c r="H4585" s="92"/>
      <c r="I4585" s="87"/>
      <c r="J4585" s="93"/>
      <c r="K4585" s="92"/>
      <c r="L4585" s="72" t="str">
        <f t="shared" si="72"/>
        <v/>
      </c>
      <c r="N4585" s="15"/>
    </row>
    <row r="4586" spans="1:14" s="14" customFormat="1" ht="18" x14ac:dyDescent="0.25">
      <c r="A4586" s="91"/>
      <c r="B4586" s="90"/>
      <c r="C4586" s="88"/>
      <c r="D4586" s="89"/>
      <c r="E4586" s="90"/>
      <c r="F4586" s="91"/>
      <c r="G4586" s="90"/>
      <c r="H4586" s="92"/>
      <c r="I4586" s="87"/>
      <c r="J4586" s="93"/>
      <c r="K4586" s="92"/>
      <c r="L4586" s="72" t="str">
        <f t="shared" si="72"/>
        <v/>
      </c>
      <c r="N4586" s="15"/>
    </row>
    <row r="4587" spans="1:14" s="14" customFormat="1" ht="18" x14ac:dyDescent="0.25">
      <c r="A4587" s="91"/>
      <c r="B4587" s="90"/>
      <c r="C4587" s="88"/>
      <c r="D4587" s="89"/>
      <c r="E4587" s="90"/>
      <c r="F4587" s="91"/>
      <c r="G4587" s="90"/>
      <c r="H4587" s="92"/>
      <c r="I4587" s="87"/>
      <c r="J4587" s="93"/>
      <c r="K4587" s="92"/>
      <c r="L4587" s="72" t="str">
        <f t="shared" si="72"/>
        <v/>
      </c>
      <c r="N4587" s="15"/>
    </row>
    <row r="4588" spans="1:14" s="14" customFormat="1" ht="18" x14ac:dyDescent="0.25">
      <c r="A4588" s="91"/>
      <c r="B4588" s="90"/>
      <c r="C4588" s="88"/>
      <c r="D4588" s="89"/>
      <c r="E4588" s="90"/>
      <c r="F4588" s="91"/>
      <c r="G4588" s="90"/>
      <c r="H4588" s="92"/>
      <c r="I4588" s="87"/>
      <c r="J4588" s="93"/>
      <c r="K4588" s="92"/>
      <c r="L4588" s="72" t="str">
        <f t="shared" si="72"/>
        <v/>
      </c>
      <c r="N4588" s="15"/>
    </row>
    <row r="4589" spans="1:14" s="14" customFormat="1" ht="18" x14ac:dyDescent="0.25">
      <c r="A4589" s="91"/>
      <c r="B4589" s="90"/>
      <c r="C4589" s="88"/>
      <c r="D4589" s="89"/>
      <c r="E4589" s="90"/>
      <c r="F4589" s="91"/>
      <c r="G4589" s="90"/>
      <c r="H4589" s="92"/>
      <c r="I4589" s="87"/>
      <c r="J4589" s="93"/>
      <c r="K4589" s="92"/>
      <c r="L4589" s="72" t="str">
        <f t="shared" si="72"/>
        <v/>
      </c>
      <c r="N4589" s="15"/>
    </row>
    <row r="4590" spans="1:14" s="14" customFormat="1" ht="18" x14ac:dyDescent="0.25">
      <c r="A4590" s="91"/>
      <c r="B4590" s="90"/>
      <c r="C4590" s="88"/>
      <c r="D4590" s="89"/>
      <c r="E4590" s="90"/>
      <c r="F4590" s="91"/>
      <c r="G4590" s="90"/>
      <c r="H4590" s="92"/>
      <c r="I4590" s="87"/>
      <c r="J4590" s="93"/>
      <c r="K4590" s="92"/>
      <c r="L4590" s="72" t="str">
        <f t="shared" si="72"/>
        <v/>
      </c>
      <c r="N4590" s="15"/>
    </row>
    <row r="4591" spans="1:14" s="14" customFormat="1" ht="18" x14ac:dyDescent="0.25">
      <c r="A4591" s="91"/>
      <c r="B4591" s="90"/>
      <c r="C4591" s="88"/>
      <c r="D4591" s="89"/>
      <c r="E4591" s="90"/>
      <c r="F4591" s="91"/>
      <c r="G4591" s="90"/>
      <c r="H4591" s="92"/>
      <c r="I4591" s="87"/>
      <c r="J4591" s="93"/>
      <c r="K4591" s="92"/>
      <c r="L4591" s="72" t="str">
        <f t="shared" si="72"/>
        <v/>
      </c>
      <c r="N4591" s="15"/>
    </row>
    <row r="4592" spans="1:14" s="14" customFormat="1" ht="18" x14ac:dyDescent="0.25">
      <c r="A4592" s="91"/>
      <c r="B4592" s="90"/>
      <c r="C4592" s="88"/>
      <c r="D4592" s="89"/>
      <c r="E4592" s="90"/>
      <c r="F4592" s="91"/>
      <c r="G4592" s="90"/>
      <c r="H4592" s="92"/>
      <c r="I4592" s="87"/>
      <c r="J4592" s="93"/>
      <c r="K4592" s="92"/>
      <c r="L4592" s="72" t="str">
        <f t="shared" si="72"/>
        <v/>
      </c>
      <c r="N4592" s="15"/>
    </row>
    <row r="4593" spans="1:14" s="14" customFormat="1" ht="18" x14ac:dyDescent="0.25">
      <c r="A4593" s="91"/>
      <c r="B4593" s="90"/>
      <c r="C4593" s="88"/>
      <c r="D4593" s="89"/>
      <c r="E4593" s="90"/>
      <c r="F4593" s="91"/>
      <c r="G4593" s="90"/>
      <c r="H4593" s="92"/>
      <c r="I4593" s="87"/>
      <c r="J4593" s="93"/>
      <c r="K4593" s="92"/>
      <c r="L4593" s="72" t="str">
        <f t="shared" si="72"/>
        <v/>
      </c>
      <c r="N4593" s="15"/>
    </row>
    <row r="4594" spans="1:14" s="14" customFormat="1" ht="18" x14ac:dyDescent="0.25">
      <c r="A4594" s="91"/>
      <c r="B4594" s="90"/>
      <c r="C4594" s="88"/>
      <c r="D4594" s="89"/>
      <c r="E4594" s="90"/>
      <c r="F4594" s="91"/>
      <c r="G4594" s="90"/>
      <c r="H4594" s="92"/>
      <c r="I4594" s="87"/>
      <c r="J4594" s="93"/>
      <c r="K4594" s="92"/>
      <c r="L4594" s="72" t="str">
        <f t="shared" si="72"/>
        <v/>
      </c>
      <c r="N4594" s="15"/>
    </row>
    <row r="4595" spans="1:14" s="14" customFormat="1" ht="18" x14ac:dyDescent="0.25">
      <c r="A4595" s="91"/>
      <c r="B4595" s="90"/>
      <c r="C4595" s="88"/>
      <c r="D4595" s="89"/>
      <c r="E4595" s="90"/>
      <c r="F4595" s="91"/>
      <c r="G4595" s="90"/>
      <c r="H4595" s="92"/>
      <c r="I4595" s="87"/>
      <c r="J4595" s="93"/>
      <c r="K4595" s="92"/>
      <c r="L4595" s="72" t="str">
        <f t="shared" si="72"/>
        <v/>
      </c>
      <c r="N4595" s="15"/>
    </row>
    <row r="4596" spans="1:14" s="14" customFormat="1" ht="18" x14ac:dyDescent="0.25">
      <c r="A4596" s="91"/>
      <c r="B4596" s="90"/>
      <c r="C4596" s="88"/>
      <c r="D4596" s="89"/>
      <c r="E4596" s="90"/>
      <c r="F4596" s="91"/>
      <c r="G4596" s="90"/>
      <c r="H4596" s="92"/>
      <c r="I4596" s="87"/>
      <c r="J4596" s="93"/>
      <c r="K4596" s="92"/>
      <c r="L4596" s="72" t="str">
        <f t="shared" si="72"/>
        <v/>
      </c>
      <c r="N4596" s="15"/>
    </row>
    <row r="4597" spans="1:14" s="14" customFormat="1" ht="18" x14ac:dyDescent="0.25">
      <c r="A4597" s="91"/>
      <c r="B4597" s="90"/>
      <c r="C4597" s="88"/>
      <c r="D4597" s="89"/>
      <c r="E4597" s="90"/>
      <c r="F4597" s="91"/>
      <c r="G4597" s="90"/>
      <c r="H4597" s="92"/>
      <c r="I4597" s="87"/>
      <c r="J4597" s="93"/>
      <c r="K4597" s="92"/>
      <c r="L4597" s="72" t="str">
        <f t="shared" si="72"/>
        <v/>
      </c>
      <c r="N4597" s="15"/>
    </row>
    <row r="4598" spans="1:14" s="14" customFormat="1" ht="18" x14ac:dyDescent="0.25">
      <c r="A4598" s="91"/>
      <c r="B4598" s="90"/>
      <c r="C4598" s="88"/>
      <c r="D4598" s="89"/>
      <c r="E4598" s="90"/>
      <c r="F4598" s="91"/>
      <c r="G4598" s="90"/>
      <c r="H4598" s="92"/>
      <c r="I4598" s="87"/>
      <c r="J4598" s="93"/>
      <c r="K4598" s="92"/>
      <c r="L4598" s="72" t="str">
        <f t="shared" si="72"/>
        <v/>
      </c>
      <c r="N4598" s="15"/>
    </row>
    <row r="4599" spans="1:14" s="14" customFormat="1" ht="18" x14ac:dyDescent="0.25">
      <c r="A4599" s="91"/>
      <c r="B4599" s="90"/>
      <c r="C4599" s="88"/>
      <c r="D4599" s="89"/>
      <c r="E4599" s="90"/>
      <c r="F4599" s="91"/>
      <c r="G4599" s="90"/>
      <c r="H4599" s="92"/>
      <c r="I4599" s="87"/>
      <c r="J4599" s="93"/>
      <c r="K4599" s="92"/>
      <c r="L4599" s="72" t="str">
        <f t="shared" si="72"/>
        <v/>
      </c>
      <c r="N4599" s="15"/>
    </row>
    <row r="4600" spans="1:14" s="14" customFormat="1" ht="18" x14ac:dyDescent="0.25">
      <c r="A4600" s="91"/>
      <c r="B4600" s="90"/>
      <c r="C4600" s="88"/>
      <c r="D4600" s="89"/>
      <c r="E4600" s="90"/>
      <c r="F4600" s="91"/>
      <c r="G4600" s="90"/>
      <c r="H4600" s="92"/>
      <c r="I4600" s="87"/>
      <c r="J4600" s="93"/>
      <c r="K4600" s="92"/>
      <c r="L4600" s="72" t="str">
        <f t="shared" si="72"/>
        <v/>
      </c>
      <c r="N4600" s="15"/>
    </row>
    <row r="4601" spans="1:14" s="14" customFormat="1" ht="18" x14ac:dyDescent="0.25">
      <c r="A4601" s="91"/>
      <c r="B4601" s="90"/>
      <c r="C4601" s="88"/>
      <c r="D4601" s="89"/>
      <c r="E4601" s="90"/>
      <c r="F4601" s="91"/>
      <c r="G4601" s="90"/>
      <c r="H4601" s="92"/>
      <c r="I4601" s="87"/>
      <c r="J4601" s="93"/>
      <c r="K4601" s="92"/>
      <c r="L4601" s="72" t="str">
        <f t="shared" si="72"/>
        <v/>
      </c>
      <c r="N4601" s="15"/>
    </row>
    <row r="4602" spans="1:14" s="14" customFormat="1" ht="18" x14ac:dyDescent="0.25">
      <c r="A4602" s="91"/>
      <c r="B4602" s="90"/>
      <c r="C4602" s="88"/>
      <c r="D4602" s="89"/>
      <c r="E4602" s="90"/>
      <c r="F4602" s="91"/>
      <c r="G4602" s="90"/>
      <c r="H4602" s="92"/>
      <c r="I4602" s="87"/>
      <c r="J4602" s="93"/>
      <c r="K4602" s="92"/>
      <c r="L4602" s="72" t="str">
        <f t="shared" si="72"/>
        <v/>
      </c>
      <c r="N4602" s="15"/>
    </row>
    <row r="4603" spans="1:14" s="14" customFormat="1" ht="18" x14ac:dyDescent="0.25">
      <c r="A4603" s="91"/>
      <c r="B4603" s="90"/>
      <c r="C4603" s="88"/>
      <c r="D4603" s="89"/>
      <c r="E4603" s="90"/>
      <c r="F4603" s="91"/>
      <c r="G4603" s="90"/>
      <c r="H4603" s="92"/>
      <c r="I4603" s="87"/>
      <c r="J4603" s="93"/>
      <c r="K4603" s="92"/>
      <c r="L4603" s="72" t="str">
        <f t="shared" si="72"/>
        <v/>
      </c>
      <c r="N4603" s="15"/>
    </row>
    <row r="4604" spans="1:14" s="14" customFormat="1" ht="18" x14ac:dyDescent="0.25">
      <c r="A4604" s="91"/>
      <c r="B4604" s="90"/>
      <c r="C4604" s="88"/>
      <c r="D4604" s="89"/>
      <c r="E4604" s="90"/>
      <c r="F4604" s="91"/>
      <c r="G4604" s="90"/>
      <c r="H4604" s="92"/>
      <c r="I4604" s="87"/>
      <c r="J4604" s="93"/>
      <c r="K4604" s="92"/>
      <c r="L4604" s="72" t="str">
        <f t="shared" si="72"/>
        <v/>
      </c>
      <c r="N4604" s="15"/>
    </row>
    <row r="4605" spans="1:14" s="14" customFormat="1" ht="18" x14ac:dyDescent="0.25">
      <c r="A4605" s="91"/>
      <c r="B4605" s="90"/>
      <c r="C4605" s="88"/>
      <c r="D4605" s="89"/>
      <c r="E4605" s="90"/>
      <c r="F4605" s="91"/>
      <c r="G4605" s="90"/>
      <c r="H4605" s="92"/>
      <c r="I4605" s="87"/>
      <c r="J4605" s="93"/>
      <c r="K4605" s="92"/>
      <c r="L4605" s="72" t="str">
        <f t="shared" si="72"/>
        <v/>
      </c>
      <c r="N4605" s="15"/>
    </row>
    <row r="4606" spans="1:14" s="14" customFormat="1" ht="18" x14ac:dyDescent="0.25">
      <c r="A4606" s="91"/>
      <c r="B4606" s="90"/>
      <c r="C4606" s="88"/>
      <c r="D4606" s="89"/>
      <c r="E4606" s="90"/>
      <c r="F4606" s="91"/>
      <c r="G4606" s="90"/>
      <c r="H4606" s="92"/>
      <c r="I4606" s="87"/>
      <c r="J4606" s="93"/>
      <c r="K4606" s="92"/>
      <c r="L4606" s="72" t="str">
        <f t="shared" si="72"/>
        <v/>
      </c>
      <c r="N4606" s="15"/>
    </row>
    <row r="4607" spans="1:14" s="14" customFormat="1" ht="18" x14ac:dyDescent="0.25">
      <c r="A4607" s="91"/>
      <c r="B4607" s="90"/>
      <c r="C4607" s="88"/>
      <c r="D4607" s="89"/>
      <c r="E4607" s="90"/>
      <c r="F4607" s="91"/>
      <c r="G4607" s="90"/>
      <c r="H4607" s="92"/>
      <c r="I4607" s="87"/>
      <c r="J4607" s="93"/>
      <c r="K4607" s="92"/>
      <c r="L4607" s="72" t="str">
        <f t="shared" si="72"/>
        <v/>
      </c>
      <c r="N4607" s="15"/>
    </row>
    <row r="4608" spans="1:14" s="14" customFormat="1" ht="18" x14ac:dyDescent="0.25">
      <c r="A4608" s="91"/>
      <c r="B4608" s="90"/>
      <c r="C4608" s="88"/>
      <c r="D4608" s="89"/>
      <c r="E4608" s="90"/>
      <c r="F4608" s="91"/>
      <c r="G4608" s="90"/>
      <c r="H4608" s="92"/>
      <c r="I4608" s="87"/>
      <c r="J4608" s="93"/>
      <c r="K4608" s="92"/>
      <c r="L4608" s="72" t="str">
        <f t="shared" si="72"/>
        <v/>
      </c>
      <c r="N4608" s="15"/>
    </row>
    <row r="4609" spans="1:14" s="14" customFormat="1" ht="18" x14ac:dyDescent="0.25">
      <c r="A4609" s="91"/>
      <c r="B4609" s="90"/>
      <c r="C4609" s="88"/>
      <c r="D4609" s="89"/>
      <c r="E4609" s="90"/>
      <c r="F4609" s="91"/>
      <c r="G4609" s="90"/>
      <c r="H4609" s="92"/>
      <c r="I4609" s="87"/>
      <c r="J4609" s="93"/>
      <c r="K4609" s="92"/>
      <c r="L4609" s="72" t="str">
        <f t="shared" si="72"/>
        <v/>
      </c>
      <c r="N4609" s="15"/>
    </row>
    <row r="4610" spans="1:14" s="14" customFormat="1" ht="18" x14ac:dyDescent="0.25">
      <c r="A4610" s="91"/>
      <c r="B4610" s="90"/>
      <c r="C4610" s="88"/>
      <c r="D4610" s="89"/>
      <c r="E4610" s="90"/>
      <c r="F4610" s="91"/>
      <c r="G4610" s="90"/>
      <c r="H4610" s="92"/>
      <c r="I4610" s="87"/>
      <c r="J4610" s="93"/>
      <c r="K4610" s="92"/>
      <c r="L4610" s="72" t="str">
        <f t="shared" si="72"/>
        <v/>
      </c>
      <c r="N4610" s="15"/>
    </row>
    <row r="4611" spans="1:14" s="14" customFormat="1" ht="18" x14ac:dyDescent="0.25">
      <c r="A4611" s="91"/>
      <c r="B4611" s="90"/>
      <c r="C4611" s="88"/>
      <c r="D4611" s="89"/>
      <c r="E4611" s="90"/>
      <c r="F4611" s="91"/>
      <c r="G4611" s="90"/>
      <c r="H4611" s="92"/>
      <c r="I4611" s="87"/>
      <c r="J4611" s="93"/>
      <c r="K4611" s="92"/>
      <c r="L4611" s="72" t="str">
        <f t="shared" si="72"/>
        <v/>
      </c>
      <c r="N4611" s="15"/>
    </row>
    <row r="4612" spans="1:14" s="14" customFormat="1" ht="18" x14ac:dyDescent="0.25">
      <c r="A4612" s="91"/>
      <c r="B4612" s="90"/>
      <c r="C4612" s="88"/>
      <c r="D4612" s="89"/>
      <c r="E4612" s="90"/>
      <c r="F4612" s="91"/>
      <c r="G4612" s="90"/>
      <c r="H4612" s="92"/>
      <c r="I4612" s="87"/>
      <c r="J4612" s="93"/>
      <c r="K4612" s="92"/>
      <c r="L4612" s="72" t="str">
        <f t="shared" si="72"/>
        <v/>
      </c>
      <c r="N4612" s="15"/>
    </row>
    <row r="4613" spans="1:14" s="14" customFormat="1" ht="18" x14ac:dyDescent="0.25">
      <c r="A4613" s="91"/>
      <c r="B4613" s="90"/>
      <c r="C4613" s="88"/>
      <c r="D4613" s="89"/>
      <c r="E4613" s="90"/>
      <c r="F4613" s="91"/>
      <c r="G4613" s="90"/>
      <c r="H4613" s="92"/>
      <c r="I4613" s="87"/>
      <c r="J4613" s="93"/>
      <c r="K4613" s="92"/>
      <c r="L4613" s="72" t="str">
        <f t="shared" si="72"/>
        <v/>
      </c>
      <c r="N4613" s="15"/>
    </row>
    <row r="4614" spans="1:14" s="14" customFormat="1" ht="18" x14ac:dyDescent="0.25">
      <c r="A4614" s="91"/>
      <c r="B4614" s="90"/>
      <c r="C4614" s="88"/>
      <c r="D4614" s="89"/>
      <c r="E4614" s="90"/>
      <c r="F4614" s="91"/>
      <c r="G4614" s="90"/>
      <c r="H4614" s="92"/>
      <c r="I4614" s="87"/>
      <c r="J4614" s="93"/>
      <c r="K4614" s="92"/>
      <c r="L4614" s="72" t="str">
        <f t="shared" si="72"/>
        <v/>
      </c>
      <c r="N4614" s="15"/>
    </row>
    <row r="4615" spans="1:14" s="14" customFormat="1" ht="18" x14ac:dyDescent="0.25">
      <c r="A4615" s="91"/>
      <c r="B4615" s="90"/>
      <c r="C4615" s="88"/>
      <c r="D4615" s="89"/>
      <c r="E4615" s="90"/>
      <c r="F4615" s="91"/>
      <c r="G4615" s="90"/>
      <c r="H4615" s="92"/>
      <c r="I4615" s="87"/>
      <c r="J4615" s="93"/>
      <c r="K4615" s="92"/>
      <c r="L4615" s="72" t="str">
        <f t="shared" si="72"/>
        <v/>
      </c>
      <c r="N4615" s="15"/>
    </row>
    <row r="4616" spans="1:14" s="14" customFormat="1" ht="18" x14ac:dyDescent="0.25">
      <c r="A4616" s="91"/>
      <c r="B4616" s="90"/>
      <c r="C4616" s="88"/>
      <c r="D4616" s="89"/>
      <c r="E4616" s="90"/>
      <c r="F4616" s="91"/>
      <c r="G4616" s="90"/>
      <c r="H4616" s="92"/>
      <c r="I4616" s="87"/>
      <c r="J4616" s="93"/>
      <c r="K4616" s="92"/>
      <c r="L4616" s="72" t="str">
        <f t="shared" si="72"/>
        <v/>
      </c>
      <c r="N4616" s="15"/>
    </row>
    <row r="4617" spans="1:14" s="14" customFormat="1" ht="18" x14ac:dyDescent="0.25">
      <c r="A4617" s="91"/>
      <c r="B4617" s="90"/>
      <c r="C4617" s="88"/>
      <c r="D4617" s="89"/>
      <c r="E4617" s="90"/>
      <c r="F4617" s="91"/>
      <c r="G4617" s="90"/>
      <c r="H4617" s="92"/>
      <c r="I4617" s="87"/>
      <c r="J4617" s="93"/>
      <c r="K4617" s="92"/>
      <c r="L4617" s="72" t="str">
        <f t="shared" si="72"/>
        <v/>
      </c>
      <c r="N4617" s="15"/>
    </row>
    <row r="4618" spans="1:14" s="14" customFormat="1" ht="18" x14ac:dyDescent="0.25">
      <c r="A4618" s="91"/>
      <c r="B4618" s="90"/>
      <c r="C4618" s="88"/>
      <c r="D4618" s="89"/>
      <c r="E4618" s="90"/>
      <c r="F4618" s="91"/>
      <c r="G4618" s="90"/>
      <c r="H4618" s="92"/>
      <c r="I4618" s="87"/>
      <c r="J4618" s="93"/>
      <c r="K4618" s="92"/>
      <c r="L4618" s="72" t="str">
        <f t="shared" si="72"/>
        <v/>
      </c>
      <c r="N4618" s="15"/>
    </row>
    <row r="4619" spans="1:14" s="14" customFormat="1" ht="18" x14ac:dyDescent="0.25">
      <c r="A4619" s="91"/>
      <c r="B4619" s="90"/>
      <c r="C4619" s="88"/>
      <c r="D4619" s="89"/>
      <c r="E4619" s="90"/>
      <c r="F4619" s="91"/>
      <c r="G4619" s="90"/>
      <c r="H4619" s="92"/>
      <c r="I4619" s="87"/>
      <c r="J4619" s="93"/>
      <c r="K4619" s="92"/>
      <c r="L4619" s="72" t="str">
        <f t="shared" si="72"/>
        <v/>
      </c>
      <c r="N4619" s="15"/>
    </row>
    <row r="4620" spans="1:14" s="14" customFormat="1" ht="18" x14ac:dyDescent="0.25">
      <c r="A4620" s="91"/>
      <c r="B4620" s="90"/>
      <c r="C4620" s="88"/>
      <c r="D4620" s="89"/>
      <c r="E4620" s="90"/>
      <c r="F4620" s="91"/>
      <c r="G4620" s="90"/>
      <c r="H4620" s="92"/>
      <c r="I4620" s="87"/>
      <c r="J4620" s="93"/>
      <c r="K4620" s="92"/>
      <c r="L4620" s="72" t="str">
        <f t="shared" si="72"/>
        <v/>
      </c>
      <c r="N4620" s="15"/>
    </row>
    <row r="4621" spans="1:14" s="14" customFormat="1" ht="18" x14ac:dyDescent="0.25">
      <c r="A4621" s="91"/>
      <c r="B4621" s="90"/>
      <c r="C4621" s="88"/>
      <c r="D4621" s="89"/>
      <c r="E4621" s="90"/>
      <c r="F4621" s="91"/>
      <c r="G4621" s="90"/>
      <c r="H4621" s="92"/>
      <c r="I4621" s="87"/>
      <c r="J4621" s="93"/>
      <c r="K4621" s="92"/>
      <c r="L4621" s="72" t="str">
        <f t="shared" si="72"/>
        <v/>
      </c>
      <c r="N4621" s="15"/>
    </row>
    <row r="4622" spans="1:14" s="14" customFormat="1" ht="18" x14ac:dyDescent="0.25">
      <c r="A4622" s="91"/>
      <c r="B4622" s="90"/>
      <c r="C4622" s="88"/>
      <c r="D4622" s="89"/>
      <c r="E4622" s="90"/>
      <c r="F4622" s="91"/>
      <c r="G4622" s="90"/>
      <c r="H4622" s="92"/>
      <c r="I4622" s="87"/>
      <c r="J4622" s="93"/>
      <c r="K4622" s="92"/>
      <c r="L4622" s="72" t="str">
        <f t="shared" si="72"/>
        <v/>
      </c>
      <c r="N4622" s="15"/>
    </row>
    <row r="4623" spans="1:14" s="14" customFormat="1" ht="18" x14ac:dyDescent="0.25">
      <c r="A4623" s="91"/>
      <c r="B4623" s="90"/>
      <c r="C4623" s="88"/>
      <c r="D4623" s="89"/>
      <c r="E4623" s="90"/>
      <c r="F4623" s="91"/>
      <c r="G4623" s="90"/>
      <c r="H4623" s="92"/>
      <c r="I4623" s="87"/>
      <c r="J4623" s="93"/>
      <c r="K4623" s="92"/>
      <c r="L4623" s="72" t="str">
        <f t="shared" si="72"/>
        <v/>
      </c>
      <c r="N4623" s="15"/>
    </row>
    <row r="4624" spans="1:14" s="14" customFormat="1" ht="18" x14ac:dyDescent="0.25">
      <c r="A4624" s="91"/>
      <c r="B4624" s="90"/>
      <c r="C4624" s="88"/>
      <c r="D4624" s="89"/>
      <c r="E4624" s="90"/>
      <c r="F4624" s="91"/>
      <c r="G4624" s="90"/>
      <c r="H4624" s="92"/>
      <c r="I4624" s="87"/>
      <c r="J4624" s="93"/>
      <c r="K4624" s="92"/>
      <c r="L4624" s="72" t="str">
        <f t="shared" si="72"/>
        <v/>
      </c>
      <c r="N4624" s="15"/>
    </row>
    <row r="4625" spans="1:14" s="14" customFormat="1" ht="18" x14ac:dyDescent="0.25">
      <c r="A4625" s="91"/>
      <c r="B4625" s="90"/>
      <c r="C4625" s="88"/>
      <c r="D4625" s="89"/>
      <c r="E4625" s="90"/>
      <c r="F4625" s="91"/>
      <c r="G4625" s="90"/>
      <c r="H4625" s="92"/>
      <c r="I4625" s="87"/>
      <c r="J4625" s="93"/>
      <c r="K4625" s="92"/>
      <c r="L4625" s="72" t="str">
        <f t="shared" si="72"/>
        <v/>
      </c>
      <c r="N4625" s="15"/>
    </row>
    <row r="4626" spans="1:14" s="14" customFormat="1" ht="18" x14ac:dyDescent="0.25">
      <c r="A4626" s="91"/>
      <c r="B4626" s="90"/>
      <c r="C4626" s="88"/>
      <c r="D4626" s="89"/>
      <c r="E4626" s="90"/>
      <c r="F4626" s="91"/>
      <c r="G4626" s="90"/>
      <c r="H4626" s="92"/>
      <c r="I4626" s="87"/>
      <c r="J4626" s="93"/>
      <c r="K4626" s="92"/>
      <c r="L4626" s="72" t="str">
        <f t="shared" si="72"/>
        <v/>
      </c>
      <c r="N4626" s="15"/>
    </row>
    <row r="4627" spans="1:14" s="14" customFormat="1" ht="18" x14ac:dyDescent="0.25">
      <c r="A4627" s="91"/>
      <c r="B4627" s="90"/>
      <c r="C4627" s="88"/>
      <c r="D4627" s="89"/>
      <c r="E4627" s="90"/>
      <c r="F4627" s="91"/>
      <c r="G4627" s="90"/>
      <c r="H4627" s="92"/>
      <c r="I4627" s="87"/>
      <c r="J4627" s="93"/>
      <c r="K4627" s="92"/>
      <c r="L4627" s="72" t="str">
        <f t="shared" si="72"/>
        <v/>
      </c>
      <c r="N4627" s="15"/>
    </row>
    <row r="4628" spans="1:14" s="14" customFormat="1" ht="18" x14ac:dyDescent="0.25">
      <c r="A4628" s="91"/>
      <c r="B4628" s="90"/>
      <c r="C4628" s="88"/>
      <c r="D4628" s="89"/>
      <c r="E4628" s="90"/>
      <c r="F4628" s="91"/>
      <c r="G4628" s="90"/>
      <c r="H4628" s="92"/>
      <c r="I4628" s="87"/>
      <c r="J4628" s="93"/>
      <c r="K4628" s="92"/>
      <c r="L4628" s="72" t="str">
        <f t="shared" si="72"/>
        <v/>
      </c>
      <c r="N4628" s="15"/>
    </row>
    <row r="4629" spans="1:14" s="14" customFormat="1" ht="18" x14ac:dyDescent="0.25">
      <c r="A4629" s="91"/>
      <c r="B4629" s="90"/>
      <c r="C4629" s="88"/>
      <c r="D4629" s="89"/>
      <c r="E4629" s="90"/>
      <c r="F4629" s="91"/>
      <c r="G4629" s="90"/>
      <c r="H4629" s="92"/>
      <c r="I4629" s="87"/>
      <c r="J4629" s="93"/>
      <c r="K4629" s="92"/>
      <c r="L4629" s="72" t="str">
        <f t="shared" si="72"/>
        <v/>
      </c>
      <c r="N4629" s="15"/>
    </row>
    <row r="4630" spans="1:14" s="14" customFormat="1" ht="18" x14ac:dyDescent="0.25">
      <c r="A4630" s="91"/>
      <c r="B4630" s="90"/>
      <c r="C4630" s="88"/>
      <c r="D4630" s="89"/>
      <c r="E4630" s="90"/>
      <c r="F4630" s="91"/>
      <c r="G4630" s="90"/>
      <c r="H4630" s="92"/>
      <c r="I4630" s="87"/>
      <c r="J4630" s="93"/>
      <c r="K4630" s="92"/>
      <c r="L4630" s="72" t="str">
        <f t="shared" si="72"/>
        <v/>
      </c>
      <c r="N4630" s="15"/>
    </row>
    <row r="4631" spans="1:14" s="14" customFormat="1" ht="18" x14ac:dyDescent="0.25">
      <c r="A4631" s="91"/>
      <c r="B4631" s="90"/>
      <c r="C4631" s="88"/>
      <c r="D4631" s="89"/>
      <c r="E4631" s="90"/>
      <c r="F4631" s="91"/>
      <c r="G4631" s="90"/>
      <c r="H4631" s="92"/>
      <c r="I4631" s="87"/>
      <c r="J4631" s="93"/>
      <c r="K4631" s="92"/>
      <c r="L4631" s="72" t="str">
        <f t="shared" si="72"/>
        <v/>
      </c>
      <c r="N4631" s="15"/>
    </row>
    <row r="4632" spans="1:14" s="14" customFormat="1" ht="18" x14ac:dyDescent="0.25">
      <c r="A4632" s="91"/>
      <c r="B4632" s="90"/>
      <c r="C4632" s="88"/>
      <c r="D4632" s="89"/>
      <c r="E4632" s="90"/>
      <c r="F4632" s="91"/>
      <c r="G4632" s="90"/>
      <c r="H4632" s="92"/>
      <c r="I4632" s="87"/>
      <c r="J4632" s="93"/>
      <c r="K4632" s="92"/>
      <c r="L4632" s="72" t="str">
        <f t="shared" si="72"/>
        <v/>
      </c>
      <c r="N4632" s="15"/>
    </row>
    <row r="4633" spans="1:14" s="14" customFormat="1" ht="18" x14ac:dyDescent="0.25">
      <c r="A4633" s="91"/>
      <c r="B4633" s="90"/>
      <c r="C4633" s="88"/>
      <c r="D4633" s="89"/>
      <c r="E4633" s="90"/>
      <c r="F4633" s="91"/>
      <c r="G4633" s="90"/>
      <c r="H4633" s="92"/>
      <c r="I4633" s="87"/>
      <c r="J4633" s="93"/>
      <c r="K4633" s="92"/>
      <c r="L4633" s="72" t="str">
        <f t="shared" si="72"/>
        <v/>
      </c>
      <c r="N4633" s="15"/>
    </row>
    <row r="4634" spans="1:14" s="14" customFormat="1" ht="18" x14ac:dyDescent="0.25">
      <c r="A4634" s="91"/>
      <c r="B4634" s="90"/>
      <c r="C4634" s="88"/>
      <c r="D4634" s="89"/>
      <c r="E4634" s="90"/>
      <c r="F4634" s="91"/>
      <c r="G4634" s="90"/>
      <c r="H4634" s="92"/>
      <c r="I4634" s="87"/>
      <c r="J4634" s="93"/>
      <c r="K4634" s="92"/>
      <c r="L4634" s="72" t="str">
        <f t="shared" si="72"/>
        <v/>
      </c>
      <c r="N4634" s="15"/>
    </row>
    <row r="4635" spans="1:14" s="14" customFormat="1" ht="18" x14ac:dyDescent="0.25">
      <c r="A4635" s="91"/>
      <c r="B4635" s="90"/>
      <c r="C4635" s="88"/>
      <c r="D4635" s="89"/>
      <c r="E4635" s="90"/>
      <c r="F4635" s="91"/>
      <c r="G4635" s="90"/>
      <c r="H4635" s="92"/>
      <c r="I4635" s="87"/>
      <c r="J4635" s="93"/>
      <c r="K4635" s="92"/>
      <c r="L4635" s="72" t="str">
        <f t="shared" si="72"/>
        <v/>
      </c>
      <c r="N4635" s="15"/>
    </row>
    <row r="4636" spans="1:14" s="14" customFormat="1" ht="18" x14ac:dyDescent="0.25">
      <c r="A4636" s="91"/>
      <c r="B4636" s="90"/>
      <c r="C4636" s="88"/>
      <c r="D4636" s="89"/>
      <c r="E4636" s="90"/>
      <c r="F4636" s="91"/>
      <c r="G4636" s="90"/>
      <c r="H4636" s="92"/>
      <c r="I4636" s="87"/>
      <c r="J4636" s="93"/>
      <c r="K4636" s="92"/>
      <c r="L4636" s="72" t="str">
        <f t="shared" si="72"/>
        <v/>
      </c>
      <c r="N4636" s="15"/>
    </row>
    <row r="4637" spans="1:14" s="14" customFormat="1" ht="18" x14ac:dyDescent="0.25">
      <c r="A4637" s="91"/>
      <c r="B4637" s="90"/>
      <c r="C4637" s="88"/>
      <c r="D4637" s="89"/>
      <c r="E4637" s="90"/>
      <c r="F4637" s="91"/>
      <c r="G4637" s="90"/>
      <c r="H4637" s="92"/>
      <c r="I4637" s="87"/>
      <c r="J4637" s="93"/>
      <c r="K4637" s="92"/>
      <c r="L4637" s="72" t="str">
        <f t="shared" si="72"/>
        <v/>
      </c>
      <c r="N4637" s="15"/>
    </row>
    <row r="4638" spans="1:14" s="14" customFormat="1" ht="18" x14ac:dyDescent="0.25">
      <c r="A4638" s="91"/>
      <c r="B4638" s="90"/>
      <c r="C4638" s="88"/>
      <c r="D4638" s="89"/>
      <c r="E4638" s="90"/>
      <c r="F4638" s="91"/>
      <c r="G4638" s="90"/>
      <c r="H4638" s="92"/>
      <c r="I4638" s="87"/>
      <c r="J4638" s="93"/>
      <c r="K4638" s="92"/>
      <c r="L4638" s="72" t="str">
        <f t="shared" ref="L4638:L4701" si="73">IF(ISBLANK(H4638),"",IF(H4638=K4638,"Payé","Impayé"))</f>
        <v/>
      </c>
      <c r="N4638" s="15"/>
    </row>
    <row r="4639" spans="1:14" s="14" customFormat="1" ht="18" x14ac:dyDescent="0.25">
      <c r="A4639" s="91"/>
      <c r="B4639" s="90"/>
      <c r="C4639" s="88"/>
      <c r="D4639" s="89"/>
      <c r="E4639" s="90"/>
      <c r="F4639" s="91"/>
      <c r="G4639" s="90"/>
      <c r="H4639" s="92"/>
      <c r="I4639" s="87"/>
      <c r="J4639" s="93"/>
      <c r="K4639" s="92"/>
      <c r="L4639" s="72" t="str">
        <f t="shared" si="73"/>
        <v/>
      </c>
      <c r="N4639" s="15"/>
    </row>
    <row r="4640" spans="1:14" s="14" customFormat="1" ht="18" x14ac:dyDescent="0.25">
      <c r="A4640" s="91"/>
      <c r="B4640" s="90"/>
      <c r="C4640" s="88"/>
      <c r="D4640" s="89"/>
      <c r="E4640" s="90"/>
      <c r="F4640" s="91"/>
      <c r="G4640" s="90"/>
      <c r="H4640" s="92"/>
      <c r="I4640" s="87"/>
      <c r="J4640" s="93"/>
      <c r="K4640" s="92"/>
      <c r="L4640" s="72" t="str">
        <f t="shared" si="73"/>
        <v/>
      </c>
      <c r="N4640" s="15"/>
    </row>
    <row r="4641" spans="1:14" s="14" customFormat="1" ht="18" x14ac:dyDescent="0.25">
      <c r="A4641" s="91"/>
      <c r="B4641" s="90"/>
      <c r="C4641" s="88"/>
      <c r="D4641" s="89"/>
      <c r="E4641" s="90"/>
      <c r="F4641" s="91"/>
      <c r="G4641" s="90"/>
      <c r="H4641" s="92"/>
      <c r="I4641" s="87"/>
      <c r="J4641" s="93"/>
      <c r="K4641" s="92"/>
      <c r="L4641" s="72" t="str">
        <f t="shared" si="73"/>
        <v/>
      </c>
      <c r="N4641" s="15"/>
    </row>
    <row r="4642" spans="1:14" s="14" customFormat="1" ht="18" x14ac:dyDescent="0.25">
      <c r="A4642" s="91"/>
      <c r="B4642" s="90"/>
      <c r="C4642" s="88"/>
      <c r="D4642" s="89"/>
      <c r="E4642" s="90"/>
      <c r="F4642" s="91"/>
      <c r="G4642" s="90"/>
      <c r="H4642" s="92"/>
      <c r="I4642" s="87"/>
      <c r="J4642" s="93"/>
      <c r="K4642" s="92"/>
      <c r="L4642" s="72" t="str">
        <f t="shared" si="73"/>
        <v/>
      </c>
      <c r="N4642" s="15"/>
    </row>
    <row r="4643" spans="1:14" s="14" customFormat="1" ht="18" x14ac:dyDescent="0.25">
      <c r="A4643" s="91"/>
      <c r="B4643" s="90"/>
      <c r="C4643" s="88"/>
      <c r="D4643" s="89"/>
      <c r="E4643" s="90"/>
      <c r="F4643" s="91"/>
      <c r="G4643" s="90"/>
      <c r="H4643" s="92"/>
      <c r="I4643" s="87"/>
      <c r="J4643" s="93"/>
      <c r="K4643" s="92"/>
      <c r="L4643" s="72" t="str">
        <f t="shared" si="73"/>
        <v/>
      </c>
      <c r="N4643" s="15"/>
    </row>
    <row r="4644" spans="1:14" s="14" customFormat="1" ht="18" x14ac:dyDescent="0.25">
      <c r="A4644" s="91"/>
      <c r="B4644" s="90"/>
      <c r="C4644" s="88"/>
      <c r="D4644" s="89"/>
      <c r="E4644" s="90"/>
      <c r="F4644" s="91"/>
      <c r="G4644" s="90"/>
      <c r="H4644" s="92"/>
      <c r="I4644" s="87"/>
      <c r="J4644" s="93"/>
      <c r="K4644" s="92"/>
      <c r="L4644" s="72" t="str">
        <f t="shared" si="73"/>
        <v/>
      </c>
      <c r="N4644" s="15"/>
    </row>
    <row r="4645" spans="1:14" s="14" customFormat="1" ht="18" x14ac:dyDescent="0.25">
      <c r="A4645" s="91"/>
      <c r="B4645" s="90"/>
      <c r="C4645" s="88"/>
      <c r="D4645" s="89"/>
      <c r="E4645" s="90"/>
      <c r="F4645" s="91"/>
      <c r="G4645" s="90"/>
      <c r="H4645" s="92"/>
      <c r="I4645" s="87"/>
      <c r="J4645" s="93"/>
      <c r="K4645" s="92"/>
      <c r="L4645" s="72" t="str">
        <f t="shared" si="73"/>
        <v/>
      </c>
      <c r="N4645" s="15"/>
    </row>
    <row r="4646" spans="1:14" s="14" customFormat="1" ht="18" x14ac:dyDescent="0.25">
      <c r="A4646" s="91"/>
      <c r="B4646" s="90"/>
      <c r="C4646" s="88"/>
      <c r="D4646" s="89"/>
      <c r="E4646" s="90"/>
      <c r="F4646" s="91"/>
      <c r="G4646" s="90"/>
      <c r="H4646" s="92"/>
      <c r="I4646" s="87"/>
      <c r="J4646" s="93"/>
      <c r="K4646" s="92"/>
      <c r="L4646" s="72" t="str">
        <f t="shared" si="73"/>
        <v/>
      </c>
      <c r="N4646" s="15"/>
    </row>
    <row r="4647" spans="1:14" s="14" customFormat="1" ht="18" x14ac:dyDescent="0.25">
      <c r="A4647" s="91"/>
      <c r="B4647" s="90"/>
      <c r="C4647" s="88"/>
      <c r="D4647" s="89"/>
      <c r="E4647" s="90"/>
      <c r="F4647" s="91"/>
      <c r="G4647" s="90"/>
      <c r="H4647" s="92"/>
      <c r="I4647" s="87"/>
      <c r="J4647" s="93"/>
      <c r="K4647" s="92"/>
      <c r="L4647" s="72" t="str">
        <f t="shared" si="73"/>
        <v/>
      </c>
      <c r="N4647" s="15"/>
    </row>
    <row r="4648" spans="1:14" s="14" customFormat="1" ht="18" x14ac:dyDescent="0.25">
      <c r="A4648" s="91"/>
      <c r="B4648" s="90"/>
      <c r="C4648" s="88"/>
      <c r="D4648" s="89"/>
      <c r="E4648" s="90"/>
      <c r="F4648" s="91"/>
      <c r="G4648" s="90"/>
      <c r="H4648" s="92"/>
      <c r="I4648" s="87"/>
      <c r="J4648" s="93"/>
      <c r="K4648" s="92"/>
      <c r="L4648" s="72" t="str">
        <f t="shared" si="73"/>
        <v/>
      </c>
      <c r="N4648" s="15"/>
    </row>
    <row r="4649" spans="1:14" s="14" customFormat="1" ht="18" x14ac:dyDescent="0.25">
      <c r="A4649" s="91"/>
      <c r="B4649" s="90"/>
      <c r="C4649" s="88"/>
      <c r="D4649" s="89"/>
      <c r="E4649" s="90"/>
      <c r="F4649" s="91"/>
      <c r="G4649" s="90"/>
      <c r="H4649" s="92"/>
      <c r="I4649" s="87"/>
      <c r="J4649" s="93"/>
      <c r="K4649" s="92"/>
      <c r="L4649" s="72" t="str">
        <f t="shared" si="73"/>
        <v/>
      </c>
      <c r="N4649" s="15"/>
    </row>
    <row r="4650" spans="1:14" s="14" customFormat="1" ht="18" x14ac:dyDescent="0.25">
      <c r="A4650" s="91"/>
      <c r="B4650" s="90"/>
      <c r="C4650" s="88"/>
      <c r="D4650" s="89"/>
      <c r="E4650" s="90"/>
      <c r="F4650" s="91"/>
      <c r="G4650" s="90"/>
      <c r="H4650" s="92"/>
      <c r="I4650" s="87"/>
      <c r="J4650" s="93"/>
      <c r="K4650" s="92"/>
      <c r="L4650" s="72" t="str">
        <f t="shared" si="73"/>
        <v/>
      </c>
      <c r="N4650" s="15"/>
    </row>
    <row r="4651" spans="1:14" s="14" customFormat="1" ht="18" x14ac:dyDescent="0.25">
      <c r="A4651" s="91"/>
      <c r="B4651" s="90"/>
      <c r="C4651" s="88"/>
      <c r="D4651" s="89"/>
      <c r="E4651" s="90"/>
      <c r="F4651" s="91"/>
      <c r="G4651" s="90"/>
      <c r="H4651" s="92"/>
      <c r="I4651" s="87"/>
      <c r="J4651" s="93"/>
      <c r="K4651" s="92"/>
      <c r="L4651" s="72" t="str">
        <f t="shared" si="73"/>
        <v/>
      </c>
      <c r="N4651" s="15"/>
    </row>
    <row r="4652" spans="1:14" s="14" customFormat="1" ht="18" x14ac:dyDescent="0.25">
      <c r="A4652" s="91"/>
      <c r="B4652" s="90"/>
      <c r="C4652" s="88"/>
      <c r="D4652" s="89"/>
      <c r="E4652" s="90"/>
      <c r="F4652" s="91"/>
      <c r="G4652" s="90"/>
      <c r="H4652" s="92"/>
      <c r="I4652" s="87"/>
      <c r="J4652" s="93"/>
      <c r="K4652" s="92"/>
      <c r="L4652" s="72" t="str">
        <f t="shared" si="73"/>
        <v/>
      </c>
      <c r="N4652" s="15"/>
    </row>
    <row r="4653" spans="1:14" s="14" customFormat="1" ht="18" x14ac:dyDescent="0.25">
      <c r="A4653" s="91"/>
      <c r="B4653" s="90"/>
      <c r="C4653" s="88"/>
      <c r="D4653" s="89"/>
      <c r="E4653" s="90"/>
      <c r="F4653" s="91"/>
      <c r="G4653" s="90"/>
      <c r="H4653" s="92"/>
      <c r="I4653" s="87"/>
      <c r="J4653" s="93"/>
      <c r="K4653" s="92"/>
      <c r="L4653" s="72" t="str">
        <f t="shared" si="73"/>
        <v/>
      </c>
      <c r="N4653" s="15"/>
    </row>
    <row r="4654" spans="1:14" s="14" customFormat="1" ht="18" x14ac:dyDescent="0.25">
      <c r="A4654" s="91"/>
      <c r="B4654" s="90"/>
      <c r="C4654" s="88"/>
      <c r="D4654" s="89"/>
      <c r="E4654" s="90"/>
      <c r="F4654" s="91"/>
      <c r="G4654" s="90"/>
      <c r="H4654" s="92"/>
      <c r="I4654" s="87"/>
      <c r="J4654" s="93"/>
      <c r="K4654" s="92"/>
      <c r="L4654" s="72" t="str">
        <f t="shared" si="73"/>
        <v/>
      </c>
      <c r="N4654" s="15"/>
    </row>
    <row r="4655" spans="1:14" s="14" customFormat="1" ht="18" x14ac:dyDescent="0.25">
      <c r="A4655" s="91"/>
      <c r="B4655" s="90"/>
      <c r="C4655" s="88"/>
      <c r="D4655" s="89"/>
      <c r="E4655" s="90"/>
      <c r="F4655" s="91"/>
      <c r="G4655" s="90"/>
      <c r="H4655" s="92"/>
      <c r="I4655" s="87"/>
      <c r="J4655" s="93"/>
      <c r="K4655" s="92"/>
      <c r="L4655" s="72" t="str">
        <f t="shared" si="73"/>
        <v/>
      </c>
      <c r="N4655" s="15"/>
    </row>
    <row r="4656" spans="1:14" s="14" customFormat="1" ht="18" x14ac:dyDescent="0.25">
      <c r="A4656" s="91"/>
      <c r="B4656" s="90"/>
      <c r="C4656" s="88"/>
      <c r="D4656" s="89"/>
      <c r="E4656" s="90"/>
      <c r="F4656" s="91"/>
      <c r="G4656" s="90"/>
      <c r="H4656" s="92"/>
      <c r="I4656" s="87"/>
      <c r="J4656" s="93"/>
      <c r="K4656" s="92"/>
      <c r="L4656" s="72" t="str">
        <f t="shared" si="73"/>
        <v/>
      </c>
      <c r="N4656" s="15"/>
    </row>
    <row r="4657" spans="1:14" s="14" customFormat="1" ht="18" x14ac:dyDescent="0.25">
      <c r="A4657" s="91"/>
      <c r="B4657" s="90"/>
      <c r="C4657" s="88"/>
      <c r="D4657" s="89"/>
      <c r="E4657" s="90"/>
      <c r="F4657" s="91"/>
      <c r="G4657" s="90"/>
      <c r="H4657" s="92"/>
      <c r="I4657" s="87"/>
      <c r="J4657" s="93"/>
      <c r="K4657" s="92"/>
      <c r="L4657" s="72" t="str">
        <f t="shared" si="73"/>
        <v/>
      </c>
      <c r="N4657" s="15"/>
    </row>
    <row r="4658" spans="1:14" s="14" customFormat="1" ht="18" x14ac:dyDescent="0.25">
      <c r="A4658" s="91"/>
      <c r="B4658" s="90"/>
      <c r="C4658" s="88"/>
      <c r="D4658" s="89"/>
      <c r="E4658" s="90"/>
      <c r="F4658" s="91"/>
      <c r="G4658" s="90"/>
      <c r="H4658" s="92"/>
      <c r="I4658" s="87"/>
      <c r="J4658" s="93"/>
      <c r="K4658" s="92"/>
      <c r="L4658" s="72" t="str">
        <f t="shared" si="73"/>
        <v/>
      </c>
      <c r="N4658" s="15"/>
    </row>
    <row r="4659" spans="1:14" s="14" customFormat="1" ht="18" x14ac:dyDescent="0.25">
      <c r="A4659" s="91"/>
      <c r="B4659" s="90"/>
      <c r="C4659" s="88"/>
      <c r="D4659" s="89"/>
      <c r="E4659" s="90"/>
      <c r="F4659" s="91"/>
      <c r="G4659" s="90"/>
      <c r="H4659" s="92"/>
      <c r="I4659" s="87"/>
      <c r="J4659" s="93"/>
      <c r="K4659" s="92"/>
      <c r="L4659" s="72" t="str">
        <f t="shared" si="73"/>
        <v/>
      </c>
      <c r="N4659" s="15"/>
    </row>
    <row r="4660" spans="1:14" s="14" customFormat="1" ht="18" x14ac:dyDescent="0.25">
      <c r="A4660" s="91"/>
      <c r="B4660" s="90"/>
      <c r="C4660" s="88"/>
      <c r="D4660" s="89"/>
      <c r="E4660" s="90"/>
      <c r="F4660" s="91"/>
      <c r="G4660" s="90"/>
      <c r="H4660" s="92"/>
      <c r="I4660" s="87"/>
      <c r="J4660" s="93"/>
      <c r="K4660" s="92"/>
      <c r="L4660" s="72" t="str">
        <f t="shared" si="73"/>
        <v/>
      </c>
      <c r="N4660" s="15"/>
    </row>
    <row r="4661" spans="1:14" s="14" customFormat="1" ht="18" x14ac:dyDescent="0.25">
      <c r="A4661" s="91"/>
      <c r="B4661" s="90"/>
      <c r="C4661" s="88"/>
      <c r="D4661" s="89"/>
      <c r="E4661" s="90"/>
      <c r="F4661" s="91"/>
      <c r="G4661" s="90"/>
      <c r="H4661" s="92"/>
      <c r="I4661" s="87"/>
      <c r="J4661" s="93"/>
      <c r="K4661" s="92"/>
      <c r="L4661" s="72" t="str">
        <f t="shared" si="73"/>
        <v/>
      </c>
      <c r="N4661" s="15"/>
    </row>
    <row r="4662" spans="1:14" s="14" customFormat="1" ht="18" x14ac:dyDescent="0.25">
      <c r="A4662" s="91"/>
      <c r="B4662" s="90"/>
      <c r="C4662" s="88"/>
      <c r="D4662" s="89"/>
      <c r="E4662" s="90"/>
      <c r="F4662" s="91"/>
      <c r="G4662" s="90"/>
      <c r="H4662" s="92"/>
      <c r="I4662" s="87"/>
      <c r="J4662" s="93"/>
      <c r="K4662" s="92"/>
      <c r="L4662" s="72" t="str">
        <f t="shared" si="73"/>
        <v/>
      </c>
      <c r="N4662" s="15"/>
    </row>
    <row r="4663" spans="1:14" s="14" customFormat="1" ht="18" x14ac:dyDescent="0.25">
      <c r="A4663" s="91"/>
      <c r="B4663" s="90"/>
      <c r="C4663" s="88"/>
      <c r="D4663" s="89"/>
      <c r="E4663" s="90"/>
      <c r="F4663" s="91"/>
      <c r="G4663" s="90"/>
      <c r="H4663" s="92"/>
      <c r="I4663" s="87"/>
      <c r="J4663" s="93"/>
      <c r="K4663" s="92"/>
      <c r="L4663" s="72" t="str">
        <f t="shared" si="73"/>
        <v/>
      </c>
      <c r="N4663" s="15"/>
    </row>
    <row r="4664" spans="1:14" s="14" customFormat="1" ht="18" x14ac:dyDescent="0.25">
      <c r="A4664" s="91"/>
      <c r="B4664" s="90"/>
      <c r="C4664" s="88"/>
      <c r="D4664" s="89"/>
      <c r="E4664" s="90"/>
      <c r="F4664" s="91"/>
      <c r="G4664" s="90"/>
      <c r="H4664" s="92"/>
      <c r="I4664" s="87"/>
      <c r="J4664" s="93"/>
      <c r="K4664" s="92"/>
      <c r="L4664" s="72" t="str">
        <f t="shared" si="73"/>
        <v/>
      </c>
      <c r="N4664" s="15"/>
    </row>
    <row r="4665" spans="1:14" s="14" customFormat="1" ht="18" x14ac:dyDescent="0.25">
      <c r="A4665" s="91"/>
      <c r="B4665" s="90"/>
      <c r="C4665" s="88"/>
      <c r="D4665" s="89"/>
      <c r="E4665" s="90"/>
      <c r="F4665" s="91"/>
      <c r="G4665" s="90"/>
      <c r="H4665" s="92"/>
      <c r="I4665" s="87"/>
      <c r="J4665" s="93"/>
      <c r="K4665" s="92"/>
      <c r="L4665" s="72" t="str">
        <f t="shared" si="73"/>
        <v/>
      </c>
      <c r="N4665" s="15"/>
    </row>
    <row r="4666" spans="1:14" s="14" customFormat="1" ht="18" x14ac:dyDescent="0.25">
      <c r="A4666" s="91"/>
      <c r="B4666" s="90"/>
      <c r="C4666" s="88"/>
      <c r="D4666" s="89"/>
      <c r="E4666" s="90"/>
      <c r="F4666" s="91"/>
      <c r="G4666" s="90"/>
      <c r="H4666" s="92"/>
      <c r="I4666" s="87"/>
      <c r="J4666" s="93"/>
      <c r="K4666" s="92"/>
      <c r="L4666" s="72" t="str">
        <f t="shared" si="73"/>
        <v/>
      </c>
      <c r="N4666" s="15"/>
    </row>
    <row r="4667" spans="1:14" s="14" customFormat="1" ht="18" x14ac:dyDescent="0.25">
      <c r="A4667" s="91"/>
      <c r="B4667" s="90"/>
      <c r="C4667" s="88"/>
      <c r="D4667" s="89"/>
      <c r="E4667" s="90"/>
      <c r="F4667" s="91"/>
      <c r="G4667" s="90"/>
      <c r="H4667" s="92"/>
      <c r="I4667" s="87"/>
      <c r="J4667" s="93"/>
      <c r="K4667" s="92"/>
      <c r="L4667" s="72" t="str">
        <f t="shared" si="73"/>
        <v/>
      </c>
      <c r="N4667" s="15"/>
    </row>
    <row r="4668" spans="1:14" s="14" customFormat="1" ht="18" x14ac:dyDescent="0.25">
      <c r="A4668" s="91"/>
      <c r="B4668" s="90"/>
      <c r="C4668" s="88"/>
      <c r="D4668" s="89"/>
      <c r="E4668" s="90"/>
      <c r="F4668" s="91"/>
      <c r="G4668" s="90"/>
      <c r="H4668" s="92"/>
      <c r="I4668" s="87"/>
      <c r="J4668" s="93"/>
      <c r="K4668" s="92"/>
      <c r="L4668" s="72" t="str">
        <f t="shared" si="73"/>
        <v/>
      </c>
      <c r="N4668" s="15"/>
    </row>
    <row r="4669" spans="1:14" s="14" customFormat="1" ht="18" x14ac:dyDescent="0.25">
      <c r="A4669" s="91"/>
      <c r="B4669" s="90"/>
      <c r="C4669" s="88"/>
      <c r="D4669" s="89"/>
      <c r="E4669" s="90"/>
      <c r="F4669" s="91"/>
      <c r="G4669" s="90"/>
      <c r="H4669" s="92"/>
      <c r="I4669" s="87"/>
      <c r="J4669" s="93"/>
      <c r="K4669" s="92"/>
      <c r="L4669" s="72" t="str">
        <f t="shared" si="73"/>
        <v/>
      </c>
      <c r="N4669" s="15"/>
    </row>
    <row r="4670" spans="1:14" s="14" customFormat="1" ht="18" x14ac:dyDescent="0.25">
      <c r="A4670" s="91"/>
      <c r="B4670" s="90"/>
      <c r="C4670" s="88"/>
      <c r="D4670" s="89"/>
      <c r="E4670" s="90"/>
      <c r="F4670" s="91"/>
      <c r="G4670" s="90"/>
      <c r="H4670" s="92"/>
      <c r="I4670" s="87"/>
      <c r="J4670" s="93"/>
      <c r="K4670" s="92"/>
      <c r="L4670" s="72" t="str">
        <f t="shared" si="73"/>
        <v/>
      </c>
      <c r="N4670" s="15"/>
    </row>
    <row r="4671" spans="1:14" s="14" customFormat="1" ht="18" x14ac:dyDescent="0.25">
      <c r="A4671" s="91"/>
      <c r="B4671" s="90"/>
      <c r="C4671" s="88"/>
      <c r="D4671" s="89"/>
      <c r="E4671" s="90"/>
      <c r="F4671" s="91"/>
      <c r="G4671" s="90"/>
      <c r="H4671" s="92"/>
      <c r="I4671" s="87"/>
      <c r="J4671" s="93"/>
      <c r="K4671" s="92"/>
      <c r="L4671" s="72" t="str">
        <f t="shared" si="73"/>
        <v/>
      </c>
      <c r="N4671" s="15"/>
    </row>
    <row r="4672" spans="1:14" s="14" customFormat="1" ht="18" x14ac:dyDescent="0.25">
      <c r="A4672" s="91"/>
      <c r="B4672" s="90"/>
      <c r="C4672" s="88"/>
      <c r="D4672" s="89"/>
      <c r="E4672" s="90"/>
      <c r="F4672" s="91"/>
      <c r="G4672" s="90"/>
      <c r="H4672" s="92"/>
      <c r="I4672" s="87"/>
      <c r="J4672" s="93"/>
      <c r="K4672" s="92"/>
      <c r="L4672" s="72" t="str">
        <f t="shared" si="73"/>
        <v/>
      </c>
      <c r="N4672" s="15"/>
    </row>
    <row r="4673" spans="1:14" s="14" customFormat="1" ht="18" x14ac:dyDescent="0.25">
      <c r="A4673" s="91"/>
      <c r="B4673" s="90"/>
      <c r="C4673" s="88"/>
      <c r="D4673" s="89"/>
      <c r="E4673" s="90"/>
      <c r="F4673" s="91"/>
      <c r="G4673" s="90"/>
      <c r="H4673" s="92"/>
      <c r="I4673" s="87"/>
      <c r="J4673" s="93"/>
      <c r="K4673" s="92"/>
      <c r="L4673" s="72" t="str">
        <f t="shared" si="73"/>
        <v/>
      </c>
      <c r="N4673" s="15"/>
    </row>
    <row r="4674" spans="1:14" s="14" customFormat="1" ht="18" x14ac:dyDescent="0.25">
      <c r="A4674" s="91"/>
      <c r="B4674" s="90"/>
      <c r="C4674" s="88"/>
      <c r="D4674" s="89"/>
      <c r="E4674" s="90"/>
      <c r="F4674" s="91"/>
      <c r="G4674" s="90"/>
      <c r="H4674" s="92"/>
      <c r="I4674" s="87"/>
      <c r="J4674" s="93"/>
      <c r="K4674" s="92"/>
      <c r="L4674" s="72" t="str">
        <f t="shared" si="73"/>
        <v/>
      </c>
      <c r="N4674" s="15"/>
    </row>
    <row r="4675" spans="1:14" s="14" customFormat="1" ht="18" x14ac:dyDescent="0.25">
      <c r="A4675" s="91"/>
      <c r="B4675" s="90"/>
      <c r="C4675" s="88"/>
      <c r="D4675" s="89"/>
      <c r="E4675" s="90"/>
      <c r="F4675" s="91"/>
      <c r="G4675" s="90"/>
      <c r="H4675" s="92"/>
      <c r="I4675" s="87"/>
      <c r="J4675" s="93"/>
      <c r="K4675" s="92"/>
      <c r="L4675" s="72" t="str">
        <f t="shared" si="73"/>
        <v/>
      </c>
      <c r="N4675" s="15"/>
    </row>
    <row r="4676" spans="1:14" s="14" customFormat="1" ht="18" x14ac:dyDescent="0.25">
      <c r="A4676" s="91"/>
      <c r="B4676" s="90"/>
      <c r="C4676" s="88"/>
      <c r="D4676" s="89"/>
      <c r="E4676" s="90"/>
      <c r="F4676" s="91"/>
      <c r="G4676" s="90"/>
      <c r="H4676" s="92"/>
      <c r="I4676" s="87"/>
      <c r="J4676" s="93"/>
      <c r="K4676" s="92"/>
      <c r="L4676" s="72" t="str">
        <f t="shared" si="73"/>
        <v/>
      </c>
      <c r="N4676" s="15"/>
    </row>
    <row r="4677" spans="1:14" s="14" customFormat="1" ht="18" x14ac:dyDescent="0.25">
      <c r="A4677" s="91"/>
      <c r="B4677" s="90"/>
      <c r="C4677" s="88"/>
      <c r="D4677" s="89"/>
      <c r="E4677" s="90"/>
      <c r="F4677" s="91"/>
      <c r="G4677" s="90"/>
      <c r="H4677" s="92"/>
      <c r="I4677" s="87"/>
      <c r="J4677" s="93"/>
      <c r="K4677" s="92"/>
      <c r="L4677" s="72" t="str">
        <f t="shared" si="73"/>
        <v/>
      </c>
      <c r="N4677" s="15"/>
    </row>
    <row r="4678" spans="1:14" s="14" customFormat="1" ht="18" x14ac:dyDescent="0.25">
      <c r="A4678" s="91"/>
      <c r="B4678" s="90"/>
      <c r="C4678" s="88"/>
      <c r="D4678" s="89"/>
      <c r="E4678" s="90"/>
      <c r="F4678" s="91"/>
      <c r="G4678" s="90"/>
      <c r="H4678" s="92"/>
      <c r="I4678" s="87"/>
      <c r="J4678" s="93"/>
      <c r="K4678" s="92"/>
      <c r="L4678" s="72" t="str">
        <f t="shared" si="73"/>
        <v/>
      </c>
      <c r="N4678" s="15"/>
    </row>
    <row r="4679" spans="1:14" s="14" customFormat="1" ht="18" x14ac:dyDescent="0.25">
      <c r="A4679" s="91"/>
      <c r="B4679" s="90"/>
      <c r="C4679" s="88"/>
      <c r="D4679" s="89"/>
      <c r="E4679" s="90"/>
      <c r="F4679" s="91"/>
      <c r="G4679" s="90"/>
      <c r="H4679" s="92"/>
      <c r="I4679" s="87"/>
      <c r="J4679" s="93"/>
      <c r="K4679" s="92"/>
      <c r="L4679" s="72" t="str">
        <f t="shared" si="73"/>
        <v/>
      </c>
      <c r="N4679" s="15"/>
    </row>
    <row r="4680" spans="1:14" s="14" customFormat="1" ht="18" x14ac:dyDescent="0.25">
      <c r="A4680" s="91"/>
      <c r="B4680" s="90"/>
      <c r="C4680" s="88"/>
      <c r="D4680" s="89"/>
      <c r="E4680" s="90"/>
      <c r="F4680" s="91"/>
      <c r="G4680" s="90"/>
      <c r="H4680" s="92"/>
      <c r="I4680" s="87"/>
      <c r="J4680" s="93"/>
      <c r="K4680" s="92"/>
      <c r="L4680" s="72" t="str">
        <f t="shared" si="73"/>
        <v/>
      </c>
      <c r="N4680" s="15"/>
    </row>
    <row r="4681" spans="1:14" s="14" customFormat="1" ht="18" x14ac:dyDescent="0.25">
      <c r="A4681" s="91"/>
      <c r="B4681" s="90"/>
      <c r="C4681" s="88"/>
      <c r="D4681" s="89"/>
      <c r="E4681" s="90"/>
      <c r="F4681" s="91"/>
      <c r="G4681" s="90"/>
      <c r="H4681" s="92"/>
      <c r="I4681" s="87"/>
      <c r="J4681" s="93"/>
      <c r="K4681" s="92"/>
      <c r="L4681" s="72" t="str">
        <f t="shared" si="73"/>
        <v/>
      </c>
      <c r="N4681" s="15"/>
    </row>
    <row r="4682" spans="1:14" s="14" customFormat="1" ht="18" x14ac:dyDescent="0.25">
      <c r="A4682" s="91"/>
      <c r="B4682" s="90"/>
      <c r="C4682" s="88"/>
      <c r="D4682" s="89"/>
      <c r="E4682" s="90"/>
      <c r="F4682" s="91"/>
      <c r="G4682" s="90"/>
      <c r="H4682" s="92"/>
      <c r="I4682" s="87"/>
      <c r="J4682" s="93"/>
      <c r="K4682" s="92"/>
      <c r="L4682" s="72" t="str">
        <f t="shared" si="73"/>
        <v/>
      </c>
      <c r="N4682" s="15"/>
    </row>
    <row r="4683" spans="1:14" s="14" customFormat="1" ht="18" x14ac:dyDescent="0.25">
      <c r="A4683" s="91"/>
      <c r="B4683" s="90"/>
      <c r="C4683" s="88"/>
      <c r="D4683" s="89"/>
      <c r="E4683" s="90"/>
      <c r="F4683" s="91"/>
      <c r="G4683" s="90"/>
      <c r="H4683" s="92"/>
      <c r="I4683" s="87"/>
      <c r="J4683" s="93"/>
      <c r="K4683" s="92"/>
      <c r="L4683" s="72" t="str">
        <f t="shared" si="73"/>
        <v/>
      </c>
      <c r="N4683" s="15"/>
    </row>
    <row r="4684" spans="1:14" s="14" customFormat="1" ht="18" x14ac:dyDescent="0.25">
      <c r="A4684" s="91"/>
      <c r="B4684" s="90"/>
      <c r="C4684" s="88"/>
      <c r="D4684" s="89"/>
      <c r="E4684" s="90"/>
      <c r="F4684" s="91"/>
      <c r="G4684" s="90"/>
      <c r="H4684" s="92"/>
      <c r="I4684" s="87"/>
      <c r="J4684" s="93"/>
      <c r="K4684" s="92"/>
      <c r="L4684" s="72" t="str">
        <f t="shared" si="73"/>
        <v/>
      </c>
      <c r="N4684" s="15"/>
    </row>
    <row r="4685" spans="1:14" s="14" customFormat="1" ht="18" x14ac:dyDescent="0.25">
      <c r="A4685" s="91"/>
      <c r="B4685" s="90"/>
      <c r="C4685" s="88"/>
      <c r="D4685" s="89"/>
      <c r="E4685" s="90"/>
      <c r="F4685" s="91"/>
      <c r="G4685" s="90"/>
      <c r="H4685" s="92"/>
      <c r="I4685" s="87"/>
      <c r="J4685" s="93"/>
      <c r="K4685" s="92"/>
      <c r="L4685" s="72" t="str">
        <f t="shared" si="73"/>
        <v/>
      </c>
      <c r="N4685" s="15"/>
    </row>
    <row r="4686" spans="1:14" s="14" customFormat="1" ht="18" x14ac:dyDescent="0.25">
      <c r="A4686" s="91"/>
      <c r="B4686" s="90"/>
      <c r="C4686" s="88"/>
      <c r="D4686" s="89"/>
      <c r="E4686" s="90"/>
      <c r="F4686" s="91"/>
      <c r="G4686" s="90"/>
      <c r="H4686" s="92"/>
      <c r="I4686" s="87"/>
      <c r="J4686" s="93"/>
      <c r="K4686" s="92"/>
      <c r="L4686" s="72" t="str">
        <f t="shared" si="73"/>
        <v/>
      </c>
      <c r="N4686" s="15"/>
    </row>
    <row r="4687" spans="1:14" s="14" customFormat="1" ht="18" x14ac:dyDescent="0.25">
      <c r="A4687" s="91"/>
      <c r="B4687" s="90"/>
      <c r="C4687" s="88"/>
      <c r="D4687" s="89"/>
      <c r="E4687" s="90"/>
      <c r="F4687" s="91"/>
      <c r="G4687" s="90"/>
      <c r="H4687" s="92"/>
      <c r="I4687" s="87"/>
      <c r="J4687" s="93"/>
      <c r="K4687" s="92"/>
      <c r="L4687" s="72" t="str">
        <f t="shared" si="73"/>
        <v/>
      </c>
      <c r="N4687" s="15"/>
    </row>
    <row r="4688" spans="1:14" s="14" customFormat="1" ht="18" x14ac:dyDescent="0.25">
      <c r="A4688" s="91"/>
      <c r="B4688" s="90"/>
      <c r="C4688" s="88"/>
      <c r="D4688" s="89"/>
      <c r="E4688" s="90"/>
      <c r="F4688" s="91"/>
      <c r="G4688" s="90"/>
      <c r="H4688" s="92"/>
      <c r="I4688" s="87"/>
      <c r="J4688" s="93"/>
      <c r="K4688" s="92"/>
      <c r="L4688" s="72" t="str">
        <f t="shared" si="73"/>
        <v/>
      </c>
      <c r="N4688" s="15"/>
    </row>
    <row r="4689" spans="1:14" s="14" customFormat="1" ht="18" x14ac:dyDescent="0.25">
      <c r="A4689" s="91"/>
      <c r="B4689" s="90"/>
      <c r="C4689" s="88"/>
      <c r="D4689" s="89"/>
      <c r="E4689" s="90"/>
      <c r="F4689" s="91"/>
      <c r="G4689" s="90"/>
      <c r="H4689" s="92"/>
      <c r="I4689" s="87"/>
      <c r="J4689" s="93"/>
      <c r="K4689" s="92"/>
      <c r="L4689" s="72" t="str">
        <f t="shared" si="73"/>
        <v/>
      </c>
      <c r="N4689" s="15"/>
    </row>
    <row r="4690" spans="1:14" s="14" customFormat="1" ht="18" x14ac:dyDescent="0.25">
      <c r="A4690" s="91"/>
      <c r="B4690" s="90"/>
      <c r="C4690" s="88"/>
      <c r="D4690" s="89"/>
      <c r="E4690" s="90"/>
      <c r="F4690" s="91"/>
      <c r="G4690" s="90"/>
      <c r="H4690" s="92"/>
      <c r="I4690" s="87"/>
      <c r="J4690" s="93"/>
      <c r="K4690" s="92"/>
      <c r="L4690" s="72" t="str">
        <f t="shared" si="73"/>
        <v/>
      </c>
      <c r="N4690" s="15"/>
    </row>
    <row r="4691" spans="1:14" s="14" customFormat="1" ht="18" x14ac:dyDescent="0.25">
      <c r="A4691" s="91"/>
      <c r="B4691" s="90"/>
      <c r="C4691" s="88"/>
      <c r="D4691" s="89"/>
      <c r="E4691" s="90"/>
      <c r="F4691" s="91"/>
      <c r="G4691" s="90"/>
      <c r="H4691" s="92"/>
      <c r="I4691" s="87"/>
      <c r="J4691" s="93"/>
      <c r="K4691" s="92"/>
      <c r="L4691" s="72" t="str">
        <f t="shared" si="73"/>
        <v/>
      </c>
      <c r="N4691" s="15"/>
    </row>
    <row r="4692" spans="1:14" s="14" customFormat="1" ht="18" x14ac:dyDescent="0.25">
      <c r="A4692" s="91"/>
      <c r="B4692" s="90"/>
      <c r="C4692" s="88"/>
      <c r="D4692" s="89"/>
      <c r="E4692" s="90"/>
      <c r="F4692" s="91"/>
      <c r="G4692" s="90"/>
      <c r="H4692" s="92"/>
      <c r="I4692" s="87"/>
      <c r="J4692" s="93"/>
      <c r="K4692" s="92"/>
      <c r="L4692" s="72" t="str">
        <f t="shared" si="73"/>
        <v/>
      </c>
      <c r="N4692" s="15"/>
    </row>
    <row r="4693" spans="1:14" s="14" customFormat="1" ht="18" x14ac:dyDescent="0.25">
      <c r="A4693" s="91"/>
      <c r="B4693" s="90"/>
      <c r="C4693" s="88"/>
      <c r="D4693" s="89"/>
      <c r="E4693" s="90"/>
      <c r="F4693" s="91"/>
      <c r="G4693" s="90"/>
      <c r="H4693" s="92"/>
      <c r="I4693" s="87"/>
      <c r="J4693" s="93"/>
      <c r="K4693" s="92"/>
      <c r="L4693" s="72" t="str">
        <f t="shared" si="73"/>
        <v/>
      </c>
      <c r="N4693" s="15"/>
    </row>
    <row r="4694" spans="1:14" s="14" customFormat="1" ht="18" x14ac:dyDescent="0.25">
      <c r="A4694" s="91"/>
      <c r="B4694" s="90"/>
      <c r="C4694" s="88"/>
      <c r="D4694" s="89"/>
      <c r="E4694" s="90"/>
      <c r="F4694" s="91"/>
      <c r="G4694" s="90"/>
      <c r="H4694" s="92"/>
      <c r="I4694" s="87"/>
      <c r="J4694" s="93"/>
      <c r="K4694" s="92"/>
      <c r="L4694" s="72" t="str">
        <f t="shared" si="73"/>
        <v/>
      </c>
      <c r="N4694" s="15"/>
    </row>
    <row r="4695" spans="1:14" s="14" customFormat="1" ht="18" x14ac:dyDescent="0.25">
      <c r="A4695" s="91"/>
      <c r="B4695" s="90"/>
      <c r="C4695" s="88"/>
      <c r="D4695" s="89"/>
      <c r="E4695" s="90"/>
      <c r="F4695" s="91"/>
      <c r="G4695" s="90"/>
      <c r="H4695" s="92"/>
      <c r="I4695" s="87"/>
      <c r="J4695" s="93"/>
      <c r="K4695" s="92"/>
      <c r="L4695" s="72" t="str">
        <f t="shared" si="73"/>
        <v/>
      </c>
      <c r="N4695" s="15"/>
    </row>
    <row r="4696" spans="1:14" s="14" customFormat="1" ht="18" x14ac:dyDescent="0.25">
      <c r="A4696" s="91"/>
      <c r="B4696" s="90"/>
      <c r="C4696" s="88"/>
      <c r="D4696" s="89"/>
      <c r="E4696" s="90"/>
      <c r="F4696" s="91"/>
      <c r="G4696" s="90"/>
      <c r="H4696" s="92"/>
      <c r="I4696" s="87"/>
      <c r="J4696" s="93"/>
      <c r="K4696" s="92"/>
      <c r="L4696" s="72" t="str">
        <f t="shared" si="73"/>
        <v/>
      </c>
      <c r="N4696" s="15"/>
    </row>
    <row r="4697" spans="1:14" s="14" customFormat="1" ht="18" x14ac:dyDescent="0.25">
      <c r="A4697" s="91"/>
      <c r="B4697" s="90"/>
      <c r="C4697" s="88"/>
      <c r="D4697" s="89"/>
      <c r="E4697" s="90"/>
      <c r="F4697" s="91"/>
      <c r="G4697" s="90"/>
      <c r="H4697" s="92"/>
      <c r="I4697" s="87"/>
      <c r="J4697" s="93"/>
      <c r="K4697" s="92"/>
      <c r="L4697" s="72" t="str">
        <f t="shared" si="73"/>
        <v/>
      </c>
      <c r="N4697" s="15"/>
    </row>
    <row r="4698" spans="1:14" s="14" customFormat="1" ht="18" x14ac:dyDescent="0.25">
      <c r="A4698" s="91"/>
      <c r="B4698" s="90"/>
      <c r="C4698" s="88"/>
      <c r="D4698" s="89"/>
      <c r="E4698" s="90"/>
      <c r="F4698" s="91"/>
      <c r="G4698" s="90"/>
      <c r="H4698" s="92"/>
      <c r="I4698" s="87"/>
      <c r="J4698" s="93"/>
      <c r="K4698" s="92"/>
      <c r="L4698" s="72" t="str">
        <f t="shared" si="73"/>
        <v/>
      </c>
      <c r="N4698" s="15"/>
    </row>
    <row r="4699" spans="1:14" s="14" customFormat="1" ht="18" x14ac:dyDescent="0.25">
      <c r="A4699" s="91"/>
      <c r="B4699" s="90"/>
      <c r="C4699" s="88"/>
      <c r="D4699" s="89"/>
      <c r="E4699" s="90"/>
      <c r="F4699" s="91"/>
      <c r="G4699" s="90"/>
      <c r="H4699" s="92"/>
      <c r="I4699" s="87"/>
      <c r="J4699" s="93"/>
      <c r="K4699" s="92"/>
      <c r="L4699" s="72" t="str">
        <f t="shared" si="73"/>
        <v/>
      </c>
      <c r="N4699" s="15"/>
    </row>
    <row r="4700" spans="1:14" s="14" customFormat="1" ht="18" x14ac:dyDescent="0.25">
      <c r="A4700" s="91"/>
      <c r="B4700" s="90"/>
      <c r="C4700" s="88"/>
      <c r="D4700" s="89"/>
      <c r="E4700" s="90"/>
      <c r="F4700" s="91"/>
      <c r="G4700" s="90"/>
      <c r="H4700" s="92"/>
      <c r="I4700" s="87"/>
      <c r="J4700" s="93"/>
      <c r="K4700" s="92"/>
      <c r="L4700" s="72" t="str">
        <f t="shared" si="73"/>
        <v/>
      </c>
      <c r="N4700" s="15"/>
    </row>
    <row r="4701" spans="1:14" s="14" customFormat="1" ht="18" x14ac:dyDescent="0.25">
      <c r="A4701" s="91"/>
      <c r="B4701" s="90"/>
      <c r="C4701" s="88"/>
      <c r="D4701" s="89"/>
      <c r="E4701" s="90"/>
      <c r="F4701" s="91"/>
      <c r="G4701" s="90"/>
      <c r="H4701" s="92"/>
      <c r="I4701" s="87"/>
      <c r="J4701" s="93"/>
      <c r="K4701" s="92"/>
      <c r="L4701" s="72" t="str">
        <f t="shared" si="73"/>
        <v/>
      </c>
      <c r="N4701" s="15"/>
    </row>
    <row r="4702" spans="1:14" s="14" customFormat="1" ht="18" x14ac:dyDescent="0.25">
      <c r="A4702" s="91"/>
      <c r="B4702" s="90"/>
      <c r="C4702" s="88"/>
      <c r="D4702" s="89"/>
      <c r="E4702" s="90"/>
      <c r="F4702" s="91"/>
      <c r="G4702" s="90"/>
      <c r="H4702" s="92"/>
      <c r="I4702" s="87"/>
      <c r="J4702" s="93"/>
      <c r="K4702" s="92"/>
      <c r="L4702" s="72" t="str">
        <f t="shared" ref="L4702:L4765" si="74">IF(ISBLANK(H4702),"",IF(H4702=K4702,"Payé","Impayé"))</f>
        <v/>
      </c>
      <c r="N4702" s="15"/>
    </row>
    <row r="4703" spans="1:14" s="14" customFormat="1" ht="18" x14ac:dyDescent="0.25">
      <c r="A4703" s="91"/>
      <c r="B4703" s="90"/>
      <c r="C4703" s="88"/>
      <c r="D4703" s="89"/>
      <c r="E4703" s="90"/>
      <c r="F4703" s="91"/>
      <c r="G4703" s="90"/>
      <c r="H4703" s="92"/>
      <c r="I4703" s="87"/>
      <c r="J4703" s="93"/>
      <c r="K4703" s="92"/>
      <c r="L4703" s="72" t="str">
        <f t="shared" si="74"/>
        <v/>
      </c>
      <c r="N4703" s="15"/>
    </row>
    <row r="4704" spans="1:14" s="14" customFormat="1" ht="18" x14ac:dyDescent="0.25">
      <c r="A4704" s="91"/>
      <c r="B4704" s="90"/>
      <c r="C4704" s="88"/>
      <c r="D4704" s="89"/>
      <c r="E4704" s="90"/>
      <c r="F4704" s="91"/>
      <c r="G4704" s="90"/>
      <c r="H4704" s="92"/>
      <c r="I4704" s="87"/>
      <c r="J4704" s="93"/>
      <c r="K4704" s="92"/>
      <c r="L4704" s="72" t="str">
        <f t="shared" si="74"/>
        <v/>
      </c>
      <c r="N4704" s="15"/>
    </row>
    <row r="4705" spans="1:14" s="14" customFormat="1" ht="18" x14ac:dyDescent="0.25">
      <c r="A4705" s="91"/>
      <c r="B4705" s="90"/>
      <c r="C4705" s="88"/>
      <c r="D4705" s="89"/>
      <c r="E4705" s="90"/>
      <c r="F4705" s="91"/>
      <c r="G4705" s="90"/>
      <c r="H4705" s="92"/>
      <c r="I4705" s="87"/>
      <c r="J4705" s="93"/>
      <c r="K4705" s="92"/>
      <c r="L4705" s="72" t="str">
        <f t="shared" si="74"/>
        <v/>
      </c>
      <c r="N4705" s="15"/>
    </row>
    <row r="4706" spans="1:14" s="14" customFormat="1" ht="18" x14ac:dyDescent="0.25">
      <c r="A4706" s="91"/>
      <c r="B4706" s="90"/>
      <c r="C4706" s="88"/>
      <c r="D4706" s="89"/>
      <c r="E4706" s="90"/>
      <c r="F4706" s="91"/>
      <c r="G4706" s="90"/>
      <c r="H4706" s="92"/>
      <c r="I4706" s="87"/>
      <c r="J4706" s="93"/>
      <c r="K4706" s="92"/>
      <c r="L4706" s="72" t="str">
        <f t="shared" si="74"/>
        <v/>
      </c>
      <c r="N4706" s="15"/>
    </row>
    <row r="4707" spans="1:14" s="14" customFormat="1" ht="18" x14ac:dyDescent="0.25">
      <c r="A4707" s="91"/>
      <c r="B4707" s="90"/>
      <c r="C4707" s="88"/>
      <c r="D4707" s="89"/>
      <c r="E4707" s="90"/>
      <c r="F4707" s="91"/>
      <c r="G4707" s="90"/>
      <c r="H4707" s="92"/>
      <c r="I4707" s="87"/>
      <c r="J4707" s="93"/>
      <c r="K4707" s="92"/>
      <c r="L4707" s="72" t="str">
        <f t="shared" si="74"/>
        <v/>
      </c>
      <c r="N4707" s="15"/>
    </row>
    <row r="4708" spans="1:14" s="14" customFormat="1" ht="18" x14ac:dyDescent="0.25">
      <c r="A4708" s="91"/>
      <c r="B4708" s="90"/>
      <c r="C4708" s="88"/>
      <c r="D4708" s="89"/>
      <c r="E4708" s="90"/>
      <c r="F4708" s="91"/>
      <c r="G4708" s="90"/>
      <c r="H4708" s="92"/>
      <c r="I4708" s="87"/>
      <c r="J4708" s="93"/>
      <c r="K4708" s="92"/>
      <c r="L4708" s="72" t="str">
        <f t="shared" si="74"/>
        <v/>
      </c>
      <c r="N4708" s="15"/>
    </row>
    <row r="4709" spans="1:14" s="14" customFormat="1" ht="18" x14ac:dyDescent="0.25">
      <c r="A4709" s="91"/>
      <c r="B4709" s="90"/>
      <c r="C4709" s="88"/>
      <c r="D4709" s="89"/>
      <c r="E4709" s="90"/>
      <c r="F4709" s="91"/>
      <c r="G4709" s="90"/>
      <c r="H4709" s="92"/>
      <c r="I4709" s="87"/>
      <c r="J4709" s="93"/>
      <c r="K4709" s="92"/>
      <c r="L4709" s="72" t="str">
        <f t="shared" si="74"/>
        <v/>
      </c>
      <c r="N4709" s="15"/>
    </row>
    <row r="4710" spans="1:14" s="14" customFormat="1" ht="18" x14ac:dyDescent="0.25">
      <c r="A4710" s="91"/>
      <c r="B4710" s="90"/>
      <c r="C4710" s="88"/>
      <c r="D4710" s="89"/>
      <c r="E4710" s="90"/>
      <c r="F4710" s="91"/>
      <c r="G4710" s="90"/>
      <c r="H4710" s="92"/>
      <c r="I4710" s="87"/>
      <c r="J4710" s="93"/>
      <c r="K4710" s="92"/>
      <c r="L4710" s="72" t="str">
        <f t="shared" si="74"/>
        <v/>
      </c>
      <c r="N4710" s="15"/>
    </row>
    <row r="4711" spans="1:14" s="14" customFormat="1" ht="18" x14ac:dyDescent="0.25">
      <c r="A4711" s="91"/>
      <c r="B4711" s="90"/>
      <c r="C4711" s="88"/>
      <c r="D4711" s="89"/>
      <c r="E4711" s="90"/>
      <c r="F4711" s="91"/>
      <c r="G4711" s="90"/>
      <c r="H4711" s="92"/>
      <c r="I4711" s="87"/>
      <c r="J4711" s="93"/>
      <c r="K4711" s="92"/>
      <c r="L4711" s="72" t="str">
        <f t="shared" si="74"/>
        <v/>
      </c>
      <c r="N4711" s="15"/>
    </row>
    <row r="4712" spans="1:14" s="14" customFormat="1" ht="18" x14ac:dyDescent="0.25">
      <c r="A4712" s="91"/>
      <c r="B4712" s="90"/>
      <c r="C4712" s="88"/>
      <c r="D4712" s="89"/>
      <c r="E4712" s="90"/>
      <c r="F4712" s="91"/>
      <c r="G4712" s="90"/>
      <c r="H4712" s="92"/>
      <c r="I4712" s="87"/>
      <c r="J4712" s="93"/>
      <c r="K4712" s="92"/>
      <c r="L4712" s="72" t="str">
        <f t="shared" si="74"/>
        <v/>
      </c>
      <c r="N4712" s="15"/>
    </row>
    <row r="4713" spans="1:14" s="14" customFormat="1" ht="18" x14ac:dyDescent="0.25">
      <c r="A4713" s="91"/>
      <c r="B4713" s="90"/>
      <c r="C4713" s="88"/>
      <c r="D4713" s="89"/>
      <c r="E4713" s="90"/>
      <c r="F4713" s="91"/>
      <c r="G4713" s="90"/>
      <c r="H4713" s="92"/>
      <c r="I4713" s="87"/>
      <c r="J4713" s="93"/>
      <c r="K4713" s="92"/>
      <c r="L4713" s="72" t="str">
        <f t="shared" si="74"/>
        <v/>
      </c>
      <c r="N4713" s="15"/>
    </row>
    <row r="4714" spans="1:14" s="14" customFormat="1" ht="18" x14ac:dyDescent="0.25">
      <c r="A4714" s="91"/>
      <c r="B4714" s="90"/>
      <c r="C4714" s="88"/>
      <c r="D4714" s="89"/>
      <c r="E4714" s="90"/>
      <c r="F4714" s="91"/>
      <c r="G4714" s="90"/>
      <c r="H4714" s="92"/>
      <c r="I4714" s="87"/>
      <c r="J4714" s="93"/>
      <c r="K4714" s="92"/>
      <c r="L4714" s="72" t="str">
        <f t="shared" si="74"/>
        <v/>
      </c>
      <c r="N4714" s="15"/>
    </row>
    <row r="4715" spans="1:14" s="14" customFormat="1" ht="18" x14ac:dyDescent="0.25">
      <c r="A4715" s="91"/>
      <c r="B4715" s="90"/>
      <c r="C4715" s="88"/>
      <c r="D4715" s="89"/>
      <c r="E4715" s="90"/>
      <c r="F4715" s="91"/>
      <c r="G4715" s="90"/>
      <c r="H4715" s="92"/>
      <c r="I4715" s="87"/>
      <c r="J4715" s="93"/>
      <c r="K4715" s="92"/>
      <c r="L4715" s="72" t="str">
        <f t="shared" si="74"/>
        <v/>
      </c>
      <c r="N4715" s="15"/>
    </row>
    <row r="4716" spans="1:14" s="14" customFormat="1" ht="18" x14ac:dyDescent="0.25">
      <c r="A4716" s="91"/>
      <c r="B4716" s="90"/>
      <c r="C4716" s="88"/>
      <c r="D4716" s="89"/>
      <c r="E4716" s="90"/>
      <c r="F4716" s="91"/>
      <c r="G4716" s="90"/>
      <c r="H4716" s="92"/>
      <c r="I4716" s="87"/>
      <c r="J4716" s="93"/>
      <c r="K4716" s="92"/>
      <c r="L4716" s="72" t="str">
        <f t="shared" si="74"/>
        <v/>
      </c>
      <c r="N4716" s="15"/>
    </row>
    <row r="4717" spans="1:14" s="14" customFormat="1" ht="18" x14ac:dyDescent="0.25">
      <c r="A4717" s="91"/>
      <c r="B4717" s="90"/>
      <c r="C4717" s="88"/>
      <c r="D4717" s="89"/>
      <c r="E4717" s="90"/>
      <c r="F4717" s="91"/>
      <c r="G4717" s="90"/>
      <c r="H4717" s="92"/>
      <c r="I4717" s="87"/>
      <c r="J4717" s="93"/>
      <c r="K4717" s="92"/>
      <c r="L4717" s="72" t="str">
        <f t="shared" si="74"/>
        <v/>
      </c>
      <c r="N4717" s="15"/>
    </row>
    <row r="4718" spans="1:14" s="14" customFormat="1" ht="18" x14ac:dyDescent="0.25">
      <c r="A4718" s="91"/>
      <c r="B4718" s="90"/>
      <c r="C4718" s="88"/>
      <c r="D4718" s="89"/>
      <c r="E4718" s="90"/>
      <c r="F4718" s="91"/>
      <c r="G4718" s="90"/>
      <c r="H4718" s="92"/>
      <c r="I4718" s="87"/>
      <c r="J4718" s="93"/>
      <c r="K4718" s="92"/>
      <c r="L4718" s="72" t="str">
        <f t="shared" si="74"/>
        <v/>
      </c>
      <c r="N4718" s="15"/>
    </row>
    <row r="4719" spans="1:14" s="14" customFormat="1" ht="18" x14ac:dyDescent="0.25">
      <c r="A4719" s="91"/>
      <c r="B4719" s="90"/>
      <c r="C4719" s="88"/>
      <c r="D4719" s="89"/>
      <c r="E4719" s="90"/>
      <c r="F4719" s="91"/>
      <c r="G4719" s="90"/>
      <c r="H4719" s="92"/>
      <c r="I4719" s="87"/>
      <c r="J4719" s="93"/>
      <c r="K4719" s="92"/>
      <c r="L4719" s="72" t="str">
        <f t="shared" si="74"/>
        <v/>
      </c>
      <c r="N4719" s="15"/>
    </row>
    <row r="4720" spans="1:14" s="14" customFormat="1" ht="18" x14ac:dyDescent="0.25">
      <c r="A4720" s="91"/>
      <c r="B4720" s="90"/>
      <c r="C4720" s="88"/>
      <c r="D4720" s="89"/>
      <c r="E4720" s="90"/>
      <c r="F4720" s="91"/>
      <c r="G4720" s="90"/>
      <c r="H4720" s="92"/>
      <c r="I4720" s="87"/>
      <c r="J4720" s="93"/>
      <c r="K4720" s="92"/>
      <c r="L4720" s="72" t="str">
        <f t="shared" si="74"/>
        <v/>
      </c>
      <c r="N4720" s="15"/>
    </row>
    <row r="4721" spans="1:14" s="14" customFormat="1" ht="18" x14ac:dyDescent="0.25">
      <c r="A4721" s="91"/>
      <c r="B4721" s="90"/>
      <c r="C4721" s="88"/>
      <c r="D4721" s="89"/>
      <c r="E4721" s="90"/>
      <c r="F4721" s="91"/>
      <c r="G4721" s="90"/>
      <c r="H4721" s="92"/>
      <c r="I4721" s="87"/>
      <c r="J4721" s="93"/>
      <c r="K4721" s="92"/>
      <c r="L4721" s="72" t="str">
        <f t="shared" si="74"/>
        <v/>
      </c>
      <c r="N4721" s="15"/>
    </row>
    <row r="4722" spans="1:14" s="14" customFormat="1" ht="18" x14ac:dyDescent="0.25">
      <c r="A4722" s="91"/>
      <c r="B4722" s="90"/>
      <c r="C4722" s="88"/>
      <c r="D4722" s="89"/>
      <c r="E4722" s="90"/>
      <c r="F4722" s="91"/>
      <c r="G4722" s="90"/>
      <c r="H4722" s="92"/>
      <c r="I4722" s="87"/>
      <c r="J4722" s="93"/>
      <c r="K4722" s="92"/>
      <c r="L4722" s="72" t="str">
        <f t="shared" si="74"/>
        <v/>
      </c>
      <c r="N4722" s="15"/>
    </row>
    <row r="4723" spans="1:14" s="14" customFormat="1" ht="18" x14ac:dyDescent="0.25">
      <c r="A4723" s="91"/>
      <c r="B4723" s="90"/>
      <c r="C4723" s="88"/>
      <c r="D4723" s="89"/>
      <c r="E4723" s="90"/>
      <c r="F4723" s="91"/>
      <c r="G4723" s="90"/>
      <c r="H4723" s="92"/>
      <c r="I4723" s="87"/>
      <c r="J4723" s="93"/>
      <c r="K4723" s="92"/>
      <c r="L4723" s="72" t="str">
        <f t="shared" si="74"/>
        <v/>
      </c>
      <c r="N4723" s="15"/>
    </row>
    <row r="4724" spans="1:14" s="14" customFormat="1" ht="18" x14ac:dyDescent="0.25">
      <c r="A4724" s="91"/>
      <c r="B4724" s="90"/>
      <c r="C4724" s="88"/>
      <c r="D4724" s="89"/>
      <c r="E4724" s="90"/>
      <c r="F4724" s="91"/>
      <c r="G4724" s="90"/>
      <c r="H4724" s="92"/>
      <c r="I4724" s="87"/>
      <c r="J4724" s="93"/>
      <c r="K4724" s="92"/>
      <c r="L4724" s="72" t="str">
        <f t="shared" si="74"/>
        <v/>
      </c>
      <c r="N4724" s="15"/>
    </row>
    <row r="4725" spans="1:14" s="14" customFormat="1" ht="18" x14ac:dyDescent="0.25">
      <c r="A4725" s="91"/>
      <c r="B4725" s="90"/>
      <c r="C4725" s="88"/>
      <c r="D4725" s="89"/>
      <c r="E4725" s="90"/>
      <c r="F4725" s="91"/>
      <c r="G4725" s="90"/>
      <c r="H4725" s="92"/>
      <c r="I4725" s="87"/>
      <c r="J4725" s="93"/>
      <c r="K4725" s="92"/>
      <c r="L4725" s="72" t="str">
        <f t="shared" si="74"/>
        <v/>
      </c>
      <c r="N4725" s="15"/>
    </row>
    <row r="4726" spans="1:14" s="14" customFormat="1" ht="18" x14ac:dyDescent="0.25">
      <c r="A4726" s="91"/>
      <c r="B4726" s="90"/>
      <c r="C4726" s="88"/>
      <c r="D4726" s="89"/>
      <c r="E4726" s="90"/>
      <c r="F4726" s="91"/>
      <c r="G4726" s="90"/>
      <c r="H4726" s="92"/>
      <c r="I4726" s="87"/>
      <c r="J4726" s="93"/>
      <c r="K4726" s="92"/>
      <c r="L4726" s="72" t="str">
        <f t="shared" si="74"/>
        <v/>
      </c>
      <c r="N4726" s="15"/>
    </row>
    <row r="4727" spans="1:14" s="14" customFormat="1" ht="18" x14ac:dyDescent="0.25">
      <c r="A4727" s="91"/>
      <c r="B4727" s="90"/>
      <c r="C4727" s="88"/>
      <c r="D4727" s="89"/>
      <c r="E4727" s="90"/>
      <c r="F4727" s="91"/>
      <c r="G4727" s="90"/>
      <c r="H4727" s="92"/>
      <c r="I4727" s="87"/>
      <c r="J4727" s="93"/>
      <c r="K4727" s="92"/>
      <c r="L4727" s="72" t="str">
        <f t="shared" si="74"/>
        <v/>
      </c>
      <c r="N4727" s="15"/>
    </row>
    <row r="4728" spans="1:14" s="14" customFormat="1" ht="18" x14ac:dyDescent="0.25">
      <c r="A4728" s="91"/>
      <c r="B4728" s="90"/>
      <c r="C4728" s="88"/>
      <c r="D4728" s="89"/>
      <c r="E4728" s="90"/>
      <c r="F4728" s="91"/>
      <c r="G4728" s="90"/>
      <c r="H4728" s="92"/>
      <c r="I4728" s="87"/>
      <c r="J4728" s="93"/>
      <c r="K4728" s="92"/>
      <c r="L4728" s="72" t="str">
        <f t="shared" si="74"/>
        <v/>
      </c>
      <c r="N4728" s="15"/>
    </row>
    <row r="4729" spans="1:14" s="14" customFormat="1" ht="18" x14ac:dyDescent="0.25">
      <c r="A4729" s="91"/>
      <c r="B4729" s="90"/>
      <c r="C4729" s="88"/>
      <c r="D4729" s="89"/>
      <c r="E4729" s="90"/>
      <c r="F4729" s="91"/>
      <c r="G4729" s="90"/>
      <c r="H4729" s="92"/>
      <c r="I4729" s="87"/>
      <c r="J4729" s="93"/>
      <c r="K4729" s="92"/>
      <c r="L4729" s="72" t="str">
        <f t="shared" si="74"/>
        <v/>
      </c>
      <c r="N4729" s="15"/>
    </row>
    <row r="4730" spans="1:14" s="14" customFormat="1" ht="18" x14ac:dyDescent="0.25">
      <c r="A4730" s="91"/>
      <c r="B4730" s="90"/>
      <c r="C4730" s="88"/>
      <c r="D4730" s="89"/>
      <c r="E4730" s="90"/>
      <c r="F4730" s="91"/>
      <c r="G4730" s="90"/>
      <c r="H4730" s="92"/>
      <c r="I4730" s="87"/>
      <c r="J4730" s="93"/>
      <c r="K4730" s="92"/>
      <c r="L4730" s="72" t="str">
        <f t="shared" si="74"/>
        <v/>
      </c>
      <c r="N4730" s="15"/>
    </row>
    <row r="4731" spans="1:14" s="14" customFormat="1" ht="18" x14ac:dyDescent="0.25">
      <c r="A4731" s="91"/>
      <c r="B4731" s="90"/>
      <c r="C4731" s="88"/>
      <c r="D4731" s="89"/>
      <c r="E4731" s="90"/>
      <c r="F4731" s="91"/>
      <c r="G4731" s="90"/>
      <c r="H4731" s="92"/>
      <c r="I4731" s="87"/>
      <c r="J4731" s="93"/>
      <c r="K4731" s="92"/>
      <c r="L4731" s="72" t="str">
        <f t="shared" si="74"/>
        <v/>
      </c>
      <c r="N4731" s="15"/>
    </row>
    <row r="4732" spans="1:14" s="14" customFormat="1" ht="18" x14ac:dyDescent="0.25">
      <c r="A4732" s="91"/>
      <c r="B4732" s="90"/>
      <c r="C4732" s="88"/>
      <c r="D4732" s="89"/>
      <c r="E4732" s="90"/>
      <c r="F4732" s="91"/>
      <c r="G4732" s="90"/>
      <c r="H4732" s="92"/>
      <c r="I4732" s="87"/>
      <c r="J4732" s="93"/>
      <c r="K4732" s="92"/>
      <c r="L4732" s="72" t="str">
        <f t="shared" si="74"/>
        <v/>
      </c>
      <c r="N4732" s="15"/>
    </row>
    <row r="4733" spans="1:14" s="14" customFormat="1" ht="18" x14ac:dyDescent="0.25">
      <c r="A4733" s="91"/>
      <c r="B4733" s="90"/>
      <c r="C4733" s="88"/>
      <c r="D4733" s="89"/>
      <c r="E4733" s="90"/>
      <c r="F4733" s="91"/>
      <c r="G4733" s="90"/>
      <c r="H4733" s="92"/>
      <c r="I4733" s="87"/>
      <c r="J4733" s="93"/>
      <c r="K4733" s="92"/>
      <c r="L4733" s="72" t="str">
        <f t="shared" si="74"/>
        <v/>
      </c>
      <c r="N4733" s="15"/>
    </row>
    <row r="4734" spans="1:14" s="14" customFormat="1" ht="18" x14ac:dyDescent="0.25">
      <c r="A4734" s="91"/>
      <c r="B4734" s="90"/>
      <c r="C4734" s="88"/>
      <c r="D4734" s="89"/>
      <c r="E4734" s="90"/>
      <c r="F4734" s="91"/>
      <c r="G4734" s="90"/>
      <c r="H4734" s="92"/>
      <c r="I4734" s="87"/>
      <c r="J4734" s="93"/>
      <c r="K4734" s="92"/>
      <c r="L4734" s="72" t="str">
        <f t="shared" si="74"/>
        <v/>
      </c>
      <c r="N4734" s="15"/>
    </row>
    <row r="4735" spans="1:14" s="14" customFormat="1" ht="18" x14ac:dyDescent="0.25">
      <c r="A4735" s="91"/>
      <c r="B4735" s="90"/>
      <c r="C4735" s="88"/>
      <c r="D4735" s="89"/>
      <c r="E4735" s="90"/>
      <c r="F4735" s="91"/>
      <c r="G4735" s="90"/>
      <c r="H4735" s="92"/>
      <c r="I4735" s="87"/>
      <c r="J4735" s="93"/>
      <c r="K4735" s="92"/>
      <c r="L4735" s="72" t="str">
        <f t="shared" si="74"/>
        <v/>
      </c>
      <c r="N4735" s="15"/>
    </row>
    <row r="4736" spans="1:14" s="14" customFormat="1" ht="18" x14ac:dyDescent="0.25">
      <c r="A4736" s="91"/>
      <c r="B4736" s="90"/>
      <c r="C4736" s="88"/>
      <c r="D4736" s="89"/>
      <c r="E4736" s="90"/>
      <c r="F4736" s="91"/>
      <c r="G4736" s="90"/>
      <c r="H4736" s="92"/>
      <c r="I4736" s="87"/>
      <c r="J4736" s="93"/>
      <c r="K4736" s="92"/>
      <c r="L4736" s="72" t="str">
        <f t="shared" si="74"/>
        <v/>
      </c>
      <c r="N4736" s="15"/>
    </row>
    <row r="4737" spans="1:14" s="14" customFormat="1" ht="18" x14ac:dyDescent="0.25">
      <c r="A4737" s="91"/>
      <c r="B4737" s="90"/>
      <c r="C4737" s="88"/>
      <c r="D4737" s="89"/>
      <c r="E4737" s="90"/>
      <c r="F4737" s="91"/>
      <c r="G4737" s="90"/>
      <c r="H4737" s="92"/>
      <c r="I4737" s="87"/>
      <c r="J4737" s="93"/>
      <c r="K4737" s="92"/>
      <c r="L4737" s="72" t="str">
        <f t="shared" si="74"/>
        <v/>
      </c>
      <c r="N4737" s="15"/>
    </row>
    <row r="4738" spans="1:14" s="14" customFormat="1" ht="18" x14ac:dyDescent="0.25">
      <c r="A4738" s="91"/>
      <c r="B4738" s="90"/>
      <c r="C4738" s="88"/>
      <c r="D4738" s="89"/>
      <c r="E4738" s="90"/>
      <c r="F4738" s="91"/>
      <c r="G4738" s="90"/>
      <c r="H4738" s="92"/>
      <c r="I4738" s="87"/>
      <c r="J4738" s="93"/>
      <c r="K4738" s="92"/>
      <c r="L4738" s="72" t="str">
        <f t="shared" si="74"/>
        <v/>
      </c>
      <c r="N4738" s="15"/>
    </row>
    <row r="4739" spans="1:14" s="14" customFormat="1" ht="18" x14ac:dyDescent="0.25">
      <c r="A4739" s="91"/>
      <c r="B4739" s="90"/>
      <c r="C4739" s="88"/>
      <c r="D4739" s="89"/>
      <c r="E4739" s="90"/>
      <c r="F4739" s="91"/>
      <c r="G4739" s="90"/>
      <c r="H4739" s="92"/>
      <c r="I4739" s="87"/>
      <c r="J4739" s="93"/>
      <c r="K4739" s="92"/>
      <c r="L4739" s="72" t="str">
        <f t="shared" si="74"/>
        <v/>
      </c>
      <c r="N4739" s="15"/>
    </row>
    <row r="4740" spans="1:14" s="14" customFormat="1" ht="18" x14ac:dyDescent="0.25">
      <c r="A4740" s="91"/>
      <c r="B4740" s="90"/>
      <c r="C4740" s="88"/>
      <c r="D4740" s="89"/>
      <c r="E4740" s="90"/>
      <c r="F4740" s="91"/>
      <c r="G4740" s="90"/>
      <c r="H4740" s="92"/>
      <c r="I4740" s="87"/>
      <c r="J4740" s="93"/>
      <c r="K4740" s="92"/>
      <c r="L4740" s="72" t="str">
        <f t="shared" si="74"/>
        <v/>
      </c>
      <c r="N4740" s="15"/>
    </row>
    <row r="4741" spans="1:14" s="14" customFormat="1" ht="18" x14ac:dyDescent="0.25">
      <c r="A4741" s="91"/>
      <c r="B4741" s="90"/>
      <c r="C4741" s="88"/>
      <c r="D4741" s="89"/>
      <c r="E4741" s="90"/>
      <c r="F4741" s="91"/>
      <c r="G4741" s="90"/>
      <c r="H4741" s="92"/>
      <c r="I4741" s="87"/>
      <c r="J4741" s="93"/>
      <c r="K4741" s="92"/>
      <c r="L4741" s="72" t="str">
        <f t="shared" si="74"/>
        <v/>
      </c>
      <c r="N4741" s="15"/>
    </row>
    <row r="4742" spans="1:14" s="14" customFormat="1" ht="18" x14ac:dyDescent="0.25">
      <c r="A4742" s="91"/>
      <c r="B4742" s="90"/>
      <c r="C4742" s="88"/>
      <c r="D4742" s="89"/>
      <c r="E4742" s="90"/>
      <c r="F4742" s="91"/>
      <c r="G4742" s="90"/>
      <c r="H4742" s="92"/>
      <c r="I4742" s="87"/>
      <c r="J4742" s="93"/>
      <c r="K4742" s="92"/>
      <c r="L4742" s="72" t="str">
        <f t="shared" si="74"/>
        <v/>
      </c>
      <c r="N4742" s="15"/>
    </row>
    <row r="4743" spans="1:14" s="14" customFormat="1" ht="18" x14ac:dyDescent="0.25">
      <c r="A4743" s="91"/>
      <c r="B4743" s="90"/>
      <c r="C4743" s="88"/>
      <c r="D4743" s="89"/>
      <c r="E4743" s="90"/>
      <c r="F4743" s="91"/>
      <c r="G4743" s="90"/>
      <c r="H4743" s="92"/>
      <c r="I4743" s="87"/>
      <c r="J4743" s="93"/>
      <c r="K4743" s="92"/>
      <c r="L4743" s="72" t="str">
        <f t="shared" si="74"/>
        <v/>
      </c>
      <c r="N4743" s="15"/>
    </row>
    <row r="4744" spans="1:14" s="14" customFormat="1" ht="18" x14ac:dyDescent="0.25">
      <c r="A4744" s="91"/>
      <c r="B4744" s="90"/>
      <c r="C4744" s="88"/>
      <c r="D4744" s="89"/>
      <c r="E4744" s="90"/>
      <c r="F4744" s="91"/>
      <c r="G4744" s="90"/>
      <c r="H4744" s="92"/>
      <c r="I4744" s="87"/>
      <c r="J4744" s="93"/>
      <c r="K4744" s="92"/>
      <c r="L4744" s="72" t="str">
        <f t="shared" si="74"/>
        <v/>
      </c>
      <c r="N4744" s="15"/>
    </row>
    <row r="4745" spans="1:14" s="14" customFormat="1" ht="18" x14ac:dyDescent="0.25">
      <c r="A4745" s="91"/>
      <c r="B4745" s="90"/>
      <c r="C4745" s="88"/>
      <c r="D4745" s="89"/>
      <c r="E4745" s="90"/>
      <c r="F4745" s="91"/>
      <c r="G4745" s="90"/>
      <c r="H4745" s="92"/>
      <c r="I4745" s="87"/>
      <c r="J4745" s="93"/>
      <c r="K4745" s="92"/>
      <c r="L4745" s="72" t="str">
        <f t="shared" si="74"/>
        <v/>
      </c>
      <c r="N4745" s="15"/>
    </row>
    <row r="4746" spans="1:14" s="14" customFormat="1" ht="18" x14ac:dyDescent="0.25">
      <c r="A4746" s="91"/>
      <c r="B4746" s="90"/>
      <c r="C4746" s="88"/>
      <c r="D4746" s="89"/>
      <c r="E4746" s="90"/>
      <c r="F4746" s="91"/>
      <c r="G4746" s="90"/>
      <c r="H4746" s="92"/>
      <c r="I4746" s="87"/>
      <c r="J4746" s="93"/>
      <c r="K4746" s="92"/>
      <c r="L4746" s="72" t="str">
        <f t="shared" si="74"/>
        <v/>
      </c>
      <c r="N4746" s="15"/>
    </row>
    <row r="4747" spans="1:14" s="14" customFormat="1" ht="18" x14ac:dyDescent="0.25">
      <c r="A4747" s="91"/>
      <c r="B4747" s="90"/>
      <c r="C4747" s="88"/>
      <c r="D4747" s="89"/>
      <c r="E4747" s="90"/>
      <c r="F4747" s="91"/>
      <c r="G4747" s="90"/>
      <c r="H4747" s="92"/>
      <c r="I4747" s="87"/>
      <c r="J4747" s="93"/>
      <c r="K4747" s="92"/>
      <c r="L4747" s="72" t="str">
        <f t="shared" si="74"/>
        <v/>
      </c>
      <c r="N4747" s="15"/>
    </row>
    <row r="4748" spans="1:14" s="14" customFormat="1" ht="18" x14ac:dyDescent="0.25">
      <c r="A4748" s="91"/>
      <c r="B4748" s="90"/>
      <c r="C4748" s="88"/>
      <c r="D4748" s="89"/>
      <c r="E4748" s="90"/>
      <c r="F4748" s="91"/>
      <c r="G4748" s="90"/>
      <c r="H4748" s="92"/>
      <c r="I4748" s="87"/>
      <c r="J4748" s="93"/>
      <c r="K4748" s="92"/>
      <c r="L4748" s="72" t="str">
        <f t="shared" si="74"/>
        <v/>
      </c>
      <c r="N4748" s="15"/>
    </row>
    <row r="4749" spans="1:14" s="14" customFormat="1" ht="18" x14ac:dyDescent="0.25">
      <c r="A4749" s="91"/>
      <c r="B4749" s="90"/>
      <c r="C4749" s="88"/>
      <c r="D4749" s="89"/>
      <c r="E4749" s="90"/>
      <c r="F4749" s="91"/>
      <c r="G4749" s="90"/>
      <c r="H4749" s="92"/>
      <c r="I4749" s="87"/>
      <c r="J4749" s="93"/>
      <c r="K4749" s="92"/>
      <c r="L4749" s="72" t="str">
        <f t="shared" si="74"/>
        <v/>
      </c>
      <c r="N4749" s="15"/>
    </row>
    <row r="4750" spans="1:14" s="14" customFormat="1" ht="18" x14ac:dyDescent="0.25">
      <c r="A4750" s="91"/>
      <c r="B4750" s="90"/>
      <c r="C4750" s="88"/>
      <c r="D4750" s="89"/>
      <c r="E4750" s="90"/>
      <c r="F4750" s="91"/>
      <c r="G4750" s="90"/>
      <c r="H4750" s="92"/>
      <c r="I4750" s="87"/>
      <c r="J4750" s="93"/>
      <c r="K4750" s="92"/>
      <c r="L4750" s="72" t="str">
        <f t="shared" si="74"/>
        <v/>
      </c>
      <c r="N4750" s="15"/>
    </row>
    <row r="4751" spans="1:14" s="14" customFormat="1" ht="18" x14ac:dyDescent="0.25">
      <c r="A4751" s="91"/>
      <c r="B4751" s="90"/>
      <c r="C4751" s="88"/>
      <c r="D4751" s="89"/>
      <c r="E4751" s="90"/>
      <c r="F4751" s="91"/>
      <c r="G4751" s="90"/>
      <c r="H4751" s="92"/>
      <c r="I4751" s="87"/>
      <c r="J4751" s="93"/>
      <c r="K4751" s="92"/>
      <c r="L4751" s="72" t="str">
        <f t="shared" si="74"/>
        <v/>
      </c>
      <c r="N4751" s="15"/>
    </row>
    <row r="4752" spans="1:14" s="14" customFormat="1" ht="18" x14ac:dyDescent="0.25">
      <c r="A4752" s="91"/>
      <c r="B4752" s="90"/>
      <c r="C4752" s="88"/>
      <c r="D4752" s="89"/>
      <c r="E4752" s="90"/>
      <c r="F4752" s="91"/>
      <c r="G4752" s="90"/>
      <c r="H4752" s="92"/>
      <c r="I4752" s="87"/>
      <c r="J4752" s="93"/>
      <c r="K4752" s="92"/>
      <c r="L4752" s="72" t="str">
        <f t="shared" si="74"/>
        <v/>
      </c>
      <c r="N4752" s="15"/>
    </row>
    <row r="4753" spans="1:14" s="14" customFormat="1" ht="18" x14ac:dyDescent="0.25">
      <c r="A4753" s="91"/>
      <c r="B4753" s="90"/>
      <c r="C4753" s="88"/>
      <c r="D4753" s="89"/>
      <c r="E4753" s="90"/>
      <c r="F4753" s="91"/>
      <c r="G4753" s="90"/>
      <c r="H4753" s="92"/>
      <c r="I4753" s="87"/>
      <c r="J4753" s="93"/>
      <c r="K4753" s="92"/>
      <c r="L4753" s="72" t="str">
        <f t="shared" si="74"/>
        <v/>
      </c>
      <c r="N4753" s="15"/>
    </row>
    <row r="4754" spans="1:14" s="14" customFormat="1" ht="18" x14ac:dyDescent="0.25">
      <c r="A4754" s="91"/>
      <c r="B4754" s="90"/>
      <c r="C4754" s="88"/>
      <c r="D4754" s="89"/>
      <c r="E4754" s="90"/>
      <c r="F4754" s="91"/>
      <c r="G4754" s="90"/>
      <c r="H4754" s="92"/>
      <c r="I4754" s="87"/>
      <c r="J4754" s="93"/>
      <c r="K4754" s="92"/>
      <c r="L4754" s="72" t="str">
        <f t="shared" si="74"/>
        <v/>
      </c>
      <c r="N4754" s="15"/>
    </row>
    <row r="4755" spans="1:14" s="14" customFormat="1" ht="18" x14ac:dyDescent="0.25">
      <c r="A4755" s="91"/>
      <c r="B4755" s="90"/>
      <c r="C4755" s="88"/>
      <c r="D4755" s="89"/>
      <c r="E4755" s="90"/>
      <c r="F4755" s="91"/>
      <c r="G4755" s="90"/>
      <c r="H4755" s="92"/>
      <c r="I4755" s="87"/>
      <c r="J4755" s="93"/>
      <c r="K4755" s="92"/>
      <c r="L4755" s="72" t="str">
        <f t="shared" si="74"/>
        <v/>
      </c>
      <c r="N4755" s="15"/>
    </row>
    <row r="4756" spans="1:14" s="14" customFormat="1" ht="18" x14ac:dyDescent="0.25">
      <c r="A4756" s="91"/>
      <c r="B4756" s="90"/>
      <c r="C4756" s="88"/>
      <c r="D4756" s="89"/>
      <c r="E4756" s="90"/>
      <c r="F4756" s="91"/>
      <c r="G4756" s="90"/>
      <c r="H4756" s="92"/>
      <c r="I4756" s="87"/>
      <c r="J4756" s="93"/>
      <c r="K4756" s="92"/>
      <c r="L4756" s="72" t="str">
        <f t="shared" si="74"/>
        <v/>
      </c>
      <c r="N4756" s="15"/>
    </row>
    <row r="4757" spans="1:14" s="14" customFormat="1" ht="18" x14ac:dyDescent="0.25">
      <c r="A4757" s="91"/>
      <c r="B4757" s="90"/>
      <c r="C4757" s="88"/>
      <c r="D4757" s="89"/>
      <c r="E4757" s="90"/>
      <c r="F4757" s="91"/>
      <c r="G4757" s="90"/>
      <c r="H4757" s="92"/>
      <c r="I4757" s="87"/>
      <c r="J4757" s="93"/>
      <c r="K4757" s="92"/>
      <c r="L4757" s="72" t="str">
        <f t="shared" si="74"/>
        <v/>
      </c>
      <c r="N4757" s="15"/>
    </row>
    <row r="4758" spans="1:14" s="14" customFormat="1" ht="18" x14ac:dyDescent="0.25">
      <c r="A4758" s="91"/>
      <c r="B4758" s="90"/>
      <c r="C4758" s="88"/>
      <c r="D4758" s="89"/>
      <c r="E4758" s="90"/>
      <c r="F4758" s="91"/>
      <c r="G4758" s="90"/>
      <c r="H4758" s="92"/>
      <c r="I4758" s="87"/>
      <c r="J4758" s="93"/>
      <c r="K4758" s="92"/>
      <c r="L4758" s="72" t="str">
        <f t="shared" si="74"/>
        <v/>
      </c>
      <c r="N4758" s="15"/>
    </row>
    <row r="4759" spans="1:14" s="14" customFormat="1" ht="18" x14ac:dyDescent="0.25">
      <c r="A4759" s="91"/>
      <c r="B4759" s="90"/>
      <c r="C4759" s="88"/>
      <c r="D4759" s="89"/>
      <c r="E4759" s="90"/>
      <c r="F4759" s="91"/>
      <c r="G4759" s="90"/>
      <c r="H4759" s="92"/>
      <c r="I4759" s="87"/>
      <c r="J4759" s="93"/>
      <c r="K4759" s="92"/>
      <c r="L4759" s="72" t="str">
        <f t="shared" si="74"/>
        <v/>
      </c>
      <c r="N4759" s="15"/>
    </row>
    <row r="4760" spans="1:14" s="14" customFormat="1" ht="18" x14ac:dyDescent="0.25">
      <c r="A4760" s="91"/>
      <c r="B4760" s="90"/>
      <c r="C4760" s="88"/>
      <c r="D4760" s="89"/>
      <c r="E4760" s="90"/>
      <c r="F4760" s="91"/>
      <c r="G4760" s="90"/>
      <c r="H4760" s="92"/>
      <c r="I4760" s="87"/>
      <c r="J4760" s="93"/>
      <c r="K4760" s="92"/>
      <c r="L4760" s="72" t="str">
        <f t="shared" si="74"/>
        <v/>
      </c>
      <c r="N4760" s="15"/>
    </row>
    <row r="4761" spans="1:14" s="14" customFormat="1" ht="18" x14ac:dyDescent="0.25">
      <c r="A4761" s="91"/>
      <c r="B4761" s="90"/>
      <c r="C4761" s="88"/>
      <c r="D4761" s="89"/>
      <c r="E4761" s="90"/>
      <c r="F4761" s="91"/>
      <c r="G4761" s="90"/>
      <c r="H4761" s="92"/>
      <c r="I4761" s="87"/>
      <c r="J4761" s="93"/>
      <c r="K4761" s="92"/>
      <c r="L4761" s="72" t="str">
        <f t="shared" si="74"/>
        <v/>
      </c>
      <c r="N4761" s="15"/>
    </row>
    <row r="4762" spans="1:14" s="14" customFormat="1" ht="18" x14ac:dyDescent="0.25">
      <c r="A4762" s="91"/>
      <c r="B4762" s="90"/>
      <c r="C4762" s="88"/>
      <c r="D4762" s="89"/>
      <c r="E4762" s="90"/>
      <c r="F4762" s="91"/>
      <c r="G4762" s="90"/>
      <c r="H4762" s="92"/>
      <c r="I4762" s="87"/>
      <c r="J4762" s="93"/>
      <c r="K4762" s="92"/>
      <c r="L4762" s="72" t="str">
        <f t="shared" si="74"/>
        <v/>
      </c>
      <c r="N4762" s="15"/>
    </row>
    <row r="4763" spans="1:14" s="14" customFormat="1" ht="18" x14ac:dyDescent="0.25">
      <c r="A4763" s="91"/>
      <c r="B4763" s="90"/>
      <c r="C4763" s="88"/>
      <c r="D4763" s="89"/>
      <c r="E4763" s="90"/>
      <c r="F4763" s="91"/>
      <c r="G4763" s="90"/>
      <c r="H4763" s="92"/>
      <c r="I4763" s="87"/>
      <c r="J4763" s="93"/>
      <c r="K4763" s="92"/>
      <c r="L4763" s="72" t="str">
        <f t="shared" si="74"/>
        <v/>
      </c>
      <c r="N4763" s="15"/>
    </row>
    <row r="4764" spans="1:14" s="14" customFormat="1" ht="18" x14ac:dyDescent="0.25">
      <c r="A4764" s="91"/>
      <c r="B4764" s="90"/>
      <c r="C4764" s="88"/>
      <c r="D4764" s="89"/>
      <c r="E4764" s="90"/>
      <c r="F4764" s="91"/>
      <c r="G4764" s="90"/>
      <c r="H4764" s="92"/>
      <c r="I4764" s="87"/>
      <c r="J4764" s="93"/>
      <c r="K4764" s="92"/>
      <c r="L4764" s="72" t="str">
        <f t="shared" si="74"/>
        <v/>
      </c>
      <c r="N4764" s="15"/>
    </row>
    <row r="4765" spans="1:14" s="14" customFormat="1" ht="18" x14ac:dyDescent="0.25">
      <c r="A4765" s="91"/>
      <c r="B4765" s="90"/>
      <c r="C4765" s="88"/>
      <c r="D4765" s="89"/>
      <c r="E4765" s="90"/>
      <c r="F4765" s="91"/>
      <c r="G4765" s="90"/>
      <c r="H4765" s="92"/>
      <c r="I4765" s="87"/>
      <c r="J4765" s="93"/>
      <c r="K4765" s="92"/>
      <c r="L4765" s="72" t="str">
        <f t="shared" si="74"/>
        <v/>
      </c>
      <c r="N4765" s="15"/>
    </row>
    <row r="4766" spans="1:14" s="14" customFormat="1" ht="18" x14ac:dyDescent="0.25">
      <c r="A4766" s="91"/>
      <c r="B4766" s="90"/>
      <c r="C4766" s="88"/>
      <c r="D4766" s="89"/>
      <c r="E4766" s="90"/>
      <c r="F4766" s="91"/>
      <c r="G4766" s="90"/>
      <c r="H4766" s="92"/>
      <c r="I4766" s="87"/>
      <c r="J4766" s="93"/>
      <c r="K4766" s="92"/>
      <c r="L4766" s="72" t="str">
        <f t="shared" ref="L4766:L4829" si="75">IF(ISBLANK(H4766),"",IF(H4766=K4766,"Payé","Impayé"))</f>
        <v/>
      </c>
      <c r="N4766" s="15"/>
    </row>
    <row r="4767" spans="1:14" s="14" customFormat="1" ht="18" x14ac:dyDescent="0.25">
      <c r="A4767" s="91"/>
      <c r="B4767" s="90"/>
      <c r="C4767" s="88"/>
      <c r="D4767" s="89"/>
      <c r="E4767" s="90"/>
      <c r="F4767" s="91"/>
      <c r="G4767" s="90"/>
      <c r="H4767" s="92"/>
      <c r="I4767" s="87"/>
      <c r="J4767" s="93"/>
      <c r="K4767" s="92"/>
      <c r="L4767" s="72" t="str">
        <f t="shared" si="75"/>
        <v/>
      </c>
      <c r="N4767" s="15"/>
    </row>
    <row r="4768" spans="1:14" s="14" customFormat="1" ht="18" x14ac:dyDescent="0.25">
      <c r="A4768" s="91"/>
      <c r="B4768" s="90"/>
      <c r="C4768" s="88"/>
      <c r="D4768" s="89"/>
      <c r="E4768" s="90"/>
      <c r="F4768" s="91"/>
      <c r="G4768" s="90"/>
      <c r="H4768" s="92"/>
      <c r="I4768" s="87"/>
      <c r="J4768" s="93"/>
      <c r="K4768" s="92"/>
      <c r="L4768" s="72" t="str">
        <f t="shared" si="75"/>
        <v/>
      </c>
      <c r="N4768" s="15"/>
    </row>
    <row r="4769" spans="1:14" s="14" customFormat="1" ht="18" x14ac:dyDescent="0.25">
      <c r="A4769" s="91"/>
      <c r="B4769" s="90"/>
      <c r="C4769" s="88"/>
      <c r="D4769" s="89"/>
      <c r="E4769" s="90"/>
      <c r="F4769" s="91"/>
      <c r="G4769" s="90"/>
      <c r="H4769" s="92"/>
      <c r="I4769" s="87"/>
      <c r="J4769" s="93"/>
      <c r="K4769" s="92"/>
      <c r="L4769" s="72" t="str">
        <f t="shared" si="75"/>
        <v/>
      </c>
      <c r="N4769" s="15"/>
    </row>
    <row r="4770" spans="1:14" s="14" customFormat="1" ht="18" x14ac:dyDescent="0.25">
      <c r="A4770" s="91"/>
      <c r="B4770" s="90"/>
      <c r="C4770" s="88"/>
      <c r="D4770" s="89"/>
      <c r="E4770" s="90"/>
      <c r="F4770" s="91"/>
      <c r="G4770" s="90"/>
      <c r="H4770" s="92"/>
      <c r="I4770" s="87"/>
      <c r="J4770" s="93"/>
      <c r="K4770" s="92"/>
      <c r="L4770" s="72" t="str">
        <f t="shared" si="75"/>
        <v/>
      </c>
      <c r="N4770" s="15"/>
    </row>
    <row r="4771" spans="1:14" s="14" customFormat="1" ht="18" x14ac:dyDescent="0.25">
      <c r="A4771" s="91"/>
      <c r="B4771" s="90"/>
      <c r="C4771" s="88"/>
      <c r="D4771" s="89"/>
      <c r="E4771" s="90"/>
      <c r="F4771" s="91"/>
      <c r="G4771" s="90"/>
      <c r="H4771" s="92"/>
      <c r="I4771" s="87"/>
      <c r="J4771" s="93"/>
      <c r="K4771" s="92"/>
      <c r="L4771" s="72" t="str">
        <f t="shared" si="75"/>
        <v/>
      </c>
      <c r="N4771" s="15"/>
    </row>
    <row r="4772" spans="1:14" s="14" customFormat="1" ht="18" x14ac:dyDescent="0.25">
      <c r="A4772" s="91"/>
      <c r="B4772" s="90"/>
      <c r="C4772" s="88"/>
      <c r="D4772" s="89"/>
      <c r="E4772" s="90"/>
      <c r="F4772" s="91"/>
      <c r="G4772" s="90"/>
      <c r="H4772" s="92"/>
      <c r="I4772" s="87"/>
      <c r="J4772" s="93"/>
      <c r="K4772" s="92"/>
      <c r="L4772" s="72" t="str">
        <f t="shared" si="75"/>
        <v/>
      </c>
      <c r="N4772" s="15"/>
    </row>
    <row r="4773" spans="1:14" s="14" customFormat="1" ht="18" x14ac:dyDescent="0.25">
      <c r="A4773" s="91"/>
      <c r="B4773" s="90"/>
      <c r="C4773" s="88"/>
      <c r="D4773" s="89"/>
      <c r="E4773" s="90"/>
      <c r="F4773" s="91"/>
      <c r="G4773" s="90"/>
      <c r="H4773" s="92"/>
      <c r="I4773" s="87"/>
      <c r="J4773" s="93"/>
      <c r="K4773" s="92"/>
      <c r="L4773" s="72" t="str">
        <f t="shared" si="75"/>
        <v/>
      </c>
      <c r="N4773" s="15"/>
    </row>
    <row r="4774" spans="1:14" s="14" customFormat="1" ht="18" x14ac:dyDescent="0.25">
      <c r="A4774" s="91"/>
      <c r="B4774" s="90"/>
      <c r="C4774" s="88"/>
      <c r="D4774" s="89"/>
      <c r="E4774" s="90"/>
      <c r="F4774" s="91"/>
      <c r="G4774" s="90"/>
      <c r="H4774" s="92"/>
      <c r="I4774" s="87"/>
      <c r="J4774" s="93"/>
      <c r="K4774" s="92"/>
      <c r="L4774" s="72" t="str">
        <f t="shared" si="75"/>
        <v/>
      </c>
      <c r="N4774" s="15"/>
    </row>
    <row r="4775" spans="1:14" s="14" customFormat="1" ht="18" x14ac:dyDescent="0.25">
      <c r="A4775" s="91"/>
      <c r="B4775" s="90"/>
      <c r="C4775" s="88"/>
      <c r="D4775" s="89"/>
      <c r="E4775" s="90"/>
      <c r="F4775" s="91"/>
      <c r="G4775" s="90"/>
      <c r="H4775" s="92"/>
      <c r="I4775" s="87"/>
      <c r="J4775" s="93"/>
      <c r="K4775" s="92"/>
      <c r="L4775" s="72" t="str">
        <f t="shared" si="75"/>
        <v/>
      </c>
      <c r="N4775" s="15"/>
    </row>
    <row r="4776" spans="1:14" s="14" customFormat="1" ht="18" x14ac:dyDescent="0.25">
      <c r="A4776" s="91"/>
      <c r="B4776" s="90"/>
      <c r="C4776" s="88"/>
      <c r="D4776" s="89"/>
      <c r="E4776" s="90"/>
      <c r="F4776" s="91"/>
      <c r="G4776" s="90"/>
      <c r="H4776" s="92"/>
      <c r="I4776" s="87"/>
      <c r="J4776" s="93"/>
      <c r="K4776" s="92"/>
      <c r="L4776" s="72" t="str">
        <f t="shared" si="75"/>
        <v/>
      </c>
      <c r="N4776" s="15"/>
    </row>
    <row r="4777" spans="1:14" s="14" customFormat="1" ht="18" x14ac:dyDescent="0.25">
      <c r="A4777" s="91"/>
      <c r="B4777" s="90"/>
      <c r="C4777" s="88"/>
      <c r="D4777" s="89"/>
      <c r="E4777" s="90"/>
      <c r="F4777" s="91"/>
      <c r="G4777" s="90"/>
      <c r="H4777" s="92"/>
      <c r="I4777" s="87"/>
      <c r="J4777" s="93"/>
      <c r="K4777" s="92"/>
      <c r="L4777" s="72" t="str">
        <f t="shared" si="75"/>
        <v/>
      </c>
      <c r="N4777" s="15"/>
    </row>
    <row r="4778" spans="1:14" s="14" customFormat="1" ht="18" x14ac:dyDescent="0.25">
      <c r="A4778" s="91"/>
      <c r="B4778" s="90"/>
      <c r="C4778" s="88"/>
      <c r="D4778" s="89"/>
      <c r="E4778" s="90"/>
      <c r="F4778" s="91"/>
      <c r="G4778" s="90"/>
      <c r="H4778" s="92"/>
      <c r="I4778" s="87"/>
      <c r="J4778" s="93"/>
      <c r="K4778" s="92"/>
      <c r="L4778" s="72" t="str">
        <f t="shared" si="75"/>
        <v/>
      </c>
      <c r="N4778" s="15"/>
    </row>
    <row r="4779" spans="1:14" s="14" customFormat="1" ht="18" x14ac:dyDescent="0.25">
      <c r="A4779" s="91"/>
      <c r="B4779" s="90"/>
      <c r="C4779" s="88"/>
      <c r="D4779" s="89"/>
      <c r="E4779" s="90"/>
      <c r="F4779" s="91"/>
      <c r="G4779" s="90"/>
      <c r="H4779" s="92"/>
      <c r="I4779" s="87"/>
      <c r="J4779" s="93"/>
      <c r="K4779" s="92"/>
      <c r="L4779" s="72" t="str">
        <f t="shared" si="75"/>
        <v/>
      </c>
      <c r="N4779" s="15"/>
    </row>
    <row r="4780" spans="1:14" s="14" customFormat="1" ht="18" x14ac:dyDescent="0.25">
      <c r="A4780" s="91"/>
      <c r="B4780" s="90"/>
      <c r="C4780" s="88"/>
      <c r="D4780" s="89"/>
      <c r="E4780" s="90"/>
      <c r="F4780" s="91"/>
      <c r="G4780" s="90"/>
      <c r="H4780" s="92"/>
      <c r="I4780" s="87"/>
      <c r="J4780" s="93"/>
      <c r="K4780" s="92"/>
      <c r="L4780" s="72" t="str">
        <f t="shared" si="75"/>
        <v/>
      </c>
      <c r="N4780" s="15"/>
    </row>
    <row r="4781" spans="1:14" s="14" customFormat="1" ht="18" x14ac:dyDescent="0.25">
      <c r="A4781" s="91"/>
      <c r="B4781" s="90"/>
      <c r="C4781" s="88"/>
      <c r="D4781" s="89"/>
      <c r="E4781" s="90"/>
      <c r="F4781" s="91"/>
      <c r="G4781" s="90"/>
      <c r="H4781" s="92"/>
      <c r="I4781" s="87"/>
      <c r="J4781" s="93"/>
      <c r="K4781" s="92"/>
      <c r="L4781" s="72" t="str">
        <f t="shared" si="75"/>
        <v/>
      </c>
      <c r="N4781" s="15"/>
    </row>
    <row r="4782" spans="1:14" s="14" customFormat="1" ht="18" x14ac:dyDescent="0.25">
      <c r="A4782" s="91"/>
      <c r="B4782" s="90"/>
      <c r="C4782" s="88"/>
      <c r="D4782" s="89"/>
      <c r="E4782" s="90"/>
      <c r="F4782" s="91"/>
      <c r="G4782" s="90"/>
      <c r="H4782" s="92"/>
      <c r="I4782" s="87"/>
      <c r="J4782" s="93"/>
      <c r="K4782" s="92"/>
      <c r="L4782" s="72" t="str">
        <f t="shared" si="75"/>
        <v/>
      </c>
      <c r="N4782" s="15"/>
    </row>
    <row r="4783" spans="1:14" s="14" customFormat="1" ht="18" x14ac:dyDescent="0.25">
      <c r="A4783" s="91"/>
      <c r="B4783" s="90"/>
      <c r="C4783" s="88"/>
      <c r="D4783" s="89"/>
      <c r="E4783" s="90"/>
      <c r="F4783" s="91"/>
      <c r="G4783" s="90"/>
      <c r="H4783" s="92"/>
      <c r="I4783" s="87"/>
      <c r="J4783" s="93"/>
      <c r="K4783" s="92"/>
      <c r="L4783" s="72" t="str">
        <f t="shared" si="75"/>
        <v/>
      </c>
      <c r="N4783" s="15"/>
    </row>
    <row r="4784" spans="1:14" s="14" customFormat="1" ht="18" x14ac:dyDescent="0.25">
      <c r="A4784" s="91"/>
      <c r="B4784" s="90"/>
      <c r="C4784" s="88"/>
      <c r="D4784" s="89"/>
      <c r="E4784" s="90"/>
      <c r="F4784" s="91"/>
      <c r="G4784" s="90"/>
      <c r="H4784" s="92"/>
      <c r="I4784" s="87"/>
      <c r="J4784" s="93"/>
      <c r="K4784" s="92"/>
      <c r="L4784" s="72" t="str">
        <f t="shared" si="75"/>
        <v/>
      </c>
      <c r="N4784" s="15"/>
    </row>
    <row r="4785" spans="1:14" s="14" customFormat="1" ht="18" x14ac:dyDescent="0.25">
      <c r="A4785" s="91"/>
      <c r="B4785" s="90"/>
      <c r="C4785" s="88"/>
      <c r="D4785" s="89"/>
      <c r="E4785" s="90"/>
      <c r="F4785" s="91"/>
      <c r="G4785" s="90"/>
      <c r="H4785" s="92"/>
      <c r="I4785" s="87"/>
      <c r="J4785" s="93"/>
      <c r="K4785" s="92"/>
      <c r="L4785" s="72" t="str">
        <f t="shared" si="75"/>
        <v/>
      </c>
      <c r="N4785" s="15"/>
    </row>
    <row r="4786" spans="1:14" s="14" customFormat="1" ht="18" x14ac:dyDescent="0.25">
      <c r="A4786" s="91"/>
      <c r="B4786" s="90"/>
      <c r="C4786" s="88"/>
      <c r="D4786" s="89"/>
      <c r="E4786" s="90"/>
      <c r="F4786" s="91"/>
      <c r="G4786" s="90"/>
      <c r="H4786" s="92"/>
      <c r="I4786" s="87"/>
      <c r="J4786" s="93"/>
      <c r="K4786" s="92"/>
      <c r="L4786" s="72" t="str">
        <f t="shared" si="75"/>
        <v/>
      </c>
      <c r="N4786" s="15"/>
    </row>
    <row r="4787" spans="1:14" s="14" customFormat="1" ht="18" x14ac:dyDescent="0.25">
      <c r="A4787" s="91"/>
      <c r="B4787" s="90"/>
      <c r="C4787" s="88"/>
      <c r="D4787" s="89"/>
      <c r="E4787" s="90"/>
      <c r="F4787" s="91"/>
      <c r="G4787" s="90"/>
      <c r="H4787" s="92"/>
      <c r="I4787" s="87"/>
      <c r="J4787" s="93"/>
      <c r="K4787" s="92"/>
      <c r="L4787" s="72" t="str">
        <f t="shared" si="75"/>
        <v/>
      </c>
      <c r="N4787" s="15"/>
    </row>
    <row r="4788" spans="1:14" s="14" customFormat="1" ht="18" x14ac:dyDescent="0.25">
      <c r="A4788" s="91"/>
      <c r="B4788" s="90"/>
      <c r="C4788" s="88"/>
      <c r="D4788" s="89"/>
      <c r="E4788" s="90"/>
      <c r="F4788" s="91"/>
      <c r="G4788" s="90"/>
      <c r="H4788" s="92"/>
      <c r="I4788" s="87"/>
      <c r="J4788" s="93"/>
      <c r="K4788" s="92"/>
      <c r="L4788" s="72" t="str">
        <f t="shared" si="75"/>
        <v/>
      </c>
      <c r="N4788" s="15"/>
    </row>
    <row r="4789" spans="1:14" s="14" customFormat="1" ht="18" x14ac:dyDescent="0.25">
      <c r="A4789" s="91"/>
      <c r="B4789" s="90"/>
      <c r="C4789" s="88"/>
      <c r="D4789" s="89"/>
      <c r="E4789" s="90"/>
      <c r="F4789" s="91"/>
      <c r="G4789" s="90"/>
      <c r="H4789" s="92"/>
      <c r="I4789" s="87"/>
      <c r="J4789" s="93"/>
      <c r="K4789" s="92"/>
      <c r="L4789" s="72" t="str">
        <f t="shared" si="75"/>
        <v/>
      </c>
      <c r="N4789" s="15"/>
    </row>
    <row r="4790" spans="1:14" s="14" customFormat="1" ht="18" x14ac:dyDescent="0.25">
      <c r="A4790" s="91"/>
      <c r="B4790" s="90"/>
      <c r="C4790" s="88"/>
      <c r="D4790" s="89"/>
      <c r="E4790" s="90"/>
      <c r="F4790" s="91"/>
      <c r="G4790" s="90"/>
      <c r="H4790" s="92"/>
      <c r="I4790" s="87"/>
      <c r="J4790" s="93"/>
      <c r="K4790" s="92"/>
      <c r="L4790" s="72" t="str">
        <f t="shared" si="75"/>
        <v/>
      </c>
      <c r="N4790" s="15"/>
    </row>
    <row r="4791" spans="1:14" s="14" customFormat="1" ht="18" x14ac:dyDescent="0.25">
      <c r="A4791" s="91"/>
      <c r="B4791" s="90"/>
      <c r="C4791" s="88"/>
      <c r="D4791" s="89"/>
      <c r="E4791" s="90"/>
      <c r="F4791" s="91"/>
      <c r="G4791" s="90"/>
      <c r="H4791" s="92"/>
      <c r="I4791" s="87"/>
      <c r="J4791" s="93"/>
      <c r="K4791" s="92"/>
      <c r="L4791" s="72" t="str">
        <f t="shared" si="75"/>
        <v/>
      </c>
      <c r="N4791" s="15"/>
    </row>
    <row r="4792" spans="1:14" s="14" customFormat="1" ht="18" x14ac:dyDescent="0.25">
      <c r="A4792" s="91"/>
      <c r="B4792" s="90"/>
      <c r="C4792" s="88"/>
      <c r="D4792" s="89"/>
      <c r="E4792" s="90"/>
      <c r="F4792" s="91"/>
      <c r="G4792" s="90"/>
      <c r="H4792" s="92"/>
      <c r="I4792" s="87"/>
      <c r="J4792" s="93"/>
      <c r="K4792" s="92"/>
      <c r="L4792" s="72" t="str">
        <f t="shared" si="75"/>
        <v/>
      </c>
      <c r="N4792" s="15"/>
    </row>
    <row r="4793" spans="1:14" s="14" customFormat="1" ht="18" x14ac:dyDescent="0.25">
      <c r="A4793" s="91"/>
      <c r="B4793" s="90"/>
      <c r="C4793" s="88"/>
      <c r="D4793" s="89"/>
      <c r="E4793" s="90"/>
      <c r="F4793" s="91"/>
      <c r="G4793" s="90"/>
      <c r="H4793" s="92"/>
      <c r="I4793" s="87"/>
      <c r="J4793" s="93"/>
      <c r="K4793" s="92"/>
      <c r="L4793" s="72" t="str">
        <f t="shared" si="75"/>
        <v/>
      </c>
      <c r="N4793" s="15"/>
    </row>
    <row r="4794" spans="1:14" s="14" customFormat="1" ht="18" x14ac:dyDescent="0.25">
      <c r="A4794" s="91"/>
      <c r="B4794" s="90"/>
      <c r="C4794" s="88"/>
      <c r="D4794" s="89"/>
      <c r="E4794" s="90"/>
      <c r="F4794" s="91"/>
      <c r="G4794" s="90"/>
      <c r="H4794" s="92"/>
      <c r="I4794" s="87"/>
      <c r="J4794" s="93"/>
      <c r="K4794" s="92"/>
      <c r="L4794" s="72" t="str">
        <f t="shared" si="75"/>
        <v/>
      </c>
      <c r="N4794" s="15"/>
    </row>
    <row r="4795" spans="1:14" s="14" customFormat="1" ht="18" x14ac:dyDescent="0.25">
      <c r="A4795" s="91"/>
      <c r="B4795" s="90"/>
      <c r="C4795" s="88"/>
      <c r="D4795" s="89"/>
      <c r="E4795" s="90"/>
      <c r="F4795" s="91"/>
      <c r="G4795" s="90"/>
      <c r="H4795" s="92"/>
      <c r="I4795" s="87"/>
      <c r="J4795" s="93"/>
      <c r="K4795" s="92"/>
      <c r="L4795" s="72" t="str">
        <f t="shared" si="75"/>
        <v/>
      </c>
      <c r="N4795" s="15"/>
    </row>
    <row r="4796" spans="1:14" s="14" customFormat="1" ht="18" x14ac:dyDescent="0.25">
      <c r="A4796" s="91"/>
      <c r="B4796" s="90"/>
      <c r="C4796" s="88"/>
      <c r="D4796" s="89"/>
      <c r="E4796" s="90"/>
      <c r="F4796" s="91"/>
      <c r="G4796" s="90"/>
      <c r="H4796" s="92"/>
      <c r="I4796" s="87"/>
      <c r="J4796" s="93"/>
      <c r="K4796" s="92"/>
      <c r="L4796" s="72" t="str">
        <f t="shared" si="75"/>
        <v/>
      </c>
      <c r="N4796" s="15"/>
    </row>
    <row r="4797" spans="1:14" s="14" customFormat="1" ht="18" x14ac:dyDescent="0.25">
      <c r="A4797" s="91"/>
      <c r="B4797" s="90"/>
      <c r="C4797" s="88"/>
      <c r="D4797" s="89"/>
      <c r="E4797" s="90"/>
      <c r="F4797" s="91"/>
      <c r="G4797" s="90"/>
      <c r="H4797" s="92"/>
      <c r="I4797" s="87"/>
      <c r="J4797" s="93"/>
      <c r="K4797" s="92"/>
      <c r="L4797" s="72" t="str">
        <f t="shared" si="75"/>
        <v/>
      </c>
      <c r="N4797" s="15"/>
    </row>
    <row r="4798" spans="1:14" s="14" customFormat="1" ht="18" x14ac:dyDescent="0.25">
      <c r="A4798" s="91"/>
      <c r="B4798" s="90"/>
      <c r="C4798" s="88"/>
      <c r="D4798" s="89"/>
      <c r="E4798" s="90"/>
      <c r="F4798" s="91"/>
      <c r="G4798" s="90"/>
      <c r="H4798" s="92"/>
      <c r="I4798" s="87"/>
      <c r="J4798" s="93"/>
      <c r="K4798" s="92"/>
      <c r="L4798" s="72" t="str">
        <f t="shared" si="75"/>
        <v/>
      </c>
      <c r="N4798" s="15"/>
    </row>
    <row r="4799" spans="1:14" s="14" customFormat="1" ht="18" x14ac:dyDescent="0.25">
      <c r="A4799" s="91"/>
      <c r="B4799" s="90"/>
      <c r="C4799" s="88"/>
      <c r="D4799" s="89"/>
      <c r="E4799" s="90"/>
      <c r="F4799" s="91"/>
      <c r="G4799" s="90"/>
      <c r="H4799" s="92"/>
      <c r="I4799" s="87"/>
      <c r="J4799" s="93"/>
      <c r="K4799" s="92"/>
      <c r="L4799" s="72" t="str">
        <f t="shared" si="75"/>
        <v/>
      </c>
      <c r="N4799" s="15"/>
    </row>
    <row r="4800" spans="1:14" s="14" customFormat="1" ht="18" x14ac:dyDescent="0.25">
      <c r="A4800" s="91"/>
      <c r="B4800" s="90"/>
      <c r="C4800" s="88"/>
      <c r="D4800" s="89"/>
      <c r="E4800" s="90"/>
      <c r="F4800" s="91"/>
      <c r="G4800" s="90"/>
      <c r="H4800" s="92"/>
      <c r="I4800" s="87"/>
      <c r="J4800" s="93"/>
      <c r="K4800" s="92"/>
      <c r="L4800" s="72" t="str">
        <f t="shared" si="75"/>
        <v/>
      </c>
      <c r="N4800" s="15"/>
    </row>
    <row r="4801" spans="1:14" s="14" customFormat="1" ht="18" x14ac:dyDescent="0.25">
      <c r="A4801" s="91"/>
      <c r="B4801" s="90"/>
      <c r="C4801" s="88"/>
      <c r="D4801" s="89"/>
      <c r="E4801" s="90"/>
      <c r="F4801" s="91"/>
      <c r="G4801" s="90"/>
      <c r="H4801" s="92"/>
      <c r="I4801" s="87"/>
      <c r="J4801" s="93"/>
      <c r="K4801" s="92"/>
      <c r="L4801" s="72" t="str">
        <f t="shared" si="75"/>
        <v/>
      </c>
      <c r="N4801" s="15"/>
    </row>
    <row r="4802" spans="1:14" s="14" customFormat="1" ht="18" x14ac:dyDescent="0.25">
      <c r="A4802" s="91"/>
      <c r="B4802" s="90"/>
      <c r="C4802" s="88"/>
      <c r="D4802" s="89"/>
      <c r="E4802" s="90"/>
      <c r="F4802" s="91"/>
      <c r="G4802" s="90"/>
      <c r="H4802" s="92"/>
      <c r="I4802" s="87"/>
      <c r="J4802" s="93"/>
      <c r="K4802" s="92"/>
      <c r="L4802" s="72" t="str">
        <f t="shared" si="75"/>
        <v/>
      </c>
      <c r="N4802" s="15"/>
    </row>
    <row r="4803" spans="1:14" s="14" customFormat="1" ht="18" x14ac:dyDescent="0.25">
      <c r="A4803" s="91"/>
      <c r="B4803" s="90"/>
      <c r="C4803" s="88"/>
      <c r="D4803" s="89"/>
      <c r="E4803" s="90"/>
      <c r="F4803" s="91"/>
      <c r="G4803" s="90"/>
      <c r="H4803" s="92"/>
      <c r="I4803" s="87"/>
      <c r="J4803" s="93"/>
      <c r="K4803" s="92"/>
      <c r="L4803" s="72" t="str">
        <f t="shared" si="75"/>
        <v/>
      </c>
      <c r="N4803" s="15"/>
    </row>
    <row r="4804" spans="1:14" s="14" customFormat="1" ht="18" x14ac:dyDescent="0.25">
      <c r="A4804" s="91"/>
      <c r="B4804" s="90"/>
      <c r="C4804" s="88"/>
      <c r="D4804" s="89"/>
      <c r="E4804" s="90"/>
      <c r="F4804" s="91"/>
      <c r="G4804" s="90"/>
      <c r="H4804" s="92"/>
      <c r="I4804" s="87"/>
      <c r="J4804" s="93"/>
      <c r="K4804" s="92"/>
      <c r="L4804" s="72" t="str">
        <f t="shared" si="75"/>
        <v/>
      </c>
      <c r="N4804" s="15"/>
    </row>
    <row r="4805" spans="1:14" s="14" customFormat="1" ht="18" x14ac:dyDescent="0.25">
      <c r="A4805" s="91"/>
      <c r="B4805" s="90"/>
      <c r="C4805" s="88"/>
      <c r="D4805" s="89"/>
      <c r="E4805" s="90"/>
      <c r="F4805" s="91"/>
      <c r="G4805" s="90"/>
      <c r="H4805" s="92"/>
      <c r="I4805" s="87"/>
      <c r="J4805" s="93"/>
      <c r="K4805" s="92"/>
      <c r="L4805" s="72" t="str">
        <f t="shared" si="75"/>
        <v/>
      </c>
      <c r="N4805" s="15"/>
    </row>
    <row r="4806" spans="1:14" s="14" customFormat="1" ht="18" x14ac:dyDescent="0.25">
      <c r="A4806" s="91"/>
      <c r="B4806" s="90"/>
      <c r="C4806" s="88"/>
      <c r="D4806" s="89"/>
      <c r="E4806" s="90"/>
      <c r="F4806" s="91"/>
      <c r="G4806" s="90"/>
      <c r="H4806" s="92"/>
      <c r="I4806" s="87"/>
      <c r="J4806" s="93"/>
      <c r="K4806" s="92"/>
      <c r="L4806" s="72" t="str">
        <f t="shared" si="75"/>
        <v/>
      </c>
      <c r="N4806" s="15"/>
    </row>
    <row r="4807" spans="1:14" s="14" customFormat="1" ht="18" x14ac:dyDescent="0.25">
      <c r="A4807" s="91"/>
      <c r="B4807" s="90"/>
      <c r="C4807" s="88"/>
      <c r="D4807" s="89"/>
      <c r="E4807" s="90"/>
      <c r="F4807" s="91"/>
      <c r="G4807" s="90"/>
      <c r="H4807" s="92"/>
      <c r="I4807" s="87"/>
      <c r="J4807" s="93"/>
      <c r="K4807" s="92"/>
      <c r="L4807" s="72" t="str">
        <f t="shared" si="75"/>
        <v/>
      </c>
      <c r="N4807" s="15"/>
    </row>
    <row r="4808" spans="1:14" s="14" customFormat="1" ht="18" x14ac:dyDescent="0.25">
      <c r="A4808" s="91"/>
      <c r="B4808" s="90"/>
      <c r="C4808" s="88"/>
      <c r="D4808" s="89"/>
      <c r="E4808" s="90"/>
      <c r="F4808" s="91"/>
      <c r="G4808" s="90"/>
      <c r="H4808" s="92"/>
      <c r="I4808" s="87"/>
      <c r="J4808" s="93"/>
      <c r="K4808" s="92"/>
      <c r="L4808" s="72" t="str">
        <f t="shared" si="75"/>
        <v/>
      </c>
      <c r="N4808" s="15"/>
    </row>
    <row r="4809" spans="1:14" s="14" customFormat="1" ht="18" x14ac:dyDescent="0.25">
      <c r="A4809" s="91"/>
      <c r="B4809" s="90"/>
      <c r="C4809" s="88"/>
      <c r="D4809" s="89"/>
      <c r="E4809" s="90"/>
      <c r="F4809" s="91"/>
      <c r="G4809" s="90"/>
      <c r="H4809" s="92"/>
      <c r="I4809" s="87"/>
      <c r="J4809" s="93"/>
      <c r="K4809" s="92"/>
      <c r="L4809" s="72" t="str">
        <f t="shared" si="75"/>
        <v/>
      </c>
      <c r="N4809" s="15"/>
    </row>
    <row r="4810" spans="1:14" s="14" customFormat="1" ht="18" x14ac:dyDescent="0.25">
      <c r="A4810" s="91"/>
      <c r="B4810" s="90"/>
      <c r="C4810" s="88"/>
      <c r="D4810" s="89"/>
      <c r="E4810" s="90"/>
      <c r="F4810" s="91"/>
      <c r="G4810" s="90"/>
      <c r="H4810" s="92"/>
      <c r="I4810" s="87"/>
      <c r="J4810" s="93"/>
      <c r="K4810" s="92"/>
      <c r="L4810" s="72" t="str">
        <f t="shared" si="75"/>
        <v/>
      </c>
      <c r="N4810" s="15"/>
    </row>
    <row r="4811" spans="1:14" s="14" customFormat="1" ht="18" x14ac:dyDescent="0.25">
      <c r="A4811" s="91"/>
      <c r="B4811" s="90"/>
      <c r="C4811" s="88"/>
      <c r="D4811" s="89"/>
      <c r="E4811" s="90"/>
      <c r="F4811" s="91"/>
      <c r="G4811" s="90"/>
      <c r="H4811" s="92"/>
      <c r="I4811" s="87"/>
      <c r="J4811" s="93"/>
      <c r="K4811" s="92"/>
      <c r="L4811" s="72" t="str">
        <f t="shared" si="75"/>
        <v/>
      </c>
      <c r="N4811" s="15"/>
    </row>
    <row r="4812" spans="1:14" s="14" customFormat="1" ht="18" x14ac:dyDescent="0.25">
      <c r="A4812" s="91"/>
      <c r="B4812" s="90"/>
      <c r="C4812" s="88"/>
      <c r="D4812" s="89"/>
      <c r="E4812" s="90"/>
      <c r="F4812" s="91"/>
      <c r="G4812" s="90"/>
      <c r="H4812" s="92"/>
      <c r="I4812" s="87"/>
      <c r="J4812" s="93"/>
      <c r="K4812" s="92"/>
      <c r="L4812" s="72" t="str">
        <f t="shared" si="75"/>
        <v/>
      </c>
      <c r="N4812" s="15"/>
    </row>
    <row r="4813" spans="1:14" s="14" customFormat="1" ht="18" x14ac:dyDescent="0.25">
      <c r="A4813" s="91"/>
      <c r="B4813" s="90"/>
      <c r="C4813" s="88"/>
      <c r="D4813" s="89"/>
      <c r="E4813" s="90"/>
      <c r="F4813" s="91"/>
      <c r="G4813" s="90"/>
      <c r="H4813" s="92"/>
      <c r="I4813" s="87"/>
      <c r="J4813" s="93"/>
      <c r="K4813" s="92"/>
      <c r="L4813" s="72" t="str">
        <f t="shared" si="75"/>
        <v/>
      </c>
      <c r="N4813" s="15"/>
    </row>
    <row r="4814" spans="1:14" s="14" customFormat="1" ht="18" x14ac:dyDescent="0.25">
      <c r="A4814" s="91"/>
      <c r="B4814" s="90"/>
      <c r="C4814" s="88"/>
      <c r="D4814" s="89"/>
      <c r="E4814" s="90"/>
      <c r="F4814" s="91"/>
      <c r="G4814" s="90"/>
      <c r="H4814" s="92"/>
      <c r="I4814" s="87"/>
      <c r="J4814" s="93"/>
      <c r="K4814" s="92"/>
      <c r="L4814" s="72" t="str">
        <f t="shared" si="75"/>
        <v/>
      </c>
      <c r="N4814" s="15"/>
    </row>
    <row r="4815" spans="1:14" s="14" customFormat="1" ht="18" x14ac:dyDescent="0.25">
      <c r="A4815" s="91"/>
      <c r="B4815" s="90"/>
      <c r="C4815" s="88"/>
      <c r="D4815" s="89"/>
      <c r="E4815" s="90"/>
      <c r="F4815" s="91"/>
      <c r="G4815" s="90"/>
      <c r="H4815" s="92"/>
      <c r="I4815" s="87"/>
      <c r="J4815" s="93"/>
      <c r="K4815" s="92"/>
      <c r="L4815" s="72" t="str">
        <f t="shared" si="75"/>
        <v/>
      </c>
      <c r="N4815" s="15"/>
    </row>
    <row r="4816" spans="1:14" s="14" customFormat="1" ht="18" x14ac:dyDescent="0.25">
      <c r="A4816" s="91"/>
      <c r="B4816" s="90"/>
      <c r="C4816" s="88"/>
      <c r="D4816" s="89"/>
      <c r="E4816" s="90"/>
      <c r="F4816" s="91"/>
      <c r="G4816" s="90"/>
      <c r="H4816" s="92"/>
      <c r="I4816" s="87"/>
      <c r="J4816" s="93"/>
      <c r="K4816" s="92"/>
      <c r="L4816" s="72" t="str">
        <f t="shared" si="75"/>
        <v/>
      </c>
      <c r="N4816" s="15"/>
    </row>
    <row r="4817" spans="1:14" s="14" customFormat="1" ht="18" x14ac:dyDescent="0.25">
      <c r="A4817" s="91"/>
      <c r="B4817" s="90"/>
      <c r="C4817" s="88"/>
      <c r="D4817" s="89"/>
      <c r="E4817" s="90"/>
      <c r="F4817" s="91"/>
      <c r="G4817" s="90"/>
      <c r="H4817" s="92"/>
      <c r="I4817" s="87"/>
      <c r="J4817" s="93"/>
      <c r="K4817" s="92"/>
      <c r="L4817" s="72" t="str">
        <f t="shared" si="75"/>
        <v/>
      </c>
      <c r="N4817" s="15"/>
    </row>
    <row r="4818" spans="1:14" s="14" customFormat="1" ht="18" x14ac:dyDescent="0.25">
      <c r="A4818" s="91"/>
      <c r="B4818" s="90"/>
      <c r="C4818" s="88"/>
      <c r="D4818" s="89"/>
      <c r="E4818" s="90"/>
      <c r="F4818" s="91"/>
      <c r="G4818" s="90"/>
      <c r="H4818" s="92"/>
      <c r="I4818" s="87"/>
      <c r="J4818" s="93"/>
      <c r="K4818" s="92"/>
      <c r="L4818" s="72" t="str">
        <f t="shared" si="75"/>
        <v/>
      </c>
      <c r="N4818" s="15"/>
    </row>
    <row r="4819" spans="1:14" s="14" customFormat="1" ht="18" x14ac:dyDescent="0.25">
      <c r="A4819" s="91"/>
      <c r="B4819" s="90"/>
      <c r="C4819" s="88"/>
      <c r="D4819" s="89"/>
      <c r="E4819" s="90"/>
      <c r="F4819" s="91"/>
      <c r="G4819" s="90"/>
      <c r="H4819" s="92"/>
      <c r="I4819" s="87"/>
      <c r="J4819" s="93"/>
      <c r="K4819" s="92"/>
      <c r="L4819" s="72" t="str">
        <f t="shared" si="75"/>
        <v/>
      </c>
      <c r="N4819" s="15"/>
    </row>
    <row r="4820" spans="1:14" s="14" customFormat="1" ht="18" x14ac:dyDescent="0.25">
      <c r="A4820" s="91"/>
      <c r="B4820" s="90"/>
      <c r="C4820" s="88"/>
      <c r="D4820" s="89"/>
      <c r="E4820" s="90"/>
      <c r="F4820" s="91"/>
      <c r="G4820" s="90"/>
      <c r="H4820" s="92"/>
      <c r="I4820" s="87"/>
      <c r="J4820" s="93"/>
      <c r="K4820" s="92"/>
      <c r="L4820" s="72" t="str">
        <f t="shared" si="75"/>
        <v/>
      </c>
      <c r="N4820" s="15"/>
    </row>
    <row r="4821" spans="1:14" s="14" customFormat="1" ht="18" x14ac:dyDescent="0.25">
      <c r="A4821" s="91"/>
      <c r="B4821" s="90"/>
      <c r="C4821" s="88"/>
      <c r="D4821" s="89"/>
      <c r="E4821" s="90"/>
      <c r="F4821" s="91"/>
      <c r="G4821" s="90"/>
      <c r="H4821" s="92"/>
      <c r="I4821" s="87"/>
      <c r="J4821" s="93"/>
      <c r="K4821" s="92"/>
      <c r="L4821" s="72" t="str">
        <f t="shared" si="75"/>
        <v/>
      </c>
      <c r="N4821" s="15"/>
    </row>
    <row r="4822" spans="1:14" s="14" customFormat="1" ht="18" x14ac:dyDescent="0.25">
      <c r="A4822" s="91"/>
      <c r="B4822" s="90"/>
      <c r="C4822" s="88"/>
      <c r="D4822" s="89"/>
      <c r="E4822" s="90"/>
      <c r="F4822" s="91"/>
      <c r="G4822" s="90"/>
      <c r="H4822" s="92"/>
      <c r="I4822" s="87"/>
      <c r="J4822" s="93"/>
      <c r="K4822" s="92"/>
      <c r="L4822" s="72" t="str">
        <f t="shared" si="75"/>
        <v/>
      </c>
      <c r="N4822" s="15"/>
    </row>
    <row r="4823" spans="1:14" s="14" customFormat="1" ht="18" x14ac:dyDescent="0.25">
      <c r="A4823" s="91"/>
      <c r="B4823" s="90"/>
      <c r="C4823" s="88"/>
      <c r="D4823" s="89"/>
      <c r="E4823" s="90"/>
      <c r="F4823" s="91"/>
      <c r="G4823" s="90"/>
      <c r="H4823" s="92"/>
      <c r="I4823" s="87"/>
      <c r="J4823" s="93"/>
      <c r="K4823" s="92"/>
      <c r="L4823" s="72" t="str">
        <f t="shared" si="75"/>
        <v/>
      </c>
      <c r="N4823" s="15"/>
    </row>
    <row r="4824" spans="1:14" s="14" customFormat="1" ht="18" x14ac:dyDescent="0.25">
      <c r="A4824" s="91"/>
      <c r="B4824" s="90"/>
      <c r="C4824" s="88"/>
      <c r="D4824" s="89"/>
      <c r="E4824" s="90"/>
      <c r="F4824" s="91"/>
      <c r="G4824" s="90"/>
      <c r="H4824" s="92"/>
      <c r="I4824" s="87"/>
      <c r="J4824" s="93"/>
      <c r="K4824" s="92"/>
      <c r="L4824" s="72" t="str">
        <f t="shared" si="75"/>
        <v/>
      </c>
      <c r="N4824" s="15"/>
    </row>
    <row r="4825" spans="1:14" s="14" customFormat="1" ht="18" x14ac:dyDescent="0.25">
      <c r="A4825" s="91"/>
      <c r="B4825" s="90"/>
      <c r="C4825" s="88"/>
      <c r="D4825" s="89"/>
      <c r="E4825" s="90"/>
      <c r="F4825" s="91"/>
      <c r="G4825" s="90"/>
      <c r="H4825" s="92"/>
      <c r="I4825" s="87"/>
      <c r="J4825" s="93"/>
      <c r="K4825" s="92"/>
      <c r="L4825" s="72" t="str">
        <f t="shared" si="75"/>
        <v/>
      </c>
      <c r="N4825" s="15"/>
    </row>
    <row r="4826" spans="1:14" s="14" customFormat="1" ht="18" x14ac:dyDescent="0.25">
      <c r="A4826" s="91"/>
      <c r="B4826" s="90"/>
      <c r="C4826" s="88"/>
      <c r="D4826" s="89"/>
      <c r="E4826" s="90"/>
      <c r="F4826" s="91"/>
      <c r="G4826" s="90"/>
      <c r="H4826" s="92"/>
      <c r="I4826" s="87"/>
      <c r="J4826" s="93"/>
      <c r="K4826" s="92"/>
      <c r="L4826" s="72" t="str">
        <f t="shared" si="75"/>
        <v/>
      </c>
      <c r="N4826" s="15"/>
    </row>
    <row r="4827" spans="1:14" s="14" customFormat="1" ht="18" x14ac:dyDescent="0.25">
      <c r="A4827" s="91"/>
      <c r="B4827" s="90"/>
      <c r="C4827" s="88"/>
      <c r="D4827" s="89"/>
      <c r="E4827" s="90"/>
      <c r="F4827" s="91"/>
      <c r="G4827" s="90"/>
      <c r="H4827" s="92"/>
      <c r="I4827" s="87"/>
      <c r="J4827" s="93"/>
      <c r="K4827" s="92"/>
      <c r="L4827" s="72" t="str">
        <f t="shared" si="75"/>
        <v/>
      </c>
      <c r="N4827" s="15"/>
    </row>
    <row r="4828" spans="1:14" s="14" customFormat="1" ht="18" x14ac:dyDescent="0.25">
      <c r="A4828" s="91"/>
      <c r="B4828" s="90"/>
      <c r="C4828" s="88"/>
      <c r="D4828" s="89"/>
      <c r="E4828" s="90"/>
      <c r="F4828" s="91"/>
      <c r="G4828" s="90"/>
      <c r="H4828" s="92"/>
      <c r="I4828" s="87"/>
      <c r="J4828" s="93"/>
      <c r="K4828" s="92"/>
      <c r="L4828" s="72" t="str">
        <f t="shared" si="75"/>
        <v/>
      </c>
      <c r="N4828" s="15"/>
    </row>
    <row r="4829" spans="1:14" s="14" customFormat="1" ht="18" x14ac:dyDescent="0.25">
      <c r="A4829" s="91"/>
      <c r="B4829" s="90"/>
      <c r="C4829" s="88"/>
      <c r="D4829" s="89"/>
      <c r="E4829" s="90"/>
      <c r="F4829" s="91"/>
      <c r="G4829" s="90"/>
      <c r="H4829" s="92"/>
      <c r="I4829" s="87"/>
      <c r="J4829" s="93"/>
      <c r="K4829" s="92"/>
      <c r="L4829" s="72" t="str">
        <f t="shared" si="75"/>
        <v/>
      </c>
      <c r="N4829" s="15"/>
    </row>
    <row r="4830" spans="1:14" s="14" customFormat="1" ht="18" x14ac:dyDescent="0.25">
      <c r="A4830" s="91"/>
      <c r="B4830" s="90"/>
      <c r="C4830" s="88"/>
      <c r="D4830" s="89"/>
      <c r="E4830" s="90"/>
      <c r="F4830" s="91"/>
      <c r="G4830" s="90"/>
      <c r="H4830" s="92"/>
      <c r="I4830" s="87"/>
      <c r="J4830" s="93"/>
      <c r="K4830" s="92"/>
      <c r="L4830" s="72" t="str">
        <f t="shared" ref="L4830:L4893" si="76">IF(ISBLANK(H4830),"",IF(H4830=K4830,"Payé","Impayé"))</f>
        <v/>
      </c>
      <c r="N4830" s="15"/>
    </row>
    <row r="4831" spans="1:14" s="14" customFormat="1" ht="18" x14ac:dyDescent="0.25">
      <c r="A4831" s="91"/>
      <c r="B4831" s="90"/>
      <c r="C4831" s="88"/>
      <c r="D4831" s="89"/>
      <c r="E4831" s="90"/>
      <c r="F4831" s="91"/>
      <c r="G4831" s="90"/>
      <c r="H4831" s="92"/>
      <c r="I4831" s="87"/>
      <c r="J4831" s="93"/>
      <c r="K4831" s="92"/>
      <c r="L4831" s="72" t="str">
        <f t="shared" si="76"/>
        <v/>
      </c>
      <c r="N4831" s="15"/>
    </row>
    <row r="4832" spans="1:14" s="14" customFormat="1" ht="18" x14ac:dyDescent="0.25">
      <c r="A4832" s="91"/>
      <c r="B4832" s="90"/>
      <c r="C4832" s="88"/>
      <c r="D4832" s="89"/>
      <c r="E4832" s="90"/>
      <c r="F4832" s="91"/>
      <c r="G4832" s="90"/>
      <c r="H4832" s="92"/>
      <c r="I4832" s="87"/>
      <c r="J4832" s="93"/>
      <c r="K4832" s="92"/>
      <c r="L4832" s="72" t="str">
        <f t="shared" si="76"/>
        <v/>
      </c>
      <c r="N4832" s="15"/>
    </row>
    <row r="4833" spans="1:14" s="14" customFormat="1" ht="18" x14ac:dyDescent="0.25">
      <c r="A4833" s="91"/>
      <c r="B4833" s="90"/>
      <c r="C4833" s="88"/>
      <c r="D4833" s="89"/>
      <c r="E4833" s="90"/>
      <c r="F4833" s="91"/>
      <c r="G4833" s="90"/>
      <c r="H4833" s="92"/>
      <c r="I4833" s="87"/>
      <c r="J4833" s="93"/>
      <c r="K4833" s="92"/>
      <c r="L4833" s="72" t="str">
        <f t="shared" si="76"/>
        <v/>
      </c>
      <c r="N4833" s="15"/>
    </row>
    <row r="4834" spans="1:14" s="14" customFormat="1" ht="18" x14ac:dyDescent="0.25">
      <c r="A4834" s="91"/>
      <c r="B4834" s="90"/>
      <c r="C4834" s="88"/>
      <c r="D4834" s="89"/>
      <c r="E4834" s="90"/>
      <c r="F4834" s="91"/>
      <c r="G4834" s="90"/>
      <c r="H4834" s="92"/>
      <c r="I4834" s="87"/>
      <c r="J4834" s="93"/>
      <c r="K4834" s="92"/>
      <c r="L4834" s="72" t="str">
        <f t="shared" si="76"/>
        <v/>
      </c>
      <c r="N4834" s="15"/>
    </row>
    <row r="4835" spans="1:14" s="14" customFormat="1" ht="18" x14ac:dyDescent="0.25">
      <c r="A4835" s="91"/>
      <c r="B4835" s="90"/>
      <c r="C4835" s="88"/>
      <c r="D4835" s="89"/>
      <c r="E4835" s="90"/>
      <c r="F4835" s="91"/>
      <c r="G4835" s="90"/>
      <c r="H4835" s="92"/>
      <c r="I4835" s="87"/>
      <c r="J4835" s="93"/>
      <c r="K4835" s="92"/>
      <c r="L4835" s="72" t="str">
        <f t="shared" si="76"/>
        <v/>
      </c>
      <c r="N4835" s="15"/>
    </row>
    <row r="4836" spans="1:14" s="14" customFormat="1" ht="18" x14ac:dyDescent="0.25">
      <c r="A4836" s="91"/>
      <c r="B4836" s="90"/>
      <c r="C4836" s="88"/>
      <c r="D4836" s="89"/>
      <c r="E4836" s="90"/>
      <c r="F4836" s="91"/>
      <c r="G4836" s="90"/>
      <c r="H4836" s="92"/>
      <c r="I4836" s="87"/>
      <c r="J4836" s="93"/>
      <c r="K4836" s="92"/>
      <c r="L4836" s="72" t="str">
        <f t="shared" si="76"/>
        <v/>
      </c>
      <c r="N4836" s="15"/>
    </row>
    <row r="4837" spans="1:14" s="14" customFormat="1" ht="18" x14ac:dyDescent="0.25">
      <c r="A4837" s="91"/>
      <c r="B4837" s="90"/>
      <c r="C4837" s="88"/>
      <c r="D4837" s="89"/>
      <c r="E4837" s="90"/>
      <c r="F4837" s="91"/>
      <c r="G4837" s="90"/>
      <c r="H4837" s="92"/>
      <c r="I4837" s="87"/>
      <c r="J4837" s="93"/>
      <c r="K4837" s="92"/>
      <c r="L4837" s="72" t="str">
        <f t="shared" si="76"/>
        <v/>
      </c>
      <c r="N4837" s="15"/>
    </row>
    <row r="4838" spans="1:14" s="14" customFormat="1" ht="18" x14ac:dyDescent="0.25">
      <c r="A4838" s="91"/>
      <c r="B4838" s="90"/>
      <c r="C4838" s="88"/>
      <c r="D4838" s="89"/>
      <c r="E4838" s="90"/>
      <c r="F4838" s="91"/>
      <c r="G4838" s="90"/>
      <c r="H4838" s="92"/>
      <c r="I4838" s="87"/>
      <c r="J4838" s="93"/>
      <c r="K4838" s="92"/>
      <c r="L4838" s="72" t="str">
        <f t="shared" si="76"/>
        <v/>
      </c>
      <c r="N4838" s="15"/>
    </row>
    <row r="4839" spans="1:14" s="14" customFormat="1" ht="18" x14ac:dyDescent="0.25">
      <c r="A4839" s="91"/>
      <c r="B4839" s="90"/>
      <c r="C4839" s="88"/>
      <c r="D4839" s="89"/>
      <c r="E4839" s="90"/>
      <c r="F4839" s="91"/>
      <c r="G4839" s="90"/>
      <c r="H4839" s="92"/>
      <c r="I4839" s="87"/>
      <c r="J4839" s="93"/>
      <c r="K4839" s="92"/>
      <c r="L4839" s="72" t="str">
        <f t="shared" si="76"/>
        <v/>
      </c>
      <c r="N4839" s="15"/>
    </row>
    <row r="4840" spans="1:14" s="14" customFormat="1" ht="18" x14ac:dyDescent="0.25">
      <c r="A4840" s="91"/>
      <c r="B4840" s="90"/>
      <c r="C4840" s="88"/>
      <c r="D4840" s="89"/>
      <c r="E4840" s="90"/>
      <c r="F4840" s="91"/>
      <c r="G4840" s="90"/>
      <c r="H4840" s="92"/>
      <c r="I4840" s="87"/>
      <c r="J4840" s="93"/>
      <c r="K4840" s="92"/>
      <c r="L4840" s="72" t="str">
        <f t="shared" si="76"/>
        <v/>
      </c>
      <c r="N4840" s="15"/>
    </row>
    <row r="4841" spans="1:14" s="14" customFormat="1" ht="18" x14ac:dyDescent="0.25">
      <c r="A4841" s="91"/>
      <c r="B4841" s="90"/>
      <c r="C4841" s="88"/>
      <c r="D4841" s="89"/>
      <c r="E4841" s="90"/>
      <c r="F4841" s="91"/>
      <c r="G4841" s="90"/>
      <c r="H4841" s="92"/>
      <c r="I4841" s="87"/>
      <c r="J4841" s="93"/>
      <c r="K4841" s="92"/>
      <c r="L4841" s="72" t="str">
        <f t="shared" si="76"/>
        <v/>
      </c>
      <c r="N4841" s="15"/>
    </row>
    <row r="4842" spans="1:14" s="14" customFormat="1" ht="18" x14ac:dyDescent="0.25">
      <c r="A4842" s="91"/>
      <c r="B4842" s="90"/>
      <c r="C4842" s="88"/>
      <c r="D4842" s="89"/>
      <c r="E4842" s="90"/>
      <c r="F4842" s="91"/>
      <c r="G4842" s="90"/>
      <c r="H4842" s="92"/>
      <c r="I4842" s="87"/>
      <c r="J4842" s="93"/>
      <c r="K4842" s="92"/>
      <c r="L4842" s="72" t="str">
        <f t="shared" si="76"/>
        <v/>
      </c>
      <c r="N4842" s="15"/>
    </row>
    <row r="4843" spans="1:14" s="14" customFormat="1" ht="18" x14ac:dyDescent="0.25">
      <c r="A4843" s="91"/>
      <c r="B4843" s="90"/>
      <c r="C4843" s="88"/>
      <c r="D4843" s="89"/>
      <c r="E4843" s="90"/>
      <c r="F4843" s="91"/>
      <c r="G4843" s="90"/>
      <c r="H4843" s="92"/>
      <c r="I4843" s="87"/>
      <c r="J4843" s="93"/>
      <c r="K4843" s="92"/>
      <c r="L4843" s="72" t="str">
        <f t="shared" si="76"/>
        <v/>
      </c>
      <c r="N4843" s="15"/>
    </row>
    <row r="4844" spans="1:14" s="14" customFormat="1" ht="18" x14ac:dyDescent="0.25">
      <c r="A4844" s="91"/>
      <c r="B4844" s="90"/>
      <c r="C4844" s="88"/>
      <c r="D4844" s="89"/>
      <c r="E4844" s="90"/>
      <c r="F4844" s="91"/>
      <c r="G4844" s="90"/>
      <c r="H4844" s="92"/>
      <c r="I4844" s="87"/>
      <c r="J4844" s="93"/>
      <c r="K4844" s="92"/>
      <c r="L4844" s="72" t="str">
        <f t="shared" si="76"/>
        <v/>
      </c>
      <c r="N4844" s="15"/>
    </row>
    <row r="4845" spans="1:14" s="14" customFormat="1" ht="18" x14ac:dyDescent="0.25">
      <c r="A4845" s="91"/>
      <c r="B4845" s="90"/>
      <c r="C4845" s="88"/>
      <c r="D4845" s="89"/>
      <c r="E4845" s="90"/>
      <c r="F4845" s="91"/>
      <c r="G4845" s="90"/>
      <c r="H4845" s="92"/>
      <c r="I4845" s="87"/>
      <c r="J4845" s="93"/>
      <c r="K4845" s="92"/>
      <c r="L4845" s="72" t="str">
        <f t="shared" si="76"/>
        <v/>
      </c>
      <c r="N4845" s="15"/>
    </row>
    <row r="4846" spans="1:14" s="14" customFormat="1" ht="18" x14ac:dyDescent="0.25">
      <c r="A4846" s="91"/>
      <c r="B4846" s="90"/>
      <c r="C4846" s="88"/>
      <c r="D4846" s="89"/>
      <c r="E4846" s="90"/>
      <c r="F4846" s="91"/>
      <c r="G4846" s="90"/>
      <c r="H4846" s="92"/>
      <c r="I4846" s="87"/>
      <c r="J4846" s="93"/>
      <c r="K4846" s="92"/>
      <c r="L4846" s="72" t="str">
        <f t="shared" si="76"/>
        <v/>
      </c>
      <c r="N4846" s="15"/>
    </row>
    <row r="4847" spans="1:14" s="14" customFormat="1" ht="18" x14ac:dyDescent="0.25">
      <c r="A4847" s="91"/>
      <c r="B4847" s="90"/>
      <c r="C4847" s="88"/>
      <c r="D4847" s="89"/>
      <c r="E4847" s="90"/>
      <c r="F4847" s="91"/>
      <c r="G4847" s="90"/>
      <c r="H4847" s="92"/>
      <c r="I4847" s="87"/>
      <c r="J4847" s="93"/>
      <c r="K4847" s="92"/>
      <c r="L4847" s="72" t="str">
        <f t="shared" si="76"/>
        <v/>
      </c>
      <c r="N4847" s="15"/>
    </row>
    <row r="4848" spans="1:14" s="14" customFormat="1" ht="18" x14ac:dyDescent="0.25">
      <c r="A4848" s="91"/>
      <c r="B4848" s="90"/>
      <c r="C4848" s="88"/>
      <c r="D4848" s="89"/>
      <c r="E4848" s="90"/>
      <c r="F4848" s="91"/>
      <c r="G4848" s="90"/>
      <c r="H4848" s="92"/>
      <c r="I4848" s="87"/>
      <c r="J4848" s="93"/>
      <c r="K4848" s="92"/>
      <c r="L4848" s="72" t="str">
        <f t="shared" si="76"/>
        <v/>
      </c>
      <c r="N4848" s="15"/>
    </row>
    <row r="4849" spans="1:14" s="14" customFormat="1" ht="18" x14ac:dyDescent="0.25">
      <c r="A4849" s="91"/>
      <c r="B4849" s="90"/>
      <c r="C4849" s="88"/>
      <c r="D4849" s="89"/>
      <c r="E4849" s="90"/>
      <c r="F4849" s="91"/>
      <c r="G4849" s="90"/>
      <c r="H4849" s="92"/>
      <c r="I4849" s="87"/>
      <c r="J4849" s="93"/>
      <c r="K4849" s="92"/>
      <c r="L4849" s="72" t="str">
        <f t="shared" si="76"/>
        <v/>
      </c>
      <c r="N4849" s="15"/>
    </row>
    <row r="4850" spans="1:14" s="14" customFormat="1" ht="18" x14ac:dyDescent="0.25">
      <c r="A4850" s="91"/>
      <c r="B4850" s="90"/>
      <c r="C4850" s="88"/>
      <c r="D4850" s="89"/>
      <c r="E4850" s="90"/>
      <c r="F4850" s="91"/>
      <c r="G4850" s="90"/>
      <c r="H4850" s="92"/>
      <c r="I4850" s="87"/>
      <c r="J4850" s="93"/>
      <c r="K4850" s="92"/>
      <c r="L4850" s="72" t="str">
        <f t="shared" si="76"/>
        <v/>
      </c>
      <c r="N4850" s="15"/>
    </row>
    <row r="4851" spans="1:14" s="14" customFormat="1" ht="18" x14ac:dyDescent="0.25">
      <c r="A4851" s="91"/>
      <c r="B4851" s="90"/>
      <c r="C4851" s="88"/>
      <c r="D4851" s="89"/>
      <c r="E4851" s="90"/>
      <c r="F4851" s="91"/>
      <c r="G4851" s="90"/>
      <c r="H4851" s="92"/>
      <c r="I4851" s="87"/>
      <c r="J4851" s="93"/>
      <c r="K4851" s="92"/>
      <c r="L4851" s="72" t="str">
        <f t="shared" si="76"/>
        <v/>
      </c>
      <c r="N4851" s="15"/>
    </row>
    <row r="4852" spans="1:14" s="14" customFormat="1" ht="18" x14ac:dyDescent="0.25">
      <c r="A4852" s="91"/>
      <c r="B4852" s="90"/>
      <c r="C4852" s="88"/>
      <c r="D4852" s="89"/>
      <c r="E4852" s="90"/>
      <c r="F4852" s="91"/>
      <c r="G4852" s="90"/>
      <c r="H4852" s="92"/>
      <c r="I4852" s="87"/>
      <c r="J4852" s="93"/>
      <c r="K4852" s="92"/>
      <c r="L4852" s="72" t="str">
        <f t="shared" si="76"/>
        <v/>
      </c>
      <c r="N4852" s="15"/>
    </row>
    <row r="4853" spans="1:14" s="14" customFormat="1" ht="18" x14ac:dyDescent="0.25">
      <c r="A4853" s="91"/>
      <c r="B4853" s="90"/>
      <c r="C4853" s="88"/>
      <c r="D4853" s="89"/>
      <c r="E4853" s="90"/>
      <c r="F4853" s="91"/>
      <c r="G4853" s="90"/>
      <c r="H4853" s="92"/>
      <c r="I4853" s="87"/>
      <c r="J4853" s="93"/>
      <c r="K4853" s="92"/>
      <c r="L4853" s="72" t="str">
        <f t="shared" si="76"/>
        <v/>
      </c>
      <c r="N4853" s="15"/>
    </row>
    <row r="4854" spans="1:14" s="14" customFormat="1" ht="18" x14ac:dyDescent="0.25">
      <c r="A4854" s="91"/>
      <c r="B4854" s="90"/>
      <c r="C4854" s="88"/>
      <c r="D4854" s="89"/>
      <c r="E4854" s="90"/>
      <c r="F4854" s="91"/>
      <c r="G4854" s="90"/>
      <c r="H4854" s="92"/>
      <c r="I4854" s="87"/>
      <c r="J4854" s="93"/>
      <c r="K4854" s="92"/>
      <c r="L4854" s="72" t="str">
        <f t="shared" si="76"/>
        <v/>
      </c>
      <c r="N4854" s="15"/>
    </row>
    <row r="4855" spans="1:14" s="14" customFormat="1" ht="18" x14ac:dyDescent="0.25">
      <c r="A4855" s="91"/>
      <c r="B4855" s="90"/>
      <c r="C4855" s="88"/>
      <c r="D4855" s="89"/>
      <c r="E4855" s="90"/>
      <c r="F4855" s="91"/>
      <c r="G4855" s="90"/>
      <c r="H4855" s="92"/>
      <c r="I4855" s="87"/>
      <c r="J4855" s="93"/>
      <c r="K4855" s="92"/>
      <c r="L4855" s="72" t="str">
        <f t="shared" si="76"/>
        <v/>
      </c>
      <c r="N4855" s="15"/>
    </row>
    <row r="4856" spans="1:14" s="14" customFormat="1" ht="18" x14ac:dyDescent="0.25">
      <c r="A4856" s="91"/>
      <c r="B4856" s="90"/>
      <c r="C4856" s="88"/>
      <c r="D4856" s="89"/>
      <c r="E4856" s="90"/>
      <c r="F4856" s="91"/>
      <c r="G4856" s="90"/>
      <c r="H4856" s="92"/>
      <c r="I4856" s="87"/>
      <c r="J4856" s="93"/>
      <c r="K4856" s="92"/>
      <c r="L4856" s="72" t="str">
        <f t="shared" si="76"/>
        <v/>
      </c>
      <c r="N4856" s="15"/>
    </row>
    <row r="4857" spans="1:14" s="14" customFormat="1" ht="18" x14ac:dyDescent="0.25">
      <c r="A4857" s="91"/>
      <c r="B4857" s="90"/>
      <c r="C4857" s="88"/>
      <c r="D4857" s="89"/>
      <c r="E4857" s="90"/>
      <c r="F4857" s="91"/>
      <c r="G4857" s="90"/>
      <c r="H4857" s="92"/>
      <c r="I4857" s="87"/>
      <c r="J4857" s="93"/>
      <c r="K4857" s="92"/>
      <c r="L4857" s="72" t="str">
        <f t="shared" si="76"/>
        <v/>
      </c>
      <c r="N4857" s="15"/>
    </row>
    <row r="4858" spans="1:14" s="14" customFormat="1" ht="18" x14ac:dyDescent="0.25">
      <c r="A4858" s="91"/>
      <c r="B4858" s="90"/>
      <c r="C4858" s="88"/>
      <c r="D4858" s="89"/>
      <c r="E4858" s="90"/>
      <c r="F4858" s="91"/>
      <c r="G4858" s="90"/>
      <c r="H4858" s="92"/>
      <c r="I4858" s="87"/>
      <c r="J4858" s="93"/>
      <c r="K4858" s="92"/>
      <c r="L4858" s="72" t="str">
        <f t="shared" si="76"/>
        <v/>
      </c>
      <c r="N4858" s="15"/>
    </row>
    <row r="4859" spans="1:14" s="14" customFormat="1" ht="18" x14ac:dyDescent="0.25">
      <c r="A4859" s="91"/>
      <c r="B4859" s="90"/>
      <c r="C4859" s="88"/>
      <c r="D4859" s="89"/>
      <c r="E4859" s="90"/>
      <c r="F4859" s="91"/>
      <c r="G4859" s="90"/>
      <c r="H4859" s="92"/>
      <c r="I4859" s="87"/>
      <c r="J4859" s="93"/>
      <c r="K4859" s="92"/>
      <c r="L4859" s="72" t="str">
        <f t="shared" si="76"/>
        <v/>
      </c>
      <c r="N4859" s="15"/>
    </row>
    <row r="4860" spans="1:14" s="14" customFormat="1" ht="18" x14ac:dyDescent="0.25">
      <c r="A4860" s="91"/>
      <c r="B4860" s="90"/>
      <c r="C4860" s="88"/>
      <c r="D4860" s="89"/>
      <c r="E4860" s="90"/>
      <c r="F4860" s="91"/>
      <c r="G4860" s="90"/>
      <c r="H4860" s="92"/>
      <c r="I4860" s="87"/>
      <c r="J4860" s="93"/>
      <c r="K4860" s="92"/>
      <c r="L4860" s="72" t="str">
        <f t="shared" si="76"/>
        <v/>
      </c>
      <c r="N4860" s="15"/>
    </row>
    <row r="4861" spans="1:14" s="14" customFormat="1" ht="18" x14ac:dyDescent="0.25">
      <c r="A4861" s="91"/>
      <c r="B4861" s="90"/>
      <c r="C4861" s="88"/>
      <c r="D4861" s="89"/>
      <c r="E4861" s="90"/>
      <c r="F4861" s="91"/>
      <c r="G4861" s="90"/>
      <c r="H4861" s="92"/>
      <c r="I4861" s="87"/>
      <c r="J4861" s="93"/>
      <c r="K4861" s="92"/>
      <c r="L4861" s="72" t="str">
        <f t="shared" si="76"/>
        <v/>
      </c>
      <c r="N4861" s="15"/>
    </row>
    <row r="4862" spans="1:14" s="14" customFormat="1" ht="18" x14ac:dyDescent="0.25">
      <c r="A4862" s="91"/>
      <c r="B4862" s="90"/>
      <c r="C4862" s="88"/>
      <c r="D4862" s="89"/>
      <c r="E4862" s="90"/>
      <c r="F4862" s="91"/>
      <c r="G4862" s="90"/>
      <c r="H4862" s="92"/>
      <c r="I4862" s="87"/>
      <c r="J4862" s="93"/>
      <c r="K4862" s="92"/>
      <c r="L4862" s="72" t="str">
        <f t="shared" si="76"/>
        <v/>
      </c>
      <c r="N4862" s="15"/>
    </row>
    <row r="4863" spans="1:14" s="14" customFormat="1" ht="18" x14ac:dyDescent="0.25">
      <c r="A4863" s="91"/>
      <c r="B4863" s="90"/>
      <c r="C4863" s="88"/>
      <c r="D4863" s="89"/>
      <c r="E4863" s="90"/>
      <c r="F4863" s="91"/>
      <c r="G4863" s="90"/>
      <c r="H4863" s="92"/>
      <c r="I4863" s="87"/>
      <c r="J4863" s="93"/>
      <c r="K4863" s="92"/>
      <c r="L4863" s="72" t="str">
        <f t="shared" si="76"/>
        <v/>
      </c>
      <c r="N4863" s="15"/>
    </row>
    <row r="4864" spans="1:14" s="14" customFormat="1" ht="18" x14ac:dyDescent="0.25">
      <c r="A4864" s="91"/>
      <c r="B4864" s="90"/>
      <c r="C4864" s="88"/>
      <c r="D4864" s="89"/>
      <c r="E4864" s="90"/>
      <c r="F4864" s="91"/>
      <c r="G4864" s="90"/>
      <c r="H4864" s="92"/>
      <c r="I4864" s="87"/>
      <c r="J4864" s="93"/>
      <c r="K4864" s="92"/>
      <c r="L4864" s="72" t="str">
        <f t="shared" si="76"/>
        <v/>
      </c>
      <c r="N4864" s="15"/>
    </row>
    <row r="4865" spans="1:14" s="14" customFormat="1" ht="18" x14ac:dyDescent="0.25">
      <c r="A4865" s="91"/>
      <c r="B4865" s="90"/>
      <c r="C4865" s="88"/>
      <c r="D4865" s="89"/>
      <c r="E4865" s="90"/>
      <c r="F4865" s="91"/>
      <c r="G4865" s="90"/>
      <c r="H4865" s="92"/>
      <c r="I4865" s="87"/>
      <c r="J4865" s="93"/>
      <c r="K4865" s="92"/>
      <c r="L4865" s="72" t="str">
        <f t="shared" si="76"/>
        <v/>
      </c>
      <c r="N4865" s="15"/>
    </row>
    <row r="4866" spans="1:14" s="14" customFormat="1" ht="18" x14ac:dyDescent="0.25">
      <c r="A4866" s="91"/>
      <c r="B4866" s="90"/>
      <c r="C4866" s="88"/>
      <c r="D4866" s="89"/>
      <c r="E4866" s="90"/>
      <c r="F4866" s="91"/>
      <c r="G4866" s="90"/>
      <c r="H4866" s="92"/>
      <c r="I4866" s="87"/>
      <c r="J4866" s="93"/>
      <c r="K4866" s="92"/>
      <c r="L4866" s="72" t="str">
        <f t="shared" si="76"/>
        <v/>
      </c>
      <c r="N4866" s="15"/>
    </row>
    <row r="4867" spans="1:14" s="14" customFormat="1" ht="18" x14ac:dyDescent="0.25">
      <c r="A4867" s="91"/>
      <c r="B4867" s="90"/>
      <c r="C4867" s="88"/>
      <c r="D4867" s="89"/>
      <c r="E4867" s="90"/>
      <c r="F4867" s="91"/>
      <c r="G4867" s="90"/>
      <c r="H4867" s="92"/>
      <c r="I4867" s="87"/>
      <c r="J4867" s="93"/>
      <c r="K4867" s="92"/>
      <c r="L4867" s="72" t="str">
        <f t="shared" si="76"/>
        <v/>
      </c>
      <c r="N4867" s="15"/>
    </row>
    <row r="4868" spans="1:14" s="14" customFormat="1" ht="18" x14ac:dyDescent="0.25">
      <c r="A4868" s="91"/>
      <c r="B4868" s="90"/>
      <c r="C4868" s="88"/>
      <c r="D4868" s="89"/>
      <c r="E4868" s="90"/>
      <c r="F4868" s="91"/>
      <c r="G4868" s="90"/>
      <c r="H4868" s="92"/>
      <c r="I4868" s="87"/>
      <c r="J4868" s="93"/>
      <c r="K4868" s="92"/>
      <c r="L4868" s="72" t="str">
        <f t="shared" si="76"/>
        <v/>
      </c>
      <c r="N4868" s="15"/>
    </row>
    <row r="4869" spans="1:14" s="14" customFormat="1" ht="18" x14ac:dyDescent="0.25">
      <c r="A4869" s="91"/>
      <c r="B4869" s="90"/>
      <c r="C4869" s="88"/>
      <c r="D4869" s="89"/>
      <c r="E4869" s="90"/>
      <c r="F4869" s="91"/>
      <c r="G4869" s="90"/>
      <c r="H4869" s="92"/>
      <c r="I4869" s="87"/>
      <c r="J4869" s="93"/>
      <c r="K4869" s="92"/>
      <c r="L4869" s="72" t="str">
        <f t="shared" si="76"/>
        <v/>
      </c>
      <c r="N4869" s="15"/>
    </row>
    <row r="4870" spans="1:14" s="14" customFormat="1" ht="18" x14ac:dyDescent="0.25">
      <c r="A4870" s="91"/>
      <c r="B4870" s="90"/>
      <c r="C4870" s="88"/>
      <c r="D4870" s="89"/>
      <c r="E4870" s="90"/>
      <c r="F4870" s="91"/>
      <c r="G4870" s="90"/>
      <c r="H4870" s="92"/>
      <c r="I4870" s="87"/>
      <c r="J4870" s="93"/>
      <c r="K4870" s="92"/>
      <c r="L4870" s="72" t="str">
        <f t="shared" si="76"/>
        <v/>
      </c>
      <c r="N4870" s="15"/>
    </row>
    <row r="4871" spans="1:14" s="14" customFormat="1" ht="18" x14ac:dyDescent="0.25">
      <c r="A4871" s="91"/>
      <c r="B4871" s="90"/>
      <c r="C4871" s="88"/>
      <c r="D4871" s="89"/>
      <c r="E4871" s="90"/>
      <c r="F4871" s="91"/>
      <c r="G4871" s="90"/>
      <c r="H4871" s="92"/>
      <c r="I4871" s="87"/>
      <c r="J4871" s="93"/>
      <c r="K4871" s="92"/>
      <c r="L4871" s="72" t="str">
        <f t="shared" si="76"/>
        <v/>
      </c>
      <c r="N4871" s="15"/>
    </row>
    <row r="4872" spans="1:14" s="14" customFormat="1" ht="18" x14ac:dyDescent="0.25">
      <c r="A4872" s="91"/>
      <c r="B4872" s="90"/>
      <c r="C4872" s="88"/>
      <c r="D4872" s="89"/>
      <c r="E4872" s="90"/>
      <c r="F4872" s="91"/>
      <c r="G4872" s="90"/>
      <c r="H4872" s="92"/>
      <c r="I4872" s="87"/>
      <c r="J4872" s="93"/>
      <c r="K4872" s="92"/>
      <c r="L4872" s="72" t="str">
        <f t="shared" si="76"/>
        <v/>
      </c>
      <c r="N4872" s="15"/>
    </row>
    <row r="4873" spans="1:14" s="14" customFormat="1" ht="18" x14ac:dyDescent="0.25">
      <c r="A4873" s="91"/>
      <c r="B4873" s="90"/>
      <c r="C4873" s="88"/>
      <c r="D4873" s="89"/>
      <c r="E4873" s="90"/>
      <c r="F4873" s="91"/>
      <c r="G4873" s="90"/>
      <c r="H4873" s="92"/>
      <c r="I4873" s="87"/>
      <c r="J4873" s="93"/>
      <c r="K4873" s="92"/>
      <c r="L4873" s="72" t="str">
        <f t="shared" si="76"/>
        <v/>
      </c>
      <c r="N4873" s="15"/>
    </row>
    <row r="4874" spans="1:14" s="14" customFormat="1" ht="18" x14ac:dyDescent="0.25">
      <c r="A4874" s="91"/>
      <c r="B4874" s="90"/>
      <c r="C4874" s="88"/>
      <c r="D4874" s="89"/>
      <c r="E4874" s="90"/>
      <c r="F4874" s="91"/>
      <c r="G4874" s="90"/>
      <c r="H4874" s="92"/>
      <c r="I4874" s="87"/>
      <c r="J4874" s="93"/>
      <c r="K4874" s="92"/>
      <c r="L4874" s="72" t="str">
        <f t="shared" si="76"/>
        <v/>
      </c>
      <c r="N4874" s="15"/>
    </row>
    <row r="4875" spans="1:14" s="14" customFormat="1" ht="18" x14ac:dyDescent="0.25">
      <c r="A4875" s="91"/>
      <c r="B4875" s="90"/>
      <c r="C4875" s="88"/>
      <c r="D4875" s="89"/>
      <c r="E4875" s="90"/>
      <c r="F4875" s="91"/>
      <c r="G4875" s="90"/>
      <c r="H4875" s="92"/>
      <c r="I4875" s="87"/>
      <c r="J4875" s="93"/>
      <c r="K4875" s="92"/>
      <c r="L4875" s="72" t="str">
        <f t="shared" si="76"/>
        <v/>
      </c>
      <c r="N4875" s="15"/>
    </row>
    <row r="4876" spans="1:14" s="14" customFormat="1" ht="18" x14ac:dyDescent="0.25">
      <c r="A4876" s="91"/>
      <c r="B4876" s="90"/>
      <c r="C4876" s="88"/>
      <c r="D4876" s="89"/>
      <c r="E4876" s="90"/>
      <c r="F4876" s="91"/>
      <c r="G4876" s="90"/>
      <c r="H4876" s="92"/>
      <c r="I4876" s="87"/>
      <c r="J4876" s="93"/>
      <c r="K4876" s="92"/>
      <c r="L4876" s="72" t="str">
        <f t="shared" si="76"/>
        <v/>
      </c>
      <c r="N4876" s="15"/>
    </row>
    <row r="4877" spans="1:14" s="14" customFormat="1" ht="18" x14ac:dyDescent="0.25">
      <c r="A4877" s="91"/>
      <c r="B4877" s="90"/>
      <c r="C4877" s="88"/>
      <c r="D4877" s="89"/>
      <c r="E4877" s="90"/>
      <c r="F4877" s="91"/>
      <c r="G4877" s="90"/>
      <c r="H4877" s="92"/>
      <c r="I4877" s="87"/>
      <c r="J4877" s="93"/>
      <c r="K4877" s="92"/>
      <c r="L4877" s="72" t="str">
        <f t="shared" si="76"/>
        <v/>
      </c>
      <c r="N4877" s="15"/>
    </row>
    <row r="4878" spans="1:14" s="14" customFormat="1" ht="18" x14ac:dyDescent="0.25">
      <c r="A4878" s="91"/>
      <c r="B4878" s="90"/>
      <c r="C4878" s="88"/>
      <c r="D4878" s="89"/>
      <c r="E4878" s="90"/>
      <c r="F4878" s="91"/>
      <c r="G4878" s="90"/>
      <c r="H4878" s="92"/>
      <c r="I4878" s="87"/>
      <c r="J4878" s="93"/>
      <c r="K4878" s="92"/>
      <c r="L4878" s="72" t="str">
        <f t="shared" si="76"/>
        <v/>
      </c>
      <c r="N4878" s="15"/>
    </row>
    <row r="4879" spans="1:14" s="14" customFormat="1" ht="18" x14ac:dyDescent="0.25">
      <c r="A4879" s="91"/>
      <c r="B4879" s="90"/>
      <c r="C4879" s="88"/>
      <c r="D4879" s="89"/>
      <c r="E4879" s="90"/>
      <c r="F4879" s="91"/>
      <c r="G4879" s="90"/>
      <c r="H4879" s="92"/>
      <c r="I4879" s="87"/>
      <c r="J4879" s="93"/>
      <c r="K4879" s="92"/>
      <c r="L4879" s="72" t="str">
        <f t="shared" si="76"/>
        <v/>
      </c>
      <c r="N4879" s="15"/>
    </row>
    <row r="4880" spans="1:14" s="14" customFormat="1" ht="18" x14ac:dyDescent="0.25">
      <c r="A4880" s="91"/>
      <c r="B4880" s="90"/>
      <c r="C4880" s="88"/>
      <c r="D4880" s="89"/>
      <c r="E4880" s="90"/>
      <c r="F4880" s="91"/>
      <c r="G4880" s="90"/>
      <c r="H4880" s="92"/>
      <c r="I4880" s="87"/>
      <c r="J4880" s="93"/>
      <c r="K4880" s="92"/>
      <c r="L4880" s="72" t="str">
        <f t="shared" si="76"/>
        <v/>
      </c>
      <c r="N4880" s="15"/>
    </row>
    <row r="4881" spans="1:14" s="14" customFormat="1" ht="18" x14ac:dyDescent="0.25">
      <c r="A4881" s="91"/>
      <c r="B4881" s="90"/>
      <c r="C4881" s="88"/>
      <c r="D4881" s="89"/>
      <c r="E4881" s="90"/>
      <c r="F4881" s="91"/>
      <c r="G4881" s="90"/>
      <c r="H4881" s="92"/>
      <c r="I4881" s="87"/>
      <c r="J4881" s="93"/>
      <c r="K4881" s="92"/>
      <c r="L4881" s="72" t="str">
        <f t="shared" si="76"/>
        <v/>
      </c>
      <c r="N4881" s="15"/>
    </row>
    <row r="4882" spans="1:14" s="14" customFormat="1" ht="18" x14ac:dyDescent="0.25">
      <c r="A4882" s="91"/>
      <c r="B4882" s="90"/>
      <c r="C4882" s="88"/>
      <c r="D4882" s="89"/>
      <c r="E4882" s="90"/>
      <c r="F4882" s="91"/>
      <c r="G4882" s="90"/>
      <c r="H4882" s="92"/>
      <c r="I4882" s="87"/>
      <c r="J4882" s="93"/>
      <c r="K4882" s="92"/>
      <c r="L4882" s="72" t="str">
        <f t="shared" si="76"/>
        <v/>
      </c>
      <c r="N4882" s="15"/>
    </row>
    <row r="4883" spans="1:14" s="14" customFormat="1" ht="18" x14ac:dyDescent="0.25">
      <c r="A4883" s="91"/>
      <c r="B4883" s="90"/>
      <c r="C4883" s="88"/>
      <c r="D4883" s="89"/>
      <c r="E4883" s="90"/>
      <c r="F4883" s="91"/>
      <c r="G4883" s="90"/>
      <c r="H4883" s="92"/>
      <c r="I4883" s="87"/>
      <c r="J4883" s="93"/>
      <c r="K4883" s="92"/>
      <c r="L4883" s="72" t="str">
        <f t="shared" si="76"/>
        <v/>
      </c>
      <c r="N4883" s="15"/>
    </row>
    <row r="4884" spans="1:14" s="14" customFormat="1" ht="18" x14ac:dyDescent="0.25">
      <c r="A4884" s="91"/>
      <c r="B4884" s="90"/>
      <c r="C4884" s="88"/>
      <c r="D4884" s="89"/>
      <c r="E4884" s="90"/>
      <c r="F4884" s="91"/>
      <c r="G4884" s="90"/>
      <c r="H4884" s="92"/>
      <c r="I4884" s="87"/>
      <c r="J4884" s="93"/>
      <c r="K4884" s="92"/>
      <c r="L4884" s="72" t="str">
        <f t="shared" si="76"/>
        <v/>
      </c>
      <c r="N4884" s="15"/>
    </row>
    <row r="4885" spans="1:14" s="14" customFormat="1" ht="18" x14ac:dyDescent="0.25">
      <c r="A4885" s="91"/>
      <c r="B4885" s="90"/>
      <c r="C4885" s="88"/>
      <c r="D4885" s="89"/>
      <c r="E4885" s="90"/>
      <c r="F4885" s="91"/>
      <c r="G4885" s="90"/>
      <c r="H4885" s="92"/>
      <c r="I4885" s="87"/>
      <c r="J4885" s="93"/>
      <c r="K4885" s="92"/>
      <c r="L4885" s="72" t="str">
        <f t="shared" si="76"/>
        <v/>
      </c>
      <c r="N4885" s="15"/>
    </row>
    <row r="4886" spans="1:14" s="14" customFormat="1" ht="18" x14ac:dyDescent="0.25">
      <c r="A4886" s="91"/>
      <c r="B4886" s="90"/>
      <c r="C4886" s="88"/>
      <c r="D4886" s="89"/>
      <c r="E4886" s="90"/>
      <c r="F4886" s="91"/>
      <c r="G4886" s="90"/>
      <c r="H4886" s="92"/>
      <c r="I4886" s="87"/>
      <c r="J4886" s="93"/>
      <c r="K4886" s="92"/>
      <c r="L4886" s="72" t="str">
        <f t="shared" si="76"/>
        <v/>
      </c>
      <c r="N4886" s="15"/>
    </row>
    <row r="4887" spans="1:14" s="14" customFormat="1" ht="18" x14ac:dyDescent="0.25">
      <c r="A4887" s="91"/>
      <c r="B4887" s="90"/>
      <c r="C4887" s="88"/>
      <c r="D4887" s="89"/>
      <c r="E4887" s="90"/>
      <c r="F4887" s="91"/>
      <c r="G4887" s="90"/>
      <c r="H4887" s="92"/>
      <c r="I4887" s="87"/>
      <c r="J4887" s="93"/>
      <c r="K4887" s="92"/>
      <c r="L4887" s="72" t="str">
        <f t="shared" si="76"/>
        <v/>
      </c>
      <c r="N4887" s="15"/>
    </row>
    <row r="4888" spans="1:14" s="14" customFormat="1" ht="18" x14ac:dyDescent="0.25">
      <c r="A4888" s="91"/>
      <c r="B4888" s="90"/>
      <c r="C4888" s="88"/>
      <c r="D4888" s="89"/>
      <c r="E4888" s="90"/>
      <c r="F4888" s="91"/>
      <c r="G4888" s="90"/>
      <c r="H4888" s="92"/>
      <c r="I4888" s="87"/>
      <c r="J4888" s="93"/>
      <c r="K4888" s="92"/>
      <c r="L4888" s="72" t="str">
        <f t="shared" si="76"/>
        <v/>
      </c>
      <c r="N4888" s="15"/>
    </row>
    <row r="4889" spans="1:14" s="14" customFormat="1" ht="18" x14ac:dyDescent="0.25">
      <c r="A4889" s="91"/>
      <c r="B4889" s="90"/>
      <c r="C4889" s="88"/>
      <c r="D4889" s="89"/>
      <c r="E4889" s="90"/>
      <c r="F4889" s="91"/>
      <c r="G4889" s="90"/>
      <c r="H4889" s="92"/>
      <c r="I4889" s="87"/>
      <c r="J4889" s="93"/>
      <c r="K4889" s="92"/>
      <c r="L4889" s="72" t="str">
        <f t="shared" si="76"/>
        <v/>
      </c>
      <c r="N4889" s="15"/>
    </row>
    <row r="4890" spans="1:14" s="14" customFormat="1" ht="18" x14ac:dyDescent="0.25">
      <c r="A4890" s="91"/>
      <c r="B4890" s="90"/>
      <c r="C4890" s="88"/>
      <c r="D4890" s="89"/>
      <c r="E4890" s="90"/>
      <c r="F4890" s="91"/>
      <c r="G4890" s="90"/>
      <c r="H4890" s="92"/>
      <c r="I4890" s="87"/>
      <c r="J4890" s="93"/>
      <c r="K4890" s="92"/>
      <c r="L4890" s="72" t="str">
        <f t="shared" si="76"/>
        <v/>
      </c>
      <c r="N4890" s="15"/>
    </row>
    <row r="4891" spans="1:14" s="14" customFormat="1" ht="18" x14ac:dyDescent="0.25">
      <c r="A4891" s="91"/>
      <c r="B4891" s="90"/>
      <c r="C4891" s="88"/>
      <c r="D4891" s="89"/>
      <c r="E4891" s="90"/>
      <c r="F4891" s="91"/>
      <c r="G4891" s="90"/>
      <c r="H4891" s="92"/>
      <c r="I4891" s="87"/>
      <c r="J4891" s="93"/>
      <c r="K4891" s="92"/>
      <c r="L4891" s="72" t="str">
        <f t="shared" si="76"/>
        <v/>
      </c>
      <c r="N4891" s="15"/>
    </row>
    <row r="4892" spans="1:14" s="14" customFormat="1" ht="18" x14ac:dyDescent="0.25">
      <c r="A4892" s="91"/>
      <c r="B4892" s="90"/>
      <c r="C4892" s="88"/>
      <c r="D4892" s="89"/>
      <c r="E4892" s="90"/>
      <c r="F4892" s="91"/>
      <c r="G4892" s="90"/>
      <c r="H4892" s="92"/>
      <c r="I4892" s="87"/>
      <c r="J4892" s="93"/>
      <c r="K4892" s="92"/>
      <c r="L4892" s="72" t="str">
        <f t="shared" si="76"/>
        <v/>
      </c>
      <c r="N4892" s="15"/>
    </row>
    <row r="4893" spans="1:14" s="14" customFormat="1" ht="18" x14ac:dyDescent="0.25">
      <c r="A4893" s="91"/>
      <c r="B4893" s="90"/>
      <c r="C4893" s="88"/>
      <c r="D4893" s="89"/>
      <c r="E4893" s="90"/>
      <c r="F4893" s="91"/>
      <c r="G4893" s="90"/>
      <c r="H4893" s="92"/>
      <c r="I4893" s="87"/>
      <c r="J4893" s="93"/>
      <c r="K4893" s="92"/>
      <c r="L4893" s="72" t="str">
        <f t="shared" si="76"/>
        <v/>
      </c>
      <c r="N4893" s="15"/>
    </row>
    <row r="4894" spans="1:14" s="14" customFormat="1" ht="18" x14ac:dyDescent="0.25">
      <c r="A4894" s="91"/>
      <c r="B4894" s="90"/>
      <c r="C4894" s="88"/>
      <c r="D4894" s="89"/>
      <c r="E4894" s="90"/>
      <c r="F4894" s="91"/>
      <c r="G4894" s="90"/>
      <c r="H4894" s="92"/>
      <c r="I4894" s="87"/>
      <c r="J4894" s="93"/>
      <c r="K4894" s="92"/>
      <c r="L4894" s="72" t="str">
        <f t="shared" ref="L4894:L4957" si="77">IF(ISBLANK(H4894),"",IF(H4894=K4894,"Payé","Impayé"))</f>
        <v/>
      </c>
      <c r="N4894" s="15"/>
    </row>
    <row r="4895" spans="1:14" s="14" customFormat="1" ht="18" x14ac:dyDescent="0.25">
      <c r="A4895" s="91"/>
      <c r="B4895" s="90"/>
      <c r="C4895" s="88"/>
      <c r="D4895" s="89"/>
      <c r="E4895" s="90"/>
      <c r="F4895" s="91"/>
      <c r="G4895" s="90"/>
      <c r="H4895" s="92"/>
      <c r="I4895" s="87"/>
      <c r="J4895" s="93"/>
      <c r="K4895" s="92"/>
      <c r="L4895" s="72" t="str">
        <f t="shared" si="77"/>
        <v/>
      </c>
      <c r="N4895" s="15"/>
    </row>
    <row r="4896" spans="1:14" s="14" customFormat="1" ht="18" x14ac:dyDescent="0.25">
      <c r="A4896" s="91"/>
      <c r="B4896" s="90"/>
      <c r="C4896" s="88"/>
      <c r="D4896" s="89"/>
      <c r="E4896" s="90"/>
      <c r="F4896" s="91"/>
      <c r="G4896" s="90"/>
      <c r="H4896" s="92"/>
      <c r="I4896" s="87"/>
      <c r="J4896" s="93"/>
      <c r="K4896" s="92"/>
      <c r="L4896" s="72" t="str">
        <f t="shared" si="77"/>
        <v/>
      </c>
      <c r="N4896" s="15"/>
    </row>
    <row r="4897" spans="1:14" s="14" customFormat="1" ht="18" x14ac:dyDescent="0.25">
      <c r="A4897" s="91"/>
      <c r="B4897" s="90"/>
      <c r="C4897" s="88"/>
      <c r="D4897" s="89"/>
      <c r="E4897" s="90"/>
      <c r="F4897" s="91"/>
      <c r="G4897" s="90"/>
      <c r="H4897" s="92"/>
      <c r="I4897" s="87"/>
      <c r="J4897" s="93"/>
      <c r="K4897" s="92"/>
      <c r="L4897" s="72" t="str">
        <f t="shared" si="77"/>
        <v/>
      </c>
      <c r="N4897" s="15"/>
    </row>
    <row r="4898" spans="1:14" s="14" customFormat="1" ht="18" x14ac:dyDescent="0.25">
      <c r="A4898" s="91"/>
      <c r="B4898" s="90"/>
      <c r="C4898" s="88"/>
      <c r="D4898" s="89"/>
      <c r="E4898" s="90"/>
      <c r="F4898" s="91"/>
      <c r="G4898" s="90"/>
      <c r="H4898" s="92"/>
      <c r="I4898" s="87"/>
      <c r="J4898" s="93"/>
      <c r="K4898" s="92"/>
      <c r="L4898" s="72" t="str">
        <f t="shared" si="77"/>
        <v/>
      </c>
      <c r="N4898" s="15"/>
    </row>
    <row r="4899" spans="1:14" s="14" customFormat="1" ht="18" x14ac:dyDescent="0.25">
      <c r="A4899" s="91"/>
      <c r="B4899" s="90"/>
      <c r="C4899" s="88"/>
      <c r="D4899" s="89"/>
      <c r="E4899" s="90"/>
      <c r="F4899" s="91"/>
      <c r="G4899" s="90"/>
      <c r="H4899" s="92"/>
      <c r="I4899" s="87"/>
      <c r="J4899" s="93"/>
      <c r="K4899" s="92"/>
      <c r="L4899" s="72" t="str">
        <f t="shared" si="77"/>
        <v/>
      </c>
      <c r="N4899" s="15"/>
    </row>
    <row r="4900" spans="1:14" s="14" customFormat="1" ht="18" x14ac:dyDescent="0.25">
      <c r="A4900" s="91"/>
      <c r="B4900" s="90"/>
      <c r="C4900" s="88"/>
      <c r="D4900" s="89"/>
      <c r="E4900" s="90"/>
      <c r="F4900" s="91"/>
      <c r="G4900" s="90"/>
      <c r="H4900" s="92"/>
      <c r="I4900" s="87"/>
      <c r="J4900" s="93"/>
      <c r="K4900" s="92"/>
      <c r="L4900" s="72" t="str">
        <f t="shared" si="77"/>
        <v/>
      </c>
      <c r="N4900" s="15"/>
    </row>
    <row r="4901" spans="1:14" s="14" customFormat="1" ht="18" x14ac:dyDescent="0.25">
      <c r="A4901" s="91"/>
      <c r="B4901" s="90"/>
      <c r="C4901" s="88"/>
      <c r="D4901" s="89"/>
      <c r="E4901" s="90"/>
      <c r="F4901" s="91"/>
      <c r="G4901" s="90"/>
      <c r="H4901" s="92"/>
      <c r="I4901" s="87"/>
      <c r="J4901" s="93"/>
      <c r="K4901" s="92"/>
      <c r="L4901" s="72" t="str">
        <f t="shared" si="77"/>
        <v/>
      </c>
      <c r="N4901" s="15"/>
    </row>
    <row r="4902" spans="1:14" s="14" customFormat="1" ht="18" x14ac:dyDescent="0.25">
      <c r="A4902" s="91"/>
      <c r="B4902" s="90"/>
      <c r="C4902" s="88"/>
      <c r="D4902" s="89"/>
      <c r="E4902" s="90"/>
      <c r="F4902" s="91"/>
      <c r="G4902" s="90"/>
      <c r="H4902" s="92"/>
      <c r="I4902" s="87"/>
      <c r="J4902" s="93"/>
      <c r="K4902" s="92"/>
      <c r="L4902" s="72" t="str">
        <f t="shared" si="77"/>
        <v/>
      </c>
      <c r="N4902" s="15"/>
    </row>
    <row r="4903" spans="1:14" s="14" customFormat="1" ht="18" x14ac:dyDescent="0.25">
      <c r="A4903" s="91"/>
      <c r="B4903" s="90"/>
      <c r="C4903" s="88"/>
      <c r="D4903" s="89"/>
      <c r="E4903" s="90"/>
      <c r="F4903" s="91"/>
      <c r="G4903" s="90"/>
      <c r="H4903" s="92"/>
      <c r="I4903" s="87"/>
      <c r="J4903" s="93"/>
      <c r="K4903" s="92"/>
      <c r="L4903" s="72" t="str">
        <f t="shared" si="77"/>
        <v/>
      </c>
      <c r="N4903" s="15"/>
    </row>
    <row r="4904" spans="1:14" s="14" customFormat="1" ht="18" x14ac:dyDescent="0.25">
      <c r="A4904" s="91"/>
      <c r="B4904" s="90"/>
      <c r="C4904" s="88"/>
      <c r="D4904" s="89"/>
      <c r="E4904" s="90"/>
      <c r="F4904" s="91"/>
      <c r="G4904" s="90"/>
      <c r="H4904" s="92"/>
      <c r="I4904" s="87"/>
      <c r="J4904" s="93"/>
      <c r="K4904" s="92"/>
      <c r="L4904" s="72" t="str">
        <f t="shared" si="77"/>
        <v/>
      </c>
      <c r="N4904" s="15"/>
    </row>
    <row r="4905" spans="1:14" s="14" customFormat="1" ht="18" x14ac:dyDescent="0.25">
      <c r="A4905" s="91"/>
      <c r="B4905" s="90"/>
      <c r="C4905" s="88"/>
      <c r="D4905" s="89"/>
      <c r="E4905" s="90"/>
      <c r="F4905" s="91"/>
      <c r="G4905" s="90"/>
      <c r="H4905" s="92"/>
      <c r="I4905" s="87"/>
      <c r="J4905" s="93"/>
      <c r="K4905" s="92"/>
      <c r="L4905" s="72" t="str">
        <f t="shared" si="77"/>
        <v/>
      </c>
      <c r="N4905" s="15"/>
    </row>
    <row r="4906" spans="1:14" s="14" customFormat="1" ht="18" x14ac:dyDescent="0.25">
      <c r="A4906" s="91"/>
      <c r="B4906" s="90"/>
      <c r="C4906" s="88"/>
      <c r="D4906" s="89"/>
      <c r="E4906" s="90"/>
      <c r="F4906" s="91"/>
      <c r="G4906" s="90"/>
      <c r="H4906" s="92"/>
      <c r="I4906" s="87"/>
      <c r="J4906" s="93"/>
      <c r="K4906" s="92"/>
      <c r="L4906" s="72" t="str">
        <f t="shared" si="77"/>
        <v/>
      </c>
      <c r="N4906" s="15"/>
    </row>
    <row r="4907" spans="1:14" s="14" customFormat="1" ht="18" x14ac:dyDescent="0.25">
      <c r="A4907" s="91"/>
      <c r="B4907" s="90"/>
      <c r="C4907" s="88"/>
      <c r="D4907" s="89"/>
      <c r="E4907" s="90"/>
      <c r="F4907" s="91"/>
      <c r="G4907" s="90"/>
      <c r="H4907" s="92"/>
      <c r="I4907" s="87"/>
      <c r="J4907" s="93"/>
      <c r="K4907" s="92"/>
      <c r="L4907" s="72" t="str">
        <f t="shared" si="77"/>
        <v/>
      </c>
      <c r="N4907" s="15"/>
    </row>
    <row r="4908" spans="1:14" s="14" customFormat="1" ht="18" x14ac:dyDescent="0.25">
      <c r="A4908" s="91"/>
      <c r="B4908" s="90"/>
      <c r="C4908" s="88"/>
      <c r="D4908" s="89"/>
      <c r="E4908" s="90"/>
      <c r="F4908" s="91"/>
      <c r="G4908" s="90"/>
      <c r="H4908" s="92"/>
      <c r="I4908" s="87"/>
      <c r="J4908" s="93"/>
      <c r="K4908" s="92"/>
      <c r="L4908" s="72" t="str">
        <f t="shared" si="77"/>
        <v/>
      </c>
      <c r="N4908" s="15"/>
    </row>
    <row r="4909" spans="1:14" s="14" customFormat="1" ht="18" x14ac:dyDescent="0.25">
      <c r="A4909" s="91"/>
      <c r="B4909" s="90"/>
      <c r="C4909" s="88"/>
      <c r="D4909" s="89"/>
      <c r="E4909" s="90"/>
      <c r="F4909" s="91"/>
      <c r="G4909" s="90"/>
      <c r="H4909" s="92"/>
      <c r="I4909" s="87"/>
      <c r="J4909" s="93"/>
      <c r="K4909" s="92"/>
      <c r="L4909" s="72" t="str">
        <f t="shared" si="77"/>
        <v/>
      </c>
      <c r="N4909" s="15"/>
    </row>
    <row r="4910" spans="1:14" s="14" customFormat="1" ht="18" x14ac:dyDescent="0.25">
      <c r="A4910" s="91"/>
      <c r="B4910" s="90"/>
      <c r="C4910" s="88"/>
      <c r="D4910" s="89"/>
      <c r="E4910" s="90"/>
      <c r="F4910" s="91"/>
      <c r="G4910" s="90"/>
      <c r="H4910" s="92"/>
      <c r="I4910" s="87"/>
      <c r="J4910" s="93"/>
      <c r="K4910" s="92"/>
      <c r="L4910" s="72" t="str">
        <f t="shared" si="77"/>
        <v/>
      </c>
      <c r="N4910" s="15"/>
    </row>
    <row r="4911" spans="1:14" s="14" customFormat="1" ht="18" x14ac:dyDescent="0.25">
      <c r="A4911" s="91"/>
      <c r="B4911" s="90"/>
      <c r="C4911" s="88"/>
      <c r="D4911" s="89"/>
      <c r="E4911" s="90"/>
      <c r="F4911" s="91"/>
      <c r="G4911" s="90"/>
      <c r="H4911" s="92"/>
      <c r="I4911" s="87"/>
      <c r="J4911" s="93"/>
      <c r="K4911" s="92"/>
      <c r="L4911" s="72" t="str">
        <f t="shared" si="77"/>
        <v/>
      </c>
      <c r="N4911" s="15"/>
    </row>
    <row r="4912" spans="1:14" s="14" customFormat="1" ht="18" x14ac:dyDescent="0.25">
      <c r="A4912" s="91"/>
      <c r="B4912" s="90"/>
      <c r="C4912" s="88"/>
      <c r="D4912" s="89"/>
      <c r="E4912" s="90"/>
      <c r="F4912" s="91"/>
      <c r="G4912" s="90"/>
      <c r="H4912" s="92"/>
      <c r="I4912" s="87"/>
      <c r="J4912" s="93"/>
      <c r="K4912" s="92"/>
      <c r="L4912" s="72" t="str">
        <f t="shared" si="77"/>
        <v/>
      </c>
      <c r="N4912" s="15"/>
    </row>
    <row r="4913" spans="1:14" s="14" customFormat="1" ht="18" x14ac:dyDescent="0.25">
      <c r="A4913" s="91"/>
      <c r="B4913" s="90"/>
      <c r="C4913" s="88"/>
      <c r="D4913" s="89"/>
      <c r="E4913" s="90"/>
      <c r="F4913" s="91"/>
      <c r="G4913" s="90"/>
      <c r="H4913" s="92"/>
      <c r="I4913" s="87"/>
      <c r="J4913" s="93"/>
      <c r="K4913" s="92"/>
      <c r="L4913" s="72" t="str">
        <f t="shared" si="77"/>
        <v/>
      </c>
      <c r="N4913" s="15"/>
    </row>
    <row r="4914" spans="1:14" s="14" customFormat="1" ht="18" x14ac:dyDescent="0.25">
      <c r="A4914" s="91"/>
      <c r="B4914" s="90"/>
      <c r="C4914" s="88"/>
      <c r="D4914" s="89"/>
      <c r="E4914" s="90"/>
      <c r="F4914" s="91"/>
      <c r="G4914" s="90"/>
      <c r="H4914" s="92"/>
      <c r="I4914" s="87"/>
      <c r="J4914" s="93"/>
      <c r="K4914" s="92"/>
      <c r="L4914" s="72" t="str">
        <f t="shared" si="77"/>
        <v/>
      </c>
      <c r="N4914" s="15"/>
    </row>
    <row r="4915" spans="1:14" s="14" customFormat="1" ht="18" x14ac:dyDescent="0.25">
      <c r="A4915" s="91"/>
      <c r="B4915" s="90"/>
      <c r="C4915" s="88"/>
      <c r="D4915" s="89"/>
      <c r="E4915" s="90"/>
      <c r="F4915" s="91"/>
      <c r="G4915" s="90"/>
      <c r="H4915" s="92"/>
      <c r="I4915" s="87"/>
      <c r="J4915" s="93"/>
      <c r="K4915" s="92"/>
      <c r="L4915" s="72" t="str">
        <f t="shared" si="77"/>
        <v/>
      </c>
      <c r="N4915" s="15"/>
    </row>
    <row r="4916" spans="1:14" s="14" customFormat="1" ht="18" x14ac:dyDescent="0.25">
      <c r="A4916" s="91"/>
      <c r="B4916" s="90"/>
      <c r="C4916" s="88"/>
      <c r="D4916" s="89"/>
      <c r="E4916" s="90"/>
      <c r="F4916" s="91"/>
      <c r="G4916" s="90"/>
      <c r="H4916" s="92"/>
      <c r="I4916" s="87"/>
      <c r="J4916" s="93"/>
      <c r="K4916" s="92"/>
      <c r="L4916" s="72" t="str">
        <f t="shared" si="77"/>
        <v/>
      </c>
      <c r="N4916" s="15"/>
    </row>
    <row r="4917" spans="1:14" s="14" customFormat="1" ht="18" x14ac:dyDescent="0.25">
      <c r="A4917" s="91"/>
      <c r="B4917" s="90"/>
      <c r="C4917" s="88"/>
      <c r="D4917" s="89"/>
      <c r="E4917" s="90"/>
      <c r="F4917" s="91"/>
      <c r="G4917" s="90"/>
      <c r="H4917" s="92"/>
      <c r="I4917" s="87"/>
      <c r="J4917" s="93"/>
      <c r="K4917" s="92"/>
      <c r="L4917" s="72" t="str">
        <f t="shared" si="77"/>
        <v/>
      </c>
      <c r="N4917" s="15"/>
    </row>
    <row r="4918" spans="1:14" s="14" customFormat="1" ht="18" x14ac:dyDescent="0.25">
      <c r="A4918" s="91"/>
      <c r="B4918" s="90"/>
      <c r="C4918" s="88"/>
      <c r="D4918" s="89"/>
      <c r="E4918" s="90"/>
      <c r="F4918" s="91"/>
      <c r="G4918" s="90"/>
      <c r="H4918" s="92"/>
      <c r="I4918" s="87"/>
      <c r="J4918" s="93"/>
      <c r="K4918" s="92"/>
      <c r="L4918" s="72" t="str">
        <f t="shared" si="77"/>
        <v/>
      </c>
      <c r="N4918" s="15"/>
    </row>
    <row r="4919" spans="1:14" s="14" customFormat="1" ht="18" x14ac:dyDescent="0.25">
      <c r="A4919" s="91"/>
      <c r="B4919" s="90"/>
      <c r="C4919" s="88"/>
      <c r="D4919" s="89"/>
      <c r="E4919" s="90"/>
      <c r="F4919" s="91"/>
      <c r="G4919" s="90"/>
      <c r="H4919" s="92"/>
      <c r="I4919" s="87"/>
      <c r="J4919" s="93"/>
      <c r="K4919" s="92"/>
      <c r="L4919" s="72" t="str">
        <f t="shared" si="77"/>
        <v/>
      </c>
      <c r="N4919" s="15"/>
    </row>
    <row r="4920" spans="1:14" s="14" customFormat="1" ht="18" x14ac:dyDescent="0.25">
      <c r="A4920" s="91"/>
      <c r="B4920" s="90"/>
      <c r="C4920" s="88"/>
      <c r="D4920" s="89"/>
      <c r="E4920" s="90"/>
      <c r="F4920" s="91"/>
      <c r="G4920" s="90"/>
      <c r="H4920" s="92"/>
      <c r="I4920" s="87"/>
      <c r="J4920" s="93"/>
      <c r="K4920" s="92"/>
      <c r="L4920" s="72" t="str">
        <f t="shared" si="77"/>
        <v/>
      </c>
      <c r="N4920" s="15"/>
    </row>
    <row r="4921" spans="1:14" s="14" customFormat="1" ht="18" x14ac:dyDescent="0.25">
      <c r="A4921" s="91"/>
      <c r="B4921" s="90"/>
      <c r="C4921" s="88"/>
      <c r="D4921" s="89"/>
      <c r="E4921" s="90"/>
      <c r="F4921" s="91"/>
      <c r="G4921" s="90"/>
      <c r="H4921" s="92"/>
      <c r="I4921" s="87"/>
      <c r="J4921" s="93"/>
      <c r="K4921" s="92"/>
      <c r="L4921" s="72" t="str">
        <f t="shared" si="77"/>
        <v/>
      </c>
      <c r="N4921" s="15"/>
    </row>
    <row r="4922" spans="1:14" s="14" customFormat="1" ht="18" x14ac:dyDescent="0.25">
      <c r="A4922" s="91"/>
      <c r="B4922" s="90"/>
      <c r="C4922" s="88"/>
      <c r="D4922" s="89"/>
      <c r="E4922" s="90"/>
      <c r="F4922" s="91"/>
      <c r="G4922" s="90"/>
      <c r="H4922" s="92"/>
      <c r="I4922" s="87"/>
      <c r="J4922" s="93"/>
      <c r="K4922" s="92"/>
      <c r="L4922" s="72" t="str">
        <f t="shared" si="77"/>
        <v/>
      </c>
      <c r="N4922" s="15"/>
    </row>
    <row r="4923" spans="1:14" s="14" customFormat="1" ht="18" x14ac:dyDescent="0.25">
      <c r="A4923" s="91"/>
      <c r="B4923" s="90"/>
      <c r="C4923" s="88"/>
      <c r="D4923" s="89"/>
      <c r="E4923" s="90"/>
      <c r="F4923" s="91"/>
      <c r="G4923" s="90"/>
      <c r="H4923" s="92"/>
      <c r="I4923" s="87"/>
      <c r="J4923" s="93"/>
      <c r="K4923" s="92"/>
      <c r="L4923" s="72" t="str">
        <f t="shared" si="77"/>
        <v/>
      </c>
      <c r="N4923" s="15"/>
    </row>
    <row r="4924" spans="1:14" s="14" customFormat="1" ht="18" x14ac:dyDescent="0.25">
      <c r="A4924" s="91"/>
      <c r="B4924" s="90"/>
      <c r="C4924" s="88"/>
      <c r="D4924" s="89"/>
      <c r="E4924" s="90"/>
      <c r="F4924" s="91"/>
      <c r="G4924" s="90"/>
      <c r="H4924" s="92"/>
      <c r="I4924" s="87"/>
      <c r="J4924" s="93"/>
      <c r="K4924" s="92"/>
      <c r="L4924" s="72" t="str">
        <f t="shared" si="77"/>
        <v/>
      </c>
      <c r="N4924" s="15"/>
    </row>
    <row r="4925" spans="1:14" s="14" customFormat="1" ht="18" x14ac:dyDescent="0.25">
      <c r="A4925" s="91"/>
      <c r="B4925" s="90"/>
      <c r="C4925" s="88"/>
      <c r="D4925" s="89"/>
      <c r="E4925" s="90"/>
      <c r="F4925" s="91"/>
      <c r="G4925" s="90"/>
      <c r="H4925" s="92"/>
      <c r="I4925" s="87"/>
      <c r="J4925" s="93"/>
      <c r="K4925" s="92"/>
      <c r="L4925" s="72" t="str">
        <f t="shared" si="77"/>
        <v/>
      </c>
      <c r="N4925" s="15"/>
    </row>
    <row r="4926" spans="1:14" s="14" customFormat="1" ht="18" x14ac:dyDescent="0.25">
      <c r="A4926" s="91"/>
      <c r="B4926" s="90"/>
      <c r="C4926" s="88"/>
      <c r="D4926" s="89"/>
      <c r="E4926" s="90"/>
      <c r="F4926" s="91"/>
      <c r="G4926" s="90"/>
      <c r="H4926" s="92"/>
      <c r="I4926" s="87"/>
      <c r="J4926" s="93"/>
      <c r="K4926" s="92"/>
      <c r="L4926" s="72" t="str">
        <f t="shared" si="77"/>
        <v/>
      </c>
      <c r="N4926" s="15"/>
    </row>
    <row r="4927" spans="1:14" s="14" customFormat="1" ht="18" x14ac:dyDescent="0.25">
      <c r="A4927" s="91"/>
      <c r="B4927" s="90"/>
      <c r="C4927" s="88"/>
      <c r="D4927" s="89"/>
      <c r="E4927" s="90"/>
      <c r="F4927" s="91"/>
      <c r="G4927" s="90"/>
      <c r="H4927" s="92"/>
      <c r="I4927" s="87"/>
      <c r="J4927" s="93"/>
      <c r="K4927" s="92"/>
      <c r="L4927" s="72" t="str">
        <f t="shared" si="77"/>
        <v/>
      </c>
      <c r="N4927" s="15"/>
    </row>
    <row r="4928" spans="1:14" s="14" customFormat="1" ht="18" x14ac:dyDescent="0.25">
      <c r="A4928" s="91"/>
      <c r="B4928" s="90"/>
      <c r="C4928" s="88"/>
      <c r="D4928" s="89"/>
      <c r="E4928" s="90"/>
      <c r="F4928" s="91"/>
      <c r="G4928" s="90"/>
      <c r="H4928" s="92"/>
      <c r="I4928" s="87"/>
      <c r="J4928" s="93"/>
      <c r="K4928" s="92"/>
      <c r="L4928" s="72" t="str">
        <f t="shared" si="77"/>
        <v/>
      </c>
      <c r="N4928" s="15"/>
    </row>
    <row r="4929" spans="1:14" s="14" customFormat="1" ht="18" x14ac:dyDescent="0.25">
      <c r="A4929" s="91"/>
      <c r="B4929" s="90"/>
      <c r="C4929" s="88"/>
      <c r="D4929" s="89"/>
      <c r="E4929" s="90"/>
      <c r="F4929" s="91"/>
      <c r="G4929" s="90"/>
      <c r="H4929" s="92"/>
      <c r="I4929" s="87"/>
      <c r="J4929" s="93"/>
      <c r="K4929" s="92"/>
      <c r="L4929" s="72" t="str">
        <f t="shared" si="77"/>
        <v/>
      </c>
      <c r="N4929" s="15"/>
    </row>
    <row r="4930" spans="1:14" s="14" customFormat="1" ht="18" x14ac:dyDescent="0.25">
      <c r="A4930" s="91"/>
      <c r="B4930" s="90"/>
      <c r="C4930" s="88"/>
      <c r="D4930" s="89"/>
      <c r="E4930" s="90"/>
      <c r="F4930" s="91"/>
      <c r="G4930" s="90"/>
      <c r="H4930" s="92"/>
      <c r="I4930" s="87"/>
      <c r="J4930" s="93"/>
      <c r="K4930" s="92"/>
      <c r="L4930" s="72" t="str">
        <f t="shared" si="77"/>
        <v/>
      </c>
      <c r="N4930" s="15"/>
    </row>
    <row r="4931" spans="1:14" s="14" customFormat="1" ht="18" x14ac:dyDescent="0.25">
      <c r="A4931" s="91"/>
      <c r="B4931" s="90"/>
      <c r="C4931" s="88"/>
      <c r="D4931" s="89"/>
      <c r="E4931" s="90"/>
      <c r="F4931" s="91"/>
      <c r="G4931" s="90"/>
      <c r="H4931" s="92"/>
      <c r="I4931" s="87"/>
      <c r="J4931" s="93"/>
      <c r="K4931" s="92"/>
      <c r="L4931" s="72" t="str">
        <f t="shared" si="77"/>
        <v/>
      </c>
      <c r="N4931" s="15"/>
    </row>
    <row r="4932" spans="1:14" s="14" customFormat="1" ht="18" x14ac:dyDescent="0.25">
      <c r="A4932" s="91"/>
      <c r="B4932" s="90"/>
      <c r="C4932" s="88"/>
      <c r="D4932" s="89"/>
      <c r="E4932" s="90"/>
      <c r="F4932" s="91"/>
      <c r="G4932" s="90"/>
      <c r="H4932" s="92"/>
      <c r="I4932" s="87"/>
      <c r="J4932" s="93"/>
      <c r="K4932" s="92"/>
      <c r="L4932" s="72" t="str">
        <f t="shared" si="77"/>
        <v/>
      </c>
      <c r="N4932" s="15"/>
    </row>
    <row r="4933" spans="1:14" s="14" customFormat="1" ht="18" x14ac:dyDescent="0.25">
      <c r="A4933" s="91"/>
      <c r="B4933" s="90"/>
      <c r="C4933" s="88"/>
      <c r="D4933" s="89"/>
      <c r="E4933" s="90"/>
      <c r="F4933" s="91"/>
      <c r="G4933" s="90"/>
      <c r="H4933" s="92"/>
      <c r="I4933" s="87"/>
      <c r="J4933" s="93"/>
      <c r="K4933" s="92"/>
      <c r="L4933" s="72" t="str">
        <f t="shared" si="77"/>
        <v/>
      </c>
      <c r="N4933" s="15"/>
    </row>
    <row r="4934" spans="1:14" s="14" customFormat="1" ht="18" x14ac:dyDescent="0.25">
      <c r="A4934" s="91"/>
      <c r="B4934" s="90"/>
      <c r="C4934" s="88"/>
      <c r="D4934" s="89"/>
      <c r="E4934" s="90"/>
      <c r="F4934" s="91"/>
      <c r="G4934" s="90"/>
      <c r="H4934" s="92"/>
      <c r="I4934" s="87"/>
      <c r="J4934" s="93"/>
      <c r="K4934" s="92"/>
      <c r="L4934" s="72" t="str">
        <f t="shared" si="77"/>
        <v/>
      </c>
      <c r="N4934" s="15"/>
    </row>
    <row r="4935" spans="1:14" s="14" customFormat="1" ht="18" x14ac:dyDescent="0.25">
      <c r="A4935" s="91"/>
      <c r="B4935" s="90"/>
      <c r="C4935" s="88"/>
      <c r="D4935" s="89"/>
      <c r="E4935" s="90"/>
      <c r="F4935" s="91"/>
      <c r="G4935" s="90"/>
      <c r="H4935" s="92"/>
      <c r="I4935" s="87"/>
      <c r="J4935" s="93"/>
      <c r="K4935" s="92"/>
      <c r="L4935" s="72" t="str">
        <f t="shared" si="77"/>
        <v/>
      </c>
      <c r="N4935" s="15"/>
    </row>
    <row r="4936" spans="1:14" s="14" customFormat="1" ht="18" x14ac:dyDescent="0.25">
      <c r="A4936" s="91"/>
      <c r="B4936" s="90"/>
      <c r="C4936" s="88"/>
      <c r="D4936" s="89"/>
      <c r="E4936" s="90"/>
      <c r="F4936" s="91"/>
      <c r="G4936" s="90"/>
      <c r="H4936" s="92"/>
      <c r="I4936" s="87"/>
      <c r="J4936" s="93"/>
      <c r="K4936" s="92"/>
      <c r="L4936" s="72" t="str">
        <f t="shared" si="77"/>
        <v/>
      </c>
      <c r="N4936" s="15"/>
    </row>
    <row r="4937" spans="1:14" s="14" customFormat="1" ht="18" x14ac:dyDescent="0.25">
      <c r="A4937" s="91"/>
      <c r="B4937" s="90"/>
      <c r="C4937" s="88"/>
      <c r="D4937" s="89"/>
      <c r="E4937" s="90"/>
      <c r="F4937" s="91"/>
      <c r="G4937" s="90"/>
      <c r="H4937" s="92"/>
      <c r="I4937" s="87"/>
      <c r="J4937" s="93"/>
      <c r="K4937" s="92"/>
      <c r="L4937" s="72" t="str">
        <f t="shared" si="77"/>
        <v/>
      </c>
      <c r="N4937" s="15"/>
    </row>
    <row r="4938" spans="1:14" s="14" customFormat="1" ht="18" x14ac:dyDescent="0.25">
      <c r="A4938" s="91"/>
      <c r="B4938" s="90"/>
      <c r="C4938" s="88"/>
      <c r="D4938" s="89"/>
      <c r="E4938" s="90"/>
      <c r="F4938" s="91"/>
      <c r="G4938" s="90"/>
      <c r="H4938" s="92"/>
      <c r="I4938" s="87"/>
      <c r="J4938" s="93"/>
      <c r="K4938" s="92"/>
      <c r="L4938" s="72" t="str">
        <f t="shared" si="77"/>
        <v/>
      </c>
      <c r="N4938" s="15"/>
    </row>
    <row r="4939" spans="1:14" s="14" customFormat="1" ht="18" x14ac:dyDescent="0.25">
      <c r="A4939" s="91"/>
      <c r="B4939" s="90"/>
      <c r="C4939" s="88"/>
      <c r="D4939" s="89"/>
      <c r="E4939" s="90"/>
      <c r="F4939" s="91"/>
      <c r="G4939" s="90"/>
      <c r="H4939" s="92"/>
      <c r="I4939" s="87"/>
      <c r="J4939" s="93"/>
      <c r="K4939" s="92"/>
      <c r="L4939" s="72" t="str">
        <f t="shared" si="77"/>
        <v/>
      </c>
      <c r="N4939" s="15"/>
    </row>
    <row r="4940" spans="1:14" s="14" customFormat="1" ht="18" x14ac:dyDescent="0.25">
      <c r="A4940" s="91"/>
      <c r="B4940" s="90"/>
      <c r="C4940" s="88"/>
      <c r="D4940" s="89"/>
      <c r="E4940" s="90"/>
      <c r="F4940" s="91"/>
      <c r="G4940" s="90"/>
      <c r="H4940" s="92"/>
      <c r="I4940" s="87"/>
      <c r="J4940" s="93"/>
      <c r="K4940" s="92"/>
      <c r="L4940" s="72" t="str">
        <f t="shared" si="77"/>
        <v/>
      </c>
      <c r="N4940" s="15"/>
    </row>
    <row r="4941" spans="1:14" s="14" customFormat="1" ht="18" x14ac:dyDescent="0.25">
      <c r="A4941" s="91"/>
      <c r="B4941" s="90"/>
      <c r="C4941" s="88"/>
      <c r="D4941" s="89"/>
      <c r="E4941" s="90"/>
      <c r="F4941" s="91"/>
      <c r="G4941" s="90"/>
      <c r="H4941" s="92"/>
      <c r="I4941" s="87"/>
      <c r="J4941" s="93"/>
      <c r="K4941" s="92"/>
      <c r="L4941" s="72" t="str">
        <f t="shared" si="77"/>
        <v/>
      </c>
      <c r="N4941" s="15"/>
    </row>
    <row r="4942" spans="1:14" s="14" customFormat="1" ht="18" x14ac:dyDescent="0.25">
      <c r="A4942" s="91"/>
      <c r="B4942" s="90"/>
      <c r="C4942" s="88"/>
      <c r="D4942" s="89"/>
      <c r="E4942" s="90"/>
      <c r="F4942" s="91"/>
      <c r="G4942" s="90"/>
      <c r="H4942" s="92"/>
      <c r="I4942" s="87"/>
      <c r="J4942" s="93"/>
      <c r="K4942" s="92"/>
      <c r="L4942" s="72" t="str">
        <f t="shared" si="77"/>
        <v/>
      </c>
      <c r="N4942" s="15"/>
    </row>
    <row r="4943" spans="1:14" s="14" customFormat="1" ht="18" x14ac:dyDescent="0.25">
      <c r="A4943" s="91"/>
      <c r="B4943" s="90"/>
      <c r="C4943" s="88"/>
      <c r="D4943" s="89"/>
      <c r="E4943" s="90"/>
      <c r="F4943" s="91"/>
      <c r="G4943" s="90"/>
      <c r="H4943" s="92"/>
      <c r="I4943" s="87"/>
      <c r="J4943" s="93"/>
      <c r="K4943" s="92"/>
      <c r="L4943" s="72" t="str">
        <f t="shared" si="77"/>
        <v/>
      </c>
      <c r="N4943" s="15"/>
    </row>
    <row r="4944" spans="1:14" s="14" customFormat="1" ht="18" x14ac:dyDescent="0.25">
      <c r="A4944" s="91"/>
      <c r="B4944" s="90"/>
      <c r="C4944" s="88"/>
      <c r="D4944" s="89"/>
      <c r="E4944" s="90"/>
      <c r="F4944" s="91"/>
      <c r="G4944" s="90"/>
      <c r="H4944" s="92"/>
      <c r="I4944" s="87"/>
      <c r="J4944" s="93"/>
      <c r="K4944" s="92"/>
      <c r="L4944" s="72" t="str">
        <f t="shared" si="77"/>
        <v/>
      </c>
      <c r="N4944" s="15"/>
    </row>
    <row r="4945" spans="1:14" s="14" customFormat="1" ht="18" x14ac:dyDescent="0.25">
      <c r="A4945" s="91"/>
      <c r="B4945" s="90"/>
      <c r="C4945" s="88"/>
      <c r="D4945" s="89"/>
      <c r="E4945" s="90"/>
      <c r="F4945" s="91"/>
      <c r="G4945" s="90"/>
      <c r="H4945" s="92"/>
      <c r="I4945" s="87"/>
      <c r="J4945" s="93"/>
      <c r="K4945" s="92"/>
      <c r="L4945" s="72" t="str">
        <f t="shared" si="77"/>
        <v/>
      </c>
      <c r="N4945" s="15"/>
    </row>
    <row r="4946" spans="1:14" s="14" customFormat="1" ht="18" x14ac:dyDescent="0.25">
      <c r="A4946" s="91"/>
      <c r="B4946" s="90"/>
      <c r="C4946" s="88"/>
      <c r="D4946" s="89"/>
      <c r="E4946" s="90"/>
      <c r="F4946" s="91"/>
      <c r="G4946" s="90"/>
      <c r="H4946" s="92"/>
      <c r="I4946" s="87"/>
      <c r="J4946" s="93"/>
      <c r="K4946" s="92"/>
      <c r="L4946" s="72" t="str">
        <f t="shared" si="77"/>
        <v/>
      </c>
      <c r="N4946" s="15"/>
    </row>
    <row r="4947" spans="1:14" s="14" customFormat="1" ht="18" x14ac:dyDescent="0.25">
      <c r="A4947" s="91"/>
      <c r="B4947" s="90"/>
      <c r="C4947" s="88"/>
      <c r="D4947" s="89"/>
      <c r="E4947" s="90"/>
      <c r="F4947" s="91"/>
      <c r="G4947" s="90"/>
      <c r="H4947" s="92"/>
      <c r="I4947" s="87"/>
      <c r="J4947" s="93"/>
      <c r="K4947" s="92"/>
      <c r="L4947" s="72" t="str">
        <f t="shared" si="77"/>
        <v/>
      </c>
      <c r="N4947" s="15"/>
    </row>
    <row r="4948" spans="1:14" s="14" customFormat="1" ht="18" x14ac:dyDescent="0.25">
      <c r="A4948" s="91"/>
      <c r="B4948" s="90"/>
      <c r="C4948" s="88"/>
      <c r="D4948" s="89"/>
      <c r="E4948" s="90"/>
      <c r="F4948" s="91"/>
      <c r="G4948" s="90"/>
      <c r="H4948" s="92"/>
      <c r="I4948" s="87"/>
      <c r="J4948" s="93"/>
      <c r="K4948" s="92"/>
      <c r="L4948" s="72" t="str">
        <f t="shared" si="77"/>
        <v/>
      </c>
      <c r="N4948" s="15"/>
    </row>
    <row r="4949" spans="1:14" s="14" customFormat="1" ht="18" x14ac:dyDescent="0.25">
      <c r="A4949" s="91"/>
      <c r="B4949" s="90"/>
      <c r="C4949" s="88"/>
      <c r="D4949" s="89"/>
      <c r="E4949" s="90"/>
      <c r="F4949" s="91"/>
      <c r="G4949" s="90"/>
      <c r="H4949" s="92"/>
      <c r="I4949" s="87"/>
      <c r="J4949" s="93"/>
      <c r="K4949" s="92"/>
      <c r="L4949" s="72" t="str">
        <f t="shared" si="77"/>
        <v/>
      </c>
      <c r="N4949" s="15"/>
    </row>
    <row r="4950" spans="1:14" s="14" customFormat="1" ht="18" x14ac:dyDescent="0.25">
      <c r="A4950" s="91"/>
      <c r="B4950" s="90"/>
      <c r="C4950" s="88"/>
      <c r="D4950" s="89"/>
      <c r="E4950" s="90"/>
      <c r="F4950" s="91"/>
      <c r="G4950" s="90"/>
      <c r="H4950" s="92"/>
      <c r="I4950" s="87"/>
      <c r="J4950" s="93"/>
      <c r="K4950" s="92"/>
      <c r="L4950" s="72" t="str">
        <f t="shared" si="77"/>
        <v/>
      </c>
      <c r="N4950" s="15"/>
    </row>
    <row r="4951" spans="1:14" s="14" customFormat="1" ht="18" x14ac:dyDescent="0.25">
      <c r="A4951" s="91"/>
      <c r="B4951" s="90"/>
      <c r="C4951" s="88"/>
      <c r="D4951" s="89"/>
      <c r="E4951" s="90"/>
      <c r="F4951" s="91"/>
      <c r="G4951" s="90"/>
      <c r="H4951" s="92"/>
      <c r="I4951" s="87"/>
      <c r="J4951" s="93"/>
      <c r="K4951" s="92"/>
      <c r="L4951" s="72" t="str">
        <f t="shared" si="77"/>
        <v/>
      </c>
      <c r="N4951" s="15"/>
    </row>
    <row r="4952" spans="1:14" s="14" customFormat="1" ht="18" x14ac:dyDescent="0.25">
      <c r="A4952" s="91"/>
      <c r="B4952" s="90"/>
      <c r="C4952" s="88"/>
      <c r="D4952" s="89"/>
      <c r="E4952" s="90"/>
      <c r="F4952" s="91"/>
      <c r="G4952" s="90"/>
      <c r="H4952" s="92"/>
      <c r="I4952" s="87"/>
      <c r="J4952" s="93"/>
      <c r="K4952" s="92"/>
      <c r="L4952" s="72" t="str">
        <f t="shared" si="77"/>
        <v/>
      </c>
      <c r="N4952" s="15"/>
    </row>
    <row r="4953" spans="1:14" s="14" customFormat="1" ht="18" x14ac:dyDescent="0.25">
      <c r="A4953" s="91"/>
      <c r="B4953" s="90"/>
      <c r="C4953" s="88"/>
      <c r="D4953" s="89"/>
      <c r="E4953" s="90"/>
      <c r="F4953" s="91"/>
      <c r="G4953" s="90"/>
      <c r="H4953" s="92"/>
      <c r="I4953" s="87"/>
      <c r="J4953" s="93"/>
      <c r="K4953" s="92"/>
      <c r="L4953" s="72" t="str">
        <f t="shared" si="77"/>
        <v/>
      </c>
      <c r="N4953" s="15"/>
    </row>
    <row r="4954" spans="1:14" s="14" customFormat="1" ht="18" x14ac:dyDescent="0.25">
      <c r="A4954" s="91"/>
      <c r="B4954" s="90"/>
      <c r="C4954" s="88"/>
      <c r="D4954" s="89"/>
      <c r="E4954" s="90"/>
      <c r="F4954" s="91"/>
      <c r="G4954" s="90"/>
      <c r="H4954" s="92"/>
      <c r="I4954" s="87"/>
      <c r="J4954" s="93"/>
      <c r="K4954" s="92"/>
      <c r="L4954" s="72" t="str">
        <f t="shared" si="77"/>
        <v/>
      </c>
      <c r="N4954" s="15"/>
    </row>
    <row r="4955" spans="1:14" s="14" customFormat="1" ht="18" x14ac:dyDescent="0.25">
      <c r="A4955" s="91"/>
      <c r="B4955" s="90"/>
      <c r="C4955" s="88"/>
      <c r="D4955" s="89"/>
      <c r="E4955" s="90"/>
      <c r="F4955" s="91"/>
      <c r="G4955" s="90"/>
      <c r="H4955" s="92"/>
      <c r="I4955" s="87"/>
      <c r="J4955" s="93"/>
      <c r="K4955" s="92"/>
      <c r="L4955" s="72" t="str">
        <f t="shared" si="77"/>
        <v/>
      </c>
      <c r="N4955" s="15"/>
    </row>
    <row r="4956" spans="1:14" s="14" customFormat="1" ht="18" x14ac:dyDescent="0.25">
      <c r="A4956" s="91"/>
      <c r="B4956" s="90"/>
      <c r="C4956" s="88"/>
      <c r="D4956" s="89"/>
      <c r="E4956" s="90"/>
      <c r="F4956" s="91"/>
      <c r="G4956" s="90"/>
      <c r="H4956" s="92"/>
      <c r="I4956" s="87"/>
      <c r="J4956" s="93"/>
      <c r="K4956" s="92"/>
      <c r="L4956" s="72" t="str">
        <f t="shared" si="77"/>
        <v/>
      </c>
      <c r="N4956" s="15"/>
    </row>
    <row r="4957" spans="1:14" s="14" customFormat="1" ht="18" x14ac:dyDescent="0.25">
      <c r="A4957" s="91"/>
      <c r="B4957" s="90"/>
      <c r="C4957" s="88"/>
      <c r="D4957" s="89"/>
      <c r="E4957" s="90"/>
      <c r="F4957" s="91"/>
      <c r="G4957" s="90"/>
      <c r="H4957" s="92"/>
      <c r="I4957" s="87"/>
      <c r="J4957" s="93"/>
      <c r="K4957" s="92"/>
      <c r="L4957" s="72" t="str">
        <f t="shared" si="77"/>
        <v/>
      </c>
      <c r="N4957" s="15"/>
    </row>
    <row r="4958" spans="1:14" s="14" customFormat="1" ht="18" x14ac:dyDescent="0.25">
      <c r="A4958" s="91"/>
      <c r="B4958" s="90"/>
      <c r="C4958" s="88"/>
      <c r="D4958" s="89"/>
      <c r="E4958" s="90"/>
      <c r="F4958" s="91"/>
      <c r="G4958" s="90"/>
      <c r="H4958" s="92"/>
      <c r="I4958" s="87"/>
      <c r="J4958" s="93"/>
      <c r="K4958" s="92"/>
      <c r="L4958" s="72" t="str">
        <f t="shared" ref="L4958:L5021" si="78">IF(ISBLANK(H4958),"",IF(H4958=K4958,"Payé","Impayé"))</f>
        <v/>
      </c>
      <c r="N4958" s="15"/>
    </row>
    <row r="4959" spans="1:14" s="14" customFormat="1" ht="18" x14ac:dyDescent="0.25">
      <c r="A4959" s="91"/>
      <c r="B4959" s="90"/>
      <c r="C4959" s="88"/>
      <c r="D4959" s="89"/>
      <c r="E4959" s="90"/>
      <c r="F4959" s="91"/>
      <c r="G4959" s="90"/>
      <c r="H4959" s="92"/>
      <c r="I4959" s="87"/>
      <c r="J4959" s="93"/>
      <c r="K4959" s="92"/>
      <c r="L4959" s="72" t="str">
        <f t="shared" si="78"/>
        <v/>
      </c>
      <c r="N4959" s="15"/>
    </row>
    <row r="4960" spans="1:14" s="14" customFormat="1" ht="18" x14ac:dyDescent="0.25">
      <c r="A4960" s="91"/>
      <c r="B4960" s="90"/>
      <c r="C4960" s="88"/>
      <c r="D4960" s="89"/>
      <c r="E4960" s="90"/>
      <c r="F4960" s="91"/>
      <c r="G4960" s="90"/>
      <c r="H4960" s="92"/>
      <c r="I4960" s="87"/>
      <c r="J4960" s="93"/>
      <c r="K4960" s="92"/>
      <c r="L4960" s="72" t="str">
        <f t="shared" si="78"/>
        <v/>
      </c>
      <c r="N4960" s="15"/>
    </row>
    <row r="4961" spans="1:14" s="14" customFormat="1" ht="18" x14ac:dyDescent="0.25">
      <c r="A4961" s="91"/>
      <c r="B4961" s="90"/>
      <c r="C4961" s="88"/>
      <c r="D4961" s="89"/>
      <c r="E4961" s="90"/>
      <c r="F4961" s="91"/>
      <c r="G4961" s="90"/>
      <c r="H4961" s="92"/>
      <c r="I4961" s="87"/>
      <c r="J4961" s="93"/>
      <c r="K4961" s="92"/>
      <c r="L4961" s="72" t="str">
        <f t="shared" si="78"/>
        <v/>
      </c>
      <c r="N4961" s="15"/>
    </row>
    <row r="4962" spans="1:14" s="14" customFormat="1" ht="18" x14ac:dyDescent="0.25">
      <c r="A4962" s="91"/>
      <c r="B4962" s="90"/>
      <c r="C4962" s="88"/>
      <c r="D4962" s="89"/>
      <c r="E4962" s="90"/>
      <c r="F4962" s="91"/>
      <c r="G4962" s="90"/>
      <c r="H4962" s="92"/>
      <c r="I4962" s="87"/>
      <c r="J4962" s="93"/>
      <c r="K4962" s="92"/>
      <c r="L4962" s="72" t="str">
        <f t="shared" si="78"/>
        <v/>
      </c>
      <c r="N4962" s="15"/>
    </row>
    <row r="4963" spans="1:14" s="14" customFormat="1" ht="18" x14ac:dyDescent="0.25">
      <c r="A4963" s="91"/>
      <c r="B4963" s="90"/>
      <c r="C4963" s="88"/>
      <c r="D4963" s="89"/>
      <c r="E4963" s="90"/>
      <c r="F4963" s="91"/>
      <c r="G4963" s="90"/>
      <c r="H4963" s="92"/>
      <c r="I4963" s="87"/>
      <c r="J4963" s="93"/>
      <c r="K4963" s="92"/>
      <c r="L4963" s="72" t="str">
        <f t="shared" si="78"/>
        <v/>
      </c>
      <c r="N4963" s="15"/>
    </row>
    <row r="4964" spans="1:14" s="14" customFormat="1" ht="18" x14ac:dyDescent="0.25">
      <c r="A4964" s="91"/>
      <c r="B4964" s="90"/>
      <c r="C4964" s="88"/>
      <c r="D4964" s="89"/>
      <c r="E4964" s="90"/>
      <c r="F4964" s="91"/>
      <c r="G4964" s="90"/>
      <c r="H4964" s="92"/>
      <c r="I4964" s="87"/>
      <c r="J4964" s="93"/>
      <c r="K4964" s="92"/>
      <c r="L4964" s="72" t="str">
        <f t="shared" si="78"/>
        <v/>
      </c>
      <c r="N4964" s="15"/>
    </row>
    <row r="4965" spans="1:14" s="14" customFormat="1" ht="18" x14ac:dyDescent="0.25">
      <c r="A4965" s="91"/>
      <c r="B4965" s="90"/>
      <c r="C4965" s="88"/>
      <c r="D4965" s="89"/>
      <c r="E4965" s="90"/>
      <c r="F4965" s="91"/>
      <c r="G4965" s="90"/>
      <c r="H4965" s="92"/>
      <c r="I4965" s="87"/>
      <c r="J4965" s="93"/>
      <c r="K4965" s="92"/>
      <c r="L4965" s="72" t="str">
        <f t="shared" si="78"/>
        <v/>
      </c>
      <c r="N4965" s="15"/>
    </row>
    <row r="4966" spans="1:14" s="14" customFormat="1" ht="18" x14ac:dyDescent="0.25">
      <c r="A4966" s="91"/>
      <c r="B4966" s="90"/>
      <c r="C4966" s="88"/>
      <c r="D4966" s="89"/>
      <c r="E4966" s="90"/>
      <c r="F4966" s="91"/>
      <c r="G4966" s="90"/>
      <c r="H4966" s="92"/>
      <c r="I4966" s="87"/>
      <c r="J4966" s="93"/>
      <c r="K4966" s="92"/>
      <c r="L4966" s="72" t="str">
        <f t="shared" si="78"/>
        <v/>
      </c>
      <c r="N4966" s="15"/>
    </row>
    <row r="4967" spans="1:14" s="14" customFormat="1" ht="18" x14ac:dyDescent="0.25">
      <c r="A4967" s="91"/>
      <c r="B4967" s="90"/>
      <c r="C4967" s="88"/>
      <c r="D4967" s="89"/>
      <c r="E4967" s="90"/>
      <c r="F4967" s="91"/>
      <c r="G4967" s="90"/>
      <c r="H4967" s="92"/>
      <c r="I4967" s="87"/>
      <c r="J4967" s="93"/>
      <c r="K4967" s="92"/>
      <c r="L4967" s="72" t="str">
        <f t="shared" si="78"/>
        <v/>
      </c>
      <c r="N4967" s="15"/>
    </row>
    <row r="4968" spans="1:14" s="14" customFormat="1" ht="18" x14ac:dyDescent="0.25">
      <c r="A4968" s="91"/>
      <c r="B4968" s="90"/>
      <c r="C4968" s="88"/>
      <c r="D4968" s="89"/>
      <c r="E4968" s="90"/>
      <c r="F4968" s="91"/>
      <c r="G4968" s="90"/>
      <c r="H4968" s="92"/>
      <c r="I4968" s="87"/>
      <c r="J4968" s="93"/>
      <c r="K4968" s="92"/>
      <c r="L4968" s="72" t="str">
        <f t="shared" si="78"/>
        <v/>
      </c>
      <c r="N4968" s="15"/>
    </row>
    <row r="4969" spans="1:14" s="14" customFormat="1" ht="18" x14ac:dyDescent="0.25">
      <c r="A4969" s="91"/>
      <c r="B4969" s="90"/>
      <c r="C4969" s="88"/>
      <c r="D4969" s="89"/>
      <c r="E4969" s="90"/>
      <c r="F4969" s="91"/>
      <c r="G4969" s="90"/>
      <c r="H4969" s="92"/>
      <c r="I4969" s="87"/>
      <c r="J4969" s="93"/>
      <c r="K4969" s="92"/>
      <c r="L4969" s="72" t="str">
        <f t="shared" si="78"/>
        <v/>
      </c>
      <c r="N4969" s="15"/>
    </row>
    <row r="4970" spans="1:14" s="14" customFormat="1" ht="18" x14ac:dyDescent="0.25">
      <c r="A4970" s="91"/>
      <c r="B4970" s="90"/>
      <c r="C4970" s="88"/>
      <c r="D4970" s="89"/>
      <c r="E4970" s="90"/>
      <c r="F4970" s="91"/>
      <c r="G4970" s="90"/>
      <c r="H4970" s="92"/>
      <c r="I4970" s="87"/>
      <c r="J4970" s="93"/>
      <c r="K4970" s="92"/>
      <c r="L4970" s="72" t="str">
        <f t="shared" si="78"/>
        <v/>
      </c>
      <c r="N4970" s="15"/>
    </row>
    <row r="4971" spans="1:14" s="14" customFormat="1" ht="18" x14ac:dyDescent="0.25">
      <c r="A4971" s="91"/>
      <c r="B4971" s="90"/>
      <c r="C4971" s="88"/>
      <c r="D4971" s="89"/>
      <c r="E4971" s="90"/>
      <c r="F4971" s="91"/>
      <c r="G4971" s="90"/>
      <c r="H4971" s="92"/>
      <c r="I4971" s="87"/>
      <c r="J4971" s="93"/>
      <c r="K4971" s="92"/>
      <c r="L4971" s="72" t="str">
        <f t="shared" si="78"/>
        <v/>
      </c>
      <c r="N4971" s="15"/>
    </row>
    <row r="4972" spans="1:14" s="14" customFormat="1" ht="18" x14ac:dyDescent="0.25">
      <c r="A4972" s="91"/>
      <c r="B4972" s="90"/>
      <c r="C4972" s="88"/>
      <c r="D4972" s="89"/>
      <c r="E4972" s="90"/>
      <c r="F4972" s="91"/>
      <c r="G4972" s="90"/>
      <c r="H4972" s="92"/>
      <c r="I4972" s="87"/>
      <c r="J4972" s="93"/>
      <c r="K4972" s="92"/>
      <c r="L4972" s="72" t="str">
        <f t="shared" si="78"/>
        <v/>
      </c>
      <c r="N4972" s="15"/>
    </row>
    <row r="4973" spans="1:14" s="14" customFormat="1" ht="18" x14ac:dyDescent="0.25">
      <c r="A4973" s="91"/>
      <c r="B4973" s="90"/>
      <c r="C4973" s="88"/>
      <c r="D4973" s="89"/>
      <c r="E4973" s="90"/>
      <c r="F4973" s="91"/>
      <c r="G4973" s="90"/>
      <c r="H4973" s="92"/>
      <c r="I4973" s="87"/>
      <c r="J4973" s="93"/>
      <c r="K4973" s="92"/>
      <c r="L4973" s="72" t="str">
        <f t="shared" si="78"/>
        <v/>
      </c>
      <c r="N4973" s="15"/>
    </row>
    <row r="4974" spans="1:14" s="14" customFormat="1" ht="18" x14ac:dyDescent="0.25">
      <c r="A4974" s="91"/>
      <c r="B4974" s="90"/>
      <c r="C4974" s="88"/>
      <c r="D4974" s="89"/>
      <c r="E4974" s="90"/>
      <c r="F4974" s="91"/>
      <c r="G4974" s="90"/>
      <c r="H4974" s="92"/>
      <c r="I4974" s="87"/>
      <c r="J4974" s="93"/>
      <c r="K4974" s="92"/>
      <c r="L4974" s="72" t="str">
        <f t="shared" si="78"/>
        <v/>
      </c>
      <c r="N4974" s="15"/>
    </row>
    <row r="4975" spans="1:14" s="14" customFormat="1" ht="18" x14ac:dyDescent="0.25">
      <c r="A4975" s="91"/>
      <c r="B4975" s="90"/>
      <c r="C4975" s="88"/>
      <c r="D4975" s="89"/>
      <c r="E4975" s="90"/>
      <c r="F4975" s="91"/>
      <c r="G4975" s="90"/>
      <c r="H4975" s="92"/>
      <c r="I4975" s="87"/>
      <c r="J4975" s="93"/>
      <c r="K4975" s="92"/>
      <c r="L4975" s="72" t="str">
        <f t="shared" si="78"/>
        <v/>
      </c>
      <c r="N4975" s="15"/>
    </row>
    <row r="4976" spans="1:14" s="14" customFormat="1" ht="18" x14ac:dyDescent="0.25">
      <c r="A4976" s="91"/>
      <c r="B4976" s="90"/>
      <c r="C4976" s="88"/>
      <c r="D4976" s="89"/>
      <c r="E4976" s="90"/>
      <c r="F4976" s="91"/>
      <c r="G4976" s="90"/>
      <c r="H4976" s="92"/>
      <c r="I4976" s="87"/>
      <c r="J4976" s="93"/>
      <c r="K4976" s="92"/>
      <c r="L4976" s="72" t="str">
        <f t="shared" si="78"/>
        <v/>
      </c>
      <c r="N4976" s="15"/>
    </row>
    <row r="4977" spans="1:14" s="14" customFormat="1" ht="18" x14ac:dyDescent="0.25">
      <c r="A4977" s="91"/>
      <c r="B4977" s="90"/>
      <c r="C4977" s="88"/>
      <c r="D4977" s="89"/>
      <c r="E4977" s="90"/>
      <c r="F4977" s="91"/>
      <c r="G4977" s="90"/>
      <c r="H4977" s="92"/>
      <c r="I4977" s="87"/>
      <c r="J4977" s="93"/>
      <c r="K4977" s="92"/>
      <c r="L4977" s="72" t="str">
        <f t="shared" si="78"/>
        <v/>
      </c>
      <c r="N4977" s="15"/>
    </row>
    <row r="4978" spans="1:14" s="14" customFormat="1" ht="18" x14ac:dyDescent="0.25">
      <c r="A4978" s="91"/>
      <c r="B4978" s="90"/>
      <c r="C4978" s="88"/>
      <c r="D4978" s="89"/>
      <c r="E4978" s="90"/>
      <c r="F4978" s="91"/>
      <c r="G4978" s="90"/>
      <c r="H4978" s="92"/>
      <c r="I4978" s="87"/>
      <c r="J4978" s="93"/>
      <c r="K4978" s="92"/>
      <c r="L4978" s="72" t="str">
        <f t="shared" si="78"/>
        <v/>
      </c>
      <c r="N4978" s="15"/>
    </row>
    <row r="4979" spans="1:14" s="14" customFormat="1" ht="18" x14ac:dyDescent="0.25">
      <c r="A4979" s="91"/>
      <c r="B4979" s="90"/>
      <c r="C4979" s="88"/>
      <c r="D4979" s="89"/>
      <c r="E4979" s="90"/>
      <c r="F4979" s="91"/>
      <c r="G4979" s="90"/>
      <c r="H4979" s="92"/>
      <c r="I4979" s="87"/>
      <c r="J4979" s="93"/>
      <c r="K4979" s="92"/>
      <c r="L4979" s="72" t="str">
        <f t="shared" si="78"/>
        <v/>
      </c>
      <c r="N4979" s="15"/>
    </row>
    <row r="4980" spans="1:14" s="14" customFormat="1" ht="18" x14ac:dyDescent="0.25">
      <c r="A4980" s="91"/>
      <c r="B4980" s="90"/>
      <c r="C4980" s="88"/>
      <c r="D4980" s="89"/>
      <c r="E4980" s="90"/>
      <c r="F4980" s="91"/>
      <c r="G4980" s="90"/>
      <c r="H4980" s="92"/>
      <c r="I4980" s="87"/>
      <c r="J4980" s="93"/>
      <c r="K4980" s="92"/>
      <c r="L4980" s="72" t="str">
        <f t="shared" si="78"/>
        <v/>
      </c>
      <c r="N4980" s="15"/>
    </row>
    <row r="4981" spans="1:14" s="14" customFormat="1" ht="18" x14ac:dyDescent="0.25">
      <c r="A4981" s="91"/>
      <c r="B4981" s="90"/>
      <c r="C4981" s="88"/>
      <c r="D4981" s="89"/>
      <c r="E4981" s="90"/>
      <c r="F4981" s="91"/>
      <c r="G4981" s="90"/>
      <c r="H4981" s="92"/>
      <c r="I4981" s="87"/>
      <c r="J4981" s="93"/>
      <c r="K4981" s="92"/>
      <c r="L4981" s="72" t="str">
        <f t="shared" si="78"/>
        <v/>
      </c>
      <c r="N4981" s="15"/>
    </row>
    <row r="4982" spans="1:14" s="14" customFormat="1" ht="18" x14ac:dyDescent="0.25">
      <c r="A4982" s="91"/>
      <c r="B4982" s="90"/>
      <c r="C4982" s="88"/>
      <c r="D4982" s="89"/>
      <c r="E4982" s="90"/>
      <c r="F4982" s="91"/>
      <c r="G4982" s="90"/>
      <c r="H4982" s="92"/>
      <c r="I4982" s="87"/>
      <c r="J4982" s="93"/>
      <c r="K4982" s="92"/>
      <c r="L4982" s="72" t="str">
        <f t="shared" si="78"/>
        <v/>
      </c>
      <c r="N4982" s="15"/>
    </row>
    <row r="4983" spans="1:14" s="14" customFormat="1" ht="18" x14ac:dyDescent="0.25">
      <c r="A4983" s="91"/>
      <c r="B4983" s="90"/>
      <c r="C4983" s="88"/>
      <c r="D4983" s="89"/>
      <c r="E4983" s="90"/>
      <c r="F4983" s="91"/>
      <c r="G4983" s="90"/>
      <c r="H4983" s="92"/>
      <c r="I4983" s="87"/>
      <c r="J4983" s="93"/>
      <c r="K4983" s="92"/>
      <c r="L4983" s="72" t="str">
        <f t="shared" si="78"/>
        <v/>
      </c>
      <c r="N4983" s="15"/>
    </row>
    <row r="4984" spans="1:14" s="14" customFormat="1" ht="18" x14ac:dyDescent="0.25">
      <c r="A4984" s="91"/>
      <c r="B4984" s="90"/>
      <c r="C4984" s="88"/>
      <c r="D4984" s="89"/>
      <c r="E4984" s="90"/>
      <c r="F4984" s="91"/>
      <c r="G4984" s="90"/>
      <c r="H4984" s="92"/>
      <c r="I4984" s="87"/>
      <c r="J4984" s="93"/>
      <c r="K4984" s="92"/>
      <c r="L4984" s="72" t="str">
        <f t="shared" si="78"/>
        <v/>
      </c>
      <c r="N4984" s="15"/>
    </row>
    <row r="4985" spans="1:14" s="14" customFormat="1" ht="18" x14ac:dyDescent="0.25">
      <c r="A4985" s="91"/>
      <c r="B4985" s="90"/>
      <c r="C4985" s="88"/>
      <c r="D4985" s="89"/>
      <c r="E4985" s="90"/>
      <c r="F4985" s="91"/>
      <c r="G4985" s="90"/>
      <c r="H4985" s="92"/>
      <c r="I4985" s="87"/>
      <c r="J4985" s="93"/>
      <c r="K4985" s="92"/>
      <c r="L4985" s="72" t="str">
        <f t="shared" si="78"/>
        <v/>
      </c>
      <c r="N4985" s="15"/>
    </row>
    <row r="4986" spans="1:14" s="14" customFormat="1" ht="18" x14ac:dyDescent="0.25">
      <c r="A4986" s="91"/>
      <c r="B4986" s="90"/>
      <c r="C4986" s="88"/>
      <c r="D4986" s="89"/>
      <c r="E4986" s="90"/>
      <c r="F4986" s="91"/>
      <c r="G4986" s="90"/>
      <c r="H4986" s="92"/>
      <c r="I4986" s="87"/>
      <c r="J4986" s="93"/>
      <c r="K4986" s="92"/>
      <c r="L4986" s="72" t="str">
        <f t="shared" si="78"/>
        <v/>
      </c>
      <c r="N4986" s="15"/>
    </row>
    <row r="4987" spans="1:14" s="14" customFormat="1" ht="18" x14ac:dyDescent="0.25">
      <c r="A4987" s="91"/>
      <c r="B4987" s="90"/>
      <c r="C4987" s="88"/>
      <c r="D4987" s="89"/>
      <c r="E4987" s="90"/>
      <c r="F4987" s="91"/>
      <c r="G4987" s="90"/>
      <c r="H4987" s="92"/>
      <c r="I4987" s="87"/>
      <c r="J4987" s="93"/>
      <c r="K4987" s="92"/>
      <c r="L4987" s="72" t="str">
        <f t="shared" si="78"/>
        <v/>
      </c>
      <c r="N4987" s="15"/>
    </row>
    <row r="4988" spans="1:14" s="14" customFormat="1" ht="18" x14ac:dyDescent="0.25">
      <c r="A4988" s="91"/>
      <c r="B4988" s="90"/>
      <c r="C4988" s="88"/>
      <c r="D4988" s="89"/>
      <c r="E4988" s="90"/>
      <c r="F4988" s="91"/>
      <c r="G4988" s="90"/>
      <c r="H4988" s="92"/>
      <c r="I4988" s="87"/>
      <c r="J4988" s="93"/>
      <c r="K4988" s="92"/>
      <c r="L4988" s="72" t="str">
        <f t="shared" si="78"/>
        <v/>
      </c>
      <c r="N4988" s="15"/>
    </row>
    <row r="4989" spans="1:14" s="14" customFormat="1" ht="18" x14ac:dyDescent="0.25">
      <c r="A4989" s="91"/>
      <c r="B4989" s="90"/>
      <c r="C4989" s="88"/>
      <c r="D4989" s="89"/>
      <c r="E4989" s="90"/>
      <c r="F4989" s="91"/>
      <c r="G4989" s="90"/>
      <c r="H4989" s="92"/>
      <c r="I4989" s="87"/>
      <c r="J4989" s="93"/>
      <c r="K4989" s="92"/>
      <c r="L4989" s="72" t="str">
        <f t="shared" si="78"/>
        <v/>
      </c>
      <c r="N4989" s="15"/>
    </row>
    <row r="4990" spans="1:14" s="14" customFormat="1" ht="18" x14ac:dyDescent="0.25">
      <c r="A4990" s="91"/>
      <c r="B4990" s="90"/>
      <c r="C4990" s="88"/>
      <c r="D4990" s="89"/>
      <c r="E4990" s="90"/>
      <c r="F4990" s="91"/>
      <c r="G4990" s="90"/>
      <c r="H4990" s="92"/>
      <c r="I4990" s="87"/>
      <c r="J4990" s="93"/>
      <c r="K4990" s="92"/>
      <c r="L4990" s="72" t="str">
        <f t="shared" si="78"/>
        <v/>
      </c>
      <c r="N4990" s="15"/>
    </row>
    <row r="4991" spans="1:14" s="14" customFormat="1" ht="18" x14ac:dyDescent="0.25">
      <c r="A4991" s="91"/>
      <c r="B4991" s="90"/>
      <c r="C4991" s="88"/>
      <c r="D4991" s="89"/>
      <c r="E4991" s="90"/>
      <c r="F4991" s="91"/>
      <c r="G4991" s="90"/>
      <c r="H4991" s="92"/>
      <c r="I4991" s="87"/>
      <c r="J4991" s="93"/>
      <c r="K4991" s="92"/>
      <c r="L4991" s="72" t="str">
        <f t="shared" si="78"/>
        <v/>
      </c>
      <c r="N4991" s="15"/>
    </row>
    <row r="4992" spans="1:14" s="14" customFormat="1" ht="18" x14ac:dyDescent="0.25">
      <c r="A4992" s="91"/>
      <c r="B4992" s="90"/>
      <c r="C4992" s="88"/>
      <c r="D4992" s="89"/>
      <c r="E4992" s="90"/>
      <c r="F4992" s="91"/>
      <c r="G4992" s="90"/>
      <c r="H4992" s="92"/>
      <c r="I4992" s="87"/>
      <c r="J4992" s="93"/>
      <c r="K4992" s="92"/>
      <c r="L4992" s="72" t="str">
        <f t="shared" si="78"/>
        <v/>
      </c>
      <c r="N4992" s="15"/>
    </row>
    <row r="4993" spans="1:14" s="14" customFormat="1" ht="18" x14ac:dyDescent="0.25">
      <c r="A4993" s="91"/>
      <c r="B4993" s="90"/>
      <c r="C4993" s="88"/>
      <c r="D4993" s="89"/>
      <c r="E4993" s="90"/>
      <c r="F4993" s="91"/>
      <c r="G4993" s="90"/>
      <c r="H4993" s="92"/>
      <c r="I4993" s="87"/>
      <c r="J4993" s="93"/>
      <c r="K4993" s="92"/>
      <c r="L4993" s="72" t="str">
        <f t="shared" si="78"/>
        <v/>
      </c>
      <c r="N4993" s="15"/>
    </row>
    <row r="4994" spans="1:14" s="14" customFormat="1" ht="18" x14ac:dyDescent="0.25">
      <c r="A4994" s="91"/>
      <c r="B4994" s="90"/>
      <c r="C4994" s="88"/>
      <c r="D4994" s="89"/>
      <c r="E4994" s="90"/>
      <c r="F4994" s="91"/>
      <c r="G4994" s="90"/>
      <c r="H4994" s="92"/>
      <c r="I4994" s="87"/>
      <c r="J4994" s="93"/>
      <c r="K4994" s="92"/>
      <c r="L4994" s="72" t="str">
        <f t="shared" si="78"/>
        <v/>
      </c>
      <c r="N4994" s="15"/>
    </row>
    <row r="4995" spans="1:14" s="14" customFormat="1" ht="18" x14ac:dyDescent="0.25">
      <c r="A4995" s="91"/>
      <c r="B4995" s="90"/>
      <c r="C4995" s="88"/>
      <c r="D4995" s="89"/>
      <c r="E4995" s="90"/>
      <c r="F4995" s="91"/>
      <c r="G4995" s="90"/>
      <c r="H4995" s="92"/>
      <c r="I4995" s="87"/>
      <c r="J4995" s="93"/>
      <c r="K4995" s="92"/>
      <c r="L4995" s="72" t="str">
        <f t="shared" si="78"/>
        <v/>
      </c>
      <c r="N4995" s="15"/>
    </row>
    <row r="4996" spans="1:14" s="14" customFormat="1" ht="18" x14ac:dyDescent="0.25">
      <c r="A4996" s="91"/>
      <c r="B4996" s="90"/>
      <c r="C4996" s="88"/>
      <c r="D4996" s="89"/>
      <c r="E4996" s="90"/>
      <c r="F4996" s="91"/>
      <c r="G4996" s="90"/>
      <c r="H4996" s="92"/>
      <c r="I4996" s="87"/>
      <c r="J4996" s="93"/>
      <c r="K4996" s="92"/>
      <c r="L4996" s="72" t="str">
        <f t="shared" si="78"/>
        <v/>
      </c>
      <c r="N4996" s="15"/>
    </row>
    <row r="4997" spans="1:14" s="14" customFormat="1" ht="18" x14ac:dyDescent="0.25">
      <c r="A4997" s="91"/>
      <c r="B4997" s="90"/>
      <c r="C4997" s="88"/>
      <c r="D4997" s="89"/>
      <c r="E4997" s="90"/>
      <c r="F4997" s="91"/>
      <c r="G4997" s="90"/>
      <c r="H4997" s="92"/>
      <c r="I4997" s="87"/>
      <c r="J4997" s="93"/>
      <c r="K4997" s="92"/>
      <c r="L4997" s="72" t="str">
        <f t="shared" si="78"/>
        <v/>
      </c>
      <c r="N4997" s="15"/>
    </row>
    <row r="4998" spans="1:14" s="14" customFormat="1" ht="18" x14ac:dyDescent="0.25">
      <c r="A4998" s="91"/>
      <c r="B4998" s="90"/>
      <c r="C4998" s="88"/>
      <c r="D4998" s="89"/>
      <c r="E4998" s="90"/>
      <c r="F4998" s="91"/>
      <c r="G4998" s="90"/>
      <c r="H4998" s="92"/>
      <c r="I4998" s="87"/>
      <c r="J4998" s="93"/>
      <c r="K4998" s="92"/>
      <c r="L4998" s="72" t="str">
        <f t="shared" si="78"/>
        <v/>
      </c>
      <c r="N4998" s="15"/>
    </row>
    <row r="4999" spans="1:14" s="14" customFormat="1" ht="18" x14ac:dyDescent="0.25">
      <c r="A4999" s="91"/>
      <c r="B4999" s="90"/>
      <c r="C4999" s="88"/>
      <c r="D4999" s="89"/>
      <c r="E4999" s="90"/>
      <c r="F4999" s="91"/>
      <c r="G4999" s="90"/>
      <c r="H4999" s="92"/>
      <c r="I4999" s="87"/>
      <c r="J4999" s="93"/>
      <c r="K4999" s="92"/>
      <c r="L4999" s="72" t="str">
        <f t="shared" si="78"/>
        <v/>
      </c>
      <c r="N4999" s="15"/>
    </row>
    <row r="5000" spans="1:14" s="14" customFormat="1" ht="18" x14ac:dyDescent="0.25">
      <c r="A5000" s="91"/>
      <c r="B5000" s="90"/>
      <c r="C5000" s="88"/>
      <c r="D5000" s="89"/>
      <c r="E5000" s="90"/>
      <c r="F5000" s="91"/>
      <c r="G5000" s="90"/>
      <c r="H5000" s="92"/>
      <c r="I5000" s="87"/>
      <c r="J5000" s="93"/>
      <c r="K5000" s="92"/>
      <c r="L5000" s="72" t="str">
        <f t="shared" si="78"/>
        <v/>
      </c>
      <c r="N5000" s="15"/>
    </row>
    <row r="5001" spans="1:14" s="14" customFormat="1" ht="18" x14ac:dyDescent="0.25">
      <c r="A5001" s="91"/>
      <c r="B5001" s="90"/>
      <c r="C5001" s="88"/>
      <c r="D5001" s="89"/>
      <c r="E5001" s="90"/>
      <c r="F5001" s="91"/>
      <c r="G5001" s="90"/>
      <c r="H5001" s="92"/>
      <c r="I5001" s="87"/>
      <c r="J5001" s="93"/>
      <c r="K5001" s="92"/>
      <c r="L5001" s="72" t="str">
        <f t="shared" si="78"/>
        <v/>
      </c>
      <c r="N5001" s="15"/>
    </row>
    <row r="5002" spans="1:14" s="14" customFormat="1" ht="18" x14ac:dyDescent="0.25">
      <c r="A5002" s="91"/>
      <c r="B5002" s="90"/>
      <c r="C5002" s="88"/>
      <c r="D5002" s="89"/>
      <c r="E5002" s="90"/>
      <c r="F5002" s="91"/>
      <c r="G5002" s="90"/>
      <c r="H5002" s="92"/>
      <c r="I5002" s="87"/>
      <c r="J5002" s="93"/>
      <c r="K5002" s="92"/>
      <c r="L5002" s="72" t="str">
        <f t="shared" si="78"/>
        <v/>
      </c>
      <c r="N5002" s="15"/>
    </row>
    <row r="5003" spans="1:14" s="14" customFormat="1" ht="18" x14ac:dyDescent="0.25">
      <c r="A5003" s="91"/>
      <c r="B5003" s="90"/>
      <c r="C5003" s="88"/>
      <c r="D5003" s="89"/>
      <c r="E5003" s="90"/>
      <c r="F5003" s="91"/>
      <c r="G5003" s="90"/>
      <c r="H5003" s="92"/>
      <c r="I5003" s="87"/>
      <c r="J5003" s="93"/>
      <c r="K5003" s="92"/>
      <c r="L5003" s="72" t="str">
        <f t="shared" si="78"/>
        <v/>
      </c>
      <c r="N5003" s="15"/>
    </row>
    <row r="5004" spans="1:14" s="14" customFormat="1" ht="18" x14ac:dyDescent="0.25">
      <c r="A5004" s="91"/>
      <c r="B5004" s="90"/>
      <c r="C5004" s="88"/>
      <c r="D5004" s="89"/>
      <c r="E5004" s="90"/>
      <c r="F5004" s="91"/>
      <c r="G5004" s="90"/>
      <c r="H5004" s="92"/>
      <c r="I5004" s="87"/>
      <c r="J5004" s="93"/>
      <c r="K5004" s="92"/>
      <c r="L5004" s="72" t="str">
        <f t="shared" si="78"/>
        <v/>
      </c>
      <c r="N5004" s="15"/>
    </row>
    <row r="5005" spans="1:14" s="14" customFormat="1" ht="18" x14ac:dyDescent="0.25">
      <c r="A5005" s="91"/>
      <c r="B5005" s="90"/>
      <c r="C5005" s="88"/>
      <c r="D5005" s="89"/>
      <c r="E5005" s="90"/>
      <c r="F5005" s="91"/>
      <c r="G5005" s="90"/>
      <c r="H5005" s="92"/>
      <c r="I5005" s="87"/>
      <c r="J5005" s="93"/>
      <c r="K5005" s="92"/>
      <c r="L5005" s="72" t="str">
        <f t="shared" si="78"/>
        <v/>
      </c>
      <c r="N5005" s="15"/>
    </row>
    <row r="5006" spans="1:14" s="14" customFormat="1" ht="18" x14ac:dyDescent="0.25">
      <c r="A5006" s="91"/>
      <c r="B5006" s="90"/>
      <c r="C5006" s="88"/>
      <c r="D5006" s="89"/>
      <c r="E5006" s="90"/>
      <c r="F5006" s="91"/>
      <c r="G5006" s="90"/>
      <c r="H5006" s="92"/>
      <c r="I5006" s="87"/>
      <c r="J5006" s="93"/>
      <c r="K5006" s="92"/>
      <c r="L5006" s="72" t="str">
        <f t="shared" si="78"/>
        <v/>
      </c>
      <c r="N5006" s="15"/>
    </row>
    <row r="5007" spans="1:14" s="14" customFormat="1" ht="18" x14ac:dyDescent="0.25">
      <c r="A5007" s="91"/>
      <c r="B5007" s="90"/>
      <c r="C5007" s="88"/>
      <c r="D5007" s="89"/>
      <c r="E5007" s="90"/>
      <c r="F5007" s="91"/>
      <c r="G5007" s="90"/>
      <c r="H5007" s="92"/>
      <c r="I5007" s="87"/>
      <c r="J5007" s="93"/>
      <c r="K5007" s="92"/>
      <c r="L5007" s="72" t="str">
        <f t="shared" si="78"/>
        <v/>
      </c>
      <c r="N5007" s="15"/>
    </row>
    <row r="5008" spans="1:14" s="14" customFormat="1" ht="18" x14ac:dyDescent="0.25">
      <c r="A5008" s="91"/>
      <c r="B5008" s="90"/>
      <c r="C5008" s="88"/>
      <c r="D5008" s="89"/>
      <c r="E5008" s="90"/>
      <c r="F5008" s="91"/>
      <c r="G5008" s="90"/>
      <c r="H5008" s="92"/>
      <c r="I5008" s="87"/>
      <c r="J5008" s="93"/>
      <c r="K5008" s="92"/>
      <c r="L5008" s="72" t="str">
        <f t="shared" si="78"/>
        <v/>
      </c>
      <c r="N5008" s="15"/>
    </row>
    <row r="5009" spans="1:14" s="14" customFormat="1" ht="18" x14ac:dyDescent="0.25">
      <c r="A5009" s="91"/>
      <c r="B5009" s="90"/>
      <c r="C5009" s="88"/>
      <c r="D5009" s="89"/>
      <c r="E5009" s="90"/>
      <c r="F5009" s="91"/>
      <c r="G5009" s="90"/>
      <c r="H5009" s="92"/>
      <c r="I5009" s="87"/>
      <c r="J5009" s="93"/>
      <c r="K5009" s="92"/>
      <c r="L5009" s="72" t="str">
        <f t="shared" si="78"/>
        <v/>
      </c>
      <c r="N5009" s="15"/>
    </row>
    <row r="5010" spans="1:14" s="14" customFormat="1" ht="18" x14ac:dyDescent="0.25">
      <c r="A5010" s="91"/>
      <c r="B5010" s="90"/>
      <c r="C5010" s="88"/>
      <c r="D5010" s="89"/>
      <c r="E5010" s="90"/>
      <c r="F5010" s="91"/>
      <c r="G5010" s="90"/>
      <c r="H5010" s="92"/>
      <c r="I5010" s="87"/>
      <c r="J5010" s="93"/>
      <c r="K5010" s="92"/>
      <c r="L5010" s="72" t="str">
        <f t="shared" si="78"/>
        <v/>
      </c>
      <c r="N5010" s="15"/>
    </row>
    <row r="5011" spans="1:14" s="14" customFormat="1" ht="18" x14ac:dyDescent="0.25">
      <c r="A5011" s="91"/>
      <c r="B5011" s="90"/>
      <c r="C5011" s="88"/>
      <c r="D5011" s="89"/>
      <c r="E5011" s="90"/>
      <c r="F5011" s="91"/>
      <c r="G5011" s="90"/>
      <c r="H5011" s="92"/>
      <c r="I5011" s="87"/>
      <c r="J5011" s="93"/>
      <c r="K5011" s="92"/>
      <c r="L5011" s="72" t="str">
        <f t="shared" si="78"/>
        <v/>
      </c>
      <c r="N5011" s="15"/>
    </row>
    <row r="5012" spans="1:14" s="14" customFormat="1" ht="18" x14ac:dyDescent="0.25">
      <c r="A5012" s="91"/>
      <c r="B5012" s="90"/>
      <c r="C5012" s="88"/>
      <c r="D5012" s="89"/>
      <c r="E5012" s="90"/>
      <c r="F5012" s="91"/>
      <c r="G5012" s="90"/>
      <c r="H5012" s="92"/>
      <c r="I5012" s="87"/>
      <c r="J5012" s="93"/>
      <c r="K5012" s="92"/>
      <c r="L5012" s="72" t="str">
        <f t="shared" si="78"/>
        <v/>
      </c>
      <c r="N5012" s="15"/>
    </row>
    <row r="5013" spans="1:14" s="14" customFormat="1" ht="18" x14ac:dyDescent="0.25">
      <c r="A5013" s="91"/>
      <c r="B5013" s="90"/>
      <c r="C5013" s="88"/>
      <c r="D5013" s="89"/>
      <c r="E5013" s="90"/>
      <c r="F5013" s="91"/>
      <c r="G5013" s="90"/>
      <c r="H5013" s="92"/>
      <c r="I5013" s="87"/>
      <c r="J5013" s="93"/>
      <c r="K5013" s="92"/>
      <c r="L5013" s="72" t="str">
        <f t="shared" si="78"/>
        <v/>
      </c>
      <c r="N5013" s="15"/>
    </row>
    <row r="5014" spans="1:14" s="14" customFormat="1" ht="18" x14ac:dyDescent="0.25">
      <c r="A5014" s="91"/>
      <c r="B5014" s="90"/>
      <c r="C5014" s="88"/>
      <c r="D5014" s="89"/>
      <c r="E5014" s="90"/>
      <c r="F5014" s="91"/>
      <c r="G5014" s="90"/>
      <c r="H5014" s="92"/>
      <c r="I5014" s="87"/>
      <c r="J5014" s="93"/>
      <c r="K5014" s="92"/>
      <c r="L5014" s="72" t="str">
        <f t="shared" si="78"/>
        <v/>
      </c>
      <c r="N5014" s="15"/>
    </row>
    <row r="5015" spans="1:14" s="14" customFormat="1" ht="18" x14ac:dyDescent="0.25">
      <c r="A5015" s="91"/>
      <c r="B5015" s="90"/>
      <c r="C5015" s="88"/>
      <c r="D5015" s="89"/>
      <c r="E5015" s="90"/>
      <c r="F5015" s="91"/>
      <c r="G5015" s="90"/>
      <c r="H5015" s="92"/>
      <c r="I5015" s="87"/>
      <c r="J5015" s="93"/>
      <c r="K5015" s="92"/>
      <c r="L5015" s="72" t="str">
        <f t="shared" si="78"/>
        <v/>
      </c>
      <c r="N5015" s="15"/>
    </row>
    <row r="5016" spans="1:14" s="14" customFormat="1" ht="18" x14ac:dyDescent="0.25">
      <c r="A5016" s="91"/>
      <c r="B5016" s="90"/>
      <c r="C5016" s="88"/>
      <c r="D5016" s="89"/>
      <c r="E5016" s="90"/>
      <c r="F5016" s="91"/>
      <c r="G5016" s="90"/>
      <c r="H5016" s="92"/>
      <c r="I5016" s="87"/>
      <c r="J5016" s="93"/>
      <c r="K5016" s="92"/>
      <c r="L5016" s="72" t="str">
        <f t="shared" si="78"/>
        <v/>
      </c>
      <c r="N5016" s="15"/>
    </row>
    <row r="5017" spans="1:14" s="14" customFormat="1" ht="18" x14ac:dyDescent="0.25">
      <c r="A5017" s="91"/>
      <c r="B5017" s="90"/>
      <c r="C5017" s="88"/>
      <c r="D5017" s="89"/>
      <c r="E5017" s="90"/>
      <c r="F5017" s="91"/>
      <c r="G5017" s="90"/>
      <c r="H5017" s="92"/>
      <c r="I5017" s="87"/>
      <c r="J5017" s="93"/>
      <c r="K5017" s="92"/>
      <c r="L5017" s="72" t="str">
        <f t="shared" si="78"/>
        <v/>
      </c>
      <c r="N5017" s="15"/>
    </row>
    <row r="5018" spans="1:14" s="14" customFormat="1" ht="18" x14ac:dyDescent="0.25">
      <c r="A5018" s="91"/>
      <c r="B5018" s="90"/>
      <c r="C5018" s="88"/>
      <c r="D5018" s="89"/>
      <c r="E5018" s="90"/>
      <c r="F5018" s="91"/>
      <c r="G5018" s="90"/>
      <c r="H5018" s="92"/>
      <c r="I5018" s="87"/>
      <c r="J5018" s="93"/>
      <c r="K5018" s="92"/>
      <c r="L5018" s="72" t="str">
        <f t="shared" si="78"/>
        <v/>
      </c>
      <c r="N5018" s="15"/>
    </row>
    <row r="5019" spans="1:14" s="14" customFormat="1" ht="18" x14ac:dyDescent="0.25">
      <c r="A5019" s="91"/>
      <c r="B5019" s="90"/>
      <c r="C5019" s="88"/>
      <c r="D5019" s="89"/>
      <c r="E5019" s="90"/>
      <c r="F5019" s="91"/>
      <c r="G5019" s="90"/>
      <c r="H5019" s="92"/>
      <c r="I5019" s="87"/>
      <c r="J5019" s="93"/>
      <c r="K5019" s="92"/>
      <c r="L5019" s="72" t="str">
        <f t="shared" si="78"/>
        <v/>
      </c>
      <c r="N5019" s="15"/>
    </row>
    <row r="5020" spans="1:14" s="14" customFormat="1" ht="18" x14ac:dyDescent="0.25">
      <c r="A5020" s="91"/>
      <c r="B5020" s="90"/>
      <c r="C5020" s="88"/>
      <c r="D5020" s="89"/>
      <c r="E5020" s="90"/>
      <c r="F5020" s="91"/>
      <c r="G5020" s="90"/>
      <c r="H5020" s="92"/>
      <c r="I5020" s="87"/>
      <c r="J5020" s="93"/>
      <c r="K5020" s="92"/>
      <c r="L5020" s="72" t="str">
        <f t="shared" si="78"/>
        <v/>
      </c>
      <c r="N5020" s="15"/>
    </row>
    <row r="5021" spans="1:14" s="14" customFormat="1" ht="18" x14ac:dyDescent="0.25">
      <c r="A5021" s="91"/>
      <c r="B5021" s="90"/>
      <c r="C5021" s="88"/>
      <c r="D5021" s="89"/>
      <c r="E5021" s="90"/>
      <c r="F5021" s="91"/>
      <c r="G5021" s="90"/>
      <c r="H5021" s="92"/>
      <c r="I5021" s="87"/>
      <c r="J5021" s="93"/>
      <c r="K5021" s="92"/>
      <c r="L5021" s="72" t="str">
        <f t="shared" si="78"/>
        <v/>
      </c>
      <c r="N5021" s="15"/>
    </row>
    <row r="5022" spans="1:14" s="14" customFormat="1" ht="18" x14ac:dyDescent="0.25">
      <c r="A5022" s="91"/>
      <c r="B5022" s="90"/>
      <c r="C5022" s="88"/>
      <c r="D5022" s="89"/>
      <c r="E5022" s="90"/>
      <c r="F5022" s="91"/>
      <c r="G5022" s="90"/>
      <c r="H5022" s="92"/>
      <c r="I5022" s="87"/>
      <c r="J5022" s="93"/>
      <c r="K5022" s="92"/>
      <c r="L5022" s="72" t="str">
        <f t="shared" ref="L5022:L5085" si="79">IF(ISBLANK(H5022),"",IF(H5022=K5022,"Payé","Impayé"))</f>
        <v/>
      </c>
      <c r="N5022" s="15"/>
    </row>
    <row r="5023" spans="1:14" s="14" customFormat="1" ht="18" x14ac:dyDescent="0.25">
      <c r="A5023" s="91"/>
      <c r="B5023" s="90"/>
      <c r="C5023" s="88"/>
      <c r="D5023" s="89"/>
      <c r="E5023" s="90"/>
      <c r="F5023" s="91"/>
      <c r="G5023" s="90"/>
      <c r="H5023" s="92"/>
      <c r="I5023" s="87"/>
      <c r="J5023" s="93"/>
      <c r="K5023" s="92"/>
      <c r="L5023" s="72" t="str">
        <f t="shared" si="79"/>
        <v/>
      </c>
      <c r="N5023" s="15"/>
    </row>
    <row r="5024" spans="1:14" s="14" customFormat="1" ht="18" x14ac:dyDescent="0.25">
      <c r="A5024" s="91"/>
      <c r="B5024" s="90"/>
      <c r="C5024" s="88"/>
      <c r="D5024" s="89"/>
      <c r="E5024" s="90"/>
      <c r="F5024" s="91"/>
      <c r="G5024" s="90"/>
      <c r="H5024" s="92"/>
      <c r="I5024" s="87"/>
      <c r="J5024" s="93"/>
      <c r="K5024" s="92"/>
      <c r="L5024" s="72" t="str">
        <f t="shared" si="79"/>
        <v/>
      </c>
      <c r="N5024" s="15"/>
    </row>
    <row r="5025" spans="1:14" s="14" customFormat="1" ht="18" x14ac:dyDescent="0.25">
      <c r="A5025" s="91"/>
      <c r="B5025" s="90"/>
      <c r="C5025" s="88"/>
      <c r="D5025" s="89"/>
      <c r="E5025" s="90"/>
      <c r="F5025" s="91"/>
      <c r="G5025" s="90"/>
      <c r="H5025" s="92"/>
      <c r="I5025" s="87"/>
      <c r="J5025" s="93"/>
      <c r="K5025" s="92"/>
      <c r="L5025" s="72" t="str">
        <f t="shared" si="79"/>
        <v/>
      </c>
      <c r="N5025" s="15"/>
    </row>
    <row r="5026" spans="1:14" s="14" customFormat="1" ht="18" x14ac:dyDescent="0.25">
      <c r="A5026" s="91"/>
      <c r="B5026" s="90"/>
      <c r="C5026" s="88"/>
      <c r="D5026" s="89"/>
      <c r="E5026" s="90"/>
      <c r="F5026" s="91"/>
      <c r="G5026" s="90"/>
      <c r="H5026" s="92"/>
      <c r="I5026" s="87"/>
      <c r="J5026" s="93"/>
      <c r="K5026" s="92"/>
      <c r="L5026" s="72" t="str">
        <f t="shared" si="79"/>
        <v/>
      </c>
      <c r="N5026" s="15"/>
    </row>
    <row r="5027" spans="1:14" s="14" customFormat="1" ht="18" x14ac:dyDescent="0.25">
      <c r="A5027" s="91"/>
      <c r="B5027" s="90"/>
      <c r="C5027" s="88"/>
      <c r="D5027" s="89"/>
      <c r="E5027" s="90"/>
      <c r="F5027" s="91"/>
      <c r="G5027" s="90"/>
      <c r="H5027" s="92"/>
      <c r="I5027" s="87"/>
      <c r="J5027" s="93"/>
      <c r="K5027" s="92"/>
      <c r="L5027" s="72" t="str">
        <f t="shared" si="79"/>
        <v/>
      </c>
      <c r="N5027" s="15"/>
    </row>
    <row r="5028" spans="1:14" s="14" customFormat="1" ht="18" x14ac:dyDescent="0.25">
      <c r="A5028" s="91"/>
      <c r="B5028" s="90"/>
      <c r="C5028" s="88"/>
      <c r="D5028" s="89"/>
      <c r="E5028" s="90"/>
      <c r="F5028" s="91"/>
      <c r="G5028" s="90"/>
      <c r="H5028" s="92"/>
      <c r="I5028" s="87"/>
      <c r="J5028" s="93"/>
      <c r="K5028" s="92"/>
      <c r="L5028" s="72" t="str">
        <f t="shared" si="79"/>
        <v/>
      </c>
      <c r="N5028" s="15"/>
    </row>
    <row r="5029" spans="1:14" s="14" customFormat="1" ht="18" x14ac:dyDescent="0.25">
      <c r="A5029" s="91"/>
      <c r="B5029" s="90"/>
      <c r="C5029" s="88"/>
      <c r="D5029" s="89"/>
      <c r="E5029" s="90"/>
      <c r="F5029" s="91"/>
      <c r="G5029" s="90"/>
      <c r="H5029" s="92"/>
      <c r="I5029" s="87"/>
      <c r="J5029" s="93"/>
      <c r="K5029" s="92"/>
      <c r="L5029" s="72" t="str">
        <f t="shared" si="79"/>
        <v/>
      </c>
      <c r="N5029" s="15"/>
    </row>
    <row r="5030" spans="1:14" s="14" customFormat="1" ht="18" x14ac:dyDescent="0.25">
      <c r="A5030" s="91"/>
      <c r="B5030" s="90"/>
      <c r="C5030" s="88"/>
      <c r="D5030" s="89"/>
      <c r="E5030" s="90"/>
      <c r="F5030" s="91"/>
      <c r="G5030" s="90"/>
      <c r="H5030" s="92"/>
      <c r="I5030" s="87"/>
      <c r="J5030" s="93"/>
      <c r="K5030" s="92"/>
      <c r="L5030" s="72" t="str">
        <f t="shared" si="79"/>
        <v/>
      </c>
      <c r="N5030" s="15"/>
    </row>
    <row r="5031" spans="1:14" s="14" customFormat="1" ht="18" x14ac:dyDescent="0.25">
      <c r="A5031" s="91"/>
      <c r="B5031" s="90"/>
      <c r="C5031" s="88"/>
      <c r="D5031" s="89"/>
      <c r="E5031" s="90"/>
      <c r="F5031" s="91"/>
      <c r="G5031" s="90"/>
      <c r="H5031" s="92"/>
      <c r="I5031" s="87"/>
      <c r="J5031" s="93"/>
      <c r="K5031" s="92"/>
      <c r="L5031" s="72" t="str">
        <f t="shared" si="79"/>
        <v/>
      </c>
      <c r="N5031" s="15"/>
    </row>
    <row r="5032" spans="1:14" s="14" customFormat="1" ht="18" x14ac:dyDescent="0.25">
      <c r="A5032" s="91"/>
      <c r="B5032" s="90"/>
      <c r="C5032" s="88"/>
      <c r="D5032" s="89"/>
      <c r="E5032" s="90"/>
      <c r="F5032" s="91"/>
      <c r="G5032" s="90"/>
      <c r="H5032" s="92"/>
      <c r="I5032" s="87"/>
      <c r="J5032" s="93"/>
      <c r="K5032" s="92"/>
      <c r="L5032" s="72" t="str">
        <f t="shared" si="79"/>
        <v/>
      </c>
      <c r="N5032" s="15"/>
    </row>
    <row r="5033" spans="1:14" s="14" customFormat="1" ht="18" x14ac:dyDescent="0.25">
      <c r="A5033" s="91"/>
      <c r="B5033" s="90"/>
      <c r="C5033" s="88"/>
      <c r="D5033" s="89"/>
      <c r="E5033" s="90"/>
      <c r="F5033" s="91"/>
      <c r="G5033" s="90"/>
      <c r="H5033" s="92"/>
      <c r="I5033" s="87"/>
      <c r="J5033" s="93"/>
      <c r="K5033" s="92"/>
      <c r="L5033" s="72" t="str">
        <f t="shared" si="79"/>
        <v/>
      </c>
      <c r="N5033" s="15"/>
    </row>
    <row r="5034" spans="1:14" s="14" customFormat="1" ht="18" x14ac:dyDescent="0.25">
      <c r="A5034" s="91"/>
      <c r="B5034" s="90"/>
      <c r="C5034" s="88"/>
      <c r="D5034" s="89"/>
      <c r="E5034" s="90"/>
      <c r="F5034" s="91"/>
      <c r="G5034" s="90"/>
      <c r="H5034" s="92"/>
      <c r="I5034" s="87"/>
      <c r="J5034" s="93"/>
      <c r="K5034" s="92"/>
      <c r="L5034" s="72" t="str">
        <f t="shared" si="79"/>
        <v/>
      </c>
      <c r="N5034" s="15"/>
    </row>
    <row r="5035" spans="1:14" s="14" customFormat="1" ht="18" x14ac:dyDescent="0.25">
      <c r="A5035" s="91"/>
      <c r="B5035" s="90"/>
      <c r="C5035" s="88"/>
      <c r="D5035" s="89"/>
      <c r="E5035" s="90"/>
      <c r="F5035" s="91"/>
      <c r="G5035" s="90"/>
      <c r="H5035" s="92"/>
      <c r="I5035" s="87"/>
      <c r="J5035" s="93"/>
      <c r="K5035" s="92"/>
      <c r="L5035" s="72" t="str">
        <f t="shared" si="79"/>
        <v/>
      </c>
      <c r="N5035" s="15"/>
    </row>
    <row r="5036" spans="1:14" s="14" customFormat="1" ht="18" x14ac:dyDescent="0.25">
      <c r="A5036" s="91"/>
      <c r="B5036" s="90"/>
      <c r="C5036" s="88"/>
      <c r="D5036" s="89"/>
      <c r="E5036" s="90"/>
      <c r="F5036" s="91"/>
      <c r="G5036" s="90"/>
      <c r="H5036" s="92"/>
      <c r="I5036" s="87"/>
      <c r="J5036" s="93"/>
      <c r="K5036" s="92"/>
      <c r="L5036" s="72" t="str">
        <f t="shared" si="79"/>
        <v/>
      </c>
      <c r="N5036" s="15"/>
    </row>
    <row r="5037" spans="1:14" s="14" customFormat="1" ht="18" x14ac:dyDescent="0.25">
      <c r="A5037" s="91"/>
      <c r="B5037" s="90"/>
      <c r="C5037" s="88"/>
      <c r="D5037" s="89"/>
      <c r="E5037" s="90"/>
      <c r="F5037" s="91"/>
      <c r="G5037" s="90"/>
      <c r="H5037" s="92"/>
      <c r="I5037" s="87"/>
      <c r="J5037" s="93"/>
      <c r="K5037" s="92"/>
      <c r="L5037" s="72" t="str">
        <f t="shared" si="79"/>
        <v/>
      </c>
      <c r="N5037" s="15"/>
    </row>
    <row r="5038" spans="1:14" s="14" customFormat="1" ht="18" x14ac:dyDescent="0.25">
      <c r="A5038" s="91"/>
      <c r="B5038" s="90"/>
      <c r="C5038" s="88"/>
      <c r="D5038" s="89"/>
      <c r="E5038" s="90"/>
      <c r="F5038" s="91"/>
      <c r="G5038" s="90"/>
      <c r="H5038" s="92"/>
      <c r="I5038" s="87"/>
      <c r="J5038" s="93"/>
      <c r="K5038" s="92"/>
      <c r="L5038" s="72" t="str">
        <f t="shared" si="79"/>
        <v/>
      </c>
      <c r="N5038" s="15"/>
    </row>
    <row r="5039" spans="1:14" s="14" customFormat="1" ht="18" x14ac:dyDescent="0.25">
      <c r="A5039" s="91"/>
      <c r="B5039" s="90"/>
      <c r="C5039" s="88"/>
      <c r="D5039" s="89"/>
      <c r="E5039" s="90"/>
      <c r="F5039" s="91"/>
      <c r="G5039" s="90"/>
      <c r="H5039" s="92"/>
      <c r="I5039" s="87"/>
      <c r="J5039" s="93"/>
      <c r="K5039" s="92"/>
      <c r="L5039" s="72" t="str">
        <f t="shared" si="79"/>
        <v/>
      </c>
      <c r="N5039" s="15"/>
    </row>
    <row r="5040" spans="1:14" s="14" customFormat="1" ht="18" x14ac:dyDescent="0.25">
      <c r="A5040" s="91"/>
      <c r="B5040" s="90"/>
      <c r="C5040" s="88"/>
      <c r="D5040" s="89"/>
      <c r="E5040" s="90"/>
      <c r="F5040" s="91"/>
      <c r="G5040" s="90"/>
      <c r="H5040" s="92"/>
      <c r="I5040" s="87"/>
      <c r="J5040" s="93"/>
      <c r="K5040" s="92"/>
      <c r="L5040" s="72" t="str">
        <f t="shared" si="79"/>
        <v/>
      </c>
      <c r="N5040" s="15"/>
    </row>
    <row r="5041" spans="1:14" s="14" customFormat="1" ht="18" x14ac:dyDescent="0.25">
      <c r="A5041" s="91"/>
      <c r="B5041" s="90"/>
      <c r="C5041" s="88"/>
      <c r="D5041" s="89"/>
      <c r="E5041" s="90"/>
      <c r="F5041" s="91"/>
      <c r="G5041" s="90"/>
      <c r="H5041" s="92"/>
      <c r="I5041" s="87"/>
      <c r="J5041" s="93"/>
      <c r="K5041" s="92"/>
      <c r="L5041" s="72" t="str">
        <f t="shared" si="79"/>
        <v/>
      </c>
      <c r="N5041" s="15"/>
    </row>
    <row r="5042" spans="1:14" s="14" customFormat="1" ht="18" x14ac:dyDescent="0.25">
      <c r="A5042" s="91"/>
      <c r="B5042" s="90"/>
      <c r="C5042" s="88"/>
      <c r="D5042" s="89"/>
      <c r="E5042" s="90"/>
      <c r="F5042" s="91"/>
      <c r="G5042" s="90"/>
      <c r="H5042" s="92"/>
      <c r="I5042" s="87"/>
      <c r="J5042" s="93"/>
      <c r="K5042" s="92"/>
      <c r="L5042" s="72" t="str">
        <f t="shared" si="79"/>
        <v/>
      </c>
      <c r="N5042" s="15"/>
    </row>
    <row r="5043" spans="1:14" s="14" customFormat="1" ht="18" x14ac:dyDescent="0.25">
      <c r="A5043" s="91"/>
      <c r="B5043" s="90"/>
      <c r="C5043" s="88"/>
      <c r="D5043" s="89"/>
      <c r="E5043" s="90"/>
      <c r="F5043" s="91"/>
      <c r="G5043" s="90"/>
      <c r="H5043" s="92"/>
      <c r="I5043" s="87"/>
      <c r="J5043" s="93"/>
      <c r="K5043" s="92"/>
      <c r="L5043" s="72" t="str">
        <f t="shared" si="79"/>
        <v/>
      </c>
      <c r="N5043" s="15"/>
    </row>
    <row r="5044" spans="1:14" s="14" customFormat="1" ht="18" x14ac:dyDescent="0.25">
      <c r="A5044" s="91"/>
      <c r="B5044" s="90"/>
      <c r="C5044" s="88"/>
      <c r="D5044" s="89"/>
      <c r="E5044" s="90"/>
      <c r="F5044" s="91"/>
      <c r="G5044" s="90"/>
      <c r="H5044" s="92"/>
      <c r="I5044" s="87"/>
      <c r="J5044" s="93"/>
      <c r="K5044" s="92"/>
      <c r="L5044" s="72" t="str">
        <f t="shared" si="79"/>
        <v/>
      </c>
      <c r="N5044" s="15"/>
    </row>
    <row r="5045" spans="1:14" s="14" customFormat="1" ht="18" x14ac:dyDescent="0.25">
      <c r="A5045" s="91"/>
      <c r="B5045" s="90"/>
      <c r="C5045" s="88"/>
      <c r="D5045" s="89"/>
      <c r="E5045" s="90"/>
      <c r="F5045" s="91"/>
      <c r="G5045" s="90"/>
      <c r="H5045" s="92"/>
      <c r="I5045" s="87"/>
      <c r="J5045" s="93"/>
      <c r="K5045" s="92"/>
      <c r="L5045" s="72" t="str">
        <f t="shared" si="79"/>
        <v/>
      </c>
      <c r="N5045" s="15"/>
    </row>
    <row r="5046" spans="1:14" s="14" customFormat="1" ht="18" x14ac:dyDescent="0.25">
      <c r="A5046" s="91"/>
      <c r="B5046" s="90"/>
      <c r="C5046" s="88"/>
      <c r="D5046" s="89"/>
      <c r="E5046" s="90"/>
      <c r="F5046" s="91"/>
      <c r="G5046" s="90"/>
      <c r="H5046" s="92"/>
      <c r="I5046" s="87"/>
      <c r="J5046" s="93"/>
      <c r="K5046" s="92"/>
      <c r="L5046" s="72" t="str">
        <f t="shared" si="79"/>
        <v/>
      </c>
      <c r="N5046" s="15"/>
    </row>
    <row r="5047" spans="1:14" s="14" customFormat="1" ht="18" x14ac:dyDescent="0.25">
      <c r="A5047" s="91"/>
      <c r="B5047" s="90"/>
      <c r="C5047" s="88"/>
      <c r="D5047" s="89"/>
      <c r="E5047" s="90"/>
      <c r="F5047" s="91"/>
      <c r="G5047" s="90"/>
      <c r="H5047" s="92"/>
      <c r="I5047" s="87"/>
      <c r="J5047" s="93"/>
      <c r="K5047" s="92"/>
      <c r="L5047" s="72" t="str">
        <f t="shared" si="79"/>
        <v/>
      </c>
      <c r="N5047" s="15"/>
    </row>
    <row r="5048" spans="1:14" s="14" customFormat="1" ht="18" x14ac:dyDescent="0.25">
      <c r="A5048" s="91"/>
      <c r="B5048" s="90"/>
      <c r="C5048" s="88"/>
      <c r="D5048" s="89"/>
      <c r="E5048" s="90"/>
      <c r="F5048" s="91"/>
      <c r="G5048" s="90"/>
      <c r="H5048" s="92"/>
      <c r="I5048" s="87"/>
      <c r="J5048" s="93"/>
      <c r="K5048" s="92"/>
      <c r="L5048" s="72" t="str">
        <f t="shared" si="79"/>
        <v/>
      </c>
      <c r="N5048" s="15"/>
    </row>
    <row r="5049" spans="1:14" s="14" customFormat="1" ht="18" x14ac:dyDescent="0.25">
      <c r="A5049" s="91"/>
      <c r="B5049" s="90"/>
      <c r="C5049" s="88"/>
      <c r="D5049" s="89"/>
      <c r="E5049" s="90"/>
      <c r="F5049" s="91"/>
      <c r="G5049" s="90"/>
      <c r="H5049" s="92"/>
      <c r="I5049" s="87"/>
      <c r="J5049" s="93"/>
      <c r="K5049" s="92"/>
      <c r="L5049" s="72" t="str">
        <f t="shared" si="79"/>
        <v/>
      </c>
      <c r="N5049" s="15"/>
    </row>
    <row r="5050" spans="1:14" s="14" customFormat="1" ht="18" x14ac:dyDescent="0.25">
      <c r="A5050" s="91"/>
      <c r="B5050" s="90"/>
      <c r="C5050" s="88"/>
      <c r="D5050" s="89"/>
      <c r="E5050" s="90"/>
      <c r="F5050" s="91"/>
      <c r="G5050" s="90"/>
      <c r="H5050" s="92"/>
      <c r="I5050" s="87"/>
      <c r="J5050" s="93"/>
      <c r="K5050" s="92"/>
      <c r="L5050" s="72" t="str">
        <f t="shared" si="79"/>
        <v/>
      </c>
      <c r="N5050" s="15"/>
    </row>
    <row r="5051" spans="1:14" s="14" customFormat="1" ht="18" x14ac:dyDescent="0.25">
      <c r="A5051" s="91"/>
      <c r="B5051" s="90"/>
      <c r="C5051" s="88"/>
      <c r="D5051" s="89"/>
      <c r="E5051" s="90"/>
      <c r="F5051" s="91"/>
      <c r="G5051" s="90"/>
      <c r="H5051" s="92"/>
      <c r="I5051" s="87"/>
      <c r="J5051" s="93"/>
      <c r="K5051" s="92"/>
      <c r="L5051" s="72" t="str">
        <f t="shared" si="79"/>
        <v/>
      </c>
      <c r="N5051" s="15"/>
    </row>
    <row r="5052" spans="1:14" s="14" customFormat="1" ht="18" x14ac:dyDescent="0.25">
      <c r="A5052" s="91"/>
      <c r="B5052" s="90"/>
      <c r="C5052" s="88"/>
      <c r="D5052" s="89"/>
      <c r="E5052" s="90"/>
      <c r="F5052" s="91"/>
      <c r="G5052" s="90"/>
      <c r="H5052" s="92"/>
      <c r="I5052" s="87"/>
      <c r="J5052" s="93"/>
      <c r="K5052" s="92"/>
      <c r="L5052" s="72" t="str">
        <f t="shared" si="79"/>
        <v/>
      </c>
      <c r="N5052" s="15"/>
    </row>
    <row r="5053" spans="1:14" s="14" customFormat="1" ht="18" x14ac:dyDescent="0.25">
      <c r="A5053" s="91"/>
      <c r="B5053" s="90"/>
      <c r="C5053" s="88"/>
      <c r="D5053" s="89"/>
      <c r="E5053" s="90"/>
      <c r="F5053" s="91"/>
      <c r="G5053" s="90"/>
      <c r="H5053" s="92"/>
      <c r="I5053" s="87"/>
      <c r="J5053" s="93"/>
      <c r="K5053" s="92"/>
      <c r="L5053" s="72" t="str">
        <f t="shared" si="79"/>
        <v/>
      </c>
      <c r="N5053" s="15"/>
    </row>
    <row r="5054" spans="1:14" s="14" customFormat="1" ht="18" x14ac:dyDescent="0.25">
      <c r="A5054" s="91"/>
      <c r="B5054" s="90"/>
      <c r="C5054" s="88"/>
      <c r="D5054" s="89"/>
      <c r="E5054" s="90"/>
      <c r="F5054" s="91"/>
      <c r="G5054" s="90"/>
      <c r="H5054" s="92"/>
      <c r="I5054" s="87"/>
      <c r="J5054" s="93"/>
      <c r="K5054" s="92"/>
      <c r="L5054" s="72" t="str">
        <f t="shared" si="79"/>
        <v/>
      </c>
      <c r="N5054" s="15"/>
    </row>
    <row r="5055" spans="1:14" s="14" customFormat="1" ht="18" x14ac:dyDescent="0.25">
      <c r="A5055" s="91"/>
      <c r="B5055" s="90"/>
      <c r="C5055" s="88"/>
      <c r="D5055" s="89"/>
      <c r="E5055" s="90"/>
      <c r="F5055" s="91"/>
      <c r="G5055" s="90"/>
      <c r="H5055" s="92"/>
      <c r="I5055" s="87"/>
      <c r="J5055" s="93"/>
      <c r="K5055" s="92"/>
      <c r="L5055" s="72" t="str">
        <f t="shared" si="79"/>
        <v/>
      </c>
      <c r="N5055" s="15"/>
    </row>
    <row r="5056" spans="1:14" s="14" customFormat="1" ht="18" x14ac:dyDescent="0.25">
      <c r="A5056" s="91"/>
      <c r="B5056" s="90"/>
      <c r="C5056" s="88"/>
      <c r="D5056" s="89"/>
      <c r="E5056" s="90"/>
      <c r="F5056" s="91"/>
      <c r="G5056" s="90"/>
      <c r="H5056" s="92"/>
      <c r="I5056" s="87"/>
      <c r="J5056" s="93"/>
      <c r="K5056" s="92"/>
      <c r="L5056" s="72" t="str">
        <f t="shared" si="79"/>
        <v/>
      </c>
      <c r="N5056" s="15"/>
    </row>
    <row r="5057" spans="1:14" s="14" customFormat="1" ht="18" x14ac:dyDescent="0.25">
      <c r="A5057" s="91"/>
      <c r="B5057" s="90"/>
      <c r="C5057" s="88"/>
      <c r="D5057" s="89"/>
      <c r="E5057" s="90"/>
      <c r="F5057" s="91"/>
      <c r="G5057" s="90"/>
      <c r="H5057" s="92"/>
      <c r="I5057" s="87"/>
      <c r="J5057" s="93"/>
      <c r="K5057" s="92"/>
      <c r="L5057" s="72" t="str">
        <f t="shared" si="79"/>
        <v/>
      </c>
      <c r="N5057" s="15"/>
    </row>
    <row r="5058" spans="1:14" s="14" customFormat="1" ht="18" x14ac:dyDescent="0.25">
      <c r="A5058" s="91"/>
      <c r="B5058" s="90"/>
      <c r="C5058" s="88"/>
      <c r="D5058" s="89"/>
      <c r="E5058" s="90"/>
      <c r="F5058" s="91"/>
      <c r="G5058" s="90"/>
      <c r="H5058" s="92"/>
      <c r="I5058" s="87"/>
      <c r="J5058" s="93"/>
      <c r="K5058" s="92"/>
      <c r="L5058" s="72" t="str">
        <f t="shared" si="79"/>
        <v/>
      </c>
      <c r="N5058" s="15"/>
    </row>
    <row r="5059" spans="1:14" s="14" customFormat="1" ht="18" x14ac:dyDescent="0.25">
      <c r="A5059" s="91"/>
      <c r="B5059" s="90"/>
      <c r="C5059" s="88"/>
      <c r="D5059" s="89"/>
      <c r="E5059" s="90"/>
      <c r="F5059" s="91"/>
      <c r="G5059" s="90"/>
      <c r="H5059" s="92"/>
      <c r="I5059" s="87"/>
      <c r="J5059" s="93"/>
      <c r="K5059" s="92"/>
      <c r="L5059" s="72" t="str">
        <f t="shared" si="79"/>
        <v/>
      </c>
      <c r="N5059" s="15"/>
    </row>
    <row r="5060" spans="1:14" s="14" customFormat="1" ht="18" x14ac:dyDescent="0.25">
      <c r="A5060" s="91"/>
      <c r="B5060" s="90"/>
      <c r="C5060" s="88"/>
      <c r="D5060" s="89"/>
      <c r="E5060" s="90"/>
      <c r="F5060" s="91"/>
      <c r="G5060" s="90"/>
      <c r="H5060" s="92"/>
      <c r="I5060" s="87"/>
      <c r="J5060" s="93"/>
      <c r="K5060" s="92"/>
      <c r="L5060" s="72" t="str">
        <f t="shared" si="79"/>
        <v/>
      </c>
      <c r="N5060" s="15"/>
    </row>
    <row r="5061" spans="1:14" s="14" customFormat="1" ht="18" x14ac:dyDescent="0.25">
      <c r="A5061" s="91"/>
      <c r="B5061" s="90"/>
      <c r="C5061" s="88"/>
      <c r="D5061" s="89"/>
      <c r="E5061" s="90"/>
      <c r="F5061" s="91"/>
      <c r="G5061" s="90"/>
      <c r="H5061" s="92"/>
      <c r="I5061" s="87"/>
      <c r="J5061" s="93"/>
      <c r="K5061" s="92"/>
      <c r="L5061" s="72" t="str">
        <f t="shared" si="79"/>
        <v/>
      </c>
      <c r="N5061" s="15"/>
    </row>
    <row r="5062" spans="1:14" s="14" customFormat="1" ht="18" x14ac:dyDescent="0.25">
      <c r="A5062" s="91"/>
      <c r="B5062" s="90"/>
      <c r="C5062" s="88"/>
      <c r="D5062" s="89"/>
      <c r="E5062" s="90"/>
      <c r="F5062" s="91"/>
      <c r="G5062" s="90"/>
      <c r="H5062" s="92"/>
      <c r="I5062" s="87"/>
      <c r="J5062" s="93"/>
      <c r="K5062" s="92"/>
      <c r="L5062" s="72" t="str">
        <f t="shared" si="79"/>
        <v/>
      </c>
      <c r="N5062" s="15"/>
    </row>
    <row r="5063" spans="1:14" s="14" customFormat="1" ht="18" x14ac:dyDescent="0.25">
      <c r="A5063" s="91"/>
      <c r="B5063" s="90"/>
      <c r="C5063" s="88"/>
      <c r="D5063" s="89"/>
      <c r="E5063" s="90"/>
      <c r="F5063" s="91"/>
      <c r="G5063" s="90"/>
      <c r="H5063" s="92"/>
      <c r="I5063" s="87"/>
      <c r="J5063" s="93"/>
      <c r="K5063" s="92"/>
      <c r="L5063" s="72" t="str">
        <f t="shared" si="79"/>
        <v/>
      </c>
      <c r="N5063" s="15"/>
    </row>
    <row r="5064" spans="1:14" s="14" customFormat="1" ht="18" x14ac:dyDescent="0.25">
      <c r="A5064" s="91"/>
      <c r="B5064" s="90"/>
      <c r="C5064" s="88"/>
      <c r="D5064" s="89"/>
      <c r="E5064" s="90"/>
      <c r="F5064" s="91"/>
      <c r="G5064" s="90"/>
      <c r="H5064" s="92"/>
      <c r="I5064" s="87"/>
      <c r="J5064" s="93"/>
      <c r="K5064" s="92"/>
      <c r="L5064" s="72" t="str">
        <f t="shared" si="79"/>
        <v/>
      </c>
      <c r="N5064" s="15"/>
    </row>
    <row r="5065" spans="1:14" s="14" customFormat="1" ht="18" x14ac:dyDescent="0.25">
      <c r="A5065" s="91"/>
      <c r="B5065" s="90"/>
      <c r="C5065" s="88"/>
      <c r="D5065" s="89"/>
      <c r="E5065" s="90"/>
      <c r="F5065" s="91"/>
      <c r="G5065" s="90"/>
      <c r="H5065" s="92"/>
      <c r="I5065" s="87"/>
      <c r="J5065" s="93"/>
      <c r="K5065" s="92"/>
      <c r="L5065" s="72" t="str">
        <f t="shared" si="79"/>
        <v/>
      </c>
      <c r="N5065" s="15"/>
    </row>
    <row r="5066" spans="1:14" s="14" customFormat="1" ht="18" x14ac:dyDescent="0.25">
      <c r="A5066" s="91"/>
      <c r="B5066" s="90"/>
      <c r="C5066" s="88"/>
      <c r="D5066" s="89"/>
      <c r="E5066" s="90"/>
      <c r="F5066" s="91"/>
      <c r="G5066" s="90"/>
      <c r="H5066" s="92"/>
      <c r="I5066" s="87"/>
      <c r="J5066" s="93"/>
      <c r="K5066" s="92"/>
      <c r="L5066" s="72" t="str">
        <f t="shared" si="79"/>
        <v/>
      </c>
      <c r="N5066" s="15"/>
    </row>
    <row r="5067" spans="1:14" s="14" customFormat="1" ht="18" x14ac:dyDescent="0.25">
      <c r="A5067" s="91"/>
      <c r="B5067" s="90"/>
      <c r="C5067" s="88"/>
      <c r="D5067" s="89"/>
      <c r="E5067" s="90"/>
      <c r="F5067" s="91"/>
      <c r="G5067" s="90"/>
      <c r="H5067" s="92"/>
      <c r="I5067" s="87"/>
      <c r="J5067" s="93"/>
      <c r="K5067" s="92"/>
      <c r="L5067" s="72" t="str">
        <f t="shared" si="79"/>
        <v/>
      </c>
      <c r="N5067" s="15"/>
    </row>
    <row r="5068" spans="1:14" s="14" customFormat="1" ht="18" x14ac:dyDescent="0.25">
      <c r="A5068" s="91"/>
      <c r="B5068" s="90"/>
      <c r="C5068" s="88"/>
      <c r="D5068" s="89"/>
      <c r="E5068" s="90"/>
      <c r="F5068" s="91"/>
      <c r="G5068" s="90"/>
      <c r="H5068" s="92"/>
      <c r="I5068" s="87"/>
      <c r="J5068" s="93"/>
      <c r="K5068" s="92"/>
      <c r="L5068" s="72" t="str">
        <f t="shared" si="79"/>
        <v/>
      </c>
      <c r="N5068" s="15"/>
    </row>
    <row r="5069" spans="1:14" s="14" customFormat="1" ht="18" x14ac:dyDescent="0.25">
      <c r="A5069" s="91"/>
      <c r="B5069" s="90"/>
      <c r="C5069" s="88"/>
      <c r="D5069" s="89"/>
      <c r="E5069" s="90"/>
      <c r="F5069" s="91"/>
      <c r="G5069" s="90"/>
      <c r="H5069" s="92"/>
      <c r="I5069" s="87"/>
      <c r="J5069" s="93"/>
      <c r="K5069" s="92"/>
      <c r="L5069" s="72" t="str">
        <f t="shared" si="79"/>
        <v/>
      </c>
      <c r="N5069" s="15"/>
    </row>
    <row r="5070" spans="1:14" s="14" customFormat="1" ht="18" x14ac:dyDescent="0.25">
      <c r="A5070" s="91"/>
      <c r="B5070" s="90"/>
      <c r="C5070" s="88"/>
      <c r="D5070" s="89"/>
      <c r="E5070" s="90"/>
      <c r="F5070" s="91"/>
      <c r="G5070" s="90"/>
      <c r="H5070" s="92"/>
      <c r="I5070" s="87"/>
      <c r="J5070" s="93"/>
      <c r="K5070" s="92"/>
      <c r="L5070" s="72" t="str">
        <f t="shared" si="79"/>
        <v/>
      </c>
      <c r="N5070" s="15"/>
    </row>
    <row r="5071" spans="1:14" s="14" customFormat="1" ht="18" x14ac:dyDescent="0.25">
      <c r="A5071" s="91"/>
      <c r="B5071" s="90"/>
      <c r="C5071" s="88"/>
      <c r="D5071" s="89"/>
      <c r="E5071" s="90"/>
      <c r="F5071" s="91"/>
      <c r="G5071" s="90"/>
      <c r="H5071" s="92"/>
      <c r="I5071" s="87"/>
      <c r="J5071" s="93"/>
      <c r="K5071" s="92"/>
      <c r="L5071" s="72" t="str">
        <f t="shared" si="79"/>
        <v/>
      </c>
      <c r="N5071" s="15"/>
    </row>
    <row r="5072" spans="1:14" s="14" customFormat="1" ht="18" x14ac:dyDescent="0.25">
      <c r="A5072" s="91"/>
      <c r="B5072" s="90"/>
      <c r="C5072" s="88"/>
      <c r="D5072" s="89"/>
      <c r="E5072" s="90"/>
      <c r="F5072" s="91"/>
      <c r="G5072" s="90"/>
      <c r="H5072" s="92"/>
      <c r="I5072" s="87"/>
      <c r="J5072" s="93"/>
      <c r="K5072" s="92"/>
      <c r="L5072" s="72" t="str">
        <f t="shared" si="79"/>
        <v/>
      </c>
      <c r="N5072" s="15"/>
    </row>
    <row r="5073" spans="1:14" s="14" customFormat="1" ht="18" x14ac:dyDescent="0.25">
      <c r="A5073" s="91"/>
      <c r="B5073" s="90"/>
      <c r="C5073" s="88"/>
      <c r="D5073" s="89"/>
      <c r="E5073" s="90"/>
      <c r="F5073" s="91"/>
      <c r="G5073" s="90"/>
      <c r="H5073" s="92"/>
      <c r="I5073" s="87"/>
      <c r="J5073" s="93"/>
      <c r="K5073" s="92"/>
      <c r="L5073" s="72" t="str">
        <f t="shared" si="79"/>
        <v/>
      </c>
      <c r="N5073" s="15"/>
    </row>
    <row r="5074" spans="1:14" s="14" customFormat="1" ht="18" x14ac:dyDescent="0.25">
      <c r="A5074" s="91"/>
      <c r="B5074" s="90"/>
      <c r="C5074" s="88"/>
      <c r="D5074" s="89"/>
      <c r="E5074" s="90"/>
      <c r="F5074" s="91"/>
      <c r="G5074" s="90"/>
      <c r="H5074" s="92"/>
      <c r="I5074" s="87"/>
      <c r="J5074" s="93"/>
      <c r="K5074" s="92"/>
      <c r="L5074" s="72" t="str">
        <f t="shared" si="79"/>
        <v/>
      </c>
      <c r="N5074" s="15"/>
    </row>
    <row r="5075" spans="1:14" s="14" customFormat="1" ht="18" x14ac:dyDescent="0.25">
      <c r="A5075" s="91"/>
      <c r="B5075" s="90"/>
      <c r="C5075" s="88"/>
      <c r="D5075" s="89"/>
      <c r="E5075" s="90"/>
      <c r="F5075" s="91"/>
      <c r="G5075" s="90"/>
      <c r="H5075" s="92"/>
      <c r="I5075" s="87"/>
      <c r="J5075" s="93"/>
      <c r="K5075" s="92"/>
      <c r="L5075" s="72" t="str">
        <f t="shared" si="79"/>
        <v/>
      </c>
      <c r="N5075" s="15"/>
    </row>
    <row r="5076" spans="1:14" s="14" customFormat="1" ht="18" x14ac:dyDescent="0.25">
      <c r="A5076" s="91"/>
      <c r="B5076" s="90"/>
      <c r="C5076" s="88"/>
      <c r="D5076" s="89"/>
      <c r="E5076" s="90"/>
      <c r="F5076" s="91"/>
      <c r="G5076" s="90"/>
      <c r="H5076" s="92"/>
      <c r="I5076" s="87"/>
      <c r="J5076" s="93"/>
      <c r="K5076" s="92"/>
      <c r="L5076" s="72" t="str">
        <f t="shared" si="79"/>
        <v/>
      </c>
      <c r="N5076" s="15"/>
    </row>
    <row r="5077" spans="1:14" s="14" customFormat="1" ht="18" x14ac:dyDescent="0.25">
      <c r="A5077" s="91"/>
      <c r="B5077" s="90"/>
      <c r="C5077" s="88"/>
      <c r="D5077" s="89"/>
      <c r="E5077" s="90"/>
      <c r="F5077" s="91"/>
      <c r="G5077" s="90"/>
      <c r="H5077" s="92"/>
      <c r="I5077" s="87"/>
      <c r="J5077" s="93"/>
      <c r="K5077" s="92"/>
      <c r="L5077" s="72" t="str">
        <f t="shared" si="79"/>
        <v/>
      </c>
      <c r="N5077" s="15"/>
    </row>
    <row r="5078" spans="1:14" s="14" customFormat="1" ht="18" x14ac:dyDescent="0.25">
      <c r="A5078" s="91"/>
      <c r="B5078" s="90"/>
      <c r="C5078" s="88"/>
      <c r="D5078" s="89"/>
      <c r="E5078" s="90"/>
      <c r="F5078" s="91"/>
      <c r="G5078" s="90"/>
      <c r="H5078" s="92"/>
      <c r="I5078" s="87"/>
      <c r="J5078" s="93"/>
      <c r="K5078" s="92"/>
      <c r="L5078" s="72" t="str">
        <f t="shared" si="79"/>
        <v/>
      </c>
      <c r="N5078" s="15"/>
    </row>
    <row r="5079" spans="1:14" s="14" customFormat="1" ht="18" x14ac:dyDescent="0.25">
      <c r="A5079" s="91"/>
      <c r="B5079" s="90"/>
      <c r="C5079" s="88"/>
      <c r="D5079" s="89"/>
      <c r="E5079" s="90"/>
      <c r="F5079" s="91"/>
      <c r="G5079" s="90"/>
      <c r="H5079" s="92"/>
      <c r="I5079" s="87"/>
      <c r="J5079" s="93"/>
      <c r="K5079" s="92"/>
      <c r="L5079" s="72" t="str">
        <f t="shared" si="79"/>
        <v/>
      </c>
      <c r="N5079" s="15"/>
    </row>
    <row r="5080" spans="1:14" s="14" customFormat="1" ht="18" x14ac:dyDescent="0.25">
      <c r="A5080" s="91"/>
      <c r="B5080" s="90"/>
      <c r="C5080" s="88"/>
      <c r="D5080" s="89"/>
      <c r="E5080" s="90"/>
      <c r="F5080" s="91"/>
      <c r="G5080" s="90"/>
      <c r="H5080" s="92"/>
      <c r="I5080" s="87"/>
      <c r="J5080" s="93"/>
      <c r="K5080" s="92"/>
      <c r="L5080" s="72" t="str">
        <f t="shared" si="79"/>
        <v/>
      </c>
      <c r="N5080" s="15"/>
    </row>
    <row r="5081" spans="1:14" s="14" customFormat="1" ht="18" x14ac:dyDescent="0.25">
      <c r="A5081" s="91"/>
      <c r="B5081" s="90"/>
      <c r="C5081" s="88"/>
      <c r="D5081" s="89"/>
      <c r="E5081" s="90"/>
      <c r="F5081" s="91"/>
      <c r="G5081" s="90"/>
      <c r="H5081" s="92"/>
      <c r="I5081" s="87"/>
      <c r="J5081" s="93"/>
      <c r="K5081" s="92"/>
      <c r="L5081" s="72" t="str">
        <f t="shared" si="79"/>
        <v/>
      </c>
      <c r="N5081" s="15"/>
    </row>
    <row r="5082" spans="1:14" s="14" customFormat="1" ht="18" x14ac:dyDescent="0.25">
      <c r="A5082" s="91"/>
      <c r="B5082" s="90"/>
      <c r="C5082" s="88"/>
      <c r="D5082" s="89"/>
      <c r="E5082" s="90"/>
      <c r="F5082" s="91"/>
      <c r="G5082" s="90"/>
      <c r="H5082" s="92"/>
      <c r="I5082" s="87"/>
      <c r="J5082" s="93"/>
      <c r="K5082" s="92"/>
      <c r="L5082" s="72" t="str">
        <f t="shared" si="79"/>
        <v/>
      </c>
      <c r="N5082" s="15"/>
    </row>
    <row r="5083" spans="1:14" s="14" customFormat="1" ht="18" x14ac:dyDescent="0.25">
      <c r="A5083" s="91"/>
      <c r="B5083" s="90"/>
      <c r="C5083" s="88"/>
      <c r="D5083" s="89"/>
      <c r="E5083" s="90"/>
      <c r="F5083" s="91"/>
      <c r="G5083" s="90"/>
      <c r="H5083" s="92"/>
      <c r="I5083" s="87"/>
      <c r="J5083" s="93"/>
      <c r="K5083" s="92"/>
      <c r="L5083" s="72" t="str">
        <f t="shared" si="79"/>
        <v/>
      </c>
      <c r="N5083" s="15"/>
    </row>
    <row r="5084" spans="1:14" s="14" customFormat="1" ht="18" x14ac:dyDescent="0.25">
      <c r="A5084" s="91"/>
      <c r="B5084" s="90"/>
      <c r="C5084" s="88"/>
      <c r="D5084" s="89"/>
      <c r="E5084" s="90"/>
      <c r="F5084" s="91"/>
      <c r="G5084" s="90"/>
      <c r="H5084" s="92"/>
      <c r="I5084" s="87"/>
      <c r="J5084" s="93"/>
      <c r="K5084" s="92"/>
      <c r="L5084" s="72" t="str">
        <f t="shared" si="79"/>
        <v/>
      </c>
      <c r="N5084" s="15"/>
    </row>
    <row r="5085" spans="1:14" s="14" customFormat="1" ht="18" x14ac:dyDescent="0.25">
      <c r="A5085" s="91"/>
      <c r="B5085" s="90"/>
      <c r="C5085" s="88"/>
      <c r="D5085" s="89"/>
      <c r="E5085" s="90"/>
      <c r="F5085" s="91"/>
      <c r="G5085" s="90"/>
      <c r="H5085" s="92"/>
      <c r="I5085" s="87"/>
      <c r="J5085" s="93"/>
      <c r="K5085" s="92"/>
      <c r="L5085" s="72" t="str">
        <f t="shared" si="79"/>
        <v/>
      </c>
      <c r="N5085" s="15"/>
    </row>
    <row r="5086" spans="1:14" s="14" customFormat="1" ht="18" x14ac:dyDescent="0.25">
      <c r="A5086" s="91"/>
      <c r="B5086" s="90"/>
      <c r="C5086" s="88"/>
      <c r="D5086" s="89"/>
      <c r="E5086" s="90"/>
      <c r="F5086" s="91"/>
      <c r="G5086" s="90"/>
      <c r="H5086" s="92"/>
      <c r="I5086" s="87"/>
      <c r="J5086" s="93"/>
      <c r="K5086" s="92"/>
      <c r="L5086" s="72" t="str">
        <f t="shared" ref="L5086:L5149" si="80">IF(ISBLANK(H5086),"",IF(H5086=K5086,"Payé","Impayé"))</f>
        <v/>
      </c>
      <c r="N5086" s="15"/>
    </row>
    <row r="5087" spans="1:14" s="14" customFormat="1" ht="18" x14ac:dyDescent="0.25">
      <c r="A5087" s="91"/>
      <c r="B5087" s="90"/>
      <c r="C5087" s="88"/>
      <c r="D5087" s="89"/>
      <c r="E5087" s="90"/>
      <c r="F5087" s="91"/>
      <c r="G5087" s="90"/>
      <c r="H5087" s="92"/>
      <c r="I5087" s="87"/>
      <c r="J5087" s="93"/>
      <c r="K5087" s="92"/>
      <c r="L5087" s="72" t="str">
        <f t="shared" si="80"/>
        <v/>
      </c>
      <c r="N5087" s="15"/>
    </row>
    <row r="5088" spans="1:14" s="14" customFormat="1" ht="18" x14ac:dyDescent="0.25">
      <c r="A5088" s="91"/>
      <c r="B5088" s="90"/>
      <c r="C5088" s="88"/>
      <c r="D5088" s="89"/>
      <c r="E5088" s="90"/>
      <c r="F5088" s="91"/>
      <c r="G5088" s="90"/>
      <c r="H5088" s="92"/>
      <c r="I5088" s="87"/>
      <c r="J5088" s="93"/>
      <c r="K5088" s="92"/>
      <c r="L5088" s="72" t="str">
        <f t="shared" si="80"/>
        <v/>
      </c>
      <c r="N5088" s="15"/>
    </row>
    <row r="5089" spans="1:14" s="14" customFormat="1" ht="18" x14ac:dyDescent="0.25">
      <c r="A5089" s="91"/>
      <c r="B5089" s="90"/>
      <c r="C5089" s="88"/>
      <c r="D5089" s="89"/>
      <c r="E5089" s="90"/>
      <c r="F5089" s="91"/>
      <c r="G5089" s="90"/>
      <c r="H5089" s="92"/>
      <c r="I5089" s="87"/>
      <c r="J5089" s="93"/>
      <c r="K5089" s="92"/>
      <c r="L5089" s="72" t="str">
        <f t="shared" si="80"/>
        <v/>
      </c>
      <c r="N5089" s="15"/>
    </row>
    <row r="5090" spans="1:14" s="14" customFormat="1" ht="18" x14ac:dyDescent="0.25">
      <c r="A5090" s="91"/>
      <c r="B5090" s="90"/>
      <c r="C5090" s="88"/>
      <c r="D5090" s="89"/>
      <c r="E5090" s="90"/>
      <c r="F5090" s="91"/>
      <c r="G5090" s="90"/>
      <c r="H5090" s="92"/>
      <c r="I5090" s="87"/>
      <c r="J5090" s="93"/>
      <c r="K5090" s="92"/>
      <c r="L5090" s="72" t="str">
        <f t="shared" si="80"/>
        <v/>
      </c>
      <c r="N5090" s="15"/>
    </row>
    <row r="5091" spans="1:14" s="14" customFormat="1" ht="18" x14ac:dyDescent="0.25">
      <c r="A5091" s="91"/>
      <c r="B5091" s="90"/>
      <c r="C5091" s="88"/>
      <c r="D5091" s="89"/>
      <c r="E5091" s="90"/>
      <c r="F5091" s="91"/>
      <c r="G5091" s="90"/>
      <c r="H5091" s="92"/>
      <c r="I5091" s="87"/>
      <c r="J5091" s="93"/>
      <c r="K5091" s="92"/>
      <c r="L5091" s="72" t="str">
        <f t="shared" si="80"/>
        <v/>
      </c>
      <c r="N5091" s="15"/>
    </row>
    <row r="5092" spans="1:14" s="14" customFormat="1" ht="18" x14ac:dyDescent="0.25">
      <c r="A5092" s="91"/>
      <c r="B5092" s="90"/>
      <c r="C5092" s="88"/>
      <c r="D5092" s="89"/>
      <c r="E5092" s="90"/>
      <c r="F5092" s="91"/>
      <c r="G5092" s="90"/>
      <c r="H5092" s="92"/>
      <c r="I5092" s="87"/>
      <c r="J5092" s="93"/>
      <c r="K5092" s="92"/>
      <c r="L5092" s="72" t="str">
        <f t="shared" si="80"/>
        <v/>
      </c>
      <c r="N5092" s="15"/>
    </row>
    <row r="5093" spans="1:14" s="14" customFormat="1" ht="18" x14ac:dyDescent="0.25">
      <c r="A5093" s="91"/>
      <c r="B5093" s="90"/>
      <c r="C5093" s="88"/>
      <c r="D5093" s="89"/>
      <c r="E5093" s="90"/>
      <c r="F5093" s="91"/>
      <c r="G5093" s="90"/>
      <c r="H5093" s="92"/>
      <c r="I5093" s="87"/>
      <c r="J5093" s="93"/>
      <c r="K5093" s="92"/>
      <c r="L5093" s="72" t="str">
        <f t="shared" si="80"/>
        <v/>
      </c>
      <c r="N5093" s="15"/>
    </row>
    <row r="5094" spans="1:14" s="14" customFormat="1" ht="18" x14ac:dyDescent="0.25">
      <c r="A5094" s="91"/>
      <c r="B5094" s="90"/>
      <c r="C5094" s="88"/>
      <c r="D5094" s="89"/>
      <c r="E5094" s="90"/>
      <c r="F5094" s="91"/>
      <c r="G5094" s="90"/>
      <c r="H5094" s="92"/>
      <c r="I5094" s="87"/>
      <c r="J5094" s="93"/>
      <c r="K5094" s="92"/>
      <c r="L5094" s="72" t="str">
        <f t="shared" si="80"/>
        <v/>
      </c>
      <c r="N5094" s="15"/>
    </row>
    <row r="5095" spans="1:14" s="14" customFormat="1" ht="18" x14ac:dyDescent="0.25">
      <c r="A5095" s="91"/>
      <c r="B5095" s="90"/>
      <c r="C5095" s="88"/>
      <c r="D5095" s="89"/>
      <c r="E5095" s="90"/>
      <c r="F5095" s="91"/>
      <c r="G5095" s="90"/>
      <c r="H5095" s="92"/>
      <c r="I5095" s="87"/>
      <c r="J5095" s="93"/>
      <c r="K5095" s="92"/>
      <c r="L5095" s="72" t="str">
        <f t="shared" si="80"/>
        <v/>
      </c>
      <c r="N5095" s="15"/>
    </row>
    <row r="5096" spans="1:14" s="14" customFormat="1" ht="18" x14ac:dyDescent="0.25">
      <c r="A5096" s="91"/>
      <c r="B5096" s="90"/>
      <c r="C5096" s="88"/>
      <c r="D5096" s="89"/>
      <c r="E5096" s="90"/>
      <c r="F5096" s="91"/>
      <c r="G5096" s="90"/>
      <c r="H5096" s="92"/>
      <c r="I5096" s="87"/>
      <c r="J5096" s="93"/>
      <c r="K5096" s="92"/>
      <c r="L5096" s="72" t="str">
        <f t="shared" si="80"/>
        <v/>
      </c>
      <c r="N5096" s="15"/>
    </row>
    <row r="5097" spans="1:14" s="14" customFormat="1" ht="18" x14ac:dyDescent="0.25">
      <c r="A5097" s="91"/>
      <c r="B5097" s="90"/>
      <c r="C5097" s="88"/>
      <c r="D5097" s="89"/>
      <c r="E5097" s="90"/>
      <c r="F5097" s="91"/>
      <c r="G5097" s="90"/>
      <c r="H5097" s="92"/>
      <c r="I5097" s="87"/>
      <c r="J5097" s="93"/>
      <c r="K5097" s="92"/>
      <c r="L5097" s="72" t="str">
        <f t="shared" si="80"/>
        <v/>
      </c>
      <c r="N5097" s="15"/>
    </row>
    <row r="5098" spans="1:14" s="14" customFormat="1" ht="18" x14ac:dyDescent="0.25">
      <c r="A5098" s="91"/>
      <c r="B5098" s="90"/>
      <c r="C5098" s="88"/>
      <c r="D5098" s="89"/>
      <c r="E5098" s="90"/>
      <c r="F5098" s="91"/>
      <c r="G5098" s="90"/>
      <c r="H5098" s="92"/>
      <c r="I5098" s="87"/>
      <c r="J5098" s="93"/>
      <c r="K5098" s="92"/>
      <c r="L5098" s="72" t="str">
        <f t="shared" si="80"/>
        <v/>
      </c>
      <c r="N5098" s="15"/>
    </row>
    <row r="5099" spans="1:14" s="14" customFormat="1" ht="18" x14ac:dyDescent="0.25">
      <c r="A5099" s="91"/>
      <c r="B5099" s="90"/>
      <c r="C5099" s="88"/>
      <c r="D5099" s="89"/>
      <c r="E5099" s="90"/>
      <c r="F5099" s="91"/>
      <c r="G5099" s="90"/>
      <c r="H5099" s="92"/>
      <c r="I5099" s="87"/>
      <c r="J5099" s="93"/>
      <c r="K5099" s="92"/>
      <c r="L5099" s="72" t="str">
        <f t="shared" si="80"/>
        <v/>
      </c>
      <c r="N5099" s="15"/>
    </row>
    <row r="5100" spans="1:14" s="14" customFormat="1" ht="18" x14ac:dyDescent="0.25">
      <c r="A5100" s="91"/>
      <c r="B5100" s="90"/>
      <c r="C5100" s="88"/>
      <c r="D5100" s="89"/>
      <c r="E5100" s="90"/>
      <c r="F5100" s="91"/>
      <c r="G5100" s="90"/>
      <c r="H5100" s="92"/>
      <c r="I5100" s="87"/>
      <c r="J5100" s="93"/>
      <c r="K5100" s="92"/>
      <c r="L5100" s="72" t="str">
        <f t="shared" si="80"/>
        <v/>
      </c>
      <c r="N5100" s="15"/>
    </row>
    <row r="5101" spans="1:14" s="14" customFormat="1" ht="18" x14ac:dyDescent="0.25">
      <c r="A5101" s="91"/>
      <c r="B5101" s="90"/>
      <c r="C5101" s="88"/>
      <c r="D5101" s="89"/>
      <c r="E5101" s="90"/>
      <c r="F5101" s="91"/>
      <c r="G5101" s="90"/>
      <c r="H5101" s="92"/>
      <c r="I5101" s="87"/>
      <c r="J5101" s="93"/>
      <c r="K5101" s="92"/>
      <c r="L5101" s="72" t="str">
        <f t="shared" si="80"/>
        <v/>
      </c>
      <c r="N5101" s="15"/>
    </row>
    <row r="5102" spans="1:14" s="14" customFormat="1" ht="18" x14ac:dyDescent="0.25">
      <c r="A5102" s="91"/>
      <c r="B5102" s="90"/>
      <c r="C5102" s="88"/>
      <c r="D5102" s="89"/>
      <c r="E5102" s="90"/>
      <c r="F5102" s="91"/>
      <c r="G5102" s="90"/>
      <c r="H5102" s="92"/>
      <c r="I5102" s="87"/>
      <c r="J5102" s="93"/>
      <c r="K5102" s="92"/>
      <c r="L5102" s="72" t="str">
        <f t="shared" si="80"/>
        <v/>
      </c>
      <c r="N5102" s="15"/>
    </row>
    <row r="5103" spans="1:14" s="14" customFormat="1" ht="18" x14ac:dyDescent="0.25">
      <c r="A5103" s="91"/>
      <c r="B5103" s="90"/>
      <c r="C5103" s="88"/>
      <c r="D5103" s="89"/>
      <c r="E5103" s="90"/>
      <c r="F5103" s="91"/>
      <c r="G5103" s="90"/>
      <c r="H5103" s="92"/>
      <c r="I5103" s="87"/>
      <c r="J5103" s="93"/>
      <c r="K5103" s="92"/>
      <c r="L5103" s="72" t="str">
        <f t="shared" si="80"/>
        <v/>
      </c>
      <c r="N5103" s="15"/>
    </row>
    <row r="5104" spans="1:14" s="14" customFormat="1" ht="18" x14ac:dyDescent="0.25">
      <c r="A5104" s="91"/>
      <c r="B5104" s="90"/>
      <c r="C5104" s="88"/>
      <c r="D5104" s="89"/>
      <c r="E5104" s="90"/>
      <c r="F5104" s="91"/>
      <c r="G5104" s="90"/>
      <c r="H5104" s="92"/>
      <c r="I5104" s="87"/>
      <c r="J5104" s="93"/>
      <c r="K5104" s="92"/>
      <c r="L5104" s="72" t="str">
        <f t="shared" si="80"/>
        <v/>
      </c>
      <c r="N5104" s="15"/>
    </row>
    <row r="5105" spans="1:14" s="14" customFormat="1" ht="18" x14ac:dyDescent="0.25">
      <c r="A5105" s="91"/>
      <c r="B5105" s="90"/>
      <c r="C5105" s="88"/>
      <c r="D5105" s="89"/>
      <c r="E5105" s="90"/>
      <c r="F5105" s="91"/>
      <c r="G5105" s="90"/>
      <c r="H5105" s="92"/>
      <c r="I5105" s="87"/>
      <c r="J5105" s="93"/>
      <c r="K5105" s="92"/>
      <c r="L5105" s="72" t="str">
        <f t="shared" si="80"/>
        <v/>
      </c>
      <c r="N5105" s="15"/>
    </row>
    <row r="5106" spans="1:14" s="14" customFormat="1" ht="18" x14ac:dyDescent="0.25">
      <c r="A5106" s="91"/>
      <c r="B5106" s="90"/>
      <c r="C5106" s="88"/>
      <c r="D5106" s="89"/>
      <c r="E5106" s="90"/>
      <c r="F5106" s="91"/>
      <c r="G5106" s="90"/>
      <c r="H5106" s="92"/>
      <c r="I5106" s="87"/>
      <c r="J5106" s="93"/>
      <c r="K5106" s="92"/>
      <c r="L5106" s="72" t="str">
        <f t="shared" si="80"/>
        <v/>
      </c>
      <c r="N5106" s="15"/>
    </row>
    <row r="5107" spans="1:14" s="14" customFormat="1" ht="18" x14ac:dyDescent="0.25">
      <c r="A5107" s="91"/>
      <c r="B5107" s="90"/>
      <c r="C5107" s="88"/>
      <c r="D5107" s="89"/>
      <c r="E5107" s="90"/>
      <c r="F5107" s="91"/>
      <c r="G5107" s="90"/>
      <c r="H5107" s="92"/>
      <c r="I5107" s="87"/>
      <c r="J5107" s="93"/>
      <c r="K5107" s="92"/>
      <c r="L5107" s="72" t="str">
        <f t="shared" si="80"/>
        <v/>
      </c>
      <c r="N5107" s="15"/>
    </row>
    <row r="5108" spans="1:14" s="14" customFormat="1" ht="18" x14ac:dyDescent="0.25">
      <c r="A5108" s="91"/>
      <c r="B5108" s="90"/>
      <c r="C5108" s="88"/>
      <c r="D5108" s="89"/>
      <c r="E5108" s="90"/>
      <c r="F5108" s="91"/>
      <c r="G5108" s="90"/>
      <c r="H5108" s="92"/>
      <c r="I5108" s="87"/>
      <c r="J5108" s="93"/>
      <c r="K5108" s="92"/>
      <c r="L5108" s="72" t="str">
        <f t="shared" si="80"/>
        <v/>
      </c>
      <c r="N5108" s="15"/>
    </row>
    <row r="5109" spans="1:14" s="14" customFormat="1" ht="18" x14ac:dyDescent="0.25">
      <c r="A5109" s="91"/>
      <c r="B5109" s="90"/>
      <c r="C5109" s="88"/>
      <c r="D5109" s="89"/>
      <c r="E5109" s="90"/>
      <c r="F5109" s="91"/>
      <c r="G5109" s="90"/>
      <c r="H5109" s="92"/>
      <c r="I5109" s="87"/>
      <c r="J5109" s="93"/>
      <c r="K5109" s="92"/>
      <c r="L5109" s="72" t="str">
        <f t="shared" si="80"/>
        <v/>
      </c>
      <c r="N5109" s="15"/>
    </row>
    <row r="5110" spans="1:14" s="14" customFormat="1" ht="18" x14ac:dyDescent="0.25">
      <c r="A5110" s="91"/>
      <c r="B5110" s="90"/>
      <c r="C5110" s="88"/>
      <c r="D5110" s="89"/>
      <c r="E5110" s="90"/>
      <c r="F5110" s="91"/>
      <c r="G5110" s="90"/>
      <c r="H5110" s="92"/>
      <c r="I5110" s="87"/>
      <c r="J5110" s="93"/>
      <c r="K5110" s="92"/>
      <c r="L5110" s="72" t="str">
        <f t="shared" si="80"/>
        <v/>
      </c>
      <c r="N5110" s="15"/>
    </row>
    <row r="5111" spans="1:14" s="14" customFormat="1" ht="18" x14ac:dyDescent="0.25">
      <c r="A5111" s="91"/>
      <c r="B5111" s="90"/>
      <c r="C5111" s="88"/>
      <c r="D5111" s="89"/>
      <c r="E5111" s="90"/>
      <c r="F5111" s="91"/>
      <c r="G5111" s="90"/>
      <c r="H5111" s="92"/>
      <c r="I5111" s="87"/>
      <c r="J5111" s="93"/>
      <c r="K5111" s="92"/>
      <c r="L5111" s="72" t="str">
        <f t="shared" si="80"/>
        <v/>
      </c>
      <c r="N5111" s="15"/>
    </row>
    <row r="5112" spans="1:14" s="14" customFormat="1" ht="18" x14ac:dyDescent="0.25">
      <c r="A5112" s="91"/>
      <c r="B5112" s="90"/>
      <c r="C5112" s="88"/>
      <c r="D5112" s="89"/>
      <c r="E5112" s="90"/>
      <c r="F5112" s="91"/>
      <c r="G5112" s="90"/>
      <c r="H5112" s="92"/>
      <c r="I5112" s="87"/>
      <c r="J5112" s="93"/>
      <c r="K5112" s="92"/>
      <c r="L5112" s="72" t="str">
        <f t="shared" si="80"/>
        <v/>
      </c>
      <c r="N5112" s="15"/>
    </row>
    <row r="5113" spans="1:14" s="14" customFormat="1" ht="18" x14ac:dyDescent="0.25">
      <c r="A5113" s="91"/>
      <c r="B5113" s="90"/>
      <c r="C5113" s="88"/>
      <c r="D5113" s="89"/>
      <c r="E5113" s="90"/>
      <c r="F5113" s="91"/>
      <c r="G5113" s="90"/>
      <c r="H5113" s="92"/>
      <c r="I5113" s="87"/>
      <c r="J5113" s="93"/>
      <c r="K5113" s="92"/>
      <c r="L5113" s="72" t="str">
        <f t="shared" si="80"/>
        <v/>
      </c>
      <c r="N5113" s="15"/>
    </row>
    <row r="5114" spans="1:14" s="14" customFormat="1" ht="18" x14ac:dyDescent="0.25">
      <c r="A5114" s="91"/>
      <c r="B5114" s="90"/>
      <c r="C5114" s="88"/>
      <c r="D5114" s="89"/>
      <c r="E5114" s="90"/>
      <c r="F5114" s="91"/>
      <c r="G5114" s="90"/>
      <c r="H5114" s="92"/>
      <c r="I5114" s="87"/>
      <c r="J5114" s="93"/>
      <c r="K5114" s="92"/>
      <c r="L5114" s="72" t="str">
        <f t="shared" si="80"/>
        <v/>
      </c>
      <c r="N5114" s="15"/>
    </row>
    <row r="5115" spans="1:14" s="14" customFormat="1" ht="18" x14ac:dyDescent="0.25">
      <c r="A5115" s="91"/>
      <c r="B5115" s="90"/>
      <c r="C5115" s="88"/>
      <c r="D5115" s="89"/>
      <c r="E5115" s="90"/>
      <c r="F5115" s="91"/>
      <c r="G5115" s="90"/>
      <c r="H5115" s="92"/>
      <c r="I5115" s="87"/>
      <c r="J5115" s="93"/>
      <c r="K5115" s="92"/>
      <c r="L5115" s="72" t="str">
        <f t="shared" si="80"/>
        <v/>
      </c>
      <c r="N5115" s="15"/>
    </row>
    <row r="5116" spans="1:14" s="14" customFormat="1" ht="18" x14ac:dyDescent="0.25">
      <c r="A5116" s="91"/>
      <c r="B5116" s="90"/>
      <c r="C5116" s="88"/>
      <c r="D5116" s="89"/>
      <c r="E5116" s="90"/>
      <c r="F5116" s="91"/>
      <c r="G5116" s="90"/>
      <c r="H5116" s="92"/>
      <c r="I5116" s="87"/>
      <c r="J5116" s="93"/>
      <c r="K5116" s="92"/>
      <c r="L5116" s="72" t="str">
        <f t="shared" si="80"/>
        <v/>
      </c>
      <c r="N5116" s="15"/>
    </row>
    <row r="5117" spans="1:14" s="14" customFormat="1" ht="18" x14ac:dyDescent="0.25">
      <c r="A5117" s="91"/>
      <c r="B5117" s="90"/>
      <c r="C5117" s="88"/>
      <c r="D5117" s="89"/>
      <c r="E5117" s="90"/>
      <c r="F5117" s="91"/>
      <c r="G5117" s="90"/>
      <c r="H5117" s="92"/>
      <c r="I5117" s="87"/>
      <c r="J5117" s="93"/>
      <c r="K5117" s="92"/>
      <c r="L5117" s="72" t="str">
        <f t="shared" si="80"/>
        <v/>
      </c>
      <c r="N5117" s="15"/>
    </row>
    <row r="5118" spans="1:14" s="14" customFormat="1" ht="18" x14ac:dyDescent="0.25">
      <c r="A5118" s="91"/>
      <c r="B5118" s="90"/>
      <c r="C5118" s="88"/>
      <c r="D5118" s="89"/>
      <c r="E5118" s="90"/>
      <c r="F5118" s="91"/>
      <c r="G5118" s="90"/>
      <c r="H5118" s="92"/>
      <c r="I5118" s="87"/>
      <c r="J5118" s="93"/>
      <c r="K5118" s="92"/>
      <c r="L5118" s="72" t="str">
        <f t="shared" si="80"/>
        <v/>
      </c>
      <c r="N5118" s="15"/>
    </row>
    <row r="5119" spans="1:14" s="14" customFormat="1" ht="18" x14ac:dyDescent="0.25">
      <c r="A5119" s="91"/>
      <c r="B5119" s="90"/>
      <c r="C5119" s="88"/>
      <c r="D5119" s="89"/>
      <c r="E5119" s="90"/>
      <c r="F5119" s="91"/>
      <c r="G5119" s="90"/>
      <c r="H5119" s="92"/>
      <c r="I5119" s="87"/>
      <c r="J5119" s="93"/>
      <c r="K5119" s="92"/>
      <c r="L5119" s="72" t="str">
        <f t="shared" si="80"/>
        <v/>
      </c>
      <c r="N5119" s="15"/>
    </row>
    <row r="5120" spans="1:14" s="14" customFormat="1" ht="18" x14ac:dyDescent="0.25">
      <c r="A5120" s="91"/>
      <c r="B5120" s="90"/>
      <c r="C5120" s="88"/>
      <c r="D5120" s="89"/>
      <c r="E5120" s="90"/>
      <c r="F5120" s="91"/>
      <c r="G5120" s="90"/>
      <c r="H5120" s="92"/>
      <c r="I5120" s="87"/>
      <c r="J5120" s="93"/>
      <c r="K5120" s="92"/>
      <c r="L5120" s="72" t="str">
        <f t="shared" si="80"/>
        <v/>
      </c>
      <c r="N5120" s="15"/>
    </row>
    <row r="5121" spans="1:14" s="14" customFormat="1" ht="18" x14ac:dyDescent="0.25">
      <c r="A5121" s="91"/>
      <c r="B5121" s="90"/>
      <c r="C5121" s="88"/>
      <c r="D5121" s="89"/>
      <c r="E5121" s="90"/>
      <c r="F5121" s="91"/>
      <c r="G5121" s="90"/>
      <c r="H5121" s="92"/>
      <c r="I5121" s="87"/>
      <c r="J5121" s="93"/>
      <c r="K5121" s="92"/>
      <c r="L5121" s="72" t="str">
        <f t="shared" si="80"/>
        <v/>
      </c>
      <c r="N5121" s="15"/>
    </row>
    <row r="5122" spans="1:14" s="14" customFormat="1" ht="18" x14ac:dyDescent="0.25">
      <c r="A5122" s="91"/>
      <c r="B5122" s="90"/>
      <c r="C5122" s="88"/>
      <c r="D5122" s="89"/>
      <c r="E5122" s="90"/>
      <c r="F5122" s="91"/>
      <c r="G5122" s="90"/>
      <c r="H5122" s="92"/>
      <c r="I5122" s="87"/>
      <c r="J5122" s="93"/>
      <c r="K5122" s="92"/>
      <c r="L5122" s="72" t="str">
        <f t="shared" si="80"/>
        <v/>
      </c>
      <c r="N5122" s="15"/>
    </row>
    <row r="5123" spans="1:14" s="14" customFormat="1" ht="18" x14ac:dyDescent="0.25">
      <c r="A5123" s="91"/>
      <c r="B5123" s="90"/>
      <c r="C5123" s="88"/>
      <c r="D5123" s="89"/>
      <c r="E5123" s="90"/>
      <c r="F5123" s="91"/>
      <c r="G5123" s="90"/>
      <c r="H5123" s="92"/>
      <c r="I5123" s="87"/>
      <c r="J5123" s="93"/>
      <c r="K5123" s="92"/>
      <c r="L5123" s="72" t="str">
        <f t="shared" si="80"/>
        <v/>
      </c>
      <c r="N5123" s="15"/>
    </row>
    <row r="5124" spans="1:14" s="14" customFormat="1" ht="18" x14ac:dyDescent="0.25">
      <c r="A5124" s="91"/>
      <c r="B5124" s="90"/>
      <c r="C5124" s="88"/>
      <c r="D5124" s="89"/>
      <c r="E5124" s="90"/>
      <c r="F5124" s="91"/>
      <c r="G5124" s="90"/>
      <c r="H5124" s="92"/>
      <c r="I5124" s="87"/>
      <c r="J5124" s="93"/>
      <c r="K5124" s="92"/>
      <c r="L5124" s="72" t="str">
        <f t="shared" si="80"/>
        <v/>
      </c>
      <c r="N5124" s="15"/>
    </row>
    <row r="5125" spans="1:14" s="14" customFormat="1" ht="18" x14ac:dyDescent="0.25">
      <c r="A5125" s="91"/>
      <c r="B5125" s="90"/>
      <c r="C5125" s="88"/>
      <c r="D5125" s="89"/>
      <c r="E5125" s="90"/>
      <c r="F5125" s="91"/>
      <c r="G5125" s="90"/>
      <c r="H5125" s="92"/>
      <c r="I5125" s="87"/>
      <c r="J5125" s="93"/>
      <c r="K5125" s="92"/>
      <c r="L5125" s="72" t="str">
        <f t="shared" si="80"/>
        <v/>
      </c>
      <c r="N5125" s="15"/>
    </row>
    <row r="5126" spans="1:14" s="14" customFormat="1" ht="18" x14ac:dyDescent="0.25">
      <c r="A5126" s="91"/>
      <c r="B5126" s="90"/>
      <c r="C5126" s="88"/>
      <c r="D5126" s="89"/>
      <c r="E5126" s="90"/>
      <c r="F5126" s="91"/>
      <c r="G5126" s="90"/>
      <c r="H5126" s="92"/>
      <c r="I5126" s="87"/>
      <c r="J5126" s="93"/>
      <c r="K5126" s="92"/>
      <c r="L5126" s="72" t="str">
        <f t="shared" si="80"/>
        <v/>
      </c>
      <c r="N5126" s="15"/>
    </row>
    <row r="5127" spans="1:14" s="14" customFormat="1" ht="18" x14ac:dyDescent="0.25">
      <c r="A5127" s="91"/>
      <c r="B5127" s="90"/>
      <c r="C5127" s="88"/>
      <c r="D5127" s="89"/>
      <c r="E5127" s="90"/>
      <c r="F5127" s="91"/>
      <c r="G5127" s="90"/>
      <c r="H5127" s="92"/>
      <c r="I5127" s="87"/>
      <c r="J5127" s="93"/>
      <c r="K5127" s="92"/>
      <c r="L5127" s="72" t="str">
        <f t="shared" si="80"/>
        <v/>
      </c>
      <c r="N5127" s="15"/>
    </row>
    <row r="5128" spans="1:14" s="14" customFormat="1" ht="18" x14ac:dyDescent="0.25">
      <c r="A5128" s="91"/>
      <c r="B5128" s="90"/>
      <c r="C5128" s="88"/>
      <c r="D5128" s="89"/>
      <c r="E5128" s="90"/>
      <c r="F5128" s="91"/>
      <c r="G5128" s="90"/>
      <c r="H5128" s="92"/>
      <c r="I5128" s="87"/>
      <c r="J5128" s="93"/>
      <c r="K5128" s="92"/>
      <c r="L5128" s="72" t="str">
        <f t="shared" si="80"/>
        <v/>
      </c>
      <c r="N5128" s="15"/>
    </row>
    <row r="5129" spans="1:14" s="14" customFormat="1" ht="18" x14ac:dyDescent="0.25">
      <c r="A5129" s="91"/>
      <c r="B5129" s="90"/>
      <c r="C5129" s="88"/>
      <c r="D5129" s="89"/>
      <c r="E5129" s="90"/>
      <c r="F5129" s="91"/>
      <c r="G5129" s="90"/>
      <c r="H5129" s="92"/>
      <c r="I5129" s="87"/>
      <c r="J5129" s="93"/>
      <c r="K5129" s="92"/>
      <c r="L5129" s="72" t="str">
        <f t="shared" si="80"/>
        <v/>
      </c>
      <c r="N5129" s="15"/>
    </row>
    <row r="5130" spans="1:14" s="14" customFormat="1" ht="18" x14ac:dyDescent="0.25">
      <c r="A5130" s="91"/>
      <c r="B5130" s="90"/>
      <c r="C5130" s="88"/>
      <c r="D5130" s="89"/>
      <c r="E5130" s="90"/>
      <c r="F5130" s="91"/>
      <c r="G5130" s="90"/>
      <c r="H5130" s="92"/>
      <c r="I5130" s="87"/>
      <c r="J5130" s="93"/>
      <c r="K5130" s="92"/>
      <c r="L5130" s="72" t="str">
        <f t="shared" si="80"/>
        <v/>
      </c>
      <c r="N5130" s="15"/>
    </row>
    <row r="5131" spans="1:14" s="14" customFormat="1" ht="18" x14ac:dyDescent="0.25">
      <c r="A5131" s="91"/>
      <c r="B5131" s="90"/>
      <c r="C5131" s="88"/>
      <c r="D5131" s="89"/>
      <c r="E5131" s="90"/>
      <c r="F5131" s="91"/>
      <c r="G5131" s="90"/>
      <c r="H5131" s="92"/>
      <c r="I5131" s="87"/>
      <c r="J5131" s="93"/>
      <c r="K5131" s="92"/>
      <c r="L5131" s="72" t="str">
        <f t="shared" si="80"/>
        <v/>
      </c>
      <c r="N5131" s="15"/>
    </row>
    <row r="5132" spans="1:14" s="14" customFormat="1" ht="18" x14ac:dyDescent="0.25">
      <c r="A5132" s="91"/>
      <c r="B5132" s="90"/>
      <c r="C5132" s="88"/>
      <c r="D5132" s="89"/>
      <c r="E5132" s="90"/>
      <c r="F5132" s="91"/>
      <c r="G5132" s="90"/>
      <c r="H5132" s="92"/>
      <c r="I5132" s="87"/>
      <c r="J5132" s="93"/>
      <c r="K5132" s="92"/>
      <c r="L5132" s="72" t="str">
        <f t="shared" si="80"/>
        <v/>
      </c>
      <c r="N5132" s="15"/>
    </row>
    <row r="5133" spans="1:14" s="14" customFormat="1" ht="18" x14ac:dyDescent="0.25">
      <c r="A5133" s="91"/>
      <c r="B5133" s="90"/>
      <c r="C5133" s="88"/>
      <c r="D5133" s="89"/>
      <c r="E5133" s="90"/>
      <c r="F5133" s="91"/>
      <c r="G5133" s="90"/>
      <c r="H5133" s="92"/>
      <c r="I5133" s="87"/>
      <c r="J5133" s="93"/>
      <c r="K5133" s="92"/>
      <c r="L5133" s="72" t="str">
        <f t="shared" si="80"/>
        <v/>
      </c>
      <c r="N5133" s="15"/>
    </row>
    <row r="5134" spans="1:14" s="14" customFormat="1" ht="18" x14ac:dyDescent="0.25">
      <c r="A5134" s="91"/>
      <c r="B5134" s="90"/>
      <c r="C5134" s="88"/>
      <c r="D5134" s="89"/>
      <c r="E5134" s="90"/>
      <c r="F5134" s="91"/>
      <c r="G5134" s="90"/>
      <c r="H5134" s="92"/>
      <c r="I5134" s="87"/>
      <c r="J5134" s="93"/>
      <c r="K5134" s="92"/>
      <c r="L5134" s="72" t="str">
        <f t="shared" si="80"/>
        <v/>
      </c>
      <c r="N5134" s="15"/>
    </row>
    <row r="5135" spans="1:14" s="14" customFormat="1" ht="18" x14ac:dyDescent="0.25">
      <c r="A5135" s="91"/>
      <c r="B5135" s="90"/>
      <c r="C5135" s="88"/>
      <c r="D5135" s="89"/>
      <c r="E5135" s="90"/>
      <c r="F5135" s="91"/>
      <c r="G5135" s="90"/>
      <c r="H5135" s="92"/>
      <c r="I5135" s="87"/>
      <c r="J5135" s="93"/>
      <c r="K5135" s="92"/>
      <c r="L5135" s="72" t="str">
        <f t="shared" si="80"/>
        <v/>
      </c>
      <c r="N5135" s="15"/>
    </row>
    <row r="5136" spans="1:14" s="14" customFormat="1" ht="18" x14ac:dyDescent="0.25">
      <c r="A5136" s="91"/>
      <c r="B5136" s="90"/>
      <c r="C5136" s="88"/>
      <c r="D5136" s="89"/>
      <c r="E5136" s="90"/>
      <c r="F5136" s="91"/>
      <c r="G5136" s="90"/>
      <c r="H5136" s="92"/>
      <c r="I5136" s="87"/>
      <c r="J5136" s="93"/>
      <c r="K5136" s="92"/>
      <c r="L5136" s="72" t="str">
        <f t="shared" si="80"/>
        <v/>
      </c>
      <c r="N5136" s="15"/>
    </row>
    <row r="5137" spans="1:14" s="14" customFormat="1" ht="18" x14ac:dyDescent="0.25">
      <c r="A5137" s="91"/>
      <c r="B5137" s="90"/>
      <c r="C5137" s="88"/>
      <c r="D5137" s="89"/>
      <c r="E5137" s="90"/>
      <c r="F5137" s="91"/>
      <c r="G5137" s="90"/>
      <c r="H5137" s="92"/>
      <c r="I5137" s="87"/>
      <c r="J5137" s="93"/>
      <c r="K5137" s="92"/>
      <c r="L5137" s="72" t="str">
        <f t="shared" si="80"/>
        <v/>
      </c>
      <c r="N5137" s="15"/>
    </row>
    <row r="5138" spans="1:14" s="14" customFormat="1" ht="18" x14ac:dyDescent="0.25">
      <c r="A5138" s="91"/>
      <c r="B5138" s="90"/>
      <c r="C5138" s="88"/>
      <c r="D5138" s="89"/>
      <c r="E5138" s="90"/>
      <c r="F5138" s="91"/>
      <c r="G5138" s="90"/>
      <c r="H5138" s="92"/>
      <c r="I5138" s="87"/>
      <c r="J5138" s="93"/>
      <c r="K5138" s="92"/>
      <c r="L5138" s="72" t="str">
        <f t="shared" si="80"/>
        <v/>
      </c>
      <c r="N5138" s="15"/>
    </row>
    <row r="5139" spans="1:14" s="14" customFormat="1" ht="18" x14ac:dyDescent="0.25">
      <c r="A5139" s="91"/>
      <c r="B5139" s="90"/>
      <c r="C5139" s="88"/>
      <c r="D5139" s="89"/>
      <c r="E5139" s="90"/>
      <c r="F5139" s="91"/>
      <c r="G5139" s="90"/>
      <c r="H5139" s="92"/>
      <c r="I5139" s="87"/>
      <c r="J5139" s="93"/>
      <c r="K5139" s="92"/>
      <c r="L5139" s="72" t="str">
        <f t="shared" si="80"/>
        <v/>
      </c>
      <c r="N5139" s="15"/>
    </row>
    <row r="5140" spans="1:14" s="14" customFormat="1" ht="18" x14ac:dyDescent="0.25">
      <c r="A5140" s="91"/>
      <c r="B5140" s="90"/>
      <c r="C5140" s="88"/>
      <c r="D5140" s="89"/>
      <c r="E5140" s="90"/>
      <c r="F5140" s="91"/>
      <c r="G5140" s="90"/>
      <c r="H5140" s="92"/>
      <c r="I5140" s="87"/>
      <c r="J5140" s="93"/>
      <c r="K5140" s="92"/>
      <c r="L5140" s="72" t="str">
        <f t="shared" si="80"/>
        <v/>
      </c>
      <c r="N5140" s="15"/>
    </row>
    <row r="5141" spans="1:14" s="14" customFormat="1" ht="18" x14ac:dyDescent="0.25">
      <c r="A5141" s="91"/>
      <c r="B5141" s="90"/>
      <c r="C5141" s="88"/>
      <c r="D5141" s="89"/>
      <c r="E5141" s="90"/>
      <c r="F5141" s="91"/>
      <c r="G5141" s="90"/>
      <c r="H5141" s="92"/>
      <c r="I5141" s="87"/>
      <c r="J5141" s="93"/>
      <c r="K5141" s="92"/>
      <c r="L5141" s="72" t="str">
        <f t="shared" si="80"/>
        <v/>
      </c>
      <c r="N5141" s="15"/>
    </row>
    <row r="5142" spans="1:14" s="14" customFormat="1" ht="18" x14ac:dyDescent="0.25">
      <c r="A5142" s="91"/>
      <c r="B5142" s="90"/>
      <c r="C5142" s="88"/>
      <c r="D5142" s="89"/>
      <c r="E5142" s="90"/>
      <c r="F5142" s="91"/>
      <c r="G5142" s="90"/>
      <c r="H5142" s="92"/>
      <c r="I5142" s="87"/>
      <c r="J5142" s="93"/>
      <c r="K5142" s="92"/>
      <c r="L5142" s="72" t="str">
        <f t="shared" si="80"/>
        <v/>
      </c>
      <c r="N5142" s="15"/>
    </row>
    <row r="5143" spans="1:14" s="14" customFormat="1" ht="18" x14ac:dyDescent="0.25">
      <c r="A5143" s="91"/>
      <c r="B5143" s="90"/>
      <c r="C5143" s="88"/>
      <c r="D5143" s="89"/>
      <c r="E5143" s="90"/>
      <c r="F5143" s="91"/>
      <c r="G5143" s="90"/>
      <c r="H5143" s="92"/>
      <c r="I5143" s="87"/>
      <c r="J5143" s="93"/>
      <c r="K5143" s="92"/>
      <c r="L5143" s="72" t="str">
        <f t="shared" si="80"/>
        <v/>
      </c>
      <c r="N5143" s="15"/>
    </row>
    <row r="5144" spans="1:14" s="14" customFormat="1" ht="18" x14ac:dyDescent="0.25">
      <c r="A5144" s="91"/>
      <c r="B5144" s="90"/>
      <c r="C5144" s="88"/>
      <c r="D5144" s="89"/>
      <c r="E5144" s="90"/>
      <c r="F5144" s="91"/>
      <c r="G5144" s="90"/>
      <c r="H5144" s="92"/>
      <c r="I5144" s="87"/>
      <c r="J5144" s="93"/>
      <c r="K5144" s="92"/>
      <c r="L5144" s="72" t="str">
        <f t="shared" si="80"/>
        <v/>
      </c>
      <c r="N5144" s="15"/>
    </row>
    <row r="5145" spans="1:14" s="14" customFormat="1" ht="18" x14ac:dyDescent="0.25">
      <c r="A5145" s="91"/>
      <c r="B5145" s="90"/>
      <c r="C5145" s="88"/>
      <c r="D5145" s="89"/>
      <c r="E5145" s="90"/>
      <c r="F5145" s="91"/>
      <c r="G5145" s="90"/>
      <c r="H5145" s="92"/>
      <c r="I5145" s="87"/>
      <c r="J5145" s="93"/>
      <c r="K5145" s="92"/>
      <c r="L5145" s="72" t="str">
        <f t="shared" si="80"/>
        <v/>
      </c>
      <c r="N5145" s="15"/>
    </row>
    <row r="5146" spans="1:14" s="14" customFormat="1" ht="18" x14ac:dyDescent="0.25">
      <c r="A5146" s="91"/>
      <c r="B5146" s="90"/>
      <c r="C5146" s="88"/>
      <c r="D5146" s="89"/>
      <c r="E5146" s="90"/>
      <c r="F5146" s="91"/>
      <c r="G5146" s="90"/>
      <c r="H5146" s="92"/>
      <c r="I5146" s="87"/>
      <c r="J5146" s="93"/>
      <c r="K5146" s="92"/>
      <c r="L5146" s="72" t="str">
        <f t="shared" si="80"/>
        <v/>
      </c>
      <c r="N5146" s="15"/>
    </row>
    <row r="5147" spans="1:14" s="14" customFormat="1" ht="18" x14ac:dyDescent="0.25">
      <c r="A5147" s="91"/>
      <c r="B5147" s="90"/>
      <c r="C5147" s="88"/>
      <c r="D5147" s="89"/>
      <c r="E5147" s="90"/>
      <c r="F5147" s="91"/>
      <c r="G5147" s="90"/>
      <c r="H5147" s="92"/>
      <c r="I5147" s="87"/>
      <c r="J5147" s="93"/>
      <c r="K5147" s="92"/>
      <c r="L5147" s="72" t="str">
        <f t="shared" si="80"/>
        <v/>
      </c>
      <c r="N5147" s="15"/>
    </row>
    <row r="5148" spans="1:14" s="14" customFormat="1" ht="18" x14ac:dyDescent="0.25">
      <c r="A5148" s="91"/>
      <c r="B5148" s="90"/>
      <c r="C5148" s="88"/>
      <c r="D5148" s="89"/>
      <c r="E5148" s="90"/>
      <c r="F5148" s="91"/>
      <c r="G5148" s="90"/>
      <c r="H5148" s="92"/>
      <c r="I5148" s="87"/>
      <c r="J5148" s="93"/>
      <c r="K5148" s="92"/>
      <c r="L5148" s="72" t="str">
        <f t="shared" si="80"/>
        <v/>
      </c>
      <c r="N5148" s="15"/>
    </row>
    <row r="5149" spans="1:14" s="14" customFormat="1" ht="18" x14ac:dyDescent="0.25">
      <c r="A5149" s="91"/>
      <c r="B5149" s="90"/>
      <c r="C5149" s="88"/>
      <c r="D5149" s="89"/>
      <c r="E5149" s="90"/>
      <c r="F5149" s="91"/>
      <c r="G5149" s="90"/>
      <c r="H5149" s="92"/>
      <c r="I5149" s="87"/>
      <c r="J5149" s="93"/>
      <c r="K5149" s="92"/>
      <c r="L5149" s="72" t="str">
        <f t="shared" si="80"/>
        <v/>
      </c>
      <c r="N5149" s="15"/>
    </row>
    <row r="5150" spans="1:14" s="14" customFormat="1" ht="18" x14ac:dyDescent="0.25">
      <c r="A5150" s="91"/>
      <c r="B5150" s="90"/>
      <c r="C5150" s="88"/>
      <c r="D5150" s="89"/>
      <c r="E5150" s="90"/>
      <c r="F5150" s="91"/>
      <c r="G5150" s="90"/>
      <c r="H5150" s="92"/>
      <c r="I5150" s="87"/>
      <c r="J5150" s="93"/>
      <c r="K5150" s="92"/>
      <c r="L5150" s="72" t="str">
        <f t="shared" ref="L5150:L5213" si="81">IF(ISBLANK(H5150),"",IF(H5150=K5150,"Payé","Impayé"))</f>
        <v/>
      </c>
      <c r="N5150" s="15"/>
    </row>
    <row r="5151" spans="1:14" s="14" customFormat="1" ht="18" x14ac:dyDescent="0.25">
      <c r="A5151" s="91"/>
      <c r="B5151" s="90"/>
      <c r="C5151" s="88"/>
      <c r="D5151" s="89"/>
      <c r="E5151" s="90"/>
      <c r="F5151" s="91"/>
      <c r="G5151" s="90"/>
      <c r="H5151" s="92"/>
      <c r="I5151" s="87"/>
      <c r="J5151" s="93"/>
      <c r="K5151" s="92"/>
      <c r="L5151" s="72" t="str">
        <f t="shared" si="81"/>
        <v/>
      </c>
      <c r="N5151" s="15"/>
    </row>
    <row r="5152" spans="1:14" s="14" customFormat="1" ht="18" x14ac:dyDescent="0.25">
      <c r="A5152" s="91"/>
      <c r="B5152" s="90"/>
      <c r="C5152" s="88"/>
      <c r="D5152" s="89"/>
      <c r="E5152" s="90"/>
      <c r="F5152" s="91"/>
      <c r="G5152" s="90"/>
      <c r="H5152" s="92"/>
      <c r="I5152" s="87"/>
      <c r="J5152" s="93"/>
      <c r="K5152" s="92"/>
      <c r="L5152" s="72" t="str">
        <f t="shared" si="81"/>
        <v/>
      </c>
      <c r="N5152" s="15"/>
    </row>
    <row r="5153" spans="1:14" s="14" customFormat="1" ht="18" x14ac:dyDescent="0.25">
      <c r="A5153" s="91"/>
      <c r="B5153" s="90"/>
      <c r="C5153" s="88"/>
      <c r="D5153" s="89"/>
      <c r="E5153" s="90"/>
      <c r="F5153" s="91"/>
      <c r="G5153" s="90"/>
      <c r="H5153" s="92"/>
      <c r="I5153" s="87"/>
      <c r="J5153" s="93"/>
      <c r="K5153" s="92"/>
      <c r="L5153" s="72" t="str">
        <f t="shared" si="81"/>
        <v/>
      </c>
      <c r="N5153" s="15"/>
    </row>
    <row r="5154" spans="1:14" s="14" customFormat="1" ht="18" x14ac:dyDescent="0.25">
      <c r="A5154" s="91"/>
      <c r="B5154" s="90"/>
      <c r="C5154" s="88"/>
      <c r="D5154" s="89"/>
      <c r="E5154" s="90"/>
      <c r="F5154" s="91"/>
      <c r="G5154" s="90"/>
      <c r="H5154" s="92"/>
      <c r="I5154" s="87"/>
      <c r="J5154" s="93"/>
      <c r="K5154" s="92"/>
      <c r="L5154" s="72" t="str">
        <f t="shared" si="81"/>
        <v/>
      </c>
      <c r="N5154" s="15"/>
    </row>
    <row r="5155" spans="1:14" s="14" customFormat="1" ht="18" x14ac:dyDescent="0.25">
      <c r="A5155" s="91"/>
      <c r="B5155" s="90"/>
      <c r="C5155" s="88"/>
      <c r="D5155" s="89"/>
      <c r="E5155" s="90"/>
      <c r="F5155" s="91"/>
      <c r="G5155" s="90"/>
      <c r="H5155" s="92"/>
      <c r="I5155" s="87"/>
      <c r="J5155" s="93"/>
      <c r="K5155" s="92"/>
      <c r="L5155" s="72" t="str">
        <f t="shared" si="81"/>
        <v/>
      </c>
      <c r="N5155" s="15"/>
    </row>
    <row r="5156" spans="1:14" s="14" customFormat="1" ht="18" x14ac:dyDescent="0.25">
      <c r="A5156" s="91"/>
      <c r="B5156" s="90"/>
      <c r="C5156" s="88"/>
      <c r="D5156" s="89"/>
      <c r="E5156" s="90"/>
      <c r="F5156" s="91"/>
      <c r="G5156" s="90"/>
      <c r="H5156" s="92"/>
      <c r="I5156" s="87"/>
      <c r="J5156" s="93"/>
      <c r="K5156" s="92"/>
      <c r="L5156" s="72" t="str">
        <f t="shared" si="81"/>
        <v/>
      </c>
      <c r="N5156" s="15"/>
    </row>
    <row r="5157" spans="1:14" s="14" customFormat="1" ht="18" x14ac:dyDescent="0.25">
      <c r="A5157" s="91"/>
      <c r="B5157" s="90"/>
      <c r="C5157" s="88"/>
      <c r="D5157" s="89"/>
      <c r="E5157" s="90"/>
      <c r="F5157" s="91"/>
      <c r="G5157" s="90"/>
      <c r="H5157" s="92"/>
      <c r="I5157" s="87"/>
      <c r="J5157" s="93"/>
      <c r="K5157" s="92"/>
      <c r="L5157" s="72" t="str">
        <f t="shared" si="81"/>
        <v/>
      </c>
      <c r="N5157" s="15"/>
    </row>
    <row r="5158" spans="1:14" s="14" customFormat="1" ht="18" x14ac:dyDescent="0.25">
      <c r="A5158" s="91"/>
      <c r="B5158" s="90"/>
      <c r="C5158" s="88"/>
      <c r="D5158" s="89"/>
      <c r="E5158" s="90"/>
      <c r="F5158" s="91"/>
      <c r="G5158" s="90"/>
      <c r="H5158" s="92"/>
      <c r="I5158" s="87"/>
      <c r="J5158" s="93"/>
      <c r="K5158" s="92"/>
      <c r="L5158" s="72" t="str">
        <f t="shared" si="81"/>
        <v/>
      </c>
      <c r="N5158" s="15"/>
    </row>
    <row r="5159" spans="1:14" s="14" customFormat="1" ht="18" x14ac:dyDescent="0.25">
      <c r="A5159" s="91"/>
      <c r="B5159" s="90"/>
      <c r="C5159" s="88"/>
      <c r="D5159" s="89"/>
      <c r="E5159" s="90"/>
      <c r="F5159" s="91"/>
      <c r="G5159" s="90"/>
      <c r="H5159" s="92"/>
      <c r="I5159" s="87"/>
      <c r="J5159" s="93"/>
      <c r="K5159" s="92"/>
      <c r="L5159" s="72" t="str">
        <f t="shared" si="81"/>
        <v/>
      </c>
      <c r="N5159" s="15"/>
    </row>
    <row r="5160" spans="1:14" s="14" customFormat="1" ht="18" x14ac:dyDescent="0.25">
      <c r="A5160" s="91"/>
      <c r="B5160" s="90"/>
      <c r="C5160" s="88"/>
      <c r="D5160" s="89"/>
      <c r="E5160" s="90"/>
      <c r="F5160" s="91"/>
      <c r="G5160" s="90"/>
      <c r="H5160" s="92"/>
      <c r="I5160" s="87"/>
      <c r="J5160" s="93"/>
      <c r="K5160" s="92"/>
      <c r="L5160" s="72" t="str">
        <f t="shared" si="81"/>
        <v/>
      </c>
      <c r="N5160" s="15"/>
    </row>
    <row r="5161" spans="1:14" s="14" customFormat="1" ht="18" x14ac:dyDescent="0.25">
      <c r="A5161" s="91"/>
      <c r="B5161" s="90"/>
      <c r="C5161" s="88"/>
      <c r="D5161" s="89"/>
      <c r="E5161" s="90"/>
      <c r="F5161" s="91"/>
      <c r="G5161" s="90"/>
      <c r="H5161" s="92"/>
      <c r="I5161" s="87"/>
      <c r="J5161" s="93"/>
      <c r="K5161" s="92"/>
      <c r="L5161" s="72" t="str">
        <f t="shared" si="81"/>
        <v/>
      </c>
      <c r="N5161" s="15"/>
    </row>
    <row r="5162" spans="1:14" s="14" customFormat="1" ht="18" x14ac:dyDescent="0.25">
      <c r="A5162" s="91"/>
      <c r="B5162" s="90"/>
      <c r="C5162" s="88"/>
      <c r="D5162" s="89"/>
      <c r="E5162" s="90"/>
      <c r="F5162" s="91"/>
      <c r="G5162" s="90"/>
      <c r="H5162" s="92"/>
      <c r="I5162" s="87"/>
      <c r="J5162" s="93"/>
      <c r="K5162" s="92"/>
      <c r="L5162" s="72" t="str">
        <f t="shared" si="81"/>
        <v/>
      </c>
      <c r="N5162" s="15"/>
    </row>
    <row r="5163" spans="1:14" s="14" customFormat="1" ht="18" x14ac:dyDescent="0.25">
      <c r="A5163" s="91"/>
      <c r="B5163" s="90"/>
      <c r="C5163" s="88"/>
      <c r="D5163" s="89"/>
      <c r="E5163" s="90"/>
      <c r="F5163" s="91"/>
      <c r="G5163" s="90"/>
      <c r="H5163" s="92"/>
      <c r="I5163" s="87"/>
      <c r="J5163" s="93"/>
      <c r="K5163" s="92"/>
      <c r="L5163" s="72" t="str">
        <f t="shared" si="81"/>
        <v/>
      </c>
      <c r="N5163" s="15"/>
    </row>
    <row r="5164" spans="1:14" s="14" customFormat="1" ht="18" x14ac:dyDescent="0.25">
      <c r="A5164" s="91"/>
      <c r="B5164" s="90"/>
      <c r="C5164" s="88"/>
      <c r="D5164" s="89"/>
      <c r="E5164" s="90"/>
      <c r="F5164" s="91"/>
      <c r="G5164" s="90"/>
      <c r="H5164" s="92"/>
      <c r="I5164" s="87"/>
      <c r="J5164" s="93"/>
      <c r="K5164" s="92"/>
      <c r="L5164" s="72" t="str">
        <f t="shared" si="81"/>
        <v/>
      </c>
      <c r="N5164" s="15"/>
    </row>
    <row r="5165" spans="1:14" s="14" customFormat="1" ht="18" x14ac:dyDescent="0.25">
      <c r="A5165" s="91"/>
      <c r="B5165" s="90"/>
      <c r="C5165" s="88"/>
      <c r="D5165" s="89"/>
      <c r="E5165" s="90"/>
      <c r="F5165" s="91"/>
      <c r="G5165" s="90"/>
      <c r="H5165" s="92"/>
      <c r="I5165" s="87"/>
      <c r="J5165" s="93"/>
      <c r="K5165" s="92"/>
      <c r="L5165" s="72" t="str">
        <f t="shared" si="81"/>
        <v/>
      </c>
      <c r="N5165" s="15"/>
    </row>
    <row r="5166" spans="1:14" s="14" customFormat="1" ht="18" x14ac:dyDescent="0.25">
      <c r="A5166" s="91"/>
      <c r="B5166" s="90"/>
      <c r="C5166" s="88"/>
      <c r="D5166" s="89"/>
      <c r="E5166" s="90"/>
      <c r="F5166" s="91"/>
      <c r="G5166" s="90"/>
      <c r="H5166" s="92"/>
      <c r="I5166" s="87"/>
      <c r="J5166" s="93"/>
      <c r="K5166" s="92"/>
      <c r="L5166" s="72" t="str">
        <f t="shared" si="81"/>
        <v/>
      </c>
      <c r="N5166" s="15"/>
    </row>
    <row r="5167" spans="1:14" s="14" customFormat="1" ht="18" x14ac:dyDescent="0.25">
      <c r="A5167" s="91"/>
      <c r="B5167" s="90"/>
      <c r="C5167" s="88"/>
      <c r="D5167" s="89"/>
      <c r="E5167" s="90"/>
      <c r="F5167" s="91"/>
      <c r="G5167" s="90"/>
      <c r="H5167" s="92"/>
      <c r="I5167" s="87"/>
      <c r="J5167" s="93"/>
      <c r="K5167" s="92"/>
      <c r="L5167" s="72" t="str">
        <f t="shared" si="81"/>
        <v/>
      </c>
      <c r="N5167" s="15"/>
    </row>
    <row r="5168" spans="1:14" s="14" customFormat="1" ht="18" x14ac:dyDescent="0.25">
      <c r="A5168" s="91"/>
      <c r="B5168" s="90"/>
      <c r="C5168" s="88"/>
      <c r="D5168" s="89"/>
      <c r="E5168" s="90"/>
      <c r="F5168" s="91"/>
      <c r="G5168" s="90"/>
      <c r="H5168" s="92"/>
      <c r="I5168" s="87"/>
      <c r="J5168" s="93"/>
      <c r="K5168" s="92"/>
      <c r="L5168" s="72" t="str">
        <f t="shared" si="81"/>
        <v/>
      </c>
      <c r="N5168" s="15"/>
    </row>
    <row r="5169" spans="1:14" s="14" customFormat="1" ht="18" x14ac:dyDescent="0.25">
      <c r="A5169" s="91"/>
      <c r="B5169" s="90"/>
      <c r="C5169" s="88"/>
      <c r="D5169" s="89"/>
      <c r="E5169" s="90"/>
      <c r="F5169" s="91"/>
      <c r="G5169" s="90"/>
      <c r="H5169" s="92"/>
      <c r="I5169" s="87"/>
      <c r="J5169" s="93"/>
      <c r="K5169" s="92"/>
      <c r="L5169" s="72" t="str">
        <f t="shared" si="81"/>
        <v/>
      </c>
      <c r="N5169" s="15"/>
    </row>
    <row r="5170" spans="1:14" s="14" customFormat="1" ht="18" x14ac:dyDescent="0.25">
      <c r="A5170" s="91"/>
      <c r="B5170" s="90"/>
      <c r="C5170" s="88"/>
      <c r="D5170" s="89"/>
      <c r="E5170" s="90"/>
      <c r="F5170" s="91"/>
      <c r="G5170" s="90"/>
      <c r="H5170" s="92"/>
      <c r="I5170" s="87"/>
      <c r="J5170" s="93"/>
      <c r="K5170" s="92"/>
      <c r="L5170" s="72" t="str">
        <f t="shared" si="81"/>
        <v/>
      </c>
      <c r="N5170" s="15"/>
    </row>
    <row r="5171" spans="1:14" s="14" customFormat="1" ht="18" x14ac:dyDescent="0.25">
      <c r="A5171" s="91"/>
      <c r="B5171" s="90"/>
      <c r="C5171" s="88"/>
      <c r="D5171" s="89"/>
      <c r="E5171" s="90"/>
      <c r="F5171" s="91"/>
      <c r="G5171" s="90"/>
      <c r="H5171" s="92"/>
      <c r="I5171" s="87"/>
      <c r="J5171" s="93"/>
      <c r="K5171" s="92"/>
      <c r="L5171" s="72" t="str">
        <f t="shared" si="81"/>
        <v/>
      </c>
      <c r="N5171" s="15"/>
    </row>
    <row r="5172" spans="1:14" s="14" customFormat="1" ht="18" x14ac:dyDescent="0.25">
      <c r="A5172" s="91"/>
      <c r="B5172" s="90"/>
      <c r="C5172" s="88"/>
      <c r="D5172" s="89"/>
      <c r="E5172" s="90"/>
      <c r="F5172" s="91"/>
      <c r="G5172" s="90"/>
      <c r="H5172" s="92"/>
      <c r="I5172" s="87"/>
      <c r="J5172" s="93"/>
      <c r="K5172" s="92"/>
      <c r="L5172" s="72" t="str">
        <f t="shared" si="81"/>
        <v/>
      </c>
      <c r="N5172" s="15"/>
    </row>
    <row r="5173" spans="1:14" s="14" customFormat="1" ht="18" x14ac:dyDescent="0.25">
      <c r="A5173" s="91"/>
      <c r="B5173" s="90"/>
      <c r="C5173" s="88"/>
      <c r="D5173" s="89"/>
      <c r="E5173" s="90"/>
      <c r="F5173" s="91"/>
      <c r="G5173" s="90"/>
      <c r="H5173" s="92"/>
      <c r="I5173" s="87"/>
      <c r="J5173" s="93"/>
      <c r="K5173" s="92"/>
      <c r="L5173" s="72" t="str">
        <f t="shared" si="81"/>
        <v/>
      </c>
      <c r="N5173" s="15"/>
    </row>
    <row r="5174" spans="1:14" s="14" customFormat="1" ht="18" x14ac:dyDescent="0.25">
      <c r="A5174" s="91"/>
      <c r="B5174" s="90"/>
      <c r="C5174" s="88"/>
      <c r="D5174" s="89"/>
      <c r="E5174" s="90"/>
      <c r="F5174" s="91"/>
      <c r="G5174" s="90"/>
      <c r="H5174" s="92"/>
      <c r="I5174" s="87"/>
      <c r="J5174" s="93"/>
      <c r="K5174" s="92"/>
      <c r="L5174" s="72" t="str">
        <f t="shared" si="81"/>
        <v/>
      </c>
      <c r="N5174" s="15"/>
    </row>
    <row r="5175" spans="1:14" s="14" customFormat="1" ht="18" x14ac:dyDescent="0.25">
      <c r="A5175" s="91"/>
      <c r="B5175" s="90"/>
      <c r="C5175" s="88"/>
      <c r="D5175" s="89"/>
      <c r="E5175" s="90"/>
      <c r="F5175" s="91"/>
      <c r="G5175" s="90"/>
      <c r="H5175" s="92"/>
      <c r="I5175" s="87"/>
      <c r="J5175" s="93"/>
      <c r="K5175" s="92"/>
      <c r="L5175" s="72" t="str">
        <f t="shared" si="81"/>
        <v/>
      </c>
      <c r="N5175" s="15"/>
    </row>
    <row r="5176" spans="1:14" s="14" customFormat="1" ht="18" x14ac:dyDescent="0.25">
      <c r="A5176" s="91"/>
      <c r="B5176" s="90"/>
      <c r="C5176" s="88"/>
      <c r="D5176" s="89"/>
      <c r="E5176" s="90"/>
      <c r="F5176" s="91"/>
      <c r="G5176" s="90"/>
      <c r="H5176" s="92"/>
      <c r="I5176" s="87"/>
      <c r="J5176" s="93"/>
      <c r="K5176" s="92"/>
      <c r="L5176" s="72" t="str">
        <f t="shared" si="81"/>
        <v/>
      </c>
      <c r="N5176" s="15"/>
    </row>
    <row r="5177" spans="1:14" s="14" customFormat="1" ht="18" x14ac:dyDescent="0.25">
      <c r="A5177" s="91"/>
      <c r="B5177" s="90"/>
      <c r="C5177" s="88"/>
      <c r="D5177" s="89"/>
      <c r="E5177" s="90"/>
      <c r="F5177" s="91"/>
      <c r="G5177" s="90"/>
      <c r="H5177" s="92"/>
      <c r="I5177" s="87"/>
      <c r="J5177" s="93"/>
      <c r="K5177" s="92"/>
      <c r="L5177" s="72" t="str">
        <f t="shared" si="81"/>
        <v/>
      </c>
      <c r="N5177" s="15"/>
    </row>
    <row r="5178" spans="1:14" s="14" customFormat="1" ht="18" x14ac:dyDescent="0.25">
      <c r="A5178" s="91"/>
      <c r="B5178" s="90"/>
      <c r="C5178" s="88"/>
      <c r="D5178" s="89"/>
      <c r="E5178" s="90"/>
      <c r="F5178" s="91"/>
      <c r="G5178" s="90"/>
      <c r="H5178" s="92"/>
      <c r="I5178" s="87"/>
      <c r="J5178" s="93"/>
      <c r="K5178" s="92"/>
      <c r="L5178" s="72" t="str">
        <f t="shared" si="81"/>
        <v/>
      </c>
      <c r="N5178" s="15"/>
    </row>
    <row r="5179" spans="1:14" s="14" customFormat="1" ht="18" x14ac:dyDescent="0.25">
      <c r="A5179" s="91"/>
      <c r="B5179" s="90"/>
      <c r="C5179" s="88"/>
      <c r="D5179" s="89"/>
      <c r="E5179" s="90"/>
      <c r="F5179" s="91"/>
      <c r="G5179" s="90"/>
      <c r="H5179" s="92"/>
      <c r="I5179" s="87"/>
      <c r="J5179" s="93"/>
      <c r="K5179" s="92"/>
      <c r="L5179" s="72" t="str">
        <f t="shared" si="81"/>
        <v/>
      </c>
      <c r="N5179" s="15"/>
    </row>
    <row r="5180" spans="1:14" s="14" customFormat="1" ht="18" x14ac:dyDescent="0.25">
      <c r="A5180" s="91"/>
      <c r="B5180" s="90"/>
      <c r="C5180" s="88"/>
      <c r="D5180" s="89"/>
      <c r="E5180" s="90"/>
      <c r="F5180" s="91"/>
      <c r="G5180" s="90"/>
      <c r="H5180" s="92"/>
      <c r="I5180" s="87"/>
      <c r="J5180" s="93"/>
      <c r="K5180" s="92"/>
      <c r="L5180" s="72" t="str">
        <f t="shared" si="81"/>
        <v/>
      </c>
      <c r="N5180" s="15"/>
    </row>
    <row r="5181" spans="1:14" s="14" customFormat="1" ht="18" x14ac:dyDescent="0.25">
      <c r="A5181" s="91"/>
      <c r="B5181" s="90"/>
      <c r="C5181" s="88"/>
      <c r="D5181" s="89"/>
      <c r="E5181" s="90"/>
      <c r="F5181" s="91"/>
      <c r="G5181" s="90"/>
      <c r="H5181" s="92"/>
      <c r="I5181" s="87"/>
      <c r="J5181" s="93"/>
      <c r="K5181" s="92"/>
      <c r="L5181" s="72" t="str">
        <f t="shared" si="81"/>
        <v/>
      </c>
      <c r="N5181" s="15"/>
    </row>
    <row r="5182" spans="1:14" s="14" customFormat="1" ht="18" x14ac:dyDescent="0.25">
      <c r="A5182" s="91"/>
      <c r="B5182" s="90"/>
      <c r="C5182" s="88"/>
      <c r="D5182" s="89"/>
      <c r="E5182" s="90"/>
      <c r="F5182" s="91"/>
      <c r="G5182" s="90"/>
      <c r="H5182" s="92"/>
      <c r="I5182" s="87"/>
      <c r="J5182" s="93"/>
      <c r="K5182" s="92"/>
      <c r="L5182" s="72" t="str">
        <f t="shared" si="81"/>
        <v/>
      </c>
      <c r="N5182" s="15"/>
    </row>
    <row r="5183" spans="1:14" s="14" customFormat="1" ht="18" x14ac:dyDescent="0.25">
      <c r="A5183" s="91"/>
      <c r="B5183" s="90"/>
      <c r="C5183" s="88"/>
      <c r="D5183" s="89"/>
      <c r="E5183" s="90"/>
      <c r="F5183" s="91"/>
      <c r="G5183" s="90"/>
      <c r="H5183" s="92"/>
      <c r="I5183" s="87"/>
      <c r="J5183" s="93"/>
      <c r="K5183" s="92"/>
      <c r="L5183" s="72" t="str">
        <f t="shared" si="81"/>
        <v/>
      </c>
      <c r="N5183" s="15"/>
    </row>
    <row r="5184" spans="1:14" s="14" customFormat="1" ht="18" x14ac:dyDescent="0.25">
      <c r="A5184" s="91"/>
      <c r="B5184" s="90"/>
      <c r="C5184" s="88"/>
      <c r="D5184" s="89"/>
      <c r="E5184" s="90"/>
      <c r="F5184" s="91"/>
      <c r="G5184" s="90"/>
      <c r="H5184" s="92"/>
      <c r="I5184" s="87"/>
      <c r="J5184" s="93"/>
      <c r="K5184" s="92"/>
      <c r="L5184" s="72" t="str">
        <f t="shared" si="81"/>
        <v/>
      </c>
      <c r="N5184" s="15"/>
    </row>
    <row r="5185" spans="1:14" s="14" customFormat="1" ht="18" x14ac:dyDescent="0.25">
      <c r="A5185" s="91"/>
      <c r="B5185" s="90"/>
      <c r="C5185" s="88"/>
      <c r="D5185" s="89"/>
      <c r="E5185" s="90"/>
      <c r="F5185" s="91"/>
      <c r="G5185" s="90"/>
      <c r="H5185" s="92"/>
      <c r="I5185" s="87"/>
      <c r="J5185" s="93"/>
      <c r="K5185" s="92"/>
      <c r="L5185" s="72" t="str">
        <f t="shared" si="81"/>
        <v/>
      </c>
      <c r="N5185" s="15"/>
    </row>
    <row r="5186" spans="1:14" s="14" customFormat="1" ht="18" x14ac:dyDescent="0.25">
      <c r="A5186" s="91"/>
      <c r="B5186" s="90"/>
      <c r="C5186" s="88"/>
      <c r="D5186" s="89"/>
      <c r="E5186" s="90"/>
      <c r="F5186" s="91"/>
      <c r="G5186" s="90"/>
      <c r="H5186" s="92"/>
      <c r="I5186" s="87"/>
      <c r="J5186" s="93"/>
      <c r="K5186" s="92"/>
      <c r="L5186" s="72" t="str">
        <f t="shared" si="81"/>
        <v/>
      </c>
      <c r="N5186" s="15"/>
    </row>
    <row r="5187" spans="1:14" s="14" customFormat="1" ht="18" x14ac:dyDescent="0.25">
      <c r="A5187" s="91"/>
      <c r="B5187" s="90"/>
      <c r="C5187" s="88"/>
      <c r="D5187" s="89"/>
      <c r="E5187" s="90"/>
      <c r="F5187" s="91"/>
      <c r="G5187" s="90"/>
      <c r="H5187" s="92"/>
      <c r="I5187" s="87"/>
      <c r="J5187" s="93"/>
      <c r="K5187" s="92"/>
      <c r="L5187" s="72" t="str">
        <f t="shared" si="81"/>
        <v/>
      </c>
      <c r="N5187" s="15"/>
    </row>
    <row r="5188" spans="1:14" s="14" customFormat="1" ht="18" x14ac:dyDescent="0.25">
      <c r="A5188" s="91"/>
      <c r="B5188" s="90"/>
      <c r="C5188" s="88"/>
      <c r="D5188" s="89"/>
      <c r="E5188" s="90"/>
      <c r="F5188" s="91"/>
      <c r="G5188" s="90"/>
      <c r="H5188" s="92"/>
      <c r="I5188" s="87"/>
      <c r="J5188" s="93"/>
      <c r="K5188" s="92"/>
      <c r="L5188" s="72" t="str">
        <f t="shared" si="81"/>
        <v/>
      </c>
      <c r="N5188" s="15"/>
    </row>
    <row r="5189" spans="1:14" s="14" customFormat="1" ht="18" x14ac:dyDescent="0.25">
      <c r="A5189" s="91"/>
      <c r="B5189" s="90"/>
      <c r="C5189" s="88"/>
      <c r="D5189" s="89"/>
      <c r="E5189" s="90"/>
      <c r="F5189" s="91"/>
      <c r="G5189" s="90"/>
      <c r="H5189" s="92"/>
      <c r="I5189" s="87"/>
      <c r="J5189" s="93"/>
      <c r="K5189" s="92"/>
      <c r="L5189" s="72" t="str">
        <f t="shared" si="81"/>
        <v/>
      </c>
      <c r="N5189" s="15"/>
    </row>
    <row r="5190" spans="1:14" s="14" customFormat="1" ht="18" x14ac:dyDescent="0.25">
      <c r="A5190" s="91"/>
      <c r="B5190" s="90"/>
      <c r="C5190" s="88"/>
      <c r="D5190" s="89"/>
      <c r="E5190" s="90"/>
      <c r="F5190" s="91"/>
      <c r="G5190" s="90"/>
      <c r="H5190" s="92"/>
      <c r="I5190" s="87"/>
      <c r="J5190" s="93"/>
      <c r="K5190" s="92"/>
      <c r="L5190" s="72" t="str">
        <f t="shared" si="81"/>
        <v/>
      </c>
      <c r="N5190" s="15"/>
    </row>
    <row r="5191" spans="1:14" s="14" customFormat="1" ht="18" x14ac:dyDescent="0.25">
      <c r="A5191" s="91"/>
      <c r="B5191" s="90"/>
      <c r="C5191" s="88"/>
      <c r="D5191" s="89"/>
      <c r="E5191" s="90"/>
      <c r="F5191" s="91"/>
      <c r="G5191" s="90"/>
      <c r="H5191" s="92"/>
      <c r="I5191" s="87"/>
      <c r="J5191" s="93"/>
      <c r="K5191" s="92"/>
      <c r="L5191" s="72" t="str">
        <f t="shared" si="81"/>
        <v/>
      </c>
      <c r="N5191" s="15"/>
    </row>
    <row r="5192" spans="1:14" s="14" customFormat="1" ht="18" x14ac:dyDescent="0.25">
      <c r="A5192" s="91"/>
      <c r="B5192" s="90"/>
      <c r="C5192" s="88"/>
      <c r="D5192" s="89"/>
      <c r="E5192" s="90"/>
      <c r="F5192" s="91"/>
      <c r="G5192" s="90"/>
      <c r="H5192" s="92"/>
      <c r="I5192" s="87"/>
      <c r="J5192" s="93"/>
      <c r="K5192" s="92"/>
      <c r="L5192" s="72" t="str">
        <f t="shared" si="81"/>
        <v/>
      </c>
      <c r="N5192" s="15"/>
    </row>
    <row r="5193" spans="1:14" s="14" customFormat="1" ht="18" x14ac:dyDescent="0.25">
      <c r="A5193" s="91"/>
      <c r="B5193" s="90"/>
      <c r="C5193" s="88"/>
      <c r="D5193" s="89"/>
      <c r="E5193" s="90"/>
      <c r="F5193" s="91"/>
      <c r="G5193" s="90"/>
      <c r="H5193" s="92"/>
      <c r="I5193" s="87"/>
      <c r="J5193" s="93"/>
      <c r="K5193" s="92"/>
      <c r="L5193" s="72" t="str">
        <f t="shared" si="81"/>
        <v/>
      </c>
      <c r="N5193" s="15"/>
    </row>
    <row r="5194" spans="1:14" s="14" customFormat="1" ht="18" x14ac:dyDescent="0.25">
      <c r="A5194" s="91"/>
      <c r="B5194" s="90"/>
      <c r="C5194" s="88"/>
      <c r="D5194" s="89"/>
      <c r="E5194" s="90"/>
      <c r="F5194" s="91"/>
      <c r="G5194" s="90"/>
      <c r="H5194" s="92"/>
      <c r="I5194" s="87"/>
      <c r="J5194" s="93"/>
      <c r="K5194" s="92"/>
      <c r="L5194" s="72" t="str">
        <f t="shared" si="81"/>
        <v/>
      </c>
      <c r="N5194" s="15"/>
    </row>
    <row r="5195" spans="1:14" s="14" customFormat="1" ht="18" x14ac:dyDescent="0.25">
      <c r="A5195" s="91"/>
      <c r="B5195" s="90"/>
      <c r="C5195" s="88"/>
      <c r="D5195" s="89"/>
      <c r="E5195" s="90"/>
      <c r="F5195" s="91"/>
      <c r="G5195" s="90"/>
      <c r="H5195" s="92"/>
      <c r="I5195" s="87"/>
      <c r="J5195" s="93"/>
      <c r="K5195" s="92"/>
      <c r="L5195" s="72" t="str">
        <f t="shared" si="81"/>
        <v/>
      </c>
      <c r="N5195" s="15"/>
    </row>
    <row r="5196" spans="1:14" s="14" customFormat="1" ht="18" x14ac:dyDescent="0.25">
      <c r="A5196" s="91"/>
      <c r="B5196" s="90"/>
      <c r="C5196" s="88"/>
      <c r="D5196" s="89"/>
      <c r="E5196" s="90"/>
      <c r="F5196" s="91"/>
      <c r="G5196" s="90"/>
      <c r="H5196" s="92"/>
      <c r="I5196" s="87"/>
      <c r="J5196" s="93"/>
      <c r="K5196" s="92"/>
      <c r="L5196" s="72" t="str">
        <f t="shared" si="81"/>
        <v/>
      </c>
      <c r="N5196" s="15"/>
    </row>
    <row r="5197" spans="1:14" s="14" customFormat="1" ht="18" x14ac:dyDescent="0.25">
      <c r="A5197" s="91"/>
      <c r="B5197" s="90"/>
      <c r="C5197" s="88"/>
      <c r="D5197" s="89"/>
      <c r="E5197" s="90"/>
      <c r="F5197" s="91"/>
      <c r="G5197" s="90"/>
      <c r="H5197" s="92"/>
      <c r="I5197" s="87"/>
      <c r="J5197" s="93"/>
      <c r="K5197" s="92"/>
      <c r="L5197" s="72" t="str">
        <f t="shared" si="81"/>
        <v/>
      </c>
      <c r="N5197" s="15"/>
    </row>
    <row r="5198" spans="1:14" s="14" customFormat="1" ht="18" x14ac:dyDescent="0.25">
      <c r="A5198" s="91"/>
      <c r="B5198" s="90"/>
      <c r="C5198" s="88"/>
      <c r="D5198" s="89"/>
      <c r="E5198" s="90"/>
      <c r="F5198" s="91"/>
      <c r="G5198" s="90"/>
      <c r="H5198" s="92"/>
      <c r="I5198" s="87"/>
      <c r="J5198" s="93"/>
      <c r="K5198" s="92"/>
      <c r="L5198" s="72" t="str">
        <f t="shared" si="81"/>
        <v/>
      </c>
      <c r="N5198" s="15"/>
    </row>
    <row r="5199" spans="1:14" s="14" customFormat="1" ht="18" x14ac:dyDescent="0.25">
      <c r="A5199" s="91"/>
      <c r="B5199" s="90"/>
      <c r="C5199" s="88"/>
      <c r="D5199" s="89"/>
      <c r="E5199" s="90"/>
      <c r="F5199" s="91"/>
      <c r="G5199" s="90"/>
      <c r="H5199" s="92"/>
      <c r="I5199" s="87"/>
      <c r="J5199" s="93"/>
      <c r="K5199" s="92"/>
      <c r="L5199" s="72" t="str">
        <f t="shared" si="81"/>
        <v/>
      </c>
      <c r="N5199" s="15"/>
    </row>
    <row r="5200" spans="1:14" s="14" customFormat="1" ht="18" x14ac:dyDescent="0.25">
      <c r="A5200" s="91"/>
      <c r="B5200" s="90"/>
      <c r="C5200" s="88"/>
      <c r="D5200" s="89"/>
      <c r="E5200" s="90"/>
      <c r="F5200" s="91"/>
      <c r="G5200" s="90"/>
      <c r="H5200" s="92"/>
      <c r="I5200" s="87"/>
      <c r="J5200" s="93"/>
      <c r="K5200" s="92"/>
      <c r="L5200" s="72" t="str">
        <f t="shared" si="81"/>
        <v/>
      </c>
      <c r="N5200" s="15"/>
    </row>
    <row r="5201" spans="1:14" s="14" customFormat="1" ht="18" x14ac:dyDescent="0.25">
      <c r="A5201" s="91"/>
      <c r="B5201" s="90"/>
      <c r="C5201" s="88"/>
      <c r="D5201" s="89"/>
      <c r="E5201" s="90"/>
      <c r="F5201" s="91"/>
      <c r="G5201" s="90"/>
      <c r="H5201" s="92"/>
      <c r="I5201" s="87"/>
      <c r="J5201" s="93"/>
      <c r="K5201" s="92"/>
      <c r="L5201" s="72" t="str">
        <f t="shared" si="81"/>
        <v/>
      </c>
      <c r="N5201" s="15"/>
    </row>
    <row r="5202" spans="1:14" s="14" customFormat="1" ht="18" x14ac:dyDescent="0.25">
      <c r="A5202" s="91"/>
      <c r="B5202" s="90"/>
      <c r="C5202" s="88"/>
      <c r="D5202" s="89"/>
      <c r="E5202" s="90"/>
      <c r="F5202" s="91"/>
      <c r="G5202" s="90"/>
      <c r="H5202" s="92"/>
      <c r="I5202" s="87"/>
      <c r="J5202" s="93"/>
      <c r="K5202" s="92"/>
      <c r="L5202" s="72" t="str">
        <f t="shared" si="81"/>
        <v/>
      </c>
      <c r="N5202" s="15"/>
    </row>
    <row r="5203" spans="1:14" s="14" customFormat="1" ht="18" x14ac:dyDescent="0.25">
      <c r="A5203" s="91"/>
      <c r="B5203" s="90"/>
      <c r="C5203" s="88"/>
      <c r="D5203" s="89"/>
      <c r="E5203" s="90"/>
      <c r="F5203" s="91"/>
      <c r="G5203" s="90"/>
      <c r="H5203" s="92"/>
      <c r="I5203" s="87"/>
      <c r="J5203" s="93"/>
      <c r="K5203" s="92"/>
      <c r="L5203" s="72" t="str">
        <f t="shared" si="81"/>
        <v/>
      </c>
      <c r="N5203" s="15"/>
    </row>
    <row r="5204" spans="1:14" s="14" customFormat="1" ht="18" x14ac:dyDescent="0.25">
      <c r="A5204" s="91"/>
      <c r="B5204" s="90"/>
      <c r="C5204" s="88"/>
      <c r="D5204" s="89"/>
      <c r="E5204" s="90"/>
      <c r="F5204" s="91"/>
      <c r="G5204" s="90"/>
      <c r="H5204" s="92"/>
      <c r="I5204" s="87"/>
      <c r="J5204" s="93"/>
      <c r="K5204" s="92"/>
      <c r="L5204" s="72" t="str">
        <f t="shared" si="81"/>
        <v/>
      </c>
      <c r="N5204" s="15"/>
    </row>
    <row r="5205" spans="1:14" s="14" customFormat="1" ht="18" x14ac:dyDescent="0.25">
      <c r="A5205" s="91"/>
      <c r="B5205" s="90"/>
      <c r="C5205" s="88"/>
      <c r="D5205" s="89"/>
      <c r="E5205" s="90"/>
      <c r="F5205" s="91"/>
      <c r="G5205" s="90"/>
      <c r="H5205" s="92"/>
      <c r="I5205" s="87"/>
      <c r="J5205" s="93"/>
      <c r="K5205" s="92"/>
      <c r="L5205" s="72" t="str">
        <f t="shared" si="81"/>
        <v/>
      </c>
      <c r="N5205" s="15"/>
    </row>
    <row r="5206" spans="1:14" s="14" customFormat="1" ht="18" x14ac:dyDescent="0.25">
      <c r="A5206" s="91"/>
      <c r="B5206" s="90"/>
      <c r="C5206" s="88"/>
      <c r="D5206" s="89"/>
      <c r="E5206" s="90"/>
      <c r="F5206" s="91"/>
      <c r="G5206" s="90"/>
      <c r="H5206" s="92"/>
      <c r="I5206" s="87"/>
      <c r="J5206" s="93"/>
      <c r="K5206" s="92"/>
      <c r="L5206" s="72" t="str">
        <f t="shared" si="81"/>
        <v/>
      </c>
      <c r="N5206" s="15"/>
    </row>
    <row r="5207" spans="1:14" s="14" customFormat="1" ht="18" x14ac:dyDescent="0.25">
      <c r="A5207" s="91"/>
      <c r="B5207" s="90"/>
      <c r="C5207" s="88"/>
      <c r="D5207" s="89"/>
      <c r="E5207" s="90"/>
      <c r="F5207" s="91"/>
      <c r="G5207" s="90"/>
      <c r="H5207" s="92"/>
      <c r="I5207" s="87"/>
      <c r="J5207" s="93"/>
      <c r="K5207" s="92"/>
      <c r="L5207" s="72" t="str">
        <f t="shared" si="81"/>
        <v/>
      </c>
      <c r="N5207" s="15"/>
    </row>
    <row r="5208" spans="1:14" s="14" customFormat="1" ht="18" x14ac:dyDescent="0.25">
      <c r="A5208" s="91"/>
      <c r="B5208" s="90"/>
      <c r="C5208" s="88"/>
      <c r="D5208" s="89"/>
      <c r="E5208" s="90"/>
      <c r="F5208" s="91"/>
      <c r="G5208" s="90"/>
      <c r="H5208" s="92"/>
      <c r="I5208" s="87"/>
      <c r="J5208" s="93"/>
      <c r="K5208" s="92"/>
      <c r="L5208" s="72" t="str">
        <f t="shared" si="81"/>
        <v/>
      </c>
      <c r="N5208" s="15"/>
    </row>
    <row r="5209" spans="1:14" s="14" customFormat="1" ht="18" x14ac:dyDescent="0.25">
      <c r="A5209" s="91"/>
      <c r="B5209" s="90"/>
      <c r="C5209" s="88"/>
      <c r="D5209" s="89"/>
      <c r="E5209" s="90"/>
      <c r="F5209" s="91"/>
      <c r="G5209" s="90"/>
      <c r="H5209" s="92"/>
      <c r="I5209" s="87"/>
      <c r="J5209" s="93"/>
      <c r="K5209" s="92"/>
      <c r="L5209" s="72" t="str">
        <f t="shared" si="81"/>
        <v/>
      </c>
      <c r="N5209" s="15"/>
    </row>
    <row r="5210" spans="1:14" s="14" customFormat="1" ht="18" x14ac:dyDescent="0.25">
      <c r="A5210" s="91"/>
      <c r="B5210" s="90"/>
      <c r="C5210" s="88"/>
      <c r="D5210" s="89"/>
      <c r="E5210" s="90"/>
      <c r="F5210" s="91"/>
      <c r="G5210" s="90"/>
      <c r="H5210" s="92"/>
      <c r="I5210" s="87"/>
      <c r="J5210" s="93"/>
      <c r="K5210" s="92"/>
      <c r="L5210" s="72" t="str">
        <f t="shared" si="81"/>
        <v/>
      </c>
      <c r="N5210" s="15"/>
    </row>
    <row r="5211" spans="1:14" s="14" customFormat="1" ht="18" x14ac:dyDescent="0.25">
      <c r="A5211" s="91"/>
      <c r="B5211" s="90"/>
      <c r="C5211" s="88"/>
      <c r="D5211" s="89"/>
      <c r="E5211" s="90"/>
      <c r="F5211" s="91"/>
      <c r="G5211" s="90"/>
      <c r="H5211" s="92"/>
      <c r="I5211" s="87"/>
      <c r="J5211" s="93"/>
      <c r="K5211" s="92"/>
      <c r="L5211" s="72" t="str">
        <f t="shared" si="81"/>
        <v/>
      </c>
      <c r="N5211" s="15"/>
    </row>
    <row r="5212" spans="1:14" s="14" customFormat="1" ht="18" x14ac:dyDescent="0.25">
      <c r="A5212" s="91"/>
      <c r="B5212" s="90"/>
      <c r="C5212" s="88"/>
      <c r="D5212" s="89"/>
      <c r="E5212" s="90"/>
      <c r="F5212" s="91"/>
      <c r="G5212" s="90"/>
      <c r="H5212" s="92"/>
      <c r="I5212" s="87"/>
      <c r="J5212" s="93"/>
      <c r="K5212" s="92"/>
      <c r="L5212" s="72" t="str">
        <f t="shared" si="81"/>
        <v/>
      </c>
      <c r="N5212" s="15"/>
    </row>
    <row r="5213" spans="1:14" s="14" customFormat="1" ht="18" x14ac:dyDescent="0.25">
      <c r="A5213" s="91"/>
      <c r="B5213" s="90"/>
      <c r="C5213" s="88"/>
      <c r="D5213" s="89"/>
      <c r="E5213" s="90"/>
      <c r="F5213" s="91"/>
      <c r="G5213" s="90"/>
      <c r="H5213" s="92"/>
      <c r="I5213" s="87"/>
      <c r="J5213" s="93"/>
      <c r="K5213" s="92"/>
      <c r="L5213" s="72" t="str">
        <f t="shared" si="81"/>
        <v/>
      </c>
      <c r="N5213" s="15"/>
    </row>
    <row r="5214" spans="1:14" s="14" customFormat="1" ht="18" x14ac:dyDescent="0.25">
      <c r="A5214" s="91"/>
      <c r="B5214" s="90"/>
      <c r="C5214" s="88"/>
      <c r="D5214" s="89"/>
      <c r="E5214" s="90"/>
      <c r="F5214" s="91"/>
      <c r="G5214" s="90"/>
      <c r="H5214" s="92"/>
      <c r="I5214" s="87"/>
      <c r="J5214" s="93"/>
      <c r="K5214" s="92"/>
      <c r="L5214" s="72" t="str">
        <f t="shared" ref="L5214:L5277" si="82">IF(ISBLANK(H5214),"",IF(H5214=K5214,"Payé","Impayé"))</f>
        <v/>
      </c>
      <c r="N5214" s="15"/>
    </row>
    <row r="5215" spans="1:14" s="14" customFormat="1" ht="18" x14ac:dyDescent="0.25">
      <c r="A5215" s="91"/>
      <c r="B5215" s="90"/>
      <c r="C5215" s="88"/>
      <c r="D5215" s="89"/>
      <c r="E5215" s="90"/>
      <c r="F5215" s="91"/>
      <c r="G5215" s="90"/>
      <c r="H5215" s="92"/>
      <c r="I5215" s="87"/>
      <c r="J5215" s="93"/>
      <c r="K5215" s="92"/>
      <c r="L5215" s="72" t="str">
        <f t="shared" si="82"/>
        <v/>
      </c>
      <c r="N5215" s="15"/>
    </row>
    <row r="5216" spans="1:14" s="14" customFormat="1" ht="18" x14ac:dyDescent="0.25">
      <c r="A5216" s="91"/>
      <c r="B5216" s="90"/>
      <c r="C5216" s="88"/>
      <c r="D5216" s="89"/>
      <c r="E5216" s="90"/>
      <c r="F5216" s="91"/>
      <c r="G5216" s="90"/>
      <c r="H5216" s="92"/>
      <c r="I5216" s="87"/>
      <c r="J5216" s="93"/>
      <c r="K5216" s="92"/>
      <c r="L5216" s="72" t="str">
        <f t="shared" si="82"/>
        <v/>
      </c>
      <c r="N5216" s="15"/>
    </row>
    <row r="5217" spans="1:14" s="14" customFormat="1" ht="18" x14ac:dyDescent="0.25">
      <c r="A5217" s="91"/>
      <c r="B5217" s="90"/>
      <c r="C5217" s="88"/>
      <c r="D5217" s="89"/>
      <c r="E5217" s="90"/>
      <c r="F5217" s="91"/>
      <c r="G5217" s="90"/>
      <c r="H5217" s="92"/>
      <c r="I5217" s="87"/>
      <c r="J5217" s="93"/>
      <c r="K5217" s="92"/>
      <c r="L5217" s="72" t="str">
        <f t="shared" si="82"/>
        <v/>
      </c>
      <c r="N5217" s="15"/>
    </row>
    <row r="5218" spans="1:14" s="14" customFormat="1" ht="18" x14ac:dyDescent="0.25">
      <c r="A5218" s="91"/>
      <c r="B5218" s="90"/>
      <c r="C5218" s="88"/>
      <c r="D5218" s="89"/>
      <c r="E5218" s="90"/>
      <c r="F5218" s="91"/>
      <c r="G5218" s="90"/>
      <c r="H5218" s="92"/>
      <c r="I5218" s="87"/>
      <c r="J5218" s="93"/>
      <c r="K5218" s="92"/>
      <c r="L5218" s="72" t="str">
        <f t="shared" si="82"/>
        <v/>
      </c>
      <c r="N5218" s="15"/>
    </row>
    <row r="5219" spans="1:14" s="14" customFormat="1" ht="18" x14ac:dyDescent="0.25">
      <c r="A5219" s="91"/>
      <c r="B5219" s="90"/>
      <c r="C5219" s="88"/>
      <c r="D5219" s="89"/>
      <c r="E5219" s="90"/>
      <c r="F5219" s="91"/>
      <c r="G5219" s="90"/>
      <c r="H5219" s="92"/>
      <c r="I5219" s="87"/>
      <c r="J5219" s="93"/>
      <c r="K5219" s="92"/>
      <c r="L5219" s="72" t="str">
        <f t="shared" si="82"/>
        <v/>
      </c>
      <c r="N5219" s="15"/>
    </row>
    <row r="5220" spans="1:14" s="14" customFormat="1" ht="18" x14ac:dyDescent="0.25">
      <c r="A5220" s="91"/>
      <c r="B5220" s="90"/>
      <c r="C5220" s="88"/>
      <c r="D5220" s="89"/>
      <c r="E5220" s="90"/>
      <c r="F5220" s="91"/>
      <c r="G5220" s="90"/>
      <c r="H5220" s="92"/>
      <c r="I5220" s="87"/>
      <c r="J5220" s="93"/>
      <c r="K5220" s="92"/>
      <c r="L5220" s="72" t="str">
        <f t="shared" si="82"/>
        <v/>
      </c>
      <c r="N5220" s="15"/>
    </row>
    <row r="5221" spans="1:14" s="14" customFormat="1" ht="18" x14ac:dyDescent="0.25">
      <c r="A5221" s="91"/>
      <c r="B5221" s="90"/>
      <c r="C5221" s="88"/>
      <c r="D5221" s="89"/>
      <c r="E5221" s="90"/>
      <c r="F5221" s="91"/>
      <c r="G5221" s="90"/>
      <c r="H5221" s="92"/>
      <c r="I5221" s="87"/>
      <c r="J5221" s="93"/>
      <c r="K5221" s="92"/>
      <c r="L5221" s="72" t="str">
        <f t="shared" si="82"/>
        <v/>
      </c>
      <c r="N5221" s="15"/>
    </row>
    <row r="5222" spans="1:14" s="14" customFormat="1" ht="18" x14ac:dyDescent="0.25">
      <c r="A5222" s="91"/>
      <c r="B5222" s="90"/>
      <c r="C5222" s="88"/>
      <c r="D5222" s="89"/>
      <c r="E5222" s="90"/>
      <c r="F5222" s="91"/>
      <c r="G5222" s="90"/>
      <c r="H5222" s="92"/>
      <c r="I5222" s="87"/>
      <c r="J5222" s="93"/>
      <c r="K5222" s="92"/>
      <c r="L5222" s="72" t="str">
        <f t="shared" si="82"/>
        <v/>
      </c>
      <c r="N5222" s="15"/>
    </row>
    <row r="5223" spans="1:14" s="14" customFormat="1" ht="18" x14ac:dyDescent="0.25">
      <c r="A5223" s="91"/>
      <c r="B5223" s="90"/>
      <c r="C5223" s="88"/>
      <c r="D5223" s="89"/>
      <c r="E5223" s="90"/>
      <c r="F5223" s="91"/>
      <c r="G5223" s="90"/>
      <c r="H5223" s="92"/>
      <c r="I5223" s="87"/>
      <c r="J5223" s="93"/>
      <c r="K5223" s="92"/>
      <c r="L5223" s="72" t="str">
        <f t="shared" si="82"/>
        <v/>
      </c>
      <c r="N5223" s="15"/>
    </row>
    <row r="5224" spans="1:14" s="14" customFormat="1" ht="18" x14ac:dyDescent="0.25">
      <c r="A5224" s="91"/>
      <c r="B5224" s="90"/>
      <c r="C5224" s="88"/>
      <c r="D5224" s="89"/>
      <c r="E5224" s="90"/>
      <c r="F5224" s="91"/>
      <c r="G5224" s="90"/>
      <c r="H5224" s="92"/>
      <c r="I5224" s="87"/>
      <c r="J5224" s="93"/>
      <c r="K5224" s="92"/>
      <c r="L5224" s="72" t="str">
        <f t="shared" si="82"/>
        <v/>
      </c>
      <c r="N5224" s="15"/>
    </row>
    <row r="5225" spans="1:14" s="14" customFormat="1" ht="18" x14ac:dyDescent="0.25">
      <c r="A5225" s="91"/>
      <c r="B5225" s="90"/>
      <c r="C5225" s="88"/>
      <c r="D5225" s="89"/>
      <c r="E5225" s="90"/>
      <c r="F5225" s="91"/>
      <c r="G5225" s="90"/>
      <c r="H5225" s="92"/>
      <c r="I5225" s="87"/>
      <c r="J5225" s="93"/>
      <c r="K5225" s="92"/>
      <c r="L5225" s="72" t="str">
        <f t="shared" si="82"/>
        <v/>
      </c>
      <c r="N5225" s="15"/>
    </row>
    <row r="5226" spans="1:14" s="14" customFormat="1" ht="18" x14ac:dyDescent="0.25">
      <c r="A5226" s="91"/>
      <c r="B5226" s="90"/>
      <c r="C5226" s="88"/>
      <c r="D5226" s="89"/>
      <c r="E5226" s="90"/>
      <c r="F5226" s="91"/>
      <c r="G5226" s="90"/>
      <c r="H5226" s="92"/>
      <c r="I5226" s="87"/>
      <c r="J5226" s="93"/>
      <c r="K5226" s="92"/>
      <c r="L5226" s="72" t="str">
        <f t="shared" si="82"/>
        <v/>
      </c>
      <c r="N5226" s="15"/>
    </row>
    <row r="5227" spans="1:14" s="14" customFormat="1" ht="18" x14ac:dyDescent="0.25">
      <c r="A5227" s="91"/>
      <c r="B5227" s="90"/>
      <c r="C5227" s="88"/>
      <c r="D5227" s="89"/>
      <c r="E5227" s="90"/>
      <c r="F5227" s="91"/>
      <c r="G5227" s="90"/>
      <c r="H5227" s="92"/>
      <c r="I5227" s="87"/>
      <c r="J5227" s="93"/>
      <c r="K5227" s="92"/>
      <c r="L5227" s="72" t="str">
        <f t="shared" si="82"/>
        <v/>
      </c>
      <c r="N5227" s="15"/>
    </row>
    <row r="5228" spans="1:14" s="14" customFormat="1" ht="18" x14ac:dyDescent="0.25">
      <c r="A5228" s="91"/>
      <c r="B5228" s="90"/>
      <c r="C5228" s="88"/>
      <c r="D5228" s="89"/>
      <c r="E5228" s="90"/>
      <c r="F5228" s="91"/>
      <c r="G5228" s="90"/>
      <c r="H5228" s="92"/>
      <c r="I5228" s="87"/>
      <c r="J5228" s="93"/>
      <c r="K5228" s="92"/>
      <c r="L5228" s="72" t="str">
        <f t="shared" si="82"/>
        <v/>
      </c>
      <c r="N5228" s="15"/>
    </row>
    <row r="5229" spans="1:14" s="14" customFormat="1" ht="18" x14ac:dyDescent="0.25">
      <c r="A5229" s="91"/>
      <c r="B5229" s="90"/>
      <c r="C5229" s="88"/>
      <c r="D5229" s="89"/>
      <c r="E5229" s="90"/>
      <c r="F5229" s="91"/>
      <c r="G5229" s="90"/>
      <c r="H5229" s="92"/>
      <c r="I5229" s="87"/>
      <c r="J5229" s="93"/>
      <c r="K5229" s="92"/>
      <c r="L5229" s="72" t="str">
        <f t="shared" si="82"/>
        <v/>
      </c>
      <c r="N5229" s="15"/>
    </row>
    <row r="5230" spans="1:14" s="14" customFormat="1" ht="18" x14ac:dyDescent="0.25">
      <c r="A5230" s="91"/>
      <c r="B5230" s="90"/>
      <c r="C5230" s="88"/>
      <c r="D5230" s="89"/>
      <c r="E5230" s="90"/>
      <c r="F5230" s="91"/>
      <c r="G5230" s="90"/>
      <c r="H5230" s="92"/>
      <c r="I5230" s="87"/>
      <c r="J5230" s="93"/>
      <c r="K5230" s="92"/>
      <c r="L5230" s="72" t="str">
        <f t="shared" si="82"/>
        <v/>
      </c>
      <c r="N5230" s="15"/>
    </row>
    <row r="5231" spans="1:14" s="14" customFormat="1" ht="18" x14ac:dyDescent="0.25">
      <c r="A5231" s="91"/>
      <c r="B5231" s="90"/>
      <c r="C5231" s="88"/>
      <c r="D5231" s="89"/>
      <c r="E5231" s="90"/>
      <c r="F5231" s="91"/>
      <c r="G5231" s="90"/>
      <c r="H5231" s="92"/>
      <c r="I5231" s="87"/>
      <c r="J5231" s="93"/>
      <c r="K5231" s="92"/>
      <c r="L5231" s="72" t="str">
        <f t="shared" si="82"/>
        <v/>
      </c>
      <c r="N5231" s="15"/>
    </row>
    <row r="5232" spans="1:14" s="14" customFormat="1" ht="18" x14ac:dyDescent="0.25">
      <c r="A5232" s="91"/>
      <c r="B5232" s="90"/>
      <c r="C5232" s="88"/>
      <c r="D5232" s="89"/>
      <c r="E5232" s="90"/>
      <c r="F5232" s="91"/>
      <c r="G5232" s="90"/>
      <c r="H5232" s="92"/>
      <c r="I5232" s="87"/>
      <c r="J5232" s="93"/>
      <c r="K5232" s="92"/>
      <c r="L5232" s="72" t="str">
        <f t="shared" si="82"/>
        <v/>
      </c>
      <c r="N5232" s="15"/>
    </row>
    <row r="5233" spans="1:14" s="14" customFormat="1" ht="18" x14ac:dyDescent="0.25">
      <c r="A5233" s="91"/>
      <c r="B5233" s="90"/>
      <c r="C5233" s="88"/>
      <c r="D5233" s="89"/>
      <c r="E5233" s="90"/>
      <c r="F5233" s="91"/>
      <c r="G5233" s="90"/>
      <c r="H5233" s="92"/>
      <c r="I5233" s="87"/>
      <c r="J5233" s="93"/>
      <c r="K5233" s="92"/>
      <c r="L5233" s="72" t="str">
        <f t="shared" si="82"/>
        <v/>
      </c>
      <c r="N5233" s="15"/>
    </row>
    <row r="5234" spans="1:14" s="14" customFormat="1" ht="18" x14ac:dyDescent="0.25">
      <c r="A5234" s="91"/>
      <c r="B5234" s="90"/>
      <c r="C5234" s="88"/>
      <c r="D5234" s="89"/>
      <c r="E5234" s="90"/>
      <c r="F5234" s="91"/>
      <c r="G5234" s="90"/>
      <c r="H5234" s="92"/>
      <c r="I5234" s="87"/>
      <c r="J5234" s="93"/>
      <c r="K5234" s="92"/>
      <c r="L5234" s="72" t="str">
        <f t="shared" si="82"/>
        <v/>
      </c>
      <c r="N5234" s="15"/>
    </row>
    <row r="5235" spans="1:14" s="14" customFormat="1" ht="18" x14ac:dyDescent="0.25">
      <c r="A5235" s="91"/>
      <c r="B5235" s="90"/>
      <c r="C5235" s="88"/>
      <c r="D5235" s="89"/>
      <c r="E5235" s="90"/>
      <c r="F5235" s="91"/>
      <c r="G5235" s="90"/>
      <c r="H5235" s="92"/>
      <c r="I5235" s="87"/>
      <c r="J5235" s="93"/>
      <c r="K5235" s="92"/>
      <c r="L5235" s="72" t="str">
        <f t="shared" si="82"/>
        <v/>
      </c>
      <c r="N5235" s="15"/>
    </row>
    <row r="5236" spans="1:14" s="14" customFormat="1" ht="18" x14ac:dyDescent="0.25">
      <c r="A5236" s="91"/>
      <c r="B5236" s="90"/>
      <c r="C5236" s="88"/>
      <c r="D5236" s="89"/>
      <c r="E5236" s="90"/>
      <c r="F5236" s="91"/>
      <c r="G5236" s="90"/>
      <c r="H5236" s="92"/>
      <c r="I5236" s="87"/>
      <c r="J5236" s="93"/>
      <c r="K5236" s="92"/>
      <c r="L5236" s="72" t="str">
        <f t="shared" si="82"/>
        <v/>
      </c>
      <c r="N5236" s="15"/>
    </row>
    <row r="5237" spans="1:14" s="14" customFormat="1" ht="18" x14ac:dyDescent="0.25">
      <c r="A5237" s="91"/>
      <c r="B5237" s="90"/>
      <c r="C5237" s="88"/>
      <c r="D5237" s="89"/>
      <c r="E5237" s="90"/>
      <c r="F5237" s="91"/>
      <c r="G5237" s="90"/>
      <c r="H5237" s="92"/>
      <c r="I5237" s="87"/>
      <c r="J5237" s="93"/>
      <c r="K5237" s="92"/>
      <c r="L5237" s="72" t="str">
        <f t="shared" si="82"/>
        <v/>
      </c>
      <c r="N5237" s="15"/>
    </row>
    <row r="5238" spans="1:14" s="14" customFormat="1" ht="18" x14ac:dyDescent="0.25">
      <c r="A5238" s="91"/>
      <c r="B5238" s="90"/>
      <c r="C5238" s="88"/>
      <c r="D5238" s="89"/>
      <c r="E5238" s="90"/>
      <c r="F5238" s="91"/>
      <c r="G5238" s="90"/>
      <c r="H5238" s="92"/>
      <c r="I5238" s="87"/>
      <c r="J5238" s="93"/>
      <c r="K5238" s="92"/>
      <c r="L5238" s="72" t="str">
        <f t="shared" si="82"/>
        <v/>
      </c>
      <c r="N5238" s="15"/>
    </row>
    <row r="5239" spans="1:14" s="14" customFormat="1" ht="18" x14ac:dyDescent="0.25">
      <c r="A5239" s="91"/>
      <c r="B5239" s="90"/>
      <c r="C5239" s="88"/>
      <c r="D5239" s="89"/>
      <c r="E5239" s="90"/>
      <c r="F5239" s="91"/>
      <c r="G5239" s="90"/>
      <c r="H5239" s="92"/>
      <c r="I5239" s="87"/>
      <c r="J5239" s="93"/>
      <c r="K5239" s="92"/>
      <c r="L5239" s="72" t="str">
        <f t="shared" si="82"/>
        <v/>
      </c>
      <c r="N5239" s="15"/>
    </row>
    <row r="5240" spans="1:14" s="14" customFormat="1" ht="18" x14ac:dyDescent="0.25">
      <c r="A5240" s="91"/>
      <c r="B5240" s="90"/>
      <c r="C5240" s="88"/>
      <c r="D5240" s="89"/>
      <c r="E5240" s="90"/>
      <c r="F5240" s="91"/>
      <c r="G5240" s="90"/>
      <c r="H5240" s="92"/>
      <c r="I5240" s="87"/>
      <c r="J5240" s="93"/>
      <c r="K5240" s="92"/>
      <c r="L5240" s="72" t="str">
        <f t="shared" si="82"/>
        <v/>
      </c>
      <c r="N5240" s="15"/>
    </row>
    <row r="5241" spans="1:14" s="14" customFormat="1" ht="18" x14ac:dyDescent="0.25">
      <c r="A5241" s="91"/>
      <c r="B5241" s="90"/>
      <c r="C5241" s="88"/>
      <c r="D5241" s="89"/>
      <c r="E5241" s="90"/>
      <c r="F5241" s="91"/>
      <c r="G5241" s="90"/>
      <c r="H5241" s="92"/>
      <c r="I5241" s="87"/>
      <c r="J5241" s="93"/>
      <c r="K5241" s="92"/>
      <c r="L5241" s="72" t="str">
        <f t="shared" si="82"/>
        <v/>
      </c>
      <c r="N5241" s="15"/>
    </row>
    <row r="5242" spans="1:14" s="14" customFormat="1" ht="18" x14ac:dyDescent="0.25">
      <c r="A5242" s="91"/>
      <c r="B5242" s="90"/>
      <c r="C5242" s="88"/>
      <c r="D5242" s="89"/>
      <c r="E5242" s="90"/>
      <c r="F5242" s="91"/>
      <c r="G5242" s="90"/>
      <c r="H5242" s="92"/>
      <c r="I5242" s="87"/>
      <c r="J5242" s="93"/>
      <c r="K5242" s="92"/>
      <c r="L5242" s="72" t="str">
        <f t="shared" si="82"/>
        <v/>
      </c>
      <c r="N5242" s="15"/>
    </row>
    <row r="5243" spans="1:14" s="14" customFormat="1" ht="18" x14ac:dyDescent="0.25">
      <c r="A5243" s="91"/>
      <c r="B5243" s="90"/>
      <c r="C5243" s="88"/>
      <c r="D5243" s="89"/>
      <c r="E5243" s="90"/>
      <c r="F5243" s="91"/>
      <c r="G5243" s="90"/>
      <c r="H5243" s="92"/>
      <c r="I5243" s="87"/>
      <c r="J5243" s="93"/>
      <c r="K5243" s="92"/>
      <c r="L5243" s="72" t="str">
        <f t="shared" si="82"/>
        <v/>
      </c>
      <c r="N5243" s="15"/>
    </row>
    <row r="5244" spans="1:14" s="14" customFormat="1" ht="18" x14ac:dyDescent="0.25">
      <c r="A5244" s="91"/>
      <c r="B5244" s="90"/>
      <c r="C5244" s="88"/>
      <c r="D5244" s="89"/>
      <c r="E5244" s="90"/>
      <c r="F5244" s="91"/>
      <c r="G5244" s="90"/>
      <c r="H5244" s="92"/>
      <c r="I5244" s="87"/>
      <c r="J5244" s="93"/>
      <c r="K5244" s="92"/>
      <c r="L5244" s="72" t="str">
        <f t="shared" si="82"/>
        <v/>
      </c>
      <c r="N5244" s="15"/>
    </row>
    <row r="5245" spans="1:14" s="14" customFormat="1" ht="18" x14ac:dyDescent="0.25">
      <c r="A5245" s="91"/>
      <c r="B5245" s="90"/>
      <c r="C5245" s="88"/>
      <c r="D5245" s="89"/>
      <c r="E5245" s="90"/>
      <c r="F5245" s="91"/>
      <c r="G5245" s="90"/>
      <c r="H5245" s="92"/>
      <c r="I5245" s="87"/>
      <c r="J5245" s="93"/>
      <c r="K5245" s="92"/>
      <c r="L5245" s="72" t="str">
        <f t="shared" si="82"/>
        <v/>
      </c>
      <c r="N5245" s="15"/>
    </row>
    <row r="5246" spans="1:14" s="14" customFormat="1" ht="18" x14ac:dyDescent="0.25">
      <c r="A5246" s="91"/>
      <c r="B5246" s="90"/>
      <c r="C5246" s="88"/>
      <c r="D5246" s="89"/>
      <c r="E5246" s="90"/>
      <c r="F5246" s="91"/>
      <c r="G5246" s="90"/>
      <c r="H5246" s="92"/>
      <c r="I5246" s="87"/>
      <c r="J5246" s="93"/>
      <c r="K5246" s="92"/>
      <c r="L5246" s="72" t="str">
        <f t="shared" si="82"/>
        <v/>
      </c>
      <c r="N5246" s="15"/>
    </row>
    <row r="5247" spans="1:14" s="14" customFormat="1" ht="18" x14ac:dyDescent="0.25">
      <c r="A5247" s="91"/>
      <c r="B5247" s="90"/>
      <c r="C5247" s="88"/>
      <c r="D5247" s="89"/>
      <c r="E5247" s="90"/>
      <c r="F5247" s="91"/>
      <c r="G5247" s="90"/>
      <c r="H5247" s="92"/>
      <c r="I5247" s="87"/>
      <c r="J5247" s="93"/>
      <c r="K5247" s="92"/>
      <c r="L5247" s="72" t="str">
        <f t="shared" si="82"/>
        <v/>
      </c>
      <c r="N5247" s="15"/>
    </row>
    <row r="5248" spans="1:14" s="14" customFormat="1" ht="18" x14ac:dyDescent="0.25">
      <c r="A5248" s="91"/>
      <c r="B5248" s="90"/>
      <c r="C5248" s="88"/>
      <c r="D5248" s="89"/>
      <c r="E5248" s="90"/>
      <c r="F5248" s="91"/>
      <c r="G5248" s="90"/>
      <c r="H5248" s="92"/>
      <c r="I5248" s="87"/>
      <c r="J5248" s="93"/>
      <c r="K5248" s="92"/>
      <c r="L5248" s="72" t="str">
        <f t="shared" si="82"/>
        <v/>
      </c>
      <c r="N5248" s="15"/>
    </row>
    <row r="5249" spans="1:14" s="14" customFormat="1" ht="18" x14ac:dyDescent="0.25">
      <c r="A5249" s="91"/>
      <c r="B5249" s="90"/>
      <c r="C5249" s="88"/>
      <c r="D5249" s="89"/>
      <c r="E5249" s="90"/>
      <c r="F5249" s="91"/>
      <c r="G5249" s="90"/>
      <c r="H5249" s="92"/>
      <c r="I5249" s="87"/>
      <c r="J5249" s="93"/>
      <c r="K5249" s="92"/>
      <c r="L5249" s="72" t="str">
        <f t="shared" si="82"/>
        <v/>
      </c>
      <c r="N5249" s="15"/>
    </row>
    <row r="5250" spans="1:14" s="14" customFormat="1" ht="18" x14ac:dyDescent="0.25">
      <c r="A5250" s="91"/>
      <c r="B5250" s="90"/>
      <c r="C5250" s="88"/>
      <c r="D5250" s="89"/>
      <c r="E5250" s="90"/>
      <c r="F5250" s="91"/>
      <c r="G5250" s="90"/>
      <c r="H5250" s="92"/>
      <c r="I5250" s="87"/>
      <c r="J5250" s="93"/>
      <c r="K5250" s="92"/>
      <c r="L5250" s="72" t="str">
        <f t="shared" si="82"/>
        <v/>
      </c>
      <c r="N5250" s="15"/>
    </row>
    <row r="5251" spans="1:14" s="14" customFormat="1" ht="18" x14ac:dyDescent="0.25">
      <c r="A5251" s="91"/>
      <c r="B5251" s="90"/>
      <c r="C5251" s="88"/>
      <c r="D5251" s="89"/>
      <c r="E5251" s="90"/>
      <c r="F5251" s="91"/>
      <c r="G5251" s="90"/>
      <c r="H5251" s="92"/>
      <c r="I5251" s="87"/>
      <c r="J5251" s="93"/>
      <c r="K5251" s="92"/>
      <c r="L5251" s="72" t="str">
        <f t="shared" si="82"/>
        <v/>
      </c>
      <c r="N5251" s="15"/>
    </row>
    <row r="5252" spans="1:14" s="14" customFormat="1" ht="18" x14ac:dyDescent="0.25">
      <c r="A5252" s="91"/>
      <c r="B5252" s="90"/>
      <c r="C5252" s="88"/>
      <c r="D5252" s="89"/>
      <c r="E5252" s="90"/>
      <c r="F5252" s="91"/>
      <c r="G5252" s="90"/>
      <c r="H5252" s="92"/>
      <c r="I5252" s="87"/>
      <c r="J5252" s="93"/>
      <c r="K5252" s="92"/>
      <c r="L5252" s="72" t="str">
        <f t="shared" si="82"/>
        <v/>
      </c>
      <c r="N5252" s="15"/>
    </row>
    <row r="5253" spans="1:14" s="14" customFormat="1" ht="18" x14ac:dyDescent="0.25">
      <c r="A5253" s="91"/>
      <c r="B5253" s="90"/>
      <c r="C5253" s="88"/>
      <c r="D5253" s="89"/>
      <c r="E5253" s="90"/>
      <c r="F5253" s="91"/>
      <c r="G5253" s="90"/>
      <c r="H5253" s="92"/>
      <c r="I5253" s="87"/>
      <c r="J5253" s="93"/>
      <c r="K5253" s="92"/>
      <c r="L5253" s="72" t="str">
        <f t="shared" si="82"/>
        <v/>
      </c>
      <c r="N5253" s="15"/>
    </row>
    <row r="5254" spans="1:14" s="14" customFormat="1" ht="18" x14ac:dyDescent="0.25">
      <c r="A5254" s="91"/>
      <c r="B5254" s="90"/>
      <c r="C5254" s="88"/>
      <c r="D5254" s="89"/>
      <c r="E5254" s="90"/>
      <c r="F5254" s="91"/>
      <c r="G5254" s="90"/>
      <c r="H5254" s="92"/>
      <c r="I5254" s="87"/>
      <c r="J5254" s="93"/>
      <c r="K5254" s="92"/>
      <c r="L5254" s="72" t="str">
        <f t="shared" si="82"/>
        <v/>
      </c>
      <c r="N5254" s="15"/>
    </row>
    <row r="5255" spans="1:14" s="14" customFormat="1" ht="18" x14ac:dyDescent="0.25">
      <c r="A5255" s="91"/>
      <c r="B5255" s="90"/>
      <c r="C5255" s="88"/>
      <c r="D5255" s="89"/>
      <c r="E5255" s="90"/>
      <c r="F5255" s="91"/>
      <c r="G5255" s="90"/>
      <c r="H5255" s="92"/>
      <c r="I5255" s="87"/>
      <c r="J5255" s="93"/>
      <c r="K5255" s="92"/>
      <c r="L5255" s="72" t="str">
        <f t="shared" si="82"/>
        <v/>
      </c>
      <c r="N5255" s="15"/>
    </row>
    <row r="5256" spans="1:14" s="14" customFormat="1" ht="18" x14ac:dyDescent="0.25">
      <c r="A5256" s="91"/>
      <c r="B5256" s="90"/>
      <c r="C5256" s="88"/>
      <c r="D5256" s="89"/>
      <c r="E5256" s="90"/>
      <c r="F5256" s="91"/>
      <c r="G5256" s="90"/>
      <c r="H5256" s="92"/>
      <c r="I5256" s="87"/>
      <c r="J5256" s="93"/>
      <c r="K5256" s="92"/>
      <c r="L5256" s="72" t="str">
        <f t="shared" si="82"/>
        <v/>
      </c>
      <c r="N5256" s="15"/>
    </row>
    <row r="5257" spans="1:14" s="14" customFormat="1" ht="18" x14ac:dyDescent="0.25">
      <c r="A5257" s="91"/>
      <c r="B5257" s="90"/>
      <c r="C5257" s="88"/>
      <c r="D5257" s="89"/>
      <c r="E5257" s="90"/>
      <c r="F5257" s="91"/>
      <c r="G5257" s="90"/>
      <c r="H5257" s="92"/>
      <c r="I5257" s="87"/>
      <c r="J5257" s="93"/>
      <c r="K5257" s="92"/>
      <c r="L5257" s="72" t="str">
        <f t="shared" si="82"/>
        <v/>
      </c>
      <c r="N5257" s="15"/>
    </row>
    <row r="5258" spans="1:14" s="14" customFormat="1" ht="18" x14ac:dyDescent="0.25">
      <c r="A5258" s="91"/>
      <c r="B5258" s="90"/>
      <c r="C5258" s="88"/>
      <c r="D5258" s="89"/>
      <c r="E5258" s="90"/>
      <c r="F5258" s="91"/>
      <c r="G5258" s="90"/>
      <c r="H5258" s="92"/>
      <c r="I5258" s="87"/>
      <c r="J5258" s="93"/>
      <c r="K5258" s="92"/>
      <c r="L5258" s="72" t="str">
        <f t="shared" si="82"/>
        <v/>
      </c>
      <c r="N5258" s="15"/>
    </row>
    <row r="5259" spans="1:14" s="14" customFormat="1" ht="18" x14ac:dyDescent="0.25">
      <c r="A5259" s="91"/>
      <c r="B5259" s="90"/>
      <c r="C5259" s="88"/>
      <c r="D5259" s="89"/>
      <c r="E5259" s="90"/>
      <c r="F5259" s="91"/>
      <c r="G5259" s="90"/>
      <c r="H5259" s="92"/>
      <c r="I5259" s="87"/>
      <c r="J5259" s="93"/>
      <c r="K5259" s="92"/>
      <c r="L5259" s="72" t="str">
        <f t="shared" si="82"/>
        <v/>
      </c>
      <c r="N5259" s="15"/>
    </row>
    <row r="5260" spans="1:14" s="14" customFormat="1" ht="18" x14ac:dyDescent="0.25">
      <c r="A5260" s="91"/>
      <c r="B5260" s="90"/>
      <c r="C5260" s="88"/>
      <c r="D5260" s="89"/>
      <c r="E5260" s="90"/>
      <c r="F5260" s="91"/>
      <c r="G5260" s="90"/>
      <c r="H5260" s="92"/>
      <c r="I5260" s="87"/>
      <c r="J5260" s="93"/>
      <c r="K5260" s="92"/>
      <c r="L5260" s="72" t="str">
        <f t="shared" si="82"/>
        <v/>
      </c>
      <c r="N5260" s="15"/>
    </row>
    <row r="5261" spans="1:14" s="14" customFormat="1" ht="18" x14ac:dyDescent="0.25">
      <c r="A5261" s="91"/>
      <c r="B5261" s="90"/>
      <c r="C5261" s="88"/>
      <c r="D5261" s="89"/>
      <c r="E5261" s="90"/>
      <c r="F5261" s="91"/>
      <c r="G5261" s="90"/>
      <c r="H5261" s="92"/>
      <c r="I5261" s="87"/>
      <c r="J5261" s="93"/>
      <c r="K5261" s="92"/>
      <c r="L5261" s="72" t="str">
        <f t="shared" si="82"/>
        <v/>
      </c>
      <c r="N5261" s="15"/>
    </row>
    <row r="5262" spans="1:14" s="14" customFormat="1" ht="18" x14ac:dyDescent="0.25">
      <c r="A5262" s="91"/>
      <c r="B5262" s="90"/>
      <c r="C5262" s="88"/>
      <c r="D5262" s="89"/>
      <c r="E5262" s="90"/>
      <c r="F5262" s="91"/>
      <c r="G5262" s="90"/>
      <c r="H5262" s="92"/>
      <c r="I5262" s="87"/>
      <c r="J5262" s="93"/>
      <c r="K5262" s="92"/>
      <c r="L5262" s="72" t="str">
        <f t="shared" si="82"/>
        <v/>
      </c>
      <c r="N5262" s="15"/>
    </row>
    <row r="5263" spans="1:14" s="14" customFormat="1" ht="18" x14ac:dyDescent="0.25">
      <c r="A5263" s="91"/>
      <c r="B5263" s="90"/>
      <c r="C5263" s="88"/>
      <c r="D5263" s="89"/>
      <c r="E5263" s="90"/>
      <c r="F5263" s="91"/>
      <c r="G5263" s="90"/>
      <c r="H5263" s="92"/>
      <c r="I5263" s="87"/>
      <c r="J5263" s="93"/>
      <c r="K5263" s="92"/>
      <c r="L5263" s="72" t="str">
        <f t="shared" si="82"/>
        <v/>
      </c>
      <c r="N5263" s="15"/>
    </row>
    <row r="5264" spans="1:14" s="14" customFormat="1" ht="18" x14ac:dyDescent="0.25">
      <c r="A5264" s="91"/>
      <c r="B5264" s="90"/>
      <c r="C5264" s="88"/>
      <c r="D5264" s="89"/>
      <c r="E5264" s="90"/>
      <c r="F5264" s="91"/>
      <c r="G5264" s="90"/>
      <c r="H5264" s="92"/>
      <c r="I5264" s="87"/>
      <c r="J5264" s="93"/>
      <c r="K5264" s="92"/>
      <c r="L5264" s="72" t="str">
        <f t="shared" si="82"/>
        <v/>
      </c>
      <c r="N5264" s="15"/>
    </row>
    <row r="5265" spans="1:14" s="14" customFormat="1" ht="18" x14ac:dyDescent="0.25">
      <c r="A5265" s="91"/>
      <c r="B5265" s="90"/>
      <c r="C5265" s="88"/>
      <c r="D5265" s="89"/>
      <c r="E5265" s="90"/>
      <c r="F5265" s="91"/>
      <c r="G5265" s="90"/>
      <c r="H5265" s="92"/>
      <c r="I5265" s="87"/>
      <c r="J5265" s="93"/>
      <c r="K5265" s="92"/>
      <c r="L5265" s="72" t="str">
        <f t="shared" si="82"/>
        <v/>
      </c>
      <c r="N5265" s="15"/>
    </row>
    <row r="5266" spans="1:14" s="14" customFormat="1" ht="18" x14ac:dyDescent="0.25">
      <c r="A5266" s="91"/>
      <c r="B5266" s="90"/>
      <c r="C5266" s="88"/>
      <c r="D5266" s="89"/>
      <c r="E5266" s="90"/>
      <c r="F5266" s="91"/>
      <c r="G5266" s="90"/>
      <c r="H5266" s="92"/>
      <c r="I5266" s="87"/>
      <c r="J5266" s="93"/>
      <c r="K5266" s="92"/>
      <c r="L5266" s="72" t="str">
        <f t="shared" si="82"/>
        <v/>
      </c>
      <c r="N5266" s="15"/>
    </row>
    <row r="5267" spans="1:14" s="14" customFormat="1" ht="18" x14ac:dyDescent="0.25">
      <c r="A5267" s="91"/>
      <c r="B5267" s="90"/>
      <c r="C5267" s="88"/>
      <c r="D5267" s="89"/>
      <c r="E5267" s="90"/>
      <c r="F5267" s="91"/>
      <c r="G5267" s="90"/>
      <c r="H5267" s="92"/>
      <c r="I5267" s="87"/>
      <c r="J5267" s="93"/>
      <c r="K5267" s="92"/>
      <c r="L5267" s="72" t="str">
        <f t="shared" si="82"/>
        <v/>
      </c>
      <c r="N5267" s="15"/>
    </row>
    <row r="5268" spans="1:14" s="14" customFormat="1" ht="18" x14ac:dyDescent="0.25">
      <c r="A5268" s="91"/>
      <c r="B5268" s="90"/>
      <c r="C5268" s="88"/>
      <c r="D5268" s="89"/>
      <c r="E5268" s="90"/>
      <c r="F5268" s="91"/>
      <c r="G5268" s="90"/>
      <c r="H5268" s="92"/>
      <c r="I5268" s="87"/>
      <c r="J5268" s="93"/>
      <c r="K5268" s="92"/>
      <c r="L5268" s="72" t="str">
        <f t="shared" si="82"/>
        <v/>
      </c>
      <c r="N5268" s="15"/>
    </row>
    <row r="5269" spans="1:14" s="14" customFormat="1" ht="18" x14ac:dyDescent="0.25">
      <c r="A5269" s="91"/>
      <c r="B5269" s="90"/>
      <c r="C5269" s="88"/>
      <c r="D5269" s="89"/>
      <c r="E5269" s="90"/>
      <c r="F5269" s="91"/>
      <c r="G5269" s="90"/>
      <c r="H5269" s="92"/>
      <c r="I5269" s="87"/>
      <c r="J5269" s="93"/>
      <c r="K5269" s="92"/>
      <c r="L5269" s="72" t="str">
        <f t="shared" si="82"/>
        <v/>
      </c>
      <c r="N5269" s="15"/>
    </row>
    <row r="5270" spans="1:14" s="14" customFormat="1" ht="18" x14ac:dyDescent="0.25">
      <c r="A5270" s="91"/>
      <c r="B5270" s="90"/>
      <c r="C5270" s="88"/>
      <c r="D5270" s="89"/>
      <c r="E5270" s="90"/>
      <c r="F5270" s="91"/>
      <c r="G5270" s="90"/>
      <c r="H5270" s="92"/>
      <c r="I5270" s="87"/>
      <c r="J5270" s="93"/>
      <c r="K5270" s="92"/>
      <c r="L5270" s="72" t="str">
        <f t="shared" si="82"/>
        <v/>
      </c>
      <c r="N5270" s="15"/>
    </row>
    <row r="5271" spans="1:14" s="14" customFormat="1" ht="18" x14ac:dyDescent="0.25">
      <c r="A5271" s="91"/>
      <c r="B5271" s="90"/>
      <c r="C5271" s="88"/>
      <c r="D5271" s="89"/>
      <c r="E5271" s="90"/>
      <c r="F5271" s="91"/>
      <c r="G5271" s="90"/>
      <c r="H5271" s="92"/>
      <c r="I5271" s="87"/>
      <c r="J5271" s="93"/>
      <c r="K5271" s="92"/>
      <c r="L5271" s="72" t="str">
        <f t="shared" si="82"/>
        <v/>
      </c>
      <c r="N5271" s="15"/>
    </row>
    <row r="5272" spans="1:14" s="14" customFormat="1" ht="18" x14ac:dyDescent="0.25">
      <c r="A5272" s="91"/>
      <c r="B5272" s="90"/>
      <c r="C5272" s="88"/>
      <c r="D5272" s="89"/>
      <c r="E5272" s="90"/>
      <c r="F5272" s="91"/>
      <c r="G5272" s="90"/>
      <c r="H5272" s="92"/>
      <c r="I5272" s="87"/>
      <c r="J5272" s="93"/>
      <c r="K5272" s="92"/>
      <c r="L5272" s="72" t="str">
        <f t="shared" si="82"/>
        <v/>
      </c>
      <c r="N5272" s="15"/>
    </row>
    <row r="5273" spans="1:14" s="14" customFormat="1" ht="18" x14ac:dyDescent="0.25">
      <c r="A5273" s="91"/>
      <c r="B5273" s="90"/>
      <c r="C5273" s="88"/>
      <c r="D5273" s="89"/>
      <c r="E5273" s="90"/>
      <c r="F5273" s="91"/>
      <c r="G5273" s="90"/>
      <c r="H5273" s="92"/>
      <c r="I5273" s="87"/>
      <c r="J5273" s="93"/>
      <c r="K5273" s="92"/>
      <c r="L5273" s="72" t="str">
        <f t="shared" si="82"/>
        <v/>
      </c>
      <c r="N5273" s="15"/>
    </row>
    <row r="5274" spans="1:14" s="14" customFormat="1" ht="18" x14ac:dyDescent="0.25">
      <c r="A5274" s="91"/>
      <c r="B5274" s="90"/>
      <c r="C5274" s="88"/>
      <c r="D5274" s="89"/>
      <c r="E5274" s="90"/>
      <c r="F5274" s="91"/>
      <c r="G5274" s="90"/>
      <c r="H5274" s="92"/>
      <c r="I5274" s="87"/>
      <c r="J5274" s="93"/>
      <c r="K5274" s="92"/>
      <c r="L5274" s="72" t="str">
        <f t="shared" si="82"/>
        <v/>
      </c>
      <c r="N5274" s="15"/>
    </row>
    <row r="5275" spans="1:14" s="14" customFormat="1" ht="18" x14ac:dyDescent="0.25">
      <c r="A5275" s="91"/>
      <c r="B5275" s="90"/>
      <c r="C5275" s="88"/>
      <c r="D5275" s="89"/>
      <c r="E5275" s="90"/>
      <c r="F5275" s="91"/>
      <c r="G5275" s="90"/>
      <c r="H5275" s="92"/>
      <c r="I5275" s="87"/>
      <c r="J5275" s="93"/>
      <c r="K5275" s="92"/>
      <c r="L5275" s="72" t="str">
        <f t="shared" si="82"/>
        <v/>
      </c>
      <c r="N5275" s="15"/>
    </row>
    <row r="5276" spans="1:14" s="14" customFormat="1" ht="18" x14ac:dyDescent="0.25">
      <c r="A5276" s="91"/>
      <c r="B5276" s="90"/>
      <c r="C5276" s="88"/>
      <c r="D5276" s="89"/>
      <c r="E5276" s="90"/>
      <c r="F5276" s="91"/>
      <c r="G5276" s="90"/>
      <c r="H5276" s="92"/>
      <c r="I5276" s="87"/>
      <c r="J5276" s="93"/>
      <c r="K5276" s="92"/>
      <c r="L5276" s="72" t="str">
        <f t="shared" si="82"/>
        <v/>
      </c>
      <c r="N5276" s="15"/>
    </row>
    <row r="5277" spans="1:14" s="14" customFormat="1" ht="18" x14ac:dyDescent="0.25">
      <c r="A5277" s="91"/>
      <c r="B5277" s="90"/>
      <c r="C5277" s="88"/>
      <c r="D5277" s="89"/>
      <c r="E5277" s="90"/>
      <c r="F5277" s="91"/>
      <c r="G5277" s="90"/>
      <c r="H5277" s="92"/>
      <c r="I5277" s="87"/>
      <c r="J5277" s="93"/>
      <c r="K5277" s="92"/>
      <c r="L5277" s="72" t="str">
        <f t="shared" si="82"/>
        <v/>
      </c>
      <c r="N5277" s="15"/>
    </row>
    <row r="5278" spans="1:14" s="14" customFormat="1" ht="18" x14ac:dyDescent="0.25">
      <c r="A5278" s="91"/>
      <c r="B5278" s="90"/>
      <c r="C5278" s="88"/>
      <c r="D5278" s="89"/>
      <c r="E5278" s="90"/>
      <c r="F5278" s="91"/>
      <c r="G5278" s="90"/>
      <c r="H5278" s="92"/>
      <c r="I5278" s="87"/>
      <c r="J5278" s="93"/>
      <c r="K5278" s="92"/>
      <c r="L5278" s="72" t="str">
        <f t="shared" ref="L5278:L5341" si="83">IF(ISBLANK(H5278),"",IF(H5278=K5278,"Payé","Impayé"))</f>
        <v/>
      </c>
      <c r="N5278" s="15"/>
    </row>
    <row r="5279" spans="1:14" s="14" customFormat="1" ht="18" x14ac:dyDescent="0.25">
      <c r="A5279" s="91"/>
      <c r="B5279" s="90"/>
      <c r="C5279" s="88"/>
      <c r="D5279" s="89"/>
      <c r="E5279" s="90"/>
      <c r="F5279" s="91"/>
      <c r="G5279" s="90"/>
      <c r="H5279" s="92"/>
      <c r="I5279" s="87"/>
      <c r="J5279" s="93"/>
      <c r="K5279" s="92"/>
      <c r="L5279" s="72" t="str">
        <f t="shared" si="83"/>
        <v/>
      </c>
      <c r="N5279" s="15"/>
    </row>
    <row r="5280" spans="1:14" s="14" customFormat="1" ht="18" x14ac:dyDescent="0.25">
      <c r="A5280" s="91"/>
      <c r="B5280" s="90"/>
      <c r="C5280" s="88"/>
      <c r="D5280" s="89"/>
      <c r="E5280" s="90"/>
      <c r="F5280" s="91"/>
      <c r="G5280" s="90"/>
      <c r="H5280" s="92"/>
      <c r="I5280" s="87"/>
      <c r="J5280" s="93"/>
      <c r="K5280" s="92"/>
      <c r="L5280" s="72" t="str">
        <f t="shared" si="83"/>
        <v/>
      </c>
      <c r="N5280" s="15"/>
    </row>
    <row r="5281" spans="1:14" s="14" customFormat="1" ht="18" x14ac:dyDescent="0.25">
      <c r="A5281" s="91"/>
      <c r="B5281" s="90"/>
      <c r="C5281" s="88"/>
      <c r="D5281" s="89"/>
      <c r="E5281" s="90"/>
      <c r="F5281" s="91"/>
      <c r="G5281" s="90"/>
      <c r="H5281" s="92"/>
      <c r="I5281" s="87"/>
      <c r="J5281" s="93"/>
      <c r="K5281" s="92"/>
      <c r="L5281" s="72" t="str">
        <f t="shared" si="83"/>
        <v/>
      </c>
      <c r="N5281" s="15"/>
    </row>
    <row r="5282" spans="1:14" s="14" customFormat="1" ht="18" x14ac:dyDescent="0.25">
      <c r="A5282" s="91"/>
      <c r="B5282" s="90"/>
      <c r="C5282" s="88"/>
      <c r="D5282" s="89"/>
      <c r="E5282" s="90"/>
      <c r="F5282" s="91"/>
      <c r="G5282" s="90"/>
      <c r="H5282" s="92"/>
      <c r="I5282" s="87"/>
      <c r="J5282" s="93"/>
      <c r="K5282" s="92"/>
      <c r="L5282" s="72" t="str">
        <f t="shared" si="83"/>
        <v/>
      </c>
      <c r="N5282" s="15"/>
    </row>
    <row r="5283" spans="1:14" s="14" customFormat="1" ht="18" x14ac:dyDescent="0.25">
      <c r="A5283" s="91"/>
      <c r="B5283" s="90"/>
      <c r="C5283" s="88"/>
      <c r="D5283" s="89"/>
      <c r="E5283" s="90"/>
      <c r="F5283" s="91"/>
      <c r="G5283" s="90"/>
      <c r="H5283" s="92"/>
      <c r="I5283" s="87"/>
      <c r="J5283" s="93"/>
      <c r="K5283" s="92"/>
      <c r="L5283" s="72" t="str">
        <f t="shared" si="83"/>
        <v/>
      </c>
      <c r="N5283" s="15"/>
    </row>
    <row r="5284" spans="1:14" s="14" customFormat="1" ht="18" x14ac:dyDescent="0.25">
      <c r="A5284" s="91"/>
      <c r="B5284" s="90"/>
      <c r="C5284" s="88"/>
      <c r="D5284" s="89"/>
      <c r="E5284" s="90"/>
      <c r="F5284" s="91"/>
      <c r="G5284" s="90"/>
      <c r="H5284" s="92"/>
      <c r="I5284" s="87"/>
      <c r="J5284" s="93"/>
      <c r="K5284" s="92"/>
      <c r="L5284" s="72" t="str">
        <f t="shared" si="83"/>
        <v/>
      </c>
      <c r="N5284" s="15"/>
    </row>
    <row r="5285" spans="1:14" s="14" customFormat="1" ht="18" x14ac:dyDescent="0.25">
      <c r="A5285" s="91"/>
      <c r="B5285" s="90"/>
      <c r="C5285" s="88"/>
      <c r="D5285" s="89"/>
      <c r="E5285" s="90"/>
      <c r="F5285" s="91"/>
      <c r="G5285" s="90"/>
      <c r="H5285" s="92"/>
      <c r="I5285" s="87"/>
      <c r="J5285" s="93"/>
      <c r="K5285" s="92"/>
      <c r="L5285" s="72" t="str">
        <f t="shared" si="83"/>
        <v/>
      </c>
      <c r="N5285" s="15"/>
    </row>
    <row r="5286" spans="1:14" s="14" customFormat="1" ht="18" x14ac:dyDescent="0.25">
      <c r="A5286" s="91"/>
      <c r="B5286" s="90"/>
      <c r="C5286" s="88"/>
      <c r="D5286" s="89"/>
      <c r="E5286" s="90"/>
      <c r="F5286" s="91"/>
      <c r="G5286" s="90"/>
      <c r="H5286" s="92"/>
      <c r="I5286" s="87"/>
      <c r="J5286" s="93"/>
      <c r="K5286" s="92"/>
      <c r="L5286" s="72" t="str">
        <f t="shared" si="83"/>
        <v/>
      </c>
      <c r="N5286" s="15"/>
    </row>
    <row r="5287" spans="1:14" s="14" customFormat="1" ht="18" x14ac:dyDescent="0.25">
      <c r="A5287" s="91"/>
      <c r="B5287" s="90"/>
      <c r="C5287" s="88"/>
      <c r="D5287" s="89"/>
      <c r="E5287" s="90"/>
      <c r="F5287" s="91"/>
      <c r="G5287" s="90"/>
      <c r="H5287" s="92"/>
      <c r="I5287" s="87"/>
      <c r="J5287" s="93"/>
      <c r="K5287" s="92"/>
      <c r="L5287" s="72" t="str">
        <f t="shared" si="83"/>
        <v/>
      </c>
      <c r="N5287" s="15"/>
    </row>
    <row r="5288" spans="1:14" s="14" customFormat="1" ht="18" x14ac:dyDescent="0.25">
      <c r="A5288" s="91"/>
      <c r="B5288" s="90"/>
      <c r="C5288" s="88"/>
      <c r="D5288" s="89"/>
      <c r="E5288" s="90"/>
      <c r="F5288" s="91"/>
      <c r="G5288" s="90"/>
      <c r="H5288" s="92"/>
      <c r="I5288" s="87"/>
      <c r="J5288" s="93"/>
      <c r="K5288" s="92"/>
      <c r="L5288" s="72" t="str">
        <f t="shared" si="83"/>
        <v/>
      </c>
      <c r="N5288" s="15"/>
    </row>
    <row r="5289" spans="1:14" s="14" customFormat="1" ht="18" x14ac:dyDescent="0.25">
      <c r="A5289" s="91"/>
      <c r="B5289" s="90"/>
      <c r="C5289" s="88"/>
      <c r="D5289" s="89"/>
      <c r="E5289" s="90"/>
      <c r="F5289" s="91"/>
      <c r="G5289" s="90"/>
      <c r="H5289" s="92"/>
      <c r="I5289" s="87"/>
      <c r="J5289" s="93"/>
      <c r="K5289" s="92"/>
      <c r="L5289" s="72" t="str">
        <f t="shared" si="83"/>
        <v/>
      </c>
      <c r="N5289" s="15"/>
    </row>
    <row r="5290" spans="1:14" s="14" customFormat="1" ht="18" x14ac:dyDescent="0.25">
      <c r="A5290" s="91"/>
      <c r="B5290" s="90"/>
      <c r="C5290" s="88"/>
      <c r="D5290" s="89"/>
      <c r="E5290" s="90"/>
      <c r="F5290" s="91"/>
      <c r="G5290" s="90"/>
      <c r="H5290" s="92"/>
      <c r="I5290" s="87"/>
      <c r="J5290" s="93"/>
      <c r="K5290" s="92"/>
      <c r="L5290" s="72" t="str">
        <f t="shared" si="83"/>
        <v/>
      </c>
      <c r="N5290" s="15"/>
    </row>
    <row r="5291" spans="1:14" s="14" customFormat="1" ht="18" x14ac:dyDescent="0.25">
      <c r="A5291" s="91"/>
      <c r="B5291" s="90"/>
      <c r="C5291" s="88"/>
      <c r="D5291" s="89"/>
      <c r="E5291" s="90"/>
      <c r="F5291" s="91"/>
      <c r="G5291" s="90"/>
      <c r="H5291" s="92"/>
      <c r="I5291" s="87"/>
      <c r="J5291" s="93"/>
      <c r="K5291" s="92"/>
      <c r="L5291" s="72" t="str">
        <f t="shared" si="83"/>
        <v/>
      </c>
      <c r="N5291" s="15"/>
    </row>
    <row r="5292" spans="1:14" s="14" customFormat="1" ht="18" x14ac:dyDescent="0.25">
      <c r="A5292" s="91"/>
      <c r="B5292" s="90"/>
      <c r="C5292" s="88"/>
      <c r="D5292" s="89"/>
      <c r="E5292" s="90"/>
      <c r="F5292" s="91"/>
      <c r="G5292" s="90"/>
      <c r="H5292" s="92"/>
      <c r="I5292" s="87"/>
      <c r="J5292" s="93"/>
      <c r="K5292" s="92"/>
      <c r="L5292" s="72" t="str">
        <f t="shared" si="83"/>
        <v/>
      </c>
      <c r="N5292" s="15"/>
    </row>
    <row r="5293" spans="1:14" s="14" customFormat="1" ht="18" x14ac:dyDescent="0.25">
      <c r="A5293" s="91"/>
      <c r="B5293" s="90"/>
      <c r="C5293" s="88"/>
      <c r="D5293" s="89"/>
      <c r="E5293" s="90"/>
      <c r="F5293" s="91"/>
      <c r="G5293" s="90"/>
      <c r="H5293" s="92"/>
      <c r="I5293" s="87"/>
      <c r="J5293" s="93"/>
      <c r="K5293" s="92"/>
      <c r="L5293" s="72" t="str">
        <f t="shared" si="83"/>
        <v/>
      </c>
      <c r="N5293" s="15"/>
    </row>
    <row r="5294" spans="1:14" s="14" customFormat="1" ht="18" x14ac:dyDescent="0.25">
      <c r="A5294" s="91"/>
      <c r="B5294" s="90"/>
      <c r="C5294" s="88"/>
      <c r="D5294" s="89"/>
      <c r="E5294" s="90"/>
      <c r="F5294" s="91"/>
      <c r="G5294" s="90"/>
      <c r="H5294" s="92"/>
      <c r="I5294" s="87"/>
      <c r="J5294" s="93"/>
      <c r="K5294" s="92"/>
      <c r="L5294" s="72" t="str">
        <f t="shared" si="83"/>
        <v/>
      </c>
      <c r="N5294" s="15"/>
    </row>
    <row r="5295" spans="1:14" s="14" customFormat="1" ht="18" x14ac:dyDescent="0.25">
      <c r="A5295" s="91"/>
      <c r="B5295" s="90"/>
      <c r="C5295" s="88"/>
      <c r="D5295" s="89"/>
      <c r="E5295" s="90"/>
      <c r="F5295" s="91"/>
      <c r="G5295" s="90"/>
      <c r="H5295" s="92"/>
      <c r="I5295" s="87"/>
      <c r="J5295" s="93"/>
      <c r="K5295" s="92"/>
      <c r="L5295" s="72" t="str">
        <f t="shared" si="83"/>
        <v/>
      </c>
      <c r="N5295" s="15"/>
    </row>
    <row r="5296" spans="1:14" s="14" customFormat="1" ht="18" x14ac:dyDescent="0.25">
      <c r="A5296" s="91"/>
      <c r="B5296" s="90"/>
      <c r="C5296" s="88"/>
      <c r="D5296" s="89"/>
      <c r="E5296" s="90"/>
      <c r="F5296" s="91"/>
      <c r="G5296" s="90"/>
      <c r="H5296" s="92"/>
      <c r="I5296" s="87"/>
      <c r="J5296" s="93"/>
      <c r="K5296" s="92"/>
      <c r="L5296" s="72" t="str">
        <f t="shared" si="83"/>
        <v/>
      </c>
      <c r="N5296" s="15"/>
    </row>
    <row r="5297" spans="1:14" s="14" customFormat="1" ht="18" x14ac:dyDescent="0.25">
      <c r="A5297" s="91"/>
      <c r="B5297" s="90"/>
      <c r="C5297" s="88"/>
      <c r="D5297" s="89"/>
      <c r="E5297" s="90"/>
      <c r="F5297" s="91"/>
      <c r="G5297" s="90"/>
      <c r="H5297" s="92"/>
      <c r="I5297" s="87"/>
      <c r="J5297" s="93"/>
      <c r="K5297" s="92"/>
      <c r="L5297" s="72" t="str">
        <f t="shared" si="83"/>
        <v/>
      </c>
      <c r="N5297" s="15"/>
    </row>
    <row r="5298" spans="1:14" s="14" customFormat="1" ht="18" x14ac:dyDescent="0.25">
      <c r="A5298" s="91"/>
      <c r="B5298" s="90"/>
      <c r="C5298" s="88"/>
      <c r="D5298" s="89"/>
      <c r="E5298" s="90"/>
      <c r="F5298" s="91"/>
      <c r="G5298" s="90"/>
      <c r="H5298" s="92"/>
      <c r="I5298" s="87"/>
      <c r="J5298" s="93"/>
      <c r="K5298" s="92"/>
      <c r="L5298" s="72" t="str">
        <f t="shared" si="83"/>
        <v/>
      </c>
      <c r="N5298" s="15"/>
    </row>
    <row r="5299" spans="1:14" s="14" customFormat="1" ht="18" x14ac:dyDescent="0.25">
      <c r="A5299" s="91"/>
      <c r="B5299" s="90"/>
      <c r="C5299" s="88"/>
      <c r="D5299" s="89"/>
      <c r="E5299" s="90"/>
      <c r="F5299" s="91"/>
      <c r="G5299" s="90"/>
      <c r="H5299" s="92"/>
      <c r="I5299" s="87"/>
      <c r="J5299" s="93"/>
      <c r="K5299" s="92"/>
      <c r="L5299" s="72" t="str">
        <f t="shared" si="83"/>
        <v/>
      </c>
      <c r="N5299" s="15"/>
    </row>
    <row r="5300" spans="1:14" s="14" customFormat="1" ht="18" x14ac:dyDescent="0.25">
      <c r="A5300" s="91"/>
      <c r="B5300" s="90"/>
      <c r="C5300" s="88"/>
      <c r="D5300" s="89"/>
      <c r="E5300" s="90"/>
      <c r="F5300" s="91"/>
      <c r="G5300" s="90"/>
      <c r="H5300" s="92"/>
      <c r="I5300" s="87"/>
      <c r="J5300" s="93"/>
      <c r="K5300" s="92"/>
      <c r="L5300" s="72" t="str">
        <f t="shared" si="83"/>
        <v/>
      </c>
      <c r="N5300" s="15"/>
    </row>
    <row r="5301" spans="1:14" s="14" customFormat="1" ht="18" x14ac:dyDescent="0.25">
      <c r="A5301" s="91"/>
      <c r="B5301" s="90"/>
      <c r="C5301" s="88"/>
      <c r="D5301" s="89"/>
      <c r="E5301" s="90"/>
      <c r="F5301" s="91"/>
      <c r="G5301" s="90"/>
      <c r="H5301" s="92"/>
      <c r="I5301" s="87"/>
      <c r="J5301" s="93"/>
      <c r="K5301" s="92"/>
      <c r="L5301" s="72" t="str">
        <f t="shared" si="83"/>
        <v/>
      </c>
      <c r="N5301" s="15"/>
    </row>
    <row r="5302" spans="1:14" s="14" customFormat="1" ht="18" x14ac:dyDescent="0.25">
      <c r="A5302" s="91"/>
      <c r="B5302" s="90"/>
      <c r="C5302" s="88"/>
      <c r="D5302" s="89"/>
      <c r="E5302" s="90"/>
      <c r="F5302" s="91"/>
      <c r="G5302" s="90"/>
      <c r="H5302" s="92"/>
      <c r="I5302" s="87"/>
      <c r="J5302" s="93"/>
      <c r="K5302" s="92"/>
      <c r="L5302" s="72" t="str">
        <f t="shared" si="83"/>
        <v/>
      </c>
      <c r="N5302" s="15"/>
    </row>
    <row r="5303" spans="1:14" s="14" customFormat="1" ht="18" x14ac:dyDescent="0.25">
      <c r="A5303" s="91"/>
      <c r="B5303" s="90"/>
      <c r="C5303" s="88"/>
      <c r="D5303" s="89"/>
      <c r="E5303" s="90"/>
      <c r="F5303" s="91"/>
      <c r="G5303" s="90"/>
      <c r="H5303" s="92"/>
      <c r="I5303" s="87"/>
      <c r="J5303" s="93"/>
      <c r="K5303" s="92"/>
      <c r="L5303" s="72" t="str">
        <f t="shared" si="83"/>
        <v/>
      </c>
      <c r="N5303" s="15"/>
    </row>
    <row r="5304" spans="1:14" s="14" customFormat="1" ht="18" x14ac:dyDescent="0.25">
      <c r="A5304" s="91"/>
      <c r="B5304" s="90"/>
      <c r="C5304" s="88"/>
      <c r="D5304" s="89"/>
      <c r="E5304" s="90"/>
      <c r="F5304" s="91"/>
      <c r="G5304" s="90"/>
      <c r="H5304" s="92"/>
      <c r="I5304" s="87"/>
      <c r="J5304" s="93"/>
      <c r="K5304" s="92"/>
      <c r="L5304" s="72" t="str">
        <f t="shared" si="83"/>
        <v/>
      </c>
      <c r="N5304" s="15"/>
    </row>
    <row r="5305" spans="1:14" s="14" customFormat="1" ht="18" x14ac:dyDescent="0.25">
      <c r="A5305" s="91"/>
      <c r="B5305" s="90"/>
      <c r="C5305" s="88"/>
      <c r="D5305" s="89"/>
      <c r="E5305" s="90"/>
      <c r="F5305" s="91"/>
      <c r="G5305" s="90"/>
      <c r="H5305" s="92"/>
      <c r="I5305" s="87"/>
      <c r="J5305" s="93"/>
      <c r="K5305" s="92"/>
      <c r="L5305" s="72" t="str">
        <f t="shared" si="83"/>
        <v/>
      </c>
      <c r="N5305" s="15"/>
    </row>
    <row r="5306" spans="1:14" s="14" customFormat="1" ht="18" x14ac:dyDescent="0.25">
      <c r="A5306" s="91"/>
      <c r="B5306" s="90"/>
      <c r="C5306" s="88"/>
      <c r="D5306" s="89"/>
      <c r="E5306" s="90"/>
      <c r="F5306" s="91"/>
      <c r="G5306" s="90"/>
      <c r="H5306" s="92"/>
      <c r="I5306" s="87"/>
      <c r="J5306" s="93"/>
      <c r="K5306" s="92"/>
      <c r="L5306" s="72" t="str">
        <f t="shared" si="83"/>
        <v/>
      </c>
      <c r="N5306" s="15"/>
    </row>
    <row r="5307" spans="1:14" s="14" customFormat="1" ht="18" x14ac:dyDescent="0.25">
      <c r="A5307" s="91"/>
      <c r="B5307" s="90"/>
      <c r="C5307" s="88"/>
      <c r="D5307" s="89"/>
      <c r="E5307" s="90"/>
      <c r="F5307" s="91"/>
      <c r="G5307" s="90"/>
      <c r="H5307" s="92"/>
      <c r="I5307" s="87"/>
      <c r="J5307" s="93"/>
      <c r="K5307" s="92"/>
      <c r="L5307" s="72" t="str">
        <f t="shared" si="83"/>
        <v/>
      </c>
      <c r="N5307" s="15"/>
    </row>
    <row r="5308" spans="1:14" s="14" customFormat="1" ht="18" x14ac:dyDescent="0.25">
      <c r="A5308" s="91"/>
      <c r="B5308" s="90"/>
      <c r="C5308" s="88"/>
      <c r="D5308" s="89"/>
      <c r="E5308" s="90"/>
      <c r="F5308" s="91"/>
      <c r="G5308" s="90"/>
      <c r="H5308" s="92"/>
      <c r="I5308" s="87"/>
      <c r="J5308" s="93"/>
      <c r="K5308" s="92"/>
      <c r="L5308" s="72" t="str">
        <f t="shared" si="83"/>
        <v/>
      </c>
      <c r="N5308" s="15"/>
    </row>
    <row r="5309" spans="1:14" s="14" customFormat="1" ht="18" x14ac:dyDescent="0.25">
      <c r="A5309" s="91"/>
      <c r="B5309" s="90"/>
      <c r="C5309" s="88"/>
      <c r="D5309" s="89"/>
      <c r="E5309" s="90"/>
      <c r="F5309" s="91"/>
      <c r="G5309" s="90"/>
      <c r="H5309" s="92"/>
      <c r="I5309" s="87"/>
      <c r="J5309" s="93"/>
      <c r="K5309" s="92"/>
      <c r="L5309" s="72" t="str">
        <f t="shared" si="83"/>
        <v/>
      </c>
      <c r="N5309" s="15"/>
    </row>
    <row r="5310" spans="1:14" s="14" customFormat="1" ht="18" x14ac:dyDescent="0.25">
      <c r="A5310" s="91"/>
      <c r="B5310" s="90"/>
      <c r="C5310" s="88"/>
      <c r="D5310" s="89"/>
      <c r="E5310" s="90"/>
      <c r="F5310" s="91"/>
      <c r="G5310" s="90"/>
      <c r="H5310" s="92"/>
      <c r="I5310" s="87"/>
      <c r="J5310" s="93"/>
      <c r="K5310" s="92"/>
      <c r="L5310" s="72" t="str">
        <f t="shared" si="83"/>
        <v/>
      </c>
      <c r="N5310" s="15"/>
    </row>
    <row r="5311" spans="1:14" s="14" customFormat="1" ht="18" x14ac:dyDescent="0.25">
      <c r="A5311" s="91"/>
      <c r="B5311" s="90"/>
      <c r="C5311" s="88"/>
      <c r="D5311" s="89"/>
      <c r="E5311" s="90"/>
      <c r="F5311" s="91"/>
      <c r="G5311" s="90"/>
      <c r="H5311" s="92"/>
      <c r="I5311" s="87"/>
      <c r="J5311" s="93"/>
      <c r="K5311" s="92"/>
      <c r="L5311" s="72" t="str">
        <f t="shared" si="83"/>
        <v/>
      </c>
      <c r="N5311" s="15"/>
    </row>
    <row r="5312" spans="1:14" s="14" customFormat="1" ht="18" x14ac:dyDescent="0.25">
      <c r="A5312" s="91"/>
      <c r="B5312" s="90"/>
      <c r="C5312" s="88"/>
      <c r="D5312" s="89"/>
      <c r="E5312" s="90"/>
      <c r="F5312" s="91"/>
      <c r="G5312" s="90"/>
      <c r="H5312" s="92"/>
      <c r="I5312" s="87"/>
      <c r="J5312" s="93"/>
      <c r="K5312" s="92"/>
      <c r="L5312" s="72" t="str">
        <f t="shared" si="83"/>
        <v/>
      </c>
      <c r="N5312" s="15"/>
    </row>
    <row r="5313" spans="1:14" s="14" customFormat="1" ht="18" x14ac:dyDescent="0.25">
      <c r="A5313" s="91"/>
      <c r="B5313" s="90"/>
      <c r="C5313" s="88"/>
      <c r="D5313" s="89"/>
      <c r="E5313" s="90"/>
      <c r="F5313" s="91"/>
      <c r="G5313" s="90"/>
      <c r="H5313" s="92"/>
      <c r="I5313" s="87"/>
      <c r="J5313" s="93"/>
      <c r="K5313" s="92"/>
      <c r="L5313" s="72" t="str">
        <f t="shared" si="83"/>
        <v/>
      </c>
      <c r="N5313" s="15"/>
    </row>
    <row r="5314" spans="1:14" s="14" customFormat="1" ht="18" x14ac:dyDescent="0.25">
      <c r="A5314" s="91"/>
      <c r="B5314" s="90"/>
      <c r="C5314" s="88"/>
      <c r="D5314" s="89"/>
      <c r="E5314" s="90"/>
      <c r="F5314" s="91"/>
      <c r="G5314" s="90"/>
      <c r="H5314" s="92"/>
      <c r="I5314" s="87"/>
      <c r="J5314" s="93"/>
      <c r="K5314" s="92"/>
      <c r="L5314" s="72" t="str">
        <f t="shared" si="83"/>
        <v/>
      </c>
      <c r="N5314" s="15"/>
    </row>
    <row r="5315" spans="1:14" s="14" customFormat="1" ht="18" x14ac:dyDescent="0.25">
      <c r="A5315" s="91"/>
      <c r="B5315" s="90"/>
      <c r="C5315" s="88"/>
      <c r="D5315" s="89"/>
      <c r="E5315" s="90"/>
      <c r="F5315" s="91"/>
      <c r="G5315" s="90"/>
      <c r="H5315" s="92"/>
      <c r="I5315" s="87"/>
      <c r="J5315" s="93"/>
      <c r="K5315" s="92"/>
      <c r="L5315" s="72" t="str">
        <f t="shared" si="83"/>
        <v/>
      </c>
      <c r="N5315" s="15"/>
    </row>
    <row r="5316" spans="1:14" s="14" customFormat="1" ht="18" x14ac:dyDescent="0.25">
      <c r="A5316" s="91"/>
      <c r="B5316" s="90"/>
      <c r="C5316" s="88"/>
      <c r="D5316" s="89"/>
      <c r="E5316" s="90"/>
      <c r="F5316" s="91"/>
      <c r="G5316" s="90"/>
      <c r="H5316" s="92"/>
      <c r="I5316" s="87"/>
      <c r="J5316" s="93"/>
      <c r="K5316" s="92"/>
      <c r="L5316" s="72" t="str">
        <f t="shared" si="83"/>
        <v/>
      </c>
      <c r="N5316" s="15"/>
    </row>
    <row r="5317" spans="1:14" s="14" customFormat="1" ht="18" x14ac:dyDescent="0.25">
      <c r="A5317" s="91"/>
      <c r="B5317" s="90"/>
      <c r="C5317" s="88"/>
      <c r="D5317" s="89"/>
      <c r="E5317" s="90"/>
      <c r="F5317" s="91"/>
      <c r="G5317" s="90"/>
      <c r="H5317" s="92"/>
      <c r="I5317" s="87"/>
      <c r="J5317" s="93"/>
      <c r="K5317" s="92"/>
      <c r="L5317" s="72" t="str">
        <f t="shared" si="83"/>
        <v/>
      </c>
      <c r="N5317" s="15"/>
    </row>
    <row r="5318" spans="1:14" s="14" customFormat="1" ht="18" x14ac:dyDescent="0.25">
      <c r="A5318" s="91"/>
      <c r="B5318" s="90"/>
      <c r="C5318" s="88"/>
      <c r="D5318" s="89"/>
      <c r="E5318" s="90"/>
      <c r="F5318" s="91"/>
      <c r="G5318" s="90"/>
      <c r="H5318" s="92"/>
      <c r="I5318" s="87"/>
      <c r="J5318" s="93"/>
      <c r="K5318" s="92"/>
      <c r="L5318" s="72" t="str">
        <f t="shared" si="83"/>
        <v/>
      </c>
      <c r="N5318" s="15"/>
    </row>
    <row r="5319" spans="1:14" s="14" customFormat="1" ht="18" x14ac:dyDescent="0.25">
      <c r="A5319" s="91"/>
      <c r="B5319" s="90"/>
      <c r="C5319" s="88"/>
      <c r="D5319" s="89"/>
      <c r="E5319" s="90"/>
      <c r="F5319" s="91"/>
      <c r="G5319" s="90"/>
      <c r="H5319" s="92"/>
      <c r="I5319" s="87"/>
      <c r="J5319" s="93"/>
      <c r="K5319" s="92"/>
      <c r="L5319" s="72" t="str">
        <f t="shared" si="83"/>
        <v/>
      </c>
      <c r="N5319" s="15"/>
    </row>
    <row r="5320" spans="1:14" s="14" customFormat="1" ht="18" x14ac:dyDescent="0.25">
      <c r="A5320" s="91"/>
      <c r="B5320" s="90"/>
      <c r="C5320" s="88"/>
      <c r="D5320" s="89"/>
      <c r="E5320" s="90"/>
      <c r="F5320" s="91"/>
      <c r="G5320" s="90"/>
      <c r="H5320" s="92"/>
      <c r="I5320" s="87"/>
      <c r="J5320" s="93"/>
      <c r="K5320" s="92"/>
      <c r="L5320" s="72" t="str">
        <f t="shared" si="83"/>
        <v/>
      </c>
      <c r="N5320" s="15"/>
    </row>
    <row r="5321" spans="1:14" s="14" customFormat="1" ht="18" x14ac:dyDescent="0.25">
      <c r="A5321" s="91"/>
      <c r="B5321" s="90"/>
      <c r="C5321" s="88"/>
      <c r="D5321" s="89"/>
      <c r="E5321" s="90"/>
      <c r="F5321" s="91"/>
      <c r="G5321" s="90"/>
      <c r="H5321" s="92"/>
      <c r="I5321" s="87"/>
      <c r="J5321" s="93"/>
      <c r="K5321" s="92"/>
      <c r="L5321" s="72" t="str">
        <f t="shared" si="83"/>
        <v/>
      </c>
      <c r="N5321" s="15"/>
    </row>
    <row r="5322" spans="1:14" s="14" customFormat="1" ht="18" x14ac:dyDescent="0.25">
      <c r="A5322" s="91"/>
      <c r="B5322" s="90"/>
      <c r="C5322" s="88"/>
      <c r="D5322" s="89"/>
      <c r="E5322" s="90"/>
      <c r="F5322" s="91"/>
      <c r="G5322" s="90"/>
      <c r="H5322" s="92"/>
      <c r="I5322" s="87"/>
      <c r="J5322" s="93"/>
      <c r="K5322" s="92"/>
      <c r="L5322" s="72" t="str">
        <f t="shared" si="83"/>
        <v/>
      </c>
      <c r="N5322" s="15"/>
    </row>
    <row r="5323" spans="1:14" s="14" customFormat="1" ht="18" x14ac:dyDescent="0.25">
      <c r="A5323" s="91"/>
      <c r="B5323" s="90"/>
      <c r="C5323" s="88"/>
      <c r="D5323" s="89"/>
      <c r="E5323" s="90"/>
      <c r="F5323" s="91"/>
      <c r="G5323" s="90"/>
      <c r="H5323" s="92"/>
      <c r="I5323" s="87"/>
      <c r="J5323" s="93"/>
      <c r="K5323" s="92"/>
      <c r="L5323" s="72" t="str">
        <f t="shared" si="83"/>
        <v/>
      </c>
      <c r="N5323" s="15"/>
    </row>
    <row r="5324" spans="1:14" s="14" customFormat="1" ht="18" x14ac:dyDescent="0.25">
      <c r="A5324" s="91"/>
      <c r="B5324" s="90"/>
      <c r="C5324" s="88"/>
      <c r="D5324" s="89"/>
      <c r="E5324" s="90"/>
      <c r="F5324" s="91"/>
      <c r="G5324" s="90"/>
      <c r="H5324" s="92"/>
      <c r="I5324" s="87"/>
      <c r="J5324" s="93"/>
      <c r="K5324" s="92"/>
      <c r="L5324" s="72" t="str">
        <f t="shared" si="83"/>
        <v/>
      </c>
      <c r="N5324" s="15"/>
    </row>
    <row r="5325" spans="1:14" s="14" customFormat="1" ht="18" x14ac:dyDescent="0.25">
      <c r="A5325" s="91"/>
      <c r="B5325" s="90"/>
      <c r="C5325" s="88"/>
      <c r="D5325" s="89"/>
      <c r="E5325" s="90"/>
      <c r="F5325" s="91"/>
      <c r="G5325" s="90"/>
      <c r="H5325" s="92"/>
      <c r="I5325" s="87"/>
      <c r="J5325" s="93"/>
      <c r="K5325" s="92"/>
      <c r="L5325" s="72" t="str">
        <f t="shared" si="83"/>
        <v/>
      </c>
      <c r="N5325" s="15"/>
    </row>
    <row r="5326" spans="1:14" s="14" customFormat="1" ht="18" x14ac:dyDescent="0.25">
      <c r="A5326" s="91"/>
      <c r="B5326" s="90"/>
      <c r="C5326" s="88"/>
      <c r="D5326" s="89"/>
      <c r="E5326" s="90"/>
      <c r="F5326" s="91"/>
      <c r="G5326" s="90"/>
      <c r="H5326" s="92"/>
      <c r="I5326" s="87"/>
      <c r="J5326" s="93"/>
      <c r="K5326" s="92"/>
      <c r="L5326" s="72" t="str">
        <f t="shared" si="83"/>
        <v/>
      </c>
      <c r="N5326" s="15"/>
    </row>
    <row r="5327" spans="1:14" s="14" customFormat="1" ht="18" x14ac:dyDescent="0.25">
      <c r="A5327" s="91"/>
      <c r="B5327" s="90"/>
      <c r="C5327" s="88"/>
      <c r="D5327" s="89"/>
      <c r="E5327" s="90"/>
      <c r="F5327" s="91"/>
      <c r="G5327" s="90"/>
      <c r="H5327" s="92"/>
      <c r="I5327" s="87"/>
      <c r="J5327" s="93"/>
      <c r="K5327" s="92"/>
      <c r="L5327" s="72" t="str">
        <f t="shared" si="83"/>
        <v/>
      </c>
      <c r="N5327" s="15"/>
    </row>
    <row r="5328" spans="1:14" s="14" customFormat="1" ht="18" x14ac:dyDescent="0.25">
      <c r="A5328" s="91"/>
      <c r="B5328" s="90"/>
      <c r="C5328" s="88"/>
      <c r="D5328" s="89"/>
      <c r="E5328" s="90"/>
      <c r="F5328" s="91"/>
      <c r="G5328" s="90"/>
      <c r="H5328" s="92"/>
      <c r="I5328" s="87"/>
      <c r="J5328" s="93"/>
      <c r="K5328" s="92"/>
      <c r="L5328" s="72" t="str">
        <f t="shared" si="83"/>
        <v/>
      </c>
      <c r="N5328" s="15"/>
    </row>
    <row r="5329" spans="1:14" s="14" customFormat="1" ht="18" x14ac:dyDescent="0.25">
      <c r="A5329" s="91"/>
      <c r="B5329" s="90"/>
      <c r="C5329" s="88"/>
      <c r="D5329" s="89"/>
      <c r="E5329" s="90"/>
      <c r="F5329" s="91"/>
      <c r="G5329" s="90"/>
      <c r="H5329" s="92"/>
      <c r="I5329" s="87"/>
      <c r="J5329" s="93"/>
      <c r="K5329" s="92"/>
      <c r="L5329" s="72" t="str">
        <f t="shared" si="83"/>
        <v/>
      </c>
      <c r="N5329" s="15"/>
    </row>
    <row r="5330" spans="1:14" s="14" customFormat="1" ht="18" x14ac:dyDescent="0.25">
      <c r="A5330" s="91"/>
      <c r="B5330" s="90"/>
      <c r="C5330" s="88"/>
      <c r="D5330" s="89"/>
      <c r="E5330" s="90"/>
      <c r="F5330" s="91"/>
      <c r="G5330" s="90"/>
      <c r="H5330" s="92"/>
      <c r="I5330" s="87"/>
      <c r="J5330" s="93"/>
      <c r="K5330" s="92"/>
      <c r="L5330" s="72" t="str">
        <f t="shared" si="83"/>
        <v/>
      </c>
      <c r="N5330" s="15"/>
    </row>
    <row r="5331" spans="1:14" s="14" customFormat="1" ht="18" x14ac:dyDescent="0.25">
      <c r="A5331" s="91"/>
      <c r="B5331" s="90"/>
      <c r="C5331" s="88"/>
      <c r="D5331" s="89"/>
      <c r="E5331" s="90"/>
      <c r="F5331" s="91"/>
      <c r="G5331" s="90"/>
      <c r="H5331" s="92"/>
      <c r="I5331" s="87"/>
      <c r="J5331" s="93"/>
      <c r="K5331" s="92"/>
      <c r="L5331" s="72" t="str">
        <f t="shared" si="83"/>
        <v/>
      </c>
      <c r="N5331" s="15"/>
    </row>
    <row r="5332" spans="1:14" s="14" customFormat="1" ht="18" x14ac:dyDescent="0.25">
      <c r="A5332" s="91"/>
      <c r="B5332" s="90"/>
      <c r="C5332" s="88"/>
      <c r="D5332" s="89"/>
      <c r="E5332" s="90"/>
      <c r="F5332" s="91"/>
      <c r="G5332" s="90"/>
      <c r="H5332" s="92"/>
      <c r="I5332" s="87"/>
      <c r="J5332" s="93"/>
      <c r="K5332" s="92"/>
      <c r="L5332" s="72" t="str">
        <f t="shared" si="83"/>
        <v/>
      </c>
      <c r="N5332" s="15"/>
    </row>
    <row r="5333" spans="1:14" s="14" customFormat="1" ht="18" x14ac:dyDescent="0.25">
      <c r="A5333" s="91"/>
      <c r="B5333" s="90"/>
      <c r="C5333" s="88"/>
      <c r="D5333" s="89"/>
      <c r="E5333" s="90"/>
      <c r="F5333" s="91"/>
      <c r="G5333" s="90"/>
      <c r="H5333" s="92"/>
      <c r="I5333" s="87"/>
      <c r="J5333" s="93"/>
      <c r="K5333" s="92"/>
      <c r="L5333" s="72" t="str">
        <f t="shared" si="83"/>
        <v/>
      </c>
      <c r="N5333" s="15"/>
    </row>
    <row r="5334" spans="1:14" s="14" customFormat="1" ht="18" x14ac:dyDescent="0.25">
      <c r="A5334" s="91"/>
      <c r="B5334" s="90"/>
      <c r="C5334" s="88"/>
      <c r="D5334" s="89"/>
      <c r="E5334" s="90"/>
      <c r="F5334" s="91"/>
      <c r="G5334" s="90"/>
      <c r="H5334" s="92"/>
      <c r="I5334" s="87"/>
      <c r="J5334" s="93"/>
      <c r="K5334" s="92"/>
      <c r="L5334" s="72" t="str">
        <f t="shared" si="83"/>
        <v/>
      </c>
      <c r="N5334" s="15"/>
    </row>
    <row r="5335" spans="1:14" s="14" customFormat="1" ht="18" x14ac:dyDescent="0.25">
      <c r="A5335" s="91"/>
      <c r="B5335" s="90"/>
      <c r="C5335" s="88"/>
      <c r="D5335" s="89"/>
      <c r="E5335" s="90"/>
      <c r="F5335" s="91"/>
      <c r="G5335" s="90"/>
      <c r="H5335" s="92"/>
      <c r="I5335" s="87"/>
      <c r="J5335" s="93"/>
      <c r="K5335" s="92"/>
      <c r="L5335" s="72" t="str">
        <f t="shared" si="83"/>
        <v/>
      </c>
      <c r="N5335" s="15"/>
    </row>
    <row r="5336" spans="1:14" s="14" customFormat="1" ht="18" x14ac:dyDescent="0.25">
      <c r="A5336" s="91"/>
      <c r="B5336" s="90"/>
      <c r="C5336" s="88"/>
      <c r="D5336" s="89"/>
      <c r="E5336" s="90"/>
      <c r="F5336" s="91"/>
      <c r="G5336" s="90"/>
      <c r="H5336" s="92"/>
      <c r="I5336" s="87"/>
      <c r="J5336" s="93"/>
      <c r="K5336" s="92"/>
      <c r="L5336" s="72" t="str">
        <f t="shared" si="83"/>
        <v/>
      </c>
      <c r="N5336" s="15"/>
    </row>
    <row r="5337" spans="1:14" s="14" customFormat="1" ht="18" x14ac:dyDescent="0.25">
      <c r="A5337" s="91"/>
      <c r="B5337" s="90"/>
      <c r="C5337" s="88"/>
      <c r="D5337" s="89"/>
      <c r="E5337" s="90"/>
      <c r="F5337" s="91"/>
      <c r="G5337" s="90"/>
      <c r="H5337" s="92"/>
      <c r="I5337" s="87"/>
      <c r="J5337" s="93"/>
      <c r="K5337" s="92"/>
      <c r="L5337" s="72" t="str">
        <f t="shared" si="83"/>
        <v/>
      </c>
      <c r="N5337" s="15"/>
    </row>
    <row r="5338" spans="1:14" s="14" customFormat="1" ht="18" x14ac:dyDescent="0.25">
      <c r="A5338" s="91"/>
      <c r="B5338" s="90"/>
      <c r="C5338" s="88"/>
      <c r="D5338" s="89"/>
      <c r="E5338" s="90"/>
      <c r="F5338" s="91"/>
      <c r="G5338" s="90"/>
      <c r="H5338" s="92"/>
      <c r="I5338" s="87"/>
      <c r="J5338" s="93"/>
      <c r="K5338" s="92"/>
      <c r="L5338" s="72" t="str">
        <f t="shared" si="83"/>
        <v/>
      </c>
      <c r="N5338" s="15"/>
    </row>
    <row r="5339" spans="1:14" s="14" customFormat="1" ht="18" x14ac:dyDescent="0.25">
      <c r="A5339" s="91"/>
      <c r="B5339" s="90"/>
      <c r="C5339" s="88"/>
      <c r="D5339" s="89"/>
      <c r="E5339" s="90"/>
      <c r="F5339" s="91"/>
      <c r="G5339" s="90"/>
      <c r="H5339" s="92"/>
      <c r="I5339" s="87"/>
      <c r="J5339" s="93"/>
      <c r="K5339" s="92"/>
      <c r="L5339" s="72" t="str">
        <f t="shared" si="83"/>
        <v/>
      </c>
      <c r="N5339" s="15"/>
    </row>
    <row r="5340" spans="1:14" s="14" customFormat="1" ht="18" x14ac:dyDescent="0.25">
      <c r="A5340" s="91"/>
      <c r="B5340" s="90"/>
      <c r="C5340" s="88"/>
      <c r="D5340" s="89"/>
      <c r="E5340" s="90"/>
      <c r="F5340" s="91"/>
      <c r="G5340" s="90"/>
      <c r="H5340" s="92"/>
      <c r="I5340" s="87"/>
      <c r="J5340" s="93"/>
      <c r="K5340" s="92"/>
      <c r="L5340" s="72" t="str">
        <f t="shared" si="83"/>
        <v/>
      </c>
      <c r="N5340" s="15"/>
    </row>
    <row r="5341" spans="1:14" s="14" customFormat="1" ht="18" x14ac:dyDescent="0.25">
      <c r="A5341" s="91"/>
      <c r="B5341" s="90"/>
      <c r="C5341" s="88"/>
      <c r="D5341" s="89"/>
      <c r="E5341" s="90"/>
      <c r="F5341" s="91"/>
      <c r="G5341" s="90"/>
      <c r="H5341" s="92"/>
      <c r="I5341" s="87"/>
      <c r="J5341" s="93"/>
      <c r="K5341" s="92"/>
      <c r="L5341" s="72" t="str">
        <f t="shared" si="83"/>
        <v/>
      </c>
      <c r="N5341" s="15"/>
    </row>
    <row r="5342" spans="1:14" s="14" customFormat="1" ht="18" x14ac:dyDescent="0.25">
      <c r="A5342" s="91"/>
      <c r="B5342" s="90"/>
      <c r="C5342" s="88"/>
      <c r="D5342" s="89"/>
      <c r="E5342" s="90"/>
      <c r="F5342" s="91"/>
      <c r="G5342" s="90"/>
      <c r="H5342" s="92"/>
      <c r="I5342" s="87"/>
      <c r="J5342" s="93"/>
      <c r="K5342" s="92"/>
      <c r="L5342" s="72" t="str">
        <f t="shared" ref="L5342:L5405" si="84">IF(ISBLANK(H5342),"",IF(H5342=K5342,"Payé","Impayé"))</f>
        <v/>
      </c>
      <c r="N5342" s="15"/>
    </row>
    <row r="5343" spans="1:14" s="14" customFormat="1" ht="18" x14ac:dyDescent="0.25">
      <c r="A5343" s="91"/>
      <c r="B5343" s="90"/>
      <c r="C5343" s="88"/>
      <c r="D5343" s="89"/>
      <c r="E5343" s="90"/>
      <c r="F5343" s="91"/>
      <c r="G5343" s="90"/>
      <c r="H5343" s="92"/>
      <c r="I5343" s="87"/>
      <c r="J5343" s="93"/>
      <c r="K5343" s="92"/>
      <c r="L5343" s="72" t="str">
        <f t="shared" si="84"/>
        <v/>
      </c>
      <c r="N5343" s="15"/>
    </row>
    <row r="5344" spans="1:14" s="14" customFormat="1" ht="18" x14ac:dyDescent="0.25">
      <c r="A5344" s="91"/>
      <c r="B5344" s="90"/>
      <c r="C5344" s="88"/>
      <c r="D5344" s="89"/>
      <c r="E5344" s="90"/>
      <c r="F5344" s="91"/>
      <c r="G5344" s="90"/>
      <c r="H5344" s="92"/>
      <c r="I5344" s="87"/>
      <c r="J5344" s="93"/>
      <c r="K5344" s="92"/>
      <c r="L5344" s="72" t="str">
        <f t="shared" si="84"/>
        <v/>
      </c>
      <c r="N5344" s="15"/>
    </row>
    <row r="5345" spans="1:14" s="14" customFormat="1" ht="18" x14ac:dyDescent="0.25">
      <c r="A5345" s="91"/>
      <c r="B5345" s="90"/>
      <c r="C5345" s="88"/>
      <c r="D5345" s="89"/>
      <c r="E5345" s="90"/>
      <c r="F5345" s="91"/>
      <c r="G5345" s="90"/>
      <c r="H5345" s="92"/>
      <c r="I5345" s="87"/>
      <c r="J5345" s="93"/>
      <c r="K5345" s="92"/>
      <c r="L5345" s="72" t="str">
        <f t="shared" si="84"/>
        <v/>
      </c>
      <c r="N5345" s="15"/>
    </row>
    <row r="5346" spans="1:14" s="14" customFormat="1" ht="18" x14ac:dyDescent="0.25">
      <c r="A5346" s="91"/>
      <c r="B5346" s="90"/>
      <c r="C5346" s="88"/>
      <c r="D5346" s="89"/>
      <c r="E5346" s="90"/>
      <c r="F5346" s="91"/>
      <c r="G5346" s="90"/>
      <c r="H5346" s="92"/>
      <c r="I5346" s="87"/>
      <c r="J5346" s="93"/>
      <c r="K5346" s="92"/>
      <c r="L5346" s="72" t="str">
        <f t="shared" si="84"/>
        <v/>
      </c>
      <c r="N5346" s="15"/>
    </row>
    <row r="5347" spans="1:14" s="14" customFormat="1" ht="18" x14ac:dyDescent="0.25">
      <c r="A5347" s="91"/>
      <c r="B5347" s="90"/>
      <c r="C5347" s="88"/>
      <c r="D5347" s="89"/>
      <c r="E5347" s="90"/>
      <c r="F5347" s="91"/>
      <c r="G5347" s="90"/>
      <c r="H5347" s="92"/>
      <c r="I5347" s="87"/>
      <c r="J5347" s="93"/>
      <c r="K5347" s="92"/>
      <c r="L5347" s="72" t="str">
        <f t="shared" si="84"/>
        <v/>
      </c>
      <c r="N5347" s="15"/>
    </row>
    <row r="5348" spans="1:14" s="14" customFormat="1" ht="18" x14ac:dyDescent="0.25">
      <c r="A5348" s="91"/>
      <c r="B5348" s="90"/>
      <c r="C5348" s="88"/>
      <c r="D5348" s="89"/>
      <c r="E5348" s="90"/>
      <c r="F5348" s="91"/>
      <c r="G5348" s="90"/>
      <c r="H5348" s="92"/>
      <c r="I5348" s="87"/>
      <c r="J5348" s="93"/>
      <c r="K5348" s="92"/>
      <c r="L5348" s="72" t="str">
        <f t="shared" si="84"/>
        <v/>
      </c>
      <c r="N5348" s="15"/>
    </row>
    <row r="5349" spans="1:14" s="14" customFormat="1" ht="18" x14ac:dyDescent="0.25">
      <c r="A5349" s="91"/>
      <c r="B5349" s="90"/>
      <c r="C5349" s="88"/>
      <c r="D5349" s="89"/>
      <c r="E5349" s="90"/>
      <c r="F5349" s="91"/>
      <c r="G5349" s="90"/>
      <c r="H5349" s="92"/>
      <c r="I5349" s="87"/>
      <c r="J5349" s="93"/>
      <c r="K5349" s="92"/>
      <c r="L5349" s="72" t="str">
        <f t="shared" si="84"/>
        <v/>
      </c>
      <c r="N5349" s="15"/>
    </row>
    <row r="5350" spans="1:14" s="14" customFormat="1" ht="18" x14ac:dyDescent="0.25">
      <c r="A5350" s="91"/>
      <c r="B5350" s="90"/>
      <c r="C5350" s="88"/>
      <c r="D5350" s="89"/>
      <c r="E5350" s="90"/>
      <c r="F5350" s="91"/>
      <c r="G5350" s="90"/>
      <c r="H5350" s="92"/>
      <c r="I5350" s="87"/>
      <c r="J5350" s="93"/>
      <c r="K5350" s="92"/>
      <c r="L5350" s="72" t="str">
        <f t="shared" si="84"/>
        <v/>
      </c>
      <c r="N5350" s="15"/>
    </row>
    <row r="5351" spans="1:14" s="14" customFormat="1" ht="18" x14ac:dyDescent="0.25">
      <c r="A5351" s="91"/>
      <c r="B5351" s="90"/>
      <c r="C5351" s="88"/>
      <c r="D5351" s="89"/>
      <c r="E5351" s="90"/>
      <c r="F5351" s="91"/>
      <c r="G5351" s="90"/>
      <c r="H5351" s="92"/>
      <c r="I5351" s="87"/>
      <c r="J5351" s="93"/>
      <c r="K5351" s="92"/>
      <c r="L5351" s="72" t="str">
        <f t="shared" si="84"/>
        <v/>
      </c>
      <c r="N5351" s="15"/>
    </row>
    <row r="5352" spans="1:14" s="14" customFormat="1" ht="18" x14ac:dyDescent="0.25">
      <c r="A5352" s="91"/>
      <c r="B5352" s="90"/>
      <c r="C5352" s="88"/>
      <c r="D5352" s="89"/>
      <c r="E5352" s="90"/>
      <c r="F5352" s="91"/>
      <c r="G5352" s="90"/>
      <c r="H5352" s="92"/>
      <c r="I5352" s="87"/>
      <c r="J5352" s="93"/>
      <c r="K5352" s="92"/>
      <c r="L5352" s="72" t="str">
        <f t="shared" si="84"/>
        <v/>
      </c>
      <c r="N5352" s="15"/>
    </row>
    <row r="5353" spans="1:14" s="14" customFormat="1" ht="18" x14ac:dyDescent="0.25">
      <c r="A5353" s="91"/>
      <c r="B5353" s="90"/>
      <c r="C5353" s="88"/>
      <c r="D5353" s="89"/>
      <c r="E5353" s="90"/>
      <c r="F5353" s="91"/>
      <c r="G5353" s="90"/>
      <c r="H5353" s="92"/>
      <c r="I5353" s="87"/>
      <c r="J5353" s="93"/>
      <c r="K5353" s="92"/>
      <c r="L5353" s="72" t="str">
        <f t="shared" si="84"/>
        <v/>
      </c>
      <c r="N5353" s="15"/>
    </row>
    <row r="5354" spans="1:14" s="14" customFormat="1" ht="18" x14ac:dyDescent="0.25">
      <c r="A5354" s="91"/>
      <c r="B5354" s="90"/>
      <c r="C5354" s="88"/>
      <c r="D5354" s="89"/>
      <c r="E5354" s="90"/>
      <c r="F5354" s="91"/>
      <c r="G5354" s="90"/>
      <c r="H5354" s="92"/>
      <c r="I5354" s="87"/>
      <c r="J5354" s="93"/>
      <c r="K5354" s="92"/>
      <c r="L5354" s="72" t="str">
        <f t="shared" si="84"/>
        <v/>
      </c>
      <c r="N5354" s="15"/>
    </row>
    <row r="5355" spans="1:14" s="14" customFormat="1" ht="18" x14ac:dyDescent="0.25">
      <c r="A5355" s="91"/>
      <c r="B5355" s="90"/>
      <c r="C5355" s="88"/>
      <c r="D5355" s="89"/>
      <c r="E5355" s="90"/>
      <c r="F5355" s="91"/>
      <c r="G5355" s="90"/>
      <c r="H5355" s="92"/>
      <c r="I5355" s="87"/>
      <c r="J5355" s="93"/>
      <c r="K5355" s="92"/>
      <c r="L5355" s="72" t="str">
        <f t="shared" si="84"/>
        <v/>
      </c>
      <c r="N5355" s="15"/>
    </row>
    <row r="5356" spans="1:14" s="14" customFormat="1" ht="18" x14ac:dyDescent="0.25">
      <c r="A5356" s="91"/>
      <c r="B5356" s="90"/>
      <c r="C5356" s="88"/>
      <c r="D5356" s="89"/>
      <c r="E5356" s="90"/>
      <c r="F5356" s="91"/>
      <c r="G5356" s="90"/>
      <c r="H5356" s="92"/>
      <c r="I5356" s="87"/>
      <c r="J5356" s="93"/>
      <c r="K5356" s="92"/>
      <c r="L5356" s="72" t="str">
        <f t="shared" si="84"/>
        <v/>
      </c>
      <c r="N5356" s="15"/>
    </row>
    <row r="5357" spans="1:14" s="14" customFormat="1" ht="18" x14ac:dyDescent="0.25">
      <c r="A5357" s="91"/>
      <c r="B5357" s="90"/>
      <c r="C5357" s="88"/>
      <c r="D5357" s="89"/>
      <c r="E5357" s="90"/>
      <c r="F5357" s="91"/>
      <c r="G5357" s="90"/>
      <c r="H5357" s="92"/>
      <c r="I5357" s="87"/>
      <c r="J5357" s="93"/>
      <c r="K5357" s="92"/>
      <c r="L5357" s="72" t="str">
        <f t="shared" si="84"/>
        <v/>
      </c>
      <c r="N5357" s="15"/>
    </row>
    <row r="5358" spans="1:14" s="14" customFormat="1" ht="18" x14ac:dyDescent="0.25">
      <c r="A5358" s="91"/>
      <c r="B5358" s="90"/>
      <c r="C5358" s="88"/>
      <c r="D5358" s="89"/>
      <c r="E5358" s="90"/>
      <c r="F5358" s="91"/>
      <c r="G5358" s="90"/>
      <c r="H5358" s="92"/>
      <c r="I5358" s="87"/>
      <c r="J5358" s="93"/>
      <c r="K5358" s="92"/>
      <c r="L5358" s="72" t="str">
        <f t="shared" si="84"/>
        <v/>
      </c>
      <c r="N5358" s="15"/>
    </row>
    <row r="5359" spans="1:14" s="14" customFormat="1" ht="18" x14ac:dyDescent="0.25">
      <c r="A5359" s="91"/>
      <c r="B5359" s="90"/>
      <c r="C5359" s="88"/>
      <c r="D5359" s="89"/>
      <c r="E5359" s="90"/>
      <c r="F5359" s="91"/>
      <c r="G5359" s="90"/>
      <c r="H5359" s="92"/>
      <c r="I5359" s="87"/>
      <c r="J5359" s="93"/>
      <c r="K5359" s="92"/>
      <c r="L5359" s="72" t="str">
        <f t="shared" si="84"/>
        <v/>
      </c>
      <c r="N5359" s="15"/>
    </row>
    <row r="5360" spans="1:14" s="14" customFormat="1" ht="18" x14ac:dyDescent="0.25">
      <c r="A5360" s="91"/>
      <c r="B5360" s="90"/>
      <c r="C5360" s="88"/>
      <c r="D5360" s="89"/>
      <c r="E5360" s="90"/>
      <c r="F5360" s="91"/>
      <c r="G5360" s="90"/>
      <c r="H5360" s="92"/>
      <c r="I5360" s="87"/>
      <c r="J5360" s="93"/>
      <c r="K5360" s="92"/>
      <c r="L5360" s="72" t="str">
        <f t="shared" si="84"/>
        <v/>
      </c>
      <c r="N5360" s="15"/>
    </row>
    <row r="5361" spans="1:14" s="14" customFormat="1" ht="18" x14ac:dyDescent="0.25">
      <c r="A5361" s="91"/>
      <c r="B5361" s="90"/>
      <c r="C5361" s="88"/>
      <c r="D5361" s="89"/>
      <c r="E5361" s="90"/>
      <c r="F5361" s="91"/>
      <c r="G5361" s="90"/>
      <c r="H5361" s="92"/>
      <c r="I5361" s="87"/>
      <c r="J5361" s="93"/>
      <c r="K5361" s="92"/>
      <c r="L5361" s="72" t="str">
        <f t="shared" si="84"/>
        <v/>
      </c>
      <c r="N5361" s="15"/>
    </row>
    <row r="5362" spans="1:14" s="14" customFormat="1" ht="18" x14ac:dyDescent="0.25">
      <c r="A5362" s="91"/>
      <c r="B5362" s="90"/>
      <c r="C5362" s="88"/>
      <c r="D5362" s="89"/>
      <c r="E5362" s="90"/>
      <c r="F5362" s="91"/>
      <c r="G5362" s="90"/>
      <c r="H5362" s="92"/>
      <c r="I5362" s="87"/>
      <c r="J5362" s="93"/>
      <c r="K5362" s="92"/>
      <c r="L5362" s="72" t="str">
        <f t="shared" si="84"/>
        <v/>
      </c>
      <c r="N5362" s="15"/>
    </row>
    <row r="5363" spans="1:14" s="14" customFormat="1" ht="18" x14ac:dyDescent="0.25">
      <c r="A5363" s="91"/>
      <c r="B5363" s="90"/>
      <c r="C5363" s="88"/>
      <c r="D5363" s="89"/>
      <c r="E5363" s="90"/>
      <c r="F5363" s="91"/>
      <c r="G5363" s="90"/>
      <c r="H5363" s="92"/>
      <c r="I5363" s="87"/>
      <c r="J5363" s="93"/>
      <c r="K5363" s="92"/>
      <c r="L5363" s="72" t="str">
        <f t="shared" si="84"/>
        <v/>
      </c>
      <c r="N5363" s="15"/>
    </row>
    <row r="5364" spans="1:14" s="14" customFormat="1" ht="18" x14ac:dyDescent="0.25">
      <c r="A5364" s="91"/>
      <c r="B5364" s="90"/>
      <c r="C5364" s="88"/>
      <c r="D5364" s="89"/>
      <c r="E5364" s="90"/>
      <c r="F5364" s="91"/>
      <c r="G5364" s="90"/>
      <c r="H5364" s="92"/>
      <c r="I5364" s="87"/>
      <c r="J5364" s="93"/>
      <c r="K5364" s="92"/>
      <c r="L5364" s="72" t="str">
        <f t="shared" si="84"/>
        <v/>
      </c>
      <c r="N5364" s="15"/>
    </row>
    <row r="5365" spans="1:14" s="14" customFormat="1" ht="18" x14ac:dyDescent="0.25">
      <c r="A5365" s="91"/>
      <c r="B5365" s="90"/>
      <c r="C5365" s="88"/>
      <c r="D5365" s="89"/>
      <c r="E5365" s="90"/>
      <c r="F5365" s="91"/>
      <c r="G5365" s="90"/>
      <c r="H5365" s="92"/>
      <c r="I5365" s="87"/>
      <c r="J5365" s="93"/>
      <c r="K5365" s="92"/>
      <c r="L5365" s="72" t="str">
        <f t="shared" si="84"/>
        <v/>
      </c>
      <c r="N5365" s="15"/>
    </row>
    <row r="5366" spans="1:14" s="14" customFormat="1" ht="18" x14ac:dyDescent="0.25">
      <c r="A5366" s="91"/>
      <c r="B5366" s="90"/>
      <c r="C5366" s="88"/>
      <c r="D5366" s="89"/>
      <c r="E5366" s="90"/>
      <c r="F5366" s="91"/>
      <c r="G5366" s="90"/>
      <c r="H5366" s="92"/>
      <c r="I5366" s="87"/>
      <c r="J5366" s="93"/>
      <c r="K5366" s="92"/>
      <c r="L5366" s="72" t="str">
        <f t="shared" si="84"/>
        <v/>
      </c>
      <c r="N5366" s="15"/>
    </row>
    <row r="5367" spans="1:14" s="14" customFormat="1" ht="18" x14ac:dyDescent="0.25">
      <c r="A5367" s="91"/>
      <c r="B5367" s="90"/>
      <c r="C5367" s="88"/>
      <c r="D5367" s="89"/>
      <c r="E5367" s="90"/>
      <c r="F5367" s="91"/>
      <c r="G5367" s="90"/>
      <c r="H5367" s="92"/>
      <c r="I5367" s="87"/>
      <c r="J5367" s="93"/>
      <c r="K5367" s="92"/>
      <c r="L5367" s="72" t="str">
        <f t="shared" si="84"/>
        <v/>
      </c>
      <c r="N5367" s="15"/>
    </row>
    <row r="5368" spans="1:14" s="14" customFormat="1" ht="18" x14ac:dyDescent="0.25">
      <c r="A5368" s="91"/>
      <c r="B5368" s="90"/>
      <c r="C5368" s="88"/>
      <c r="D5368" s="89"/>
      <c r="E5368" s="90"/>
      <c r="F5368" s="91"/>
      <c r="G5368" s="90"/>
      <c r="H5368" s="92"/>
      <c r="I5368" s="87"/>
      <c r="J5368" s="93"/>
      <c r="K5368" s="92"/>
      <c r="L5368" s="72" t="str">
        <f t="shared" si="84"/>
        <v/>
      </c>
      <c r="N5368" s="15"/>
    </row>
    <row r="5369" spans="1:14" s="14" customFormat="1" ht="18" x14ac:dyDescent="0.25">
      <c r="A5369" s="91"/>
      <c r="B5369" s="90"/>
      <c r="C5369" s="88"/>
      <c r="D5369" s="89"/>
      <c r="E5369" s="90"/>
      <c r="F5369" s="91"/>
      <c r="G5369" s="90"/>
      <c r="H5369" s="92"/>
      <c r="I5369" s="87"/>
      <c r="J5369" s="93"/>
      <c r="K5369" s="92"/>
      <c r="L5369" s="72" t="str">
        <f t="shared" si="84"/>
        <v/>
      </c>
      <c r="N5369" s="15"/>
    </row>
    <row r="5370" spans="1:14" s="14" customFormat="1" ht="18" x14ac:dyDescent="0.25">
      <c r="A5370" s="91"/>
      <c r="B5370" s="90"/>
      <c r="C5370" s="88"/>
      <c r="D5370" s="89"/>
      <c r="E5370" s="90"/>
      <c r="F5370" s="91"/>
      <c r="G5370" s="90"/>
      <c r="H5370" s="92"/>
      <c r="I5370" s="87"/>
      <c r="J5370" s="93"/>
      <c r="K5370" s="92"/>
      <c r="L5370" s="72" t="str">
        <f t="shared" si="84"/>
        <v/>
      </c>
      <c r="N5370" s="15"/>
    </row>
    <row r="5371" spans="1:14" s="14" customFormat="1" ht="18" x14ac:dyDescent="0.25">
      <c r="A5371" s="91"/>
      <c r="B5371" s="90"/>
      <c r="C5371" s="88"/>
      <c r="D5371" s="89"/>
      <c r="E5371" s="90"/>
      <c r="F5371" s="91"/>
      <c r="G5371" s="90"/>
      <c r="H5371" s="92"/>
      <c r="I5371" s="87"/>
      <c r="J5371" s="93"/>
      <c r="K5371" s="92"/>
      <c r="L5371" s="72" t="str">
        <f t="shared" si="84"/>
        <v/>
      </c>
      <c r="N5371" s="15"/>
    </row>
    <row r="5372" spans="1:14" s="14" customFormat="1" ht="18" x14ac:dyDescent="0.25">
      <c r="A5372" s="91"/>
      <c r="B5372" s="90"/>
      <c r="C5372" s="88"/>
      <c r="D5372" s="89"/>
      <c r="E5372" s="90"/>
      <c r="F5372" s="91"/>
      <c r="G5372" s="90"/>
      <c r="H5372" s="92"/>
      <c r="I5372" s="87"/>
      <c r="J5372" s="93"/>
      <c r="K5372" s="92"/>
      <c r="L5372" s="72" t="str">
        <f t="shared" si="84"/>
        <v/>
      </c>
      <c r="N5372" s="15"/>
    </row>
    <row r="5373" spans="1:14" s="14" customFormat="1" ht="18" x14ac:dyDescent="0.25">
      <c r="A5373" s="91"/>
      <c r="B5373" s="90"/>
      <c r="C5373" s="88"/>
      <c r="D5373" s="89"/>
      <c r="E5373" s="90"/>
      <c r="F5373" s="91"/>
      <c r="G5373" s="90"/>
      <c r="H5373" s="92"/>
      <c r="I5373" s="87"/>
      <c r="J5373" s="93"/>
      <c r="K5373" s="92"/>
      <c r="L5373" s="72" t="str">
        <f t="shared" si="84"/>
        <v/>
      </c>
      <c r="N5373" s="15"/>
    </row>
    <row r="5374" spans="1:14" s="14" customFormat="1" ht="18" x14ac:dyDescent="0.25">
      <c r="A5374" s="91"/>
      <c r="B5374" s="90"/>
      <c r="C5374" s="88"/>
      <c r="D5374" s="89"/>
      <c r="E5374" s="90"/>
      <c r="F5374" s="91"/>
      <c r="G5374" s="90"/>
      <c r="H5374" s="92"/>
      <c r="I5374" s="87"/>
      <c r="J5374" s="93"/>
      <c r="K5374" s="92"/>
      <c r="L5374" s="72" t="str">
        <f t="shared" si="84"/>
        <v/>
      </c>
      <c r="N5374" s="15"/>
    </row>
    <row r="5375" spans="1:14" s="14" customFormat="1" ht="18" x14ac:dyDescent="0.25">
      <c r="A5375" s="91"/>
      <c r="B5375" s="90"/>
      <c r="C5375" s="88"/>
      <c r="D5375" s="89"/>
      <c r="E5375" s="90"/>
      <c r="F5375" s="91"/>
      <c r="G5375" s="90"/>
      <c r="H5375" s="92"/>
      <c r="I5375" s="87"/>
      <c r="J5375" s="93"/>
      <c r="K5375" s="92"/>
      <c r="L5375" s="72" t="str">
        <f t="shared" si="84"/>
        <v/>
      </c>
      <c r="N5375" s="15"/>
    </row>
    <row r="5376" spans="1:14" s="14" customFormat="1" ht="18" x14ac:dyDescent="0.25">
      <c r="A5376" s="91"/>
      <c r="B5376" s="90"/>
      <c r="C5376" s="88"/>
      <c r="D5376" s="89"/>
      <c r="E5376" s="90"/>
      <c r="F5376" s="91"/>
      <c r="G5376" s="90"/>
      <c r="H5376" s="92"/>
      <c r="I5376" s="87"/>
      <c r="J5376" s="93"/>
      <c r="K5376" s="92"/>
      <c r="L5376" s="72" t="str">
        <f t="shared" si="84"/>
        <v/>
      </c>
      <c r="N5376" s="15"/>
    </row>
    <row r="5377" spans="1:14" s="14" customFormat="1" ht="18" x14ac:dyDescent="0.25">
      <c r="A5377" s="91"/>
      <c r="B5377" s="90"/>
      <c r="C5377" s="88"/>
      <c r="D5377" s="89"/>
      <c r="E5377" s="90"/>
      <c r="F5377" s="91"/>
      <c r="G5377" s="90"/>
      <c r="H5377" s="92"/>
      <c r="I5377" s="87"/>
      <c r="J5377" s="93"/>
      <c r="K5377" s="92"/>
      <c r="L5377" s="72" t="str">
        <f t="shared" si="84"/>
        <v/>
      </c>
      <c r="N5377" s="15"/>
    </row>
    <row r="5378" spans="1:14" s="14" customFormat="1" ht="18" x14ac:dyDescent="0.25">
      <c r="A5378" s="91"/>
      <c r="B5378" s="90"/>
      <c r="C5378" s="88"/>
      <c r="D5378" s="89"/>
      <c r="E5378" s="90"/>
      <c r="F5378" s="91"/>
      <c r="G5378" s="90"/>
      <c r="H5378" s="92"/>
      <c r="I5378" s="87"/>
      <c r="J5378" s="93"/>
      <c r="K5378" s="92"/>
      <c r="L5378" s="72" t="str">
        <f t="shared" si="84"/>
        <v/>
      </c>
      <c r="N5378" s="15"/>
    </row>
    <row r="5379" spans="1:14" s="14" customFormat="1" ht="18" x14ac:dyDescent="0.25">
      <c r="A5379" s="91"/>
      <c r="B5379" s="90"/>
      <c r="C5379" s="88"/>
      <c r="D5379" s="89"/>
      <c r="E5379" s="90"/>
      <c r="F5379" s="91"/>
      <c r="G5379" s="90"/>
      <c r="H5379" s="92"/>
      <c r="I5379" s="87"/>
      <c r="J5379" s="93"/>
      <c r="K5379" s="92"/>
      <c r="L5379" s="72" t="str">
        <f t="shared" si="84"/>
        <v/>
      </c>
      <c r="N5379" s="15"/>
    </row>
    <row r="5380" spans="1:14" s="14" customFormat="1" ht="18" x14ac:dyDescent="0.25">
      <c r="A5380" s="91"/>
      <c r="B5380" s="90"/>
      <c r="C5380" s="88"/>
      <c r="D5380" s="89"/>
      <c r="E5380" s="90"/>
      <c r="F5380" s="91"/>
      <c r="G5380" s="90"/>
      <c r="H5380" s="92"/>
      <c r="I5380" s="87"/>
      <c r="J5380" s="93"/>
      <c r="K5380" s="92"/>
      <c r="L5380" s="72" t="str">
        <f t="shared" si="84"/>
        <v/>
      </c>
      <c r="N5380" s="15"/>
    </row>
    <row r="5381" spans="1:14" s="14" customFormat="1" ht="18" x14ac:dyDescent="0.25">
      <c r="A5381" s="91"/>
      <c r="B5381" s="90"/>
      <c r="C5381" s="88"/>
      <c r="D5381" s="89"/>
      <c r="E5381" s="90"/>
      <c r="F5381" s="91"/>
      <c r="G5381" s="90"/>
      <c r="H5381" s="92"/>
      <c r="I5381" s="87"/>
      <c r="J5381" s="93"/>
      <c r="K5381" s="92"/>
      <c r="L5381" s="72" t="str">
        <f t="shared" si="84"/>
        <v/>
      </c>
      <c r="N5381" s="15"/>
    </row>
    <row r="5382" spans="1:14" s="14" customFormat="1" ht="18" x14ac:dyDescent="0.25">
      <c r="A5382" s="91"/>
      <c r="B5382" s="90"/>
      <c r="C5382" s="88"/>
      <c r="D5382" s="89"/>
      <c r="E5382" s="90"/>
      <c r="F5382" s="91"/>
      <c r="G5382" s="90"/>
      <c r="H5382" s="92"/>
      <c r="I5382" s="87"/>
      <c r="J5382" s="93"/>
      <c r="K5382" s="92"/>
      <c r="L5382" s="72" t="str">
        <f t="shared" si="84"/>
        <v/>
      </c>
      <c r="N5382" s="15"/>
    </row>
    <row r="5383" spans="1:14" s="14" customFormat="1" ht="18" x14ac:dyDescent="0.25">
      <c r="A5383" s="91"/>
      <c r="B5383" s="90"/>
      <c r="C5383" s="88"/>
      <c r="D5383" s="89"/>
      <c r="E5383" s="90"/>
      <c r="F5383" s="91"/>
      <c r="G5383" s="90"/>
      <c r="H5383" s="92"/>
      <c r="I5383" s="87"/>
      <c r="J5383" s="93"/>
      <c r="K5383" s="92"/>
      <c r="L5383" s="72" t="str">
        <f t="shared" si="84"/>
        <v/>
      </c>
      <c r="N5383" s="15"/>
    </row>
    <row r="5384" spans="1:14" s="14" customFormat="1" ht="18" x14ac:dyDescent="0.25">
      <c r="A5384" s="91"/>
      <c r="B5384" s="90"/>
      <c r="C5384" s="88"/>
      <c r="D5384" s="89"/>
      <c r="E5384" s="90"/>
      <c r="F5384" s="91"/>
      <c r="G5384" s="90"/>
      <c r="H5384" s="92"/>
      <c r="I5384" s="87"/>
      <c r="J5384" s="93"/>
      <c r="K5384" s="92"/>
      <c r="L5384" s="72" t="str">
        <f t="shared" si="84"/>
        <v/>
      </c>
      <c r="N5384" s="15"/>
    </row>
    <row r="5385" spans="1:14" s="14" customFormat="1" ht="18" x14ac:dyDescent="0.25">
      <c r="A5385" s="91"/>
      <c r="B5385" s="90"/>
      <c r="C5385" s="88"/>
      <c r="D5385" s="89"/>
      <c r="E5385" s="90"/>
      <c r="F5385" s="91"/>
      <c r="G5385" s="90"/>
      <c r="H5385" s="92"/>
      <c r="I5385" s="87"/>
      <c r="J5385" s="93"/>
      <c r="K5385" s="92"/>
      <c r="L5385" s="72" t="str">
        <f t="shared" si="84"/>
        <v/>
      </c>
      <c r="N5385" s="15"/>
    </row>
    <row r="5386" spans="1:14" s="14" customFormat="1" ht="18" x14ac:dyDescent="0.25">
      <c r="A5386" s="91"/>
      <c r="B5386" s="90"/>
      <c r="C5386" s="88"/>
      <c r="D5386" s="89"/>
      <c r="E5386" s="90"/>
      <c r="F5386" s="91"/>
      <c r="G5386" s="90"/>
      <c r="H5386" s="92"/>
      <c r="I5386" s="87"/>
      <c r="J5386" s="93"/>
      <c r="K5386" s="92"/>
      <c r="L5386" s="72" t="str">
        <f t="shared" si="84"/>
        <v/>
      </c>
      <c r="N5386" s="15"/>
    </row>
    <row r="5387" spans="1:14" s="14" customFormat="1" ht="18" x14ac:dyDescent="0.25">
      <c r="A5387" s="91"/>
      <c r="B5387" s="90"/>
      <c r="C5387" s="88"/>
      <c r="D5387" s="89"/>
      <c r="E5387" s="90"/>
      <c r="F5387" s="91"/>
      <c r="G5387" s="90"/>
      <c r="H5387" s="92"/>
      <c r="I5387" s="87"/>
      <c r="J5387" s="93"/>
      <c r="K5387" s="92"/>
      <c r="L5387" s="72" t="str">
        <f t="shared" si="84"/>
        <v/>
      </c>
      <c r="N5387" s="15"/>
    </row>
    <row r="5388" spans="1:14" s="14" customFormat="1" ht="18" x14ac:dyDescent="0.25">
      <c r="A5388" s="91"/>
      <c r="B5388" s="90"/>
      <c r="C5388" s="88"/>
      <c r="D5388" s="89"/>
      <c r="E5388" s="90"/>
      <c r="F5388" s="91"/>
      <c r="G5388" s="90"/>
      <c r="H5388" s="92"/>
      <c r="I5388" s="87"/>
      <c r="J5388" s="93"/>
      <c r="K5388" s="92"/>
      <c r="L5388" s="72" t="str">
        <f t="shared" si="84"/>
        <v/>
      </c>
      <c r="N5388" s="15"/>
    </row>
    <row r="5389" spans="1:14" s="14" customFormat="1" ht="18" x14ac:dyDescent="0.25">
      <c r="A5389" s="91"/>
      <c r="B5389" s="90"/>
      <c r="C5389" s="88"/>
      <c r="D5389" s="89"/>
      <c r="E5389" s="90"/>
      <c r="F5389" s="91"/>
      <c r="G5389" s="90"/>
      <c r="H5389" s="92"/>
      <c r="I5389" s="87"/>
      <c r="J5389" s="93"/>
      <c r="K5389" s="92"/>
      <c r="L5389" s="72" t="str">
        <f t="shared" si="84"/>
        <v/>
      </c>
      <c r="N5389" s="15"/>
    </row>
    <row r="5390" spans="1:14" s="14" customFormat="1" ht="18" x14ac:dyDescent="0.25">
      <c r="A5390" s="91"/>
      <c r="B5390" s="90"/>
      <c r="C5390" s="88"/>
      <c r="D5390" s="89"/>
      <c r="E5390" s="90"/>
      <c r="F5390" s="91"/>
      <c r="G5390" s="90"/>
      <c r="H5390" s="92"/>
      <c r="I5390" s="87"/>
      <c r="J5390" s="93"/>
      <c r="K5390" s="92"/>
      <c r="L5390" s="72" t="str">
        <f t="shared" si="84"/>
        <v/>
      </c>
      <c r="N5390" s="15"/>
    </row>
    <row r="5391" spans="1:14" s="14" customFormat="1" ht="18" x14ac:dyDescent="0.25">
      <c r="A5391" s="91"/>
      <c r="B5391" s="90"/>
      <c r="C5391" s="88"/>
      <c r="D5391" s="89"/>
      <c r="E5391" s="90"/>
      <c r="F5391" s="91"/>
      <c r="G5391" s="90"/>
      <c r="H5391" s="92"/>
      <c r="I5391" s="87"/>
      <c r="J5391" s="93"/>
      <c r="K5391" s="92"/>
      <c r="L5391" s="72" t="str">
        <f t="shared" si="84"/>
        <v/>
      </c>
      <c r="N5391" s="15"/>
    </row>
    <row r="5392" spans="1:14" s="14" customFormat="1" ht="18" x14ac:dyDescent="0.25">
      <c r="A5392" s="91"/>
      <c r="B5392" s="90"/>
      <c r="C5392" s="88"/>
      <c r="D5392" s="89"/>
      <c r="E5392" s="90"/>
      <c r="F5392" s="91"/>
      <c r="G5392" s="90"/>
      <c r="H5392" s="92"/>
      <c r="I5392" s="87"/>
      <c r="J5392" s="93"/>
      <c r="K5392" s="92"/>
      <c r="L5392" s="72" t="str">
        <f t="shared" si="84"/>
        <v/>
      </c>
      <c r="N5392" s="15"/>
    </row>
    <row r="5393" spans="1:14" s="14" customFormat="1" ht="18" x14ac:dyDescent="0.25">
      <c r="A5393" s="91"/>
      <c r="B5393" s="90"/>
      <c r="C5393" s="88"/>
      <c r="D5393" s="89"/>
      <c r="E5393" s="90"/>
      <c r="F5393" s="91"/>
      <c r="G5393" s="90"/>
      <c r="H5393" s="92"/>
      <c r="I5393" s="87"/>
      <c r="J5393" s="93"/>
      <c r="K5393" s="92"/>
      <c r="L5393" s="72" t="str">
        <f t="shared" si="84"/>
        <v/>
      </c>
      <c r="N5393" s="15"/>
    </row>
    <row r="5394" spans="1:14" s="14" customFormat="1" ht="18" x14ac:dyDescent="0.25">
      <c r="A5394" s="91"/>
      <c r="B5394" s="90"/>
      <c r="C5394" s="88"/>
      <c r="D5394" s="89"/>
      <c r="E5394" s="90"/>
      <c r="F5394" s="91"/>
      <c r="G5394" s="90"/>
      <c r="H5394" s="92"/>
      <c r="I5394" s="87"/>
      <c r="J5394" s="93"/>
      <c r="K5394" s="92"/>
      <c r="L5394" s="72" t="str">
        <f t="shared" si="84"/>
        <v/>
      </c>
      <c r="N5394" s="15"/>
    </row>
    <row r="5395" spans="1:14" s="14" customFormat="1" ht="18" x14ac:dyDescent="0.25">
      <c r="A5395" s="91"/>
      <c r="B5395" s="90"/>
      <c r="C5395" s="88"/>
      <c r="D5395" s="89"/>
      <c r="E5395" s="90"/>
      <c r="F5395" s="91"/>
      <c r="G5395" s="90"/>
      <c r="H5395" s="92"/>
      <c r="I5395" s="87"/>
      <c r="J5395" s="93"/>
      <c r="K5395" s="92"/>
      <c r="L5395" s="72" t="str">
        <f t="shared" si="84"/>
        <v/>
      </c>
      <c r="N5395" s="15"/>
    </row>
    <row r="5396" spans="1:14" s="14" customFormat="1" ht="18" x14ac:dyDescent="0.25">
      <c r="A5396" s="91"/>
      <c r="B5396" s="90"/>
      <c r="C5396" s="88"/>
      <c r="D5396" s="89"/>
      <c r="E5396" s="90"/>
      <c r="F5396" s="91"/>
      <c r="G5396" s="90"/>
      <c r="H5396" s="92"/>
      <c r="I5396" s="87"/>
      <c r="J5396" s="93"/>
      <c r="K5396" s="92"/>
      <c r="L5396" s="72" t="str">
        <f t="shared" si="84"/>
        <v/>
      </c>
      <c r="N5396" s="15"/>
    </row>
    <row r="5397" spans="1:14" s="14" customFormat="1" ht="18" x14ac:dyDescent="0.25">
      <c r="A5397" s="91"/>
      <c r="B5397" s="90"/>
      <c r="C5397" s="88"/>
      <c r="D5397" s="89"/>
      <c r="E5397" s="90"/>
      <c r="F5397" s="91"/>
      <c r="G5397" s="90"/>
      <c r="H5397" s="92"/>
      <c r="I5397" s="87"/>
      <c r="J5397" s="93"/>
      <c r="K5397" s="92"/>
      <c r="L5397" s="72" t="str">
        <f t="shared" si="84"/>
        <v/>
      </c>
      <c r="N5397" s="15"/>
    </row>
    <row r="5398" spans="1:14" s="14" customFormat="1" ht="18" x14ac:dyDescent="0.25">
      <c r="A5398" s="91"/>
      <c r="B5398" s="90"/>
      <c r="C5398" s="88"/>
      <c r="D5398" s="89"/>
      <c r="E5398" s="90"/>
      <c r="F5398" s="91"/>
      <c r="G5398" s="90"/>
      <c r="H5398" s="92"/>
      <c r="I5398" s="87"/>
      <c r="J5398" s="93"/>
      <c r="K5398" s="92"/>
      <c r="L5398" s="72" t="str">
        <f t="shared" si="84"/>
        <v/>
      </c>
      <c r="N5398" s="15"/>
    </row>
    <row r="5399" spans="1:14" s="14" customFormat="1" ht="18" x14ac:dyDescent="0.25">
      <c r="A5399" s="91"/>
      <c r="B5399" s="90"/>
      <c r="C5399" s="88"/>
      <c r="D5399" s="89"/>
      <c r="E5399" s="90"/>
      <c r="F5399" s="91"/>
      <c r="G5399" s="90"/>
      <c r="H5399" s="92"/>
      <c r="I5399" s="87"/>
      <c r="J5399" s="93"/>
      <c r="K5399" s="92"/>
      <c r="L5399" s="72" t="str">
        <f t="shared" si="84"/>
        <v/>
      </c>
      <c r="N5399" s="15"/>
    </row>
    <row r="5400" spans="1:14" s="14" customFormat="1" ht="18" x14ac:dyDescent="0.25">
      <c r="A5400" s="91"/>
      <c r="B5400" s="90"/>
      <c r="C5400" s="88"/>
      <c r="D5400" s="89"/>
      <c r="E5400" s="90"/>
      <c r="F5400" s="91"/>
      <c r="G5400" s="90"/>
      <c r="H5400" s="92"/>
      <c r="I5400" s="87"/>
      <c r="J5400" s="93"/>
      <c r="K5400" s="92"/>
      <c r="L5400" s="72" t="str">
        <f t="shared" si="84"/>
        <v/>
      </c>
      <c r="N5400" s="15"/>
    </row>
    <row r="5401" spans="1:14" s="14" customFormat="1" ht="18" x14ac:dyDescent="0.25">
      <c r="A5401" s="91"/>
      <c r="B5401" s="90"/>
      <c r="C5401" s="88"/>
      <c r="D5401" s="89"/>
      <c r="E5401" s="90"/>
      <c r="F5401" s="91"/>
      <c r="G5401" s="90"/>
      <c r="H5401" s="92"/>
      <c r="I5401" s="87"/>
      <c r="J5401" s="93"/>
      <c r="K5401" s="92"/>
      <c r="L5401" s="72" t="str">
        <f t="shared" si="84"/>
        <v/>
      </c>
      <c r="N5401" s="15"/>
    </row>
    <row r="5402" spans="1:14" s="14" customFormat="1" ht="18" x14ac:dyDescent="0.25">
      <c r="A5402" s="91"/>
      <c r="B5402" s="90"/>
      <c r="C5402" s="88"/>
      <c r="D5402" s="89"/>
      <c r="E5402" s="90"/>
      <c r="F5402" s="91"/>
      <c r="G5402" s="90"/>
      <c r="H5402" s="92"/>
      <c r="I5402" s="87"/>
      <c r="J5402" s="93"/>
      <c r="K5402" s="92"/>
      <c r="L5402" s="72" t="str">
        <f t="shared" si="84"/>
        <v/>
      </c>
      <c r="N5402" s="15"/>
    </row>
    <row r="5403" spans="1:14" s="14" customFormat="1" ht="18" x14ac:dyDescent="0.25">
      <c r="A5403" s="91"/>
      <c r="B5403" s="90"/>
      <c r="C5403" s="88"/>
      <c r="D5403" s="89"/>
      <c r="E5403" s="90"/>
      <c r="F5403" s="91"/>
      <c r="G5403" s="90"/>
      <c r="H5403" s="92"/>
      <c r="I5403" s="87"/>
      <c r="J5403" s="93"/>
      <c r="K5403" s="92"/>
      <c r="L5403" s="72" t="str">
        <f t="shared" si="84"/>
        <v/>
      </c>
      <c r="N5403" s="15"/>
    </row>
    <row r="5404" spans="1:14" s="14" customFormat="1" ht="18" x14ac:dyDescent="0.25">
      <c r="A5404" s="91"/>
      <c r="B5404" s="90"/>
      <c r="C5404" s="88"/>
      <c r="D5404" s="89"/>
      <c r="E5404" s="90"/>
      <c r="F5404" s="91"/>
      <c r="G5404" s="90"/>
      <c r="H5404" s="92"/>
      <c r="I5404" s="87"/>
      <c r="J5404" s="93"/>
      <c r="K5404" s="92"/>
      <c r="L5404" s="72" t="str">
        <f t="shared" si="84"/>
        <v/>
      </c>
      <c r="N5404" s="15"/>
    </row>
    <row r="5405" spans="1:14" s="14" customFormat="1" ht="18" x14ac:dyDescent="0.25">
      <c r="A5405" s="91"/>
      <c r="B5405" s="90"/>
      <c r="C5405" s="88"/>
      <c r="D5405" s="89"/>
      <c r="E5405" s="90"/>
      <c r="F5405" s="91"/>
      <c r="G5405" s="90"/>
      <c r="H5405" s="92"/>
      <c r="I5405" s="87"/>
      <c r="J5405" s="93"/>
      <c r="K5405" s="92"/>
      <c r="L5405" s="72" t="str">
        <f t="shared" si="84"/>
        <v/>
      </c>
      <c r="N5405" s="15"/>
    </row>
    <row r="5406" spans="1:14" s="14" customFormat="1" ht="18" x14ac:dyDescent="0.25">
      <c r="A5406" s="91"/>
      <c r="B5406" s="90"/>
      <c r="C5406" s="88"/>
      <c r="D5406" s="89"/>
      <c r="E5406" s="90"/>
      <c r="F5406" s="91"/>
      <c r="G5406" s="90"/>
      <c r="H5406" s="92"/>
      <c r="I5406" s="87"/>
      <c r="J5406" s="93"/>
      <c r="K5406" s="92"/>
      <c r="L5406" s="72" t="str">
        <f t="shared" ref="L5406:L5469" si="85">IF(ISBLANK(H5406),"",IF(H5406=K5406,"Payé","Impayé"))</f>
        <v/>
      </c>
      <c r="N5406" s="15"/>
    </row>
    <row r="5407" spans="1:14" s="14" customFormat="1" ht="18" x14ac:dyDescent="0.25">
      <c r="A5407" s="91"/>
      <c r="B5407" s="90"/>
      <c r="C5407" s="88"/>
      <c r="D5407" s="89"/>
      <c r="E5407" s="90"/>
      <c r="F5407" s="91"/>
      <c r="G5407" s="90"/>
      <c r="H5407" s="92"/>
      <c r="I5407" s="87"/>
      <c r="J5407" s="93"/>
      <c r="K5407" s="92"/>
      <c r="L5407" s="72" t="str">
        <f t="shared" si="85"/>
        <v/>
      </c>
      <c r="N5407" s="15"/>
    </row>
    <row r="5408" spans="1:14" s="14" customFormat="1" ht="18" x14ac:dyDescent="0.25">
      <c r="A5408" s="91"/>
      <c r="B5408" s="90"/>
      <c r="C5408" s="88"/>
      <c r="D5408" s="89"/>
      <c r="E5408" s="90"/>
      <c r="F5408" s="91"/>
      <c r="G5408" s="90"/>
      <c r="H5408" s="92"/>
      <c r="I5408" s="87"/>
      <c r="J5408" s="93"/>
      <c r="K5408" s="92"/>
      <c r="L5408" s="72" t="str">
        <f t="shared" si="85"/>
        <v/>
      </c>
      <c r="N5408" s="15"/>
    </row>
    <row r="5409" spans="1:14" s="14" customFormat="1" ht="18" x14ac:dyDescent="0.25">
      <c r="A5409" s="91"/>
      <c r="B5409" s="90"/>
      <c r="C5409" s="88"/>
      <c r="D5409" s="89"/>
      <c r="E5409" s="90"/>
      <c r="F5409" s="91"/>
      <c r="G5409" s="90"/>
      <c r="H5409" s="92"/>
      <c r="I5409" s="87"/>
      <c r="J5409" s="93"/>
      <c r="K5409" s="92"/>
      <c r="L5409" s="72" t="str">
        <f t="shared" si="85"/>
        <v/>
      </c>
      <c r="N5409" s="15"/>
    </row>
    <row r="5410" spans="1:14" s="14" customFormat="1" ht="18" x14ac:dyDescent="0.25">
      <c r="A5410" s="91"/>
      <c r="B5410" s="90"/>
      <c r="C5410" s="88"/>
      <c r="D5410" s="89"/>
      <c r="E5410" s="90"/>
      <c r="F5410" s="91"/>
      <c r="G5410" s="90"/>
      <c r="H5410" s="92"/>
      <c r="I5410" s="87"/>
      <c r="J5410" s="93"/>
      <c r="K5410" s="92"/>
      <c r="L5410" s="72" t="str">
        <f t="shared" si="85"/>
        <v/>
      </c>
      <c r="N5410" s="15"/>
    </row>
    <row r="5411" spans="1:14" s="14" customFormat="1" ht="18" x14ac:dyDescent="0.25">
      <c r="A5411" s="91"/>
      <c r="B5411" s="90"/>
      <c r="C5411" s="88"/>
      <c r="D5411" s="89"/>
      <c r="E5411" s="90"/>
      <c r="F5411" s="91"/>
      <c r="G5411" s="90"/>
      <c r="H5411" s="92"/>
      <c r="I5411" s="87"/>
      <c r="J5411" s="93"/>
      <c r="K5411" s="92"/>
      <c r="L5411" s="72" t="str">
        <f t="shared" si="85"/>
        <v/>
      </c>
      <c r="N5411" s="15"/>
    </row>
    <row r="5412" spans="1:14" s="14" customFormat="1" ht="18" x14ac:dyDescent="0.25">
      <c r="A5412" s="91"/>
      <c r="B5412" s="90"/>
      <c r="C5412" s="88"/>
      <c r="D5412" s="89"/>
      <c r="E5412" s="90"/>
      <c r="F5412" s="91"/>
      <c r="G5412" s="90"/>
      <c r="H5412" s="92"/>
      <c r="I5412" s="87"/>
      <c r="J5412" s="93"/>
      <c r="K5412" s="92"/>
      <c r="L5412" s="72" t="str">
        <f t="shared" si="85"/>
        <v/>
      </c>
      <c r="N5412" s="15"/>
    </row>
    <row r="5413" spans="1:14" s="14" customFormat="1" ht="18" x14ac:dyDescent="0.25">
      <c r="A5413" s="91"/>
      <c r="B5413" s="90"/>
      <c r="C5413" s="88"/>
      <c r="D5413" s="89"/>
      <c r="E5413" s="90"/>
      <c r="F5413" s="91"/>
      <c r="G5413" s="90"/>
      <c r="H5413" s="92"/>
      <c r="I5413" s="87"/>
      <c r="J5413" s="93"/>
      <c r="K5413" s="92"/>
      <c r="L5413" s="72" t="str">
        <f t="shared" si="85"/>
        <v/>
      </c>
      <c r="N5413" s="15"/>
    </row>
    <row r="5414" spans="1:14" s="14" customFormat="1" ht="18" x14ac:dyDescent="0.25">
      <c r="A5414" s="91"/>
      <c r="B5414" s="90"/>
      <c r="C5414" s="88"/>
      <c r="D5414" s="89"/>
      <c r="E5414" s="90"/>
      <c r="F5414" s="91"/>
      <c r="G5414" s="90"/>
      <c r="H5414" s="92"/>
      <c r="I5414" s="87"/>
      <c r="J5414" s="93"/>
      <c r="K5414" s="92"/>
      <c r="L5414" s="72" t="str">
        <f t="shared" si="85"/>
        <v/>
      </c>
      <c r="N5414" s="15"/>
    </row>
    <row r="5415" spans="1:14" s="14" customFormat="1" ht="18" x14ac:dyDescent="0.25">
      <c r="A5415" s="91"/>
      <c r="B5415" s="90"/>
      <c r="C5415" s="88"/>
      <c r="D5415" s="89"/>
      <c r="E5415" s="90"/>
      <c r="F5415" s="91"/>
      <c r="G5415" s="90"/>
      <c r="H5415" s="92"/>
      <c r="I5415" s="87"/>
      <c r="J5415" s="93"/>
      <c r="K5415" s="92"/>
      <c r="L5415" s="72" t="str">
        <f t="shared" si="85"/>
        <v/>
      </c>
      <c r="N5415" s="15"/>
    </row>
    <row r="5416" spans="1:14" s="14" customFormat="1" ht="18" x14ac:dyDescent="0.25">
      <c r="A5416" s="91"/>
      <c r="B5416" s="90"/>
      <c r="C5416" s="88"/>
      <c r="D5416" s="89"/>
      <c r="E5416" s="90"/>
      <c r="F5416" s="91"/>
      <c r="G5416" s="90"/>
      <c r="H5416" s="92"/>
      <c r="I5416" s="87"/>
      <c r="J5416" s="93"/>
      <c r="K5416" s="92"/>
      <c r="L5416" s="72" t="str">
        <f t="shared" si="85"/>
        <v/>
      </c>
      <c r="N5416" s="15"/>
    </row>
    <row r="5417" spans="1:14" s="14" customFormat="1" ht="18" x14ac:dyDescent="0.25">
      <c r="A5417" s="91"/>
      <c r="B5417" s="90"/>
      <c r="C5417" s="88"/>
      <c r="D5417" s="89"/>
      <c r="E5417" s="90"/>
      <c r="F5417" s="91"/>
      <c r="G5417" s="90"/>
      <c r="H5417" s="92"/>
      <c r="I5417" s="87"/>
      <c r="J5417" s="93"/>
      <c r="K5417" s="92"/>
      <c r="L5417" s="72" t="str">
        <f t="shared" si="85"/>
        <v/>
      </c>
      <c r="N5417" s="15"/>
    </row>
    <row r="5418" spans="1:14" s="14" customFormat="1" ht="18" x14ac:dyDescent="0.25">
      <c r="A5418" s="91"/>
      <c r="B5418" s="90"/>
      <c r="C5418" s="88"/>
      <c r="D5418" s="89"/>
      <c r="E5418" s="90"/>
      <c r="F5418" s="91"/>
      <c r="G5418" s="90"/>
      <c r="H5418" s="92"/>
      <c r="I5418" s="87"/>
      <c r="J5418" s="93"/>
      <c r="K5418" s="92"/>
      <c r="L5418" s="72" t="str">
        <f t="shared" si="85"/>
        <v/>
      </c>
      <c r="N5418" s="15"/>
    </row>
    <row r="5419" spans="1:14" s="14" customFormat="1" ht="18" x14ac:dyDescent="0.25">
      <c r="A5419" s="91"/>
      <c r="B5419" s="90"/>
      <c r="C5419" s="88"/>
      <c r="D5419" s="89"/>
      <c r="E5419" s="90"/>
      <c r="F5419" s="91"/>
      <c r="G5419" s="90"/>
      <c r="H5419" s="92"/>
      <c r="I5419" s="87"/>
      <c r="J5419" s="93"/>
      <c r="K5419" s="92"/>
      <c r="L5419" s="72" t="str">
        <f t="shared" si="85"/>
        <v/>
      </c>
      <c r="N5419" s="15"/>
    </row>
    <row r="5420" spans="1:14" s="14" customFormat="1" ht="18" x14ac:dyDescent="0.25">
      <c r="A5420" s="91"/>
      <c r="B5420" s="90"/>
      <c r="C5420" s="88"/>
      <c r="D5420" s="89"/>
      <c r="E5420" s="90"/>
      <c r="F5420" s="91"/>
      <c r="G5420" s="90"/>
      <c r="H5420" s="92"/>
      <c r="I5420" s="87"/>
      <c r="J5420" s="93"/>
      <c r="K5420" s="92"/>
      <c r="L5420" s="72" t="str">
        <f t="shared" si="85"/>
        <v/>
      </c>
      <c r="N5420" s="15"/>
    </row>
    <row r="5421" spans="1:14" s="14" customFormat="1" ht="18" x14ac:dyDescent="0.25">
      <c r="A5421" s="91"/>
      <c r="B5421" s="90"/>
      <c r="C5421" s="88"/>
      <c r="D5421" s="89"/>
      <c r="E5421" s="90"/>
      <c r="F5421" s="91"/>
      <c r="G5421" s="90"/>
      <c r="H5421" s="92"/>
      <c r="I5421" s="87"/>
      <c r="J5421" s="93"/>
      <c r="K5421" s="92"/>
      <c r="L5421" s="72" t="str">
        <f t="shared" si="85"/>
        <v/>
      </c>
      <c r="N5421" s="15"/>
    </row>
    <row r="5422" spans="1:14" s="14" customFormat="1" ht="18" x14ac:dyDescent="0.25">
      <c r="A5422" s="91"/>
      <c r="B5422" s="90"/>
      <c r="C5422" s="88"/>
      <c r="D5422" s="89"/>
      <c r="E5422" s="90"/>
      <c r="F5422" s="91"/>
      <c r="G5422" s="90"/>
      <c r="H5422" s="92"/>
      <c r="I5422" s="87"/>
      <c r="J5422" s="93"/>
      <c r="K5422" s="92"/>
      <c r="L5422" s="72" t="str">
        <f t="shared" si="85"/>
        <v/>
      </c>
      <c r="N5422" s="15"/>
    </row>
    <row r="5423" spans="1:14" s="14" customFormat="1" ht="18" x14ac:dyDescent="0.25">
      <c r="A5423" s="91"/>
      <c r="B5423" s="90"/>
      <c r="C5423" s="88"/>
      <c r="D5423" s="89"/>
      <c r="E5423" s="90"/>
      <c r="F5423" s="91"/>
      <c r="G5423" s="90"/>
      <c r="H5423" s="92"/>
      <c r="I5423" s="87"/>
      <c r="J5423" s="93"/>
      <c r="K5423" s="92"/>
      <c r="L5423" s="72" t="str">
        <f t="shared" si="85"/>
        <v/>
      </c>
      <c r="N5423" s="15"/>
    </row>
    <row r="5424" spans="1:14" s="14" customFormat="1" ht="18" x14ac:dyDescent="0.25">
      <c r="A5424" s="91"/>
      <c r="B5424" s="90"/>
      <c r="C5424" s="88"/>
      <c r="D5424" s="89"/>
      <c r="E5424" s="90"/>
      <c r="F5424" s="91"/>
      <c r="G5424" s="90"/>
      <c r="H5424" s="92"/>
      <c r="I5424" s="87"/>
      <c r="J5424" s="93"/>
      <c r="K5424" s="92"/>
      <c r="L5424" s="72" t="str">
        <f t="shared" si="85"/>
        <v/>
      </c>
      <c r="N5424" s="15"/>
    </row>
    <row r="5425" spans="1:14" s="14" customFormat="1" ht="18" x14ac:dyDescent="0.25">
      <c r="A5425" s="91"/>
      <c r="B5425" s="90"/>
      <c r="C5425" s="88"/>
      <c r="D5425" s="89"/>
      <c r="E5425" s="90"/>
      <c r="F5425" s="91"/>
      <c r="G5425" s="90"/>
      <c r="H5425" s="92"/>
      <c r="I5425" s="87"/>
      <c r="J5425" s="93"/>
      <c r="K5425" s="92"/>
      <c r="L5425" s="72" t="str">
        <f t="shared" si="85"/>
        <v/>
      </c>
      <c r="N5425" s="15"/>
    </row>
    <row r="5426" spans="1:14" s="14" customFormat="1" ht="18" x14ac:dyDescent="0.25">
      <c r="A5426" s="91"/>
      <c r="B5426" s="90"/>
      <c r="C5426" s="88"/>
      <c r="D5426" s="89"/>
      <c r="E5426" s="90"/>
      <c r="F5426" s="91"/>
      <c r="G5426" s="90"/>
      <c r="H5426" s="92"/>
      <c r="I5426" s="87"/>
      <c r="J5426" s="93"/>
      <c r="K5426" s="92"/>
      <c r="L5426" s="72" t="str">
        <f t="shared" si="85"/>
        <v/>
      </c>
      <c r="N5426" s="15"/>
    </row>
    <row r="5427" spans="1:14" s="14" customFormat="1" ht="18" x14ac:dyDescent="0.25">
      <c r="A5427" s="91"/>
      <c r="B5427" s="90"/>
      <c r="C5427" s="88"/>
      <c r="D5427" s="89"/>
      <c r="E5427" s="90"/>
      <c r="F5427" s="91"/>
      <c r="G5427" s="90"/>
      <c r="H5427" s="92"/>
      <c r="I5427" s="87"/>
      <c r="J5427" s="93"/>
      <c r="K5427" s="92"/>
      <c r="L5427" s="72" t="str">
        <f t="shared" si="85"/>
        <v/>
      </c>
      <c r="N5427" s="15"/>
    </row>
    <row r="5428" spans="1:14" s="14" customFormat="1" ht="18" x14ac:dyDescent="0.25">
      <c r="A5428" s="91"/>
      <c r="B5428" s="90"/>
      <c r="C5428" s="88"/>
      <c r="D5428" s="89"/>
      <c r="E5428" s="90"/>
      <c r="F5428" s="91"/>
      <c r="G5428" s="90"/>
      <c r="H5428" s="92"/>
      <c r="I5428" s="87"/>
      <c r="J5428" s="93"/>
      <c r="K5428" s="92"/>
      <c r="L5428" s="72" t="str">
        <f t="shared" si="85"/>
        <v/>
      </c>
      <c r="N5428" s="15"/>
    </row>
    <row r="5429" spans="1:14" s="14" customFormat="1" ht="18" x14ac:dyDescent="0.25">
      <c r="A5429" s="91"/>
      <c r="B5429" s="90"/>
      <c r="C5429" s="88"/>
      <c r="D5429" s="89"/>
      <c r="E5429" s="90"/>
      <c r="F5429" s="91"/>
      <c r="G5429" s="90"/>
      <c r="H5429" s="92"/>
      <c r="I5429" s="87"/>
      <c r="J5429" s="93"/>
      <c r="K5429" s="92"/>
      <c r="L5429" s="72" t="str">
        <f t="shared" si="85"/>
        <v/>
      </c>
      <c r="N5429" s="15"/>
    </row>
    <row r="5430" spans="1:14" s="14" customFormat="1" ht="18" x14ac:dyDescent="0.25">
      <c r="A5430" s="91"/>
      <c r="B5430" s="90"/>
      <c r="C5430" s="88"/>
      <c r="D5430" s="89"/>
      <c r="E5430" s="90"/>
      <c r="F5430" s="91"/>
      <c r="G5430" s="90"/>
      <c r="H5430" s="92"/>
      <c r="I5430" s="87"/>
      <c r="J5430" s="93"/>
      <c r="K5430" s="92"/>
      <c r="L5430" s="72" t="str">
        <f t="shared" si="85"/>
        <v/>
      </c>
      <c r="N5430" s="15"/>
    </row>
    <row r="5431" spans="1:14" s="14" customFormat="1" ht="18" x14ac:dyDescent="0.25">
      <c r="A5431" s="91"/>
      <c r="B5431" s="90"/>
      <c r="C5431" s="88"/>
      <c r="D5431" s="89"/>
      <c r="E5431" s="90"/>
      <c r="F5431" s="91"/>
      <c r="G5431" s="90"/>
      <c r="H5431" s="92"/>
      <c r="I5431" s="87"/>
      <c r="J5431" s="93"/>
      <c r="K5431" s="92"/>
      <c r="L5431" s="72" t="str">
        <f t="shared" si="85"/>
        <v/>
      </c>
      <c r="N5431" s="15"/>
    </row>
    <row r="5432" spans="1:14" s="14" customFormat="1" ht="18" x14ac:dyDescent="0.25">
      <c r="A5432" s="91"/>
      <c r="B5432" s="90"/>
      <c r="C5432" s="88"/>
      <c r="D5432" s="89"/>
      <c r="E5432" s="90"/>
      <c r="F5432" s="91"/>
      <c r="G5432" s="90"/>
      <c r="H5432" s="92"/>
      <c r="I5432" s="87"/>
      <c r="J5432" s="93"/>
      <c r="K5432" s="92"/>
      <c r="L5432" s="72" t="str">
        <f t="shared" si="85"/>
        <v/>
      </c>
      <c r="N5432" s="15"/>
    </row>
    <row r="5433" spans="1:14" s="14" customFormat="1" ht="18" x14ac:dyDescent="0.25">
      <c r="A5433" s="91"/>
      <c r="B5433" s="90"/>
      <c r="C5433" s="88"/>
      <c r="D5433" s="89"/>
      <c r="E5433" s="90"/>
      <c r="F5433" s="91"/>
      <c r="G5433" s="90"/>
      <c r="H5433" s="92"/>
      <c r="I5433" s="87"/>
      <c r="J5433" s="93"/>
      <c r="K5433" s="92"/>
      <c r="L5433" s="72" t="str">
        <f t="shared" si="85"/>
        <v/>
      </c>
      <c r="N5433" s="15"/>
    </row>
    <row r="5434" spans="1:14" s="14" customFormat="1" ht="18" x14ac:dyDescent="0.25">
      <c r="A5434" s="91"/>
      <c r="B5434" s="90"/>
      <c r="C5434" s="88"/>
      <c r="D5434" s="89"/>
      <c r="E5434" s="90"/>
      <c r="F5434" s="91"/>
      <c r="G5434" s="90"/>
      <c r="H5434" s="92"/>
      <c r="I5434" s="87"/>
      <c r="J5434" s="93"/>
      <c r="K5434" s="92"/>
      <c r="L5434" s="72" t="str">
        <f t="shared" si="85"/>
        <v/>
      </c>
      <c r="N5434" s="15"/>
    </row>
    <row r="5435" spans="1:14" s="14" customFormat="1" ht="18" x14ac:dyDescent="0.25">
      <c r="A5435" s="91"/>
      <c r="B5435" s="90"/>
      <c r="C5435" s="88"/>
      <c r="D5435" s="89"/>
      <c r="E5435" s="90"/>
      <c r="F5435" s="91"/>
      <c r="G5435" s="90"/>
      <c r="H5435" s="92"/>
      <c r="I5435" s="87"/>
      <c r="J5435" s="93"/>
      <c r="K5435" s="92"/>
      <c r="L5435" s="72" t="str">
        <f t="shared" si="85"/>
        <v/>
      </c>
      <c r="N5435" s="15"/>
    </row>
    <row r="5436" spans="1:14" s="14" customFormat="1" ht="18" x14ac:dyDescent="0.25">
      <c r="A5436" s="91"/>
      <c r="B5436" s="90"/>
      <c r="C5436" s="88"/>
      <c r="D5436" s="89"/>
      <c r="E5436" s="90"/>
      <c r="F5436" s="91"/>
      <c r="G5436" s="90"/>
      <c r="H5436" s="92"/>
      <c r="I5436" s="87"/>
      <c r="J5436" s="93"/>
      <c r="K5436" s="92"/>
      <c r="L5436" s="72" t="str">
        <f t="shared" si="85"/>
        <v/>
      </c>
      <c r="N5436" s="15"/>
    </row>
    <row r="5437" spans="1:14" s="14" customFormat="1" ht="18" x14ac:dyDescent="0.25">
      <c r="A5437" s="91"/>
      <c r="B5437" s="90"/>
      <c r="C5437" s="88"/>
      <c r="D5437" s="89"/>
      <c r="E5437" s="90"/>
      <c r="F5437" s="91"/>
      <c r="G5437" s="90"/>
      <c r="H5437" s="92"/>
      <c r="I5437" s="87"/>
      <c r="J5437" s="93"/>
      <c r="K5437" s="92"/>
      <c r="L5437" s="72" t="str">
        <f t="shared" si="85"/>
        <v/>
      </c>
      <c r="N5437" s="15"/>
    </row>
    <row r="5438" spans="1:14" s="14" customFormat="1" ht="18" x14ac:dyDescent="0.25">
      <c r="A5438" s="91"/>
      <c r="B5438" s="90"/>
      <c r="C5438" s="88"/>
      <c r="D5438" s="89"/>
      <c r="E5438" s="90"/>
      <c r="F5438" s="91"/>
      <c r="G5438" s="90"/>
      <c r="H5438" s="92"/>
      <c r="I5438" s="87"/>
      <c r="J5438" s="93"/>
      <c r="K5438" s="92"/>
      <c r="L5438" s="72" t="str">
        <f t="shared" si="85"/>
        <v/>
      </c>
      <c r="N5438" s="15"/>
    </row>
    <row r="5439" spans="1:14" s="14" customFormat="1" ht="18" x14ac:dyDescent="0.25">
      <c r="A5439" s="91"/>
      <c r="B5439" s="90"/>
      <c r="C5439" s="88"/>
      <c r="D5439" s="89"/>
      <c r="E5439" s="90"/>
      <c r="F5439" s="91"/>
      <c r="G5439" s="90"/>
      <c r="H5439" s="92"/>
      <c r="I5439" s="87"/>
      <c r="J5439" s="93"/>
      <c r="K5439" s="92"/>
      <c r="L5439" s="72" t="str">
        <f t="shared" si="85"/>
        <v/>
      </c>
      <c r="N5439" s="15"/>
    </row>
    <row r="5440" spans="1:14" s="14" customFormat="1" ht="18" x14ac:dyDescent="0.25">
      <c r="A5440" s="91"/>
      <c r="B5440" s="90"/>
      <c r="C5440" s="88"/>
      <c r="D5440" s="89"/>
      <c r="E5440" s="90"/>
      <c r="F5440" s="91"/>
      <c r="G5440" s="90"/>
      <c r="H5440" s="92"/>
      <c r="I5440" s="87"/>
      <c r="J5440" s="93"/>
      <c r="K5440" s="92"/>
      <c r="L5440" s="72" t="str">
        <f t="shared" si="85"/>
        <v/>
      </c>
      <c r="N5440" s="15"/>
    </row>
    <row r="5441" spans="1:14" s="14" customFormat="1" ht="18" x14ac:dyDescent="0.25">
      <c r="A5441" s="91"/>
      <c r="B5441" s="90"/>
      <c r="C5441" s="88"/>
      <c r="D5441" s="89"/>
      <c r="E5441" s="90"/>
      <c r="F5441" s="91"/>
      <c r="G5441" s="90"/>
      <c r="H5441" s="92"/>
      <c r="I5441" s="87"/>
      <c r="J5441" s="93"/>
      <c r="K5441" s="92"/>
      <c r="L5441" s="72" t="str">
        <f t="shared" si="85"/>
        <v/>
      </c>
      <c r="N5441" s="15"/>
    </row>
    <row r="5442" spans="1:14" s="14" customFormat="1" ht="18" x14ac:dyDescent="0.25">
      <c r="A5442" s="91"/>
      <c r="B5442" s="90"/>
      <c r="C5442" s="88"/>
      <c r="D5442" s="89"/>
      <c r="E5442" s="90"/>
      <c r="F5442" s="91"/>
      <c r="G5442" s="90"/>
      <c r="H5442" s="92"/>
      <c r="I5442" s="87"/>
      <c r="J5442" s="93"/>
      <c r="K5442" s="92"/>
      <c r="L5442" s="72" t="str">
        <f t="shared" si="85"/>
        <v/>
      </c>
      <c r="N5442" s="15"/>
    </row>
    <row r="5443" spans="1:14" s="14" customFormat="1" ht="18" x14ac:dyDescent="0.25">
      <c r="A5443" s="91"/>
      <c r="B5443" s="90"/>
      <c r="C5443" s="88"/>
      <c r="D5443" s="89"/>
      <c r="E5443" s="90"/>
      <c r="F5443" s="91"/>
      <c r="G5443" s="90"/>
      <c r="H5443" s="92"/>
      <c r="I5443" s="87"/>
      <c r="J5443" s="93"/>
      <c r="K5443" s="92"/>
      <c r="L5443" s="72" t="str">
        <f t="shared" si="85"/>
        <v/>
      </c>
      <c r="N5443" s="15"/>
    </row>
    <row r="5444" spans="1:14" s="14" customFormat="1" ht="18" x14ac:dyDescent="0.25">
      <c r="A5444" s="91"/>
      <c r="B5444" s="90"/>
      <c r="C5444" s="88"/>
      <c r="D5444" s="89"/>
      <c r="E5444" s="90"/>
      <c r="F5444" s="91"/>
      <c r="G5444" s="90"/>
      <c r="H5444" s="92"/>
      <c r="I5444" s="87"/>
      <c r="J5444" s="93"/>
      <c r="K5444" s="92"/>
      <c r="L5444" s="72" t="str">
        <f t="shared" si="85"/>
        <v/>
      </c>
      <c r="N5444" s="15"/>
    </row>
    <row r="5445" spans="1:14" s="14" customFormat="1" ht="18" x14ac:dyDescent="0.25">
      <c r="A5445" s="91"/>
      <c r="B5445" s="90"/>
      <c r="C5445" s="88"/>
      <c r="D5445" s="89"/>
      <c r="E5445" s="90"/>
      <c r="F5445" s="91"/>
      <c r="G5445" s="90"/>
      <c r="H5445" s="92"/>
      <c r="I5445" s="87"/>
      <c r="J5445" s="93"/>
      <c r="K5445" s="92"/>
      <c r="L5445" s="72" t="str">
        <f t="shared" si="85"/>
        <v/>
      </c>
      <c r="N5445" s="15"/>
    </row>
    <row r="5446" spans="1:14" s="14" customFormat="1" ht="18" x14ac:dyDescent="0.25">
      <c r="A5446" s="91"/>
      <c r="B5446" s="90"/>
      <c r="C5446" s="88"/>
      <c r="D5446" s="89"/>
      <c r="E5446" s="90"/>
      <c r="F5446" s="91"/>
      <c r="G5446" s="90"/>
      <c r="H5446" s="92"/>
      <c r="I5446" s="87"/>
      <c r="J5446" s="93"/>
      <c r="K5446" s="92"/>
      <c r="L5446" s="72" t="str">
        <f t="shared" si="85"/>
        <v/>
      </c>
      <c r="N5446" s="15"/>
    </row>
    <row r="5447" spans="1:14" s="14" customFormat="1" ht="18" x14ac:dyDescent="0.25">
      <c r="A5447" s="91"/>
      <c r="B5447" s="90"/>
      <c r="C5447" s="88"/>
      <c r="D5447" s="89"/>
      <c r="E5447" s="90"/>
      <c r="F5447" s="91"/>
      <c r="G5447" s="90"/>
      <c r="H5447" s="92"/>
      <c r="I5447" s="87"/>
      <c r="J5447" s="93"/>
      <c r="K5447" s="92"/>
      <c r="L5447" s="72" t="str">
        <f t="shared" si="85"/>
        <v/>
      </c>
      <c r="N5447" s="15"/>
    </row>
    <row r="5448" spans="1:14" s="14" customFormat="1" ht="18" x14ac:dyDescent="0.25">
      <c r="A5448" s="91"/>
      <c r="B5448" s="90"/>
      <c r="C5448" s="88"/>
      <c r="D5448" s="89"/>
      <c r="E5448" s="90"/>
      <c r="F5448" s="91"/>
      <c r="G5448" s="90"/>
      <c r="H5448" s="92"/>
      <c r="I5448" s="87"/>
      <c r="J5448" s="93"/>
      <c r="K5448" s="92"/>
      <c r="L5448" s="72" t="str">
        <f t="shared" si="85"/>
        <v/>
      </c>
      <c r="N5448" s="15"/>
    </row>
    <row r="5449" spans="1:14" s="14" customFormat="1" ht="18" x14ac:dyDescent="0.25">
      <c r="A5449" s="91"/>
      <c r="B5449" s="90"/>
      <c r="C5449" s="88"/>
      <c r="D5449" s="89"/>
      <c r="E5449" s="90"/>
      <c r="F5449" s="91"/>
      <c r="G5449" s="90"/>
      <c r="H5449" s="92"/>
      <c r="I5449" s="87"/>
      <c r="J5449" s="93"/>
      <c r="K5449" s="92"/>
      <c r="L5449" s="72" t="str">
        <f t="shared" si="85"/>
        <v/>
      </c>
      <c r="N5449" s="15"/>
    </row>
    <row r="5450" spans="1:14" s="14" customFormat="1" ht="18" x14ac:dyDescent="0.25">
      <c r="A5450" s="91"/>
      <c r="B5450" s="90"/>
      <c r="C5450" s="88"/>
      <c r="D5450" s="89"/>
      <c r="E5450" s="90"/>
      <c r="F5450" s="91"/>
      <c r="G5450" s="90"/>
      <c r="H5450" s="92"/>
      <c r="I5450" s="87"/>
      <c r="J5450" s="93"/>
      <c r="K5450" s="92"/>
      <c r="L5450" s="72" t="str">
        <f t="shared" si="85"/>
        <v/>
      </c>
      <c r="N5450" s="15"/>
    </row>
    <row r="5451" spans="1:14" s="14" customFormat="1" ht="18" x14ac:dyDescent="0.25">
      <c r="A5451" s="91"/>
      <c r="B5451" s="90"/>
      <c r="C5451" s="88"/>
      <c r="D5451" s="89"/>
      <c r="E5451" s="90"/>
      <c r="F5451" s="91"/>
      <c r="G5451" s="90"/>
      <c r="H5451" s="92"/>
      <c r="I5451" s="87"/>
      <c r="J5451" s="93"/>
      <c r="K5451" s="92"/>
      <c r="L5451" s="72" t="str">
        <f t="shared" si="85"/>
        <v/>
      </c>
      <c r="N5451" s="15"/>
    </row>
    <row r="5452" spans="1:14" s="14" customFormat="1" ht="18" x14ac:dyDescent="0.25">
      <c r="A5452" s="91"/>
      <c r="B5452" s="90"/>
      <c r="C5452" s="88"/>
      <c r="D5452" s="89"/>
      <c r="E5452" s="90"/>
      <c r="F5452" s="91"/>
      <c r="G5452" s="90"/>
      <c r="H5452" s="92"/>
      <c r="I5452" s="87"/>
      <c r="J5452" s="93"/>
      <c r="K5452" s="92"/>
      <c r="L5452" s="72" t="str">
        <f t="shared" si="85"/>
        <v/>
      </c>
      <c r="N5452" s="15"/>
    </row>
    <row r="5453" spans="1:14" s="14" customFormat="1" ht="18" x14ac:dyDescent="0.25">
      <c r="A5453" s="91"/>
      <c r="B5453" s="90"/>
      <c r="C5453" s="88"/>
      <c r="D5453" s="89"/>
      <c r="E5453" s="90"/>
      <c r="F5453" s="91"/>
      <c r="G5453" s="90"/>
      <c r="H5453" s="92"/>
      <c r="I5453" s="87"/>
      <c r="J5453" s="93"/>
      <c r="K5453" s="92"/>
      <c r="L5453" s="72" t="str">
        <f t="shared" si="85"/>
        <v/>
      </c>
      <c r="N5453" s="15"/>
    </row>
    <row r="5454" spans="1:14" s="14" customFormat="1" ht="18" x14ac:dyDescent="0.25">
      <c r="A5454" s="91"/>
      <c r="B5454" s="90"/>
      <c r="C5454" s="88"/>
      <c r="D5454" s="89"/>
      <c r="E5454" s="90"/>
      <c r="F5454" s="91"/>
      <c r="G5454" s="90"/>
      <c r="H5454" s="92"/>
      <c r="I5454" s="87"/>
      <c r="J5454" s="93"/>
      <c r="K5454" s="92"/>
      <c r="L5454" s="72" t="str">
        <f t="shared" si="85"/>
        <v/>
      </c>
      <c r="N5454" s="15"/>
    </row>
    <row r="5455" spans="1:14" s="14" customFormat="1" ht="18" x14ac:dyDescent="0.25">
      <c r="A5455" s="91"/>
      <c r="B5455" s="90"/>
      <c r="C5455" s="88"/>
      <c r="D5455" s="89"/>
      <c r="E5455" s="90"/>
      <c r="F5455" s="91"/>
      <c r="G5455" s="90"/>
      <c r="H5455" s="92"/>
      <c r="I5455" s="87"/>
      <c r="J5455" s="93"/>
      <c r="K5455" s="92"/>
      <c r="L5455" s="72" t="str">
        <f t="shared" si="85"/>
        <v/>
      </c>
      <c r="N5455" s="15"/>
    </row>
    <row r="5456" spans="1:14" s="14" customFormat="1" ht="18" x14ac:dyDescent="0.25">
      <c r="A5456" s="91"/>
      <c r="B5456" s="90"/>
      <c r="C5456" s="88"/>
      <c r="D5456" s="89"/>
      <c r="E5456" s="90"/>
      <c r="F5456" s="91"/>
      <c r="G5456" s="90"/>
      <c r="H5456" s="92"/>
      <c r="I5456" s="87"/>
      <c r="J5456" s="93"/>
      <c r="K5456" s="92"/>
      <c r="L5456" s="72" t="str">
        <f t="shared" si="85"/>
        <v/>
      </c>
      <c r="N5456" s="15"/>
    </row>
    <row r="5457" spans="1:14" s="14" customFormat="1" ht="18" x14ac:dyDescent="0.25">
      <c r="A5457" s="91"/>
      <c r="B5457" s="90"/>
      <c r="C5457" s="88"/>
      <c r="D5457" s="89"/>
      <c r="E5457" s="90"/>
      <c r="F5457" s="91"/>
      <c r="G5457" s="90"/>
      <c r="H5457" s="92"/>
      <c r="I5457" s="87"/>
      <c r="J5457" s="93"/>
      <c r="K5457" s="92"/>
      <c r="L5457" s="72" t="str">
        <f t="shared" si="85"/>
        <v/>
      </c>
      <c r="N5457" s="15"/>
    </row>
    <row r="5458" spans="1:14" s="14" customFormat="1" ht="18" x14ac:dyDescent="0.25">
      <c r="A5458" s="91"/>
      <c r="B5458" s="90"/>
      <c r="C5458" s="88"/>
      <c r="D5458" s="89"/>
      <c r="E5458" s="90"/>
      <c r="F5458" s="91"/>
      <c r="G5458" s="90"/>
      <c r="H5458" s="92"/>
      <c r="I5458" s="87"/>
      <c r="J5458" s="93"/>
      <c r="K5458" s="92"/>
      <c r="L5458" s="72" t="str">
        <f t="shared" si="85"/>
        <v/>
      </c>
      <c r="N5458" s="15"/>
    </row>
    <row r="5459" spans="1:14" s="14" customFormat="1" ht="18" x14ac:dyDescent="0.25">
      <c r="A5459" s="91"/>
      <c r="B5459" s="90"/>
      <c r="C5459" s="88"/>
      <c r="D5459" s="89"/>
      <c r="E5459" s="90"/>
      <c r="F5459" s="91"/>
      <c r="G5459" s="90"/>
      <c r="H5459" s="92"/>
      <c r="I5459" s="87"/>
      <c r="J5459" s="93"/>
      <c r="K5459" s="92"/>
      <c r="L5459" s="72" t="str">
        <f t="shared" si="85"/>
        <v/>
      </c>
      <c r="N5459" s="15"/>
    </row>
    <row r="5460" spans="1:14" s="14" customFormat="1" ht="18" x14ac:dyDescent="0.25">
      <c r="A5460" s="91"/>
      <c r="B5460" s="90"/>
      <c r="C5460" s="88"/>
      <c r="D5460" s="89"/>
      <c r="E5460" s="90"/>
      <c r="F5460" s="91"/>
      <c r="G5460" s="90"/>
      <c r="H5460" s="92"/>
      <c r="I5460" s="87"/>
      <c r="J5460" s="93"/>
      <c r="K5460" s="92"/>
      <c r="L5460" s="72" t="str">
        <f t="shared" si="85"/>
        <v/>
      </c>
      <c r="N5460" s="15"/>
    </row>
    <row r="5461" spans="1:14" s="14" customFormat="1" ht="18" x14ac:dyDescent="0.25">
      <c r="A5461" s="91"/>
      <c r="B5461" s="90"/>
      <c r="C5461" s="88"/>
      <c r="D5461" s="89"/>
      <c r="E5461" s="90"/>
      <c r="F5461" s="91"/>
      <c r="G5461" s="90"/>
      <c r="H5461" s="92"/>
      <c r="I5461" s="87"/>
      <c r="J5461" s="93"/>
      <c r="K5461" s="92"/>
      <c r="L5461" s="72" t="str">
        <f t="shared" si="85"/>
        <v/>
      </c>
      <c r="N5461" s="15"/>
    </row>
    <row r="5462" spans="1:14" s="14" customFormat="1" ht="18" x14ac:dyDescent="0.25">
      <c r="A5462" s="91"/>
      <c r="B5462" s="90"/>
      <c r="C5462" s="88"/>
      <c r="D5462" s="89"/>
      <c r="E5462" s="90"/>
      <c r="F5462" s="91"/>
      <c r="G5462" s="90"/>
      <c r="H5462" s="92"/>
      <c r="I5462" s="87"/>
      <c r="J5462" s="93"/>
      <c r="K5462" s="92"/>
      <c r="L5462" s="72" t="str">
        <f t="shared" si="85"/>
        <v/>
      </c>
      <c r="N5462" s="15"/>
    </row>
    <row r="5463" spans="1:14" s="14" customFormat="1" ht="18" x14ac:dyDescent="0.25">
      <c r="A5463" s="91"/>
      <c r="B5463" s="90"/>
      <c r="C5463" s="88"/>
      <c r="D5463" s="89"/>
      <c r="E5463" s="90"/>
      <c r="F5463" s="91"/>
      <c r="G5463" s="90"/>
      <c r="H5463" s="92"/>
      <c r="I5463" s="87"/>
      <c r="J5463" s="93"/>
      <c r="K5463" s="92"/>
      <c r="L5463" s="72" t="str">
        <f t="shared" si="85"/>
        <v/>
      </c>
      <c r="N5463" s="15"/>
    </row>
    <row r="5464" spans="1:14" s="14" customFormat="1" ht="18" x14ac:dyDescent="0.25">
      <c r="A5464" s="91"/>
      <c r="B5464" s="90"/>
      <c r="C5464" s="88"/>
      <c r="D5464" s="89"/>
      <c r="E5464" s="90"/>
      <c r="F5464" s="91"/>
      <c r="G5464" s="90"/>
      <c r="H5464" s="92"/>
      <c r="I5464" s="87"/>
      <c r="J5464" s="93"/>
      <c r="K5464" s="92"/>
      <c r="L5464" s="72" t="str">
        <f t="shared" si="85"/>
        <v/>
      </c>
      <c r="N5464" s="15"/>
    </row>
    <row r="5465" spans="1:14" s="14" customFormat="1" ht="18" x14ac:dyDescent="0.25">
      <c r="A5465" s="91"/>
      <c r="B5465" s="90"/>
      <c r="C5465" s="88"/>
      <c r="D5465" s="89"/>
      <c r="E5465" s="90"/>
      <c r="F5465" s="91"/>
      <c r="G5465" s="90"/>
      <c r="H5465" s="92"/>
      <c r="I5465" s="87"/>
      <c r="J5465" s="93"/>
      <c r="K5465" s="92"/>
      <c r="L5465" s="72" t="str">
        <f t="shared" si="85"/>
        <v/>
      </c>
      <c r="N5465" s="15"/>
    </row>
    <row r="5466" spans="1:14" s="14" customFormat="1" ht="18" x14ac:dyDescent="0.25">
      <c r="A5466" s="91"/>
      <c r="B5466" s="90"/>
      <c r="C5466" s="88"/>
      <c r="D5466" s="89"/>
      <c r="E5466" s="90"/>
      <c r="F5466" s="91"/>
      <c r="G5466" s="90"/>
      <c r="H5466" s="92"/>
      <c r="I5466" s="87"/>
      <c r="J5466" s="93"/>
      <c r="K5466" s="92"/>
      <c r="L5466" s="72" t="str">
        <f t="shared" si="85"/>
        <v/>
      </c>
      <c r="N5466" s="15"/>
    </row>
    <row r="5467" spans="1:14" s="14" customFormat="1" ht="18" x14ac:dyDescent="0.25">
      <c r="A5467" s="91"/>
      <c r="B5467" s="90"/>
      <c r="C5467" s="88"/>
      <c r="D5467" s="89"/>
      <c r="E5467" s="90"/>
      <c r="F5467" s="91"/>
      <c r="G5467" s="90"/>
      <c r="H5467" s="92"/>
      <c r="I5467" s="87"/>
      <c r="J5467" s="93"/>
      <c r="K5467" s="92"/>
      <c r="L5467" s="72" t="str">
        <f t="shared" si="85"/>
        <v/>
      </c>
      <c r="N5467" s="15"/>
    </row>
    <row r="5468" spans="1:14" s="14" customFormat="1" ht="18" x14ac:dyDescent="0.25">
      <c r="A5468" s="91"/>
      <c r="B5468" s="90"/>
      <c r="C5468" s="88"/>
      <c r="D5468" s="89"/>
      <c r="E5468" s="90"/>
      <c r="F5468" s="91"/>
      <c r="G5468" s="90"/>
      <c r="H5468" s="92"/>
      <c r="I5468" s="87"/>
      <c r="J5468" s="93"/>
      <c r="K5468" s="92"/>
      <c r="L5468" s="72" t="str">
        <f t="shared" si="85"/>
        <v/>
      </c>
      <c r="N5468" s="15"/>
    </row>
    <row r="5469" spans="1:14" s="14" customFormat="1" ht="18" x14ac:dyDescent="0.25">
      <c r="A5469" s="91"/>
      <c r="B5469" s="90"/>
      <c r="C5469" s="88"/>
      <c r="D5469" s="89"/>
      <c r="E5469" s="90"/>
      <c r="F5469" s="91"/>
      <c r="G5469" s="90"/>
      <c r="H5469" s="92"/>
      <c r="I5469" s="87"/>
      <c r="J5469" s="93"/>
      <c r="K5469" s="92"/>
      <c r="L5469" s="72" t="str">
        <f t="shared" si="85"/>
        <v/>
      </c>
      <c r="N5469" s="15"/>
    </row>
    <row r="5470" spans="1:14" s="14" customFormat="1" ht="18" x14ac:dyDescent="0.25">
      <c r="A5470" s="91"/>
      <c r="B5470" s="90"/>
      <c r="C5470" s="88"/>
      <c r="D5470" s="89"/>
      <c r="E5470" s="90"/>
      <c r="F5470" s="91"/>
      <c r="G5470" s="90"/>
      <c r="H5470" s="92"/>
      <c r="I5470" s="87"/>
      <c r="J5470" s="93"/>
      <c r="K5470" s="92"/>
      <c r="L5470" s="72" t="str">
        <f t="shared" ref="L5470:L5533" si="86">IF(ISBLANK(H5470),"",IF(H5470=K5470,"Payé","Impayé"))</f>
        <v/>
      </c>
      <c r="N5470" s="15"/>
    </row>
    <row r="5471" spans="1:14" s="14" customFormat="1" ht="18" x14ac:dyDescent="0.25">
      <c r="A5471" s="91"/>
      <c r="B5471" s="90"/>
      <c r="C5471" s="88"/>
      <c r="D5471" s="89"/>
      <c r="E5471" s="90"/>
      <c r="F5471" s="91"/>
      <c r="G5471" s="90"/>
      <c r="H5471" s="92"/>
      <c r="I5471" s="87"/>
      <c r="J5471" s="93"/>
      <c r="K5471" s="92"/>
      <c r="L5471" s="72" t="str">
        <f t="shared" si="86"/>
        <v/>
      </c>
      <c r="N5471" s="15"/>
    </row>
    <row r="5472" spans="1:14" s="14" customFormat="1" ht="18" x14ac:dyDescent="0.25">
      <c r="A5472" s="91"/>
      <c r="B5472" s="90"/>
      <c r="C5472" s="88"/>
      <c r="D5472" s="89"/>
      <c r="E5472" s="90"/>
      <c r="F5472" s="91"/>
      <c r="G5472" s="90"/>
      <c r="H5472" s="92"/>
      <c r="I5472" s="87"/>
      <c r="J5472" s="93"/>
      <c r="K5472" s="92"/>
      <c r="L5472" s="72" t="str">
        <f t="shared" si="86"/>
        <v/>
      </c>
      <c r="N5472" s="15"/>
    </row>
    <row r="5473" spans="1:14" s="14" customFormat="1" ht="18" x14ac:dyDescent="0.25">
      <c r="A5473" s="91"/>
      <c r="B5473" s="90"/>
      <c r="C5473" s="88"/>
      <c r="D5473" s="89"/>
      <c r="E5473" s="90"/>
      <c r="F5473" s="91"/>
      <c r="G5473" s="90"/>
      <c r="H5473" s="92"/>
      <c r="I5473" s="87"/>
      <c r="J5473" s="93"/>
      <c r="K5473" s="92"/>
      <c r="L5473" s="72" t="str">
        <f t="shared" si="86"/>
        <v/>
      </c>
      <c r="N5473" s="15"/>
    </row>
    <row r="5474" spans="1:14" s="14" customFormat="1" ht="18" x14ac:dyDescent="0.25">
      <c r="A5474" s="91"/>
      <c r="B5474" s="90"/>
      <c r="C5474" s="88"/>
      <c r="D5474" s="89"/>
      <c r="E5474" s="90"/>
      <c r="F5474" s="91"/>
      <c r="G5474" s="90"/>
      <c r="H5474" s="92"/>
      <c r="I5474" s="87"/>
      <c r="J5474" s="93"/>
      <c r="K5474" s="92"/>
      <c r="L5474" s="72" t="str">
        <f t="shared" si="86"/>
        <v/>
      </c>
      <c r="N5474" s="15"/>
    </row>
    <row r="5475" spans="1:14" s="14" customFormat="1" ht="18" x14ac:dyDescent="0.25">
      <c r="A5475" s="91"/>
      <c r="B5475" s="90"/>
      <c r="C5475" s="88"/>
      <c r="D5475" s="89"/>
      <c r="E5475" s="90"/>
      <c r="F5475" s="91"/>
      <c r="G5475" s="90"/>
      <c r="H5475" s="92"/>
      <c r="I5475" s="87"/>
      <c r="J5475" s="93"/>
      <c r="K5475" s="92"/>
      <c r="L5475" s="72" t="str">
        <f t="shared" si="86"/>
        <v/>
      </c>
      <c r="N5475" s="15"/>
    </row>
    <row r="5476" spans="1:14" s="14" customFormat="1" ht="18" x14ac:dyDescent="0.25">
      <c r="A5476" s="91"/>
      <c r="B5476" s="90"/>
      <c r="C5476" s="88"/>
      <c r="D5476" s="89"/>
      <c r="E5476" s="90"/>
      <c r="F5476" s="91"/>
      <c r="G5476" s="90"/>
      <c r="H5476" s="92"/>
      <c r="I5476" s="87"/>
      <c r="J5476" s="93"/>
      <c r="K5476" s="92"/>
      <c r="L5476" s="72" t="str">
        <f t="shared" si="86"/>
        <v/>
      </c>
      <c r="N5476" s="15"/>
    </row>
    <row r="5477" spans="1:14" s="14" customFormat="1" ht="18" x14ac:dyDescent="0.25">
      <c r="A5477" s="91"/>
      <c r="B5477" s="90"/>
      <c r="C5477" s="88"/>
      <c r="D5477" s="89"/>
      <c r="E5477" s="90"/>
      <c r="F5477" s="91"/>
      <c r="G5477" s="90"/>
      <c r="H5477" s="92"/>
      <c r="I5477" s="87"/>
      <c r="J5477" s="93"/>
      <c r="K5477" s="92"/>
      <c r="L5477" s="72" t="str">
        <f t="shared" si="86"/>
        <v/>
      </c>
      <c r="N5477" s="15"/>
    </row>
    <row r="5478" spans="1:14" s="14" customFormat="1" ht="18" x14ac:dyDescent="0.25">
      <c r="A5478" s="91"/>
      <c r="B5478" s="90"/>
      <c r="C5478" s="88"/>
      <c r="D5478" s="89"/>
      <c r="E5478" s="90"/>
      <c r="F5478" s="91"/>
      <c r="G5478" s="90"/>
      <c r="H5478" s="92"/>
      <c r="I5478" s="87"/>
      <c r="J5478" s="93"/>
      <c r="K5478" s="92"/>
      <c r="L5478" s="72" t="str">
        <f t="shared" si="86"/>
        <v/>
      </c>
      <c r="N5478" s="15"/>
    </row>
    <row r="5479" spans="1:14" s="14" customFormat="1" ht="18" x14ac:dyDescent="0.25">
      <c r="A5479" s="91"/>
      <c r="B5479" s="90"/>
      <c r="C5479" s="88"/>
      <c r="D5479" s="89"/>
      <c r="E5479" s="90"/>
      <c r="F5479" s="91"/>
      <c r="G5479" s="90"/>
      <c r="H5479" s="92"/>
      <c r="I5479" s="87"/>
      <c r="J5479" s="93"/>
      <c r="K5479" s="92"/>
      <c r="L5479" s="72" t="str">
        <f t="shared" si="86"/>
        <v/>
      </c>
      <c r="N5479" s="15"/>
    </row>
    <row r="5480" spans="1:14" s="14" customFormat="1" ht="18" x14ac:dyDescent="0.25">
      <c r="A5480" s="91"/>
      <c r="B5480" s="90"/>
      <c r="C5480" s="88"/>
      <c r="D5480" s="89"/>
      <c r="E5480" s="90"/>
      <c r="F5480" s="91"/>
      <c r="G5480" s="90"/>
      <c r="H5480" s="92"/>
      <c r="I5480" s="87"/>
      <c r="J5480" s="93"/>
      <c r="K5480" s="92"/>
      <c r="L5480" s="72" t="str">
        <f t="shared" si="86"/>
        <v/>
      </c>
      <c r="N5480" s="15"/>
    </row>
    <row r="5481" spans="1:14" s="14" customFormat="1" ht="18" x14ac:dyDescent="0.25">
      <c r="A5481" s="91"/>
      <c r="B5481" s="90"/>
      <c r="C5481" s="88"/>
      <c r="D5481" s="89"/>
      <c r="E5481" s="90"/>
      <c r="F5481" s="91"/>
      <c r="G5481" s="90"/>
      <c r="H5481" s="92"/>
      <c r="I5481" s="87"/>
      <c r="J5481" s="93"/>
      <c r="K5481" s="92"/>
      <c r="L5481" s="72" t="str">
        <f t="shared" si="86"/>
        <v/>
      </c>
      <c r="N5481" s="15"/>
    </row>
    <row r="5482" spans="1:14" s="14" customFormat="1" ht="18" x14ac:dyDescent="0.25">
      <c r="A5482" s="91"/>
      <c r="B5482" s="90"/>
      <c r="C5482" s="88"/>
      <c r="D5482" s="89"/>
      <c r="E5482" s="90"/>
      <c r="F5482" s="91"/>
      <c r="G5482" s="90"/>
      <c r="H5482" s="92"/>
      <c r="I5482" s="87"/>
      <c r="J5482" s="93"/>
      <c r="K5482" s="92"/>
      <c r="L5482" s="72" t="str">
        <f t="shared" si="86"/>
        <v/>
      </c>
      <c r="N5482" s="15"/>
    </row>
    <row r="5483" spans="1:14" s="14" customFormat="1" ht="18" x14ac:dyDescent="0.25">
      <c r="A5483" s="91"/>
      <c r="B5483" s="90"/>
      <c r="C5483" s="88"/>
      <c r="D5483" s="89"/>
      <c r="E5483" s="90"/>
      <c r="F5483" s="91"/>
      <c r="G5483" s="90"/>
      <c r="H5483" s="92"/>
      <c r="I5483" s="87"/>
      <c r="J5483" s="93"/>
      <c r="K5483" s="92"/>
      <c r="L5483" s="72" t="str">
        <f t="shared" si="86"/>
        <v/>
      </c>
      <c r="N5483" s="15"/>
    </row>
    <row r="5484" spans="1:14" s="14" customFormat="1" ht="18" x14ac:dyDescent="0.25">
      <c r="A5484" s="91"/>
      <c r="B5484" s="90"/>
      <c r="C5484" s="88"/>
      <c r="D5484" s="89"/>
      <c r="E5484" s="90"/>
      <c r="F5484" s="91"/>
      <c r="G5484" s="90"/>
      <c r="H5484" s="92"/>
      <c r="I5484" s="87"/>
      <c r="J5484" s="93"/>
      <c r="K5484" s="92"/>
      <c r="L5484" s="72" t="str">
        <f t="shared" si="86"/>
        <v/>
      </c>
      <c r="N5484" s="15"/>
    </row>
    <row r="5485" spans="1:14" s="14" customFormat="1" ht="18" x14ac:dyDescent="0.25">
      <c r="A5485" s="91"/>
      <c r="B5485" s="90"/>
      <c r="C5485" s="88"/>
      <c r="D5485" s="89"/>
      <c r="E5485" s="90"/>
      <c r="F5485" s="91"/>
      <c r="G5485" s="90"/>
      <c r="H5485" s="92"/>
      <c r="I5485" s="87"/>
      <c r="J5485" s="93"/>
      <c r="K5485" s="92"/>
      <c r="L5485" s="72" t="str">
        <f t="shared" si="86"/>
        <v/>
      </c>
      <c r="N5485" s="15"/>
    </row>
    <row r="5486" spans="1:14" s="14" customFormat="1" ht="18" x14ac:dyDescent="0.25">
      <c r="A5486" s="91"/>
      <c r="B5486" s="90"/>
      <c r="C5486" s="88"/>
      <c r="D5486" s="89"/>
      <c r="E5486" s="90"/>
      <c r="F5486" s="91"/>
      <c r="G5486" s="90"/>
      <c r="H5486" s="92"/>
      <c r="I5486" s="87"/>
      <c r="J5486" s="93"/>
      <c r="K5486" s="92"/>
      <c r="L5486" s="72" t="str">
        <f t="shared" si="86"/>
        <v/>
      </c>
      <c r="N5486" s="15"/>
    </row>
    <row r="5487" spans="1:14" s="14" customFormat="1" ht="18" x14ac:dyDescent="0.25">
      <c r="A5487" s="91"/>
      <c r="B5487" s="90"/>
      <c r="C5487" s="88"/>
      <c r="D5487" s="89"/>
      <c r="E5487" s="90"/>
      <c r="F5487" s="91"/>
      <c r="G5487" s="90"/>
      <c r="H5487" s="92"/>
      <c r="I5487" s="87"/>
      <c r="J5487" s="93"/>
      <c r="K5487" s="92"/>
      <c r="L5487" s="72" t="str">
        <f t="shared" si="86"/>
        <v/>
      </c>
      <c r="N5487" s="15"/>
    </row>
    <row r="5488" spans="1:14" s="14" customFormat="1" ht="18" x14ac:dyDescent="0.25">
      <c r="A5488" s="91"/>
      <c r="B5488" s="90"/>
      <c r="C5488" s="88"/>
      <c r="D5488" s="89"/>
      <c r="E5488" s="90"/>
      <c r="F5488" s="91"/>
      <c r="G5488" s="90"/>
      <c r="H5488" s="92"/>
      <c r="I5488" s="87"/>
      <c r="J5488" s="93"/>
      <c r="K5488" s="92"/>
      <c r="L5488" s="72" t="str">
        <f t="shared" si="86"/>
        <v/>
      </c>
      <c r="N5488" s="15"/>
    </row>
    <row r="5489" spans="1:14" s="14" customFormat="1" ht="18" x14ac:dyDescent="0.25">
      <c r="A5489" s="91"/>
      <c r="B5489" s="90"/>
      <c r="C5489" s="88"/>
      <c r="D5489" s="89"/>
      <c r="E5489" s="90"/>
      <c r="F5489" s="91"/>
      <c r="G5489" s="90"/>
      <c r="H5489" s="92"/>
      <c r="I5489" s="87"/>
      <c r="J5489" s="93"/>
      <c r="K5489" s="92"/>
      <c r="L5489" s="72" t="str">
        <f t="shared" si="86"/>
        <v/>
      </c>
      <c r="N5489" s="15"/>
    </row>
    <row r="5490" spans="1:14" s="14" customFormat="1" ht="18" x14ac:dyDescent="0.25">
      <c r="A5490" s="91"/>
      <c r="B5490" s="90"/>
      <c r="C5490" s="88"/>
      <c r="D5490" s="89"/>
      <c r="E5490" s="90"/>
      <c r="F5490" s="91"/>
      <c r="G5490" s="90"/>
      <c r="H5490" s="92"/>
      <c r="I5490" s="87"/>
      <c r="J5490" s="93"/>
      <c r="K5490" s="92"/>
      <c r="L5490" s="72" t="str">
        <f t="shared" si="86"/>
        <v/>
      </c>
      <c r="N5490" s="15"/>
    </row>
    <row r="5491" spans="1:14" s="14" customFormat="1" ht="18" x14ac:dyDescent="0.25">
      <c r="A5491" s="91"/>
      <c r="B5491" s="90"/>
      <c r="C5491" s="88"/>
      <c r="D5491" s="89"/>
      <c r="E5491" s="90"/>
      <c r="F5491" s="91"/>
      <c r="G5491" s="90"/>
      <c r="H5491" s="92"/>
      <c r="I5491" s="87"/>
      <c r="J5491" s="93"/>
      <c r="K5491" s="92"/>
      <c r="L5491" s="72" t="str">
        <f t="shared" si="86"/>
        <v/>
      </c>
      <c r="N5491" s="15"/>
    </row>
    <row r="5492" spans="1:14" s="14" customFormat="1" ht="18" x14ac:dyDescent="0.25">
      <c r="A5492" s="91"/>
      <c r="B5492" s="90"/>
      <c r="C5492" s="88"/>
      <c r="D5492" s="89"/>
      <c r="E5492" s="90"/>
      <c r="F5492" s="91"/>
      <c r="G5492" s="90"/>
      <c r="H5492" s="92"/>
      <c r="I5492" s="87"/>
      <c r="J5492" s="93"/>
      <c r="K5492" s="92"/>
      <c r="L5492" s="72" t="str">
        <f t="shared" si="86"/>
        <v/>
      </c>
      <c r="N5492" s="15"/>
    </row>
    <row r="5493" spans="1:14" s="14" customFormat="1" ht="18" x14ac:dyDescent="0.25">
      <c r="A5493" s="91"/>
      <c r="B5493" s="90"/>
      <c r="C5493" s="88"/>
      <c r="D5493" s="89"/>
      <c r="E5493" s="90"/>
      <c r="F5493" s="91"/>
      <c r="G5493" s="90"/>
      <c r="H5493" s="92"/>
      <c r="I5493" s="87"/>
      <c r="J5493" s="93"/>
      <c r="K5493" s="92"/>
      <c r="L5493" s="72" t="str">
        <f t="shared" si="86"/>
        <v/>
      </c>
      <c r="N5493" s="15"/>
    </row>
    <row r="5494" spans="1:14" s="14" customFormat="1" ht="18" x14ac:dyDescent="0.25">
      <c r="A5494" s="91"/>
      <c r="B5494" s="90"/>
      <c r="C5494" s="88"/>
      <c r="D5494" s="89"/>
      <c r="E5494" s="90"/>
      <c r="F5494" s="91"/>
      <c r="G5494" s="90"/>
      <c r="H5494" s="92"/>
      <c r="I5494" s="87"/>
      <c r="J5494" s="93"/>
      <c r="K5494" s="92"/>
      <c r="L5494" s="72" t="str">
        <f t="shared" si="86"/>
        <v/>
      </c>
      <c r="N5494" s="15"/>
    </row>
    <row r="5495" spans="1:14" s="14" customFormat="1" ht="18" x14ac:dyDescent="0.25">
      <c r="A5495" s="91"/>
      <c r="B5495" s="90"/>
      <c r="C5495" s="88"/>
      <c r="D5495" s="89"/>
      <c r="E5495" s="90"/>
      <c r="F5495" s="91"/>
      <c r="G5495" s="90"/>
      <c r="H5495" s="92"/>
      <c r="I5495" s="87"/>
      <c r="J5495" s="93"/>
      <c r="K5495" s="92"/>
      <c r="L5495" s="72" t="str">
        <f t="shared" si="86"/>
        <v/>
      </c>
      <c r="N5495" s="15"/>
    </row>
    <row r="5496" spans="1:14" s="14" customFormat="1" ht="18" x14ac:dyDescent="0.25">
      <c r="A5496" s="91"/>
      <c r="B5496" s="90"/>
      <c r="C5496" s="88"/>
      <c r="D5496" s="89"/>
      <c r="E5496" s="90"/>
      <c r="F5496" s="91"/>
      <c r="G5496" s="90"/>
      <c r="H5496" s="92"/>
      <c r="I5496" s="87"/>
      <c r="J5496" s="93"/>
      <c r="K5496" s="92"/>
      <c r="L5496" s="72" t="str">
        <f t="shared" si="86"/>
        <v/>
      </c>
      <c r="N5496" s="15"/>
    </row>
    <row r="5497" spans="1:14" s="14" customFormat="1" ht="18" x14ac:dyDescent="0.25">
      <c r="A5497" s="91"/>
      <c r="B5497" s="90"/>
      <c r="C5497" s="88"/>
      <c r="D5497" s="89"/>
      <c r="E5497" s="90"/>
      <c r="F5497" s="91"/>
      <c r="G5497" s="90"/>
      <c r="H5497" s="92"/>
      <c r="I5497" s="87"/>
      <c r="J5497" s="93"/>
      <c r="K5497" s="92"/>
      <c r="L5497" s="72" t="str">
        <f t="shared" si="86"/>
        <v/>
      </c>
      <c r="N5497" s="15"/>
    </row>
    <row r="5498" spans="1:14" s="14" customFormat="1" ht="18" x14ac:dyDescent="0.25">
      <c r="A5498" s="91"/>
      <c r="B5498" s="90"/>
      <c r="C5498" s="88"/>
      <c r="D5498" s="89"/>
      <c r="E5498" s="90"/>
      <c r="F5498" s="91"/>
      <c r="G5498" s="90"/>
      <c r="H5498" s="92"/>
      <c r="I5498" s="87"/>
      <c r="J5498" s="93"/>
      <c r="K5498" s="92"/>
      <c r="L5498" s="72" t="str">
        <f t="shared" si="86"/>
        <v/>
      </c>
      <c r="N5498" s="15"/>
    </row>
    <row r="5499" spans="1:14" s="14" customFormat="1" ht="18" x14ac:dyDescent="0.25">
      <c r="A5499" s="91"/>
      <c r="B5499" s="90"/>
      <c r="C5499" s="88"/>
      <c r="D5499" s="89"/>
      <c r="E5499" s="90"/>
      <c r="F5499" s="91"/>
      <c r="G5499" s="90"/>
      <c r="H5499" s="92"/>
      <c r="I5499" s="87"/>
      <c r="J5499" s="93"/>
      <c r="K5499" s="92"/>
      <c r="L5499" s="72" t="str">
        <f t="shared" si="86"/>
        <v/>
      </c>
      <c r="N5499" s="15"/>
    </row>
    <row r="5500" spans="1:14" s="14" customFormat="1" ht="18" x14ac:dyDescent="0.25">
      <c r="A5500" s="91"/>
      <c r="B5500" s="90"/>
      <c r="C5500" s="88"/>
      <c r="D5500" s="89"/>
      <c r="E5500" s="90"/>
      <c r="F5500" s="91"/>
      <c r="G5500" s="90"/>
      <c r="H5500" s="92"/>
      <c r="I5500" s="87"/>
      <c r="J5500" s="93"/>
      <c r="K5500" s="92"/>
      <c r="L5500" s="72" t="str">
        <f t="shared" si="86"/>
        <v/>
      </c>
      <c r="N5500" s="15"/>
    </row>
    <row r="5501" spans="1:14" s="14" customFormat="1" ht="18" x14ac:dyDescent="0.25">
      <c r="A5501" s="91"/>
      <c r="B5501" s="90"/>
      <c r="C5501" s="88"/>
      <c r="D5501" s="89"/>
      <c r="E5501" s="90"/>
      <c r="F5501" s="91"/>
      <c r="G5501" s="90"/>
      <c r="H5501" s="92"/>
      <c r="I5501" s="87"/>
      <c r="J5501" s="93"/>
      <c r="K5501" s="92"/>
      <c r="L5501" s="72" t="str">
        <f t="shared" si="86"/>
        <v/>
      </c>
      <c r="N5501" s="15"/>
    </row>
    <row r="5502" spans="1:14" s="14" customFormat="1" ht="18" x14ac:dyDescent="0.25">
      <c r="A5502" s="91"/>
      <c r="B5502" s="90"/>
      <c r="C5502" s="88"/>
      <c r="D5502" s="89"/>
      <c r="E5502" s="90"/>
      <c r="F5502" s="91"/>
      <c r="G5502" s="90"/>
      <c r="H5502" s="92"/>
      <c r="I5502" s="87"/>
      <c r="J5502" s="93"/>
      <c r="K5502" s="92"/>
      <c r="L5502" s="72" t="str">
        <f t="shared" si="86"/>
        <v/>
      </c>
      <c r="N5502" s="15"/>
    </row>
    <row r="5503" spans="1:14" s="14" customFormat="1" ht="18" x14ac:dyDescent="0.25">
      <c r="A5503" s="91"/>
      <c r="B5503" s="90"/>
      <c r="C5503" s="88"/>
      <c r="D5503" s="89"/>
      <c r="E5503" s="90"/>
      <c r="F5503" s="91"/>
      <c r="G5503" s="90"/>
      <c r="H5503" s="92"/>
      <c r="I5503" s="87"/>
      <c r="J5503" s="93"/>
      <c r="K5503" s="92"/>
      <c r="L5503" s="72" t="str">
        <f t="shared" si="86"/>
        <v/>
      </c>
      <c r="N5503" s="15"/>
    </row>
    <row r="5504" spans="1:14" s="14" customFormat="1" ht="18" x14ac:dyDescent="0.25">
      <c r="A5504" s="91"/>
      <c r="B5504" s="90"/>
      <c r="C5504" s="88"/>
      <c r="D5504" s="89"/>
      <c r="E5504" s="90"/>
      <c r="F5504" s="91"/>
      <c r="G5504" s="90"/>
      <c r="H5504" s="92"/>
      <c r="I5504" s="87"/>
      <c r="J5504" s="93"/>
      <c r="K5504" s="92"/>
      <c r="L5504" s="72" t="str">
        <f t="shared" si="86"/>
        <v/>
      </c>
      <c r="N5504" s="15"/>
    </row>
    <row r="5505" spans="1:14" s="14" customFormat="1" ht="18" x14ac:dyDescent="0.25">
      <c r="A5505" s="91"/>
      <c r="B5505" s="90"/>
      <c r="C5505" s="88"/>
      <c r="D5505" s="89"/>
      <c r="E5505" s="90"/>
      <c r="F5505" s="91"/>
      <c r="G5505" s="90"/>
      <c r="H5505" s="92"/>
      <c r="I5505" s="87"/>
      <c r="J5505" s="93"/>
      <c r="K5505" s="92"/>
      <c r="L5505" s="72" t="str">
        <f t="shared" si="86"/>
        <v/>
      </c>
      <c r="N5505" s="15"/>
    </row>
    <row r="5506" spans="1:14" s="14" customFormat="1" ht="18" x14ac:dyDescent="0.25">
      <c r="A5506" s="91"/>
      <c r="B5506" s="90"/>
      <c r="C5506" s="88"/>
      <c r="D5506" s="89"/>
      <c r="E5506" s="90"/>
      <c r="F5506" s="91"/>
      <c r="G5506" s="90"/>
      <c r="H5506" s="92"/>
      <c r="I5506" s="87"/>
      <c r="J5506" s="93"/>
      <c r="K5506" s="92"/>
      <c r="L5506" s="72" t="str">
        <f t="shared" si="86"/>
        <v/>
      </c>
      <c r="N5506" s="15"/>
    </row>
    <row r="5507" spans="1:14" s="14" customFormat="1" ht="18" x14ac:dyDescent="0.25">
      <c r="A5507" s="91"/>
      <c r="B5507" s="90"/>
      <c r="C5507" s="88"/>
      <c r="D5507" s="89"/>
      <c r="E5507" s="90"/>
      <c r="F5507" s="91"/>
      <c r="G5507" s="90"/>
      <c r="H5507" s="92"/>
      <c r="I5507" s="87"/>
      <c r="J5507" s="93"/>
      <c r="K5507" s="92"/>
      <c r="L5507" s="72" t="str">
        <f t="shared" si="86"/>
        <v/>
      </c>
      <c r="N5507" s="15"/>
    </row>
    <row r="5508" spans="1:14" s="14" customFormat="1" ht="18" x14ac:dyDescent="0.25">
      <c r="A5508" s="91"/>
      <c r="B5508" s="90"/>
      <c r="C5508" s="88"/>
      <c r="D5508" s="89"/>
      <c r="E5508" s="90"/>
      <c r="F5508" s="91"/>
      <c r="G5508" s="90"/>
      <c r="H5508" s="92"/>
      <c r="I5508" s="87"/>
      <c r="J5508" s="93"/>
      <c r="K5508" s="92"/>
      <c r="L5508" s="72" t="str">
        <f t="shared" si="86"/>
        <v/>
      </c>
      <c r="N5508" s="15"/>
    </row>
    <row r="5509" spans="1:14" s="14" customFormat="1" ht="18" x14ac:dyDescent="0.25">
      <c r="A5509" s="91"/>
      <c r="B5509" s="90"/>
      <c r="C5509" s="88"/>
      <c r="D5509" s="89"/>
      <c r="E5509" s="90"/>
      <c r="F5509" s="91"/>
      <c r="G5509" s="90"/>
      <c r="H5509" s="92"/>
      <c r="I5509" s="87"/>
      <c r="J5509" s="93"/>
      <c r="K5509" s="92"/>
      <c r="L5509" s="72" t="str">
        <f t="shared" si="86"/>
        <v/>
      </c>
      <c r="N5509" s="15"/>
    </row>
    <row r="5510" spans="1:14" s="14" customFormat="1" ht="18" x14ac:dyDescent="0.25">
      <c r="A5510" s="91"/>
      <c r="B5510" s="90"/>
      <c r="C5510" s="88"/>
      <c r="D5510" s="89"/>
      <c r="E5510" s="90"/>
      <c r="F5510" s="91"/>
      <c r="G5510" s="90"/>
      <c r="H5510" s="92"/>
      <c r="I5510" s="87"/>
      <c r="J5510" s="93"/>
      <c r="K5510" s="92"/>
      <c r="L5510" s="72" t="str">
        <f t="shared" si="86"/>
        <v/>
      </c>
      <c r="N5510" s="15"/>
    </row>
    <row r="5511" spans="1:14" s="14" customFormat="1" ht="18" x14ac:dyDescent="0.25">
      <c r="A5511" s="91"/>
      <c r="B5511" s="90"/>
      <c r="C5511" s="88"/>
      <c r="D5511" s="89"/>
      <c r="E5511" s="90"/>
      <c r="F5511" s="91"/>
      <c r="G5511" s="90"/>
      <c r="H5511" s="92"/>
      <c r="I5511" s="87"/>
      <c r="J5511" s="93"/>
      <c r="K5511" s="92"/>
      <c r="L5511" s="72" t="str">
        <f t="shared" si="86"/>
        <v/>
      </c>
      <c r="N5511" s="15"/>
    </row>
    <row r="5512" spans="1:14" s="14" customFormat="1" ht="18" x14ac:dyDescent="0.25">
      <c r="A5512" s="91"/>
      <c r="B5512" s="90"/>
      <c r="C5512" s="88"/>
      <c r="D5512" s="89"/>
      <c r="E5512" s="90"/>
      <c r="F5512" s="91"/>
      <c r="G5512" s="90"/>
      <c r="H5512" s="92"/>
      <c r="I5512" s="87"/>
      <c r="J5512" s="93"/>
      <c r="K5512" s="92"/>
      <c r="L5512" s="72" t="str">
        <f t="shared" si="86"/>
        <v/>
      </c>
      <c r="N5512" s="15"/>
    </row>
    <row r="5513" spans="1:14" s="14" customFormat="1" ht="18" x14ac:dyDescent="0.25">
      <c r="A5513" s="91"/>
      <c r="B5513" s="90"/>
      <c r="C5513" s="88"/>
      <c r="D5513" s="89"/>
      <c r="E5513" s="90"/>
      <c r="F5513" s="91"/>
      <c r="G5513" s="90"/>
      <c r="H5513" s="92"/>
      <c r="I5513" s="87"/>
      <c r="J5513" s="93"/>
      <c r="K5513" s="92"/>
      <c r="L5513" s="72" t="str">
        <f t="shared" si="86"/>
        <v/>
      </c>
      <c r="N5513" s="15"/>
    </row>
    <row r="5514" spans="1:14" s="14" customFormat="1" ht="18" x14ac:dyDescent="0.25">
      <c r="A5514" s="91"/>
      <c r="B5514" s="90"/>
      <c r="C5514" s="88"/>
      <c r="D5514" s="89"/>
      <c r="E5514" s="90"/>
      <c r="F5514" s="91"/>
      <c r="G5514" s="90"/>
      <c r="H5514" s="92"/>
      <c r="I5514" s="87"/>
      <c r="J5514" s="93"/>
      <c r="K5514" s="92"/>
      <c r="L5514" s="72" t="str">
        <f t="shared" si="86"/>
        <v/>
      </c>
      <c r="N5514" s="15"/>
    </row>
    <row r="5515" spans="1:14" s="14" customFormat="1" ht="18" x14ac:dyDescent="0.25">
      <c r="A5515" s="91"/>
      <c r="B5515" s="90"/>
      <c r="C5515" s="88"/>
      <c r="D5515" s="89"/>
      <c r="E5515" s="90"/>
      <c r="F5515" s="91"/>
      <c r="G5515" s="90"/>
      <c r="H5515" s="92"/>
      <c r="I5515" s="87"/>
      <c r="J5515" s="93"/>
      <c r="K5515" s="92"/>
      <c r="L5515" s="72" t="str">
        <f t="shared" si="86"/>
        <v/>
      </c>
      <c r="N5515" s="15"/>
    </row>
    <row r="5516" spans="1:14" s="14" customFormat="1" ht="18" x14ac:dyDescent="0.25">
      <c r="A5516" s="91"/>
      <c r="B5516" s="90"/>
      <c r="C5516" s="88"/>
      <c r="D5516" s="89"/>
      <c r="E5516" s="90"/>
      <c r="F5516" s="91"/>
      <c r="G5516" s="90"/>
      <c r="H5516" s="92"/>
      <c r="I5516" s="87"/>
      <c r="J5516" s="93"/>
      <c r="K5516" s="92"/>
      <c r="L5516" s="72" t="str">
        <f t="shared" si="86"/>
        <v/>
      </c>
      <c r="N5516" s="15"/>
    </row>
    <row r="5517" spans="1:14" s="14" customFormat="1" ht="18" x14ac:dyDescent="0.25">
      <c r="A5517" s="91"/>
      <c r="B5517" s="90"/>
      <c r="C5517" s="88"/>
      <c r="D5517" s="89"/>
      <c r="E5517" s="90"/>
      <c r="F5517" s="91"/>
      <c r="G5517" s="90"/>
      <c r="H5517" s="92"/>
      <c r="I5517" s="87"/>
      <c r="J5517" s="93"/>
      <c r="K5517" s="92"/>
      <c r="L5517" s="72" t="str">
        <f t="shared" si="86"/>
        <v/>
      </c>
      <c r="N5517" s="15"/>
    </row>
    <row r="5518" spans="1:14" s="14" customFormat="1" ht="18" x14ac:dyDescent="0.25">
      <c r="A5518" s="91"/>
      <c r="B5518" s="90"/>
      <c r="C5518" s="88"/>
      <c r="D5518" s="89"/>
      <c r="E5518" s="90"/>
      <c r="F5518" s="91"/>
      <c r="G5518" s="90"/>
      <c r="H5518" s="92"/>
      <c r="I5518" s="87"/>
      <c r="J5518" s="93"/>
      <c r="K5518" s="92"/>
      <c r="L5518" s="72" t="str">
        <f t="shared" si="86"/>
        <v/>
      </c>
      <c r="N5518" s="15"/>
    </row>
    <row r="5519" spans="1:14" s="14" customFormat="1" ht="18" x14ac:dyDescent="0.25">
      <c r="A5519" s="91"/>
      <c r="B5519" s="90"/>
      <c r="C5519" s="88"/>
      <c r="D5519" s="89"/>
      <c r="E5519" s="90"/>
      <c r="F5519" s="91"/>
      <c r="G5519" s="90"/>
      <c r="H5519" s="92"/>
      <c r="I5519" s="87"/>
      <c r="J5519" s="93"/>
      <c r="K5519" s="92"/>
      <c r="L5519" s="72" t="str">
        <f t="shared" si="86"/>
        <v/>
      </c>
      <c r="N5519" s="15"/>
    </row>
    <row r="5520" spans="1:14" s="14" customFormat="1" ht="18" x14ac:dyDescent="0.25">
      <c r="A5520" s="91"/>
      <c r="B5520" s="90"/>
      <c r="C5520" s="88"/>
      <c r="D5520" s="89"/>
      <c r="E5520" s="90"/>
      <c r="F5520" s="91"/>
      <c r="G5520" s="90"/>
      <c r="H5520" s="92"/>
      <c r="I5520" s="87"/>
      <c r="J5520" s="93"/>
      <c r="K5520" s="92"/>
      <c r="L5520" s="72" t="str">
        <f t="shared" si="86"/>
        <v/>
      </c>
      <c r="N5520" s="15"/>
    </row>
    <row r="5521" spans="1:14" s="14" customFormat="1" ht="18" x14ac:dyDescent="0.25">
      <c r="A5521" s="91"/>
      <c r="B5521" s="90"/>
      <c r="C5521" s="88"/>
      <c r="D5521" s="89"/>
      <c r="E5521" s="90"/>
      <c r="F5521" s="91"/>
      <c r="G5521" s="90"/>
      <c r="H5521" s="92"/>
      <c r="I5521" s="87"/>
      <c r="J5521" s="93"/>
      <c r="K5521" s="92"/>
      <c r="L5521" s="72" t="str">
        <f t="shared" si="86"/>
        <v/>
      </c>
      <c r="N5521" s="15"/>
    </row>
    <row r="5522" spans="1:14" s="14" customFormat="1" ht="18" x14ac:dyDescent="0.25">
      <c r="A5522" s="91"/>
      <c r="B5522" s="90"/>
      <c r="C5522" s="88"/>
      <c r="D5522" s="89"/>
      <c r="E5522" s="90"/>
      <c r="F5522" s="91"/>
      <c r="G5522" s="90"/>
      <c r="H5522" s="92"/>
      <c r="I5522" s="87"/>
      <c r="J5522" s="93"/>
      <c r="K5522" s="92"/>
      <c r="L5522" s="72" t="str">
        <f t="shared" si="86"/>
        <v/>
      </c>
      <c r="N5522" s="15"/>
    </row>
    <row r="5523" spans="1:14" s="14" customFormat="1" ht="18" x14ac:dyDescent="0.25">
      <c r="A5523" s="91"/>
      <c r="B5523" s="90"/>
      <c r="C5523" s="88"/>
      <c r="D5523" s="89"/>
      <c r="E5523" s="90"/>
      <c r="F5523" s="91"/>
      <c r="G5523" s="90"/>
      <c r="H5523" s="92"/>
      <c r="I5523" s="87"/>
      <c r="J5523" s="93"/>
      <c r="K5523" s="92"/>
      <c r="L5523" s="72" t="str">
        <f t="shared" si="86"/>
        <v/>
      </c>
      <c r="N5523" s="15"/>
    </row>
    <row r="5524" spans="1:14" s="14" customFormat="1" ht="18" x14ac:dyDescent="0.25">
      <c r="A5524" s="91"/>
      <c r="B5524" s="90"/>
      <c r="C5524" s="88"/>
      <c r="D5524" s="89"/>
      <c r="E5524" s="90"/>
      <c r="F5524" s="91"/>
      <c r="G5524" s="90"/>
      <c r="H5524" s="92"/>
      <c r="I5524" s="87"/>
      <c r="J5524" s="93"/>
      <c r="K5524" s="92"/>
      <c r="L5524" s="72" t="str">
        <f t="shared" si="86"/>
        <v/>
      </c>
      <c r="N5524" s="15"/>
    </row>
    <row r="5525" spans="1:14" s="14" customFormat="1" ht="18" x14ac:dyDescent="0.25">
      <c r="A5525" s="91"/>
      <c r="B5525" s="90"/>
      <c r="C5525" s="88"/>
      <c r="D5525" s="89"/>
      <c r="E5525" s="90"/>
      <c r="F5525" s="91"/>
      <c r="G5525" s="90"/>
      <c r="H5525" s="92"/>
      <c r="I5525" s="87"/>
      <c r="J5525" s="93"/>
      <c r="K5525" s="92"/>
      <c r="L5525" s="72" t="str">
        <f t="shared" si="86"/>
        <v/>
      </c>
      <c r="N5525" s="15"/>
    </row>
    <row r="5526" spans="1:14" s="14" customFormat="1" ht="18" x14ac:dyDescent="0.25">
      <c r="A5526" s="91"/>
      <c r="B5526" s="90"/>
      <c r="C5526" s="88"/>
      <c r="D5526" s="89"/>
      <c r="E5526" s="90"/>
      <c r="F5526" s="91"/>
      <c r="G5526" s="90"/>
      <c r="H5526" s="92"/>
      <c r="I5526" s="87"/>
      <c r="J5526" s="93"/>
      <c r="K5526" s="92"/>
      <c r="L5526" s="72" t="str">
        <f t="shared" si="86"/>
        <v/>
      </c>
      <c r="N5526" s="15"/>
    </row>
    <row r="5527" spans="1:14" s="14" customFormat="1" ht="18" x14ac:dyDescent="0.25">
      <c r="A5527" s="91"/>
      <c r="B5527" s="90"/>
      <c r="C5527" s="88"/>
      <c r="D5527" s="89"/>
      <c r="E5527" s="90"/>
      <c r="F5527" s="91"/>
      <c r="G5527" s="90"/>
      <c r="H5527" s="92"/>
      <c r="I5527" s="87"/>
      <c r="J5527" s="93"/>
      <c r="K5527" s="92"/>
      <c r="L5527" s="72" t="str">
        <f t="shared" si="86"/>
        <v/>
      </c>
      <c r="N5527" s="15"/>
    </row>
    <row r="5528" spans="1:14" s="14" customFormat="1" ht="18" x14ac:dyDescent="0.25">
      <c r="A5528" s="91"/>
      <c r="B5528" s="90"/>
      <c r="C5528" s="88"/>
      <c r="D5528" s="89"/>
      <c r="E5528" s="90"/>
      <c r="F5528" s="91"/>
      <c r="G5528" s="90"/>
      <c r="H5528" s="92"/>
      <c r="I5528" s="87"/>
      <c r="J5528" s="93"/>
      <c r="K5528" s="92"/>
      <c r="L5528" s="72" t="str">
        <f t="shared" si="86"/>
        <v/>
      </c>
      <c r="N5528" s="15"/>
    </row>
    <row r="5529" spans="1:14" s="14" customFormat="1" ht="18" x14ac:dyDescent="0.25">
      <c r="A5529" s="91"/>
      <c r="B5529" s="90"/>
      <c r="C5529" s="88"/>
      <c r="D5529" s="89"/>
      <c r="E5529" s="90"/>
      <c r="F5529" s="91"/>
      <c r="G5529" s="90"/>
      <c r="H5529" s="92"/>
      <c r="I5529" s="87"/>
      <c r="J5529" s="93"/>
      <c r="K5529" s="92"/>
      <c r="L5529" s="72" t="str">
        <f t="shared" si="86"/>
        <v/>
      </c>
      <c r="N5529" s="15"/>
    </row>
    <row r="5530" spans="1:14" s="14" customFormat="1" ht="18" x14ac:dyDescent="0.25">
      <c r="A5530" s="91"/>
      <c r="B5530" s="90"/>
      <c r="C5530" s="88"/>
      <c r="D5530" s="89"/>
      <c r="E5530" s="90"/>
      <c r="F5530" s="91"/>
      <c r="G5530" s="90"/>
      <c r="H5530" s="92"/>
      <c r="I5530" s="87"/>
      <c r="J5530" s="93"/>
      <c r="K5530" s="92"/>
      <c r="L5530" s="72" t="str">
        <f t="shared" si="86"/>
        <v/>
      </c>
      <c r="N5530" s="15"/>
    </row>
    <row r="5531" spans="1:14" s="14" customFormat="1" ht="18" x14ac:dyDescent="0.25">
      <c r="A5531" s="91"/>
      <c r="B5531" s="90"/>
      <c r="C5531" s="88"/>
      <c r="D5531" s="89"/>
      <c r="E5531" s="90"/>
      <c r="F5531" s="91"/>
      <c r="G5531" s="90"/>
      <c r="H5531" s="92"/>
      <c r="I5531" s="87"/>
      <c r="J5531" s="93"/>
      <c r="K5531" s="92"/>
      <c r="L5531" s="72" t="str">
        <f t="shared" si="86"/>
        <v/>
      </c>
      <c r="N5531" s="15"/>
    </row>
    <row r="5532" spans="1:14" s="14" customFormat="1" ht="18" x14ac:dyDescent="0.25">
      <c r="A5532" s="91"/>
      <c r="B5532" s="90"/>
      <c r="C5532" s="88"/>
      <c r="D5532" s="89"/>
      <c r="E5532" s="90"/>
      <c r="F5532" s="91"/>
      <c r="G5532" s="90"/>
      <c r="H5532" s="92"/>
      <c r="I5532" s="87"/>
      <c r="J5532" s="93"/>
      <c r="K5532" s="92"/>
      <c r="L5532" s="72" t="str">
        <f t="shared" si="86"/>
        <v/>
      </c>
      <c r="N5532" s="15"/>
    </row>
    <row r="5533" spans="1:14" s="14" customFormat="1" ht="18" x14ac:dyDescent="0.25">
      <c r="A5533" s="91"/>
      <c r="B5533" s="90"/>
      <c r="C5533" s="88"/>
      <c r="D5533" s="89"/>
      <c r="E5533" s="90"/>
      <c r="F5533" s="91"/>
      <c r="G5533" s="90"/>
      <c r="H5533" s="92"/>
      <c r="I5533" s="87"/>
      <c r="J5533" s="93"/>
      <c r="K5533" s="92"/>
      <c r="L5533" s="72" t="str">
        <f t="shared" si="86"/>
        <v/>
      </c>
      <c r="N5533" s="15"/>
    </row>
    <row r="5534" spans="1:14" s="14" customFormat="1" ht="18" x14ac:dyDescent="0.25">
      <c r="A5534" s="91"/>
      <c r="B5534" s="90"/>
      <c r="C5534" s="88"/>
      <c r="D5534" s="89"/>
      <c r="E5534" s="90"/>
      <c r="F5534" s="91"/>
      <c r="G5534" s="90"/>
      <c r="H5534" s="92"/>
      <c r="I5534" s="87"/>
      <c r="J5534" s="93"/>
      <c r="K5534" s="92"/>
      <c r="L5534" s="72" t="str">
        <f t="shared" ref="L5534:L5597" si="87">IF(ISBLANK(H5534),"",IF(H5534=K5534,"Payé","Impayé"))</f>
        <v/>
      </c>
      <c r="N5534" s="15"/>
    </row>
    <row r="5535" spans="1:14" s="14" customFormat="1" ht="18" x14ac:dyDescent="0.25">
      <c r="A5535" s="91"/>
      <c r="B5535" s="90"/>
      <c r="C5535" s="88"/>
      <c r="D5535" s="89"/>
      <c r="E5535" s="90"/>
      <c r="F5535" s="91"/>
      <c r="G5535" s="90"/>
      <c r="H5535" s="92"/>
      <c r="I5535" s="87"/>
      <c r="J5535" s="93"/>
      <c r="K5535" s="92"/>
      <c r="L5535" s="72" t="str">
        <f t="shared" si="87"/>
        <v/>
      </c>
      <c r="N5535" s="15"/>
    </row>
    <row r="5536" spans="1:14" s="14" customFormat="1" ht="18" x14ac:dyDescent="0.25">
      <c r="A5536" s="91"/>
      <c r="B5536" s="90"/>
      <c r="C5536" s="88"/>
      <c r="D5536" s="89"/>
      <c r="E5536" s="90"/>
      <c r="F5536" s="91"/>
      <c r="G5536" s="90"/>
      <c r="H5536" s="92"/>
      <c r="I5536" s="87"/>
      <c r="J5536" s="93"/>
      <c r="K5536" s="92"/>
      <c r="L5536" s="72" t="str">
        <f t="shared" si="87"/>
        <v/>
      </c>
      <c r="N5536" s="15"/>
    </row>
    <row r="5537" spans="1:14" s="14" customFormat="1" ht="18" x14ac:dyDescent="0.25">
      <c r="A5537" s="91"/>
      <c r="B5537" s="90"/>
      <c r="C5537" s="88"/>
      <c r="D5537" s="89"/>
      <c r="E5537" s="90"/>
      <c r="F5537" s="91"/>
      <c r="G5537" s="90"/>
      <c r="H5537" s="92"/>
      <c r="I5537" s="87"/>
      <c r="J5537" s="93"/>
      <c r="K5537" s="92"/>
      <c r="L5537" s="72" t="str">
        <f t="shared" si="87"/>
        <v/>
      </c>
      <c r="N5537" s="15"/>
    </row>
    <row r="5538" spans="1:14" s="14" customFormat="1" ht="18" x14ac:dyDescent="0.25">
      <c r="A5538" s="91"/>
      <c r="B5538" s="90"/>
      <c r="C5538" s="88"/>
      <c r="D5538" s="89"/>
      <c r="E5538" s="90"/>
      <c r="F5538" s="91"/>
      <c r="G5538" s="90"/>
      <c r="H5538" s="92"/>
      <c r="I5538" s="87"/>
      <c r="J5538" s="93"/>
      <c r="K5538" s="92"/>
      <c r="L5538" s="72" t="str">
        <f t="shared" si="87"/>
        <v/>
      </c>
      <c r="N5538" s="15"/>
    </row>
    <row r="5539" spans="1:14" s="14" customFormat="1" ht="18" x14ac:dyDescent="0.25">
      <c r="A5539" s="91"/>
      <c r="B5539" s="90"/>
      <c r="C5539" s="88"/>
      <c r="D5539" s="89"/>
      <c r="E5539" s="90"/>
      <c r="F5539" s="91"/>
      <c r="G5539" s="90"/>
      <c r="H5539" s="92"/>
      <c r="I5539" s="87"/>
      <c r="J5539" s="93"/>
      <c r="K5539" s="92"/>
      <c r="L5539" s="72" t="str">
        <f t="shared" si="87"/>
        <v/>
      </c>
      <c r="N5539" s="15"/>
    </row>
    <row r="5540" spans="1:14" s="14" customFormat="1" ht="18" x14ac:dyDescent="0.25">
      <c r="A5540" s="91"/>
      <c r="B5540" s="90"/>
      <c r="C5540" s="88"/>
      <c r="D5540" s="89"/>
      <c r="E5540" s="90"/>
      <c r="F5540" s="91"/>
      <c r="G5540" s="90"/>
      <c r="H5540" s="92"/>
      <c r="I5540" s="87"/>
      <c r="J5540" s="93"/>
      <c r="K5540" s="92"/>
      <c r="L5540" s="72" t="str">
        <f t="shared" si="87"/>
        <v/>
      </c>
      <c r="N5540" s="15"/>
    </row>
    <row r="5541" spans="1:14" s="14" customFormat="1" ht="18" x14ac:dyDescent="0.25">
      <c r="A5541" s="91"/>
      <c r="B5541" s="90"/>
      <c r="C5541" s="88"/>
      <c r="D5541" s="89"/>
      <c r="E5541" s="90"/>
      <c r="F5541" s="91"/>
      <c r="G5541" s="90"/>
      <c r="H5541" s="92"/>
      <c r="I5541" s="87"/>
      <c r="J5541" s="93"/>
      <c r="K5541" s="92"/>
      <c r="L5541" s="72" t="str">
        <f t="shared" si="87"/>
        <v/>
      </c>
      <c r="N5541" s="15"/>
    </row>
    <row r="5542" spans="1:14" s="14" customFormat="1" ht="18" x14ac:dyDescent="0.25">
      <c r="A5542" s="91"/>
      <c r="B5542" s="90"/>
      <c r="C5542" s="88"/>
      <c r="D5542" s="89"/>
      <c r="E5542" s="90"/>
      <c r="F5542" s="91"/>
      <c r="G5542" s="90"/>
      <c r="H5542" s="92"/>
      <c r="I5542" s="87"/>
      <c r="J5542" s="93"/>
      <c r="K5542" s="92"/>
      <c r="L5542" s="72" t="str">
        <f t="shared" si="87"/>
        <v/>
      </c>
      <c r="N5542" s="15"/>
    </row>
    <row r="5543" spans="1:14" s="14" customFormat="1" ht="18" x14ac:dyDescent="0.25">
      <c r="A5543" s="91"/>
      <c r="B5543" s="90"/>
      <c r="C5543" s="88"/>
      <c r="D5543" s="89"/>
      <c r="E5543" s="90"/>
      <c r="F5543" s="91"/>
      <c r="G5543" s="90"/>
      <c r="H5543" s="92"/>
      <c r="I5543" s="87"/>
      <c r="J5543" s="93"/>
      <c r="K5543" s="92"/>
      <c r="L5543" s="72" t="str">
        <f t="shared" si="87"/>
        <v/>
      </c>
      <c r="N5543" s="15"/>
    </row>
    <row r="5544" spans="1:14" s="14" customFormat="1" ht="18" x14ac:dyDescent="0.25">
      <c r="A5544" s="91"/>
      <c r="B5544" s="90"/>
      <c r="C5544" s="88"/>
      <c r="D5544" s="89"/>
      <c r="E5544" s="90"/>
      <c r="F5544" s="91"/>
      <c r="G5544" s="90"/>
      <c r="H5544" s="92"/>
      <c r="I5544" s="87"/>
      <c r="J5544" s="93"/>
      <c r="K5544" s="92"/>
      <c r="L5544" s="72" t="str">
        <f t="shared" si="87"/>
        <v/>
      </c>
      <c r="N5544" s="15"/>
    </row>
    <row r="5545" spans="1:14" s="14" customFormat="1" ht="18" x14ac:dyDescent="0.25">
      <c r="A5545" s="91"/>
      <c r="B5545" s="90"/>
      <c r="C5545" s="88"/>
      <c r="D5545" s="89"/>
      <c r="E5545" s="90"/>
      <c r="F5545" s="91"/>
      <c r="G5545" s="90"/>
      <c r="H5545" s="92"/>
      <c r="I5545" s="87"/>
      <c r="J5545" s="93"/>
      <c r="K5545" s="92"/>
      <c r="L5545" s="72" t="str">
        <f t="shared" si="87"/>
        <v/>
      </c>
      <c r="N5545" s="15"/>
    </row>
    <row r="5546" spans="1:14" s="14" customFormat="1" ht="18" x14ac:dyDescent="0.25">
      <c r="A5546" s="91"/>
      <c r="B5546" s="90"/>
      <c r="C5546" s="88"/>
      <c r="D5546" s="89"/>
      <c r="E5546" s="90"/>
      <c r="F5546" s="91"/>
      <c r="G5546" s="90"/>
      <c r="H5546" s="92"/>
      <c r="I5546" s="87"/>
      <c r="J5546" s="93"/>
      <c r="K5546" s="92"/>
      <c r="L5546" s="72" t="str">
        <f t="shared" si="87"/>
        <v/>
      </c>
      <c r="N5546" s="15"/>
    </row>
    <row r="5547" spans="1:14" s="14" customFormat="1" ht="18" x14ac:dyDescent="0.25">
      <c r="A5547" s="91"/>
      <c r="B5547" s="90"/>
      <c r="C5547" s="88"/>
      <c r="D5547" s="89"/>
      <c r="E5547" s="90"/>
      <c r="F5547" s="91"/>
      <c r="G5547" s="90"/>
      <c r="H5547" s="92"/>
      <c r="I5547" s="87"/>
      <c r="J5547" s="93"/>
      <c r="K5547" s="92"/>
      <c r="L5547" s="72" t="str">
        <f t="shared" si="87"/>
        <v/>
      </c>
      <c r="N5547" s="15"/>
    </row>
    <row r="5548" spans="1:14" s="14" customFormat="1" ht="18" x14ac:dyDescent="0.25">
      <c r="A5548" s="91"/>
      <c r="B5548" s="90"/>
      <c r="C5548" s="88"/>
      <c r="D5548" s="89"/>
      <c r="E5548" s="90"/>
      <c r="F5548" s="91"/>
      <c r="G5548" s="90"/>
      <c r="H5548" s="92"/>
      <c r="I5548" s="87"/>
      <c r="J5548" s="93"/>
      <c r="K5548" s="92"/>
      <c r="L5548" s="72" t="str">
        <f t="shared" si="87"/>
        <v/>
      </c>
      <c r="N5548" s="15"/>
    </row>
    <row r="5549" spans="1:14" s="14" customFormat="1" ht="18" x14ac:dyDescent="0.25">
      <c r="A5549" s="91"/>
      <c r="B5549" s="90"/>
      <c r="C5549" s="88"/>
      <c r="D5549" s="89"/>
      <c r="E5549" s="90"/>
      <c r="F5549" s="91"/>
      <c r="G5549" s="90"/>
      <c r="H5549" s="92"/>
      <c r="I5549" s="87"/>
      <c r="J5549" s="93"/>
      <c r="K5549" s="92"/>
      <c r="L5549" s="72" t="str">
        <f t="shared" si="87"/>
        <v/>
      </c>
      <c r="N5549" s="15"/>
    </row>
    <row r="5550" spans="1:14" s="14" customFormat="1" ht="18" x14ac:dyDescent="0.25">
      <c r="A5550" s="91"/>
      <c r="B5550" s="90"/>
      <c r="C5550" s="88"/>
      <c r="D5550" s="89"/>
      <c r="E5550" s="90"/>
      <c r="F5550" s="91"/>
      <c r="G5550" s="90"/>
      <c r="H5550" s="92"/>
      <c r="I5550" s="87"/>
      <c r="J5550" s="93"/>
      <c r="K5550" s="92"/>
      <c r="L5550" s="72" t="str">
        <f t="shared" si="87"/>
        <v/>
      </c>
      <c r="N5550" s="15"/>
    </row>
    <row r="5551" spans="1:14" s="14" customFormat="1" ht="18" x14ac:dyDescent="0.25">
      <c r="A5551" s="91"/>
      <c r="B5551" s="90"/>
      <c r="C5551" s="88"/>
      <c r="D5551" s="89"/>
      <c r="E5551" s="90"/>
      <c r="F5551" s="91"/>
      <c r="G5551" s="90"/>
      <c r="H5551" s="92"/>
      <c r="I5551" s="87"/>
      <c r="J5551" s="93"/>
      <c r="K5551" s="92"/>
      <c r="L5551" s="72" t="str">
        <f t="shared" si="87"/>
        <v/>
      </c>
      <c r="N5551" s="15"/>
    </row>
    <row r="5552" spans="1:14" s="14" customFormat="1" ht="18" x14ac:dyDescent="0.25">
      <c r="A5552" s="91"/>
      <c r="B5552" s="90"/>
      <c r="C5552" s="88"/>
      <c r="D5552" s="89"/>
      <c r="E5552" s="90"/>
      <c r="F5552" s="91"/>
      <c r="G5552" s="90"/>
      <c r="H5552" s="92"/>
      <c r="I5552" s="87"/>
      <c r="J5552" s="93"/>
      <c r="K5552" s="92"/>
      <c r="L5552" s="72" t="str">
        <f t="shared" si="87"/>
        <v/>
      </c>
      <c r="N5552" s="15"/>
    </row>
    <row r="5553" spans="1:14" s="14" customFormat="1" ht="18" x14ac:dyDescent="0.25">
      <c r="A5553" s="91"/>
      <c r="B5553" s="90"/>
      <c r="C5553" s="88"/>
      <c r="D5553" s="89"/>
      <c r="E5553" s="90"/>
      <c r="F5553" s="91"/>
      <c r="G5553" s="90"/>
      <c r="H5553" s="92"/>
      <c r="I5553" s="87"/>
      <c r="J5553" s="93"/>
      <c r="K5553" s="92"/>
      <c r="L5553" s="72" t="str">
        <f t="shared" si="87"/>
        <v/>
      </c>
      <c r="N5553" s="15"/>
    </row>
    <row r="5554" spans="1:14" s="14" customFormat="1" ht="18" x14ac:dyDescent="0.25">
      <c r="A5554" s="91"/>
      <c r="B5554" s="90"/>
      <c r="C5554" s="88"/>
      <c r="D5554" s="89"/>
      <c r="E5554" s="90"/>
      <c r="F5554" s="91"/>
      <c r="G5554" s="90"/>
      <c r="H5554" s="92"/>
      <c r="I5554" s="87"/>
      <c r="J5554" s="93"/>
      <c r="K5554" s="92"/>
      <c r="L5554" s="72" t="str">
        <f t="shared" si="87"/>
        <v/>
      </c>
      <c r="N5554" s="15"/>
    </row>
    <row r="5555" spans="1:14" s="14" customFormat="1" ht="18" x14ac:dyDescent="0.25">
      <c r="A5555" s="91"/>
      <c r="B5555" s="90"/>
      <c r="C5555" s="88"/>
      <c r="D5555" s="89"/>
      <c r="E5555" s="90"/>
      <c r="F5555" s="91"/>
      <c r="G5555" s="90"/>
      <c r="H5555" s="92"/>
      <c r="I5555" s="87"/>
      <c r="J5555" s="93"/>
      <c r="K5555" s="92"/>
      <c r="L5555" s="72" t="str">
        <f t="shared" si="87"/>
        <v/>
      </c>
      <c r="N5555" s="15"/>
    </row>
    <row r="5556" spans="1:14" s="14" customFormat="1" ht="18" x14ac:dyDescent="0.25">
      <c r="A5556" s="91"/>
      <c r="B5556" s="90"/>
      <c r="C5556" s="88"/>
      <c r="D5556" s="89"/>
      <c r="E5556" s="90"/>
      <c r="F5556" s="91"/>
      <c r="G5556" s="90"/>
      <c r="H5556" s="92"/>
      <c r="I5556" s="87"/>
      <c r="J5556" s="93"/>
      <c r="K5556" s="92"/>
      <c r="L5556" s="72" t="str">
        <f t="shared" si="87"/>
        <v/>
      </c>
      <c r="N5556" s="15"/>
    </row>
    <row r="5557" spans="1:14" s="14" customFormat="1" ht="18" x14ac:dyDescent="0.25">
      <c r="A5557" s="91"/>
      <c r="B5557" s="90"/>
      <c r="C5557" s="88"/>
      <c r="D5557" s="89"/>
      <c r="E5557" s="90"/>
      <c r="F5557" s="91"/>
      <c r="G5557" s="90"/>
      <c r="H5557" s="92"/>
      <c r="I5557" s="87"/>
      <c r="J5557" s="93"/>
      <c r="K5557" s="92"/>
      <c r="L5557" s="72" t="str">
        <f t="shared" si="87"/>
        <v/>
      </c>
      <c r="N5557" s="15"/>
    </row>
    <row r="5558" spans="1:14" s="14" customFormat="1" ht="18" x14ac:dyDescent="0.25">
      <c r="A5558" s="91"/>
      <c r="B5558" s="90"/>
      <c r="C5558" s="88"/>
      <c r="D5558" s="89"/>
      <c r="E5558" s="90"/>
      <c r="F5558" s="91"/>
      <c r="G5558" s="90"/>
      <c r="H5558" s="92"/>
      <c r="I5558" s="87"/>
      <c r="J5558" s="93"/>
      <c r="K5558" s="92"/>
      <c r="L5558" s="72" t="str">
        <f t="shared" si="87"/>
        <v/>
      </c>
      <c r="N5558" s="15"/>
    </row>
    <row r="5559" spans="1:14" s="14" customFormat="1" ht="18" x14ac:dyDescent="0.25">
      <c r="A5559" s="91"/>
      <c r="B5559" s="90"/>
      <c r="C5559" s="88"/>
      <c r="D5559" s="89"/>
      <c r="E5559" s="90"/>
      <c r="F5559" s="91"/>
      <c r="G5559" s="90"/>
      <c r="H5559" s="92"/>
      <c r="I5559" s="87"/>
      <c r="J5559" s="93"/>
      <c r="K5559" s="92"/>
      <c r="L5559" s="72" t="str">
        <f t="shared" si="87"/>
        <v/>
      </c>
      <c r="N5559" s="15"/>
    </row>
    <row r="5560" spans="1:14" s="14" customFormat="1" ht="18" x14ac:dyDescent="0.25">
      <c r="A5560" s="91"/>
      <c r="B5560" s="90"/>
      <c r="C5560" s="88"/>
      <c r="D5560" s="89"/>
      <c r="E5560" s="90"/>
      <c r="F5560" s="91"/>
      <c r="G5560" s="90"/>
      <c r="H5560" s="92"/>
      <c r="I5560" s="87"/>
      <c r="J5560" s="93"/>
      <c r="K5560" s="92"/>
      <c r="L5560" s="72" t="str">
        <f t="shared" si="87"/>
        <v/>
      </c>
      <c r="N5560" s="15"/>
    </row>
    <row r="5561" spans="1:14" s="14" customFormat="1" ht="18" x14ac:dyDescent="0.25">
      <c r="A5561" s="91"/>
      <c r="B5561" s="90"/>
      <c r="C5561" s="88"/>
      <c r="D5561" s="89"/>
      <c r="E5561" s="90"/>
      <c r="F5561" s="91"/>
      <c r="G5561" s="90"/>
      <c r="H5561" s="92"/>
      <c r="I5561" s="87"/>
      <c r="J5561" s="93"/>
      <c r="K5561" s="92"/>
      <c r="L5561" s="72" t="str">
        <f t="shared" si="87"/>
        <v/>
      </c>
      <c r="N5561" s="15"/>
    </row>
    <row r="5562" spans="1:14" s="14" customFormat="1" ht="18" x14ac:dyDescent="0.25">
      <c r="A5562" s="91"/>
      <c r="B5562" s="90"/>
      <c r="C5562" s="88"/>
      <c r="D5562" s="89"/>
      <c r="E5562" s="90"/>
      <c r="F5562" s="91"/>
      <c r="G5562" s="90"/>
      <c r="H5562" s="92"/>
      <c r="I5562" s="87"/>
      <c r="J5562" s="93"/>
      <c r="K5562" s="92"/>
      <c r="L5562" s="72" t="str">
        <f t="shared" si="87"/>
        <v/>
      </c>
      <c r="N5562" s="15"/>
    </row>
    <row r="5563" spans="1:14" s="14" customFormat="1" ht="18" x14ac:dyDescent="0.25">
      <c r="A5563" s="91"/>
      <c r="B5563" s="90"/>
      <c r="C5563" s="88"/>
      <c r="D5563" s="89"/>
      <c r="E5563" s="90"/>
      <c r="F5563" s="91"/>
      <c r="G5563" s="90"/>
      <c r="H5563" s="92"/>
      <c r="I5563" s="87"/>
      <c r="J5563" s="93"/>
      <c r="K5563" s="92"/>
      <c r="L5563" s="72" t="str">
        <f t="shared" si="87"/>
        <v/>
      </c>
      <c r="N5563" s="15"/>
    </row>
    <row r="5564" spans="1:14" s="14" customFormat="1" ht="18" x14ac:dyDescent="0.25">
      <c r="A5564" s="91"/>
      <c r="B5564" s="90"/>
      <c r="C5564" s="88"/>
      <c r="D5564" s="89"/>
      <c r="E5564" s="90"/>
      <c r="F5564" s="91"/>
      <c r="G5564" s="90"/>
      <c r="H5564" s="92"/>
      <c r="I5564" s="87"/>
      <c r="J5564" s="93"/>
      <c r="K5564" s="92"/>
      <c r="L5564" s="72" t="str">
        <f t="shared" si="87"/>
        <v/>
      </c>
      <c r="N5564" s="15"/>
    </row>
    <row r="5565" spans="1:14" s="14" customFormat="1" ht="18" x14ac:dyDescent="0.25">
      <c r="A5565" s="91"/>
      <c r="B5565" s="90"/>
      <c r="C5565" s="88"/>
      <c r="D5565" s="89"/>
      <c r="E5565" s="90"/>
      <c r="F5565" s="91"/>
      <c r="G5565" s="90"/>
      <c r="H5565" s="92"/>
      <c r="I5565" s="87"/>
      <c r="J5565" s="93"/>
      <c r="K5565" s="92"/>
      <c r="L5565" s="72" t="str">
        <f t="shared" si="87"/>
        <v/>
      </c>
      <c r="N5565" s="15"/>
    </row>
    <row r="5566" spans="1:14" s="14" customFormat="1" ht="18" x14ac:dyDescent="0.25">
      <c r="A5566" s="91"/>
      <c r="B5566" s="90"/>
      <c r="C5566" s="88"/>
      <c r="D5566" s="89"/>
      <c r="E5566" s="90"/>
      <c r="F5566" s="91"/>
      <c r="G5566" s="90"/>
      <c r="H5566" s="92"/>
      <c r="I5566" s="87"/>
      <c r="J5566" s="93"/>
      <c r="K5566" s="92"/>
      <c r="L5566" s="72" t="str">
        <f t="shared" si="87"/>
        <v/>
      </c>
      <c r="N5566" s="15"/>
    </row>
    <row r="5567" spans="1:14" s="14" customFormat="1" ht="18" x14ac:dyDescent="0.25">
      <c r="A5567" s="91"/>
      <c r="B5567" s="90"/>
      <c r="C5567" s="88"/>
      <c r="D5567" s="89"/>
      <c r="E5567" s="90"/>
      <c r="F5567" s="91"/>
      <c r="G5567" s="90"/>
      <c r="H5567" s="92"/>
      <c r="I5567" s="87"/>
      <c r="J5567" s="93"/>
      <c r="K5567" s="92"/>
      <c r="L5567" s="72" t="str">
        <f t="shared" si="87"/>
        <v/>
      </c>
      <c r="N5567" s="15"/>
    </row>
    <row r="5568" spans="1:14" s="14" customFormat="1" ht="18" x14ac:dyDescent="0.25">
      <c r="A5568" s="91"/>
      <c r="B5568" s="90"/>
      <c r="C5568" s="88"/>
      <c r="D5568" s="89"/>
      <c r="E5568" s="90"/>
      <c r="F5568" s="91"/>
      <c r="G5568" s="90"/>
      <c r="H5568" s="92"/>
      <c r="I5568" s="87"/>
      <c r="J5568" s="93"/>
      <c r="K5568" s="92"/>
      <c r="L5568" s="72" t="str">
        <f t="shared" si="87"/>
        <v/>
      </c>
      <c r="N5568" s="15"/>
    </row>
    <row r="5569" spans="1:14" s="14" customFormat="1" ht="18" x14ac:dyDescent="0.25">
      <c r="A5569" s="91"/>
      <c r="B5569" s="90"/>
      <c r="C5569" s="88"/>
      <c r="D5569" s="89"/>
      <c r="E5569" s="90"/>
      <c r="F5569" s="91"/>
      <c r="G5569" s="90"/>
      <c r="H5569" s="92"/>
      <c r="I5569" s="87"/>
      <c r="J5569" s="93"/>
      <c r="K5569" s="92"/>
      <c r="L5569" s="72" t="str">
        <f t="shared" si="87"/>
        <v/>
      </c>
      <c r="N5569" s="15"/>
    </row>
    <row r="5570" spans="1:14" s="14" customFormat="1" ht="18" x14ac:dyDescent="0.25">
      <c r="A5570" s="91"/>
      <c r="B5570" s="90"/>
      <c r="C5570" s="88"/>
      <c r="D5570" s="89"/>
      <c r="E5570" s="90"/>
      <c r="F5570" s="91"/>
      <c r="G5570" s="90"/>
      <c r="H5570" s="92"/>
      <c r="I5570" s="87"/>
      <c r="J5570" s="93"/>
      <c r="K5570" s="92"/>
      <c r="L5570" s="72" t="str">
        <f t="shared" si="87"/>
        <v/>
      </c>
      <c r="N5570" s="15"/>
    </row>
    <row r="5571" spans="1:14" s="14" customFormat="1" ht="18" x14ac:dyDescent="0.25">
      <c r="A5571" s="91"/>
      <c r="B5571" s="90"/>
      <c r="C5571" s="88"/>
      <c r="D5571" s="89"/>
      <c r="E5571" s="90"/>
      <c r="F5571" s="91"/>
      <c r="G5571" s="90"/>
      <c r="H5571" s="92"/>
      <c r="I5571" s="87"/>
      <c r="J5571" s="93"/>
      <c r="K5571" s="92"/>
      <c r="L5571" s="72" t="str">
        <f t="shared" si="87"/>
        <v/>
      </c>
      <c r="N5571" s="15"/>
    </row>
    <row r="5572" spans="1:14" s="14" customFormat="1" ht="18" x14ac:dyDescent="0.25">
      <c r="A5572" s="91"/>
      <c r="B5572" s="90"/>
      <c r="C5572" s="88"/>
      <c r="D5572" s="89"/>
      <c r="E5572" s="90"/>
      <c r="F5572" s="91"/>
      <c r="G5572" s="90"/>
      <c r="H5572" s="92"/>
      <c r="I5572" s="87"/>
      <c r="J5572" s="93"/>
      <c r="K5572" s="92"/>
      <c r="L5572" s="72" t="str">
        <f t="shared" si="87"/>
        <v/>
      </c>
      <c r="N5572" s="15"/>
    </row>
    <row r="5573" spans="1:14" s="14" customFormat="1" ht="18" x14ac:dyDescent="0.25">
      <c r="A5573" s="91"/>
      <c r="B5573" s="90"/>
      <c r="C5573" s="88"/>
      <c r="D5573" s="89"/>
      <c r="E5573" s="90"/>
      <c r="F5573" s="91"/>
      <c r="G5573" s="90"/>
      <c r="H5573" s="92"/>
      <c r="I5573" s="87"/>
      <c r="J5573" s="93"/>
      <c r="K5573" s="92"/>
      <c r="L5573" s="72" t="str">
        <f t="shared" si="87"/>
        <v/>
      </c>
      <c r="N5573" s="15"/>
    </row>
    <row r="5574" spans="1:14" s="14" customFormat="1" ht="18" x14ac:dyDescent="0.25">
      <c r="A5574" s="91"/>
      <c r="B5574" s="90"/>
      <c r="C5574" s="88"/>
      <c r="D5574" s="89"/>
      <c r="E5574" s="90"/>
      <c r="F5574" s="91"/>
      <c r="G5574" s="90"/>
      <c r="H5574" s="92"/>
      <c r="I5574" s="87"/>
      <c r="J5574" s="93"/>
      <c r="K5574" s="92"/>
      <c r="L5574" s="72" t="str">
        <f t="shared" si="87"/>
        <v/>
      </c>
      <c r="N5574" s="15"/>
    </row>
    <row r="5575" spans="1:14" s="14" customFormat="1" ht="18" x14ac:dyDescent="0.25">
      <c r="A5575" s="91"/>
      <c r="B5575" s="90"/>
      <c r="C5575" s="88"/>
      <c r="D5575" s="89"/>
      <c r="E5575" s="90"/>
      <c r="F5575" s="91"/>
      <c r="G5575" s="90"/>
      <c r="H5575" s="92"/>
      <c r="I5575" s="87"/>
      <c r="J5575" s="93"/>
      <c r="K5575" s="92"/>
      <c r="L5575" s="72" t="str">
        <f t="shared" si="87"/>
        <v/>
      </c>
      <c r="N5575" s="15"/>
    </row>
    <row r="5576" spans="1:14" s="14" customFormat="1" ht="18" x14ac:dyDescent="0.25">
      <c r="A5576" s="91"/>
      <c r="B5576" s="90"/>
      <c r="C5576" s="88"/>
      <c r="D5576" s="89"/>
      <c r="E5576" s="90"/>
      <c r="F5576" s="91"/>
      <c r="G5576" s="90"/>
      <c r="H5576" s="92"/>
      <c r="I5576" s="87"/>
      <c r="J5576" s="93"/>
      <c r="K5576" s="92"/>
      <c r="L5576" s="72" t="str">
        <f t="shared" si="87"/>
        <v/>
      </c>
      <c r="N5576" s="15"/>
    </row>
    <row r="5577" spans="1:14" s="14" customFormat="1" ht="18" x14ac:dyDescent="0.25">
      <c r="A5577" s="91"/>
      <c r="B5577" s="90"/>
      <c r="C5577" s="88"/>
      <c r="D5577" s="89"/>
      <c r="E5577" s="90"/>
      <c r="F5577" s="91"/>
      <c r="G5577" s="90"/>
      <c r="H5577" s="92"/>
      <c r="I5577" s="87"/>
      <c r="J5577" s="93"/>
      <c r="K5577" s="92"/>
      <c r="L5577" s="72" t="str">
        <f t="shared" si="87"/>
        <v/>
      </c>
      <c r="N5577" s="15"/>
    </row>
    <row r="5578" spans="1:14" s="14" customFormat="1" ht="18" x14ac:dyDescent="0.25">
      <c r="A5578" s="91"/>
      <c r="B5578" s="90"/>
      <c r="C5578" s="88"/>
      <c r="D5578" s="89"/>
      <c r="E5578" s="90"/>
      <c r="F5578" s="91"/>
      <c r="G5578" s="90"/>
      <c r="H5578" s="92"/>
      <c r="I5578" s="87"/>
      <c r="J5578" s="93"/>
      <c r="K5578" s="92"/>
      <c r="L5578" s="72" t="str">
        <f t="shared" si="87"/>
        <v/>
      </c>
      <c r="N5578" s="15"/>
    </row>
    <row r="5579" spans="1:14" s="14" customFormat="1" ht="18" x14ac:dyDescent="0.25">
      <c r="A5579" s="91"/>
      <c r="B5579" s="90"/>
      <c r="C5579" s="88"/>
      <c r="D5579" s="89"/>
      <c r="E5579" s="90"/>
      <c r="F5579" s="91"/>
      <c r="G5579" s="90"/>
      <c r="H5579" s="92"/>
      <c r="I5579" s="87"/>
      <c r="J5579" s="93"/>
      <c r="K5579" s="92"/>
      <c r="L5579" s="72" t="str">
        <f t="shared" si="87"/>
        <v/>
      </c>
      <c r="N5579" s="15"/>
    </row>
    <row r="5580" spans="1:14" s="14" customFormat="1" ht="18" x14ac:dyDescent="0.25">
      <c r="A5580" s="91"/>
      <c r="B5580" s="90"/>
      <c r="C5580" s="88"/>
      <c r="D5580" s="89"/>
      <c r="E5580" s="90"/>
      <c r="F5580" s="91"/>
      <c r="G5580" s="90"/>
      <c r="H5580" s="92"/>
      <c r="I5580" s="87"/>
      <c r="J5580" s="93"/>
      <c r="K5580" s="92"/>
      <c r="L5580" s="72" t="str">
        <f t="shared" si="87"/>
        <v/>
      </c>
      <c r="N5580" s="15"/>
    </row>
    <row r="5581" spans="1:14" s="14" customFormat="1" ht="18" x14ac:dyDescent="0.25">
      <c r="A5581" s="91"/>
      <c r="B5581" s="90"/>
      <c r="C5581" s="88"/>
      <c r="D5581" s="89"/>
      <c r="E5581" s="90"/>
      <c r="F5581" s="91"/>
      <c r="G5581" s="90"/>
      <c r="H5581" s="92"/>
      <c r="I5581" s="87"/>
      <c r="J5581" s="93"/>
      <c r="K5581" s="92"/>
      <c r="L5581" s="72" t="str">
        <f t="shared" si="87"/>
        <v/>
      </c>
      <c r="N5581" s="15"/>
    </row>
    <row r="5582" spans="1:14" s="14" customFormat="1" ht="18" x14ac:dyDescent="0.25">
      <c r="A5582" s="91"/>
      <c r="B5582" s="90"/>
      <c r="C5582" s="88"/>
      <c r="D5582" s="89"/>
      <c r="E5582" s="90"/>
      <c r="F5582" s="91"/>
      <c r="G5582" s="90"/>
      <c r="H5582" s="92"/>
      <c r="I5582" s="87"/>
      <c r="J5582" s="93"/>
      <c r="K5582" s="92"/>
      <c r="L5582" s="72" t="str">
        <f t="shared" si="87"/>
        <v/>
      </c>
      <c r="N5582" s="15"/>
    </row>
    <row r="5583" spans="1:14" s="14" customFormat="1" ht="18" x14ac:dyDescent="0.25">
      <c r="A5583" s="91"/>
      <c r="B5583" s="90"/>
      <c r="C5583" s="88"/>
      <c r="D5583" s="89"/>
      <c r="E5583" s="90"/>
      <c r="F5583" s="91"/>
      <c r="G5583" s="90"/>
      <c r="H5583" s="92"/>
      <c r="I5583" s="87"/>
      <c r="J5583" s="93"/>
      <c r="K5583" s="92"/>
      <c r="L5583" s="72" t="str">
        <f t="shared" si="87"/>
        <v/>
      </c>
      <c r="N5583" s="15"/>
    </row>
    <row r="5584" spans="1:14" s="14" customFormat="1" ht="18" x14ac:dyDescent="0.25">
      <c r="A5584" s="91"/>
      <c r="B5584" s="90"/>
      <c r="C5584" s="88"/>
      <c r="D5584" s="89"/>
      <c r="E5584" s="90"/>
      <c r="F5584" s="91"/>
      <c r="G5584" s="90"/>
      <c r="H5584" s="92"/>
      <c r="I5584" s="87"/>
      <c r="J5584" s="93"/>
      <c r="K5584" s="92"/>
      <c r="L5584" s="72" t="str">
        <f t="shared" si="87"/>
        <v/>
      </c>
      <c r="N5584" s="15"/>
    </row>
    <row r="5585" spans="1:14" s="14" customFormat="1" ht="18" x14ac:dyDescent="0.25">
      <c r="A5585" s="91"/>
      <c r="B5585" s="90"/>
      <c r="C5585" s="88"/>
      <c r="D5585" s="89"/>
      <c r="E5585" s="90"/>
      <c r="F5585" s="91"/>
      <c r="G5585" s="90"/>
      <c r="H5585" s="92"/>
      <c r="I5585" s="87"/>
      <c r="J5585" s="93"/>
      <c r="K5585" s="92"/>
      <c r="L5585" s="72" t="str">
        <f t="shared" si="87"/>
        <v/>
      </c>
      <c r="N5585" s="15"/>
    </row>
    <row r="5586" spans="1:14" s="14" customFormat="1" ht="18" x14ac:dyDescent="0.25">
      <c r="A5586" s="91"/>
      <c r="B5586" s="90"/>
      <c r="C5586" s="88"/>
      <c r="D5586" s="89"/>
      <c r="E5586" s="90"/>
      <c r="F5586" s="91"/>
      <c r="G5586" s="90"/>
      <c r="H5586" s="92"/>
      <c r="I5586" s="87"/>
      <c r="J5586" s="93"/>
      <c r="K5586" s="92"/>
      <c r="L5586" s="72" t="str">
        <f t="shared" si="87"/>
        <v/>
      </c>
      <c r="N5586" s="15"/>
    </row>
    <row r="5587" spans="1:14" s="14" customFormat="1" ht="18" x14ac:dyDescent="0.25">
      <c r="A5587" s="91"/>
      <c r="B5587" s="90"/>
      <c r="C5587" s="88"/>
      <c r="D5587" s="89"/>
      <c r="E5587" s="90"/>
      <c r="F5587" s="91"/>
      <c r="G5587" s="90"/>
      <c r="H5587" s="92"/>
      <c r="I5587" s="87"/>
      <c r="J5587" s="93"/>
      <c r="K5587" s="92"/>
      <c r="L5587" s="72" t="str">
        <f t="shared" si="87"/>
        <v/>
      </c>
      <c r="N5587" s="15"/>
    </row>
    <row r="5588" spans="1:14" s="14" customFormat="1" ht="18" x14ac:dyDescent="0.25">
      <c r="A5588" s="91"/>
      <c r="B5588" s="90"/>
      <c r="C5588" s="88"/>
      <c r="D5588" s="89"/>
      <c r="E5588" s="90"/>
      <c r="F5588" s="91"/>
      <c r="G5588" s="90"/>
      <c r="H5588" s="92"/>
      <c r="I5588" s="87"/>
      <c r="J5588" s="93"/>
      <c r="K5588" s="92"/>
      <c r="L5588" s="72" t="str">
        <f t="shared" si="87"/>
        <v/>
      </c>
      <c r="N5588" s="15"/>
    </row>
    <row r="5589" spans="1:14" s="14" customFormat="1" ht="18" x14ac:dyDescent="0.25">
      <c r="A5589" s="91"/>
      <c r="B5589" s="90"/>
      <c r="C5589" s="88"/>
      <c r="D5589" s="89"/>
      <c r="E5589" s="90"/>
      <c r="F5589" s="91"/>
      <c r="G5589" s="90"/>
      <c r="H5589" s="92"/>
      <c r="I5589" s="87"/>
      <c r="J5589" s="93"/>
      <c r="K5589" s="92"/>
      <c r="L5589" s="72" t="str">
        <f t="shared" si="87"/>
        <v/>
      </c>
      <c r="N5589" s="15"/>
    </row>
    <row r="5590" spans="1:14" s="14" customFormat="1" ht="18" x14ac:dyDescent="0.25">
      <c r="A5590" s="91"/>
      <c r="B5590" s="90"/>
      <c r="C5590" s="88"/>
      <c r="D5590" s="89"/>
      <c r="E5590" s="90"/>
      <c r="F5590" s="91"/>
      <c r="G5590" s="90"/>
      <c r="H5590" s="92"/>
      <c r="I5590" s="87"/>
      <c r="J5590" s="93"/>
      <c r="K5590" s="92"/>
      <c r="L5590" s="72" t="str">
        <f t="shared" si="87"/>
        <v/>
      </c>
      <c r="N5590" s="15"/>
    </row>
    <row r="5591" spans="1:14" s="14" customFormat="1" ht="18" x14ac:dyDescent="0.25">
      <c r="A5591" s="91"/>
      <c r="B5591" s="90"/>
      <c r="C5591" s="88"/>
      <c r="D5591" s="89"/>
      <c r="E5591" s="90"/>
      <c r="F5591" s="91"/>
      <c r="G5591" s="90"/>
      <c r="H5591" s="92"/>
      <c r="I5591" s="87"/>
      <c r="J5591" s="93"/>
      <c r="K5591" s="92"/>
      <c r="L5591" s="72" t="str">
        <f t="shared" si="87"/>
        <v/>
      </c>
      <c r="N5591" s="15"/>
    </row>
    <row r="5592" spans="1:14" s="14" customFormat="1" ht="18" x14ac:dyDescent="0.25">
      <c r="A5592" s="91"/>
      <c r="B5592" s="90"/>
      <c r="C5592" s="88"/>
      <c r="D5592" s="89"/>
      <c r="E5592" s="90"/>
      <c r="F5592" s="91"/>
      <c r="G5592" s="90"/>
      <c r="H5592" s="92"/>
      <c r="I5592" s="87"/>
      <c r="J5592" s="93"/>
      <c r="K5592" s="92"/>
      <c r="L5592" s="72" t="str">
        <f t="shared" si="87"/>
        <v/>
      </c>
      <c r="N5592" s="15"/>
    </row>
    <row r="5593" spans="1:14" s="14" customFormat="1" ht="18" x14ac:dyDescent="0.25">
      <c r="A5593" s="91"/>
      <c r="B5593" s="90"/>
      <c r="C5593" s="88"/>
      <c r="D5593" s="89"/>
      <c r="E5593" s="90"/>
      <c r="F5593" s="91"/>
      <c r="G5593" s="90"/>
      <c r="H5593" s="92"/>
      <c r="I5593" s="87"/>
      <c r="J5593" s="93"/>
      <c r="K5593" s="92"/>
      <c r="L5593" s="72" t="str">
        <f t="shared" si="87"/>
        <v/>
      </c>
      <c r="N5593" s="15"/>
    </row>
    <row r="5594" spans="1:14" s="14" customFormat="1" ht="18" x14ac:dyDescent="0.25">
      <c r="A5594" s="91"/>
      <c r="B5594" s="90"/>
      <c r="C5594" s="88"/>
      <c r="D5594" s="89"/>
      <c r="E5594" s="90"/>
      <c r="F5594" s="91"/>
      <c r="G5594" s="90"/>
      <c r="H5594" s="92"/>
      <c r="I5594" s="87"/>
      <c r="J5594" s="93"/>
      <c r="K5594" s="92"/>
      <c r="L5594" s="72" t="str">
        <f t="shared" si="87"/>
        <v/>
      </c>
      <c r="N5594" s="15"/>
    </row>
    <row r="5595" spans="1:14" s="14" customFormat="1" ht="18" x14ac:dyDescent="0.25">
      <c r="A5595" s="91"/>
      <c r="B5595" s="90"/>
      <c r="C5595" s="88"/>
      <c r="D5595" s="89"/>
      <c r="E5595" s="90"/>
      <c r="F5595" s="91"/>
      <c r="G5595" s="90"/>
      <c r="H5595" s="92"/>
      <c r="I5595" s="87"/>
      <c r="J5595" s="93"/>
      <c r="K5595" s="92"/>
      <c r="L5595" s="72" t="str">
        <f t="shared" si="87"/>
        <v/>
      </c>
      <c r="N5595" s="15"/>
    </row>
    <row r="5596" spans="1:14" s="14" customFormat="1" ht="18" x14ac:dyDescent="0.25">
      <c r="A5596" s="91"/>
      <c r="B5596" s="90"/>
      <c r="C5596" s="88"/>
      <c r="D5596" s="89"/>
      <c r="E5596" s="90"/>
      <c r="F5596" s="91"/>
      <c r="G5596" s="90"/>
      <c r="H5596" s="92"/>
      <c r="I5596" s="87"/>
      <c r="J5596" s="93"/>
      <c r="K5596" s="92"/>
      <c r="L5596" s="72" t="str">
        <f t="shared" si="87"/>
        <v/>
      </c>
      <c r="N5596" s="15"/>
    </row>
    <row r="5597" spans="1:14" s="14" customFormat="1" ht="18" x14ac:dyDescent="0.25">
      <c r="A5597" s="91"/>
      <c r="B5597" s="90"/>
      <c r="C5597" s="88"/>
      <c r="D5597" s="89"/>
      <c r="E5597" s="90"/>
      <c r="F5597" s="91"/>
      <c r="G5597" s="90"/>
      <c r="H5597" s="92"/>
      <c r="I5597" s="87"/>
      <c r="J5597" s="93"/>
      <c r="K5597" s="92"/>
      <c r="L5597" s="72" t="str">
        <f t="shared" si="87"/>
        <v/>
      </c>
      <c r="N5597" s="15"/>
    </row>
    <row r="5598" spans="1:14" s="14" customFormat="1" ht="18" x14ac:dyDescent="0.25">
      <c r="A5598" s="91"/>
      <c r="B5598" s="90"/>
      <c r="C5598" s="88"/>
      <c r="D5598" s="89"/>
      <c r="E5598" s="90"/>
      <c r="F5598" s="91"/>
      <c r="G5598" s="90"/>
      <c r="H5598" s="92"/>
      <c r="I5598" s="87"/>
      <c r="J5598" s="93"/>
      <c r="K5598" s="92"/>
      <c r="L5598" s="72" t="str">
        <f t="shared" ref="L5598:L5661" si="88">IF(ISBLANK(H5598),"",IF(H5598=K5598,"Payé","Impayé"))</f>
        <v/>
      </c>
      <c r="N5598" s="15"/>
    </row>
    <row r="5599" spans="1:14" s="14" customFormat="1" ht="18" x14ac:dyDescent="0.25">
      <c r="A5599" s="91"/>
      <c r="B5599" s="90"/>
      <c r="C5599" s="88"/>
      <c r="D5599" s="89"/>
      <c r="E5599" s="90"/>
      <c r="F5599" s="91"/>
      <c r="G5599" s="90"/>
      <c r="H5599" s="92"/>
      <c r="I5599" s="87"/>
      <c r="J5599" s="93"/>
      <c r="K5599" s="92"/>
      <c r="L5599" s="72" t="str">
        <f t="shared" si="88"/>
        <v/>
      </c>
      <c r="N5599" s="15"/>
    </row>
    <row r="5600" spans="1:14" s="14" customFormat="1" ht="18" x14ac:dyDescent="0.25">
      <c r="A5600" s="91"/>
      <c r="B5600" s="90"/>
      <c r="C5600" s="88"/>
      <c r="D5600" s="89"/>
      <c r="E5600" s="90"/>
      <c r="F5600" s="91"/>
      <c r="G5600" s="90"/>
      <c r="H5600" s="92"/>
      <c r="I5600" s="87"/>
      <c r="J5600" s="93"/>
      <c r="K5600" s="92"/>
      <c r="L5600" s="72" t="str">
        <f t="shared" si="88"/>
        <v/>
      </c>
      <c r="N5600" s="15"/>
    </row>
    <row r="5601" spans="1:14" s="14" customFormat="1" ht="18" x14ac:dyDescent="0.25">
      <c r="A5601" s="91"/>
      <c r="B5601" s="90"/>
      <c r="C5601" s="88"/>
      <c r="D5601" s="89"/>
      <c r="E5601" s="90"/>
      <c r="F5601" s="91"/>
      <c r="G5601" s="90"/>
      <c r="H5601" s="92"/>
      <c r="I5601" s="87"/>
      <c r="J5601" s="93"/>
      <c r="K5601" s="92"/>
      <c r="L5601" s="72" t="str">
        <f t="shared" si="88"/>
        <v/>
      </c>
      <c r="N5601" s="15"/>
    </row>
    <row r="5602" spans="1:14" s="14" customFormat="1" ht="18" x14ac:dyDescent="0.25">
      <c r="A5602" s="91"/>
      <c r="B5602" s="90"/>
      <c r="C5602" s="88"/>
      <c r="D5602" s="89"/>
      <c r="E5602" s="90"/>
      <c r="F5602" s="91"/>
      <c r="G5602" s="90"/>
      <c r="H5602" s="92"/>
      <c r="I5602" s="87"/>
      <c r="J5602" s="93"/>
      <c r="K5602" s="92"/>
      <c r="L5602" s="72" t="str">
        <f t="shared" si="88"/>
        <v/>
      </c>
      <c r="N5602" s="15"/>
    </row>
    <row r="5603" spans="1:14" s="14" customFormat="1" ht="18" x14ac:dyDescent="0.25">
      <c r="A5603" s="91"/>
      <c r="B5603" s="90"/>
      <c r="C5603" s="88"/>
      <c r="D5603" s="89"/>
      <c r="E5603" s="90"/>
      <c r="F5603" s="91"/>
      <c r="G5603" s="90"/>
      <c r="H5603" s="92"/>
      <c r="I5603" s="87"/>
      <c r="J5603" s="93"/>
      <c r="K5603" s="92"/>
      <c r="L5603" s="72" t="str">
        <f t="shared" si="88"/>
        <v/>
      </c>
      <c r="N5603" s="15"/>
    </row>
    <row r="5604" spans="1:14" s="14" customFormat="1" ht="18" x14ac:dyDescent="0.25">
      <c r="A5604" s="91"/>
      <c r="B5604" s="90"/>
      <c r="C5604" s="88"/>
      <c r="D5604" s="89"/>
      <c r="E5604" s="90"/>
      <c r="F5604" s="91"/>
      <c r="G5604" s="90"/>
      <c r="H5604" s="92"/>
      <c r="I5604" s="87"/>
      <c r="J5604" s="93"/>
      <c r="K5604" s="92"/>
      <c r="L5604" s="72" t="str">
        <f t="shared" si="88"/>
        <v/>
      </c>
      <c r="N5604" s="15"/>
    </row>
    <row r="5605" spans="1:14" s="14" customFormat="1" ht="18" x14ac:dyDescent="0.25">
      <c r="A5605" s="91"/>
      <c r="B5605" s="90"/>
      <c r="C5605" s="88"/>
      <c r="D5605" s="89"/>
      <c r="E5605" s="90"/>
      <c r="F5605" s="91"/>
      <c r="G5605" s="90"/>
      <c r="H5605" s="92"/>
      <c r="I5605" s="87"/>
      <c r="J5605" s="93"/>
      <c r="K5605" s="92"/>
      <c r="L5605" s="72" t="str">
        <f t="shared" si="88"/>
        <v/>
      </c>
      <c r="N5605" s="15"/>
    </row>
    <row r="5606" spans="1:14" s="14" customFormat="1" ht="18" x14ac:dyDescent="0.25">
      <c r="A5606" s="91"/>
      <c r="B5606" s="90"/>
      <c r="C5606" s="88"/>
      <c r="D5606" s="89"/>
      <c r="E5606" s="90"/>
      <c r="F5606" s="91"/>
      <c r="G5606" s="90"/>
      <c r="H5606" s="92"/>
      <c r="I5606" s="87"/>
      <c r="J5606" s="93"/>
      <c r="K5606" s="92"/>
      <c r="L5606" s="72" t="str">
        <f t="shared" si="88"/>
        <v/>
      </c>
      <c r="N5606" s="15"/>
    </row>
    <row r="5607" spans="1:14" s="14" customFormat="1" ht="18" x14ac:dyDescent="0.25">
      <c r="A5607" s="91"/>
      <c r="B5607" s="90"/>
      <c r="C5607" s="88"/>
      <c r="D5607" s="89"/>
      <c r="E5607" s="90"/>
      <c r="F5607" s="91"/>
      <c r="G5607" s="90"/>
      <c r="H5607" s="92"/>
      <c r="I5607" s="87"/>
      <c r="J5607" s="93"/>
      <c r="K5607" s="92"/>
      <c r="L5607" s="72" t="str">
        <f t="shared" si="88"/>
        <v/>
      </c>
      <c r="N5607" s="15"/>
    </row>
    <row r="5608" spans="1:14" s="14" customFormat="1" ht="18" x14ac:dyDescent="0.25">
      <c r="A5608" s="91"/>
      <c r="B5608" s="90"/>
      <c r="C5608" s="88"/>
      <c r="D5608" s="89"/>
      <c r="E5608" s="90"/>
      <c r="F5608" s="91"/>
      <c r="G5608" s="90"/>
      <c r="H5608" s="92"/>
      <c r="I5608" s="87"/>
      <c r="J5608" s="93"/>
      <c r="K5608" s="92"/>
      <c r="L5608" s="72" t="str">
        <f t="shared" si="88"/>
        <v/>
      </c>
      <c r="N5608" s="15"/>
    </row>
    <row r="5609" spans="1:14" s="14" customFormat="1" ht="18" x14ac:dyDescent="0.25">
      <c r="A5609" s="91"/>
      <c r="B5609" s="90"/>
      <c r="C5609" s="88"/>
      <c r="D5609" s="89"/>
      <c r="E5609" s="90"/>
      <c r="F5609" s="91"/>
      <c r="G5609" s="90"/>
      <c r="H5609" s="92"/>
      <c r="I5609" s="87"/>
      <c r="J5609" s="93"/>
      <c r="K5609" s="92"/>
      <c r="L5609" s="72" t="str">
        <f t="shared" si="88"/>
        <v/>
      </c>
      <c r="N5609" s="15"/>
    </row>
    <row r="5610" spans="1:14" s="14" customFormat="1" ht="18" x14ac:dyDescent="0.25">
      <c r="A5610" s="91"/>
      <c r="B5610" s="90"/>
      <c r="C5610" s="88"/>
      <c r="D5610" s="89"/>
      <c r="E5610" s="90"/>
      <c r="F5610" s="91"/>
      <c r="G5610" s="90"/>
      <c r="H5610" s="92"/>
      <c r="I5610" s="87"/>
      <c r="J5610" s="93"/>
      <c r="K5610" s="92"/>
      <c r="L5610" s="72" t="str">
        <f t="shared" si="88"/>
        <v/>
      </c>
      <c r="N5610" s="15"/>
    </row>
    <row r="5611" spans="1:14" s="14" customFormat="1" ht="18" x14ac:dyDescent="0.25">
      <c r="A5611" s="91"/>
      <c r="B5611" s="90"/>
      <c r="C5611" s="88"/>
      <c r="D5611" s="89"/>
      <c r="E5611" s="90"/>
      <c r="F5611" s="91"/>
      <c r="G5611" s="90"/>
      <c r="H5611" s="92"/>
      <c r="I5611" s="87"/>
      <c r="J5611" s="93"/>
      <c r="K5611" s="92"/>
      <c r="L5611" s="72" t="str">
        <f t="shared" si="88"/>
        <v/>
      </c>
      <c r="N5611" s="15"/>
    </row>
    <row r="5612" spans="1:14" s="14" customFormat="1" ht="18" x14ac:dyDescent="0.25">
      <c r="A5612" s="91"/>
      <c r="B5612" s="90"/>
      <c r="C5612" s="88"/>
      <c r="D5612" s="89"/>
      <c r="E5612" s="90"/>
      <c r="F5612" s="91"/>
      <c r="G5612" s="90"/>
      <c r="H5612" s="92"/>
      <c r="I5612" s="87"/>
      <c r="J5612" s="93"/>
      <c r="K5612" s="92"/>
      <c r="L5612" s="72" t="str">
        <f t="shared" si="88"/>
        <v/>
      </c>
      <c r="N5612" s="15"/>
    </row>
    <row r="5613" spans="1:14" s="14" customFormat="1" ht="18" x14ac:dyDescent="0.25">
      <c r="A5613" s="91"/>
      <c r="B5613" s="90"/>
      <c r="C5613" s="88"/>
      <c r="D5613" s="89"/>
      <c r="E5613" s="90"/>
      <c r="F5613" s="91"/>
      <c r="G5613" s="90"/>
      <c r="H5613" s="92"/>
      <c r="I5613" s="87"/>
      <c r="J5613" s="93"/>
      <c r="K5613" s="92"/>
      <c r="L5613" s="72" t="str">
        <f t="shared" si="88"/>
        <v/>
      </c>
      <c r="N5613" s="15"/>
    </row>
    <row r="5614" spans="1:14" s="14" customFormat="1" ht="18" x14ac:dyDescent="0.25">
      <c r="A5614" s="91"/>
      <c r="B5614" s="90"/>
      <c r="C5614" s="88"/>
      <c r="D5614" s="89"/>
      <c r="E5614" s="90"/>
      <c r="F5614" s="91"/>
      <c r="G5614" s="90"/>
      <c r="H5614" s="92"/>
      <c r="I5614" s="87"/>
      <c r="J5614" s="93"/>
      <c r="K5614" s="92"/>
      <c r="L5614" s="72" t="str">
        <f t="shared" si="88"/>
        <v/>
      </c>
      <c r="N5614" s="15"/>
    </row>
    <row r="5615" spans="1:14" s="14" customFormat="1" ht="18" x14ac:dyDescent="0.25">
      <c r="A5615" s="91"/>
      <c r="B5615" s="90"/>
      <c r="C5615" s="88"/>
      <c r="D5615" s="89"/>
      <c r="E5615" s="90"/>
      <c r="F5615" s="91"/>
      <c r="G5615" s="90"/>
      <c r="H5615" s="92"/>
      <c r="I5615" s="87"/>
      <c r="J5615" s="93"/>
      <c r="K5615" s="92"/>
      <c r="L5615" s="72" t="str">
        <f t="shared" si="88"/>
        <v/>
      </c>
      <c r="N5615" s="15"/>
    </row>
    <row r="5616" spans="1:14" s="14" customFormat="1" ht="18" x14ac:dyDescent="0.25">
      <c r="A5616" s="91"/>
      <c r="B5616" s="90"/>
      <c r="C5616" s="88"/>
      <c r="D5616" s="89"/>
      <c r="E5616" s="90"/>
      <c r="F5616" s="91"/>
      <c r="G5616" s="90"/>
      <c r="H5616" s="92"/>
      <c r="I5616" s="87"/>
      <c r="J5616" s="93"/>
      <c r="K5616" s="92"/>
      <c r="L5616" s="72" t="str">
        <f t="shared" si="88"/>
        <v/>
      </c>
      <c r="N5616" s="15"/>
    </row>
    <row r="5617" spans="1:14" s="14" customFormat="1" ht="18" x14ac:dyDescent="0.25">
      <c r="A5617" s="91"/>
      <c r="B5617" s="90"/>
      <c r="C5617" s="88"/>
      <c r="D5617" s="89"/>
      <c r="E5617" s="90"/>
      <c r="F5617" s="91"/>
      <c r="G5617" s="90"/>
      <c r="H5617" s="92"/>
      <c r="I5617" s="87"/>
      <c r="J5617" s="93"/>
      <c r="K5617" s="92"/>
      <c r="L5617" s="72" t="str">
        <f t="shared" si="88"/>
        <v/>
      </c>
      <c r="N5617" s="15"/>
    </row>
    <row r="5618" spans="1:14" s="14" customFormat="1" ht="18" x14ac:dyDescent="0.25">
      <c r="A5618" s="91"/>
      <c r="B5618" s="90"/>
      <c r="C5618" s="88"/>
      <c r="D5618" s="89"/>
      <c r="E5618" s="90"/>
      <c r="F5618" s="91"/>
      <c r="G5618" s="90"/>
      <c r="H5618" s="92"/>
      <c r="I5618" s="87"/>
      <c r="J5618" s="93"/>
      <c r="K5618" s="92"/>
      <c r="L5618" s="72" t="str">
        <f t="shared" si="88"/>
        <v/>
      </c>
      <c r="N5618" s="15"/>
    </row>
    <row r="5619" spans="1:14" s="14" customFormat="1" ht="18" x14ac:dyDescent="0.25">
      <c r="A5619" s="91"/>
      <c r="B5619" s="90"/>
      <c r="C5619" s="88"/>
      <c r="D5619" s="89"/>
      <c r="E5619" s="90"/>
      <c r="F5619" s="91"/>
      <c r="G5619" s="90"/>
      <c r="H5619" s="92"/>
      <c r="I5619" s="87"/>
      <c r="J5619" s="93"/>
      <c r="K5619" s="92"/>
      <c r="L5619" s="72" t="str">
        <f t="shared" si="88"/>
        <v/>
      </c>
      <c r="N5619" s="15"/>
    </row>
    <row r="5620" spans="1:14" s="14" customFormat="1" ht="18" x14ac:dyDescent="0.25">
      <c r="A5620" s="91"/>
      <c r="B5620" s="90"/>
      <c r="C5620" s="88"/>
      <c r="D5620" s="89"/>
      <c r="E5620" s="90"/>
      <c r="F5620" s="91"/>
      <c r="G5620" s="90"/>
      <c r="H5620" s="92"/>
      <c r="I5620" s="87"/>
      <c r="J5620" s="93"/>
      <c r="K5620" s="92"/>
      <c r="L5620" s="72" t="str">
        <f t="shared" si="88"/>
        <v/>
      </c>
      <c r="N5620" s="15"/>
    </row>
    <row r="5621" spans="1:14" s="14" customFormat="1" ht="18" x14ac:dyDescent="0.25">
      <c r="A5621" s="91"/>
      <c r="B5621" s="90"/>
      <c r="C5621" s="88"/>
      <c r="D5621" s="89"/>
      <c r="E5621" s="90"/>
      <c r="F5621" s="91"/>
      <c r="G5621" s="90"/>
      <c r="H5621" s="92"/>
      <c r="I5621" s="87"/>
      <c r="J5621" s="93"/>
      <c r="K5621" s="92"/>
      <c r="L5621" s="72" t="str">
        <f t="shared" si="88"/>
        <v/>
      </c>
      <c r="N5621" s="15"/>
    </row>
    <row r="5622" spans="1:14" s="14" customFormat="1" ht="18" x14ac:dyDescent="0.25">
      <c r="A5622" s="91"/>
      <c r="B5622" s="90"/>
      <c r="C5622" s="88"/>
      <c r="D5622" s="89"/>
      <c r="E5622" s="90"/>
      <c r="F5622" s="91"/>
      <c r="G5622" s="90"/>
      <c r="H5622" s="92"/>
      <c r="I5622" s="87"/>
      <c r="J5622" s="93"/>
      <c r="K5622" s="92"/>
      <c r="L5622" s="72" t="str">
        <f t="shared" si="88"/>
        <v/>
      </c>
      <c r="N5622" s="15"/>
    </row>
    <row r="5623" spans="1:14" s="14" customFormat="1" ht="18" x14ac:dyDescent="0.25">
      <c r="A5623" s="91"/>
      <c r="B5623" s="90"/>
      <c r="C5623" s="88"/>
      <c r="D5623" s="89"/>
      <c r="E5623" s="90"/>
      <c r="F5623" s="91"/>
      <c r="G5623" s="90"/>
      <c r="H5623" s="92"/>
      <c r="I5623" s="87"/>
      <c r="J5623" s="93"/>
      <c r="K5623" s="92"/>
      <c r="L5623" s="72" t="str">
        <f t="shared" si="88"/>
        <v/>
      </c>
      <c r="N5623" s="15"/>
    </row>
    <row r="5624" spans="1:14" s="14" customFormat="1" ht="18" x14ac:dyDescent="0.25">
      <c r="A5624" s="91"/>
      <c r="B5624" s="90"/>
      <c r="C5624" s="88"/>
      <c r="D5624" s="89"/>
      <c r="E5624" s="90"/>
      <c r="F5624" s="91"/>
      <c r="G5624" s="90"/>
      <c r="H5624" s="92"/>
      <c r="I5624" s="87"/>
      <c r="J5624" s="93"/>
      <c r="K5624" s="92"/>
      <c r="L5624" s="72" t="str">
        <f t="shared" si="88"/>
        <v/>
      </c>
      <c r="N5624" s="15"/>
    </row>
    <row r="5625" spans="1:14" s="14" customFormat="1" ht="18" x14ac:dyDescent="0.25">
      <c r="A5625" s="91"/>
      <c r="B5625" s="90"/>
      <c r="C5625" s="88"/>
      <c r="D5625" s="89"/>
      <c r="E5625" s="90"/>
      <c r="F5625" s="91"/>
      <c r="G5625" s="90"/>
      <c r="H5625" s="92"/>
      <c r="I5625" s="87"/>
      <c r="J5625" s="93"/>
      <c r="K5625" s="92"/>
      <c r="L5625" s="72" t="str">
        <f t="shared" si="88"/>
        <v/>
      </c>
      <c r="N5625" s="15"/>
    </row>
    <row r="5626" spans="1:14" s="14" customFormat="1" ht="18" x14ac:dyDescent="0.25">
      <c r="A5626" s="91"/>
      <c r="B5626" s="90"/>
      <c r="C5626" s="88"/>
      <c r="D5626" s="89"/>
      <c r="E5626" s="90"/>
      <c r="F5626" s="91"/>
      <c r="G5626" s="90"/>
      <c r="H5626" s="92"/>
      <c r="I5626" s="87"/>
      <c r="J5626" s="93"/>
      <c r="K5626" s="92"/>
      <c r="L5626" s="72" t="str">
        <f t="shared" si="88"/>
        <v/>
      </c>
      <c r="N5626" s="15"/>
    </row>
    <row r="5627" spans="1:14" s="14" customFormat="1" ht="18" x14ac:dyDescent="0.25">
      <c r="A5627" s="91"/>
      <c r="B5627" s="90"/>
      <c r="C5627" s="88"/>
      <c r="D5627" s="89"/>
      <c r="E5627" s="90"/>
      <c r="F5627" s="91"/>
      <c r="G5627" s="90"/>
      <c r="H5627" s="92"/>
      <c r="I5627" s="87"/>
      <c r="J5627" s="93"/>
      <c r="K5627" s="92"/>
      <c r="L5627" s="72" t="str">
        <f t="shared" si="88"/>
        <v/>
      </c>
      <c r="N5627" s="15"/>
    </row>
    <row r="5628" spans="1:14" s="14" customFormat="1" ht="18" x14ac:dyDescent="0.25">
      <c r="A5628" s="91"/>
      <c r="B5628" s="90"/>
      <c r="C5628" s="88"/>
      <c r="D5628" s="89"/>
      <c r="E5628" s="90"/>
      <c r="F5628" s="91"/>
      <c r="G5628" s="90"/>
      <c r="H5628" s="92"/>
      <c r="I5628" s="87"/>
      <c r="J5628" s="93"/>
      <c r="K5628" s="92"/>
      <c r="L5628" s="72" t="str">
        <f t="shared" si="88"/>
        <v/>
      </c>
      <c r="N5628" s="15"/>
    </row>
    <row r="5629" spans="1:14" s="14" customFormat="1" ht="18" x14ac:dyDescent="0.25">
      <c r="A5629" s="91"/>
      <c r="B5629" s="90"/>
      <c r="C5629" s="88"/>
      <c r="D5629" s="89"/>
      <c r="E5629" s="90"/>
      <c r="F5629" s="91"/>
      <c r="G5629" s="90"/>
      <c r="H5629" s="92"/>
      <c r="I5629" s="87"/>
      <c r="J5629" s="93"/>
      <c r="K5629" s="92"/>
      <c r="L5629" s="72" t="str">
        <f t="shared" si="88"/>
        <v/>
      </c>
      <c r="N5629" s="15"/>
    </row>
    <row r="5630" spans="1:14" s="14" customFormat="1" ht="18" x14ac:dyDescent="0.25">
      <c r="A5630" s="91"/>
      <c r="B5630" s="90"/>
      <c r="C5630" s="88"/>
      <c r="D5630" s="89"/>
      <c r="E5630" s="90"/>
      <c r="F5630" s="91"/>
      <c r="G5630" s="90"/>
      <c r="H5630" s="92"/>
      <c r="I5630" s="87"/>
      <c r="J5630" s="93"/>
      <c r="K5630" s="92"/>
      <c r="L5630" s="72" t="str">
        <f t="shared" si="88"/>
        <v/>
      </c>
      <c r="N5630" s="15"/>
    </row>
    <row r="5631" spans="1:14" s="14" customFormat="1" ht="18" x14ac:dyDescent="0.25">
      <c r="A5631" s="91"/>
      <c r="B5631" s="90"/>
      <c r="C5631" s="88"/>
      <c r="D5631" s="89"/>
      <c r="E5631" s="90"/>
      <c r="F5631" s="91"/>
      <c r="G5631" s="90"/>
      <c r="H5631" s="92"/>
      <c r="I5631" s="87"/>
      <c r="J5631" s="93"/>
      <c r="K5631" s="92"/>
      <c r="L5631" s="72" t="str">
        <f t="shared" si="88"/>
        <v/>
      </c>
      <c r="N5631" s="15"/>
    </row>
    <row r="5632" spans="1:14" s="14" customFormat="1" ht="18" x14ac:dyDescent="0.25">
      <c r="A5632" s="91"/>
      <c r="B5632" s="90"/>
      <c r="C5632" s="88"/>
      <c r="D5632" s="89"/>
      <c r="E5632" s="90"/>
      <c r="F5632" s="91"/>
      <c r="G5632" s="90"/>
      <c r="H5632" s="92"/>
      <c r="I5632" s="87"/>
      <c r="J5632" s="93"/>
      <c r="K5632" s="92"/>
      <c r="L5632" s="72" t="str">
        <f t="shared" si="88"/>
        <v/>
      </c>
      <c r="N5632" s="15"/>
    </row>
    <row r="5633" spans="1:14" s="14" customFormat="1" ht="18" x14ac:dyDescent="0.25">
      <c r="A5633" s="91"/>
      <c r="B5633" s="90"/>
      <c r="C5633" s="88"/>
      <c r="D5633" s="89"/>
      <c r="E5633" s="90"/>
      <c r="F5633" s="91"/>
      <c r="G5633" s="90"/>
      <c r="H5633" s="92"/>
      <c r="I5633" s="87"/>
      <c r="J5633" s="93"/>
      <c r="K5633" s="92"/>
      <c r="L5633" s="72" t="str">
        <f t="shared" si="88"/>
        <v/>
      </c>
      <c r="N5633" s="15"/>
    </row>
    <row r="5634" spans="1:14" s="14" customFormat="1" ht="18" x14ac:dyDescent="0.25">
      <c r="A5634" s="91"/>
      <c r="B5634" s="90"/>
      <c r="C5634" s="88"/>
      <c r="D5634" s="89"/>
      <c r="E5634" s="90"/>
      <c r="F5634" s="91"/>
      <c r="G5634" s="90"/>
      <c r="H5634" s="92"/>
      <c r="I5634" s="87"/>
      <c r="J5634" s="93"/>
      <c r="K5634" s="92"/>
      <c r="L5634" s="72" t="str">
        <f t="shared" si="88"/>
        <v/>
      </c>
      <c r="N5634" s="15"/>
    </row>
    <row r="5635" spans="1:14" s="14" customFormat="1" ht="18" x14ac:dyDescent="0.25">
      <c r="A5635" s="91"/>
      <c r="B5635" s="90"/>
      <c r="C5635" s="88"/>
      <c r="D5635" s="89"/>
      <c r="E5635" s="90"/>
      <c r="F5635" s="91"/>
      <c r="G5635" s="90"/>
      <c r="H5635" s="92"/>
      <c r="I5635" s="87"/>
      <c r="J5635" s="93"/>
      <c r="K5635" s="92"/>
      <c r="L5635" s="72" t="str">
        <f t="shared" si="88"/>
        <v/>
      </c>
      <c r="N5635" s="15"/>
    </row>
    <row r="5636" spans="1:14" s="14" customFormat="1" ht="18" x14ac:dyDescent="0.25">
      <c r="A5636" s="91"/>
      <c r="B5636" s="90"/>
      <c r="C5636" s="88"/>
      <c r="D5636" s="89"/>
      <c r="E5636" s="90"/>
      <c r="F5636" s="91"/>
      <c r="G5636" s="90"/>
      <c r="H5636" s="92"/>
      <c r="I5636" s="87"/>
      <c r="J5636" s="93"/>
      <c r="K5636" s="92"/>
      <c r="L5636" s="72" t="str">
        <f t="shared" si="88"/>
        <v/>
      </c>
      <c r="N5636" s="15"/>
    </row>
    <row r="5637" spans="1:14" s="14" customFormat="1" ht="18" x14ac:dyDescent="0.25">
      <c r="A5637" s="91"/>
      <c r="B5637" s="90"/>
      <c r="C5637" s="88"/>
      <c r="D5637" s="89"/>
      <c r="E5637" s="90"/>
      <c r="F5637" s="91"/>
      <c r="G5637" s="90"/>
      <c r="H5637" s="92"/>
      <c r="I5637" s="87"/>
      <c r="J5637" s="93"/>
      <c r="K5637" s="92"/>
      <c r="L5637" s="72" t="str">
        <f t="shared" si="88"/>
        <v/>
      </c>
      <c r="N5637" s="15"/>
    </row>
    <row r="5638" spans="1:14" s="14" customFormat="1" ht="18" x14ac:dyDescent="0.25">
      <c r="A5638" s="91"/>
      <c r="B5638" s="90"/>
      <c r="C5638" s="88"/>
      <c r="D5638" s="89"/>
      <c r="E5638" s="90"/>
      <c r="F5638" s="91"/>
      <c r="G5638" s="90"/>
      <c r="H5638" s="92"/>
      <c r="I5638" s="87"/>
      <c r="J5638" s="93"/>
      <c r="K5638" s="92"/>
      <c r="L5638" s="72" t="str">
        <f t="shared" si="88"/>
        <v/>
      </c>
      <c r="N5638" s="15"/>
    </row>
    <row r="5639" spans="1:14" s="14" customFormat="1" ht="18" x14ac:dyDescent="0.25">
      <c r="A5639" s="91"/>
      <c r="B5639" s="90"/>
      <c r="C5639" s="88"/>
      <c r="D5639" s="89"/>
      <c r="E5639" s="90"/>
      <c r="F5639" s="91"/>
      <c r="G5639" s="90"/>
      <c r="H5639" s="92"/>
      <c r="I5639" s="87"/>
      <c r="J5639" s="93"/>
      <c r="K5639" s="92"/>
      <c r="L5639" s="72" t="str">
        <f t="shared" si="88"/>
        <v/>
      </c>
      <c r="N5639" s="15"/>
    </row>
    <row r="5640" spans="1:14" s="14" customFormat="1" ht="18" x14ac:dyDescent="0.25">
      <c r="A5640" s="91"/>
      <c r="B5640" s="90"/>
      <c r="C5640" s="88"/>
      <c r="D5640" s="89"/>
      <c r="E5640" s="90"/>
      <c r="F5640" s="91"/>
      <c r="G5640" s="90"/>
      <c r="H5640" s="92"/>
      <c r="I5640" s="87"/>
      <c r="J5640" s="93"/>
      <c r="K5640" s="92"/>
      <c r="L5640" s="72" t="str">
        <f t="shared" si="88"/>
        <v/>
      </c>
      <c r="N5640" s="15"/>
    </row>
    <row r="5641" spans="1:14" s="14" customFormat="1" ht="18" x14ac:dyDescent="0.25">
      <c r="A5641" s="91"/>
      <c r="B5641" s="90"/>
      <c r="C5641" s="88"/>
      <c r="D5641" s="89"/>
      <c r="E5641" s="90"/>
      <c r="F5641" s="91"/>
      <c r="G5641" s="90"/>
      <c r="H5641" s="92"/>
      <c r="I5641" s="87"/>
      <c r="J5641" s="93"/>
      <c r="K5641" s="92"/>
      <c r="L5641" s="72" t="str">
        <f t="shared" si="88"/>
        <v/>
      </c>
      <c r="N5641" s="15"/>
    </row>
    <row r="5642" spans="1:14" s="14" customFormat="1" ht="18" x14ac:dyDescent="0.25">
      <c r="A5642" s="91"/>
      <c r="B5642" s="90"/>
      <c r="C5642" s="88"/>
      <c r="D5642" s="89"/>
      <c r="E5642" s="90"/>
      <c r="F5642" s="91"/>
      <c r="G5642" s="90"/>
      <c r="H5642" s="92"/>
      <c r="I5642" s="87"/>
      <c r="J5642" s="93"/>
      <c r="K5642" s="92"/>
      <c r="L5642" s="72" t="str">
        <f t="shared" si="88"/>
        <v/>
      </c>
      <c r="N5642" s="15"/>
    </row>
    <row r="5643" spans="1:14" s="14" customFormat="1" ht="18" x14ac:dyDescent="0.25">
      <c r="A5643" s="91"/>
      <c r="B5643" s="90"/>
      <c r="C5643" s="88"/>
      <c r="D5643" s="89"/>
      <c r="E5643" s="90"/>
      <c r="F5643" s="91"/>
      <c r="G5643" s="90"/>
      <c r="H5643" s="92"/>
      <c r="I5643" s="87"/>
      <c r="J5643" s="93"/>
      <c r="K5643" s="92"/>
      <c r="L5643" s="72" t="str">
        <f t="shared" si="88"/>
        <v/>
      </c>
      <c r="N5643" s="15"/>
    </row>
    <row r="5644" spans="1:14" s="14" customFormat="1" ht="18" x14ac:dyDescent="0.25">
      <c r="A5644" s="91"/>
      <c r="B5644" s="90"/>
      <c r="C5644" s="88"/>
      <c r="D5644" s="89"/>
      <c r="E5644" s="90"/>
      <c r="F5644" s="91"/>
      <c r="G5644" s="90"/>
      <c r="H5644" s="92"/>
      <c r="I5644" s="87"/>
      <c r="J5644" s="93"/>
      <c r="K5644" s="92"/>
      <c r="L5644" s="72" t="str">
        <f t="shared" si="88"/>
        <v/>
      </c>
      <c r="N5644" s="15"/>
    </row>
    <row r="5645" spans="1:14" s="14" customFormat="1" ht="18" x14ac:dyDescent="0.25">
      <c r="A5645" s="91"/>
      <c r="B5645" s="90"/>
      <c r="C5645" s="88"/>
      <c r="D5645" s="89"/>
      <c r="E5645" s="90"/>
      <c r="F5645" s="91"/>
      <c r="G5645" s="90"/>
      <c r="H5645" s="92"/>
      <c r="I5645" s="87"/>
      <c r="J5645" s="93"/>
      <c r="K5645" s="92"/>
      <c r="L5645" s="72" t="str">
        <f t="shared" si="88"/>
        <v/>
      </c>
      <c r="N5645" s="15"/>
    </row>
    <row r="5646" spans="1:14" s="14" customFormat="1" ht="18" x14ac:dyDescent="0.25">
      <c r="A5646" s="91"/>
      <c r="B5646" s="90"/>
      <c r="C5646" s="88"/>
      <c r="D5646" s="89"/>
      <c r="E5646" s="90"/>
      <c r="F5646" s="91"/>
      <c r="G5646" s="90"/>
      <c r="H5646" s="92"/>
      <c r="I5646" s="87"/>
      <c r="J5646" s="93"/>
      <c r="K5646" s="92"/>
      <c r="L5646" s="72" t="str">
        <f t="shared" si="88"/>
        <v/>
      </c>
      <c r="N5646" s="15"/>
    </row>
    <row r="5647" spans="1:14" s="14" customFormat="1" ht="18" x14ac:dyDescent="0.25">
      <c r="A5647" s="91"/>
      <c r="B5647" s="90"/>
      <c r="C5647" s="88"/>
      <c r="D5647" s="89"/>
      <c r="E5647" s="90"/>
      <c r="F5647" s="91"/>
      <c r="G5647" s="90"/>
      <c r="H5647" s="92"/>
      <c r="I5647" s="87"/>
      <c r="J5647" s="93"/>
      <c r="K5647" s="92"/>
      <c r="L5647" s="72" t="str">
        <f t="shared" si="88"/>
        <v/>
      </c>
      <c r="N5647" s="15"/>
    </row>
    <row r="5648" spans="1:14" s="14" customFormat="1" ht="18" x14ac:dyDescent="0.25">
      <c r="A5648" s="91"/>
      <c r="B5648" s="90"/>
      <c r="C5648" s="88"/>
      <c r="D5648" s="89"/>
      <c r="E5648" s="90"/>
      <c r="F5648" s="91"/>
      <c r="G5648" s="90"/>
      <c r="H5648" s="92"/>
      <c r="I5648" s="87"/>
      <c r="J5648" s="93"/>
      <c r="K5648" s="92"/>
      <c r="L5648" s="72" t="str">
        <f t="shared" si="88"/>
        <v/>
      </c>
      <c r="N5648" s="15"/>
    </row>
    <row r="5649" spans="1:14" s="14" customFormat="1" ht="18" x14ac:dyDescent="0.25">
      <c r="A5649" s="91"/>
      <c r="B5649" s="90"/>
      <c r="C5649" s="88"/>
      <c r="D5649" s="89"/>
      <c r="E5649" s="90"/>
      <c r="F5649" s="91"/>
      <c r="G5649" s="90"/>
      <c r="H5649" s="92"/>
      <c r="I5649" s="87"/>
      <c r="J5649" s="93"/>
      <c r="K5649" s="92"/>
      <c r="L5649" s="72" t="str">
        <f t="shared" si="88"/>
        <v/>
      </c>
      <c r="N5649" s="15"/>
    </row>
    <row r="5650" spans="1:14" s="14" customFormat="1" ht="18" x14ac:dyDescent="0.25">
      <c r="A5650" s="91"/>
      <c r="B5650" s="90"/>
      <c r="C5650" s="88"/>
      <c r="D5650" s="89"/>
      <c r="E5650" s="90"/>
      <c r="F5650" s="91"/>
      <c r="G5650" s="90"/>
      <c r="H5650" s="92"/>
      <c r="I5650" s="87"/>
      <c r="J5650" s="93"/>
      <c r="K5650" s="92"/>
      <c r="L5650" s="72" t="str">
        <f t="shared" si="88"/>
        <v/>
      </c>
      <c r="N5650" s="15"/>
    </row>
    <row r="5651" spans="1:14" s="14" customFormat="1" ht="18" x14ac:dyDescent="0.25">
      <c r="A5651" s="91"/>
      <c r="B5651" s="90"/>
      <c r="C5651" s="88"/>
      <c r="D5651" s="89"/>
      <c r="E5651" s="90"/>
      <c r="F5651" s="91"/>
      <c r="G5651" s="90"/>
      <c r="H5651" s="92"/>
      <c r="I5651" s="87"/>
      <c r="J5651" s="93"/>
      <c r="K5651" s="92"/>
      <c r="L5651" s="72" t="str">
        <f t="shared" si="88"/>
        <v/>
      </c>
      <c r="N5651" s="15"/>
    </row>
    <row r="5652" spans="1:14" s="14" customFormat="1" ht="18" x14ac:dyDescent="0.25">
      <c r="A5652" s="91"/>
      <c r="B5652" s="90"/>
      <c r="C5652" s="88"/>
      <c r="D5652" s="89"/>
      <c r="E5652" s="90"/>
      <c r="F5652" s="91"/>
      <c r="G5652" s="90"/>
      <c r="H5652" s="92"/>
      <c r="I5652" s="87"/>
      <c r="J5652" s="93"/>
      <c r="K5652" s="92"/>
      <c r="L5652" s="72" t="str">
        <f t="shared" si="88"/>
        <v/>
      </c>
      <c r="N5652" s="15"/>
    </row>
    <row r="5653" spans="1:14" s="14" customFormat="1" ht="18" x14ac:dyDescent="0.25">
      <c r="A5653" s="91"/>
      <c r="B5653" s="90"/>
      <c r="C5653" s="88"/>
      <c r="D5653" s="89"/>
      <c r="E5653" s="90"/>
      <c r="F5653" s="91"/>
      <c r="G5653" s="90"/>
      <c r="H5653" s="92"/>
      <c r="I5653" s="87"/>
      <c r="J5653" s="93"/>
      <c r="K5653" s="92"/>
      <c r="L5653" s="72" t="str">
        <f t="shared" si="88"/>
        <v/>
      </c>
      <c r="N5653" s="15"/>
    </row>
    <row r="5654" spans="1:14" s="14" customFormat="1" ht="18" x14ac:dyDescent="0.25">
      <c r="A5654" s="91"/>
      <c r="B5654" s="90"/>
      <c r="C5654" s="88"/>
      <c r="D5654" s="89"/>
      <c r="E5654" s="90"/>
      <c r="F5654" s="91"/>
      <c r="G5654" s="90"/>
      <c r="H5654" s="92"/>
      <c r="I5654" s="87"/>
      <c r="J5654" s="93"/>
      <c r="K5654" s="92"/>
      <c r="L5654" s="72" t="str">
        <f t="shared" si="88"/>
        <v/>
      </c>
      <c r="N5654" s="15"/>
    </row>
    <row r="5655" spans="1:14" s="14" customFormat="1" ht="18" x14ac:dyDescent="0.25">
      <c r="A5655" s="91"/>
      <c r="B5655" s="90"/>
      <c r="C5655" s="88"/>
      <c r="D5655" s="89"/>
      <c r="E5655" s="90"/>
      <c r="F5655" s="91"/>
      <c r="G5655" s="90"/>
      <c r="H5655" s="92"/>
      <c r="I5655" s="87"/>
      <c r="J5655" s="93"/>
      <c r="K5655" s="92"/>
      <c r="L5655" s="72" t="str">
        <f t="shared" si="88"/>
        <v/>
      </c>
      <c r="N5655" s="15"/>
    </row>
    <row r="5656" spans="1:14" s="14" customFormat="1" ht="18" x14ac:dyDescent="0.25">
      <c r="A5656" s="91"/>
      <c r="B5656" s="90"/>
      <c r="C5656" s="88"/>
      <c r="D5656" s="89"/>
      <c r="E5656" s="90"/>
      <c r="F5656" s="91"/>
      <c r="G5656" s="90"/>
      <c r="H5656" s="92"/>
      <c r="I5656" s="87"/>
      <c r="J5656" s="93"/>
      <c r="K5656" s="92"/>
      <c r="L5656" s="72" t="str">
        <f t="shared" si="88"/>
        <v/>
      </c>
      <c r="N5656" s="15"/>
    </row>
    <row r="5657" spans="1:14" s="14" customFormat="1" ht="18" x14ac:dyDescent="0.25">
      <c r="A5657" s="91"/>
      <c r="B5657" s="90"/>
      <c r="C5657" s="88"/>
      <c r="D5657" s="89"/>
      <c r="E5657" s="90"/>
      <c r="F5657" s="91"/>
      <c r="G5657" s="90"/>
      <c r="H5657" s="92"/>
      <c r="I5657" s="87"/>
      <c r="J5657" s="93"/>
      <c r="K5657" s="92"/>
      <c r="L5657" s="72" t="str">
        <f t="shared" si="88"/>
        <v/>
      </c>
      <c r="N5657" s="15"/>
    </row>
    <row r="5658" spans="1:14" s="14" customFormat="1" ht="18" x14ac:dyDescent="0.25">
      <c r="A5658" s="91"/>
      <c r="B5658" s="90"/>
      <c r="C5658" s="88"/>
      <c r="D5658" s="89"/>
      <c r="E5658" s="90"/>
      <c r="F5658" s="91"/>
      <c r="G5658" s="90"/>
      <c r="H5658" s="92"/>
      <c r="I5658" s="87"/>
      <c r="J5658" s="93"/>
      <c r="K5658" s="92"/>
      <c r="L5658" s="72" t="str">
        <f t="shared" si="88"/>
        <v/>
      </c>
      <c r="N5658" s="15"/>
    </row>
    <row r="5659" spans="1:14" s="14" customFormat="1" ht="18" x14ac:dyDescent="0.25">
      <c r="A5659" s="91"/>
      <c r="B5659" s="90"/>
      <c r="C5659" s="88"/>
      <c r="D5659" s="89"/>
      <c r="E5659" s="90"/>
      <c r="F5659" s="91"/>
      <c r="G5659" s="90"/>
      <c r="H5659" s="92"/>
      <c r="I5659" s="87"/>
      <c r="J5659" s="93"/>
      <c r="K5659" s="92"/>
      <c r="L5659" s="72" t="str">
        <f t="shared" si="88"/>
        <v/>
      </c>
      <c r="N5659" s="15"/>
    </row>
    <row r="5660" spans="1:14" s="14" customFormat="1" ht="18" x14ac:dyDescent="0.25">
      <c r="A5660" s="91"/>
      <c r="B5660" s="90"/>
      <c r="C5660" s="88"/>
      <c r="D5660" s="89"/>
      <c r="E5660" s="90"/>
      <c r="F5660" s="91"/>
      <c r="G5660" s="90"/>
      <c r="H5660" s="92"/>
      <c r="I5660" s="87"/>
      <c r="J5660" s="93"/>
      <c r="K5660" s="92"/>
      <c r="L5660" s="72" t="str">
        <f t="shared" si="88"/>
        <v/>
      </c>
      <c r="N5660" s="15"/>
    </row>
    <row r="5661" spans="1:14" s="14" customFormat="1" ht="18" x14ac:dyDescent="0.25">
      <c r="A5661" s="91"/>
      <c r="B5661" s="90"/>
      <c r="C5661" s="88"/>
      <c r="D5661" s="89"/>
      <c r="E5661" s="90"/>
      <c r="F5661" s="91"/>
      <c r="G5661" s="90"/>
      <c r="H5661" s="92"/>
      <c r="I5661" s="87"/>
      <c r="J5661" s="93"/>
      <c r="K5661" s="92"/>
      <c r="L5661" s="72" t="str">
        <f t="shared" si="88"/>
        <v/>
      </c>
      <c r="N5661" s="15"/>
    </row>
    <row r="5662" spans="1:14" s="14" customFormat="1" ht="18" x14ac:dyDescent="0.25">
      <c r="A5662" s="91"/>
      <c r="B5662" s="90"/>
      <c r="C5662" s="88"/>
      <c r="D5662" s="89"/>
      <c r="E5662" s="90"/>
      <c r="F5662" s="91"/>
      <c r="G5662" s="90"/>
      <c r="H5662" s="92"/>
      <c r="I5662" s="87"/>
      <c r="J5662" s="93"/>
      <c r="K5662" s="92"/>
      <c r="L5662" s="72" t="str">
        <f t="shared" ref="L5662:L5725" si="89">IF(ISBLANK(H5662),"",IF(H5662=K5662,"Payé","Impayé"))</f>
        <v/>
      </c>
      <c r="N5662" s="15"/>
    </row>
    <row r="5663" spans="1:14" s="14" customFormat="1" ht="18" x14ac:dyDescent="0.25">
      <c r="A5663" s="91"/>
      <c r="B5663" s="90"/>
      <c r="C5663" s="88"/>
      <c r="D5663" s="89"/>
      <c r="E5663" s="90"/>
      <c r="F5663" s="91"/>
      <c r="G5663" s="90"/>
      <c r="H5663" s="92"/>
      <c r="I5663" s="87"/>
      <c r="J5663" s="93"/>
      <c r="K5663" s="92"/>
      <c r="L5663" s="72" t="str">
        <f t="shared" si="89"/>
        <v/>
      </c>
      <c r="N5663" s="15"/>
    </row>
    <row r="5664" spans="1:14" s="14" customFormat="1" ht="18" x14ac:dyDescent="0.25">
      <c r="A5664" s="91"/>
      <c r="B5664" s="90"/>
      <c r="C5664" s="88"/>
      <c r="D5664" s="89"/>
      <c r="E5664" s="90"/>
      <c r="F5664" s="91"/>
      <c r="G5664" s="90"/>
      <c r="H5664" s="92"/>
      <c r="I5664" s="87"/>
      <c r="J5664" s="93"/>
      <c r="K5664" s="92"/>
      <c r="L5664" s="72" t="str">
        <f t="shared" si="89"/>
        <v/>
      </c>
      <c r="N5664" s="15"/>
    </row>
    <row r="5665" spans="1:14" s="14" customFormat="1" ht="18" x14ac:dyDescent="0.25">
      <c r="A5665" s="91"/>
      <c r="B5665" s="90"/>
      <c r="C5665" s="88"/>
      <c r="D5665" s="89"/>
      <c r="E5665" s="90"/>
      <c r="F5665" s="91"/>
      <c r="G5665" s="90"/>
      <c r="H5665" s="92"/>
      <c r="I5665" s="87"/>
      <c r="J5665" s="93"/>
      <c r="K5665" s="92"/>
      <c r="L5665" s="72" t="str">
        <f t="shared" si="89"/>
        <v/>
      </c>
      <c r="N5665" s="15"/>
    </row>
    <row r="5666" spans="1:14" s="14" customFormat="1" ht="18" x14ac:dyDescent="0.25">
      <c r="A5666" s="91"/>
      <c r="B5666" s="90"/>
      <c r="C5666" s="88"/>
      <c r="D5666" s="89"/>
      <c r="E5666" s="90"/>
      <c r="F5666" s="91"/>
      <c r="G5666" s="90"/>
      <c r="H5666" s="92"/>
      <c r="I5666" s="87"/>
      <c r="J5666" s="93"/>
      <c r="K5666" s="92"/>
      <c r="L5666" s="72" t="str">
        <f t="shared" si="89"/>
        <v/>
      </c>
      <c r="N5666" s="15"/>
    </row>
    <row r="5667" spans="1:14" s="14" customFormat="1" ht="18" x14ac:dyDescent="0.25">
      <c r="A5667" s="91"/>
      <c r="B5667" s="90"/>
      <c r="C5667" s="88"/>
      <c r="D5667" s="89"/>
      <c r="E5667" s="90"/>
      <c r="F5667" s="91"/>
      <c r="G5667" s="90"/>
      <c r="H5667" s="92"/>
      <c r="I5667" s="87"/>
      <c r="J5667" s="93"/>
      <c r="K5667" s="92"/>
      <c r="L5667" s="72" t="str">
        <f t="shared" si="89"/>
        <v/>
      </c>
      <c r="N5667" s="15"/>
    </row>
    <row r="5668" spans="1:14" s="14" customFormat="1" ht="18" x14ac:dyDescent="0.25">
      <c r="A5668" s="91"/>
      <c r="B5668" s="90"/>
      <c r="C5668" s="88"/>
      <c r="D5668" s="89"/>
      <c r="E5668" s="90"/>
      <c r="F5668" s="91"/>
      <c r="G5668" s="90"/>
      <c r="H5668" s="92"/>
      <c r="I5668" s="87"/>
      <c r="J5668" s="93"/>
      <c r="K5668" s="92"/>
      <c r="L5668" s="72" t="str">
        <f t="shared" si="89"/>
        <v/>
      </c>
      <c r="N5668" s="15"/>
    </row>
    <row r="5669" spans="1:14" s="14" customFormat="1" ht="18" x14ac:dyDescent="0.25">
      <c r="A5669" s="91"/>
      <c r="B5669" s="90"/>
      <c r="C5669" s="88"/>
      <c r="D5669" s="89"/>
      <c r="E5669" s="90"/>
      <c r="F5669" s="91"/>
      <c r="G5669" s="90"/>
      <c r="H5669" s="92"/>
      <c r="I5669" s="87"/>
      <c r="J5669" s="93"/>
      <c r="K5669" s="92"/>
      <c r="L5669" s="72" t="str">
        <f t="shared" si="89"/>
        <v/>
      </c>
      <c r="N5669" s="15"/>
    </row>
    <row r="5670" spans="1:14" s="14" customFormat="1" ht="18" x14ac:dyDescent="0.25">
      <c r="A5670" s="91"/>
      <c r="B5670" s="90"/>
      <c r="C5670" s="88"/>
      <c r="D5670" s="89"/>
      <c r="E5670" s="90"/>
      <c r="F5670" s="91"/>
      <c r="G5670" s="90"/>
      <c r="H5670" s="92"/>
      <c r="I5670" s="87"/>
      <c r="J5670" s="93"/>
      <c r="K5670" s="92"/>
      <c r="L5670" s="72" t="str">
        <f t="shared" si="89"/>
        <v/>
      </c>
      <c r="N5670" s="15"/>
    </row>
    <row r="5671" spans="1:14" s="14" customFormat="1" ht="18" x14ac:dyDescent="0.25">
      <c r="A5671" s="91"/>
      <c r="B5671" s="90"/>
      <c r="C5671" s="88"/>
      <c r="D5671" s="89"/>
      <c r="E5671" s="90"/>
      <c r="F5671" s="91"/>
      <c r="G5671" s="90"/>
      <c r="H5671" s="92"/>
      <c r="I5671" s="87"/>
      <c r="J5671" s="93"/>
      <c r="K5671" s="92"/>
      <c r="L5671" s="72" t="str">
        <f t="shared" si="89"/>
        <v/>
      </c>
      <c r="N5671" s="15"/>
    </row>
    <row r="5672" spans="1:14" s="14" customFormat="1" ht="18" x14ac:dyDescent="0.25">
      <c r="A5672" s="91"/>
      <c r="B5672" s="90"/>
      <c r="C5672" s="88"/>
      <c r="D5672" s="89"/>
      <c r="E5672" s="90"/>
      <c r="F5672" s="91"/>
      <c r="G5672" s="90"/>
      <c r="H5672" s="92"/>
      <c r="I5672" s="87"/>
      <c r="J5672" s="93"/>
      <c r="K5672" s="92"/>
      <c r="L5672" s="72" t="str">
        <f t="shared" si="89"/>
        <v/>
      </c>
      <c r="N5672" s="15"/>
    </row>
    <row r="5673" spans="1:14" s="14" customFormat="1" ht="18" x14ac:dyDescent="0.25">
      <c r="A5673" s="91"/>
      <c r="B5673" s="90"/>
      <c r="C5673" s="88"/>
      <c r="D5673" s="89"/>
      <c r="E5673" s="90"/>
      <c r="F5673" s="91"/>
      <c r="G5673" s="90"/>
      <c r="H5673" s="92"/>
      <c r="I5673" s="87"/>
      <c r="J5673" s="93"/>
      <c r="K5673" s="92"/>
      <c r="L5673" s="72" t="str">
        <f t="shared" si="89"/>
        <v/>
      </c>
      <c r="N5673" s="15"/>
    </row>
    <row r="5674" spans="1:14" s="14" customFormat="1" ht="18" x14ac:dyDescent="0.25">
      <c r="A5674" s="91"/>
      <c r="B5674" s="90"/>
      <c r="C5674" s="88"/>
      <c r="D5674" s="89"/>
      <c r="E5674" s="90"/>
      <c r="F5674" s="91"/>
      <c r="G5674" s="90"/>
      <c r="H5674" s="92"/>
      <c r="I5674" s="87"/>
      <c r="J5674" s="93"/>
      <c r="K5674" s="92"/>
      <c r="L5674" s="72" t="str">
        <f t="shared" si="89"/>
        <v/>
      </c>
      <c r="N5674" s="15"/>
    </row>
    <row r="5675" spans="1:14" s="14" customFormat="1" ht="18" x14ac:dyDescent="0.25">
      <c r="A5675" s="91"/>
      <c r="B5675" s="90"/>
      <c r="C5675" s="88"/>
      <c r="D5675" s="89"/>
      <c r="E5675" s="90"/>
      <c r="F5675" s="91"/>
      <c r="G5675" s="90"/>
      <c r="H5675" s="92"/>
      <c r="I5675" s="87"/>
      <c r="J5675" s="93"/>
      <c r="K5675" s="92"/>
      <c r="L5675" s="72" t="str">
        <f t="shared" si="89"/>
        <v/>
      </c>
      <c r="N5675" s="15"/>
    </row>
    <row r="5676" spans="1:14" s="14" customFormat="1" ht="18" x14ac:dyDescent="0.25">
      <c r="A5676" s="91"/>
      <c r="B5676" s="90"/>
      <c r="C5676" s="88"/>
      <c r="D5676" s="89"/>
      <c r="E5676" s="90"/>
      <c r="F5676" s="91"/>
      <c r="G5676" s="90"/>
      <c r="H5676" s="92"/>
      <c r="I5676" s="87"/>
      <c r="J5676" s="93"/>
      <c r="K5676" s="92"/>
      <c r="L5676" s="72" t="str">
        <f t="shared" si="89"/>
        <v/>
      </c>
      <c r="N5676" s="15"/>
    </row>
    <row r="5677" spans="1:14" s="14" customFormat="1" ht="18" x14ac:dyDescent="0.25">
      <c r="A5677" s="91"/>
      <c r="B5677" s="90"/>
      <c r="C5677" s="88"/>
      <c r="D5677" s="89"/>
      <c r="E5677" s="90"/>
      <c r="F5677" s="91"/>
      <c r="G5677" s="90"/>
      <c r="H5677" s="92"/>
      <c r="I5677" s="87"/>
      <c r="J5677" s="93"/>
      <c r="K5677" s="92"/>
      <c r="L5677" s="72" t="str">
        <f t="shared" si="89"/>
        <v/>
      </c>
      <c r="N5677" s="15"/>
    </row>
    <row r="5678" spans="1:14" s="14" customFormat="1" ht="18" x14ac:dyDescent="0.25">
      <c r="A5678" s="91"/>
      <c r="B5678" s="90"/>
      <c r="C5678" s="88"/>
      <c r="D5678" s="89"/>
      <c r="E5678" s="90"/>
      <c r="F5678" s="91"/>
      <c r="G5678" s="90"/>
      <c r="H5678" s="92"/>
      <c r="I5678" s="87"/>
      <c r="J5678" s="93"/>
      <c r="K5678" s="92"/>
      <c r="L5678" s="72" t="str">
        <f t="shared" si="89"/>
        <v/>
      </c>
      <c r="N5678" s="15"/>
    </row>
    <row r="5679" spans="1:14" s="14" customFormat="1" ht="18" x14ac:dyDescent="0.25">
      <c r="A5679" s="91"/>
      <c r="B5679" s="90"/>
      <c r="C5679" s="88"/>
      <c r="D5679" s="89"/>
      <c r="E5679" s="90"/>
      <c r="F5679" s="91"/>
      <c r="G5679" s="90"/>
      <c r="H5679" s="92"/>
      <c r="I5679" s="87"/>
      <c r="J5679" s="93"/>
      <c r="K5679" s="92"/>
      <c r="L5679" s="72" t="str">
        <f t="shared" si="89"/>
        <v/>
      </c>
      <c r="N5679" s="15"/>
    </row>
    <row r="5680" spans="1:14" s="14" customFormat="1" ht="18" x14ac:dyDescent="0.25">
      <c r="A5680" s="91"/>
      <c r="B5680" s="90"/>
      <c r="C5680" s="88"/>
      <c r="D5680" s="89"/>
      <c r="E5680" s="90"/>
      <c r="F5680" s="91"/>
      <c r="G5680" s="90"/>
      <c r="H5680" s="92"/>
      <c r="I5680" s="87"/>
      <c r="J5680" s="93"/>
      <c r="K5680" s="92"/>
      <c r="L5680" s="72" t="str">
        <f t="shared" si="89"/>
        <v/>
      </c>
      <c r="N5680" s="15"/>
    </row>
    <row r="5681" spans="1:14" s="14" customFormat="1" ht="18" x14ac:dyDescent="0.25">
      <c r="A5681" s="91"/>
      <c r="B5681" s="90"/>
      <c r="C5681" s="88"/>
      <c r="D5681" s="89"/>
      <c r="E5681" s="90"/>
      <c r="F5681" s="91"/>
      <c r="G5681" s="90"/>
      <c r="H5681" s="92"/>
      <c r="I5681" s="87"/>
      <c r="J5681" s="93"/>
      <c r="K5681" s="92"/>
      <c r="L5681" s="72" t="str">
        <f t="shared" si="89"/>
        <v/>
      </c>
      <c r="N5681" s="15"/>
    </row>
    <row r="5682" spans="1:14" s="14" customFormat="1" ht="18" x14ac:dyDescent="0.25">
      <c r="A5682" s="91"/>
      <c r="B5682" s="90"/>
      <c r="C5682" s="88"/>
      <c r="D5682" s="89"/>
      <c r="E5682" s="90"/>
      <c r="F5682" s="91"/>
      <c r="G5682" s="90"/>
      <c r="H5682" s="92"/>
      <c r="I5682" s="87"/>
      <c r="J5682" s="93"/>
      <c r="K5682" s="92"/>
      <c r="L5682" s="72" t="str">
        <f t="shared" si="89"/>
        <v/>
      </c>
      <c r="N5682" s="15"/>
    </row>
    <row r="5683" spans="1:14" s="14" customFormat="1" ht="18" x14ac:dyDescent="0.25">
      <c r="A5683" s="91"/>
      <c r="B5683" s="90"/>
      <c r="C5683" s="88"/>
      <c r="D5683" s="89"/>
      <c r="E5683" s="90"/>
      <c r="F5683" s="91"/>
      <c r="G5683" s="90"/>
      <c r="H5683" s="92"/>
      <c r="I5683" s="87"/>
      <c r="J5683" s="93"/>
      <c r="K5683" s="92"/>
      <c r="L5683" s="72" t="str">
        <f t="shared" si="89"/>
        <v/>
      </c>
      <c r="N5683" s="15"/>
    </row>
    <row r="5684" spans="1:14" s="14" customFormat="1" ht="18" x14ac:dyDescent="0.25">
      <c r="A5684" s="91"/>
      <c r="B5684" s="90"/>
      <c r="C5684" s="88"/>
      <c r="D5684" s="89"/>
      <c r="E5684" s="90"/>
      <c r="F5684" s="91"/>
      <c r="G5684" s="90"/>
      <c r="H5684" s="92"/>
      <c r="I5684" s="87"/>
      <c r="J5684" s="93"/>
      <c r="K5684" s="92"/>
      <c r="L5684" s="72" t="str">
        <f t="shared" si="89"/>
        <v/>
      </c>
      <c r="N5684" s="15"/>
    </row>
    <row r="5685" spans="1:14" s="14" customFormat="1" ht="18" x14ac:dyDescent="0.25">
      <c r="A5685" s="91"/>
      <c r="B5685" s="90"/>
      <c r="C5685" s="88"/>
      <c r="D5685" s="89"/>
      <c r="E5685" s="90"/>
      <c r="F5685" s="91"/>
      <c r="G5685" s="90"/>
      <c r="H5685" s="92"/>
      <c r="I5685" s="87"/>
      <c r="J5685" s="93"/>
      <c r="K5685" s="92"/>
      <c r="L5685" s="72" t="str">
        <f t="shared" si="89"/>
        <v/>
      </c>
      <c r="N5685" s="15"/>
    </row>
    <row r="5686" spans="1:14" s="14" customFormat="1" ht="18" x14ac:dyDescent="0.25">
      <c r="A5686" s="91"/>
      <c r="B5686" s="90"/>
      <c r="C5686" s="88"/>
      <c r="D5686" s="89"/>
      <c r="E5686" s="90"/>
      <c r="F5686" s="91"/>
      <c r="G5686" s="90"/>
      <c r="H5686" s="92"/>
      <c r="I5686" s="87"/>
      <c r="J5686" s="93"/>
      <c r="K5686" s="92"/>
      <c r="L5686" s="72" t="str">
        <f t="shared" si="89"/>
        <v/>
      </c>
      <c r="N5686" s="15"/>
    </row>
    <row r="5687" spans="1:14" s="14" customFormat="1" ht="18" x14ac:dyDescent="0.25">
      <c r="A5687" s="91"/>
      <c r="B5687" s="90"/>
      <c r="C5687" s="88"/>
      <c r="D5687" s="89"/>
      <c r="E5687" s="90"/>
      <c r="F5687" s="91"/>
      <c r="G5687" s="90"/>
      <c r="H5687" s="92"/>
      <c r="I5687" s="87"/>
      <c r="J5687" s="93"/>
      <c r="K5687" s="92"/>
      <c r="L5687" s="72" t="str">
        <f t="shared" si="89"/>
        <v/>
      </c>
      <c r="N5687" s="15"/>
    </row>
    <row r="5688" spans="1:14" s="14" customFormat="1" ht="18" x14ac:dyDescent="0.25">
      <c r="A5688" s="91"/>
      <c r="B5688" s="90"/>
      <c r="C5688" s="88"/>
      <c r="D5688" s="89"/>
      <c r="E5688" s="90"/>
      <c r="F5688" s="91"/>
      <c r="G5688" s="90"/>
      <c r="H5688" s="92"/>
      <c r="I5688" s="87"/>
      <c r="J5688" s="93"/>
      <c r="K5688" s="92"/>
      <c r="L5688" s="72" t="str">
        <f t="shared" si="89"/>
        <v/>
      </c>
      <c r="N5688" s="15"/>
    </row>
    <row r="5689" spans="1:14" s="14" customFormat="1" ht="18" x14ac:dyDescent="0.25">
      <c r="A5689" s="91"/>
      <c r="B5689" s="90"/>
      <c r="C5689" s="88"/>
      <c r="D5689" s="89"/>
      <c r="E5689" s="90"/>
      <c r="F5689" s="91"/>
      <c r="G5689" s="90"/>
      <c r="H5689" s="92"/>
      <c r="I5689" s="87"/>
      <c r="J5689" s="93"/>
      <c r="K5689" s="92"/>
      <c r="L5689" s="72" t="str">
        <f t="shared" si="89"/>
        <v/>
      </c>
      <c r="N5689" s="15"/>
    </row>
    <row r="5690" spans="1:14" s="14" customFormat="1" ht="18" x14ac:dyDescent="0.25">
      <c r="A5690" s="91"/>
      <c r="B5690" s="90"/>
      <c r="C5690" s="88"/>
      <c r="D5690" s="89"/>
      <c r="E5690" s="90"/>
      <c r="F5690" s="91"/>
      <c r="G5690" s="90"/>
      <c r="H5690" s="92"/>
      <c r="I5690" s="87"/>
      <c r="J5690" s="93"/>
      <c r="K5690" s="92"/>
      <c r="L5690" s="72" t="str">
        <f t="shared" si="89"/>
        <v/>
      </c>
      <c r="N5690" s="15"/>
    </row>
    <row r="5691" spans="1:14" s="14" customFormat="1" ht="18" x14ac:dyDescent="0.25">
      <c r="A5691" s="91"/>
      <c r="B5691" s="90"/>
      <c r="C5691" s="88"/>
      <c r="D5691" s="89"/>
      <c r="E5691" s="90"/>
      <c r="F5691" s="91"/>
      <c r="G5691" s="90"/>
      <c r="H5691" s="92"/>
      <c r="I5691" s="87"/>
      <c r="J5691" s="93"/>
      <c r="K5691" s="92"/>
      <c r="L5691" s="72" t="str">
        <f t="shared" si="89"/>
        <v/>
      </c>
      <c r="N5691" s="15"/>
    </row>
    <row r="5692" spans="1:14" s="14" customFormat="1" ht="18" x14ac:dyDescent="0.25">
      <c r="A5692" s="91"/>
      <c r="B5692" s="90"/>
      <c r="C5692" s="88"/>
      <c r="D5692" s="89"/>
      <c r="E5692" s="90"/>
      <c r="F5692" s="91"/>
      <c r="G5692" s="90"/>
      <c r="H5692" s="92"/>
      <c r="I5692" s="87"/>
      <c r="J5692" s="93"/>
      <c r="K5692" s="92"/>
      <c r="L5692" s="72" t="str">
        <f t="shared" si="89"/>
        <v/>
      </c>
      <c r="N5692" s="15"/>
    </row>
    <row r="5693" spans="1:14" s="14" customFormat="1" ht="18" x14ac:dyDescent="0.25">
      <c r="A5693" s="91"/>
      <c r="B5693" s="90"/>
      <c r="C5693" s="88"/>
      <c r="D5693" s="89"/>
      <c r="E5693" s="90"/>
      <c r="F5693" s="91"/>
      <c r="G5693" s="90"/>
      <c r="H5693" s="92"/>
      <c r="I5693" s="87"/>
      <c r="J5693" s="93"/>
      <c r="K5693" s="92"/>
      <c r="L5693" s="72" t="str">
        <f t="shared" si="89"/>
        <v/>
      </c>
      <c r="N5693" s="15"/>
    </row>
    <row r="5694" spans="1:14" s="14" customFormat="1" ht="18" x14ac:dyDescent="0.25">
      <c r="A5694" s="91"/>
      <c r="B5694" s="90"/>
      <c r="C5694" s="88"/>
      <c r="D5694" s="89"/>
      <c r="E5694" s="90"/>
      <c r="F5694" s="91"/>
      <c r="G5694" s="90"/>
      <c r="H5694" s="92"/>
      <c r="I5694" s="87"/>
      <c r="J5694" s="93"/>
      <c r="K5694" s="92"/>
      <c r="L5694" s="72" t="str">
        <f t="shared" si="89"/>
        <v/>
      </c>
      <c r="N5694" s="15"/>
    </row>
    <row r="5695" spans="1:14" s="14" customFormat="1" ht="18" x14ac:dyDescent="0.25">
      <c r="A5695" s="91"/>
      <c r="B5695" s="90"/>
      <c r="C5695" s="88"/>
      <c r="D5695" s="89"/>
      <c r="E5695" s="90"/>
      <c r="F5695" s="91"/>
      <c r="G5695" s="90"/>
      <c r="H5695" s="92"/>
      <c r="I5695" s="87"/>
      <c r="J5695" s="93"/>
      <c r="K5695" s="92"/>
      <c r="L5695" s="72" t="str">
        <f t="shared" si="89"/>
        <v/>
      </c>
      <c r="N5695" s="15"/>
    </row>
    <row r="5696" spans="1:14" s="14" customFormat="1" ht="18" x14ac:dyDescent="0.25">
      <c r="A5696" s="91"/>
      <c r="B5696" s="90"/>
      <c r="C5696" s="88"/>
      <c r="D5696" s="89"/>
      <c r="E5696" s="90"/>
      <c r="F5696" s="91"/>
      <c r="G5696" s="90"/>
      <c r="H5696" s="92"/>
      <c r="I5696" s="87"/>
      <c r="J5696" s="93"/>
      <c r="K5696" s="92"/>
      <c r="L5696" s="72" t="str">
        <f t="shared" si="89"/>
        <v/>
      </c>
      <c r="N5696" s="15"/>
    </row>
    <row r="5697" spans="1:14" s="14" customFormat="1" ht="18" x14ac:dyDescent="0.25">
      <c r="A5697" s="91"/>
      <c r="B5697" s="90"/>
      <c r="C5697" s="88"/>
      <c r="D5697" s="89"/>
      <c r="E5697" s="90"/>
      <c r="F5697" s="91"/>
      <c r="G5697" s="90"/>
      <c r="H5697" s="92"/>
      <c r="I5697" s="87"/>
      <c r="J5697" s="93"/>
      <c r="K5697" s="92"/>
      <c r="L5697" s="72" t="str">
        <f t="shared" si="89"/>
        <v/>
      </c>
      <c r="N5697" s="15"/>
    </row>
    <row r="5698" spans="1:14" s="14" customFormat="1" ht="18" x14ac:dyDescent="0.25">
      <c r="A5698" s="91"/>
      <c r="B5698" s="90"/>
      <c r="C5698" s="88"/>
      <c r="D5698" s="89"/>
      <c r="E5698" s="90"/>
      <c r="F5698" s="91"/>
      <c r="G5698" s="90"/>
      <c r="H5698" s="92"/>
      <c r="I5698" s="87"/>
      <c r="J5698" s="93"/>
      <c r="K5698" s="92"/>
      <c r="L5698" s="72" t="str">
        <f t="shared" si="89"/>
        <v/>
      </c>
      <c r="N5698" s="15"/>
    </row>
    <row r="5699" spans="1:14" s="14" customFormat="1" ht="18" x14ac:dyDescent="0.25">
      <c r="A5699" s="91"/>
      <c r="B5699" s="90"/>
      <c r="C5699" s="88"/>
      <c r="D5699" s="89"/>
      <c r="E5699" s="90"/>
      <c r="F5699" s="91"/>
      <c r="G5699" s="90"/>
      <c r="H5699" s="92"/>
      <c r="I5699" s="87"/>
      <c r="J5699" s="93"/>
      <c r="K5699" s="92"/>
      <c r="L5699" s="72" t="str">
        <f t="shared" si="89"/>
        <v/>
      </c>
      <c r="N5699" s="15"/>
    </row>
    <row r="5700" spans="1:14" s="14" customFormat="1" ht="18" x14ac:dyDescent="0.25">
      <c r="A5700" s="91"/>
      <c r="B5700" s="90"/>
      <c r="C5700" s="88"/>
      <c r="D5700" s="89"/>
      <c r="E5700" s="90"/>
      <c r="F5700" s="91"/>
      <c r="G5700" s="90"/>
      <c r="H5700" s="92"/>
      <c r="I5700" s="87"/>
      <c r="J5700" s="93"/>
      <c r="K5700" s="92"/>
      <c r="L5700" s="72" t="str">
        <f t="shared" si="89"/>
        <v/>
      </c>
      <c r="N5700" s="15"/>
    </row>
    <row r="5701" spans="1:14" s="14" customFormat="1" ht="18" x14ac:dyDescent="0.25">
      <c r="A5701" s="91"/>
      <c r="B5701" s="90"/>
      <c r="C5701" s="88"/>
      <c r="D5701" s="89"/>
      <c r="E5701" s="90"/>
      <c r="F5701" s="91"/>
      <c r="G5701" s="90"/>
      <c r="H5701" s="92"/>
      <c r="I5701" s="87"/>
      <c r="J5701" s="93"/>
      <c r="K5701" s="92"/>
      <c r="L5701" s="72" t="str">
        <f t="shared" si="89"/>
        <v/>
      </c>
      <c r="N5701" s="15"/>
    </row>
    <row r="5702" spans="1:14" s="14" customFormat="1" ht="18" x14ac:dyDescent="0.25">
      <c r="A5702" s="91"/>
      <c r="B5702" s="90"/>
      <c r="C5702" s="88"/>
      <c r="D5702" s="89"/>
      <c r="E5702" s="90"/>
      <c r="F5702" s="91"/>
      <c r="G5702" s="90"/>
      <c r="H5702" s="92"/>
      <c r="I5702" s="87"/>
      <c r="J5702" s="93"/>
      <c r="K5702" s="92"/>
      <c r="L5702" s="72" t="str">
        <f t="shared" si="89"/>
        <v/>
      </c>
      <c r="N5702" s="15"/>
    </row>
    <row r="5703" spans="1:14" s="14" customFormat="1" ht="18" x14ac:dyDescent="0.25">
      <c r="A5703" s="91"/>
      <c r="B5703" s="90"/>
      <c r="C5703" s="88"/>
      <c r="D5703" s="89"/>
      <c r="E5703" s="90"/>
      <c r="F5703" s="91"/>
      <c r="G5703" s="90"/>
      <c r="H5703" s="92"/>
      <c r="I5703" s="87"/>
      <c r="J5703" s="93"/>
      <c r="K5703" s="92"/>
      <c r="L5703" s="72" t="str">
        <f t="shared" si="89"/>
        <v/>
      </c>
      <c r="N5703" s="15"/>
    </row>
    <row r="5704" spans="1:14" s="14" customFormat="1" ht="18" x14ac:dyDescent="0.25">
      <c r="A5704" s="91"/>
      <c r="B5704" s="90"/>
      <c r="C5704" s="88"/>
      <c r="D5704" s="89"/>
      <c r="E5704" s="90"/>
      <c r="F5704" s="91"/>
      <c r="G5704" s="90"/>
      <c r="H5704" s="92"/>
      <c r="I5704" s="87"/>
      <c r="J5704" s="93"/>
      <c r="K5704" s="92"/>
      <c r="L5704" s="72" t="str">
        <f t="shared" si="89"/>
        <v/>
      </c>
      <c r="N5704" s="15"/>
    </row>
    <row r="5705" spans="1:14" s="14" customFormat="1" ht="18" x14ac:dyDescent="0.25">
      <c r="A5705" s="91"/>
      <c r="B5705" s="90"/>
      <c r="C5705" s="88"/>
      <c r="D5705" s="89"/>
      <c r="E5705" s="90"/>
      <c r="F5705" s="91"/>
      <c r="G5705" s="90"/>
      <c r="H5705" s="92"/>
      <c r="I5705" s="87"/>
      <c r="J5705" s="93"/>
      <c r="K5705" s="92"/>
      <c r="L5705" s="72" t="str">
        <f t="shared" si="89"/>
        <v/>
      </c>
      <c r="N5705" s="15"/>
    </row>
    <row r="5706" spans="1:14" s="14" customFormat="1" ht="18" x14ac:dyDescent="0.25">
      <c r="A5706" s="91"/>
      <c r="B5706" s="90"/>
      <c r="C5706" s="88"/>
      <c r="D5706" s="89"/>
      <c r="E5706" s="90"/>
      <c r="F5706" s="91"/>
      <c r="G5706" s="90"/>
      <c r="H5706" s="92"/>
      <c r="I5706" s="87"/>
      <c r="J5706" s="93"/>
      <c r="K5706" s="92"/>
      <c r="L5706" s="72" t="str">
        <f t="shared" si="89"/>
        <v/>
      </c>
      <c r="N5706" s="15"/>
    </row>
    <row r="5707" spans="1:14" s="14" customFormat="1" ht="18" x14ac:dyDescent="0.25">
      <c r="A5707" s="91"/>
      <c r="B5707" s="90"/>
      <c r="C5707" s="88"/>
      <c r="D5707" s="89"/>
      <c r="E5707" s="90"/>
      <c r="F5707" s="91"/>
      <c r="G5707" s="90"/>
      <c r="H5707" s="92"/>
      <c r="I5707" s="87"/>
      <c r="J5707" s="93"/>
      <c r="K5707" s="92"/>
      <c r="L5707" s="72" t="str">
        <f t="shared" si="89"/>
        <v/>
      </c>
      <c r="N5707" s="15"/>
    </row>
    <row r="5708" spans="1:14" s="14" customFormat="1" ht="18" x14ac:dyDescent="0.25">
      <c r="A5708" s="91"/>
      <c r="B5708" s="90"/>
      <c r="C5708" s="88"/>
      <c r="D5708" s="89"/>
      <c r="E5708" s="90"/>
      <c r="F5708" s="91"/>
      <c r="G5708" s="90"/>
      <c r="H5708" s="92"/>
      <c r="I5708" s="87"/>
      <c r="J5708" s="93"/>
      <c r="K5708" s="92"/>
      <c r="L5708" s="72" t="str">
        <f t="shared" si="89"/>
        <v/>
      </c>
      <c r="N5708" s="15"/>
    </row>
    <row r="5709" spans="1:14" s="14" customFormat="1" ht="18" x14ac:dyDescent="0.25">
      <c r="A5709" s="91"/>
      <c r="B5709" s="90"/>
      <c r="C5709" s="88"/>
      <c r="D5709" s="89"/>
      <c r="E5709" s="90"/>
      <c r="F5709" s="91"/>
      <c r="G5709" s="90"/>
      <c r="H5709" s="92"/>
      <c r="I5709" s="87"/>
      <c r="J5709" s="93"/>
      <c r="K5709" s="92"/>
      <c r="L5709" s="72" t="str">
        <f t="shared" si="89"/>
        <v/>
      </c>
      <c r="N5709" s="15"/>
    </row>
    <row r="5710" spans="1:14" s="14" customFormat="1" ht="18" x14ac:dyDescent="0.25">
      <c r="A5710" s="91"/>
      <c r="B5710" s="90"/>
      <c r="C5710" s="88"/>
      <c r="D5710" s="89"/>
      <c r="E5710" s="90"/>
      <c r="F5710" s="91"/>
      <c r="G5710" s="90"/>
      <c r="H5710" s="92"/>
      <c r="I5710" s="87"/>
      <c r="J5710" s="93"/>
      <c r="K5710" s="92"/>
      <c r="L5710" s="72" t="str">
        <f t="shared" si="89"/>
        <v/>
      </c>
      <c r="N5710" s="15"/>
    </row>
    <row r="5711" spans="1:14" s="14" customFormat="1" ht="18" x14ac:dyDescent="0.25">
      <c r="A5711" s="91"/>
      <c r="B5711" s="90"/>
      <c r="C5711" s="88"/>
      <c r="D5711" s="89"/>
      <c r="E5711" s="90"/>
      <c r="F5711" s="91"/>
      <c r="G5711" s="90"/>
      <c r="H5711" s="92"/>
      <c r="I5711" s="87"/>
      <c r="J5711" s="93"/>
      <c r="K5711" s="92"/>
      <c r="L5711" s="72" t="str">
        <f t="shared" si="89"/>
        <v/>
      </c>
      <c r="N5711" s="15"/>
    </row>
    <row r="5712" spans="1:14" s="14" customFormat="1" ht="18" x14ac:dyDescent="0.25">
      <c r="A5712" s="91"/>
      <c r="B5712" s="90"/>
      <c r="C5712" s="88"/>
      <c r="D5712" s="89"/>
      <c r="E5712" s="90"/>
      <c r="F5712" s="91"/>
      <c r="G5712" s="90"/>
      <c r="H5712" s="92"/>
      <c r="I5712" s="87"/>
      <c r="J5712" s="93"/>
      <c r="K5712" s="92"/>
      <c r="L5712" s="72" t="str">
        <f t="shared" si="89"/>
        <v/>
      </c>
      <c r="N5712" s="15"/>
    </row>
    <row r="5713" spans="1:14" s="14" customFormat="1" ht="18" x14ac:dyDescent="0.25">
      <c r="A5713" s="91"/>
      <c r="B5713" s="90"/>
      <c r="C5713" s="88"/>
      <c r="D5713" s="89"/>
      <c r="E5713" s="90"/>
      <c r="F5713" s="91"/>
      <c r="G5713" s="90"/>
      <c r="H5713" s="92"/>
      <c r="I5713" s="87"/>
      <c r="J5713" s="93"/>
      <c r="K5713" s="92"/>
      <c r="L5713" s="72" t="str">
        <f t="shared" si="89"/>
        <v/>
      </c>
      <c r="N5713" s="15"/>
    </row>
    <row r="5714" spans="1:14" s="14" customFormat="1" ht="18" x14ac:dyDescent="0.25">
      <c r="A5714" s="91"/>
      <c r="B5714" s="90"/>
      <c r="C5714" s="88"/>
      <c r="D5714" s="89"/>
      <c r="E5714" s="90"/>
      <c r="F5714" s="91"/>
      <c r="G5714" s="90"/>
      <c r="H5714" s="92"/>
      <c r="I5714" s="87"/>
      <c r="J5714" s="93"/>
      <c r="K5714" s="92"/>
      <c r="L5714" s="72" t="str">
        <f t="shared" si="89"/>
        <v/>
      </c>
      <c r="N5714" s="15"/>
    </row>
    <row r="5715" spans="1:14" s="14" customFormat="1" ht="18" x14ac:dyDescent="0.25">
      <c r="A5715" s="91"/>
      <c r="B5715" s="90"/>
      <c r="C5715" s="88"/>
      <c r="D5715" s="89"/>
      <c r="E5715" s="90"/>
      <c r="F5715" s="91"/>
      <c r="G5715" s="90"/>
      <c r="H5715" s="92"/>
      <c r="I5715" s="87"/>
      <c r="J5715" s="93"/>
      <c r="K5715" s="92"/>
      <c r="L5715" s="72" t="str">
        <f t="shared" si="89"/>
        <v/>
      </c>
      <c r="N5715" s="15"/>
    </row>
    <row r="5716" spans="1:14" s="14" customFormat="1" ht="18" x14ac:dyDescent="0.25">
      <c r="A5716" s="91"/>
      <c r="B5716" s="90"/>
      <c r="C5716" s="88"/>
      <c r="D5716" s="89"/>
      <c r="E5716" s="90"/>
      <c r="F5716" s="91"/>
      <c r="G5716" s="90"/>
      <c r="H5716" s="92"/>
      <c r="I5716" s="87"/>
      <c r="J5716" s="93"/>
      <c r="K5716" s="92"/>
      <c r="L5716" s="72" t="str">
        <f t="shared" si="89"/>
        <v/>
      </c>
      <c r="N5716" s="15"/>
    </row>
    <row r="5717" spans="1:14" s="14" customFormat="1" ht="18" x14ac:dyDescent="0.25">
      <c r="A5717" s="91"/>
      <c r="B5717" s="90"/>
      <c r="C5717" s="88"/>
      <c r="D5717" s="89"/>
      <c r="E5717" s="90"/>
      <c r="F5717" s="91"/>
      <c r="G5717" s="90"/>
      <c r="H5717" s="92"/>
      <c r="I5717" s="87"/>
      <c r="J5717" s="93"/>
      <c r="K5717" s="92"/>
      <c r="L5717" s="72" t="str">
        <f t="shared" si="89"/>
        <v/>
      </c>
      <c r="N5717" s="15"/>
    </row>
    <row r="5718" spans="1:14" s="14" customFormat="1" ht="18" x14ac:dyDescent="0.25">
      <c r="A5718" s="91"/>
      <c r="B5718" s="90"/>
      <c r="C5718" s="88"/>
      <c r="D5718" s="89"/>
      <c r="E5718" s="90"/>
      <c r="F5718" s="91"/>
      <c r="G5718" s="90"/>
      <c r="H5718" s="92"/>
      <c r="I5718" s="87"/>
      <c r="J5718" s="93"/>
      <c r="K5718" s="92"/>
      <c r="L5718" s="72" t="str">
        <f t="shared" si="89"/>
        <v/>
      </c>
      <c r="N5718" s="15"/>
    </row>
    <row r="5719" spans="1:14" s="14" customFormat="1" ht="18" x14ac:dyDescent="0.25">
      <c r="A5719" s="91"/>
      <c r="B5719" s="90"/>
      <c r="C5719" s="88"/>
      <c r="D5719" s="89"/>
      <c r="E5719" s="90"/>
      <c r="F5719" s="91"/>
      <c r="G5719" s="90"/>
      <c r="H5719" s="92"/>
      <c r="I5719" s="87"/>
      <c r="J5719" s="93"/>
      <c r="K5719" s="92"/>
      <c r="L5719" s="72" t="str">
        <f t="shared" si="89"/>
        <v/>
      </c>
      <c r="N5719" s="15"/>
    </row>
    <row r="5720" spans="1:14" s="14" customFormat="1" ht="18" x14ac:dyDescent="0.25">
      <c r="A5720" s="91"/>
      <c r="B5720" s="90"/>
      <c r="C5720" s="88"/>
      <c r="D5720" s="89"/>
      <c r="E5720" s="90"/>
      <c r="F5720" s="91"/>
      <c r="G5720" s="90"/>
      <c r="H5720" s="92"/>
      <c r="I5720" s="87"/>
      <c r="J5720" s="93"/>
      <c r="K5720" s="92"/>
      <c r="L5720" s="72" t="str">
        <f t="shared" si="89"/>
        <v/>
      </c>
      <c r="N5720" s="15"/>
    </row>
    <row r="5721" spans="1:14" s="14" customFormat="1" ht="18" x14ac:dyDescent="0.25">
      <c r="A5721" s="91"/>
      <c r="B5721" s="90"/>
      <c r="C5721" s="88"/>
      <c r="D5721" s="89"/>
      <c r="E5721" s="90"/>
      <c r="F5721" s="91"/>
      <c r="G5721" s="90"/>
      <c r="H5721" s="92"/>
      <c r="I5721" s="87"/>
      <c r="J5721" s="93"/>
      <c r="K5721" s="92"/>
      <c r="L5721" s="72" t="str">
        <f t="shared" si="89"/>
        <v/>
      </c>
      <c r="N5721" s="15"/>
    </row>
    <row r="5722" spans="1:14" s="14" customFormat="1" ht="18" x14ac:dyDescent="0.25">
      <c r="A5722" s="91"/>
      <c r="B5722" s="90"/>
      <c r="C5722" s="88"/>
      <c r="D5722" s="89"/>
      <c r="E5722" s="90"/>
      <c r="F5722" s="91"/>
      <c r="G5722" s="90"/>
      <c r="H5722" s="92"/>
      <c r="I5722" s="87"/>
      <c r="J5722" s="93"/>
      <c r="K5722" s="92"/>
      <c r="L5722" s="72" t="str">
        <f t="shared" si="89"/>
        <v/>
      </c>
      <c r="N5722" s="15"/>
    </row>
    <row r="5723" spans="1:14" s="14" customFormat="1" ht="18" x14ac:dyDescent="0.25">
      <c r="A5723" s="91"/>
      <c r="B5723" s="90"/>
      <c r="C5723" s="88"/>
      <c r="D5723" s="89"/>
      <c r="E5723" s="90"/>
      <c r="F5723" s="91"/>
      <c r="G5723" s="90"/>
      <c r="H5723" s="92"/>
      <c r="I5723" s="87"/>
      <c r="J5723" s="93"/>
      <c r="K5723" s="92"/>
      <c r="L5723" s="72" t="str">
        <f t="shared" si="89"/>
        <v/>
      </c>
      <c r="N5723" s="15"/>
    </row>
    <row r="5724" spans="1:14" s="14" customFormat="1" ht="18" x14ac:dyDescent="0.25">
      <c r="A5724" s="91"/>
      <c r="B5724" s="90"/>
      <c r="C5724" s="88"/>
      <c r="D5724" s="89"/>
      <c r="E5724" s="90"/>
      <c r="F5724" s="91"/>
      <c r="G5724" s="90"/>
      <c r="H5724" s="92"/>
      <c r="I5724" s="87"/>
      <c r="J5724" s="93"/>
      <c r="K5724" s="92"/>
      <c r="L5724" s="72" t="str">
        <f t="shared" si="89"/>
        <v/>
      </c>
      <c r="N5724" s="15"/>
    </row>
    <row r="5725" spans="1:14" s="14" customFormat="1" ht="18" x14ac:dyDescent="0.25">
      <c r="A5725" s="91"/>
      <c r="B5725" s="90"/>
      <c r="C5725" s="88"/>
      <c r="D5725" s="89"/>
      <c r="E5725" s="90"/>
      <c r="F5725" s="91"/>
      <c r="G5725" s="90"/>
      <c r="H5725" s="92"/>
      <c r="I5725" s="87"/>
      <c r="J5725" s="93"/>
      <c r="K5725" s="92"/>
      <c r="L5725" s="72" t="str">
        <f t="shared" si="89"/>
        <v/>
      </c>
      <c r="N5725" s="15"/>
    </row>
    <row r="5726" spans="1:14" s="14" customFormat="1" ht="18" x14ac:dyDescent="0.25">
      <c r="A5726" s="91"/>
      <c r="B5726" s="90"/>
      <c r="C5726" s="88"/>
      <c r="D5726" s="89"/>
      <c r="E5726" s="90"/>
      <c r="F5726" s="91"/>
      <c r="G5726" s="90"/>
      <c r="H5726" s="92"/>
      <c r="I5726" s="87"/>
      <c r="J5726" s="93"/>
      <c r="K5726" s="92"/>
      <c r="L5726" s="72" t="str">
        <f t="shared" ref="L5726:L5789" si="90">IF(ISBLANK(H5726),"",IF(H5726=K5726,"Payé","Impayé"))</f>
        <v/>
      </c>
      <c r="N5726" s="15"/>
    </row>
    <row r="5727" spans="1:14" s="14" customFormat="1" ht="18" x14ac:dyDescent="0.25">
      <c r="A5727" s="91"/>
      <c r="B5727" s="90"/>
      <c r="C5727" s="88"/>
      <c r="D5727" s="89"/>
      <c r="E5727" s="90"/>
      <c r="F5727" s="91"/>
      <c r="G5727" s="90"/>
      <c r="H5727" s="92"/>
      <c r="I5727" s="87"/>
      <c r="J5727" s="93"/>
      <c r="K5727" s="92"/>
      <c r="L5727" s="72" t="str">
        <f t="shared" si="90"/>
        <v/>
      </c>
      <c r="N5727" s="15"/>
    </row>
    <row r="5728" spans="1:14" s="14" customFormat="1" ht="18" x14ac:dyDescent="0.25">
      <c r="A5728" s="91"/>
      <c r="B5728" s="90"/>
      <c r="C5728" s="88"/>
      <c r="D5728" s="89"/>
      <c r="E5728" s="90"/>
      <c r="F5728" s="91"/>
      <c r="G5728" s="90"/>
      <c r="H5728" s="92"/>
      <c r="I5728" s="87"/>
      <c r="J5728" s="93"/>
      <c r="K5728" s="92"/>
      <c r="L5728" s="72" t="str">
        <f t="shared" si="90"/>
        <v/>
      </c>
      <c r="N5728" s="15"/>
    </row>
    <row r="5729" spans="1:14" s="14" customFormat="1" ht="18" x14ac:dyDescent="0.25">
      <c r="A5729" s="91"/>
      <c r="B5729" s="90"/>
      <c r="C5729" s="88"/>
      <c r="D5729" s="89"/>
      <c r="E5729" s="90"/>
      <c r="F5729" s="91"/>
      <c r="G5729" s="90"/>
      <c r="H5729" s="92"/>
      <c r="I5729" s="87"/>
      <c r="J5729" s="93"/>
      <c r="K5729" s="92"/>
      <c r="L5729" s="72" t="str">
        <f t="shared" si="90"/>
        <v/>
      </c>
      <c r="N5729" s="15"/>
    </row>
    <row r="5730" spans="1:14" s="14" customFormat="1" ht="18" x14ac:dyDescent="0.25">
      <c r="A5730" s="91"/>
      <c r="B5730" s="90"/>
      <c r="C5730" s="88"/>
      <c r="D5730" s="89"/>
      <c r="E5730" s="90"/>
      <c r="F5730" s="91"/>
      <c r="G5730" s="90"/>
      <c r="H5730" s="92"/>
      <c r="I5730" s="87"/>
      <c r="J5730" s="93"/>
      <c r="K5730" s="92"/>
      <c r="L5730" s="72" t="str">
        <f t="shared" si="90"/>
        <v/>
      </c>
      <c r="N5730" s="15"/>
    </row>
    <row r="5731" spans="1:14" s="14" customFormat="1" ht="18" x14ac:dyDescent="0.25">
      <c r="A5731" s="91"/>
      <c r="B5731" s="90"/>
      <c r="C5731" s="88"/>
      <c r="D5731" s="89"/>
      <c r="E5731" s="90"/>
      <c r="F5731" s="91"/>
      <c r="G5731" s="90"/>
      <c r="H5731" s="92"/>
      <c r="I5731" s="87"/>
      <c r="J5731" s="93"/>
      <c r="K5731" s="92"/>
      <c r="L5731" s="72" t="str">
        <f t="shared" si="90"/>
        <v/>
      </c>
      <c r="N5731" s="15"/>
    </row>
    <row r="5732" spans="1:14" s="14" customFormat="1" ht="18" x14ac:dyDescent="0.25">
      <c r="A5732" s="91"/>
      <c r="B5732" s="90"/>
      <c r="C5732" s="88"/>
      <c r="D5732" s="89"/>
      <c r="E5732" s="90"/>
      <c r="F5732" s="91"/>
      <c r="G5732" s="90"/>
      <c r="H5732" s="92"/>
      <c r="I5732" s="87"/>
      <c r="J5732" s="93"/>
      <c r="K5732" s="92"/>
      <c r="L5732" s="72" t="str">
        <f t="shared" si="90"/>
        <v/>
      </c>
      <c r="N5732" s="15"/>
    </row>
    <row r="5733" spans="1:14" s="14" customFormat="1" ht="18" x14ac:dyDescent="0.25">
      <c r="A5733" s="91"/>
      <c r="B5733" s="90"/>
      <c r="C5733" s="88"/>
      <c r="D5733" s="89"/>
      <c r="E5733" s="90"/>
      <c r="F5733" s="91"/>
      <c r="G5733" s="90"/>
      <c r="H5733" s="92"/>
      <c r="I5733" s="87"/>
      <c r="J5733" s="93"/>
      <c r="K5733" s="92"/>
      <c r="L5733" s="72" t="str">
        <f t="shared" si="90"/>
        <v/>
      </c>
      <c r="N5733" s="15"/>
    </row>
    <row r="5734" spans="1:14" s="14" customFormat="1" ht="18" x14ac:dyDescent="0.25">
      <c r="A5734" s="91"/>
      <c r="B5734" s="90"/>
      <c r="C5734" s="88"/>
      <c r="D5734" s="89"/>
      <c r="E5734" s="90"/>
      <c r="F5734" s="91"/>
      <c r="G5734" s="90"/>
      <c r="H5734" s="92"/>
      <c r="I5734" s="87"/>
      <c r="J5734" s="93"/>
      <c r="K5734" s="92"/>
      <c r="L5734" s="72" t="str">
        <f t="shared" si="90"/>
        <v/>
      </c>
      <c r="N5734" s="15"/>
    </row>
    <row r="5735" spans="1:14" s="14" customFormat="1" ht="18" x14ac:dyDescent="0.25">
      <c r="A5735" s="91"/>
      <c r="B5735" s="90"/>
      <c r="C5735" s="88"/>
      <c r="D5735" s="89"/>
      <c r="E5735" s="90"/>
      <c r="F5735" s="91"/>
      <c r="G5735" s="90"/>
      <c r="H5735" s="92"/>
      <c r="I5735" s="87"/>
      <c r="J5735" s="93"/>
      <c r="K5735" s="92"/>
      <c r="L5735" s="72" t="str">
        <f t="shared" si="90"/>
        <v/>
      </c>
      <c r="N5735" s="15"/>
    </row>
    <row r="5736" spans="1:14" s="14" customFormat="1" ht="18" x14ac:dyDescent="0.25">
      <c r="A5736" s="91"/>
      <c r="B5736" s="90"/>
      <c r="C5736" s="88"/>
      <c r="D5736" s="89"/>
      <c r="E5736" s="90"/>
      <c r="F5736" s="91"/>
      <c r="G5736" s="90"/>
      <c r="H5736" s="92"/>
      <c r="I5736" s="87"/>
      <c r="J5736" s="93"/>
      <c r="K5736" s="92"/>
      <c r="L5736" s="72" t="str">
        <f t="shared" si="90"/>
        <v/>
      </c>
      <c r="N5736" s="15"/>
    </row>
    <row r="5737" spans="1:14" s="14" customFormat="1" ht="18" x14ac:dyDescent="0.25">
      <c r="A5737" s="91"/>
      <c r="B5737" s="90"/>
      <c r="C5737" s="88"/>
      <c r="D5737" s="89"/>
      <c r="E5737" s="90"/>
      <c r="F5737" s="91"/>
      <c r="G5737" s="90"/>
      <c r="H5737" s="92"/>
      <c r="I5737" s="87"/>
      <c r="J5737" s="93"/>
      <c r="K5737" s="92"/>
      <c r="L5737" s="72" t="str">
        <f t="shared" si="90"/>
        <v/>
      </c>
      <c r="N5737" s="15"/>
    </row>
    <row r="5738" spans="1:14" s="14" customFormat="1" ht="18" x14ac:dyDescent="0.25">
      <c r="A5738" s="91"/>
      <c r="B5738" s="90"/>
      <c r="C5738" s="88"/>
      <c r="D5738" s="89"/>
      <c r="E5738" s="90"/>
      <c r="F5738" s="91"/>
      <c r="G5738" s="90"/>
      <c r="H5738" s="92"/>
      <c r="I5738" s="87"/>
      <c r="J5738" s="93"/>
      <c r="K5738" s="92"/>
      <c r="L5738" s="72" t="str">
        <f t="shared" si="90"/>
        <v/>
      </c>
      <c r="N5738" s="15"/>
    </row>
    <row r="5739" spans="1:14" s="14" customFormat="1" ht="18" x14ac:dyDescent="0.25">
      <c r="A5739" s="91"/>
      <c r="B5739" s="90"/>
      <c r="C5739" s="88"/>
      <c r="D5739" s="89"/>
      <c r="E5739" s="90"/>
      <c r="F5739" s="91"/>
      <c r="G5739" s="90"/>
      <c r="H5739" s="92"/>
      <c r="I5739" s="87"/>
      <c r="J5739" s="93"/>
      <c r="K5739" s="92"/>
      <c r="L5739" s="72" t="str">
        <f t="shared" si="90"/>
        <v/>
      </c>
      <c r="N5739" s="15"/>
    </row>
    <row r="5740" spans="1:14" s="14" customFormat="1" ht="18" x14ac:dyDescent="0.25">
      <c r="A5740" s="91"/>
      <c r="B5740" s="90"/>
      <c r="C5740" s="88"/>
      <c r="D5740" s="89"/>
      <c r="E5740" s="90"/>
      <c r="F5740" s="91"/>
      <c r="G5740" s="90"/>
      <c r="H5740" s="92"/>
      <c r="I5740" s="87"/>
      <c r="J5740" s="93"/>
      <c r="K5740" s="92"/>
      <c r="L5740" s="72" t="str">
        <f t="shared" si="90"/>
        <v/>
      </c>
      <c r="N5740" s="15"/>
    </row>
    <row r="5741" spans="1:14" s="14" customFormat="1" ht="18" x14ac:dyDescent="0.25">
      <c r="A5741" s="91"/>
      <c r="B5741" s="90"/>
      <c r="C5741" s="88"/>
      <c r="D5741" s="89"/>
      <c r="E5741" s="90"/>
      <c r="F5741" s="91"/>
      <c r="G5741" s="90"/>
      <c r="H5741" s="92"/>
      <c r="I5741" s="87"/>
      <c r="J5741" s="93"/>
      <c r="K5741" s="92"/>
      <c r="L5741" s="72" t="str">
        <f t="shared" si="90"/>
        <v/>
      </c>
      <c r="N5741" s="15"/>
    </row>
    <row r="5742" spans="1:14" s="14" customFormat="1" ht="18" x14ac:dyDescent="0.25">
      <c r="A5742" s="91"/>
      <c r="B5742" s="90"/>
      <c r="C5742" s="88"/>
      <c r="D5742" s="89"/>
      <c r="E5742" s="90"/>
      <c r="F5742" s="91"/>
      <c r="G5742" s="90"/>
      <c r="H5742" s="92"/>
      <c r="I5742" s="87"/>
      <c r="J5742" s="93"/>
      <c r="K5742" s="92"/>
      <c r="L5742" s="72" t="str">
        <f t="shared" si="90"/>
        <v/>
      </c>
      <c r="N5742" s="15"/>
    </row>
    <row r="5743" spans="1:14" s="14" customFormat="1" ht="18" x14ac:dyDescent="0.25">
      <c r="A5743" s="91"/>
      <c r="B5743" s="90"/>
      <c r="C5743" s="88"/>
      <c r="D5743" s="89"/>
      <c r="E5743" s="90"/>
      <c r="F5743" s="91"/>
      <c r="G5743" s="90"/>
      <c r="H5743" s="92"/>
      <c r="I5743" s="87"/>
      <c r="J5743" s="93"/>
      <c r="K5743" s="92"/>
      <c r="L5743" s="72" t="str">
        <f t="shared" si="90"/>
        <v/>
      </c>
      <c r="N5743" s="15"/>
    </row>
    <row r="5744" spans="1:14" s="14" customFormat="1" ht="18" x14ac:dyDescent="0.25">
      <c r="A5744" s="91"/>
      <c r="B5744" s="90"/>
      <c r="C5744" s="88"/>
      <c r="D5744" s="89"/>
      <c r="E5744" s="90"/>
      <c r="F5744" s="91"/>
      <c r="G5744" s="90"/>
      <c r="H5744" s="92"/>
      <c r="I5744" s="87"/>
      <c r="J5744" s="93"/>
      <c r="K5744" s="92"/>
      <c r="L5744" s="72" t="str">
        <f t="shared" si="90"/>
        <v/>
      </c>
      <c r="N5744" s="15"/>
    </row>
    <row r="5745" spans="1:14" s="14" customFormat="1" ht="18" x14ac:dyDescent="0.25">
      <c r="A5745" s="91"/>
      <c r="B5745" s="90"/>
      <c r="C5745" s="88"/>
      <c r="D5745" s="89"/>
      <c r="E5745" s="90"/>
      <c r="F5745" s="91"/>
      <c r="G5745" s="90"/>
      <c r="H5745" s="92"/>
      <c r="I5745" s="87"/>
      <c r="J5745" s="93"/>
      <c r="K5745" s="92"/>
      <c r="L5745" s="72" t="str">
        <f t="shared" si="90"/>
        <v/>
      </c>
      <c r="N5745" s="15"/>
    </row>
    <row r="5746" spans="1:14" s="14" customFormat="1" ht="18" x14ac:dyDescent="0.25">
      <c r="A5746" s="91"/>
      <c r="B5746" s="90"/>
      <c r="C5746" s="88"/>
      <c r="D5746" s="89"/>
      <c r="E5746" s="90"/>
      <c r="F5746" s="91"/>
      <c r="G5746" s="90"/>
      <c r="H5746" s="92"/>
      <c r="I5746" s="87"/>
      <c r="J5746" s="93"/>
      <c r="K5746" s="92"/>
      <c r="L5746" s="72" t="str">
        <f t="shared" si="90"/>
        <v/>
      </c>
      <c r="N5746" s="15"/>
    </row>
    <row r="5747" spans="1:14" s="14" customFormat="1" ht="18" x14ac:dyDescent="0.25">
      <c r="A5747" s="91"/>
      <c r="B5747" s="90"/>
      <c r="C5747" s="88"/>
      <c r="D5747" s="89"/>
      <c r="E5747" s="90"/>
      <c r="F5747" s="91"/>
      <c r="G5747" s="90"/>
      <c r="H5747" s="92"/>
      <c r="I5747" s="87"/>
      <c r="J5747" s="93"/>
      <c r="K5747" s="92"/>
      <c r="L5747" s="72" t="str">
        <f t="shared" si="90"/>
        <v/>
      </c>
      <c r="N5747" s="15"/>
    </row>
    <row r="5748" spans="1:14" s="14" customFormat="1" ht="18" x14ac:dyDescent="0.25">
      <c r="A5748" s="91"/>
      <c r="B5748" s="90"/>
      <c r="C5748" s="88"/>
      <c r="D5748" s="89"/>
      <c r="E5748" s="90"/>
      <c r="F5748" s="91"/>
      <c r="G5748" s="90"/>
      <c r="H5748" s="92"/>
      <c r="I5748" s="87"/>
      <c r="J5748" s="93"/>
      <c r="K5748" s="92"/>
      <c r="L5748" s="72" t="str">
        <f t="shared" si="90"/>
        <v/>
      </c>
      <c r="N5748" s="15"/>
    </row>
    <row r="5749" spans="1:14" s="14" customFormat="1" ht="18" x14ac:dyDescent="0.25">
      <c r="A5749" s="91"/>
      <c r="B5749" s="90"/>
      <c r="C5749" s="88"/>
      <c r="D5749" s="89"/>
      <c r="E5749" s="90"/>
      <c r="F5749" s="91"/>
      <c r="G5749" s="90"/>
      <c r="H5749" s="92"/>
      <c r="I5749" s="87"/>
      <c r="J5749" s="93"/>
      <c r="K5749" s="92"/>
      <c r="L5749" s="72" t="str">
        <f t="shared" si="90"/>
        <v/>
      </c>
      <c r="N5749" s="15"/>
    </row>
    <row r="5750" spans="1:14" s="14" customFormat="1" ht="18" x14ac:dyDescent="0.25">
      <c r="A5750" s="91"/>
      <c r="B5750" s="90"/>
      <c r="C5750" s="88"/>
      <c r="D5750" s="89"/>
      <c r="E5750" s="90"/>
      <c r="F5750" s="91"/>
      <c r="G5750" s="90"/>
      <c r="H5750" s="92"/>
      <c r="I5750" s="87"/>
      <c r="J5750" s="93"/>
      <c r="K5750" s="92"/>
      <c r="L5750" s="72" t="str">
        <f t="shared" si="90"/>
        <v/>
      </c>
      <c r="N5750" s="15"/>
    </row>
    <row r="5751" spans="1:14" s="14" customFormat="1" ht="18" x14ac:dyDescent="0.25">
      <c r="A5751" s="91"/>
      <c r="B5751" s="90"/>
      <c r="C5751" s="88"/>
      <c r="D5751" s="89"/>
      <c r="E5751" s="90"/>
      <c r="F5751" s="91"/>
      <c r="G5751" s="90"/>
      <c r="H5751" s="92"/>
      <c r="I5751" s="87"/>
      <c r="J5751" s="93"/>
      <c r="K5751" s="92"/>
      <c r="L5751" s="72" t="str">
        <f t="shared" si="90"/>
        <v/>
      </c>
      <c r="N5751" s="15"/>
    </row>
    <row r="5752" spans="1:14" s="14" customFormat="1" ht="18" x14ac:dyDescent="0.25">
      <c r="A5752" s="91"/>
      <c r="B5752" s="90"/>
      <c r="C5752" s="88"/>
      <c r="D5752" s="89"/>
      <c r="E5752" s="90"/>
      <c r="F5752" s="91"/>
      <c r="G5752" s="90"/>
      <c r="H5752" s="92"/>
      <c r="I5752" s="87"/>
      <c r="J5752" s="93"/>
      <c r="K5752" s="92"/>
      <c r="L5752" s="72" t="str">
        <f t="shared" si="90"/>
        <v/>
      </c>
      <c r="N5752" s="15"/>
    </row>
    <row r="5753" spans="1:14" s="14" customFormat="1" ht="18" x14ac:dyDescent="0.25">
      <c r="A5753" s="91"/>
      <c r="B5753" s="90"/>
      <c r="C5753" s="88"/>
      <c r="D5753" s="89"/>
      <c r="E5753" s="90"/>
      <c r="F5753" s="91"/>
      <c r="G5753" s="90"/>
      <c r="H5753" s="92"/>
      <c r="I5753" s="87"/>
      <c r="J5753" s="93"/>
      <c r="K5753" s="92"/>
      <c r="L5753" s="72" t="str">
        <f t="shared" si="90"/>
        <v/>
      </c>
      <c r="N5753" s="15"/>
    </row>
    <row r="5754" spans="1:14" s="14" customFormat="1" ht="18" x14ac:dyDescent="0.25">
      <c r="A5754" s="91"/>
      <c r="B5754" s="90"/>
      <c r="C5754" s="88"/>
      <c r="D5754" s="89"/>
      <c r="E5754" s="90"/>
      <c r="F5754" s="91"/>
      <c r="G5754" s="90"/>
      <c r="H5754" s="92"/>
      <c r="I5754" s="87"/>
      <c r="J5754" s="93"/>
      <c r="K5754" s="92"/>
      <c r="L5754" s="72" t="str">
        <f t="shared" si="90"/>
        <v/>
      </c>
      <c r="N5754" s="15"/>
    </row>
    <row r="5755" spans="1:14" s="14" customFormat="1" ht="18" x14ac:dyDescent="0.25">
      <c r="A5755" s="91"/>
      <c r="B5755" s="90"/>
      <c r="C5755" s="88"/>
      <c r="D5755" s="89"/>
      <c r="E5755" s="90"/>
      <c r="F5755" s="91"/>
      <c r="G5755" s="90"/>
      <c r="H5755" s="92"/>
      <c r="I5755" s="87"/>
      <c r="J5755" s="93"/>
      <c r="K5755" s="92"/>
      <c r="L5755" s="72" t="str">
        <f t="shared" si="90"/>
        <v/>
      </c>
      <c r="N5755" s="15"/>
    </row>
    <row r="5756" spans="1:14" s="14" customFormat="1" ht="18" x14ac:dyDescent="0.25">
      <c r="A5756" s="91"/>
      <c r="B5756" s="90"/>
      <c r="C5756" s="88"/>
      <c r="D5756" s="89"/>
      <c r="E5756" s="90"/>
      <c r="F5756" s="91"/>
      <c r="G5756" s="90"/>
      <c r="H5756" s="92"/>
      <c r="I5756" s="87"/>
      <c r="J5756" s="93"/>
      <c r="K5756" s="92"/>
      <c r="L5756" s="72" t="str">
        <f t="shared" si="90"/>
        <v/>
      </c>
      <c r="N5756" s="15"/>
    </row>
    <row r="5757" spans="1:14" s="14" customFormat="1" ht="18" x14ac:dyDescent="0.25">
      <c r="A5757" s="91"/>
      <c r="B5757" s="90"/>
      <c r="C5757" s="88"/>
      <c r="D5757" s="89"/>
      <c r="E5757" s="90"/>
      <c r="F5757" s="91"/>
      <c r="G5757" s="90"/>
      <c r="H5757" s="92"/>
      <c r="I5757" s="87"/>
      <c r="J5757" s="93"/>
      <c r="K5757" s="92"/>
      <c r="L5757" s="72" t="str">
        <f t="shared" si="90"/>
        <v/>
      </c>
      <c r="N5757" s="15"/>
    </row>
    <row r="5758" spans="1:14" s="14" customFormat="1" ht="18" x14ac:dyDescent="0.25">
      <c r="A5758" s="91"/>
      <c r="B5758" s="90"/>
      <c r="C5758" s="88"/>
      <c r="D5758" s="89"/>
      <c r="E5758" s="90"/>
      <c r="F5758" s="91"/>
      <c r="G5758" s="90"/>
      <c r="H5758" s="92"/>
      <c r="I5758" s="87"/>
      <c r="J5758" s="93"/>
      <c r="K5758" s="92"/>
      <c r="L5758" s="72" t="str">
        <f t="shared" si="90"/>
        <v/>
      </c>
      <c r="N5758" s="15"/>
    </row>
    <row r="5759" spans="1:14" s="14" customFormat="1" ht="18" x14ac:dyDescent="0.25">
      <c r="A5759" s="91"/>
      <c r="B5759" s="90"/>
      <c r="C5759" s="88"/>
      <c r="D5759" s="89"/>
      <c r="E5759" s="90"/>
      <c r="F5759" s="91"/>
      <c r="G5759" s="90"/>
      <c r="H5759" s="92"/>
      <c r="I5759" s="87"/>
      <c r="J5759" s="93"/>
      <c r="K5759" s="92"/>
      <c r="L5759" s="72" t="str">
        <f t="shared" si="90"/>
        <v/>
      </c>
      <c r="N5759" s="15"/>
    </row>
    <row r="5760" spans="1:14" s="14" customFormat="1" ht="18" x14ac:dyDescent="0.25">
      <c r="A5760" s="91"/>
      <c r="B5760" s="90"/>
      <c r="C5760" s="88"/>
      <c r="D5760" s="89"/>
      <c r="E5760" s="90"/>
      <c r="F5760" s="91"/>
      <c r="G5760" s="90"/>
      <c r="H5760" s="92"/>
      <c r="I5760" s="87"/>
      <c r="J5760" s="93"/>
      <c r="K5760" s="92"/>
      <c r="L5760" s="72" t="str">
        <f t="shared" si="90"/>
        <v/>
      </c>
      <c r="N5760" s="15"/>
    </row>
    <row r="5761" spans="1:14" s="14" customFormat="1" ht="18" x14ac:dyDescent="0.25">
      <c r="A5761" s="91"/>
      <c r="B5761" s="90"/>
      <c r="C5761" s="88"/>
      <c r="D5761" s="89"/>
      <c r="E5761" s="90"/>
      <c r="F5761" s="91"/>
      <c r="G5761" s="90"/>
      <c r="H5761" s="92"/>
      <c r="I5761" s="87"/>
      <c r="J5761" s="93"/>
      <c r="K5761" s="92"/>
      <c r="L5761" s="72" t="str">
        <f t="shared" si="90"/>
        <v/>
      </c>
      <c r="N5761" s="15"/>
    </row>
    <row r="5762" spans="1:14" s="14" customFormat="1" ht="18" x14ac:dyDescent="0.25">
      <c r="A5762" s="91"/>
      <c r="B5762" s="90"/>
      <c r="C5762" s="88"/>
      <c r="D5762" s="89"/>
      <c r="E5762" s="90"/>
      <c r="F5762" s="91"/>
      <c r="G5762" s="90"/>
      <c r="H5762" s="92"/>
      <c r="I5762" s="87"/>
      <c r="J5762" s="93"/>
      <c r="K5762" s="92"/>
      <c r="L5762" s="72" t="str">
        <f t="shared" si="90"/>
        <v/>
      </c>
      <c r="N5762" s="15"/>
    </row>
    <row r="5763" spans="1:14" s="14" customFormat="1" ht="18" x14ac:dyDescent="0.25">
      <c r="A5763" s="91"/>
      <c r="B5763" s="90"/>
      <c r="C5763" s="88"/>
      <c r="D5763" s="89"/>
      <c r="E5763" s="90"/>
      <c r="F5763" s="91"/>
      <c r="G5763" s="90"/>
      <c r="H5763" s="92"/>
      <c r="I5763" s="87"/>
      <c r="J5763" s="93"/>
      <c r="K5763" s="92"/>
      <c r="L5763" s="72" t="str">
        <f t="shared" si="90"/>
        <v/>
      </c>
      <c r="N5763" s="15"/>
    </row>
    <row r="5764" spans="1:14" s="14" customFormat="1" ht="18" x14ac:dyDescent="0.25">
      <c r="A5764" s="91"/>
      <c r="B5764" s="90"/>
      <c r="C5764" s="88"/>
      <c r="D5764" s="89"/>
      <c r="E5764" s="90"/>
      <c r="F5764" s="91"/>
      <c r="G5764" s="90"/>
      <c r="H5764" s="92"/>
      <c r="I5764" s="87"/>
      <c r="J5764" s="93"/>
      <c r="K5764" s="92"/>
      <c r="L5764" s="72" t="str">
        <f t="shared" si="90"/>
        <v/>
      </c>
      <c r="N5764" s="15"/>
    </row>
    <row r="5765" spans="1:14" s="14" customFormat="1" ht="18" x14ac:dyDescent="0.25">
      <c r="A5765" s="91"/>
      <c r="B5765" s="90"/>
      <c r="C5765" s="88"/>
      <c r="D5765" s="89"/>
      <c r="E5765" s="90"/>
      <c r="F5765" s="91"/>
      <c r="G5765" s="90"/>
      <c r="H5765" s="92"/>
      <c r="I5765" s="87"/>
      <c r="J5765" s="93"/>
      <c r="K5765" s="92"/>
      <c r="L5765" s="72" t="str">
        <f t="shared" si="90"/>
        <v/>
      </c>
      <c r="N5765" s="15"/>
    </row>
    <row r="5766" spans="1:14" s="14" customFormat="1" ht="18" x14ac:dyDescent="0.25">
      <c r="A5766" s="91"/>
      <c r="B5766" s="90"/>
      <c r="C5766" s="88"/>
      <c r="D5766" s="89"/>
      <c r="E5766" s="90"/>
      <c r="F5766" s="91"/>
      <c r="G5766" s="90"/>
      <c r="H5766" s="92"/>
      <c r="I5766" s="87"/>
      <c r="J5766" s="93"/>
      <c r="K5766" s="92"/>
      <c r="L5766" s="72" t="str">
        <f t="shared" si="90"/>
        <v/>
      </c>
      <c r="N5766" s="15"/>
    </row>
    <row r="5767" spans="1:14" s="14" customFormat="1" ht="18" x14ac:dyDescent="0.25">
      <c r="A5767" s="91"/>
      <c r="B5767" s="90"/>
      <c r="C5767" s="88"/>
      <c r="D5767" s="89"/>
      <c r="E5767" s="90"/>
      <c r="F5767" s="91"/>
      <c r="G5767" s="90"/>
      <c r="H5767" s="92"/>
      <c r="I5767" s="87"/>
      <c r="J5767" s="93"/>
      <c r="K5767" s="92"/>
      <c r="L5767" s="72" t="str">
        <f t="shared" si="90"/>
        <v/>
      </c>
      <c r="N5767" s="15"/>
    </row>
    <row r="5768" spans="1:14" s="14" customFormat="1" ht="18" x14ac:dyDescent="0.25">
      <c r="A5768" s="91"/>
      <c r="B5768" s="90"/>
      <c r="C5768" s="88"/>
      <c r="D5768" s="89"/>
      <c r="E5768" s="90"/>
      <c r="F5768" s="91"/>
      <c r="G5768" s="90"/>
      <c r="H5768" s="92"/>
      <c r="I5768" s="87"/>
      <c r="J5768" s="93"/>
      <c r="K5768" s="92"/>
      <c r="L5768" s="72" t="str">
        <f t="shared" si="90"/>
        <v/>
      </c>
      <c r="N5768" s="15"/>
    </row>
    <row r="5769" spans="1:14" s="14" customFormat="1" ht="18" x14ac:dyDescent="0.25">
      <c r="A5769" s="91"/>
      <c r="B5769" s="90"/>
      <c r="C5769" s="88"/>
      <c r="D5769" s="89"/>
      <c r="E5769" s="90"/>
      <c r="F5769" s="91"/>
      <c r="G5769" s="90"/>
      <c r="H5769" s="92"/>
      <c r="I5769" s="87"/>
      <c r="J5769" s="93"/>
      <c r="K5769" s="92"/>
      <c r="L5769" s="72" t="str">
        <f t="shared" si="90"/>
        <v/>
      </c>
      <c r="N5769" s="15"/>
    </row>
    <row r="5770" spans="1:14" s="14" customFormat="1" ht="18" x14ac:dyDescent="0.25">
      <c r="A5770" s="91"/>
      <c r="B5770" s="90"/>
      <c r="C5770" s="88"/>
      <c r="D5770" s="89"/>
      <c r="E5770" s="90"/>
      <c r="F5770" s="91"/>
      <c r="G5770" s="90"/>
      <c r="H5770" s="92"/>
      <c r="I5770" s="87"/>
      <c r="J5770" s="93"/>
      <c r="K5770" s="92"/>
      <c r="L5770" s="72" t="str">
        <f t="shared" si="90"/>
        <v/>
      </c>
      <c r="N5770" s="15"/>
    </row>
    <row r="5771" spans="1:14" s="14" customFormat="1" ht="18" x14ac:dyDescent="0.25">
      <c r="A5771" s="91"/>
      <c r="B5771" s="90"/>
      <c r="C5771" s="88"/>
      <c r="D5771" s="89"/>
      <c r="E5771" s="90"/>
      <c r="F5771" s="91"/>
      <c r="G5771" s="90"/>
      <c r="H5771" s="92"/>
      <c r="I5771" s="87"/>
      <c r="J5771" s="93"/>
      <c r="K5771" s="92"/>
      <c r="L5771" s="72" t="str">
        <f t="shared" si="90"/>
        <v/>
      </c>
      <c r="N5771" s="15"/>
    </row>
    <row r="5772" spans="1:14" s="14" customFormat="1" ht="18" x14ac:dyDescent="0.25">
      <c r="A5772" s="91"/>
      <c r="B5772" s="90"/>
      <c r="C5772" s="88"/>
      <c r="D5772" s="89"/>
      <c r="E5772" s="90"/>
      <c r="F5772" s="91"/>
      <c r="G5772" s="90"/>
      <c r="H5772" s="92"/>
      <c r="I5772" s="87"/>
      <c r="J5772" s="93"/>
      <c r="K5772" s="92"/>
      <c r="L5772" s="72" t="str">
        <f t="shared" si="90"/>
        <v/>
      </c>
      <c r="N5772" s="15"/>
    </row>
    <row r="5773" spans="1:14" s="14" customFormat="1" ht="18" x14ac:dyDescent="0.25">
      <c r="A5773" s="91"/>
      <c r="B5773" s="90"/>
      <c r="C5773" s="88"/>
      <c r="D5773" s="89"/>
      <c r="E5773" s="90"/>
      <c r="F5773" s="91"/>
      <c r="G5773" s="90"/>
      <c r="H5773" s="92"/>
      <c r="I5773" s="87"/>
      <c r="J5773" s="93"/>
      <c r="K5773" s="92"/>
      <c r="L5773" s="72" t="str">
        <f t="shared" si="90"/>
        <v/>
      </c>
      <c r="N5773" s="15"/>
    </row>
    <row r="5774" spans="1:14" s="14" customFormat="1" ht="18" x14ac:dyDescent="0.25">
      <c r="A5774" s="91"/>
      <c r="B5774" s="90"/>
      <c r="C5774" s="88"/>
      <c r="D5774" s="89"/>
      <c r="E5774" s="90"/>
      <c r="F5774" s="91"/>
      <c r="G5774" s="90"/>
      <c r="H5774" s="92"/>
      <c r="I5774" s="87"/>
      <c r="J5774" s="93"/>
      <c r="K5774" s="92"/>
      <c r="L5774" s="72" t="str">
        <f t="shared" si="90"/>
        <v/>
      </c>
      <c r="N5774" s="15"/>
    </row>
    <row r="5775" spans="1:14" s="14" customFormat="1" ht="18" x14ac:dyDescent="0.25">
      <c r="A5775" s="91"/>
      <c r="B5775" s="90"/>
      <c r="C5775" s="88"/>
      <c r="D5775" s="89"/>
      <c r="E5775" s="90"/>
      <c r="F5775" s="91"/>
      <c r="G5775" s="90"/>
      <c r="H5775" s="92"/>
      <c r="I5775" s="87"/>
      <c r="J5775" s="93"/>
      <c r="K5775" s="92"/>
      <c r="L5775" s="72" t="str">
        <f t="shared" si="90"/>
        <v/>
      </c>
      <c r="N5775" s="15"/>
    </row>
    <row r="5776" spans="1:14" s="14" customFormat="1" ht="18" x14ac:dyDescent="0.25">
      <c r="A5776" s="91"/>
      <c r="B5776" s="90"/>
      <c r="C5776" s="88"/>
      <c r="D5776" s="89"/>
      <c r="E5776" s="90"/>
      <c r="F5776" s="91"/>
      <c r="G5776" s="90"/>
      <c r="H5776" s="92"/>
      <c r="I5776" s="87"/>
      <c r="J5776" s="93"/>
      <c r="K5776" s="92"/>
      <c r="L5776" s="72" t="str">
        <f t="shared" si="90"/>
        <v/>
      </c>
      <c r="N5776" s="15"/>
    </row>
    <row r="5777" spans="1:14" s="14" customFormat="1" ht="18" x14ac:dyDescent="0.25">
      <c r="A5777" s="91"/>
      <c r="B5777" s="90"/>
      <c r="C5777" s="88"/>
      <c r="D5777" s="89"/>
      <c r="E5777" s="90"/>
      <c r="F5777" s="91"/>
      <c r="G5777" s="90"/>
      <c r="H5777" s="92"/>
      <c r="I5777" s="87"/>
      <c r="J5777" s="93"/>
      <c r="K5777" s="92"/>
      <c r="L5777" s="72" t="str">
        <f t="shared" si="90"/>
        <v/>
      </c>
      <c r="N5777" s="15"/>
    </row>
    <row r="5778" spans="1:14" s="14" customFormat="1" ht="18" x14ac:dyDescent="0.25">
      <c r="A5778" s="91"/>
      <c r="B5778" s="90"/>
      <c r="C5778" s="88"/>
      <c r="D5778" s="89"/>
      <c r="E5778" s="90"/>
      <c r="F5778" s="91"/>
      <c r="G5778" s="90"/>
      <c r="H5778" s="92"/>
      <c r="I5778" s="87"/>
      <c r="J5778" s="93"/>
      <c r="K5778" s="92"/>
      <c r="L5778" s="72" t="str">
        <f t="shared" si="90"/>
        <v/>
      </c>
      <c r="N5778" s="15"/>
    </row>
    <row r="5779" spans="1:14" s="14" customFormat="1" ht="18" x14ac:dyDescent="0.25">
      <c r="A5779" s="91"/>
      <c r="B5779" s="90"/>
      <c r="C5779" s="88"/>
      <c r="D5779" s="89"/>
      <c r="E5779" s="90"/>
      <c r="F5779" s="91"/>
      <c r="G5779" s="90"/>
      <c r="H5779" s="92"/>
      <c r="I5779" s="87"/>
      <c r="J5779" s="93"/>
      <c r="K5779" s="92"/>
      <c r="L5779" s="72" t="str">
        <f t="shared" si="90"/>
        <v/>
      </c>
      <c r="N5779" s="15"/>
    </row>
    <row r="5780" spans="1:14" s="14" customFormat="1" ht="18" x14ac:dyDescent="0.25">
      <c r="A5780" s="91"/>
      <c r="B5780" s="90"/>
      <c r="C5780" s="88"/>
      <c r="D5780" s="89"/>
      <c r="E5780" s="90"/>
      <c r="F5780" s="91"/>
      <c r="G5780" s="90"/>
      <c r="H5780" s="92"/>
      <c r="I5780" s="87"/>
      <c r="J5780" s="93"/>
      <c r="K5780" s="92"/>
      <c r="L5780" s="72" t="str">
        <f t="shared" si="90"/>
        <v/>
      </c>
      <c r="N5780" s="15"/>
    </row>
    <row r="5781" spans="1:14" s="14" customFormat="1" ht="18" x14ac:dyDescent="0.25">
      <c r="A5781" s="91"/>
      <c r="B5781" s="90"/>
      <c r="C5781" s="88"/>
      <c r="D5781" s="89"/>
      <c r="E5781" s="90"/>
      <c r="F5781" s="91"/>
      <c r="G5781" s="90"/>
      <c r="H5781" s="92"/>
      <c r="I5781" s="87"/>
      <c r="J5781" s="93"/>
      <c r="K5781" s="92"/>
      <c r="L5781" s="72" t="str">
        <f t="shared" si="90"/>
        <v/>
      </c>
      <c r="N5781" s="15"/>
    </row>
    <row r="5782" spans="1:14" s="14" customFormat="1" ht="18" x14ac:dyDescent="0.25">
      <c r="A5782" s="91"/>
      <c r="B5782" s="90"/>
      <c r="C5782" s="88"/>
      <c r="D5782" s="89"/>
      <c r="E5782" s="90"/>
      <c r="F5782" s="91"/>
      <c r="G5782" s="90"/>
      <c r="H5782" s="92"/>
      <c r="I5782" s="87"/>
      <c r="J5782" s="93"/>
      <c r="K5782" s="92"/>
      <c r="L5782" s="72" t="str">
        <f t="shared" si="90"/>
        <v/>
      </c>
      <c r="N5782" s="15"/>
    </row>
    <row r="5783" spans="1:14" s="14" customFormat="1" ht="18" x14ac:dyDescent="0.25">
      <c r="A5783" s="91"/>
      <c r="B5783" s="90"/>
      <c r="C5783" s="88"/>
      <c r="D5783" s="89"/>
      <c r="E5783" s="90"/>
      <c r="F5783" s="91"/>
      <c r="G5783" s="90"/>
      <c r="H5783" s="92"/>
      <c r="I5783" s="87"/>
      <c r="J5783" s="93"/>
      <c r="K5783" s="92"/>
      <c r="L5783" s="72" t="str">
        <f t="shared" si="90"/>
        <v/>
      </c>
      <c r="N5783" s="15"/>
    </row>
    <row r="5784" spans="1:14" s="14" customFormat="1" ht="18" x14ac:dyDescent="0.25">
      <c r="A5784" s="91"/>
      <c r="B5784" s="90"/>
      <c r="C5784" s="88"/>
      <c r="D5784" s="89"/>
      <c r="E5784" s="90"/>
      <c r="F5784" s="91"/>
      <c r="G5784" s="90"/>
      <c r="H5784" s="92"/>
      <c r="I5784" s="87"/>
      <c r="J5784" s="93"/>
      <c r="K5784" s="92"/>
      <c r="L5784" s="72" t="str">
        <f t="shared" si="90"/>
        <v/>
      </c>
      <c r="N5784" s="15"/>
    </row>
    <row r="5785" spans="1:14" s="14" customFormat="1" ht="18" x14ac:dyDescent="0.25">
      <c r="A5785" s="91"/>
      <c r="B5785" s="90"/>
      <c r="C5785" s="88"/>
      <c r="D5785" s="89"/>
      <c r="E5785" s="90"/>
      <c r="F5785" s="91"/>
      <c r="G5785" s="90"/>
      <c r="H5785" s="92"/>
      <c r="I5785" s="87"/>
      <c r="J5785" s="93"/>
      <c r="K5785" s="92"/>
      <c r="L5785" s="72" t="str">
        <f t="shared" si="90"/>
        <v/>
      </c>
      <c r="N5785" s="15"/>
    </row>
    <row r="5786" spans="1:14" s="14" customFormat="1" ht="18" x14ac:dyDescent="0.25">
      <c r="A5786" s="91"/>
      <c r="B5786" s="90"/>
      <c r="C5786" s="88"/>
      <c r="D5786" s="89"/>
      <c r="E5786" s="90"/>
      <c r="F5786" s="91"/>
      <c r="G5786" s="90"/>
      <c r="H5786" s="92"/>
      <c r="I5786" s="87"/>
      <c r="J5786" s="93"/>
      <c r="K5786" s="92"/>
      <c r="L5786" s="72" t="str">
        <f t="shared" si="90"/>
        <v/>
      </c>
      <c r="N5786" s="15"/>
    </row>
    <row r="5787" spans="1:14" s="14" customFormat="1" ht="18" x14ac:dyDescent="0.25">
      <c r="A5787" s="91"/>
      <c r="B5787" s="90"/>
      <c r="C5787" s="88"/>
      <c r="D5787" s="89"/>
      <c r="E5787" s="90"/>
      <c r="F5787" s="91"/>
      <c r="G5787" s="90"/>
      <c r="H5787" s="92"/>
      <c r="I5787" s="87"/>
      <c r="J5787" s="93"/>
      <c r="K5787" s="92"/>
      <c r="L5787" s="72" t="str">
        <f t="shared" si="90"/>
        <v/>
      </c>
      <c r="N5787" s="15"/>
    </row>
    <row r="5788" spans="1:14" s="14" customFormat="1" ht="18" x14ac:dyDescent="0.25">
      <c r="A5788" s="91"/>
      <c r="B5788" s="90"/>
      <c r="C5788" s="88"/>
      <c r="D5788" s="89"/>
      <c r="E5788" s="90"/>
      <c r="F5788" s="91"/>
      <c r="G5788" s="90"/>
      <c r="H5788" s="92"/>
      <c r="I5788" s="87"/>
      <c r="J5788" s="93"/>
      <c r="K5788" s="92"/>
      <c r="L5788" s="72" t="str">
        <f t="shared" si="90"/>
        <v/>
      </c>
      <c r="N5788" s="15"/>
    </row>
    <row r="5789" spans="1:14" s="14" customFormat="1" ht="18" x14ac:dyDescent="0.25">
      <c r="A5789" s="91"/>
      <c r="B5789" s="90"/>
      <c r="C5789" s="88"/>
      <c r="D5789" s="89"/>
      <c r="E5789" s="90"/>
      <c r="F5789" s="91"/>
      <c r="G5789" s="90"/>
      <c r="H5789" s="92"/>
      <c r="I5789" s="87"/>
      <c r="J5789" s="93"/>
      <c r="K5789" s="92"/>
      <c r="L5789" s="72" t="str">
        <f t="shared" si="90"/>
        <v/>
      </c>
      <c r="N5789" s="15"/>
    </row>
    <row r="5790" spans="1:14" s="14" customFormat="1" ht="18" x14ac:dyDescent="0.25">
      <c r="A5790" s="91"/>
      <c r="B5790" s="90"/>
      <c r="C5790" s="88"/>
      <c r="D5790" s="89"/>
      <c r="E5790" s="90"/>
      <c r="F5790" s="91"/>
      <c r="G5790" s="90"/>
      <c r="H5790" s="92"/>
      <c r="I5790" s="87"/>
      <c r="J5790" s="93"/>
      <c r="K5790" s="92"/>
      <c r="L5790" s="72" t="str">
        <f t="shared" ref="L5790:L5853" si="91">IF(ISBLANK(H5790),"",IF(H5790=K5790,"Payé","Impayé"))</f>
        <v/>
      </c>
      <c r="N5790" s="15"/>
    </row>
    <row r="5791" spans="1:14" s="14" customFormat="1" ht="18" x14ac:dyDescent="0.25">
      <c r="A5791" s="91"/>
      <c r="B5791" s="90"/>
      <c r="C5791" s="88"/>
      <c r="D5791" s="89"/>
      <c r="E5791" s="90"/>
      <c r="F5791" s="91"/>
      <c r="G5791" s="90"/>
      <c r="H5791" s="92"/>
      <c r="I5791" s="87"/>
      <c r="J5791" s="93"/>
      <c r="K5791" s="92"/>
      <c r="L5791" s="72" t="str">
        <f t="shared" si="91"/>
        <v/>
      </c>
      <c r="N5791" s="15"/>
    </row>
    <row r="5792" spans="1:14" s="14" customFormat="1" ht="18" x14ac:dyDescent="0.25">
      <c r="A5792" s="91"/>
      <c r="B5792" s="90"/>
      <c r="C5792" s="88"/>
      <c r="D5792" s="89"/>
      <c r="E5792" s="90"/>
      <c r="F5792" s="91"/>
      <c r="G5792" s="90"/>
      <c r="H5792" s="92"/>
      <c r="I5792" s="87"/>
      <c r="J5792" s="93"/>
      <c r="K5792" s="92"/>
      <c r="L5792" s="72" t="str">
        <f t="shared" si="91"/>
        <v/>
      </c>
      <c r="N5792" s="15"/>
    </row>
    <row r="5793" spans="1:14" s="14" customFormat="1" ht="18" x14ac:dyDescent="0.25">
      <c r="A5793" s="91"/>
      <c r="B5793" s="90"/>
      <c r="C5793" s="88"/>
      <c r="D5793" s="89"/>
      <c r="E5793" s="90"/>
      <c r="F5793" s="91"/>
      <c r="G5793" s="90"/>
      <c r="H5793" s="92"/>
      <c r="I5793" s="87"/>
      <c r="J5793" s="93"/>
      <c r="K5793" s="92"/>
      <c r="L5793" s="72" t="str">
        <f t="shared" si="91"/>
        <v/>
      </c>
      <c r="N5793" s="15"/>
    </row>
    <row r="5794" spans="1:14" s="14" customFormat="1" ht="18" x14ac:dyDescent="0.25">
      <c r="A5794" s="91"/>
      <c r="B5794" s="90"/>
      <c r="C5794" s="88"/>
      <c r="D5794" s="89"/>
      <c r="E5794" s="90"/>
      <c r="F5794" s="91"/>
      <c r="G5794" s="90"/>
      <c r="H5794" s="92"/>
      <c r="I5794" s="87"/>
      <c r="J5794" s="93"/>
      <c r="K5794" s="92"/>
      <c r="L5794" s="72" t="str">
        <f t="shared" si="91"/>
        <v/>
      </c>
      <c r="N5794" s="15"/>
    </row>
    <row r="5795" spans="1:14" s="14" customFormat="1" ht="18" x14ac:dyDescent="0.25">
      <c r="A5795" s="91"/>
      <c r="B5795" s="90"/>
      <c r="C5795" s="88"/>
      <c r="D5795" s="89"/>
      <c r="E5795" s="90"/>
      <c r="F5795" s="91"/>
      <c r="G5795" s="90"/>
      <c r="H5795" s="92"/>
      <c r="I5795" s="87"/>
      <c r="J5795" s="93"/>
      <c r="K5795" s="92"/>
      <c r="L5795" s="72" t="str">
        <f t="shared" si="91"/>
        <v/>
      </c>
      <c r="N5795" s="15"/>
    </row>
    <row r="5796" spans="1:14" s="14" customFormat="1" ht="18" x14ac:dyDescent="0.25">
      <c r="A5796" s="91"/>
      <c r="B5796" s="90"/>
      <c r="C5796" s="88"/>
      <c r="D5796" s="89"/>
      <c r="E5796" s="90"/>
      <c r="F5796" s="91"/>
      <c r="G5796" s="90"/>
      <c r="H5796" s="92"/>
      <c r="I5796" s="87"/>
      <c r="J5796" s="93"/>
      <c r="K5796" s="92"/>
      <c r="L5796" s="72" t="str">
        <f t="shared" si="91"/>
        <v/>
      </c>
      <c r="N5796" s="15"/>
    </row>
    <row r="5797" spans="1:14" s="14" customFormat="1" ht="18" x14ac:dyDescent="0.25">
      <c r="A5797" s="91"/>
      <c r="B5797" s="90"/>
      <c r="C5797" s="88"/>
      <c r="D5797" s="89"/>
      <c r="E5797" s="90"/>
      <c r="F5797" s="91"/>
      <c r="G5797" s="90"/>
      <c r="H5797" s="92"/>
      <c r="I5797" s="87"/>
      <c r="J5797" s="93"/>
      <c r="K5797" s="92"/>
      <c r="L5797" s="72" t="str">
        <f t="shared" si="91"/>
        <v/>
      </c>
      <c r="N5797" s="15"/>
    </row>
    <row r="5798" spans="1:14" s="14" customFormat="1" ht="18" x14ac:dyDescent="0.25">
      <c r="A5798" s="91"/>
      <c r="B5798" s="90"/>
      <c r="C5798" s="88"/>
      <c r="D5798" s="89"/>
      <c r="E5798" s="90"/>
      <c r="F5798" s="91"/>
      <c r="G5798" s="90"/>
      <c r="H5798" s="92"/>
      <c r="I5798" s="87"/>
      <c r="J5798" s="93"/>
      <c r="K5798" s="92"/>
      <c r="L5798" s="72" t="str">
        <f t="shared" si="91"/>
        <v/>
      </c>
      <c r="N5798" s="15"/>
    </row>
    <row r="5799" spans="1:14" s="14" customFormat="1" ht="18" x14ac:dyDescent="0.25">
      <c r="A5799" s="91"/>
      <c r="B5799" s="90"/>
      <c r="C5799" s="88"/>
      <c r="D5799" s="89"/>
      <c r="E5799" s="90"/>
      <c r="F5799" s="91"/>
      <c r="G5799" s="90"/>
      <c r="H5799" s="92"/>
      <c r="I5799" s="87"/>
      <c r="J5799" s="93"/>
      <c r="K5799" s="92"/>
      <c r="L5799" s="72" t="str">
        <f t="shared" si="91"/>
        <v/>
      </c>
      <c r="N5799" s="15"/>
    </row>
    <row r="5800" spans="1:14" s="14" customFormat="1" ht="18" x14ac:dyDescent="0.25">
      <c r="A5800" s="91"/>
      <c r="B5800" s="90"/>
      <c r="C5800" s="88"/>
      <c r="D5800" s="89"/>
      <c r="E5800" s="90"/>
      <c r="F5800" s="91"/>
      <c r="G5800" s="90"/>
      <c r="H5800" s="92"/>
      <c r="I5800" s="87"/>
      <c r="J5800" s="93"/>
      <c r="K5800" s="92"/>
      <c r="L5800" s="72" t="str">
        <f t="shared" si="91"/>
        <v/>
      </c>
      <c r="N5800" s="15"/>
    </row>
    <row r="5801" spans="1:14" s="14" customFormat="1" ht="18" x14ac:dyDescent="0.25">
      <c r="A5801" s="91"/>
      <c r="B5801" s="90"/>
      <c r="C5801" s="88"/>
      <c r="D5801" s="89"/>
      <c r="E5801" s="90"/>
      <c r="F5801" s="91"/>
      <c r="G5801" s="90"/>
      <c r="H5801" s="92"/>
      <c r="I5801" s="87"/>
      <c r="J5801" s="93"/>
      <c r="K5801" s="92"/>
      <c r="L5801" s="72" t="str">
        <f t="shared" si="91"/>
        <v/>
      </c>
      <c r="N5801" s="15"/>
    </row>
    <row r="5802" spans="1:14" s="14" customFormat="1" ht="18" x14ac:dyDescent="0.25">
      <c r="A5802" s="91"/>
      <c r="B5802" s="90"/>
      <c r="C5802" s="88"/>
      <c r="D5802" s="89"/>
      <c r="E5802" s="90"/>
      <c r="F5802" s="91"/>
      <c r="G5802" s="90"/>
      <c r="H5802" s="92"/>
      <c r="I5802" s="87"/>
      <c r="J5802" s="93"/>
      <c r="K5802" s="92"/>
      <c r="L5802" s="72" t="str">
        <f t="shared" si="91"/>
        <v/>
      </c>
      <c r="N5802" s="15"/>
    </row>
    <row r="5803" spans="1:14" s="14" customFormat="1" ht="18" x14ac:dyDescent="0.25">
      <c r="A5803" s="91"/>
      <c r="B5803" s="90"/>
      <c r="C5803" s="88"/>
      <c r="D5803" s="89"/>
      <c r="E5803" s="90"/>
      <c r="F5803" s="91"/>
      <c r="G5803" s="90"/>
      <c r="H5803" s="92"/>
      <c r="I5803" s="87"/>
      <c r="J5803" s="93"/>
      <c r="K5803" s="92"/>
      <c r="L5803" s="72" t="str">
        <f t="shared" si="91"/>
        <v/>
      </c>
      <c r="N5803" s="15"/>
    </row>
    <row r="5804" spans="1:14" s="14" customFormat="1" ht="18" x14ac:dyDescent="0.25">
      <c r="A5804" s="91"/>
      <c r="B5804" s="90"/>
      <c r="C5804" s="88"/>
      <c r="D5804" s="89"/>
      <c r="E5804" s="90"/>
      <c r="F5804" s="91"/>
      <c r="G5804" s="90"/>
      <c r="H5804" s="92"/>
      <c r="I5804" s="87"/>
      <c r="J5804" s="93"/>
      <c r="K5804" s="92"/>
      <c r="L5804" s="72" t="str">
        <f t="shared" si="91"/>
        <v/>
      </c>
      <c r="N5804" s="15"/>
    </row>
    <row r="5805" spans="1:14" s="14" customFormat="1" ht="18" x14ac:dyDescent="0.25">
      <c r="A5805" s="91"/>
      <c r="B5805" s="90"/>
      <c r="C5805" s="88"/>
      <c r="D5805" s="89"/>
      <c r="E5805" s="90"/>
      <c r="F5805" s="91"/>
      <c r="G5805" s="90"/>
      <c r="H5805" s="92"/>
      <c r="I5805" s="87"/>
      <c r="J5805" s="93"/>
      <c r="K5805" s="92"/>
      <c r="L5805" s="72" t="str">
        <f t="shared" si="91"/>
        <v/>
      </c>
      <c r="N5805" s="15"/>
    </row>
    <row r="5806" spans="1:14" s="14" customFormat="1" ht="18" x14ac:dyDescent="0.25">
      <c r="A5806" s="91"/>
      <c r="B5806" s="90"/>
      <c r="C5806" s="88"/>
      <c r="D5806" s="89"/>
      <c r="E5806" s="90"/>
      <c r="F5806" s="91"/>
      <c r="G5806" s="90"/>
      <c r="H5806" s="92"/>
      <c r="I5806" s="87"/>
      <c r="J5806" s="93"/>
      <c r="K5806" s="92"/>
      <c r="L5806" s="72" t="str">
        <f t="shared" si="91"/>
        <v/>
      </c>
      <c r="N5806" s="15"/>
    </row>
    <row r="5807" spans="1:14" s="14" customFormat="1" ht="18" x14ac:dyDescent="0.25">
      <c r="A5807" s="91"/>
      <c r="B5807" s="90"/>
      <c r="C5807" s="88"/>
      <c r="D5807" s="89"/>
      <c r="E5807" s="90"/>
      <c r="F5807" s="91"/>
      <c r="G5807" s="90"/>
      <c r="H5807" s="92"/>
      <c r="I5807" s="87"/>
      <c r="J5807" s="93"/>
      <c r="K5807" s="92"/>
      <c r="L5807" s="72" t="str">
        <f t="shared" si="91"/>
        <v/>
      </c>
      <c r="N5807" s="15"/>
    </row>
    <row r="5808" spans="1:14" s="14" customFormat="1" ht="18" x14ac:dyDescent="0.25">
      <c r="A5808" s="91"/>
      <c r="B5808" s="90"/>
      <c r="C5808" s="88"/>
      <c r="D5808" s="89"/>
      <c r="E5808" s="90"/>
      <c r="F5808" s="91"/>
      <c r="G5808" s="90"/>
      <c r="H5808" s="92"/>
      <c r="I5808" s="87"/>
      <c r="J5808" s="93"/>
      <c r="K5808" s="92"/>
      <c r="L5808" s="72" t="str">
        <f t="shared" si="91"/>
        <v/>
      </c>
      <c r="N5808" s="15"/>
    </row>
    <row r="5809" spans="1:14" s="14" customFormat="1" ht="18" x14ac:dyDescent="0.25">
      <c r="A5809" s="91"/>
      <c r="B5809" s="90"/>
      <c r="C5809" s="88"/>
      <c r="D5809" s="89"/>
      <c r="E5809" s="90"/>
      <c r="F5809" s="91"/>
      <c r="G5809" s="90"/>
      <c r="H5809" s="92"/>
      <c r="I5809" s="87"/>
      <c r="J5809" s="93"/>
      <c r="K5809" s="92"/>
      <c r="L5809" s="72" t="str">
        <f t="shared" si="91"/>
        <v/>
      </c>
      <c r="N5809" s="15"/>
    </row>
    <row r="5810" spans="1:14" s="14" customFormat="1" ht="18" x14ac:dyDescent="0.25">
      <c r="A5810" s="91"/>
      <c r="B5810" s="90"/>
      <c r="C5810" s="88"/>
      <c r="D5810" s="89"/>
      <c r="E5810" s="90"/>
      <c r="F5810" s="91"/>
      <c r="G5810" s="90"/>
      <c r="H5810" s="92"/>
      <c r="I5810" s="87"/>
      <c r="J5810" s="93"/>
      <c r="K5810" s="92"/>
      <c r="L5810" s="72" t="str">
        <f t="shared" si="91"/>
        <v/>
      </c>
      <c r="N5810" s="15"/>
    </row>
    <row r="5811" spans="1:14" s="14" customFormat="1" ht="18" x14ac:dyDescent="0.25">
      <c r="A5811" s="91"/>
      <c r="B5811" s="90"/>
      <c r="C5811" s="88"/>
      <c r="D5811" s="89"/>
      <c r="E5811" s="90"/>
      <c r="F5811" s="91"/>
      <c r="G5811" s="90"/>
      <c r="H5811" s="92"/>
      <c r="I5811" s="87"/>
      <c r="J5811" s="93"/>
      <c r="K5811" s="92"/>
      <c r="L5811" s="72" t="str">
        <f t="shared" si="91"/>
        <v/>
      </c>
      <c r="N5811" s="15"/>
    </row>
    <row r="5812" spans="1:14" s="14" customFormat="1" ht="18" x14ac:dyDescent="0.25">
      <c r="A5812" s="91"/>
      <c r="B5812" s="90"/>
      <c r="C5812" s="88"/>
      <c r="D5812" s="89"/>
      <c r="E5812" s="90"/>
      <c r="F5812" s="91"/>
      <c r="G5812" s="90"/>
      <c r="H5812" s="92"/>
      <c r="I5812" s="87"/>
      <c r="J5812" s="93"/>
      <c r="K5812" s="92"/>
      <c r="L5812" s="72" t="str">
        <f t="shared" si="91"/>
        <v/>
      </c>
      <c r="N5812" s="15"/>
    </row>
    <row r="5813" spans="1:14" s="14" customFormat="1" ht="18" x14ac:dyDescent="0.25">
      <c r="A5813" s="91"/>
      <c r="B5813" s="90"/>
      <c r="C5813" s="88"/>
      <c r="D5813" s="89"/>
      <c r="E5813" s="90"/>
      <c r="F5813" s="91"/>
      <c r="G5813" s="90"/>
      <c r="H5813" s="92"/>
      <c r="I5813" s="87"/>
      <c r="J5813" s="93"/>
      <c r="K5813" s="92"/>
      <c r="L5813" s="72" t="str">
        <f t="shared" si="91"/>
        <v/>
      </c>
      <c r="N5813" s="15"/>
    </row>
    <row r="5814" spans="1:14" s="14" customFormat="1" ht="18" x14ac:dyDescent="0.25">
      <c r="A5814" s="91"/>
      <c r="B5814" s="90"/>
      <c r="C5814" s="88"/>
      <c r="D5814" s="89"/>
      <c r="E5814" s="90"/>
      <c r="F5814" s="91"/>
      <c r="G5814" s="90"/>
      <c r="H5814" s="92"/>
      <c r="I5814" s="87"/>
      <c r="J5814" s="93"/>
      <c r="K5814" s="92"/>
      <c r="L5814" s="72" t="str">
        <f t="shared" si="91"/>
        <v/>
      </c>
      <c r="N5814" s="15"/>
    </row>
    <row r="5815" spans="1:14" s="14" customFormat="1" ht="18" x14ac:dyDescent="0.25">
      <c r="A5815" s="91"/>
      <c r="B5815" s="90"/>
      <c r="C5815" s="88"/>
      <c r="D5815" s="89"/>
      <c r="E5815" s="90"/>
      <c r="F5815" s="91"/>
      <c r="G5815" s="90"/>
      <c r="H5815" s="92"/>
      <c r="I5815" s="87"/>
      <c r="J5815" s="93"/>
      <c r="K5815" s="92"/>
      <c r="L5815" s="72" t="str">
        <f t="shared" si="91"/>
        <v/>
      </c>
      <c r="N5815" s="15"/>
    </row>
    <row r="5816" spans="1:14" s="14" customFormat="1" ht="18" x14ac:dyDescent="0.25">
      <c r="A5816" s="91"/>
      <c r="B5816" s="90"/>
      <c r="C5816" s="88"/>
      <c r="D5816" s="89"/>
      <c r="E5816" s="90"/>
      <c r="F5816" s="91"/>
      <c r="G5816" s="90"/>
      <c r="H5816" s="92"/>
      <c r="I5816" s="87"/>
      <c r="J5816" s="93"/>
      <c r="K5816" s="92"/>
      <c r="L5816" s="72" t="str">
        <f t="shared" si="91"/>
        <v/>
      </c>
      <c r="N5816" s="15"/>
    </row>
    <row r="5817" spans="1:14" s="14" customFormat="1" ht="18" x14ac:dyDescent="0.25">
      <c r="A5817" s="91"/>
      <c r="B5817" s="90"/>
      <c r="C5817" s="88"/>
      <c r="D5817" s="89"/>
      <c r="E5817" s="90"/>
      <c r="F5817" s="91"/>
      <c r="G5817" s="90"/>
      <c r="H5817" s="92"/>
      <c r="I5817" s="87"/>
      <c r="J5817" s="93"/>
      <c r="K5817" s="92"/>
      <c r="L5817" s="72" t="str">
        <f t="shared" si="91"/>
        <v/>
      </c>
      <c r="N5817" s="15"/>
    </row>
    <row r="5818" spans="1:14" s="14" customFormat="1" ht="18" x14ac:dyDescent="0.25">
      <c r="A5818" s="91"/>
      <c r="B5818" s="90"/>
      <c r="C5818" s="88"/>
      <c r="D5818" s="89"/>
      <c r="E5818" s="90"/>
      <c r="F5818" s="91"/>
      <c r="G5818" s="90"/>
      <c r="H5818" s="92"/>
      <c r="I5818" s="87"/>
      <c r="J5818" s="93"/>
      <c r="K5818" s="92"/>
      <c r="L5818" s="72" t="str">
        <f t="shared" si="91"/>
        <v/>
      </c>
      <c r="N5818" s="15"/>
    </row>
    <row r="5819" spans="1:14" s="14" customFormat="1" ht="18" x14ac:dyDescent="0.25">
      <c r="A5819" s="91"/>
      <c r="B5819" s="90"/>
      <c r="C5819" s="88"/>
      <c r="D5819" s="89"/>
      <c r="E5819" s="90"/>
      <c r="F5819" s="91"/>
      <c r="G5819" s="90"/>
      <c r="H5819" s="92"/>
      <c r="I5819" s="87"/>
      <c r="J5819" s="93"/>
      <c r="K5819" s="92"/>
      <c r="L5819" s="72" t="str">
        <f t="shared" si="91"/>
        <v/>
      </c>
      <c r="N5819" s="15"/>
    </row>
    <row r="5820" spans="1:14" s="14" customFormat="1" ht="18" x14ac:dyDescent="0.25">
      <c r="A5820" s="91"/>
      <c r="B5820" s="90"/>
      <c r="C5820" s="88"/>
      <c r="D5820" s="89"/>
      <c r="E5820" s="90"/>
      <c r="F5820" s="91"/>
      <c r="G5820" s="90"/>
      <c r="H5820" s="92"/>
      <c r="I5820" s="87"/>
      <c r="J5820" s="93"/>
      <c r="K5820" s="92"/>
      <c r="L5820" s="72" t="str">
        <f t="shared" si="91"/>
        <v/>
      </c>
      <c r="N5820" s="15"/>
    </row>
    <row r="5821" spans="1:14" s="14" customFormat="1" ht="18" x14ac:dyDescent="0.25">
      <c r="A5821" s="91"/>
      <c r="B5821" s="90"/>
      <c r="C5821" s="88"/>
      <c r="D5821" s="89"/>
      <c r="E5821" s="90"/>
      <c r="F5821" s="91"/>
      <c r="G5821" s="90"/>
      <c r="H5821" s="92"/>
      <c r="I5821" s="87"/>
      <c r="J5821" s="93"/>
      <c r="K5821" s="92"/>
      <c r="L5821" s="72" t="str">
        <f t="shared" si="91"/>
        <v/>
      </c>
      <c r="N5821" s="15"/>
    </row>
    <row r="5822" spans="1:14" s="14" customFormat="1" ht="18" x14ac:dyDescent="0.25">
      <c r="A5822" s="91"/>
      <c r="B5822" s="90"/>
      <c r="C5822" s="88"/>
      <c r="D5822" s="89"/>
      <c r="E5822" s="90"/>
      <c r="F5822" s="91"/>
      <c r="G5822" s="90"/>
      <c r="H5822" s="92"/>
      <c r="I5822" s="87"/>
      <c r="J5822" s="93"/>
      <c r="K5822" s="92"/>
      <c r="L5822" s="72" t="str">
        <f t="shared" si="91"/>
        <v/>
      </c>
      <c r="N5822" s="15"/>
    </row>
    <row r="5823" spans="1:14" s="14" customFormat="1" ht="18" x14ac:dyDescent="0.25">
      <c r="A5823" s="91"/>
      <c r="B5823" s="90"/>
      <c r="C5823" s="88"/>
      <c r="D5823" s="89"/>
      <c r="E5823" s="90"/>
      <c r="F5823" s="91"/>
      <c r="G5823" s="90"/>
      <c r="H5823" s="92"/>
      <c r="I5823" s="87"/>
      <c r="J5823" s="93"/>
      <c r="K5823" s="92"/>
      <c r="L5823" s="72" t="str">
        <f t="shared" si="91"/>
        <v/>
      </c>
      <c r="N5823" s="15"/>
    </row>
    <row r="5824" spans="1:14" s="14" customFormat="1" ht="18" x14ac:dyDescent="0.25">
      <c r="A5824" s="91"/>
      <c r="B5824" s="90"/>
      <c r="C5824" s="88"/>
      <c r="D5824" s="89"/>
      <c r="E5824" s="90"/>
      <c r="F5824" s="91"/>
      <c r="G5824" s="90"/>
      <c r="H5824" s="92"/>
      <c r="I5824" s="87"/>
      <c r="J5824" s="93"/>
      <c r="K5824" s="92"/>
      <c r="L5824" s="72" t="str">
        <f t="shared" si="91"/>
        <v/>
      </c>
      <c r="N5824" s="15"/>
    </row>
    <row r="5825" spans="1:14" s="14" customFormat="1" ht="18" x14ac:dyDescent="0.25">
      <c r="A5825" s="91"/>
      <c r="B5825" s="90"/>
      <c r="C5825" s="88"/>
      <c r="D5825" s="89"/>
      <c r="E5825" s="90"/>
      <c r="F5825" s="91"/>
      <c r="G5825" s="90"/>
      <c r="H5825" s="92"/>
      <c r="I5825" s="87"/>
      <c r="J5825" s="93"/>
      <c r="K5825" s="92"/>
      <c r="L5825" s="72" t="str">
        <f t="shared" si="91"/>
        <v/>
      </c>
      <c r="N5825" s="15"/>
    </row>
    <row r="5826" spans="1:14" s="14" customFormat="1" ht="18" x14ac:dyDescent="0.25">
      <c r="A5826" s="91"/>
      <c r="B5826" s="90"/>
      <c r="C5826" s="88"/>
      <c r="D5826" s="89"/>
      <c r="E5826" s="90"/>
      <c r="F5826" s="91"/>
      <c r="G5826" s="90"/>
      <c r="H5826" s="92"/>
      <c r="I5826" s="87"/>
      <c r="J5826" s="93"/>
      <c r="K5826" s="92"/>
      <c r="L5826" s="72" t="str">
        <f t="shared" si="91"/>
        <v/>
      </c>
      <c r="N5826" s="15"/>
    </row>
    <row r="5827" spans="1:14" s="14" customFormat="1" ht="18" x14ac:dyDescent="0.25">
      <c r="A5827" s="91"/>
      <c r="B5827" s="90"/>
      <c r="C5827" s="88"/>
      <c r="D5827" s="89"/>
      <c r="E5827" s="90"/>
      <c r="F5827" s="91"/>
      <c r="G5827" s="90"/>
      <c r="H5827" s="92"/>
      <c r="I5827" s="87"/>
      <c r="J5827" s="93"/>
      <c r="K5827" s="92"/>
      <c r="L5827" s="72" t="str">
        <f t="shared" si="91"/>
        <v/>
      </c>
      <c r="N5827" s="15"/>
    </row>
    <row r="5828" spans="1:14" s="14" customFormat="1" ht="18" x14ac:dyDescent="0.25">
      <c r="A5828" s="91"/>
      <c r="B5828" s="90"/>
      <c r="C5828" s="88"/>
      <c r="D5828" s="89"/>
      <c r="E5828" s="90"/>
      <c r="F5828" s="91"/>
      <c r="G5828" s="90"/>
      <c r="H5828" s="92"/>
      <c r="I5828" s="87"/>
      <c r="J5828" s="93"/>
      <c r="K5828" s="92"/>
      <c r="L5828" s="72" t="str">
        <f t="shared" si="91"/>
        <v/>
      </c>
      <c r="N5828" s="15"/>
    </row>
    <row r="5829" spans="1:14" s="14" customFormat="1" ht="18" x14ac:dyDescent="0.25">
      <c r="A5829" s="91"/>
      <c r="B5829" s="90"/>
      <c r="C5829" s="88"/>
      <c r="D5829" s="89"/>
      <c r="E5829" s="90"/>
      <c r="F5829" s="91"/>
      <c r="G5829" s="90"/>
      <c r="H5829" s="92"/>
      <c r="I5829" s="87"/>
      <c r="J5829" s="93"/>
      <c r="K5829" s="92"/>
      <c r="L5829" s="72" t="str">
        <f t="shared" si="91"/>
        <v/>
      </c>
      <c r="N5829" s="15">
        <v>-100</v>
      </c>
    </row>
    <row r="5830" spans="1:14" s="14" customFormat="1" ht="18" x14ac:dyDescent="0.25">
      <c r="A5830" s="91"/>
      <c r="B5830" s="90"/>
      <c r="C5830" s="88"/>
      <c r="D5830" s="89"/>
      <c r="E5830" s="90"/>
      <c r="F5830" s="91"/>
      <c r="G5830" s="90"/>
      <c r="H5830" s="92"/>
      <c r="I5830" s="87"/>
      <c r="J5830" s="93"/>
      <c r="K5830" s="92"/>
      <c r="L5830" s="72" t="str">
        <f t="shared" si="91"/>
        <v/>
      </c>
      <c r="N5830" s="15"/>
    </row>
    <row r="5831" spans="1:14" s="14" customFormat="1" ht="18" x14ac:dyDescent="0.25">
      <c r="A5831" s="91"/>
      <c r="B5831" s="90"/>
      <c r="C5831" s="88"/>
      <c r="D5831" s="89"/>
      <c r="E5831" s="90"/>
      <c r="F5831" s="91"/>
      <c r="G5831" s="90"/>
      <c r="H5831" s="92"/>
      <c r="I5831" s="87"/>
      <c r="J5831" s="93"/>
      <c r="K5831" s="92"/>
      <c r="L5831" s="72" t="str">
        <f t="shared" si="91"/>
        <v/>
      </c>
      <c r="N5831" s="15"/>
    </row>
    <row r="5832" spans="1:14" s="14" customFormat="1" ht="18" x14ac:dyDescent="0.25">
      <c r="A5832" s="91"/>
      <c r="B5832" s="90"/>
      <c r="C5832" s="88"/>
      <c r="D5832" s="89"/>
      <c r="E5832" s="90"/>
      <c r="F5832" s="91"/>
      <c r="G5832" s="90"/>
      <c r="H5832" s="92"/>
      <c r="I5832" s="87"/>
      <c r="J5832" s="93"/>
      <c r="K5832" s="92"/>
      <c r="L5832" s="72" t="str">
        <f t="shared" si="91"/>
        <v/>
      </c>
      <c r="N5832" s="15"/>
    </row>
    <row r="5833" spans="1:14" s="14" customFormat="1" ht="18" x14ac:dyDescent="0.25">
      <c r="A5833" s="91"/>
      <c r="B5833" s="90"/>
      <c r="C5833" s="88"/>
      <c r="D5833" s="89"/>
      <c r="E5833" s="90"/>
      <c r="F5833" s="91"/>
      <c r="G5833" s="90"/>
      <c r="H5833" s="92"/>
      <c r="I5833" s="87"/>
      <c r="J5833" s="93"/>
      <c r="K5833" s="92"/>
      <c r="L5833" s="72" t="str">
        <f t="shared" si="91"/>
        <v/>
      </c>
      <c r="N5833" s="15"/>
    </row>
    <row r="5834" spans="1:14" s="14" customFormat="1" ht="18" x14ac:dyDescent="0.25">
      <c r="A5834" s="91"/>
      <c r="B5834" s="90"/>
      <c r="C5834" s="88"/>
      <c r="D5834" s="89"/>
      <c r="E5834" s="90"/>
      <c r="F5834" s="91"/>
      <c r="G5834" s="90"/>
      <c r="H5834" s="92"/>
      <c r="I5834" s="87"/>
      <c r="J5834" s="93"/>
      <c r="K5834" s="92"/>
      <c r="L5834" s="72" t="str">
        <f t="shared" si="91"/>
        <v/>
      </c>
      <c r="N5834" s="15"/>
    </row>
    <row r="5835" spans="1:14" s="14" customFormat="1" ht="18" x14ac:dyDescent="0.25">
      <c r="A5835" s="91"/>
      <c r="B5835" s="90"/>
      <c r="C5835" s="88"/>
      <c r="D5835" s="89"/>
      <c r="E5835" s="90"/>
      <c r="F5835" s="91"/>
      <c r="G5835" s="90"/>
      <c r="H5835" s="92"/>
      <c r="I5835" s="87"/>
      <c r="J5835" s="93"/>
      <c r="K5835" s="92"/>
      <c r="L5835" s="72" t="str">
        <f t="shared" si="91"/>
        <v/>
      </c>
      <c r="N5835" s="15"/>
    </row>
    <row r="5836" spans="1:14" s="14" customFormat="1" ht="18" x14ac:dyDescent="0.25">
      <c r="A5836" s="91"/>
      <c r="B5836" s="90"/>
      <c r="C5836" s="88"/>
      <c r="D5836" s="89"/>
      <c r="E5836" s="90"/>
      <c r="F5836" s="91"/>
      <c r="G5836" s="90"/>
      <c r="H5836" s="92"/>
      <c r="I5836" s="87"/>
      <c r="J5836" s="93"/>
      <c r="K5836" s="92"/>
      <c r="L5836" s="72" t="str">
        <f t="shared" si="91"/>
        <v/>
      </c>
      <c r="N5836" s="15"/>
    </row>
    <row r="5837" spans="1:14" s="14" customFormat="1" ht="18" x14ac:dyDescent="0.25">
      <c r="A5837" s="91"/>
      <c r="B5837" s="90"/>
      <c r="C5837" s="88"/>
      <c r="D5837" s="89"/>
      <c r="E5837" s="90"/>
      <c r="F5837" s="91"/>
      <c r="G5837" s="90"/>
      <c r="H5837" s="92"/>
      <c r="I5837" s="87"/>
      <c r="J5837" s="93"/>
      <c r="K5837" s="92"/>
      <c r="L5837" s="72" t="str">
        <f t="shared" si="91"/>
        <v/>
      </c>
      <c r="N5837" s="15"/>
    </row>
    <row r="5838" spans="1:14" s="14" customFormat="1" ht="18" x14ac:dyDescent="0.25">
      <c r="A5838" s="91"/>
      <c r="B5838" s="90"/>
      <c r="C5838" s="88"/>
      <c r="D5838" s="89"/>
      <c r="E5838" s="90"/>
      <c r="F5838" s="91"/>
      <c r="G5838" s="90"/>
      <c r="H5838" s="92"/>
      <c r="I5838" s="87"/>
      <c r="J5838" s="93"/>
      <c r="K5838" s="92"/>
      <c r="L5838" s="72" t="str">
        <f t="shared" si="91"/>
        <v/>
      </c>
      <c r="N5838" s="15"/>
    </row>
    <row r="5839" spans="1:14" s="14" customFormat="1" ht="18" x14ac:dyDescent="0.25">
      <c r="A5839" s="91"/>
      <c r="B5839" s="90"/>
      <c r="C5839" s="88"/>
      <c r="D5839" s="89"/>
      <c r="E5839" s="90"/>
      <c r="F5839" s="91"/>
      <c r="G5839" s="90"/>
      <c r="H5839" s="92"/>
      <c r="I5839" s="87"/>
      <c r="J5839" s="93"/>
      <c r="K5839" s="92"/>
      <c r="L5839" s="72" t="str">
        <f t="shared" si="91"/>
        <v/>
      </c>
      <c r="N5839" s="15"/>
    </row>
    <row r="5840" spans="1:14" s="14" customFormat="1" ht="18" x14ac:dyDescent="0.25">
      <c r="A5840" s="91"/>
      <c r="B5840" s="90"/>
      <c r="C5840" s="88"/>
      <c r="D5840" s="89"/>
      <c r="E5840" s="90"/>
      <c r="F5840" s="91"/>
      <c r="G5840" s="90"/>
      <c r="H5840" s="92"/>
      <c r="I5840" s="87"/>
      <c r="J5840" s="93"/>
      <c r="K5840" s="92"/>
      <c r="L5840" s="72" t="str">
        <f t="shared" si="91"/>
        <v/>
      </c>
      <c r="N5840" s="15"/>
    </row>
    <row r="5841" spans="1:14" s="14" customFormat="1" ht="18" x14ac:dyDescent="0.25">
      <c r="A5841" s="91"/>
      <c r="B5841" s="90"/>
      <c r="C5841" s="88"/>
      <c r="D5841" s="89"/>
      <c r="E5841" s="90"/>
      <c r="F5841" s="91"/>
      <c r="G5841" s="90"/>
      <c r="H5841" s="92"/>
      <c r="I5841" s="87"/>
      <c r="J5841" s="93"/>
      <c r="K5841" s="92"/>
      <c r="L5841" s="72" t="str">
        <f t="shared" si="91"/>
        <v/>
      </c>
      <c r="N5841" s="15"/>
    </row>
    <row r="5842" spans="1:14" s="14" customFormat="1" ht="18" x14ac:dyDescent="0.25">
      <c r="A5842" s="91"/>
      <c r="B5842" s="90"/>
      <c r="C5842" s="88"/>
      <c r="D5842" s="89"/>
      <c r="E5842" s="90"/>
      <c r="F5842" s="91"/>
      <c r="G5842" s="90"/>
      <c r="H5842" s="92"/>
      <c r="I5842" s="87"/>
      <c r="J5842" s="93"/>
      <c r="K5842" s="92"/>
      <c r="L5842" s="72" t="str">
        <f t="shared" si="91"/>
        <v/>
      </c>
      <c r="N5842" s="15"/>
    </row>
    <row r="5843" spans="1:14" s="14" customFormat="1" ht="18" x14ac:dyDescent="0.25">
      <c r="A5843" s="91"/>
      <c r="B5843" s="90"/>
      <c r="C5843" s="88"/>
      <c r="D5843" s="89"/>
      <c r="E5843" s="90"/>
      <c r="F5843" s="91"/>
      <c r="G5843" s="90"/>
      <c r="H5843" s="92"/>
      <c r="I5843" s="87"/>
      <c r="J5843" s="93"/>
      <c r="K5843" s="92"/>
      <c r="L5843" s="72" t="str">
        <f t="shared" si="91"/>
        <v/>
      </c>
      <c r="N5843" s="15"/>
    </row>
    <row r="5844" spans="1:14" s="14" customFormat="1" ht="18" x14ac:dyDescent="0.25">
      <c r="A5844" s="91"/>
      <c r="B5844" s="90"/>
      <c r="C5844" s="88"/>
      <c r="D5844" s="89"/>
      <c r="E5844" s="90"/>
      <c r="F5844" s="91"/>
      <c r="G5844" s="90"/>
      <c r="H5844" s="92"/>
      <c r="I5844" s="87"/>
      <c r="J5844" s="93"/>
      <c r="K5844" s="92"/>
      <c r="L5844" s="72" t="str">
        <f t="shared" si="91"/>
        <v/>
      </c>
      <c r="N5844" s="15"/>
    </row>
    <row r="5845" spans="1:14" s="14" customFormat="1" ht="18" x14ac:dyDescent="0.25">
      <c r="A5845" s="91"/>
      <c r="B5845" s="90"/>
      <c r="C5845" s="88"/>
      <c r="D5845" s="89"/>
      <c r="E5845" s="90"/>
      <c r="F5845" s="91"/>
      <c r="G5845" s="90"/>
      <c r="H5845" s="92"/>
      <c r="I5845" s="87"/>
      <c r="J5845" s="93"/>
      <c r="K5845" s="92"/>
      <c r="L5845" s="72" t="str">
        <f t="shared" si="91"/>
        <v/>
      </c>
      <c r="N5845" s="15"/>
    </row>
    <row r="5846" spans="1:14" s="14" customFormat="1" ht="18" x14ac:dyDescent="0.25">
      <c r="A5846" s="91"/>
      <c r="B5846" s="90"/>
      <c r="C5846" s="88"/>
      <c r="D5846" s="89"/>
      <c r="E5846" s="90"/>
      <c r="F5846" s="91"/>
      <c r="G5846" s="90"/>
      <c r="H5846" s="92"/>
      <c r="I5846" s="87"/>
      <c r="J5846" s="93"/>
      <c r="K5846" s="92"/>
      <c r="L5846" s="72" t="str">
        <f t="shared" si="91"/>
        <v/>
      </c>
      <c r="N5846" s="15"/>
    </row>
    <row r="5847" spans="1:14" s="14" customFormat="1" ht="18" x14ac:dyDescent="0.25">
      <c r="A5847" s="91"/>
      <c r="B5847" s="90"/>
      <c r="C5847" s="88"/>
      <c r="D5847" s="89"/>
      <c r="E5847" s="90"/>
      <c r="F5847" s="91"/>
      <c r="G5847" s="90"/>
      <c r="H5847" s="92"/>
      <c r="I5847" s="87"/>
      <c r="J5847" s="93"/>
      <c r="K5847" s="92"/>
      <c r="L5847" s="72" t="str">
        <f t="shared" si="91"/>
        <v/>
      </c>
      <c r="N5847" s="15"/>
    </row>
    <row r="5848" spans="1:14" s="14" customFormat="1" ht="18" x14ac:dyDescent="0.25">
      <c r="A5848" s="91"/>
      <c r="B5848" s="90"/>
      <c r="C5848" s="88"/>
      <c r="D5848" s="89"/>
      <c r="E5848" s="90"/>
      <c r="F5848" s="91"/>
      <c r="G5848" s="90"/>
      <c r="H5848" s="92"/>
      <c r="I5848" s="87"/>
      <c r="J5848" s="93"/>
      <c r="K5848" s="92"/>
      <c r="L5848" s="72" t="str">
        <f t="shared" si="91"/>
        <v/>
      </c>
      <c r="N5848" s="15"/>
    </row>
    <row r="5849" spans="1:14" s="14" customFormat="1" ht="18" x14ac:dyDescent="0.25">
      <c r="A5849" s="91"/>
      <c r="B5849" s="90"/>
      <c r="C5849" s="88"/>
      <c r="D5849" s="89"/>
      <c r="E5849" s="90"/>
      <c r="F5849" s="91"/>
      <c r="G5849" s="90"/>
      <c r="H5849" s="92"/>
      <c r="I5849" s="87"/>
      <c r="J5849" s="93"/>
      <c r="K5849" s="92"/>
      <c r="L5849" s="72" t="str">
        <f t="shared" si="91"/>
        <v/>
      </c>
      <c r="N5849" s="15"/>
    </row>
    <row r="5850" spans="1:14" s="14" customFormat="1" ht="18" x14ac:dyDescent="0.25">
      <c r="A5850" s="91"/>
      <c r="B5850" s="90"/>
      <c r="C5850" s="88"/>
      <c r="D5850" s="89"/>
      <c r="E5850" s="90"/>
      <c r="F5850" s="91"/>
      <c r="G5850" s="90"/>
      <c r="H5850" s="92"/>
      <c r="I5850" s="87"/>
      <c r="J5850" s="93"/>
      <c r="K5850" s="92"/>
      <c r="L5850" s="72" t="str">
        <f t="shared" si="91"/>
        <v/>
      </c>
      <c r="N5850" s="15"/>
    </row>
    <row r="5851" spans="1:14" s="14" customFormat="1" ht="18" x14ac:dyDescent="0.25">
      <c r="A5851" s="91"/>
      <c r="B5851" s="90"/>
      <c r="C5851" s="88"/>
      <c r="D5851" s="89"/>
      <c r="E5851" s="90"/>
      <c r="F5851" s="91"/>
      <c r="G5851" s="90"/>
      <c r="H5851" s="92"/>
      <c r="I5851" s="87"/>
      <c r="J5851" s="93"/>
      <c r="K5851" s="92"/>
      <c r="L5851" s="72" t="str">
        <f t="shared" si="91"/>
        <v/>
      </c>
      <c r="N5851" s="15"/>
    </row>
    <row r="5852" spans="1:14" s="14" customFormat="1" ht="18" x14ac:dyDescent="0.25">
      <c r="A5852" s="91"/>
      <c r="B5852" s="90"/>
      <c r="C5852" s="88"/>
      <c r="D5852" s="89"/>
      <c r="E5852" s="90"/>
      <c r="F5852" s="91"/>
      <c r="G5852" s="90"/>
      <c r="H5852" s="92"/>
      <c r="I5852" s="87"/>
      <c r="J5852" s="93"/>
      <c r="K5852" s="92"/>
      <c r="L5852" s="72" t="str">
        <f t="shared" si="91"/>
        <v/>
      </c>
      <c r="N5852" s="15"/>
    </row>
    <row r="5853" spans="1:14" s="14" customFormat="1" ht="18" x14ac:dyDescent="0.25">
      <c r="A5853" s="91"/>
      <c r="B5853" s="90"/>
      <c r="C5853" s="88"/>
      <c r="D5853" s="89"/>
      <c r="E5853" s="90"/>
      <c r="F5853" s="91"/>
      <c r="G5853" s="90"/>
      <c r="H5853" s="92"/>
      <c r="I5853" s="87"/>
      <c r="J5853" s="93"/>
      <c r="K5853" s="92"/>
      <c r="L5853" s="72" t="str">
        <f t="shared" si="91"/>
        <v/>
      </c>
      <c r="N5853" s="15"/>
    </row>
    <row r="5854" spans="1:14" s="14" customFormat="1" ht="18" x14ac:dyDescent="0.25">
      <c r="A5854" s="91"/>
      <c r="B5854" s="90"/>
      <c r="C5854" s="88"/>
      <c r="D5854" s="89"/>
      <c r="E5854" s="90"/>
      <c r="F5854" s="91"/>
      <c r="G5854" s="90"/>
      <c r="H5854" s="92"/>
      <c r="I5854" s="87"/>
      <c r="J5854" s="93"/>
      <c r="K5854" s="92"/>
      <c r="L5854" s="72" t="str">
        <f t="shared" ref="L5854:L5917" si="92">IF(ISBLANK(H5854),"",IF(H5854=K5854,"Payé","Impayé"))</f>
        <v/>
      </c>
      <c r="N5854" s="15"/>
    </row>
    <row r="5855" spans="1:14" s="14" customFormat="1" ht="18" x14ac:dyDescent="0.25">
      <c r="A5855" s="91"/>
      <c r="B5855" s="90"/>
      <c r="C5855" s="88"/>
      <c r="D5855" s="89"/>
      <c r="E5855" s="90"/>
      <c r="F5855" s="91"/>
      <c r="G5855" s="90"/>
      <c r="H5855" s="92"/>
      <c r="I5855" s="87"/>
      <c r="J5855" s="93"/>
      <c r="K5855" s="92"/>
      <c r="L5855" s="72" t="str">
        <f t="shared" si="92"/>
        <v/>
      </c>
      <c r="N5855" s="15"/>
    </row>
    <row r="5856" spans="1:14" s="14" customFormat="1" ht="18" x14ac:dyDescent="0.25">
      <c r="A5856" s="91"/>
      <c r="B5856" s="90"/>
      <c r="C5856" s="88"/>
      <c r="D5856" s="89"/>
      <c r="E5856" s="90"/>
      <c r="F5856" s="91"/>
      <c r="G5856" s="90"/>
      <c r="H5856" s="92"/>
      <c r="I5856" s="87"/>
      <c r="J5856" s="93"/>
      <c r="K5856" s="92"/>
      <c r="L5856" s="72" t="str">
        <f t="shared" si="92"/>
        <v/>
      </c>
      <c r="N5856" s="15"/>
    </row>
    <row r="5857" spans="1:14" s="14" customFormat="1" ht="18" x14ac:dyDescent="0.25">
      <c r="A5857" s="91"/>
      <c r="B5857" s="90"/>
      <c r="C5857" s="88"/>
      <c r="D5857" s="89"/>
      <c r="E5857" s="90"/>
      <c r="F5857" s="91"/>
      <c r="G5857" s="90"/>
      <c r="H5857" s="92"/>
      <c r="I5857" s="87"/>
      <c r="J5857" s="93"/>
      <c r="K5857" s="92"/>
      <c r="L5857" s="72" t="str">
        <f t="shared" si="92"/>
        <v/>
      </c>
      <c r="N5857" s="15"/>
    </row>
    <row r="5858" spans="1:14" s="14" customFormat="1" ht="18" x14ac:dyDescent="0.25">
      <c r="A5858" s="91"/>
      <c r="B5858" s="90"/>
      <c r="C5858" s="88"/>
      <c r="D5858" s="89"/>
      <c r="E5858" s="90"/>
      <c r="F5858" s="91"/>
      <c r="G5858" s="90"/>
      <c r="H5858" s="92"/>
      <c r="I5858" s="87"/>
      <c r="J5858" s="93"/>
      <c r="K5858" s="92"/>
      <c r="L5858" s="72" t="str">
        <f t="shared" si="92"/>
        <v/>
      </c>
      <c r="N5858" s="15"/>
    </row>
    <row r="5859" spans="1:14" s="14" customFormat="1" ht="18" x14ac:dyDescent="0.25">
      <c r="A5859" s="91"/>
      <c r="B5859" s="90"/>
      <c r="C5859" s="88"/>
      <c r="D5859" s="89"/>
      <c r="E5859" s="90"/>
      <c r="F5859" s="91"/>
      <c r="G5859" s="90"/>
      <c r="H5859" s="92"/>
      <c r="I5859" s="87"/>
      <c r="J5859" s="93"/>
      <c r="K5859" s="92"/>
      <c r="L5859" s="72" t="str">
        <f t="shared" si="92"/>
        <v/>
      </c>
      <c r="N5859" s="15"/>
    </row>
    <row r="5860" spans="1:14" s="14" customFormat="1" ht="18" x14ac:dyDescent="0.25">
      <c r="A5860" s="91"/>
      <c r="B5860" s="90"/>
      <c r="C5860" s="88"/>
      <c r="D5860" s="89"/>
      <c r="E5860" s="90"/>
      <c r="F5860" s="91"/>
      <c r="G5860" s="90"/>
      <c r="H5860" s="92"/>
      <c r="I5860" s="87"/>
      <c r="J5860" s="93"/>
      <c r="K5860" s="92"/>
      <c r="L5860" s="72" t="str">
        <f t="shared" si="92"/>
        <v/>
      </c>
      <c r="N5860" s="15"/>
    </row>
    <row r="5861" spans="1:14" s="14" customFormat="1" ht="18" x14ac:dyDescent="0.25">
      <c r="A5861" s="91"/>
      <c r="B5861" s="90"/>
      <c r="C5861" s="88"/>
      <c r="D5861" s="89"/>
      <c r="E5861" s="90"/>
      <c r="F5861" s="91"/>
      <c r="G5861" s="90"/>
      <c r="H5861" s="92"/>
      <c r="I5861" s="87"/>
      <c r="J5861" s="93"/>
      <c r="K5861" s="92"/>
      <c r="L5861" s="72" t="str">
        <f t="shared" si="92"/>
        <v/>
      </c>
      <c r="N5861" s="15"/>
    </row>
    <row r="5862" spans="1:14" s="14" customFormat="1" ht="18" x14ac:dyDescent="0.25">
      <c r="A5862" s="91"/>
      <c r="B5862" s="90"/>
      <c r="C5862" s="88"/>
      <c r="D5862" s="89"/>
      <c r="E5862" s="90"/>
      <c r="F5862" s="91"/>
      <c r="G5862" s="90"/>
      <c r="H5862" s="92"/>
      <c r="I5862" s="87"/>
      <c r="J5862" s="93"/>
      <c r="K5862" s="92"/>
      <c r="L5862" s="72" t="str">
        <f t="shared" si="92"/>
        <v/>
      </c>
      <c r="N5862" s="15"/>
    </row>
    <row r="5863" spans="1:14" s="14" customFormat="1" ht="18" x14ac:dyDescent="0.25">
      <c r="A5863" s="91"/>
      <c r="B5863" s="90"/>
      <c r="C5863" s="88"/>
      <c r="D5863" s="89"/>
      <c r="E5863" s="90"/>
      <c r="F5863" s="91"/>
      <c r="G5863" s="90"/>
      <c r="H5863" s="92"/>
      <c r="I5863" s="87"/>
      <c r="J5863" s="93"/>
      <c r="K5863" s="92"/>
      <c r="L5863" s="72" t="str">
        <f t="shared" si="92"/>
        <v/>
      </c>
      <c r="N5863" s="15"/>
    </row>
    <row r="5864" spans="1:14" s="14" customFormat="1" ht="18" x14ac:dyDescent="0.25">
      <c r="A5864" s="91"/>
      <c r="B5864" s="90"/>
      <c r="C5864" s="88"/>
      <c r="D5864" s="89"/>
      <c r="E5864" s="90"/>
      <c r="F5864" s="91"/>
      <c r="G5864" s="90"/>
      <c r="H5864" s="92"/>
      <c r="I5864" s="87"/>
      <c r="J5864" s="93"/>
      <c r="K5864" s="92"/>
      <c r="L5864" s="72" t="str">
        <f t="shared" si="92"/>
        <v/>
      </c>
      <c r="N5864" s="15"/>
    </row>
    <row r="5865" spans="1:14" s="14" customFormat="1" ht="18" x14ac:dyDescent="0.25">
      <c r="A5865" s="91"/>
      <c r="B5865" s="90"/>
      <c r="C5865" s="88"/>
      <c r="D5865" s="89"/>
      <c r="E5865" s="90"/>
      <c r="F5865" s="91"/>
      <c r="G5865" s="90"/>
      <c r="H5865" s="92"/>
      <c r="I5865" s="87"/>
      <c r="J5865" s="93"/>
      <c r="K5865" s="92"/>
      <c r="L5865" s="72" t="str">
        <f t="shared" si="92"/>
        <v/>
      </c>
      <c r="N5865" s="15"/>
    </row>
    <row r="5866" spans="1:14" s="14" customFormat="1" ht="18" x14ac:dyDescent="0.25">
      <c r="A5866" s="91"/>
      <c r="B5866" s="90"/>
      <c r="C5866" s="88"/>
      <c r="D5866" s="89"/>
      <c r="E5866" s="90"/>
      <c r="F5866" s="91"/>
      <c r="G5866" s="90"/>
      <c r="H5866" s="92"/>
      <c r="I5866" s="87"/>
      <c r="J5866" s="93"/>
      <c r="K5866" s="92"/>
      <c r="L5866" s="72" t="str">
        <f t="shared" si="92"/>
        <v/>
      </c>
      <c r="N5866" s="15"/>
    </row>
    <row r="5867" spans="1:14" s="14" customFormat="1" ht="18" x14ac:dyDescent="0.25">
      <c r="A5867" s="91"/>
      <c r="B5867" s="90"/>
      <c r="C5867" s="88"/>
      <c r="D5867" s="89"/>
      <c r="E5867" s="90"/>
      <c r="F5867" s="91"/>
      <c r="G5867" s="90"/>
      <c r="H5867" s="92"/>
      <c r="I5867" s="87"/>
      <c r="J5867" s="93"/>
      <c r="K5867" s="92"/>
      <c r="L5867" s="72" t="str">
        <f t="shared" si="92"/>
        <v/>
      </c>
      <c r="N5867" s="15"/>
    </row>
    <row r="5868" spans="1:14" s="14" customFormat="1" ht="18" x14ac:dyDescent="0.25">
      <c r="A5868" s="91"/>
      <c r="B5868" s="90"/>
      <c r="C5868" s="88"/>
      <c r="D5868" s="89"/>
      <c r="E5868" s="90"/>
      <c r="F5868" s="91"/>
      <c r="G5868" s="90"/>
      <c r="H5868" s="92"/>
      <c r="I5868" s="87"/>
      <c r="J5868" s="93"/>
      <c r="K5868" s="92"/>
      <c r="L5868" s="72" t="str">
        <f t="shared" si="92"/>
        <v/>
      </c>
      <c r="N5868" s="15"/>
    </row>
    <row r="5869" spans="1:14" s="14" customFormat="1" ht="18" x14ac:dyDescent="0.25">
      <c r="A5869" s="91"/>
      <c r="B5869" s="90"/>
      <c r="C5869" s="88"/>
      <c r="D5869" s="89"/>
      <c r="E5869" s="90"/>
      <c r="F5869" s="91"/>
      <c r="G5869" s="90"/>
      <c r="H5869" s="92"/>
      <c r="I5869" s="87"/>
      <c r="J5869" s="93"/>
      <c r="K5869" s="92"/>
      <c r="L5869" s="72" t="str">
        <f t="shared" si="92"/>
        <v/>
      </c>
      <c r="N5869" s="15"/>
    </row>
    <row r="5870" spans="1:14" s="14" customFormat="1" ht="18" x14ac:dyDescent="0.25">
      <c r="A5870" s="91"/>
      <c r="B5870" s="90"/>
      <c r="C5870" s="88"/>
      <c r="D5870" s="89"/>
      <c r="E5870" s="90"/>
      <c r="F5870" s="91"/>
      <c r="G5870" s="90"/>
      <c r="H5870" s="92"/>
      <c r="I5870" s="87"/>
      <c r="J5870" s="93"/>
      <c r="K5870" s="92"/>
      <c r="L5870" s="72" t="str">
        <f t="shared" si="92"/>
        <v/>
      </c>
      <c r="N5870" s="15"/>
    </row>
    <row r="5871" spans="1:14" s="14" customFormat="1" ht="18" x14ac:dyDescent="0.25">
      <c r="A5871" s="91"/>
      <c r="B5871" s="90"/>
      <c r="C5871" s="88"/>
      <c r="D5871" s="89"/>
      <c r="E5871" s="90"/>
      <c r="F5871" s="91"/>
      <c r="G5871" s="90"/>
      <c r="H5871" s="92"/>
      <c r="I5871" s="87"/>
      <c r="J5871" s="93"/>
      <c r="K5871" s="92"/>
      <c r="L5871" s="72" t="str">
        <f t="shared" si="92"/>
        <v/>
      </c>
      <c r="N5871" s="15"/>
    </row>
    <row r="5872" spans="1:14" s="14" customFormat="1" ht="18" x14ac:dyDescent="0.25">
      <c r="A5872" s="91"/>
      <c r="B5872" s="90"/>
      <c r="C5872" s="88"/>
      <c r="D5872" s="89"/>
      <c r="E5872" s="90"/>
      <c r="F5872" s="91"/>
      <c r="G5872" s="90"/>
      <c r="H5872" s="92"/>
      <c r="I5872" s="87"/>
      <c r="J5872" s="93"/>
      <c r="K5872" s="92"/>
      <c r="L5872" s="72" t="str">
        <f t="shared" si="92"/>
        <v/>
      </c>
      <c r="N5872" s="15"/>
    </row>
    <row r="5873" spans="1:14" s="14" customFormat="1" ht="18" x14ac:dyDescent="0.25">
      <c r="A5873" s="91"/>
      <c r="B5873" s="90"/>
      <c r="C5873" s="88"/>
      <c r="D5873" s="89"/>
      <c r="E5873" s="90"/>
      <c r="F5873" s="91"/>
      <c r="G5873" s="90"/>
      <c r="H5873" s="92"/>
      <c r="I5873" s="87"/>
      <c r="J5873" s="93"/>
      <c r="K5873" s="92"/>
      <c r="L5873" s="72" t="str">
        <f t="shared" si="92"/>
        <v/>
      </c>
      <c r="N5873" s="15"/>
    </row>
    <row r="5874" spans="1:14" s="14" customFormat="1" ht="18" x14ac:dyDescent="0.25">
      <c r="A5874" s="91"/>
      <c r="B5874" s="90"/>
      <c r="C5874" s="88"/>
      <c r="D5874" s="89"/>
      <c r="E5874" s="90"/>
      <c r="F5874" s="91"/>
      <c r="G5874" s="90"/>
      <c r="H5874" s="92"/>
      <c r="I5874" s="87"/>
      <c r="J5874" s="93"/>
      <c r="K5874" s="92"/>
      <c r="L5874" s="72" t="str">
        <f t="shared" si="92"/>
        <v/>
      </c>
      <c r="N5874" s="15"/>
    </row>
    <row r="5875" spans="1:14" s="14" customFormat="1" ht="18" x14ac:dyDescent="0.25">
      <c r="A5875" s="91"/>
      <c r="B5875" s="90"/>
      <c r="C5875" s="88"/>
      <c r="D5875" s="89"/>
      <c r="E5875" s="90"/>
      <c r="F5875" s="91"/>
      <c r="G5875" s="90"/>
      <c r="H5875" s="92"/>
      <c r="I5875" s="87"/>
      <c r="J5875" s="93"/>
      <c r="K5875" s="92"/>
      <c r="L5875" s="72" t="str">
        <f t="shared" si="92"/>
        <v/>
      </c>
      <c r="N5875" s="15"/>
    </row>
    <row r="5876" spans="1:14" s="14" customFormat="1" ht="18" x14ac:dyDescent="0.25">
      <c r="A5876" s="91"/>
      <c r="B5876" s="90"/>
      <c r="C5876" s="88"/>
      <c r="D5876" s="89"/>
      <c r="E5876" s="90"/>
      <c r="F5876" s="91"/>
      <c r="G5876" s="90"/>
      <c r="H5876" s="92"/>
      <c r="I5876" s="87"/>
      <c r="J5876" s="93"/>
      <c r="K5876" s="92"/>
      <c r="L5876" s="72" t="str">
        <f t="shared" si="92"/>
        <v/>
      </c>
      <c r="N5876" s="15"/>
    </row>
    <row r="5877" spans="1:14" s="14" customFormat="1" ht="18" x14ac:dyDescent="0.25">
      <c r="A5877" s="91"/>
      <c r="B5877" s="90"/>
      <c r="C5877" s="88"/>
      <c r="D5877" s="89"/>
      <c r="E5877" s="90"/>
      <c r="F5877" s="91"/>
      <c r="G5877" s="90"/>
      <c r="H5877" s="92"/>
      <c r="I5877" s="87"/>
      <c r="J5877" s="93"/>
      <c r="K5877" s="92"/>
      <c r="L5877" s="72" t="str">
        <f t="shared" si="92"/>
        <v/>
      </c>
      <c r="N5877" s="15"/>
    </row>
    <row r="5878" spans="1:14" s="14" customFormat="1" ht="18" x14ac:dyDescent="0.25">
      <c r="A5878" s="91"/>
      <c r="B5878" s="90"/>
      <c r="C5878" s="88"/>
      <c r="D5878" s="89"/>
      <c r="E5878" s="90"/>
      <c r="F5878" s="91"/>
      <c r="G5878" s="90"/>
      <c r="H5878" s="92"/>
      <c r="I5878" s="87"/>
      <c r="J5878" s="93"/>
      <c r="K5878" s="92"/>
      <c r="L5878" s="72" t="str">
        <f t="shared" si="92"/>
        <v/>
      </c>
      <c r="N5878" s="15"/>
    </row>
    <row r="5879" spans="1:14" s="14" customFormat="1" ht="18" x14ac:dyDescent="0.25">
      <c r="A5879" s="91"/>
      <c r="B5879" s="90"/>
      <c r="C5879" s="88"/>
      <c r="D5879" s="89"/>
      <c r="E5879" s="90"/>
      <c r="F5879" s="91"/>
      <c r="G5879" s="90"/>
      <c r="H5879" s="92"/>
      <c r="I5879" s="87"/>
      <c r="J5879" s="93"/>
      <c r="K5879" s="92"/>
      <c r="L5879" s="72" t="str">
        <f t="shared" si="92"/>
        <v/>
      </c>
      <c r="N5879" s="15"/>
    </row>
    <row r="5880" spans="1:14" s="14" customFormat="1" ht="18" x14ac:dyDescent="0.25">
      <c r="A5880" s="91"/>
      <c r="B5880" s="90"/>
      <c r="C5880" s="88"/>
      <c r="D5880" s="89"/>
      <c r="E5880" s="90"/>
      <c r="F5880" s="91"/>
      <c r="G5880" s="90"/>
      <c r="H5880" s="92"/>
      <c r="I5880" s="87"/>
      <c r="J5880" s="93"/>
      <c r="K5880" s="92"/>
      <c r="L5880" s="72" t="str">
        <f t="shared" si="92"/>
        <v/>
      </c>
      <c r="N5880" s="15"/>
    </row>
    <row r="5881" spans="1:14" s="14" customFormat="1" ht="18" x14ac:dyDescent="0.25">
      <c r="A5881" s="91"/>
      <c r="B5881" s="90"/>
      <c r="C5881" s="88"/>
      <c r="D5881" s="89"/>
      <c r="E5881" s="90"/>
      <c r="F5881" s="91"/>
      <c r="G5881" s="90"/>
      <c r="H5881" s="92"/>
      <c r="I5881" s="87"/>
      <c r="J5881" s="93"/>
      <c r="K5881" s="92"/>
      <c r="L5881" s="72" t="str">
        <f t="shared" si="92"/>
        <v/>
      </c>
      <c r="N5881" s="15"/>
    </row>
    <row r="5882" spans="1:14" s="14" customFormat="1" ht="18" x14ac:dyDescent="0.25">
      <c r="A5882" s="91"/>
      <c r="B5882" s="90"/>
      <c r="C5882" s="88"/>
      <c r="D5882" s="89"/>
      <c r="E5882" s="90"/>
      <c r="F5882" s="91"/>
      <c r="G5882" s="90"/>
      <c r="H5882" s="92"/>
      <c r="I5882" s="87"/>
      <c r="J5882" s="93"/>
      <c r="K5882" s="92"/>
      <c r="L5882" s="72" t="str">
        <f t="shared" si="92"/>
        <v/>
      </c>
      <c r="N5882" s="15"/>
    </row>
    <row r="5883" spans="1:14" s="14" customFormat="1" ht="18" x14ac:dyDescent="0.25">
      <c r="A5883" s="91"/>
      <c r="B5883" s="90"/>
      <c r="C5883" s="88"/>
      <c r="D5883" s="89"/>
      <c r="E5883" s="90"/>
      <c r="F5883" s="91"/>
      <c r="G5883" s="90"/>
      <c r="H5883" s="92"/>
      <c r="I5883" s="87"/>
      <c r="J5883" s="93"/>
      <c r="K5883" s="92"/>
      <c r="L5883" s="72" t="str">
        <f t="shared" si="92"/>
        <v/>
      </c>
      <c r="N5883" s="15"/>
    </row>
    <row r="5884" spans="1:14" s="14" customFormat="1" ht="18" x14ac:dyDescent="0.25">
      <c r="A5884" s="91"/>
      <c r="B5884" s="90"/>
      <c r="C5884" s="88"/>
      <c r="D5884" s="89"/>
      <c r="E5884" s="90"/>
      <c r="F5884" s="91"/>
      <c r="G5884" s="90"/>
      <c r="H5884" s="92"/>
      <c r="I5884" s="87"/>
      <c r="J5884" s="93"/>
      <c r="K5884" s="92"/>
      <c r="L5884" s="72" t="str">
        <f t="shared" si="92"/>
        <v/>
      </c>
      <c r="N5884" s="15"/>
    </row>
    <row r="5885" spans="1:14" s="14" customFormat="1" ht="18" x14ac:dyDescent="0.25">
      <c r="A5885" s="91"/>
      <c r="B5885" s="90"/>
      <c r="C5885" s="88"/>
      <c r="D5885" s="89"/>
      <c r="E5885" s="90"/>
      <c r="F5885" s="91"/>
      <c r="G5885" s="90"/>
      <c r="H5885" s="92"/>
      <c r="I5885" s="87"/>
      <c r="J5885" s="93"/>
      <c r="K5885" s="92"/>
      <c r="L5885" s="72" t="str">
        <f t="shared" si="92"/>
        <v/>
      </c>
      <c r="N5885" s="15"/>
    </row>
    <row r="5886" spans="1:14" s="14" customFormat="1" ht="18" x14ac:dyDescent="0.25">
      <c r="A5886" s="91"/>
      <c r="B5886" s="90"/>
      <c r="C5886" s="88"/>
      <c r="D5886" s="89"/>
      <c r="E5886" s="90"/>
      <c r="F5886" s="91"/>
      <c r="G5886" s="90"/>
      <c r="H5886" s="92"/>
      <c r="I5886" s="87"/>
      <c r="J5886" s="93"/>
      <c r="K5886" s="92"/>
      <c r="L5886" s="72" t="str">
        <f t="shared" si="92"/>
        <v/>
      </c>
      <c r="N5886" s="15"/>
    </row>
    <row r="5887" spans="1:14" s="14" customFormat="1" ht="18" x14ac:dyDescent="0.25">
      <c r="A5887" s="91"/>
      <c r="B5887" s="90"/>
      <c r="C5887" s="88"/>
      <c r="D5887" s="89"/>
      <c r="E5887" s="90"/>
      <c r="F5887" s="91"/>
      <c r="G5887" s="90"/>
      <c r="H5887" s="92"/>
      <c r="I5887" s="87"/>
      <c r="J5887" s="93"/>
      <c r="K5887" s="92"/>
      <c r="L5887" s="72" t="str">
        <f t="shared" si="92"/>
        <v/>
      </c>
      <c r="N5887" s="15"/>
    </row>
    <row r="5888" spans="1:14" s="14" customFormat="1" ht="18" x14ac:dyDescent="0.25">
      <c r="A5888" s="91"/>
      <c r="B5888" s="90"/>
      <c r="C5888" s="88"/>
      <c r="D5888" s="89"/>
      <c r="E5888" s="90"/>
      <c r="F5888" s="91"/>
      <c r="G5888" s="90"/>
      <c r="H5888" s="92"/>
      <c r="I5888" s="87"/>
      <c r="J5888" s="93"/>
      <c r="K5888" s="92"/>
      <c r="L5888" s="72" t="str">
        <f t="shared" si="92"/>
        <v/>
      </c>
      <c r="N5888" s="15"/>
    </row>
    <row r="5889" spans="1:14" s="14" customFormat="1" ht="18" x14ac:dyDescent="0.25">
      <c r="A5889" s="91"/>
      <c r="B5889" s="90"/>
      <c r="C5889" s="88"/>
      <c r="D5889" s="89"/>
      <c r="E5889" s="90"/>
      <c r="F5889" s="91"/>
      <c r="G5889" s="90"/>
      <c r="H5889" s="92"/>
      <c r="I5889" s="87"/>
      <c r="J5889" s="93"/>
      <c r="K5889" s="92"/>
      <c r="L5889" s="72" t="str">
        <f t="shared" si="92"/>
        <v/>
      </c>
      <c r="N5889" s="15"/>
    </row>
    <row r="5890" spans="1:14" s="14" customFormat="1" ht="18" x14ac:dyDescent="0.25">
      <c r="A5890" s="91"/>
      <c r="B5890" s="90"/>
      <c r="C5890" s="88"/>
      <c r="D5890" s="89"/>
      <c r="E5890" s="90"/>
      <c r="F5890" s="91"/>
      <c r="G5890" s="90"/>
      <c r="H5890" s="92"/>
      <c r="I5890" s="87"/>
      <c r="J5890" s="93"/>
      <c r="K5890" s="92"/>
      <c r="L5890" s="72" t="str">
        <f t="shared" si="92"/>
        <v/>
      </c>
      <c r="N5890" s="15"/>
    </row>
    <row r="5891" spans="1:14" s="14" customFormat="1" ht="18" x14ac:dyDescent="0.25">
      <c r="A5891" s="91"/>
      <c r="B5891" s="90"/>
      <c r="C5891" s="88"/>
      <c r="D5891" s="89"/>
      <c r="E5891" s="90"/>
      <c r="F5891" s="91"/>
      <c r="G5891" s="90"/>
      <c r="H5891" s="92"/>
      <c r="I5891" s="87"/>
      <c r="J5891" s="93"/>
      <c r="K5891" s="92"/>
      <c r="L5891" s="72" t="str">
        <f t="shared" si="92"/>
        <v/>
      </c>
      <c r="N5891" s="15"/>
    </row>
    <row r="5892" spans="1:14" s="14" customFormat="1" ht="18" x14ac:dyDescent="0.25">
      <c r="A5892" s="91"/>
      <c r="B5892" s="90"/>
      <c r="C5892" s="88"/>
      <c r="D5892" s="89"/>
      <c r="E5892" s="90"/>
      <c r="F5892" s="91"/>
      <c r="G5892" s="90"/>
      <c r="H5892" s="92"/>
      <c r="I5892" s="87"/>
      <c r="J5892" s="93"/>
      <c r="K5892" s="92"/>
      <c r="L5892" s="72" t="str">
        <f t="shared" si="92"/>
        <v/>
      </c>
      <c r="N5892" s="15"/>
    </row>
    <row r="5893" spans="1:14" s="14" customFormat="1" ht="18" x14ac:dyDescent="0.25">
      <c r="A5893" s="91"/>
      <c r="B5893" s="90"/>
      <c r="C5893" s="88"/>
      <c r="D5893" s="89"/>
      <c r="E5893" s="90"/>
      <c r="F5893" s="91"/>
      <c r="G5893" s="90"/>
      <c r="H5893" s="92"/>
      <c r="I5893" s="87"/>
      <c r="J5893" s="93"/>
      <c r="K5893" s="92"/>
      <c r="L5893" s="72" t="str">
        <f t="shared" si="92"/>
        <v/>
      </c>
      <c r="N5893" s="15"/>
    </row>
    <row r="5894" spans="1:14" s="14" customFormat="1" ht="18" x14ac:dyDescent="0.25">
      <c r="A5894" s="91"/>
      <c r="B5894" s="90"/>
      <c r="C5894" s="88"/>
      <c r="D5894" s="89"/>
      <c r="E5894" s="90"/>
      <c r="F5894" s="91"/>
      <c r="G5894" s="90"/>
      <c r="H5894" s="92"/>
      <c r="I5894" s="87"/>
      <c r="J5894" s="93"/>
      <c r="K5894" s="92"/>
      <c r="L5894" s="72" t="str">
        <f t="shared" si="92"/>
        <v/>
      </c>
      <c r="N5894" s="15"/>
    </row>
    <row r="5895" spans="1:14" s="14" customFormat="1" ht="18" x14ac:dyDescent="0.25">
      <c r="A5895" s="91"/>
      <c r="B5895" s="90"/>
      <c r="C5895" s="88"/>
      <c r="D5895" s="89"/>
      <c r="E5895" s="90"/>
      <c r="F5895" s="91"/>
      <c r="G5895" s="90"/>
      <c r="H5895" s="92"/>
      <c r="I5895" s="87"/>
      <c r="J5895" s="93"/>
      <c r="K5895" s="92"/>
      <c r="L5895" s="72" t="str">
        <f t="shared" si="92"/>
        <v/>
      </c>
      <c r="N5895" s="15"/>
    </row>
    <row r="5896" spans="1:14" s="14" customFormat="1" ht="18" x14ac:dyDescent="0.25">
      <c r="A5896" s="91"/>
      <c r="B5896" s="90"/>
      <c r="C5896" s="88"/>
      <c r="D5896" s="89"/>
      <c r="E5896" s="90"/>
      <c r="F5896" s="91"/>
      <c r="G5896" s="90"/>
      <c r="H5896" s="92"/>
      <c r="I5896" s="87"/>
      <c r="J5896" s="93"/>
      <c r="K5896" s="92"/>
      <c r="L5896" s="72" t="str">
        <f t="shared" si="92"/>
        <v/>
      </c>
      <c r="N5896" s="15"/>
    </row>
    <row r="5897" spans="1:14" s="14" customFormat="1" ht="18" x14ac:dyDescent="0.25">
      <c r="A5897" s="91"/>
      <c r="B5897" s="90"/>
      <c r="C5897" s="88"/>
      <c r="D5897" s="89"/>
      <c r="E5897" s="90"/>
      <c r="F5897" s="91"/>
      <c r="G5897" s="90"/>
      <c r="H5897" s="92"/>
      <c r="I5897" s="87"/>
      <c r="J5897" s="93"/>
      <c r="K5897" s="92"/>
      <c r="L5897" s="72" t="str">
        <f t="shared" si="92"/>
        <v/>
      </c>
      <c r="N5897" s="15"/>
    </row>
    <row r="5898" spans="1:14" s="14" customFormat="1" ht="18" x14ac:dyDescent="0.25">
      <c r="A5898" s="91"/>
      <c r="B5898" s="90"/>
      <c r="C5898" s="88"/>
      <c r="D5898" s="89"/>
      <c r="E5898" s="90"/>
      <c r="F5898" s="91"/>
      <c r="G5898" s="90"/>
      <c r="H5898" s="92"/>
      <c r="I5898" s="87"/>
      <c r="J5898" s="93"/>
      <c r="K5898" s="92"/>
      <c r="L5898" s="72" t="str">
        <f t="shared" si="92"/>
        <v/>
      </c>
      <c r="N5898" s="15"/>
    </row>
    <row r="5899" spans="1:14" s="14" customFormat="1" ht="18" x14ac:dyDescent="0.25">
      <c r="A5899" s="91"/>
      <c r="B5899" s="90"/>
      <c r="C5899" s="88"/>
      <c r="D5899" s="89"/>
      <c r="E5899" s="90"/>
      <c r="F5899" s="91"/>
      <c r="G5899" s="90"/>
      <c r="H5899" s="92"/>
      <c r="I5899" s="87"/>
      <c r="J5899" s="93"/>
      <c r="K5899" s="92"/>
      <c r="L5899" s="72" t="str">
        <f t="shared" si="92"/>
        <v/>
      </c>
      <c r="N5899" s="15"/>
    </row>
    <row r="5900" spans="1:14" s="14" customFormat="1" ht="18" x14ac:dyDescent="0.25">
      <c r="A5900" s="91"/>
      <c r="B5900" s="90"/>
      <c r="C5900" s="88"/>
      <c r="D5900" s="89"/>
      <c r="E5900" s="90"/>
      <c r="F5900" s="91"/>
      <c r="G5900" s="90"/>
      <c r="H5900" s="92"/>
      <c r="I5900" s="87"/>
      <c r="J5900" s="93"/>
      <c r="K5900" s="92"/>
      <c r="L5900" s="72" t="str">
        <f t="shared" si="92"/>
        <v/>
      </c>
      <c r="N5900" s="15"/>
    </row>
    <row r="5901" spans="1:14" s="14" customFormat="1" ht="18" x14ac:dyDescent="0.25">
      <c r="A5901" s="91"/>
      <c r="B5901" s="90"/>
      <c r="C5901" s="88"/>
      <c r="D5901" s="89"/>
      <c r="E5901" s="90"/>
      <c r="F5901" s="91"/>
      <c r="G5901" s="90"/>
      <c r="H5901" s="92"/>
      <c r="I5901" s="87"/>
      <c r="J5901" s="93"/>
      <c r="K5901" s="92"/>
      <c r="L5901" s="72" t="str">
        <f t="shared" si="92"/>
        <v/>
      </c>
      <c r="N5901" s="15"/>
    </row>
    <row r="5902" spans="1:14" s="14" customFormat="1" ht="18" x14ac:dyDescent="0.25">
      <c r="A5902" s="91"/>
      <c r="B5902" s="90"/>
      <c r="C5902" s="88"/>
      <c r="D5902" s="89"/>
      <c r="E5902" s="90"/>
      <c r="F5902" s="91"/>
      <c r="G5902" s="90"/>
      <c r="H5902" s="92"/>
      <c r="I5902" s="87"/>
      <c r="J5902" s="93"/>
      <c r="K5902" s="92"/>
      <c r="L5902" s="72" t="str">
        <f t="shared" si="92"/>
        <v/>
      </c>
      <c r="N5902" s="15"/>
    </row>
    <row r="5903" spans="1:14" s="14" customFormat="1" ht="18" x14ac:dyDescent="0.25">
      <c r="A5903" s="91"/>
      <c r="B5903" s="90"/>
      <c r="C5903" s="88"/>
      <c r="D5903" s="89"/>
      <c r="E5903" s="90"/>
      <c r="F5903" s="91"/>
      <c r="G5903" s="90"/>
      <c r="H5903" s="92"/>
      <c r="I5903" s="87"/>
      <c r="J5903" s="93"/>
      <c r="K5903" s="92"/>
      <c r="L5903" s="72" t="str">
        <f t="shared" si="92"/>
        <v/>
      </c>
      <c r="N5903" s="15"/>
    </row>
    <row r="5904" spans="1:14" s="14" customFormat="1" ht="18" x14ac:dyDescent="0.25">
      <c r="A5904" s="91"/>
      <c r="B5904" s="90"/>
      <c r="C5904" s="88"/>
      <c r="D5904" s="89"/>
      <c r="E5904" s="90"/>
      <c r="F5904" s="91"/>
      <c r="G5904" s="90"/>
      <c r="H5904" s="92"/>
      <c r="I5904" s="87"/>
      <c r="J5904" s="93"/>
      <c r="K5904" s="92"/>
      <c r="L5904" s="72" t="str">
        <f t="shared" si="92"/>
        <v/>
      </c>
      <c r="N5904" s="15"/>
    </row>
    <row r="5905" spans="1:14" s="14" customFormat="1" ht="18" x14ac:dyDescent="0.25">
      <c r="A5905" s="91"/>
      <c r="B5905" s="90"/>
      <c r="C5905" s="88"/>
      <c r="D5905" s="89"/>
      <c r="E5905" s="90"/>
      <c r="F5905" s="91"/>
      <c r="G5905" s="90"/>
      <c r="H5905" s="92"/>
      <c r="I5905" s="87"/>
      <c r="J5905" s="93"/>
      <c r="K5905" s="92"/>
      <c r="L5905" s="72" t="str">
        <f t="shared" si="92"/>
        <v/>
      </c>
      <c r="N5905" s="15"/>
    </row>
    <row r="5906" spans="1:14" s="14" customFormat="1" ht="18" x14ac:dyDescent="0.25">
      <c r="A5906" s="91"/>
      <c r="B5906" s="90"/>
      <c r="C5906" s="88"/>
      <c r="D5906" s="89"/>
      <c r="E5906" s="90"/>
      <c r="F5906" s="91"/>
      <c r="G5906" s="90"/>
      <c r="H5906" s="92"/>
      <c r="I5906" s="87"/>
      <c r="J5906" s="93"/>
      <c r="K5906" s="92"/>
      <c r="L5906" s="72" t="str">
        <f t="shared" si="92"/>
        <v/>
      </c>
      <c r="N5906" s="15"/>
    </row>
    <row r="5907" spans="1:14" s="14" customFormat="1" ht="18" x14ac:dyDescent="0.25">
      <c r="A5907" s="91"/>
      <c r="B5907" s="90"/>
      <c r="C5907" s="88"/>
      <c r="D5907" s="89"/>
      <c r="E5907" s="90"/>
      <c r="F5907" s="91"/>
      <c r="G5907" s="90"/>
      <c r="H5907" s="92"/>
      <c r="I5907" s="87"/>
      <c r="J5907" s="93"/>
      <c r="K5907" s="92"/>
      <c r="L5907" s="72" t="str">
        <f t="shared" si="92"/>
        <v/>
      </c>
      <c r="N5907" s="15"/>
    </row>
    <row r="5908" spans="1:14" s="14" customFormat="1" ht="18" x14ac:dyDescent="0.25">
      <c r="A5908" s="91"/>
      <c r="B5908" s="90"/>
      <c r="C5908" s="88"/>
      <c r="D5908" s="89"/>
      <c r="E5908" s="90"/>
      <c r="F5908" s="91"/>
      <c r="G5908" s="90"/>
      <c r="H5908" s="92"/>
      <c r="I5908" s="87"/>
      <c r="J5908" s="93"/>
      <c r="K5908" s="92"/>
      <c r="L5908" s="72" t="str">
        <f t="shared" si="92"/>
        <v/>
      </c>
      <c r="N5908" s="15"/>
    </row>
    <row r="5909" spans="1:14" s="14" customFormat="1" ht="18" x14ac:dyDescent="0.25">
      <c r="A5909" s="91"/>
      <c r="B5909" s="90"/>
      <c r="C5909" s="88"/>
      <c r="D5909" s="89"/>
      <c r="E5909" s="90"/>
      <c r="F5909" s="91"/>
      <c r="G5909" s="90"/>
      <c r="H5909" s="92"/>
      <c r="I5909" s="87"/>
      <c r="J5909" s="93"/>
      <c r="K5909" s="92"/>
      <c r="L5909" s="72" t="str">
        <f t="shared" si="92"/>
        <v/>
      </c>
      <c r="N5909" s="15"/>
    </row>
    <row r="5910" spans="1:14" s="14" customFormat="1" ht="18" x14ac:dyDescent="0.25">
      <c r="A5910" s="91"/>
      <c r="B5910" s="90"/>
      <c r="C5910" s="88"/>
      <c r="D5910" s="89"/>
      <c r="E5910" s="90"/>
      <c r="F5910" s="91"/>
      <c r="G5910" s="90"/>
      <c r="H5910" s="92"/>
      <c r="I5910" s="87"/>
      <c r="J5910" s="93"/>
      <c r="K5910" s="92"/>
      <c r="L5910" s="72" t="str">
        <f t="shared" si="92"/>
        <v/>
      </c>
      <c r="N5910" s="15"/>
    </row>
    <row r="5911" spans="1:14" s="14" customFormat="1" ht="18" x14ac:dyDescent="0.25">
      <c r="A5911" s="91"/>
      <c r="B5911" s="90"/>
      <c r="C5911" s="88"/>
      <c r="D5911" s="89"/>
      <c r="E5911" s="90"/>
      <c r="F5911" s="91"/>
      <c r="G5911" s="90"/>
      <c r="H5911" s="92"/>
      <c r="I5911" s="87"/>
      <c r="J5911" s="93"/>
      <c r="K5911" s="92"/>
      <c r="L5911" s="72" t="str">
        <f t="shared" si="92"/>
        <v/>
      </c>
      <c r="N5911" s="15"/>
    </row>
    <row r="5912" spans="1:14" s="14" customFormat="1" ht="18" x14ac:dyDescent="0.25">
      <c r="A5912" s="91"/>
      <c r="B5912" s="90"/>
      <c r="C5912" s="88"/>
      <c r="D5912" s="89"/>
      <c r="E5912" s="90"/>
      <c r="F5912" s="91"/>
      <c r="G5912" s="90"/>
      <c r="H5912" s="92"/>
      <c r="I5912" s="87"/>
      <c r="J5912" s="93"/>
      <c r="K5912" s="92"/>
      <c r="L5912" s="72" t="str">
        <f t="shared" si="92"/>
        <v/>
      </c>
      <c r="N5912" s="15"/>
    </row>
    <row r="5913" spans="1:14" s="14" customFormat="1" ht="18" x14ac:dyDescent="0.25">
      <c r="A5913" s="91"/>
      <c r="B5913" s="90"/>
      <c r="C5913" s="88"/>
      <c r="D5913" s="89"/>
      <c r="E5913" s="90"/>
      <c r="F5913" s="91"/>
      <c r="G5913" s="90"/>
      <c r="H5913" s="92"/>
      <c r="I5913" s="87"/>
      <c r="J5913" s="93"/>
      <c r="K5913" s="92"/>
      <c r="L5913" s="72" t="str">
        <f t="shared" si="92"/>
        <v/>
      </c>
      <c r="N5913" s="15"/>
    </row>
    <row r="5914" spans="1:14" s="14" customFormat="1" ht="18" x14ac:dyDescent="0.25">
      <c r="A5914" s="91"/>
      <c r="B5914" s="90"/>
      <c r="C5914" s="88"/>
      <c r="D5914" s="89"/>
      <c r="E5914" s="90"/>
      <c r="F5914" s="91"/>
      <c r="G5914" s="90"/>
      <c r="H5914" s="92"/>
      <c r="I5914" s="87"/>
      <c r="J5914" s="93"/>
      <c r="K5914" s="92"/>
      <c r="L5914" s="72" t="str">
        <f t="shared" si="92"/>
        <v/>
      </c>
      <c r="N5914" s="15"/>
    </row>
    <row r="5915" spans="1:14" s="14" customFormat="1" ht="18" x14ac:dyDescent="0.25">
      <c r="A5915" s="91"/>
      <c r="B5915" s="90"/>
      <c r="C5915" s="88"/>
      <c r="D5915" s="89"/>
      <c r="E5915" s="90"/>
      <c r="F5915" s="91"/>
      <c r="G5915" s="90"/>
      <c r="H5915" s="92"/>
      <c r="I5915" s="87"/>
      <c r="J5915" s="93"/>
      <c r="K5915" s="92"/>
      <c r="L5915" s="72" t="str">
        <f t="shared" si="92"/>
        <v/>
      </c>
      <c r="N5915" s="15"/>
    </row>
    <row r="5916" spans="1:14" s="14" customFormat="1" ht="18" x14ac:dyDescent="0.25">
      <c r="A5916" s="91"/>
      <c r="B5916" s="90"/>
      <c r="C5916" s="88"/>
      <c r="D5916" s="89"/>
      <c r="E5916" s="90"/>
      <c r="F5916" s="91"/>
      <c r="G5916" s="90"/>
      <c r="H5916" s="92"/>
      <c r="I5916" s="87"/>
      <c r="J5916" s="93"/>
      <c r="K5916" s="92"/>
      <c r="L5916" s="72" t="str">
        <f t="shared" si="92"/>
        <v/>
      </c>
      <c r="N5916" s="15"/>
    </row>
    <row r="5917" spans="1:14" s="14" customFormat="1" ht="18" x14ac:dyDescent="0.25">
      <c r="A5917" s="91"/>
      <c r="B5917" s="90"/>
      <c r="C5917" s="88"/>
      <c r="D5917" s="89"/>
      <c r="E5917" s="90"/>
      <c r="F5917" s="91"/>
      <c r="G5917" s="90"/>
      <c r="H5917" s="92"/>
      <c r="I5917" s="87"/>
      <c r="J5917" s="93"/>
      <c r="K5917" s="92"/>
      <c r="L5917" s="72" t="str">
        <f t="shared" si="92"/>
        <v/>
      </c>
      <c r="N5917" s="15"/>
    </row>
    <row r="5918" spans="1:14" s="14" customFormat="1" ht="18" x14ac:dyDescent="0.25">
      <c r="A5918" s="91"/>
      <c r="B5918" s="90"/>
      <c r="C5918" s="88"/>
      <c r="D5918" s="89"/>
      <c r="E5918" s="90"/>
      <c r="F5918" s="91"/>
      <c r="G5918" s="90"/>
      <c r="H5918" s="92"/>
      <c r="I5918" s="87"/>
      <c r="J5918" s="93"/>
      <c r="K5918" s="92"/>
      <c r="L5918" s="72" t="str">
        <f t="shared" ref="L5918:L5981" si="93">IF(ISBLANK(H5918),"",IF(H5918=K5918,"Payé","Impayé"))</f>
        <v/>
      </c>
      <c r="N5918" s="15"/>
    </row>
    <row r="5919" spans="1:14" s="14" customFormat="1" ht="18" x14ac:dyDescent="0.25">
      <c r="A5919" s="91"/>
      <c r="B5919" s="90"/>
      <c r="C5919" s="88"/>
      <c r="D5919" s="89"/>
      <c r="E5919" s="90"/>
      <c r="F5919" s="91"/>
      <c r="G5919" s="90"/>
      <c r="H5919" s="92"/>
      <c r="I5919" s="87"/>
      <c r="J5919" s="93"/>
      <c r="K5919" s="92"/>
      <c r="L5919" s="72" t="str">
        <f t="shared" si="93"/>
        <v/>
      </c>
      <c r="N5919" s="15"/>
    </row>
    <row r="5920" spans="1:14" s="14" customFormat="1" ht="18" x14ac:dyDescent="0.25">
      <c r="A5920" s="91"/>
      <c r="B5920" s="90"/>
      <c r="C5920" s="88"/>
      <c r="D5920" s="89"/>
      <c r="E5920" s="90"/>
      <c r="F5920" s="91"/>
      <c r="G5920" s="90"/>
      <c r="H5920" s="92"/>
      <c r="I5920" s="87"/>
      <c r="J5920" s="93"/>
      <c r="K5920" s="92"/>
      <c r="L5920" s="72" t="str">
        <f t="shared" si="93"/>
        <v/>
      </c>
      <c r="N5920" s="15"/>
    </row>
    <row r="5921" spans="1:14" s="14" customFormat="1" ht="18" x14ac:dyDescent="0.25">
      <c r="A5921" s="91"/>
      <c r="B5921" s="90"/>
      <c r="C5921" s="88"/>
      <c r="D5921" s="89"/>
      <c r="E5921" s="90"/>
      <c r="F5921" s="91"/>
      <c r="G5921" s="90"/>
      <c r="H5921" s="92"/>
      <c r="I5921" s="87"/>
      <c r="J5921" s="93"/>
      <c r="K5921" s="92"/>
      <c r="L5921" s="72" t="str">
        <f t="shared" si="93"/>
        <v/>
      </c>
      <c r="N5921" s="15"/>
    </row>
    <row r="5922" spans="1:14" s="14" customFormat="1" ht="18" x14ac:dyDescent="0.25">
      <c r="A5922" s="91"/>
      <c r="B5922" s="90"/>
      <c r="C5922" s="88"/>
      <c r="D5922" s="89"/>
      <c r="E5922" s="90"/>
      <c r="F5922" s="91"/>
      <c r="G5922" s="90"/>
      <c r="H5922" s="92"/>
      <c r="I5922" s="87"/>
      <c r="J5922" s="93"/>
      <c r="K5922" s="92"/>
      <c r="L5922" s="72" t="str">
        <f t="shared" si="93"/>
        <v/>
      </c>
      <c r="N5922" s="15"/>
    </row>
    <row r="5923" spans="1:14" s="14" customFormat="1" ht="18" x14ac:dyDescent="0.25">
      <c r="A5923" s="91"/>
      <c r="B5923" s="90"/>
      <c r="C5923" s="88"/>
      <c r="D5923" s="89"/>
      <c r="E5923" s="90"/>
      <c r="F5923" s="91"/>
      <c r="G5923" s="90"/>
      <c r="H5923" s="92"/>
      <c r="I5923" s="87"/>
      <c r="J5923" s="93"/>
      <c r="K5923" s="92"/>
      <c r="L5923" s="72" t="str">
        <f t="shared" si="93"/>
        <v/>
      </c>
      <c r="N5923" s="15"/>
    </row>
    <row r="5924" spans="1:14" s="14" customFormat="1" ht="18" x14ac:dyDescent="0.25">
      <c r="A5924" s="91"/>
      <c r="B5924" s="90"/>
      <c r="C5924" s="88"/>
      <c r="D5924" s="89"/>
      <c r="E5924" s="90"/>
      <c r="F5924" s="91"/>
      <c r="G5924" s="90"/>
      <c r="H5924" s="92"/>
      <c r="I5924" s="87"/>
      <c r="J5924" s="93"/>
      <c r="K5924" s="92"/>
      <c r="L5924" s="72" t="str">
        <f t="shared" si="93"/>
        <v/>
      </c>
      <c r="N5924" s="15"/>
    </row>
    <row r="5925" spans="1:14" s="14" customFormat="1" ht="18" x14ac:dyDescent="0.25">
      <c r="A5925" s="91"/>
      <c r="B5925" s="90"/>
      <c r="C5925" s="88"/>
      <c r="D5925" s="89"/>
      <c r="E5925" s="90"/>
      <c r="F5925" s="91"/>
      <c r="G5925" s="90"/>
      <c r="H5925" s="92"/>
      <c r="I5925" s="87"/>
      <c r="J5925" s="93"/>
      <c r="K5925" s="92"/>
      <c r="L5925" s="72" t="str">
        <f t="shared" si="93"/>
        <v/>
      </c>
      <c r="N5925" s="15"/>
    </row>
    <row r="5926" spans="1:14" s="14" customFormat="1" ht="18" x14ac:dyDescent="0.25">
      <c r="A5926" s="91"/>
      <c r="B5926" s="90"/>
      <c r="C5926" s="88"/>
      <c r="D5926" s="89"/>
      <c r="E5926" s="90"/>
      <c r="F5926" s="91"/>
      <c r="G5926" s="90"/>
      <c r="H5926" s="92"/>
      <c r="I5926" s="87"/>
      <c r="J5926" s="93"/>
      <c r="K5926" s="92"/>
      <c r="L5926" s="72" t="str">
        <f t="shared" si="93"/>
        <v/>
      </c>
      <c r="N5926" s="15"/>
    </row>
    <row r="5927" spans="1:14" s="14" customFormat="1" ht="18" x14ac:dyDescent="0.25">
      <c r="A5927" s="91"/>
      <c r="B5927" s="90"/>
      <c r="C5927" s="88"/>
      <c r="D5927" s="89"/>
      <c r="E5927" s="90"/>
      <c r="F5927" s="91"/>
      <c r="G5927" s="90"/>
      <c r="H5927" s="92"/>
      <c r="I5927" s="87"/>
      <c r="J5927" s="93"/>
      <c r="K5927" s="92"/>
      <c r="L5927" s="72" t="str">
        <f t="shared" si="93"/>
        <v/>
      </c>
      <c r="N5927" s="15"/>
    </row>
    <row r="5928" spans="1:14" s="14" customFormat="1" ht="18" x14ac:dyDescent="0.25">
      <c r="A5928" s="91"/>
      <c r="B5928" s="90"/>
      <c r="C5928" s="88"/>
      <c r="D5928" s="89"/>
      <c r="E5928" s="90"/>
      <c r="F5928" s="91"/>
      <c r="G5928" s="90"/>
      <c r="H5928" s="92"/>
      <c r="I5928" s="87"/>
      <c r="J5928" s="93"/>
      <c r="K5928" s="92"/>
      <c r="L5928" s="72" t="str">
        <f t="shared" si="93"/>
        <v/>
      </c>
      <c r="N5928" s="15"/>
    </row>
    <row r="5929" spans="1:14" s="14" customFormat="1" ht="18" x14ac:dyDescent="0.25">
      <c r="A5929" s="91"/>
      <c r="B5929" s="90"/>
      <c r="C5929" s="88"/>
      <c r="D5929" s="89"/>
      <c r="E5929" s="90"/>
      <c r="F5929" s="91"/>
      <c r="G5929" s="90"/>
      <c r="H5929" s="92"/>
      <c r="I5929" s="87"/>
      <c r="J5929" s="93"/>
      <c r="K5929" s="92"/>
      <c r="L5929" s="72" t="str">
        <f t="shared" si="93"/>
        <v/>
      </c>
      <c r="N5929" s="15"/>
    </row>
    <row r="5930" spans="1:14" s="14" customFormat="1" ht="18" x14ac:dyDescent="0.25">
      <c r="A5930" s="91"/>
      <c r="B5930" s="90"/>
      <c r="C5930" s="88"/>
      <c r="D5930" s="89"/>
      <c r="E5930" s="90"/>
      <c r="F5930" s="91"/>
      <c r="G5930" s="90"/>
      <c r="H5930" s="92"/>
      <c r="I5930" s="87"/>
      <c r="J5930" s="93"/>
      <c r="K5930" s="92"/>
      <c r="L5930" s="72" t="str">
        <f t="shared" si="93"/>
        <v/>
      </c>
      <c r="N5930" s="15"/>
    </row>
    <row r="5931" spans="1:14" s="14" customFormat="1" ht="18" x14ac:dyDescent="0.25">
      <c r="A5931" s="91"/>
      <c r="B5931" s="90"/>
      <c r="C5931" s="88"/>
      <c r="D5931" s="89"/>
      <c r="E5931" s="90"/>
      <c r="F5931" s="91"/>
      <c r="G5931" s="90"/>
      <c r="H5931" s="92"/>
      <c r="I5931" s="87"/>
      <c r="J5931" s="93"/>
      <c r="K5931" s="92"/>
      <c r="L5931" s="72" t="str">
        <f t="shared" si="93"/>
        <v/>
      </c>
      <c r="N5931" s="15"/>
    </row>
    <row r="5932" spans="1:14" s="14" customFormat="1" ht="18" x14ac:dyDescent="0.25">
      <c r="A5932" s="91"/>
      <c r="B5932" s="90"/>
      <c r="C5932" s="88"/>
      <c r="D5932" s="89"/>
      <c r="E5932" s="90"/>
      <c r="F5932" s="91"/>
      <c r="G5932" s="90"/>
      <c r="H5932" s="92"/>
      <c r="I5932" s="87"/>
      <c r="J5932" s="93"/>
      <c r="K5932" s="92"/>
      <c r="L5932" s="72" t="str">
        <f t="shared" si="93"/>
        <v/>
      </c>
      <c r="N5932" s="15"/>
    </row>
    <row r="5933" spans="1:14" s="14" customFormat="1" ht="18" x14ac:dyDescent="0.25">
      <c r="A5933" s="91"/>
      <c r="B5933" s="90"/>
      <c r="C5933" s="88"/>
      <c r="D5933" s="89"/>
      <c r="E5933" s="90"/>
      <c r="F5933" s="91"/>
      <c r="G5933" s="90"/>
      <c r="H5933" s="92"/>
      <c r="I5933" s="87"/>
      <c r="J5933" s="93"/>
      <c r="K5933" s="92"/>
      <c r="L5933" s="72" t="str">
        <f t="shared" si="93"/>
        <v/>
      </c>
      <c r="N5933" s="15"/>
    </row>
    <row r="5934" spans="1:14" s="14" customFormat="1" ht="18" x14ac:dyDescent="0.25">
      <c r="A5934" s="91"/>
      <c r="B5934" s="90"/>
      <c r="C5934" s="88"/>
      <c r="D5934" s="89"/>
      <c r="E5934" s="90"/>
      <c r="F5934" s="91"/>
      <c r="G5934" s="90"/>
      <c r="H5934" s="92"/>
      <c r="I5934" s="87"/>
      <c r="J5934" s="93"/>
      <c r="K5934" s="92"/>
      <c r="L5934" s="72" t="str">
        <f t="shared" si="93"/>
        <v/>
      </c>
      <c r="N5934" s="15"/>
    </row>
    <row r="5935" spans="1:14" s="14" customFormat="1" ht="18" x14ac:dyDescent="0.25">
      <c r="A5935" s="91"/>
      <c r="B5935" s="90"/>
      <c r="C5935" s="88"/>
      <c r="D5935" s="89"/>
      <c r="E5935" s="90"/>
      <c r="F5935" s="91"/>
      <c r="G5935" s="90"/>
      <c r="H5935" s="92"/>
      <c r="I5935" s="87"/>
      <c r="J5935" s="93"/>
      <c r="K5935" s="92"/>
      <c r="L5935" s="72" t="str">
        <f t="shared" si="93"/>
        <v/>
      </c>
      <c r="N5935" s="15"/>
    </row>
    <row r="5936" spans="1:14" s="14" customFormat="1" ht="18" x14ac:dyDescent="0.25">
      <c r="A5936" s="91"/>
      <c r="B5936" s="90"/>
      <c r="C5936" s="88"/>
      <c r="D5936" s="89"/>
      <c r="E5936" s="90"/>
      <c r="F5936" s="91"/>
      <c r="G5936" s="90"/>
      <c r="H5936" s="92"/>
      <c r="I5936" s="87"/>
      <c r="J5936" s="93"/>
      <c r="K5936" s="92"/>
      <c r="L5936" s="72" t="str">
        <f t="shared" si="93"/>
        <v/>
      </c>
      <c r="N5936" s="15"/>
    </row>
    <row r="5937" spans="1:14" s="14" customFormat="1" ht="18" x14ac:dyDescent="0.25">
      <c r="A5937" s="91"/>
      <c r="B5937" s="90"/>
      <c r="C5937" s="88"/>
      <c r="D5937" s="89"/>
      <c r="E5937" s="90"/>
      <c r="F5937" s="91"/>
      <c r="G5937" s="90"/>
      <c r="H5937" s="92"/>
      <c r="I5937" s="87"/>
      <c r="J5937" s="93"/>
      <c r="K5937" s="92"/>
      <c r="L5937" s="72" t="str">
        <f t="shared" si="93"/>
        <v/>
      </c>
      <c r="N5937" s="15"/>
    </row>
    <row r="5938" spans="1:14" s="14" customFormat="1" ht="18" x14ac:dyDescent="0.25">
      <c r="A5938" s="91"/>
      <c r="B5938" s="90"/>
      <c r="C5938" s="88"/>
      <c r="D5938" s="89"/>
      <c r="E5938" s="90"/>
      <c r="F5938" s="91"/>
      <c r="G5938" s="90"/>
      <c r="H5938" s="92"/>
      <c r="I5938" s="87"/>
      <c r="J5938" s="93"/>
      <c r="K5938" s="92"/>
      <c r="L5938" s="72" t="str">
        <f t="shared" si="93"/>
        <v/>
      </c>
      <c r="N5938" s="15"/>
    </row>
    <row r="5939" spans="1:14" s="14" customFormat="1" ht="18" x14ac:dyDescent="0.25">
      <c r="A5939" s="91"/>
      <c r="B5939" s="90"/>
      <c r="C5939" s="88"/>
      <c r="D5939" s="89"/>
      <c r="E5939" s="90"/>
      <c r="F5939" s="91"/>
      <c r="G5939" s="90"/>
      <c r="H5939" s="92"/>
      <c r="I5939" s="87"/>
      <c r="J5939" s="93"/>
      <c r="K5939" s="92"/>
      <c r="L5939" s="72" t="str">
        <f t="shared" si="93"/>
        <v/>
      </c>
      <c r="N5939" s="15"/>
    </row>
    <row r="5940" spans="1:14" s="14" customFormat="1" ht="18" x14ac:dyDescent="0.25">
      <c r="A5940" s="91"/>
      <c r="B5940" s="90"/>
      <c r="C5940" s="88"/>
      <c r="D5940" s="89"/>
      <c r="E5940" s="90"/>
      <c r="F5940" s="91"/>
      <c r="G5940" s="90"/>
      <c r="H5940" s="92"/>
      <c r="I5940" s="87"/>
      <c r="J5940" s="93"/>
      <c r="K5940" s="92"/>
      <c r="L5940" s="72" t="str">
        <f t="shared" si="93"/>
        <v/>
      </c>
      <c r="N5940" s="15"/>
    </row>
    <row r="5941" spans="1:14" s="14" customFormat="1" ht="18" x14ac:dyDescent="0.25">
      <c r="A5941" s="91"/>
      <c r="B5941" s="90"/>
      <c r="C5941" s="88"/>
      <c r="D5941" s="89"/>
      <c r="E5941" s="90"/>
      <c r="F5941" s="91"/>
      <c r="G5941" s="90"/>
      <c r="H5941" s="92"/>
      <c r="I5941" s="87"/>
      <c r="J5941" s="93"/>
      <c r="K5941" s="92"/>
      <c r="L5941" s="72" t="str">
        <f t="shared" si="93"/>
        <v/>
      </c>
      <c r="N5941" s="15"/>
    </row>
    <row r="5942" spans="1:14" s="14" customFormat="1" ht="18" x14ac:dyDescent="0.25">
      <c r="A5942" s="91"/>
      <c r="B5942" s="90"/>
      <c r="C5942" s="88"/>
      <c r="D5942" s="89"/>
      <c r="E5942" s="90"/>
      <c r="F5942" s="91"/>
      <c r="G5942" s="90"/>
      <c r="H5942" s="92"/>
      <c r="I5942" s="87"/>
      <c r="J5942" s="93"/>
      <c r="K5942" s="92"/>
      <c r="L5942" s="72" t="str">
        <f t="shared" si="93"/>
        <v/>
      </c>
      <c r="N5942" s="15"/>
    </row>
    <row r="5943" spans="1:14" s="14" customFormat="1" ht="18" x14ac:dyDescent="0.25">
      <c r="A5943" s="91"/>
      <c r="B5943" s="90"/>
      <c r="C5943" s="88"/>
      <c r="D5943" s="89"/>
      <c r="E5943" s="90"/>
      <c r="F5943" s="91"/>
      <c r="G5943" s="90"/>
      <c r="H5943" s="92"/>
      <c r="I5943" s="87"/>
      <c r="J5943" s="93"/>
      <c r="K5943" s="92"/>
      <c r="L5943" s="72" t="str">
        <f t="shared" si="93"/>
        <v/>
      </c>
      <c r="N5943" s="15"/>
    </row>
    <row r="5944" spans="1:14" s="14" customFormat="1" ht="18" x14ac:dyDescent="0.25">
      <c r="A5944" s="91"/>
      <c r="B5944" s="90"/>
      <c r="C5944" s="88"/>
      <c r="D5944" s="89"/>
      <c r="E5944" s="90"/>
      <c r="F5944" s="91"/>
      <c r="G5944" s="90"/>
      <c r="H5944" s="92"/>
      <c r="I5944" s="87"/>
      <c r="J5944" s="93"/>
      <c r="K5944" s="92"/>
      <c r="L5944" s="72" t="str">
        <f t="shared" si="93"/>
        <v/>
      </c>
      <c r="N5944" s="15"/>
    </row>
    <row r="5945" spans="1:14" s="14" customFormat="1" ht="18" x14ac:dyDescent="0.25">
      <c r="A5945" s="91"/>
      <c r="B5945" s="90"/>
      <c r="C5945" s="88"/>
      <c r="D5945" s="89"/>
      <c r="E5945" s="90"/>
      <c r="F5945" s="91"/>
      <c r="G5945" s="90"/>
      <c r="H5945" s="92"/>
      <c r="I5945" s="87"/>
      <c r="J5945" s="93"/>
      <c r="K5945" s="92"/>
      <c r="L5945" s="72" t="str">
        <f t="shared" si="93"/>
        <v/>
      </c>
      <c r="N5945" s="15"/>
    </row>
    <row r="5946" spans="1:14" s="14" customFormat="1" ht="18" x14ac:dyDescent="0.25">
      <c r="A5946" s="91"/>
      <c r="B5946" s="90"/>
      <c r="C5946" s="88"/>
      <c r="D5946" s="89"/>
      <c r="E5946" s="90"/>
      <c r="F5946" s="91"/>
      <c r="G5946" s="90"/>
      <c r="H5946" s="92"/>
      <c r="I5946" s="87"/>
      <c r="J5946" s="93"/>
      <c r="K5946" s="92"/>
      <c r="L5946" s="72" t="str">
        <f t="shared" si="93"/>
        <v/>
      </c>
      <c r="N5946" s="15"/>
    </row>
    <row r="5947" spans="1:14" s="14" customFormat="1" ht="18" x14ac:dyDescent="0.25">
      <c r="A5947" s="91"/>
      <c r="B5947" s="90"/>
      <c r="C5947" s="88"/>
      <c r="D5947" s="89"/>
      <c r="E5947" s="90"/>
      <c r="F5947" s="91"/>
      <c r="G5947" s="90"/>
      <c r="H5947" s="92"/>
      <c r="I5947" s="87"/>
      <c r="J5947" s="93"/>
      <c r="K5947" s="92"/>
      <c r="L5947" s="72" t="str">
        <f t="shared" si="93"/>
        <v/>
      </c>
      <c r="N5947" s="15"/>
    </row>
    <row r="5948" spans="1:14" s="14" customFormat="1" ht="18" x14ac:dyDescent="0.25">
      <c r="A5948" s="91"/>
      <c r="B5948" s="90"/>
      <c r="C5948" s="88"/>
      <c r="D5948" s="89"/>
      <c r="E5948" s="90"/>
      <c r="F5948" s="91"/>
      <c r="G5948" s="90"/>
      <c r="H5948" s="92"/>
      <c r="I5948" s="87"/>
      <c r="J5948" s="93"/>
      <c r="K5948" s="92"/>
      <c r="L5948" s="72" t="str">
        <f t="shared" si="93"/>
        <v/>
      </c>
      <c r="N5948" s="15"/>
    </row>
    <row r="5949" spans="1:14" s="14" customFormat="1" ht="18" x14ac:dyDescent="0.25">
      <c r="A5949" s="91"/>
      <c r="B5949" s="90"/>
      <c r="C5949" s="88"/>
      <c r="D5949" s="89"/>
      <c r="E5949" s="90"/>
      <c r="F5949" s="91"/>
      <c r="G5949" s="90"/>
      <c r="H5949" s="92"/>
      <c r="I5949" s="87"/>
      <c r="J5949" s="93"/>
      <c r="K5949" s="92"/>
      <c r="L5949" s="72" t="str">
        <f t="shared" si="93"/>
        <v/>
      </c>
      <c r="N5949" s="15"/>
    </row>
    <row r="5950" spans="1:14" s="14" customFormat="1" ht="18" x14ac:dyDescent="0.25">
      <c r="A5950" s="91"/>
      <c r="B5950" s="90"/>
      <c r="C5950" s="88"/>
      <c r="D5950" s="89"/>
      <c r="E5950" s="90"/>
      <c r="F5950" s="91"/>
      <c r="G5950" s="90"/>
      <c r="H5950" s="92"/>
      <c r="I5950" s="87"/>
      <c r="J5950" s="93"/>
      <c r="K5950" s="92"/>
      <c r="L5950" s="72" t="str">
        <f t="shared" si="93"/>
        <v/>
      </c>
      <c r="N5950" s="15"/>
    </row>
    <row r="5951" spans="1:14" s="14" customFormat="1" ht="18" x14ac:dyDescent="0.25">
      <c r="A5951" s="91"/>
      <c r="B5951" s="90"/>
      <c r="C5951" s="88"/>
      <c r="D5951" s="89"/>
      <c r="E5951" s="90"/>
      <c r="F5951" s="91"/>
      <c r="G5951" s="90"/>
      <c r="H5951" s="92"/>
      <c r="I5951" s="87"/>
      <c r="J5951" s="93"/>
      <c r="K5951" s="92"/>
      <c r="L5951" s="72" t="str">
        <f t="shared" si="93"/>
        <v/>
      </c>
      <c r="N5951" s="15"/>
    </row>
    <row r="5952" spans="1:14" s="14" customFormat="1" ht="18" x14ac:dyDescent="0.25">
      <c r="A5952" s="91"/>
      <c r="B5952" s="90"/>
      <c r="C5952" s="88"/>
      <c r="D5952" s="89"/>
      <c r="E5952" s="90"/>
      <c r="F5952" s="91"/>
      <c r="G5952" s="90"/>
      <c r="H5952" s="92"/>
      <c r="I5952" s="87"/>
      <c r="J5952" s="93"/>
      <c r="K5952" s="92"/>
      <c r="L5952" s="72" t="str">
        <f t="shared" si="93"/>
        <v/>
      </c>
      <c r="N5952" s="15"/>
    </row>
    <row r="5953" spans="1:14" s="14" customFormat="1" ht="18" x14ac:dyDescent="0.25">
      <c r="A5953" s="91"/>
      <c r="B5953" s="90"/>
      <c r="C5953" s="88"/>
      <c r="D5953" s="89"/>
      <c r="E5953" s="90"/>
      <c r="F5953" s="91"/>
      <c r="G5953" s="90"/>
      <c r="H5953" s="92"/>
      <c r="I5953" s="87"/>
      <c r="J5953" s="93"/>
      <c r="K5953" s="92"/>
      <c r="L5953" s="72" t="str">
        <f t="shared" si="93"/>
        <v/>
      </c>
      <c r="N5953" s="15"/>
    </row>
    <row r="5954" spans="1:14" s="14" customFormat="1" ht="18" x14ac:dyDescent="0.25">
      <c r="A5954" s="91"/>
      <c r="B5954" s="90"/>
      <c r="C5954" s="88"/>
      <c r="D5954" s="89"/>
      <c r="E5954" s="90"/>
      <c r="F5954" s="91"/>
      <c r="G5954" s="90"/>
      <c r="H5954" s="92"/>
      <c r="I5954" s="87"/>
      <c r="J5954" s="93"/>
      <c r="K5954" s="92"/>
      <c r="L5954" s="72" t="str">
        <f t="shared" si="93"/>
        <v/>
      </c>
      <c r="N5954" s="15"/>
    </row>
    <row r="5955" spans="1:14" s="14" customFormat="1" ht="18" x14ac:dyDescent="0.25">
      <c r="A5955" s="91"/>
      <c r="B5955" s="90"/>
      <c r="C5955" s="88"/>
      <c r="D5955" s="89"/>
      <c r="E5955" s="90"/>
      <c r="F5955" s="91"/>
      <c r="G5955" s="90"/>
      <c r="H5955" s="92"/>
      <c r="I5955" s="87"/>
      <c r="J5955" s="93"/>
      <c r="K5955" s="92"/>
      <c r="L5955" s="72" t="str">
        <f t="shared" si="93"/>
        <v/>
      </c>
      <c r="N5955" s="15"/>
    </row>
    <row r="5956" spans="1:14" s="14" customFormat="1" ht="18" x14ac:dyDescent="0.25">
      <c r="A5956" s="91"/>
      <c r="B5956" s="90"/>
      <c r="C5956" s="88"/>
      <c r="D5956" s="89"/>
      <c r="E5956" s="90"/>
      <c r="F5956" s="91"/>
      <c r="G5956" s="90"/>
      <c r="H5956" s="92"/>
      <c r="I5956" s="87"/>
      <c r="J5956" s="93"/>
      <c r="K5956" s="92"/>
      <c r="L5956" s="72" t="str">
        <f t="shared" si="93"/>
        <v/>
      </c>
      <c r="N5956" s="15"/>
    </row>
    <row r="5957" spans="1:14" s="14" customFormat="1" ht="18" x14ac:dyDescent="0.25">
      <c r="A5957" s="91"/>
      <c r="B5957" s="90"/>
      <c r="C5957" s="88"/>
      <c r="D5957" s="89"/>
      <c r="E5957" s="90"/>
      <c r="F5957" s="91"/>
      <c r="G5957" s="90"/>
      <c r="H5957" s="92"/>
      <c r="I5957" s="87"/>
      <c r="J5957" s="93"/>
      <c r="K5957" s="92"/>
      <c r="L5957" s="72" t="str">
        <f t="shared" si="93"/>
        <v/>
      </c>
      <c r="N5957" s="15"/>
    </row>
    <row r="5958" spans="1:14" s="14" customFormat="1" ht="18" x14ac:dyDescent="0.25">
      <c r="A5958" s="91"/>
      <c r="B5958" s="90"/>
      <c r="C5958" s="88"/>
      <c r="D5958" s="89"/>
      <c r="E5958" s="90"/>
      <c r="F5958" s="91"/>
      <c r="G5958" s="90"/>
      <c r="H5958" s="92"/>
      <c r="I5958" s="87"/>
      <c r="J5958" s="93"/>
      <c r="K5958" s="92"/>
      <c r="L5958" s="72" t="str">
        <f t="shared" si="93"/>
        <v/>
      </c>
      <c r="N5958" s="15"/>
    </row>
    <row r="5959" spans="1:14" s="14" customFormat="1" ht="18" x14ac:dyDescent="0.25">
      <c r="A5959" s="91"/>
      <c r="B5959" s="90"/>
      <c r="C5959" s="88"/>
      <c r="D5959" s="89"/>
      <c r="E5959" s="90"/>
      <c r="F5959" s="91"/>
      <c r="G5959" s="90"/>
      <c r="H5959" s="92"/>
      <c r="I5959" s="87"/>
      <c r="J5959" s="93"/>
      <c r="K5959" s="92"/>
      <c r="L5959" s="72" t="str">
        <f t="shared" si="93"/>
        <v/>
      </c>
      <c r="N5959" s="15"/>
    </row>
    <row r="5960" spans="1:14" s="14" customFormat="1" ht="18" x14ac:dyDescent="0.25">
      <c r="A5960" s="91"/>
      <c r="B5960" s="90"/>
      <c r="C5960" s="88"/>
      <c r="D5960" s="89"/>
      <c r="E5960" s="90"/>
      <c r="F5960" s="91"/>
      <c r="G5960" s="90"/>
      <c r="H5960" s="92"/>
      <c r="I5960" s="87"/>
      <c r="J5960" s="93"/>
      <c r="K5960" s="92"/>
      <c r="L5960" s="72" t="str">
        <f t="shared" si="93"/>
        <v/>
      </c>
      <c r="N5960" s="15"/>
    </row>
    <row r="5961" spans="1:14" s="14" customFormat="1" ht="18" x14ac:dyDescent="0.25">
      <c r="A5961" s="91"/>
      <c r="B5961" s="90"/>
      <c r="C5961" s="88"/>
      <c r="D5961" s="89"/>
      <c r="E5961" s="90"/>
      <c r="F5961" s="91"/>
      <c r="G5961" s="90"/>
      <c r="H5961" s="92"/>
      <c r="I5961" s="87"/>
      <c r="J5961" s="93"/>
      <c r="K5961" s="92"/>
      <c r="L5961" s="72" t="str">
        <f t="shared" si="93"/>
        <v/>
      </c>
      <c r="N5961" s="15"/>
    </row>
    <row r="5962" spans="1:14" s="14" customFormat="1" ht="18" x14ac:dyDescent="0.25">
      <c r="A5962" s="91"/>
      <c r="B5962" s="90"/>
      <c r="C5962" s="88"/>
      <c r="D5962" s="89"/>
      <c r="E5962" s="90"/>
      <c r="F5962" s="91"/>
      <c r="G5962" s="90"/>
      <c r="H5962" s="92"/>
      <c r="I5962" s="87"/>
      <c r="J5962" s="93"/>
      <c r="K5962" s="92"/>
      <c r="L5962" s="72" t="str">
        <f t="shared" si="93"/>
        <v/>
      </c>
      <c r="N5962" s="15"/>
    </row>
    <row r="5963" spans="1:14" s="14" customFormat="1" ht="18" x14ac:dyDescent="0.25">
      <c r="A5963" s="91"/>
      <c r="B5963" s="90"/>
      <c r="C5963" s="88"/>
      <c r="D5963" s="89"/>
      <c r="E5963" s="90"/>
      <c r="F5963" s="91"/>
      <c r="G5963" s="90"/>
      <c r="H5963" s="92"/>
      <c r="I5963" s="87"/>
      <c r="J5963" s="93"/>
      <c r="K5963" s="92"/>
      <c r="L5963" s="72" t="str">
        <f t="shared" si="93"/>
        <v/>
      </c>
      <c r="N5963" s="15"/>
    </row>
    <row r="5964" spans="1:14" s="14" customFormat="1" ht="18" x14ac:dyDescent="0.25">
      <c r="A5964" s="91"/>
      <c r="B5964" s="90"/>
      <c r="C5964" s="88"/>
      <c r="D5964" s="89"/>
      <c r="E5964" s="90"/>
      <c r="F5964" s="91"/>
      <c r="G5964" s="90"/>
      <c r="H5964" s="92"/>
      <c r="I5964" s="87"/>
      <c r="J5964" s="93"/>
      <c r="K5964" s="92"/>
      <c r="L5964" s="72" t="str">
        <f t="shared" si="93"/>
        <v/>
      </c>
      <c r="N5964" s="15"/>
    </row>
    <row r="5965" spans="1:14" s="14" customFormat="1" ht="18" x14ac:dyDescent="0.25">
      <c r="A5965" s="91"/>
      <c r="B5965" s="90"/>
      <c r="C5965" s="88"/>
      <c r="D5965" s="89"/>
      <c r="E5965" s="90"/>
      <c r="F5965" s="91"/>
      <c r="G5965" s="90"/>
      <c r="H5965" s="92"/>
      <c r="I5965" s="87"/>
      <c r="J5965" s="93"/>
      <c r="K5965" s="92"/>
      <c r="L5965" s="72" t="str">
        <f t="shared" si="93"/>
        <v/>
      </c>
      <c r="N5965" s="15"/>
    </row>
    <row r="5966" spans="1:14" s="14" customFormat="1" ht="18" x14ac:dyDescent="0.25">
      <c r="A5966" s="91"/>
      <c r="B5966" s="90"/>
      <c r="C5966" s="88"/>
      <c r="D5966" s="89"/>
      <c r="E5966" s="90"/>
      <c r="F5966" s="91"/>
      <c r="G5966" s="90"/>
      <c r="H5966" s="92"/>
      <c r="I5966" s="87"/>
      <c r="J5966" s="93"/>
      <c r="K5966" s="92"/>
      <c r="L5966" s="72" t="str">
        <f t="shared" si="93"/>
        <v/>
      </c>
      <c r="N5966" s="15"/>
    </row>
    <row r="5967" spans="1:14" s="14" customFormat="1" ht="18" x14ac:dyDescent="0.25">
      <c r="A5967" s="91"/>
      <c r="B5967" s="90"/>
      <c r="C5967" s="88"/>
      <c r="D5967" s="89"/>
      <c r="E5967" s="90"/>
      <c r="F5967" s="91"/>
      <c r="G5967" s="90"/>
      <c r="H5967" s="92"/>
      <c r="I5967" s="87"/>
      <c r="J5967" s="93"/>
      <c r="K5967" s="92"/>
      <c r="L5967" s="72" t="str">
        <f t="shared" si="93"/>
        <v/>
      </c>
      <c r="N5967" s="15"/>
    </row>
    <row r="5968" spans="1:14" s="14" customFormat="1" ht="18" x14ac:dyDescent="0.25">
      <c r="A5968" s="91"/>
      <c r="B5968" s="90"/>
      <c r="C5968" s="88"/>
      <c r="D5968" s="89"/>
      <c r="E5968" s="90"/>
      <c r="F5968" s="91"/>
      <c r="G5968" s="90"/>
      <c r="H5968" s="92"/>
      <c r="I5968" s="87"/>
      <c r="J5968" s="93"/>
      <c r="K5968" s="92"/>
      <c r="L5968" s="72" t="str">
        <f t="shared" si="93"/>
        <v/>
      </c>
      <c r="N5968" s="15"/>
    </row>
    <row r="5969" spans="1:14" s="14" customFormat="1" ht="18" x14ac:dyDescent="0.25">
      <c r="A5969" s="91"/>
      <c r="B5969" s="90"/>
      <c r="C5969" s="88"/>
      <c r="D5969" s="89"/>
      <c r="E5969" s="90"/>
      <c r="F5969" s="91"/>
      <c r="G5969" s="90"/>
      <c r="H5969" s="92"/>
      <c r="I5969" s="87"/>
      <c r="J5969" s="93"/>
      <c r="K5969" s="92"/>
      <c r="L5969" s="72" t="str">
        <f t="shared" si="93"/>
        <v/>
      </c>
      <c r="N5969" s="15"/>
    </row>
    <row r="5970" spans="1:14" s="14" customFormat="1" ht="18" x14ac:dyDescent="0.25">
      <c r="A5970" s="91"/>
      <c r="B5970" s="90"/>
      <c r="C5970" s="88"/>
      <c r="D5970" s="89"/>
      <c r="E5970" s="90"/>
      <c r="F5970" s="91"/>
      <c r="G5970" s="90"/>
      <c r="H5970" s="92"/>
      <c r="I5970" s="87"/>
      <c r="J5970" s="93"/>
      <c r="K5970" s="92"/>
      <c r="L5970" s="72" t="str">
        <f t="shared" si="93"/>
        <v/>
      </c>
      <c r="N5970" s="15"/>
    </row>
    <row r="5971" spans="1:14" s="14" customFormat="1" ht="18" x14ac:dyDescent="0.25">
      <c r="A5971" s="91"/>
      <c r="B5971" s="90"/>
      <c r="C5971" s="88"/>
      <c r="D5971" s="89"/>
      <c r="E5971" s="90"/>
      <c r="F5971" s="91"/>
      <c r="G5971" s="90"/>
      <c r="H5971" s="92"/>
      <c r="I5971" s="87"/>
      <c r="J5971" s="93"/>
      <c r="K5971" s="92"/>
      <c r="L5971" s="72" t="str">
        <f t="shared" si="93"/>
        <v/>
      </c>
      <c r="N5971" s="15"/>
    </row>
    <row r="5972" spans="1:14" s="14" customFormat="1" ht="18" x14ac:dyDescent="0.25">
      <c r="A5972" s="91"/>
      <c r="B5972" s="90"/>
      <c r="C5972" s="88"/>
      <c r="D5972" s="89"/>
      <c r="E5972" s="90"/>
      <c r="F5972" s="91"/>
      <c r="G5972" s="90"/>
      <c r="H5972" s="92"/>
      <c r="I5972" s="87"/>
      <c r="J5972" s="93"/>
      <c r="K5972" s="92"/>
      <c r="L5972" s="72" t="str">
        <f t="shared" si="93"/>
        <v/>
      </c>
      <c r="N5972" s="15"/>
    </row>
    <row r="5973" spans="1:14" s="14" customFormat="1" ht="18" x14ac:dyDescent="0.25">
      <c r="A5973" s="91"/>
      <c r="B5973" s="90"/>
      <c r="C5973" s="88"/>
      <c r="D5973" s="89"/>
      <c r="E5973" s="90"/>
      <c r="F5973" s="91"/>
      <c r="G5973" s="90"/>
      <c r="H5973" s="92"/>
      <c r="I5973" s="87"/>
      <c r="J5973" s="93"/>
      <c r="K5973" s="92"/>
      <c r="L5973" s="72" t="str">
        <f t="shared" si="93"/>
        <v/>
      </c>
      <c r="N5973" s="15"/>
    </row>
    <row r="5974" spans="1:14" s="14" customFormat="1" ht="18" x14ac:dyDescent="0.25">
      <c r="A5974" s="91"/>
      <c r="B5974" s="90"/>
      <c r="C5974" s="88"/>
      <c r="D5974" s="89"/>
      <c r="E5974" s="90"/>
      <c r="F5974" s="91"/>
      <c r="G5974" s="90"/>
      <c r="H5974" s="92"/>
      <c r="I5974" s="87"/>
      <c r="J5974" s="93"/>
      <c r="K5974" s="92"/>
      <c r="L5974" s="72" t="str">
        <f t="shared" si="93"/>
        <v/>
      </c>
      <c r="N5974" s="15"/>
    </row>
    <row r="5975" spans="1:14" s="14" customFormat="1" ht="18" x14ac:dyDescent="0.25">
      <c r="A5975" s="91"/>
      <c r="B5975" s="90"/>
      <c r="C5975" s="88"/>
      <c r="D5975" s="89"/>
      <c r="E5975" s="90"/>
      <c r="F5975" s="91"/>
      <c r="G5975" s="90"/>
      <c r="H5975" s="92"/>
      <c r="I5975" s="87"/>
      <c r="J5975" s="93"/>
      <c r="K5975" s="92"/>
      <c r="L5975" s="72" t="str">
        <f t="shared" si="93"/>
        <v/>
      </c>
      <c r="N5975" s="15"/>
    </row>
    <row r="5976" spans="1:14" s="14" customFormat="1" ht="18" x14ac:dyDescent="0.25">
      <c r="A5976" s="91"/>
      <c r="B5976" s="90"/>
      <c r="C5976" s="88"/>
      <c r="D5976" s="89"/>
      <c r="E5976" s="90"/>
      <c r="F5976" s="91"/>
      <c r="G5976" s="90"/>
      <c r="H5976" s="92"/>
      <c r="I5976" s="87"/>
      <c r="J5976" s="93"/>
      <c r="K5976" s="92"/>
      <c r="L5976" s="72" t="str">
        <f t="shared" si="93"/>
        <v/>
      </c>
      <c r="N5976" s="15"/>
    </row>
    <row r="5977" spans="1:14" s="14" customFormat="1" ht="18" x14ac:dyDescent="0.25">
      <c r="A5977" s="91"/>
      <c r="B5977" s="90"/>
      <c r="C5977" s="88"/>
      <c r="D5977" s="89"/>
      <c r="E5977" s="90"/>
      <c r="F5977" s="91"/>
      <c r="G5977" s="90"/>
      <c r="H5977" s="92"/>
      <c r="I5977" s="87"/>
      <c r="J5977" s="93"/>
      <c r="K5977" s="92"/>
      <c r="L5977" s="72" t="str">
        <f t="shared" si="93"/>
        <v/>
      </c>
      <c r="N5977" s="15"/>
    </row>
    <row r="5978" spans="1:14" s="14" customFormat="1" ht="18" x14ac:dyDescent="0.25">
      <c r="A5978" s="91"/>
      <c r="B5978" s="90"/>
      <c r="C5978" s="88"/>
      <c r="D5978" s="89"/>
      <c r="E5978" s="90"/>
      <c r="F5978" s="91"/>
      <c r="G5978" s="90"/>
      <c r="H5978" s="92"/>
      <c r="I5978" s="87"/>
      <c r="J5978" s="93"/>
      <c r="K5978" s="92"/>
      <c r="L5978" s="72" t="str">
        <f t="shared" si="93"/>
        <v/>
      </c>
      <c r="N5978" s="15"/>
    </row>
    <row r="5979" spans="1:14" s="14" customFormat="1" ht="18" x14ac:dyDescent="0.25">
      <c r="A5979" s="91"/>
      <c r="B5979" s="90"/>
      <c r="C5979" s="88"/>
      <c r="D5979" s="89"/>
      <c r="E5979" s="90"/>
      <c r="F5979" s="91"/>
      <c r="G5979" s="90"/>
      <c r="H5979" s="92"/>
      <c r="I5979" s="87"/>
      <c r="J5979" s="93"/>
      <c r="K5979" s="92"/>
      <c r="L5979" s="72" t="str">
        <f t="shared" si="93"/>
        <v/>
      </c>
      <c r="N5979" s="15"/>
    </row>
    <row r="5980" spans="1:14" s="14" customFormat="1" ht="18" x14ac:dyDescent="0.25">
      <c r="A5980" s="91"/>
      <c r="B5980" s="90"/>
      <c r="C5980" s="88"/>
      <c r="D5980" s="89"/>
      <c r="E5980" s="90"/>
      <c r="F5980" s="91"/>
      <c r="G5980" s="90"/>
      <c r="H5980" s="92"/>
      <c r="I5980" s="87"/>
      <c r="J5980" s="93"/>
      <c r="K5980" s="92"/>
      <c r="L5980" s="72" t="str">
        <f t="shared" si="93"/>
        <v/>
      </c>
      <c r="N5980" s="15"/>
    </row>
    <row r="5981" spans="1:14" s="14" customFormat="1" ht="18" x14ac:dyDescent="0.25">
      <c r="A5981" s="91"/>
      <c r="B5981" s="90"/>
      <c r="C5981" s="88"/>
      <c r="D5981" s="89"/>
      <c r="E5981" s="90"/>
      <c r="F5981" s="91"/>
      <c r="G5981" s="90"/>
      <c r="H5981" s="92"/>
      <c r="I5981" s="87"/>
      <c r="J5981" s="93"/>
      <c r="K5981" s="92"/>
      <c r="L5981" s="72" t="str">
        <f t="shared" si="93"/>
        <v/>
      </c>
      <c r="N5981" s="15"/>
    </row>
    <row r="5982" spans="1:14" s="14" customFormat="1" ht="18" x14ac:dyDescent="0.25">
      <c r="A5982" s="91"/>
      <c r="B5982" s="90"/>
      <c r="C5982" s="88"/>
      <c r="D5982" s="89"/>
      <c r="E5982" s="90"/>
      <c r="F5982" s="91"/>
      <c r="G5982" s="90"/>
      <c r="H5982" s="92"/>
      <c r="I5982" s="87"/>
      <c r="J5982" s="93"/>
      <c r="K5982" s="92"/>
      <c r="L5982" s="72" t="str">
        <f t="shared" ref="L5982:L6045" si="94">IF(ISBLANK(H5982),"",IF(H5982=K5982,"Payé","Impayé"))</f>
        <v/>
      </c>
      <c r="N5982" s="15"/>
    </row>
    <row r="5983" spans="1:14" s="14" customFormat="1" ht="18" x14ac:dyDescent="0.25">
      <c r="A5983" s="91"/>
      <c r="B5983" s="90"/>
      <c r="C5983" s="88"/>
      <c r="D5983" s="89"/>
      <c r="E5983" s="90"/>
      <c r="F5983" s="91"/>
      <c r="G5983" s="90"/>
      <c r="H5983" s="92"/>
      <c r="I5983" s="87"/>
      <c r="J5983" s="93"/>
      <c r="K5983" s="92"/>
      <c r="L5983" s="72" t="str">
        <f t="shared" si="94"/>
        <v/>
      </c>
      <c r="N5983" s="15"/>
    </row>
    <row r="5984" spans="1:14" s="14" customFormat="1" ht="18" x14ac:dyDescent="0.25">
      <c r="A5984" s="91"/>
      <c r="B5984" s="90"/>
      <c r="C5984" s="88"/>
      <c r="D5984" s="89"/>
      <c r="E5984" s="90"/>
      <c r="F5984" s="91"/>
      <c r="G5984" s="90"/>
      <c r="H5984" s="92"/>
      <c r="I5984" s="87"/>
      <c r="J5984" s="93"/>
      <c r="K5984" s="92"/>
      <c r="L5984" s="72" t="str">
        <f t="shared" si="94"/>
        <v/>
      </c>
      <c r="N5984" s="15"/>
    </row>
    <row r="5985" spans="1:14" s="14" customFormat="1" ht="18" x14ac:dyDescent="0.25">
      <c r="A5985" s="91"/>
      <c r="B5985" s="90"/>
      <c r="C5985" s="88"/>
      <c r="D5985" s="89"/>
      <c r="E5985" s="90"/>
      <c r="F5985" s="91"/>
      <c r="G5985" s="90"/>
      <c r="H5985" s="92"/>
      <c r="I5985" s="87"/>
      <c r="J5985" s="93"/>
      <c r="K5985" s="92"/>
      <c r="L5985" s="72" t="str">
        <f t="shared" si="94"/>
        <v/>
      </c>
      <c r="N5985" s="15"/>
    </row>
    <row r="5986" spans="1:14" s="14" customFormat="1" ht="18" x14ac:dyDescent="0.25">
      <c r="A5986" s="91"/>
      <c r="B5986" s="90"/>
      <c r="C5986" s="88"/>
      <c r="D5986" s="89"/>
      <c r="E5986" s="90"/>
      <c r="F5986" s="91"/>
      <c r="G5986" s="90"/>
      <c r="H5986" s="92"/>
      <c r="I5986" s="87"/>
      <c r="J5986" s="93"/>
      <c r="K5986" s="92"/>
      <c r="L5986" s="72" t="str">
        <f t="shared" si="94"/>
        <v/>
      </c>
      <c r="N5986" s="15"/>
    </row>
    <row r="5987" spans="1:14" s="14" customFormat="1" ht="18" x14ac:dyDescent="0.25">
      <c r="A5987" s="91"/>
      <c r="B5987" s="90"/>
      <c r="C5987" s="88"/>
      <c r="D5987" s="89"/>
      <c r="E5987" s="90"/>
      <c r="F5987" s="91"/>
      <c r="G5987" s="90"/>
      <c r="H5987" s="92"/>
      <c r="I5987" s="87"/>
      <c r="J5987" s="93"/>
      <c r="K5987" s="92"/>
      <c r="L5987" s="72" t="str">
        <f t="shared" si="94"/>
        <v/>
      </c>
      <c r="N5987" s="15"/>
    </row>
    <row r="5988" spans="1:14" s="14" customFormat="1" ht="18" x14ac:dyDescent="0.25">
      <c r="A5988" s="91"/>
      <c r="B5988" s="90"/>
      <c r="C5988" s="88"/>
      <c r="D5988" s="89"/>
      <c r="E5988" s="90"/>
      <c r="F5988" s="91"/>
      <c r="G5988" s="90"/>
      <c r="H5988" s="92"/>
      <c r="I5988" s="87"/>
      <c r="J5988" s="93"/>
      <c r="K5988" s="92"/>
      <c r="L5988" s="72" t="str">
        <f t="shared" si="94"/>
        <v/>
      </c>
      <c r="N5988" s="15"/>
    </row>
    <row r="5989" spans="1:14" s="14" customFormat="1" ht="18" x14ac:dyDescent="0.25">
      <c r="A5989" s="91"/>
      <c r="B5989" s="90"/>
      <c r="C5989" s="88"/>
      <c r="D5989" s="89"/>
      <c r="E5989" s="90"/>
      <c r="F5989" s="91"/>
      <c r="G5989" s="90"/>
      <c r="H5989" s="92"/>
      <c r="I5989" s="87"/>
      <c r="J5989" s="93"/>
      <c r="K5989" s="92"/>
      <c r="L5989" s="72" t="str">
        <f t="shared" si="94"/>
        <v/>
      </c>
      <c r="N5989" s="15"/>
    </row>
    <row r="5990" spans="1:14" s="14" customFormat="1" ht="18" x14ac:dyDescent="0.25">
      <c r="A5990" s="91"/>
      <c r="B5990" s="90"/>
      <c r="C5990" s="88"/>
      <c r="D5990" s="89"/>
      <c r="E5990" s="90"/>
      <c r="F5990" s="91"/>
      <c r="G5990" s="90"/>
      <c r="H5990" s="92"/>
      <c r="I5990" s="87"/>
      <c r="J5990" s="93"/>
      <c r="K5990" s="92"/>
      <c r="L5990" s="72" t="str">
        <f t="shared" si="94"/>
        <v/>
      </c>
      <c r="N5990" s="15"/>
    </row>
    <row r="5991" spans="1:14" s="14" customFormat="1" ht="18" x14ac:dyDescent="0.25">
      <c r="A5991" s="91"/>
      <c r="B5991" s="90"/>
      <c r="C5991" s="88"/>
      <c r="D5991" s="89"/>
      <c r="E5991" s="90"/>
      <c r="F5991" s="91"/>
      <c r="G5991" s="90"/>
      <c r="H5991" s="92"/>
      <c r="I5991" s="87"/>
      <c r="J5991" s="93"/>
      <c r="K5991" s="92"/>
      <c r="L5991" s="72" t="str">
        <f t="shared" si="94"/>
        <v/>
      </c>
      <c r="N5991" s="15"/>
    </row>
    <row r="5992" spans="1:14" s="14" customFormat="1" ht="18" x14ac:dyDescent="0.25">
      <c r="A5992" s="91"/>
      <c r="B5992" s="90"/>
      <c r="C5992" s="88"/>
      <c r="D5992" s="89"/>
      <c r="E5992" s="90"/>
      <c r="F5992" s="91"/>
      <c r="G5992" s="90"/>
      <c r="H5992" s="92"/>
      <c r="I5992" s="87"/>
      <c r="J5992" s="93"/>
      <c r="K5992" s="92"/>
      <c r="L5992" s="72" t="str">
        <f t="shared" si="94"/>
        <v/>
      </c>
      <c r="N5992" s="15"/>
    </row>
    <row r="5993" spans="1:14" s="14" customFormat="1" ht="18" x14ac:dyDescent="0.25">
      <c r="A5993" s="91"/>
      <c r="B5993" s="90"/>
      <c r="C5993" s="88"/>
      <c r="D5993" s="89"/>
      <c r="E5993" s="90"/>
      <c r="F5993" s="91"/>
      <c r="G5993" s="90"/>
      <c r="H5993" s="92"/>
      <c r="I5993" s="87"/>
      <c r="J5993" s="93"/>
      <c r="K5993" s="92"/>
      <c r="L5993" s="72" t="str">
        <f t="shared" si="94"/>
        <v/>
      </c>
      <c r="N5993" s="15"/>
    </row>
    <row r="5994" spans="1:14" s="14" customFormat="1" ht="18" x14ac:dyDescent="0.25">
      <c r="A5994" s="91"/>
      <c r="B5994" s="90"/>
      <c r="C5994" s="88"/>
      <c r="D5994" s="89"/>
      <c r="E5994" s="90"/>
      <c r="F5994" s="91"/>
      <c r="G5994" s="90"/>
      <c r="H5994" s="92"/>
      <c r="I5994" s="87"/>
      <c r="J5994" s="93"/>
      <c r="K5994" s="92"/>
      <c r="L5994" s="72" t="str">
        <f t="shared" si="94"/>
        <v/>
      </c>
      <c r="N5994" s="15"/>
    </row>
    <row r="5995" spans="1:14" s="14" customFormat="1" ht="18" x14ac:dyDescent="0.25">
      <c r="A5995" s="91"/>
      <c r="B5995" s="90"/>
      <c r="C5995" s="88"/>
      <c r="D5995" s="89"/>
      <c r="E5995" s="90"/>
      <c r="F5995" s="91"/>
      <c r="G5995" s="90"/>
      <c r="H5995" s="92"/>
      <c r="I5995" s="87"/>
      <c r="J5995" s="93"/>
      <c r="K5995" s="92"/>
      <c r="L5995" s="72" t="str">
        <f t="shared" si="94"/>
        <v/>
      </c>
      <c r="N5995" s="15"/>
    </row>
    <row r="5996" spans="1:14" s="14" customFormat="1" ht="18" x14ac:dyDescent="0.25">
      <c r="A5996" s="91"/>
      <c r="B5996" s="90"/>
      <c r="C5996" s="88"/>
      <c r="D5996" s="89"/>
      <c r="E5996" s="90"/>
      <c r="F5996" s="91"/>
      <c r="G5996" s="90"/>
      <c r="H5996" s="92"/>
      <c r="I5996" s="87"/>
      <c r="J5996" s="93"/>
      <c r="K5996" s="92"/>
      <c r="L5996" s="72" t="str">
        <f t="shared" si="94"/>
        <v/>
      </c>
      <c r="N5996" s="15"/>
    </row>
    <row r="5997" spans="1:14" s="14" customFormat="1" ht="18" x14ac:dyDescent="0.25">
      <c r="A5997" s="91"/>
      <c r="B5997" s="90"/>
      <c r="C5997" s="88"/>
      <c r="D5997" s="89"/>
      <c r="E5997" s="90"/>
      <c r="F5997" s="91"/>
      <c r="G5997" s="90"/>
      <c r="H5997" s="92"/>
      <c r="I5997" s="87"/>
      <c r="J5997" s="93"/>
      <c r="K5997" s="92"/>
      <c r="L5997" s="72" t="str">
        <f t="shared" si="94"/>
        <v/>
      </c>
      <c r="N5997" s="15"/>
    </row>
    <row r="5998" spans="1:14" s="14" customFormat="1" ht="18" x14ac:dyDescent="0.25">
      <c r="A5998" s="91"/>
      <c r="B5998" s="90"/>
      <c r="C5998" s="88"/>
      <c r="D5998" s="89"/>
      <c r="E5998" s="90"/>
      <c r="F5998" s="91"/>
      <c r="G5998" s="90"/>
      <c r="H5998" s="92"/>
      <c r="I5998" s="87"/>
      <c r="J5998" s="93"/>
      <c r="K5998" s="92"/>
      <c r="L5998" s="72" t="str">
        <f t="shared" si="94"/>
        <v/>
      </c>
      <c r="N5998" s="15"/>
    </row>
    <row r="5999" spans="1:14" s="14" customFormat="1" ht="18" x14ac:dyDescent="0.25">
      <c r="A5999" s="91"/>
      <c r="B5999" s="90"/>
      <c r="C5999" s="88"/>
      <c r="D5999" s="89"/>
      <c r="E5999" s="90"/>
      <c r="F5999" s="91"/>
      <c r="G5999" s="90"/>
      <c r="H5999" s="92"/>
      <c r="I5999" s="87"/>
      <c r="J5999" s="93"/>
      <c r="K5999" s="92"/>
      <c r="L5999" s="72" t="str">
        <f t="shared" si="94"/>
        <v/>
      </c>
      <c r="N5999" s="15"/>
    </row>
    <row r="6000" spans="1:14" s="14" customFormat="1" ht="18" x14ac:dyDescent="0.25">
      <c r="A6000" s="91"/>
      <c r="B6000" s="90"/>
      <c r="C6000" s="88"/>
      <c r="D6000" s="89"/>
      <c r="E6000" s="90"/>
      <c r="F6000" s="91"/>
      <c r="G6000" s="90"/>
      <c r="H6000" s="92"/>
      <c r="I6000" s="87"/>
      <c r="J6000" s="93"/>
      <c r="K6000" s="92"/>
      <c r="L6000" s="72" t="str">
        <f t="shared" si="94"/>
        <v/>
      </c>
      <c r="N6000" s="15"/>
    </row>
    <row r="6001" spans="1:14" s="14" customFormat="1" ht="18" x14ac:dyDescent="0.25">
      <c r="A6001" s="91"/>
      <c r="B6001" s="90"/>
      <c r="C6001" s="88"/>
      <c r="D6001" s="89"/>
      <c r="E6001" s="90"/>
      <c r="F6001" s="91"/>
      <c r="G6001" s="90"/>
      <c r="H6001" s="92"/>
      <c r="I6001" s="87"/>
      <c r="J6001" s="93"/>
      <c r="K6001" s="92"/>
      <c r="L6001" s="72" t="str">
        <f t="shared" si="94"/>
        <v/>
      </c>
      <c r="N6001" s="15"/>
    </row>
    <row r="6002" spans="1:14" s="14" customFormat="1" ht="18" x14ac:dyDescent="0.25">
      <c r="A6002" s="91"/>
      <c r="B6002" s="90"/>
      <c r="C6002" s="88"/>
      <c r="D6002" s="89"/>
      <c r="E6002" s="90"/>
      <c r="F6002" s="91"/>
      <c r="G6002" s="90"/>
      <c r="H6002" s="92"/>
      <c r="I6002" s="87"/>
      <c r="J6002" s="93"/>
      <c r="K6002" s="92"/>
      <c r="L6002" s="72" t="str">
        <f t="shared" si="94"/>
        <v/>
      </c>
      <c r="N6002" s="15"/>
    </row>
    <row r="6003" spans="1:14" s="14" customFormat="1" ht="18" x14ac:dyDescent="0.25">
      <c r="A6003" s="91"/>
      <c r="B6003" s="90"/>
      <c r="C6003" s="88"/>
      <c r="D6003" s="89"/>
      <c r="E6003" s="90"/>
      <c r="F6003" s="91"/>
      <c r="G6003" s="90"/>
      <c r="H6003" s="92"/>
      <c r="I6003" s="87"/>
      <c r="J6003" s="93"/>
      <c r="K6003" s="92"/>
      <c r="L6003" s="72" t="str">
        <f t="shared" si="94"/>
        <v/>
      </c>
      <c r="N6003" s="15"/>
    </row>
    <row r="6004" spans="1:14" s="14" customFormat="1" ht="18" x14ac:dyDescent="0.25">
      <c r="A6004" s="91"/>
      <c r="B6004" s="90"/>
      <c r="C6004" s="88"/>
      <c r="D6004" s="89"/>
      <c r="E6004" s="90"/>
      <c r="F6004" s="91"/>
      <c r="G6004" s="90"/>
      <c r="H6004" s="92"/>
      <c r="I6004" s="87"/>
      <c r="J6004" s="93"/>
      <c r="K6004" s="92"/>
      <c r="L6004" s="72" t="str">
        <f t="shared" si="94"/>
        <v/>
      </c>
      <c r="N6004" s="15"/>
    </row>
    <row r="6005" spans="1:14" s="14" customFormat="1" ht="18" x14ac:dyDescent="0.25">
      <c r="A6005" s="91"/>
      <c r="B6005" s="90"/>
      <c r="C6005" s="88"/>
      <c r="D6005" s="89"/>
      <c r="E6005" s="90"/>
      <c r="F6005" s="91"/>
      <c r="G6005" s="90"/>
      <c r="H6005" s="92"/>
      <c r="I6005" s="87"/>
      <c r="J6005" s="93"/>
      <c r="K6005" s="92"/>
      <c r="L6005" s="72" t="str">
        <f t="shared" si="94"/>
        <v/>
      </c>
      <c r="N6005" s="15"/>
    </row>
    <row r="6006" spans="1:14" s="14" customFormat="1" ht="18" x14ac:dyDescent="0.25">
      <c r="A6006" s="91"/>
      <c r="B6006" s="90"/>
      <c r="C6006" s="88"/>
      <c r="D6006" s="89"/>
      <c r="E6006" s="90"/>
      <c r="F6006" s="91"/>
      <c r="G6006" s="90"/>
      <c r="H6006" s="92"/>
      <c r="I6006" s="87"/>
      <c r="J6006" s="93"/>
      <c r="K6006" s="92"/>
      <c r="L6006" s="72" t="str">
        <f t="shared" si="94"/>
        <v/>
      </c>
      <c r="N6006" s="15"/>
    </row>
    <row r="6007" spans="1:14" s="14" customFormat="1" ht="18" x14ac:dyDescent="0.25">
      <c r="A6007" s="91"/>
      <c r="B6007" s="90"/>
      <c r="C6007" s="88"/>
      <c r="D6007" s="89"/>
      <c r="E6007" s="90"/>
      <c r="F6007" s="91"/>
      <c r="G6007" s="90"/>
      <c r="H6007" s="92"/>
      <c r="I6007" s="87"/>
      <c r="J6007" s="93"/>
      <c r="K6007" s="92"/>
      <c r="L6007" s="72" t="str">
        <f t="shared" si="94"/>
        <v/>
      </c>
      <c r="N6007" s="15"/>
    </row>
    <row r="6008" spans="1:14" s="14" customFormat="1" ht="18" x14ac:dyDescent="0.25">
      <c r="A6008" s="91"/>
      <c r="B6008" s="90"/>
      <c r="C6008" s="88"/>
      <c r="D6008" s="89"/>
      <c r="E6008" s="90"/>
      <c r="F6008" s="91"/>
      <c r="G6008" s="90"/>
      <c r="H6008" s="92"/>
      <c r="I6008" s="87"/>
      <c r="J6008" s="93"/>
      <c r="K6008" s="92"/>
      <c r="L6008" s="72" t="str">
        <f t="shared" si="94"/>
        <v/>
      </c>
      <c r="N6008" s="15"/>
    </row>
    <row r="6009" spans="1:14" s="14" customFormat="1" ht="18" x14ac:dyDescent="0.25">
      <c r="A6009" s="91"/>
      <c r="B6009" s="90"/>
      <c r="C6009" s="88"/>
      <c r="D6009" s="89"/>
      <c r="E6009" s="90"/>
      <c r="F6009" s="91"/>
      <c r="G6009" s="90"/>
      <c r="H6009" s="92"/>
      <c r="I6009" s="87"/>
      <c r="J6009" s="93"/>
      <c r="K6009" s="92"/>
      <c r="L6009" s="72" t="str">
        <f t="shared" si="94"/>
        <v/>
      </c>
      <c r="N6009" s="15"/>
    </row>
    <row r="6010" spans="1:14" s="14" customFormat="1" ht="18" x14ac:dyDescent="0.25">
      <c r="A6010" s="91"/>
      <c r="B6010" s="90"/>
      <c r="C6010" s="88"/>
      <c r="D6010" s="89"/>
      <c r="E6010" s="90"/>
      <c r="F6010" s="91"/>
      <c r="G6010" s="90"/>
      <c r="H6010" s="92"/>
      <c r="I6010" s="87"/>
      <c r="J6010" s="93"/>
      <c r="K6010" s="92"/>
      <c r="L6010" s="72" t="str">
        <f t="shared" si="94"/>
        <v/>
      </c>
      <c r="N6010" s="15"/>
    </row>
    <row r="6011" spans="1:14" s="14" customFormat="1" ht="18" x14ac:dyDescent="0.25">
      <c r="A6011" s="91"/>
      <c r="B6011" s="90"/>
      <c r="C6011" s="88"/>
      <c r="D6011" s="89"/>
      <c r="E6011" s="90"/>
      <c r="F6011" s="91"/>
      <c r="G6011" s="90"/>
      <c r="H6011" s="92"/>
      <c r="I6011" s="87"/>
      <c r="J6011" s="93"/>
      <c r="K6011" s="92"/>
      <c r="L6011" s="72" t="str">
        <f t="shared" si="94"/>
        <v/>
      </c>
      <c r="N6011" s="15"/>
    </row>
    <row r="6012" spans="1:14" s="14" customFormat="1" ht="18" x14ac:dyDescent="0.25">
      <c r="A6012" s="91"/>
      <c r="B6012" s="90"/>
      <c r="C6012" s="88"/>
      <c r="D6012" s="89"/>
      <c r="E6012" s="90"/>
      <c r="F6012" s="91"/>
      <c r="G6012" s="90"/>
      <c r="H6012" s="92"/>
      <c r="I6012" s="87"/>
      <c r="J6012" s="93"/>
      <c r="K6012" s="92"/>
      <c r="L6012" s="72" t="str">
        <f t="shared" si="94"/>
        <v/>
      </c>
      <c r="N6012" s="15"/>
    </row>
    <row r="6013" spans="1:14" s="14" customFormat="1" ht="18" x14ac:dyDescent="0.25">
      <c r="A6013" s="91"/>
      <c r="B6013" s="90"/>
      <c r="C6013" s="88"/>
      <c r="D6013" s="89"/>
      <c r="E6013" s="90"/>
      <c r="F6013" s="91"/>
      <c r="G6013" s="90"/>
      <c r="H6013" s="92"/>
      <c r="I6013" s="87"/>
      <c r="J6013" s="93"/>
      <c r="K6013" s="92"/>
      <c r="L6013" s="72" t="str">
        <f t="shared" si="94"/>
        <v/>
      </c>
      <c r="N6013" s="15"/>
    </row>
    <row r="6014" spans="1:14" s="14" customFormat="1" ht="18" x14ac:dyDescent="0.25">
      <c r="A6014" s="91"/>
      <c r="B6014" s="90"/>
      <c r="C6014" s="88"/>
      <c r="D6014" s="89"/>
      <c r="E6014" s="90"/>
      <c r="F6014" s="91"/>
      <c r="G6014" s="90"/>
      <c r="H6014" s="92"/>
      <c r="I6014" s="87"/>
      <c r="J6014" s="93"/>
      <c r="K6014" s="92"/>
      <c r="L6014" s="72" t="str">
        <f t="shared" si="94"/>
        <v/>
      </c>
      <c r="N6014" s="15"/>
    </row>
    <row r="6015" spans="1:14" s="14" customFormat="1" ht="18" x14ac:dyDescent="0.25">
      <c r="A6015" s="91"/>
      <c r="B6015" s="90"/>
      <c r="C6015" s="88"/>
      <c r="D6015" s="89"/>
      <c r="E6015" s="90"/>
      <c r="F6015" s="91"/>
      <c r="G6015" s="90"/>
      <c r="H6015" s="92"/>
      <c r="I6015" s="87"/>
      <c r="J6015" s="93"/>
      <c r="K6015" s="92"/>
      <c r="L6015" s="72" t="str">
        <f t="shared" si="94"/>
        <v/>
      </c>
      <c r="N6015" s="15"/>
    </row>
    <row r="6016" spans="1:14" s="14" customFormat="1" ht="18" x14ac:dyDescent="0.25">
      <c r="A6016" s="91"/>
      <c r="B6016" s="90"/>
      <c r="C6016" s="88"/>
      <c r="D6016" s="89"/>
      <c r="E6016" s="90"/>
      <c r="F6016" s="91"/>
      <c r="G6016" s="90"/>
      <c r="H6016" s="92"/>
      <c r="I6016" s="87"/>
      <c r="J6016" s="93"/>
      <c r="K6016" s="92"/>
      <c r="L6016" s="72" t="str">
        <f t="shared" si="94"/>
        <v/>
      </c>
      <c r="N6016" s="15"/>
    </row>
    <row r="6017" spans="1:14" s="14" customFormat="1" ht="18" x14ac:dyDescent="0.25">
      <c r="A6017" s="91"/>
      <c r="B6017" s="90"/>
      <c r="C6017" s="88"/>
      <c r="D6017" s="89"/>
      <c r="E6017" s="90"/>
      <c r="F6017" s="91"/>
      <c r="G6017" s="90"/>
      <c r="H6017" s="92"/>
      <c r="I6017" s="87"/>
      <c r="J6017" s="93"/>
      <c r="K6017" s="92"/>
      <c r="L6017" s="72" t="str">
        <f t="shared" si="94"/>
        <v/>
      </c>
      <c r="N6017" s="15"/>
    </row>
    <row r="6018" spans="1:14" s="14" customFormat="1" ht="18" x14ac:dyDescent="0.25">
      <c r="A6018" s="91"/>
      <c r="B6018" s="90"/>
      <c r="C6018" s="88"/>
      <c r="D6018" s="89"/>
      <c r="E6018" s="90"/>
      <c r="F6018" s="91"/>
      <c r="G6018" s="90"/>
      <c r="H6018" s="92"/>
      <c r="I6018" s="87"/>
      <c r="J6018" s="93"/>
      <c r="K6018" s="92"/>
      <c r="L6018" s="72" t="str">
        <f t="shared" si="94"/>
        <v/>
      </c>
      <c r="N6018" s="15"/>
    </row>
    <row r="6019" spans="1:14" s="14" customFormat="1" ht="18" x14ac:dyDescent="0.25">
      <c r="A6019" s="91"/>
      <c r="B6019" s="90"/>
      <c r="C6019" s="88"/>
      <c r="D6019" s="89"/>
      <c r="E6019" s="90"/>
      <c r="F6019" s="91"/>
      <c r="G6019" s="90"/>
      <c r="H6019" s="92"/>
      <c r="I6019" s="87"/>
      <c r="J6019" s="93"/>
      <c r="K6019" s="92"/>
      <c r="L6019" s="72" t="str">
        <f t="shared" si="94"/>
        <v/>
      </c>
      <c r="N6019" s="15"/>
    </row>
    <row r="6020" spans="1:14" s="14" customFormat="1" ht="18" x14ac:dyDescent="0.25">
      <c r="A6020" s="91"/>
      <c r="B6020" s="90"/>
      <c r="C6020" s="88"/>
      <c r="D6020" s="89"/>
      <c r="E6020" s="90"/>
      <c r="F6020" s="91"/>
      <c r="G6020" s="90"/>
      <c r="H6020" s="92"/>
      <c r="I6020" s="87"/>
      <c r="J6020" s="93"/>
      <c r="K6020" s="92"/>
      <c r="L6020" s="72" t="str">
        <f t="shared" si="94"/>
        <v/>
      </c>
      <c r="N6020" s="15"/>
    </row>
    <row r="6021" spans="1:14" s="14" customFormat="1" ht="18" x14ac:dyDescent="0.25">
      <c r="A6021" s="91"/>
      <c r="B6021" s="90"/>
      <c r="C6021" s="88"/>
      <c r="D6021" s="89"/>
      <c r="E6021" s="90"/>
      <c r="F6021" s="91"/>
      <c r="G6021" s="90"/>
      <c r="H6021" s="92"/>
      <c r="I6021" s="87"/>
      <c r="J6021" s="93"/>
      <c r="K6021" s="92"/>
      <c r="L6021" s="72" t="str">
        <f t="shared" si="94"/>
        <v/>
      </c>
      <c r="N6021" s="15"/>
    </row>
    <row r="6022" spans="1:14" s="14" customFormat="1" ht="18" x14ac:dyDescent="0.25">
      <c r="A6022" s="91"/>
      <c r="B6022" s="90"/>
      <c r="C6022" s="88"/>
      <c r="D6022" s="89"/>
      <c r="E6022" s="90"/>
      <c r="F6022" s="91"/>
      <c r="G6022" s="90"/>
      <c r="H6022" s="92"/>
      <c r="I6022" s="87"/>
      <c r="J6022" s="93"/>
      <c r="K6022" s="92"/>
      <c r="L6022" s="72" t="str">
        <f t="shared" si="94"/>
        <v/>
      </c>
      <c r="N6022" s="15"/>
    </row>
    <row r="6023" spans="1:14" s="14" customFormat="1" ht="18" x14ac:dyDescent="0.25">
      <c r="A6023" s="91"/>
      <c r="B6023" s="90"/>
      <c r="C6023" s="88"/>
      <c r="D6023" s="89"/>
      <c r="E6023" s="90"/>
      <c r="F6023" s="91"/>
      <c r="G6023" s="90"/>
      <c r="H6023" s="92"/>
      <c r="I6023" s="87"/>
      <c r="J6023" s="93"/>
      <c r="K6023" s="92"/>
      <c r="L6023" s="72" t="str">
        <f t="shared" si="94"/>
        <v/>
      </c>
      <c r="N6023" s="15"/>
    </row>
    <row r="6024" spans="1:14" s="14" customFormat="1" ht="18" x14ac:dyDescent="0.25">
      <c r="A6024" s="91"/>
      <c r="B6024" s="90"/>
      <c r="C6024" s="88"/>
      <c r="D6024" s="89"/>
      <c r="E6024" s="90"/>
      <c r="F6024" s="91"/>
      <c r="G6024" s="90"/>
      <c r="H6024" s="92"/>
      <c r="I6024" s="87"/>
      <c r="J6024" s="93"/>
      <c r="K6024" s="92"/>
      <c r="L6024" s="72" t="str">
        <f t="shared" si="94"/>
        <v/>
      </c>
      <c r="N6024" s="15"/>
    </row>
    <row r="6025" spans="1:14" s="14" customFormat="1" ht="18" x14ac:dyDescent="0.25">
      <c r="A6025" s="91"/>
      <c r="B6025" s="90"/>
      <c r="C6025" s="88"/>
      <c r="D6025" s="89"/>
      <c r="E6025" s="90"/>
      <c r="F6025" s="91"/>
      <c r="G6025" s="90"/>
      <c r="H6025" s="92"/>
      <c r="I6025" s="87"/>
      <c r="J6025" s="93"/>
      <c r="K6025" s="92"/>
      <c r="L6025" s="72" t="str">
        <f t="shared" si="94"/>
        <v/>
      </c>
      <c r="N6025" s="15"/>
    </row>
    <row r="6026" spans="1:14" s="14" customFormat="1" ht="18" x14ac:dyDescent="0.25">
      <c r="A6026" s="91"/>
      <c r="B6026" s="90"/>
      <c r="C6026" s="88"/>
      <c r="D6026" s="89"/>
      <c r="E6026" s="90"/>
      <c r="F6026" s="91"/>
      <c r="G6026" s="90"/>
      <c r="H6026" s="92"/>
      <c r="I6026" s="87"/>
      <c r="J6026" s="93"/>
      <c r="K6026" s="92"/>
      <c r="L6026" s="72" t="str">
        <f t="shared" si="94"/>
        <v/>
      </c>
      <c r="N6026" s="15"/>
    </row>
    <row r="6027" spans="1:14" s="14" customFormat="1" ht="18" x14ac:dyDescent="0.25">
      <c r="A6027" s="91"/>
      <c r="B6027" s="90"/>
      <c r="C6027" s="88"/>
      <c r="D6027" s="89"/>
      <c r="E6027" s="90"/>
      <c r="F6027" s="91"/>
      <c r="G6027" s="90"/>
      <c r="H6027" s="92"/>
      <c r="I6027" s="87"/>
      <c r="J6027" s="93"/>
      <c r="K6027" s="92"/>
      <c r="L6027" s="72" t="str">
        <f t="shared" si="94"/>
        <v/>
      </c>
      <c r="N6027" s="15"/>
    </row>
    <row r="6028" spans="1:14" s="14" customFormat="1" ht="18" x14ac:dyDescent="0.25">
      <c r="A6028" s="91"/>
      <c r="B6028" s="90"/>
      <c r="C6028" s="88"/>
      <c r="D6028" s="89"/>
      <c r="E6028" s="90"/>
      <c r="F6028" s="91"/>
      <c r="G6028" s="90"/>
      <c r="H6028" s="92"/>
      <c r="I6028" s="87"/>
      <c r="J6028" s="93"/>
      <c r="K6028" s="92"/>
      <c r="L6028" s="72" t="str">
        <f t="shared" si="94"/>
        <v/>
      </c>
      <c r="N6028" s="15"/>
    </row>
    <row r="6029" spans="1:14" s="14" customFormat="1" ht="18" x14ac:dyDescent="0.25">
      <c r="A6029" s="91"/>
      <c r="B6029" s="90"/>
      <c r="C6029" s="88"/>
      <c r="D6029" s="89"/>
      <c r="E6029" s="90"/>
      <c r="F6029" s="91"/>
      <c r="G6029" s="90"/>
      <c r="H6029" s="92"/>
      <c r="I6029" s="87"/>
      <c r="J6029" s="93"/>
      <c r="K6029" s="92"/>
      <c r="L6029" s="72" t="str">
        <f t="shared" si="94"/>
        <v/>
      </c>
      <c r="N6029" s="15"/>
    </row>
    <row r="6030" spans="1:14" s="14" customFormat="1" ht="18" x14ac:dyDescent="0.25">
      <c r="A6030" s="91"/>
      <c r="B6030" s="90"/>
      <c r="C6030" s="88"/>
      <c r="D6030" s="89"/>
      <c r="E6030" s="90"/>
      <c r="F6030" s="91"/>
      <c r="G6030" s="90"/>
      <c r="H6030" s="92"/>
      <c r="I6030" s="87"/>
      <c r="J6030" s="93"/>
      <c r="K6030" s="92"/>
      <c r="L6030" s="72" t="str">
        <f t="shared" si="94"/>
        <v/>
      </c>
      <c r="N6030" s="15"/>
    </row>
    <row r="6031" spans="1:14" s="14" customFormat="1" ht="18" x14ac:dyDescent="0.25">
      <c r="A6031" s="91"/>
      <c r="B6031" s="90"/>
      <c r="C6031" s="88"/>
      <c r="D6031" s="89"/>
      <c r="E6031" s="90"/>
      <c r="F6031" s="91"/>
      <c r="G6031" s="90"/>
      <c r="H6031" s="92"/>
      <c r="I6031" s="87"/>
      <c r="J6031" s="93"/>
      <c r="K6031" s="92"/>
      <c r="L6031" s="72" t="str">
        <f t="shared" si="94"/>
        <v/>
      </c>
      <c r="N6031" s="15"/>
    </row>
    <row r="6032" spans="1:14" s="14" customFormat="1" ht="18" x14ac:dyDescent="0.25">
      <c r="A6032" s="91"/>
      <c r="B6032" s="90"/>
      <c r="C6032" s="88"/>
      <c r="D6032" s="89"/>
      <c r="E6032" s="90"/>
      <c r="F6032" s="91"/>
      <c r="G6032" s="90"/>
      <c r="H6032" s="92"/>
      <c r="I6032" s="87"/>
      <c r="J6032" s="93"/>
      <c r="K6032" s="92"/>
      <c r="L6032" s="72" t="str">
        <f t="shared" si="94"/>
        <v/>
      </c>
      <c r="N6032" s="15"/>
    </row>
    <row r="6033" spans="1:14" s="14" customFormat="1" ht="18" x14ac:dyDescent="0.25">
      <c r="A6033" s="91"/>
      <c r="B6033" s="90"/>
      <c r="C6033" s="88"/>
      <c r="D6033" s="89"/>
      <c r="E6033" s="90"/>
      <c r="F6033" s="91"/>
      <c r="G6033" s="90"/>
      <c r="H6033" s="92"/>
      <c r="I6033" s="87"/>
      <c r="J6033" s="93"/>
      <c r="K6033" s="92"/>
      <c r="L6033" s="72" t="str">
        <f t="shared" si="94"/>
        <v/>
      </c>
      <c r="N6033" s="15"/>
    </row>
    <row r="6034" spans="1:14" s="14" customFormat="1" ht="18" x14ac:dyDescent="0.25">
      <c r="A6034" s="91"/>
      <c r="B6034" s="90"/>
      <c r="C6034" s="88"/>
      <c r="D6034" s="89"/>
      <c r="E6034" s="90"/>
      <c r="F6034" s="91"/>
      <c r="G6034" s="90"/>
      <c r="H6034" s="92"/>
      <c r="I6034" s="87"/>
      <c r="J6034" s="93"/>
      <c r="K6034" s="92"/>
      <c r="L6034" s="72" t="str">
        <f t="shared" si="94"/>
        <v/>
      </c>
      <c r="N6034" s="15"/>
    </row>
    <row r="6035" spans="1:14" s="14" customFormat="1" ht="18" x14ac:dyDescent="0.25">
      <c r="A6035" s="91"/>
      <c r="B6035" s="90"/>
      <c r="C6035" s="88"/>
      <c r="D6035" s="89"/>
      <c r="E6035" s="90"/>
      <c r="F6035" s="91"/>
      <c r="G6035" s="90"/>
      <c r="H6035" s="92"/>
      <c r="I6035" s="87"/>
      <c r="J6035" s="93"/>
      <c r="K6035" s="92"/>
      <c r="L6035" s="72" t="str">
        <f t="shared" si="94"/>
        <v/>
      </c>
      <c r="N6035" s="15"/>
    </row>
    <row r="6036" spans="1:14" s="14" customFormat="1" ht="18" x14ac:dyDescent="0.25">
      <c r="A6036" s="91"/>
      <c r="B6036" s="90"/>
      <c r="C6036" s="88"/>
      <c r="D6036" s="89"/>
      <c r="E6036" s="90"/>
      <c r="F6036" s="91"/>
      <c r="G6036" s="90"/>
      <c r="H6036" s="92"/>
      <c r="I6036" s="87"/>
      <c r="J6036" s="93"/>
      <c r="K6036" s="92"/>
      <c r="L6036" s="72" t="str">
        <f t="shared" si="94"/>
        <v/>
      </c>
      <c r="N6036" s="15"/>
    </row>
    <row r="6037" spans="1:14" s="14" customFormat="1" ht="18" x14ac:dyDescent="0.25">
      <c r="A6037" s="91"/>
      <c r="B6037" s="90"/>
      <c r="C6037" s="88"/>
      <c r="D6037" s="89"/>
      <c r="E6037" s="90"/>
      <c r="F6037" s="91"/>
      <c r="G6037" s="90"/>
      <c r="H6037" s="92"/>
      <c r="I6037" s="87"/>
      <c r="J6037" s="93"/>
      <c r="K6037" s="92"/>
      <c r="L6037" s="72" t="str">
        <f t="shared" si="94"/>
        <v/>
      </c>
      <c r="N6037" s="15"/>
    </row>
    <row r="6038" spans="1:14" s="14" customFormat="1" ht="18" x14ac:dyDescent="0.25">
      <c r="A6038" s="91"/>
      <c r="B6038" s="90"/>
      <c r="C6038" s="88"/>
      <c r="D6038" s="89"/>
      <c r="E6038" s="90"/>
      <c r="F6038" s="91"/>
      <c r="G6038" s="90"/>
      <c r="H6038" s="92"/>
      <c r="I6038" s="87"/>
      <c r="J6038" s="93"/>
      <c r="K6038" s="92"/>
      <c r="L6038" s="72" t="str">
        <f t="shared" si="94"/>
        <v/>
      </c>
      <c r="N6038" s="15"/>
    </row>
    <row r="6039" spans="1:14" s="14" customFormat="1" ht="18" x14ac:dyDescent="0.25">
      <c r="A6039" s="91"/>
      <c r="B6039" s="90"/>
      <c r="C6039" s="88"/>
      <c r="D6039" s="89"/>
      <c r="E6039" s="90"/>
      <c r="F6039" s="91"/>
      <c r="G6039" s="90"/>
      <c r="H6039" s="92"/>
      <c r="I6039" s="87"/>
      <c r="J6039" s="93"/>
      <c r="K6039" s="92"/>
      <c r="L6039" s="72" t="str">
        <f t="shared" si="94"/>
        <v/>
      </c>
      <c r="N6039" s="15"/>
    </row>
    <row r="6040" spans="1:14" s="14" customFormat="1" ht="18" x14ac:dyDescent="0.25">
      <c r="A6040" s="91"/>
      <c r="B6040" s="90"/>
      <c r="C6040" s="88"/>
      <c r="D6040" s="89"/>
      <c r="E6040" s="90"/>
      <c r="F6040" s="91"/>
      <c r="G6040" s="90"/>
      <c r="H6040" s="92"/>
      <c r="I6040" s="87"/>
      <c r="J6040" s="93"/>
      <c r="K6040" s="92"/>
      <c r="L6040" s="72" t="str">
        <f t="shared" si="94"/>
        <v/>
      </c>
      <c r="N6040" s="15"/>
    </row>
    <row r="6041" spans="1:14" s="14" customFormat="1" ht="18" x14ac:dyDescent="0.25">
      <c r="A6041" s="91"/>
      <c r="B6041" s="90"/>
      <c r="C6041" s="88"/>
      <c r="D6041" s="89"/>
      <c r="E6041" s="90"/>
      <c r="F6041" s="91"/>
      <c r="G6041" s="90"/>
      <c r="H6041" s="92"/>
      <c r="I6041" s="87"/>
      <c r="J6041" s="93"/>
      <c r="K6041" s="92"/>
      <c r="L6041" s="72" t="str">
        <f t="shared" si="94"/>
        <v/>
      </c>
      <c r="N6041" s="15"/>
    </row>
    <row r="6042" spans="1:14" s="14" customFormat="1" ht="18" x14ac:dyDescent="0.25">
      <c r="A6042" s="91"/>
      <c r="B6042" s="90"/>
      <c r="C6042" s="88"/>
      <c r="D6042" s="89"/>
      <c r="E6042" s="90"/>
      <c r="F6042" s="91"/>
      <c r="G6042" s="90"/>
      <c r="H6042" s="92"/>
      <c r="I6042" s="87"/>
      <c r="J6042" s="93"/>
      <c r="K6042" s="92"/>
      <c r="L6042" s="72" t="str">
        <f t="shared" si="94"/>
        <v/>
      </c>
      <c r="N6042" s="15"/>
    </row>
    <row r="6043" spans="1:14" s="14" customFormat="1" ht="18" x14ac:dyDescent="0.25">
      <c r="A6043" s="91"/>
      <c r="B6043" s="90"/>
      <c r="C6043" s="88"/>
      <c r="D6043" s="89"/>
      <c r="E6043" s="90"/>
      <c r="F6043" s="91"/>
      <c r="G6043" s="90"/>
      <c r="H6043" s="92"/>
      <c r="I6043" s="87"/>
      <c r="J6043" s="93"/>
      <c r="K6043" s="92"/>
      <c r="L6043" s="72" t="str">
        <f t="shared" si="94"/>
        <v/>
      </c>
      <c r="N6043" s="15"/>
    </row>
    <row r="6044" spans="1:14" s="14" customFormat="1" ht="18" x14ac:dyDescent="0.25">
      <c r="A6044" s="91"/>
      <c r="B6044" s="90"/>
      <c r="C6044" s="88"/>
      <c r="D6044" s="89"/>
      <c r="E6044" s="90"/>
      <c r="F6044" s="91"/>
      <c r="G6044" s="90"/>
      <c r="H6044" s="92"/>
      <c r="I6044" s="87"/>
      <c r="J6044" s="93"/>
      <c r="K6044" s="92"/>
      <c r="L6044" s="72" t="str">
        <f t="shared" si="94"/>
        <v/>
      </c>
      <c r="N6044" s="15"/>
    </row>
    <row r="6045" spans="1:14" s="14" customFormat="1" ht="18" x14ac:dyDescent="0.25">
      <c r="A6045" s="91"/>
      <c r="B6045" s="90"/>
      <c r="C6045" s="88"/>
      <c r="D6045" s="89"/>
      <c r="E6045" s="90"/>
      <c r="F6045" s="91"/>
      <c r="G6045" s="90"/>
      <c r="H6045" s="92"/>
      <c r="I6045" s="87"/>
      <c r="J6045" s="93"/>
      <c r="K6045" s="92"/>
      <c r="L6045" s="72" t="str">
        <f t="shared" si="94"/>
        <v/>
      </c>
      <c r="N6045" s="15"/>
    </row>
    <row r="6046" spans="1:14" s="14" customFormat="1" ht="18" x14ac:dyDescent="0.25">
      <c r="A6046" s="91"/>
      <c r="B6046" s="90"/>
      <c r="C6046" s="88"/>
      <c r="D6046" s="89"/>
      <c r="E6046" s="90"/>
      <c r="F6046" s="91"/>
      <c r="G6046" s="90"/>
      <c r="H6046" s="92"/>
      <c r="I6046" s="87"/>
      <c r="J6046" s="93"/>
      <c r="K6046" s="92"/>
      <c r="L6046" s="72" t="str">
        <f t="shared" ref="L6046:L6109" si="95">IF(ISBLANK(H6046),"",IF(H6046=K6046,"Payé","Impayé"))</f>
        <v/>
      </c>
      <c r="N6046" s="15"/>
    </row>
    <row r="6047" spans="1:14" s="14" customFormat="1" ht="18" x14ac:dyDescent="0.25">
      <c r="A6047" s="91"/>
      <c r="B6047" s="90"/>
      <c r="C6047" s="88"/>
      <c r="D6047" s="89"/>
      <c r="E6047" s="90"/>
      <c r="F6047" s="91"/>
      <c r="G6047" s="90"/>
      <c r="H6047" s="92"/>
      <c r="I6047" s="87"/>
      <c r="J6047" s="93"/>
      <c r="K6047" s="92"/>
      <c r="L6047" s="72" t="str">
        <f t="shared" si="95"/>
        <v/>
      </c>
      <c r="N6047" s="15"/>
    </row>
    <row r="6048" spans="1:14" s="14" customFormat="1" ht="18" x14ac:dyDescent="0.25">
      <c r="A6048" s="91"/>
      <c r="B6048" s="90"/>
      <c r="C6048" s="88"/>
      <c r="D6048" s="89"/>
      <c r="E6048" s="90"/>
      <c r="F6048" s="91"/>
      <c r="G6048" s="90"/>
      <c r="H6048" s="92"/>
      <c r="I6048" s="87"/>
      <c r="J6048" s="93"/>
      <c r="K6048" s="92"/>
      <c r="L6048" s="72" t="str">
        <f t="shared" si="95"/>
        <v/>
      </c>
      <c r="N6048" s="15"/>
    </row>
    <row r="6049" spans="1:14" s="14" customFormat="1" ht="18" x14ac:dyDescent="0.25">
      <c r="A6049" s="91"/>
      <c r="B6049" s="90"/>
      <c r="C6049" s="88"/>
      <c r="D6049" s="89"/>
      <c r="E6049" s="90"/>
      <c r="F6049" s="91"/>
      <c r="G6049" s="90"/>
      <c r="H6049" s="92"/>
      <c r="I6049" s="87"/>
      <c r="J6049" s="93"/>
      <c r="K6049" s="92"/>
      <c r="L6049" s="72" t="str">
        <f t="shared" si="95"/>
        <v/>
      </c>
      <c r="N6049" s="15"/>
    </row>
    <row r="6050" spans="1:14" s="14" customFormat="1" ht="18" x14ac:dyDescent="0.25">
      <c r="A6050" s="91"/>
      <c r="B6050" s="90"/>
      <c r="C6050" s="88"/>
      <c r="D6050" s="89"/>
      <c r="E6050" s="90"/>
      <c r="F6050" s="91"/>
      <c r="G6050" s="90"/>
      <c r="H6050" s="92"/>
      <c r="I6050" s="87"/>
      <c r="J6050" s="93"/>
      <c r="K6050" s="92"/>
      <c r="L6050" s="72" t="str">
        <f t="shared" si="95"/>
        <v/>
      </c>
      <c r="N6050" s="15"/>
    </row>
    <row r="6051" spans="1:14" s="14" customFormat="1" ht="18" x14ac:dyDescent="0.25">
      <c r="A6051" s="91"/>
      <c r="B6051" s="90"/>
      <c r="C6051" s="88"/>
      <c r="D6051" s="89"/>
      <c r="E6051" s="90"/>
      <c r="F6051" s="91"/>
      <c r="G6051" s="90"/>
      <c r="H6051" s="92"/>
      <c r="I6051" s="87"/>
      <c r="J6051" s="93"/>
      <c r="K6051" s="92"/>
      <c r="L6051" s="72" t="str">
        <f t="shared" si="95"/>
        <v/>
      </c>
      <c r="N6051" s="15"/>
    </row>
    <row r="6052" spans="1:14" s="14" customFormat="1" ht="18" x14ac:dyDescent="0.25">
      <c r="A6052" s="91"/>
      <c r="B6052" s="90"/>
      <c r="C6052" s="88"/>
      <c r="D6052" s="89"/>
      <c r="E6052" s="90"/>
      <c r="F6052" s="91"/>
      <c r="G6052" s="90"/>
      <c r="H6052" s="92"/>
      <c r="I6052" s="87"/>
      <c r="J6052" s="93"/>
      <c r="K6052" s="92"/>
      <c r="L6052" s="72" t="str">
        <f t="shared" si="95"/>
        <v/>
      </c>
      <c r="N6052" s="15"/>
    </row>
    <row r="6053" spans="1:14" s="14" customFormat="1" ht="18" x14ac:dyDescent="0.25">
      <c r="A6053" s="91"/>
      <c r="B6053" s="90"/>
      <c r="C6053" s="88"/>
      <c r="D6053" s="89"/>
      <c r="E6053" s="90"/>
      <c r="F6053" s="91"/>
      <c r="G6053" s="90"/>
      <c r="H6053" s="92"/>
      <c r="I6053" s="87"/>
      <c r="J6053" s="93"/>
      <c r="K6053" s="92"/>
      <c r="L6053" s="72" t="str">
        <f t="shared" si="95"/>
        <v/>
      </c>
      <c r="N6053" s="15"/>
    </row>
    <row r="6054" spans="1:14" s="14" customFormat="1" ht="18" x14ac:dyDescent="0.25">
      <c r="A6054" s="91"/>
      <c r="B6054" s="90"/>
      <c r="C6054" s="88"/>
      <c r="D6054" s="89"/>
      <c r="E6054" s="90"/>
      <c r="F6054" s="91"/>
      <c r="G6054" s="90"/>
      <c r="H6054" s="92"/>
      <c r="I6054" s="87"/>
      <c r="J6054" s="93"/>
      <c r="K6054" s="92"/>
      <c r="L6054" s="72" t="str">
        <f t="shared" si="95"/>
        <v/>
      </c>
      <c r="N6054" s="15"/>
    </row>
    <row r="6055" spans="1:14" s="14" customFormat="1" ht="18" x14ac:dyDescent="0.25">
      <c r="A6055" s="91"/>
      <c r="B6055" s="90"/>
      <c r="C6055" s="88"/>
      <c r="D6055" s="89"/>
      <c r="E6055" s="90"/>
      <c r="F6055" s="91"/>
      <c r="G6055" s="90"/>
      <c r="H6055" s="92"/>
      <c r="I6055" s="87"/>
      <c r="J6055" s="93"/>
      <c r="K6055" s="92"/>
      <c r="L6055" s="72" t="str">
        <f t="shared" si="95"/>
        <v/>
      </c>
      <c r="N6055" s="15"/>
    </row>
    <row r="6056" spans="1:14" s="14" customFormat="1" ht="18" x14ac:dyDescent="0.25">
      <c r="A6056" s="91"/>
      <c r="B6056" s="90"/>
      <c r="C6056" s="88"/>
      <c r="D6056" s="89"/>
      <c r="E6056" s="90"/>
      <c r="F6056" s="91"/>
      <c r="G6056" s="90"/>
      <c r="H6056" s="92"/>
      <c r="I6056" s="87"/>
      <c r="J6056" s="93"/>
      <c r="K6056" s="92"/>
      <c r="L6056" s="72" t="str">
        <f t="shared" si="95"/>
        <v/>
      </c>
      <c r="N6056" s="15"/>
    </row>
    <row r="6057" spans="1:14" s="14" customFormat="1" ht="18" x14ac:dyDescent="0.25">
      <c r="A6057" s="91"/>
      <c r="B6057" s="90"/>
      <c r="C6057" s="88"/>
      <c r="D6057" s="89"/>
      <c r="E6057" s="90"/>
      <c r="F6057" s="91"/>
      <c r="G6057" s="90"/>
      <c r="H6057" s="92"/>
      <c r="I6057" s="87"/>
      <c r="J6057" s="93"/>
      <c r="K6057" s="92"/>
      <c r="L6057" s="72" t="str">
        <f t="shared" si="95"/>
        <v/>
      </c>
      <c r="N6057" s="15"/>
    </row>
    <row r="6058" spans="1:14" s="14" customFormat="1" ht="18" x14ac:dyDescent="0.25">
      <c r="A6058" s="91"/>
      <c r="B6058" s="90"/>
      <c r="C6058" s="88"/>
      <c r="D6058" s="89"/>
      <c r="E6058" s="90"/>
      <c r="F6058" s="91"/>
      <c r="G6058" s="90"/>
      <c r="H6058" s="92"/>
      <c r="I6058" s="87"/>
      <c r="J6058" s="93"/>
      <c r="K6058" s="92"/>
      <c r="L6058" s="72" t="str">
        <f t="shared" si="95"/>
        <v/>
      </c>
      <c r="N6058" s="15"/>
    </row>
    <row r="6059" spans="1:14" s="14" customFormat="1" ht="18" x14ac:dyDescent="0.25">
      <c r="A6059" s="91"/>
      <c r="B6059" s="90"/>
      <c r="C6059" s="88"/>
      <c r="D6059" s="89"/>
      <c r="E6059" s="90"/>
      <c r="F6059" s="91"/>
      <c r="G6059" s="90"/>
      <c r="H6059" s="92"/>
      <c r="I6059" s="87"/>
      <c r="J6059" s="93"/>
      <c r="K6059" s="92"/>
      <c r="L6059" s="72" t="str">
        <f t="shared" si="95"/>
        <v/>
      </c>
      <c r="N6059" s="15"/>
    </row>
    <row r="6060" spans="1:14" s="14" customFormat="1" ht="18" x14ac:dyDescent="0.25">
      <c r="A6060" s="91"/>
      <c r="B6060" s="90"/>
      <c r="C6060" s="88"/>
      <c r="D6060" s="89"/>
      <c r="E6060" s="90"/>
      <c r="F6060" s="91"/>
      <c r="G6060" s="90"/>
      <c r="H6060" s="92"/>
      <c r="I6060" s="87"/>
      <c r="J6060" s="93"/>
      <c r="K6060" s="92"/>
      <c r="L6060" s="72" t="str">
        <f t="shared" si="95"/>
        <v/>
      </c>
      <c r="N6060" s="15"/>
    </row>
    <row r="6061" spans="1:14" s="14" customFormat="1" ht="18" x14ac:dyDescent="0.25">
      <c r="A6061" s="91"/>
      <c r="B6061" s="90"/>
      <c r="C6061" s="88"/>
      <c r="D6061" s="89"/>
      <c r="E6061" s="90"/>
      <c r="F6061" s="91"/>
      <c r="G6061" s="90"/>
      <c r="H6061" s="92"/>
      <c r="I6061" s="87"/>
      <c r="J6061" s="93"/>
      <c r="K6061" s="92"/>
      <c r="L6061" s="72" t="str">
        <f t="shared" si="95"/>
        <v/>
      </c>
      <c r="N6061" s="15"/>
    </row>
    <row r="6062" spans="1:14" s="14" customFormat="1" ht="18" x14ac:dyDescent="0.25">
      <c r="A6062" s="91"/>
      <c r="B6062" s="90"/>
      <c r="C6062" s="88"/>
      <c r="D6062" s="89"/>
      <c r="E6062" s="90"/>
      <c r="F6062" s="91"/>
      <c r="G6062" s="90"/>
      <c r="H6062" s="92"/>
      <c r="I6062" s="87"/>
      <c r="J6062" s="93"/>
      <c r="K6062" s="92"/>
      <c r="L6062" s="72" t="str">
        <f t="shared" si="95"/>
        <v/>
      </c>
      <c r="N6062" s="15"/>
    </row>
    <row r="6063" spans="1:14" s="14" customFormat="1" ht="18" x14ac:dyDescent="0.25">
      <c r="A6063" s="91"/>
      <c r="B6063" s="90"/>
      <c r="C6063" s="88"/>
      <c r="D6063" s="89"/>
      <c r="E6063" s="90"/>
      <c r="F6063" s="91"/>
      <c r="G6063" s="90"/>
      <c r="H6063" s="92"/>
      <c r="I6063" s="87"/>
      <c r="J6063" s="93"/>
      <c r="K6063" s="92"/>
      <c r="L6063" s="72" t="str">
        <f t="shared" si="95"/>
        <v/>
      </c>
      <c r="N6063" s="15"/>
    </row>
    <row r="6064" spans="1:14" s="14" customFormat="1" ht="18" x14ac:dyDescent="0.25">
      <c r="A6064" s="91"/>
      <c r="B6064" s="90"/>
      <c r="C6064" s="88"/>
      <c r="D6064" s="89"/>
      <c r="E6064" s="90"/>
      <c r="F6064" s="91"/>
      <c r="G6064" s="90"/>
      <c r="H6064" s="92"/>
      <c r="I6064" s="87"/>
      <c r="J6064" s="93"/>
      <c r="K6064" s="92"/>
      <c r="L6064" s="72" t="str">
        <f t="shared" si="95"/>
        <v/>
      </c>
      <c r="N6064" s="15"/>
    </row>
    <row r="6065" spans="1:14" s="14" customFormat="1" ht="18" x14ac:dyDescent="0.25">
      <c r="A6065" s="91"/>
      <c r="B6065" s="90"/>
      <c r="C6065" s="88"/>
      <c r="D6065" s="89"/>
      <c r="E6065" s="90"/>
      <c r="F6065" s="91"/>
      <c r="G6065" s="90"/>
      <c r="H6065" s="92"/>
      <c r="I6065" s="87"/>
      <c r="J6065" s="93"/>
      <c r="K6065" s="92"/>
      <c r="L6065" s="72" t="str">
        <f t="shared" si="95"/>
        <v/>
      </c>
      <c r="N6065" s="15"/>
    </row>
    <row r="6066" spans="1:14" s="14" customFormat="1" ht="18" x14ac:dyDescent="0.25">
      <c r="A6066" s="91"/>
      <c r="B6066" s="90"/>
      <c r="C6066" s="88"/>
      <c r="D6066" s="89"/>
      <c r="E6066" s="90"/>
      <c r="F6066" s="91"/>
      <c r="G6066" s="90"/>
      <c r="H6066" s="92"/>
      <c r="I6066" s="87"/>
      <c r="J6066" s="93"/>
      <c r="K6066" s="92"/>
      <c r="L6066" s="72" t="str">
        <f t="shared" si="95"/>
        <v/>
      </c>
      <c r="N6066" s="15"/>
    </row>
    <row r="6067" spans="1:14" s="14" customFormat="1" ht="18" x14ac:dyDescent="0.25">
      <c r="A6067" s="91"/>
      <c r="B6067" s="90"/>
      <c r="C6067" s="88"/>
      <c r="D6067" s="89"/>
      <c r="E6067" s="90"/>
      <c r="F6067" s="91"/>
      <c r="G6067" s="90"/>
      <c r="H6067" s="92"/>
      <c r="I6067" s="87"/>
      <c r="J6067" s="93"/>
      <c r="K6067" s="92"/>
      <c r="L6067" s="72" t="str">
        <f t="shared" si="95"/>
        <v/>
      </c>
      <c r="N6067" s="15"/>
    </row>
    <row r="6068" spans="1:14" s="14" customFormat="1" ht="18" x14ac:dyDescent="0.25">
      <c r="A6068" s="91"/>
      <c r="B6068" s="90"/>
      <c r="C6068" s="88"/>
      <c r="D6068" s="89"/>
      <c r="E6068" s="90"/>
      <c r="F6068" s="91"/>
      <c r="G6068" s="90"/>
      <c r="H6068" s="92"/>
      <c r="I6068" s="87"/>
      <c r="J6068" s="93"/>
      <c r="K6068" s="92"/>
      <c r="L6068" s="72" t="str">
        <f t="shared" si="95"/>
        <v/>
      </c>
      <c r="N6068" s="15"/>
    </row>
    <row r="6069" spans="1:14" s="14" customFormat="1" ht="18" x14ac:dyDescent="0.25">
      <c r="A6069" s="91"/>
      <c r="B6069" s="90"/>
      <c r="C6069" s="88"/>
      <c r="D6069" s="89"/>
      <c r="E6069" s="90"/>
      <c r="F6069" s="91"/>
      <c r="G6069" s="90"/>
      <c r="H6069" s="92"/>
      <c r="I6069" s="87"/>
      <c r="J6069" s="93"/>
      <c r="K6069" s="92"/>
      <c r="L6069" s="72" t="str">
        <f t="shared" si="95"/>
        <v/>
      </c>
      <c r="N6069" s="15"/>
    </row>
    <row r="6070" spans="1:14" s="14" customFormat="1" ht="18" x14ac:dyDescent="0.25">
      <c r="A6070" s="91"/>
      <c r="B6070" s="90"/>
      <c r="C6070" s="88"/>
      <c r="D6070" s="89"/>
      <c r="E6070" s="90"/>
      <c r="F6070" s="91"/>
      <c r="G6070" s="90"/>
      <c r="H6070" s="92"/>
      <c r="I6070" s="87"/>
      <c r="J6070" s="93"/>
      <c r="K6070" s="92"/>
      <c r="L6070" s="72" t="str">
        <f t="shared" si="95"/>
        <v/>
      </c>
      <c r="N6070" s="15"/>
    </row>
    <row r="6071" spans="1:14" s="14" customFormat="1" ht="18" x14ac:dyDescent="0.25">
      <c r="A6071" s="91"/>
      <c r="B6071" s="90"/>
      <c r="C6071" s="88"/>
      <c r="D6071" s="89"/>
      <c r="E6071" s="90"/>
      <c r="F6071" s="91"/>
      <c r="G6071" s="90"/>
      <c r="H6071" s="92"/>
      <c r="I6071" s="87"/>
      <c r="J6071" s="93"/>
      <c r="K6071" s="92"/>
      <c r="L6071" s="72" t="str">
        <f t="shared" si="95"/>
        <v/>
      </c>
      <c r="N6071" s="15"/>
    </row>
    <row r="6072" spans="1:14" s="14" customFormat="1" ht="18" x14ac:dyDescent="0.25">
      <c r="A6072" s="91"/>
      <c r="B6072" s="90"/>
      <c r="C6072" s="88"/>
      <c r="D6072" s="89"/>
      <c r="E6072" s="90"/>
      <c r="F6072" s="91"/>
      <c r="G6072" s="90"/>
      <c r="H6072" s="92"/>
      <c r="I6072" s="87"/>
      <c r="J6072" s="93"/>
      <c r="K6072" s="92"/>
      <c r="L6072" s="72" t="str">
        <f t="shared" si="95"/>
        <v/>
      </c>
      <c r="N6072" s="15"/>
    </row>
    <row r="6073" spans="1:14" s="14" customFormat="1" ht="18" x14ac:dyDescent="0.25">
      <c r="A6073" s="91"/>
      <c r="B6073" s="90"/>
      <c r="C6073" s="88"/>
      <c r="D6073" s="89"/>
      <c r="E6073" s="90"/>
      <c r="F6073" s="91"/>
      <c r="G6073" s="90"/>
      <c r="H6073" s="92"/>
      <c r="I6073" s="87"/>
      <c r="J6073" s="93"/>
      <c r="K6073" s="92"/>
      <c r="L6073" s="72" t="str">
        <f t="shared" si="95"/>
        <v/>
      </c>
      <c r="N6073" s="15"/>
    </row>
    <row r="6074" spans="1:14" s="14" customFormat="1" ht="18" x14ac:dyDescent="0.25">
      <c r="A6074" s="91"/>
      <c r="B6074" s="90"/>
      <c r="C6074" s="88"/>
      <c r="D6074" s="89"/>
      <c r="E6074" s="90"/>
      <c r="F6074" s="91"/>
      <c r="G6074" s="90"/>
      <c r="H6074" s="92"/>
      <c r="I6074" s="87"/>
      <c r="J6074" s="93"/>
      <c r="K6074" s="92"/>
      <c r="L6074" s="72" t="str">
        <f t="shared" si="95"/>
        <v/>
      </c>
      <c r="N6074" s="15"/>
    </row>
    <row r="6075" spans="1:14" s="14" customFormat="1" ht="18" x14ac:dyDescent="0.25">
      <c r="A6075" s="91"/>
      <c r="B6075" s="90"/>
      <c r="C6075" s="88"/>
      <c r="D6075" s="89"/>
      <c r="E6075" s="90"/>
      <c r="F6075" s="91"/>
      <c r="G6075" s="90"/>
      <c r="H6075" s="92"/>
      <c r="I6075" s="87"/>
      <c r="J6075" s="93"/>
      <c r="K6075" s="92"/>
      <c r="L6075" s="72" t="str">
        <f t="shared" si="95"/>
        <v/>
      </c>
      <c r="N6075" s="15"/>
    </row>
    <row r="6076" spans="1:14" s="14" customFormat="1" ht="18" x14ac:dyDescent="0.25">
      <c r="A6076" s="91"/>
      <c r="B6076" s="90"/>
      <c r="C6076" s="88"/>
      <c r="D6076" s="89"/>
      <c r="E6076" s="90"/>
      <c r="F6076" s="91"/>
      <c r="G6076" s="90"/>
      <c r="H6076" s="92"/>
      <c r="I6076" s="87"/>
      <c r="J6076" s="93"/>
      <c r="K6076" s="92"/>
      <c r="L6076" s="72" t="str">
        <f t="shared" si="95"/>
        <v/>
      </c>
      <c r="N6076" s="15"/>
    </row>
    <row r="6077" spans="1:14" s="14" customFormat="1" ht="18" x14ac:dyDescent="0.25">
      <c r="A6077" s="91"/>
      <c r="B6077" s="90"/>
      <c r="C6077" s="88"/>
      <c r="D6077" s="89"/>
      <c r="E6077" s="90"/>
      <c r="F6077" s="91"/>
      <c r="G6077" s="90"/>
      <c r="H6077" s="92"/>
      <c r="I6077" s="87"/>
      <c r="J6077" s="93"/>
      <c r="K6077" s="92"/>
      <c r="L6077" s="72" t="str">
        <f t="shared" si="95"/>
        <v/>
      </c>
      <c r="N6077" s="15"/>
    </row>
    <row r="6078" spans="1:14" s="14" customFormat="1" ht="18" x14ac:dyDescent="0.25">
      <c r="A6078" s="91"/>
      <c r="B6078" s="90"/>
      <c r="C6078" s="88"/>
      <c r="D6078" s="89"/>
      <c r="E6078" s="90"/>
      <c r="F6078" s="91"/>
      <c r="G6078" s="90"/>
      <c r="H6078" s="92"/>
      <c r="I6078" s="87"/>
      <c r="J6078" s="93"/>
      <c r="K6078" s="92"/>
      <c r="L6078" s="72" t="str">
        <f t="shared" si="95"/>
        <v/>
      </c>
      <c r="N6078" s="15"/>
    </row>
    <row r="6079" spans="1:14" s="14" customFormat="1" ht="18" x14ac:dyDescent="0.25">
      <c r="A6079" s="91"/>
      <c r="B6079" s="90"/>
      <c r="C6079" s="88"/>
      <c r="D6079" s="89"/>
      <c r="E6079" s="90"/>
      <c r="F6079" s="91"/>
      <c r="G6079" s="90"/>
      <c r="H6079" s="92"/>
      <c r="I6079" s="87"/>
      <c r="J6079" s="93"/>
      <c r="K6079" s="92"/>
      <c r="L6079" s="72" t="str">
        <f t="shared" si="95"/>
        <v/>
      </c>
      <c r="N6079" s="15"/>
    </row>
    <row r="6080" spans="1:14" s="14" customFormat="1" ht="18" x14ac:dyDescent="0.25">
      <c r="A6080" s="91"/>
      <c r="B6080" s="90"/>
      <c r="C6080" s="88"/>
      <c r="D6080" s="89"/>
      <c r="E6080" s="90"/>
      <c r="F6080" s="91"/>
      <c r="G6080" s="90"/>
      <c r="H6080" s="92"/>
      <c r="I6080" s="87"/>
      <c r="J6080" s="93"/>
      <c r="K6080" s="92"/>
      <c r="L6080" s="72" t="str">
        <f t="shared" si="95"/>
        <v/>
      </c>
      <c r="N6080" s="15"/>
    </row>
    <row r="6081" spans="1:14" s="14" customFormat="1" ht="18" x14ac:dyDescent="0.25">
      <c r="A6081" s="91"/>
      <c r="B6081" s="90"/>
      <c r="C6081" s="88"/>
      <c r="D6081" s="89"/>
      <c r="E6081" s="90"/>
      <c r="F6081" s="91"/>
      <c r="G6081" s="90"/>
      <c r="H6081" s="92"/>
      <c r="I6081" s="87"/>
      <c r="J6081" s="93"/>
      <c r="K6081" s="92"/>
      <c r="L6081" s="72" t="str">
        <f t="shared" si="95"/>
        <v/>
      </c>
      <c r="N6081" s="15"/>
    </row>
    <row r="6082" spans="1:14" s="14" customFormat="1" ht="18" x14ac:dyDescent="0.25">
      <c r="A6082" s="91"/>
      <c r="B6082" s="90"/>
      <c r="C6082" s="88"/>
      <c r="D6082" s="89"/>
      <c r="E6082" s="90"/>
      <c r="F6082" s="91"/>
      <c r="G6082" s="90"/>
      <c r="H6082" s="92"/>
      <c r="I6082" s="87"/>
      <c r="J6082" s="93"/>
      <c r="K6082" s="92"/>
      <c r="L6082" s="72" t="str">
        <f t="shared" si="95"/>
        <v/>
      </c>
      <c r="N6082" s="15"/>
    </row>
    <row r="6083" spans="1:14" s="14" customFormat="1" ht="18" x14ac:dyDescent="0.25">
      <c r="A6083" s="91"/>
      <c r="B6083" s="90"/>
      <c r="C6083" s="88"/>
      <c r="D6083" s="89"/>
      <c r="E6083" s="90"/>
      <c r="F6083" s="91"/>
      <c r="G6083" s="90"/>
      <c r="H6083" s="92"/>
      <c r="I6083" s="87"/>
      <c r="J6083" s="93"/>
      <c r="K6083" s="92"/>
      <c r="L6083" s="72" t="str">
        <f t="shared" si="95"/>
        <v/>
      </c>
      <c r="N6083" s="15"/>
    </row>
    <row r="6084" spans="1:14" s="14" customFormat="1" ht="18" x14ac:dyDescent="0.25">
      <c r="A6084" s="91"/>
      <c r="B6084" s="90"/>
      <c r="C6084" s="88"/>
      <c r="D6084" s="89"/>
      <c r="E6084" s="90"/>
      <c r="F6084" s="91"/>
      <c r="G6084" s="90"/>
      <c r="H6084" s="92"/>
      <c r="I6084" s="87"/>
      <c r="J6084" s="93"/>
      <c r="K6084" s="92"/>
      <c r="L6084" s="72" t="str">
        <f t="shared" si="95"/>
        <v/>
      </c>
      <c r="N6084" s="15"/>
    </row>
    <row r="6085" spans="1:14" s="14" customFormat="1" ht="18" x14ac:dyDescent="0.25">
      <c r="A6085" s="91"/>
      <c r="B6085" s="90"/>
      <c r="C6085" s="88"/>
      <c r="D6085" s="89"/>
      <c r="E6085" s="90"/>
      <c r="F6085" s="91"/>
      <c r="G6085" s="90"/>
      <c r="H6085" s="92"/>
      <c r="I6085" s="87"/>
      <c r="J6085" s="93"/>
      <c r="K6085" s="92"/>
      <c r="L6085" s="72" t="str">
        <f t="shared" si="95"/>
        <v/>
      </c>
      <c r="N6085" s="15"/>
    </row>
    <row r="6086" spans="1:14" s="14" customFormat="1" ht="18" x14ac:dyDescent="0.25">
      <c r="A6086" s="91"/>
      <c r="B6086" s="90"/>
      <c r="C6086" s="88"/>
      <c r="D6086" s="89"/>
      <c r="E6086" s="90"/>
      <c r="F6086" s="91"/>
      <c r="G6086" s="90"/>
      <c r="H6086" s="92"/>
      <c r="I6086" s="87"/>
      <c r="J6086" s="93"/>
      <c r="K6086" s="92"/>
      <c r="L6086" s="72" t="str">
        <f t="shared" si="95"/>
        <v/>
      </c>
      <c r="N6086" s="15"/>
    </row>
    <row r="6087" spans="1:14" s="14" customFormat="1" ht="18" x14ac:dyDescent="0.25">
      <c r="A6087" s="91"/>
      <c r="B6087" s="90"/>
      <c r="C6087" s="88"/>
      <c r="D6087" s="89"/>
      <c r="E6087" s="90"/>
      <c r="F6087" s="91"/>
      <c r="G6087" s="90"/>
      <c r="H6087" s="92"/>
      <c r="I6087" s="87"/>
      <c r="J6087" s="93"/>
      <c r="K6087" s="92"/>
      <c r="L6087" s="72" t="str">
        <f t="shared" si="95"/>
        <v/>
      </c>
      <c r="N6087" s="15"/>
    </row>
    <row r="6088" spans="1:14" s="14" customFormat="1" ht="18" x14ac:dyDescent="0.25">
      <c r="A6088" s="91"/>
      <c r="B6088" s="90"/>
      <c r="C6088" s="88"/>
      <c r="D6088" s="89"/>
      <c r="E6088" s="90"/>
      <c r="F6088" s="91"/>
      <c r="G6088" s="90"/>
      <c r="H6088" s="92"/>
      <c r="I6088" s="87"/>
      <c r="J6088" s="93"/>
      <c r="K6088" s="92"/>
      <c r="L6088" s="72" t="str">
        <f t="shared" si="95"/>
        <v/>
      </c>
      <c r="N6088" s="15"/>
    </row>
    <row r="6089" spans="1:14" s="14" customFormat="1" ht="18" x14ac:dyDescent="0.25">
      <c r="A6089" s="91"/>
      <c r="B6089" s="90"/>
      <c r="C6089" s="88"/>
      <c r="D6089" s="89"/>
      <c r="E6089" s="90"/>
      <c r="F6089" s="91"/>
      <c r="G6089" s="90"/>
      <c r="H6089" s="92"/>
      <c r="I6089" s="87"/>
      <c r="J6089" s="93"/>
      <c r="K6089" s="92"/>
      <c r="L6089" s="72" t="str">
        <f t="shared" si="95"/>
        <v/>
      </c>
      <c r="N6089" s="15"/>
    </row>
    <row r="6090" spans="1:14" s="14" customFormat="1" ht="18" x14ac:dyDescent="0.25">
      <c r="A6090" s="91"/>
      <c r="B6090" s="90"/>
      <c r="C6090" s="88"/>
      <c r="D6090" s="89"/>
      <c r="E6090" s="90"/>
      <c r="F6090" s="91"/>
      <c r="G6090" s="90"/>
      <c r="H6090" s="92"/>
      <c r="I6090" s="87"/>
      <c r="J6090" s="93"/>
      <c r="K6090" s="92"/>
      <c r="L6090" s="72" t="str">
        <f t="shared" si="95"/>
        <v/>
      </c>
      <c r="N6090" s="15"/>
    </row>
    <row r="6091" spans="1:14" s="14" customFormat="1" ht="18" x14ac:dyDescent="0.25">
      <c r="A6091" s="91"/>
      <c r="B6091" s="90"/>
      <c r="C6091" s="88"/>
      <c r="D6091" s="89"/>
      <c r="E6091" s="90"/>
      <c r="F6091" s="91"/>
      <c r="G6091" s="90"/>
      <c r="H6091" s="92"/>
      <c r="I6091" s="87"/>
      <c r="J6091" s="93"/>
      <c r="K6091" s="92"/>
      <c r="L6091" s="72" t="str">
        <f t="shared" si="95"/>
        <v/>
      </c>
      <c r="N6091" s="15"/>
    </row>
    <row r="6092" spans="1:14" s="14" customFormat="1" ht="18" x14ac:dyDescent="0.25">
      <c r="A6092" s="91"/>
      <c r="B6092" s="90"/>
      <c r="C6092" s="88"/>
      <c r="D6092" s="89"/>
      <c r="E6092" s="90"/>
      <c r="F6092" s="91"/>
      <c r="G6092" s="90"/>
      <c r="H6092" s="92"/>
      <c r="I6092" s="87"/>
      <c r="J6092" s="93"/>
      <c r="K6092" s="92"/>
      <c r="L6092" s="72" t="str">
        <f t="shared" si="95"/>
        <v/>
      </c>
      <c r="N6092" s="15"/>
    </row>
    <row r="6093" spans="1:14" s="14" customFormat="1" ht="18" x14ac:dyDescent="0.25">
      <c r="A6093" s="91"/>
      <c r="B6093" s="90"/>
      <c r="C6093" s="88"/>
      <c r="D6093" s="89"/>
      <c r="E6093" s="90"/>
      <c r="F6093" s="91"/>
      <c r="G6093" s="90"/>
      <c r="H6093" s="92"/>
      <c r="I6093" s="87"/>
      <c r="J6093" s="93"/>
      <c r="K6093" s="92"/>
      <c r="L6093" s="72" t="str">
        <f t="shared" si="95"/>
        <v/>
      </c>
      <c r="N6093" s="15"/>
    </row>
    <row r="6094" spans="1:14" s="14" customFormat="1" ht="18" x14ac:dyDescent="0.25">
      <c r="A6094" s="91"/>
      <c r="B6094" s="90"/>
      <c r="C6094" s="88"/>
      <c r="D6094" s="89"/>
      <c r="E6094" s="90"/>
      <c r="F6094" s="91"/>
      <c r="G6094" s="90"/>
      <c r="H6094" s="92"/>
      <c r="I6094" s="87"/>
      <c r="J6094" s="93"/>
      <c r="K6094" s="92"/>
      <c r="L6094" s="72" t="str">
        <f t="shared" si="95"/>
        <v/>
      </c>
      <c r="N6094" s="15"/>
    </row>
    <row r="6095" spans="1:14" s="14" customFormat="1" ht="18" x14ac:dyDescent="0.25">
      <c r="A6095" s="91"/>
      <c r="B6095" s="90"/>
      <c r="C6095" s="88"/>
      <c r="D6095" s="89"/>
      <c r="E6095" s="90"/>
      <c r="F6095" s="91"/>
      <c r="G6095" s="90"/>
      <c r="H6095" s="92"/>
      <c r="I6095" s="87"/>
      <c r="J6095" s="93"/>
      <c r="K6095" s="92"/>
      <c r="L6095" s="72" t="str">
        <f t="shared" si="95"/>
        <v/>
      </c>
      <c r="N6095" s="15"/>
    </row>
    <row r="6096" spans="1:14" s="14" customFormat="1" ht="18" x14ac:dyDescent="0.25">
      <c r="A6096" s="91"/>
      <c r="B6096" s="90"/>
      <c r="C6096" s="88"/>
      <c r="D6096" s="89"/>
      <c r="E6096" s="90"/>
      <c r="F6096" s="91"/>
      <c r="G6096" s="90"/>
      <c r="H6096" s="92"/>
      <c r="I6096" s="87"/>
      <c r="J6096" s="93"/>
      <c r="K6096" s="92"/>
      <c r="L6096" s="72" t="str">
        <f t="shared" si="95"/>
        <v/>
      </c>
      <c r="N6096" s="15"/>
    </row>
    <row r="6097" spans="1:14" s="14" customFormat="1" ht="18" x14ac:dyDescent="0.25">
      <c r="A6097" s="91"/>
      <c r="B6097" s="90"/>
      <c r="C6097" s="88"/>
      <c r="D6097" s="89"/>
      <c r="E6097" s="90"/>
      <c r="F6097" s="91"/>
      <c r="G6097" s="90"/>
      <c r="H6097" s="92"/>
      <c r="I6097" s="87"/>
      <c r="J6097" s="93"/>
      <c r="K6097" s="92"/>
      <c r="L6097" s="72" t="str">
        <f t="shared" si="95"/>
        <v/>
      </c>
      <c r="N6097" s="15"/>
    </row>
    <row r="6098" spans="1:14" s="14" customFormat="1" ht="18" x14ac:dyDescent="0.25">
      <c r="A6098" s="91"/>
      <c r="B6098" s="90"/>
      <c r="C6098" s="88"/>
      <c r="D6098" s="89"/>
      <c r="E6098" s="90"/>
      <c r="F6098" s="91"/>
      <c r="G6098" s="90"/>
      <c r="H6098" s="92"/>
      <c r="I6098" s="87"/>
      <c r="J6098" s="93"/>
      <c r="K6098" s="92"/>
      <c r="L6098" s="72" t="str">
        <f t="shared" si="95"/>
        <v/>
      </c>
      <c r="N6098" s="15"/>
    </row>
    <row r="6099" spans="1:14" s="14" customFormat="1" ht="18" x14ac:dyDescent="0.25">
      <c r="A6099" s="91"/>
      <c r="B6099" s="90"/>
      <c r="C6099" s="88"/>
      <c r="D6099" s="89"/>
      <c r="E6099" s="90"/>
      <c r="F6099" s="91"/>
      <c r="G6099" s="90"/>
      <c r="H6099" s="92"/>
      <c r="I6099" s="87"/>
      <c r="J6099" s="93"/>
      <c r="K6099" s="92"/>
      <c r="L6099" s="72" t="str">
        <f t="shared" si="95"/>
        <v/>
      </c>
      <c r="N6099" s="15"/>
    </row>
    <row r="6100" spans="1:14" s="14" customFormat="1" ht="18" x14ac:dyDescent="0.25">
      <c r="A6100" s="91"/>
      <c r="B6100" s="90"/>
      <c r="C6100" s="88"/>
      <c r="D6100" s="89"/>
      <c r="E6100" s="90"/>
      <c r="F6100" s="91"/>
      <c r="G6100" s="90"/>
      <c r="H6100" s="92"/>
      <c r="I6100" s="87"/>
      <c r="J6100" s="93"/>
      <c r="K6100" s="92"/>
      <c r="L6100" s="72" t="str">
        <f t="shared" si="95"/>
        <v/>
      </c>
      <c r="N6100" s="15"/>
    </row>
    <row r="6101" spans="1:14" s="14" customFormat="1" ht="18" x14ac:dyDescent="0.25">
      <c r="A6101" s="91"/>
      <c r="B6101" s="90"/>
      <c r="C6101" s="88"/>
      <c r="D6101" s="89"/>
      <c r="E6101" s="90"/>
      <c r="F6101" s="91"/>
      <c r="G6101" s="90"/>
      <c r="H6101" s="92"/>
      <c r="I6101" s="87"/>
      <c r="J6101" s="93"/>
      <c r="K6101" s="92"/>
      <c r="L6101" s="72" t="str">
        <f t="shared" si="95"/>
        <v/>
      </c>
      <c r="N6101" s="15"/>
    </row>
    <row r="6102" spans="1:14" s="14" customFormat="1" ht="18" x14ac:dyDescent="0.25">
      <c r="A6102" s="91"/>
      <c r="B6102" s="90"/>
      <c r="C6102" s="88"/>
      <c r="D6102" s="89"/>
      <c r="E6102" s="90"/>
      <c r="F6102" s="91"/>
      <c r="G6102" s="90"/>
      <c r="H6102" s="92"/>
      <c r="I6102" s="87"/>
      <c r="J6102" s="93"/>
      <c r="K6102" s="92"/>
      <c r="L6102" s="72" t="str">
        <f t="shared" si="95"/>
        <v/>
      </c>
      <c r="N6102" s="15"/>
    </row>
    <row r="6103" spans="1:14" s="14" customFormat="1" ht="18" x14ac:dyDescent="0.25">
      <c r="A6103" s="91"/>
      <c r="B6103" s="90"/>
      <c r="C6103" s="88"/>
      <c r="D6103" s="89"/>
      <c r="E6103" s="90"/>
      <c r="F6103" s="91"/>
      <c r="G6103" s="90"/>
      <c r="H6103" s="92"/>
      <c r="I6103" s="87"/>
      <c r="J6103" s="93"/>
      <c r="K6103" s="92"/>
      <c r="L6103" s="72" t="str">
        <f t="shared" si="95"/>
        <v/>
      </c>
      <c r="N6103" s="15"/>
    </row>
    <row r="6104" spans="1:14" s="14" customFormat="1" ht="18" x14ac:dyDescent="0.25">
      <c r="A6104" s="91"/>
      <c r="B6104" s="90"/>
      <c r="C6104" s="88"/>
      <c r="D6104" s="89"/>
      <c r="E6104" s="90"/>
      <c r="F6104" s="91"/>
      <c r="G6104" s="90"/>
      <c r="H6104" s="92"/>
      <c r="I6104" s="87"/>
      <c r="J6104" s="93"/>
      <c r="K6104" s="92"/>
      <c r="L6104" s="72" t="str">
        <f t="shared" si="95"/>
        <v/>
      </c>
      <c r="N6104" s="15"/>
    </row>
    <row r="6105" spans="1:14" s="14" customFormat="1" ht="18" x14ac:dyDescent="0.25">
      <c r="A6105" s="91"/>
      <c r="B6105" s="90"/>
      <c r="C6105" s="88"/>
      <c r="D6105" s="89"/>
      <c r="E6105" s="90"/>
      <c r="F6105" s="91"/>
      <c r="G6105" s="90"/>
      <c r="H6105" s="92"/>
      <c r="I6105" s="87"/>
      <c r="J6105" s="93"/>
      <c r="K6105" s="92"/>
      <c r="L6105" s="72" t="str">
        <f t="shared" si="95"/>
        <v/>
      </c>
      <c r="N6105" s="15"/>
    </row>
    <row r="6106" spans="1:14" s="14" customFormat="1" ht="18" x14ac:dyDescent="0.25">
      <c r="A6106" s="91"/>
      <c r="B6106" s="90"/>
      <c r="C6106" s="88"/>
      <c r="D6106" s="89"/>
      <c r="E6106" s="90"/>
      <c r="F6106" s="91"/>
      <c r="G6106" s="90"/>
      <c r="H6106" s="92"/>
      <c r="I6106" s="87"/>
      <c r="J6106" s="93"/>
      <c r="K6106" s="92"/>
      <c r="L6106" s="72" t="str">
        <f t="shared" si="95"/>
        <v/>
      </c>
      <c r="N6106" s="15"/>
    </row>
    <row r="6107" spans="1:14" s="14" customFormat="1" ht="18" x14ac:dyDescent="0.25">
      <c r="A6107" s="91"/>
      <c r="B6107" s="90"/>
      <c r="C6107" s="88"/>
      <c r="D6107" s="89"/>
      <c r="E6107" s="90"/>
      <c r="F6107" s="91"/>
      <c r="G6107" s="90"/>
      <c r="H6107" s="92"/>
      <c r="I6107" s="87"/>
      <c r="J6107" s="93"/>
      <c r="K6107" s="92"/>
      <c r="L6107" s="72" t="str">
        <f t="shared" si="95"/>
        <v/>
      </c>
      <c r="N6107" s="15"/>
    </row>
    <row r="6108" spans="1:14" s="14" customFormat="1" ht="18" x14ac:dyDescent="0.25">
      <c r="A6108" s="91"/>
      <c r="B6108" s="90"/>
      <c r="C6108" s="88"/>
      <c r="D6108" s="89"/>
      <c r="E6108" s="90"/>
      <c r="F6108" s="91"/>
      <c r="G6108" s="90"/>
      <c r="H6108" s="92"/>
      <c r="I6108" s="87"/>
      <c r="J6108" s="93"/>
      <c r="K6108" s="92"/>
      <c r="L6108" s="72" t="str">
        <f t="shared" si="95"/>
        <v/>
      </c>
      <c r="N6108" s="15"/>
    </row>
    <row r="6109" spans="1:14" s="14" customFormat="1" ht="18" x14ac:dyDescent="0.25">
      <c r="A6109" s="91"/>
      <c r="B6109" s="90"/>
      <c r="C6109" s="88"/>
      <c r="D6109" s="89"/>
      <c r="E6109" s="90"/>
      <c r="F6109" s="91"/>
      <c r="G6109" s="90"/>
      <c r="H6109" s="92"/>
      <c r="I6109" s="87"/>
      <c r="J6109" s="93"/>
      <c r="K6109" s="92"/>
      <c r="L6109" s="72" t="str">
        <f t="shared" si="95"/>
        <v/>
      </c>
      <c r="N6109" s="15"/>
    </row>
    <row r="6110" spans="1:14" s="14" customFormat="1" ht="18" x14ac:dyDescent="0.25">
      <c r="A6110" s="91"/>
      <c r="B6110" s="90"/>
      <c r="C6110" s="88"/>
      <c r="D6110" s="89"/>
      <c r="E6110" s="90"/>
      <c r="F6110" s="91"/>
      <c r="G6110" s="90"/>
      <c r="H6110" s="92"/>
      <c r="I6110" s="87"/>
      <c r="J6110" s="93"/>
      <c r="K6110" s="92"/>
      <c r="L6110" s="72" t="str">
        <f t="shared" ref="L6110:L6173" si="96">IF(ISBLANK(H6110),"",IF(H6110=K6110,"Payé","Impayé"))</f>
        <v/>
      </c>
      <c r="N6110" s="15"/>
    </row>
    <row r="6111" spans="1:14" s="14" customFormat="1" ht="18" x14ac:dyDescent="0.25">
      <c r="A6111" s="91"/>
      <c r="B6111" s="90"/>
      <c r="C6111" s="88"/>
      <c r="D6111" s="89"/>
      <c r="E6111" s="90"/>
      <c r="F6111" s="91"/>
      <c r="G6111" s="90"/>
      <c r="H6111" s="92"/>
      <c r="I6111" s="87"/>
      <c r="J6111" s="93"/>
      <c r="K6111" s="92"/>
      <c r="L6111" s="72" t="str">
        <f t="shared" si="96"/>
        <v/>
      </c>
      <c r="N6111" s="15"/>
    </row>
    <row r="6112" spans="1:14" s="14" customFormat="1" ht="18" x14ac:dyDescent="0.25">
      <c r="A6112" s="91"/>
      <c r="B6112" s="90"/>
      <c r="C6112" s="88"/>
      <c r="D6112" s="89"/>
      <c r="E6112" s="90"/>
      <c r="F6112" s="91"/>
      <c r="G6112" s="90"/>
      <c r="H6112" s="92"/>
      <c r="I6112" s="87"/>
      <c r="J6112" s="93"/>
      <c r="K6112" s="92"/>
      <c r="L6112" s="72" t="str">
        <f t="shared" si="96"/>
        <v/>
      </c>
      <c r="N6112" s="15"/>
    </row>
    <row r="6113" spans="1:14" s="14" customFormat="1" ht="18" x14ac:dyDescent="0.25">
      <c r="A6113" s="91"/>
      <c r="B6113" s="90"/>
      <c r="C6113" s="88"/>
      <c r="D6113" s="89"/>
      <c r="E6113" s="90"/>
      <c r="F6113" s="91"/>
      <c r="G6113" s="90"/>
      <c r="H6113" s="92"/>
      <c r="I6113" s="87"/>
      <c r="J6113" s="93"/>
      <c r="K6113" s="92"/>
      <c r="L6113" s="72" t="str">
        <f t="shared" si="96"/>
        <v/>
      </c>
      <c r="N6113" s="15"/>
    </row>
    <row r="6114" spans="1:14" s="14" customFormat="1" ht="18" x14ac:dyDescent="0.25">
      <c r="A6114" s="91"/>
      <c r="B6114" s="90"/>
      <c r="C6114" s="88"/>
      <c r="D6114" s="89"/>
      <c r="E6114" s="90"/>
      <c r="F6114" s="91"/>
      <c r="G6114" s="90"/>
      <c r="H6114" s="92"/>
      <c r="I6114" s="87"/>
      <c r="J6114" s="93"/>
      <c r="K6114" s="92"/>
      <c r="L6114" s="72" t="str">
        <f t="shared" si="96"/>
        <v/>
      </c>
      <c r="N6114" s="15"/>
    </row>
    <row r="6115" spans="1:14" s="14" customFormat="1" ht="18" x14ac:dyDescent="0.25">
      <c r="A6115" s="91"/>
      <c r="B6115" s="90"/>
      <c r="C6115" s="88"/>
      <c r="D6115" s="89"/>
      <c r="E6115" s="90"/>
      <c r="F6115" s="91"/>
      <c r="G6115" s="90"/>
      <c r="H6115" s="92"/>
      <c r="I6115" s="87"/>
      <c r="J6115" s="93"/>
      <c r="K6115" s="92"/>
      <c r="L6115" s="72" t="str">
        <f t="shared" si="96"/>
        <v/>
      </c>
      <c r="N6115" s="15"/>
    </row>
    <row r="6116" spans="1:14" s="14" customFormat="1" ht="18" x14ac:dyDescent="0.25">
      <c r="A6116" s="91"/>
      <c r="B6116" s="90"/>
      <c r="C6116" s="88"/>
      <c r="D6116" s="89"/>
      <c r="E6116" s="90"/>
      <c r="F6116" s="91"/>
      <c r="G6116" s="90"/>
      <c r="H6116" s="92"/>
      <c r="I6116" s="87"/>
      <c r="J6116" s="93"/>
      <c r="K6116" s="92"/>
      <c r="L6116" s="72" t="str">
        <f t="shared" si="96"/>
        <v/>
      </c>
      <c r="N6116" s="15"/>
    </row>
    <row r="6117" spans="1:14" s="14" customFormat="1" ht="18" x14ac:dyDescent="0.25">
      <c r="A6117" s="91"/>
      <c r="B6117" s="90"/>
      <c r="C6117" s="88"/>
      <c r="D6117" s="89"/>
      <c r="E6117" s="90"/>
      <c r="F6117" s="91"/>
      <c r="G6117" s="90"/>
      <c r="H6117" s="92"/>
      <c r="I6117" s="87"/>
      <c r="J6117" s="93"/>
      <c r="K6117" s="92"/>
      <c r="L6117" s="72" t="str">
        <f t="shared" si="96"/>
        <v/>
      </c>
      <c r="N6117" s="15"/>
    </row>
    <row r="6118" spans="1:14" s="14" customFormat="1" ht="18" x14ac:dyDescent="0.25">
      <c r="A6118" s="91"/>
      <c r="B6118" s="90"/>
      <c r="C6118" s="88"/>
      <c r="D6118" s="89"/>
      <c r="E6118" s="90"/>
      <c r="F6118" s="91"/>
      <c r="G6118" s="90"/>
      <c r="H6118" s="92"/>
      <c r="I6118" s="87"/>
      <c r="J6118" s="93"/>
      <c r="K6118" s="92"/>
      <c r="L6118" s="72" t="str">
        <f t="shared" si="96"/>
        <v/>
      </c>
      <c r="N6118" s="15"/>
    </row>
    <row r="6119" spans="1:14" s="14" customFormat="1" ht="18" x14ac:dyDescent="0.25">
      <c r="A6119" s="91"/>
      <c r="B6119" s="90"/>
      <c r="C6119" s="88"/>
      <c r="D6119" s="89"/>
      <c r="E6119" s="90"/>
      <c r="F6119" s="91"/>
      <c r="G6119" s="90"/>
      <c r="H6119" s="92"/>
      <c r="I6119" s="87"/>
      <c r="J6119" s="93"/>
      <c r="K6119" s="92"/>
      <c r="L6119" s="72" t="str">
        <f t="shared" si="96"/>
        <v/>
      </c>
      <c r="N6119" s="15"/>
    </row>
    <row r="6120" spans="1:14" s="14" customFormat="1" ht="18" x14ac:dyDescent="0.25">
      <c r="A6120" s="91"/>
      <c r="B6120" s="90"/>
      <c r="C6120" s="88"/>
      <c r="D6120" s="89"/>
      <c r="E6120" s="90"/>
      <c r="F6120" s="91"/>
      <c r="G6120" s="90"/>
      <c r="H6120" s="92"/>
      <c r="I6120" s="87"/>
      <c r="J6120" s="93"/>
      <c r="K6120" s="92"/>
      <c r="L6120" s="72" t="str">
        <f t="shared" si="96"/>
        <v/>
      </c>
      <c r="N6120" s="15"/>
    </row>
    <row r="6121" spans="1:14" s="14" customFormat="1" ht="18" x14ac:dyDescent="0.25">
      <c r="A6121" s="91"/>
      <c r="B6121" s="90"/>
      <c r="C6121" s="88"/>
      <c r="D6121" s="89"/>
      <c r="E6121" s="90"/>
      <c r="F6121" s="91"/>
      <c r="G6121" s="90"/>
      <c r="H6121" s="92"/>
      <c r="I6121" s="87"/>
      <c r="J6121" s="93"/>
      <c r="K6121" s="92"/>
      <c r="L6121" s="72" t="str">
        <f t="shared" si="96"/>
        <v/>
      </c>
      <c r="N6121" s="15"/>
    </row>
    <row r="6122" spans="1:14" s="14" customFormat="1" ht="18" x14ac:dyDescent="0.25">
      <c r="A6122" s="91"/>
      <c r="B6122" s="90"/>
      <c r="C6122" s="88"/>
      <c r="D6122" s="89"/>
      <c r="E6122" s="90"/>
      <c r="F6122" s="91"/>
      <c r="G6122" s="90"/>
      <c r="H6122" s="92"/>
      <c r="I6122" s="87"/>
      <c r="J6122" s="93"/>
      <c r="K6122" s="92"/>
      <c r="L6122" s="72" t="str">
        <f t="shared" si="96"/>
        <v/>
      </c>
      <c r="N6122" s="15"/>
    </row>
    <row r="6123" spans="1:14" s="14" customFormat="1" ht="18" x14ac:dyDescent="0.25">
      <c r="A6123" s="91"/>
      <c r="B6123" s="90"/>
      <c r="C6123" s="88"/>
      <c r="D6123" s="89"/>
      <c r="E6123" s="90"/>
      <c r="F6123" s="91"/>
      <c r="G6123" s="90"/>
      <c r="H6123" s="92"/>
      <c r="I6123" s="87"/>
      <c r="J6123" s="93"/>
      <c r="K6123" s="92"/>
      <c r="L6123" s="72" t="str">
        <f t="shared" si="96"/>
        <v/>
      </c>
      <c r="N6123" s="15"/>
    </row>
    <row r="6124" spans="1:14" s="14" customFormat="1" ht="18" x14ac:dyDescent="0.25">
      <c r="A6124" s="91"/>
      <c r="B6124" s="90"/>
      <c r="C6124" s="88"/>
      <c r="D6124" s="89"/>
      <c r="E6124" s="90"/>
      <c r="F6124" s="91"/>
      <c r="G6124" s="90"/>
      <c r="H6124" s="92"/>
      <c r="I6124" s="87"/>
      <c r="J6124" s="93"/>
      <c r="K6124" s="92"/>
      <c r="L6124" s="72" t="str">
        <f t="shared" si="96"/>
        <v/>
      </c>
      <c r="N6124" s="15"/>
    </row>
    <row r="6125" spans="1:14" s="14" customFormat="1" ht="18" x14ac:dyDescent="0.25">
      <c r="A6125" s="91"/>
      <c r="B6125" s="90"/>
      <c r="C6125" s="88"/>
      <c r="D6125" s="89"/>
      <c r="E6125" s="90"/>
      <c r="F6125" s="91"/>
      <c r="G6125" s="90"/>
      <c r="H6125" s="92"/>
      <c r="I6125" s="87"/>
      <c r="J6125" s="93"/>
      <c r="K6125" s="92"/>
      <c r="L6125" s="72" t="str">
        <f t="shared" si="96"/>
        <v/>
      </c>
      <c r="N6125" s="15"/>
    </row>
    <row r="6126" spans="1:14" s="14" customFormat="1" ht="18" x14ac:dyDescent="0.25">
      <c r="A6126" s="91"/>
      <c r="B6126" s="90"/>
      <c r="C6126" s="88"/>
      <c r="D6126" s="89"/>
      <c r="E6126" s="90"/>
      <c r="F6126" s="91"/>
      <c r="G6126" s="90"/>
      <c r="H6126" s="92"/>
      <c r="I6126" s="87"/>
      <c r="J6126" s="93"/>
      <c r="K6126" s="92"/>
      <c r="L6126" s="72" t="str">
        <f t="shared" si="96"/>
        <v/>
      </c>
      <c r="N6126" s="15"/>
    </row>
    <row r="6127" spans="1:14" s="14" customFormat="1" ht="18" x14ac:dyDescent="0.25">
      <c r="A6127" s="91"/>
      <c r="B6127" s="90"/>
      <c r="C6127" s="88"/>
      <c r="D6127" s="89"/>
      <c r="E6127" s="90"/>
      <c r="F6127" s="91"/>
      <c r="G6127" s="90"/>
      <c r="H6127" s="92"/>
      <c r="I6127" s="87"/>
      <c r="J6127" s="93"/>
      <c r="K6127" s="92"/>
      <c r="L6127" s="72" t="str">
        <f t="shared" si="96"/>
        <v/>
      </c>
      <c r="N6127" s="15"/>
    </row>
    <row r="6128" spans="1:14" s="14" customFormat="1" ht="18" x14ac:dyDescent="0.25">
      <c r="A6128" s="91"/>
      <c r="B6128" s="90"/>
      <c r="C6128" s="88"/>
      <c r="D6128" s="89"/>
      <c r="E6128" s="90"/>
      <c r="F6128" s="91"/>
      <c r="G6128" s="90"/>
      <c r="H6128" s="92"/>
      <c r="I6128" s="87"/>
      <c r="J6128" s="93"/>
      <c r="K6128" s="92"/>
      <c r="L6128" s="72" t="str">
        <f t="shared" si="96"/>
        <v/>
      </c>
      <c r="N6128" s="15"/>
    </row>
    <row r="6129" spans="1:14" s="14" customFormat="1" ht="18" x14ac:dyDescent="0.25">
      <c r="A6129" s="91"/>
      <c r="B6129" s="90"/>
      <c r="C6129" s="88"/>
      <c r="D6129" s="89"/>
      <c r="E6129" s="90"/>
      <c r="F6129" s="91"/>
      <c r="G6129" s="90"/>
      <c r="H6129" s="92"/>
      <c r="I6129" s="87"/>
      <c r="J6129" s="93"/>
      <c r="K6129" s="92"/>
      <c r="L6129" s="72" t="str">
        <f t="shared" si="96"/>
        <v/>
      </c>
      <c r="N6129" s="15"/>
    </row>
    <row r="6130" spans="1:14" s="14" customFormat="1" ht="18" x14ac:dyDescent="0.25">
      <c r="A6130" s="91"/>
      <c r="B6130" s="90"/>
      <c r="C6130" s="88"/>
      <c r="D6130" s="89"/>
      <c r="E6130" s="90"/>
      <c r="F6130" s="91"/>
      <c r="G6130" s="90"/>
      <c r="H6130" s="92"/>
      <c r="I6130" s="87"/>
      <c r="J6130" s="93"/>
      <c r="K6130" s="92"/>
      <c r="L6130" s="72" t="str">
        <f t="shared" si="96"/>
        <v/>
      </c>
      <c r="N6130" s="15"/>
    </row>
    <row r="6131" spans="1:14" s="14" customFormat="1" ht="18" x14ac:dyDescent="0.25">
      <c r="A6131" s="91"/>
      <c r="B6131" s="90"/>
      <c r="C6131" s="88"/>
      <c r="D6131" s="89"/>
      <c r="E6131" s="90"/>
      <c r="F6131" s="91"/>
      <c r="G6131" s="90"/>
      <c r="H6131" s="92"/>
      <c r="I6131" s="87"/>
      <c r="J6131" s="93"/>
      <c r="K6131" s="92"/>
      <c r="L6131" s="72" t="str">
        <f t="shared" si="96"/>
        <v/>
      </c>
      <c r="N6131" s="15"/>
    </row>
    <row r="6132" spans="1:14" s="14" customFormat="1" ht="18" x14ac:dyDescent="0.25">
      <c r="A6132" s="91"/>
      <c r="B6132" s="90"/>
      <c r="C6132" s="88"/>
      <c r="D6132" s="89"/>
      <c r="E6132" s="90"/>
      <c r="F6132" s="91"/>
      <c r="G6132" s="90"/>
      <c r="H6132" s="92"/>
      <c r="I6132" s="87"/>
      <c r="J6132" s="93"/>
      <c r="K6132" s="92"/>
      <c r="L6132" s="72" t="str">
        <f t="shared" si="96"/>
        <v/>
      </c>
      <c r="N6132" s="15"/>
    </row>
    <row r="6133" spans="1:14" s="14" customFormat="1" ht="18" x14ac:dyDescent="0.25">
      <c r="A6133" s="91"/>
      <c r="B6133" s="90"/>
      <c r="C6133" s="88"/>
      <c r="D6133" s="89"/>
      <c r="E6133" s="90"/>
      <c r="F6133" s="91"/>
      <c r="G6133" s="90"/>
      <c r="H6133" s="92"/>
      <c r="I6133" s="87"/>
      <c r="J6133" s="93"/>
      <c r="K6133" s="92"/>
      <c r="L6133" s="72" t="str">
        <f t="shared" si="96"/>
        <v/>
      </c>
      <c r="N6133" s="15"/>
    </row>
    <row r="6134" spans="1:14" s="14" customFormat="1" ht="18" x14ac:dyDescent="0.25">
      <c r="A6134" s="91"/>
      <c r="B6134" s="90"/>
      <c r="C6134" s="88"/>
      <c r="D6134" s="89"/>
      <c r="E6134" s="90"/>
      <c r="F6134" s="91"/>
      <c r="G6134" s="90"/>
      <c r="H6134" s="92"/>
      <c r="I6134" s="87"/>
      <c r="J6134" s="93"/>
      <c r="K6134" s="92"/>
      <c r="L6134" s="72" t="str">
        <f t="shared" si="96"/>
        <v/>
      </c>
      <c r="N6134" s="15"/>
    </row>
    <row r="6135" spans="1:14" s="14" customFormat="1" ht="18" x14ac:dyDescent="0.25">
      <c r="A6135" s="91"/>
      <c r="B6135" s="90"/>
      <c r="C6135" s="88"/>
      <c r="D6135" s="89"/>
      <c r="E6135" s="90"/>
      <c r="F6135" s="91"/>
      <c r="G6135" s="90"/>
      <c r="H6135" s="92"/>
      <c r="I6135" s="87"/>
      <c r="J6135" s="93"/>
      <c r="K6135" s="92"/>
      <c r="L6135" s="72" t="str">
        <f t="shared" si="96"/>
        <v/>
      </c>
      <c r="N6135" s="15"/>
    </row>
    <row r="6136" spans="1:14" s="14" customFormat="1" ht="18" x14ac:dyDescent="0.25">
      <c r="A6136" s="91"/>
      <c r="B6136" s="90"/>
      <c r="C6136" s="88"/>
      <c r="D6136" s="89"/>
      <c r="E6136" s="90"/>
      <c r="F6136" s="91"/>
      <c r="G6136" s="90"/>
      <c r="H6136" s="92"/>
      <c r="I6136" s="87"/>
      <c r="J6136" s="93"/>
      <c r="K6136" s="92"/>
      <c r="L6136" s="72" t="str">
        <f t="shared" si="96"/>
        <v/>
      </c>
      <c r="N6136" s="15"/>
    </row>
    <row r="6137" spans="1:14" s="14" customFormat="1" ht="18" x14ac:dyDescent="0.25">
      <c r="A6137" s="91"/>
      <c r="B6137" s="90"/>
      <c r="C6137" s="88"/>
      <c r="D6137" s="89"/>
      <c r="E6137" s="90"/>
      <c r="F6137" s="91"/>
      <c r="G6137" s="90"/>
      <c r="H6137" s="92"/>
      <c r="I6137" s="87"/>
      <c r="J6137" s="93"/>
      <c r="K6137" s="92"/>
      <c r="L6137" s="72" t="str">
        <f t="shared" si="96"/>
        <v/>
      </c>
      <c r="N6137" s="15"/>
    </row>
    <row r="6138" spans="1:14" s="14" customFormat="1" ht="18" x14ac:dyDescent="0.25">
      <c r="A6138" s="91"/>
      <c r="B6138" s="90"/>
      <c r="C6138" s="88"/>
      <c r="D6138" s="89"/>
      <c r="E6138" s="90"/>
      <c r="F6138" s="91"/>
      <c r="G6138" s="90"/>
      <c r="H6138" s="92"/>
      <c r="I6138" s="87"/>
      <c r="J6138" s="93"/>
      <c r="K6138" s="92"/>
      <c r="L6138" s="72" t="str">
        <f t="shared" si="96"/>
        <v/>
      </c>
      <c r="N6138" s="15"/>
    </row>
    <row r="6139" spans="1:14" s="14" customFormat="1" ht="18" x14ac:dyDescent="0.25">
      <c r="A6139" s="91"/>
      <c r="B6139" s="90"/>
      <c r="C6139" s="88"/>
      <c r="D6139" s="89"/>
      <c r="E6139" s="90"/>
      <c r="F6139" s="91"/>
      <c r="G6139" s="90"/>
      <c r="H6139" s="92"/>
      <c r="I6139" s="87"/>
      <c r="J6139" s="93"/>
      <c r="K6139" s="92"/>
      <c r="L6139" s="72" t="str">
        <f t="shared" si="96"/>
        <v/>
      </c>
      <c r="N6139" s="15"/>
    </row>
    <row r="6140" spans="1:14" s="14" customFormat="1" ht="18" x14ac:dyDescent="0.25">
      <c r="A6140" s="91"/>
      <c r="B6140" s="90"/>
      <c r="C6140" s="88"/>
      <c r="D6140" s="89"/>
      <c r="E6140" s="90"/>
      <c r="F6140" s="91"/>
      <c r="G6140" s="90"/>
      <c r="H6140" s="92"/>
      <c r="I6140" s="87"/>
      <c r="J6140" s="93"/>
      <c r="K6140" s="92"/>
      <c r="L6140" s="72" t="str">
        <f t="shared" si="96"/>
        <v/>
      </c>
      <c r="N6140" s="15"/>
    </row>
    <row r="6141" spans="1:14" s="14" customFormat="1" ht="18" x14ac:dyDescent="0.25">
      <c r="A6141" s="91"/>
      <c r="B6141" s="90"/>
      <c r="C6141" s="88"/>
      <c r="D6141" s="89"/>
      <c r="E6141" s="90"/>
      <c r="F6141" s="91"/>
      <c r="G6141" s="90"/>
      <c r="H6141" s="92"/>
      <c r="I6141" s="87"/>
      <c r="J6141" s="93"/>
      <c r="K6141" s="92"/>
      <c r="L6141" s="72" t="str">
        <f t="shared" si="96"/>
        <v/>
      </c>
      <c r="N6141" s="15"/>
    </row>
    <row r="6142" spans="1:14" s="14" customFormat="1" ht="18" x14ac:dyDescent="0.25">
      <c r="A6142" s="91"/>
      <c r="B6142" s="90"/>
      <c r="C6142" s="88"/>
      <c r="D6142" s="89"/>
      <c r="E6142" s="90"/>
      <c r="F6142" s="91"/>
      <c r="G6142" s="90"/>
      <c r="H6142" s="92"/>
      <c r="I6142" s="87"/>
      <c r="J6142" s="93"/>
      <c r="K6142" s="92"/>
      <c r="L6142" s="72" t="str">
        <f t="shared" si="96"/>
        <v/>
      </c>
      <c r="N6142" s="15"/>
    </row>
    <row r="6143" spans="1:14" s="14" customFormat="1" ht="18" x14ac:dyDescent="0.25">
      <c r="A6143" s="91"/>
      <c r="B6143" s="90"/>
      <c r="C6143" s="88"/>
      <c r="D6143" s="89"/>
      <c r="E6143" s="90"/>
      <c r="F6143" s="91"/>
      <c r="G6143" s="90"/>
      <c r="H6143" s="92"/>
      <c r="I6143" s="87"/>
      <c r="J6143" s="93"/>
      <c r="K6143" s="92"/>
      <c r="L6143" s="72" t="str">
        <f t="shared" si="96"/>
        <v/>
      </c>
      <c r="N6143" s="15"/>
    </row>
    <row r="6144" spans="1:14" s="14" customFormat="1" ht="18" x14ac:dyDescent="0.25">
      <c r="A6144" s="91"/>
      <c r="B6144" s="90"/>
      <c r="C6144" s="88"/>
      <c r="D6144" s="89"/>
      <c r="E6144" s="90"/>
      <c r="F6144" s="91"/>
      <c r="G6144" s="90"/>
      <c r="H6144" s="92"/>
      <c r="I6144" s="87"/>
      <c r="J6144" s="93"/>
      <c r="K6144" s="92"/>
      <c r="L6144" s="72" t="str">
        <f t="shared" si="96"/>
        <v/>
      </c>
      <c r="N6144" s="15"/>
    </row>
    <row r="6145" spans="1:14" s="14" customFormat="1" ht="18" x14ac:dyDescent="0.25">
      <c r="A6145" s="91"/>
      <c r="B6145" s="90"/>
      <c r="C6145" s="88"/>
      <c r="D6145" s="89"/>
      <c r="E6145" s="90"/>
      <c r="F6145" s="91"/>
      <c r="G6145" s="90"/>
      <c r="H6145" s="92"/>
      <c r="I6145" s="87"/>
      <c r="J6145" s="93"/>
      <c r="K6145" s="92"/>
      <c r="L6145" s="72" t="str">
        <f t="shared" si="96"/>
        <v/>
      </c>
      <c r="N6145" s="15"/>
    </row>
    <row r="6146" spans="1:14" s="14" customFormat="1" ht="18" x14ac:dyDescent="0.25">
      <c r="A6146" s="91"/>
      <c r="B6146" s="90"/>
      <c r="C6146" s="88"/>
      <c r="D6146" s="89"/>
      <c r="E6146" s="90"/>
      <c r="F6146" s="91"/>
      <c r="G6146" s="90"/>
      <c r="H6146" s="92"/>
      <c r="I6146" s="87"/>
      <c r="J6146" s="93"/>
      <c r="K6146" s="92"/>
      <c r="L6146" s="72" t="str">
        <f t="shared" si="96"/>
        <v/>
      </c>
      <c r="N6146" s="15"/>
    </row>
    <row r="6147" spans="1:14" s="14" customFormat="1" ht="18" x14ac:dyDescent="0.25">
      <c r="A6147" s="91"/>
      <c r="B6147" s="90"/>
      <c r="C6147" s="88"/>
      <c r="D6147" s="89"/>
      <c r="E6147" s="90"/>
      <c r="F6147" s="91"/>
      <c r="G6147" s="90"/>
      <c r="H6147" s="92"/>
      <c r="I6147" s="87"/>
      <c r="J6147" s="93"/>
      <c r="K6147" s="92"/>
      <c r="L6147" s="72" t="str">
        <f t="shared" si="96"/>
        <v/>
      </c>
      <c r="N6147" s="15"/>
    </row>
    <row r="6148" spans="1:14" s="14" customFormat="1" ht="18" x14ac:dyDescent="0.25">
      <c r="A6148" s="91"/>
      <c r="B6148" s="90"/>
      <c r="C6148" s="88"/>
      <c r="D6148" s="89"/>
      <c r="E6148" s="90"/>
      <c r="F6148" s="91"/>
      <c r="G6148" s="90"/>
      <c r="H6148" s="92"/>
      <c r="I6148" s="87"/>
      <c r="J6148" s="93"/>
      <c r="K6148" s="92"/>
      <c r="L6148" s="72" t="str">
        <f t="shared" si="96"/>
        <v/>
      </c>
      <c r="N6148" s="15"/>
    </row>
    <row r="6149" spans="1:14" s="14" customFormat="1" ht="18" x14ac:dyDescent="0.25">
      <c r="A6149" s="91"/>
      <c r="B6149" s="90"/>
      <c r="C6149" s="88"/>
      <c r="D6149" s="89"/>
      <c r="E6149" s="90"/>
      <c r="F6149" s="91"/>
      <c r="G6149" s="90"/>
      <c r="H6149" s="92"/>
      <c r="I6149" s="87"/>
      <c r="J6149" s="93"/>
      <c r="K6149" s="92"/>
      <c r="L6149" s="72" t="str">
        <f t="shared" si="96"/>
        <v/>
      </c>
      <c r="N6149" s="15"/>
    </row>
    <row r="6150" spans="1:14" s="14" customFormat="1" ht="18" x14ac:dyDescent="0.25">
      <c r="A6150" s="91"/>
      <c r="B6150" s="90"/>
      <c r="C6150" s="88"/>
      <c r="D6150" s="89"/>
      <c r="E6150" s="90"/>
      <c r="F6150" s="91"/>
      <c r="G6150" s="90"/>
      <c r="H6150" s="92"/>
      <c r="I6150" s="87"/>
      <c r="J6150" s="93"/>
      <c r="K6150" s="92"/>
      <c r="L6150" s="72" t="str">
        <f t="shared" si="96"/>
        <v/>
      </c>
      <c r="N6150" s="15"/>
    </row>
    <row r="6151" spans="1:14" s="14" customFormat="1" ht="18" x14ac:dyDescent="0.25">
      <c r="A6151" s="91"/>
      <c r="B6151" s="90"/>
      <c r="C6151" s="88"/>
      <c r="D6151" s="89"/>
      <c r="E6151" s="90"/>
      <c r="F6151" s="91"/>
      <c r="G6151" s="90"/>
      <c r="H6151" s="92"/>
      <c r="I6151" s="87"/>
      <c r="J6151" s="93"/>
      <c r="K6151" s="92"/>
      <c r="L6151" s="72" t="str">
        <f t="shared" si="96"/>
        <v/>
      </c>
      <c r="N6151" s="15"/>
    </row>
    <row r="6152" spans="1:14" s="14" customFormat="1" ht="18" x14ac:dyDescent="0.25">
      <c r="A6152" s="91"/>
      <c r="B6152" s="90"/>
      <c r="C6152" s="88"/>
      <c r="D6152" s="89"/>
      <c r="E6152" s="90"/>
      <c r="F6152" s="91"/>
      <c r="G6152" s="90"/>
      <c r="H6152" s="92"/>
      <c r="I6152" s="87"/>
      <c r="J6152" s="93"/>
      <c r="K6152" s="92"/>
      <c r="L6152" s="72" t="str">
        <f t="shared" si="96"/>
        <v/>
      </c>
      <c r="N6152" s="15"/>
    </row>
    <row r="6153" spans="1:14" s="14" customFormat="1" ht="18" x14ac:dyDescent="0.25">
      <c r="A6153" s="91"/>
      <c r="B6153" s="90"/>
      <c r="C6153" s="88"/>
      <c r="D6153" s="89"/>
      <c r="E6153" s="90"/>
      <c r="F6153" s="91"/>
      <c r="G6153" s="90"/>
      <c r="H6153" s="92"/>
      <c r="I6153" s="87"/>
      <c r="J6153" s="93"/>
      <c r="K6153" s="92"/>
      <c r="L6153" s="72" t="str">
        <f t="shared" si="96"/>
        <v/>
      </c>
      <c r="N6153" s="15"/>
    </row>
    <row r="6154" spans="1:14" s="14" customFormat="1" ht="18" x14ac:dyDescent="0.25">
      <c r="A6154" s="91"/>
      <c r="B6154" s="90"/>
      <c r="C6154" s="88"/>
      <c r="D6154" s="89"/>
      <c r="E6154" s="90"/>
      <c r="F6154" s="91"/>
      <c r="G6154" s="90"/>
      <c r="H6154" s="92"/>
      <c r="I6154" s="87"/>
      <c r="J6154" s="93"/>
      <c r="K6154" s="92"/>
      <c r="L6154" s="72" t="str">
        <f t="shared" si="96"/>
        <v/>
      </c>
      <c r="N6154" s="15"/>
    </row>
    <row r="6155" spans="1:14" s="14" customFormat="1" ht="18" x14ac:dyDescent="0.25">
      <c r="A6155" s="91"/>
      <c r="B6155" s="90"/>
      <c r="C6155" s="88"/>
      <c r="D6155" s="89"/>
      <c r="E6155" s="90"/>
      <c r="F6155" s="91"/>
      <c r="G6155" s="90"/>
      <c r="H6155" s="92"/>
      <c r="I6155" s="87"/>
      <c r="J6155" s="93"/>
      <c r="K6155" s="92"/>
      <c r="L6155" s="72" t="str">
        <f t="shared" si="96"/>
        <v/>
      </c>
      <c r="N6155" s="15"/>
    </row>
    <row r="6156" spans="1:14" s="14" customFormat="1" ht="18" x14ac:dyDescent="0.25">
      <c r="A6156" s="91"/>
      <c r="B6156" s="90"/>
      <c r="C6156" s="88"/>
      <c r="D6156" s="89"/>
      <c r="E6156" s="90"/>
      <c r="F6156" s="91"/>
      <c r="G6156" s="90"/>
      <c r="H6156" s="92"/>
      <c r="I6156" s="87"/>
      <c r="J6156" s="93"/>
      <c r="K6156" s="92"/>
      <c r="L6156" s="72" t="str">
        <f t="shared" si="96"/>
        <v/>
      </c>
      <c r="N6156" s="15"/>
    </row>
    <row r="6157" spans="1:14" s="14" customFormat="1" ht="18" x14ac:dyDescent="0.25">
      <c r="A6157" s="91"/>
      <c r="B6157" s="90"/>
      <c r="C6157" s="88"/>
      <c r="D6157" s="89"/>
      <c r="E6157" s="90"/>
      <c r="F6157" s="91"/>
      <c r="G6157" s="90"/>
      <c r="H6157" s="92"/>
      <c r="I6157" s="87"/>
      <c r="J6157" s="93"/>
      <c r="K6157" s="92"/>
      <c r="L6157" s="72" t="str">
        <f t="shared" si="96"/>
        <v/>
      </c>
      <c r="N6157" s="15"/>
    </row>
    <row r="6158" spans="1:14" s="14" customFormat="1" ht="18" x14ac:dyDescent="0.25">
      <c r="A6158" s="91"/>
      <c r="B6158" s="90"/>
      <c r="C6158" s="88"/>
      <c r="D6158" s="89"/>
      <c r="E6158" s="90"/>
      <c r="F6158" s="91"/>
      <c r="G6158" s="90"/>
      <c r="H6158" s="92"/>
      <c r="I6158" s="87"/>
      <c r="J6158" s="93"/>
      <c r="K6158" s="92"/>
      <c r="L6158" s="72" t="str">
        <f t="shared" si="96"/>
        <v/>
      </c>
      <c r="N6158" s="15"/>
    </row>
    <row r="6159" spans="1:14" s="14" customFormat="1" ht="18" x14ac:dyDescent="0.25">
      <c r="A6159" s="91"/>
      <c r="B6159" s="90"/>
      <c r="C6159" s="88"/>
      <c r="D6159" s="89"/>
      <c r="E6159" s="90"/>
      <c r="F6159" s="91"/>
      <c r="G6159" s="90"/>
      <c r="H6159" s="92"/>
      <c r="I6159" s="87"/>
      <c r="J6159" s="93"/>
      <c r="K6159" s="92"/>
      <c r="L6159" s="72" t="str">
        <f t="shared" si="96"/>
        <v/>
      </c>
      <c r="N6159" s="15"/>
    </row>
    <row r="6160" spans="1:14" s="14" customFormat="1" ht="18" x14ac:dyDescent="0.25">
      <c r="A6160" s="91"/>
      <c r="B6160" s="90"/>
      <c r="C6160" s="88"/>
      <c r="D6160" s="89"/>
      <c r="E6160" s="90"/>
      <c r="F6160" s="91"/>
      <c r="G6160" s="90"/>
      <c r="H6160" s="92"/>
      <c r="I6160" s="87"/>
      <c r="J6160" s="93"/>
      <c r="K6160" s="92"/>
      <c r="L6160" s="72" t="str">
        <f t="shared" si="96"/>
        <v/>
      </c>
      <c r="N6160" s="15"/>
    </row>
    <row r="6161" spans="1:14" s="14" customFormat="1" ht="18" x14ac:dyDescent="0.25">
      <c r="A6161" s="91"/>
      <c r="B6161" s="90"/>
      <c r="C6161" s="88"/>
      <c r="D6161" s="89"/>
      <c r="E6161" s="90"/>
      <c r="F6161" s="91"/>
      <c r="G6161" s="90"/>
      <c r="H6161" s="92"/>
      <c r="I6161" s="87"/>
      <c r="J6161" s="93"/>
      <c r="K6161" s="92"/>
      <c r="L6161" s="72" t="str">
        <f t="shared" si="96"/>
        <v/>
      </c>
      <c r="N6161" s="15"/>
    </row>
    <row r="6162" spans="1:14" s="14" customFormat="1" ht="18" x14ac:dyDescent="0.25">
      <c r="A6162" s="91"/>
      <c r="B6162" s="90"/>
      <c r="C6162" s="88"/>
      <c r="D6162" s="89"/>
      <c r="E6162" s="90"/>
      <c r="F6162" s="91"/>
      <c r="G6162" s="90"/>
      <c r="H6162" s="92"/>
      <c r="I6162" s="87"/>
      <c r="J6162" s="93"/>
      <c r="K6162" s="92"/>
      <c r="L6162" s="72" t="str">
        <f t="shared" si="96"/>
        <v/>
      </c>
      <c r="N6162" s="15"/>
    </row>
    <row r="6163" spans="1:14" s="14" customFormat="1" ht="18" x14ac:dyDescent="0.25">
      <c r="A6163" s="91"/>
      <c r="B6163" s="90"/>
      <c r="C6163" s="88"/>
      <c r="D6163" s="89"/>
      <c r="E6163" s="90"/>
      <c r="F6163" s="91"/>
      <c r="G6163" s="90"/>
      <c r="H6163" s="92"/>
      <c r="I6163" s="87"/>
      <c r="J6163" s="93"/>
      <c r="K6163" s="92"/>
      <c r="L6163" s="72" t="str">
        <f t="shared" si="96"/>
        <v/>
      </c>
      <c r="N6163" s="15"/>
    </row>
    <row r="6164" spans="1:14" s="14" customFormat="1" ht="18" x14ac:dyDescent="0.25">
      <c r="A6164" s="91"/>
      <c r="B6164" s="90"/>
      <c r="C6164" s="88"/>
      <c r="D6164" s="89"/>
      <c r="E6164" s="90"/>
      <c r="F6164" s="91"/>
      <c r="G6164" s="90"/>
      <c r="H6164" s="92"/>
      <c r="I6164" s="87"/>
      <c r="J6164" s="93"/>
      <c r="K6164" s="92"/>
      <c r="L6164" s="72" t="str">
        <f t="shared" si="96"/>
        <v/>
      </c>
      <c r="N6164" s="15"/>
    </row>
    <row r="6165" spans="1:14" s="14" customFormat="1" ht="18" x14ac:dyDescent="0.25">
      <c r="A6165" s="91"/>
      <c r="B6165" s="90"/>
      <c r="C6165" s="88"/>
      <c r="D6165" s="89"/>
      <c r="E6165" s="90"/>
      <c r="F6165" s="91"/>
      <c r="G6165" s="90"/>
      <c r="H6165" s="92"/>
      <c r="I6165" s="87"/>
      <c r="J6165" s="93"/>
      <c r="K6165" s="92"/>
      <c r="L6165" s="72" t="str">
        <f t="shared" si="96"/>
        <v/>
      </c>
      <c r="N6165" s="15"/>
    </row>
    <row r="6166" spans="1:14" s="14" customFormat="1" ht="18" x14ac:dyDescent="0.25">
      <c r="A6166" s="91"/>
      <c r="B6166" s="90"/>
      <c r="C6166" s="88"/>
      <c r="D6166" s="89"/>
      <c r="E6166" s="90"/>
      <c r="F6166" s="91"/>
      <c r="G6166" s="90"/>
      <c r="H6166" s="92"/>
      <c r="I6166" s="87"/>
      <c r="J6166" s="93"/>
      <c r="K6166" s="92"/>
      <c r="L6166" s="72" t="str">
        <f t="shared" si="96"/>
        <v/>
      </c>
      <c r="N6166" s="15"/>
    </row>
    <row r="6167" spans="1:14" s="14" customFormat="1" ht="18" x14ac:dyDescent="0.25">
      <c r="A6167" s="91"/>
      <c r="B6167" s="90"/>
      <c r="C6167" s="88"/>
      <c r="D6167" s="89"/>
      <c r="E6167" s="90"/>
      <c r="F6167" s="91"/>
      <c r="G6167" s="90"/>
      <c r="H6167" s="92"/>
      <c r="I6167" s="87"/>
      <c r="J6167" s="93"/>
      <c r="K6167" s="92"/>
      <c r="L6167" s="72" t="str">
        <f t="shared" si="96"/>
        <v/>
      </c>
      <c r="N6167" s="15"/>
    </row>
    <row r="6168" spans="1:14" s="14" customFormat="1" ht="18" x14ac:dyDescent="0.25">
      <c r="A6168" s="91"/>
      <c r="B6168" s="90"/>
      <c r="C6168" s="88"/>
      <c r="D6168" s="89"/>
      <c r="E6168" s="90"/>
      <c r="F6168" s="91"/>
      <c r="G6168" s="90"/>
      <c r="H6168" s="92"/>
      <c r="I6168" s="87"/>
      <c r="J6168" s="93"/>
      <c r="K6168" s="92"/>
      <c r="L6168" s="72" t="str">
        <f t="shared" si="96"/>
        <v/>
      </c>
      <c r="N6168" s="15"/>
    </row>
    <row r="6169" spans="1:14" s="14" customFormat="1" ht="18" x14ac:dyDescent="0.25">
      <c r="A6169" s="91"/>
      <c r="B6169" s="90"/>
      <c r="C6169" s="88"/>
      <c r="D6169" s="89"/>
      <c r="E6169" s="90"/>
      <c r="F6169" s="91"/>
      <c r="G6169" s="90"/>
      <c r="H6169" s="92"/>
      <c r="I6169" s="87"/>
      <c r="J6169" s="93"/>
      <c r="K6169" s="92"/>
      <c r="L6169" s="72" t="str">
        <f t="shared" si="96"/>
        <v/>
      </c>
      <c r="N6169" s="15"/>
    </row>
    <row r="6170" spans="1:14" s="14" customFormat="1" ht="18" x14ac:dyDescent="0.25">
      <c r="A6170" s="91"/>
      <c r="B6170" s="90"/>
      <c r="C6170" s="88"/>
      <c r="D6170" s="89"/>
      <c r="E6170" s="90"/>
      <c r="F6170" s="91"/>
      <c r="G6170" s="90"/>
      <c r="H6170" s="92"/>
      <c r="I6170" s="87"/>
      <c r="J6170" s="93"/>
      <c r="K6170" s="92"/>
      <c r="L6170" s="72" t="str">
        <f t="shared" si="96"/>
        <v/>
      </c>
      <c r="N6170" s="15"/>
    </row>
    <row r="6171" spans="1:14" s="14" customFormat="1" ht="18" x14ac:dyDescent="0.25">
      <c r="A6171" s="91"/>
      <c r="B6171" s="90"/>
      <c r="C6171" s="88"/>
      <c r="D6171" s="89"/>
      <c r="E6171" s="90"/>
      <c r="F6171" s="91"/>
      <c r="G6171" s="90"/>
      <c r="H6171" s="92"/>
      <c r="I6171" s="87"/>
      <c r="J6171" s="93"/>
      <c r="K6171" s="92"/>
      <c r="L6171" s="72" t="str">
        <f t="shared" si="96"/>
        <v/>
      </c>
      <c r="N6171" s="15"/>
    </row>
    <row r="6172" spans="1:14" s="14" customFormat="1" ht="18" x14ac:dyDescent="0.25">
      <c r="A6172" s="91"/>
      <c r="B6172" s="90"/>
      <c r="C6172" s="88"/>
      <c r="D6172" s="89"/>
      <c r="E6172" s="90"/>
      <c r="F6172" s="91"/>
      <c r="G6172" s="90"/>
      <c r="H6172" s="92"/>
      <c r="I6172" s="87"/>
      <c r="J6172" s="93"/>
      <c r="K6172" s="92"/>
      <c r="L6172" s="72" t="str">
        <f t="shared" si="96"/>
        <v/>
      </c>
      <c r="N6172" s="15"/>
    </row>
    <row r="6173" spans="1:14" s="14" customFormat="1" ht="18" x14ac:dyDescent="0.25">
      <c r="A6173" s="91"/>
      <c r="B6173" s="90"/>
      <c r="C6173" s="88"/>
      <c r="D6173" s="89"/>
      <c r="E6173" s="90"/>
      <c r="F6173" s="91"/>
      <c r="G6173" s="90"/>
      <c r="H6173" s="92"/>
      <c r="I6173" s="87"/>
      <c r="J6173" s="93"/>
      <c r="K6173" s="92"/>
      <c r="L6173" s="72" t="str">
        <f t="shared" si="96"/>
        <v/>
      </c>
      <c r="N6173" s="15"/>
    </row>
    <row r="6174" spans="1:14" s="14" customFormat="1" ht="18" x14ac:dyDescent="0.25">
      <c r="A6174" s="91"/>
      <c r="B6174" s="90"/>
      <c r="C6174" s="88"/>
      <c r="D6174" s="89"/>
      <c r="E6174" s="90"/>
      <c r="F6174" s="91"/>
      <c r="G6174" s="90"/>
      <c r="H6174" s="92"/>
      <c r="I6174" s="87"/>
      <c r="J6174" s="93"/>
      <c r="K6174" s="92"/>
      <c r="L6174" s="72" t="str">
        <f t="shared" ref="L6174:L6237" si="97">IF(ISBLANK(H6174),"",IF(H6174=K6174,"Payé","Impayé"))</f>
        <v/>
      </c>
      <c r="N6174" s="15"/>
    </row>
    <row r="6175" spans="1:14" s="14" customFormat="1" ht="18" x14ac:dyDescent="0.25">
      <c r="A6175" s="91"/>
      <c r="B6175" s="90"/>
      <c r="C6175" s="88"/>
      <c r="D6175" s="89"/>
      <c r="E6175" s="90"/>
      <c r="F6175" s="91"/>
      <c r="G6175" s="90"/>
      <c r="H6175" s="92"/>
      <c r="I6175" s="87"/>
      <c r="J6175" s="93"/>
      <c r="K6175" s="92"/>
      <c r="L6175" s="72" t="str">
        <f t="shared" si="97"/>
        <v/>
      </c>
      <c r="N6175" s="15"/>
    </row>
    <row r="6176" spans="1:14" s="14" customFormat="1" ht="18" x14ac:dyDescent="0.25">
      <c r="A6176" s="91"/>
      <c r="B6176" s="90"/>
      <c r="C6176" s="88"/>
      <c r="D6176" s="89"/>
      <c r="E6176" s="90"/>
      <c r="F6176" s="91"/>
      <c r="G6176" s="90"/>
      <c r="H6176" s="92"/>
      <c r="I6176" s="87"/>
      <c r="J6176" s="93"/>
      <c r="K6176" s="92"/>
      <c r="L6176" s="72" t="str">
        <f t="shared" si="97"/>
        <v/>
      </c>
      <c r="N6176" s="15"/>
    </row>
    <row r="6177" spans="1:14" s="14" customFormat="1" ht="18" x14ac:dyDescent="0.25">
      <c r="A6177" s="91"/>
      <c r="B6177" s="90"/>
      <c r="C6177" s="88"/>
      <c r="D6177" s="89"/>
      <c r="E6177" s="90"/>
      <c r="F6177" s="91"/>
      <c r="G6177" s="90"/>
      <c r="H6177" s="92"/>
      <c r="I6177" s="87"/>
      <c r="J6177" s="93"/>
      <c r="K6177" s="92"/>
      <c r="L6177" s="72" t="str">
        <f t="shared" si="97"/>
        <v/>
      </c>
      <c r="N6177" s="15"/>
    </row>
    <row r="6178" spans="1:14" s="14" customFormat="1" ht="18" x14ac:dyDescent="0.25">
      <c r="A6178" s="91"/>
      <c r="B6178" s="90"/>
      <c r="C6178" s="88"/>
      <c r="D6178" s="89"/>
      <c r="E6178" s="90"/>
      <c r="F6178" s="91"/>
      <c r="G6178" s="90"/>
      <c r="H6178" s="92"/>
      <c r="I6178" s="87"/>
      <c r="J6178" s="93"/>
      <c r="K6178" s="92"/>
      <c r="L6178" s="72" t="str">
        <f t="shared" si="97"/>
        <v/>
      </c>
      <c r="N6178" s="15"/>
    </row>
    <row r="6179" spans="1:14" s="14" customFormat="1" ht="18" x14ac:dyDescent="0.25">
      <c r="A6179" s="91"/>
      <c r="B6179" s="90"/>
      <c r="C6179" s="88"/>
      <c r="D6179" s="89"/>
      <c r="E6179" s="90"/>
      <c r="F6179" s="91"/>
      <c r="G6179" s="90"/>
      <c r="H6179" s="92"/>
      <c r="I6179" s="87"/>
      <c r="J6179" s="93"/>
      <c r="K6179" s="92"/>
      <c r="L6179" s="72" t="str">
        <f t="shared" si="97"/>
        <v/>
      </c>
      <c r="N6179" s="15"/>
    </row>
    <row r="6180" spans="1:14" s="14" customFormat="1" ht="18" x14ac:dyDescent="0.25">
      <c r="A6180" s="91"/>
      <c r="B6180" s="90"/>
      <c r="C6180" s="88"/>
      <c r="D6180" s="89"/>
      <c r="E6180" s="90"/>
      <c r="F6180" s="91"/>
      <c r="G6180" s="90"/>
      <c r="H6180" s="92"/>
      <c r="I6180" s="87"/>
      <c r="J6180" s="93"/>
      <c r="K6180" s="92"/>
      <c r="L6180" s="72" t="str">
        <f t="shared" si="97"/>
        <v/>
      </c>
      <c r="N6180" s="15"/>
    </row>
    <row r="6181" spans="1:14" s="14" customFormat="1" ht="18" x14ac:dyDescent="0.25">
      <c r="A6181" s="91"/>
      <c r="B6181" s="90"/>
      <c r="C6181" s="88"/>
      <c r="D6181" s="89"/>
      <c r="E6181" s="90"/>
      <c r="F6181" s="91"/>
      <c r="G6181" s="90"/>
      <c r="H6181" s="92"/>
      <c r="I6181" s="87"/>
      <c r="J6181" s="93"/>
      <c r="K6181" s="92"/>
      <c r="L6181" s="72" t="str">
        <f t="shared" si="97"/>
        <v/>
      </c>
      <c r="N6181" s="15"/>
    </row>
    <row r="6182" spans="1:14" s="14" customFormat="1" ht="18" x14ac:dyDescent="0.25">
      <c r="A6182" s="91"/>
      <c r="B6182" s="90"/>
      <c r="C6182" s="88"/>
      <c r="D6182" s="89"/>
      <c r="E6182" s="90"/>
      <c r="F6182" s="91"/>
      <c r="G6182" s="90"/>
      <c r="H6182" s="92"/>
      <c r="I6182" s="87"/>
      <c r="J6182" s="93"/>
      <c r="K6182" s="92"/>
      <c r="L6182" s="72" t="str">
        <f t="shared" si="97"/>
        <v/>
      </c>
      <c r="N6182" s="15"/>
    </row>
    <row r="6183" spans="1:14" s="14" customFormat="1" ht="18" x14ac:dyDescent="0.25">
      <c r="A6183" s="91"/>
      <c r="B6183" s="90"/>
      <c r="C6183" s="88"/>
      <c r="D6183" s="89"/>
      <c r="E6183" s="90"/>
      <c r="F6183" s="91"/>
      <c r="G6183" s="90"/>
      <c r="H6183" s="92"/>
      <c r="I6183" s="87"/>
      <c r="J6183" s="93"/>
      <c r="K6183" s="92"/>
      <c r="L6183" s="72" t="str">
        <f t="shared" si="97"/>
        <v/>
      </c>
      <c r="N6183" s="15"/>
    </row>
    <row r="6184" spans="1:14" s="14" customFormat="1" ht="18" x14ac:dyDescent="0.25">
      <c r="A6184" s="91"/>
      <c r="B6184" s="90"/>
      <c r="C6184" s="88"/>
      <c r="D6184" s="89"/>
      <c r="E6184" s="90"/>
      <c r="F6184" s="91"/>
      <c r="G6184" s="90"/>
      <c r="H6184" s="92"/>
      <c r="I6184" s="87"/>
      <c r="J6184" s="93"/>
      <c r="K6184" s="92"/>
      <c r="L6184" s="72" t="str">
        <f t="shared" si="97"/>
        <v/>
      </c>
      <c r="N6184" s="15"/>
    </row>
    <row r="6185" spans="1:14" s="14" customFormat="1" ht="18" x14ac:dyDescent="0.25">
      <c r="A6185" s="91"/>
      <c r="B6185" s="90"/>
      <c r="C6185" s="88"/>
      <c r="D6185" s="89"/>
      <c r="E6185" s="90"/>
      <c r="F6185" s="91"/>
      <c r="G6185" s="90"/>
      <c r="H6185" s="92"/>
      <c r="I6185" s="87"/>
      <c r="J6185" s="93"/>
      <c r="K6185" s="92"/>
      <c r="L6185" s="72" t="str">
        <f t="shared" si="97"/>
        <v/>
      </c>
      <c r="N6185" s="15"/>
    </row>
    <row r="6186" spans="1:14" s="14" customFormat="1" ht="18" x14ac:dyDescent="0.25">
      <c r="A6186" s="91"/>
      <c r="B6186" s="90"/>
      <c r="C6186" s="88"/>
      <c r="D6186" s="89"/>
      <c r="E6186" s="90"/>
      <c r="F6186" s="91"/>
      <c r="G6186" s="90"/>
      <c r="H6186" s="92"/>
      <c r="I6186" s="87"/>
      <c r="J6186" s="93"/>
      <c r="K6186" s="92"/>
      <c r="L6186" s="72" t="str">
        <f t="shared" si="97"/>
        <v/>
      </c>
      <c r="N6186" s="15"/>
    </row>
    <row r="6187" spans="1:14" s="14" customFormat="1" ht="18" x14ac:dyDescent="0.25">
      <c r="A6187" s="91"/>
      <c r="B6187" s="90"/>
      <c r="C6187" s="88"/>
      <c r="D6187" s="89"/>
      <c r="E6187" s="90"/>
      <c r="F6187" s="91"/>
      <c r="G6187" s="90"/>
      <c r="H6187" s="92"/>
      <c r="I6187" s="87"/>
      <c r="J6187" s="93"/>
      <c r="K6187" s="92"/>
      <c r="L6187" s="72" t="str">
        <f t="shared" si="97"/>
        <v/>
      </c>
      <c r="N6187" s="15"/>
    </row>
    <row r="6188" spans="1:14" s="14" customFormat="1" ht="18" x14ac:dyDescent="0.25">
      <c r="A6188" s="91"/>
      <c r="B6188" s="90"/>
      <c r="C6188" s="88"/>
      <c r="D6188" s="89"/>
      <c r="E6188" s="90"/>
      <c r="F6188" s="91"/>
      <c r="G6188" s="90"/>
      <c r="H6188" s="92"/>
      <c r="I6188" s="87"/>
      <c r="J6188" s="93"/>
      <c r="K6188" s="92"/>
      <c r="L6188" s="72" t="str">
        <f t="shared" si="97"/>
        <v/>
      </c>
      <c r="N6188" s="15"/>
    </row>
    <row r="6189" spans="1:14" s="14" customFormat="1" ht="18" x14ac:dyDescent="0.25">
      <c r="A6189" s="91"/>
      <c r="B6189" s="90"/>
      <c r="C6189" s="88"/>
      <c r="D6189" s="89"/>
      <c r="E6189" s="90"/>
      <c r="F6189" s="91"/>
      <c r="G6189" s="90"/>
      <c r="H6189" s="92"/>
      <c r="I6189" s="87"/>
      <c r="J6189" s="93"/>
      <c r="K6189" s="92"/>
      <c r="L6189" s="72" t="str">
        <f t="shared" si="97"/>
        <v/>
      </c>
      <c r="N6189" s="15"/>
    </row>
    <row r="6190" spans="1:14" s="14" customFormat="1" ht="18" x14ac:dyDescent="0.25">
      <c r="A6190" s="91"/>
      <c r="B6190" s="90"/>
      <c r="C6190" s="88"/>
      <c r="D6190" s="89"/>
      <c r="E6190" s="90"/>
      <c r="F6190" s="91"/>
      <c r="G6190" s="90"/>
      <c r="H6190" s="92"/>
      <c r="I6190" s="87"/>
      <c r="J6190" s="93"/>
      <c r="K6190" s="92"/>
      <c r="L6190" s="72" t="str">
        <f t="shared" si="97"/>
        <v/>
      </c>
      <c r="N6190" s="15"/>
    </row>
    <row r="6191" spans="1:14" s="14" customFormat="1" ht="18" x14ac:dyDescent="0.25">
      <c r="A6191" s="91"/>
      <c r="B6191" s="90"/>
      <c r="C6191" s="88"/>
      <c r="D6191" s="89"/>
      <c r="E6191" s="90"/>
      <c r="F6191" s="91"/>
      <c r="G6191" s="90"/>
      <c r="H6191" s="92"/>
      <c r="I6191" s="87"/>
      <c r="J6191" s="93"/>
      <c r="K6191" s="92"/>
      <c r="L6191" s="72" t="str">
        <f t="shared" si="97"/>
        <v/>
      </c>
      <c r="N6191" s="15"/>
    </row>
    <row r="6192" spans="1:14" s="14" customFormat="1" ht="18" x14ac:dyDescent="0.25">
      <c r="A6192" s="91"/>
      <c r="B6192" s="90"/>
      <c r="C6192" s="88"/>
      <c r="D6192" s="89"/>
      <c r="E6192" s="90"/>
      <c r="F6192" s="91"/>
      <c r="G6192" s="90"/>
      <c r="H6192" s="92"/>
      <c r="I6192" s="87"/>
      <c r="J6192" s="93"/>
      <c r="K6192" s="92"/>
      <c r="L6192" s="72" t="str">
        <f t="shared" si="97"/>
        <v/>
      </c>
      <c r="N6192" s="15"/>
    </row>
    <row r="6193" spans="1:14" s="14" customFormat="1" ht="18" x14ac:dyDescent="0.25">
      <c r="A6193" s="91"/>
      <c r="B6193" s="90"/>
      <c r="C6193" s="88"/>
      <c r="D6193" s="89"/>
      <c r="E6193" s="90"/>
      <c r="F6193" s="91"/>
      <c r="G6193" s="90"/>
      <c r="H6193" s="92"/>
      <c r="I6193" s="87"/>
      <c r="J6193" s="93"/>
      <c r="K6193" s="92"/>
      <c r="L6193" s="72" t="str">
        <f t="shared" si="97"/>
        <v/>
      </c>
      <c r="N6193" s="15"/>
    </row>
    <row r="6194" spans="1:14" s="14" customFormat="1" ht="18" x14ac:dyDescent="0.25">
      <c r="A6194" s="91"/>
      <c r="B6194" s="90"/>
      <c r="C6194" s="88"/>
      <c r="D6194" s="89"/>
      <c r="E6194" s="90"/>
      <c r="F6194" s="91"/>
      <c r="G6194" s="90"/>
      <c r="H6194" s="92"/>
      <c r="I6194" s="87"/>
      <c r="J6194" s="93"/>
      <c r="K6194" s="92"/>
      <c r="L6194" s="72" t="str">
        <f t="shared" si="97"/>
        <v/>
      </c>
      <c r="N6194" s="15"/>
    </row>
    <row r="6195" spans="1:14" s="14" customFormat="1" ht="18" x14ac:dyDescent="0.25">
      <c r="A6195" s="91"/>
      <c r="B6195" s="90"/>
      <c r="C6195" s="88"/>
      <c r="D6195" s="89"/>
      <c r="E6195" s="90"/>
      <c r="F6195" s="91"/>
      <c r="G6195" s="90"/>
      <c r="H6195" s="92"/>
      <c r="I6195" s="87"/>
      <c r="J6195" s="93"/>
      <c r="K6195" s="92"/>
      <c r="L6195" s="72" t="str">
        <f t="shared" si="97"/>
        <v/>
      </c>
      <c r="N6195" s="15"/>
    </row>
    <row r="6196" spans="1:14" s="14" customFormat="1" ht="18" x14ac:dyDescent="0.25">
      <c r="A6196" s="91"/>
      <c r="B6196" s="90"/>
      <c r="C6196" s="88"/>
      <c r="D6196" s="89"/>
      <c r="E6196" s="90"/>
      <c r="F6196" s="91"/>
      <c r="G6196" s="90"/>
      <c r="H6196" s="92"/>
      <c r="I6196" s="87"/>
      <c r="J6196" s="93"/>
      <c r="K6196" s="92"/>
      <c r="L6196" s="72" t="str">
        <f t="shared" si="97"/>
        <v/>
      </c>
      <c r="N6196" s="15"/>
    </row>
    <row r="6197" spans="1:14" s="14" customFormat="1" ht="18" x14ac:dyDescent="0.25">
      <c r="A6197" s="91"/>
      <c r="B6197" s="90"/>
      <c r="C6197" s="88"/>
      <c r="D6197" s="89"/>
      <c r="E6197" s="90"/>
      <c r="F6197" s="91"/>
      <c r="G6197" s="90"/>
      <c r="H6197" s="92"/>
      <c r="I6197" s="87"/>
      <c r="J6197" s="93"/>
      <c r="K6197" s="92"/>
      <c r="L6197" s="72" t="str">
        <f t="shared" si="97"/>
        <v/>
      </c>
      <c r="N6197" s="15"/>
    </row>
    <row r="6198" spans="1:14" s="14" customFormat="1" ht="18" x14ac:dyDescent="0.25">
      <c r="A6198" s="91"/>
      <c r="B6198" s="90"/>
      <c r="C6198" s="88"/>
      <c r="D6198" s="89"/>
      <c r="E6198" s="90"/>
      <c r="F6198" s="91"/>
      <c r="G6198" s="90"/>
      <c r="H6198" s="92"/>
      <c r="I6198" s="87"/>
      <c r="J6198" s="93"/>
      <c r="K6198" s="92"/>
      <c r="L6198" s="72" t="str">
        <f t="shared" si="97"/>
        <v/>
      </c>
      <c r="N6198" s="15"/>
    </row>
    <row r="6199" spans="1:14" s="14" customFormat="1" ht="18" x14ac:dyDescent="0.25">
      <c r="A6199" s="91"/>
      <c r="B6199" s="90"/>
      <c r="C6199" s="88"/>
      <c r="D6199" s="89"/>
      <c r="E6199" s="90"/>
      <c r="F6199" s="91"/>
      <c r="G6199" s="90"/>
      <c r="H6199" s="92"/>
      <c r="I6199" s="87"/>
      <c r="J6199" s="93"/>
      <c r="K6199" s="92"/>
      <c r="L6199" s="72" t="str">
        <f t="shared" si="97"/>
        <v/>
      </c>
      <c r="N6199" s="15"/>
    </row>
    <row r="6200" spans="1:14" s="14" customFormat="1" ht="18" x14ac:dyDescent="0.25">
      <c r="A6200" s="91"/>
      <c r="B6200" s="90"/>
      <c r="C6200" s="88"/>
      <c r="D6200" s="89"/>
      <c r="E6200" s="90"/>
      <c r="F6200" s="91"/>
      <c r="G6200" s="90"/>
      <c r="H6200" s="92"/>
      <c r="I6200" s="87"/>
      <c r="J6200" s="93"/>
      <c r="K6200" s="92"/>
      <c r="L6200" s="72" t="str">
        <f t="shared" si="97"/>
        <v/>
      </c>
      <c r="N6200" s="15"/>
    </row>
    <row r="6201" spans="1:14" s="14" customFormat="1" ht="18" x14ac:dyDescent="0.25">
      <c r="A6201" s="91"/>
      <c r="B6201" s="90"/>
      <c r="C6201" s="88"/>
      <c r="D6201" s="89"/>
      <c r="E6201" s="90"/>
      <c r="F6201" s="91"/>
      <c r="G6201" s="90"/>
      <c r="H6201" s="92"/>
      <c r="I6201" s="87"/>
      <c r="J6201" s="93"/>
      <c r="K6201" s="92"/>
      <c r="L6201" s="72" t="str">
        <f t="shared" si="97"/>
        <v/>
      </c>
      <c r="N6201" s="15"/>
    </row>
    <row r="6202" spans="1:14" s="14" customFormat="1" ht="18" x14ac:dyDescent="0.25">
      <c r="A6202" s="91"/>
      <c r="B6202" s="90"/>
      <c r="C6202" s="88"/>
      <c r="D6202" s="89"/>
      <c r="E6202" s="90"/>
      <c r="F6202" s="91"/>
      <c r="G6202" s="90"/>
      <c r="H6202" s="92"/>
      <c r="I6202" s="87"/>
      <c r="J6202" s="93"/>
      <c r="K6202" s="92"/>
      <c r="L6202" s="72" t="str">
        <f t="shared" si="97"/>
        <v/>
      </c>
      <c r="N6202" s="15"/>
    </row>
    <row r="6203" spans="1:14" s="14" customFormat="1" ht="18" x14ac:dyDescent="0.25">
      <c r="A6203" s="91"/>
      <c r="B6203" s="90"/>
      <c r="C6203" s="88"/>
      <c r="D6203" s="89"/>
      <c r="E6203" s="90"/>
      <c r="F6203" s="91"/>
      <c r="G6203" s="90"/>
      <c r="H6203" s="92"/>
      <c r="I6203" s="87"/>
      <c r="J6203" s="93"/>
      <c r="K6203" s="92"/>
      <c r="L6203" s="72" t="str">
        <f t="shared" si="97"/>
        <v/>
      </c>
      <c r="N6203" s="15"/>
    </row>
    <row r="6204" spans="1:14" s="14" customFormat="1" ht="18" x14ac:dyDescent="0.25">
      <c r="A6204" s="91"/>
      <c r="B6204" s="90"/>
      <c r="C6204" s="88"/>
      <c r="D6204" s="89"/>
      <c r="E6204" s="90"/>
      <c r="F6204" s="91"/>
      <c r="G6204" s="90"/>
      <c r="H6204" s="92"/>
      <c r="I6204" s="87"/>
      <c r="J6204" s="93"/>
      <c r="K6204" s="92"/>
      <c r="L6204" s="72" t="str">
        <f t="shared" si="97"/>
        <v/>
      </c>
      <c r="N6204" s="15"/>
    </row>
    <row r="6205" spans="1:14" s="14" customFormat="1" ht="18" x14ac:dyDescent="0.25">
      <c r="A6205" s="91"/>
      <c r="B6205" s="90"/>
      <c r="C6205" s="88"/>
      <c r="D6205" s="89"/>
      <c r="E6205" s="90"/>
      <c r="F6205" s="91"/>
      <c r="G6205" s="90"/>
      <c r="H6205" s="92"/>
      <c r="I6205" s="87"/>
      <c r="J6205" s="93"/>
      <c r="K6205" s="92"/>
      <c r="L6205" s="72" t="str">
        <f t="shared" si="97"/>
        <v/>
      </c>
      <c r="N6205" s="15"/>
    </row>
    <row r="6206" spans="1:14" s="14" customFormat="1" ht="18" x14ac:dyDescent="0.25">
      <c r="A6206" s="91"/>
      <c r="B6206" s="90"/>
      <c r="C6206" s="88"/>
      <c r="D6206" s="89"/>
      <c r="E6206" s="90"/>
      <c r="F6206" s="91"/>
      <c r="G6206" s="90"/>
      <c r="H6206" s="92"/>
      <c r="I6206" s="87"/>
      <c r="J6206" s="93"/>
      <c r="K6206" s="92"/>
      <c r="L6206" s="72" t="str">
        <f t="shared" si="97"/>
        <v/>
      </c>
      <c r="N6206" s="15"/>
    </row>
    <row r="6207" spans="1:14" s="14" customFormat="1" ht="18" x14ac:dyDescent="0.25">
      <c r="A6207" s="91"/>
      <c r="B6207" s="90"/>
      <c r="C6207" s="88"/>
      <c r="D6207" s="89"/>
      <c r="E6207" s="90"/>
      <c r="F6207" s="91"/>
      <c r="G6207" s="90"/>
      <c r="H6207" s="92"/>
      <c r="I6207" s="87"/>
      <c r="J6207" s="93"/>
      <c r="K6207" s="92"/>
      <c r="L6207" s="72" t="str">
        <f t="shared" si="97"/>
        <v/>
      </c>
      <c r="N6207" s="15"/>
    </row>
    <row r="6208" spans="1:14" s="14" customFormat="1" ht="18" x14ac:dyDescent="0.25">
      <c r="A6208" s="91"/>
      <c r="B6208" s="90"/>
      <c r="C6208" s="88"/>
      <c r="D6208" s="89"/>
      <c r="E6208" s="90"/>
      <c r="F6208" s="91"/>
      <c r="G6208" s="90"/>
      <c r="H6208" s="92"/>
      <c r="I6208" s="87"/>
      <c r="J6208" s="93"/>
      <c r="K6208" s="92"/>
      <c r="L6208" s="72" t="str">
        <f t="shared" si="97"/>
        <v/>
      </c>
      <c r="N6208" s="15"/>
    </row>
    <row r="6209" spans="1:14" s="14" customFormat="1" ht="18" x14ac:dyDescent="0.25">
      <c r="A6209" s="91"/>
      <c r="B6209" s="90"/>
      <c r="C6209" s="88"/>
      <c r="D6209" s="89"/>
      <c r="E6209" s="90"/>
      <c r="F6209" s="91"/>
      <c r="G6209" s="90"/>
      <c r="H6209" s="92"/>
      <c r="I6209" s="87"/>
      <c r="J6209" s="93"/>
      <c r="K6209" s="92"/>
      <c r="L6209" s="72" t="str">
        <f t="shared" si="97"/>
        <v/>
      </c>
      <c r="N6209" s="15"/>
    </row>
    <row r="6210" spans="1:14" s="14" customFormat="1" ht="18" x14ac:dyDescent="0.25">
      <c r="A6210" s="91"/>
      <c r="B6210" s="90"/>
      <c r="C6210" s="88"/>
      <c r="D6210" s="89"/>
      <c r="E6210" s="90"/>
      <c r="F6210" s="91"/>
      <c r="G6210" s="90"/>
      <c r="H6210" s="92"/>
      <c r="I6210" s="87"/>
      <c r="J6210" s="93"/>
      <c r="K6210" s="92"/>
      <c r="L6210" s="72" t="str">
        <f t="shared" si="97"/>
        <v/>
      </c>
      <c r="N6210" s="15"/>
    </row>
    <row r="6211" spans="1:14" s="14" customFormat="1" ht="18" x14ac:dyDescent="0.25">
      <c r="A6211" s="91"/>
      <c r="B6211" s="90"/>
      <c r="C6211" s="88"/>
      <c r="D6211" s="89"/>
      <c r="E6211" s="90"/>
      <c r="F6211" s="91"/>
      <c r="G6211" s="90"/>
      <c r="H6211" s="92"/>
      <c r="I6211" s="87"/>
      <c r="J6211" s="93"/>
      <c r="K6211" s="92"/>
      <c r="L6211" s="72" t="str">
        <f t="shared" si="97"/>
        <v/>
      </c>
      <c r="N6211" s="15"/>
    </row>
    <row r="6212" spans="1:14" s="14" customFormat="1" ht="18" x14ac:dyDescent="0.25">
      <c r="A6212" s="91"/>
      <c r="B6212" s="90"/>
      <c r="C6212" s="88"/>
      <c r="D6212" s="89"/>
      <c r="E6212" s="90"/>
      <c r="F6212" s="91"/>
      <c r="G6212" s="90"/>
      <c r="H6212" s="92"/>
      <c r="I6212" s="87"/>
      <c r="J6212" s="93"/>
      <c r="K6212" s="92"/>
      <c r="L6212" s="72" t="str">
        <f t="shared" si="97"/>
        <v/>
      </c>
      <c r="N6212" s="15"/>
    </row>
    <row r="6213" spans="1:14" s="14" customFormat="1" ht="18" x14ac:dyDescent="0.25">
      <c r="A6213" s="91"/>
      <c r="B6213" s="90"/>
      <c r="C6213" s="88"/>
      <c r="D6213" s="89"/>
      <c r="E6213" s="90"/>
      <c r="F6213" s="91"/>
      <c r="G6213" s="90"/>
      <c r="H6213" s="92"/>
      <c r="I6213" s="87"/>
      <c r="J6213" s="93"/>
      <c r="K6213" s="92"/>
      <c r="L6213" s="72" t="str">
        <f t="shared" si="97"/>
        <v/>
      </c>
      <c r="N6213" s="15"/>
    </row>
    <row r="6214" spans="1:14" s="14" customFormat="1" ht="18" x14ac:dyDescent="0.25">
      <c r="A6214" s="91"/>
      <c r="B6214" s="90"/>
      <c r="C6214" s="88"/>
      <c r="D6214" s="89"/>
      <c r="E6214" s="90"/>
      <c r="F6214" s="91"/>
      <c r="G6214" s="90"/>
      <c r="H6214" s="92"/>
      <c r="I6214" s="87"/>
      <c r="J6214" s="93"/>
      <c r="K6214" s="92"/>
      <c r="L6214" s="72" t="str">
        <f t="shared" si="97"/>
        <v/>
      </c>
      <c r="N6214" s="15"/>
    </row>
    <row r="6215" spans="1:14" s="14" customFormat="1" ht="18" x14ac:dyDescent="0.25">
      <c r="A6215" s="91"/>
      <c r="B6215" s="90"/>
      <c r="C6215" s="88"/>
      <c r="D6215" s="89"/>
      <c r="E6215" s="90"/>
      <c r="F6215" s="91"/>
      <c r="G6215" s="90"/>
      <c r="H6215" s="92"/>
      <c r="I6215" s="87"/>
      <c r="J6215" s="93"/>
      <c r="K6215" s="92"/>
      <c r="L6215" s="72" t="str">
        <f t="shared" si="97"/>
        <v/>
      </c>
      <c r="N6215" s="15"/>
    </row>
    <row r="6216" spans="1:14" s="14" customFormat="1" ht="18" x14ac:dyDescent="0.25">
      <c r="A6216" s="91"/>
      <c r="B6216" s="90"/>
      <c r="C6216" s="88"/>
      <c r="D6216" s="89"/>
      <c r="E6216" s="90"/>
      <c r="F6216" s="91"/>
      <c r="G6216" s="90"/>
      <c r="H6216" s="92"/>
      <c r="I6216" s="87"/>
      <c r="J6216" s="93"/>
      <c r="K6216" s="92"/>
      <c r="L6216" s="72" t="str">
        <f t="shared" si="97"/>
        <v/>
      </c>
      <c r="N6216" s="15"/>
    </row>
    <row r="6217" spans="1:14" s="14" customFormat="1" ht="18" x14ac:dyDescent="0.25">
      <c r="A6217" s="91"/>
      <c r="B6217" s="90"/>
      <c r="C6217" s="88"/>
      <c r="D6217" s="89"/>
      <c r="E6217" s="90"/>
      <c r="F6217" s="91"/>
      <c r="G6217" s="90"/>
      <c r="H6217" s="92"/>
      <c r="I6217" s="87"/>
      <c r="J6217" s="93"/>
      <c r="K6217" s="92"/>
      <c r="L6217" s="72" t="str">
        <f t="shared" si="97"/>
        <v/>
      </c>
      <c r="N6217" s="15"/>
    </row>
    <row r="6218" spans="1:14" s="14" customFormat="1" ht="18" x14ac:dyDescent="0.25">
      <c r="A6218" s="91"/>
      <c r="B6218" s="90"/>
      <c r="C6218" s="88"/>
      <c r="D6218" s="89"/>
      <c r="E6218" s="90"/>
      <c r="F6218" s="91"/>
      <c r="G6218" s="90"/>
      <c r="H6218" s="92"/>
      <c r="I6218" s="87"/>
      <c r="J6218" s="93"/>
      <c r="K6218" s="92"/>
      <c r="L6218" s="72" t="str">
        <f t="shared" si="97"/>
        <v/>
      </c>
      <c r="N6218" s="15"/>
    </row>
    <row r="6219" spans="1:14" s="14" customFormat="1" ht="18" x14ac:dyDescent="0.25">
      <c r="A6219" s="91"/>
      <c r="B6219" s="90"/>
      <c r="C6219" s="88"/>
      <c r="D6219" s="89"/>
      <c r="E6219" s="90"/>
      <c r="F6219" s="91"/>
      <c r="G6219" s="90"/>
      <c r="H6219" s="92"/>
      <c r="I6219" s="87"/>
      <c r="J6219" s="93"/>
      <c r="K6219" s="92"/>
      <c r="L6219" s="72" t="str">
        <f t="shared" si="97"/>
        <v/>
      </c>
      <c r="N6219" s="15"/>
    </row>
    <row r="6220" spans="1:14" s="14" customFormat="1" ht="18" x14ac:dyDescent="0.25">
      <c r="A6220" s="91"/>
      <c r="B6220" s="90"/>
      <c r="C6220" s="88"/>
      <c r="D6220" s="89"/>
      <c r="E6220" s="90"/>
      <c r="F6220" s="91"/>
      <c r="G6220" s="90"/>
      <c r="H6220" s="92"/>
      <c r="I6220" s="87"/>
      <c r="J6220" s="93"/>
      <c r="K6220" s="92"/>
      <c r="L6220" s="72" t="str">
        <f t="shared" si="97"/>
        <v/>
      </c>
      <c r="N6220" s="15"/>
    </row>
    <row r="6221" spans="1:14" s="14" customFormat="1" ht="18" x14ac:dyDescent="0.25">
      <c r="A6221" s="91"/>
      <c r="B6221" s="90"/>
      <c r="C6221" s="88"/>
      <c r="D6221" s="89"/>
      <c r="E6221" s="90"/>
      <c r="F6221" s="91"/>
      <c r="G6221" s="90"/>
      <c r="H6221" s="92"/>
      <c r="I6221" s="87"/>
      <c r="J6221" s="93"/>
      <c r="K6221" s="92"/>
      <c r="L6221" s="72" t="str">
        <f t="shared" si="97"/>
        <v/>
      </c>
      <c r="N6221" s="15"/>
    </row>
    <row r="6222" spans="1:14" s="14" customFormat="1" ht="18" x14ac:dyDescent="0.25">
      <c r="A6222" s="91"/>
      <c r="B6222" s="90"/>
      <c r="C6222" s="88"/>
      <c r="D6222" s="89"/>
      <c r="E6222" s="90"/>
      <c r="F6222" s="91"/>
      <c r="G6222" s="90"/>
      <c r="H6222" s="92"/>
      <c r="I6222" s="87"/>
      <c r="J6222" s="93"/>
      <c r="K6222" s="92"/>
      <c r="L6222" s="72" t="str">
        <f t="shared" si="97"/>
        <v/>
      </c>
      <c r="N6222" s="15"/>
    </row>
    <row r="6223" spans="1:14" s="14" customFormat="1" ht="18" x14ac:dyDescent="0.25">
      <c r="A6223" s="91"/>
      <c r="B6223" s="90"/>
      <c r="C6223" s="88"/>
      <c r="D6223" s="89"/>
      <c r="E6223" s="90"/>
      <c r="F6223" s="91"/>
      <c r="G6223" s="90"/>
      <c r="H6223" s="92"/>
      <c r="I6223" s="87"/>
      <c r="J6223" s="93"/>
      <c r="K6223" s="92"/>
      <c r="L6223" s="72" t="str">
        <f t="shared" si="97"/>
        <v/>
      </c>
      <c r="N6223" s="15"/>
    </row>
    <row r="6224" spans="1:14" s="14" customFormat="1" ht="18" x14ac:dyDescent="0.25">
      <c r="A6224" s="91"/>
      <c r="B6224" s="90"/>
      <c r="C6224" s="88"/>
      <c r="D6224" s="89"/>
      <c r="E6224" s="90"/>
      <c r="F6224" s="91"/>
      <c r="G6224" s="90"/>
      <c r="H6224" s="92"/>
      <c r="I6224" s="87"/>
      <c r="J6224" s="93"/>
      <c r="K6224" s="92"/>
      <c r="L6224" s="72" t="str">
        <f t="shared" si="97"/>
        <v/>
      </c>
      <c r="N6224" s="15"/>
    </row>
    <row r="6225" spans="1:14" s="14" customFormat="1" ht="18" x14ac:dyDescent="0.25">
      <c r="A6225" s="91"/>
      <c r="B6225" s="90"/>
      <c r="C6225" s="88"/>
      <c r="D6225" s="89"/>
      <c r="E6225" s="90"/>
      <c r="F6225" s="91"/>
      <c r="G6225" s="90"/>
      <c r="H6225" s="92"/>
      <c r="I6225" s="87"/>
      <c r="J6225" s="93"/>
      <c r="K6225" s="92"/>
      <c r="L6225" s="72" t="str">
        <f t="shared" si="97"/>
        <v/>
      </c>
      <c r="N6225" s="15"/>
    </row>
    <row r="6226" spans="1:14" s="14" customFormat="1" ht="18" x14ac:dyDescent="0.25">
      <c r="A6226" s="91"/>
      <c r="B6226" s="90"/>
      <c r="C6226" s="88"/>
      <c r="D6226" s="89"/>
      <c r="E6226" s="90"/>
      <c r="F6226" s="91"/>
      <c r="G6226" s="90"/>
      <c r="H6226" s="92"/>
      <c r="I6226" s="87"/>
      <c r="J6226" s="93"/>
      <c r="K6226" s="92"/>
      <c r="L6226" s="72" t="str">
        <f t="shared" si="97"/>
        <v/>
      </c>
      <c r="N6226" s="15"/>
    </row>
    <row r="6227" spans="1:14" s="14" customFormat="1" ht="18" x14ac:dyDescent="0.25">
      <c r="A6227" s="91"/>
      <c r="B6227" s="90"/>
      <c r="C6227" s="88"/>
      <c r="D6227" s="89"/>
      <c r="E6227" s="90"/>
      <c r="F6227" s="91"/>
      <c r="G6227" s="90"/>
      <c r="H6227" s="92"/>
      <c r="I6227" s="87"/>
      <c r="J6227" s="93"/>
      <c r="K6227" s="92"/>
      <c r="L6227" s="72" t="str">
        <f t="shared" si="97"/>
        <v/>
      </c>
      <c r="N6227" s="15"/>
    </row>
    <row r="6228" spans="1:14" s="14" customFormat="1" ht="18" x14ac:dyDescent="0.25">
      <c r="A6228" s="91"/>
      <c r="B6228" s="90"/>
      <c r="C6228" s="88"/>
      <c r="D6228" s="89"/>
      <c r="E6228" s="90"/>
      <c r="F6228" s="91"/>
      <c r="G6228" s="90"/>
      <c r="H6228" s="92"/>
      <c r="I6228" s="87"/>
      <c r="J6228" s="93"/>
      <c r="K6228" s="92"/>
      <c r="L6228" s="72" t="str">
        <f t="shared" si="97"/>
        <v/>
      </c>
      <c r="N6228" s="15"/>
    </row>
    <row r="6229" spans="1:14" s="14" customFormat="1" ht="18" x14ac:dyDescent="0.25">
      <c r="A6229" s="91"/>
      <c r="B6229" s="90"/>
      <c r="C6229" s="88"/>
      <c r="D6229" s="89"/>
      <c r="E6229" s="90"/>
      <c r="F6229" s="91"/>
      <c r="G6229" s="90"/>
      <c r="H6229" s="92"/>
      <c r="I6229" s="87"/>
      <c r="J6229" s="93"/>
      <c r="K6229" s="92"/>
      <c r="L6229" s="72" t="str">
        <f t="shared" si="97"/>
        <v/>
      </c>
      <c r="N6229" s="15"/>
    </row>
    <row r="6230" spans="1:14" s="14" customFormat="1" ht="18" x14ac:dyDescent="0.25">
      <c r="A6230" s="91"/>
      <c r="B6230" s="90"/>
      <c r="C6230" s="88"/>
      <c r="D6230" s="89"/>
      <c r="E6230" s="90"/>
      <c r="F6230" s="91"/>
      <c r="G6230" s="90"/>
      <c r="H6230" s="92"/>
      <c r="I6230" s="87"/>
      <c r="J6230" s="93"/>
      <c r="K6230" s="92"/>
      <c r="L6230" s="72" t="str">
        <f t="shared" si="97"/>
        <v/>
      </c>
      <c r="N6230" s="15"/>
    </row>
    <row r="6231" spans="1:14" s="14" customFormat="1" ht="18" x14ac:dyDescent="0.25">
      <c r="A6231" s="91"/>
      <c r="B6231" s="90"/>
      <c r="C6231" s="88"/>
      <c r="D6231" s="89"/>
      <c r="E6231" s="90"/>
      <c r="F6231" s="91"/>
      <c r="G6231" s="90"/>
      <c r="H6231" s="92"/>
      <c r="I6231" s="87"/>
      <c r="J6231" s="93"/>
      <c r="K6231" s="92"/>
      <c r="L6231" s="72" t="str">
        <f t="shared" si="97"/>
        <v/>
      </c>
      <c r="N6231" s="15"/>
    </row>
    <row r="6232" spans="1:14" s="14" customFormat="1" ht="18" x14ac:dyDescent="0.25">
      <c r="A6232" s="91"/>
      <c r="B6232" s="90"/>
      <c r="C6232" s="88"/>
      <c r="D6232" s="89"/>
      <c r="E6232" s="90"/>
      <c r="F6232" s="91"/>
      <c r="G6232" s="90"/>
      <c r="H6232" s="92"/>
      <c r="I6232" s="87"/>
      <c r="J6232" s="93"/>
      <c r="K6232" s="92"/>
      <c r="L6232" s="72" t="str">
        <f t="shared" si="97"/>
        <v/>
      </c>
      <c r="N6232" s="15"/>
    </row>
    <row r="6233" spans="1:14" s="14" customFormat="1" ht="18" x14ac:dyDescent="0.25">
      <c r="A6233" s="91"/>
      <c r="B6233" s="90"/>
      <c r="C6233" s="88"/>
      <c r="D6233" s="89"/>
      <c r="E6233" s="90"/>
      <c r="F6233" s="91"/>
      <c r="G6233" s="90"/>
      <c r="H6233" s="92"/>
      <c r="I6233" s="87"/>
      <c r="J6233" s="93"/>
      <c r="K6233" s="92"/>
      <c r="L6233" s="72" t="str">
        <f t="shared" si="97"/>
        <v/>
      </c>
      <c r="N6233" s="15"/>
    </row>
    <row r="6234" spans="1:14" s="14" customFormat="1" ht="18" x14ac:dyDescent="0.25">
      <c r="A6234" s="91"/>
      <c r="B6234" s="90"/>
      <c r="C6234" s="88"/>
      <c r="D6234" s="89"/>
      <c r="E6234" s="90"/>
      <c r="F6234" s="91"/>
      <c r="G6234" s="90"/>
      <c r="H6234" s="92"/>
      <c r="I6234" s="87"/>
      <c r="J6234" s="93"/>
      <c r="K6234" s="92"/>
      <c r="L6234" s="72" t="str">
        <f t="shared" si="97"/>
        <v/>
      </c>
      <c r="N6234" s="15"/>
    </row>
    <row r="6235" spans="1:14" s="14" customFormat="1" ht="18" x14ac:dyDescent="0.25">
      <c r="A6235" s="91"/>
      <c r="B6235" s="90"/>
      <c r="C6235" s="88"/>
      <c r="D6235" s="89"/>
      <c r="E6235" s="90"/>
      <c r="F6235" s="91"/>
      <c r="G6235" s="90"/>
      <c r="H6235" s="92"/>
      <c r="I6235" s="87"/>
      <c r="J6235" s="93"/>
      <c r="K6235" s="92"/>
      <c r="L6235" s="72" t="str">
        <f t="shared" si="97"/>
        <v/>
      </c>
      <c r="N6235" s="15"/>
    </row>
    <row r="6236" spans="1:14" s="14" customFormat="1" ht="18" x14ac:dyDescent="0.25">
      <c r="A6236" s="91"/>
      <c r="B6236" s="90"/>
      <c r="C6236" s="88"/>
      <c r="D6236" s="89"/>
      <c r="E6236" s="90"/>
      <c r="F6236" s="91"/>
      <c r="G6236" s="90"/>
      <c r="H6236" s="92"/>
      <c r="I6236" s="87"/>
      <c r="J6236" s="93"/>
      <c r="K6236" s="92"/>
      <c r="L6236" s="72" t="str">
        <f t="shared" si="97"/>
        <v/>
      </c>
      <c r="N6236" s="15"/>
    </row>
    <row r="6237" spans="1:14" s="14" customFormat="1" ht="18" x14ac:dyDescent="0.25">
      <c r="A6237" s="91"/>
      <c r="B6237" s="90"/>
      <c r="C6237" s="88"/>
      <c r="D6237" s="89"/>
      <c r="E6237" s="90"/>
      <c r="F6237" s="91"/>
      <c r="G6237" s="90"/>
      <c r="H6237" s="92"/>
      <c r="I6237" s="87"/>
      <c r="J6237" s="93"/>
      <c r="K6237" s="92"/>
      <c r="L6237" s="72" t="str">
        <f t="shared" si="97"/>
        <v/>
      </c>
      <c r="N6237" s="15"/>
    </row>
    <row r="6238" spans="1:14" s="14" customFormat="1" ht="18" x14ac:dyDescent="0.25">
      <c r="A6238" s="91"/>
      <c r="B6238" s="90"/>
      <c r="C6238" s="88"/>
      <c r="D6238" s="89"/>
      <c r="E6238" s="90"/>
      <c r="F6238" s="91"/>
      <c r="G6238" s="90"/>
      <c r="H6238" s="92"/>
      <c r="I6238" s="87"/>
      <c r="J6238" s="93"/>
      <c r="K6238" s="92"/>
      <c r="L6238" s="72" t="str">
        <f t="shared" ref="L6238:L6301" si="98">IF(ISBLANK(H6238),"",IF(H6238=K6238,"Payé","Impayé"))</f>
        <v/>
      </c>
      <c r="N6238" s="15"/>
    </row>
    <row r="6239" spans="1:14" s="14" customFormat="1" ht="18" x14ac:dyDescent="0.25">
      <c r="A6239" s="91"/>
      <c r="B6239" s="90"/>
      <c r="C6239" s="88"/>
      <c r="D6239" s="89"/>
      <c r="E6239" s="90"/>
      <c r="F6239" s="91"/>
      <c r="G6239" s="90"/>
      <c r="H6239" s="92"/>
      <c r="I6239" s="87"/>
      <c r="J6239" s="93"/>
      <c r="K6239" s="92"/>
      <c r="L6239" s="72" t="str">
        <f t="shared" si="98"/>
        <v/>
      </c>
      <c r="N6239" s="15"/>
    </row>
    <row r="6240" spans="1:14" s="14" customFormat="1" ht="18" x14ac:dyDescent="0.25">
      <c r="A6240" s="91"/>
      <c r="B6240" s="90"/>
      <c r="C6240" s="88"/>
      <c r="D6240" s="89"/>
      <c r="E6240" s="90"/>
      <c r="F6240" s="91"/>
      <c r="G6240" s="90"/>
      <c r="H6240" s="92"/>
      <c r="I6240" s="87"/>
      <c r="J6240" s="93"/>
      <c r="K6240" s="92"/>
      <c r="L6240" s="72" t="str">
        <f t="shared" si="98"/>
        <v/>
      </c>
      <c r="N6240" s="15"/>
    </row>
    <row r="6241" spans="1:14" s="14" customFormat="1" ht="18" x14ac:dyDescent="0.25">
      <c r="A6241" s="91"/>
      <c r="B6241" s="90"/>
      <c r="C6241" s="88"/>
      <c r="D6241" s="89"/>
      <c r="E6241" s="90"/>
      <c r="F6241" s="91"/>
      <c r="G6241" s="90"/>
      <c r="H6241" s="92"/>
      <c r="I6241" s="87"/>
      <c r="J6241" s="93"/>
      <c r="K6241" s="92"/>
      <c r="L6241" s="72" t="str">
        <f t="shared" si="98"/>
        <v/>
      </c>
      <c r="N6241" s="15"/>
    </row>
    <row r="6242" spans="1:14" s="14" customFormat="1" ht="18" x14ac:dyDescent="0.25">
      <c r="A6242" s="91"/>
      <c r="B6242" s="90"/>
      <c r="C6242" s="88"/>
      <c r="D6242" s="89"/>
      <c r="E6242" s="90"/>
      <c r="F6242" s="91"/>
      <c r="G6242" s="90"/>
      <c r="H6242" s="92"/>
      <c r="I6242" s="87"/>
      <c r="J6242" s="93"/>
      <c r="K6242" s="92"/>
      <c r="L6242" s="72" t="str">
        <f t="shared" si="98"/>
        <v/>
      </c>
      <c r="N6242" s="15"/>
    </row>
    <row r="6243" spans="1:14" s="14" customFormat="1" ht="18" x14ac:dyDescent="0.25">
      <c r="A6243" s="91"/>
      <c r="B6243" s="90"/>
      <c r="C6243" s="88"/>
      <c r="D6243" s="89"/>
      <c r="E6243" s="90"/>
      <c r="F6243" s="91"/>
      <c r="G6243" s="90"/>
      <c r="H6243" s="92"/>
      <c r="I6243" s="87"/>
      <c r="J6243" s="93"/>
      <c r="K6243" s="92"/>
      <c r="L6243" s="72" t="str">
        <f t="shared" si="98"/>
        <v/>
      </c>
      <c r="N6243" s="15"/>
    </row>
    <row r="6244" spans="1:14" s="14" customFormat="1" ht="18" x14ac:dyDescent="0.25">
      <c r="A6244" s="91"/>
      <c r="B6244" s="90"/>
      <c r="C6244" s="88"/>
      <c r="D6244" s="89"/>
      <c r="E6244" s="90"/>
      <c r="F6244" s="91"/>
      <c r="G6244" s="90"/>
      <c r="H6244" s="92"/>
      <c r="I6244" s="87"/>
      <c r="J6244" s="93"/>
      <c r="K6244" s="92"/>
      <c r="L6244" s="72" t="str">
        <f t="shared" si="98"/>
        <v/>
      </c>
      <c r="N6244" s="15"/>
    </row>
    <row r="6245" spans="1:14" s="14" customFormat="1" ht="18" x14ac:dyDescent="0.25">
      <c r="A6245" s="91"/>
      <c r="B6245" s="90"/>
      <c r="C6245" s="88"/>
      <c r="D6245" s="89"/>
      <c r="E6245" s="90"/>
      <c r="F6245" s="91"/>
      <c r="G6245" s="90"/>
      <c r="H6245" s="92"/>
      <c r="I6245" s="87"/>
      <c r="J6245" s="93"/>
      <c r="K6245" s="92"/>
      <c r="L6245" s="72" t="str">
        <f t="shared" si="98"/>
        <v/>
      </c>
      <c r="N6245" s="15"/>
    </row>
    <row r="6246" spans="1:14" s="14" customFormat="1" ht="18" x14ac:dyDescent="0.25">
      <c r="A6246" s="91"/>
      <c r="B6246" s="90"/>
      <c r="C6246" s="88"/>
      <c r="D6246" s="89"/>
      <c r="E6246" s="90"/>
      <c r="F6246" s="91"/>
      <c r="G6246" s="90"/>
      <c r="H6246" s="92"/>
      <c r="I6246" s="87"/>
      <c r="J6246" s="93"/>
      <c r="K6246" s="92"/>
      <c r="L6246" s="72" t="str">
        <f t="shared" si="98"/>
        <v/>
      </c>
      <c r="N6246" s="15"/>
    </row>
    <row r="6247" spans="1:14" s="14" customFormat="1" ht="18" x14ac:dyDescent="0.25">
      <c r="A6247" s="91"/>
      <c r="B6247" s="90"/>
      <c r="C6247" s="88"/>
      <c r="D6247" s="89"/>
      <c r="E6247" s="90"/>
      <c r="F6247" s="91"/>
      <c r="G6247" s="90"/>
      <c r="H6247" s="92"/>
      <c r="I6247" s="87"/>
      <c r="J6247" s="93"/>
      <c r="K6247" s="92"/>
      <c r="L6247" s="72" t="str">
        <f t="shared" si="98"/>
        <v/>
      </c>
      <c r="N6247" s="15"/>
    </row>
    <row r="6248" spans="1:14" s="14" customFormat="1" ht="18" x14ac:dyDescent="0.25">
      <c r="A6248" s="91"/>
      <c r="B6248" s="90"/>
      <c r="C6248" s="88"/>
      <c r="D6248" s="89"/>
      <c r="E6248" s="90"/>
      <c r="F6248" s="91"/>
      <c r="G6248" s="90"/>
      <c r="H6248" s="92"/>
      <c r="I6248" s="87"/>
      <c r="J6248" s="93"/>
      <c r="K6248" s="92"/>
      <c r="L6248" s="72" t="str">
        <f t="shared" si="98"/>
        <v/>
      </c>
      <c r="N6248" s="15"/>
    </row>
    <row r="6249" spans="1:14" s="14" customFormat="1" ht="18" x14ac:dyDescent="0.25">
      <c r="A6249" s="91"/>
      <c r="B6249" s="90"/>
      <c r="C6249" s="88"/>
      <c r="D6249" s="89"/>
      <c r="E6249" s="90"/>
      <c r="F6249" s="91"/>
      <c r="G6249" s="90"/>
      <c r="H6249" s="92"/>
      <c r="I6249" s="87"/>
      <c r="J6249" s="93"/>
      <c r="K6249" s="92"/>
      <c r="L6249" s="72" t="str">
        <f t="shared" si="98"/>
        <v/>
      </c>
      <c r="N6249" s="15"/>
    </row>
    <row r="6250" spans="1:14" s="14" customFormat="1" ht="18" x14ac:dyDescent="0.25">
      <c r="A6250" s="91"/>
      <c r="B6250" s="90"/>
      <c r="C6250" s="88"/>
      <c r="D6250" s="89"/>
      <c r="E6250" s="90"/>
      <c r="F6250" s="91"/>
      <c r="G6250" s="90"/>
      <c r="H6250" s="92"/>
      <c r="I6250" s="87"/>
      <c r="J6250" s="93"/>
      <c r="K6250" s="92"/>
      <c r="L6250" s="72" t="str">
        <f t="shared" si="98"/>
        <v/>
      </c>
      <c r="N6250" s="15"/>
    </row>
    <row r="6251" spans="1:14" s="14" customFormat="1" ht="18" x14ac:dyDescent="0.25">
      <c r="A6251" s="91"/>
      <c r="B6251" s="90"/>
      <c r="C6251" s="88"/>
      <c r="D6251" s="89"/>
      <c r="E6251" s="90"/>
      <c r="F6251" s="91"/>
      <c r="G6251" s="90"/>
      <c r="H6251" s="92"/>
      <c r="I6251" s="87"/>
      <c r="J6251" s="93"/>
      <c r="K6251" s="92"/>
      <c r="L6251" s="72" t="str">
        <f t="shared" si="98"/>
        <v/>
      </c>
      <c r="N6251" s="15"/>
    </row>
    <row r="6252" spans="1:14" s="14" customFormat="1" ht="18" x14ac:dyDescent="0.25">
      <c r="A6252" s="91"/>
      <c r="B6252" s="90"/>
      <c r="C6252" s="88"/>
      <c r="D6252" s="89"/>
      <c r="E6252" s="90"/>
      <c r="F6252" s="91"/>
      <c r="G6252" s="90"/>
      <c r="H6252" s="92"/>
      <c r="I6252" s="87"/>
      <c r="J6252" s="93"/>
      <c r="K6252" s="92"/>
      <c r="L6252" s="72" t="str">
        <f t="shared" si="98"/>
        <v/>
      </c>
      <c r="N6252" s="15"/>
    </row>
    <row r="6253" spans="1:14" s="14" customFormat="1" ht="18" x14ac:dyDescent="0.25">
      <c r="A6253" s="91"/>
      <c r="B6253" s="90"/>
      <c r="C6253" s="88"/>
      <c r="D6253" s="89"/>
      <c r="E6253" s="90"/>
      <c r="F6253" s="91"/>
      <c r="G6253" s="90"/>
      <c r="H6253" s="92"/>
      <c r="I6253" s="87"/>
      <c r="J6253" s="93"/>
      <c r="K6253" s="92"/>
      <c r="L6253" s="72" t="str">
        <f t="shared" si="98"/>
        <v/>
      </c>
      <c r="N6253" s="15"/>
    </row>
    <row r="6254" spans="1:14" s="14" customFormat="1" ht="18" x14ac:dyDescent="0.25">
      <c r="A6254" s="91"/>
      <c r="B6254" s="90"/>
      <c r="C6254" s="88"/>
      <c r="D6254" s="89"/>
      <c r="E6254" s="90"/>
      <c r="F6254" s="91"/>
      <c r="G6254" s="90"/>
      <c r="H6254" s="92"/>
      <c r="I6254" s="87"/>
      <c r="J6254" s="93"/>
      <c r="K6254" s="92"/>
      <c r="L6254" s="72" t="str">
        <f t="shared" si="98"/>
        <v/>
      </c>
      <c r="N6254" s="15"/>
    </row>
    <row r="6255" spans="1:14" s="14" customFormat="1" ht="18" x14ac:dyDescent="0.25">
      <c r="A6255" s="91"/>
      <c r="B6255" s="90"/>
      <c r="C6255" s="88"/>
      <c r="D6255" s="89"/>
      <c r="E6255" s="90"/>
      <c r="F6255" s="91"/>
      <c r="G6255" s="90"/>
      <c r="H6255" s="92"/>
      <c r="I6255" s="87"/>
      <c r="J6255" s="93"/>
      <c r="K6255" s="92"/>
      <c r="L6255" s="72" t="str">
        <f t="shared" si="98"/>
        <v/>
      </c>
      <c r="N6255" s="15"/>
    </row>
    <row r="6256" spans="1:14" s="14" customFormat="1" ht="18" x14ac:dyDescent="0.25">
      <c r="A6256" s="91"/>
      <c r="B6256" s="90"/>
      <c r="C6256" s="88"/>
      <c r="D6256" s="89"/>
      <c r="E6256" s="90"/>
      <c r="F6256" s="91"/>
      <c r="G6256" s="90"/>
      <c r="H6256" s="92"/>
      <c r="I6256" s="87"/>
      <c r="J6256" s="93"/>
      <c r="K6256" s="92"/>
      <c r="L6256" s="72" t="str">
        <f t="shared" si="98"/>
        <v/>
      </c>
      <c r="N6256" s="15"/>
    </row>
    <row r="6257" spans="1:14" s="14" customFormat="1" ht="18" x14ac:dyDescent="0.25">
      <c r="A6257" s="91"/>
      <c r="B6257" s="90"/>
      <c r="C6257" s="88"/>
      <c r="D6257" s="89"/>
      <c r="E6257" s="90"/>
      <c r="F6257" s="91"/>
      <c r="G6257" s="90"/>
      <c r="H6257" s="92"/>
      <c r="I6257" s="87"/>
      <c r="J6257" s="93"/>
      <c r="K6257" s="92"/>
      <c r="L6257" s="72" t="str">
        <f t="shared" si="98"/>
        <v/>
      </c>
      <c r="N6257" s="15"/>
    </row>
    <row r="6258" spans="1:14" s="14" customFormat="1" ht="18" x14ac:dyDescent="0.25">
      <c r="A6258" s="91"/>
      <c r="B6258" s="90"/>
      <c r="C6258" s="88"/>
      <c r="D6258" s="89"/>
      <c r="E6258" s="90"/>
      <c r="F6258" s="91"/>
      <c r="G6258" s="90"/>
      <c r="H6258" s="92"/>
      <c r="I6258" s="87"/>
      <c r="J6258" s="93"/>
      <c r="K6258" s="92"/>
      <c r="L6258" s="72" t="str">
        <f t="shared" si="98"/>
        <v/>
      </c>
      <c r="N6258" s="15"/>
    </row>
    <row r="6259" spans="1:14" s="14" customFormat="1" ht="18" x14ac:dyDescent="0.25">
      <c r="A6259" s="91"/>
      <c r="B6259" s="90"/>
      <c r="C6259" s="88"/>
      <c r="D6259" s="89"/>
      <c r="E6259" s="90"/>
      <c r="F6259" s="91"/>
      <c r="G6259" s="90"/>
      <c r="H6259" s="92"/>
      <c r="I6259" s="87"/>
      <c r="J6259" s="93"/>
      <c r="K6259" s="92"/>
      <c r="L6259" s="72" t="str">
        <f t="shared" si="98"/>
        <v/>
      </c>
      <c r="N6259" s="15"/>
    </row>
    <row r="6260" spans="1:14" s="14" customFormat="1" ht="18" x14ac:dyDescent="0.25">
      <c r="A6260" s="91"/>
      <c r="B6260" s="90"/>
      <c r="C6260" s="88"/>
      <c r="D6260" s="89"/>
      <c r="E6260" s="90"/>
      <c r="F6260" s="91"/>
      <c r="G6260" s="90"/>
      <c r="H6260" s="92"/>
      <c r="I6260" s="87"/>
      <c r="J6260" s="93"/>
      <c r="K6260" s="92"/>
      <c r="L6260" s="72" t="str">
        <f t="shared" si="98"/>
        <v/>
      </c>
      <c r="N6260" s="15"/>
    </row>
    <row r="6261" spans="1:14" s="14" customFormat="1" ht="18" x14ac:dyDescent="0.25">
      <c r="A6261" s="91"/>
      <c r="B6261" s="90"/>
      <c r="C6261" s="88"/>
      <c r="D6261" s="89"/>
      <c r="E6261" s="90"/>
      <c r="F6261" s="91"/>
      <c r="G6261" s="90"/>
      <c r="H6261" s="92"/>
      <c r="I6261" s="87"/>
      <c r="J6261" s="93"/>
      <c r="K6261" s="92"/>
      <c r="L6261" s="72" t="str">
        <f t="shared" si="98"/>
        <v/>
      </c>
      <c r="N6261" s="15"/>
    </row>
    <row r="6262" spans="1:14" s="14" customFormat="1" ht="18" x14ac:dyDescent="0.25">
      <c r="A6262" s="91"/>
      <c r="B6262" s="90"/>
      <c r="C6262" s="88"/>
      <c r="D6262" s="89"/>
      <c r="E6262" s="90"/>
      <c r="F6262" s="91"/>
      <c r="G6262" s="90"/>
      <c r="H6262" s="92"/>
      <c r="I6262" s="87"/>
      <c r="J6262" s="93"/>
      <c r="K6262" s="92"/>
      <c r="L6262" s="72" t="str">
        <f t="shared" si="98"/>
        <v/>
      </c>
      <c r="N6262" s="15"/>
    </row>
    <row r="6263" spans="1:14" s="14" customFormat="1" ht="18" x14ac:dyDescent="0.25">
      <c r="A6263" s="91"/>
      <c r="B6263" s="90"/>
      <c r="C6263" s="88"/>
      <c r="D6263" s="89"/>
      <c r="E6263" s="90"/>
      <c r="F6263" s="91"/>
      <c r="G6263" s="90"/>
      <c r="H6263" s="92"/>
      <c r="I6263" s="87"/>
      <c r="J6263" s="93"/>
      <c r="K6263" s="92"/>
      <c r="L6263" s="72" t="str">
        <f t="shared" si="98"/>
        <v/>
      </c>
      <c r="N6263" s="15"/>
    </row>
    <row r="6264" spans="1:14" s="14" customFormat="1" ht="18" x14ac:dyDescent="0.25">
      <c r="A6264" s="91"/>
      <c r="B6264" s="90"/>
      <c r="C6264" s="88"/>
      <c r="D6264" s="89"/>
      <c r="E6264" s="90"/>
      <c r="F6264" s="91"/>
      <c r="G6264" s="90"/>
      <c r="H6264" s="92"/>
      <c r="I6264" s="87"/>
      <c r="J6264" s="93"/>
      <c r="K6264" s="92"/>
      <c r="L6264" s="72" t="str">
        <f t="shared" si="98"/>
        <v/>
      </c>
      <c r="N6264" s="15"/>
    </row>
    <row r="6265" spans="1:14" s="14" customFormat="1" ht="18" x14ac:dyDescent="0.25">
      <c r="A6265" s="91"/>
      <c r="B6265" s="90"/>
      <c r="C6265" s="88"/>
      <c r="D6265" s="89"/>
      <c r="E6265" s="90"/>
      <c r="F6265" s="91"/>
      <c r="G6265" s="90"/>
      <c r="H6265" s="92"/>
      <c r="I6265" s="87"/>
      <c r="J6265" s="93"/>
      <c r="K6265" s="92"/>
      <c r="L6265" s="72" t="str">
        <f t="shared" si="98"/>
        <v/>
      </c>
      <c r="N6265" s="15"/>
    </row>
    <row r="6266" spans="1:14" s="14" customFormat="1" ht="18" x14ac:dyDescent="0.25">
      <c r="A6266" s="91"/>
      <c r="B6266" s="90"/>
      <c r="C6266" s="88"/>
      <c r="D6266" s="89"/>
      <c r="E6266" s="90"/>
      <c r="F6266" s="91"/>
      <c r="G6266" s="90"/>
      <c r="H6266" s="92"/>
      <c r="I6266" s="87"/>
      <c r="J6266" s="93"/>
      <c r="K6266" s="92"/>
      <c r="L6266" s="72" t="str">
        <f t="shared" si="98"/>
        <v/>
      </c>
      <c r="N6266" s="15"/>
    </row>
    <row r="6267" spans="1:14" s="14" customFormat="1" ht="18" x14ac:dyDescent="0.25">
      <c r="A6267" s="91"/>
      <c r="B6267" s="90"/>
      <c r="C6267" s="88"/>
      <c r="D6267" s="89"/>
      <c r="E6267" s="90"/>
      <c r="F6267" s="91"/>
      <c r="G6267" s="90"/>
      <c r="H6267" s="92"/>
      <c r="I6267" s="87"/>
      <c r="J6267" s="93"/>
      <c r="K6267" s="92"/>
      <c r="L6267" s="72" t="str">
        <f t="shared" si="98"/>
        <v/>
      </c>
      <c r="N6267" s="15"/>
    </row>
    <row r="6268" spans="1:14" s="14" customFormat="1" ht="18" x14ac:dyDescent="0.25">
      <c r="A6268" s="91"/>
      <c r="B6268" s="90"/>
      <c r="C6268" s="88"/>
      <c r="D6268" s="89"/>
      <c r="E6268" s="90"/>
      <c r="F6268" s="91"/>
      <c r="G6268" s="90"/>
      <c r="H6268" s="92"/>
      <c r="I6268" s="87"/>
      <c r="J6268" s="93"/>
      <c r="K6268" s="92"/>
      <c r="L6268" s="72" t="str">
        <f t="shared" si="98"/>
        <v/>
      </c>
      <c r="N6268" s="15"/>
    </row>
    <row r="6269" spans="1:14" s="14" customFormat="1" ht="18" x14ac:dyDescent="0.25">
      <c r="A6269" s="91"/>
      <c r="B6269" s="90"/>
      <c r="C6269" s="88"/>
      <c r="D6269" s="89"/>
      <c r="E6269" s="90"/>
      <c r="F6269" s="91"/>
      <c r="G6269" s="90"/>
      <c r="H6269" s="92"/>
      <c r="I6269" s="87"/>
      <c r="J6269" s="93"/>
      <c r="K6269" s="92"/>
      <c r="L6269" s="72" t="str">
        <f t="shared" si="98"/>
        <v/>
      </c>
      <c r="N6269" s="15"/>
    </row>
    <row r="6270" spans="1:14" s="14" customFormat="1" ht="18" x14ac:dyDescent="0.25">
      <c r="A6270" s="91"/>
      <c r="B6270" s="90"/>
      <c r="C6270" s="88"/>
      <c r="D6270" s="89"/>
      <c r="E6270" s="90"/>
      <c r="F6270" s="91"/>
      <c r="G6270" s="90"/>
      <c r="H6270" s="92"/>
      <c r="I6270" s="87"/>
      <c r="J6270" s="93"/>
      <c r="K6270" s="92"/>
      <c r="L6270" s="72" t="str">
        <f t="shared" si="98"/>
        <v/>
      </c>
      <c r="N6270" s="15"/>
    </row>
    <row r="6271" spans="1:14" s="14" customFormat="1" ht="18" x14ac:dyDescent="0.25">
      <c r="A6271" s="91"/>
      <c r="B6271" s="90"/>
      <c r="C6271" s="88"/>
      <c r="D6271" s="89"/>
      <c r="E6271" s="90"/>
      <c r="F6271" s="91"/>
      <c r="G6271" s="90"/>
      <c r="H6271" s="92"/>
      <c r="I6271" s="87"/>
      <c r="J6271" s="93"/>
      <c r="K6271" s="92"/>
      <c r="L6271" s="72" t="str">
        <f t="shared" si="98"/>
        <v/>
      </c>
      <c r="N6271" s="15"/>
    </row>
    <row r="6272" spans="1:14" s="14" customFormat="1" ht="18" x14ac:dyDescent="0.25">
      <c r="A6272" s="91"/>
      <c r="B6272" s="90"/>
      <c r="C6272" s="88"/>
      <c r="D6272" s="89"/>
      <c r="E6272" s="90"/>
      <c r="F6272" s="91"/>
      <c r="G6272" s="90"/>
      <c r="H6272" s="92"/>
      <c r="I6272" s="87"/>
      <c r="J6272" s="93"/>
      <c r="K6272" s="92"/>
      <c r="L6272" s="72" t="str">
        <f t="shared" si="98"/>
        <v/>
      </c>
      <c r="N6272" s="15"/>
    </row>
    <row r="6273" spans="1:14" s="14" customFormat="1" ht="18" x14ac:dyDescent="0.25">
      <c r="A6273" s="91"/>
      <c r="B6273" s="90"/>
      <c r="C6273" s="88"/>
      <c r="D6273" s="89"/>
      <c r="E6273" s="90"/>
      <c r="F6273" s="91"/>
      <c r="G6273" s="90"/>
      <c r="H6273" s="92"/>
      <c r="I6273" s="87"/>
      <c r="J6273" s="93"/>
      <c r="K6273" s="92"/>
      <c r="L6273" s="72" t="str">
        <f t="shared" si="98"/>
        <v/>
      </c>
      <c r="N6273" s="15"/>
    </row>
    <row r="6274" spans="1:14" s="14" customFormat="1" ht="18" x14ac:dyDescent="0.25">
      <c r="A6274" s="91"/>
      <c r="B6274" s="90"/>
      <c r="C6274" s="88"/>
      <c r="D6274" s="89"/>
      <c r="E6274" s="90"/>
      <c r="F6274" s="91"/>
      <c r="G6274" s="90"/>
      <c r="H6274" s="92"/>
      <c r="I6274" s="87"/>
      <c r="J6274" s="93"/>
      <c r="K6274" s="92"/>
      <c r="L6274" s="72" t="str">
        <f t="shared" si="98"/>
        <v/>
      </c>
      <c r="N6274" s="15"/>
    </row>
    <row r="6275" spans="1:14" s="14" customFormat="1" ht="18" x14ac:dyDescent="0.25">
      <c r="A6275" s="91"/>
      <c r="B6275" s="90"/>
      <c r="C6275" s="88"/>
      <c r="D6275" s="89"/>
      <c r="E6275" s="90"/>
      <c r="F6275" s="91"/>
      <c r="G6275" s="90"/>
      <c r="H6275" s="92"/>
      <c r="I6275" s="87"/>
      <c r="J6275" s="93"/>
      <c r="K6275" s="92"/>
      <c r="L6275" s="72" t="str">
        <f t="shared" si="98"/>
        <v/>
      </c>
      <c r="N6275" s="15"/>
    </row>
    <row r="6276" spans="1:14" s="14" customFormat="1" ht="18" x14ac:dyDescent="0.25">
      <c r="A6276" s="91"/>
      <c r="B6276" s="90"/>
      <c r="C6276" s="88"/>
      <c r="D6276" s="89"/>
      <c r="E6276" s="90"/>
      <c r="F6276" s="91"/>
      <c r="G6276" s="90"/>
      <c r="H6276" s="92"/>
      <c r="I6276" s="87"/>
      <c r="J6276" s="93"/>
      <c r="K6276" s="92"/>
      <c r="L6276" s="72" t="str">
        <f t="shared" si="98"/>
        <v/>
      </c>
      <c r="N6276" s="15"/>
    </row>
    <row r="6277" spans="1:14" s="14" customFormat="1" ht="18" x14ac:dyDescent="0.25">
      <c r="A6277" s="91"/>
      <c r="B6277" s="90"/>
      <c r="C6277" s="88"/>
      <c r="D6277" s="89"/>
      <c r="E6277" s="90"/>
      <c r="F6277" s="91"/>
      <c r="G6277" s="90"/>
      <c r="H6277" s="92"/>
      <c r="I6277" s="87"/>
      <c r="J6277" s="93"/>
      <c r="K6277" s="92"/>
      <c r="L6277" s="72" t="str">
        <f t="shared" si="98"/>
        <v/>
      </c>
      <c r="N6277" s="15"/>
    </row>
    <row r="6278" spans="1:14" s="14" customFormat="1" ht="18" x14ac:dyDescent="0.25">
      <c r="A6278" s="91"/>
      <c r="B6278" s="90"/>
      <c r="C6278" s="88"/>
      <c r="D6278" s="89"/>
      <c r="E6278" s="90"/>
      <c r="F6278" s="91"/>
      <c r="G6278" s="90"/>
      <c r="H6278" s="92"/>
      <c r="I6278" s="87"/>
      <c r="J6278" s="93"/>
      <c r="K6278" s="92"/>
      <c r="L6278" s="72" t="str">
        <f t="shared" si="98"/>
        <v/>
      </c>
      <c r="N6278" s="15"/>
    </row>
    <row r="6279" spans="1:14" s="14" customFormat="1" ht="18" x14ac:dyDescent="0.25">
      <c r="A6279" s="91"/>
      <c r="B6279" s="90"/>
      <c r="C6279" s="88"/>
      <c r="D6279" s="89"/>
      <c r="E6279" s="90"/>
      <c r="F6279" s="91"/>
      <c r="G6279" s="90"/>
      <c r="H6279" s="92"/>
      <c r="I6279" s="87"/>
      <c r="J6279" s="93"/>
      <c r="K6279" s="92"/>
      <c r="L6279" s="72" t="str">
        <f t="shared" si="98"/>
        <v/>
      </c>
      <c r="N6279" s="15"/>
    </row>
    <row r="6280" spans="1:14" s="14" customFormat="1" ht="18" x14ac:dyDescent="0.25">
      <c r="A6280" s="91"/>
      <c r="B6280" s="90"/>
      <c r="C6280" s="88"/>
      <c r="D6280" s="89"/>
      <c r="E6280" s="90"/>
      <c r="F6280" s="91"/>
      <c r="G6280" s="90"/>
      <c r="H6280" s="92"/>
      <c r="I6280" s="87"/>
      <c r="J6280" s="93"/>
      <c r="K6280" s="92"/>
      <c r="L6280" s="72" t="str">
        <f t="shared" si="98"/>
        <v/>
      </c>
      <c r="N6280" s="15"/>
    </row>
    <row r="6281" spans="1:14" s="14" customFormat="1" ht="18" x14ac:dyDescent="0.25">
      <c r="A6281" s="91"/>
      <c r="B6281" s="90"/>
      <c r="C6281" s="88"/>
      <c r="D6281" s="89"/>
      <c r="E6281" s="90"/>
      <c r="F6281" s="91"/>
      <c r="G6281" s="90"/>
      <c r="H6281" s="92"/>
      <c r="I6281" s="87"/>
      <c r="J6281" s="93"/>
      <c r="K6281" s="92"/>
      <c r="L6281" s="72" t="str">
        <f t="shared" si="98"/>
        <v/>
      </c>
      <c r="N6281" s="15"/>
    </row>
    <row r="6282" spans="1:14" s="14" customFormat="1" ht="18" x14ac:dyDescent="0.25">
      <c r="A6282" s="91"/>
      <c r="B6282" s="90"/>
      <c r="C6282" s="88"/>
      <c r="D6282" s="89"/>
      <c r="E6282" s="90"/>
      <c r="F6282" s="91"/>
      <c r="G6282" s="90"/>
      <c r="H6282" s="92"/>
      <c r="I6282" s="87"/>
      <c r="J6282" s="93"/>
      <c r="K6282" s="92"/>
      <c r="L6282" s="72" t="str">
        <f t="shared" si="98"/>
        <v/>
      </c>
      <c r="N6282" s="15"/>
    </row>
    <row r="6283" spans="1:14" s="14" customFormat="1" ht="18" x14ac:dyDescent="0.25">
      <c r="A6283" s="91"/>
      <c r="B6283" s="90"/>
      <c r="C6283" s="88"/>
      <c r="D6283" s="89"/>
      <c r="E6283" s="90"/>
      <c r="F6283" s="91"/>
      <c r="G6283" s="90"/>
      <c r="H6283" s="92"/>
      <c r="I6283" s="87"/>
      <c r="J6283" s="93"/>
      <c r="K6283" s="92"/>
      <c r="L6283" s="72" t="str">
        <f t="shared" si="98"/>
        <v/>
      </c>
      <c r="N6283" s="15"/>
    </row>
    <row r="6284" spans="1:14" s="14" customFormat="1" ht="18" x14ac:dyDescent="0.25">
      <c r="A6284" s="91"/>
      <c r="B6284" s="90"/>
      <c r="C6284" s="88"/>
      <c r="D6284" s="89"/>
      <c r="E6284" s="90"/>
      <c r="F6284" s="91"/>
      <c r="G6284" s="90"/>
      <c r="H6284" s="92"/>
      <c r="I6284" s="87"/>
      <c r="J6284" s="93"/>
      <c r="K6284" s="92"/>
      <c r="L6284" s="72" t="str">
        <f t="shared" si="98"/>
        <v/>
      </c>
      <c r="N6284" s="15"/>
    </row>
    <row r="6285" spans="1:14" s="14" customFormat="1" ht="18" x14ac:dyDescent="0.25">
      <c r="A6285" s="91"/>
      <c r="B6285" s="90"/>
      <c r="C6285" s="88"/>
      <c r="D6285" s="89"/>
      <c r="E6285" s="90"/>
      <c r="F6285" s="91"/>
      <c r="G6285" s="90"/>
      <c r="H6285" s="92"/>
      <c r="I6285" s="87"/>
      <c r="J6285" s="93"/>
      <c r="K6285" s="92"/>
      <c r="L6285" s="72" t="str">
        <f t="shared" si="98"/>
        <v/>
      </c>
      <c r="N6285" s="15"/>
    </row>
    <row r="6286" spans="1:14" s="14" customFormat="1" ht="18" x14ac:dyDescent="0.25">
      <c r="A6286" s="91"/>
      <c r="B6286" s="90"/>
      <c r="C6286" s="88"/>
      <c r="D6286" s="89"/>
      <c r="E6286" s="90"/>
      <c r="F6286" s="91"/>
      <c r="G6286" s="90"/>
      <c r="H6286" s="92"/>
      <c r="I6286" s="87"/>
      <c r="J6286" s="93"/>
      <c r="K6286" s="92"/>
      <c r="L6286" s="72" t="str">
        <f t="shared" si="98"/>
        <v/>
      </c>
      <c r="N6286" s="15"/>
    </row>
    <row r="6287" spans="1:14" s="14" customFormat="1" ht="18" x14ac:dyDescent="0.25">
      <c r="A6287" s="91"/>
      <c r="B6287" s="90"/>
      <c r="C6287" s="88"/>
      <c r="D6287" s="89"/>
      <c r="E6287" s="90"/>
      <c r="F6287" s="91"/>
      <c r="G6287" s="90"/>
      <c r="H6287" s="92"/>
      <c r="I6287" s="87"/>
      <c r="J6287" s="93"/>
      <c r="K6287" s="92"/>
      <c r="L6287" s="72" t="str">
        <f t="shared" si="98"/>
        <v/>
      </c>
      <c r="N6287" s="15"/>
    </row>
    <row r="6288" spans="1:14" s="14" customFormat="1" ht="18" x14ac:dyDescent="0.25">
      <c r="A6288" s="91"/>
      <c r="B6288" s="90"/>
      <c r="C6288" s="88"/>
      <c r="D6288" s="89"/>
      <c r="E6288" s="90"/>
      <c r="F6288" s="91"/>
      <c r="G6288" s="90"/>
      <c r="H6288" s="92"/>
      <c r="I6288" s="87"/>
      <c r="J6288" s="93"/>
      <c r="K6288" s="92"/>
      <c r="L6288" s="72" t="str">
        <f t="shared" si="98"/>
        <v/>
      </c>
      <c r="N6288" s="15"/>
    </row>
    <row r="6289" spans="1:14" s="14" customFormat="1" ht="18" x14ac:dyDescent="0.25">
      <c r="A6289" s="91"/>
      <c r="B6289" s="90"/>
      <c r="C6289" s="88"/>
      <c r="D6289" s="89"/>
      <c r="E6289" s="90"/>
      <c r="F6289" s="91"/>
      <c r="G6289" s="90"/>
      <c r="H6289" s="92"/>
      <c r="I6289" s="87"/>
      <c r="J6289" s="93"/>
      <c r="K6289" s="92"/>
      <c r="L6289" s="72" t="str">
        <f t="shared" si="98"/>
        <v/>
      </c>
      <c r="N6289" s="15"/>
    </row>
    <row r="6290" spans="1:14" s="14" customFormat="1" ht="18" x14ac:dyDescent="0.25">
      <c r="A6290" s="91"/>
      <c r="B6290" s="90"/>
      <c r="C6290" s="88"/>
      <c r="D6290" s="89"/>
      <c r="E6290" s="90"/>
      <c r="F6290" s="91"/>
      <c r="G6290" s="90"/>
      <c r="H6290" s="92"/>
      <c r="I6290" s="87"/>
      <c r="J6290" s="93"/>
      <c r="K6290" s="92"/>
      <c r="L6290" s="72" t="str">
        <f t="shared" si="98"/>
        <v/>
      </c>
      <c r="N6290" s="15"/>
    </row>
    <row r="6291" spans="1:14" s="14" customFormat="1" ht="18" x14ac:dyDescent="0.25">
      <c r="A6291" s="91"/>
      <c r="B6291" s="90"/>
      <c r="C6291" s="88"/>
      <c r="D6291" s="89"/>
      <c r="E6291" s="90"/>
      <c r="F6291" s="91"/>
      <c r="G6291" s="90"/>
      <c r="H6291" s="92"/>
      <c r="I6291" s="87"/>
      <c r="J6291" s="93"/>
      <c r="K6291" s="92"/>
      <c r="L6291" s="72" t="str">
        <f t="shared" si="98"/>
        <v/>
      </c>
      <c r="N6291" s="15"/>
    </row>
    <row r="6292" spans="1:14" s="14" customFormat="1" ht="18" x14ac:dyDescent="0.25">
      <c r="A6292" s="91"/>
      <c r="B6292" s="90"/>
      <c r="C6292" s="88"/>
      <c r="D6292" s="89"/>
      <c r="E6292" s="90"/>
      <c r="F6292" s="91"/>
      <c r="G6292" s="90"/>
      <c r="H6292" s="92"/>
      <c r="I6292" s="87"/>
      <c r="J6292" s="93"/>
      <c r="K6292" s="92"/>
      <c r="L6292" s="72" t="str">
        <f t="shared" si="98"/>
        <v/>
      </c>
      <c r="N6292" s="15"/>
    </row>
    <row r="6293" spans="1:14" s="14" customFormat="1" ht="18" x14ac:dyDescent="0.25">
      <c r="A6293" s="91"/>
      <c r="B6293" s="90"/>
      <c r="C6293" s="88"/>
      <c r="D6293" s="89"/>
      <c r="E6293" s="90"/>
      <c r="F6293" s="91"/>
      <c r="G6293" s="90"/>
      <c r="H6293" s="92"/>
      <c r="I6293" s="87"/>
      <c r="J6293" s="93"/>
      <c r="K6293" s="92"/>
      <c r="L6293" s="72" t="str">
        <f t="shared" si="98"/>
        <v/>
      </c>
      <c r="N6293" s="15"/>
    </row>
    <row r="6294" spans="1:14" s="14" customFormat="1" ht="18" x14ac:dyDescent="0.25">
      <c r="A6294" s="91"/>
      <c r="B6294" s="90"/>
      <c r="C6294" s="88"/>
      <c r="D6294" s="89"/>
      <c r="E6294" s="90"/>
      <c r="F6294" s="91"/>
      <c r="G6294" s="90"/>
      <c r="H6294" s="92"/>
      <c r="I6294" s="87"/>
      <c r="J6294" s="93"/>
      <c r="K6294" s="92"/>
      <c r="L6294" s="72" t="str">
        <f t="shared" si="98"/>
        <v/>
      </c>
      <c r="N6294" s="15"/>
    </row>
    <row r="6295" spans="1:14" s="14" customFormat="1" ht="18" x14ac:dyDescent="0.25">
      <c r="A6295" s="91"/>
      <c r="B6295" s="90"/>
      <c r="C6295" s="88"/>
      <c r="D6295" s="89"/>
      <c r="E6295" s="90"/>
      <c r="F6295" s="91"/>
      <c r="G6295" s="90"/>
      <c r="H6295" s="92"/>
      <c r="I6295" s="87"/>
      <c r="J6295" s="93"/>
      <c r="K6295" s="92"/>
      <c r="L6295" s="72" t="str">
        <f t="shared" si="98"/>
        <v/>
      </c>
      <c r="N6295" s="15"/>
    </row>
    <row r="6296" spans="1:14" s="14" customFormat="1" ht="18" x14ac:dyDescent="0.25">
      <c r="A6296" s="91"/>
      <c r="B6296" s="90"/>
      <c r="C6296" s="88"/>
      <c r="D6296" s="89"/>
      <c r="E6296" s="90"/>
      <c r="F6296" s="91"/>
      <c r="G6296" s="90"/>
      <c r="H6296" s="92"/>
      <c r="I6296" s="87"/>
      <c r="J6296" s="93"/>
      <c r="K6296" s="92"/>
      <c r="L6296" s="72" t="str">
        <f t="shared" si="98"/>
        <v/>
      </c>
      <c r="N6296" s="15"/>
    </row>
    <row r="6297" spans="1:14" s="14" customFormat="1" ht="18" x14ac:dyDescent="0.25">
      <c r="A6297" s="91"/>
      <c r="B6297" s="90"/>
      <c r="C6297" s="88"/>
      <c r="D6297" s="89"/>
      <c r="E6297" s="90"/>
      <c r="F6297" s="91"/>
      <c r="G6297" s="90"/>
      <c r="H6297" s="92"/>
      <c r="I6297" s="87"/>
      <c r="J6297" s="93"/>
      <c r="K6297" s="92"/>
      <c r="L6297" s="72" t="str">
        <f t="shared" si="98"/>
        <v/>
      </c>
      <c r="N6297" s="15"/>
    </row>
    <row r="6298" spans="1:14" s="14" customFormat="1" ht="18" x14ac:dyDescent="0.25">
      <c r="A6298" s="91"/>
      <c r="B6298" s="90"/>
      <c r="C6298" s="88"/>
      <c r="D6298" s="89"/>
      <c r="E6298" s="90"/>
      <c r="F6298" s="91"/>
      <c r="G6298" s="90"/>
      <c r="H6298" s="92"/>
      <c r="I6298" s="87"/>
      <c r="J6298" s="93"/>
      <c r="K6298" s="92"/>
      <c r="L6298" s="72" t="str">
        <f t="shared" si="98"/>
        <v/>
      </c>
      <c r="N6298" s="15"/>
    </row>
    <row r="6299" spans="1:14" s="14" customFormat="1" ht="18" x14ac:dyDescent="0.25">
      <c r="A6299" s="91"/>
      <c r="B6299" s="90"/>
      <c r="C6299" s="88"/>
      <c r="D6299" s="89"/>
      <c r="E6299" s="90"/>
      <c r="F6299" s="91"/>
      <c r="G6299" s="90"/>
      <c r="H6299" s="92"/>
      <c r="I6299" s="87"/>
      <c r="J6299" s="93"/>
      <c r="K6299" s="92"/>
      <c r="L6299" s="72" t="str">
        <f t="shared" si="98"/>
        <v/>
      </c>
      <c r="N6299" s="15"/>
    </row>
    <row r="6300" spans="1:14" s="14" customFormat="1" ht="18" x14ac:dyDescent="0.25">
      <c r="A6300" s="91"/>
      <c r="B6300" s="90"/>
      <c r="C6300" s="88"/>
      <c r="D6300" s="89"/>
      <c r="E6300" s="90"/>
      <c r="F6300" s="91"/>
      <c r="G6300" s="90"/>
      <c r="H6300" s="92"/>
      <c r="I6300" s="87"/>
      <c r="J6300" s="93"/>
      <c r="K6300" s="92"/>
      <c r="L6300" s="72" t="str">
        <f t="shared" si="98"/>
        <v/>
      </c>
      <c r="N6300" s="15"/>
    </row>
    <row r="6301" spans="1:14" s="14" customFormat="1" ht="18" x14ac:dyDescent="0.25">
      <c r="A6301" s="91"/>
      <c r="B6301" s="90"/>
      <c r="C6301" s="88"/>
      <c r="D6301" s="89"/>
      <c r="E6301" s="90"/>
      <c r="F6301" s="91"/>
      <c r="G6301" s="90"/>
      <c r="H6301" s="92"/>
      <c r="I6301" s="87"/>
      <c r="J6301" s="93"/>
      <c r="K6301" s="92"/>
      <c r="L6301" s="72" t="str">
        <f t="shared" si="98"/>
        <v/>
      </c>
      <c r="N6301" s="15"/>
    </row>
    <row r="6302" spans="1:14" s="14" customFormat="1" ht="18" x14ac:dyDescent="0.25">
      <c r="A6302" s="91"/>
      <c r="B6302" s="90"/>
      <c r="C6302" s="88"/>
      <c r="D6302" s="89"/>
      <c r="E6302" s="90"/>
      <c r="F6302" s="91"/>
      <c r="G6302" s="90"/>
      <c r="H6302" s="92"/>
      <c r="I6302" s="87"/>
      <c r="J6302" s="93"/>
      <c r="K6302" s="92"/>
      <c r="L6302" s="72" t="str">
        <f t="shared" ref="L6302:L6365" si="99">IF(ISBLANK(H6302),"",IF(H6302=K6302,"Payé","Impayé"))</f>
        <v/>
      </c>
      <c r="N6302" s="15"/>
    </row>
    <row r="6303" spans="1:14" s="14" customFormat="1" ht="18" x14ac:dyDescent="0.25">
      <c r="A6303" s="91"/>
      <c r="B6303" s="90"/>
      <c r="C6303" s="88"/>
      <c r="D6303" s="89"/>
      <c r="E6303" s="90"/>
      <c r="F6303" s="91"/>
      <c r="G6303" s="90"/>
      <c r="H6303" s="92"/>
      <c r="I6303" s="87"/>
      <c r="J6303" s="93"/>
      <c r="K6303" s="92"/>
      <c r="L6303" s="72" t="str">
        <f t="shared" si="99"/>
        <v/>
      </c>
      <c r="N6303" s="15"/>
    </row>
    <row r="6304" spans="1:14" s="14" customFormat="1" ht="18" x14ac:dyDescent="0.25">
      <c r="A6304" s="91"/>
      <c r="B6304" s="90"/>
      <c r="C6304" s="88"/>
      <c r="D6304" s="89"/>
      <c r="E6304" s="90"/>
      <c r="F6304" s="91"/>
      <c r="G6304" s="90"/>
      <c r="H6304" s="92"/>
      <c r="I6304" s="87"/>
      <c r="J6304" s="93"/>
      <c r="K6304" s="92"/>
      <c r="L6304" s="72" t="str">
        <f t="shared" si="99"/>
        <v/>
      </c>
      <c r="N6304" s="15"/>
    </row>
    <row r="6305" spans="1:14" s="14" customFormat="1" ht="18" x14ac:dyDescent="0.25">
      <c r="A6305" s="91"/>
      <c r="B6305" s="90"/>
      <c r="C6305" s="88"/>
      <c r="D6305" s="89"/>
      <c r="E6305" s="90"/>
      <c r="F6305" s="91"/>
      <c r="G6305" s="90"/>
      <c r="H6305" s="92"/>
      <c r="I6305" s="87"/>
      <c r="J6305" s="93"/>
      <c r="K6305" s="92"/>
      <c r="L6305" s="72" t="str">
        <f t="shared" si="99"/>
        <v/>
      </c>
      <c r="N6305" s="15"/>
    </row>
    <row r="6306" spans="1:14" s="14" customFormat="1" ht="18" x14ac:dyDescent="0.25">
      <c r="A6306" s="91"/>
      <c r="B6306" s="90"/>
      <c r="C6306" s="88"/>
      <c r="D6306" s="89"/>
      <c r="E6306" s="90"/>
      <c r="F6306" s="91"/>
      <c r="G6306" s="90"/>
      <c r="H6306" s="92"/>
      <c r="I6306" s="87"/>
      <c r="J6306" s="93"/>
      <c r="K6306" s="92"/>
      <c r="L6306" s="72" t="str">
        <f t="shared" si="99"/>
        <v/>
      </c>
      <c r="N6306" s="15"/>
    </row>
    <row r="6307" spans="1:14" s="14" customFormat="1" ht="18" x14ac:dyDescent="0.25">
      <c r="A6307" s="91"/>
      <c r="B6307" s="90"/>
      <c r="C6307" s="88"/>
      <c r="D6307" s="89"/>
      <c r="E6307" s="90"/>
      <c r="F6307" s="91"/>
      <c r="G6307" s="90"/>
      <c r="H6307" s="92"/>
      <c r="I6307" s="87"/>
      <c r="J6307" s="93"/>
      <c r="K6307" s="92"/>
      <c r="L6307" s="72" t="str">
        <f t="shared" si="99"/>
        <v/>
      </c>
      <c r="N6307" s="15"/>
    </row>
    <row r="6308" spans="1:14" s="14" customFormat="1" ht="18" x14ac:dyDescent="0.25">
      <c r="A6308" s="91"/>
      <c r="B6308" s="90"/>
      <c r="C6308" s="88"/>
      <c r="D6308" s="89"/>
      <c r="E6308" s="90"/>
      <c r="F6308" s="91"/>
      <c r="G6308" s="90"/>
      <c r="H6308" s="92"/>
      <c r="I6308" s="87"/>
      <c r="J6308" s="93"/>
      <c r="K6308" s="92"/>
      <c r="L6308" s="72" t="str">
        <f t="shared" si="99"/>
        <v/>
      </c>
      <c r="N6308" s="15"/>
    </row>
    <row r="6309" spans="1:14" s="14" customFormat="1" ht="18" x14ac:dyDescent="0.25">
      <c r="A6309" s="91"/>
      <c r="B6309" s="90"/>
      <c r="C6309" s="88"/>
      <c r="D6309" s="89"/>
      <c r="E6309" s="90"/>
      <c r="F6309" s="91"/>
      <c r="G6309" s="90"/>
      <c r="H6309" s="92"/>
      <c r="I6309" s="87"/>
      <c r="J6309" s="93"/>
      <c r="K6309" s="92"/>
      <c r="L6309" s="72" t="str">
        <f t="shared" si="99"/>
        <v/>
      </c>
      <c r="N6309" s="15"/>
    </row>
    <row r="6310" spans="1:14" s="14" customFormat="1" ht="18" x14ac:dyDescent="0.25">
      <c r="A6310" s="91"/>
      <c r="B6310" s="90"/>
      <c r="C6310" s="88"/>
      <c r="D6310" s="89"/>
      <c r="E6310" s="90"/>
      <c r="F6310" s="91"/>
      <c r="G6310" s="90"/>
      <c r="H6310" s="92"/>
      <c r="I6310" s="87"/>
      <c r="J6310" s="93"/>
      <c r="K6310" s="92"/>
      <c r="L6310" s="72" t="str">
        <f t="shared" si="99"/>
        <v/>
      </c>
      <c r="N6310" s="15"/>
    </row>
    <row r="6311" spans="1:14" s="14" customFormat="1" ht="18" x14ac:dyDescent="0.25">
      <c r="A6311" s="91"/>
      <c r="B6311" s="90"/>
      <c r="C6311" s="88"/>
      <c r="D6311" s="89"/>
      <c r="E6311" s="90"/>
      <c r="F6311" s="91"/>
      <c r="G6311" s="90"/>
      <c r="H6311" s="92"/>
      <c r="I6311" s="87"/>
      <c r="J6311" s="93"/>
      <c r="K6311" s="92"/>
      <c r="L6311" s="72" t="str">
        <f t="shared" si="99"/>
        <v/>
      </c>
      <c r="N6311" s="15"/>
    </row>
    <row r="6312" spans="1:14" s="14" customFormat="1" ht="18" x14ac:dyDescent="0.25">
      <c r="A6312" s="91"/>
      <c r="B6312" s="90"/>
      <c r="C6312" s="88"/>
      <c r="D6312" s="89"/>
      <c r="E6312" s="90"/>
      <c r="F6312" s="91"/>
      <c r="G6312" s="90"/>
      <c r="H6312" s="92"/>
      <c r="I6312" s="87"/>
      <c r="J6312" s="93"/>
      <c r="K6312" s="92"/>
      <c r="L6312" s="72" t="str">
        <f t="shared" si="99"/>
        <v/>
      </c>
      <c r="N6312" s="15"/>
    </row>
    <row r="6313" spans="1:14" s="14" customFormat="1" ht="18" x14ac:dyDescent="0.25">
      <c r="A6313" s="91"/>
      <c r="B6313" s="90"/>
      <c r="C6313" s="88"/>
      <c r="D6313" s="89"/>
      <c r="E6313" s="90"/>
      <c r="F6313" s="91"/>
      <c r="G6313" s="90"/>
      <c r="H6313" s="92"/>
      <c r="I6313" s="87"/>
      <c r="J6313" s="93"/>
      <c r="K6313" s="92"/>
      <c r="L6313" s="72" t="str">
        <f t="shared" si="99"/>
        <v/>
      </c>
      <c r="N6313" s="15"/>
    </row>
    <row r="6314" spans="1:14" s="14" customFormat="1" ht="18" x14ac:dyDescent="0.25">
      <c r="A6314" s="91"/>
      <c r="B6314" s="90"/>
      <c r="C6314" s="88"/>
      <c r="D6314" s="89"/>
      <c r="E6314" s="90"/>
      <c r="F6314" s="91"/>
      <c r="G6314" s="90"/>
      <c r="H6314" s="92"/>
      <c r="I6314" s="87"/>
      <c r="J6314" s="93"/>
      <c r="K6314" s="92"/>
      <c r="L6314" s="72" t="str">
        <f t="shared" si="99"/>
        <v/>
      </c>
      <c r="N6314" s="15"/>
    </row>
    <row r="6315" spans="1:14" s="14" customFormat="1" ht="18" x14ac:dyDescent="0.25">
      <c r="A6315" s="91"/>
      <c r="B6315" s="90"/>
      <c r="C6315" s="88"/>
      <c r="D6315" s="89"/>
      <c r="E6315" s="90"/>
      <c r="F6315" s="91"/>
      <c r="G6315" s="90"/>
      <c r="H6315" s="92"/>
      <c r="I6315" s="87"/>
      <c r="J6315" s="93"/>
      <c r="K6315" s="92"/>
      <c r="L6315" s="72" t="str">
        <f t="shared" si="99"/>
        <v/>
      </c>
      <c r="N6315" s="15"/>
    </row>
    <row r="6316" spans="1:14" s="14" customFormat="1" ht="18" x14ac:dyDescent="0.25">
      <c r="A6316" s="91"/>
      <c r="B6316" s="90"/>
      <c r="C6316" s="88"/>
      <c r="D6316" s="89"/>
      <c r="E6316" s="90"/>
      <c r="F6316" s="91"/>
      <c r="G6316" s="90"/>
      <c r="H6316" s="92"/>
      <c r="I6316" s="87"/>
      <c r="J6316" s="93"/>
      <c r="K6316" s="92"/>
      <c r="L6316" s="72" t="str">
        <f t="shared" si="99"/>
        <v/>
      </c>
      <c r="N6316" s="15"/>
    </row>
    <row r="6317" spans="1:14" s="14" customFormat="1" ht="18" x14ac:dyDescent="0.25">
      <c r="A6317" s="91"/>
      <c r="B6317" s="90"/>
      <c r="C6317" s="88"/>
      <c r="D6317" s="89"/>
      <c r="E6317" s="90"/>
      <c r="F6317" s="91"/>
      <c r="G6317" s="90"/>
      <c r="H6317" s="92"/>
      <c r="I6317" s="87"/>
      <c r="J6317" s="93"/>
      <c r="K6317" s="92"/>
      <c r="L6317" s="72" t="str">
        <f t="shared" si="99"/>
        <v/>
      </c>
      <c r="N6317" s="15"/>
    </row>
    <row r="6318" spans="1:14" s="14" customFormat="1" ht="18" x14ac:dyDescent="0.25">
      <c r="A6318" s="91"/>
      <c r="B6318" s="90"/>
      <c r="C6318" s="88"/>
      <c r="D6318" s="89"/>
      <c r="E6318" s="90"/>
      <c r="F6318" s="91"/>
      <c r="G6318" s="90"/>
      <c r="H6318" s="92"/>
      <c r="I6318" s="87"/>
      <c r="J6318" s="93"/>
      <c r="K6318" s="92"/>
      <c r="L6318" s="72" t="str">
        <f t="shared" si="99"/>
        <v/>
      </c>
      <c r="N6318" s="15"/>
    </row>
    <row r="6319" spans="1:14" s="14" customFormat="1" ht="18" x14ac:dyDescent="0.25">
      <c r="A6319" s="91"/>
      <c r="B6319" s="90"/>
      <c r="C6319" s="88"/>
      <c r="D6319" s="89"/>
      <c r="E6319" s="90"/>
      <c r="F6319" s="91"/>
      <c r="G6319" s="90"/>
      <c r="H6319" s="92"/>
      <c r="I6319" s="87"/>
      <c r="J6319" s="93"/>
      <c r="K6319" s="92"/>
      <c r="L6319" s="72" t="str">
        <f t="shared" si="99"/>
        <v/>
      </c>
      <c r="N6319" s="15"/>
    </row>
    <row r="6320" spans="1:14" s="14" customFormat="1" ht="18" x14ac:dyDescent="0.25">
      <c r="A6320" s="91"/>
      <c r="B6320" s="90"/>
      <c r="C6320" s="88"/>
      <c r="D6320" s="89"/>
      <c r="E6320" s="90"/>
      <c r="F6320" s="91"/>
      <c r="G6320" s="90"/>
      <c r="H6320" s="92"/>
      <c r="I6320" s="87"/>
      <c r="J6320" s="93"/>
      <c r="K6320" s="92"/>
      <c r="L6320" s="72" t="str">
        <f t="shared" si="99"/>
        <v/>
      </c>
      <c r="N6320" s="15"/>
    </row>
    <row r="6321" spans="1:14" s="14" customFormat="1" ht="18" x14ac:dyDescent="0.25">
      <c r="A6321" s="91"/>
      <c r="B6321" s="90"/>
      <c r="C6321" s="88"/>
      <c r="D6321" s="89"/>
      <c r="E6321" s="90"/>
      <c r="F6321" s="91"/>
      <c r="G6321" s="90"/>
      <c r="H6321" s="92"/>
      <c r="I6321" s="87"/>
      <c r="J6321" s="93"/>
      <c r="K6321" s="92"/>
      <c r="L6321" s="72" t="str">
        <f t="shared" si="99"/>
        <v/>
      </c>
      <c r="N6321" s="15"/>
    </row>
    <row r="6322" spans="1:14" s="14" customFormat="1" ht="18" x14ac:dyDescent="0.25">
      <c r="A6322" s="91"/>
      <c r="B6322" s="90"/>
      <c r="C6322" s="88"/>
      <c r="D6322" s="89"/>
      <c r="E6322" s="90"/>
      <c r="F6322" s="91"/>
      <c r="G6322" s="90"/>
      <c r="H6322" s="92"/>
      <c r="I6322" s="87"/>
      <c r="J6322" s="93"/>
      <c r="K6322" s="92"/>
      <c r="L6322" s="72" t="str">
        <f t="shared" si="99"/>
        <v/>
      </c>
      <c r="N6322" s="15"/>
    </row>
    <row r="6323" spans="1:14" s="14" customFormat="1" ht="18" x14ac:dyDescent="0.25">
      <c r="A6323" s="91"/>
      <c r="B6323" s="90"/>
      <c r="C6323" s="88"/>
      <c r="D6323" s="89"/>
      <c r="E6323" s="90"/>
      <c r="F6323" s="91"/>
      <c r="G6323" s="90"/>
      <c r="H6323" s="92"/>
      <c r="I6323" s="87"/>
      <c r="J6323" s="93"/>
      <c r="K6323" s="92"/>
      <c r="L6323" s="72" t="str">
        <f t="shared" si="99"/>
        <v/>
      </c>
      <c r="N6323" s="15"/>
    </row>
    <row r="6324" spans="1:14" s="14" customFormat="1" ht="18" x14ac:dyDescent="0.25">
      <c r="A6324" s="91"/>
      <c r="B6324" s="90"/>
      <c r="C6324" s="88"/>
      <c r="D6324" s="89"/>
      <c r="E6324" s="90"/>
      <c r="F6324" s="91"/>
      <c r="G6324" s="90"/>
      <c r="H6324" s="92"/>
      <c r="I6324" s="87"/>
      <c r="J6324" s="93"/>
      <c r="K6324" s="92"/>
      <c r="L6324" s="72" t="str">
        <f t="shared" si="99"/>
        <v/>
      </c>
      <c r="N6324" s="15"/>
    </row>
    <row r="6325" spans="1:14" s="14" customFormat="1" ht="18" x14ac:dyDescent="0.25">
      <c r="A6325" s="91"/>
      <c r="B6325" s="90"/>
      <c r="C6325" s="88"/>
      <c r="D6325" s="89"/>
      <c r="E6325" s="90"/>
      <c r="F6325" s="91"/>
      <c r="G6325" s="90"/>
      <c r="H6325" s="92"/>
      <c r="I6325" s="87"/>
      <c r="J6325" s="93"/>
      <c r="K6325" s="92"/>
      <c r="L6325" s="72" t="str">
        <f t="shared" si="99"/>
        <v/>
      </c>
      <c r="N6325" s="15"/>
    </row>
    <row r="6326" spans="1:14" s="14" customFormat="1" ht="18" x14ac:dyDescent="0.25">
      <c r="A6326" s="91"/>
      <c r="B6326" s="90"/>
      <c r="C6326" s="88"/>
      <c r="D6326" s="89"/>
      <c r="E6326" s="90"/>
      <c r="F6326" s="91"/>
      <c r="G6326" s="90"/>
      <c r="H6326" s="92"/>
      <c r="I6326" s="87"/>
      <c r="J6326" s="93"/>
      <c r="K6326" s="92"/>
      <c r="L6326" s="72" t="str">
        <f t="shared" si="99"/>
        <v/>
      </c>
      <c r="N6326" s="15"/>
    </row>
    <row r="6327" spans="1:14" s="14" customFormat="1" ht="18" x14ac:dyDescent="0.25">
      <c r="A6327" s="91"/>
      <c r="B6327" s="90"/>
      <c r="C6327" s="88"/>
      <c r="D6327" s="89"/>
      <c r="E6327" s="90"/>
      <c r="F6327" s="91"/>
      <c r="G6327" s="90"/>
      <c r="H6327" s="92"/>
      <c r="I6327" s="87"/>
      <c r="J6327" s="93"/>
      <c r="K6327" s="92"/>
      <c r="L6327" s="72" t="str">
        <f t="shared" si="99"/>
        <v/>
      </c>
      <c r="N6327" s="15"/>
    </row>
    <row r="6328" spans="1:14" s="14" customFormat="1" ht="18" x14ac:dyDescent="0.25">
      <c r="A6328" s="91"/>
      <c r="B6328" s="90"/>
      <c r="C6328" s="88"/>
      <c r="D6328" s="89"/>
      <c r="E6328" s="90"/>
      <c r="F6328" s="91"/>
      <c r="G6328" s="90"/>
      <c r="H6328" s="92"/>
      <c r="I6328" s="87"/>
      <c r="J6328" s="93"/>
      <c r="K6328" s="92"/>
      <c r="L6328" s="72" t="str">
        <f t="shared" si="99"/>
        <v/>
      </c>
      <c r="N6328" s="15"/>
    </row>
    <row r="6329" spans="1:14" s="14" customFormat="1" ht="18" x14ac:dyDescent="0.25">
      <c r="A6329" s="91"/>
      <c r="B6329" s="90"/>
      <c r="C6329" s="88"/>
      <c r="D6329" s="89"/>
      <c r="E6329" s="90"/>
      <c r="F6329" s="91"/>
      <c r="G6329" s="90"/>
      <c r="H6329" s="92"/>
      <c r="I6329" s="87"/>
      <c r="J6329" s="93"/>
      <c r="K6329" s="92"/>
      <c r="L6329" s="72" t="str">
        <f t="shared" si="99"/>
        <v/>
      </c>
      <c r="N6329" s="15"/>
    </row>
    <row r="6330" spans="1:14" s="14" customFormat="1" ht="18" x14ac:dyDescent="0.25">
      <c r="A6330" s="91"/>
      <c r="B6330" s="90"/>
      <c r="C6330" s="88"/>
      <c r="D6330" s="89"/>
      <c r="E6330" s="90"/>
      <c r="F6330" s="91"/>
      <c r="G6330" s="90"/>
      <c r="H6330" s="92"/>
      <c r="I6330" s="87"/>
      <c r="J6330" s="93"/>
      <c r="K6330" s="92"/>
      <c r="L6330" s="72" t="str">
        <f t="shared" si="99"/>
        <v/>
      </c>
      <c r="N6330" s="15"/>
    </row>
    <row r="6331" spans="1:14" s="14" customFormat="1" ht="18" x14ac:dyDescent="0.25">
      <c r="A6331" s="91"/>
      <c r="B6331" s="90"/>
      <c r="C6331" s="88"/>
      <c r="D6331" s="89"/>
      <c r="E6331" s="90"/>
      <c r="F6331" s="91"/>
      <c r="G6331" s="90"/>
      <c r="H6331" s="92"/>
      <c r="I6331" s="87"/>
      <c r="J6331" s="93"/>
      <c r="K6331" s="92"/>
      <c r="L6331" s="72" t="str">
        <f t="shared" si="99"/>
        <v/>
      </c>
      <c r="N6331" s="15"/>
    </row>
    <row r="6332" spans="1:14" s="14" customFormat="1" ht="18" x14ac:dyDescent="0.25">
      <c r="A6332" s="91"/>
      <c r="B6332" s="90"/>
      <c r="C6332" s="88"/>
      <c r="D6332" s="89"/>
      <c r="E6332" s="90"/>
      <c r="F6332" s="91"/>
      <c r="G6332" s="90"/>
      <c r="H6332" s="92"/>
      <c r="I6332" s="87"/>
      <c r="J6332" s="93"/>
      <c r="K6332" s="92"/>
      <c r="L6332" s="72" t="str">
        <f t="shared" si="99"/>
        <v/>
      </c>
      <c r="N6332" s="15"/>
    </row>
    <row r="6333" spans="1:14" s="14" customFormat="1" ht="18" x14ac:dyDescent="0.25">
      <c r="A6333" s="91"/>
      <c r="B6333" s="90"/>
      <c r="C6333" s="88"/>
      <c r="D6333" s="89"/>
      <c r="E6333" s="90"/>
      <c r="F6333" s="91"/>
      <c r="G6333" s="90"/>
      <c r="H6333" s="92"/>
      <c r="I6333" s="87"/>
      <c r="J6333" s="93"/>
      <c r="K6333" s="92"/>
      <c r="L6333" s="72" t="str">
        <f t="shared" si="99"/>
        <v/>
      </c>
      <c r="N6333" s="15"/>
    </row>
    <row r="6334" spans="1:14" s="14" customFormat="1" ht="18" x14ac:dyDescent="0.25">
      <c r="A6334" s="91"/>
      <c r="B6334" s="90"/>
      <c r="C6334" s="88"/>
      <c r="D6334" s="89"/>
      <c r="E6334" s="90"/>
      <c r="F6334" s="91"/>
      <c r="G6334" s="90"/>
      <c r="H6334" s="92"/>
      <c r="I6334" s="87"/>
      <c r="J6334" s="93"/>
      <c r="K6334" s="92"/>
      <c r="L6334" s="72" t="str">
        <f t="shared" si="99"/>
        <v/>
      </c>
      <c r="N6334" s="15"/>
    </row>
    <row r="6335" spans="1:14" s="14" customFormat="1" ht="18" x14ac:dyDescent="0.25">
      <c r="A6335" s="91"/>
      <c r="B6335" s="90"/>
      <c r="C6335" s="88"/>
      <c r="D6335" s="89"/>
      <c r="E6335" s="90"/>
      <c r="F6335" s="91"/>
      <c r="G6335" s="90"/>
      <c r="H6335" s="92"/>
      <c r="I6335" s="87"/>
      <c r="J6335" s="93"/>
      <c r="K6335" s="92"/>
      <c r="L6335" s="72" t="str">
        <f t="shared" si="99"/>
        <v/>
      </c>
      <c r="N6335" s="15"/>
    </row>
    <row r="6336" spans="1:14" s="14" customFormat="1" ht="18" x14ac:dyDescent="0.25">
      <c r="A6336" s="91"/>
      <c r="B6336" s="90"/>
      <c r="C6336" s="88"/>
      <c r="D6336" s="89"/>
      <c r="E6336" s="90"/>
      <c r="F6336" s="91"/>
      <c r="G6336" s="90"/>
      <c r="H6336" s="92"/>
      <c r="I6336" s="87"/>
      <c r="J6336" s="93"/>
      <c r="K6336" s="92"/>
      <c r="L6336" s="72" t="str">
        <f t="shared" si="99"/>
        <v/>
      </c>
      <c r="N6336" s="15"/>
    </row>
    <row r="6337" spans="1:14" s="14" customFormat="1" ht="18" x14ac:dyDescent="0.25">
      <c r="A6337" s="91"/>
      <c r="B6337" s="90"/>
      <c r="C6337" s="88"/>
      <c r="D6337" s="89"/>
      <c r="E6337" s="90"/>
      <c r="F6337" s="91"/>
      <c r="G6337" s="90"/>
      <c r="H6337" s="92"/>
      <c r="I6337" s="87"/>
      <c r="J6337" s="93"/>
      <c r="K6337" s="92"/>
      <c r="L6337" s="72" t="str">
        <f t="shared" si="99"/>
        <v/>
      </c>
      <c r="N6337" s="15"/>
    </row>
    <row r="6338" spans="1:14" s="14" customFormat="1" ht="18" x14ac:dyDescent="0.25">
      <c r="A6338" s="91"/>
      <c r="B6338" s="90"/>
      <c r="C6338" s="88"/>
      <c r="D6338" s="89"/>
      <c r="E6338" s="90"/>
      <c r="F6338" s="91"/>
      <c r="G6338" s="90"/>
      <c r="H6338" s="92"/>
      <c r="I6338" s="87"/>
      <c r="J6338" s="93"/>
      <c r="K6338" s="92"/>
      <c r="L6338" s="72" t="str">
        <f t="shared" si="99"/>
        <v/>
      </c>
      <c r="N6338" s="15"/>
    </row>
    <row r="6339" spans="1:14" s="14" customFormat="1" ht="18" x14ac:dyDescent="0.25">
      <c r="A6339" s="91"/>
      <c r="B6339" s="90"/>
      <c r="C6339" s="88"/>
      <c r="D6339" s="89"/>
      <c r="E6339" s="90"/>
      <c r="F6339" s="91"/>
      <c r="G6339" s="90"/>
      <c r="H6339" s="92"/>
      <c r="I6339" s="87"/>
      <c r="J6339" s="93"/>
      <c r="K6339" s="92"/>
      <c r="L6339" s="72" t="str">
        <f t="shared" si="99"/>
        <v/>
      </c>
      <c r="N6339" s="15"/>
    </row>
    <row r="6340" spans="1:14" s="14" customFormat="1" ht="18" x14ac:dyDescent="0.25">
      <c r="A6340" s="91"/>
      <c r="B6340" s="90"/>
      <c r="C6340" s="88"/>
      <c r="D6340" s="89"/>
      <c r="E6340" s="90"/>
      <c r="F6340" s="91"/>
      <c r="G6340" s="90"/>
      <c r="H6340" s="92"/>
      <c r="I6340" s="87"/>
      <c r="J6340" s="93"/>
      <c r="K6340" s="92"/>
      <c r="L6340" s="72" t="str">
        <f t="shared" si="99"/>
        <v/>
      </c>
      <c r="N6340" s="15"/>
    </row>
    <row r="6341" spans="1:14" s="14" customFormat="1" ht="18" x14ac:dyDescent="0.25">
      <c r="A6341" s="91"/>
      <c r="B6341" s="90"/>
      <c r="C6341" s="88"/>
      <c r="D6341" s="89"/>
      <c r="E6341" s="90"/>
      <c r="F6341" s="91"/>
      <c r="G6341" s="90"/>
      <c r="H6341" s="92"/>
      <c r="I6341" s="87"/>
      <c r="J6341" s="93"/>
      <c r="K6341" s="92"/>
      <c r="L6341" s="72" t="str">
        <f t="shared" si="99"/>
        <v/>
      </c>
      <c r="N6341" s="15"/>
    </row>
    <row r="6342" spans="1:14" s="14" customFormat="1" ht="18" x14ac:dyDescent="0.25">
      <c r="A6342" s="91"/>
      <c r="B6342" s="90"/>
      <c r="C6342" s="88"/>
      <c r="D6342" s="89"/>
      <c r="E6342" s="90"/>
      <c r="F6342" s="91"/>
      <c r="G6342" s="90"/>
      <c r="H6342" s="92"/>
      <c r="I6342" s="87"/>
      <c r="J6342" s="93"/>
      <c r="K6342" s="92"/>
      <c r="L6342" s="72" t="str">
        <f t="shared" si="99"/>
        <v/>
      </c>
      <c r="N6342" s="15"/>
    </row>
    <row r="6343" spans="1:14" s="14" customFormat="1" ht="18" x14ac:dyDescent="0.25">
      <c r="A6343" s="91"/>
      <c r="B6343" s="90"/>
      <c r="C6343" s="88"/>
      <c r="D6343" s="89"/>
      <c r="E6343" s="90"/>
      <c r="F6343" s="91"/>
      <c r="G6343" s="90"/>
      <c r="H6343" s="92"/>
      <c r="I6343" s="87"/>
      <c r="J6343" s="93"/>
      <c r="K6343" s="92"/>
      <c r="L6343" s="72" t="str">
        <f t="shared" si="99"/>
        <v/>
      </c>
      <c r="N6343" s="15"/>
    </row>
    <row r="6344" spans="1:14" s="14" customFormat="1" ht="18" x14ac:dyDescent="0.25">
      <c r="A6344" s="91"/>
      <c r="B6344" s="90"/>
      <c r="C6344" s="88"/>
      <c r="D6344" s="89"/>
      <c r="E6344" s="90"/>
      <c r="F6344" s="91"/>
      <c r="G6344" s="90"/>
      <c r="H6344" s="92"/>
      <c r="I6344" s="87"/>
      <c r="J6344" s="93"/>
      <c r="K6344" s="92"/>
      <c r="L6344" s="72" t="str">
        <f t="shared" si="99"/>
        <v/>
      </c>
      <c r="N6344" s="15"/>
    </row>
    <row r="6345" spans="1:14" s="14" customFormat="1" ht="18" x14ac:dyDescent="0.25">
      <c r="A6345" s="91"/>
      <c r="B6345" s="90"/>
      <c r="C6345" s="88"/>
      <c r="D6345" s="89"/>
      <c r="E6345" s="90"/>
      <c r="F6345" s="91"/>
      <c r="G6345" s="90"/>
      <c r="H6345" s="92"/>
      <c r="I6345" s="87"/>
      <c r="J6345" s="93"/>
      <c r="K6345" s="92"/>
      <c r="L6345" s="72" t="str">
        <f t="shared" si="99"/>
        <v/>
      </c>
      <c r="N6345" s="15"/>
    </row>
    <row r="6346" spans="1:14" s="14" customFormat="1" ht="18" x14ac:dyDescent="0.25">
      <c r="A6346" s="91"/>
      <c r="B6346" s="90"/>
      <c r="C6346" s="88"/>
      <c r="D6346" s="89"/>
      <c r="E6346" s="90"/>
      <c r="F6346" s="91"/>
      <c r="G6346" s="90"/>
      <c r="H6346" s="92"/>
      <c r="I6346" s="87"/>
      <c r="J6346" s="93"/>
      <c r="K6346" s="92"/>
      <c r="L6346" s="72" t="str">
        <f t="shared" si="99"/>
        <v/>
      </c>
      <c r="N6346" s="15"/>
    </row>
    <row r="6347" spans="1:14" s="14" customFormat="1" ht="18" x14ac:dyDescent="0.25">
      <c r="A6347" s="91"/>
      <c r="B6347" s="90"/>
      <c r="C6347" s="88"/>
      <c r="D6347" s="89"/>
      <c r="E6347" s="90"/>
      <c r="F6347" s="91"/>
      <c r="G6347" s="90"/>
      <c r="H6347" s="92"/>
      <c r="I6347" s="87"/>
      <c r="J6347" s="93"/>
      <c r="K6347" s="92"/>
      <c r="L6347" s="72" t="str">
        <f t="shared" si="99"/>
        <v/>
      </c>
      <c r="N6347" s="15"/>
    </row>
    <row r="6348" spans="1:14" s="14" customFormat="1" ht="18" x14ac:dyDescent="0.25">
      <c r="A6348" s="91"/>
      <c r="B6348" s="90"/>
      <c r="C6348" s="88"/>
      <c r="D6348" s="89"/>
      <c r="E6348" s="90"/>
      <c r="F6348" s="91"/>
      <c r="G6348" s="90"/>
      <c r="H6348" s="92"/>
      <c r="I6348" s="87"/>
      <c r="J6348" s="93"/>
      <c r="K6348" s="92"/>
      <c r="L6348" s="72" t="str">
        <f t="shared" si="99"/>
        <v/>
      </c>
      <c r="N6348" s="15"/>
    </row>
    <row r="6349" spans="1:14" s="14" customFormat="1" ht="18" x14ac:dyDescent="0.25">
      <c r="A6349" s="91"/>
      <c r="B6349" s="90"/>
      <c r="C6349" s="88"/>
      <c r="D6349" s="89"/>
      <c r="E6349" s="90"/>
      <c r="F6349" s="91"/>
      <c r="G6349" s="90"/>
      <c r="H6349" s="92"/>
      <c r="I6349" s="87"/>
      <c r="J6349" s="93"/>
      <c r="K6349" s="92"/>
      <c r="L6349" s="72" t="str">
        <f t="shared" si="99"/>
        <v/>
      </c>
      <c r="N6349" s="15"/>
    </row>
    <row r="6350" spans="1:14" s="14" customFormat="1" ht="18" x14ac:dyDescent="0.25">
      <c r="A6350" s="91"/>
      <c r="B6350" s="90"/>
      <c r="C6350" s="88"/>
      <c r="D6350" s="89"/>
      <c r="E6350" s="90"/>
      <c r="F6350" s="91"/>
      <c r="G6350" s="90"/>
      <c r="H6350" s="92"/>
      <c r="I6350" s="87"/>
      <c r="J6350" s="93"/>
      <c r="K6350" s="92"/>
      <c r="L6350" s="72" t="str">
        <f t="shared" si="99"/>
        <v/>
      </c>
      <c r="N6350" s="15"/>
    </row>
    <row r="6351" spans="1:14" s="14" customFormat="1" ht="18" x14ac:dyDescent="0.25">
      <c r="A6351" s="91"/>
      <c r="B6351" s="90"/>
      <c r="C6351" s="88"/>
      <c r="D6351" s="89"/>
      <c r="E6351" s="90"/>
      <c r="F6351" s="91"/>
      <c r="G6351" s="90"/>
      <c r="H6351" s="92"/>
      <c r="I6351" s="87"/>
      <c r="J6351" s="93"/>
      <c r="K6351" s="92"/>
      <c r="L6351" s="72" t="str">
        <f t="shared" si="99"/>
        <v/>
      </c>
      <c r="N6351" s="15"/>
    </row>
    <row r="6352" spans="1:14" s="14" customFormat="1" ht="18" x14ac:dyDescent="0.25">
      <c r="A6352" s="91"/>
      <c r="B6352" s="90"/>
      <c r="C6352" s="88"/>
      <c r="D6352" s="89"/>
      <c r="E6352" s="90"/>
      <c r="F6352" s="91"/>
      <c r="G6352" s="90"/>
      <c r="H6352" s="92"/>
      <c r="I6352" s="87"/>
      <c r="J6352" s="93"/>
      <c r="K6352" s="92"/>
      <c r="L6352" s="72" t="str">
        <f t="shared" si="99"/>
        <v/>
      </c>
      <c r="N6352" s="15"/>
    </row>
    <row r="6353" spans="1:14" s="14" customFormat="1" ht="18" x14ac:dyDescent="0.25">
      <c r="A6353" s="91"/>
      <c r="B6353" s="90"/>
      <c r="C6353" s="88"/>
      <c r="D6353" s="89"/>
      <c r="E6353" s="90"/>
      <c r="F6353" s="91"/>
      <c r="G6353" s="90"/>
      <c r="H6353" s="92"/>
      <c r="I6353" s="87"/>
      <c r="J6353" s="93"/>
      <c r="K6353" s="92"/>
      <c r="L6353" s="72" t="str">
        <f t="shared" si="99"/>
        <v/>
      </c>
      <c r="N6353" s="15"/>
    </row>
    <row r="6354" spans="1:14" s="14" customFormat="1" ht="18" x14ac:dyDescent="0.25">
      <c r="A6354" s="91"/>
      <c r="B6354" s="90"/>
      <c r="C6354" s="88"/>
      <c r="D6354" s="89"/>
      <c r="E6354" s="90"/>
      <c r="F6354" s="91"/>
      <c r="G6354" s="90"/>
      <c r="H6354" s="92"/>
      <c r="I6354" s="87"/>
      <c r="J6354" s="93"/>
      <c r="K6354" s="92"/>
      <c r="L6354" s="72" t="str">
        <f t="shared" si="99"/>
        <v/>
      </c>
      <c r="N6354" s="15"/>
    </row>
    <row r="6355" spans="1:14" s="14" customFormat="1" ht="18" x14ac:dyDescent="0.25">
      <c r="A6355" s="91"/>
      <c r="B6355" s="90"/>
      <c r="C6355" s="88"/>
      <c r="D6355" s="89"/>
      <c r="E6355" s="90"/>
      <c r="F6355" s="91"/>
      <c r="G6355" s="90"/>
      <c r="H6355" s="92"/>
      <c r="I6355" s="87"/>
      <c r="J6355" s="93"/>
      <c r="K6355" s="92"/>
      <c r="L6355" s="72" t="str">
        <f t="shared" si="99"/>
        <v/>
      </c>
      <c r="N6355" s="15"/>
    </row>
    <row r="6356" spans="1:14" s="14" customFormat="1" ht="18" x14ac:dyDescent="0.25">
      <c r="A6356" s="91"/>
      <c r="B6356" s="90"/>
      <c r="C6356" s="88"/>
      <c r="D6356" s="89"/>
      <c r="E6356" s="90"/>
      <c r="F6356" s="91"/>
      <c r="G6356" s="90"/>
      <c r="H6356" s="92"/>
      <c r="I6356" s="87"/>
      <c r="J6356" s="93"/>
      <c r="K6356" s="92"/>
      <c r="L6356" s="72" t="str">
        <f t="shared" si="99"/>
        <v/>
      </c>
      <c r="N6356" s="15"/>
    </row>
    <row r="6357" spans="1:14" s="14" customFormat="1" ht="18" x14ac:dyDescent="0.25">
      <c r="A6357" s="91"/>
      <c r="B6357" s="90"/>
      <c r="C6357" s="88"/>
      <c r="D6357" s="89"/>
      <c r="E6357" s="90"/>
      <c r="F6357" s="91"/>
      <c r="G6357" s="90"/>
      <c r="H6357" s="92"/>
      <c r="I6357" s="87"/>
      <c r="J6357" s="93"/>
      <c r="K6357" s="92"/>
      <c r="L6357" s="72" t="str">
        <f t="shared" si="99"/>
        <v/>
      </c>
      <c r="N6357" s="15"/>
    </row>
    <row r="6358" spans="1:14" s="14" customFormat="1" ht="18" x14ac:dyDescent="0.25">
      <c r="A6358" s="91"/>
      <c r="B6358" s="90"/>
      <c r="C6358" s="88"/>
      <c r="D6358" s="89"/>
      <c r="E6358" s="90"/>
      <c r="F6358" s="91"/>
      <c r="G6358" s="90"/>
      <c r="H6358" s="92"/>
      <c r="I6358" s="87"/>
      <c r="J6358" s="93"/>
      <c r="K6358" s="92"/>
      <c r="L6358" s="72" t="str">
        <f t="shared" si="99"/>
        <v/>
      </c>
      <c r="N6358" s="15"/>
    </row>
    <row r="6359" spans="1:14" s="14" customFormat="1" ht="18" x14ac:dyDescent="0.25">
      <c r="A6359" s="91"/>
      <c r="B6359" s="90"/>
      <c r="C6359" s="88"/>
      <c r="D6359" s="89"/>
      <c r="E6359" s="90"/>
      <c r="F6359" s="91"/>
      <c r="G6359" s="90"/>
      <c r="H6359" s="92"/>
      <c r="I6359" s="87"/>
      <c r="J6359" s="93"/>
      <c r="K6359" s="92"/>
      <c r="L6359" s="72" t="str">
        <f t="shared" si="99"/>
        <v/>
      </c>
      <c r="N6359" s="15"/>
    </row>
    <row r="6360" spans="1:14" s="14" customFormat="1" ht="18" x14ac:dyDescent="0.25">
      <c r="A6360" s="91"/>
      <c r="B6360" s="90"/>
      <c r="C6360" s="88"/>
      <c r="D6360" s="89"/>
      <c r="E6360" s="90"/>
      <c r="F6360" s="91"/>
      <c r="G6360" s="90"/>
      <c r="H6360" s="92"/>
      <c r="I6360" s="87"/>
      <c r="J6360" s="93"/>
      <c r="K6360" s="92"/>
      <c r="L6360" s="72" t="str">
        <f t="shared" si="99"/>
        <v/>
      </c>
      <c r="N6360" s="15"/>
    </row>
    <row r="6361" spans="1:14" s="14" customFormat="1" ht="18" x14ac:dyDescent="0.25">
      <c r="A6361" s="91"/>
      <c r="B6361" s="90"/>
      <c r="C6361" s="88"/>
      <c r="D6361" s="89"/>
      <c r="E6361" s="90"/>
      <c r="F6361" s="91"/>
      <c r="G6361" s="90"/>
      <c r="H6361" s="92"/>
      <c r="I6361" s="87"/>
      <c r="J6361" s="93"/>
      <c r="K6361" s="92"/>
      <c r="L6361" s="72" t="str">
        <f t="shared" si="99"/>
        <v/>
      </c>
      <c r="N6361" s="15"/>
    </row>
    <row r="6362" spans="1:14" s="14" customFormat="1" ht="18" x14ac:dyDescent="0.25">
      <c r="A6362" s="91"/>
      <c r="B6362" s="90"/>
      <c r="C6362" s="88"/>
      <c r="D6362" s="89"/>
      <c r="E6362" s="90"/>
      <c r="F6362" s="91"/>
      <c r="G6362" s="90"/>
      <c r="H6362" s="92"/>
      <c r="I6362" s="87"/>
      <c r="J6362" s="93"/>
      <c r="K6362" s="92"/>
      <c r="L6362" s="72" t="str">
        <f t="shared" si="99"/>
        <v/>
      </c>
      <c r="N6362" s="15"/>
    </row>
    <row r="6363" spans="1:14" s="14" customFormat="1" ht="18" x14ac:dyDescent="0.25">
      <c r="A6363" s="91"/>
      <c r="B6363" s="90"/>
      <c r="C6363" s="88"/>
      <c r="D6363" s="89"/>
      <c r="E6363" s="90"/>
      <c r="F6363" s="91"/>
      <c r="G6363" s="90"/>
      <c r="H6363" s="92"/>
      <c r="I6363" s="87"/>
      <c r="J6363" s="93"/>
      <c r="K6363" s="92"/>
      <c r="L6363" s="72" t="str">
        <f t="shared" si="99"/>
        <v/>
      </c>
      <c r="N6363" s="15"/>
    </row>
    <row r="6364" spans="1:14" s="14" customFormat="1" ht="18" x14ac:dyDescent="0.25">
      <c r="A6364" s="91"/>
      <c r="B6364" s="90"/>
      <c r="C6364" s="88"/>
      <c r="D6364" s="89"/>
      <c r="E6364" s="90"/>
      <c r="F6364" s="91"/>
      <c r="G6364" s="90"/>
      <c r="H6364" s="92"/>
      <c r="I6364" s="87"/>
      <c r="J6364" s="93"/>
      <c r="K6364" s="92"/>
      <c r="L6364" s="72" t="str">
        <f t="shared" si="99"/>
        <v/>
      </c>
      <c r="N6364" s="15"/>
    </row>
    <row r="6365" spans="1:14" s="14" customFormat="1" ht="18" x14ac:dyDescent="0.25">
      <c r="A6365" s="91"/>
      <c r="B6365" s="90"/>
      <c r="C6365" s="88"/>
      <c r="D6365" s="89"/>
      <c r="E6365" s="90"/>
      <c r="F6365" s="91"/>
      <c r="G6365" s="90"/>
      <c r="H6365" s="92"/>
      <c r="I6365" s="87"/>
      <c r="J6365" s="93"/>
      <c r="K6365" s="92"/>
      <c r="L6365" s="72" t="str">
        <f t="shared" si="99"/>
        <v/>
      </c>
      <c r="N6365" s="15"/>
    </row>
    <row r="6366" spans="1:14" s="14" customFormat="1" ht="18" x14ac:dyDescent="0.25">
      <c r="A6366" s="91"/>
      <c r="B6366" s="90"/>
      <c r="C6366" s="88"/>
      <c r="D6366" s="89"/>
      <c r="E6366" s="90"/>
      <c r="F6366" s="91"/>
      <c r="G6366" s="90"/>
      <c r="H6366" s="92"/>
      <c r="I6366" s="87"/>
      <c r="J6366" s="93"/>
      <c r="K6366" s="92"/>
      <c r="L6366" s="72" t="str">
        <f t="shared" ref="L6366:L6429" si="100">IF(ISBLANK(H6366),"",IF(H6366=K6366,"Payé","Impayé"))</f>
        <v/>
      </c>
      <c r="N6366" s="15"/>
    </row>
    <row r="6367" spans="1:14" s="14" customFormat="1" ht="18" x14ac:dyDescent="0.25">
      <c r="A6367" s="91"/>
      <c r="B6367" s="90"/>
      <c r="C6367" s="88"/>
      <c r="D6367" s="89"/>
      <c r="E6367" s="90"/>
      <c r="F6367" s="91"/>
      <c r="G6367" s="90"/>
      <c r="H6367" s="92"/>
      <c r="I6367" s="87"/>
      <c r="J6367" s="93"/>
      <c r="K6367" s="92"/>
      <c r="L6367" s="72" t="str">
        <f t="shared" si="100"/>
        <v/>
      </c>
      <c r="N6367" s="15"/>
    </row>
    <row r="6368" spans="1:14" s="14" customFormat="1" ht="18" x14ac:dyDescent="0.25">
      <c r="A6368" s="91"/>
      <c r="B6368" s="90"/>
      <c r="C6368" s="88"/>
      <c r="D6368" s="89"/>
      <c r="E6368" s="90"/>
      <c r="F6368" s="91"/>
      <c r="G6368" s="90"/>
      <c r="H6368" s="92"/>
      <c r="I6368" s="87"/>
      <c r="J6368" s="93"/>
      <c r="K6368" s="92"/>
      <c r="L6368" s="72" t="str">
        <f t="shared" si="100"/>
        <v/>
      </c>
      <c r="N6368" s="15"/>
    </row>
    <row r="6369" spans="1:14" s="14" customFormat="1" ht="18" x14ac:dyDescent="0.25">
      <c r="A6369" s="91"/>
      <c r="B6369" s="90"/>
      <c r="C6369" s="88"/>
      <c r="D6369" s="89"/>
      <c r="E6369" s="90"/>
      <c r="F6369" s="91"/>
      <c r="G6369" s="90"/>
      <c r="H6369" s="92"/>
      <c r="I6369" s="87"/>
      <c r="J6369" s="93"/>
      <c r="K6369" s="92"/>
      <c r="L6369" s="72" t="str">
        <f t="shared" si="100"/>
        <v/>
      </c>
      <c r="N6369" s="15"/>
    </row>
    <row r="6370" spans="1:14" s="14" customFormat="1" ht="18" x14ac:dyDescent="0.25">
      <c r="A6370" s="91"/>
      <c r="B6370" s="90"/>
      <c r="C6370" s="88"/>
      <c r="D6370" s="89"/>
      <c r="E6370" s="90"/>
      <c r="F6370" s="91"/>
      <c r="G6370" s="90"/>
      <c r="H6370" s="92"/>
      <c r="I6370" s="87"/>
      <c r="J6370" s="93"/>
      <c r="K6370" s="92"/>
      <c r="L6370" s="72" t="str">
        <f t="shared" si="100"/>
        <v/>
      </c>
      <c r="N6370" s="15"/>
    </row>
    <row r="6371" spans="1:14" s="14" customFormat="1" ht="18" x14ac:dyDescent="0.25">
      <c r="A6371" s="91"/>
      <c r="B6371" s="90"/>
      <c r="C6371" s="88"/>
      <c r="D6371" s="89"/>
      <c r="E6371" s="90"/>
      <c r="F6371" s="91"/>
      <c r="G6371" s="90"/>
      <c r="H6371" s="92"/>
      <c r="I6371" s="87"/>
      <c r="J6371" s="93"/>
      <c r="K6371" s="92"/>
      <c r="L6371" s="72" t="str">
        <f t="shared" si="100"/>
        <v/>
      </c>
      <c r="N6371" s="15"/>
    </row>
    <row r="6372" spans="1:14" s="14" customFormat="1" ht="18" x14ac:dyDescent="0.25">
      <c r="A6372" s="91"/>
      <c r="B6372" s="90"/>
      <c r="C6372" s="88"/>
      <c r="D6372" s="89"/>
      <c r="E6372" s="90"/>
      <c r="F6372" s="91"/>
      <c r="G6372" s="90"/>
      <c r="H6372" s="92"/>
      <c r="I6372" s="87"/>
      <c r="J6372" s="93"/>
      <c r="K6372" s="92"/>
      <c r="L6372" s="72" t="str">
        <f t="shared" si="100"/>
        <v/>
      </c>
      <c r="N6372" s="15"/>
    </row>
    <row r="6373" spans="1:14" s="14" customFormat="1" ht="18" x14ac:dyDescent="0.25">
      <c r="A6373" s="91"/>
      <c r="B6373" s="90"/>
      <c r="C6373" s="88"/>
      <c r="D6373" s="89"/>
      <c r="E6373" s="90"/>
      <c r="F6373" s="91"/>
      <c r="G6373" s="90"/>
      <c r="H6373" s="92"/>
      <c r="I6373" s="87"/>
      <c r="J6373" s="93"/>
      <c r="K6373" s="92"/>
      <c r="L6373" s="72" t="str">
        <f t="shared" si="100"/>
        <v/>
      </c>
      <c r="N6373" s="15"/>
    </row>
    <row r="6374" spans="1:14" s="14" customFormat="1" ht="18" x14ac:dyDescent="0.25">
      <c r="A6374" s="91"/>
      <c r="B6374" s="90"/>
      <c r="C6374" s="88"/>
      <c r="D6374" s="89"/>
      <c r="E6374" s="90"/>
      <c r="F6374" s="91"/>
      <c r="G6374" s="90"/>
      <c r="H6374" s="92"/>
      <c r="I6374" s="87"/>
      <c r="J6374" s="93"/>
      <c r="K6374" s="92"/>
      <c r="L6374" s="72" t="str">
        <f t="shared" si="100"/>
        <v/>
      </c>
      <c r="N6374" s="15"/>
    </row>
    <row r="6375" spans="1:14" s="14" customFormat="1" ht="18" x14ac:dyDescent="0.25">
      <c r="A6375" s="91"/>
      <c r="B6375" s="90"/>
      <c r="C6375" s="88"/>
      <c r="D6375" s="89"/>
      <c r="E6375" s="90"/>
      <c r="F6375" s="91"/>
      <c r="G6375" s="90"/>
      <c r="H6375" s="92"/>
      <c r="I6375" s="87"/>
      <c r="J6375" s="93"/>
      <c r="K6375" s="92"/>
      <c r="L6375" s="72" t="str">
        <f t="shared" si="100"/>
        <v/>
      </c>
      <c r="N6375" s="15"/>
    </row>
    <row r="6376" spans="1:14" s="14" customFormat="1" ht="18" x14ac:dyDescent="0.25">
      <c r="A6376" s="91"/>
      <c r="B6376" s="90"/>
      <c r="C6376" s="88"/>
      <c r="D6376" s="89"/>
      <c r="E6376" s="90"/>
      <c r="F6376" s="91"/>
      <c r="G6376" s="90"/>
      <c r="H6376" s="92"/>
      <c r="I6376" s="87"/>
      <c r="J6376" s="93"/>
      <c r="K6376" s="92"/>
      <c r="L6376" s="72" t="str">
        <f t="shared" si="100"/>
        <v/>
      </c>
      <c r="N6376" s="15"/>
    </row>
    <row r="6377" spans="1:14" s="14" customFormat="1" ht="18" x14ac:dyDescent="0.25">
      <c r="A6377" s="91"/>
      <c r="B6377" s="90"/>
      <c r="C6377" s="88"/>
      <c r="D6377" s="89"/>
      <c r="E6377" s="90"/>
      <c r="F6377" s="91"/>
      <c r="G6377" s="90"/>
      <c r="H6377" s="92"/>
      <c r="I6377" s="87"/>
      <c r="J6377" s="93"/>
      <c r="K6377" s="92"/>
      <c r="L6377" s="72" t="str">
        <f t="shared" si="100"/>
        <v/>
      </c>
      <c r="N6377" s="15"/>
    </row>
    <row r="6378" spans="1:14" s="14" customFormat="1" ht="18" x14ac:dyDescent="0.25">
      <c r="A6378" s="91"/>
      <c r="B6378" s="90"/>
      <c r="C6378" s="88"/>
      <c r="D6378" s="89"/>
      <c r="E6378" s="90"/>
      <c r="F6378" s="91"/>
      <c r="G6378" s="90"/>
      <c r="H6378" s="92"/>
      <c r="I6378" s="87"/>
      <c r="J6378" s="93"/>
      <c r="K6378" s="92"/>
      <c r="L6378" s="72" t="str">
        <f t="shared" si="100"/>
        <v/>
      </c>
      <c r="N6378" s="15"/>
    </row>
    <row r="6379" spans="1:14" s="14" customFormat="1" ht="18" x14ac:dyDescent="0.25">
      <c r="A6379" s="91"/>
      <c r="B6379" s="90"/>
      <c r="C6379" s="88"/>
      <c r="D6379" s="89"/>
      <c r="E6379" s="90"/>
      <c r="F6379" s="91"/>
      <c r="G6379" s="90"/>
      <c r="H6379" s="92"/>
      <c r="I6379" s="87"/>
      <c r="J6379" s="93"/>
      <c r="K6379" s="92"/>
      <c r="L6379" s="72" t="str">
        <f t="shared" si="100"/>
        <v/>
      </c>
      <c r="N6379" s="15"/>
    </row>
    <row r="6380" spans="1:14" s="14" customFormat="1" ht="18" x14ac:dyDescent="0.25">
      <c r="A6380" s="91"/>
      <c r="B6380" s="90"/>
      <c r="C6380" s="88"/>
      <c r="D6380" s="89"/>
      <c r="E6380" s="90"/>
      <c r="F6380" s="91"/>
      <c r="G6380" s="90"/>
      <c r="H6380" s="92"/>
      <c r="I6380" s="87"/>
      <c r="J6380" s="93"/>
      <c r="K6380" s="92"/>
      <c r="L6380" s="72" t="str">
        <f t="shared" si="100"/>
        <v/>
      </c>
      <c r="N6380" s="15"/>
    </row>
    <row r="6381" spans="1:14" s="14" customFormat="1" ht="18" x14ac:dyDescent="0.25">
      <c r="A6381" s="91"/>
      <c r="B6381" s="90"/>
      <c r="C6381" s="88"/>
      <c r="D6381" s="89"/>
      <c r="E6381" s="90"/>
      <c r="F6381" s="91"/>
      <c r="G6381" s="90"/>
      <c r="H6381" s="92"/>
      <c r="I6381" s="87"/>
      <c r="J6381" s="93"/>
      <c r="K6381" s="92"/>
      <c r="L6381" s="72" t="str">
        <f t="shared" si="100"/>
        <v/>
      </c>
      <c r="N6381" s="15"/>
    </row>
    <row r="6382" spans="1:14" s="14" customFormat="1" ht="18" x14ac:dyDescent="0.25">
      <c r="A6382" s="91"/>
      <c r="B6382" s="90"/>
      <c r="C6382" s="88"/>
      <c r="D6382" s="89"/>
      <c r="E6382" s="90"/>
      <c r="F6382" s="91"/>
      <c r="G6382" s="90"/>
      <c r="H6382" s="92"/>
      <c r="I6382" s="87"/>
      <c r="J6382" s="93"/>
      <c r="K6382" s="92"/>
      <c r="L6382" s="72" t="str">
        <f t="shared" si="100"/>
        <v/>
      </c>
      <c r="N6382" s="15"/>
    </row>
    <row r="6383" spans="1:14" s="14" customFormat="1" ht="18" x14ac:dyDescent="0.25">
      <c r="A6383" s="91"/>
      <c r="B6383" s="90"/>
      <c r="C6383" s="88"/>
      <c r="D6383" s="89"/>
      <c r="E6383" s="90"/>
      <c r="F6383" s="91"/>
      <c r="G6383" s="90"/>
      <c r="H6383" s="92"/>
      <c r="I6383" s="87"/>
      <c r="J6383" s="93"/>
      <c r="K6383" s="92"/>
      <c r="L6383" s="72" t="str">
        <f t="shared" si="100"/>
        <v/>
      </c>
      <c r="N6383" s="15"/>
    </row>
    <row r="6384" spans="1:14" s="14" customFormat="1" ht="18" x14ac:dyDescent="0.25">
      <c r="A6384" s="91"/>
      <c r="B6384" s="90"/>
      <c r="C6384" s="88"/>
      <c r="D6384" s="89"/>
      <c r="E6384" s="90"/>
      <c r="F6384" s="91"/>
      <c r="G6384" s="90"/>
      <c r="H6384" s="92"/>
      <c r="I6384" s="87"/>
      <c r="J6384" s="93"/>
      <c r="K6384" s="92"/>
      <c r="L6384" s="72" t="str">
        <f t="shared" si="100"/>
        <v/>
      </c>
      <c r="N6384" s="15"/>
    </row>
    <row r="6385" spans="1:14" s="14" customFormat="1" ht="18" x14ac:dyDescent="0.25">
      <c r="A6385" s="91"/>
      <c r="B6385" s="90"/>
      <c r="C6385" s="88"/>
      <c r="D6385" s="89"/>
      <c r="E6385" s="90"/>
      <c r="F6385" s="91"/>
      <c r="G6385" s="90"/>
      <c r="H6385" s="92"/>
      <c r="I6385" s="87"/>
      <c r="J6385" s="93"/>
      <c r="K6385" s="92"/>
      <c r="L6385" s="72" t="str">
        <f t="shared" si="100"/>
        <v/>
      </c>
      <c r="N6385" s="15"/>
    </row>
    <row r="6386" spans="1:14" s="14" customFormat="1" ht="18" x14ac:dyDescent="0.25">
      <c r="A6386" s="91"/>
      <c r="B6386" s="90"/>
      <c r="C6386" s="88"/>
      <c r="D6386" s="89"/>
      <c r="E6386" s="90"/>
      <c r="F6386" s="91"/>
      <c r="G6386" s="90"/>
      <c r="H6386" s="92"/>
      <c r="I6386" s="87"/>
      <c r="J6386" s="93"/>
      <c r="K6386" s="92"/>
      <c r="L6386" s="72" t="str">
        <f t="shared" si="100"/>
        <v/>
      </c>
      <c r="N6386" s="15"/>
    </row>
    <row r="6387" spans="1:14" s="14" customFormat="1" ht="18" x14ac:dyDescent="0.25">
      <c r="A6387" s="91"/>
      <c r="B6387" s="90"/>
      <c r="C6387" s="88"/>
      <c r="D6387" s="89"/>
      <c r="E6387" s="90"/>
      <c r="F6387" s="91"/>
      <c r="G6387" s="90"/>
      <c r="H6387" s="92"/>
      <c r="I6387" s="87"/>
      <c r="J6387" s="93"/>
      <c r="K6387" s="92"/>
      <c r="L6387" s="72" t="str">
        <f t="shared" si="100"/>
        <v/>
      </c>
      <c r="N6387" s="15"/>
    </row>
    <row r="6388" spans="1:14" s="14" customFormat="1" ht="18" x14ac:dyDescent="0.25">
      <c r="A6388" s="91"/>
      <c r="B6388" s="90"/>
      <c r="C6388" s="88"/>
      <c r="D6388" s="89"/>
      <c r="E6388" s="90"/>
      <c r="F6388" s="91"/>
      <c r="G6388" s="90"/>
      <c r="H6388" s="92"/>
      <c r="I6388" s="87"/>
      <c r="J6388" s="93"/>
      <c r="K6388" s="92"/>
      <c r="L6388" s="72" t="str">
        <f t="shared" si="100"/>
        <v/>
      </c>
      <c r="N6388" s="15"/>
    </row>
    <row r="6389" spans="1:14" s="14" customFormat="1" ht="18" x14ac:dyDescent="0.25">
      <c r="A6389" s="91"/>
      <c r="B6389" s="90"/>
      <c r="C6389" s="88"/>
      <c r="D6389" s="89"/>
      <c r="E6389" s="90"/>
      <c r="F6389" s="91"/>
      <c r="G6389" s="90"/>
      <c r="H6389" s="92"/>
      <c r="I6389" s="87"/>
      <c r="J6389" s="93"/>
      <c r="K6389" s="92"/>
      <c r="L6389" s="72" t="str">
        <f t="shared" si="100"/>
        <v/>
      </c>
      <c r="N6389" s="15"/>
    </row>
    <row r="6390" spans="1:14" s="14" customFormat="1" ht="18" x14ac:dyDescent="0.25">
      <c r="A6390" s="91"/>
      <c r="B6390" s="90"/>
      <c r="C6390" s="88"/>
      <c r="D6390" s="89"/>
      <c r="E6390" s="90"/>
      <c r="F6390" s="91"/>
      <c r="G6390" s="90"/>
      <c r="H6390" s="92"/>
      <c r="I6390" s="87"/>
      <c r="J6390" s="93"/>
      <c r="K6390" s="92"/>
      <c r="L6390" s="72" t="str">
        <f t="shared" si="100"/>
        <v/>
      </c>
      <c r="N6390" s="15"/>
    </row>
    <row r="6391" spans="1:14" s="14" customFormat="1" ht="18" x14ac:dyDescent="0.25">
      <c r="A6391" s="91"/>
      <c r="B6391" s="90"/>
      <c r="C6391" s="88"/>
      <c r="D6391" s="89"/>
      <c r="E6391" s="90"/>
      <c r="F6391" s="91"/>
      <c r="G6391" s="90"/>
      <c r="H6391" s="92"/>
      <c r="I6391" s="87"/>
      <c r="J6391" s="93"/>
      <c r="K6391" s="92"/>
      <c r="L6391" s="72" t="str">
        <f t="shared" si="100"/>
        <v/>
      </c>
      <c r="N6391" s="15"/>
    </row>
    <row r="6392" spans="1:14" s="14" customFormat="1" ht="18" x14ac:dyDescent="0.25">
      <c r="A6392" s="91"/>
      <c r="B6392" s="90"/>
      <c r="C6392" s="88"/>
      <c r="D6392" s="89"/>
      <c r="E6392" s="90"/>
      <c r="F6392" s="91"/>
      <c r="G6392" s="90"/>
      <c r="H6392" s="92"/>
      <c r="I6392" s="87"/>
      <c r="J6392" s="93"/>
      <c r="K6392" s="92"/>
      <c r="L6392" s="72" t="str">
        <f t="shared" si="100"/>
        <v/>
      </c>
      <c r="N6392" s="15"/>
    </row>
    <row r="6393" spans="1:14" s="14" customFormat="1" ht="18" x14ac:dyDescent="0.25">
      <c r="A6393" s="91"/>
      <c r="B6393" s="90"/>
      <c r="C6393" s="88"/>
      <c r="D6393" s="89"/>
      <c r="E6393" s="90"/>
      <c r="F6393" s="91"/>
      <c r="G6393" s="90"/>
      <c r="H6393" s="92"/>
      <c r="I6393" s="87"/>
      <c r="J6393" s="93"/>
      <c r="K6393" s="92"/>
      <c r="L6393" s="72" t="str">
        <f t="shared" si="100"/>
        <v/>
      </c>
      <c r="N6393" s="15"/>
    </row>
    <row r="6394" spans="1:14" s="14" customFormat="1" ht="18" x14ac:dyDescent="0.25">
      <c r="A6394" s="91"/>
      <c r="B6394" s="90"/>
      <c r="C6394" s="88"/>
      <c r="D6394" s="89"/>
      <c r="E6394" s="90"/>
      <c r="F6394" s="91"/>
      <c r="G6394" s="90"/>
      <c r="H6394" s="92"/>
      <c r="I6394" s="87"/>
      <c r="J6394" s="93"/>
      <c r="K6394" s="92"/>
      <c r="L6394" s="72" t="str">
        <f t="shared" si="100"/>
        <v/>
      </c>
      <c r="N6394" s="15"/>
    </row>
    <row r="6395" spans="1:14" s="14" customFormat="1" ht="18" x14ac:dyDescent="0.25">
      <c r="A6395" s="91"/>
      <c r="B6395" s="90"/>
      <c r="C6395" s="88"/>
      <c r="D6395" s="89"/>
      <c r="E6395" s="90"/>
      <c r="F6395" s="91"/>
      <c r="G6395" s="90"/>
      <c r="H6395" s="92"/>
      <c r="I6395" s="87"/>
      <c r="J6395" s="93"/>
      <c r="K6395" s="92"/>
      <c r="L6395" s="72" t="str">
        <f t="shared" si="100"/>
        <v/>
      </c>
      <c r="N6395" s="15"/>
    </row>
    <row r="6396" spans="1:14" s="14" customFormat="1" ht="18" x14ac:dyDescent="0.25">
      <c r="A6396" s="91"/>
      <c r="B6396" s="90"/>
      <c r="C6396" s="88"/>
      <c r="D6396" s="89"/>
      <c r="E6396" s="90"/>
      <c r="F6396" s="91"/>
      <c r="G6396" s="90"/>
      <c r="H6396" s="92"/>
      <c r="I6396" s="87"/>
      <c r="J6396" s="93"/>
      <c r="K6396" s="92"/>
      <c r="L6396" s="72" t="str">
        <f t="shared" si="100"/>
        <v/>
      </c>
      <c r="N6396" s="15"/>
    </row>
    <row r="6397" spans="1:14" s="14" customFormat="1" ht="18" x14ac:dyDescent="0.25">
      <c r="A6397" s="91"/>
      <c r="B6397" s="90"/>
      <c r="C6397" s="88"/>
      <c r="D6397" s="89"/>
      <c r="E6397" s="90"/>
      <c r="F6397" s="91"/>
      <c r="G6397" s="90"/>
      <c r="H6397" s="92"/>
      <c r="I6397" s="87"/>
      <c r="J6397" s="93"/>
      <c r="K6397" s="92"/>
      <c r="L6397" s="72" t="str">
        <f t="shared" si="100"/>
        <v/>
      </c>
      <c r="N6397" s="15"/>
    </row>
    <row r="6398" spans="1:14" s="14" customFormat="1" ht="18" x14ac:dyDescent="0.25">
      <c r="A6398" s="91"/>
      <c r="B6398" s="90"/>
      <c r="C6398" s="88"/>
      <c r="D6398" s="89"/>
      <c r="E6398" s="90"/>
      <c r="F6398" s="91"/>
      <c r="G6398" s="90"/>
      <c r="H6398" s="92"/>
      <c r="I6398" s="87"/>
      <c r="J6398" s="93"/>
      <c r="K6398" s="92"/>
      <c r="L6398" s="72" t="str">
        <f t="shared" si="100"/>
        <v/>
      </c>
      <c r="N6398" s="15"/>
    </row>
    <row r="6399" spans="1:14" s="14" customFormat="1" ht="18" x14ac:dyDescent="0.25">
      <c r="A6399" s="91"/>
      <c r="B6399" s="90"/>
      <c r="C6399" s="88"/>
      <c r="D6399" s="89"/>
      <c r="E6399" s="90"/>
      <c r="F6399" s="91"/>
      <c r="G6399" s="90"/>
      <c r="H6399" s="92"/>
      <c r="I6399" s="87"/>
      <c r="J6399" s="93"/>
      <c r="K6399" s="92"/>
      <c r="L6399" s="72" t="str">
        <f t="shared" si="100"/>
        <v/>
      </c>
      <c r="N6399" s="15"/>
    </row>
    <row r="6400" spans="1:14" s="14" customFormat="1" ht="18" x14ac:dyDescent="0.25">
      <c r="A6400" s="91"/>
      <c r="B6400" s="90"/>
      <c r="C6400" s="88"/>
      <c r="D6400" s="89"/>
      <c r="E6400" s="90"/>
      <c r="F6400" s="91"/>
      <c r="G6400" s="90"/>
      <c r="H6400" s="92"/>
      <c r="I6400" s="87"/>
      <c r="J6400" s="93"/>
      <c r="K6400" s="92"/>
      <c r="L6400" s="72" t="str">
        <f t="shared" si="100"/>
        <v/>
      </c>
      <c r="N6400" s="15"/>
    </row>
    <row r="6401" spans="1:14" s="14" customFormat="1" ht="18" x14ac:dyDescent="0.25">
      <c r="A6401" s="91"/>
      <c r="B6401" s="90"/>
      <c r="C6401" s="88"/>
      <c r="D6401" s="89"/>
      <c r="E6401" s="90"/>
      <c r="F6401" s="91"/>
      <c r="G6401" s="90"/>
      <c r="H6401" s="92"/>
      <c r="I6401" s="87"/>
      <c r="J6401" s="93"/>
      <c r="K6401" s="92"/>
      <c r="L6401" s="72" t="str">
        <f t="shared" si="100"/>
        <v/>
      </c>
      <c r="N6401" s="15"/>
    </row>
    <row r="6402" spans="1:14" s="14" customFormat="1" ht="18" x14ac:dyDescent="0.25">
      <c r="A6402" s="91"/>
      <c r="B6402" s="90"/>
      <c r="C6402" s="88"/>
      <c r="D6402" s="89"/>
      <c r="E6402" s="90"/>
      <c r="F6402" s="91"/>
      <c r="G6402" s="90"/>
      <c r="H6402" s="92"/>
      <c r="I6402" s="87"/>
      <c r="J6402" s="93"/>
      <c r="K6402" s="92"/>
      <c r="L6402" s="72" t="str">
        <f t="shared" si="100"/>
        <v/>
      </c>
      <c r="N6402" s="15"/>
    </row>
    <row r="6403" spans="1:14" s="14" customFormat="1" ht="18" x14ac:dyDescent="0.25">
      <c r="A6403" s="91"/>
      <c r="B6403" s="90"/>
      <c r="C6403" s="88"/>
      <c r="D6403" s="89"/>
      <c r="E6403" s="90"/>
      <c r="F6403" s="91"/>
      <c r="G6403" s="90"/>
      <c r="H6403" s="92"/>
      <c r="I6403" s="87"/>
      <c r="J6403" s="93"/>
      <c r="K6403" s="92"/>
      <c r="L6403" s="72" t="str">
        <f t="shared" si="100"/>
        <v/>
      </c>
      <c r="N6403" s="15"/>
    </row>
    <row r="6404" spans="1:14" s="14" customFormat="1" ht="18" x14ac:dyDescent="0.25">
      <c r="A6404" s="91"/>
      <c r="B6404" s="90"/>
      <c r="C6404" s="88"/>
      <c r="D6404" s="89"/>
      <c r="E6404" s="90"/>
      <c r="F6404" s="91"/>
      <c r="G6404" s="90"/>
      <c r="H6404" s="92"/>
      <c r="I6404" s="87"/>
      <c r="J6404" s="93"/>
      <c r="K6404" s="92"/>
      <c r="L6404" s="72" t="str">
        <f t="shared" si="100"/>
        <v/>
      </c>
      <c r="N6404" s="15"/>
    </row>
    <row r="6405" spans="1:14" s="14" customFormat="1" ht="18" x14ac:dyDescent="0.25">
      <c r="A6405" s="91"/>
      <c r="B6405" s="90"/>
      <c r="C6405" s="88"/>
      <c r="D6405" s="89"/>
      <c r="E6405" s="90"/>
      <c r="F6405" s="91"/>
      <c r="G6405" s="90"/>
      <c r="H6405" s="92"/>
      <c r="I6405" s="87"/>
      <c r="J6405" s="93"/>
      <c r="K6405" s="92"/>
      <c r="L6405" s="72" t="str">
        <f t="shared" si="100"/>
        <v/>
      </c>
      <c r="N6405" s="15"/>
    </row>
    <row r="6406" spans="1:14" s="14" customFormat="1" ht="18" x14ac:dyDescent="0.25">
      <c r="A6406" s="91"/>
      <c r="B6406" s="90"/>
      <c r="C6406" s="88"/>
      <c r="D6406" s="89"/>
      <c r="E6406" s="90"/>
      <c r="F6406" s="91"/>
      <c r="G6406" s="90"/>
      <c r="H6406" s="92"/>
      <c r="I6406" s="87"/>
      <c r="J6406" s="93"/>
      <c r="K6406" s="92"/>
      <c r="L6406" s="72" t="str">
        <f t="shared" si="100"/>
        <v/>
      </c>
      <c r="N6406" s="15"/>
    </row>
    <row r="6407" spans="1:14" s="14" customFormat="1" ht="18" x14ac:dyDescent="0.25">
      <c r="A6407" s="91"/>
      <c r="B6407" s="90"/>
      <c r="C6407" s="88"/>
      <c r="D6407" s="89"/>
      <c r="E6407" s="90"/>
      <c r="F6407" s="91"/>
      <c r="G6407" s="90"/>
      <c r="H6407" s="92"/>
      <c r="I6407" s="87"/>
      <c r="J6407" s="93"/>
      <c r="K6407" s="92"/>
      <c r="L6407" s="72" t="str">
        <f t="shared" si="100"/>
        <v/>
      </c>
      <c r="N6407" s="15"/>
    </row>
    <row r="6408" spans="1:14" s="14" customFormat="1" ht="18" x14ac:dyDescent="0.25">
      <c r="A6408" s="91"/>
      <c r="B6408" s="90"/>
      <c r="C6408" s="88"/>
      <c r="D6408" s="89"/>
      <c r="E6408" s="90"/>
      <c r="F6408" s="91"/>
      <c r="G6408" s="90"/>
      <c r="H6408" s="92"/>
      <c r="I6408" s="87"/>
      <c r="J6408" s="93"/>
      <c r="K6408" s="92"/>
      <c r="L6408" s="72" t="str">
        <f t="shared" si="100"/>
        <v/>
      </c>
      <c r="N6408" s="15"/>
    </row>
    <row r="6409" spans="1:14" s="14" customFormat="1" ht="18" x14ac:dyDescent="0.25">
      <c r="A6409" s="91"/>
      <c r="B6409" s="90"/>
      <c r="C6409" s="88"/>
      <c r="D6409" s="89"/>
      <c r="E6409" s="90"/>
      <c r="F6409" s="91"/>
      <c r="G6409" s="90"/>
      <c r="H6409" s="92"/>
      <c r="I6409" s="87"/>
      <c r="J6409" s="93"/>
      <c r="K6409" s="92"/>
      <c r="L6409" s="72" t="str">
        <f t="shared" si="100"/>
        <v/>
      </c>
      <c r="N6409" s="15"/>
    </row>
    <row r="6410" spans="1:14" s="14" customFormat="1" ht="18" x14ac:dyDescent="0.25">
      <c r="A6410" s="91"/>
      <c r="B6410" s="90"/>
      <c r="C6410" s="88"/>
      <c r="D6410" s="89"/>
      <c r="E6410" s="90"/>
      <c r="F6410" s="91"/>
      <c r="G6410" s="90"/>
      <c r="H6410" s="92"/>
      <c r="I6410" s="87"/>
      <c r="J6410" s="93"/>
      <c r="K6410" s="92"/>
      <c r="L6410" s="72" t="str">
        <f t="shared" si="100"/>
        <v/>
      </c>
      <c r="N6410" s="15"/>
    </row>
    <row r="6411" spans="1:14" s="14" customFormat="1" ht="18" x14ac:dyDescent="0.25">
      <c r="A6411" s="91"/>
      <c r="B6411" s="90"/>
      <c r="C6411" s="88"/>
      <c r="D6411" s="89"/>
      <c r="E6411" s="90"/>
      <c r="F6411" s="91"/>
      <c r="G6411" s="90"/>
      <c r="H6411" s="92"/>
      <c r="I6411" s="87"/>
      <c r="J6411" s="93"/>
      <c r="K6411" s="92"/>
      <c r="L6411" s="72" t="str">
        <f t="shared" si="100"/>
        <v/>
      </c>
      <c r="N6411" s="15"/>
    </row>
    <row r="6412" spans="1:14" s="14" customFormat="1" ht="18" x14ac:dyDescent="0.25">
      <c r="A6412" s="91"/>
      <c r="B6412" s="90"/>
      <c r="C6412" s="88"/>
      <c r="D6412" s="89"/>
      <c r="E6412" s="90"/>
      <c r="F6412" s="91"/>
      <c r="G6412" s="90"/>
      <c r="H6412" s="92"/>
      <c r="I6412" s="87"/>
      <c r="J6412" s="93"/>
      <c r="K6412" s="92"/>
      <c r="L6412" s="72" t="str">
        <f t="shared" si="100"/>
        <v/>
      </c>
      <c r="N6412" s="15"/>
    </row>
    <row r="6413" spans="1:14" s="14" customFormat="1" ht="18" x14ac:dyDescent="0.25">
      <c r="A6413" s="91"/>
      <c r="B6413" s="90"/>
      <c r="C6413" s="88"/>
      <c r="D6413" s="89"/>
      <c r="E6413" s="90"/>
      <c r="F6413" s="91"/>
      <c r="G6413" s="90"/>
      <c r="H6413" s="92"/>
      <c r="I6413" s="87"/>
      <c r="J6413" s="93"/>
      <c r="K6413" s="92"/>
      <c r="L6413" s="72" t="str">
        <f t="shared" si="100"/>
        <v/>
      </c>
      <c r="N6413" s="15"/>
    </row>
    <row r="6414" spans="1:14" s="14" customFormat="1" ht="18" x14ac:dyDescent="0.25">
      <c r="A6414" s="91"/>
      <c r="B6414" s="90"/>
      <c r="C6414" s="88"/>
      <c r="D6414" s="89"/>
      <c r="E6414" s="90"/>
      <c r="F6414" s="91"/>
      <c r="G6414" s="90"/>
      <c r="H6414" s="92"/>
      <c r="I6414" s="87"/>
      <c r="J6414" s="93"/>
      <c r="K6414" s="92"/>
      <c r="L6414" s="72" t="str">
        <f t="shared" si="100"/>
        <v/>
      </c>
      <c r="N6414" s="15"/>
    </row>
    <row r="6415" spans="1:14" s="14" customFormat="1" ht="18" x14ac:dyDescent="0.25">
      <c r="A6415" s="91"/>
      <c r="B6415" s="90"/>
      <c r="C6415" s="88"/>
      <c r="D6415" s="89"/>
      <c r="E6415" s="90"/>
      <c r="F6415" s="91"/>
      <c r="G6415" s="90"/>
      <c r="H6415" s="92"/>
      <c r="I6415" s="87"/>
      <c r="J6415" s="93"/>
      <c r="K6415" s="92"/>
      <c r="L6415" s="72" t="str">
        <f t="shared" si="100"/>
        <v/>
      </c>
      <c r="N6415" s="15"/>
    </row>
    <row r="6416" spans="1:14" s="14" customFormat="1" ht="18" x14ac:dyDescent="0.25">
      <c r="A6416" s="91"/>
      <c r="B6416" s="90"/>
      <c r="C6416" s="88"/>
      <c r="D6416" s="89"/>
      <c r="E6416" s="90"/>
      <c r="F6416" s="91"/>
      <c r="G6416" s="90"/>
      <c r="H6416" s="92"/>
      <c r="I6416" s="87"/>
      <c r="J6416" s="93"/>
      <c r="K6416" s="92"/>
      <c r="L6416" s="72" t="str">
        <f t="shared" si="100"/>
        <v/>
      </c>
      <c r="N6416" s="15"/>
    </row>
    <row r="6417" spans="1:14" s="14" customFormat="1" ht="18" x14ac:dyDescent="0.25">
      <c r="A6417" s="91"/>
      <c r="B6417" s="90"/>
      <c r="C6417" s="88"/>
      <c r="D6417" s="89"/>
      <c r="E6417" s="90"/>
      <c r="F6417" s="91"/>
      <c r="G6417" s="90"/>
      <c r="H6417" s="92"/>
      <c r="I6417" s="87"/>
      <c r="J6417" s="93"/>
      <c r="K6417" s="92"/>
      <c r="L6417" s="72" t="str">
        <f t="shared" si="100"/>
        <v/>
      </c>
      <c r="N6417" s="15"/>
    </row>
    <row r="6418" spans="1:14" s="14" customFormat="1" ht="18" x14ac:dyDescent="0.25">
      <c r="A6418" s="91"/>
      <c r="B6418" s="90"/>
      <c r="C6418" s="88"/>
      <c r="D6418" s="89"/>
      <c r="E6418" s="90"/>
      <c r="F6418" s="91"/>
      <c r="G6418" s="90"/>
      <c r="H6418" s="92"/>
      <c r="I6418" s="87"/>
      <c r="J6418" s="93"/>
      <c r="K6418" s="92"/>
      <c r="L6418" s="72" t="str">
        <f t="shared" si="100"/>
        <v/>
      </c>
      <c r="N6418" s="15"/>
    </row>
    <row r="6419" spans="1:14" s="14" customFormat="1" ht="18" x14ac:dyDescent="0.25">
      <c r="A6419" s="91"/>
      <c r="B6419" s="90"/>
      <c r="C6419" s="88"/>
      <c r="D6419" s="89"/>
      <c r="E6419" s="90"/>
      <c r="F6419" s="91"/>
      <c r="G6419" s="90"/>
      <c r="H6419" s="92"/>
      <c r="I6419" s="87"/>
      <c r="J6419" s="93"/>
      <c r="K6419" s="92"/>
      <c r="L6419" s="72" t="str">
        <f t="shared" si="100"/>
        <v/>
      </c>
      <c r="N6419" s="15"/>
    </row>
    <row r="6420" spans="1:14" s="14" customFormat="1" ht="18" x14ac:dyDescent="0.25">
      <c r="A6420" s="91"/>
      <c r="B6420" s="90"/>
      <c r="C6420" s="88"/>
      <c r="D6420" s="89"/>
      <c r="E6420" s="90"/>
      <c r="F6420" s="91"/>
      <c r="G6420" s="90"/>
      <c r="H6420" s="92"/>
      <c r="I6420" s="87"/>
      <c r="J6420" s="93"/>
      <c r="K6420" s="92"/>
      <c r="L6420" s="72" t="str">
        <f t="shared" si="100"/>
        <v/>
      </c>
      <c r="N6420" s="15"/>
    </row>
    <row r="6421" spans="1:14" s="14" customFormat="1" ht="18" x14ac:dyDescent="0.25">
      <c r="A6421" s="91"/>
      <c r="B6421" s="90"/>
      <c r="C6421" s="88"/>
      <c r="D6421" s="89"/>
      <c r="E6421" s="90"/>
      <c r="F6421" s="91"/>
      <c r="G6421" s="90"/>
      <c r="H6421" s="92"/>
      <c r="I6421" s="87"/>
      <c r="J6421" s="93"/>
      <c r="K6421" s="92"/>
      <c r="L6421" s="72" t="str">
        <f t="shared" si="100"/>
        <v/>
      </c>
      <c r="N6421" s="15"/>
    </row>
    <row r="6422" spans="1:14" s="14" customFormat="1" ht="18" x14ac:dyDescent="0.25">
      <c r="A6422" s="91"/>
      <c r="B6422" s="90"/>
      <c r="C6422" s="88"/>
      <c r="D6422" s="89"/>
      <c r="E6422" s="90"/>
      <c r="F6422" s="91"/>
      <c r="G6422" s="90"/>
      <c r="H6422" s="92"/>
      <c r="I6422" s="87"/>
      <c r="J6422" s="93"/>
      <c r="K6422" s="92"/>
      <c r="L6422" s="72" t="str">
        <f t="shared" si="100"/>
        <v/>
      </c>
      <c r="N6422" s="15"/>
    </row>
    <row r="6423" spans="1:14" s="14" customFormat="1" ht="18" x14ac:dyDescent="0.25">
      <c r="A6423" s="91"/>
      <c r="B6423" s="90"/>
      <c r="C6423" s="88"/>
      <c r="D6423" s="89"/>
      <c r="E6423" s="90"/>
      <c r="F6423" s="91"/>
      <c r="G6423" s="90"/>
      <c r="H6423" s="92"/>
      <c r="I6423" s="87"/>
      <c r="J6423" s="93"/>
      <c r="K6423" s="92"/>
      <c r="L6423" s="72" t="str">
        <f t="shared" si="100"/>
        <v/>
      </c>
      <c r="N6423" s="15"/>
    </row>
    <row r="6424" spans="1:14" s="14" customFormat="1" ht="18" x14ac:dyDescent="0.25">
      <c r="A6424" s="91"/>
      <c r="B6424" s="90"/>
      <c r="C6424" s="88"/>
      <c r="D6424" s="89"/>
      <c r="E6424" s="90"/>
      <c r="F6424" s="91"/>
      <c r="G6424" s="90"/>
      <c r="H6424" s="92"/>
      <c r="I6424" s="87"/>
      <c r="J6424" s="93"/>
      <c r="K6424" s="92"/>
      <c r="L6424" s="72" t="str">
        <f t="shared" si="100"/>
        <v/>
      </c>
      <c r="N6424" s="15"/>
    </row>
    <row r="6425" spans="1:14" s="14" customFormat="1" ht="18" x14ac:dyDescent="0.25">
      <c r="A6425" s="91"/>
      <c r="B6425" s="90"/>
      <c r="C6425" s="88"/>
      <c r="D6425" s="89"/>
      <c r="E6425" s="90"/>
      <c r="F6425" s="91"/>
      <c r="G6425" s="90"/>
      <c r="H6425" s="92"/>
      <c r="I6425" s="87"/>
      <c r="J6425" s="93"/>
      <c r="K6425" s="92"/>
      <c r="L6425" s="72" t="str">
        <f t="shared" si="100"/>
        <v/>
      </c>
      <c r="N6425" s="15"/>
    </row>
    <row r="6426" spans="1:14" s="14" customFormat="1" ht="18" x14ac:dyDescent="0.25">
      <c r="A6426" s="91"/>
      <c r="B6426" s="90"/>
      <c r="C6426" s="88"/>
      <c r="D6426" s="89"/>
      <c r="E6426" s="90"/>
      <c r="F6426" s="91"/>
      <c r="G6426" s="90"/>
      <c r="H6426" s="92"/>
      <c r="I6426" s="87"/>
      <c r="J6426" s="93"/>
      <c r="K6426" s="92"/>
      <c r="L6426" s="72" t="str">
        <f t="shared" si="100"/>
        <v/>
      </c>
      <c r="N6426" s="15"/>
    </row>
    <row r="6427" spans="1:14" s="14" customFormat="1" ht="18" x14ac:dyDescent="0.25">
      <c r="A6427" s="91"/>
      <c r="B6427" s="90"/>
      <c r="C6427" s="88"/>
      <c r="D6427" s="89"/>
      <c r="E6427" s="90"/>
      <c r="F6427" s="91"/>
      <c r="G6427" s="90"/>
      <c r="H6427" s="92"/>
      <c r="I6427" s="87"/>
      <c r="J6427" s="93"/>
      <c r="K6427" s="92"/>
      <c r="L6427" s="72" t="str">
        <f t="shared" si="100"/>
        <v/>
      </c>
      <c r="N6427" s="15"/>
    </row>
    <row r="6428" spans="1:14" s="14" customFormat="1" ht="18" x14ac:dyDescent="0.25">
      <c r="A6428" s="91"/>
      <c r="B6428" s="90"/>
      <c r="C6428" s="88"/>
      <c r="D6428" s="89"/>
      <c r="E6428" s="90"/>
      <c r="F6428" s="91"/>
      <c r="G6428" s="90"/>
      <c r="H6428" s="92"/>
      <c r="I6428" s="87"/>
      <c r="J6428" s="93"/>
      <c r="K6428" s="92"/>
      <c r="L6428" s="72" t="str">
        <f t="shared" si="100"/>
        <v/>
      </c>
      <c r="N6428" s="15"/>
    </row>
    <row r="6429" spans="1:14" s="14" customFormat="1" ht="18" x14ac:dyDescent="0.25">
      <c r="A6429" s="91"/>
      <c r="B6429" s="90"/>
      <c r="C6429" s="88"/>
      <c r="D6429" s="89"/>
      <c r="E6429" s="90"/>
      <c r="F6429" s="91"/>
      <c r="G6429" s="90"/>
      <c r="H6429" s="92"/>
      <c r="I6429" s="87"/>
      <c r="J6429" s="93"/>
      <c r="K6429" s="92"/>
      <c r="L6429" s="72" t="str">
        <f t="shared" si="100"/>
        <v/>
      </c>
      <c r="N6429" s="15"/>
    </row>
    <row r="6430" spans="1:14" s="14" customFormat="1" ht="18" x14ac:dyDescent="0.25">
      <c r="A6430" s="91"/>
      <c r="B6430" s="90"/>
      <c r="C6430" s="88"/>
      <c r="D6430" s="89"/>
      <c r="E6430" s="90"/>
      <c r="F6430" s="91"/>
      <c r="G6430" s="90"/>
      <c r="H6430" s="92"/>
      <c r="I6430" s="87"/>
      <c r="J6430" s="93"/>
      <c r="K6430" s="92"/>
      <c r="L6430" s="72" t="str">
        <f t="shared" ref="L6430:L6493" si="101">IF(ISBLANK(H6430),"",IF(H6430=K6430,"Payé","Impayé"))</f>
        <v/>
      </c>
      <c r="N6430" s="15"/>
    </row>
    <row r="6431" spans="1:14" s="14" customFormat="1" ht="18" x14ac:dyDescent="0.25">
      <c r="A6431" s="91"/>
      <c r="B6431" s="90"/>
      <c r="C6431" s="88"/>
      <c r="D6431" s="89"/>
      <c r="E6431" s="90"/>
      <c r="F6431" s="91"/>
      <c r="G6431" s="90"/>
      <c r="H6431" s="92"/>
      <c r="I6431" s="87"/>
      <c r="J6431" s="93"/>
      <c r="K6431" s="92"/>
      <c r="L6431" s="72" t="str">
        <f t="shared" si="101"/>
        <v/>
      </c>
      <c r="N6431" s="15"/>
    </row>
    <row r="6432" spans="1:14" s="14" customFormat="1" ht="18" x14ac:dyDescent="0.25">
      <c r="A6432" s="91"/>
      <c r="B6432" s="90"/>
      <c r="C6432" s="88"/>
      <c r="D6432" s="89"/>
      <c r="E6432" s="90"/>
      <c r="F6432" s="91"/>
      <c r="G6432" s="90"/>
      <c r="H6432" s="92"/>
      <c r="I6432" s="87"/>
      <c r="J6432" s="93"/>
      <c r="K6432" s="92"/>
      <c r="L6432" s="72" t="str">
        <f t="shared" si="101"/>
        <v/>
      </c>
      <c r="N6432" s="15"/>
    </row>
    <row r="6433" spans="1:14" s="14" customFormat="1" ht="18" x14ac:dyDescent="0.25">
      <c r="A6433" s="91"/>
      <c r="B6433" s="90"/>
      <c r="C6433" s="88"/>
      <c r="D6433" s="89"/>
      <c r="E6433" s="90"/>
      <c r="F6433" s="91"/>
      <c r="G6433" s="90"/>
      <c r="H6433" s="92"/>
      <c r="I6433" s="87"/>
      <c r="J6433" s="93"/>
      <c r="K6433" s="92"/>
      <c r="L6433" s="72" t="str">
        <f t="shared" si="101"/>
        <v/>
      </c>
      <c r="N6433" s="15"/>
    </row>
    <row r="6434" spans="1:14" s="14" customFormat="1" ht="18" x14ac:dyDescent="0.25">
      <c r="A6434" s="91"/>
      <c r="B6434" s="90"/>
      <c r="C6434" s="88"/>
      <c r="D6434" s="89"/>
      <c r="E6434" s="90"/>
      <c r="F6434" s="91"/>
      <c r="G6434" s="90"/>
      <c r="H6434" s="92"/>
      <c r="I6434" s="87"/>
      <c r="J6434" s="93"/>
      <c r="K6434" s="92"/>
      <c r="L6434" s="72" t="str">
        <f t="shared" si="101"/>
        <v/>
      </c>
      <c r="N6434" s="15"/>
    </row>
    <row r="6435" spans="1:14" s="14" customFormat="1" ht="18" x14ac:dyDescent="0.25">
      <c r="A6435" s="91"/>
      <c r="B6435" s="90"/>
      <c r="C6435" s="88"/>
      <c r="D6435" s="89"/>
      <c r="E6435" s="90"/>
      <c r="F6435" s="91"/>
      <c r="G6435" s="90"/>
      <c r="H6435" s="92"/>
      <c r="I6435" s="87"/>
      <c r="J6435" s="93"/>
      <c r="K6435" s="92"/>
      <c r="L6435" s="72" t="str">
        <f t="shared" si="101"/>
        <v/>
      </c>
      <c r="N6435" s="15"/>
    </row>
    <row r="6436" spans="1:14" s="14" customFormat="1" ht="18" x14ac:dyDescent="0.25">
      <c r="A6436" s="91"/>
      <c r="B6436" s="90"/>
      <c r="C6436" s="88"/>
      <c r="D6436" s="89"/>
      <c r="E6436" s="90"/>
      <c r="F6436" s="91"/>
      <c r="G6436" s="90"/>
      <c r="H6436" s="92"/>
      <c r="I6436" s="87"/>
      <c r="J6436" s="93"/>
      <c r="K6436" s="92"/>
      <c r="L6436" s="72" t="str">
        <f t="shared" si="101"/>
        <v/>
      </c>
      <c r="N6436" s="15"/>
    </row>
    <row r="6437" spans="1:14" s="14" customFormat="1" ht="18" x14ac:dyDescent="0.25">
      <c r="A6437" s="91"/>
      <c r="B6437" s="90"/>
      <c r="C6437" s="88"/>
      <c r="D6437" s="89"/>
      <c r="E6437" s="90"/>
      <c r="F6437" s="91"/>
      <c r="G6437" s="90"/>
      <c r="H6437" s="92"/>
      <c r="I6437" s="87"/>
      <c r="J6437" s="93"/>
      <c r="K6437" s="92"/>
      <c r="L6437" s="72" t="str">
        <f t="shared" si="101"/>
        <v/>
      </c>
      <c r="N6437" s="15"/>
    </row>
    <row r="6438" spans="1:14" s="14" customFormat="1" ht="18" x14ac:dyDescent="0.25">
      <c r="A6438" s="91"/>
      <c r="B6438" s="90"/>
      <c r="C6438" s="88"/>
      <c r="D6438" s="89"/>
      <c r="E6438" s="90"/>
      <c r="F6438" s="91"/>
      <c r="G6438" s="90"/>
      <c r="H6438" s="92"/>
      <c r="I6438" s="87"/>
      <c r="J6438" s="93"/>
      <c r="K6438" s="92"/>
      <c r="L6438" s="72" t="str">
        <f t="shared" si="101"/>
        <v/>
      </c>
      <c r="N6438" s="15"/>
    </row>
    <row r="6439" spans="1:14" s="14" customFormat="1" ht="18" x14ac:dyDescent="0.25">
      <c r="A6439" s="91"/>
      <c r="B6439" s="90"/>
      <c r="C6439" s="88"/>
      <c r="D6439" s="89"/>
      <c r="E6439" s="90"/>
      <c r="F6439" s="91"/>
      <c r="G6439" s="90"/>
      <c r="H6439" s="92"/>
      <c r="I6439" s="87"/>
      <c r="J6439" s="93"/>
      <c r="K6439" s="92"/>
      <c r="L6439" s="72" t="str">
        <f t="shared" si="101"/>
        <v/>
      </c>
      <c r="N6439" s="15"/>
    </row>
    <row r="6440" spans="1:14" s="14" customFormat="1" ht="18" x14ac:dyDescent="0.25">
      <c r="A6440" s="91"/>
      <c r="B6440" s="90"/>
      <c r="C6440" s="88"/>
      <c r="D6440" s="89"/>
      <c r="E6440" s="90"/>
      <c r="F6440" s="91"/>
      <c r="G6440" s="90"/>
      <c r="H6440" s="92"/>
      <c r="I6440" s="87"/>
      <c r="J6440" s="93"/>
      <c r="K6440" s="92"/>
      <c r="L6440" s="72" t="str">
        <f t="shared" si="101"/>
        <v/>
      </c>
      <c r="N6440" s="15"/>
    </row>
    <row r="6441" spans="1:14" s="14" customFormat="1" ht="18" x14ac:dyDescent="0.25">
      <c r="A6441" s="91"/>
      <c r="B6441" s="90"/>
      <c r="C6441" s="88"/>
      <c r="D6441" s="89"/>
      <c r="E6441" s="90"/>
      <c r="F6441" s="91"/>
      <c r="G6441" s="90"/>
      <c r="H6441" s="92"/>
      <c r="I6441" s="87"/>
      <c r="J6441" s="93"/>
      <c r="K6441" s="92"/>
      <c r="L6441" s="72" t="str">
        <f t="shared" si="101"/>
        <v/>
      </c>
      <c r="N6441" s="15"/>
    </row>
    <row r="6442" spans="1:14" s="14" customFormat="1" ht="18" x14ac:dyDescent="0.25">
      <c r="A6442" s="91"/>
      <c r="B6442" s="90"/>
      <c r="C6442" s="88"/>
      <c r="D6442" s="89"/>
      <c r="E6442" s="90"/>
      <c r="F6442" s="91"/>
      <c r="G6442" s="90"/>
      <c r="H6442" s="92"/>
      <c r="I6442" s="87"/>
      <c r="J6442" s="93"/>
      <c r="K6442" s="92"/>
      <c r="L6442" s="72" t="str">
        <f t="shared" si="101"/>
        <v/>
      </c>
      <c r="N6442" s="15"/>
    </row>
    <row r="6443" spans="1:14" s="14" customFormat="1" ht="18" x14ac:dyDescent="0.25">
      <c r="A6443" s="91"/>
      <c r="B6443" s="90"/>
      <c r="C6443" s="88"/>
      <c r="D6443" s="89"/>
      <c r="E6443" s="90"/>
      <c r="F6443" s="91"/>
      <c r="G6443" s="90"/>
      <c r="H6443" s="92"/>
      <c r="I6443" s="87"/>
      <c r="J6443" s="93"/>
      <c r="K6443" s="92"/>
      <c r="L6443" s="72" t="str">
        <f t="shared" si="101"/>
        <v/>
      </c>
      <c r="N6443" s="15"/>
    </row>
    <row r="6444" spans="1:14" s="14" customFormat="1" ht="18" x14ac:dyDescent="0.25">
      <c r="A6444" s="91"/>
      <c r="B6444" s="90"/>
      <c r="C6444" s="88"/>
      <c r="D6444" s="89"/>
      <c r="E6444" s="90"/>
      <c r="F6444" s="91"/>
      <c r="G6444" s="90"/>
      <c r="H6444" s="92"/>
      <c r="I6444" s="87"/>
      <c r="J6444" s="93"/>
      <c r="K6444" s="92"/>
      <c r="L6444" s="72" t="str">
        <f t="shared" si="101"/>
        <v/>
      </c>
      <c r="N6444" s="15"/>
    </row>
    <row r="6445" spans="1:14" s="14" customFormat="1" ht="18" x14ac:dyDescent="0.25">
      <c r="A6445" s="91"/>
      <c r="B6445" s="90"/>
      <c r="C6445" s="88"/>
      <c r="D6445" s="89"/>
      <c r="E6445" s="90"/>
      <c r="F6445" s="91"/>
      <c r="G6445" s="90"/>
      <c r="H6445" s="92"/>
      <c r="I6445" s="87"/>
      <c r="J6445" s="93"/>
      <c r="K6445" s="92"/>
      <c r="L6445" s="72" t="str">
        <f t="shared" si="101"/>
        <v/>
      </c>
      <c r="N6445" s="15"/>
    </row>
    <row r="6446" spans="1:14" s="14" customFormat="1" ht="18" x14ac:dyDescent="0.25">
      <c r="A6446" s="91"/>
      <c r="B6446" s="90"/>
      <c r="C6446" s="88"/>
      <c r="D6446" s="89"/>
      <c r="E6446" s="90"/>
      <c r="F6446" s="91"/>
      <c r="G6446" s="90"/>
      <c r="H6446" s="92"/>
      <c r="I6446" s="87"/>
      <c r="J6446" s="93"/>
      <c r="K6446" s="92"/>
      <c r="L6446" s="72" t="str">
        <f t="shared" si="101"/>
        <v/>
      </c>
      <c r="N6446" s="15"/>
    </row>
    <row r="6447" spans="1:14" s="14" customFormat="1" ht="18" x14ac:dyDescent="0.25">
      <c r="A6447" s="91"/>
      <c r="B6447" s="90"/>
      <c r="C6447" s="88"/>
      <c r="D6447" s="89"/>
      <c r="E6447" s="90"/>
      <c r="F6447" s="91"/>
      <c r="G6447" s="90"/>
      <c r="H6447" s="92"/>
      <c r="I6447" s="87"/>
      <c r="J6447" s="93"/>
      <c r="K6447" s="92"/>
      <c r="L6447" s="72" t="str">
        <f t="shared" si="101"/>
        <v/>
      </c>
      <c r="N6447" s="15"/>
    </row>
    <row r="6448" spans="1:14" s="14" customFormat="1" ht="18" x14ac:dyDescent="0.25">
      <c r="A6448" s="91"/>
      <c r="B6448" s="90"/>
      <c r="C6448" s="88"/>
      <c r="D6448" s="89"/>
      <c r="E6448" s="90"/>
      <c r="F6448" s="91"/>
      <c r="G6448" s="90"/>
      <c r="H6448" s="92"/>
      <c r="I6448" s="87"/>
      <c r="J6448" s="93"/>
      <c r="K6448" s="92"/>
      <c r="L6448" s="72" t="str">
        <f t="shared" si="101"/>
        <v/>
      </c>
      <c r="N6448" s="15"/>
    </row>
    <row r="6449" spans="1:14" s="14" customFormat="1" ht="18" x14ac:dyDescent="0.25">
      <c r="A6449" s="91"/>
      <c r="B6449" s="90"/>
      <c r="C6449" s="88"/>
      <c r="D6449" s="89"/>
      <c r="E6449" s="90"/>
      <c r="F6449" s="91"/>
      <c r="G6449" s="90"/>
      <c r="H6449" s="92"/>
      <c r="I6449" s="87"/>
      <c r="J6449" s="93"/>
      <c r="K6449" s="92"/>
      <c r="L6449" s="72" t="str">
        <f t="shared" si="101"/>
        <v/>
      </c>
      <c r="N6449" s="15"/>
    </row>
    <row r="6450" spans="1:14" s="14" customFormat="1" ht="18" x14ac:dyDescent="0.25">
      <c r="A6450" s="91"/>
      <c r="B6450" s="90"/>
      <c r="C6450" s="88"/>
      <c r="D6450" s="89"/>
      <c r="E6450" s="90"/>
      <c r="F6450" s="91"/>
      <c r="G6450" s="90"/>
      <c r="H6450" s="92"/>
      <c r="I6450" s="87"/>
      <c r="J6450" s="93"/>
      <c r="K6450" s="92"/>
      <c r="L6450" s="72" t="str">
        <f t="shared" si="101"/>
        <v/>
      </c>
      <c r="N6450" s="15"/>
    </row>
    <row r="6451" spans="1:14" s="14" customFormat="1" ht="18" x14ac:dyDescent="0.25">
      <c r="A6451" s="91"/>
      <c r="B6451" s="90"/>
      <c r="C6451" s="88"/>
      <c r="D6451" s="89"/>
      <c r="E6451" s="90"/>
      <c r="F6451" s="91"/>
      <c r="G6451" s="90"/>
      <c r="H6451" s="92"/>
      <c r="I6451" s="87"/>
      <c r="J6451" s="93"/>
      <c r="K6451" s="92"/>
      <c r="L6451" s="72" t="str">
        <f t="shared" si="101"/>
        <v/>
      </c>
      <c r="N6451" s="15"/>
    </row>
    <row r="6452" spans="1:14" s="14" customFormat="1" ht="18" x14ac:dyDescent="0.25">
      <c r="A6452" s="91"/>
      <c r="B6452" s="90"/>
      <c r="C6452" s="88"/>
      <c r="D6452" s="89"/>
      <c r="E6452" s="90"/>
      <c r="F6452" s="91"/>
      <c r="G6452" s="90"/>
      <c r="H6452" s="92"/>
      <c r="I6452" s="87"/>
      <c r="J6452" s="93"/>
      <c r="K6452" s="92"/>
      <c r="L6452" s="72" t="str">
        <f t="shared" si="101"/>
        <v/>
      </c>
      <c r="N6452" s="15"/>
    </row>
    <row r="6453" spans="1:14" s="14" customFormat="1" ht="18" x14ac:dyDescent="0.25">
      <c r="A6453" s="91"/>
      <c r="B6453" s="90"/>
      <c r="C6453" s="88"/>
      <c r="D6453" s="89"/>
      <c r="E6453" s="90"/>
      <c r="F6453" s="91"/>
      <c r="G6453" s="90"/>
      <c r="H6453" s="92"/>
      <c r="I6453" s="87"/>
      <c r="J6453" s="93"/>
      <c r="K6453" s="92"/>
      <c r="L6453" s="72" t="str">
        <f t="shared" si="101"/>
        <v/>
      </c>
      <c r="N6453" s="15"/>
    </row>
    <row r="6454" spans="1:14" s="14" customFormat="1" ht="18" x14ac:dyDescent="0.25">
      <c r="A6454" s="91"/>
      <c r="B6454" s="90"/>
      <c r="C6454" s="88"/>
      <c r="D6454" s="89"/>
      <c r="E6454" s="90"/>
      <c r="F6454" s="91"/>
      <c r="G6454" s="90"/>
      <c r="H6454" s="92"/>
      <c r="I6454" s="87"/>
      <c r="J6454" s="93"/>
      <c r="K6454" s="92"/>
      <c r="L6454" s="72" t="str">
        <f t="shared" si="101"/>
        <v/>
      </c>
      <c r="N6454" s="15"/>
    </row>
    <row r="6455" spans="1:14" s="14" customFormat="1" ht="18" x14ac:dyDescent="0.25">
      <c r="A6455" s="91"/>
      <c r="B6455" s="90"/>
      <c r="C6455" s="88"/>
      <c r="D6455" s="89"/>
      <c r="E6455" s="90"/>
      <c r="F6455" s="91"/>
      <c r="G6455" s="90"/>
      <c r="H6455" s="92"/>
      <c r="I6455" s="87"/>
      <c r="J6455" s="93"/>
      <c r="K6455" s="92"/>
      <c r="L6455" s="72" t="str">
        <f t="shared" si="101"/>
        <v/>
      </c>
      <c r="N6455" s="15"/>
    </row>
    <row r="6456" spans="1:14" s="14" customFormat="1" ht="18" x14ac:dyDescent="0.25">
      <c r="A6456" s="91"/>
      <c r="B6456" s="90"/>
      <c r="C6456" s="88"/>
      <c r="D6456" s="89"/>
      <c r="E6456" s="90"/>
      <c r="F6456" s="91"/>
      <c r="G6456" s="90"/>
      <c r="H6456" s="92"/>
      <c r="I6456" s="87"/>
      <c r="J6456" s="93"/>
      <c r="K6456" s="92"/>
      <c r="L6456" s="72" t="str">
        <f t="shared" si="101"/>
        <v/>
      </c>
      <c r="N6456" s="15"/>
    </row>
    <row r="6457" spans="1:14" s="14" customFormat="1" ht="18" x14ac:dyDescent="0.25">
      <c r="A6457" s="91"/>
      <c r="B6457" s="90"/>
      <c r="C6457" s="88"/>
      <c r="D6457" s="89"/>
      <c r="E6457" s="90"/>
      <c r="F6457" s="91"/>
      <c r="G6457" s="90"/>
      <c r="H6457" s="92"/>
      <c r="I6457" s="87"/>
      <c r="J6457" s="93"/>
      <c r="K6457" s="92"/>
      <c r="L6457" s="72" t="str">
        <f t="shared" si="101"/>
        <v/>
      </c>
      <c r="N6457" s="15"/>
    </row>
    <row r="6458" spans="1:14" s="14" customFormat="1" ht="18" x14ac:dyDescent="0.25">
      <c r="A6458" s="91"/>
      <c r="B6458" s="90"/>
      <c r="C6458" s="88"/>
      <c r="D6458" s="89"/>
      <c r="E6458" s="90"/>
      <c r="F6458" s="91"/>
      <c r="G6458" s="90"/>
      <c r="H6458" s="92"/>
      <c r="I6458" s="87"/>
      <c r="J6458" s="93"/>
      <c r="K6458" s="92"/>
      <c r="L6458" s="72" t="str">
        <f t="shared" si="101"/>
        <v/>
      </c>
      <c r="N6458" s="15"/>
    </row>
    <row r="6459" spans="1:14" s="14" customFormat="1" ht="18" x14ac:dyDescent="0.25">
      <c r="A6459" s="91"/>
      <c r="B6459" s="90"/>
      <c r="C6459" s="88"/>
      <c r="D6459" s="89"/>
      <c r="E6459" s="90"/>
      <c r="F6459" s="91"/>
      <c r="G6459" s="90"/>
      <c r="H6459" s="92"/>
      <c r="I6459" s="87"/>
      <c r="J6459" s="93"/>
      <c r="K6459" s="92"/>
      <c r="L6459" s="72" t="str">
        <f t="shared" si="101"/>
        <v/>
      </c>
      <c r="N6459" s="15"/>
    </row>
    <row r="6460" spans="1:14" s="14" customFormat="1" ht="18" x14ac:dyDescent="0.25">
      <c r="A6460" s="91"/>
      <c r="B6460" s="90"/>
      <c r="C6460" s="88"/>
      <c r="D6460" s="89"/>
      <c r="E6460" s="90"/>
      <c r="F6460" s="91"/>
      <c r="G6460" s="90"/>
      <c r="H6460" s="92"/>
      <c r="I6460" s="87"/>
      <c r="J6460" s="93"/>
      <c r="K6460" s="92"/>
      <c r="L6460" s="72" t="str">
        <f t="shared" si="101"/>
        <v/>
      </c>
      <c r="N6460" s="15"/>
    </row>
    <row r="6461" spans="1:14" s="14" customFormat="1" ht="18" x14ac:dyDescent="0.25">
      <c r="A6461" s="91"/>
      <c r="B6461" s="90"/>
      <c r="C6461" s="88"/>
      <c r="D6461" s="89"/>
      <c r="E6461" s="90"/>
      <c r="F6461" s="91"/>
      <c r="G6461" s="90"/>
      <c r="H6461" s="92"/>
      <c r="I6461" s="87"/>
      <c r="J6461" s="93"/>
      <c r="K6461" s="92"/>
      <c r="L6461" s="72" t="str">
        <f t="shared" si="101"/>
        <v/>
      </c>
      <c r="N6461" s="15"/>
    </row>
    <row r="6462" spans="1:14" s="14" customFormat="1" ht="18" x14ac:dyDescent="0.25">
      <c r="A6462" s="91"/>
      <c r="B6462" s="90"/>
      <c r="C6462" s="88"/>
      <c r="D6462" s="89"/>
      <c r="E6462" s="90"/>
      <c r="F6462" s="91"/>
      <c r="G6462" s="90"/>
      <c r="H6462" s="92"/>
      <c r="I6462" s="87"/>
      <c r="J6462" s="93"/>
      <c r="K6462" s="92"/>
      <c r="L6462" s="72" t="str">
        <f t="shared" si="101"/>
        <v/>
      </c>
      <c r="N6462" s="15"/>
    </row>
    <row r="6463" spans="1:14" s="14" customFormat="1" ht="18" x14ac:dyDescent="0.25">
      <c r="A6463" s="91"/>
      <c r="B6463" s="90"/>
      <c r="C6463" s="88"/>
      <c r="D6463" s="89"/>
      <c r="E6463" s="90"/>
      <c r="F6463" s="91"/>
      <c r="G6463" s="90"/>
      <c r="H6463" s="92"/>
      <c r="I6463" s="87"/>
      <c r="J6463" s="93"/>
      <c r="K6463" s="92"/>
      <c r="L6463" s="72" t="str">
        <f t="shared" si="101"/>
        <v/>
      </c>
      <c r="N6463" s="15"/>
    </row>
    <row r="6464" spans="1:14" s="14" customFormat="1" ht="18" x14ac:dyDescent="0.25">
      <c r="A6464" s="91"/>
      <c r="B6464" s="90"/>
      <c r="C6464" s="88"/>
      <c r="D6464" s="89"/>
      <c r="E6464" s="90"/>
      <c r="F6464" s="91"/>
      <c r="G6464" s="90"/>
      <c r="H6464" s="92"/>
      <c r="I6464" s="87"/>
      <c r="J6464" s="93"/>
      <c r="K6464" s="92"/>
      <c r="L6464" s="72" t="str">
        <f t="shared" si="101"/>
        <v/>
      </c>
      <c r="N6464" s="15"/>
    </row>
    <row r="6465" spans="1:14" s="14" customFormat="1" ht="18" x14ac:dyDescent="0.25">
      <c r="A6465" s="91"/>
      <c r="B6465" s="90"/>
      <c r="C6465" s="88"/>
      <c r="D6465" s="89"/>
      <c r="E6465" s="90"/>
      <c r="F6465" s="91"/>
      <c r="G6465" s="90"/>
      <c r="H6465" s="92"/>
      <c r="I6465" s="87"/>
      <c r="J6465" s="93"/>
      <c r="K6465" s="92"/>
      <c r="L6465" s="72" t="str">
        <f t="shared" si="101"/>
        <v/>
      </c>
      <c r="N6465" s="15"/>
    </row>
    <row r="6466" spans="1:14" s="14" customFormat="1" ht="18" x14ac:dyDescent="0.25">
      <c r="A6466" s="91"/>
      <c r="B6466" s="90"/>
      <c r="C6466" s="88"/>
      <c r="D6466" s="89"/>
      <c r="E6466" s="90"/>
      <c r="F6466" s="91"/>
      <c r="G6466" s="90"/>
      <c r="H6466" s="92"/>
      <c r="I6466" s="87"/>
      <c r="J6466" s="93"/>
      <c r="K6466" s="92"/>
      <c r="L6466" s="72" t="str">
        <f t="shared" si="101"/>
        <v/>
      </c>
      <c r="N6466" s="15"/>
    </row>
    <row r="6467" spans="1:14" s="14" customFormat="1" ht="18" x14ac:dyDescent="0.25">
      <c r="A6467" s="91"/>
      <c r="B6467" s="90"/>
      <c r="C6467" s="88"/>
      <c r="D6467" s="89"/>
      <c r="E6467" s="90"/>
      <c r="F6467" s="91"/>
      <c r="G6467" s="90"/>
      <c r="H6467" s="92"/>
      <c r="I6467" s="87"/>
      <c r="J6467" s="93"/>
      <c r="K6467" s="92"/>
      <c r="L6467" s="72" t="str">
        <f t="shared" si="101"/>
        <v/>
      </c>
      <c r="N6467" s="15"/>
    </row>
    <row r="6468" spans="1:14" s="14" customFormat="1" ht="18" x14ac:dyDescent="0.25">
      <c r="A6468" s="91"/>
      <c r="B6468" s="90"/>
      <c r="C6468" s="88"/>
      <c r="D6468" s="89"/>
      <c r="E6468" s="90"/>
      <c r="F6468" s="91"/>
      <c r="G6468" s="90"/>
      <c r="H6468" s="92"/>
      <c r="I6468" s="87"/>
      <c r="J6468" s="93"/>
      <c r="K6468" s="92"/>
      <c r="L6468" s="72" t="str">
        <f t="shared" si="101"/>
        <v/>
      </c>
      <c r="N6468" s="15"/>
    </row>
    <row r="6469" spans="1:14" s="14" customFormat="1" ht="18" x14ac:dyDescent="0.25">
      <c r="A6469" s="91"/>
      <c r="B6469" s="90"/>
      <c r="C6469" s="88"/>
      <c r="D6469" s="89"/>
      <c r="E6469" s="90"/>
      <c r="F6469" s="91"/>
      <c r="G6469" s="90"/>
      <c r="H6469" s="92"/>
      <c r="I6469" s="87"/>
      <c r="J6469" s="93"/>
      <c r="K6469" s="92"/>
      <c r="L6469" s="72" t="str">
        <f t="shared" si="101"/>
        <v/>
      </c>
      <c r="N6469" s="15"/>
    </row>
    <row r="6470" spans="1:14" s="14" customFormat="1" ht="18" x14ac:dyDescent="0.25">
      <c r="A6470" s="91"/>
      <c r="B6470" s="90"/>
      <c r="C6470" s="88"/>
      <c r="D6470" s="89"/>
      <c r="E6470" s="90"/>
      <c r="F6470" s="91"/>
      <c r="G6470" s="90"/>
      <c r="H6470" s="92"/>
      <c r="I6470" s="87"/>
      <c r="J6470" s="93"/>
      <c r="K6470" s="92"/>
      <c r="L6470" s="72" t="str">
        <f t="shared" si="101"/>
        <v/>
      </c>
      <c r="N6470" s="15"/>
    </row>
    <row r="6471" spans="1:14" s="14" customFormat="1" ht="18" x14ac:dyDescent="0.25">
      <c r="A6471" s="91"/>
      <c r="B6471" s="90"/>
      <c r="C6471" s="88"/>
      <c r="D6471" s="89"/>
      <c r="E6471" s="90"/>
      <c r="F6471" s="91"/>
      <c r="G6471" s="90"/>
      <c r="H6471" s="92"/>
      <c r="I6471" s="87"/>
      <c r="J6471" s="93"/>
      <c r="K6471" s="92"/>
      <c r="L6471" s="72" t="str">
        <f t="shared" si="101"/>
        <v/>
      </c>
      <c r="N6471" s="15"/>
    </row>
    <row r="6472" spans="1:14" s="14" customFormat="1" ht="18" x14ac:dyDescent="0.25">
      <c r="A6472" s="91"/>
      <c r="B6472" s="90"/>
      <c r="C6472" s="88"/>
      <c r="D6472" s="89"/>
      <c r="E6472" s="90"/>
      <c r="F6472" s="91"/>
      <c r="G6472" s="90"/>
      <c r="H6472" s="92"/>
      <c r="I6472" s="87"/>
      <c r="J6472" s="93"/>
      <c r="K6472" s="92"/>
      <c r="L6472" s="72" t="str">
        <f t="shared" si="101"/>
        <v/>
      </c>
      <c r="N6472" s="15"/>
    </row>
    <row r="6473" spans="1:14" s="14" customFormat="1" ht="18" x14ac:dyDescent="0.25">
      <c r="A6473" s="91"/>
      <c r="B6473" s="90"/>
      <c r="C6473" s="88"/>
      <c r="D6473" s="89"/>
      <c r="E6473" s="90"/>
      <c r="F6473" s="91"/>
      <c r="G6473" s="90"/>
      <c r="H6473" s="92"/>
      <c r="I6473" s="87"/>
      <c r="J6473" s="93"/>
      <c r="K6473" s="92"/>
      <c r="L6473" s="72" t="str">
        <f t="shared" si="101"/>
        <v/>
      </c>
      <c r="N6473" s="15"/>
    </row>
    <row r="6474" spans="1:14" s="14" customFormat="1" ht="18" x14ac:dyDescent="0.25">
      <c r="A6474" s="91"/>
      <c r="B6474" s="90"/>
      <c r="C6474" s="88"/>
      <c r="D6474" s="89"/>
      <c r="E6474" s="90"/>
      <c r="F6474" s="91"/>
      <c r="G6474" s="90"/>
      <c r="H6474" s="92"/>
      <c r="I6474" s="87"/>
      <c r="J6474" s="93"/>
      <c r="K6474" s="92"/>
      <c r="L6474" s="72" t="str">
        <f t="shared" si="101"/>
        <v/>
      </c>
      <c r="N6474" s="15"/>
    </row>
    <row r="6475" spans="1:14" s="14" customFormat="1" ht="18" x14ac:dyDescent="0.25">
      <c r="A6475" s="91"/>
      <c r="B6475" s="90"/>
      <c r="C6475" s="88"/>
      <c r="D6475" s="89"/>
      <c r="E6475" s="90"/>
      <c r="F6475" s="91"/>
      <c r="G6475" s="90"/>
      <c r="H6475" s="92"/>
      <c r="I6475" s="87"/>
      <c r="J6475" s="93"/>
      <c r="K6475" s="92"/>
      <c r="L6475" s="72" t="str">
        <f t="shared" si="101"/>
        <v/>
      </c>
      <c r="N6475" s="15"/>
    </row>
    <row r="6476" spans="1:14" s="14" customFormat="1" ht="18" x14ac:dyDescent="0.25">
      <c r="A6476" s="91"/>
      <c r="B6476" s="90"/>
      <c r="C6476" s="88"/>
      <c r="D6476" s="89"/>
      <c r="E6476" s="90"/>
      <c r="F6476" s="91"/>
      <c r="G6476" s="90"/>
      <c r="H6476" s="92"/>
      <c r="I6476" s="87"/>
      <c r="J6476" s="93"/>
      <c r="K6476" s="92"/>
      <c r="L6476" s="72" t="str">
        <f t="shared" si="101"/>
        <v/>
      </c>
      <c r="N6476" s="15"/>
    </row>
    <row r="6477" spans="1:14" s="14" customFormat="1" ht="18" x14ac:dyDescent="0.25">
      <c r="A6477" s="91"/>
      <c r="B6477" s="90"/>
      <c r="C6477" s="88"/>
      <c r="D6477" s="89"/>
      <c r="E6477" s="90"/>
      <c r="F6477" s="91"/>
      <c r="G6477" s="90"/>
      <c r="H6477" s="92"/>
      <c r="I6477" s="87"/>
      <c r="J6477" s="93"/>
      <c r="K6477" s="92"/>
      <c r="L6477" s="72" t="str">
        <f t="shared" si="101"/>
        <v/>
      </c>
      <c r="N6477" s="15"/>
    </row>
    <row r="6478" spans="1:14" s="14" customFormat="1" ht="18" x14ac:dyDescent="0.25">
      <c r="A6478" s="91"/>
      <c r="B6478" s="90"/>
      <c r="C6478" s="88"/>
      <c r="D6478" s="89"/>
      <c r="E6478" s="90"/>
      <c r="F6478" s="91"/>
      <c r="G6478" s="90"/>
      <c r="H6478" s="92"/>
      <c r="I6478" s="87"/>
      <c r="J6478" s="93"/>
      <c r="K6478" s="92"/>
      <c r="L6478" s="72" t="str">
        <f t="shared" si="101"/>
        <v/>
      </c>
      <c r="N6478" s="15"/>
    </row>
    <row r="6479" spans="1:14" s="14" customFormat="1" ht="18" x14ac:dyDescent="0.25">
      <c r="A6479" s="91"/>
      <c r="B6479" s="90"/>
      <c r="C6479" s="88"/>
      <c r="D6479" s="89"/>
      <c r="E6479" s="90"/>
      <c r="F6479" s="91"/>
      <c r="G6479" s="90"/>
      <c r="H6479" s="92"/>
      <c r="I6479" s="87"/>
      <c r="J6479" s="93"/>
      <c r="K6479" s="92"/>
      <c r="L6479" s="72" t="str">
        <f t="shared" si="101"/>
        <v/>
      </c>
      <c r="N6479" s="15"/>
    </row>
    <row r="6480" spans="1:14" s="14" customFormat="1" ht="18" x14ac:dyDescent="0.25">
      <c r="A6480" s="91"/>
      <c r="B6480" s="90"/>
      <c r="C6480" s="88"/>
      <c r="D6480" s="89"/>
      <c r="E6480" s="90"/>
      <c r="F6480" s="91"/>
      <c r="G6480" s="90"/>
      <c r="H6480" s="92"/>
      <c r="I6480" s="87"/>
      <c r="J6480" s="93"/>
      <c r="K6480" s="92"/>
      <c r="L6480" s="72" t="str">
        <f t="shared" si="101"/>
        <v/>
      </c>
      <c r="N6480" s="15"/>
    </row>
    <row r="6481" spans="1:14" s="14" customFormat="1" ht="18" x14ac:dyDescent="0.25">
      <c r="A6481" s="91"/>
      <c r="B6481" s="90"/>
      <c r="C6481" s="88"/>
      <c r="D6481" s="89"/>
      <c r="E6481" s="90"/>
      <c r="F6481" s="91"/>
      <c r="G6481" s="90"/>
      <c r="H6481" s="92"/>
      <c r="I6481" s="87"/>
      <c r="J6481" s="93"/>
      <c r="K6481" s="92"/>
      <c r="L6481" s="72" t="str">
        <f t="shared" si="101"/>
        <v/>
      </c>
      <c r="N6481" s="15"/>
    </row>
    <row r="6482" spans="1:14" s="14" customFormat="1" ht="18" x14ac:dyDescent="0.25">
      <c r="A6482" s="91"/>
      <c r="B6482" s="90"/>
      <c r="C6482" s="88"/>
      <c r="D6482" s="89"/>
      <c r="E6482" s="90"/>
      <c r="F6482" s="91"/>
      <c r="G6482" s="90"/>
      <c r="H6482" s="92"/>
      <c r="I6482" s="87"/>
      <c r="J6482" s="93"/>
      <c r="K6482" s="92"/>
      <c r="L6482" s="72" t="str">
        <f t="shared" si="101"/>
        <v/>
      </c>
      <c r="N6482" s="15"/>
    </row>
    <row r="6483" spans="1:14" s="14" customFormat="1" ht="18" x14ac:dyDescent="0.25">
      <c r="A6483" s="91"/>
      <c r="B6483" s="90"/>
      <c r="C6483" s="88"/>
      <c r="D6483" s="89"/>
      <c r="E6483" s="90"/>
      <c r="F6483" s="91"/>
      <c r="G6483" s="90"/>
      <c r="H6483" s="92"/>
      <c r="I6483" s="87"/>
      <c r="J6483" s="93"/>
      <c r="K6483" s="92"/>
      <c r="L6483" s="72" t="str">
        <f t="shared" si="101"/>
        <v/>
      </c>
      <c r="N6483" s="15"/>
    </row>
    <row r="6484" spans="1:14" s="14" customFormat="1" ht="18" x14ac:dyDescent="0.25">
      <c r="A6484" s="91"/>
      <c r="B6484" s="90"/>
      <c r="C6484" s="88"/>
      <c r="D6484" s="89"/>
      <c r="E6484" s="90"/>
      <c r="F6484" s="91"/>
      <c r="G6484" s="90"/>
      <c r="H6484" s="92"/>
      <c r="I6484" s="87"/>
      <c r="J6484" s="93"/>
      <c r="K6484" s="92"/>
      <c r="L6484" s="72" t="str">
        <f t="shared" si="101"/>
        <v/>
      </c>
      <c r="N6484" s="15"/>
    </row>
    <row r="6485" spans="1:14" s="14" customFormat="1" ht="18" x14ac:dyDescent="0.25">
      <c r="A6485" s="91"/>
      <c r="B6485" s="90"/>
      <c r="C6485" s="88"/>
      <c r="D6485" s="89"/>
      <c r="E6485" s="90"/>
      <c r="F6485" s="91"/>
      <c r="G6485" s="90"/>
      <c r="H6485" s="92"/>
      <c r="I6485" s="87"/>
      <c r="J6485" s="93"/>
      <c r="K6485" s="92"/>
      <c r="L6485" s="72" t="str">
        <f t="shared" si="101"/>
        <v/>
      </c>
      <c r="N6485" s="15"/>
    </row>
    <row r="6486" spans="1:14" s="14" customFormat="1" ht="18" x14ac:dyDescent="0.25">
      <c r="A6486" s="91"/>
      <c r="B6486" s="90"/>
      <c r="C6486" s="88"/>
      <c r="D6486" s="89"/>
      <c r="E6486" s="90"/>
      <c r="F6486" s="91"/>
      <c r="G6486" s="90"/>
      <c r="H6486" s="92"/>
      <c r="I6486" s="87"/>
      <c r="J6486" s="93"/>
      <c r="K6486" s="92"/>
      <c r="L6486" s="72" t="str">
        <f t="shared" si="101"/>
        <v/>
      </c>
      <c r="N6486" s="15"/>
    </row>
    <row r="6487" spans="1:14" s="14" customFormat="1" ht="18" x14ac:dyDescent="0.25">
      <c r="A6487" s="91"/>
      <c r="B6487" s="90"/>
      <c r="C6487" s="88"/>
      <c r="D6487" s="89"/>
      <c r="E6487" s="90"/>
      <c r="F6487" s="91"/>
      <c r="G6487" s="90"/>
      <c r="H6487" s="92"/>
      <c r="I6487" s="87"/>
      <c r="J6487" s="93"/>
      <c r="K6487" s="92"/>
      <c r="L6487" s="72" t="str">
        <f t="shared" si="101"/>
        <v/>
      </c>
      <c r="N6487" s="15"/>
    </row>
    <row r="6488" spans="1:14" s="14" customFormat="1" ht="18" x14ac:dyDescent="0.25">
      <c r="A6488" s="91"/>
      <c r="B6488" s="90"/>
      <c r="C6488" s="88"/>
      <c r="D6488" s="89"/>
      <c r="E6488" s="90"/>
      <c r="F6488" s="91"/>
      <c r="G6488" s="90"/>
      <c r="H6488" s="92"/>
      <c r="I6488" s="87"/>
      <c r="J6488" s="93"/>
      <c r="K6488" s="92"/>
      <c r="L6488" s="72" t="str">
        <f t="shared" si="101"/>
        <v/>
      </c>
      <c r="N6488" s="15"/>
    </row>
    <row r="6489" spans="1:14" s="14" customFormat="1" ht="18" x14ac:dyDescent="0.25">
      <c r="A6489" s="91"/>
      <c r="B6489" s="90"/>
      <c r="C6489" s="88"/>
      <c r="D6489" s="89"/>
      <c r="E6489" s="90"/>
      <c r="F6489" s="91"/>
      <c r="G6489" s="90"/>
      <c r="H6489" s="92"/>
      <c r="I6489" s="87"/>
      <c r="J6489" s="93"/>
      <c r="K6489" s="92"/>
      <c r="L6489" s="72" t="str">
        <f t="shared" si="101"/>
        <v/>
      </c>
      <c r="N6489" s="15"/>
    </row>
    <row r="6490" spans="1:14" s="14" customFormat="1" ht="18" x14ac:dyDescent="0.25">
      <c r="A6490" s="91"/>
      <c r="B6490" s="90"/>
      <c r="C6490" s="88"/>
      <c r="D6490" s="89"/>
      <c r="E6490" s="90"/>
      <c r="F6490" s="91"/>
      <c r="G6490" s="90"/>
      <c r="H6490" s="92"/>
      <c r="I6490" s="87"/>
      <c r="J6490" s="93"/>
      <c r="K6490" s="92"/>
      <c r="L6490" s="72" t="str">
        <f t="shared" si="101"/>
        <v/>
      </c>
      <c r="N6490" s="15"/>
    </row>
    <row r="6491" spans="1:14" s="14" customFormat="1" ht="18" x14ac:dyDescent="0.25">
      <c r="A6491" s="91"/>
      <c r="B6491" s="90"/>
      <c r="C6491" s="88"/>
      <c r="D6491" s="89"/>
      <c r="E6491" s="90"/>
      <c r="F6491" s="91"/>
      <c r="G6491" s="90"/>
      <c r="H6491" s="92"/>
      <c r="I6491" s="87"/>
      <c r="J6491" s="93"/>
      <c r="K6491" s="92"/>
      <c r="L6491" s="72" t="str">
        <f t="shared" si="101"/>
        <v/>
      </c>
      <c r="N6491" s="15"/>
    </row>
    <row r="6492" spans="1:14" s="14" customFormat="1" ht="18" x14ac:dyDescent="0.25">
      <c r="A6492" s="91"/>
      <c r="B6492" s="90"/>
      <c r="C6492" s="88"/>
      <c r="D6492" s="89"/>
      <c r="E6492" s="90"/>
      <c r="F6492" s="91"/>
      <c r="G6492" s="90"/>
      <c r="H6492" s="92"/>
      <c r="I6492" s="87"/>
      <c r="J6492" s="93"/>
      <c r="K6492" s="92"/>
      <c r="L6492" s="72" t="str">
        <f t="shared" si="101"/>
        <v/>
      </c>
      <c r="N6492" s="15"/>
    </row>
    <row r="6493" spans="1:14" s="14" customFormat="1" ht="18" x14ac:dyDescent="0.25">
      <c r="A6493" s="91"/>
      <c r="B6493" s="90"/>
      <c r="C6493" s="88"/>
      <c r="D6493" s="89"/>
      <c r="E6493" s="90"/>
      <c r="F6493" s="91"/>
      <c r="G6493" s="90"/>
      <c r="H6493" s="92"/>
      <c r="I6493" s="87"/>
      <c r="J6493" s="93"/>
      <c r="K6493" s="92"/>
      <c r="L6493" s="72" t="str">
        <f t="shared" si="101"/>
        <v/>
      </c>
      <c r="N6493" s="15"/>
    </row>
    <row r="6494" spans="1:14" s="14" customFormat="1" ht="18" x14ac:dyDescent="0.25">
      <c r="A6494" s="91"/>
      <c r="B6494" s="90"/>
      <c r="C6494" s="88"/>
      <c r="D6494" s="89"/>
      <c r="E6494" s="90"/>
      <c r="F6494" s="91"/>
      <c r="G6494" s="90"/>
      <c r="H6494" s="92"/>
      <c r="I6494" s="87"/>
      <c r="J6494" s="93"/>
      <c r="K6494" s="92"/>
      <c r="L6494" s="72" t="str">
        <f t="shared" ref="L6494:L6557" si="102">IF(ISBLANK(H6494),"",IF(H6494=K6494,"Payé","Impayé"))</f>
        <v/>
      </c>
      <c r="N6494" s="15"/>
    </row>
    <row r="6495" spans="1:14" s="14" customFormat="1" ht="18" x14ac:dyDescent="0.25">
      <c r="A6495" s="91"/>
      <c r="B6495" s="90"/>
      <c r="C6495" s="88"/>
      <c r="D6495" s="89"/>
      <c r="E6495" s="90"/>
      <c r="F6495" s="91"/>
      <c r="G6495" s="90"/>
      <c r="H6495" s="92"/>
      <c r="I6495" s="87"/>
      <c r="J6495" s="93"/>
      <c r="K6495" s="92"/>
      <c r="L6495" s="72" t="str">
        <f t="shared" si="102"/>
        <v/>
      </c>
      <c r="N6495" s="15"/>
    </row>
    <row r="6496" spans="1:14" s="14" customFormat="1" ht="18" x14ac:dyDescent="0.25">
      <c r="A6496" s="91"/>
      <c r="B6496" s="90"/>
      <c r="C6496" s="88"/>
      <c r="D6496" s="89"/>
      <c r="E6496" s="90"/>
      <c r="F6496" s="91"/>
      <c r="G6496" s="90"/>
      <c r="H6496" s="92"/>
      <c r="I6496" s="87"/>
      <c r="J6496" s="93"/>
      <c r="K6496" s="92"/>
      <c r="L6496" s="72" t="str">
        <f t="shared" si="102"/>
        <v/>
      </c>
      <c r="N6496" s="15"/>
    </row>
    <row r="6497" spans="1:14" s="14" customFormat="1" ht="18" x14ac:dyDescent="0.25">
      <c r="A6497" s="91"/>
      <c r="B6497" s="90"/>
      <c r="C6497" s="88"/>
      <c r="D6497" s="89"/>
      <c r="E6497" s="90"/>
      <c r="F6497" s="91"/>
      <c r="G6497" s="90"/>
      <c r="H6497" s="92"/>
      <c r="I6497" s="87"/>
      <c r="J6497" s="93"/>
      <c r="K6497" s="92"/>
      <c r="L6497" s="72" t="str">
        <f t="shared" si="102"/>
        <v/>
      </c>
      <c r="N6497" s="15"/>
    </row>
    <row r="6498" spans="1:14" s="14" customFormat="1" ht="18" x14ac:dyDescent="0.25">
      <c r="A6498" s="91"/>
      <c r="B6498" s="90"/>
      <c r="C6498" s="88"/>
      <c r="D6498" s="89"/>
      <c r="E6498" s="90"/>
      <c r="F6498" s="91"/>
      <c r="G6498" s="90"/>
      <c r="H6498" s="92"/>
      <c r="I6498" s="87"/>
      <c r="J6498" s="93"/>
      <c r="K6498" s="92"/>
      <c r="L6498" s="72" t="str">
        <f t="shared" si="102"/>
        <v/>
      </c>
      <c r="N6498" s="15"/>
    </row>
    <row r="6499" spans="1:14" s="14" customFormat="1" ht="18" x14ac:dyDescent="0.25">
      <c r="A6499" s="91"/>
      <c r="B6499" s="90"/>
      <c r="C6499" s="88"/>
      <c r="D6499" s="89"/>
      <c r="E6499" s="90"/>
      <c r="F6499" s="91"/>
      <c r="G6499" s="90"/>
      <c r="H6499" s="92"/>
      <c r="I6499" s="87"/>
      <c r="J6499" s="93"/>
      <c r="K6499" s="92"/>
      <c r="L6499" s="72" t="str">
        <f t="shared" si="102"/>
        <v/>
      </c>
      <c r="N6499" s="15"/>
    </row>
    <row r="6500" spans="1:14" s="14" customFormat="1" ht="18" x14ac:dyDescent="0.25">
      <c r="A6500" s="91"/>
      <c r="B6500" s="90"/>
      <c r="C6500" s="88"/>
      <c r="D6500" s="89"/>
      <c r="E6500" s="90"/>
      <c r="F6500" s="91"/>
      <c r="G6500" s="90"/>
      <c r="H6500" s="92"/>
      <c r="I6500" s="87"/>
      <c r="J6500" s="93"/>
      <c r="K6500" s="92"/>
      <c r="L6500" s="72" t="str">
        <f t="shared" si="102"/>
        <v/>
      </c>
      <c r="N6500" s="15"/>
    </row>
    <row r="6501" spans="1:14" s="14" customFormat="1" ht="18" x14ac:dyDescent="0.25">
      <c r="A6501" s="91"/>
      <c r="B6501" s="90"/>
      <c r="C6501" s="88"/>
      <c r="D6501" s="89"/>
      <c r="E6501" s="90"/>
      <c r="F6501" s="91"/>
      <c r="G6501" s="90"/>
      <c r="H6501" s="92"/>
      <c r="I6501" s="87"/>
      <c r="J6501" s="93"/>
      <c r="K6501" s="92"/>
      <c r="L6501" s="72" t="str">
        <f t="shared" si="102"/>
        <v/>
      </c>
      <c r="N6501" s="15"/>
    </row>
    <row r="6502" spans="1:14" s="14" customFormat="1" ht="18" x14ac:dyDescent="0.25">
      <c r="A6502" s="91"/>
      <c r="B6502" s="90"/>
      <c r="C6502" s="88"/>
      <c r="D6502" s="89"/>
      <c r="E6502" s="90"/>
      <c r="F6502" s="91"/>
      <c r="G6502" s="90"/>
      <c r="H6502" s="92"/>
      <c r="I6502" s="87"/>
      <c r="J6502" s="93"/>
      <c r="K6502" s="92"/>
      <c r="L6502" s="72" t="str">
        <f t="shared" si="102"/>
        <v/>
      </c>
      <c r="N6502" s="15"/>
    </row>
    <row r="6503" spans="1:14" s="14" customFormat="1" ht="18" x14ac:dyDescent="0.25">
      <c r="A6503" s="91"/>
      <c r="B6503" s="90"/>
      <c r="C6503" s="88"/>
      <c r="D6503" s="89"/>
      <c r="E6503" s="90"/>
      <c r="F6503" s="91"/>
      <c r="G6503" s="90"/>
      <c r="H6503" s="92"/>
      <c r="I6503" s="87"/>
      <c r="J6503" s="93"/>
      <c r="K6503" s="92"/>
      <c r="L6503" s="72" t="str">
        <f t="shared" si="102"/>
        <v/>
      </c>
      <c r="N6503" s="15"/>
    </row>
    <row r="6504" spans="1:14" s="14" customFormat="1" ht="18" x14ac:dyDescent="0.25">
      <c r="A6504" s="91"/>
      <c r="B6504" s="90"/>
      <c r="C6504" s="88"/>
      <c r="D6504" s="89"/>
      <c r="E6504" s="90"/>
      <c r="F6504" s="91"/>
      <c r="G6504" s="90"/>
      <c r="H6504" s="92"/>
      <c r="I6504" s="87"/>
      <c r="J6504" s="93"/>
      <c r="K6504" s="92"/>
      <c r="L6504" s="72" t="str">
        <f t="shared" si="102"/>
        <v/>
      </c>
      <c r="N6504" s="15"/>
    </row>
    <row r="6505" spans="1:14" s="14" customFormat="1" ht="18" x14ac:dyDescent="0.25">
      <c r="A6505" s="91"/>
      <c r="B6505" s="90"/>
      <c r="C6505" s="88"/>
      <c r="D6505" s="89"/>
      <c r="E6505" s="90"/>
      <c r="F6505" s="91"/>
      <c r="G6505" s="90"/>
      <c r="H6505" s="92"/>
      <c r="I6505" s="87"/>
      <c r="J6505" s="93"/>
      <c r="K6505" s="92"/>
      <c r="L6505" s="72" t="str">
        <f t="shared" si="102"/>
        <v/>
      </c>
      <c r="N6505" s="15"/>
    </row>
    <row r="6506" spans="1:14" s="14" customFormat="1" ht="18" x14ac:dyDescent="0.25">
      <c r="A6506" s="91"/>
      <c r="B6506" s="90"/>
      <c r="C6506" s="88"/>
      <c r="D6506" s="89"/>
      <c r="E6506" s="90"/>
      <c r="F6506" s="91"/>
      <c r="G6506" s="90"/>
      <c r="H6506" s="92"/>
      <c r="I6506" s="87"/>
      <c r="J6506" s="93"/>
      <c r="K6506" s="92"/>
      <c r="L6506" s="72" t="str">
        <f t="shared" si="102"/>
        <v/>
      </c>
      <c r="N6506" s="15"/>
    </row>
    <row r="6507" spans="1:14" s="14" customFormat="1" ht="18" x14ac:dyDescent="0.25">
      <c r="A6507" s="91"/>
      <c r="B6507" s="90"/>
      <c r="C6507" s="88"/>
      <c r="D6507" s="89"/>
      <c r="E6507" s="90"/>
      <c r="F6507" s="91"/>
      <c r="G6507" s="90"/>
      <c r="H6507" s="92"/>
      <c r="I6507" s="87"/>
      <c r="J6507" s="93"/>
      <c r="K6507" s="92"/>
      <c r="L6507" s="72" t="str">
        <f t="shared" si="102"/>
        <v/>
      </c>
      <c r="N6507" s="15"/>
    </row>
    <row r="6508" spans="1:14" s="14" customFormat="1" ht="18" x14ac:dyDescent="0.25">
      <c r="A6508" s="91"/>
      <c r="B6508" s="90"/>
      <c r="C6508" s="88"/>
      <c r="D6508" s="89"/>
      <c r="E6508" s="90"/>
      <c r="F6508" s="91"/>
      <c r="G6508" s="90"/>
      <c r="H6508" s="92"/>
      <c r="I6508" s="87"/>
      <c r="J6508" s="93"/>
      <c r="K6508" s="92"/>
      <c r="L6508" s="72" t="str">
        <f t="shared" si="102"/>
        <v/>
      </c>
      <c r="N6508" s="15"/>
    </row>
    <row r="6509" spans="1:14" s="14" customFormat="1" ht="18" x14ac:dyDescent="0.25">
      <c r="A6509" s="91"/>
      <c r="B6509" s="90"/>
      <c r="C6509" s="88"/>
      <c r="D6509" s="89"/>
      <c r="E6509" s="90"/>
      <c r="F6509" s="91"/>
      <c r="G6509" s="90"/>
      <c r="H6509" s="92"/>
      <c r="I6509" s="87"/>
      <c r="J6509" s="93"/>
      <c r="K6509" s="92"/>
      <c r="L6509" s="72" t="str">
        <f t="shared" si="102"/>
        <v/>
      </c>
      <c r="N6509" s="15"/>
    </row>
    <row r="6510" spans="1:14" s="14" customFormat="1" ht="18" x14ac:dyDescent="0.25">
      <c r="A6510" s="91"/>
      <c r="B6510" s="90"/>
      <c r="C6510" s="88"/>
      <c r="D6510" s="89"/>
      <c r="E6510" s="90"/>
      <c r="F6510" s="91"/>
      <c r="G6510" s="90"/>
      <c r="H6510" s="92"/>
      <c r="I6510" s="87"/>
      <c r="J6510" s="93"/>
      <c r="K6510" s="92"/>
      <c r="L6510" s="72" t="str">
        <f t="shared" si="102"/>
        <v/>
      </c>
      <c r="N6510" s="15"/>
    </row>
    <row r="6511" spans="1:14" s="14" customFormat="1" ht="18" x14ac:dyDescent="0.25">
      <c r="A6511" s="91"/>
      <c r="B6511" s="90"/>
      <c r="C6511" s="88"/>
      <c r="D6511" s="89"/>
      <c r="E6511" s="90"/>
      <c r="F6511" s="91"/>
      <c r="G6511" s="90"/>
      <c r="H6511" s="92"/>
      <c r="I6511" s="87"/>
      <c r="J6511" s="93"/>
      <c r="K6511" s="92"/>
      <c r="L6511" s="72" t="str">
        <f t="shared" si="102"/>
        <v/>
      </c>
      <c r="N6511" s="15"/>
    </row>
    <row r="6512" spans="1:14" s="14" customFormat="1" ht="18" x14ac:dyDescent="0.25">
      <c r="A6512" s="91"/>
      <c r="B6512" s="90"/>
      <c r="C6512" s="88"/>
      <c r="D6512" s="89"/>
      <c r="E6512" s="90"/>
      <c r="F6512" s="91"/>
      <c r="G6512" s="90"/>
      <c r="H6512" s="92"/>
      <c r="I6512" s="87"/>
      <c r="J6512" s="93"/>
      <c r="K6512" s="92"/>
      <c r="L6512" s="72" t="str">
        <f t="shared" si="102"/>
        <v/>
      </c>
      <c r="N6512" s="15"/>
    </row>
    <row r="6513" spans="1:14" s="14" customFormat="1" ht="18" x14ac:dyDescent="0.25">
      <c r="A6513" s="91"/>
      <c r="B6513" s="90"/>
      <c r="C6513" s="88"/>
      <c r="D6513" s="89"/>
      <c r="E6513" s="90"/>
      <c r="F6513" s="91"/>
      <c r="G6513" s="90"/>
      <c r="H6513" s="92"/>
      <c r="I6513" s="87"/>
      <c r="J6513" s="93"/>
      <c r="K6513" s="92"/>
      <c r="L6513" s="72" t="str">
        <f t="shared" si="102"/>
        <v/>
      </c>
      <c r="N6513" s="15"/>
    </row>
    <row r="6514" spans="1:14" s="14" customFormat="1" ht="18" x14ac:dyDescent="0.25">
      <c r="A6514" s="91"/>
      <c r="B6514" s="90"/>
      <c r="C6514" s="88"/>
      <c r="D6514" s="89"/>
      <c r="E6514" s="90"/>
      <c r="F6514" s="91"/>
      <c r="G6514" s="90"/>
      <c r="H6514" s="92"/>
      <c r="I6514" s="87"/>
      <c r="J6514" s="93"/>
      <c r="K6514" s="92"/>
      <c r="L6514" s="72" t="str">
        <f t="shared" si="102"/>
        <v/>
      </c>
      <c r="N6514" s="15"/>
    </row>
    <row r="6515" spans="1:14" s="14" customFormat="1" ht="18" x14ac:dyDescent="0.25">
      <c r="A6515" s="91"/>
      <c r="B6515" s="90"/>
      <c r="C6515" s="88"/>
      <c r="D6515" s="89"/>
      <c r="E6515" s="90"/>
      <c r="F6515" s="91"/>
      <c r="G6515" s="90"/>
      <c r="H6515" s="92"/>
      <c r="I6515" s="87"/>
      <c r="J6515" s="93"/>
      <c r="K6515" s="92"/>
      <c r="L6515" s="72" t="str">
        <f t="shared" si="102"/>
        <v/>
      </c>
      <c r="N6515" s="15"/>
    </row>
    <row r="6516" spans="1:14" s="14" customFormat="1" ht="18" x14ac:dyDescent="0.25">
      <c r="A6516" s="91"/>
      <c r="B6516" s="90"/>
      <c r="C6516" s="88"/>
      <c r="D6516" s="89"/>
      <c r="E6516" s="90"/>
      <c r="F6516" s="91"/>
      <c r="G6516" s="90"/>
      <c r="H6516" s="92"/>
      <c r="I6516" s="87"/>
      <c r="J6516" s="93"/>
      <c r="K6516" s="92"/>
      <c r="L6516" s="72" t="str">
        <f t="shared" si="102"/>
        <v/>
      </c>
      <c r="N6516" s="15"/>
    </row>
    <row r="6517" spans="1:14" s="14" customFormat="1" ht="18" x14ac:dyDescent="0.25">
      <c r="A6517" s="91"/>
      <c r="B6517" s="90"/>
      <c r="C6517" s="88"/>
      <c r="D6517" s="89"/>
      <c r="E6517" s="90"/>
      <c r="F6517" s="91"/>
      <c r="G6517" s="90"/>
      <c r="H6517" s="92"/>
      <c r="I6517" s="87"/>
      <c r="J6517" s="93"/>
      <c r="K6517" s="92"/>
      <c r="L6517" s="72" t="str">
        <f t="shared" si="102"/>
        <v/>
      </c>
      <c r="N6517" s="15"/>
    </row>
    <row r="6518" spans="1:14" s="14" customFormat="1" ht="18" x14ac:dyDescent="0.25">
      <c r="A6518" s="91"/>
      <c r="B6518" s="90"/>
      <c r="C6518" s="88"/>
      <c r="D6518" s="89"/>
      <c r="E6518" s="90"/>
      <c r="F6518" s="91"/>
      <c r="G6518" s="90"/>
      <c r="H6518" s="92"/>
      <c r="I6518" s="87"/>
      <c r="J6518" s="93"/>
      <c r="K6518" s="92"/>
      <c r="L6518" s="72" t="str">
        <f t="shared" si="102"/>
        <v/>
      </c>
      <c r="N6518" s="15"/>
    </row>
    <row r="6519" spans="1:14" s="14" customFormat="1" ht="18" x14ac:dyDescent="0.25">
      <c r="A6519" s="91"/>
      <c r="B6519" s="90"/>
      <c r="C6519" s="88"/>
      <c r="D6519" s="89"/>
      <c r="E6519" s="90"/>
      <c r="F6519" s="91"/>
      <c r="G6519" s="90"/>
      <c r="H6519" s="92"/>
      <c r="I6519" s="87"/>
      <c r="J6519" s="93"/>
      <c r="K6519" s="92"/>
      <c r="L6519" s="72" t="str">
        <f t="shared" si="102"/>
        <v/>
      </c>
      <c r="N6519" s="15"/>
    </row>
    <row r="6520" spans="1:14" s="14" customFormat="1" ht="18" x14ac:dyDescent="0.25">
      <c r="A6520" s="91"/>
      <c r="B6520" s="90"/>
      <c r="C6520" s="88"/>
      <c r="D6520" s="89"/>
      <c r="E6520" s="90"/>
      <c r="F6520" s="91"/>
      <c r="G6520" s="90"/>
      <c r="H6520" s="92"/>
      <c r="I6520" s="87"/>
      <c r="J6520" s="93"/>
      <c r="K6520" s="92"/>
      <c r="L6520" s="72" t="str">
        <f t="shared" si="102"/>
        <v/>
      </c>
      <c r="N6520" s="15"/>
    </row>
    <row r="6521" spans="1:14" s="14" customFormat="1" ht="18" x14ac:dyDescent="0.25">
      <c r="A6521" s="91"/>
      <c r="B6521" s="90"/>
      <c r="C6521" s="88"/>
      <c r="D6521" s="89"/>
      <c r="E6521" s="90"/>
      <c r="F6521" s="91"/>
      <c r="G6521" s="90"/>
      <c r="H6521" s="92"/>
      <c r="I6521" s="87"/>
      <c r="J6521" s="93"/>
      <c r="K6521" s="92"/>
      <c r="L6521" s="72" t="str">
        <f t="shared" si="102"/>
        <v/>
      </c>
      <c r="N6521" s="15"/>
    </row>
    <row r="6522" spans="1:14" s="14" customFormat="1" ht="18" x14ac:dyDescent="0.25">
      <c r="A6522" s="91"/>
      <c r="B6522" s="90"/>
      <c r="C6522" s="88"/>
      <c r="D6522" s="89"/>
      <c r="E6522" s="90"/>
      <c r="F6522" s="91"/>
      <c r="G6522" s="90"/>
      <c r="H6522" s="92"/>
      <c r="I6522" s="87"/>
      <c r="J6522" s="93"/>
      <c r="K6522" s="92"/>
      <c r="L6522" s="72" t="str">
        <f t="shared" si="102"/>
        <v/>
      </c>
      <c r="N6522" s="15"/>
    </row>
    <row r="6523" spans="1:14" s="14" customFormat="1" ht="18" x14ac:dyDescent="0.25">
      <c r="A6523" s="91"/>
      <c r="B6523" s="90"/>
      <c r="C6523" s="88"/>
      <c r="D6523" s="89"/>
      <c r="E6523" s="90"/>
      <c r="F6523" s="91"/>
      <c r="G6523" s="90"/>
      <c r="H6523" s="92"/>
      <c r="I6523" s="87"/>
      <c r="J6523" s="93"/>
      <c r="K6523" s="92"/>
      <c r="L6523" s="72" t="str">
        <f t="shared" si="102"/>
        <v/>
      </c>
      <c r="N6523" s="15"/>
    </row>
    <row r="6524" spans="1:14" s="14" customFormat="1" ht="18" x14ac:dyDescent="0.25">
      <c r="A6524" s="91"/>
      <c r="B6524" s="90"/>
      <c r="C6524" s="88"/>
      <c r="D6524" s="89"/>
      <c r="E6524" s="90"/>
      <c r="F6524" s="91"/>
      <c r="G6524" s="90"/>
      <c r="H6524" s="92"/>
      <c r="I6524" s="87"/>
      <c r="J6524" s="93"/>
      <c r="K6524" s="92"/>
      <c r="L6524" s="72" t="str">
        <f t="shared" si="102"/>
        <v/>
      </c>
      <c r="N6524" s="15"/>
    </row>
    <row r="6525" spans="1:14" s="14" customFormat="1" ht="18" x14ac:dyDescent="0.25">
      <c r="A6525" s="91"/>
      <c r="B6525" s="90"/>
      <c r="C6525" s="88"/>
      <c r="D6525" s="89"/>
      <c r="E6525" s="90"/>
      <c r="F6525" s="91"/>
      <c r="G6525" s="90"/>
      <c r="H6525" s="92"/>
      <c r="I6525" s="87"/>
      <c r="J6525" s="93"/>
      <c r="K6525" s="92"/>
      <c r="L6525" s="72" t="str">
        <f t="shared" si="102"/>
        <v/>
      </c>
      <c r="N6525" s="15"/>
    </row>
    <row r="6526" spans="1:14" s="14" customFormat="1" ht="18" x14ac:dyDescent="0.25">
      <c r="A6526" s="91"/>
      <c r="B6526" s="90"/>
      <c r="C6526" s="88"/>
      <c r="D6526" s="89"/>
      <c r="E6526" s="90"/>
      <c r="F6526" s="91"/>
      <c r="G6526" s="90"/>
      <c r="H6526" s="92"/>
      <c r="I6526" s="87"/>
      <c r="J6526" s="93"/>
      <c r="K6526" s="92"/>
      <c r="L6526" s="72" t="str">
        <f t="shared" si="102"/>
        <v/>
      </c>
      <c r="N6526" s="15"/>
    </row>
    <row r="6527" spans="1:14" s="14" customFormat="1" ht="18" x14ac:dyDescent="0.25">
      <c r="A6527" s="91"/>
      <c r="B6527" s="90"/>
      <c r="C6527" s="88"/>
      <c r="D6527" s="89"/>
      <c r="E6527" s="90"/>
      <c r="F6527" s="91"/>
      <c r="G6527" s="90"/>
      <c r="H6527" s="92"/>
      <c r="I6527" s="87"/>
      <c r="J6527" s="93"/>
      <c r="K6527" s="92"/>
      <c r="L6527" s="72" t="str">
        <f t="shared" si="102"/>
        <v/>
      </c>
      <c r="N6527" s="15"/>
    </row>
    <row r="6528" spans="1:14" s="14" customFormat="1" ht="18" x14ac:dyDescent="0.25">
      <c r="A6528" s="91"/>
      <c r="B6528" s="90"/>
      <c r="C6528" s="88"/>
      <c r="D6528" s="89"/>
      <c r="E6528" s="90"/>
      <c r="F6528" s="91"/>
      <c r="G6528" s="90"/>
      <c r="H6528" s="92"/>
      <c r="I6528" s="87"/>
      <c r="J6528" s="93"/>
      <c r="K6528" s="92"/>
      <c r="L6528" s="72" t="str">
        <f t="shared" si="102"/>
        <v/>
      </c>
      <c r="N6528" s="15"/>
    </row>
    <row r="6529" spans="1:14" s="14" customFormat="1" ht="18" x14ac:dyDescent="0.25">
      <c r="A6529" s="91"/>
      <c r="B6529" s="90"/>
      <c r="C6529" s="88"/>
      <c r="D6529" s="89"/>
      <c r="E6529" s="90"/>
      <c r="F6529" s="91"/>
      <c r="G6529" s="90"/>
      <c r="H6529" s="92"/>
      <c r="I6529" s="87"/>
      <c r="J6529" s="93"/>
      <c r="K6529" s="92"/>
      <c r="L6529" s="72" t="str">
        <f t="shared" si="102"/>
        <v/>
      </c>
      <c r="N6529" s="15"/>
    </row>
    <row r="6530" spans="1:14" s="14" customFormat="1" ht="18" x14ac:dyDescent="0.25">
      <c r="A6530" s="91"/>
      <c r="B6530" s="90"/>
      <c r="C6530" s="88"/>
      <c r="D6530" s="89"/>
      <c r="E6530" s="90"/>
      <c r="F6530" s="91"/>
      <c r="G6530" s="90"/>
      <c r="H6530" s="92"/>
      <c r="I6530" s="87"/>
      <c r="J6530" s="93"/>
      <c r="K6530" s="92"/>
      <c r="L6530" s="72" t="str">
        <f t="shared" si="102"/>
        <v/>
      </c>
      <c r="N6530" s="15"/>
    </row>
    <row r="6531" spans="1:14" s="14" customFormat="1" ht="18" x14ac:dyDescent="0.25">
      <c r="A6531" s="91"/>
      <c r="B6531" s="90"/>
      <c r="C6531" s="88"/>
      <c r="D6531" s="89"/>
      <c r="E6531" s="90"/>
      <c r="F6531" s="91"/>
      <c r="G6531" s="90"/>
      <c r="H6531" s="92"/>
      <c r="I6531" s="87"/>
      <c r="J6531" s="93"/>
      <c r="K6531" s="92"/>
      <c r="L6531" s="72" t="str">
        <f t="shared" si="102"/>
        <v/>
      </c>
      <c r="N6531" s="15"/>
    </row>
    <row r="6532" spans="1:14" s="14" customFormat="1" ht="18" x14ac:dyDescent="0.25">
      <c r="A6532" s="91"/>
      <c r="B6532" s="90"/>
      <c r="C6532" s="88"/>
      <c r="D6532" s="89"/>
      <c r="E6532" s="90"/>
      <c r="F6532" s="91"/>
      <c r="G6532" s="90"/>
      <c r="H6532" s="92"/>
      <c r="I6532" s="87"/>
      <c r="J6532" s="93"/>
      <c r="K6532" s="92"/>
      <c r="L6532" s="72" t="str">
        <f t="shared" si="102"/>
        <v/>
      </c>
      <c r="N6532" s="15"/>
    </row>
    <row r="6533" spans="1:14" s="14" customFormat="1" ht="18" x14ac:dyDescent="0.25">
      <c r="A6533" s="91"/>
      <c r="B6533" s="90"/>
      <c r="C6533" s="88"/>
      <c r="D6533" s="89"/>
      <c r="E6533" s="90"/>
      <c r="F6533" s="91"/>
      <c r="G6533" s="90"/>
      <c r="H6533" s="92"/>
      <c r="I6533" s="87"/>
      <c r="J6533" s="93"/>
      <c r="K6533" s="92"/>
      <c r="L6533" s="72" t="str">
        <f t="shared" si="102"/>
        <v/>
      </c>
      <c r="N6533" s="15"/>
    </row>
    <row r="6534" spans="1:14" s="14" customFormat="1" ht="18" x14ac:dyDescent="0.25">
      <c r="A6534" s="91"/>
      <c r="B6534" s="90"/>
      <c r="C6534" s="88"/>
      <c r="D6534" s="89"/>
      <c r="E6534" s="90"/>
      <c r="F6534" s="91"/>
      <c r="G6534" s="90"/>
      <c r="H6534" s="92"/>
      <c r="I6534" s="87"/>
      <c r="J6534" s="93"/>
      <c r="K6534" s="92"/>
      <c r="L6534" s="72" t="str">
        <f t="shared" si="102"/>
        <v/>
      </c>
      <c r="N6534" s="15"/>
    </row>
    <row r="6535" spans="1:14" s="14" customFormat="1" ht="18" x14ac:dyDescent="0.25">
      <c r="A6535" s="91"/>
      <c r="B6535" s="90"/>
      <c r="C6535" s="88"/>
      <c r="D6535" s="89"/>
      <c r="E6535" s="90"/>
      <c r="F6535" s="91"/>
      <c r="G6535" s="90"/>
      <c r="H6535" s="92"/>
      <c r="I6535" s="87"/>
      <c r="J6535" s="93"/>
      <c r="K6535" s="92"/>
      <c r="L6535" s="72" t="str">
        <f t="shared" si="102"/>
        <v/>
      </c>
      <c r="N6535" s="15"/>
    </row>
    <row r="6536" spans="1:14" s="14" customFormat="1" ht="18" x14ac:dyDescent="0.25">
      <c r="A6536" s="91"/>
      <c r="B6536" s="90"/>
      <c r="C6536" s="88"/>
      <c r="D6536" s="89"/>
      <c r="E6536" s="90"/>
      <c r="F6536" s="91"/>
      <c r="G6536" s="90"/>
      <c r="H6536" s="92"/>
      <c r="I6536" s="87"/>
      <c r="J6536" s="93"/>
      <c r="K6536" s="92"/>
      <c r="L6536" s="72" t="str">
        <f t="shared" si="102"/>
        <v/>
      </c>
      <c r="N6536" s="15"/>
    </row>
    <row r="6537" spans="1:14" s="14" customFormat="1" ht="18" x14ac:dyDescent="0.25">
      <c r="A6537" s="91"/>
      <c r="B6537" s="90"/>
      <c r="C6537" s="88"/>
      <c r="D6537" s="89"/>
      <c r="E6537" s="90"/>
      <c r="F6537" s="91"/>
      <c r="G6537" s="90"/>
      <c r="H6537" s="92"/>
      <c r="I6537" s="87"/>
      <c r="J6537" s="93"/>
      <c r="K6537" s="92"/>
      <c r="L6537" s="72" t="str">
        <f t="shared" si="102"/>
        <v/>
      </c>
      <c r="N6537" s="15"/>
    </row>
    <row r="6538" spans="1:14" s="14" customFormat="1" ht="18" x14ac:dyDescent="0.25">
      <c r="A6538" s="91"/>
      <c r="B6538" s="90"/>
      <c r="C6538" s="88"/>
      <c r="D6538" s="89"/>
      <c r="E6538" s="90"/>
      <c r="F6538" s="91"/>
      <c r="G6538" s="90"/>
      <c r="H6538" s="92"/>
      <c r="I6538" s="87"/>
      <c r="J6538" s="93"/>
      <c r="K6538" s="92"/>
      <c r="L6538" s="72" t="str">
        <f t="shared" si="102"/>
        <v/>
      </c>
      <c r="N6538" s="15"/>
    </row>
    <row r="6539" spans="1:14" s="14" customFormat="1" ht="18" x14ac:dyDescent="0.25">
      <c r="A6539" s="91"/>
      <c r="B6539" s="90"/>
      <c r="C6539" s="88"/>
      <c r="D6539" s="89"/>
      <c r="E6539" s="90"/>
      <c r="F6539" s="91"/>
      <c r="G6539" s="90"/>
      <c r="H6539" s="92"/>
      <c r="I6539" s="87"/>
      <c r="J6539" s="93"/>
      <c r="K6539" s="92"/>
      <c r="L6539" s="72" t="str">
        <f t="shared" si="102"/>
        <v/>
      </c>
      <c r="N6539" s="15"/>
    </row>
    <row r="6540" spans="1:14" s="14" customFormat="1" ht="18" x14ac:dyDescent="0.25">
      <c r="A6540" s="91"/>
      <c r="B6540" s="90"/>
      <c r="C6540" s="88"/>
      <c r="D6540" s="89"/>
      <c r="E6540" s="90"/>
      <c r="F6540" s="91"/>
      <c r="G6540" s="90"/>
      <c r="H6540" s="92"/>
      <c r="I6540" s="87"/>
      <c r="J6540" s="93"/>
      <c r="K6540" s="92"/>
      <c r="L6540" s="72" t="str">
        <f t="shared" si="102"/>
        <v/>
      </c>
      <c r="N6540" s="15"/>
    </row>
    <row r="6541" spans="1:14" s="14" customFormat="1" ht="18" x14ac:dyDescent="0.25">
      <c r="A6541" s="91"/>
      <c r="B6541" s="90"/>
      <c r="C6541" s="88"/>
      <c r="D6541" s="89"/>
      <c r="E6541" s="90"/>
      <c r="F6541" s="91"/>
      <c r="G6541" s="90"/>
      <c r="H6541" s="92"/>
      <c r="I6541" s="87"/>
      <c r="J6541" s="93"/>
      <c r="K6541" s="92"/>
      <c r="L6541" s="72" t="str">
        <f t="shared" si="102"/>
        <v/>
      </c>
      <c r="N6541" s="15"/>
    </row>
    <row r="6542" spans="1:14" s="14" customFormat="1" ht="18" x14ac:dyDescent="0.25">
      <c r="A6542" s="91"/>
      <c r="B6542" s="90"/>
      <c r="C6542" s="88"/>
      <c r="D6542" s="89"/>
      <c r="E6542" s="90"/>
      <c r="F6542" s="91"/>
      <c r="G6542" s="90"/>
      <c r="H6542" s="92"/>
      <c r="I6542" s="87"/>
      <c r="J6542" s="93"/>
      <c r="K6542" s="92"/>
      <c r="L6542" s="72" t="str">
        <f t="shared" si="102"/>
        <v/>
      </c>
      <c r="N6542" s="15"/>
    </row>
    <row r="6543" spans="1:14" s="14" customFormat="1" ht="18" x14ac:dyDescent="0.25">
      <c r="A6543" s="91"/>
      <c r="B6543" s="90"/>
      <c r="C6543" s="88"/>
      <c r="D6543" s="89"/>
      <c r="E6543" s="90"/>
      <c r="F6543" s="91"/>
      <c r="G6543" s="90"/>
      <c r="H6543" s="92"/>
      <c r="I6543" s="87"/>
      <c r="J6543" s="93"/>
      <c r="K6543" s="92"/>
      <c r="L6543" s="72" t="str">
        <f t="shared" si="102"/>
        <v/>
      </c>
      <c r="N6543" s="15"/>
    </row>
    <row r="6544" spans="1:14" s="14" customFormat="1" ht="18" x14ac:dyDescent="0.25">
      <c r="A6544" s="91"/>
      <c r="B6544" s="90"/>
      <c r="C6544" s="88"/>
      <c r="D6544" s="89"/>
      <c r="E6544" s="90"/>
      <c r="F6544" s="91"/>
      <c r="G6544" s="90"/>
      <c r="H6544" s="92"/>
      <c r="I6544" s="87"/>
      <c r="J6544" s="93"/>
      <c r="K6544" s="92"/>
      <c r="L6544" s="72" t="str">
        <f t="shared" si="102"/>
        <v/>
      </c>
      <c r="N6544" s="15"/>
    </row>
    <row r="6545" spans="1:14" s="14" customFormat="1" ht="18" x14ac:dyDescent="0.25">
      <c r="A6545" s="91"/>
      <c r="B6545" s="90"/>
      <c r="C6545" s="88"/>
      <c r="D6545" s="89"/>
      <c r="E6545" s="90"/>
      <c r="F6545" s="91"/>
      <c r="G6545" s="90"/>
      <c r="H6545" s="92"/>
      <c r="I6545" s="87"/>
      <c r="J6545" s="93"/>
      <c r="K6545" s="92"/>
      <c r="L6545" s="72" t="str">
        <f t="shared" si="102"/>
        <v/>
      </c>
      <c r="N6545" s="15"/>
    </row>
    <row r="6546" spans="1:14" s="14" customFormat="1" ht="18" x14ac:dyDescent="0.25">
      <c r="A6546" s="91"/>
      <c r="B6546" s="90"/>
      <c r="C6546" s="88"/>
      <c r="D6546" s="89"/>
      <c r="E6546" s="90"/>
      <c r="F6546" s="91"/>
      <c r="G6546" s="90"/>
      <c r="H6546" s="92"/>
      <c r="I6546" s="87"/>
      <c r="J6546" s="93"/>
      <c r="K6546" s="92"/>
      <c r="L6546" s="72" t="str">
        <f t="shared" si="102"/>
        <v/>
      </c>
      <c r="N6546" s="15"/>
    </row>
    <row r="6547" spans="1:14" s="14" customFormat="1" ht="18" x14ac:dyDescent="0.25">
      <c r="A6547" s="91"/>
      <c r="B6547" s="90"/>
      <c r="C6547" s="88"/>
      <c r="D6547" s="89"/>
      <c r="E6547" s="90"/>
      <c r="F6547" s="91"/>
      <c r="G6547" s="90"/>
      <c r="H6547" s="92"/>
      <c r="I6547" s="87"/>
      <c r="J6547" s="93"/>
      <c r="K6547" s="92"/>
      <c r="L6547" s="72" t="str">
        <f t="shared" si="102"/>
        <v/>
      </c>
      <c r="N6547" s="15"/>
    </row>
    <row r="6548" spans="1:14" s="14" customFormat="1" ht="18" x14ac:dyDescent="0.25">
      <c r="A6548" s="91"/>
      <c r="B6548" s="90"/>
      <c r="C6548" s="88"/>
      <c r="D6548" s="89"/>
      <c r="E6548" s="90"/>
      <c r="F6548" s="91"/>
      <c r="G6548" s="90"/>
      <c r="H6548" s="92"/>
      <c r="I6548" s="87"/>
      <c r="J6548" s="93"/>
      <c r="K6548" s="92"/>
      <c r="L6548" s="72" t="str">
        <f t="shared" si="102"/>
        <v/>
      </c>
      <c r="N6548" s="15"/>
    </row>
    <row r="6549" spans="1:14" s="14" customFormat="1" ht="18" x14ac:dyDescent="0.25">
      <c r="A6549" s="91"/>
      <c r="B6549" s="90"/>
      <c r="C6549" s="88"/>
      <c r="D6549" s="89"/>
      <c r="E6549" s="90"/>
      <c r="F6549" s="91"/>
      <c r="G6549" s="90"/>
      <c r="H6549" s="92"/>
      <c r="I6549" s="87"/>
      <c r="J6549" s="93"/>
      <c r="K6549" s="92"/>
      <c r="L6549" s="72" t="str">
        <f t="shared" si="102"/>
        <v/>
      </c>
      <c r="N6549" s="15"/>
    </row>
    <row r="6550" spans="1:14" s="14" customFormat="1" ht="18" x14ac:dyDescent="0.25">
      <c r="A6550" s="91"/>
      <c r="B6550" s="90"/>
      <c r="C6550" s="88"/>
      <c r="D6550" s="89"/>
      <c r="E6550" s="90"/>
      <c r="F6550" s="91"/>
      <c r="G6550" s="90"/>
      <c r="H6550" s="92"/>
      <c r="I6550" s="87"/>
      <c r="J6550" s="93"/>
      <c r="K6550" s="92"/>
      <c r="L6550" s="72" t="str">
        <f t="shared" si="102"/>
        <v/>
      </c>
      <c r="N6550" s="15"/>
    </row>
    <row r="6551" spans="1:14" s="14" customFormat="1" ht="18" x14ac:dyDescent="0.25">
      <c r="A6551" s="91"/>
      <c r="B6551" s="90"/>
      <c r="C6551" s="88"/>
      <c r="D6551" s="89"/>
      <c r="E6551" s="90"/>
      <c r="F6551" s="91"/>
      <c r="G6551" s="90"/>
      <c r="H6551" s="92"/>
      <c r="I6551" s="87"/>
      <c r="J6551" s="93"/>
      <c r="K6551" s="92"/>
      <c r="L6551" s="72" t="str">
        <f t="shared" si="102"/>
        <v/>
      </c>
      <c r="N6551" s="15"/>
    </row>
    <row r="6552" spans="1:14" s="14" customFormat="1" ht="18" x14ac:dyDescent="0.25">
      <c r="A6552" s="91"/>
      <c r="B6552" s="90"/>
      <c r="C6552" s="88"/>
      <c r="D6552" s="89"/>
      <c r="E6552" s="90"/>
      <c r="F6552" s="91"/>
      <c r="G6552" s="90"/>
      <c r="H6552" s="92"/>
      <c r="I6552" s="87"/>
      <c r="J6552" s="93"/>
      <c r="K6552" s="92"/>
      <c r="L6552" s="72" t="str">
        <f t="shared" si="102"/>
        <v/>
      </c>
      <c r="N6552" s="15"/>
    </row>
    <row r="6553" spans="1:14" s="14" customFormat="1" ht="18" x14ac:dyDescent="0.25">
      <c r="A6553" s="91"/>
      <c r="B6553" s="90"/>
      <c r="C6553" s="88"/>
      <c r="D6553" s="89"/>
      <c r="E6553" s="90"/>
      <c r="F6553" s="91"/>
      <c r="G6553" s="90"/>
      <c r="H6553" s="92"/>
      <c r="I6553" s="87"/>
      <c r="J6553" s="93"/>
      <c r="K6553" s="92"/>
      <c r="L6553" s="72" t="str">
        <f t="shared" si="102"/>
        <v/>
      </c>
      <c r="N6553" s="15"/>
    </row>
    <row r="6554" spans="1:14" s="14" customFormat="1" ht="18" x14ac:dyDescent="0.25">
      <c r="A6554" s="91"/>
      <c r="B6554" s="90"/>
      <c r="C6554" s="88"/>
      <c r="D6554" s="89"/>
      <c r="E6554" s="90"/>
      <c r="F6554" s="91"/>
      <c r="G6554" s="90"/>
      <c r="H6554" s="92"/>
      <c r="I6554" s="87"/>
      <c r="J6554" s="93"/>
      <c r="K6554" s="92"/>
      <c r="L6554" s="72" t="str">
        <f t="shared" si="102"/>
        <v/>
      </c>
      <c r="N6554" s="15"/>
    </row>
    <row r="6555" spans="1:14" s="14" customFormat="1" ht="18" x14ac:dyDescent="0.25">
      <c r="A6555" s="91"/>
      <c r="B6555" s="90"/>
      <c r="C6555" s="88"/>
      <c r="D6555" s="89"/>
      <c r="E6555" s="90"/>
      <c r="F6555" s="91"/>
      <c r="G6555" s="90"/>
      <c r="H6555" s="92"/>
      <c r="I6555" s="87"/>
      <c r="J6555" s="93"/>
      <c r="K6555" s="92"/>
      <c r="L6555" s="72" t="str">
        <f t="shared" si="102"/>
        <v/>
      </c>
      <c r="N6555" s="15"/>
    </row>
    <row r="6556" spans="1:14" s="14" customFormat="1" ht="18" x14ac:dyDescent="0.25">
      <c r="A6556" s="91"/>
      <c r="B6556" s="90"/>
      <c r="C6556" s="88"/>
      <c r="D6556" s="89"/>
      <c r="E6556" s="90"/>
      <c r="F6556" s="91"/>
      <c r="G6556" s="90"/>
      <c r="H6556" s="92"/>
      <c r="I6556" s="87"/>
      <c r="J6556" s="93"/>
      <c r="K6556" s="92"/>
      <c r="L6556" s="72" t="str">
        <f t="shared" si="102"/>
        <v/>
      </c>
      <c r="N6556" s="15"/>
    </row>
    <row r="6557" spans="1:14" s="14" customFormat="1" ht="18" x14ac:dyDescent="0.25">
      <c r="A6557" s="91"/>
      <c r="B6557" s="90"/>
      <c r="C6557" s="88"/>
      <c r="D6557" s="89"/>
      <c r="E6557" s="90"/>
      <c r="F6557" s="91"/>
      <c r="G6557" s="90"/>
      <c r="H6557" s="92"/>
      <c r="I6557" s="87"/>
      <c r="J6557" s="93"/>
      <c r="K6557" s="92"/>
      <c r="L6557" s="72" t="str">
        <f t="shared" si="102"/>
        <v/>
      </c>
      <c r="N6557" s="15"/>
    </row>
    <row r="6558" spans="1:14" s="14" customFormat="1" ht="18" x14ac:dyDescent="0.25">
      <c r="A6558" s="91"/>
      <c r="B6558" s="90"/>
      <c r="C6558" s="88"/>
      <c r="D6558" s="89"/>
      <c r="E6558" s="90"/>
      <c r="F6558" s="91"/>
      <c r="G6558" s="90"/>
      <c r="H6558" s="92"/>
      <c r="I6558" s="87"/>
      <c r="J6558" s="93"/>
      <c r="K6558" s="92"/>
      <c r="L6558" s="72" t="str">
        <f t="shared" ref="L6558:L6621" si="103">IF(ISBLANK(H6558),"",IF(H6558=K6558,"Payé","Impayé"))</f>
        <v/>
      </c>
      <c r="N6558" s="15"/>
    </row>
    <row r="6559" spans="1:14" s="14" customFormat="1" ht="18" x14ac:dyDescent="0.25">
      <c r="A6559" s="91"/>
      <c r="B6559" s="90"/>
      <c r="C6559" s="88"/>
      <c r="D6559" s="89"/>
      <c r="E6559" s="90"/>
      <c r="F6559" s="91"/>
      <c r="G6559" s="90"/>
      <c r="H6559" s="92"/>
      <c r="I6559" s="87"/>
      <c r="J6559" s="93"/>
      <c r="K6559" s="92"/>
      <c r="L6559" s="72" t="str">
        <f t="shared" si="103"/>
        <v/>
      </c>
      <c r="N6559" s="15"/>
    </row>
    <row r="6560" spans="1:14" s="14" customFormat="1" ht="18" x14ac:dyDescent="0.25">
      <c r="A6560" s="91"/>
      <c r="B6560" s="90"/>
      <c r="C6560" s="88"/>
      <c r="D6560" s="89"/>
      <c r="E6560" s="90"/>
      <c r="F6560" s="91"/>
      <c r="G6560" s="90"/>
      <c r="H6560" s="92"/>
      <c r="I6560" s="87"/>
      <c r="J6560" s="93"/>
      <c r="K6560" s="92"/>
      <c r="L6560" s="72" t="str">
        <f t="shared" si="103"/>
        <v/>
      </c>
      <c r="N6560" s="15"/>
    </row>
    <row r="6561" spans="1:14" s="14" customFormat="1" ht="18" x14ac:dyDescent="0.25">
      <c r="A6561" s="91"/>
      <c r="B6561" s="90"/>
      <c r="C6561" s="88"/>
      <c r="D6561" s="89"/>
      <c r="E6561" s="90"/>
      <c r="F6561" s="91"/>
      <c r="G6561" s="90"/>
      <c r="H6561" s="92"/>
      <c r="I6561" s="87"/>
      <c r="J6561" s="93"/>
      <c r="K6561" s="92"/>
      <c r="L6561" s="72" t="str">
        <f t="shared" si="103"/>
        <v/>
      </c>
      <c r="N6561" s="15"/>
    </row>
    <row r="6562" spans="1:14" s="14" customFormat="1" ht="18" x14ac:dyDescent="0.25">
      <c r="A6562" s="91"/>
      <c r="B6562" s="90"/>
      <c r="C6562" s="88"/>
      <c r="D6562" s="89"/>
      <c r="E6562" s="90"/>
      <c r="F6562" s="91"/>
      <c r="G6562" s="90"/>
      <c r="H6562" s="92"/>
      <c r="I6562" s="87"/>
      <c r="J6562" s="93"/>
      <c r="K6562" s="92"/>
      <c r="L6562" s="72" t="str">
        <f t="shared" si="103"/>
        <v/>
      </c>
      <c r="N6562" s="15"/>
    </row>
    <row r="6563" spans="1:14" s="14" customFormat="1" ht="18" x14ac:dyDescent="0.25">
      <c r="A6563" s="91"/>
      <c r="B6563" s="90"/>
      <c r="C6563" s="88"/>
      <c r="D6563" s="89"/>
      <c r="E6563" s="90"/>
      <c r="F6563" s="91"/>
      <c r="G6563" s="90"/>
      <c r="H6563" s="92"/>
      <c r="I6563" s="87"/>
      <c r="J6563" s="93"/>
      <c r="K6563" s="92"/>
      <c r="L6563" s="72" t="str">
        <f t="shared" si="103"/>
        <v/>
      </c>
      <c r="N6563" s="15"/>
    </row>
    <row r="6564" spans="1:14" s="14" customFormat="1" ht="18" x14ac:dyDescent="0.25">
      <c r="A6564" s="91"/>
      <c r="B6564" s="90"/>
      <c r="C6564" s="88"/>
      <c r="D6564" s="89"/>
      <c r="E6564" s="90"/>
      <c r="F6564" s="91"/>
      <c r="G6564" s="90"/>
      <c r="H6564" s="92"/>
      <c r="I6564" s="87"/>
      <c r="J6564" s="93"/>
      <c r="K6564" s="92"/>
      <c r="L6564" s="72" t="str">
        <f t="shared" si="103"/>
        <v/>
      </c>
      <c r="N6564" s="15"/>
    </row>
    <row r="6565" spans="1:14" s="14" customFormat="1" ht="18" x14ac:dyDescent="0.25">
      <c r="A6565" s="91"/>
      <c r="B6565" s="90"/>
      <c r="C6565" s="88"/>
      <c r="D6565" s="89"/>
      <c r="E6565" s="90"/>
      <c r="F6565" s="91"/>
      <c r="G6565" s="90"/>
      <c r="H6565" s="92"/>
      <c r="I6565" s="87"/>
      <c r="J6565" s="93"/>
      <c r="K6565" s="92"/>
      <c r="L6565" s="72" t="str">
        <f t="shared" si="103"/>
        <v/>
      </c>
      <c r="N6565" s="15"/>
    </row>
    <row r="6566" spans="1:14" s="14" customFormat="1" ht="18" x14ac:dyDescent="0.25">
      <c r="A6566" s="91"/>
      <c r="B6566" s="90"/>
      <c r="C6566" s="88"/>
      <c r="D6566" s="89"/>
      <c r="E6566" s="90"/>
      <c r="F6566" s="91"/>
      <c r="G6566" s="90"/>
      <c r="H6566" s="92"/>
      <c r="I6566" s="87"/>
      <c r="J6566" s="93"/>
      <c r="K6566" s="92"/>
      <c r="L6566" s="72" t="str">
        <f t="shared" si="103"/>
        <v/>
      </c>
      <c r="N6566" s="15"/>
    </row>
    <row r="6567" spans="1:14" s="14" customFormat="1" ht="18" x14ac:dyDescent="0.25">
      <c r="A6567" s="91"/>
      <c r="B6567" s="90"/>
      <c r="C6567" s="88"/>
      <c r="D6567" s="89"/>
      <c r="E6567" s="90"/>
      <c r="F6567" s="91"/>
      <c r="G6567" s="90"/>
      <c r="H6567" s="92"/>
      <c r="I6567" s="87"/>
      <c r="J6567" s="93"/>
      <c r="K6567" s="92"/>
      <c r="L6567" s="72" t="str">
        <f t="shared" si="103"/>
        <v/>
      </c>
      <c r="N6567" s="15"/>
    </row>
    <row r="6568" spans="1:14" s="14" customFormat="1" ht="18" x14ac:dyDescent="0.25">
      <c r="A6568" s="91"/>
      <c r="B6568" s="90"/>
      <c r="C6568" s="88"/>
      <c r="D6568" s="89"/>
      <c r="E6568" s="90"/>
      <c r="F6568" s="91"/>
      <c r="G6568" s="90"/>
      <c r="H6568" s="92"/>
      <c r="I6568" s="87"/>
      <c r="J6568" s="93"/>
      <c r="K6568" s="92"/>
      <c r="L6568" s="72" t="str">
        <f t="shared" si="103"/>
        <v/>
      </c>
      <c r="N6568" s="15"/>
    </row>
    <row r="6569" spans="1:14" s="14" customFormat="1" ht="18" x14ac:dyDescent="0.25">
      <c r="A6569" s="91"/>
      <c r="B6569" s="90"/>
      <c r="C6569" s="88"/>
      <c r="D6569" s="89"/>
      <c r="E6569" s="90"/>
      <c r="F6569" s="91"/>
      <c r="G6569" s="90"/>
      <c r="H6569" s="92"/>
      <c r="I6569" s="87"/>
      <c r="J6569" s="93"/>
      <c r="K6569" s="92"/>
      <c r="L6569" s="72" t="str">
        <f t="shared" si="103"/>
        <v/>
      </c>
      <c r="N6569" s="15"/>
    </row>
    <row r="6570" spans="1:14" s="14" customFormat="1" ht="18" x14ac:dyDescent="0.25">
      <c r="A6570" s="91"/>
      <c r="B6570" s="90"/>
      <c r="C6570" s="88"/>
      <c r="D6570" s="89"/>
      <c r="E6570" s="90"/>
      <c r="F6570" s="91"/>
      <c r="G6570" s="90"/>
      <c r="H6570" s="92"/>
      <c r="I6570" s="87"/>
      <c r="J6570" s="93"/>
      <c r="K6570" s="92"/>
      <c r="L6570" s="72" t="str">
        <f t="shared" si="103"/>
        <v/>
      </c>
      <c r="N6570" s="15"/>
    </row>
    <row r="6571" spans="1:14" s="14" customFormat="1" ht="18" x14ac:dyDescent="0.25">
      <c r="A6571" s="91"/>
      <c r="B6571" s="90"/>
      <c r="C6571" s="88"/>
      <c r="D6571" s="89"/>
      <c r="E6571" s="90"/>
      <c r="F6571" s="91"/>
      <c r="G6571" s="90"/>
      <c r="H6571" s="92"/>
      <c r="I6571" s="87"/>
      <c r="J6571" s="93"/>
      <c r="K6571" s="92"/>
      <c r="L6571" s="72" t="str">
        <f t="shared" si="103"/>
        <v/>
      </c>
      <c r="N6571" s="15"/>
    </row>
    <row r="6572" spans="1:14" s="14" customFormat="1" ht="18" x14ac:dyDescent="0.25">
      <c r="A6572" s="91"/>
      <c r="B6572" s="90"/>
      <c r="C6572" s="88"/>
      <c r="D6572" s="89"/>
      <c r="E6572" s="90"/>
      <c r="F6572" s="91"/>
      <c r="G6572" s="90"/>
      <c r="H6572" s="92"/>
      <c r="I6572" s="87"/>
      <c r="J6572" s="93"/>
      <c r="K6572" s="92"/>
      <c r="L6572" s="72" t="str">
        <f t="shared" si="103"/>
        <v/>
      </c>
      <c r="N6572" s="15"/>
    </row>
    <row r="6573" spans="1:14" s="14" customFormat="1" ht="18" x14ac:dyDescent="0.25">
      <c r="A6573" s="91"/>
      <c r="B6573" s="90"/>
      <c r="C6573" s="88"/>
      <c r="D6573" s="89"/>
      <c r="E6573" s="90"/>
      <c r="F6573" s="91"/>
      <c r="G6573" s="90"/>
      <c r="H6573" s="92"/>
      <c r="I6573" s="87"/>
      <c r="J6573" s="93"/>
      <c r="K6573" s="92"/>
      <c r="L6573" s="72" t="str">
        <f t="shared" si="103"/>
        <v/>
      </c>
      <c r="N6573" s="15"/>
    </row>
    <row r="6574" spans="1:14" s="14" customFormat="1" ht="18" x14ac:dyDescent="0.25">
      <c r="A6574" s="91"/>
      <c r="B6574" s="90"/>
      <c r="C6574" s="88"/>
      <c r="D6574" s="89"/>
      <c r="E6574" s="90"/>
      <c r="F6574" s="91"/>
      <c r="G6574" s="90"/>
      <c r="H6574" s="92"/>
      <c r="I6574" s="87"/>
      <c r="J6574" s="93"/>
      <c r="K6574" s="92"/>
      <c r="L6574" s="72" t="str">
        <f t="shared" si="103"/>
        <v/>
      </c>
      <c r="N6574" s="15"/>
    </row>
    <row r="6575" spans="1:14" s="14" customFormat="1" ht="18" x14ac:dyDescent="0.25">
      <c r="A6575" s="91"/>
      <c r="B6575" s="90"/>
      <c r="C6575" s="88"/>
      <c r="D6575" s="89"/>
      <c r="E6575" s="90"/>
      <c r="F6575" s="91"/>
      <c r="G6575" s="90"/>
      <c r="H6575" s="92"/>
      <c r="I6575" s="87"/>
      <c r="J6575" s="93"/>
      <c r="K6575" s="92"/>
      <c r="L6575" s="72" t="str">
        <f t="shared" si="103"/>
        <v/>
      </c>
      <c r="N6575" s="15"/>
    </row>
    <row r="6576" spans="1:14" s="14" customFormat="1" ht="18" x14ac:dyDescent="0.25">
      <c r="A6576" s="91"/>
      <c r="B6576" s="90"/>
      <c r="C6576" s="88"/>
      <c r="D6576" s="89"/>
      <c r="E6576" s="90"/>
      <c r="F6576" s="91"/>
      <c r="G6576" s="90"/>
      <c r="H6576" s="92"/>
      <c r="I6576" s="87"/>
      <c r="J6576" s="93"/>
      <c r="K6576" s="92"/>
      <c r="L6576" s="72" t="str">
        <f t="shared" si="103"/>
        <v/>
      </c>
      <c r="N6576" s="15"/>
    </row>
    <row r="6577" spans="1:14" s="14" customFormat="1" ht="18" x14ac:dyDescent="0.25">
      <c r="A6577" s="91"/>
      <c r="B6577" s="90"/>
      <c r="C6577" s="88"/>
      <c r="D6577" s="89"/>
      <c r="E6577" s="90"/>
      <c r="F6577" s="91"/>
      <c r="G6577" s="90"/>
      <c r="H6577" s="92"/>
      <c r="I6577" s="87"/>
      <c r="J6577" s="93"/>
      <c r="K6577" s="92"/>
      <c r="L6577" s="72" t="str">
        <f t="shared" si="103"/>
        <v/>
      </c>
      <c r="N6577" s="15"/>
    </row>
    <row r="6578" spans="1:14" s="14" customFormat="1" ht="18" x14ac:dyDescent="0.25">
      <c r="A6578" s="91"/>
      <c r="B6578" s="90"/>
      <c r="C6578" s="88"/>
      <c r="D6578" s="89"/>
      <c r="E6578" s="90"/>
      <c r="F6578" s="91"/>
      <c r="G6578" s="90"/>
      <c r="H6578" s="92"/>
      <c r="I6578" s="87"/>
      <c r="J6578" s="93"/>
      <c r="K6578" s="92"/>
      <c r="L6578" s="72" t="str">
        <f t="shared" si="103"/>
        <v/>
      </c>
      <c r="N6578" s="15"/>
    </row>
    <row r="6579" spans="1:14" s="14" customFormat="1" ht="18" x14ac:dyDescent="0.25">
      <c r="A6579" s="91"/>
      <c r="B6579" s="90"/>
      <c r="C6579" s="88"/>
      <c r="D6579" s="89"/>
      <c r="E6579" s="90"/>
      <c r="F6579" s="91"/>
      <c r="G6579" s="90"/>
      <c r="H6579" s="92"/>
      <c r="I6579" s="87"/>
      <c r="J6579" s="93"/>
      <c r="K6579" s="92"/>
      <c r="L6579" s="72" t="str">
        <f t="shared" si="103"/>
        <v/>
      </c>
      <c r="N6579" s="15"/>
    </row>
    <row r="6580" spans="1:14" s="14" customFormat="1" ht="18" x14ac:dyDescent="0.25">
      <c r="A6580" s="91"/>
      <c r="B6580" s="90"/>
      <c r="C6580" s="88"/>
      <c r="D6580" s="89"/>
      <c r="E6580" s="90"/>
      <c r="F6580" s="91"/>
      <c r="G6580" s="90"/>
      <c r="H6580" s="92"/>
      <c r="I6580" s="87"/>
      <c r="J6580" s="93"/>
      <c r="K6580" s="92"/>
      <c r="L6580" s="72" t="str">
        <f t="shared" si="103"/>
        <v/>
      </c>
      <c r="N6580" s="15"/>
    </row>
    <row r="6581" spans="1:14" s="14" customFormat="1" ht="18" x14ac:dyDescent="0.25">
      <c r="A6581" s="91"/>
      <c r="B6581" s="90"/>
      <c r="C6581" s="88"/>
      <c r="D6581" s="89"/>
      <c r="E6581" s="90"/>
      <c r="F6581" s="91"/>
      <c r="G6581" s="90"/>
      <c r="H6581" s="92"/>
      <c r="I6581" s="87"/>
      <c r="J6581" s="93"/>
      <c r="K6581" s="92"/>
      <c r="L6581" s="72" t="str">
        <f t="shared" si="103"/>
        <v/>
      </c>
      <c r="N6581" s="15"/>
    </row>
    <row r="6582" spans="1:14" s="14" customFormat="1" ht="18" x14ac:dyDescent="0.25">
      <c r="A6582" s="91"/>
      <c r="B6582" s="90"/>
      <c r="C6582" s="88"/>
      <c r="D6582" s="89"/>
      <c r="E6582" s="90"/>
      <c r="F6582" s="91"/>
      <c r="G6582" s="90"/>
      <c r="H6582" s="92"/>
      <c r="I6582" s="87"/>
      <c r="J6582" s="93"/>
      <c r="K6582" s="92"/>
      <c r="L6582" s="72" t="str">
        <f t="shared" si="103"/>
        <v/>
      </c>
      <c r="N6582" s="15"/>
    </row>
    <row r="6583" spans="1:14" s="14" customFormat="1" ht="18" x14ac:dyDescent="0.25">
      <c r="A6583" s="91"/>
      <c r="B6583" s="90"/>
      <c r="C6583" s="88"/>
      <c r="D6583" s="89"/>
      <c r="E6583" s="90"/>
      <c r="F6583" s="91"/>
      <c r="G6583" s="90"/>
      <c r="H6583" s="92"/>
      <c r="I6583" s="87"/>
      <c r="J6583" s="93"/>
      <c r="K6583" s="92"/>
      <c r="L6583" s="72" t="str">
        <f t="shared" si="103"/>
        <v/>
      </c>
      <c r="N6583" s="15"/>
    </row>
    <row r="6584" spans="1:14" s="14" customFormat="1" ht="18" x14ac:dyDescent="0.25">
      <c r="A6584" s="91"/>
      <c r="B6584" s="90"/>
      <c r="C6584" s="88"/>
      <c r="D6584" s="89"/>
      <c r="E6584" s="90"/>
      <c r="F6584" s="91"/>
      <c r="G6584" s="90"/>
      <c r="H6584" s="92"/>
      <c r="I6584" s="87"/>
      <c r="J6584" s="93"/>
      <c r="K6584" s="92"/>
      <c r="L6584" s="72" t="str">
        <f t="shared" si="103"/>
        <v/>
      </c>
      <c r="N6584" s="15"/>
    </row>
    <row r="6585" spans="1:14" s="14" customFormat="1" ht="18" x14ac:dyDescent="0.25">
      <c r="A6585" s="91"/>
      <c r="B6585" s="90"/>
      <c r="C6585" s="88"/>
      <c r="D6585" s="89"/>
      <c r="E6585" s="90"/>
      <c r="F6585" s="91"/>
      <c r="G6585" s="90"/>
      <c r="H6585" s="92"/>
      <c r="I6585" s="87"/>
      <c r="J6585" s="93"/>
      <c r="K6585" s="92"/>
      <c r="L6585" s="72" t="str">
        <f t="shared" si="103"/>
        <v/>
      </c>
      <c r="N6585" s="15"/>
    </row>
    <row r="6586" spans="1:14" s="14" customFormat="1" ht="18" x14ac:dyDescent="0.25">
      <c r="A6586" s="91"/>
      <c r="B6586" s="90"/>
      <c r="C6586" s="88"/>
      <c r="D6586" s="89"/>
      <c r="E6586" s="90"/>
      <c r="F6586" s="91"/>
      <c r="G6586" s="90"/>
      <c r="H6586" s="92"/>
      <c r="I6586" s="87"/>
      <c r="J6586" s="93"/>
      <c r="K6586" s="92"/>
      <c r="L6586" s="72" t="str">
        <f t="shared" si="103"/>
        <v/>
      </c>
      <c r="N6586" s="15"/>
    </row>
    <row r="6587" spans="1:14" s="14" customFormat="1" ht="18" x14ac:dyDescent="0.25">
      <c r="A6587" s="91"/>
      <c r="B6587" s="90"/>
      <c r="C6587" s="88"/>
      <c r="D6587" s="89"/>
      <c r="E6587" s="90"/>
      <c r="F6587" s="91"/>
      <c r="G6587" s="90"/>
      <c r="H6587" s="92"/>
      <c r="I6587" s="87"/>
      <c r="J6587" s="93"/>
      <c r="K6587" s="92"/>
      <c r="L6587" s="72" t="str">
        <f t="shared" si="103"/>
        <v/>
      </c>
      <c r="N6587" s="15"/>
    </row>
    <row r="6588" spans="1:14" s="14" customFormat="1" ht="18" x14ac:dyDescent="0.25">
      <c r="A6588" s="91"/>
      <c r="B6588" s="90"/>
      <c r="C6588" s="88"/>
      <c r="D6588" s="89"/>
      <c r="E6588" s="90"/>
      <c r="F6588" s="91"/>
      <c r="G6588" s="90"/>
      <c r="H6588" s="92"/>
      <c r="I6588" s="87"/>
      <c r="J6588" s="93"/>
      <c r="K6588" s="92"/>
      <c r="L6588" s="72" t="str">
        <f t="shared" si="103"/>
        <v/>
      </c>
      <c r="N6588" s="15"/>
    </row>
    <row r="6589" spans="1:14" s="14" customFormat="1" ht="18" x14ac:dyDescent="0.25">
      <c r="A6589" s="91"/>
      <c r="B6589" s="90"/>
      <c r="C6589" s="88"/>
      <c r="D6589" s="89"/>
      <c r="E6589" s="90"/>
      <c r="F6589" s="91"/>
      <c r="G6589" s="90"/>
      <c r="H6589" s="92"/>
      <c r="I6589" s="87"/>
      <c r="J6589" s="93"/>
      <c r="K6589" s="92"/>
      <c r="L6589" s="72" t="str">
        <f t="shared" si="103"/>
        <v/>
      </c>
      <c r="N6589" s="15"/>
    </row>
    <row r="6590" spans="1:14" s="14" customFormat="1" ht="18" x14ac:dyDescent="0.25">
      <c r="A6590" s="91"/>
      <c r="B6590" s="90"/>
      <c r="C6590" s="88"/>
      <c r="D6590" s="89"/>
      <c r="E6590" s="90"/>
      <c r="F6590" s="91"/>
      <c r="G6590" s="90"/>
      <c r="H6590" s="92"/>
      <c r="I6590" s="87"/>
      <c r="J6590" s="93"/>
      <c r="K6590" s="92"/>
      <c r="L6590" s="72" t="str">
        <f t="shared" si="103"/>
        <v/>
      </c>
      <c r="N6590" s="15"/>
    </row>
    <row r="6591" spans="1:14" s="14" customFormat="1" ht="18" x14ac:dyDescent="0.25">
      <c r="A6591" s="91"/>
      <c r="B6591" s="90"/>
      <c r="C6591" s="88"/>
      <c r="D6591" s="89"/>
      <c r="E6591" s="90"/>
      <c r="F6591" s="91"/>
      <c r="G6591" s="90"/>
      <c r="H6591" s="92"/>
      <c r="I6591" s="87"/>
      <c r="J6591" s="93"/>
      <c r="K6591" s="92"/>
      <c r="L6591" s="72" t="str">
        <f t="shared" si="103"/>
        <v/>
      </c>
      <c r="N6591" s="15"/>
    </row>
    <row r="6592" spans="1:14" s="14" customFormat="1" ht="18" x14ac:dyDescent="0.25">
      <c r="A6592" s="91"/>
      <c r="B6592" s="90"/>
      <c r="C6592" s="88"/>
      <c r="D6592" s="89"/>
      <c r="E6592" s="90"/>
      <c r="F6592" s="91"/>
      <c r="G6592" s="90"/>
      <c r="H6592" s="92"/>
      <c r="I6592" s="87"/>
      <c r="J6592" s="93"/>
      <c r="K6592" s="92"/>
      <c r="L6592" s="72" t="str">
        <f t="shared" si="103"/>
        <v/>
      </c>
      <c r="N6592" s="15"/>
    </row>
    <row r="6593" spans="1:14" s="14" customFormat="1" ht="18" x14ac:dyDescent="0.25">
      <c r="A6593" s="91"/>
      <c r="B6593" s="90"/>
      <c r="C6593" s="88"/>
      <c r="D6593" s="89"/>
      <c r="E6593" s="90"/>
      <c r="F6593" s="91"/>
      <c r="G6593" s="90"/>
      <c r="H6593" s="92"/>
      <c r="I6593" s="87"/>
      <c r="J6593" s="93"/>
      <c r="K6593" s="92"/>
      <c r="L6593" s="72" t="str">
        <f t="shared" si="103"/>
        <v/>
      </c>
      <c r="N6593" s="15"/>
    </row>
    <row r="6594" spans="1:14" s="14" customFormat="1" ht="18" x14ac:dyDescent="0.25">
      <c r="A6594" s="91"/>
      <c r="B6594" s="90"/>
      <c r="C6594" s="88"/>
      <c r="D6594" s="89"/>
      <c r="E6594" s="90"/>
      <c r="F6594" s="91"/>
      <c r="G6594" s="90"/>
      <c r="H6594" s="92"/>
      <c r="I6594" s="87"/>
      <c r="J6594" s="93"/>
      <c r="K6594" s="92"/>
      <c r="L6594" s="72" t="str">
        <f t="shared" si="103"/>
        <v/>
      </c>
      <c r="N6594" s="15"/>
    </row>
    <row r="6595" spans="1:14" s="14" customFormat="1" ht="18" x14ac:dyDescent="0.25">
      <c r="A6595" s="91"/>
      <c r="B6595" s="90"/>
      <c r="C6595" s="88"/>
      <c r="D6595" s="89"/>
      <c r="E6595" s="90"/>
      <c r="F6595" s="91"/>
      <c r="G6595" s="90"/>
      <c r="H6595" s="92"/>
      <c r="I6595" s="87"/>
      <c r="J6595" s="93"/>
      <c r="K6595" s="92"/>
      <c r="L6595" s="72" t="str">
        <f t="shared" si="103"/>
        <v/>
      </c>
      <c r="N6595" s="15"/>
    </row>
    <row r="6596" spans="1:14" s="14" customFormat="1" ht="18" x14ac:dyDescent="0.25">
      <c r="A6596" s="91"/>
      <c r="B6596" s="90"/>
      <c r="C6596" s="88"/>
      <c r="D6596" s="89"/>
      <c r="E6596" s="90"/>
      <c r="F6596" s="91"/>
      <c r="G6596" s="90"/>
      <c r="H6596" s="92"/>
      <c r="I6596" s="87"/>
      <c r="J6596" s="93"/>
      <c r="K6596" s="92"/>
      <c r="L6596" s="72" t="str">
        <f t="shared" si="103"/>
        <v/>
      </c>
      <c r="N6596" s="15"/>
    </row>
    <row r="6597" spans="1:14" s="14" customFormat="1" ht="18" x14ac:dyDescent="0.25">
      <c r="A6597" s="91"/>
      <c r="B6597" s="90"/>
      <c r="C6597" s="88"/>
      <c r="D6597" s="89"/>
      <c r="E6597" s="90"/>
      <c r="F6597" s="91"/>
      <c r="G6597" s="90"/>
      <c r="H6597" s="92"/>
      <c r="I6597" s="87"/>
      <c r="J6597" s="93"/>
      <c r="K6597" s="92"/>
      <c r="L6597" s="72" t="str">
        <f t="shared" si="103"/>
        <v/>
      </c>
      <c r="N6597" s="15"/>
    </row>
    <row r="6598" spans="1:14" s="14" customFormat="1" ht="18" x14ac:dyDescent="0.25">
      <c r="A6598" s="91"/>
      <c r="B6598" s="90"/>
      <c r="C6598" s="88"/>
      <c r="D6598" s="89"/>
      <c r="E6598" s="90"/>
      <c r="F6598" s="91"/>
      <c r="G6598" s="90"/>
      <c r="H6598" s="92"/>
      <c r="I6598" s="87"/>
      <c r="J6598" s="93"/>
      <c r="K6598" s="92"/>
      <c r="L6598" s="72" t="str">
        <f t="shared" si="103"/>
        <v/>
      </c>
      <c r="N6598" s="15"/>
    </row>
    <row r="6599" spans="1:14" s="14" customFormat="1" ht="18" x14ac:dyDescent="0.25">
      <c r="A6599" s="91"/>
      <c r="B6599" s="90"/>
      <c r="C6599" s="88"/>
      <c r="D6599" s="89"/>
      <c r="E6599" s="90"/>
      <c r="F6599" s="91"/>
      <c r="G6599" s="90"/>
      <c r="H6599" s="92"/>
      <c r="I6599" s="87"/>
      <c r="J6599" s="93"/>
      <c r="K6599" s="92"/>
      <c r="L6599" s="72" t="str">
        <f t="shared" si="103"/>
        <v/>
      </c>
      <c r="N6599" s="15"/>
    </row>
    <row r="6600" spans="1:14" s="14" customFormat="1" ht="18" x14ac:dyDescent="0.25">
      <c r="A6600" s="91"/>
      <c r="B6600" s="90"/>
      <c r="C6600" s="88"/>
      <c r="D6600" s="89"/>
      <c r="E6600" s="90"/>
      <c r="F6600" s="91"/>
      <c r="G6600" s="90"/>
      <c r="H6600" s="92"/>
      <c r="I6600" s="87"/>
      <c r="J6600" s="93"/>
      <c r="K6600" s="92"/>
      <c r="L6600" s="72" t="str">
        <f t="shared" si="103"/>
        <v/>
      </c>
      <c r="N6600" s="15"/>
    </row>
    <row r="6601" spans="1:14" s="14" customFormat="1" ht="18" x14ac:dyDescent="0.25">
      <c r="A6601" s="91"/>
      <c r="B6601" s="90"/>
      <c r="C6601" s="88"/>
      <c r="D6601" s="89"/>
      <c r="E6601" s="90"/>
      <c r="F6601" s="91"/>
      <c r="G6601" s="90"/>
      <c r="H6601" s="92"/>
      <c r="I6601" s="87"/>
      <c r="J6601" s="93"/>
      <c r="K6601" s="92"/>
      <c r="L6601" s="72" t="str">
        <f t="shared" si="103"/>
        <v/>
      </c>
      <c r="N6601" s="15"/>
    </row>
    <row r="6602" spans="1:14" s="14" customFormat="1" ht="18" x14ac:dyDescent="0.25">
      <c r="A6602" s="91"/>
      <c r="B6602" s="90"/>
      <c r="C6602" s="88"/>
      <c r="D6602" s="89"/>
      <c r="E6602" s="90"/>
      <c r="F6602" s="91"/>
      <c r="G6602" s="90"/>
      <c r="H6602" s="92"/>
      <c r="I6602" s="87"/>
      <c r="J6602" s="93"/>
      <c r="K6602" s="92"/>
      <c r="L6602" s="72" t="str">
        <f t="shared" si="103"/>
        <v/>
      </c>
      <c r="N6602" s="15"/>
    </row>
    <row r="6603" spans="1:14" s="14" customFormat="1" ht="18" x14ac:dyDescent="0.25">
      <c r="A6603" s="91"/>
      <c r="B6603" s="90"/>
      <c r="C6603" s="88"/>
      <c r="D6603" s="89"/>
      <c r="E6603" s="90"/>
      <c r="F6603" s="91"/>
      <c r="G6603" s="90"/>
      <c r="H6603" s="92"/>
      <c r="I6603" s="87"/>
      <c r="J6603" s="93"/>
      <c r="K6603" s="92"/>
      <c r="L6603" s="72" t="str">
        <f t="shared" si="103"/>
        <v/>
      </c>
      <c r="N6603" s="15"/>
    </row>
    <row r="6604" spans="1:14" s="14" customFormat="1" ht="18" x14ac:dyDescent="0.25">
      <c r="A6604" s="91"/>
      <c r="B6604" s="90"/>
      <c r="C6604" s="88"/>
      <c r="D6604" s="89"/>
      <c r="E6604" s="90"/>
      <c r="F6604" s="91"/>
      <c r="G6604" s="90"/>
      <c r="H6604" s="92"/>
      <c r="I6604" s="87"/>
      <c r="J6604" s="93"/>
      <c r="K6604" s="92"/>
      <c r="L6604" s="72" t="str">
        <f t="shared" si="103"/>
        <v/>
      </c>
      <c r="N6604" s="15"/>
    </row>
    <row r="6605" spans="1:14" s="14" customFormat="1" ht="18" x14ac:dyDescent="0.25">
      <c r="A6605" s="91"/>
      <c r="B6605" s="90"/>
      <c r="C6605" s="88"/>
      <c r="D6605" s="89"/>
      <c r="E6605" s="90"/>
      <c r="F6605" s="91"/>
      <c r="G6605" s="90"/>
      <c r="H6605" s="92"/>
      <c r="I6605" s="87"/>
      <c r="J6605" s="93"/>
      <c r="K6605" s="92"/>
      <c r="L6605" s="72" t="str">
        <f t="shared" si="103"/>
        <v/>
      </c>
      <c r="N6605" s="15"/>
    </row>
    <row r="6606" spans="1:14" s="14" customFormat="1" ht="18" x14ac:dyDescent="0.25">
      <c r="A6606" s="91"/>
      <c r="B6606" s="90"/>
      <c r="C6606" s="88"/>
      <c r="D6606" s="89"/>
      <c r="E6606" s="90"/>
      <c r="F6606" s="91"/>
      <c r="G6606" s="90"/>
      <c r="H6606" s="92"/>
      <c r="I6606" s="87"/>
      <c r="J6606" s="93"/>
      <c r="K6606" s="92"/>
      <c r="L6606" s="72" t="str">
        <f t="shared" si="103"/>
        <v/>
      </c>
      <c r="N6606" s="15"/>
    </row>
    <row r="6607" spans="1:14" s="14" customFormat="1" ht="18" x14ac:dyDescent="0.25">
      <c r="A6607" s="91"/>
      <c r="B6607" s="90"/>
      <c r="C6607" s="88"/>
      <c r="D6607" s="89"/>
      <c r="E6607" s="90"/>
      <c r="F6607" s="91"/>
      <c r="G6607" s="90"/>
      <c r="H6607" s="92"/>
      <c r="I6607" s="87"/>
      <c r="J6607" s="93"/>
      <c r="K6607" s="92"/>
      <c r="L6607" s="72" t="str">
        <f t="shared" si="103"/>
        <v/>
      </c>
      <c r="N6607" s="15"/>
    </row>
    <row r="6608" spans="1:14" s="14" customFormat="1" ht="18" x14ac:dyDescent="0.25">
      <c r="A6608" s="91"/>
      <c r="B6608" s="90"/>
      <c r="C6608" s="88"/>
      <c r="D6608" s="89"/>
      <c r="E6608" s="90"/>
      <c r="F6608" s="91"/>
      <c r="G6608" s="90"/>
      <c r="H6608" s="92"/>
      <c r="I6608" s="87"/>
      <c r="J6608" s="93"/>
      <c r="K6608" s="92"/>
      <c r="L6608" s="72" t="str">
        <f t="shared" si="103"/>
        <v/>
      </c>
      <c r="N6608" s="15"/>
    </row>
    <row r="6609" spans="1:14" s="14" customFormat="1" ht="18" x14ac:dyDescent="0.25">
      <c r="A6609" s="91"/>
      <c r="B6609" s="90"/>
      <c r="C6609" s="88"/>
      <c r="D6609" s="89"/>
      <c r="E6609" s="90"/>
      <c r="F6609" s="91"/>
      <c r="G6609" s="90"/>
      <c r="H6609" s="92"/>
      <c r="I6609" s="87"/>
      <c r="J6609" s="93"/>
      <c r="K6609" s="92"/>
      <c r="L6609" s="72" t="str">
        <f t="shared" si="103"/>
        <v/>
      </c>
      <c r="N6609" s="15"/>
    </row>
    <row r="6610" spans="1:14" s="14" customFormat="1" ht="18" x14ac:dyDescent="0.25">
      <c r="A6610" s="91"/>
      <c r="B6610" s="90"/>
      <c r="C6610" s="88"/>
      <c r="D6610" s="89"/>
      <c r="E6610" s="90"/>
      <c r="F6610" s="91"/>
      <c r="G6610" s="90"/>
      <c r="H6610" s="92"/>
      <c r="I6610" s="87"/>
      <c r="J6610" s="93"/>
      <c r="K6610" s="92"/>
      <c r="L6610" s="72" t="str">
        <f t="shared" si="103"/>
        <v/>
      </c>
      <c r="N6610" s="15"/>
    </row>
    <row r="6611" spans="1:14" s="14" customFormat="1" ht="18" x14ac:dyDescent="0.25">
      <c r="A6611" s="91"/>
      <c r="B6611" s="90"/>
      <c r="C6611" s="88"/>
      <c r="D6611" s="89"/>
      <c r="E6611" s="90"/>
      <c r="F6611" s="91"/>
      <c r="G6611" s="90"/>
      <c r="H6611" s="92"/>
      <c r="I6611" s="87"/>
      <c r="J6611" s="93"/>
      <c r="K6611" s="92"/>
      <c r="L6611" s="72" t="str">
        <f t="shared" si="103"/>
        <v/>
      </c>
      <c r="N6611" s="15"/>
    </row>
    <row r="6612" spans="1:14" s="14" customFormat="1" ht="18" x14ac:dyDescent="0.25">
      <c r="A6612" s="91"/>
      <c r="B6612" s="90"/>
      <c r="C6612" s="88"/>
      <c r="D6612" s="89"/>
      <c r="E6612" s="90"/>
      <c r="F6612" s="91"/>
      <c r="G6612" s="90"/>
      <c r="H6612" s="92"/>
      <c r="I6612" s="87"/>
      <c r="J6612" s="93"/>
      <c r="K6612" s="92"/>
      <c r="L6612" s="72" t="str">
        <f t="shared" si="103"/>
        <v/>
      </c>
      <c r="N6612" s="15"/>
    </row>
    <row r="6613" spans="1:14" s="14" customFormat="1" ht="18" x14ac:dyDescent="0.25">
      <c r="A6613" s="91"/>
      <c r="B6613" s="90"/>
      <c r="C6613" s="88"/>
      <c r="D6613" s="89"/>
      <c r="E6613" s="90"/>
      <c r="F6613" s="91"/>
      <c r="G6613" s="90"/>
      <c r="H6613" s="92"/>
      <c r="I6613" s="87"/>
      <c r="J6613" s="93"/>
      <c r="K6613" s="92"/>
      <c r="L6613" s="72" t="str">
        <f t="shared" si="103"/>
        <v/>
      </c>
      <c r="N6613" s="15"/>
    </row>
    <row r="6614" spans="1:14" s="14" customFormat="1" ht="18" x14ac:dyDescent="0.25">
      <c r="A6614" s="91"/>
      <c r="B6614" s="90"/>
      <c r="C6614" s="88"/>
      <c r="D6614" s="89"/>
      <c r="E6614" s="90"/>
      <c r="F6614" s="91"/>
      <c r="G6614" s="90"/>
      <c r="H6614" s="92"/>
      <c r="I6614" s="87"/>
      <c r="J6614" s="93"/>
      <c r="K6614" s="92"/>
      <c r="L6614" s="72" t="str">
        <f t="shared" si="103"/>
        <v/>
      </c>
      <c r="N6614" s="15"/>
    </row>
    <row r="6615" spans="1:14" s="14" customFormat="1" ht="18" x14ac:dyDescent="0.25">
      <c r="A6615" s="91"/>
      <c r="B6615" s="90"/>
      <c r="C6615" s="88"/>
      <c r="D6615" s="89"/>
      <c r="E6615" s="90"/>
      <c r="F6615" s="91"/>
      <c r="G6615" s="90"/>
      <c r="H6615" s="92"/>
      <c r="I6615" s="87"/>
      <c r="J6615" s="93"/>
      <c r="K6615" s="92"/>
      <c r="L6615" s="72" t="str">
        <f t="shared" si="103"/>
        <v/>
      </c>
      <c r="N6615" s="15"/>
    </row>
    <row r="6616" spans="1:14" s="14" customFormat="1" ht="18" x14ac:dyDescent="0.25">
      <c r="A6616" s="91"/>
      <c r="B6616" s="90"/>
      <c r="C6616" s="88"/>
      <c r="D6616" s="89"/>
      <c r="E6616" s="90"/>
      <c r="F6616" s="91"/>
      <c r="G6616" s="90"/>
      <c r="H6616" s="92"/>
      <c r="I6616" s="87"/>
      <c r="J6616" s="93"/>
      <c r="K6616" s="92"/>
      <c r="L6616" s="72" t="str">
        <f t="shared" si="103"/>
        <v/>
      </c>
      <c r="N6616" s="15"/>
    </row>
    <row r="6617" spans="1:14" s="14" customFormat="1" ht="18" x14ac:dyDescent="0.25">
      <c r="A6617" s="91"/>
      <c r="B6617" s="90"/>
      <c r="C6617" s="88"/>
      <c r="D6617" s="89"/>
      <c r="E6617" s="90"/>
      <c r="F6617" s="91"/>
      <c r="G6617" s="90"/>
      <c r="H6617" s="92"/>
      <c r="I6617" s="87"/>
      <c r="J6617" s="93"/>
      <c r="K6617" s="92"/>
      <c r="L6617" s="72" t="str">
        <f t="shared" si="103"/>
        <v/>
      </c>
      <c r="N6617" s="15"/>
    </row>
    <row r="6618" spans="1:14" s="14" customFormat="1" ht="18" x14ac:dyDescent="0.25">
      <c r="A6618" s="91"/>
      <c r="B6618" s="90"/>
      <c r="C6618" s="88"/>
      <c r="D6618" s="89"/>
      <c r="E6618" s="90"/>
      <c r="F6618" s="91"/>
      <c r="G6618" s="90"/>
      <c r="H6618" s="92"/>
      <c r="I6618" s="87"/>
      <c r="J6618" s="93"/>
      <c r="K6618" s="92"/>
      <c r="L6618" s="72" t="str">
        <f t="shared" si="103"/>
        <v/>
      </c>
      <c r="N6618" s="15"/>
    </row>
    <row r="6619" spans="1:14" s="14" customFormat="1" ht="18" x14ac:dyDescent="0.25">
      <c r="A6619" s="91"/>
      <c r="B6619" s="90"/>
      <c r="C6619" s="88"/>
      <c r="D6619" s="89"/>
      <c r="E6619" s="90"/>
      <c r="F6619" s="91"/>
      <c r="G6619" s="90"/>
      <c r="H6619" s="92"/>
      <c r="I6619" s="87"/>
      <c r="J6619" s="93"/>
      <c r="K6619" s="92"/>
      <c r="L6619" s="72" t="str">
        <f t="shared" si="103"/>
        <v/>
      </c>
      <c r="N6619" s="15"/>
    </row>
    <row r="6620" spans="1:14" s="14" customFormat="1" ht="18" x14ac:dyDescent="0.25">
      <c r="A6620" s="91"/>
      <c r="B6620" s="90"/>
      <c r="C6620" s="88"/>
      <c r="D6620" s="89"/>
      <c r="E6620" s="90"/>
      <c r="F6620" s="91"/>
      <c r="G6620" s="90"/>
      <c r="H6620" s="92"/>
      <c r="I6620" s="87"/>
      <c r="J6620" s="93"/>
      <c r="K6620" s="92"/>
      <c r="L6620" s="72" t="str">
        <f t="shared" si="103"/>
        <v/>
      </c>
      <c r="N6620" s="15"/>
    </row>
    <row r="6621" spans="1:14" s="14" customFormat="1" ht="18" x14ac:dyDescent="0.25">
      <c r="A6621" s="91"/>
      <c r="B6621" s="90"/>
      <c r="C6621" s="88"/>
      <c r="D6621" s="89"/>
      <c r="E6621" s="90"/>
      <c r="F6621" s="91"/>
      <c r="G6621" s="90"/>
      <c r="H6621" s="92"/>
      <c r="I6621" s="87"/>
      <c r="J6621" s="93"/>
      <c r="K6621" s="92"/>
      <c r="L6621" s="72" t="str">
        <f t="shared" si="103"/>
        <v/>
      </c>
      <c r="N6621" s="15"/>
    </row>
    <row r="6622" spans="1:14" s="14" customFormat="1" ht="18" x14ac:dyDescent="0.25">
      <c r="A6622" s="91"/>
      <c r="B6622" s="90"/>
      <c r="C6622" s="88"/>
      <c r="D6622" s="89"/>
      <c r="E6622" s="90"/>
      <c r="F6622" s="91"/>
      <c r="G6622" s="90"/>
      <c r="H6622" s="92"/>
      <c r="I6622" s="87"/>
      <c r="J6622" s="93"/>
      <c r="K6622" s="92"/>
      <c r="L6622" s="72" t="str">
        <f t="shared" ref="L6622:L6685" si="104">IF(ISBLANK(H6622),"",IF(H6622=K6622,"Payé","Impayé"))</f>
        <v/>
      </c>
      <c r="N6622" s="15"/>
    </row>
    <row r="6623" spans="1:14" s="14" customFormat="1" ht="18" x14ac:dyDescent="0.25">
      <c r="A6623" s="91"/>
      <c r="B6623" s="90"/>
      <c r="C6623" s="88"/>
      <c r="D6623" s="89"/>
      <c r="E6623" s="90"/>
      <c r="F6623" s="91"/>
      <c r="G6623" s="90"/>
      <c r="H6623" s="92"/>
      <c r="I6623" s="87"/>
      <c r="J6623" s="93"/>
      <c r="K6623" s="92"/>
      <c r="L6623" s="72" t="str">
        <f t="shared" si="104"/>
        <v/>
      </c>
      <c r="N6623" s="15"/>
    </row>
    <row r="6624" spans="1:14" s="14" customFormat="1" ht="18" x14ac:dyDescent="0.25">
      <c r="A6624" s="91"/>
      <c r="B6624" s="90"/>
      <c r="C6624" s="88"/>
      <c r="D6624" s="89"/>
      <c r="E6624" s="90"/>
      <c r="F6624" s="91"/>
      <c r="G6624" s="90"/>
      <c r="H6624" s="92"/>
      <c r="I6624" s="87"/>
      <c r="J6624" s="93"/>
      <c r="K6624" s="92"/>
      <c r="L6624" s="72" t="str">
        <f t="shared" si="104"/>
        <v/>
      </c>
      <c r="N6624" s="15"/>
    </row>
    <row r="6625" spans="1:14" s="14" customFormat="1" ht="18" x14ac:dyDescent="0.25">
      <c r="A6625" s="91"/>
      <c r="B6625" s="90"/>
      <c r="C6625" s="88"/>
      <c r="D6625" s="89"/>
      <c r="E6625" s="90"/>
      <c r="F6625" s="91"/>
      <c r="G6625" s="90"/>
      <c r="H6625" s="92"/>
      <c r="I6625" s="87"/>
      <c r="J6625" s="93"/>
      <c r="K6625" s="92"/>
      <c r="L6625" s="72" t="str">
        <f t="shared" si="104"/>
        <v/>
      </c>
      <c r="N6625" s="15"/>
    </row>
    <row r="6626" spans="1:14" s="14" customFormat="1" ht="18" x14ac:dyDescent="0.25">
      <c r="A6626" s="91"/>
      <c r="B6626" s="90"/>
      <c r="C6626" s="88"/>
      <c r="D6626" s="89"/>
      <c r="E6626" s="90"/>
      <c r="F6626" s="91"/>
      <c r="G6626" s="90"/>
      <c r="H6626" s="92"/>
      <c r="I6626" s="87"/>
      <c r="J6626" s="93"/>
      <c r="K6626" s="92"/>
      <c r="L6626" s="72" t="str">
        <f t="shared" si="104"/>
        <v/>
      </c>
      <c r="N6626" s="15"/>
    </row>
    <row r="6627" spans="1:14" s="14" customFormat="1" ht="18" x14ac:dyDescent="0.25">
      <c r="A6627" s="91"/>
      <c r="B6627" s="90"/>
      <c r="C6627" s="88"/>
      <c r="D6627" s="89"/>
      <c r="E6627" s="90"/>
      <c r="F6627" s="91"/>
      <c r="G6627" s="90"/>
      <c r="H6627" s="92"/>
      <c r="I6627" s="87"/>
      <c r="J6627" s="93"/>
      <c r="K6627" s="92"/>
      <c r="L6627" s="72" t="str">
        <f t="shared" si="104"/>
        <v/>
      </c>
      <c r="N6627" s="15"/>
    </row>
    <row r="6628" spans="1:14" s="14" customFormat="1" ht="18" x14ac:dyDescent="0.25">
      <c r="A6628" s="91"/>
      <c r="B6628" s="90"/>
      <c r="C6628" s="88"/>
      <c r="D6628" s="89"/>
      <c r="E6628" s="90"/>
      <c r="F6628" s="91"/>
      <c r="G6628" s="90"/>
      <c r="H6628" s="92"/>
      <c r="I6628" s="87"/>
      <c r="J6628" s="93"/>
      <c r="K6628" s="92"/>
      <c r="L6628" s="72" t="str">
        <f t="shared" si="104"/>
        <v/>
      </c>
      <c r="N6628" s="15"/>
    </row>
    <row r="6629" spans="1:14" s="14" customFormat="1" ht="18" x14ac:dyDescent="0.25">
      <c r="A6629" s="91"/>
      <c r="B6629" s="90"/>
      <c r="C6629" s="88"/>
      <c r="D6629" s="89"/>
      <c r="E6629" s="90"/>
      <c r="F6629" s="91"/>
      <c r="G6629" s="90"/>
      <c r="H6629" s="92"/>
      <c r="I6629" s="87"/>
      <c r="J6629" s="93"/>
      <c r="K6629" s="92"/>
      <c r="L6629" s="72" t="str">
        <f t="shared" si="104"/>
        <v/>
      </c>
      <c r="N6629" s="15"/>
    </row>
    <row r="6630" spans="1:14" s="14" customFormat="1" ht="18" x14ac:dyDescent="0.25">
      <c r="A6630" s="91"/>
      <c r="B6630" s="90"/>
      <c r="C6630" s="88"/>
      <c r="D6630" s="89"/>
      <c r="E6630" s="90"/>
      <c r="F6630" s="91"/>
      <c r="G6630" s="90"/>
      <c r="H6630" s="92"/>
      <c r="I6630" s="87"/>
      <c r="J6630" s="93"/>
      <c r="K6630" s="92"/>
      <c r="L6630" s="72" t="str">
        <f t="shared" si="104"/>
        <v/>
      </c>
      <c r="N6630" s="15"/>
    </row>
    <row r="6631" spans="1:14" s="14" customFormat="1" ht="18" x14ac:dyDescent="0.25">
      <c r="A6631" s="91"/>
      <c r="B6631" s="90"/>
      <c r="C6631" s="88"/>
      <c r="D6631" s="89"/>
      <c r="E6631" s="90"/>
      <c r="F6631" s="91"/>
      <c r="G6631" s="90"/>
      <c r="H6631" s="92"/>
      <c r="I6631" s="87"/>
      <c r="J6631" s="93"/>
      <c r="K6631" s="92"/>
      <c r="L6631" s="72" t="str">
        <f t="shared" si="104"/>
        <v/>
      </c>
      <c r="N6631" s="15"/>
    </row>
    <row r="6632" spans="1:14" s="14" customFormat="1" ht="18" x14ac:dyDescent="0.25">
      <c r="A6632" s="91"/>
      <c r="B6632" s="90"/>
      <c r="C6632" s="88"/>
      <c r="D6632" s="89"/>
      <c r="E6632" s="90"/>
      <c r="F6632" s="91"/>
      <c r="G6632" s="90"/>
      <c r="H6632" s="92"/>
      <c r="I6632" s="87"/>
      <c r="J6632" s="93"/>
      <c r="K6632" s="92"/>
      <c r="L6632" s="72" t="str">
        <f t="shared" si="104"/>
        <v/>
      </c>
      <c r="N6632" s="15"/>
    </row>
    <row r="6633" spans="1:14" s="14" customFormat="1" ht="18" x14ac:dyDescent="0.25">
      <c r="A6633" s="91"/>
      <c r="B6633" s="90"/>
      <c r="C6633" s="88"/>
      <c r="D6633" s="89"/>
      <c r="E6633" s="90"/>
      <c r="F6633" s="91"/>
      <c r="G6633" s="90"/>
      <c r="H6633" s="92"/>
      <c r="I6633" s="87"/>
      <c r="J6633" s="93"/>
      <c r="K6633" s="92"/>
      <c r="L6633" s="72" t="str">
        <f t="shared" si="104"/>
        <v/>
      </c>
      <c r="N6633" s="15"/>
    </row>
    <row r="6634" spans="1:14" s="14" customFormat="1" ht="18" x14ac:dyDescent="0.25">
      <c r="A6634" s="91"/>
      <c r="B6634" s="90"/>
      <c r="C6634" s="88"/>
      <c r="D6634" s="89"/>
      <c r="E6634" s="90"/>
      <c r="F6634" s="91"/>
      <c r="G6634" s="90"/>
      <c r="H6634" s="92"/>
      <c r="I6634" s="87"/>
      <c r="J6634" s="93"/>
      <c r="K6634" s="92"/>
      <c r="L6634" s="72" t="str">
        <f t="shared" si="104"/>
        <v/>
      </c>
      <c r="N6634" s="15"/>
    </row>
    <row r="6635" spans="1:14" s="14" customFormat="1" ht="18" x14ac:dyDescent="0.25">
      <c r="A6635" s="91"/>
      <c r="B6635" s="90"/>
      <c r="C6635" s="88"/>
      <c r="D6635" s="89"/>
      <c r="E6635" s="90"/>
      <c r="F6635" s="91"/>
      <c r="G6635" s="90"/>
      <c r="H6635" s="92"/>
      <c r="I6635" s="87"/>
      <c r="J6635" s="93"/>
      <c r="K6635" s="92"/>
      <c r="L6635" s="72" t="str">
        <f t="shared" si="104"/>
        <v/>
      </c>
      <c r="N6635" s="15"/>
    </row>
    <row r="6636" spans="1:14" s="14" customFormat="1" ht="18" x14ac:dyDescent="0.25">
      <c r="A6636" s="91"/>
      <c r="B6636" s="90"/>
      <c r="C6636" s="88"/>
      <c r="D6636" s="89"/>
      <c r="E6636" s="90"/>
      <c r="F6636" s="91"/>
      <c r="G6636" s="90"/>
      <c r="H6636" s="92"/>
      <c r="I6636" s="87"/>
      <c r="J6636" s="93"/>
      <c r="K6636" s="92"/>
      <c r="L6636" s="72" t="str">
        <f t="shared" si="104"/>
        <v/>
      </c>
      <c r="N6636" s="15"/>
    </row>
    <row r="6637" spans="1:14" s="14" customFormat="1" ht="18" x14ac:dyDescent="0.25">
      <c r="A6637" s="91"/>
      <c r="B6637" s="90"/>
      <c r="C6637" s="88"/>
      <c r="D6637" s="89"/>
      <c r="E6637" s="90"/>
      <c r="F6637" s="91"/>
      <c r="G6637" s="90"/>
      <c r="H6637" s="92"/>
      <c r="I6637" s="87"/>
      <c r="J6637" s="93"/>
      <c r="K6637" s="92"/>
      <c r="L6637" s="72" t="str">
        <f t="shared" si="104"/>
        <v/>
      </c>
      <c r="N6637" s="15"/>
    </row>
    <row r="6638" spans="1:14" s="14" customFormat="1" ht="18" x14ac:dyDescent="0.25">
      <c r="A6638" s="91"/>
      <c r="B6638" s="90"/>
      <c r="C6638" s="88"/>
      <c r="D6638" s="89"/>
      <c r="E6638" s="90"/>
      <c r="F6638" s="91"/>
      <c r="G6638" s="90"/>
      <c r="H6638" s="92"/>
      <c r="I6638" s="87"/>
      <c r="J6638" s="93"/>
      <c r="K6638" s="92"/>
      <c r="L6638" s="72" t="str">
        <f t="shared" si="104"/>
        <v/>
      </c>
      <c r="N6638" s="15"/>
    </row>
    <row r="6639" spans="1:14" s="14" customFormat="1" ht="18" x14ac:dyDescent="0.25">
      <c r="A6639" s="91"/>
      <c r="B6639" s="90"/>
      <c r="C6639" s="88"/>
      <c r="D6639" s="89"/>
      <c r="E6639" s="90"/>
      <c r="F6639" s="91"/>
      <c r="G6639" s="90"/>
      <c r="H6639" s="92"/>
      <c r="I6639" s="87"/>
      <c r="J6639" s="93"/>
      <c r="K6639" s="92"/>
      <c r="L6639" s="72" t="str">
        <f t="shared" si="104"/>
        <v/>
      </c>
      <c r="N6639" s="15"/>
    </row>
    <row r="6640" spans="1:14" s="14" customFormat="1" ht="18" x14ac:dyDescent="0.25">
      <c r="A6640" s="91"/>
      <c r="B6640" s="90"/>
      <c r="C6640" s="88"/>
      <c r="D6640" s="89"/>
      <c r="E6640" s="90"/>
      <c r="F6640" s="91"/>
      <c r="G6640" s="90"/>
      <c r="H6640" s="92"/>
      <c r="I6640" s="87"/>
      <c r="J6640" s="93"/>
      <c r="K6640" s="92"/>
      <c r="L6640" s="72" t="str">
        <f t="shared" si="104"/>
        <v/>
      </c>
      <c r="N6640" s="15"/>
    </row>
    <row r="6641" spans="1:14" s="14" customFormat="1" ht="18" x14ac:dyDescent="0.25">
      <c r="A6641" s="91"/>
      <c r="B6641" s="90"/>
      <c r="C6641" s="88"/>
      <c r="D6641" s="89"/>
      <c r="E6641" s="90"/>
      <c r="F6641" s="91"/>
      <c r="G6641" s="90"/>
      <c r="H6641" s="92"/>
      <c r="I6641" s="87"/>
      <c r="J6641" s="93"/>
      <c r="K6641" s="92"/>
      <c r="L6641" s="72" t="str">
        <f t="shared" si="104"/>
        <v/>
      </c>
      <c r="N6641" s="15"/>
    </row>
    <row r="6642" spans="1:14" s="14" customFormat="1" ht="18" x14ac:dyDescent="0.25">
      <c r="A6642" s="91"/>
      <c r="B6642" s="90"/>
      <c r="C6642" s="88"/>
      <c r="D6642" s="89"/>
      <c r="E6642" s="90"/>
      <c r="F6642" s="91"/>
      <c r="G6642" s="90"/>
      <c r="H6642" s="92"/>
      <c r="I6642" s="87"/>
      <c r="J6642" s="93"/>
      <c r="K6642" s="92"/>
      <c r="L6642" s="72" t="str">
        <f t="shared" si="104"/>
        <v/>
      </c>
      <c r="N6642" s="15"/>
    </row>
    <row r="6643" spans="1:14" s="14" customFormat="1" ht="18" x14ac:dyDescent="0.25">
      <c r="A6643" s="91"/>
      <c r="B6643" s="90"/>
      <c r="C6643" s="88"/>
      <c r="D6643" s="89"/>
      <c r="E6643" s="90"/>
      <c r="F6643" s="91"/>
      <c r="G6643" s="90"/>
      <c r="H6643" s="92"/>
      <c r="I6643" s="87"/>
      <c r="J6643" s="93"/>
      <c r="K6643" s="92"/>
      <c r="L6643" s="72" t="str">
        <f t="shared" si="104"/>
        <v/>
      </c>
      <c r="N6643" s="15"/>
    </row>
    <row r="6644" spans="1:14" s="14" customFormat="1" ht="18" x14ac:dyDescent="0.25">
      <c r="A6644" s="91"/>
      <c r="B6644" s="90"/>
      <c r="C6644" s="88"/>
      <c r="D6644" s="89"/>
      <c r="E6644" s="90"/>
      <c r="F6644" s="91"/>
      <c r="G6644" s="90"/>
      <c r="H6644" s="92"/>
      <c r="I6644" s="87"/>
      <c r="J6644" s="93"/>
      <c r="K6644" s="92"/>
      <c r="L6644" s="72" t="str">
        <f t="shared" si="104"/>
        <v/>
      </c>
      <c r="N6644" s="15"/>
    </row>
    <row r="6645" spans="1:14" s="14" customFormat="1" ht="18" x14ac:dyDescent="0.25">
      <c r="A6645" s="91"/>
      <c r="B6645" s="90"/>
      <c r="C6645" s="88"/>
      <c r="D6645" s="89"/>
      <c r="E6645" s="90"/>
      <c r="F6645" s="91"/>
      <c r="G6645" s="90"/>
      <c r="H6645" s="92"/>
      <c r="I6645" s="87"/>
      <c r="J6645" s="93"/>
      <c r="K6645" s="92"/>
      <c r="L6645" s="72" t="str">
        <f t="shared" si="104"/>
        <v/>
      </c>
      <c r="N6645" s="15"/>
    </row>
    <row r="6646" spans="1:14" s="14" customFormat="1" ht="18" x14ac:dyDescent="0.25">
      <c r="A6646" s="91"/>
      <c r="B6646" s="90"/>
      <c r="C6646" s="88"/>
      <c r="D6646" s="89"/>
      <c r="E6646" s="90"/>
      <c r="F6646" s="91"/>
      <c r="G6646" s="90"/>
      <c r="H6646" s="92"/>
      <c r="I6646" s="87"/>
      <c r="J6646" s="93"/>
      <c r="K6646" s="92"/>
      <c r="L6646" s="72" t="str">
        <f t="shared" si="104"/>
        <v/>
      </c>
      <c r="N6646" s="15"/>
    </row>
    <row r="6647" spans="1:14" s="14" customFormat="1" ht="18" x14ac:dyDescent="0.25">
      <c r="A6647" s="91"/>
      <c r="B6647" s="90"/>
      <c r="C6647" s="88"/>
      <c r="D6647" s="89"/>
      <c r="E6647" s="90"/>
      <c r="F6647" s="91"/>
      <c r="G6647" s="90"/>
      <c r="H6647" s="92"/>
      <c r="I6647" s="87"/>
      <c r="J6647" s="93"/>
      <c r="K6647" s="92"/>
      <c r="L6647" s="72" t="str">
        <f t="shared" si="104"/>
        <v/>
      </c>
      <c r="N6647" s="15"/>
    </row>
    <row r="6648" spans="1:14" s="14" customFormat="1" ht="18" x14ac:dyDescent="0.25">
      <c r="A6648" s="91"/>
      <c r="B6648" s="90"/>
      <c r="C6648" s="88"/>
      <c r="D6648" s="89"/>
      <c r="E6648" s="90"/>
      <c r="F6648" s="91"/>
      <c r="G6648" s="90"/>
      <c r="H6648" s="92"/>
      <c r="I6648" s="87"/>
      <c r="J6648" s="93"/>
      <c r="K6648" s="92"/>
      <c r="L6648" s="72" t="str">
        <f t="shared" si="104"/>
        <v/>
      </c>
      <c r="N6648" s="15"/>
    </row>
    <row r="6649" spans="1:14" s="14" customFormat="1" ht="18" x14ac:dyDescent="0.25">
      <c r="A6649" s="91"/>
      <c r="B6649" s="90"/>
      <c r="C6649" s="88"/>
      <c r="D6649" s="89"/>
      <c r="E6649" s="90"/>
      <c r="F6649" s="91"/>
      <c r="G6649" s="90"/>
      <c r="H6649" s="92"/>
      <c r="I6649" s="87"/>
      <c r="J6649" s="93"/>
      <c r="K6649" s="92"/>
      <c r="L6649" s="72" t="str">
        <f t="shared" si="104"/>
        <v/>
      </c>
      <c r="N6649" s="15"/>
    </row>
    <row r="6650" spans="1:14" s="14" customFormat="1" ht="18" x14ac:dyDescent="0.25">
      <c r="A6650" s="91"/>
      <c r="B6650" s="90"/>
      <c r="C6650" s="88"/>
      <c r="D6650" s="89"/>
      <c r="E6650" s="90"/>
      <c r="F6650" s="91"/>
      <c r="G6650" s="90"/>
      <c r="H6650" s="92"/>
      <c r="I6650" s="87"/>
      <c r="J6650" s="93"/>
      <c r="K6650" s="92"/>
      <c r="L6650" s="72" t="str">
        <f t="shared" si="104"/>
        <v/>
      </c>
      <c r="N6650" s="15"/>
    </row>
    <row r="6651" spans="1:14" s="14" customFormat="1" ht="18" x14ac:dyDescent="0.25">
      <c r="A6651" s="91"/>
      <c r="B6651" s="90"/>
      <c r="C6651" s="88"/>
      <c r="D6651" s="89"/>
      <c r="E6651" s="90"/>
      <c r="F6651" s="91"/>
      <c r="G6651" s="90"/>
      <c r="H6651" s="92"/>
      <c r="I6651" s="87"/>
      <c r="J6651" s="93"/>
      <c r="K6651" s="92"/>
      <c r="L6651" s="72" t="str">
        <f t="shared" si="104"/>
        <v/>
      </c>
      <c r="N6651" s="15"/>
    </row>
    <row r="6652" spans="1:14" s="14" customFormat="1" ht="18" x14ac:dyDescent="0.25">
      <c r="A6652" s="91"/>
      <c r="B6652" s="90"/>
      <c r="C6652" s="88"/>
      <c r="D6652" s="89"/>
      <c r="E6652" s="90"/>
      <c r="F6652" s="91"/>
      <c r="G6652" s="90"/>
      <c r="H6652" s="92"/>
      <c r="I6652" s="87"/>
      <c r="J6652" s="93"/>
      <c r="K6652" s="92"/>
      <c r="L6652" s="72" t="str">
        <f t="shared" si="104"/>
        <v/>
      </c>
      <c r="N6652" s="15"/>
    </row>
    <row r="6653" spans="1:14" s="14" customFormat="1" ht="18" x14ac:dyDescent="0.25">
      <c r="A6653" s="91"/>
      <c r="B6653" s="90"/>
      <c r="C6653" s="88"/>
      <c r="D6653" s="89"/>
      <c r="E6653" s="90"/>
      <c r="F6653" s="91"/>
      <c r="G6653" s="90"/>
      <c r="H6653" s="92"/>
      <c r="I6653" s="87"/>
      <c r="J6653" s="93"/>
      <c r="K6653" s="92"/>
      <c r="L6653" s="72" t="str">
        <f t="shared" si="104"/>
        <v/>
      </c>
      <c r="N6653" s="15"/>
    </row>
    <row r="6654" spans="1:14" s="14" customFormat="1" ht="18" x14ac:dyDescent="0.25">
      <c r="A6654" s="91"/>
      <c r="B6654" s="90"/>
      <c r="C6654" s="88"/>
      <c r="D6654" s="89"/>
      <c r="E6654" s="90"/>
      <c r="F6654" s="91"/>
      <c r="G6654" s="90"/>
      <c r="H6654" s="92"/>
      <c r="I6654" s="87"/>
      <c r="J6654" s="93"/>
      <c r="K6654" s="92"/>
      <c r="L6654" s="72" t="str">
        <f t="shared" si="104"/>
        <v/>
      </c>
      <c r="N6654" s="15"/>
    </row>
    <row r="6655" spans="1:14" s="14" customFormat="1" ht="18" x14ac:dyDescent="0.25">
      <c r="A6655" s="91"/>
      <c r="B6655" s="90"/>
      <c r="C6655" s="88"/>
      <c r="D6655" s="89"/>
      <c r="E6655" s="90"/>
      <c r="F6655" s="91"/>
      <c r="G6655" s="90"/>
      <c r="H6655" s="92"/>
      <c r="I6655" s="87"/>
      <c r="J6655" s="93"/>
      <c r="K6655" s="92"/>
      <c r="L6655" s="72" t="str">
        <f t="shared" si="104"/>
        <v/>
      </c>
      <c r="N6655" s="15"/>
    </row>
    <row r="6656" spans="1:14" s="14" customFormat="1" ht="18" x14ac:dyDescent="0.25">
      <c r="A6656" s="91"/>
      <c r="B6656" s="90"/>
      <c r="C6656" s="88"/>
      <c r="D6656" s="89"/>
      <c r="E6656" s="90"/>
      <c r="F6656" s="91"/>
      <c r="G6656" s="90"/>
      <c r="H6656" s="92"/>
      <c r="I6656" s="87"/>
      <c r="J6656" s="93"/>
      <c r="K6656" s="92"/>
      <c r="L6656" s="72" t="str">
        <f t="shared" si="104"/>
        <v/>
      </c>
      <c r="N6656" s="15"/>
    </row>
    <row r="6657" spans="1:14" s="14" customFormat="1" ht="18" x14ac:dyDescent="0.25">
      <c r="A6657" s="91"/>
      <c r="B6657" s="90"/>
      <c r="C6657" s="88"/>
      <c r="D6657" s="89"/>
      <c r="E6657" s="90"/>
      <c r="F6657" s="91"/>
      <c r="G6657" s="90"/>
      <c r="H6657" s="92"/>
      <c r="I6657" s="87"/>
      <c r="J6657" s="93"/>
      <c r="K6657" s="92"/>
      <c r="L6657" s="72" t="str">
        <f t="shared" si="104"/>
        <v/>
      </c>
      <c r="N6657" s="15"/>
    </row>
    <row r="6658" spans="1:14" s="14" customFormat="1" ht="18" x14ac:dyDescent="0.25">
      <c r="A6658" s="91"/>
      <c r="B6658" s="90"/>
      <c r="C6658" s="88"/>
      <c r="D6658" s="89"/>
      <c r="E6658" s="90"/>
      <c r="F6658" s="91"/>
      <c r="G6658" s="90"/>
      <c r="H6658" s="92"/>
      <c r="I6658" s="87"/>
      <c r="J6658" s="93"/>
      <c r="K6658" s="92"/>
      <c r="L6658" s="72" t="str">
        <f t="shared" si="104"/>
        <v/>
      </c>
      <c r="N6658" s="15"/>
    </row>
    <row r="6659" spans="1:14" s="14" customFormat="1" ht="18" x14ac:dyDescent="0.25">
      <c r="A6659" s="91"/>
      <c r="B6659" s="90"/>
      <c r="C6659" s="88"/>
      <c r="D6659" s="89"/>
      <c r="E6659" s="90"/>
      <c r="F6659" s="91"/>
      <c r="G6659" s="90"/>
      <c r="H6659" s="92"/>
      <c r="I6659" s="87"/>
      <c r="J6659" s="93"/>
      <c r="K6659" s="92"/>
      <c r="L6659" s="72" t="str">
        <f t="shared" si="104"/>
        <v/>
      </c>
      <c r="N6659" s="15"/>
    </row>
    <row r="6660" spans="1:14" s="14" customFormat="1" ht="18" x14ac:dyDescent="0.25">
      <c r="A6660" s="91"/>
      <c r="B6660" s="90"/>
      <c r="C6660" s="88"/>
      <c r="D6660" s="89"/>
      <c r="E6660" s="90"/>
      <c r="F6660" s="91"/>
      <c r="G6660" s="90"/>
      <c r="H6660" s="92"/>
      <c r="I6660" s="87"/>
      <c r="J6660" s="93"/>
      <c r="K6660" s="92"/>
      <c r="L6660" s="72" t="str">
        <f t="shared" si="104"/>
        <v/>
      </c>
      <c r="N6660" s="15"/>
    </row>
    <row r="6661" spans="1:14" s="14" customFormat="1" ht="18" x14ac:dyDescent="0.25">
      <c r="A6661" s="91"/>
      <c r="B6661" s="90"/>
      <c r="C6661" s="88"/>
      <c r="D6661" s="89"/>
      <c r="E6661" s="90"/>
      <c r="F6661" s="91"/>
      <c r="G6661" s="90"/>
      <c r="H6661" s="92"/>
      <c r="I6661" s="87"/>
      <c r="J6661" s="93"/>
      <c r="K6661" s="92"/>
      <c r="L6661" s="72" t="str">
        <f t="shared" si="104"/>
        <v/>
      </c>
      <c r="N6661" s="15"/>
    </row>
    <row r="6662" spans="1:14" s="14" customFormat="1" ht="18" x14ac:dyDescent="0.25">
      <c r="A6662" s="91"/>
      <c r="B6662" s="90"/>
      <c r="C6662" s="88"/>
      <c r="D6662" s="89"/>
      <c r="E6662" s="90"/>
      <c r="F6662" s="91"/>
      <c r="G6662" s="90"/>
      <c r="H6662" s="92"/>
      <c r="I6662" s="87"/>
      <c r="J6662" s="93"/>
      <c r="K6662" s="92"/>
      <c r="L6662" s="72" t="str">
        <f t="shared" si="104"/>
        <v/>
      </c>
      <c r="N6662" s="15"/>
    </row>
    <row r="6663" spans="1:14" ht="15" customHeight="1" x14ac:dyDescent="0.25">
      <c r="A6663" s="160" t="s">
        <v>862</v>
      </c>
      <c r="B6663" s="170">
        <v>6</v>
      </c>
      <c r="C6663" s="214" t="s">
        <v>542</v>
      </c>
      <c r="D6663" s="90" t="s">
        <v>17</v>
      </c>
      <c r="E6663" s="196" t="s">
        <v>368</v>
      </c>
      <c r="F6663" s="160" t="s">
        <v>862</v>
      </c>
      <c r="G6663" s="163">
        <v>2</v>
      </c>
      <c r="H6663" s="138">
        <v>191</v>
      </c>
      <c r="I6663" s="188">
        <v>46064</v>
      </c>
      <c r="J6663" s="189">
        <v>0.55555555555555558</v>
      </c>
      <c r="K6663" s="138">
        <v>191</v>
      </c>
      <c r="L6663" s="72" t="str">
        <f t="shared" si="104"/>
        <v>Payé</v>
      </c>
    </row>
    <row r="6664" spans="1:14" ht="15" customHeight="1" x14ac:dyDescent="0.25">
      <c r="A6664" s="160" t="s">
        <v>862</v>
      </c>
      <c r="B6664" s="171">
        <v>95</v>
      </c>
      <c r="C6664" s="215" t="s">
        <v>408</v>
      </c>
      <c r="D6664" s="90" t="s">
        <v>17</v>
      </c>
      <c r="E6664" s="196" t="s">
        <v>103</v>
      </c>
      <c r="F6664" s="160" t="s">
        <v>862</v>
      </c>
      <c r="G6664" s="163">
        <v>1</v>
      </c>
      <c r="H6664" s="138">
        <v>95</v>
      </c>
      <c r="I6664" s="178">
        <v>46080</v>
      </c>
      <c r="J6664" s="177">
        <v>0.50486111111111109</v>
      </c>
      <c r="K6664" s="138">
        <v>95</v>
      </c>
      <c r="L6664" s="72" t="str">
        <f t="shared" si="104"/>
        <v>Payé</v>
      </c>
    </row>
    <row r="6665" spans="1:14" ht="15" customHeight="1" x14ac:dyDescent="0.25">
      <c r="A6665" s="160" t="s">
        <v>862</v>
      </c>
      <c r="B6665" s="171">
        <v>102</v>
      </c>
      <c r="C6665" s="215" t="s">
        <v>594</v>
      </c>
      <c r="D6665" s="90" t="s">
        <v>17</v>
      </c>
      <c r="E6665" s="196" t="s">
        <v>81</v>
      </c>
      <c r="F6665" s="160" t="s">
        <v>862</v>
      </c>
      <c r="G6665" s="163">
        <v>2</v>
      </c>
      <c r="H6665" s="138">
        <v>191</v>
      </c>
      <c r="I6665" s="188">
        <v>46067</v>
      </c>
      <c r="J6665" s="189">
        <v>0.44861111111111113</v>
      </c>
      <c r="K6665" s="138">
        <v>191</v>
      </c>
      <c r="L6665" s="72" t="str">
        <f t="shared" si="104"/>
        <v>Payé</v>
      </c>
    </row>
    <row r="6666" spans="1:14" ht="15" customHeight="1" x14ac:dyDescent="0.25">
      <c r="A6666" s="160" t="s">
        <v>862</v>
      </c>
      <c r="B6666" s="171">
        <v>198</v>
      </c>
      <c r="C6666" s="215" t="s">
        <v>380</v>
      </c>
      <c r="D6666" s="90" t="s">
        <v>17</v>
      </c>
      <c r="E6666" s="196" t="s">
        <v>369</v>
      </c>
      <c r="F6666" s="160" t="s">
        <v>862</v>
      </c>
      <c r="G6666" s="163">
        <v>2</v>
      </c>
      <c r="H6666" s="138">
        <v>191</v>
      </c>
      <c r="I6666" s="87">
        <v>46077</v>
      </c>
      <c r="J6666" s="93">
        <v>0.47638888888888892</v>
      </c>
      <c r="K6666" s="138">
        <v>191</v>
      </c>
      <c r="L6666" s="72" t="str">
        <f t="shared" si="104"/>
        <v>Payé</v>
      </c>
    </row>
    <row r="6667" spans="1:14" ht="15" customHeight="1" x14ac:dyDescent="0.25">
      <c r="A6667" s="160" t="s">
        <v>862</v>
      </c>
      <c r="B6667" s="173">
        <v>346</v>
      </c>
      <c r="C6667" s="216" t="s">
        <v>950</v>
      </c>
      <c r="D6667" s="90" t="s">
        <v>17</v>
      </c>
      <c r="E6667" s="196" t="s">
        <v>123</v>
      </c>
      <c r="F6667" s="160" t="s">
        <v>862</v>
      </c>
      <c r="G6667" s="163">
        <v>1</v>
      </c>
      <c r="H6667" s="138">
        <v>90</v>
      </c>
      <c r="I6667" s="178">
        <v>46060</v>
      </c>
      <c r="J6667" s="172">
        <v>0.6694444444444444</v>
      </c>
      <c r="K6667" s="138">
        <v>90</v>
      </c>
      <c r="L6667" s="72" t="str">
        <f t="shared" si="104"/>
        <v>Payé</v>
      </c>
    </row>
    <row r="6668" spans="1:14" ht="15" customHeight="1" x14ac:dyDescent="0.25">
      <c r="A6668" s="160" t="s">
        <v>862</v>
      </c>
      <c r="B6668" s="171">
        <v>348</v>
      </c>
      <c r="C6668" s="215" t="s">
        <v>951</v>
      </c>
      <c r="D6668" s="90" t="s">
        <v>17</v>
      </c>
      <c r="E6668" s="196" t="s">
        <v>123</v>
      </c>
      <c r="F6668" s="160" t="s">
        <v>862</v>
      </c>
      <c r="G6668" s="163">
        <v>2</v>
      </c>
      <c r="H6668" s="138">
        <v>182</v>
      </c>
      <c r="I6668" s="188">
        <v>46065</v>
      </c>
      <c r="J6668" s="189">
        <v>0.61319444444444449</v>
      </c>
      <c r="K6668" s="138">
        <v>182</v>
      </c>
      <c r="L6668" s="72" t="str">
        <f t="shared" si="104"/>
        <v>Payé</v>
      </c>
    </row>
    <row r="6669" spans="1:14" ht="15" customHeight="1" x14ac:dyDescent="0.25">
      <c r="A6669" s="160" t="s">
        <v>862</v>
      </c>
      <c r="B6669" s="173">
        <v>520</v>
      </c>
      <c r="C6669" s="216" t="s">
        <v>954</v>
      </c>
      <c r="D6669" s="90" t="s">
        <v>17</v>
      </c>
      <c r="E6669" s="196" t="s">
        <v>123</v>
      </c>
      <c r="F6669" s="160" t="s">
        <v>862</v>
      </c>
      <c r="G6669" s="163">
        <v>1</v>
      </c>
      <c r="H6669" s="138">
        <v>90</v>
      </c>
      <c r="I6669" s="178">
        <v>46060</v>
      </c>
      <c r="J6669" s="172">
        <v>0.6694444444444444</v>
      </c>
      <c r="K6669" s="138">
        <v>90</v>
      </c>
      <c r="L6669" s="72" t="str">
        <f t="shared" si="104"/>
        <v>Payé</v>
      </c>
    </row>
    <row r="6670" spans="1:14" ht="15" customHeight="1" x14ac:dyDescent="0.25">
      <c r="A6670" s="160" t="s">
        <v>862</v>
      </c>
      <c r="B6670" s="173">
        <v>559</v>
      </c>
      <c r="C6670" s="216" t="s">
        <v>955</v>
      </c>
      <c r="D6670" s="90" t="s">
        <v>17</v>
      </c>
      <c r="E6670" s="196" t="s">
        <v>123</v>
      </c>
      <c r="F6670" s="160" t="s">
        <v>862</v>
      </c>
      <c r="G6670" s="163">
        <v>1</v>
      </c>
      <c r="H6670" s="138">
        <v>90</v>
      </c>
      <c r="I6670" s="178">
        <v>46060</v>
      </c>
      <c r="J6670" s="172">
        <v>0.6694444444444444</v>
      </c>
      <c r="K6670" s="138">
        <v>90</v>
      </c>
      <c r="L6670" s="72" t="str">
        <f t="shared" si="104"/>
        <v>Payé</v>
      </c>
    </row>
    <row r="6671" spans="1:14" ht="15" customHeight="1" x14ac:dyDescent="0.25">
      <c r="A6671" s="160" t="s">
        <v>862</v>
      </c>
      <c r="B6671" s="173">
        <v>564</v>
      </c>
      <c r="C6671" s="216" t="s">
        <v>294</v>
      </c>
      <c r="D6671" s="90" t="s">
        <v>17</v>
      </c>
      <c r="E6671" s="196" t="s">
        <v>123</v>
      </c>
      <c r="F6671" s="160" t="s">
        <v>862</v>
      </c>
      <c r="G6671" s="163">
        <v>10</v>
      </c>
      <c r="H6671" s="138">
        <v>900</v>
      </c>
      <c r="I6671" s="188">
        <v>46066</v>
      </c>
      <c r="J6671" s="189">
        <v>0.56805555555555554</v>
      </c>
      <c r="K6671" s="138">
        <v>900</v>
      </c>
      <c r="L6671" s="72" t="str">
        <f t="shared" si="104"/>
        <v>Payé</v>
      </c>
    </row>
    <row r="6672" spans="1:14" ht="15" customHeight="1" x14ac:dyDescent="0.25">
      <c r="A6672" s="160" t="s">
        <v>862</v>
      </c>
      <c r="B6672" s="173">
        <v>990</v>
      </c>
      <c r="C6672" s="216" t="s">
        <v>1585</v>
      </c>
      <c r="D6672" s="90" t="s">
        <v>17</v>
      </c>
      <c r="E6672" s="196" t="s">
        <v>123</v>
      </c>
      <c r="F6672" s="160" t="s">
        <v>862</v>
      </c>
      <c r="G6672" s="163">
        <v>1</v>
      </c>
      <c r="H6672" s="138">
        <v>90</v>
      </c>
      <c r="I6672" s="178">
        <v>46060</v>
      </c>
      <c r="J6672" s="172">
        <v>0.6694444444444444</v>
      </c>
      <c r="K6672" s="138">
        <v>90</v>
      </c>
      <c r="L6672" s="72" t="str">
        <f t="shared" si="104"/>
        <v>Payé</v>
      </c>
    </row>
    <row r="6673" spans="1:12" ht="15" customHeight="1" x14ac:dyDescent="0.25">
      <c r="A6673" s="160" t="s">
        <v>862</v>
      </c>
      <c r="B6673" s="171">
        <v>994</v>
      </c>
      <c r="C6673" s="215" t="s">
        <v>381</v>
      </c>
      <c r="D6673" s="90" t="s">
        <v>17</v>
      </c>
      <c r="E6673" s="196" t="s">
        <v>370</v>
      </c>
      <c r="F6673" s="160" t="s">
        <v>862</v>
      </c>
      <c r="G6673" s="163">
        <v>2</v>
      </c>
      <c r="H6673" s="138">
        <v>182</v>
      </c>
      <c r="I6673" s="188">
        <v>46063</v>
      </c>
      <c r="J6673" s="190">
        <v>0.61944444444444446</v>
      </c>
      <c r="K6673" s="138">
        <v>182</v>
      </c>
      <c r="L6673" s="72" t="str">
        <f t="shared" si="104"/>
        <v>Payé</v>
      </c>
    </row>
    <row r="6674" spans="1:12" ht="15" customHeight="1" x14ac:dyDescent="0.25">
      <c r="A6674" s="160" t="s">
        <v>862</v>
      </c>
      <c r="B6674" s="173">
        <v>1505</v>
      </c>
      <c r="C6674" s="216" t="s">
        <v>383</v>
      </c>
      <c r="D6674" s="90" t="s">
        <v>17</v>
      </c>
      <c r="E6674" s="196" t="s">
        <v>1187</v>
      </c>
      <c r="F6674" s="160" t="s">
        <v>862</v>
      </c>
      <c r="G6674" s="163">
        <v>8</v>
      </c>
      <c r="H6674" s="138">
        <v>720</v>
      </c>
      <c r="I6674" s="188">
        <v>46077</v>
      </c>
      <c r="J6674" s="189">
        <v>0.60138888888888886</v>
      </c>
      <c r="K6674" s="138">
        <v>720</v>
      </c>
      <c r="L6674" s="72" t="str">
        <f t="shared" si="104"/>
        <v>Payé</v>
      </c>
    </row>
    <row r="6675" spans="1:12" ht="15" customHeight="1" x14ac:dyDescent="0.25">
      <c r="A6675" s="185" t="s">
        <v>862</v>
      </c>
      <c r="B6675" s="173">
        <v>1649</v>
      </c>
      <c r="C6675" s="216" t="s">
        <v>1559</v>
      </c>
      <c r="D6675" s="90" t="s">
        <v>17</v>
      </c>
      <c r="E6675" s="196" t="s">
        <v>753</v>
      </c>
      <c r="F6675" s="185" t="s">
        <v>862</v>
      </c>
      <c r="G6675" s="163">
        <v>5.5</v>
      </c>
      <c r="H6675" s="138">
        <v>495</v>
      </c>
      <c r="I6675" s="188">
        <v>46072</v>
      </c>
      <c r="J6675" s="189" t="s">
        <v>1669</v>
      </c>
      <c r="K6675" s="138">
        <v>495</v>
      </c>
      <c r="L6675" s="72" t="str">
        <f t="shared" si="104"/>
        <v>Payé</v>
      </c>
    </row>
    <row r="6676" spans="1:12" ht="15" customHeight="1" x14ac:dyDescent="0.25">
      <c r="A6676" s="160" t="s">
        <v>862</v>
      </c>
      <c r="B6676" s="173">
        <v>1688</v>
      </c>
      <c r="C6676" s="216" t="s">
        <v>1114</v>
      </c>
      <c r="D6676" s="90" t="s">
        <v>17</v>
      </c>
      <c r="E6676" s="196" t="s">
        <v>254</v>
      </c>
      <c r="F6676" s="160" t="s">
        <v>862</v>
      </c>
      <c r="G6676" s="163">
        <v>10</v>
      </c>
      <c r="H6676" s="138">
        <v>900</v>
      </c>
      <c r="I6676" s="178">
        <v>46087</v>
      </c>
      <c r="J6676" s="177">
        <v>0.58472222222222225</v>
      </c>
      <c r="K6676" s="138">
        <v>900</v>
      </c>
      <c r="L6676" s="72" t="str">
        <f t="shared" si="104"/>
        <v>Payé</v>
      </c>
    </row>
    <row r="6677" spans="1:12" ht="15" customHeight="1" x14ac:dyDescent="0.25">
      <c r="A6677" s="160" t="s">
        <v>862</v>
      </c>
      <c r="B6677" s="171">
        <v>2311</v>
      </c>
      <c r="C6677" s="215" t="s">
        <v>406</v>
      </c>
      <c r="D6677" s="90" t="s">
        <v>17</v>
      </c>
      <c r="E6677" s="196" t="s">
        <v>420</v>
      </c>
      <c r="F6677" s="160" t="s">
        <v>862</v>
      </c>
      <c r="G6677" s="163">
        <v>1</v>
      </c>
      <c r="H6677" s="138">
        <v>91</v>
      </c>
      <c r="I6677" s="188">
        <v>46064</v>
      </c>
      <c r="J6677" s="190">
        <v>0.48958333333333331</v>
      </c>
      <c r="K6677" s="138">
        <v>91</v>
      </c>
      <c r="L6677" s="72" t="str">
        <f t="shared" si="104"/>
        <v>Payé</v>
      </c>
    </row>
    <row r="6678" spans="1:12" ht="15" customHeight="1" x14ac:dyDescent="0.25">
      <c r="A6678" s="160" t="s">
        <v>862</v>
      </c>
      <c r="B6678" s="173">
        <v>2856</v>
      </c>
      <c r="C6678" s="216" t="s">
        <v>1288</v>
      </c>
      <c r="D6678" s="90" t="s">
        <v>17</v>
      </c>
      <c r="E6678" s="196" t="s">
        <v>123</v>
      </c>
      <c r="F6678" s="160" t="s">
        <v>862</v>
      </c>
      <c r="G6678" s="163">
        <v>8</v>
      </c>
      <c r="H6678" s="138">
        <v>750</v>
      </c>
      <c r="I6678" s="188">
        <v>46064</v>
      </c>
      <c r="J6678" s="190">
        <v>0.47430555555555554</v>
      </c>
      <c r="K6678" s="138">
        <v>750</v>
      </c>
      <c r="L6678" s="72" t="str">
        <f t="shared" si="104"/>
        <v>Payé</v>
      </c>
    </row>
    <row r="6679" spans="1:12" ht="15" customHeight="1" x14ac:dyDescent="0.25">
      <c r="A6679" s="185" t="s">
        <v>862</v>
      </c>
      <c r="B6679" s="173">
        <v>2986</v>
      </c>
      <c r="C6679" s="216" t="s">
        <v>1236</v>
      </c>
      <c r="D6679" s="90" t="s">
        <v>17</v>
      </c>
      <c r="E6679" s="196" t="s">
        <v>649</v>
      </c>
      <c r="F6679" s="185" t="s">
        <v>862</v>
      </c>
      <c r="G6679" s="163">
        <v>3.5</v>
      </c>
      <c r="H6679" s="138">
        <v>315</v>
      </c>
      <c r="I6679" s="188">
        <v>46073</v>
      </c>
      <c r="J6679" s="189">
        <v>0.58333333333333337</v>
      </c>
      <c r="K6679" s="138">
        <v>315</v>
      </c>
      <c r="L6679" s="72" t="str">
        <f t="shared" si="104"/>
        <v>Payé</v>
      </c>
    </row>
    <row r="6680" spans="1:12" ht="15" customHeight="1" x14ac:dyDescent="0.25">
      <c r="A6680" s="185" t="s">
        <v>862</v>
      </c>
      <c r="B6680" s="174">
        <v>2997</v>
      </c>
      <c r="C6680" s="217" t="s">
        <v>719</v>
      </c>
      <c r="D6680" s="90" t="s">
        <v>17</v>
      </c>
      <c r="E6680" s="196" t="s">
        <v>753</v>
      </c>
      <c r="F6680" s="185" t="s">
        <v>862</v>
      </c>
      <c r="G6680" s="163">
        <v>12</v>
      </c>
      <c r="H6680" s="138">
        <v>1200</v>
      </c>
      <c r="I6680" s="178">
        <v>46062</v>
      </c>
      <c r="J6680" s="180">
        <v>0.64722222222222225</v>
      </c>
      <c r="K6680" s="138">
        <v>1200</v>
      </c>
      <c r="L6680" s="72" t="str">
        <f t="shared" si="104"/>
        <v>Payé</v>
      </c>
    </row>
    <row r="6681" spans="1:12" ht="15" customHeight="1" x14ac:dyDescent="0.25">
      <c r="A6681" s="160" t="s">
        <v>862</v>
      </c>
      <c r="B6681" s="173">
        <v>3015</v>
      </c>
      <c r="C6681" s="216" t="s">
        <v>1474</v>
      </c>
      <c r="D6681" s="90" t="s">
        <v>17</v>
      </c>
      <c r="E6681" s="196" t="s">
        <v>254</v>
      </c>
      <c r="F6681" s="160" t="s">
        <v>862</v>
      </c>
      <c r="G6681" s="163">
        <v>7</v>
      </c>
      <c r="H6681" s="138">
        <v>630</v>
      </c>
      <c r="I6681" s="188">
        <v>46064</v>
      </c>
      <c r="J6681" s="189">
        <v>0.55625000000000002</v>
      </c>
      <c r="K6681" s="138">
        <v>630</v>
      </c>
      <c r="L6681" s="72" t="str">
        <f t="shared" si="104"/>
        <v>Payé</v>
      </c>
    </row>
    <row r="6682" spans="1:12" ht="15" customHeight="1" x14ac:dyDescent="0.25">
      <c r="A6682" s="160" t="s">
        <v>862</v>
      </c>
      <c r="B6682" s="173">
        <v>3021</v>
      </c>
      <c r="C6682" s="216" t="s">
        <v>304</v>
      </c>
      <c r="D6682" s="90" t="s">
        <v>17</v>
      </c>
      <c r="E6682" s="196" t="s">
        <v>667</v>
      </c>
      <c r="F6682" s="160" t="s">
        <v>862</v>
      </c>
      <c r="G6682" s="163">
        <v>6</v>
      </c>
      <c r="H6682" s="138">
        <v>540</v>
      </c>
      <c r="I6682" s="188">
        <v>46072</v>
      </c>
      <c r="J6682" s="189">
        <v>0.4597222222222222</v>
      </c>
      <c r="K6682" s="138">
        <v>540</v>
      </c>
      <c r="L6682" s="72" t="str">
        <f t="shared" si="104"/>
        <v>Payé</v>
      </c>
    </row>
    <row r="6683" spans="1:12" ht="15" customHeight="1" x14ac:dyDescent="0.25">
      <c r="A6683" s="160" t="s">
        <v>862</v>
      </c>
      <c r="B6683" s="173">
        <v>3087</v>
      </c>
      <c r="C6683" s="216" t="s">
        <v>1238</v>
      </c>
      <c r="D6683" s="90" t="s">
        <v>17</v>
      </c>
      <c r="E6683" s="196" t="s">
        <v>649</v>
      </c>
      <c r="F6683" s="160" t="s">
        <v>862</v>
      </c>
      <c r="G6683" s="163">
        <v>10</v>
      </c>
      <c r="H6683" s="138">
        <v>900</v>
      </c>
      <c r="I6683" s="178">
        <v>46060</v>
      </c>
      <c r="J6683" s="180">
        <v>0.66319444444444442</v>
      </c>
      <c r="K6683" s="138">
        <v>900</v>
      </c>
      <c r="L6683" s="72" t="str">
        <f t="shared" si="104"/>
        <v>Payé</v>
      </c>
    </row>
    <row r="6684" spans="1:12" ht="15" customHeight="1" x14ac:dyDescent="0.25">
      <c r="A6684" s="160" t="s">
        <v>862</v>
      </c>
      <c r="B6684" s="173">
        <v>3130</v>
      </c>
      <c r="C6684" s="216" t="s">
        <v>553</v>
      </c>
      <c r="D6684" s="90" t="s">
        <v>17</v>
      </c>
      <c r="E6684" s="196" t="s">
        <v>649</v>
      </c>
      <c r="F6684" s="160" t="s">
        <v>862</v>
      </c>
      <c r="G6684" s="163">
        <v>9</v>
      </c>
      <c r="H6684" s="138">
        <v>810</v>
      </c>
      <c r="I6684" s="188">
        <v>46072</v>
      </c>
      <c r="J6684" s="189">
        <v>0.37916666666666665</v>
      </c>
      <c r="K6684" s="138">
        <v>810</v>
      </c>
      <c r="L6684" s="72" t="str">
        <f t="shared" si="104"/>
        <v>Payé</v>
      </c>
    </row>
    <row r="6685" spans="1:12" ht="15" customHeight="1" x14ac:dyDescent="0.25">
      <c r="A6685" s="160" t="s">
        <v>862</v>
      </c>
      <c r="B6685" s="173">
        <v>3260</v>
      </c>
      <c r="C6685" s="216" t="s">
        <v>1119</v>
      </c>
      <c r="D6685" s="90" t="s">
        <v>17</v>
      </c>
      <c r="E6685" s="196" t="s">
        <v>628</v>
      </c>
      <c r="F6685" s="160" t="s">
        <v>862</v>
      </c>
      <c r="G6685" s="163">
        <v>5</v>
      </c>
      <c r="H6685" s="138">
        <v>530</v>
      </c>
      <c r="I6685" s="178">
        <v>46060</v>
      </c>
      <c r="J6685" s="172">
        <v>0.60972222222222217</v>
      </c>
      <c r="K6685" s="138">
        <v>530</v>
      </c>
      <c r="L6685" s="72" t="str">
        <f t="shared" si="104"/>
        <v>Payé</v>
      </c>
    </row>
    <row r="6686" spans="1:12" ht="15" customHeight="1" x14ac:dyDescent="0.25">
      <c r="A6686" s="160" t="s">
        <v>862</v>
      </c>
      <c r="B6686" s="90">
        <v>3351</v>
      </c>
      <c r="C6686" s="217" t="s">
        <v>617</v>
      </c>
      <c r="D6686" s="90" t="s">
        <v>17</v>
      </c>
      <c r="E6686" s="196" t="s">
        <v>107</v>
      </c>
      <c r="F6686" s="160" t="s">
        <v>862</v>
      </c>
      <c r="G6686" s="163">
        <v>1</v>
      </c>
      <c r="H6686" s="138">
        <v>91</v>
      </c>
      <c r="I6686" s="87">
        <v>46119</v>
      </c>
      <c r="J6686" s="93">
        <v>0.69305555555555554</v>
      </c>
      <c r="K6686" s="138">
        <v>91</v>
      </c>
      <c r="L6686" s="72" t="str">
        <f t="shared" ref="L6686:L6749" si="105">IF(ISBLANK(H6686),"",IF(H6686=K6686,"Payé","Impayé"))</f>
        <v>Payé</v>
      </c>
    </row>
    <row r="6687" spans="1:12" ht="15" customHeight="1" x14ac:dyDescent="0.25">
      <c r="A6687" s="160" t="s">
        <v>862</v>
      </c>
      <c r="B6687" s="90">
        <v>3398</v>
      </c>
      <c r="C6687" s="215" t="s">
        <v>557</v>
      </c>
      <c r="D6687" s="90" t="s">
        <v>17</v>
      </c>
      <c r="E6687" s="196" t="s">
        <v>420</v>
      </c>
      <c r="F6687" s="160" t="s">
        <v>862</v>
      </c>
      <c r="G6687" s="163">
        <v>2</v>
      </c>
      <c r="H6687" s="138">
        <v>173</v>
      </c>
      <c r="I6687" s="188">
        <v>46070</v>
      </c>
      <c r="J6687" s="189">
        <v>0.66805555555555562</v>
      </c>
      <c r="K6687" s="138">
        <v>173</v>
      </c>
      <c r="L6687" s="72" t="str">
        <f t="shared" si="105"/>
        <v>Payé</v>
      </c>
    </row>
    <row r="6688" spans="1:12" ht="15" customHeight="1" x14ac:dyDescent="0.25">
      <c r="A6688" s="160" t="s">
        <v>862</v>
      </c>
      <c r="B6688" s="90">
        <v>3412</v>
      </c>
      <c r="C6688" s="215" t="s">
        <v>560</v>
      </c>
      <c r="D6688" s="90" t="s">
        <v>17</v>
      </c>
      <c r="E6688" s="196" t="s">
        <v>371</v>
      </c>
      <c r="F6688" s="160" t="s">
        <v>862</v>
      </c>
      <c r="G6688" s="163">
        <v>2</v>
      </c>
      <c r="H6688" s="138">
        <v>173</v>
      </c>
      <c r="I6688" s="178">
        <v>46060</v>
      </c>
      <c r="J6688" s="179">
        <v>0.64374999999999993</v>
      </c>
      <c r="K6688" s="138">
        <v>173</v>
      </c>
      <c r="L6688" s="72" t="str">
        <f t="shared" si="105"/>
        <v>Payé</v>
      </c>
    </row>
    <row r="6689" spans="1:12" ht="15" customHeight="1" x14ac:dyDescent="0.25">
      <c r="A6689" s="160" t="s">
        <v>862</v>
      </c>
      <c r="B6689" s="90">
        <v>3427</v>
      </c>
      <c r="C6689" s="216" t="s">
        <v>979</v>
      </c>
      <c r="D6689" s="90" t="s">
        <v>17</v>
      </c>
      <c r="E6689" s="196" t="s">
        <v>123</v>
      </c>
      <c r="F6689" s="160" t="s">
        <v>862</v>
      </c>
      <c r="G6689" s="163">
        <v>1</v>
      </c>
      <c r="H6689" s="138">
        <v>90</v>
      </c>
      <c r="I6689" s="178">
        <v>46060</v>
      </c>
      <c r="J6689" s="172">
        <v>0.6694444444444444</v>
      </c>
      <c r="K6689" s="138">
        <v>90</v>
      </c>
      <c r="L6689" s="72" t="str">
        <f t="shared" si="105"/>
        <v>Payé</v>
      </c>
    </row>
    <row r="6690" spans="1:12" ht="15" customHeight="1" x14ac:dyDescent="0.25">
      <c r="A6690" s="160" t="s">
        <v>862</v>
      </c>
      <c r="B6690" s="90">
        <v>3440</v>
      </c>
      <c r="C6690" s="216" t="s">
        <v>561</v>
      </c>
      <c r="D6690" s="90" t="s">
        <v>17</v>
      </c>
      <c r="E6690" s="196" t="s">
        <v>49</v>
      </c>
      <c r="F6690" s="160" t="s">
        <v>862</v>
      </c>
      <c r="G6690" s="163">
        <v>12</v>
      </c>
      <c r="H6690" s="138">
        <v>1080</v>
      </c>
      <c r="I6690" s="178">
        <v>46060</v>
      </c>
      <c r="J6690" s="172">
        <v>0.66736111111111107</v>
      </c>
      <c r="K6690" s="138">
        <v>1080</v>
      </c>
      <c r="L6690" s="72" t="str">
        <f t="shared" si="105"/>
        <v>Payé</v>
      </c>
    </row>
    <row r="6691" spans="1:12" ht="15" customHeight="1" x14ac:dyDescent="0.25">
      <c r="A6691" s="160" t="s">
        <v>862</v>
      </c>
      <c r="B6691" s="90">
        <v>3448</v>
      </c>
      <c r="C6691" s="216" t="s">
        <v>1239</v>
      </c>
      <c r="D6691" s="90" t="s">
        <v>17</v>
      </c>
      <c r="E6691" s="196" t="s">
        <v>649</v>
      </c>
      <c r="F6691" s="160" t="s">
        <v>862</v>
      </c>
      <c r="G6691" s="163">
        <v>1</v>
      </c>
      <c r="H6691" s="138">
        <v>90</v>
      </c>
      <c r="I6691" s="185"/>
      <c r="J6691" s="186"/>
      <c r="K6691" s="185"/>
      <c r="L6691" s="72" t="str">
        <f t="shared" si="105"/>
        <v>Impayé</v>
      </c>
    </row>
    <row r="6692" spans="1:12" ht="15" customHeight="1" x14ac:dyDescent="0.25">
      <c r="A6692" s="160" t="s">
        <v>862</v>
      </c>
      <c r="B6692" s="90">
        <v>3518</v>
      </c>
      <c r="C6692" s="216" t="s">
        <v>1061</v>
      </c>
      <c r="D6692" s="90" t="s">
        <v>17</v>
      </c>
      <c r="E6692" s="196" t="s">
        <v>254</v>
      </c>
      <c r="F6692" s="160" t="s">
        <v>862</v>
      </c>
      <c r="G6692" s="163">
        <v>8</v>
      </c>
      <c r="H6692" s="138">
        <v>720</v>
      </c>
      <c r="I6692" s="178">
        <v>46080</v>
      </c>
      <c r="J6692" s="177">
        <v>0.60416666666666663</v>
      </c>
      <c r="K6692" s="138">
        <v>720</v>
      </c>
      <c r="L6692" s="72" t="str">
        <f t="shared" si="105"/>
        <v>Payé</v>
      </c>
    </row>
    <row r="6693" spans="1:12" ht="15" customHeight="1" x14ac:dyDescent="0.25">
      <c r="A6693" s="160" t="s">
        <v>862</v>
      </c>
      <c r="B6693" s="90">
        <v>3534</v>
      </c>
      <c r="C6693" s="216" t="s">
        <v>563</v>
      </c>
      <c r="D6693" s="90" t="s">
        <v>17</v>
      </c>
      <c r="E6693" s="196" t="s">
        <v>1187</v>
      </c>
      <c r="F6693" s="160" t="s">
        <v>862</v>
      </c>
      <c r="G6693" s="163">
        <v>4</v>
      </c>
      <c r="H6693" s="138">
        <v>380</v>
      </c>
      <c r="I6693" s="188">
        <v>46077</v>
      </c>
      <c r="J6693" s="189">
        <v>0.60138888888888886</v>
      </c>
      <c r="K6693" s="138">
        <v>380</v>
      </c>
      <c r="L6693" s="72" t="str">
        <f t="shared" si="105"/>
        <v>Payé</v>
      </c>
    </row>
    <row r="6694" spans="1:12" ht="15" customHeight="1" x14ac:dyDescent="0.25">
      <c r="A6694" s="160" t="s">
        <v>862</v>
      </c>
      <c r="B6694" s="90">
        <v>3535</v>
      </c>
      <c r="C6694" s="216" t="s">
        <v>564</v>
      </c>
      <c r="D6694" s="90" t="s">
        <v>17</v>
      </c>
      <c r="E6694" s="196" t="s">
        <v>1187</v>
      </c>
      <c r="F6694" s="160" t="s">
        <v>862</v>
      </c>
      <c r="G6694" s="163">
        <v>5</v>
      </c>
      <c r="H6694" s="138">
        <v>450</v>
      </c>
      <c r="I6694" s="188">
        <v>46077</v>
      </c>
      <c r="J6694" s="189">
        <v>0.60138888888888886</v>
      </c>
      <c r="K6694" s="138">
        <v>450</v>
      </c>
      <c r="L6694" s="72" t="str">
        <f t="shared" si="105"/>
        <v>Payé</v>
      </c>
    </row>
    <row r="6695" spans="1:12" ht="15" customHeight="1" x14ac:dyDescent="0.25">
      <c r="A6695" s="160" t="s">
        <v>862</v>
      </c>
      <c r="B6695" s="90">
        <v>3545</v>
      </c>
      <c r="C6695" s="216" t="s">
        <v>606</v>
      </c>
      <c r="D6695" s="90" t="s">
        <v>17</v>
      </c>
      <c r="E6695" s="196" t="s">
        <v>123</v>
      </c>
      <c r="F6695" s="160" t="s">
        <v>862</v>
      </c>
      <c r="G6695" s="163">
        <v>1</v>
      </c>
      <c r="H6695" s="138">
        <v>90</v>
      </c>
      <c r="I6695" s="178">
        <v>46060</v>
      </c>
      <c r="J6695" s="172">
        <v>0.6694444444444444</v>
      </c>
      <c r="K6695" s="138">
        <v>90</v>
      </c>
      <c r="L6695" s="72" t="str">
        <f t="shared" si="105"/>
        <v>Payé</v>
      </c>
    </row>
    <row r="6696" spans="1:12" ht="15" customHeight="1" x14ac:dyDescent="0.25">
      <c r="A6696" s="160" t="s">
        <v>862</v>
      </c>
      <c r="B6696" s="90">
        <v>3627</v>
      </c>
      <c r="C6696" s="216" t="s">
        <v>566</v>
      </c>
      <c r="D6696" s="90" t="s">
        <v>17</v>
      </c>
      <c r="E6696" s="196" t="s">
        <v>649</v>
      </c>
      <c r="F6696" s="160" t="s">
        <v>862</v>
      </c>
      <c r="G6696" s="163">
        <v>3</v>
      </c>
      <c r="H6696" s="138">
        <v>270</v>
      </c>
      <c r="I6696" s="188">
        <v>46073</v>
      </c>
      <c r="J6696" s="189">
        <v>0.58333333333333337</v>
      </c>
      <c r="K6696" s="138">
        <v>270</v>
      </c>
      <c r="L6696" s="72" t="str">
        <f t="shared" si="105"/>
        <v>Payé</v>
      </c>
    </row>
    <row r="6697" spans="1:12" ht="15" customHeight="1" x14ac:dyDescent="0.25">
      <c r="A6697" s="160" t="s">
        <v>862</v>
      </c>
      <c r="B6697" s="90">
        <v>3672</v>
      </c>
      <c r="C6697" s="217" t="s">
        <v>568</v>
      </c>
      <c r="D6697" s="90" t="s">
        <v>17</v>
      </c>
      <c r="E6697" s="196" t="s">
        <v>613</v>
      </c>
      <c r="F6697" s="160" t="s">
        <v>862</v>
      </c>
      <c r="G6697" s="163">
        <v>16</v>
      </c>
      <c r="H6697" s="138">
        <v>1790</v>
      </c>
      <c r="I6697" s="178">
        <v>46060</v>
      </c>
      <c r="J6697" s="172">
        <v>0.64374999999999993</v>
      </c>
      <c r="K6697" s="138">
        <v>1790</v>
      </c>
      <c r="L6697" s="72" t="str">
        <f t="shared" si="105"/>
        <v>Payé</v>
      </c>
    </row>
    <row r="6698" spans="1:12" ht="15" customHeight="1" x14ac:dyDescent="0.25">
      <c r="A6698" s="160" t="s">
        <v>862</v>
      </c>
      <c r="B6698" s="90">
        <v>3723</v>
      </c>
      <c r="C6698" s="216" t="s">
        <v>1586</v>
      </c>
      <c r="D6698" s="90" t="s">
        <v>17</v>
      </c>
      <c r="E6698" s="196" t="s">
        <v>254</v>
      </c>
      <c r="F6698" s="160" t="s">
        <v>862</v>
      </c>
      <c r="G6698" s="163">
        <v>1</v>
      </c>
      <c r="H6698" s="138">
        <v>90</v>
      </c>
      <c r="I6698" s="188">
        <v>46076</v>
      </c>
      <c r="J6698" s="189">
        <v>0.47430555555555554</v>
      </c>
      <c r="K6698" s="138">
        <v>90</v>
      </c>
      <c r="L6698" s="72" t="str">
        <f t="shared" si="105"/>
        <v>Payé</v>
      </c>
    </row>
    <row r="6699" spans="1:12" ht="15" customHeight="1" x14ac:dyDescent="0.25">
      <c r="A6699" s="160" t="s">
        <v>862</v>
      </c>
      <c r="B6699" s="90">
        <v>3726</v>
      </c>
      <c r="C6699" s="216" t="s">
        <v>570</v>
      </c>
      <c r="D6699" s="90" t="s">
        <v>17</v>
      </c>
      <c r="E6699" s="196" t="s">
        <v>123</v>
      </c>
      <c r="F6699" s="160" t="s">
        <v>862</v>
      </c>
      <c r="G6699" s="163">
        <v>14</v>
      </c>
      <c r="H6699" s="138">
        <v>1260</v>
      </c>
      <c r="I6699" s="178">
        <v>46060</v>
      </c>
      <c r="J6699" s="172">
        <v>0.67361111111111116</v>
      </c>
      <c r="K6699" s="138">
        <v>1260</v>
      </c>
      <c r="L6699" s="72" t="str">
        <f t="shared" si="105"/>
        <v>Payé</v>
      </c>
    </row>
    <row r="6700" spans="1:12" ht="15" customHeight="1" x14ac:dyDescent="0.25">
      <c r="A6700" s="160" t="s">
        <v>862</v>
      </c>
      <c r="B6700" s="90">
        <v>3760</v>
      </c>
      <c r="C6700" s="216" t="s">
        <v>465</v>
      </c>
      <c r="D6700" s="90" t="s">
        <v>17</v>
      </c>
      <c r="E6700" s="196" t="s">
        <v>49</v>
      </c>
      <c r="F6700" s="160" t="s">
        <v>862</v>
      </c>
      <c r="G6700" s="163">
        <v>10</v>
      </c>
      <c r="H6700" s="138">
        <v>900</v>
      </c>
      <c r="I6700" s="178">
        <v>46060</v>
      </c>
      <c r="J6700" s="172">
        <v>0.66736111111111107</v>
      </c>
      <c r="K6700" s="138">
        <v>900</v>
      </c>
      <c r="L6700" s="72" t="str">
        <f t="shared" si="105"/>
        <v>Payé</v>
      </c>
    </row>
    <row r="6701" spans="1:12" ht="15" customHeight="1" x14ac:dyDescent="0.25">
      <c r="A6701" s="160" t="s">
        <v>862</v>
      </c>
      <c r="B6701" s="90">
        <v>3793</v>
      </c>
      <c r="C6701" s="216" t="s">
        <v>572</v>
      </c>
      <c r="D6701" s="90" t="s">
        <v>17</v>
      </c>
      <c r="E6701" s="196" t="s">
        <v>123</v>
      </c>
      <c r="F6701" s="160" t="s">
        <v>862</v>
      </c>
      <c r="G6701" s="163">
        <v>1</v>
      </c>
      <c r="H6701" s="138">
        <v>90</v>
      </c>
      <c r="I6701" s="178">
        <v>46060</v>
      </c>
      <c r="J6701" s="172">
        <v>0.6694444444444444</v>
      </c>
      <c r="K6701" s="138">
        <v>90</v>
      </c>
      <c r="L6701" s="72" t="str">
        <f t="shared" si="105"/>
        <v>Payé</v>
      </c>
    </row>
    <row r="6702" spans="1:12" ht="15" customHeight="1" x14ac:dyDescent="0.25">
      <c r="A6702" s="160" t="s">
        <v>862</v>
      </c>
      <c r="B6702" s="90">
        <v>3819</v>
      </c>
      <c r="C6702" s="216" t="s">
        <v>1537</v>
      </c>
      <c r="D6702" s="90" t="s">
        <v>17</v>
      </c>
      <c r="E6702" s="196" t="s">
        <v>753</v>
      </c>
      <c r="F6702" s="160" t="s">
        <v>862</v>
      </c>
      <c r="G6702" s="163">
        <v>4</v>
      </c>
      <c r="H6702" s="138">
        <v>360</v>
      </c>
      <c r="I6702" s="188">
        <v>46069</v>
      </c>
      <c r="J6702" s="189">
        <v>0.57222222222222219</v>
      </c>
      <c r="K6702" s="138">
        <v>360</v>
      </c>
      <c r="L6702" s="72" t="str">
        <f t="shared" si="105"/>
        <v>Payé</v>
      </c>
    </row>
    <row r="6703" spans="1:12" ht="15" customHeight="1" x14ac:dyDescent="0.25">
      <c r="A6703" s="160" t="s">
        <v>862</v>
      </c>
      <c r="B6703" s="90">
        <v>3823</v>
      </c>
      <c r="C6703" s="216" t="s">
        <v>824</v>
      </c>
      <c r="D6703" s="90" t="s">
        <v>17</v>
      </c>
      <c r="E6703" s="196" t="s">
        <v>753</v>
      </c>
      <c r="F6703" s="160" t="s">
        <v>862</v>
      </c>
      <c r="G6703" s="163">
        <v>10</v>
      </c>
      <c r="H6703" s="138">
        <v>900</v>
      </c>
      <c r="I6703" s="188">
        <v>46069</v>
      </c>
      <c r="J6703" s="189">
        <v>0.57222222222222219</v>
      </c>
      <c r="K6703" s="138">
        <v>900</v>
      </c>
      <c r="L6703" s="72" t="str">
        <f t="shared" si="105"/>
        <v>Payé</v>
      </c>
    </row>
    <row r="6704" spans="1:12" ht="15" customHeight="1" x14ac:dyDescent="0.25">
      <c r="A6704" s="160" t="s">
        <v>862</v>
      </c>
      <c r="B6704" s="90">
        <v>3947</v>
      </c>
      <c r="C6704" s="216" t="s">
        <v>576</v>
      </c>
      <c r="D6704" s="90" t="s">
        <v>17</v>
      </c>
      <c r="E6704" s="196" t="s">
        <v>1187</v>
      </c>
      <c r="F6704" s="160" t="s">
        <v>862</v>
      </c>
      <c r="G6704" s="163">
        <v>8</v>
      </c>
      <c r="H6704" s="138">
        <v>740</v>
      </c>
      <c r="I6704" s="188">
        <v>46077</v>
      </c>
      <c r="J6704" s="189">
        <v>0.60138888888888886</v>
      </c>
      <c r="K6704" s="138">
        <v>740</v>
      </c>
      <c r="L6704" s="72" t="str">
        <f t="shared" si="105"/>
        <v>Payé</v>
      </c>
    </row>
    <row r="6705" spans="1:12" ht="15" customHeight="1" x14ac:dyDescent="0.25">
      <c r="A6705" s="160" t="s">
        <v>862</v>
      </c>
      <c r="B6705" s="90">
        <v>3979</v>
      </c>
      <c r="C6705" s="216" t="s">
        <v>1538</v>
      </c>
      <c r="D6705" s="90" t="s">
        <v>17</v>
      </c>
      <c r="E6705" s="196" t="s">
        <v>753</v>
      </c>
      <c r="F6705" s="160" t="s">
        <v>862</v>
      </c>
      <c r="G6705" s="163">
        <v>8</v>
      </c>
      <c r="H6705" s="138">
        <v>720</v>
      </c>
      <c r="I6705" s="188">
        <v>46072</v>
      </c>
      <c r="J6705" s="189">
        <v>0.54652777777777783</v>
      </c>
      <c r="K6705" s="138">
        <v>720</v>
      </c>
      <c r="L6705" s="72" t="str">
        <f t="shared" si="105"/>
        <v>Payé</v>
      </c>
    </row>
    <row r="6706" spans="1:12" ht="15" customHeight="1" x14ac:dyDescent="0.25">
      <c r="A6706" s="160" t="s">
        <v>862</v>
      </c>
      <c r="B6706" s="90">
        <v>3989</v>
      </c>
      <c r="C6706" s="216" t="s">
        <v>1477</v>
      </c>
      <c r="D6706" s="90" t="s">
        <v>17</v>
      </c>
      <c r="E6706" s="196" t="s">
        <v>254</v>
      </c>
      <c r="F6706" s="160" t="s">
        <v>862</v>
      </c>
      <c r="G6706" s="163">
        <v>9</v>
      </c>
      <c r="H6706" s="138">
        <v>810</v>
      </c>
      <c r="I6706" s="178">
        <v>46062</v>
      </c>
      <c r="J6706" s="179">
        <v>0.64722222222222225</v>
      </c>
      <c r="K6706" s="138">
        <v>810</v>
      </c>
      <c r="L6706" s="72" t="str">
        <f t="shared" si="105"/>
        <v>Payé</v>
      </c>
    </row>
    <row r="6707" spans="1:12" ht="15" customHeight="1" x14ac:dyDescent="0.25">
      <c r="A6707" s="160" t="s">
        <v>862</v>
      </c>
      <c r="B6707" s="90">
        <v>4009</v>
      </c>
      <c r="C6707" s="216" t="s">
        <v>1560</v>
      </c>
      <c r="D6707" s="90" t="s">
        <v>17</v>
      </c>
      <c r="E6707" s="196" t="s">
        <v>649</v>
      </c>
      <c r="F6707" s="160" t="s">
        <v>862</v>
      </c>
      <c r="G6707" s="163">
        <v>9</v>
      </c>
      <c r="H6707" s="138">
        <v>810</v>
      </c>
      <c r="I6707" s="188">
        <v>46070</v>
      </c>
      <c r="J6707" s="189">
        <v>0.4284722222222222</v>
      </c>
      <c r="K6707" s="138">
        <v>810</v>
      </c>
      <c r="L6707" s="72" t="str">
        <f t="shared" si="105"/>
        <v>Payé</v>
      </c>
    </row>
    <row r="6708" spans="1:12" ht="15" customHeight="1" x14ac:dyDescent="0.25">
      <c r="A6708" s="160" t="s">
        <v>862</v>
      </c>
      <c r="B6708" s="90">
        <v>4027</v>
      </c>
      <c r="C6708" s="216" t="s">
        <v>1210</v>
      </c>
      <c r="D6708" s="90" t="s">
        <v>17</v>
      </c>
      <c r="E6708" s="196" t="s">
        <v>753</v>
      </c>
      <c r="F6708" s="160" t="s">
        <v>862</v>
      </c>
      <c r="G6708" s="163">
        <v>5</v>
      </c>
      <c r="H6708" s="138">
        <v>450</v>
      </c>
      <c r="I6708" s="188">
        <v>46069</v>
      </c>
      <c r="J6708" s="189">
        <v>0.57222222222222219</v>
      </c>
      <c r="K6708" s="138">
        <v>450</v>
      </c>
      <c r="L6708" s="72" t="str">
        <f t="shared" si="105"/>
        <v>Payé</v>
      </c>
    </row>
    <row r="6709" spans="1:12" ht="15" customHeight="1" x14ac:dyDescent="0.25">
      <c r="A6709" s="160" t="s">
        <v>862</v>
      </c>
      <c r="B6709" s="90">
        <v>4055</v>
      </c>
      <c r="C6709" s="216" t="s">
        <v>1587</v>
      </c>
      <c r="D6709" s="90" t="s">
        <v>17</v>
      </c>
      <c r="E6709" s="196" t="s">
        <v>649</v>
      </c>
      <c r="F6709" s="160" t="s">
        <v>862</v>
      </c>
      <c r="G6709" s="163">
        <v>2</v>
      </c>
      <c r="H6709" s="138">
        <v>180</v>
      </c>
      <c r="I6709" s="178">
        <v>46060</v>
      </c>
      <c r="J6709" s="180">
        <v>0.66319444444444442</v>
      </c>
      <c r="K6709" s="138">
        <v>180</v>
      </c>
      <c r="L6709" s="72" t="str">
        <f t="shared" si="105"/>
        <v>Payé</v>
      </c>
    </row>
    <row r="6710" spans="1:12" ht="15" customHeight="1" x14ac:dyDescent="0.25">
      <c r="A6710" s="160" t="s">
        <v>862</v>
      </c>
      <c r="B6710" s="90">
        <v>4060</v>
      </c>
      <c r="C6710" s="216" t="s">
        <v>986</v>
      </c>
      <c r="D6710" s="90" t="s">
        <v>17</v>
      </c>
      <c r="E6710" s="196" t="s">
        <v>753</v>
      </c>
      <c r="F6710" s="160" t="s">
        <v>862</v>
      </c>
      <c r="G6710" s="163">
        <v>5</v>
      </c>
      <c r="H6710" s="138">
        <v>450</v>
      </c>
      <c r="I6710" s="188">
        <v>46069</v>
      </c>
      <c r="J6710" s="189">
        <v>0.57222222222222219</v>
      </c>
      <c r="K6710" s="138">
        <v>450</v>
      </c>
      <c r="L6710" s="72" t="str">
        <f t="shared" si="105"/>
        <v>Payé</v>
      </c>
    </row>
    <row r="6711" spans="1:12" ht="15" customHeight="1" x14ac:dyDescent="0.25">
      <c r="A6711" s="160" t="s">
        <v>862</v>
      </c>
      <c r="B6711" s="90">
        <v>4169</v>
      </c>
      <c r="C6711" s="216" t="s">
        <v>1561</v>
      </c>
      <c r="D6711" s="90" t="s">
        <v>17</v>
      </c>
      <c r="E6711" s="196" t="s">
        <v>649</v>
      </c>
      <c r="F6711" s="160" t="s">
        <v>862</v>
      </c>
      <c r="G6711" s="163">
        <v>11</v>
      </c>
      <c r="H6711" s="138">
        <v>990</v>
      </c>
      <c r="I6711" s="178">
        <v>46060</v>
      </c>
      <c r="J6711" s="180">
        <v>0.66319444444444442</v>
      </c>
      <c r="K6711" s="138">
        <v>990</v>
      </c>
      <c r="L6711" s="72" t="str">
        <f t="shared" si="105"/>
        <v>Payé</v>
      </c>
    </row>
    <row r="6712" spans="1:12" ht="15" customHeight="1" x14ac:dyDescent="0.25">
      <c r="A6712" s="160" t="s">
        <v>862</v>
      </c>
      <c r="B6712" s="90">
        <v>4177</v>
      </c>
      <c r="C6712" s="216" t="s">
        <v>582</v>
      </c>
      <c r="D6712" s="90" t="s">
        <v>17</v>
      </c>
      <c r="E6712" s="196" t="s">
        <v>649</v>
      </c>
      <c r="F6712" s="160" t="s">
        <v>862</v>
      </c>
      <c r="G6712" s="163">
        <v>6</v>
      </c>
      <c r="H6712" s="138">
        <v>540</v>
      </c>
      <c r="I6712" s="178">
        <v>46080</v>
      </c>
      <c r="J6712" s="187">
        <v>0.47638888888888892</v>
      </c>
      <c r="K6712" s="138">
        <v>540</v>
      </c>
      <c r="L6712" s="72" t="str">
        <f t="shared" si="105"/>
        <v>Payé</v>
      </c>
    </row>
    <row r="6713" spans="1:12" ht="15" customHeight="1" x14ac:dyDescent="0.25">
      <c r="A6713" s="160" t="s">
        <v>862</v>
      </c>
      <c r="B6713" s="90">
        <v>4202</v>
      </c>
      <c r="C6713" s="216" t="s">
        <v>609</v>
      </c>
      <c r="D6713" s="90" t="s">
        <v>17</v>
      </c>
      <c r="E6713" s="196" t="s">
        <v>649</v>
      </c>
      <c r="F6713" s="160" t="s">
        <v>862</v>
      </c>
      <c r="G6713" s="163">
        <v>8</v>
      </c>
      <c r="H6713" s="138">
        <v>720</v>
      </c>
      <c r="I6713" s="178">
        <v>46060</v>
      </c>
      <c r="J6713" s="172">
        <v>0.66319444444444442</v>
      </c>
      <c r="K6713" s="138">
        <v>720</v>
      </c>
      <c r="L6713" s="72" t="str">
        <f t="shared" si="105"/>
        <v>Payé</v>
      </c>
    </row>
    <row r="6714" spans="1:12" ht="15" customHeight="1" x14ac:dyDescent="0.25">
      <c r="A6714" s="160" t="s">
        <v>862</v>
      </c>
      <c r="B6714" s="90">
        <v>4204</v>
      </c>
      <c r="C6714" s="216" t="s">
        <v>610</v>
      </c>
      <c r="D6714" s="90" t="s">
        <v>17</v>
      </c>
      <c r="E6714" s="196" t="s">
        <v>649</v>
      </c>
      <c r="F6714" s="160" t="s">
        <v>862</v>
      </c>
      <c r="G6714" s="163">
        <v>4</v>
      </c>
      <c r="H6714" s="138">
        <v>360</v>
      </c>
      <c r="I6714" s="188">
        <v>46073</v>
      </c>
      <c r="J6714" s="189">
        <v>0.58333333333333337</v>
      </c>
      <c r="K6714" s="138">
        <v>360</v>
      </c>
      <c r="L6714" s="72" t="str">
        <f t="shared" si="105"/>
        <v>Payé</v>
      </c>
    </row>
    <row r="6715" spans="1:12" ht="15" customHeight="1" x14ac:dyDescent="0.25">
      <c r="A6715" s="160" t="s">
        <v>862</v>
      </c>
      <c r="B6715" s="90">
        <v>4265</v>
      </c>
      <c r="C6715" s="216" t="s">
        <v>675</v>
      </c>
      <c r="D6715" s="90" t="s">
        <v>17</v>
      </c>
      <c r="E6715" s="196" t="s">
        <v>649</v>
      </c>
      <c r="F6715" s="160" t="s">
        <v>862</v>
      </c>
      <c r="G6715" s="163">
        <v>2</v>
      </c>
      <c r="H6715" s="138">
        <v>180</v>
      </c>
      <c r="I6715" s="188">
        <v>46070</v>
      </c>
      <c r="J6715" s="189">
        <v>0.5805555555555556</v>
      </c>
      <c r="K6715" s="138">
        <v>180</v>
      </c>
      <c r="L6715" s="72" t="str">
        <f t="shared" si="105"/>
        <v>Payé</v>
      </c>
    </row>
    <row r="6716" spans="1:12" ht="15" customHeight="1" x14ac:dyDescent="0.25">
      <c r="A6716" s="160" t="s">
        <v>862</v>
      </c>
      <c r="B6716" s="90">
        <v>4310</v>
      </c>
      <c r="C6716" s="216" t="s">
        <v>624</v>
      </c>
      <c r="D6716" s="90" t="s">
        <v>17</v>
      </c>
      <c r="E6716" s="196" t="s">
        <v>628</v>
      </c>
      <c r="F6716" s="160" t="s">
        <v>862</v>
      </c>
      <c r="G6716" s="163">
        <v>10</v>
      </c>
      <c r="H6716" s="138">
        <v>960</v>
      </c>
      <c r="I6716" s="178">
        <v>46060</v>
      </c>
      <c r="J6716" s="172">
        <v>0.60972222222222217</v>
      </c>
      <c r="K6716" s="138">
        <v>960</v>
      </c>
      <c r="L6716" s="72" t="str">
        <f t="shared" si="105"/>
        <v>Payé</v>
      </c>
    </row>
    <row r="6717" spans="1:12" ht="15" customHeight="1" x14ac:dyDescent="0.25">
      <c r="A6717" s="160" t="s">
        <v>862</v>
      </c>
      <c r="B6717" s="90">
        <v>4333</v>
      </c>
      <c r="C6717" s="218" t="s">
        <v>706</v>
      </c>
      <c r="D6717" s="90" t="s">
        <v>17</v>
      </c>
      <c r="E6717" s="196" t="s">
        <v>628</v>
      </c>
      <c r="F6717" s="160" t="s">
        <v>862</v>
      </c>
      <c r="G6717" s="163">
        <v>10</v>
      </c>
      <c r="H6717" s="138">
        <v>960</v>
      </c>
      <c r="I6717" s="178">
        <v>46060</v>
      </c>
      <c r="J6717" s="172">
        <v>0.60972222222222217</v>
      </c>
      <c r="K6717" s="138">
        <v>960</v>
      </c>
      <c r="L6717" s="72" t="str">
        <f t="shared" si="105"/>
        <v>Payé</v>
      </c>
    </row>
    <row r="6718" spans="1:12" ht="15" customHeight="1" x14ac:dyDescent="0.25">
      <c r="A6718" s="160" t="s">
        <v>862</v>
      </c>
      <c r="B6718" s="90">
        <v>4334</v>
      </c>
      <c r="C6718" s="217" t="s">
        <v>622</v>
      </c>
      <c r="D6718" s="90" t="s">
        <v>17</v>
      </c>
      <c r="E6718" s="196" t="s">
        <v>628</v>
      </c>
      <c r="F6718" s="160" t="s">
        <v>862</v>
      </c>
      <c r="G6718" s="163">
        <v>11</v>
      </c>
      <c r="H6718" s="138">
        <v>990</v>
      </c>
      <c r="I6718" s="178">
        <v>46060</v>
      </c>
      <c r="J6718" s="172">
        <v>0.60972222222222217</v>
      </c>
      <c r="K6718" s="138">
        <v>990</v>
      </c>
      <c r="L6718" s="72" t="str">
        <f t="shared" si="105"/>
        <v>Payé</v>
      </c>
    </row>
    <row r="6719" spans="1:12" ht="15" customHeight="1" x14ac:dyDescent="0.25">
      <c r="A6719" s="160" t="s">
        <v>862</v>
      </c>
      <c r="B6719" s="90">
        <v>4347</v>
      </c>
      <c r="C6719" s="216" t="s">
        <v>1359</v>
      </c>
      <c r="D6719" s="90" t="s">
        <v>17</v>
      </c>
      <c r="E6719" s="196" t="s">
        <v>667</v>
      </c>
      <c r="F6719" s="160" t="s">
        <v>862</v>
      </c>
      <c r="G6719" s="163">
        <v>9</v>
      </c>
      <c r="H6719" s="138">
        <v>810</v>
      </c>
      <c r="I6719" s="188">
        <v>46072</v>
      </c>
      <c r="J6719" s="189">
        <v>0.3840277777777778</v>
      </c>
      <c r="K6719" s="138">
        <v>810</v>
      </c>
      <c r="L6719" s="72" t="str">
        <f t="shared" si="105"/>
        <v>Payé</v>
      </c>
    </row>
    <row r="6720" spans="1:12" ht="15" customHeight="1" x14ac:dyDescent="0.25">
      <c r="A6720" s="160" t="s">
        <v>862</v>
      </c>
      <c r="B6720" s="90">
        <v>4421</v>
      </c>
      <c r="C6720" s="216" t="s">
        <v>1588</v>
      </c>
      <c r="D6720" s="90" t="s">
        <v>17</v>
      </c>
      <c r="E6720" s="196" t="s">
        <v>1104</v>
      </c>
      <c r="F6720" s="160" t="s">
        <v>862</v>
      </c>
      <c r="G6720" s="163">
        <v>9.5</v>
      </c>
      <c r="H6720" s="138">
        <v>855</v>
      </c>
      <c r="I6720" s="178">
        <v>46060</v>
      </c>
      <c r="J6720" s="172">
        <v>0.57152777777777775</v>
      </c>
      <c r="K6720" s="138">
        <v>855</v>
      </c>
      <c r="L6720" s="72" t="str">
        <f t="shared" si="105"/>
        <v>Payé</v>
      </c>
    </row>
    <row r="6721" spans="1:12" ht="15" customHeight="1" x14ac:dyDescent="0.25">
      <c r="A6721" s="160" t="s">
        <v>862</v>
      </c>
      <c r="B6721" s="90">
        <v>4422</v>
      </c>
      <c r="C6721" s="216" t="s">
        <v>1589</v>
      </c>
      <c r="D6721" s="90" t="s">
        <v>17</v>
      </c>
      <c r="E6721" s="196" t="s">
        <v>1104</v>
      </c>
      <c r="F6721" s="160" t="s">
        <v>862</v>
      </c>
      <c r="G6721" s="163">
        <v>4</v>
      </c>
      <c r="H6721" s="138">
        <v>360</v>
      </c>
      <c r="I6721" s="178">
        <v>46060</v>
      </c>
      <c r="J6721" s="172">
        <v>0.57152777777777775</v>
      </c>
      <c r="K6721" s="138">
        <v>360</v>
      </c>
      <c r="L6721" s="72" t="str">
        <f t="shared" si="105"/>
        <v>Payé</v>
      </c>
    </row>
    <row r="6722" spans="1:12" ht="15" customHeight="1" x14ac:dyDescent="0.25">
      <c r="A6722" s="160" t="s">
        <v>862</v>
      </c>
      <c r="B6722" s="90">
        <v>4427</v>
      </c>
      <c r="C6722" s="216" t="s">
        <v>1590</v>
      </c>
      <c r="D6722" s="90" t="s">
        <v>17</v>
      </c>
      <c r="E6722" s="196" t="s">
        <v>254</v>
      </c>
      <c r="F6722" s="160" t="s">
        <v>862</v>
      </c>
      <c r="G6722" s="163">
        <v>7</v>
      </c>
      <c r="H6722" s="138">
        <v>630</v>
      </c>
      <c r="I6722" s="188">
        <v>46071</v>
      </c>
      <c r="J6722" s="189">
        <v>0.54097222222222219</v>
      </c>
      <c r="K6722" s="138">
        <v>630</v>
      </c>
      <c r="L6722" s="72" t="str">
        <f t="shared" si="105"/>
        <v>Payé</v>
      </c>
    </row>
    <row r="6723" spans="1:12" ht="15" customHeight="1" x14ac:dyDescent="0.25">
      <c r="A6723" s="160" t="s">
        <v>862</v>
      </c>
      <c r="B6723" s="90">
        <v>4428</v>
      </c>
      <c r="C6723" s="216" t="s">
        <v>1562</v>
      </c>
      <c r="D6723" s="90" t="s">
        <v>17</v>
      </c>
      <c r="E6723" s="196" t="s">
        <v>254</v>
      </c>
      <c r="F6723" s="160" t="s">
        <v>862</v>
      </c>
      <c r="G6723" s="163">
        <v>10</v>
      </c>
      <c r="H6723" s="138">
        <v>900</v>
      </c>
      <c r="I6723" s="188">
        <v>46071</v>
      </c>
      <c r="J6723" s="189">
        <v>0.54166666666666663</v>
      </c>
      <c r="K6723" s="138">
        <v>900</v>
      </c>
      <c r="L6723" s="72" t="str">
        <f t="shared" si="105"/>
        <v>Payé</v>
      </c>
    </row>
    <row r="6724" spans="1:12" ht="15" customHeight="1" x14ac:dyDescent="0.25">
      <c r="A6724" s="160" t="s">
        <v>862</v>
      </c>
      <c r="B6724" s="90">
        <v>4470</v>
      </c>
      <c r="C6724" s="216" t="s">
        <v>989</v>
      </c>
      <c r="D6724" s="90" t="s">
        <v>17</v>
      </c>
      <c r="E6724" s="196" t="s">
        <v>628</v>
      </c>
      <c r="F6724" s="160" t="s">
        <v>862</v>
      </c>
      <c r="G6724" s="163">
        <v>7</v>
      </c>
      <c r="H6724" s="138">
        <v>630</v>
      </c>
      <c r="I6724" s="178">
        <v>46060</v>
      </c>
      <c r="J6724" s="172">
        <v>0.60972222222222217</v>
      </c>
      <c r="K6724" s="138">
        <v>630</v>
      </c>
      <c r="L6724" s="72" t="str">
        <f t="shared" si="105"/>
        <v>Payé</v>
      </c>
    </row>
    <row r="6725" spans="1:12" ht="15" customHeight="1" x14ac:dyDescent="0.25">
      <c r="A6725" s="160" t="s">
        <v>862</v>
      </c>
      <c r="B6725" s="90">
        <v>4473</v>
      </c>
      <c r="C6725" s="216" t="s">
        <v>623</v>
      </c>
      <c r="D6725" s="90" t="s">
        <v>17</v>
      </c>
      <c r="E6725" s="196" t="s">
        <v>628</v>
      </c>
      <c r="F6725" s="160" t="s">
        <v>862</v>
      </c>
      <c r="G6725" s="163">
        <v>12</v>
      </c>
      <c r="H6725" s="138">
        <v>1220</v>
      </c>
      <c r="I6725" s="178">
        <v>46060</v>
      </c>
      <c r="J6725" s="172">
        <v>0.60972222222222217</v>
      </c>
      <c r="K6725" s="138">
        <v>1220</v>
      </c>
      <c r="L6725" s="72" t="str">
        <f t="shared" si="105"/>
        <v>Payé</v>
      </c>
    </row>
    <row r="6726" spans="1:12" ht="15" customHeight="1" x14ac:dyDescent="0.25">
      <c r="A6726" s="160" t="s">
        <v>862</v>
      </c>
      <c r="B6726" s="90">
        <v>4758</v>
      </c>
      <c r="C6726" s="216" t="s">
        <v>1425</v>
      </c>
      <c r="D6726" s="90" t="s">
        <v>17</v>
      </c>
      <c r="E6726" s="196" t="s">
        <v>649</v>
      </c>
      <c r="F6726" s="160" t="s">
        <v>862</v>
      </c>
      <c r="G6726" s="163">
        <v>9</v>
      </c>
      <c r="H6726" s="138">
        <v>810</v>
      </c>
      <c r="I6726" s="178">
        <v>46062</v>
      </c>
      <c r="J6726" s="180">
        <v>0.59652777777777777</v>
      </c>
      <c r="K6726" s="138">
        <v>810</v>
      </c>
      <c r="L6726" s="72" t="str">
        <f t="shared" si="105"/>
        <v>Payé</v>
      </c>
    </row>
    <row r="6727" spans="1:12" ht="15" customHeight="1" x14ac:dyDescent="0.25">
      <c r="A6727" s="160" t="s">
        <v>862</v>
      </c>
      <c r="B6727" s="90">
        <v>4759</v>
      </c>
      <c r="C6727" s="216" t="s">
        <v>1150</v>
      </c>
      <c r="D6727" s="90" t="s">
        <v>17</v>
      </c>
      <c r="E6727" s="196" t="s">
        <v>254</v>
      </c>
      <c r="F6727" s="160" t="s">
        <v>862</v>
      </c>
      <c r="G6727" s="163">
        <v>9</v>
      </c>
      <c r="H6727" s="138">
        <v>810</v>
      </c>
      <c r="I6727" s="178">
        <v>46062</v>
      </c>
      <c r="J6727" s="172">
        <v>0.64722222222222225</v>
      </c>
      <c r="K6727" s="138">
        <v>810</v>
      </c>
      <c r="L6727" s="72" t="str">
        <f t="shared" si="105"/>
        <v>Payé</v>
      </c>
    </row>
    <row r="6728" spans="1:12" ht="15" customHeight="1" x14ac:dyDescent="0.25">
      <c r="A6728" s="160" t="s">
        <v>862</v>
      </c>
      <c r="B6728" s="90">
        <v>4801</v>
      </c>
      <c r="C6728" s="218" t="s">
        <v>990</v>
      </c>
      <c r="D6728" s="90" t="s">
        <v>17</v>
      </c>
      <c r="E6728" s="196" t="s">
        <v>628</v>
      </c>
      <c r="F6728" s="160" t="s">
        <v>862</v>
      </c>
      <c r="G6728" s="163">
        <v>11</v>
      </c>
      <c r="H6728" s="138">
        <v>1010</v>
      </c>
      <c r="I6728" s="178">
        <v>46060</v>
      </c>
      <c r="J6728" s="172">
        <v>0.60972222222222217</v>
      </c>
      <c r="K6728" s="138">
        <v>1010</v>
      </c>
      <c r="L6728" s="72" t="str">
        <f t="shared" si="105"/>
        <v>Payé</v>
      </c>
    </row>
    <row r="6729" spans="1:12" ht="15" customHeight="1" x14ac:dyDescent="0.25">
      <c r="A6729" s="160" t="s">
        <v>862</v>
      </c>
      <c r="B6729" s="90">
        <v>4802</v>
      </c>
      <c r="C6729" s="216" t="s">
        <v>1360</v>
      </c>
      <c r="D6729" s="90" t="s">
        <v>17</v>
      </c>
      <c r="E6729" s="196" t="s">
        <v>1187</v>
      </c>
      <c r="F6729" s="160" t="s">
        <v>862</v>
      </c>
      <c r="G6729" s="163">
        <v>6</v>
      </c>
      <c r="H6729" s="138">
        <v>540</v>
      </c>
      <c r="I6729" s="188">
        <v>46077</v>
      </c>
      <c r="J6729" s="189">
        <v>0.60138888888888886</v>
      </c>
      <c r="K6729" s="138">
        <v>540</v>
      </c>
      <c r="L6729" s="72" t="str">
        <f t="shared" si="105"/>
        <v>Payé</v>
      </c>
    </row>
    <row r="6730" spans="1:12" ht="15" customHeight="1" x14ac:dyDescent="0.25">
      <c r="A6730" s="160" t="s">
        <v>862</v>
      </c>
      <c r="B6730" s="90">
        <v>4840</v>
      </c>
      <c r="C6730" s="216" t="s">
        <v>766</v>
      </c>
      <c r="D6730" s="90" t="s">
        <v>17</v>
      </c>
      <c r="E6730" s="196" t="s">
        <v>49</v>
      </c>
      <c r="F6730" s="160" t="s">
        <v>862</v>
      </c>
      <c r="G6730" s="163">
        <v>12</v>
      </c>
      <c r="H6730" s="138">
        <v>1080</v>
      </c>
      <c r="I6730" s="178">
        <v>46060</v>
      </c>
      <c r="J6730" s="172">
        <v>0.66736111111111107</v>
      </c>
      <c r="K6730" s="138">
        <v>1080</v>
      </c>
      <c r="L6730" s="72" t="str">
        <f t="shared" si="105"/>
        <v>Payé</v>
      </c>
    </row>
    <row r="6731" spans="1:12" ht="15" customHeight="1" x14ac:dyDescent="0.25">
      <c r="A6731" s="160" t="s">
        <v>862</v>
      </c>
      <c r="B6731" s="90">
        <v>4848</v>
      </c>
      <c r="C6731" s="216" t="s">
        <v>1064</v>
      </c>
      <c r="D6731" s="90" t="s">
        <v>17</v>
      </c>
      <c r="E6731" s="196" t="s">
        <v>628</v>
      </c>
      <c r="F6731" s="160" t="s">
        <v>862</v>
      </c>
      <c r="G6731" s="163">
        <v>7</v>
      </c>
      <c r="H6731" s="138">
        <v>630</v>
      </c>
      <c r="I6731" s="178">
        <v>46060</v>
      </c>
      <c r="J6731" s="172">
        <v>0.60972222222222217</v>
      </c>
      <c r="K6731" s="138">
        <v>630</v>
      </c>
      <c r="L6731" s="72" t="str">
        <f t="shared" si="105"/>
        <v>Payé</v>
      </c>
    </row>
    <row r="6732" spans="1:12" ht="15" customHeight="1" x14ac:dyDescent="0.25">
      <c r="A6732" s="160" t="s">
        <v>862</v>
      </c>
      <c r="B6732" s="90">
        <v>4868</v>
      </c>
      <c r="C6732" s="216" t="s">
        <v>767</v>
      </c>
      <c r="D6732" s="90" t="s">
        <v>17</v>
      </c>
      <c r="E6732" s="196" t="s">
        <v>753</v>
      </c>
      <c r="F6732" s="160" t="s">
        <v>862</v>
      </c>
      <c r="G6732" s="163">
        <v>9</v>
      </c>
      <c r="H6732" s="138">
        <v>810</v>
      </c>
      <c r="I6732" s="188">
        <v>46069</v>
      </c>
      <c r="J6732" s="189">
        <v>0.50347222222222221</v>
      </c>
      <c r="K6732" s="138">
        <v>810</v>
      </c>
      <c r="L6732" s="72" t="str">
        <f t="shared" si="105"/>
        <v>Payé</v>
      </c>
    </row>
    <row r="6733" spans="1:12" ht="15" customHeight="1" x14ac:dyDescent="0.25">
      <c r="A6733" s="160" t="s">
        <v>862</v>
      </c>
      <c r="B6733" s="90">
        <v>4923</v>
      </c>
      <c r="C6733" s="216" t="s">
        <v>1539</v>
      </c>
      <c r="D6733" s="90" t="s">
        <v>17</v>
      </c>
      <c r="E6733" s="196" t="s">
        <v>753</v>
      </c>
      <c r="F6733" s="160" t="s">
        <v>862</v>
      </c>
      <c r="G6733" s="163">
        <v>7</v>
      </c>
      <c r="H6733" s="138">
        <v>630</v>
      </c>
      <c r="I6733" s="188">
        <v>46072</v>
      </c>
      <c r="J6733" s="189">
        <v>0.54652777777777783</v>
      </c>
      <c r="K6733" s="138">
        <v>630</v>
      </c>
      <c r="L6733" s="72" t="str">
        <f t="shared" si="105"/>
        <v>Payé</v>
      </c>
    </row>
    <row r="6734" spans="1:12" ht="15" customHeight="1" x14ac:dyDescent="0.25">
      <c r="A6734" s="160" t="s">
        <v>862</v>
      </c>
      <c r="B6734" s="90">
        <v>5076</v>
      </c>
      <c r="C6734" s="216" t="s">
        <v>991</v>
      </c>
      <c r="D6734" s="90" t="s">
        <v>17</v>
      </c>
      <c r="E6734" s="196" t="s">
        <v>753</v>
      </c>
      <c r="F6734" s="160" t="s">
        <v>862</v>
      </c>
      <c r="G6734" s="163">
        <v>6</v>
      </c>
      <c r="H6734" s="138">
        <v>540</v>
      </c>
      <c r="I6734" s="188">
        <v>46065</v>
      </c>
      <c r="J6734" s="189">
        <v>0.47916666666666669</v>
      </c>
      <c r="K6734" s="138">
        <v>540</v>
      </c>
      <c r="L6734" s="72" t="str">
        <f t="shared" si="105"/>
        <v>Payé</v>
      </c>
    </row>
    <row r="6735" spans="1:12" ht="15" customHeight="1" x14ac:dyDescent="0.25">
      <c r="A6735" s="160" t="s">
        <v>862</v>
      </c>
      <c r="B6735" s="90">
        <v>5136</v>
      </c>
      <c r="C6735" s="216" t="s">
        <v>1067</v>
      </c>
      <c r="D6735" s="90" t="s">
        <v>17</v>
      </c>
      <c r="E6735" s="196" t="s">
        <v>1104</v>
      </c>
      <c r="F6735" s="160" t="s">
        <v>862</v>
      </c>
      <c r="G6735" s="163">
        <v>13.5</v>
      </c>
      <c r="H6735" s="138">
        <v>1215</v>
      </c>
      <c r="I6735" s="178">
        <v>46060</v>
      </c>
      <c r="J6735" s="172">
        <v>0.57152777777777775</v>
      </c>
      <c r="K6735" s="138">
        <v>1215</v>
      </c>
      <c r="L6735" s="72" t="str">
        <f t="shared" si="105"/>
        <v>Payé</v>
      </c>
    </row>
    <row r="6736" spans="1:12" ht="15" customHeight="1" x14ac:dyDescent="0.25">
      <c r="A6736" s="160" t="s">
        <v>862</v>
      </c>
      <c r="B6736" s="90">
        <v>5186</v>
      </c>
      <c r="C6736" s="216" t="s">
        <v>1211</v>
      </c>
      <c r="D6736" s="90" t="s">
        <v>17</v>
      </c>
      <c r="E6736" s="196" t="s">
        <v>753</v>
      </c>
      <c r="F6736" s="160" t="s">
        <v>862</v>
      </c>
      <c r="G6736" s="163">
        <v>10</v>
      </c>
      <c r="H6736" s="138">
        <v>900</v>
      </c>
      <c r="I6736" s="178">
        <v>46062</v>
      </c>
      <c r="J6736" s="180">
        <v>0.41875000000000001</v>
      </c>
      <c r="K6736" s="138">
        <v>900</v>
      </c>
      <c r="L6736" s="72" t="str">
        <f t="shared" si="105"/>
        <v>Payé</v>
      </c>
    </row>
    <row r="6737" spans="1:12" ht="15" customHeight="1" x14ac:dyDescent="0.25">
      <c r="A6737" s="160" t="s">
        <v>862</v>
      </c>
      <c r="B6737" s="90">
        <v>5195</v>
      </c>
      <c r="C6737" s="216" t="s">
        <v>831</v>
      </c>
      <c r="D6737" s="90" t="s">
        <v>17</v>
      </c>
      <c r="E6737" s="196" t="s">
        <v>649</v>
      </c>
      <c r="F6737" s="160" t="s">
        <v>862</v>
      </c>
      <c r="G6737" s="163">
        <v>6</v>
      </c>
      <c r="H6737" s="138">
        <v>540</v>
      </c>
      <c r="I6737" s="188">
        <v>46073</v>
      </c>
      <c r="J6737" s="189">
        <v>0.58333333333333337</v>
      </c>
      <c r="K6737" s="138">
        <v>540</v>
      </c>
      <c r="L6737" s="72" t="str">
        <f t="shared" si="105"/>
        <v>Payé</v>
      </c>
    </row>
    <row r="6738" spans="1:12" ht="15" customHeight="1" x14ac:dyDescent="0.25">
      <c r="A6738" s="160" t="s">
        <v>862</v>
      </c>
      <c r="B6738" s="90">
        <v>5199</v>
      </c>
      <c r="C6738" s="216" t="s">
        <v>833</v>
      </c>
      <c r="D6738" s="90" t="s">
        <v>17</v>
      </c>
      <c r="E6738" s="196" t="s">
        <v>649</v>
      </c>
      <c r="F6738" s="160" t="s">
        <v>862</v>
      </c>
      <c r="G6738" s="163">
        <v>7</v>
      </c>
      <c r="H6738" s="138">
        <v>630</v>
      </c>
      <c r="I6738" s="178">
        <v>46080</v>
      </c>
      <c r="J6738" s="186">
        <v>0.51111111111111118</v>
      </c>
      <c r="K6738" s="138">
        <v>630</v>
      </c>
      <c r="L6738" s="72" t="str">
        <f t="shared" si="105"/>
        <v>Payé</v>
      </c>
    </row>
    <row r="6739" spans="1:12" ht="15" customHeight="1" x14ac:dyDescent="0.25">
      <c r="A6739" s="160" t="s">
        <v>862</v>
      </c>
      <c r="B6739" s="90">
        <v>5209</v>
      </c>
      <c r="C6739" s="216" t="s">
        <v>835</v>
      </c>
      <c r="D6739" s="90" t="s">
        <v>17</v>
      </c>
      <c r="E6739" s="196" t="s">
        <v>753</v>
      </c>
      <c r="F6739" s="160" t="s">
        <v>862</v>
      </c>
      <c r="G6739" s="163">
        <v>3</v>
      </c>
      <c r="H6739" s="138">
        <v>270</v>
      </c>
      <c r="I6739" s="188">
        <v>46069</v>
      </c>
      <c r="J6739" s="189">
        <v>0.57222222222222219</v>
      </c>
      <c r="K6739" s="138">
        <v>270</v>
      </c>
      <c r="L6739" s="72" t="str">
        <f t="shared" si="105"/>
        <v>Payé</v>
      </c>
    </row>
    <row r="6740" spans="1:12" ht="15" customHeight="1" x14ac:dyDescent="0.25">
      <c r="A6740" s="160" t="s">
        <v>862</v>
      </c>
      <c r="B6740" s="90">
        <v>5214</v>
      </c>
      <c r="C6740" s="216" t="s">
        <v>837</v>
      </c>
      <c r="D6740" s="90" t="s">
        <v>17</v>
      </c>
      <c r="E6740" s="196" t="s">
        <v>649</v>
      </c>
      <c r="F6740" s="160" t="s">
        <v>862</v>
      </c>
      <c r="G6740" s="163">
        <v>5</v>
      </c>
      <c r="H6740" s="138">
        <v>450</v>
      </c>
      <c r="I6740" s="188">
        <v>46072</v>
      </c>
      <c r="J6740" s="189">
        <v>0.41805555555555557</v>
      </c>
      <c r="K6740" s="138">
        <v>450</v>
      </c>
      <c r="L6740" s="72" t="str">
        <f t="shared" si="105"/>
        <v>Payé</v>
      </c>
    </row>
    <row r="6741" spans="1:12" ht="15" customHeight="1" x14ac:dyDescent="0.25">
      <c r="A6741" s="160" t="s">
        <v>862</v>
      </c>
      <c r="B6741" s="90">
        <v>5216</v>
      </c>
      <c r="C6741" s="216" t="s">
        <v>1591</v>
      </c>
      <c r="D6741" s="90" t="s">
        <v>17</v>
      </c>
      <c r="E6741" s="196" t="s">
        <v>649</v>
      </c>
      <c r="F6741" s="160" t="s">
        <v>862</v>
      </c>
      <c r="G6741" s="163">
        <v>5</v>
      </c>
      <c r="H6741" s="138">
        <v>450</v>
      </c>
      <c r="I6741" s="178">
        <v>46080</v>
      </c>
      <c r="J6741" s="187">
        <v>0.51111111111111118</v>
      </c>
      <c r="K6741" s="138">
        <v>450</v>
      </c>
      <c r="L6741" s="72" t="str">
        <f t="shared" si="105"/>
        <v>Payé</v>
      </c>
    </row>
    <row r="6742" spans="1:12" ht="15" customHeight="1" x14ac:dyDescent="0.25">
      <c r="A6742" s="160" t="s">
        <v>862</v>
      </c>
      <c r="B6742" s="90">
        <v>5232</v>
      </c>
      <c r="C6742" s="216" t="s">
        <v>1592</v>
      </c>
      <c r="D6742" s="90" t="s">
        <v>17</v>
      </c>
      <c r="E6742" s="196" t="s">
        <v>1104</v>
      </c>
      <c r="F6742" s="160" t="s">
        <v>862</v>
      </c>
      <c r="G6742" s="163">
        <v>7</v>
      </c>
      <c r="H6742" s="138">
        <v>630</v>
      </c>
      <c r="I6742" s="178">
        <v>46060</v>
      </c>
      <c r="J6742" s="172">
        <v>0.57152777777777775</v>
      </c>
      <c r="K6742" s="138">
        <v>630</v>
      </c>
      <c r="L6742" s="72" t="str">
        <f t="shared" si="105"/>
        <v>Payé</v>
      </c>
    </row>
    <row r="6743" spans="1:12" ht="15" customHeight="1" x14ac:dyDescent="0.25">
      <c r="A6743" s="160" t="s">
        <v>862</v>
      </c>
      <c r="B6743" s="90">
        <v>5240</v>
      </c>
      <c r="C6743" s="216" t="s">
        <v>885</v>
      </c>
      <c r="D6743" s="90" t="s">
        <v>17</v>
      </c>
      <c r="E6743" s="196" t="s">
        <v>753</v>
      </c>
      <c r="F6743" s="160" t="s">
        <v>862</v>
      </c>
      <c r="G6743" s="163">
        <v>2</v>
      </c>
      <c r="H6743" s="138">
        <v>180</v>
      </c>
      <c r="I6743" s="91">
        <v>46119</v>
      </c>
      <c r="J6743" s="165">
        <v>0.71180555555555547</v>
      </c>
      <c r="K6743" s="138">
        <v>180</v>
      </c>
      <c r="L6743" s="72" t="str">
        <f t="shared" si="105"/>
        <v>Payé</v>
      </c>
    </row>
    <row r="6744" spans="1:12" ht="15" customHeight="1" x14ac:dyDescent="0.25">
      <c r="A6744" s="160" t="s">
        <v>862</v>
      </c>
      <c r="B6744" s="90">
        <v>5258</v>
      </c>
      <c r="C6744" s="216" t="s">
        <v>893</v>
      </c>
      <c r="D6744" s="90" t="s">
        <v>17</v>
      </c>
      <c r="E6744" s="196" t="s">
        <v>123</v>
      </c>
      <c r="F6744" s="160" t="s">
        <v>862</v>
      </c>
      <c r="G6744" s="163">
        <v>10</v>
      </c>
      <c r="H6744" s="138">
        <v>900</v>
      </c>
      <c r="I6744" s="188">
        <v>46069</v>
      </c>
      <c r="J6744" s="189">
        <v>0.54722222222222217</v>
      </c>
      <c r="K6744" s="138">
        <v>900</v>
      </c>
      <c r="L6744" s="72" t="str">
        <f t="shared" si="105"/>
        <v>Payé</v>
      </c>
    </row>
    <row r="6745" spans="1:12" ht="15" customHeight="1" x14ac:dyDescent="0.25">
      <c r="A6745" s="181" t="s">
        <v>862</v>
      </c>
      <c r="B6745" s="90">
        <v>5259</v>
      </c>
      <c r="C6745" s="216" t="s">
        <v>908</v>
      </c>
      <c r="D6745" s="90" t="s">
        <v>17</v>
      </c>
      <c r="E6745" s="196" t="s">
        <v>1187</v>
      </c>
      <c r="F6745" s="160" t="s">
        <v>862</v>
      </c>
      <c r="G6745" s="163">
        <v>5</v>
      </c>
      <c r="H6745" s="138">
        <v>450</v>
      </c>
      <c r="I6745" s="188">
        <v>46064</v>
      </c>
      <c r="J6745" s="190">
        <v>0.51944444444444449</v>
      </c>
      <c r="K6745" s="138">
        <v>450</v>
      </c>
      <c r="L6745" s="72" t="str">
        <f t="shared" si="105"/>
        <v>Payé</v>
      </c>
    </row>
    <row r="6746" spans="1:12" ht="15" customHeight="1" x14ac:dyDescent="0.25">
      <c r="A6746" s="160" t="s">
        <v>862</v>
      </c>
      <c r="B6746" s="90">
        <v>5262</v>
      </c>
      <c r="C6746" s="219" t="s">
        <v>735</v>
      </c>
      <c r="D6746" s="90" t="s">
        <v>17</v>
      </c>
      <c r="E6746" s="196" t="s">
        <v>649</v>
      </c>
      <c r="F6746" s="160" t="s">
        <v>862</v>
      </c>
      <c r="G6746" s="163">
        <v>11</v>
      </c>
      <c r="H6746" s="138">
        <v>990</v>
      </c>
      <c r="I6746" s="178">
        <v>46060</v>
      </c>
      <c r="J6746" s="180">
        <v>0.66319444444444442</v>
      </c>
      <c r="K6746" s="138">
        <v>990</v>
      </c>
      <c r="L6746" s="72" t="str">
        <f t="shared" si="105"/>
        <v>Payé</v>
      </c>
    </row>
    <row r="6747" spans="1:12" ht="15" customHeight="1" x14ac:dyDescent="0.25">
      <c r="A6747" s="160" t="s">
        <v>862</v>
      </c>
      <c r="B6747" s="90">
        <v>5292</v>
      </c>
      <c r="C6747" s="220" t="s">
        <v>1003</v>
      </c>
      <c r="D6747" s="90" t="s">
        <v>17</v>
      </c>
      <c r="E6747" s="196" t="s">
        <v>1187</v>
      </c>
      <c r="F6747" s="160" t="s">
        <v>862</v>
      </c>
      <c r="G6747" s="163">
        <v>7</v>
      </c>
      <c r="H6747" s="138">
        <v>630</v>
      </c>
      <c r="I6747" s="188">
        <v>46064</v>
      </c>
      <c r="J6747" s="190">
        <v>0.51944444444444449</v>
      </c>
      <c r="K6747" s="138">
        <v>630</v>
      </c>
      <c r="L6747" s="72" t="str">
        <f t="shared" si="105"/>
        <v>Payé</v>
      </c>
    </row>
    <row r="6748" spans="1:12" ht="15" customHeight="1" x14ac:dyDescent="0.25">
      <c r="A6748" s="160" t="s">
        <v>862</v>
      </c>
      <c r="B6748" s="90">
        <v>5305</v>
      </c>
      <c r="C6748" s="216" t="s">
        <v>1016</v>
      </c>
      <c r="D6748" s="90" t="s">
        <v>17</v>
      </c>
      <c r="E6748" s="196" t="s">
        <v>1104</v>
      </c>
      <c r="F6748" s="160" t="s">
        <v>862</v>
      </c>
      <c r="G6748" s="163">
        <v>1</v>
      </c>
      <c r="H6748" s="138">
        <v>90</v>
      </c>
      <c r="I6748" s="178">
        <v>46060</v>
      </c>
      <c r="J6748" s="172">
        <v>0.57152777777777775</v>
      </c>
      <c r="K6748" s="138">
        <v>90</v>
      </c>
      <c r="L6748" s="72" t="str">
        <f t="shared" si="105"/>
        <v>Payé</v>
      </c>
    </row>
    <row r="6749" spans="1:12" ht="15" customHeight="1" x14ac:dyDescent="0.25">
      <c r="A6749" s="160" t="s">
        <v>862</v>
      </c>
      <c r="B6749" s="90">
        <v>5317</v>
      </c>
      <c r="C6749" s="216" t="s">
        <v>551</v>
      </c>
      <c r="D6749" s="90" t="s">
        <v>17</v>
      </c>
      <c r="E6749" s="196" t="s">
        <v>649</v>
      </c>
      <c r="F6749" s="160" t="s">
        <v>862</v>
      </c>
      <c r="G6749" s="163">
        <v>10</v>
      </c>
      <c r="H6749" s="138">
        <v>900</v>
      </c>
      <c r="I6749" s="178">
        <v>46060</v>
      </c>
      <c r="J6749" s="180">
        <v>0.66319444444444442</v>
      </c>
      <c r="K6749" s="138">
        <v>900</v>
      </c>
      <c r="L6749" s="72" t="str">
        <f t="shared" si="105"/>
        <v>Payé</v>
      </c>
    </row>
    <row r="6750" spans="1:12" ht="15" customHeight="1" x14ac:dyDescent="0.25">
      <c r="A6750" s="160" t="s">
        <v>862</v>
      </c>
      <c r="B6750" s="90">
        <v>5327</v>
      </c>
      <c r="C6750" s="216" t="s">
        <v>1033</v>
      </c>
      <c r="D6750" s="90" t="s">
        <v>17</v>
      </c>
      <c r="E6750" s="196" t="s">
        <v>753</v>
      </c>
      <c r="F6750" s="160" t="s">
        <v>862</v>
      </c>
      <c r="G6750" s="163">
        <v>4</v>
      </c>
      <c r="H6750" s="138">
        <v>360</v>
      </c>
      <c r="I6750" s="188">
        <v>46070</v>
      </c>
      <c r="J6750" s="189">
        <v>0.57777777777777783</v>
      </c>
      <c r="K6750" s="138">
        <v>360</v>
      </c>
      <c r="L6750" s="72" t="str">
        <f t="shared" ref="L6750:L6813" si="106">IF(ISBLANK(H6750),"",IF(H6750=K6750,"Payé","Impayé"))</f>
        <v>Payé</v>
      </c>
    </row>
    <row r="6751" spans="1:12" ht="15" customHeight="1" x14ac:dyDescent="0.25">
      <c r="A6751" s="160" t="s">
        <v>862</v>
      </c>
      <c r="B6751" s="90">
        <v>5335</v>
      </c>
      <c r="C6751" s="216" t="s">
        <v>1040</v>
      </c>
      <c r="D6751" s="90" t="s">
        <v>17</v>
      </c>
      <c r="E6751" s="196" t="s">
        <v>753</v>
      </c>
      <c r="F6751" s="160" t="s">
        <v>862</v>
      </c>
      <c r="G6751" s="163">
        <v>7</v>
      </c>
      <c r="H6751" s="138">
        <v>630</v>
      </c>
      <c r="I6751" s="87">
        <v>46097</v>
      </c>
      <c r="J6751" s="93">
        <v>0.55277777777777781</v>
      </c>
      <c r="K6751" s="138">
        <v>630</v>
      </c>
      <c r="L6751" s="72" t="str">
        <f t="shared" si="106"/>
        <v>Payé</v>
      </c>
    </row>
    <row r="6752" spans="1:12" ht="15" customHeight="1" x14ac:dyDescent="0.25">
      <c r="A6752" s="160" t="s">
        <v>862</v>
      </c>
      <c r="B6752" s="90">
        <v>5354</v>
      </c>
      <c r="C6752" s="216" t="s">
        <v>1057</v>
      </c>
      <c r="D6752" s="90" t="s">
        <v>17</v>
      </c>
      <c r="E6752" s="196" t="s">
        <v>1104</v>
      </c>
      <c r="F6752" s="160" t="s">
        <v>862</v>
      </c>
      <c r="G6752" s="163">
        <v>5</v>
      </c>
      <c r="H6752" s="138">
        <v>450</v>
      </c>
      <c r="I6752" s="178">
        <v>46060</v>
      </c>
      <c r="J6752" s="172">
        <v>0.57152777777777775</v>
      </c>
      <c r="K6752" s="138">
        <v>450</v>
      </c>
      <c r="L6752" s="72" t="str">
        <f t="shared" si="106"/>
        <v>Payé</v>
      </c>
    </row>
    <row r="6753" spans="1:12" ht="15" customHeight="1" x14ac:dyDescent="0.25">
      <c r="A6753" s="160" t="s">
        <v>862</v>
      </c>
      <c r="B6753" s="90">
        <v>5355</v>
      </c>
      <c r="C6753" s="216" t="s">
        <v>1090</v>
      </c>
      <c r="D6753" s="90" t="s">
        <v>17</v>
      </c>
      <c r="E6753" s="196" t="s">
        <v>1104</v>
      </c>
      <c r="F6753" s="160" t="s">
        <v>862</v>
      </c>
      <c r="G6753" s="163">
        <v>8.5</v>
      </c>
      <c r="H6753" s="138">
        <v>765</v>
      </c>
      <c r="I6753" s="178">
        <v>46060</v>
      </c>
      <c r="J6753" s="172">
        <v>0.57152777777777775</v>
      </c>
      <c r="K6753" s="138">
        <v>765</v>
      </c>
      <c r="L6753" s="72" t="str">
        <f t="shared" si="106"/>
        <v>Payé</v>
      </c>
    </row>
    <row r="6754" spans="1:12" ht="15" customHeight="1" x14ac:dyDescent="0.25">
      <c r="A6754" s="160" t="s">
        <v>862</v>
      </c>
      <c r="B6754" s="90">
        <v>5365</v>
      </c>
      <c r="C6754" s="216" t="s">
        <v>1123</v>
      </c>
      <c r="D6754" s="90" t="s">
        <v>17</v>
      </c>
      <c r="E6754" s="196" t="s">
        <v>370</v>
      </c>
      <c r="F6754" s="160" t="s">
        <v>862</v>
      </c>
      <c r="G6754" s="163">
        <v>14</v>
      </c>
      <c r="H6754" s="138">
        <v>1680</v>
      </c>
      <c r="I6754" s="188">
        <v>46063</v>
      </c>
      <c r="J6754" s="190">
        <v>0.61944444444444446</v>
      </c>
      <c r="K6754" s="138">
        <v>1680</v>
      </c>
      <c r="L6754" s="72" t="str">
        <f t="shared" si="106"/>
        <v>Payé</v>
      </c>
    </row>
    <row r="6755" spans="1:12" ht="15" customHeight="1" x14ac:dyDescent="0.25">
      <c r="A6755" s="160" t="s">
        <v>862</v>
      </c>
      <c r="B6755" s="90">
        <v>6070</v>
      </c>
      <c r="C6755" s="216" t="s">
        <v>1153</v>
      </c>
      <c r="D6755" s="90" t="s">
        <v>17</v>
      </c>
      <c r="E6755" s="196" t="s">
        <v>49</v>
      </c>
      <c r="F6755" s="160" t="s">
        <v>862</v>
      </c>
      <c r="G6755" s="163">
        <v>4</v>
      </c>
      <c r="H6755" s="138">
        <v>360</v>
      </c>
      <c r="I6755" s="178">
        <v>46060</v>
      </c>
      <c r="J6755" s="172">
        <v>0.66736111111111107</v>
      </c>
      <c r="K6755" s="138">
        <v>360</v>
      </c>
      <c r="L6755" s="72" t="str">
        <f t="shared" si="106"/>
        <v>Payé</v>
      </c>
    </row>
    <row r="6756" spans="1:12" ht="15" customHeight="1" x14ac:dyDescent="0.25">
      <c r="A6756" s="160" t="s">
        <v>862</v>
      </c>
      <c r="B6756" s="90">
        <v>7004</v>
      </c>
      <c r="C6756" s="216" t="s">
        <v>713</v>
      </c>
      <c r="D6756" s="90" t="s">
        <v>17</v>
      </c>
      <c r="E6756" s="196" t="s">
        <v>49</v>
      </c>
      <c r="F6756" s="160" t="s">
        <v>862</v>
      </c>
      <c r="G6756" s="163">
        <v>11</v>
      </c>
      <c r="H6756" s="138">
        <v>990</v>
      </c>
      <c r="I6756" s="178">
        <v>46060</v>
      </c>
      <c r="J6756" s="172">
        <v>0.66736111111111107</v>
      </c>
      <c r="K6756" s="138">
        <v>990</v>
      </c>
      <c r="L6756" s="72" t="str">
        <f t="shared" si="106"/>
        <v>Payé</v>
      </c>
    </row>
    <row r="6757" spans="1:12" ht="15" customHeight="1" x14ac:dyDescent="0.25">
      <c r="A6757" s="160" t="s">
        <v>862</v>
      </c>
      <c r="B6757" s="90">
        <v>7012</v>
      </c>
      <c r="C6757" s="216" t="s">
        <v>724</v>
      </c>
      <c r="D6757" s="90" t="s">
        <v>17</v>
      </c>
      <c r="E6757" s="196" t="s">
        <v>1187</v>
      </c>
      <c r="F6757" s="160" t="s">
        <v>862</v>
      </c>
      <c r="G6757" s="163">
        <v>6</v>
      </c>
      <c r="H6757" s="138">
        <v>540</v>
      </c>
      <c r="I6757" s="188">
        <v>46064</v>
      </c>
      <c r="J6757" s="190">
        <v>0.51944444444444449</v>
      </c>
      <c r="K6757" s="138">
        <v>540</v>
      </c>
      <c r="L6757" s="72" t="str">
        <f t="shared" si="106"/>
        <v>Payé</v>
      </c>
    </row>
    <row r="6758" spans="1:12" ht="15" customHeight="1" x14ac:dyDescent="0.25">
      <c r="A6758" s="160" t="s">
        <v>862</v>
      </c>
      <c r="B6758" s="90">
        <v>8022</v>
      </c>
      <c r="C6758" s="217" t="s">
        <v>707</v>
      </c>
      <c r="D6758" s="90" t="s">
        <v>17</v>
      </c>
      <c r="E6758" s="196" t="s">
        <v>628</v>
      </c>
      <c r="F6758" s="160" t="s">
        <v>862</v>
      </c>
      <c r="G6758" s="163">
        <v>12</v>
      </c>
      <c r="H6758" s="138">
        <v>1140</v>
      </c>
      <c r="I6758" s="178">
        <v>46060</v>
      </c>
      <c r="J6758" s="172">
        <v>0.60972222222222217</v>
      </c>
      <c r="K6758" s="138">
        <v>1140</v>
      </c>
      <c r="L6758" s="72" t="str">
        <f t="shared" si="106"/>
        <v>Payé</v>
      </c>
    </row>
    <row r="6759" spans="1:12" ht="15" customHeight="1" x14ac:dyDescent="0.25">
      <c r="A6759" s="160" t="s">
        <v>862</v>
      </c>
      <c r="B6759" s="90">
        <v>9034</v>
      </c>
      <c r="C6759" s="216" t="s">
        <v>736</v>
      </c>
      <c r="D6759" s="90" t="s">
        <v>17</v>
      </c>
      <c r="E6759" s="196" t="s">
        <v>49</v>
      </c>
      <c r="F6759" s="160" t="s">
        <v>862</v>
      </c>
      <c r="G6759" s="163">
        <v>7</v>
      </c>
      <c r="H6759" s="138">
        <v>630</v>
      </c>
      <c r="I6759" s="178">
        <v>46060</v>
      </c>
      <c r="J6759" s="172">
        <v>0.66736111111111107</v>
      </c>
      <c r="K6759" s="138">
        <v>630</v>
      </c>
      <c r="L6759" s="72" t="str">
        <f t="shared" si="106"/>
        <v>Payé</v>
      </c>
    </row>
    <row r="6760" spans="1:12" ht="15" customHeight="1" x14ac:dyDescent="0.25">
      <c r="A6760" s="160" t="s">
        <v>862</v>
      </c>
      <c r="B6760" s="90">
        <v>9073</v>
      </c>
      <c r="C6760" s="216" t="s">
        <v>1593</v>
      </c>
      <c r="D6760" s="90" t="s">
        <v>17</v>
      </c>
      <c r="E6760" s="196" t="s">
        <v>649</v>
      </c>
      <c r="F6760" s="160" t="s">
        <v>862</v>
      </c>
      <c r="G6760" s="163">
        <v>3</v>
      </c>
      <c r="H6760" s="138">
        <v>270</v>
      </c>
      <c r="I6760" s="178">
        <v>46078</v>
      </c>
      <c r="J6760" s="177">
        <v>0.26190476190476192</v>
      </c>
      <c r="K6760" s="138">
        <v>270</v>
      </c>
      <c r="L6760" s="72" t="str">
        <f t="shared" si="106"/>
        <v>Payé</v>
      </c>
    </row>
    <row r="6761" spans="1:12" ht="15" customHeight="1" x14ac:dyDescent="0.25">
      <c r="A6761" s="160" t="s">
        <v>862</v>
      </c>
      <c r="B6761" s="90">
        <v>9074</v>
      </c>
      <c r="C6761" s="216" t="s">
        <v>1564</v>
      </c>
      <c r="D6761" s="90" t="s">
        <v>17</v>
      </c>
      <c r="E6761" s="196" t="s">
        <v>649</v>
      </c>
      <c r="F6761" s="160" t="s">
        <v>862</v>
      </c>
      <c r="G6761" s="163">
        <v>8</v>
      </c>
      <c r="H6761" s="138">
        <v>720</v>
      </c>
      <c r="I6761" s="178">
        <v>46060</v>
      </c>
      <c r="J6761" s="180">
        <v>0.66319444444444442</v>
      </c>
      <c r="K6761" s="138">
        <v>720</v>
      </c>
      <c r="L6761" s="72" t="str">
        <f t="shared" si="106"/>
        <v>Payé</v>
      </c>
    </row>
    <row r="6762" spans="1:12" ht="15" customHeight="1" x14ac:dyDescent="0.25">
      <c r="A6762" s="160" t="s">
        <v>862</v>
      </c>
      <c r="B6762" s="90">
        <v>10008</v>
      </c>
      <c r="C6762" s="218" t="s">
        <v>1134</v>
      </c>
      <c r="D6762" s="90" t="s">
        <v>17</v>
      </c>
      <c r="E6762" s="196" t="s">
        <v>628</v>
      </c>
      <c r="F6762" s="160" t="s">
        <v>862</v>
      </c>
      <c r="G6762" s="163">
        <v>9</v>
      </c>
      <c r="H6762" s="138">
        <v>870</v>
      </c>
      <c r="I6762" s="178">
        <v>46060</v>
      </c>
      <c r="J6762" s="172">
        <v>0.60972222222222217</v>
      </c>
      <c r="K6762" s="138">
        <v>870</v>
      </c>
      <c r="L6762" s="72" t="str">
        <f t="shared" si="106"/>
        <v>Payé</v>
      </c>
    </row>
    <row r="6763" spans="1:12" ht="15" customHeight="1" x14ac:dyDescent="0.25">
      <c r="A6763" s="160" t="s">
        <v>862</v>
      </c>
      <c r="B6763" s="90">
        <v>10010</v>
      </c>
      <c r="C6763" s="216" t="s">
        <v>1158</v>
      </c>
      <c r="D6763" s="90" t="s">
        <v>17</v>
      </c>
      <c r="E6763" s="196" t="s">
        <v>753</v>
      </c>
      <c r="F6763" s="160" t="s">
        <v>862</v>
      </c>
      <c r="G6763" s="163">
        <v>3</v>
      </c>
      <c r="H6763" s="138">
        <v>270</v>
      </c>
      <c r="I6763" s="87">
        <v>46097</v>
      </c>
      <c r="J6763" s="93">
        <v>0.55277777777777781</v>
      </c>
      <c r="K6763" s="138">
        <v>270</v>
      </c>
      <c r="L6763" s="72" t="str">
        <f t="shared" si="106"/>
        <v>Payé</v>
      </c>
    </row>
    <row r="6764" spans="1:12" ht="15" customHeight="1" x14ac:dyDescent="0.25">
      <c r="A6764" s="160" t="s">
        <v>862</v>
      </c>
      <c r="B6764" s="90">
        <v>10011</v>
      </c>
      <c r="C6764" s="216" t="s">
        <v>1159</v>
      </c>
      <c r="D6764" s="90" t="s">
        <v>17</v>
      </c>
      <c r="E6764" s="196" t="s">
        <v>753</v>
      </c>
      <c r="F6764" s="160" t="s">
        <v>862</v>
      </c>
      <c r="G6764" s="163">
        <v>2</v>
      </c>
      <c r="H6764" s="138">
        <v>180</v>
      </c>
      <c r="I6764" s="188">
        <v>46065</v>
      </c>
      <c r="J6764" s="189">
        <v>0.4770833333333333</v>
      </c>
      <c r="K6764" s="182">
        <v>180</v>
      </c>
      <c r="L6764" s="72" t="str">
        <f t="shared" si="106"/>
        <v>Payé</v>
      </c>
    </row>
    <row r="6765" spans="1:12" ht="15" customHeight="1" x14ac:dyDescent="0.25">
      <c r="A6765" s="160" t="s">
        <v>862</v>
      </c>
      <c r="B6765" s="90">
        <v>10016</v>
      </c>
      <c r="C6765" s="216" t="s">
        <v>1163</v>
      </c>
      <c r="D6765" s="90" t="s">
        <v>17</v>
      </c>
      <c r="E6765" s="196" t="s">
        <v>753</v>
      </c>
      <c r="F6765" s="160" t="s">
        <v>862</v>
      </c>
      <c r="G6765" s="163">
        <v>6</v>
      </c>
      <c r="H6765" s="138">
        <v>540</v>
      </c>
      <c r="I6765" s="188">
        <v>46069</v>
      </c>
      <c r="J6765" s="189">
        <v>0.50416666666666665</v>
      </c>
      <c r="K6765" s="138">
        <v>540</v>
      </c>
      <c r="L6765" s="72" t="str">
        <f t="shared" si="106"/>
        <v>Payé</v>
      </c>
    </row>
    <row r="6766" spans="1:12" ht="15" customHeight="1" x14ac:dyDescent="0.25">
      <c r="A6766" s="160" t="s">
        <v>862</v>
      </c>
      <c r="B6766" s="90">
        <v>10030</v>
      </c>
      <c r="C6766" s="215" t="s">
        <v>1176</v>
      </c>
      <c r="D6766" s="90" t="s">
        <v>17</v>
      </c>
      <c r="E6766" s="196" t="s">
        <v>753</v>
      </c>
      <c r="F6766" s="160" t="s">
        <v>862</v>
      </c>
      <c r="G6766" s="163">
        <v>9</v>
      </c>
      <c r="H6766" s="138">
        <v>810</v>
      </c>
      <c r="I6766" s="188">
        <v>46065</v>
      </c>
      <c r="J6766" s="189">
        <v>0.47916666666666669</v>
      </c>
      <c r="K6766" s="138">
        <v>810</v>
      </c>
      <c r="L6766" s="72" t="str">
        <f t="shared" si="106"/>
        <v>Payé</v>
      </c>
    </row>
    <row r="6767" spans="1:12" ht="15" customHeight="1" x14ac:dyDescent="0.25">
      <c r="A6767" s="160" t="s">
        <v>862</v>
      </c>
      <c r="B6767" s="90">
        <v>10031</v>
      </c>
      <c r="C6767" s="215" t="s">
        <v>1177</v>
      </c>
      <c r="D6767" s="90" t="s">
        <v>17</v>
      </c>
      <c r="E6767" s="196" t="s">
        <v>753</v>
      </c>
      <c r="F6767" s="160" t="s">
        <v>862</v>
      </c>
      <c r="G6767" s="163">
        <v>12</v>
      </c>
      <c r="H6767" s="138">
        <v>1080</v>
      </c>
      <c r="I6767" s="188">
        <v>46069</v>
      </c>
      <c r="J6767" s="189">
        <v>0.57222222222222219</v>
      </c>
      <c r="K6767" s="138">
        <v>1080</v>
      </c>
      <c r="L6767" s="72" t="str">
        <f t="shared" si="106"/>
        <v>Payé</v>
      </c>
    </row>
    <row r="6768" spans="1:12" ht="15" customHeight="1" x14ac:dyDescent="0.25">
      <c r="A6768" s="160" t="s">
        <v>862</v>
      </c>
      <c r="B6768" s="90">
        <v>10034</v>
      </c>
      <c r="C6768" s="216" t="s">
        <v>1180</v>
      </c>
      <c r="D6768" s="90" t="s">
        <v>17</v>
      </c>
      <c r="E6768" s="196" t="s">
        <v>254</v>
      </c>
      <c r="F6768" s="160" t="s">
        <v>862</v>
      </c>
      <c r="G6768" s="163">
        <v>7</v>
      </c>
      <c r="H6768" s="138">
        <v>630</v>
      </c>
      <c r="I6768" s="188">
        <v>46071</v>
      </c>
      <c r="J6768" s="189">
        <v>0.54166666666666663</v>
      </c>
      <c r="K6768" s="138">
        <v>630</v>
      </c>
      <c r="L6768" s="72" t="str">
        <f t="shared" si="106"/>
        <v>Payé</v>
      </c>
    </row>
    <row r="6769" spans="1:12" ht="15" customHeight="1" x14ac:dyDescent="0.25">
      <c r="A6769" s="160" t="s">
        <v>862</v>
      </c>
      <c r="B6769" s="90">
        <v>10035</v>
      </c>
      <c r="C6769" s="216" t="s">
        <v>1181</v>
      </c>
      <c r="D6769" s="90" t="s">
        <v>17</v>
      </c>
      <c r="E6769" s="196" t="s">
        <v>369</v>
      </c>
      <c r="F6769" s="160" t="s">
        <v>862</v>
      </c>
      <c r="G6769" s="163">
        <v>11</v>
      </c>
      <c r="H6769" s="138">
        <v>1100</v>
      </c>
      <c r="I6769" s="178">
        <v>46060</v>
      </c>
      <c r="J6769" s="172">
        <v>0.60625000000000007</v>
      </c>
      <c r="K6769" s="138">
        <v>1100</v>
      </c>
      <c r="L6769" s="72" t="str">
        <f t="shared" si="106"/>
        <v>Payé</v>
      </c>
    </row>
    <row r="6770" spans="1:12" ht="15" customHeight="1" x14ac:dyDescent="0.25">
      <c r="A6770" s="160" t="s">
        <v>862</v>
      </c>
      <c r="B6770" s="90">
        <v>10040</v>
      </c>
      <c r="C6770" s="216" t="s">
        <v>1184</v>
      </c>
      <c r="D6770" s="90" t="s">
        <v>17</v>
      </c>
      <c r="E6770" s="196" t="s">
        <v>1187</v>
      </c>
      <c r="F6770" s="160" t="s">
        <v>862</v>
      </c>
      <c r="G6770" s="163">
        <v>8</v>
      </c>
      <c r="H6770" s="138">
        <v>720</v>
      </c>
      <c r="I6770" s="188">
        <v>46077</v>
      </c>
      <c r="J6770" s="189">
        <v>0.60138888888888886</v>
      </c>
      <c r="K6770" s="138">
        <v>720</v>
      </c>
      <c r="L6770" s="72" t="str">
        <f t="shared" si="106"/>
        <v>Payé</v>
      </c>
    </row>
    <row r="6771" spans="1:12" ht="15" customHeight="1" x14ac:dyDescent="0.25">
      <c r="A6771" s="160" t="s">
        <v>862</v>
      </c>
      <c r="B6771" s="90">
        <v>10041</v>
      </c>
      <c r="C6771" s="216" t="s">
        <v>1213</v>
      </c>
      <c r="D6771" s="90" t="s">
        <v>17</v>
      </c>
      <c r="E6771" s="196" t="s">
        <v>753</v>
      </c>
      <c r="F6771" s="160" t="s">
        <v>862</v>
      </c>
      <c r="G6771" s="163">
        <v>7</v>
      </c>
      <c r="H6771" s="138">
        <v>630</v>
      </c>
      <c r="I6771" s="188">
        <v>46071</v>
      </c>
      <c r="J6771" s="189">
        <v>0.55138888888888882</v>
      </c>
      <c r="K6771" s="138">
        <v>630</v>
      </c>
      <c r="L6771" s="72" t="str">
        <f t="shared" si="106"/>
        <v>Payé</v>
      </c>
    </row>
    <row r="6772" spans="1:12" ht="15" customHeight="1" x14ac:dyDescent="0.25">
      <c r="A6772" s="160" t="s">
        <v>862</v>
      </c>
      <c r="B6772" s="90">
        <v>10044</v>
      </c>
      <c r="C6772" s="216" t="s">
        <v>1215</v>
      </c>
      <c r="D6772" s="90" t="s">
        <v>17</v>
      </c>
      <c r="E6772" s="196" t="s">
        <v>1104</v>
      </c>
      <c r="F6772" s="160" t="s">
        <v>862</v>
      </c>
      <c r="G6772" s="163">
        <v>11.5</v>
      </c>
      <c r="H6772" s="138">
        <v>1035</v>
      </c>
      <c r="I6772" s="178">
        <v>46060</v>
      </c>
      <c r="J6772" s="172">
        <v>0.57152777777777775</v>
      </c>
      <c r="K6772" s="138">
        <v>1035</v>
      </c>
      <c r="L6772" s="72" t="str">
        <f t="shared" si="106"/>
        <v>Payé</v>
      </c>
    </row>
    <row r="6773" spans="1:12" ht="15" customHeight="1" x14ac:dyDescent="0.25">
      <c r="A6773" s="160" t="s">
        <v>862</v>
      </c>
      <c r="B6773" s="90">
        <v>10048</v>
      </c>
      <c r="C6773" s="216" t="s">
        <v>1218</v>
      </c>
      <c r="D6773" s="90" t="s">
        <v>17</v>
      </c>
      <c r="E6773" s="196" t="s">
        <v>1104</v>
      </c>
      <c r="F6773" s="160" t="s">
        <v>862</v>
      </c>
      <c r="G6773" s="163">
        <v>13.5</v>
      </c>
      <c r="H6773" s="138">
        <v>1215</v>
      </c>
      <c r="I6773" s="178">
        <v>46060</v>
      </c>
      <c r="J6773" s="172">
        <v>0.57152777777777775</v>
      </c>
      <c r="K6773" s="138">
        <v>1215</v>
      </c>
      <c r="L6773" s="72" t="str">
        <f t="shared" si="106"/>
        <v>Payé</v>
      </c>
    </row>
    <row r="6774" spans="1:12" ht="15" customHeight="1" x14ac:dyDescent="0.25">
      <c r="A6774" s="160" t="s">
        <v>862</v>
      </c>
      <c r="B6774" s="90">
        <v>10054</v>
      </c>
      <c r="C6774" s="215" t="s">
        <v>1222</v>
      </c>
      <c r="D6774" s="90" t="s">
        <v>17</v>
      </c>
      <c r="E6774" s="196" t="s">
        <v>1104</v>
      </c>
      <c r="F6774" s="160" t="s">
        <v>862</v>
      </c>
      <c r="G6774" s="163">
        <v>15.5</v>
      </c>
      <c r="H6774" s="138">
        <v>1627</v>
      </c>
      <c r="I6774" s="178">
        <v>46060</v>
      </c>
      <c r="J6774" s="172">
        <v>0.57152777777777775</v>
      </c>
      <c r="K6774" s="138">
        <v>1627</v>
      </c>
      <c r="L6774" s="72" t="str">
        <f t="shared" si="106"/>
        <v>Payé</v>
      </c>
    </row>
    <row r="6775" spans="1:12" ht="15" customHeight="1" x14ac:dyDescent="0.25">
      <c r="A6775" s="160" t="s">
        <v>862</v>
      </c>
      <c r="B6775" s="90">
        <v>10070</v>
      </c>
      <c r="C6775" s="216" t="s">
        <v>1250</v>
      </c>
      <c r="D6775" s="90" t="s">
        <v>17</v>
      </c>
      <c r="E6775" s="196" t="s">
        <v>49</v>
      </c>
      <c r="F6775" s="160" t="s">
        <v>862</v>
      </c>
      <c r="G6775" s="163">
        <v>4</v>
      </c>
      <c r="H6775" s="138">
        <v>360</v>
      </c>
      <c r="I6775" s="178">
        <v>46060</v>
      </c>
      <c r="J6775" s="172">
        <v>0.66736111111111107</v>
      </c>
      <c r="K6775" s="138">
        <v>360</v>
      </c>
      <c r="L6775" s="72" t="str">
        <f t="shared" si="106"/>
        <v>Payé</v>
      </c>
    </row>
    <row r="6776" spans="1:12" ht="15" customHeight="1" x14ac:dyDescent="0.25">
      <c r="A6776" s="160" t="s">
        <v>862</v>
      </c>
      <c r="B6776" s="90">
        <v>10082</v>
      </c>
      <c r="C6776" s="216" t="s">
        <v>1259</v>
      </c>
      <c r="D6776" s="90" t="s">
        <v>17</v>
      </c>
      <c r="E6776" s="196" t="s">
        <v>254</v>
      </c>
      <c r="F6776" s="160" t="s">
        <v>862</v>
      </c>
      <c r="G6776" s="163">
        <v>9</v>
      </c>
      <c r="H6776" s="138">
        <v>810</v>
      </c>
      <c r="I6776" s="188">
        <v>46071</v>
      </c>
      <c r="J6776" s="189">
        <v>0.54166666666666663</v>
      </c>
      <c r="K6776" s="138">
        <v>810</v>
      </c>
      <c r="L6776" s="72" t="str">
        <f t="shared" si="106"/>
        <v>Payé</v>
      </c>
    </row>
    <row r="6777" spans="1:12" ht="15" customHeight="1" x14ac:dyDescent="0.25">
      <c r="A6777" s="160" t="s">
        <v>862</v>
      </c>
      <c r="B6777" s="90">
        <v>10083</v>
      </c>
      <c r="C6777" s="216" t="s">
        <v>1273</v>
      </c>
      <c r="D6777" s="90" t="s">
        <v>17</v>
      </c>
      <c r="E6777" s="196" t="s">
        <v>254</v>
      </c>
      <c r="F6777" s="160" t="s">
        <v>862</v>
      </c>
      <c r="G6777" s="163">
        <v>10</v>
      </c>
      <c r="H6777" s="138">
        <v>900</v>
      </c>
      <c r="I6777" s="188">
        <v>46071</v>
      </c>
      <c r="J6777" s="189">
        <v>0.54166666666666663</v>
      </c>
      <c r="K6777" s="138">
        <v>900</v>
      </c>
      <c r="L6777" s="72" t="str">
        <f t="shared" si="106"/>
        <v>Payé</v>
      </c>
    </row>
    <row r="6778" spans="1:12" ht="15" customHeight="1" x14ac:dyDescent="0.25">
      <c r="A6778" s="160" t="s">
        <v>862</v>
      </c>
      <c r="B6778" s="90">
        <v>10084</v>
      </c>
      <c r="C6778" s="216" t="s">
        <v>1261</v>
      </c>
      <c r="D6778" s="90" t="s">
        <v>17</v>
      </c>
      <c r="E6778" s="196" t="s">
        <v>667</v>
      </c>
      <c r="F6778" s="160" t="s">
        <v>862</v>
      </c>
      <c r="G6778" s="163">
        <v>8</v>
      </c>
      <c r="H6778" s="138">
        <v>720</v>
      </c>
      <c r="I6778" s="188">
        <v>46072</v>
      </c>
      <c r="J6778" s="189">
        <v>0.45416666666666666</v>
      </c>
      <c r="K6778" s="138">
        <v>720</v>
      </c>
      <c r="L6778" s="72" t="str">
        <f t="shared" si="106"/>
        <v>Payé</v>
      </c>
    </row>
    <row r="6779" spans="1:12" ht="15" customHeight="1" x14ac:dyDescent="0.25">
      <c r="A6779" s="160" t="s">
        <v>862</v>
      </c>
      <c r="B6779" s="90">
        <v>10087</v>
      </c>
      <c r="C6779" s="216" t="s">
        <v>1263</v>
      </c>
      <c r="D6779" s="90" t="s">
        <v>17</v>
      </c>
      <c r="E6779" s="196" t="s">
        <v>667</v>
      </c>
      <c r="F6779" s="160" t="s">
        <v>862</v>
      </c>
      <c r="G6779" s="163">
        <v>9</v>
      </c>
      <c r="H6779" s="138">
        <v>810</v>
      </c>
      <c r="I6779" s="188">
        <v>46072</v>
      </c>
      <c r="J6779" s="189">
        <v>0.45416666666666666</v>
      </c>
      <c r="K6779" s="138">
        <v>810</v>
      </c>
      <c r="L6779" s="72" t="str">
        <f t="shared" si="106"/>
        <v>Payé</v>
      </c>
    </row>
    <row r="6780" spans="1:12" ht="15" customHeight="1" x14ac:dyDescent="0.25">
      <c r="A6780" s="160" t="s">
        <v>862</v>
      </c>
      <c r="B6780" s="90">
        <v>10093</v>
      </c>
      <c r="C6780" s="216" t="s">
        <v>1277</v>
      </c>
      <c r="D6780" s="90" t="s">
        <v>17</v>
      </c>
      <c r="E6780" s="196" t="s">
        <v>649</v>
      </c>
      <c r="F6780" s="160" t="s">
        <v>862</v>
      </c>
      <c r="G6780" s="163">
        <v>5</v>
      </c>
      <c r="H6780" s="138">
        <v>450</v>
      </c>
      <c r="I6780" s="87">
        <v>46092</v>
      </c>
      <c r="J6780" s="93">
        <v>0.3972222222222222</v>
      </c>
      <c r="K6780" s="138">
        <v>450</v>
      </c>
      <c r="L6780" s="72" t="str">
        <f t="shared" si="106"/>
        <v>Payé</v>
      </c>
    </row>
    <row r="6781" spans="1:12" ht="15" customHeight="1" x14ac:dyDescent="0.25">
      <c r="A6781" s="160" t="s">
        <v>862</v>
      </c>
      <c r="B6781" s="90">
        <v>10095</v>
      </c>
      <c r="C6781" s="216" t="s">
        <v>1271</v>
      </c>
      <c r="D6781" s="90" t="s">
        <v>17</v>
      </c>
      <c r="E6781" s="196" t="s">
        <v>667</v>
      </c>
      <c r="F6781" s="160" t="s">
        <v>862</v>
      </c>
      <c r="G6781" s="163">
        <v>3</v>
      </c>
      <c r="H6781" s="138">
        <v>270</v>
      </c>
      <c r="I6781" s="188">
        <v>46072</v>
      </c>
      <c r="J6781" s="189">
        <v>0.45416666666666666</v>
      </c>
      <c r="K6781" s="138">
        <v>270</v>
      </c>
      <c r="L6781" s="72" t="str">
        <f t="shared" si="106"/>
        <v>Payé</v>
      </c>
    </row>
    <row r="6782" spans="1:12" ht="15" customHeight="1" x14ac:dyDescent="0.25">
      <c r="A6782" s="160" t="s">
        <v>862</v>
      </c>
      <c r="B6782" s="90">
        <v>10096</v>
      </c>
      <c r="C6782" s="216" t="s">
        <v>1293</v>
      </c>
      <c r="D6782" s="90" t="s">
        <v>17</v>
      </c>
      <c r="E6782" s="196" t="s">
        <v>667</v>
      </c>
      <c r="F6782" s="160" t="s">
        <v>862</v>
      </c>
      <c r="G6782" s="163">
        <v>4</v>
      </c>
      <c r="H6782" s="138">
        <v>360</v>
      </c>
      <c r="I6782" s="188">
        <v>46072</v>
      </c>
      <c r="J6782" s="189">
        <v>0.45416666666666666</v>
      </c>
      <c r="K6782" s="138">
        <v>360</v>
      </c>
      <c r="L6782" s="72" t="str">
        <f t="shared" si="106"/>
        <v>Payé</v>
      </c>
    </row>
    <row r="6783" spans="1:12" ht="15" customHeight="1" x14ac:dyDescent="0.25">
      <c r="A6783" s="160" t="s">
        <v>862</v>
      </c>
      <c r="B6783" s="90">
        <v>10099</v>
      </c>
      <c r="C6783" s="218" t="s">
        <v>1296</v>
      </c>
      <c r="D6783" s="90" t="s">
        <v>17</v>
      </c>
      <c r="E6783" s="196" t="s">
        <v>667</v>
      </c>
      <c r="F6783" s="160" t="s">
        <v>862</v>
      </c>
      <c r="G6783" s="163">
        <v>8</v>
      </c>
      <c r="H6783" s="138">
        <v>720</v>
      </c>
      <c r="I6783" s="188">
        <v>46072</v>
      </c>
      <c r="J6783" s="189">
        <v>0.45416666666666666</v>
      </c>
      <c r="K6783" s="138">
        <v>720</v>
      </c>
      <c r="L6783" s="72" t="str">
        <f t="shared" si="106"/>
        <v>Payé</v>
      </c>
    </row>
    <row r="6784" spans="1:12" ht="15" customHeight="1" x14ac:dyDescent="0.25">
      <c r="A6784" s="160" t="s">
        <v>862</v>
      </c>
      <c r="B6784" s="90">
        <v>10100</v>
      </c>
      <c r="C6784" s="216" t="s">
        <v>1297</v>
      </c>
      <c r="D6784" s="90" t="s">
        <v>17</v>
      </c>
      <c r="E6784" s="196" t="s">
        <v>667</v>
      </c>
      <c r="F6784" s="160" t="s">
        <v>862</v>
      </c>
      <c r="G6784" s="163">
        <v>8</v>
      </c>
      <c r="H6784" s="138">
        <v>720</v>
      </c>
      <c r="I6784" s="188">
        <v>46072</v>
      </c>
      <c r="J6784" s="189">
        <v>0.45416666666666666</v>
      </c>
      <c r="K6784" s="138">
        <v>720</v>
      </c>
      <c r="L6784" s="72" t="str">
        <f t="shared" si="106"/>
        <v>Payé</v>
      </c>
    </row>
    <row r="6785" spans="1:12" ht="15" customHeight="1" x14ac:dyDescent="0.25">
      <c r="A6785" s="160" t="s">
        <v>862</v>
      </c>
      <c r="B6785" s="90">
        <v>10101</v>
      </c>
      <c r="C6785" s="216" t="s">
        <v>1298</v>
      </c>
      <c r="D6785" s="90" t="s">
        <v>17</v>
      </c>
      <c r="E6785" s="196" t="s">
        <v>667</v>
      </c>
      <c r="F6785" s="160" t="s">
        <v>862</v>
      </c>
      <c r="G6785" s="163">
        <v>8</v>
      </c>
      <c r="H6785" s="138">
        <v>720</v>
      </c>
      <c r="I6785" s="188">
        <v>46072</v>
      </c>
      <c r="J6785" s="189">
        <v>0.4597222222222222</v>
      </c>
      <c r="K6785" s="138">
        <v>720</v>
      </c>
      <c r="L6785" s="72" t="str">
        <f t="shared" si="106"/>
        <v>Payé</v>
      </c>
    </row>
    <row r="6786" spans="1:12" ht="15" customHeight="1" x14ac:dyDescent="0.25">
      <c r="A6786" s="160" t="s">
        <v>862</v>
      </c>
      <c r="B6786" s="90">
        <v>10104</v>
      </c>
      <c r="C6786" s="216" t="s">
        <v>1299</v>
      </c>
      <c r="D6786" s="90" t="s">
        <v>17</v>
      </c>
      <c r="E6786" s="196" t="s">
        <v>649</v>
      </c>
      <c r="F6786" s="160" t="s">
        <v>862</v>
      </c>
      <c r="G6786" s="163">
        <v>10</v>
      </c>
      <c r="H6786" s="138">
        <v>900</v>
      </c>
      <c r="I6786" s="188">
        <v>46073</v>
      </c>
      <c r="J6786" s="189">
        <v>0.58333333333333337</v>
      </c>
      <c r="K6786" s="138">
        <v>900</v>
      </c>
      <c r="L6786" s="72" t="str">
        <f t="shared" si="106"/>
        <v>Payé</v>
      </c>
    </row>
    <row r="6787" spans="1:12" ht="15" customHeight="1" x14ac:dyDescent="0.25">
      <c r="A6787" s="160" t="s">
        <v>862</v>
      </c>
      <c r="B6787" s="90">
        <v>10105</v>
      </c>
      <c r="C6787" s="216" t="s">
        <v>1300</v>
      </c>
      <c r="D6787" s="90" t="s">
        <v>17</v>
      </c>
      <c r="E6787" s="196" t="s">
        <v>649</v>
      </c>
      <c r="F6787" s="160" t="s">
        <v>862</v>
      </c>
      <c r="G6787" s="163">
        <v>7</v>
      </c>
      <c r="H6787" s="138">
        <v>630</v>
      </c>
      <c r="I6787" s="188">
        <v>46073</v>
      </c>
      <c r="J6787" s="189">
        <v>0.58333333333333337</v>
      </c>
      <c r="K6787" s="138">
        <v>630</v>
      </c>
      <c r="L6787" s="72" t="str">
        <f t="shared" si="106"/>
        <v>Payé</v>
      </c>
    </row>
    <row r="6788" spans="1:12" ht="15" customHeight="1" x14ac:dyDescent="0.25">
      <c r="A6788" s="160" t="s">
        <v>862</v>
      </c>
      <c r="B6788" s="90">
        <v>10106</v>
      </c>
      <c r="C6788" s="216" t="s">
        <v>1301</v>
      </c>
      <c r="D6788" s="90" t="s">
        <v>17</v>
      </c>
      <c r="E6788" s="196" t="s">
        <v>667</v>
      </c>
      <c r="F6788" s="160" t="s">
        <v>862</v>
      </c>
      <c r="G6788" s="163">
        <v>8</v>
      </c>
      <c r="H6788" s="138">
        <v>720</v>
      </c>
      <c r="I6788" s="188">
        <v>46072</v>
      </c>
      <c r="J6788" s="189">
        <v>0.38263888888888892</v>
      </c>
      <c r="K6788" s="138">
        <v>720</v>
      </c>
      <c r="L6788" s="72" t="str">
        <f t="shared" si="106"/>
        <v>Payé</v>
      </c>
    </row>
    <row r="6789" spans="1:12" ht="15" customHeight="1" x14ac:dyDescent="0.25">
      <c r="A6789" s="160" t="s">
        <v>862</v>
      </c>
      <c r="B6789" s="90">
        <v>10107</v>
      </c>
      <c r="C6789" s="216" t="s">
        <v>1302</v>
      </c>
      <c r="D6789" s="90" t="s">
        <v>17</v>
      </c>
      <c r="E6789" s="196" t="s">
        <v>667</v>
      </c>
      <c r="F6789" s="160" t="s">
        <v>862</v>
      </c>
      <c r="G6789" s="163">
        <v>1</v>
      </c>
      <c r="H6789" s="138">
        <v>90</v>
      </c>
      <c r="I6789" s="188">
        <v>46072</v>
      </c>
      <c r="J6789" s="189">
        <v>0.38611111111111113</v>
      </c>
      <c r="K6789" s="138">
        <v>90</v>
      </c>
      <c r="L6789" s="72" t="str">
        <f t="shared" si="106"/>
        <v>Payé</v>
      </c>
    </row>
    <row r="6790" spans="1:12" ht="15" customHeight="1" x14ac:dyDescent="0.25">
      <c r="A6790" s="160" t="s">
        <v>862</v>
      </c>
      <c r="B6790" s="90">
        <v>10108</v>
      </c>
      <c r="C6790" s="216" t="s">
        <v>1303</v>
      </c>
      <c r="D6790" s="90" t="s">
        <v>17</v>
      </c>
      <c r="E6790" s="196" t="s">
        <v>667</v>
      </c>
      <c r="F6790" s="160" t="s">
        <v>862</v>
      </c>
      <c r="G6790" s="163">
        <v>8</v>
      </c>
      <c r="H6790" s="138">
        <v>720</v>
      </c>
      <c r="I6790" s="188">
        <v>46072</v>
      </c>
      <c r="J6790" s="189">
        <v>0.38472222222222219</v>
      </c>
      <c r="K6790" s="138">
        <v>720</v>
      </c>
      <c r="L6790" s="72" t="str">
        <f t="shared" si="106"/>
        <v>Payé</v>
      </c>
    </row>
    <row r="6791" spans="1:12" ht="15" customHeight="1" x14ac:dyDescent="0.25">
      <c r="A6791" s="160" t="s">
        <v>862</v>
      </c>
      <c r="B6791" s="90">
        <v>10112</v>
      </c>
      <c r="C6791" s="216" t="s">
        <v>1306</v>
      </c>
      <c r="D6791" s="90" t="s">
        <v>17</v>
      </c>
      <c r="E6791" s="196" t="s">
        <v>667</v>
      </c>
      <c r="F6791" s="160" t="s">
        <v>862</v>
      </c>
      <c r="G6791" s="163">
        <v>6</v>
      </c>
      <c r="H6791" s="138">
        <v>540</v>
      </c>
      <c r="I6791" s="188">
        <v>46072</v>
      </c>
      <c r="J6791" s="189">
        <v>0.38541666666666669</v>
      </c>
      <c r="K6791" s="138">
        <v>540</v>
      </c>
      <c r="L6791" s="72" t="str">
        <f t="shared" si="106"/>
        <v>Payé</v>
      </c>
    </row>
    <row r="6792" spans="1:12" ht="15" customHeight="1" x14ac:dyDescent="0.25">
      <c r="A6792" s="160" t="s">
        <v>862</v>
      </c>
      <c r="B6792" s="90">
        <v>10132</v>
      </c>
      <c r="C6792" s="216" t="s">
        <v>1337</v>
      </c>
      <c r="D6792" s="90" t="s">
        <v>17</v>
      </c>
      <c r="E6792" s="196" t="s">
        <v>667</v>
      </c>
      <c r="F6792" s="160" t="s">
        <v>862</v>
      </c>
      <c r="G6792" s="163">
        <v>6</v>
      </c>
      <c r="H6792" s="138">
        <v>540</v>
      </c>
      <c r="I6792" s="188">
        <v>46072</v>
      </c>
      <c r="J6792" s="189">
        <v>0.38611111111111113</v>
      </c>
      <c r="K6792" s="138">
        <v>540</v>
      </c>
      <c r="L6792" s="72" t="str">
        <f t="shared" si="106"/>
        <v>Payé</v>
      </c>
    </row>
    <row r="6793" spans="1:12" ht="15" customHeight="1" x14ac:dyDescent="0.25">
      <c r="A6793" s="160" t="s">
        <v>862</v>
      </c>
      <c r="B6793" s="90">
        <v>10133</v>
      </c>
      <c r="C6793" s="216" t="s">
        <v>1325</v>
      </c>
      <c r="D6793" s="90" t="s">
        <v>17</v>
      </c>
      <c r="E6793" s="196" t="s">
        <v>753</v>
      </c>
      <c r="F6793" s="160" t="s">
        <v>862</v>
      </c>
      <c r="G6793" s="163">
        <v>6</v>
      </c>
      <c r="H6793" s="138">
        <v>540</v>
      </c>
      <c r="I6793" s="91">
        <v>46078</v>
      </c>
      <c r="J6793" s="165">
        <v>0.52083333333333337</v>
      </c>
      <c r="K6793" s="138">
        <v>540</v>
      </c>
      <c r="L6793" s="72" t="str">
        <f t="shared" si="106"/>
        <v>Payé</v>
      </c>
    </row>
    <row r="6794" spans="1:12" ht="15" customHeight="1" x14ac:dyDescent="0.25">
      <c r="A6794" s="160" t="s">
        <v>862</v>
      </c>
      <c r="B6794" s="90">
        <v>10140</v>
      </c>
      <c r="C6794" s="216" t="s">
        <v>1329</v>
      </c>
      <c r="D6794" s="90" t="s">
        <v>17</v>
      </c>
      <c r="E6794" s="196" t="s">
        <v>667</v>
      </c>
      <c r="F6794" s="160" t="s">
        <v>862</v>
      </c>
      <c r="G6794" s="163">
        <v>7</v>
      </c>
      <c r="H6794" s="138">
        <v>630</v>
      </c>
      <c r="I6794" s="188">
        <v>46072</v>
      </c>
      <c r="J6794" s="189">
        <v>0.38819444444444445</v>
      </c>
      <c r="K6794" s="138">
        <v>630</v>
      </c>
      <c r="L6794" s="72" t="str">
        <f t="shared" si="106"/>
        <v>Payé</v>
      </c>
    </row>
    <row r="6795" spans="1:12" ht="15" customHeight="1" x14ac:dyDescent="0.25">
      <c r="A6795" s="160" t="s">
        <v>862</v>
      </c>
      <c r="B6795" s="90">
        <v>10141</v>
      </c>
      <c r="C6795" s="216" t="s">
        <v>1330</v>
      </c>
      <c r="D6795" s="90" t="s">
        <v>17</v>
      </c>
      <c r="E6795" s="196" t="s">
        <v>667</v>
      </c>
      <c r="F6795" s="160" t="s">
        <v>862</v>
      </c>
      <c r="G6795" s="163">
        <v>7</v>
      </c>
      <c r="H6795" s="138">
        <v>630</v>
      </c>
      <c r="I6795" s="188">
        <v>46072</v>
      </c>
      <c r="J6795" s="189">
        <v>0.4597222222222222</v>
      </c>
      <c r="K6795" s="138">
        <v>630</v>
      </c>
      <c r="L6795" s="72" t="str">
        <f t="shared" si="106"/>
        <v>Payé</v>
      </c>
    </row>
    <row r="6796" spans="1:12" ht="15" customHeight="1" x14ac:dyDescent="0.25">
      <c r="A6796" s="160" t="s">
        <v>862</v>
      </c>
      <c r="B6796" s="90">
        <v>10149</v>
      </c>
      <c r="C6796" s="216" t="s">
        <v>1371</v>
      </c>
      <c r="D6796" s="90" t="s">
        <v>17</v>
      </c>
      <c r="E6796" s="196" t="s">
        <v>667</v>
      </c>
      <c r="F6796" s="160" t="s">
        <v>862</v>
      </c>
      <c r="G6796" s="163">
        <v>2</v>
      </c>
      <c r="H6796" s="138">
        <v>180</v>
      </c>
      <c r="I6796" s="188">
        <v>46072</v>
      </c>
      <c r="J6796" s="189">
        <v>0.38611111111111113</v>
      </c>
      <c r="K6796" s="138">
        <v>180</v>
      </c>
      <c r="L6796" s="72" t="str">
        <f t="shared" si="106"/>
        <v>Payé</v>
      </c>
    </row>
    <row r="6797" spans="1:12" ht="15" customHeight="1" x14ac:dyDescent="0.25">
      <c r="A6797" s="160" t="s">
        <v>862</v>
      </c>
      <c r="B6797" s="90">
        <v>10164</v>
      </c>
      <c r="C6797" s="216" t="s">
        <v>1343</v>
      </c>
      <c r="D6797" s="90" t="s">
        <v>17</v>
      </c>
      <c r="E6797" s="196" t="s">
        <v>1104</v>
      </c>
      <c r="F6797" s="160" t="s">
        <v>862</v>
      </c>
      <c r="G6797" s="163">
        <v>9.5</v>
      </c>
      <c r="H6797" s="138">
        <v>855</v>
      </c>
      <c r="I6797" s="178">
        <v>46060</v>
      </c>
      <c r="J6797" s="172">
        <v>0.57152777777777775</v>
      </c>
      <c r="K6797" s="138">
        <v>855</v>
      </c>
      <c r="L6797" s="72" t="str">
        <f t="shared" si="106"/>
        <v>Payé</v>
      </c>
    </row>
    <row r="6798" spans="1:12" ht="15" customHeight="1" x14ac:dyDescent="0.25">
      <c r="A6798" s="160" t="s">
        <v>862</v>
      </c>
      <c r="B6798" s="90">
        <v>10211</v>
      </c>
      <c r="C6798" s="216" t="s">
        <v>1400</v>
      </c>
      <c r="D6798" s="90" t="s">
        <v>17</v>
      </c>
      <c r="E6798" s="196" t="s">
        <v>123</v>
      </c>
      <c r="F6798" s="160" t="s">
        <v>862</v>
      </c>
      <c r="G6798" s="163">
        <v>6</v>
      </c>
      <c r="H6798" s="138">
        <v>550</v>
      </c>
      <c r="I6798" s="178">
        <v>46060</v>
      </c>
      <c r="J6798" s="172">
        <v>0.6430555555555556</v>
      </c>
      <c r="K6798" s="138">
        <v>550</v>
      </c>
      <c r="L6798" s="72" t="str">
        <f t="shared" si="106"/>
        <v>Payé</v>
      </c>
    </row>
    <row r="6799" spans="1:12" ht="15" customHeight="1" x14ac:dyDescent="0.25">
      <c r="A6799" s="160" t="s">
        <v>862</v>
      </c>
      <c r="B6799" s="90">
        <v>10214</v>
      </c>
      <c r="C6799" s="216" t="s">
        <v>1403</v>
      </c>
      <c r="D6799" s="90" t="s">
        <v>17</v>
      </c>
      <c r="E6799" s="196" t="s">
        <v>753</v>
      </c>
      <c r="F6799" s="160" t="s">
        <v>862</v>
      </c>
      <c r="G6799" s="163">
        <v>7</v>
      </c>
      <c r="H6799" s="138">
        <v>630</v>
      </c>
      <c r="I6799" s="188">
        <v>46072</v>
      </c>
      <c r="J6799" s="189">
        <v>0.54652777777777783</v>
      </c>
      <c r="K6799" s="138">
        <v>630</v>
      </c>
      <c r="L6799" s="72" t="str">
        <f t="shared" si="106"/>
        <v>Payé</v>
      </c>
    </row>
    <row r="6800" spans="1:12" ht="15" customHeight="1" x14ac:dyDescent="0.25">
      <c r="A6800" s="160" t="s">
        <v>862</v>
      </c>
      <c r="B6800" s="90">
        <v>10237</v>
      </c>
      <c r="C6800" s="216" t="s">
        <v>1407</v>
      </c>
      <c r="D6800" s="90" t="s">
        <v>17</v>
      </c>
      <c r="E6800" s="196" t="s">
        <v>667</v>
      </c>
      <c r="F6800" s="160" t="s">
        <v>862</v>
      </c>
      <c r="G6800" s="163">
        <v>9</v>
      </c>
      <c r="H6800" s="138">
        <v>810</v>
      </c>
      <c r="I6800" s="188">
        <v>46072</v>
      </c>
      <c r="J6800" s="189">
        <v>0.45416666666666666</v>
      </c>
      <c r="K6800" s="138">
        <v>810</v>
      </c>
      <c r="L6800" s="72" t="str">
        <f t="shared" si="106"/>
        <v>Payé</v>
      </c>
    </row>
    <row r="6801" spans="1:12" ht="15" customHeight="1" x14ac:dyDescent="0.25">
      <c r="A6801" s="160" t="s">
        <v>862</v>
      </c>
      <c r="B6801" s="90">
        <v>10239</v>
      </c>
      <c r="C6801" s="216" t="s">
        <v>1408</v>
      </c>
      <c r="D6801" s="90" t="s">
        <v>17</v>
      </c>
      <c r="E6801" s="196" t="s">
        <v>667</v>
      </c>
      <c r="F6801" s="160" t="s">
        <v>862</v>
      </c>
      <c r="G6801" s="163">
        <v>9</v>
      </c>
      <c r="H6801" s="138">
        <v>810</v>
      </c>
      <c r="I6801" s="188">
        <v>46072</v>
      </c>
      <c r="J6801" s="189">
        <v>0.45416666666666666</v>
      </c>
      <c r="K6801" s="138">
        <v>810</v>
      </c>
      <c r="L6801" s="72" t="str">
        <f t="shared" si="106"/>
        <v>Payé</v>
      </c>
    </row>
    <row r="6802" spans="1:12" ht="15" customHeight="1" x14ac:dyDescent="0.25">
      <c r="A6802" s="160" t="s">
        <v>862</v>
      </c>
      <c r="B6802" s="90">
        <v>10240</v>
      </c>
      <c r="C6802" s="216" t="s">
        <v>1409</v>
      </c>
      <c r="D6802" s="90" t="s">
        <v>17</v>
      </c>
      <c r="E6802" s="196" t="s">
        <v>649</v>
      </c>
      <c r="F6802" s="160" t="s">
        <v>862</v>
      </c>
      <c r="G6802" s="163">
        <v>4</v>
      </c>
      <c r="H6802" s="138">
        <v>360</v>
      </c>
      <c r="I6802" s="178">
        <v>46080</v>
      </c>
      <c r="J6802" s="177">
        <v>0.47638888888888892</v>
      </c>
      <c r="K6802" s="138">
        <v>360</v>
      </c>
      <c r="L6802" s="72" t="str">
        <f t="shared" si="106"/>
        <v>Payé</v>
      </c>
    </row>
    <row r="6803" spans="1:12" ht="15" customHeight="1" x14ac:dyDescent="0.25">
      <c r="A6803" s="160" t="s">
        <v>862</v>
      </c>
      <c r="B6803" s="90">
        <v>10263</v>
      </c>
      <c r="C6803" s="216" t="s">
        <v>1440</v>
      </c>
      <c r="D6803" s="90" t="s">
        <v>17</v>
      </c>
      <c r="E6803" s="196" t="s">
        <v>753</v>
      </c>
      <c r="F6803" s="160" t="s">
        <v>862</v>
      </c>
      <c r="G6803" s="163">
        <v>6</v>
      </c>
      <c r="H6803" s="138">
        <v>540</v>
      </c>
      <c r="I6803" s="87">
        <v>46083</v>
      </c>
      <c r="J6803" s="93">
        <v>0.4770833333333333</v>
      </c>
      <c r="K6803" s="138">
        <v>540</v>
      </c>
      <c r="L6803" s="72" t="str">
        <f t="shared" si="106"/>
        <v>Payé</v>
      </c>
    </row>
    <row r="6804" spans="1:12" ht="15" customHeight="1" x14ac:dyDescent="0.25">
      <c r="A6804" s="160" t="s">
        <v>862</v>
      </c>
      <c r="B6804" s="90">
        <v>10266</v>
      </c>
      <c r="C6804" s="216" t="s">
        <v>1473</v>
      </c>
      <c r="D6804" s="90" t="s">
        <v>17</v>
      </c>
      <c r="E6804" s="196" t="s">
        <v>49</v>
      </c>
      <c r="F6804" s="160" t="s">
        <v>862</v>
      </c>
      <c r="G6804" s="163">
        <v>9</v>
      </c>
      <c r="H6804" s="138">
        <v>810</v>
      </c>
      <c r="I6804" s="178">
        <v>46060</v>
      </c>
      <c r="J6804" s="172">
        <v>0.66736111111111107</v>
      </c>
      <c r="K6804" s="138">
        <v>810</v>
      </c>
      <c r="L6804" s="72" t="str">
        <f t="shared" si="106"/>
        <v>Payé</v>
      </c>
    </row>
    <row r="6805" spans="1:12" ht="15" customHeight="1" x14ac:dyDescent="0.25">
      <c r="A6805" s="160" t="s">
        <v>862</v>
      </c>
      <c r="B6805" s="90">
        <v>10268</v>
      </c>
      <c r="C6805" s="216" t="s">
        <v>1429</v>
      </c>
      <c r="D6805" s="90" t="s">
        <v>17</v>
      </c>
      <c r="E6805" s="196" t="s">
        <v>649</v>
      </c>
      <c r="F6805" s="160" t="s">
        <v>862</v>
      </c>
      <c r="G6805" s="163">
        <v>5</v>
      </c>
      <c r="H6805" s="138">
        <v>450</v>
      </c>
      <c r="I6805" s="178">
        <v>46060</v>
      </c>
      <c r="J6805" s="180">
        <v>0.61597222222222225</v>
      </c>
      <c r="K6805" s="138">
        <v>450</v>
      </c>
      <c r="L6805" s="72" t="str">
        <f t="shared" si="106"/>
        <v>Payé</v>
      </c>
    </row>
    <row r="6806" spans="1:12" ht="15" customHeight="1" x14ac:dyDescent="0.25">
      <c r="A6806" s="160" t="s">
        <v>862</v>
      </c>
      <c r="B6806" s="90">
        <v>10271</v>
      </c>
      <c r="C6806" s="216" t="s">
        <v>1457</v>
      </c>
      <c r="D6806" s="90" t="s">
        <v>17</v>
      </c>
      <c r="E6806" s="196" t="s">
        <v>667</v>
      </c>
      <c r="F6806" s="160" t="s">
        <v>862</v>
      </c>
      <c r="G6806" s="163">
        <v>7</v>
      </c>
      <c r="H6806" s="138">
        <v>630</v>
      </c>
      <c r="I6806" s="188">
        <v>46072</v>
      </c>
      <c r="J6806" s="189">
        <v>0.4597222222222222</v>
      </c>
      <c r="K6806" s="138">
        <v>630</v>
      </c>
      <c r="L6806" s="72" t="str">
        <f t="shared" si="106"/>
        <v>Payé</v>
      </c>
    </row>
    <row r="6807" spans="1:12" ht="15" customHeight="1" x14ac:dyDescent="0.25">
      <c r="A6807" s="160" t="s">
        <v>862</v>
      </c>
      <c r="B6807" s="90">
        <v>10272</v>
      </c>
      <c r="C6807" s="216" t="s">
        <v>1458</v>
      </c>
      <c r="D6807" s="90" t="s">
        <v>17</v>
      </c>
      <c r="E6807" s="196" t="s">
        <v>667</v>
      </c>
      <c r="F6807" s="160" t="s">
        <v>862</v>
      </c>
      <c r="G6807" s="163">
        <v>7</v>
      </c>
      <c r="H6807" s="138">
        <v>630</v>
      </c>
      <c r="I6807" s="188">
        <v>46072</v>
      </c>
      <c r="J6807" s="189">
        <v>0.4597222222222222</v>
      </c>
      <c r="K6807" s="138">
        <v>630</v>
      </c>
      <c r="L6807" s="72" t="str">
        <f t="shared" si="106"/>
        <v>Payé</v>
      </c>
    </row>
    <row r="6808" spans="1:12" ht="15" customHeight="1" x14ac:dyDescent="0.25">
      <c r="A6808" s="160" t="s">
        <v>862</v>
      </c>
      <c r="B6808" s="90">
        <v>10273</v>
      </c>
      <c r="C6808" s="216" t="s">
        <v>1459</v>
      </c>
      <c r="D6808" s="90" t="s">
        <v>17</v>
      </c>
      <c r="E6808" s="196" t="s">
        <v>667</v>
      </c>
      <c r="F6808" s="160" t="s">
        <v>862</v>
      </c>
      <c r="G6808" s="163">
        <v>5</v>
      </c>
      <c r="H6808" s="138">
        <v>450</v>
      </c>
      <c r="I6808" s="188">
        <v>46072</v>
      </c>
      <c r="J6808" s="189">
        <v>0.45416666666666666</v>
      </c>
      <c r="K6808" s="138">
        <v>450</v>
      </c>
      <c r="L6808" s="72" t="str">
        <f t="shared" si="106"/>
        <v>Payé</v>
      </c>
    </row>
    <row r="6809" spans="1:12" ht="15" customHeight="1" x14ac:dyDescent="0.25">
      <c r="A6809" s="160" t="s">
        <v>862</v>
      </c>
      <c r="B6809" s="90">
        <v>10300</v>
      </c>
      <c r="C6809" s="216" t="s">
        <v>1410</v>
      </c>
      <c r="D6809" s="90" t="s">
        <v>17</v>
      </c>
      <c r="E6809" s="196" t="s">
        <v>667</v>
      </c>
      <c r="F6809" s="160" t="s">
        <v>862</v>
      </c>
      <c r="G6809" s="163">
        <v>3</v>
      </c>
      <c r="H6809" s="138">
        <v>270</v>
      </c>
      <c r="I6809" s="188">
        <v>46070</v>
      </c>
      <c r="J6809" s="189">
        <v>0.55972222222222223</v>
      </c>
      <c r="K6809" s="138">
        <v>270</v>
      </c>
      <c r="L6809" s="72" t="str">
        <f t="shared" si="106"/>
        <v>Payé</v>
      </c>
    </row>
    <row r="6810" spans="1:12" ht="15" customHeight="1" x14ac:dyDescent="0.25">
      <c r="A6810" s="160" t="s">
        <v>862</v>
      </c>
      <c r="B6810" s="90">
        <v>10302</v>
      </c>
      <c r="C6810" s="216" t="s">
        <v>1412</v>
      </c>
      <c r="D6810" s="90" t="s">
        <v>17</v>
      </c>
      <c r="E6810" s="196" t="s">
        <v>667</v>
      </c>
      <c r="F6810" s="160" t="s">
        <v>862</v>
      </c>
      <c r="G6810" s="163">
        <v>9</v>
      </c>
      <c r="H6810" s="138">
        <v>810</v>
      </c>
      <c r="I6810" s="188">
        <v>46072</v>
      </c>
      <c r="J6810" s="189">
        <v>0.38958333333333334</v>
      </c>
      <c r="K6810" s="138">
        <v>810</v>
      </c>
      <c r="L6810" s="72" t="str">
        <f t="shared" si="106"/>
        <v>Payé</v>
      </c>
    </row>
    <row r="6811" spans="1:12" ht="15" customHeight="1" x14ac:dyDescent="0.25">
      <c r="A6811" s="160" t="s">
        <v>862</v>
      </c>
      <c r="B6811" s="90">
        <v>10318</v>
      </c>
      <c r="C6811" s="216" t="s">
        <v>1478</v>
      </c>
      <c r="D6811" s="90" t="s">
        <v>17</v>
      </c>
      <c r="E6811" s="196" t="s">
        <v>254</v>
      </c>
      <c r="F6811" s="160" t="s">
        <v>862</v>
      </c>
      <c r="G6811" s="163">
        <v>6</v>
      </c>
      <c r="H6811" s="138">
        <v>540</v>
      </c>
      <c r="I6811" s="188">
        <v>46065</v>
      </c>
      <c r="J6811" s="189">
        <v>0.6</v>
      </c>
      <c r="K6811" s="138">
        <v>540</v>
      </c>
      <c r="L6811" s="72" t="str">
        <f t="shared" si="106"/>
        <v>Payé</v>
      </c>
    </row>
    <row r="6812" spans="1:12" ht="15" customHeight="1" x14ac:dyDescent="0.25">
      <c r="A6812" s="160" t="s">
        <v>862</v>
      </c>
      <c r="B6812" s="90">
        <v>10320</v>
      </c>
      <c r="C6812" s="216" t="s">
        <v>1456</v>
      </c>
      <c r="D6812" s="90" t="s">
        <v>17</v>
      </c>
      <c r="E6812" s="196" t="s">
        <v>667</v>
      </c>
      <c r="F6812" s="160" t="s">
        <v>862</v>
      </c>
      <c r="G6812" s="163">
        <v>7</v>
      </c>
      <c r="H6812" s="138">
        <v>630</v>
      </c>
      <c r="I6812" s="188">
        <v>46072</v>
      </c>
      <c r="J6812" s="189">
        <v>0.4597222222222222</v>
      </c>
      <c r="K6812" s="138">
        <v>630</v>
      </c>
      <c r="L6812" s="72" t="str">
        <f t="shared" si="106"/>
        <v>Payé</v>
      </c>
    </row>
    <row r="6813" spans="1:12" ht="15" customHeight="1" x14ac:dyDescent="0.25">
      <c r="A6813" s="160" t="s">
        <v>862</v>
      </c>
      <c r="B6813" s="90">
        <v>10325</v>
      </c>
      <c r="C6813" s="216" t="s">
        <v>1447</v>
      </c>
      <c r="D6813" s="90" t="s">
        <v>17</v>
      </c>
      <c r="E6813" s="196" t="s">
        <v>753</v>
      </c>
      <c r="F6813" s="160" t="s">
        <v>862</v>
      </c>
      <c r="G6813" s="163">
        <v>12</v>
      </c>
      <c r="H6813" s="138">
        <v>1080</v>
      </c>
      <c r="I6813" s="178">
        <v>46062</v>
      </c>
      <c r="J6813" s="179">
        <v>0.41875000000000001</v>
      </c>
      <c r="K6813" s="138">
        <v>1080</v>
      </c>
      <c r="L6813" s="72" t="str">
        <f t="shared" si="106"/>
        <v>Payé</v>
      </c>
    </row>
    <row r="6814" spans="1:12" ht="15" customHeight="1" x14ac:dyDescent="0.25">
      <c r="A6814" s="160" t="s">
        <v>862</v>
      </c>
      <c r="B6814" s="90">
        <v>10327</v>
      </c>
      <c r="C6814" s="216" t="s">
        <v>1446</v>
      </c>
      <c r="D6814" s="90" t="s">
        <v>17</v>
      </c>
      <c r="E6814" s="196" t="s">
        <v>753</v>
      </c>
      <c r="F6814" s="160" t="s">
        <v>862</v>
      </c>
      <c r="G6814" s="163">
        <v>8</v>
      </c>
      <c r="H6814" s="138">
        <v>720</v>
      </c>
      <c r="I6814" s="188">
        <v>46065</v>
      </c>
      <c r="J6814" s="189">
        <v>0.47916666666666669</v>
      </c>
      <c r="K6814" s="138">
        <v>720</v>
      </c>
      <c r="L6814" s="72" t="str">
        <f t="shared" ref="L6814:L6877" si="107">IF(ISBLANK(H6814),"",IF(H6814=K6814,"Payé","Impayé"))</f>
        <v>Payé</v>
      </c>
    </row>
    <row r="6815" spans="1:12" ht="15" customHeight="1" x14ac:dyDescent="0.25">
      <c r="A6815" s="160" t="s">
        <v>862</v>
      </c>
      <c r="B6815" s="90">
        <v>10335</v>
      </c>
      <c r="C6815" s="216" t="s">
        <v>1452</v>
      </c>
      <c r="D6815" s="90" t="s">
        <v>17</v>
      </c>
      <c r="E6815" s="196" t="s">
        <v>667</v>
      </c>
      <c r="F6815" s="160" t="s">
        <v>862</v>
      </c>
      <c r="G6815" s="163">
        <v>2</v>
      </c>
      <c r="H6815" s="138">
        <v>180</v>
      </c>
      <c r="I6815" s="188">
        <v>46072</v>
      </c>
      <c r="J6815" s="189">
        <v>0.45416666666666666</v>
      </c>
      <c r="K6815" s="138">
        <v>180</v>
      </c>
      <c r="L6815" s="72" t="str">
        <f t="shared" si="107"/>
        <v>Payé</v>
      </c>
    </row>
    <row r="6816" spans="1:12" ht="15" customHeight="1" x14ac:dyDescent="0.25">
      <c r="A6816" s="160" t="s">
        <v>862</v>
      </c>
      <c r="B6816" s="90">
        <v>10338</v>
      </c>
      <c r="C6816" s="216" t="s">
        <v>1449</v>
      </c>
      <c r="D6816" s="90" t="s">
        <v>17</v>
      </c>
      <c r="E6816" s="196" t="s">
        <v>753</v>
      </c>
      <c r="F6816" s="160" t="s">
        <v>862</v>
      </c>
      <c r="G6816" s="163">
        <v>12</v>
      </c>
      <c r="H6816" s="138">
        <v>1080</v>
      </c>
      <c r="I6816" s="188">
        <v>46070</v>
      </c>
      <c r="J6816" s="189">
        <v>1.2</v>
      </c>
      <c r="K6816" s="138">
        <v>1080</v>
      </c>
      <c r="L6816" s="72" t="str">
        <f t="shared" si="107"/>
        <v>Payé</v>
      </c>
    </row>
    <row r="6817" spans="1:12" ht="15" customHeight="1" x14ac:dyDescent="0.25">
      <c r="A6817" s="160" t="s">
        <v>862</v>
      </c>
      <c r="B6817" s="90">
        <v>10341</v>
      </c>
      <c r="C6817" s="216" t="s">
        <v>1432</v>
      </c>
      <c r="D6817" s="90" t="s">
        <v>17</v>
      </c>
      <c r="E6817" s="196" t="s">
        <v>649</v>
      </c>
      <c r="F6817" s="160" t="s">
        <v>862</v>
      </c>
      <c r="G6817" s="163">
        <v>1</v>
      </c>
      <c r="H6817" s="138">
        <v>90</v>
      </c>
      <c r="I6817" s="160"/>
      <c r="J6817" s="177"/>
      <c r="L6817" s="72" t="str">
        <f t="shared" si="107"/>
        <v>Impayé</v>
      </c>
    </row>
    <row r="6818" spans="1:12" ht="15" customHeight="1" x14ac:dyDescent="0.25">
      <c r="A6818" s="160" t="s">
        <v>862</v>
      </c>
      <c r="B6818" s="90">
        <v>10343</v>
      </c>
      <c r="C6818" s="216" t="s">
        <v>1472</v>
      </c>
      <c r="D6818" s="90" t="s">
        <v>17</v>
      </c>
      <c r="E6818" s="196" t="s">
        <v>49</v>
      </c>
      <c r="F6818" s="160" t="s">
        <v>862</v>
      </c>
      <c r="G6818" s="163">
        <v>5</v>
      </c>
      <c r="H6818" s="138">
        <v>450</v>
      </c>
      <c r="I6818" s="178">
        <v>46060</v>
      </c>
      <c r="J6818" s="172">
        <v>0.66736111111111107</v>
      </c>
      <c r="K6818" s="138">
        <v>450</v>
      </c>
      <c r="L6818" s="72" t="str">
        <f t="shared" si="107"/>
        <v>Payé</v>
      </c>
    </row>
    <row r="6819" spans="1:12" ht="15" customHeight="1" x14ac:dyDescent="0.25">
      <c r="A6819" s="160" t="s">
        <v>862</v>
      </c>
      <c r="B6819" s="90">
        <v>10365</v>
      </c>
      <c r="C6819" s="216" t="s">
        <v>1450</v>
      </c>
      <c r="D6819" s="90" t="s">
        <v>17</v>
      </c>
      <c r="E6819" s="196" t="s">
        <v>667</v>
      </c>
      <c r="F6819" s="160" t="s">
        <v>862</v>
      </c>
      <c r="G6819" s="163">
        <v>8</v>
      </c>
      <c r="H6819" s="138">
        <v>720</v>
      </c>
      <c r="I6819" s="188">
        <v>46072</v>
      </c>
      <c r="J6819" s="189">
        <v>0.45416666666666666</v>
      </c>
      <c r="K6819" s="138">
        <v>720</v>
      </c>
      <c r="L6819" s="72" t="str">
        <f t="shared" si="107"/>
        <v>Payé</v>
      </c>
    </row>
    <row r="6820" spans="1:12" ht="15" customHeight="1" x14ac:dyDescent="0.25">
      <c r="A6820" s="160" t="s">
        <v>862</v>
      </c>
      <c r="B6820" s="90">
        <v>10368</v>
      </c>
      <c r="C6820" s="216" t="s">
        <v>1483</v>
      </c>
      <c r="D6820" s="90" t="s">
        <v>17</v>
      </c>
      <c r="E6820" s="196" t="s">
        <v>254</v>
      </c>
      <c r="F6820" s="160" t="s">
        <v>862</v>
      </c>
      <c r="G6820" s="163">
        <v>8</v>
      </c>
      <c r="H6820" s="138">
        <v>720</v>
      </c>
      <c r="I6820" s="188">
        <v>46071</v>
      </c>
      <c r="J6820" s="189">
        <v>0.54166666666666663</v>
      </c>
      <c r="K6820" s="138">
        <v>720</v>
      </c>
      <c r="L6820" s="72" t="str">
        <f t="shared" si="107"/>
        <v>Payé</v>
      </c>
    </row>
    <row r="6821" spans="1:12" ht="15" customHeight="1" x14ac:dyDescent="0.25">
      <c r="A6821" s="160" t="s">
        <v>862</v>
      </c>
      <c r="B6821" s="90">
        <v>10373</v>
      </c>
      <c r="C6821" s="216" t="s">
        <v>1422</v>
      </c>
      <c r="D6821" s="90" t="s">
        <v>17</v>
      </c>
      <c r="E6821" s="196" t="s">
        <v>1104</v>
      </c>
      <c r="F6821" s="160" t="s">
        <v>862</v>
      </c>
      <c r="G6821" s="163">
        <v>4</v>
      </c>
      <c r="H6821" s="138">
        <v>360</v>
      </c>
      <c r="I6821" s="178">
        <v>46060</v>
      </c>
      <c r="J6821" s="172">
        <v>0.57152777777777775</v>
      </c>
      <c r="K6821" s="138">
        <v>360</v>
      </c>
      <c r="L6821" s="72" t="str">
        <f t="shared" si="107"/>
        <v>Payé</v>
      </c>
    </row>
    <row r="6822" spans="1:12" ht="15" customHeight="1" x14ac:dyDescent="0.25">
      <c r="A6822" s="160" t="s">
        <v>862</v>
      </c>
      <c r="B6822" s="90">
        <v>10374</v>
      </c>
      <c r="C6822" s="216" t="s">
        <v>1423</v>
      </c>
      <c r="D6822" s="90" t="s">
        <v>17</v>
      </c>
      <c r="E6822" s="196" t="s">
        <v>1104</v>
      </c>
      <c r="F6822" s="160" t="s">
        <v>862</v>
      </c>
      <c r="G6822" s="163">
        <v>2</v>
      </c>
      <c r="H6822" s="138">
        <v>180</v>
      </c>
      <c r="I6822" s="178">
        <v>46060</v>
      </c>
      <c r="J6822" s="172">
        <v>0.57152777777777775</v>
      </c>
      <c r="K6822" s="138">
        <v>180</v>
      </c>
      <c r="L6822" s="72" t="str">
        <f t="shared" si="107"/>
        <v>Payé</v>
      </c>
    </row>
    <row r="6823" spans="1:12" ht="15" customHeight="1" x14ac:dyDescent="0.25">
      <c r="A6823" s="160" t="s">
        <v>862</v>
      </c>
      <c r="B6823" s="90">
        <v>10381</v>
      </c>
      <c r="C6823" s="216" t="s">
        <v>1545</v>
      </c>
      <c r="D6823" s="90" t="s">
        <v>17</v>
      </c>
      <c r="E6823" s="196" t="s">
        <v>1104</v>
      </c>
      <c r="F6823" s="160" t="s">
        <v>862</v>
      </c>
      <c r="G6823" s="163">
        <v>5</v>
      </c>
      <c r="H6823" s="138">
        <v>450</v>
      </c>
      <c r="I6823" s="178">
        <v>46060</v>
      </c>
      <c r="J6823" s="172">
        <v>0.57152777777777775</v>
      </c>
      <c r="K6823" s="138">
        <v>450</v>
      </c>
      <c r="L6823" s="72" t="str">
        <f t="shared" si="107"/>
        <v>Payé</v>
      </c>
    </row>
    <row r="6824" spans="1:12" ht="15" customHeight="1" x14ac:dyDescent="0.25">
      <c r="A6824" s="160" t="s">
        <v>862</v>
      </c>
      <c r="B6824" s="90">
        <v>10383</v>
      </c>
      <c r="C6824" s="216" t="s">
        <v>1547</v>
      </c>
      <c r="D6824" s="90" t="s">
        <v>17</v>
      </c>
      <c r="E6824" s="196" t="s">
        <v>649</v>
      </c>
      <c r="F6824" s="160" t="s">
        <v>862</v>
      </c>
      <c r="G6824" s="163">
        <v>7</v>
      </c>
      <c r="H6824" s="138">
        <v>630</v>
      </c>
      <c r="I6824" s="188">
        <v>46070</v>
      </c>
      <c r="J6824" s="189">
        <v>0.55694444444444446</v>
      </c>
      <c r="K6824" s="138">
        <v>630</v>
      </c>
      <c r="L6824" s="72" t="str">
        <f t="shared" si="107"/>
        <v>Payé</v>
      </c>
    </row>
    <row r="6825" spans="1:12" ht="15" customHeight="1" x14ac:dyDescent="0.25">
      <c r="A6825" s="160" t="s">
        <v>862</v>
      </c>
      <c r="B6825" s="90">
        <v>10386</v>
      </c>
      <c r="C6825" s="216" t="s">
        <v>1550</v>
      </c>
      <c r="D6825" s="90" t="s">
        <v>17</v>
      </c>
      <c r="E6825" s="196" t="s">
        <v>1187</v>
      </c>
      <c r="F6825" s="160" t="s">
        <v>862</v>
      </c>
      <c r="G6825" s="163">
        <v>5</v>
      </c>
      <c r="H6825" s="138">
        <v>450</v>
      </c>
      <c r="I6825" s="188">
        <v>46077</v>
      </c>
      <c r="J6825" s="189">
        <v>0.60138888888888886</v>
      </c>
      <c r="K6825" s="138">
        <v>450</v>
      </c>
      <c r="L6825" s="72" t="str">
        <f t="shared" si="107"/>
        <v>Payé</v>
      </c>
    </row>
    <row r="6826" spans="1:12" ht="15" customHeight="1" x14ac:dyDescent="0.25">
      <c r="A6826" s="169" t="s">
        <v>862</v>
      </c>
      <c r="B6826" s="90">
        <v>10387</v>
      </c>
      <c r="C6826" s="221" t="s">
        <v>1551</v>
      </c>
      <c r="D6826" s="139" t="s">
        <v>17</v>
      </c>
      <c r="E6826" s="169" t="s">
        <v>649</v>
      </c>
      <c r="F6826" s="169" t="s">
        <v>862</v>
      </c>
      <c r="G6826" s="184">
        <v>5</v>
      </c>
      <c r="H6826" s="182">
        <v>450</v>
      </c>
      <c r="I6826" s="191">
        <v>46066</v>
      </c>
      <c r="J6826" s="192">
        <v>0.58472222222222225</v>
      </c>
      <c r="K6826" s="182">
        <v>450</v>
      </c>
      <c r="L6826" s="142" t="str">
        <f t="shared" si="107"/>
        <v>Payé</v>
      </c>
    </row>
    <row r="6827" spans="1:12" ht="15" customHeight="1" x14ac:dyDescent="0.25">
      <c r="A6827" s="160" t="s">
        <v>862</v>
      </c>
      <c r="B6827" s="90">
        <v>10389</v>
      </c>
      <c r="C6827" s="216" t="s">
        <v>1553</v>
      </c>
      <c r="D6827" s="90" t="s">
        <v>17</v>
      </c>
      <c r="E6827" s="196" t="s">
        <v>254</v>
      </c>
      <c r="F6827" s="160" t="s">
        <v>862</v>
      </c>
      <c r="G6827" s="163">
        <v>9</v>
      </c>
      <c r="H6827" s="138">
        <v>810</v>
      </c>
      <c r="I6827" s="188">
        <v>46076</v>
      </c>
      <c r="J6827" s="189">
        <v>0.47430555555555554</v>
      </c>
      <c r="K6827" s="138">
        <v>810</v>
      </c>
      <c r="L6827" s="72" t="str">
        <f t="shared" si="107"/>
        <v>Payé</v>
      </c>
    </row>
    <row r="6828" spans="1:12" ht="15" customHeight="1" x14ac:dyDescent="0.25">
      <c r="A6828" s="160" t="s">
        <v>862</v>
      </c>
      <c r="B6828" s="90">
        <v>10390</v>
      </c>
      <c r="C6828" s="216" t="s">
        <v>1554</v>
      </c>
      <c r="D6828" s="90" t="s">
        <v>17</v>
      </c>
      <c r="E6828" s="196" t="s">
        <v>649</v>
      </c>
      <c r="F6828" s="160" t="s">
        <v>862</v>
      </c>
      <c r="G6828" s="163">
        <v>8</v>
      </c>
      <c r="H6828" s="138">
        <v>720</v>
      </c>
      <c r="I6828" s="178">
        <v>46060</v>
      </c>
      <c r="J6828" s="172">
        <v>0.62777777777777777</v>
      </c>
      <c r="K6828" s="138">
        <v>720</v>
      </c>
      <c r="L6828" s="72" t="str">
        <f t="shared" si="107"/>
        <v>Payé</v>
      </c>
    </row>
    <row r="6829" spans="1:12" ht="15" customHeight="1" x14ac:dyDescent="0.25">
      <c r="A6829" s="160" t="s">
        <v>862</v>
      </c>
      <c r="B6829" s="90">
        <v>10391</v>
      </c>
      <c r="C6829" s="216" t="s">
        <v>1555</v>
      </c>
      <c r="D6829" s="90" t="s">
        <v>17</v>
      </c>
      <c r="E6829" s="196" t="s">
        <v>753</v>
      </c>
      <c r="F6829" s="160" t="s">
        <v>862</v>
      </c>
      <c r="G6829" s="163">
        <v>5</v>
      </c>
      <c r="H6829" s="138">
        <v>450</v>
      </c>
      <c r="I6829" s="188">
        <v>46072</v>
      </c>
      <c r="J6829" s="189">
        <v>0.54652777777777783</v>
      </c>
      <c r="K6829" s="138">
        <v>450</v>
      </c>
      <c r="L6829" s="72" t="str">
        <f t="shared" si="107"/>
        <v>Payé</v>
      </c>
    </row>
    <row r="6830" spans="1:12" ht="15" customHeight="1" x14ac:dyDescent="0.25">
      <c r="A6830" s="160" t="s">
        <v>862</v>
      </c>
      <c r="B6830" s="90">
        <v>10392</v>
      </c>
      <c r="C6830" s="216" t="s">
        <v>1565</v>
      </c>
      <c r="D6830" s="90" t="s">
        <v>17</v>
      </c>
      <c r="E6830" s="196" t="s">
        <v>753</v>
      </c>
      <c r="F6830" s="160" t="s">
        <v>862</v>
      </c>
      <c r="G6830" s="163">
        <v>10</v>
      </c>
      <c r="H6830" s="138">
        <v>900</v>
      </c>
      <c r="I6830" s="178">
        <v>46062</v>
      </c>
      <c r="J6830" s="172">
        <v>0.61944444444444446</v>
      </c>
      <c r="K6830" s="138">
        <v>900</v>
      </c>
      <c r="L6830" s="72" t="str">
        <f t="shared" si="107"/>
        <v>Payé</v>
      </c>
    </row>
    <row r="6831" spans="1:12" ht="15" customHeight="1" x14ac:dyDescent="0.25">
      <c r="A6831" s="160" t="s">
        <v>862</v>
      </c>
      <c r="B6831" s="90">
        <v>10394</v>
      </c>
      <c r="C6831" s="216" t="s">
        <v>1566</v>
      </c>
      <c r="D6831" s="90" t="s">
        <v>17</v>
      </c>
      <c r="E6831" s="196" t="s">
        <v>254</v>
      </c>
      <c r="F6831" s="160" t="s">
        <v>862</v>
      </c>
      <c r="G6831" s="163">
        <v>3</v>
      </c>
      <c r="H6831" s="138">
        <v>270</v>
      </c>
      <c r="I6831" s="188">
        <v>46073</v>
      </c>
      <c r="J6831" s="189">
        <v>0.58124999999999993</v>
      </c>
      <c r="K6831" s="138">
        <v>270</v>
      </c>
      <c r="L6831" s="72" t="str">
        <f t="shared" si="107"/>
        <v>Payé</v>
      </c>
    </row>
    <row r="6832" spans="1:12" ht="15" customHeight="1" x14ac:dyDescent="0.25">
      <c r="A6832" s="160" t="s">
        <v>862</v>
      </c>
      <c r="B6832" s="90">
        <v>10395</v>
      </c>
      <c r="C6832" s="216" t="s">
        <v>1567</v>
      </c>
      <c r="D6832" s="90" t="s">
        <v>17</v>
      </c>
      <c r="E6832" s="196" t="s">
        <v>254</v>
      </c>
      <c r="F6832" s="160" t="s">
        <v>862</v>
      </c>
      <c r="G6832" s="163">
        <v>10</v>
      </c>
      <c r="H6832" s="138">
        <v>900</v>
      </c>
      <c r="I6832" s="188">
        <v>46070</v>
      </c>
      <c r="J6832" s="189">
        <v>1.3333333333333333</v>
      </c>
      <c r="K6832" s="138">
        <v>900</v>
      </c>
      <c r="L6832" s="72" t="str">
        <f t="shared" si="107"/>
        <v>Payé</v>
      </c>
    </row>
    <row r="6833" spans="1:12" ht="15" customHeight="1" x14ac:dyDescent="0.25">
      <c r="A6833" s="160" t="s">
        <v>862</v>
      </c>
      <c r="B6833" s="90">
        <v>10397</v>
      </c>
      <c r="C6833" s="216" t="s">
        <v>1558</v>
      </c>
      <c r="D6833" s="90" t="s">
        <v>17</v>
      </c>
      <c r="E6833" s="196" t="s">
        <v>753</v>
      </c>
      <c r="F6833" s="160" t="s">
        <v>862</v>
      </c>
      <c r="G6833" s="163">
        <v>4</v>
      </c>
      <c r="H6833" s="138">
        <v>360</v>
      </c>
      <c r="I6833" s="188">
        <v>46072</v>
      </c>
      <c r="J6833" s="189" t="s">
        <v>1669</v>
      </c>
      <c r="K6833" s="138">
        <v>360</v>
      </c>
      <c r="L6833" s="72" t="str">
        <f t="shared" si="107"/>
        <v>Payé</v>
      </c>
    </row>
    <row r="6834" spans="1:12" ht="15" customHeight="1" x14ac:dyDescent="0.25">
      <c r="A6834" s="160" t="s">
        <v>862</v>
      </c>
      <c r="B6834" s="90">
        <v>10400</v>
      </c>
      <c r="C6834" s="216" t="s">
        <v>1274</v>
      </c>
      <c r="D6834" s="90" t="s">
        <v>17</v>
      </c>
      <c r="E6834" s="196" t="s">
        <v>254</v>
      </c>
      <c r="F6834" s="160" t="s">
        <v>862</v>
      </c>
      <c r="G6834" s="163">
        <v>9</v>
      </c>
      <c r="H6834" s="138">
        <v>810</v>
      </c>
      <c r="I6834" s="188">
        <v>46071</v>
      </c>
      <c r="J6834" s="189">
        <v>0.54166666666666663</v>
      </c>
      <c r="K6834" s="138">
        <v>810</v>
      </c>
      <c r="L6834" s="72" t="str">
        <f t="shared" si="107"/>
        <v>Payé</v>
      </c>
    </row>
    <row r="6835" spans="1:12" ht="15" customHeight="1" x14ac:dyDescent="0.25">
      <c r="A6835" s="160" t="s">
        <v>862</v>
      </c>
      <c r="B6835" s="90">
        <v>10401</v>
      </c>
      <c r="C6835" s="216" t="s">
        <v>1568</v>
      </c>
      <c r="D6835" s="90" t="s">
        <v>17</v>
      </c>
      <c r="E6835" s="196" t="s">
        <v>667</v>
      </c>
      <c r="F6835" s="160" t="s">
        <v>862</v>
      </c>
      <c r="G6835" s="163">
        <v>8</v>
      </c>
      <c r="H6835" s="138">
        <v>720</v>
      </c>
      <c r="I6835" s="188">
        <v>46072</v>
      </c>
      <c r="J6835" s="189">
        <v>0.4597222222222222</v>
      </c>
      <c r="K6835" s="138">
        <v>720</v>
      </c>
      <c r="L6835" s="72" t="str">
        <f t="shared" si="107"/>
        <v>Payé</v>
      </c>
    </row>
    <row r="6836" spans="1:12" ht="15" customHeight="1" x14ac:dyDescent="0.25">
      <c r="A6836" s="160" t="s">
        <v>862</v>
      </c>
      <c r="B6836" s="90">
        <v>10402</v>
      </c>
      <c r="C6836" s="216" t="s">
        <v>1569</v>
      </c>
      <c r="D6836" s="90" t="s">
        <v>17</v>
      </c>
      <c r="E6836" s="196" t="s">
        <v>254</v>
      </c>
      <c r="F6836" s="160" t="s">
        <v>862</v>
      </c>
      <c r="G6836" s="163">
        <v>8</v>
      </c>
      <c r="H6836" s="138">
        <v>720</v>
      </c>
      <c r="I6836" s="188">
        <v>46070</v>
      </c>
      <c r="J6836" s="189">
        <v>0.50138888888888888</v>
      </c>
      <c r="K6836" s="138">
        <v>720</v>
      </c>
      <c r="L6836" s="72" t="str">
        <f t="shared" si="107"/>
        <v>Payé</v>
      </c>
    </row>
    <row r="6837" spans="1:12" ht="15" customHeight="1" x14ac:dyDescent="0.25">
      <c r="A6837" s="160" t="s">
        <v>862</v>
      </c>
      <c r="B6837" s="90">
        <v>10403</v>
      </c>
      <c r="C6837" s="216" t="s">
        <v>1570</v>
      </c>
      <c r="D6837" s="90" t="s">
        <v>17</v>
      </c>
      <c r="E6837" s="196" t="s">
        <v>254</v>
      </c>
      <c r="F6837" s="160" t="s">
        <v>862</v>
      </c>
      <c r="G6837" s="163">
        <v>8</v>
      </c>
      <c r="H6837" s="138">
        <v>720</v>
      </c>
      <c r="I6837" s="188">
        <v>46070</v>
      </c>
      <c r="J6837" s="189">
        <v>0.50416666666666665</v>
      </c>
      <c r="K6837" s="138">
        <v>720</v>
      </c>
      <c r="L6837" s="72" t="str">
        <f t="shared" si="107"/>
        <v>Payé</v>
      </c>
    </row>
    <row r="6838" spans="1:12" ht="15" customHeight="1" x14ac:dyDescent="0.25">
      <c r="A6838" s="160" t="s">
        <v>862</v>
      </c>
      <c r="B6838" s="90">
        <v>10404</v>
      </c>
      <c r="C6838" s="216" t="s">
        <v>1415</v>
      </c>
      <c r="D6838" s="90" t="s">
        <v>17</v>
      </c>
      <c r="E6838" s="196" t="s">
        <v>667</v>
      </c>
      <c r="F6838" s="160" t="s">
        <v>862</v>
      </c>
      <c r="G6838" s="163">
        <v>6</v>
      </c>
      <c r="H6838" s="138">
        <v>540</v>
      </c>
      <c r="I6838" s="188">
        <v>46072</v>
      </c>
      <c r="J6838" s="189">
        <v>0.4597222222222222</v>
      </c>
      <c r="K6838" s="138">
        <v>540</v>
      </c>
      <c r="L6838" s="72" t="str">
        <f t="shared" si="107"/>
        <v>Payé</v>
      </c>
    </row>
    <row r="6839" spans="1:12" ht="15" customHeight="1" x14ac:dyDescent="0.25">
      <c r="A6839" s="160" t="s">
        <v>862</v>
      </c>
      <c r="B6839" s="90">
        <v>10405</v>
      </c>
      <c r="C6839" s="216" t="s">
        <v>1571</v>
      </c>
      <c r="D6839" s="90" t="s">
        <v>17</v>
      </c>
      <c r="E6839" s="196" t="s">
        <v>753</v>
      </c>
      <c r="F6839" s="160" t="s">
        <v>862</v>
      </c>
      <c r="G6839" s="163">
        <v>11</v>
      </c>
      <c r="H6839" s="138">
        <v>990</v>
      </c>
      <c r="I6839" s="188">
        <v>46069</v>
      </c>
      <c r="J6839" s="189">
        <v>0.5854166666666667</v>
      </c>
      <c r="K6839" s="138">
        <v>990</v>
      </c>
      <c r="L6839" s="72" t="str">
        <f t="shared" si="107"/>
        <v>Payé</v>
      </c>
    </row>
    <row r="6840" spans="1:12" ht="15" customHeight="1" x14ac:dyDescent="0.25">
      <c r="A6840" s="160" t="s">
        <v>862</v>
      </c>
      <c r="B6840" s="90">
        <v>10407</v>
      </c>
      <c r="C6840" s="216" t="s">
        <v>1572</v>
      </c>
      <c r="D6840" s="90" t="s">
        <v>17</v>
      </c>
      <c r="E6840" s="196" t="s">
        <v>753</v>
      </c>
      <c r="F6840" s="160" t="s">
        <v>862</v>
      </c>
      <c r="G6840" s="163">
        <v>9</v>
      </c>
      <c r="H6840" s="138">
        <v>810</v>
      </c>
      <c r="I6840" s="188">
        <v>46069</v>
      </c>
      <c r="J6840" s="189">
        <v>0.57222222222222219</v>
      </c>
      <c r="K6840" s="138">
        <v>810</v>
      </c>
      <c r="L6840" s="72" t="str">
        <f t="shared" si="107"/>
        <v>Payé</v>
      </c>
    </row>
    <row r="6841" spans="1:12" ht="15" customHeight="1" x14ac:dyDescent="0.25">
      <c r="A6841" s="160" t="s">
        <v>862</v>
      </c>
      <c r="B6841" s="90">
        <v>10412</v>
      </c>
      <c r="C6841" s="216" t="s">
        <v>1575</v>
      </c>
      <c r="D6841" s="90" t="s">
        <v>17</v>
      </c>
      <c r="E6841" s="196" t="s">
        <v>667</v>
      </c>
      <c r="F6841" s="160" t="s">
        <v>862</v>
      </c>
      <c r="G6841" s="163">
        <v>9</v>
      </c>
      <c r="H6841" s="138">
        <v>810</v>
      </c>
      <c r="I6841" s="188">
        <v>46072</v>
      </c>
      <c r="J6841" s="189">
        <v>0.45416666666666666</v>
      </c>
      <c r="K6841" s="138">
        <v>810</v>
      </c>
      <c r="L6841" s="72" t="str">
        <f t="shared" si="107"/>
        <v>Payé</v>
      </c>
    </row>
    <row r="6842" spans="1:12" ht="15" customHeight="1" x14ac:dyDescent="0.25">
      <c r="A6842" s="160" t="s">
        <v>862</v>
      </c>
      <c r="B6842" s="90">
        <v>10413</v>
      </c>
      <c r="C6842" s="216" t="s">
        <v>1576</v>
      </c>
      <c r="D6842" s="90" t="s">
        <v>17</v>
      </c>
      <c r="E6842" s="196" t="s">
        <v>753</v>
      </c>
      <c r="F6842" s="160" t="s">
        <v>862</v>
      </c>
      <c r="G6842" s="163">
        <v>7</v>
      </c>
      <c r="H6842" s="138">
        <v>630</v>
      </c>
      <c r="I6842" s="188">
        <v>46069</v>
      </c>
      <c r="J6842" s="189">
        <v>0.5854166666666667</v>
      </c>
      <c r="K6842" s="138">
        <v>630</v>
      </c>
      <c r="L6842" s="72" t="str">
        <f t="shared" si="107"/>
        <v>Payé</v>
      </c>
    </row>
    <row r="6843" spans="1:12" ht="15" customHeight="1" x14ac:dyDescent="0.25">
      <c r="A6843" s="160" t="s">
        <v>862</v>
      </c>
      <c r="B6843" s="90">
        <v>10414</v>
      </c>
      <c r="C6843" s="216" t="s">
        <v>1577</v>
      </c>
      <c r="D6843" s="90" t="s">
        <v>17</v>
      </c>
      <c r="E6843" s="196" t="s">
        <v>649</v>
      </c>
      <c r="F6843" s="160" t="s">
        <v>862</v>
      </c>
      <c r="G6843" s="163">
        <v>2</v>
      </c>
      <c r="H6843" s="138">
        <v>180</v>
      </c>
      <c r="I6843" s="188">
        <v>46071</v>
      </c>
      <c r="J6843" s="189">
        <v>0.55069444444444449</v>
      </c>
      <c r="K6843" s="138">
        <v>180</v>
      </c>
      <c r="L6843" s="72" t="str">
        <f t="shared" si="107"/>
        <v>Payé</v>
      </c>
    </row>
    <row r="6844" spans="1:12" ht="15" customHeight="1" x14ac:dyDescent="0.25">
      <c r="A6844" s="160" t="s">
        <v>862</v>
      </c>
      <c r="B6844" s="90">
        <v>10415</v>
      </c>
      <c r="C6844" s="216" t="s">
        <v>1578</v>
      </c>
      <c r="D6844" s="90" t="s">
        <v>17</v>
      </c>
      <c r="E6844" s="196" t="s">
        <v>649</v>
      </c>
      <c r="F6844" s="160" t="s">
        <v>862</v>
      </c>
      <c r="G6844" s="163">
        <v>6</v>
      </c>
      <c r="H6844" s="138">
        <v>540</v>
      </c>
      <c r="I6844" s="188">
        <v>46071</v>
      </c>
      <c r="J6844" s="189">
        <v>0.55069444444444449</v>
      </c>
      <c r="K6844" s="138">
        <v>540</v>
      </c>
      <c r="L6844" s="72" t="str">
        <f t="shared" si="107"/>
        <v>Payé</v>
      </c>
    </row>
    <row r="6845" spans="1:12" ht="15" customHeight="1" x14ac:dyDescent="0.25">
      <c r="A6845" s="160" t="s">
        <v>862</v>
      </c>
      <c r="B6845" s="90">
        <v>10416</v>
      </c>
      <c r="C6845" s="216" t="s">
        <v>1579</v>
      </c>
      <c r="D6845" s="90" t="s">
        <v>17</v>
      </c>
      <c r="E6845" s="196" t="s">
        <v>753</v>
      </c>
      <c r="F6845" s="160" t="s">
        <v>862</v>
      </c>
      <c r="G6845" s="163">
        <v>11</v>
      </c>
      <c r="H6845" s="138">
        <v>990</v>
      </c>
      <c r="I6845" s="188">
        <v>46069</v>
      </c>
      <c r="J6845" s="189">
        <v>0.57222222222222219</v>
      </c>
      <c r="K6845" s="138">
        <v>990</v>
      </c>
      <c r="L6845" s="72" t="str">
        <f t="shared" si="107"/>
        <v>Payé</v>
      </c>
    </row>
    <row r="6846" spans="1:12" ht="15" customHeight="1" x14ac:dyDescent="0.25">
      <c r="A6846" s="160" t="s">
        <v>862</v>
      </c>
      <c r="B6846" s="90">
        <v>10418</v>
      </c>
      <c r="C6846" s="216" t="s">
        <v>1594</v>
      </c>
      <c r="D6846" s="90" t="s">
        <v>17</v>
      </c>
      <c r="E6846" s="196" t="s">
        <v>1663</v>
      </c>
      <c r="F6846" s="160" t="s">
        <v>862</v>
      </c>
      <c r="G6846" s="163">
        <v>4</v>
      </c>
      <c r="H6846" s="138">
        <v>370</v>
      </c>
      <c r="I6846" s="188">
        <v>46065</v>
      </c>
      <c r="J6846" s="189">
        <v>0.63680555555555551</v>
      </c>
      <c r="K6846" s="138">
        <v>370</v>
      </c>
      <c r="L6846" s="72" t="str">
        <f t="shared" si="107"/>
        <v>Payé</v>
      </c>
    </row>
    <row r="6847" spans="1:12" ht="15" customHeight="1" x14ac:dyDescent="0.25">
      <c r="A6847" s="160" t="s">
        <v>862</v>
      </c>
      <c r="B6847" s="90">
        <v>10419</v>
      </c>
      <c r="C6847" s="216" t="s">
        <v>1595</v>
      </c>
      <c r="D6847" s="90" t="s">
        <v>17</v>
      </c>
      <c r="E6847" s="196" t="s">
        <v>1663</v>
      </c>
      <c r="F6847" s="160" t="s">
        <v>862</v>
      </c>
      <c r="G6847" s="163">
        <v>6</v>
      </c>
      <c r="H6847" s="138">
        <v>540</v>
      </c>
      <c r="I6847" s="188">
        <v>46065</v>
      </c>
      <c r="J6847" s="189">
        <v>0.63680555555555551</v>
      </c>
      <c r="K6847" s="138">
        <v>540</v>
      </c>
      <c r="L6847" s="72" t="str">
        <f t="shared" si="107"/>
        <v>Payé</v>
      </c>
    </row>
    <row r="6848" spans="1:12" ht="15" customHeight="1" x14ac:dyDescent="0.25">
      <c r="A6848" s="160" t="s">
        <v>862</v>
      </c>
      <c r="B6848" s="90">
        <v>10422</v>
      </c>
      <c r="C6848" s="216" t="s">
        <v>1596</v>
      </c>
      <c r="D6848" s="90" t="s">
        <v>17</v>
      </c>
      <c r="E6848" s="196" t="s">
        <v>1663</v>
      </c>
      <c r="F6848" s="160" t="s">
        <v>862</v>
      </c>
      <c r="G6848" s="163">
        <v>5</v>
      </c>
      <c r="H6848" s="138">
        <v>450</v>
      </c>
      <c r="I6848" s="188">
        <v>46065</v>
      </c>
      <c r="J6848" s="189">
        <v>0.63680555555555551</v>
      </c>
      <c r="K6848" s="138">
        <v>450</v>
      </c>
      <c r="L6848" s="72" t="str">
        <f t="shared" si="107"/>
        <v>Payé</v>
      </c>
    </row>
    <row r="6849" spans="1:12" ht="15" customHeight="1" x14ac:dyDescent="0.25">
      <c r="A6849" s="160" t="s">
        <v>862</v>
      </c>
      <c r="B6849" s="90">
        <v>10423</v>
      </c>
      <c r="C6849" s="216" t="s">
        <v>1597</v>
      </c>
      <c r="D6849" s="90" t="s">
        <v>17</v>
      </c>
      <c r="E6849" s="196" t="s">
        <v>1663</v>
      </c>
      <c r="F6849" s="160" t="s">
        <v>862</v>
      </c>
      <c r="G6849" s="163">
        <v>5</v>
      </c>
      <c r="H6849" s="138">
        <v>450</v>
      </c>
      <c r="I6849" s="188">
        <v>46065</v>
      </c>
      <c r="J6849" s="189">
        <v>0.63680555555555551</v>
      </c>
      <c r="K6849" s="138">
        <v>450</v>
      </c>
      <c r="L6849" s="72" t="str">
        <f t="shared" si="107"/>
        <v>Payé</v>
      </c>
    </row>
    <row r="6850" spans="1:12" ht="15" customHeight="1" x14ac:dyDescent="0.25">
      <c r="A6850" s="160" t="s">
        <v>862</v>
      </c>
      <c r="B6850" s="90">
        <v>10424</v>
      </c>
      <c r="C6850" s="216" t="s">
        <v>1598</v>
      </c>
      <c r="D6850" s="90" t="s">
        <v>17</v>
      </c>
      <c r="E6850" s="196" t="s">
        <v>1663</v>
      </c>
      <c r="F6850" s="160" t="s">
        <v>862</v>
      </c>
      <c r="G6850" s="163">
        <v>5</v>
      </c>
      <c r="H6850" s="138">
        <v>450</v>
      </c>
      <c r="I6850" s="188">
        <v>46065</v>
      </c>
      <c r="J6850" s="189">
        <v>0.63680555555555551</v>
      </c>
      <c r="K6850" s="138">
        <v>450</v>
      </c>
      <c r="L6850" s="72" t="str">
        <f t="shared" si="107"/>
        <v>Payé</v>
      </c>
    </row>
    <row r="6851" spans="1:12" ht="15" customHeight="1" x14ac:dyDescent="0.25">
      <c r="A6851" s="160" t="s">
        <v>862</v>
      </c>
      <c r="B6851" s="90">
        <v>10425</v>
      </c>
      <c r="C6851" s="216" t="s">
        <v>1599</v>
      </c>
      <c r="D6851" s="90" t="s">
        <v>17</v>
      </c>
      <c r="E6851" s="196" t="s">
        <v>1663</v>
      </c>
      <c r="F6851" s="160" t="s">
        <v>862</v>
      </c>
      <c r="G6851" s="163">
        <v>5</v>
      </c>
      <c r="H6851" s="138">
        <v>450</v>
      </c>
      <c r="I6851" s="188">
        <v>46065</v>
      </c>
      <c r="J6851" s="189">
        <v>0.63680555555555551</v>
      </c>
      <c r="K6851" s="138">
        <v>450</v>
      </c>
      <c r="L6851" s="72" t="str">
        <f t="shared" si="107"/>
        <v>Payé</v>
      </c>
    </row>
    <row r="6852" spans="1:12" ht="15" customHeight="1" x14ac:dyDescent="0.25">
      <c r="A6852" s="160" t="s">
        <v>862</v>
      </c>
      <c r="B6852" s="90">
        <v>10426</v>
      </c>
      <c r="C6852" s="216" t="s">
        <v>1600</v>
      </c>
      <c r="D6852" s="90" t="s">
        <v>17</v>
      </c>
      <c r="E6852" s="196" t="s">
        <v>1663</v>
      </c>
      <c r="F6852" s="160" t="s">
        <v>862</v>
      </c>
      <c r="G6852" s="163">
        <v>4</v>
      </c>
      <c r="H6852" s="138">
        <v>360</v>
      </c>
      <c r="I6852" s="188">
        <v>46065</v>
      </c>
      <c r="J6852" s="189">
        <v>0.63680555555555551</v>
      </c>
      <c r="K6852" s="138">
        <v>360</v>
      </c>
      <c r="L6852" s="72" t="str">
        <f t="shared" si="107"/>
        <v>Payé</v>
      </c>
    </row>
    <row r="6853" spans="1:12" ht="15" customHeight="1" x14ac:dyDescent="0.25">
      <c r="A6853" s="160" t="s">
        <v>862</v>
      </c>
      <c r="B6853" s="90">
        <v>10427</v>
      </c>
      <c r="C6853" s="216" t="s">
        <v>1601</v>
      </c>
      <c r="D6853" s="90" t="s">
        <v>17</v>
      </c>
      <c r="E6853" s="196" t="s">
        <v>1663</v>
      </c>
      <c r="F6853" s="160" t="s">
        <v>862</v>
      </c>
      <c r="G6853" s="163">
        <v>2</v>
      </c>
      <c r="H6853" s="138">
        <v>180</v>
      </c>
      <c r="I6853" s="188">
        <v>46065</v>
      </c>
      <c r="J6853" s="189">
        <v>0.63680555555555551</v>
      </c>
      <c r="K6853" s="138">
        <v>180</v>
      </c>
      <c r="L6853" s="72" t="str">
        <f t="shared" si="107"/>
        <v>Payé</v>
      </c>
    </row>
    <row r="6854" spans="1:12" ht="15" customHeight="1" x14ac:dyDescent="0.25">
      <c r="A6854" s="160" t="s">
        <v>862</v>
      </c>
      <c r="B6854" s="90">
        <v>10428</v>
      </c>
      <c r="C6854" s="216" t="s">
        <v>1602</v>
      </c>
      <c r="D6854" s="90" t="s">
        <v>17</v>
      </c>
      <c r="E6854" s="196" t="s">
        <v>1663</v>
      </c>
      <c r="F6854" s="160" t="s">
        <v>862</v>
      </c>
      <c r="G6854" s="163">
        <v>4</v>
      </c>
      <c r="H6854" s="138">
        <v>360</v>
      </c>
      <c r="I6854" s="188">
        <v>46065</v>
      </c>
      <c r="J6854" s="189">
        <v>0.63680555555555551</v>
      </c>
      <c r="K6854" s="138">
        <v>360</v>
      </c>
      <c r="L6854" s="72" t="str">
        <f t="shared" si="107"/>
        <v>Payé</v>
      </c>
    </row>
    <row r="6855" spans="1:12" ht="15" customHeight="1" x14ac:dyDescent="0.25">
      <c r="A6855" s="160" t="s">
        <v>862</v>
      </c>
      <c r="B6855" s="90">
        <v>10429</v>
      </c>
      <c r="C6855" s="216" t="s">
        <v>1603</v>
      </c>
      <c r="D6855" s="90" t="s">
        <v>17</v>
      </c>
      <c r="E6855" s="196" t="s">
        <v>1663</v>
      </c>
      <c r="F6855" s="160" t="s">
        <v>862</v>
      </c>
      <c r="G6855" s="163">
        <v>4</v>
      </c>
      <c r="H6855" s="138">
        <v>360</v>
      </c>
      <c r="I6855" s="188">
        <v>46065</v>
      </c>
      <c r="J6855" s="189">
        <v>0.63680555555555551</v>
      </c>
      <c r="K6855" s="138">
        <v>360</v>
      </c>
      <c r="L6855" s="72" t="str">
        <f t="shared" si="107"/>
        <v>Payé</v>
      </c>
    </row>
    <row r="6856" spans="1:12" ht="15" customHeight="1" x14ac:dyDescent="0.25">
      <c r="A6856" s="160" t="s">
        <v>862</v>
      </c>
      <c r="B6856" s="90">
        <v>10430</v>
      </c>
      <c r="C6856" s="216" t="s">
        <v>1582</v>
      </c>
      <c r="D6856" s="90" t="s">
        <v>17</v>
      </c>
      <c r="E6856" s="196" t="s">
        <v>649</v>
      </c>
      <c r="F6856" s="160" t="s">
        <v>862</v>
      </c>
      <c r="G6856" s="163">
        <v>6</v>
      </c>
      <c r="H6856" s="138">
        <v>540</v>
      </c>
      <c r="I6856" s="188">
        <v>46071</v>
      </c>
      <c r="J6856" s="189">
        <v>0.55069444444444449</v>
      </c>
      <c r="K6856" s="138">
        <v>540</v>
      </c>
      <c r="L6856" s="72" t="str">
        <f t="shared" si="107"/>
        <v>Payé</v>
      </c>
    </row>
    <row r="6857" spans="1:12" ht="15" customHeight="1" x14ac:dyDescent="0.25">
      <c r="A6857" s="160" t="s">
        <v>862</v>
      </c>
      <c r="B6857" s="90">
        <v>10431</v>
      </c>
      <c r="C6857" s="216" t="s">
        <v>1604</v>
      </c>
      <c r="D6857" s="90" t="s">
        <v>17</v>
      </c>
      <c r="E6857" s="196" t="s">
        <v>649</v>
      </c>
      <c r="F6857" s="160" t="s">
        <v>862</v>
      </c>
      <c r="G6857" s="163">
        <v>8</v>
      </c>
      <c r="H6857" s="138">
        <v>720</v>
      </c>
      <c r="I6857" s="188">
        <v>46072</v>
      </c>
      <c r="J6857" s="189">
        <v>0.37916666666666665</v>
      </c>
      <c r="K6857" s="138">
        <v>720</v>
      </c>
      <c r="L6857" s="72" t="str">
        <f t="shared" si="107"/>
        <v>Payé</v>
      </c>
    </row>
    <row r="6858" spans="1:12" ht="15" customHeight="1" x14ac:dyDescent="0.25">
      <c r="A6858" s="160" t="s">
        <v>862</v>
      </c>
      <c r="B6858" s="90">
        <v>10432</v>
      </c>
      <c r="C6858" s="216" t="s">
        <v>1605</v>
      </c>
      <c r="D6858" s="90" t="s">
        <v>17</v>
      </c>
      <c r="E6858" s="196" t="s">
        <v>649</v>
      </c>
      <c r="F6858" s="160" t="s">
        <v>862</v>
      </c>
      <c r="G6858" s="163">
        <v>5</v>
      </c>
      <c r="H6858" s="138">
        <v>450</v>
      </c>
      <c r="I6858" s="188">
        <v>46071</v>
      </c>
      <c r="J6858" s="189">
        <v>0.4368055555555555</v>
      </c>
      <c r="K6858" s="138">
        <v>450</v>
      </c>
      <c r="L6858" s="72" t="str">
        <f t="shared" si="107"/>
        <v>Payé</v>
      </c>
    </row>
    <row r="6859" spans="1:12" ht="15" customHeight="1" x14ac:dyDescent="0.25">
      <c r="A6859" s="160" t="s">
        <v>862</v>
      </c>
      <c r="B6859" s="90">
        <v>10433</v>
      </c>
      <c r="C6859" s="216" t="s">
        <v>1606</v>
      </c>
      <c r="D6859" s="90" t="s">
        <v>17</v>
      </c>
      <c r="E6859" s="196" t="s">
        <v>649</v>
      </c>
      <c r="F6859" s="160" t="s">
        <v>862</v>
      </c>
      <c r="G6859" s="163">
        <v>6</v>
      </c>
      <c r="H6859" s="138">
        <v>540</v>
      </c>
      <c r="I6859" s="188">
        <v>46072</v>
      </c>
      <c r="J6859" s="189">
        <v>0.37916666666666665</v>
      </c>
      <c r="K6859" s="138">
        <v>540</v>
      </c>
      <c r="L6859" s="72" t="str">
        <f t="shared" si="107"/>
        <v>Payé</v>
      </c>
    </row>
    <row r="6860" spans="1:12" ht="15" customHeight="1" x14ac:dyDescent="0.25">
      <c r="A6860" s="160" t="s">
        <v>862</v>
      </c>
      <c r="B6860" s="90">
        <v>10434</v>
      </c>
      <c r="C6860" s="216" t="s">
        <v>1607</v>
      </c>
      <c r="D6860" s="90" t="s">
        <v>17</v>
      </c>
      <c r="E6860" s="196" t="s">
        <v>667</v>
      </c>
      <c r="F6860" s="160" t="s">
        <v>862</v>
      </c>
      <c r="G6860" s="163">
        <v>9</v>
      </c>
      <c r="H6860" s="138">
        <v>810</v>
      </c>
      <c r="I6860" s="188">
        <v>46072</v>
      </c>
      <c r="J6860" s="189">
        <v>0.4597222222222222</v>
      </c>
      <c r="K6860" s="138">
        <v>810</v>
      </c>
      <c r="L6860" s="72" t="str">
        <f t="shared" si="107"/>
        <v>Payé</v>
      </c>
    </row>
    <row r="6861" spans="1:12" ht="15" customHeight="1" x14ac:dyDescent="0.25">
      <c r="A6861" s="160" t="s">
        <v>862</v>
      </c>
      <c r="B6861" s="90">
        <v>10435</v>
      </c>
      <c r="C6861" s="216" t="s">
        <v>1608</v>
      </c>
      <c r="D6861" s="90" t="s">
        <v>17</v>
      </c>
      <c r="E6861" s="196" t="s">
        <v>667</v>
      </c>
      <c r="F6861" s="160" t="s">
        <v>862</v>
      </c>
      <c r="G6861" s="163">
        <v>9</v>
      </c>
      <c r="H6861" s="138">
        <v>810</v>
      </c>
      <c r="I6861" s="188">
        <v>46072</v>
      </c>
      <c r="J6861" s="189">
        <v>0.38819444444444445</v>
      </c>
      <c r="K6861" s="138">
        <v>810</v>
      </c>
      <c r="L6861" s="72" t="str">
        <f t="shared" si="107"/>
        <v>Payé</v>
      </c>
    </row>
    <row r="6862" spans="1:12" ht="15" customHeight="1" x14ac:dyDescent="0.25">
      <c r="A6862" s="160" t="s">
        <v>862</v>
      </c>
      <c r="B6862" s="90">
        <v>10436</v>
      </c>
      <c r="C6862" s="216" t="s">
        <v>1609</v>
      </c>
      <c r="D6862" s="90" t="s">
        <v>17</v>
      </c>
      <c r="E6862" s="196" t="s">
        <v>254</v>
      </c>
      <c r="F6862" s="160" t="s">
        <v>862</v>
      </c>
      <c r="G6862" s="163">
        <v>4</v>
      </c>
      <c r="H6862" s="138">
        <v>360</v>
      </c>
      <c r="I6862" s="188">
        <v>46071</v>
      </c>
      <c r="J6862" s="189">
        <v>0.54166666666666663</v>
      </c>
      <c r="K6862" s="138">
        <v>360</v>
      </c>
      <c r="L6862" s="72" t="str">
        <f t="shared" si="107"/>
        <v>Payé</v>
      </c>
    </row>
    <row r="6863" spans="1:12" ht="15" customHeight="1" x14ac:dyDescent="0.25">
      <c r="A6863" s="160" t="s">
        <v>862</v>
      </c>
      <c r="B6863" s="90">
        <v>10440</v>
      </c>
      <c r="C6863" s="216" t="s">
        <v>1610</v>
      </c>
      <c r="D6863" s="90" t="s">
        <v>17</v>
      </c>
      <c r="E6863" s="196" t="s">
        <v>667</v>
      </c>
      <c r="F6863" s="160" t="s">
        <v>862</v>
      </c>
      <c r="G6863" s="163">
        <v>7</v>
      </c>
      <c r="H6863" s="138">
        <v>630</v>
      </c>
      <c r="I6863" s="188">
        <v>46072</v>
      </c>
      <c r="J6863" s="189">
        <v>0.4597222222222222</v>
      </c>
      <c r="K6863" s="138">
        <v>630</v>
      </c>
      <c r="L6863" s="72" t="str">
        <f t="shared" si="107"/>
        <v>Payé</v>
      </c>
    </row>
    <row r="6864" spans="1:12" ht="15" customHeight="1" x14ac:dyDescent="0.25">
      <c r="A6864" s="160" t="s">
        <v>862</v>
      </c>
      <c r="B6864" s="90">
        <v>10441</v>
      </c>
      <c r="C6864" s="216" t="s">
        <v>1611</v>
      </c>
      <c r="D6864" s="90" t="s">
        <v>17</v>
      </c>
      <c r="E6864" s="196" t="s">
        <v>1663</v>
      </c>
      <c r="F6864" s="160" t="s">
        <v>862</v>
      </c>
      <c r="G6864" s="163">
        <v>4</v>
      </c>
      <c r="H6864" s="138">
        <v>360</v>
      </c>
      <c r="I6864" s="188">
        <v>46065</v>
      </c>
      <c r="J6864" s="189">
        <v>0.63680555555555551</v>
      </c>
      <c r="K6864" s="138">
        <v>360</v>
      </c>
      <c r="L6864" s="72" t="str">
        <f t="shared" si="107"/>
        <v>Payé</v>
      </c>
    </row>
    <row r="6865" spans="1:12" ht="15" customHeight="1" x14ac:dyDescent="0.25">
      <c r="A6865" s="160" t="s">
        <v>862</v>
      </c>
      <c r="B6865" s="90">
        <v>10442</v>
      </c>
      <c r="C6865" s="215" t="s">
        <v>1612</v>
      </c>
      <c r="D6865" s="90" t="s">
        <v>17</v>
      </c>
      <c r="E6865" s="196" t="s">
        <v>1663</v>
      </c>
      <c r="F6865" s="160" t="s">
        <v>862</v>
      </c>
      <c r="G6865" s="163">
        <v>4</v>
      </c>
      <c r="H6865" s="138">
        <v>370</v>
      </c>
      <c r="I6865" s="188">
        <v>46065</v>
      </c>
      <c r="J6865" s="189">
        <v>0.63680555555555551</v>
      </c>
      <c r="K6865" s="138">
        <v>370</v>
      </c>
      <c r="L6865" s="72" t="str">
        <f t="shared" si="107"/>
        <v>Payé</v>
      </c>
    </row>
    <row r="6866" spans="1:12" ht="15" customHeight="1" x14ac:dyDescent="0.25">
      <c r="A6866" s="160" t="s">
        <v>862</v>
      </c>
      <c r="B6866" s="90">
        <v>10443</v>
      </c>
      <c r="C6866" s="215" t="s">
        <v>1613</v>
      </c>
      <c r="D6866" s="90" t="s">
        <v>17</v>
      </c>
      <c r="E6866" s="196" t="s">
        <v>1663</v>
      </c>
      <c r="F6866" s="160" t="s">
        <v>862</v>
      </c>
      <c r="G6866" s="163">
        <v>1</v>
      </c>
      <c r="H6866" s="138">
        <v>90</v>
      </c>
      <c r="I6866" s="188">
        <v>46065</v>
      </c>
      <c r="J6866" s="189">
        <v>0.63680555555555551</v>
      </c>
      <c r="K6866" s="138">
        <v>90</v>
      </c>
      <c r="L6866" s="72" t="str">
        <f t="shared" si="107"/>
        <v>Payé</v>
      </c>
    </row>
    <row r="6867" spans="1:12" ht="15" customHeight="1" x14ac:dyDescent="0.25">
      <c r="A6867" s="160" t="s">
        <v>862</v>
      </c>
      <c r="B6867" s="90">
        <v>10444</v>
      </c>
      <c r="C6867" s="216" t="s">
        <v>1614</v>
      </c>
      <c r="D6867" s="90" t="s">
        <v>17</v>
      </c>
      <c r="E6867" s="196" t="s">
        <v>1663</v>
      </c>
      <c r="F6867" s="160" t="s">
        <v>862</v>
      </c>
      <c r="G6867" s="163">
        <v>5</v>
      </c>
      <c r="H6867" s="138">
        <v>450</v>
      </c>
      <c r="I6867" s="188">
        <v>46065</v>
      </c>
      <c r="J6867" s="189">
        <v>0.63680555555555551</v>
      </c>
      <c r="K6867" s="138">
        <v>450</v>
      </c>
      <c r="L6867" s="72" t="str">
        <f t="shared" si="107"/>
        <v>Payé</v>
      </c>
    </row>
    <row r="6868" spans="1:12" ht="15" customHeight="1" x14ac:dyDescent="0.25">
      <c r="A6868" s="160" t="s">
        <v>862</v>
      </c>
      <c r="B6868" s="90">
        <v>10445</v>
      </c>
      <c r="C6868" s="215" t="s">
        <v>1615</v>
      </c>
      <c r="D6868" s="90" t="s">
        <v>17</v>
      </c>
      <c r="E6868" s="196" t="s">
        <v>1663</v>
      </c>
      <c r="F6868" s="160" t="s">
        <v>862</v>
      </c>
      <c r="G6868" s="163">
        <v>4</v>
      </c>
      <c r="H6868" s="138">
        <v>360</v>
      </c>
      <c r="I6868" s="188">
        <v>46065</v>
      </c>
      <c r="J6868" s="189">
        <v>0.63680555555555551</v>
      </c>
      <c r="K6868" s="138">
        <v>360</v>
      </c>
      <c r="L6868" s="72" t="str">
        <f t="shared" si="107"/>
        <v>Payé</v>
      </c>
    </row>
    <row r="6869" spans="1:12" ht="15" customHeight="1" x14ac:dyDescent="0.25">
      <c r="A6869" s="160" t="s">
        <v>862</v>
      </c>
      <c r="B6869" s="90">
        <v>10446</v>
      </c>
      <c r="C6869" s="216" t="s">
        <v>1616</v>
      </c>
      <c r="D6869" s="90" t="s">
        <v>17</v>
      </c>
      <c r="E6869" s="196" t="s">
        <v>1663</v>
      </c>
      <c r="F6869" s="160" t="s">
        <v>862</v>
      </c>
      <c r="G6869" s="163">
        <v>3</v>
      </c>
      <c r="H6869" s="138">
        <v>280</v>
      </c>
      <c r="I6869" s="188">
        <v>46065</v>
      </c>
      <c r="J6869" s="189">
        <v>0.63680555555555551</v>
      </c>
      <c r="K6869" s="138">
        <v>280</v>
      </c>
      <c r="L6869" s="72" t="str">
        <f t="shared" si="107"/>
        <v>Payé</v>
      </c>
    </row>
    <row r="6870" spans="1:12" ht="15" customHeight="1" x14ac:dyDescent="0.25">
      <c r="A6870" s="160" t="s">
        <v>862</v>
      </c>
      <c r="B6870" s="90">
        <v>10447</v>
      </c>
      <c r="C6870" s="216" t="s">
        <v>1617</v>
      </c>
      <c r="D6870" s="90" t="s">
        <v>17</v>
      </c>
      <c r="E6870" s="196" t="s">
        <v>1663</v>
      </c>
      <c r="F6870" s="160" t="s">
        <v>862</v>
      </c>
      <c r="G6870" s="163">
        <v>2</v>
      </c>
      <c r="H6870" s="138">
        <v>180</v>
      </c>
      <c r="I6870" s="188">
        <v>46065</v>
      </c>
      <c r="J6870" s="189">
        <v>0.63680555555555551</v>
      </c>
      <c r="K6870" s="138">
        <v>180</v>
      </c>
      <c r="L6870" s="72" t="str">
        <f t="shared" si="107"/>
        <v>Payé</v>
      </c>
    </row>
    <row r="6871" spans="1:12" ht="15" customHeight="1" x14ac:dyDescent="0.25">
      <c r="A6871" s="160" t="s">
        <v>862</v>
      </c>
      <c r="B6871" s="90">
        <v>10450</v>
      </c>
      <c r="C6871" s="216" t="s">
        <v>1618</v>
      </c>
      <c r="D6871" s="90" t="s">
        <v>17</v>
      </c>
      <c r="E6871" s="196" t="s">
        <v>1663</v>
      </c>
      <c r="F6871" s="160" t="s">
        <v>862</v>
      </c>
      <c r="G6871" s="163">
        <v>4</v>
      </c>
      <c r="H6871" s="138">
        <v>360</v>
      </c>
      <c r="I6871" s="188">
        <v>46065</v>
      </c>
      <c r="J6871" s="189">
        <v>0.63680555555555551</v>
      </c>
      <c r="K6871" s="138">
        <v>360</v>
      </c>
      <c r="L6871" s="72" t="str">
        <f t="shared" si="107"/>
        <v>Payé</v>
      </c>
    </row>
    <row r="6872" spans="1:12" ht="15" customHeight="1" x14ac:dyDescent="0.25">
      <c r="A6872" s="160" t="s">
        <v>862</v>
      </c>
      <c r="B6872" s="90">
        <v>10451</v>
      </c>
      <c r="C6872" s="216" t="s">
        <v>1619</v>
      </c>
      <c r="D6872" s="90" t="s">
        <v>17</v>
      </c>
      <c r="E6872" s="196" t="s">
        <v>1663</v>
      </c>
      <c r="F6872" s="160" t="s">
        <v>862</v>
      </c>
      <c r="G6872" s="163">
        <v>4</v>
      </c>
      <c r="H6872" s="138">
        <v>360</v>
      </c>
      <c r="I6872" s="188">
        <v>46065</v>
      </c>
      <c r="J6872" s="189">
        <v>0.63680555555555551</v>
      </c>
      <c r="K6872" s="138">
        <v>360</v>
      </c>
      <c r="L6872" s="72" t="str">
        <f t="shared" si="107"/>
        <v>Payé</v>
      </c>
    </row>
    <row r="6873" spans="1:12" ht="15" customHeight="1" x14ac:dyDescent="0.25">
      <c r="A6873" s="160" t="s">
        <v>862</v>
      </c>
      <c r="B6873" s="90">
        <v>10460</v>
      </c>
      <c r="C6873" s="216" t="s">
        <v>1620</v>
      </c>
      <c r="D6873" s="90" t="s">
        <v>17</v>
      </c>
      <c r="E6873" s="196" t="s">
        <v>1664</v>
      </c>
      <c r="F6873" s="160" t="s">
        <v>862</v>
      </c>
      <c r="G6873" s="163">
        <v>4</v>
      </c>
      <c r="H6873" s="138">
        <v>360</v>
      </c>
      <c r="I6873" s="188">
        <v>46071</v>
      </c>
      <c r="J6873" s="189">
        <v>0.56666666666666665</v>
      </c>
      <c r="K6873" s="138">
        <v>360</v>
      </c>
      <c r="L6873" s="72" t="str">
        <f t="shared" si="107"/>
        <v>Payé</v>
      </c>
    </row>
    <row r="6874" spans="1:12" ht="15" customHeight="1" x14ac:dyDescent="0.25">
      <c r="A6874" s="160" t="s">
        <v>862</v>
      </c>
      <c r="B6874" s="90">
        <v>10461</v>
      </c>
      <c r="C6874" s="216" t="s">
        <v>1621</v>
      </c>
      <c r="D6874" s="90" t="s">
        <v>17</v>
      </c>
      <c r="E6874" s="196" t="s">
        <v>1664</v>
      </c>
      <c r="F6874" s="160" t="s">
        <v>862</v>
      </c>
      <c r="G6874" s="163">
        <v>4</v>
      </c>
      <c r="H6874" s="138">
        <v>360</v>
      </c>
      <c r="I6874" s="188">
        <v>46071</v>
      </c>
      <c r="J6874" s="189">
        <v>0.56666666666666665</v>
      </c>
      <c r="K6874" s="138">
        <v>360</v>
      </c>
      <c r="L6874" s="72" t="str">
        <f t="shared" si="107"/>
        <v>Payé</v>
      </c>
    </row>
    <row r="6875" spans="1:12" ht="15" customHeight="1" x14ac:dyDescent="0.25">
      <c r="A6875" s="160" t="s">
        <v>862</v>
      </c>
      <c r="B6875" s="90">
        <v>10465</v>
      </c>
      <c r="C6875" s="216" t="s">
        <v>1622</v>
      </c>
      <c r="D6875" s="90" t="s">
        <v>17</v>
      </c>
      <c r="E6875" s="196" t="s">
        <v>753</v>
      </c>
      <c r="F6875" s="160" t="s">
        <v>862</v>
      </c>
      <c r="G6875" s="163">
        <v>4</v>
      </c>
      <c r="H6875" s="138">
        <v>360</v>
      </c>
      <c r="I6875" s="87">
        <v>46097</v>
      </c>
      <c r="J6875" s="93">
        <v>0.55277777777777781</v>
      </c>
      <c r="K6875" s="138">
        <v>360</v>
      </c>
      <c r="L6875" s="72" t="str">
        <f t="shared" si="107"/>
        <v>Payé</v>
      </c>
    </row>
    <row r="6876" spans="1:12" ht="15" customHeight="1" x14ac:dyDescent="0.25">
      <c r="A6876" s="160" t="s">
        <v>862</v>
      </c>
      <c r="B6876" s="90">
        <v>10466</v>
      </c>
      <c r="C6876" s="216" t="s">
        <v>1623</v>
      </c>
      <c r="D6876" s="90" t="s">
        <v>17</v>
      </c>
      <c r="E6876" s="196" t="s">
        <v>753</v>
      </c>
      <c r="F6876" s="160" t="s">
        <v>862</v>
      </c>
      <c r="G6876" s="163">
        <v>4</v>
      </c>
      <c r="H6876" s="138">
        <v>360</v>
      </c>
      <c r="I6876" s="178">
        <v>46084</v>
      </c>
      <c r="J6876" s="177">
        <v>0.5756944444444444</v>
      </c>
      <c r="K6876" s="138">
        <v>360</v>
      </c>
      <c r="L6876" s="72" t="str">
        <f t="shared" si="107"/>
        <v>Payé</v>
      </c>
    </row>
    <row r="6877" spans="1:12" ht="15" customHeight="1" x14ac:dyDescent="0.25">
      <c r="A6877" s="160" t="s">
        <v>862</v>
      </c>
      <c r="B6877" s="90">
        <v>10467</v>
      </c>
      <c r="C6877" s="216" t="s">
        <v>1174</v>
      </c>
      <c r="D6877" s="90" t="s">
        <v>17</v>
      </c>
      <c r="E6877" s="196" t="s">
        <v>753</v>
      </c>
      <c r="F6877" s="160" t="s">
        <v>862</v>
      </c>
      <c r="G6877" s="163">
        <v>2</v>
      </c>
      <c r="H6877" s="138">
        <v>180</v>
      </c>
      <c r="I6877" s="160"/>
      <c r="J6877" s="177"/>
      <c r="L6877" s="72" t="str">
        <f t="shared" si="107"/>
        <v>Impayé</v>
      </c>
    </row>
    <row r="6878" spans="1:12" ht="15" customHeight="1" x14ac:dyDescent="0.25">
      <c r="A6878" s="160" t="s">
        <v>862</v>
      </c>
      <c r="B6878" s="173">
        <v>10468</v>
      </c>
      <c r="C6878" s="216" t="s">
        <v>1624</v>
      </c>
      <c r="D6878" s="90" t="s">
        <v>17</v>
      </c>
      <c r="E6878" s="196" t="s">
        <v>649</v>
      </c>
      <c r="F6878" s="160" t="s">
        <v>862</v>
      </c>
      <c r="G6878" s="163">
        <v>7</v>
      </c>
      <c r="H6878" s="138">
        <v>630</v>
      </c>
      <c r="I6878" s="178">
        <v>46060</v>
      </c>
      <c r="J6878" s="172">
        <v>0.62916666666666665</v>
      </c>
      <c r="K6878" s="138">
        <v>630</v>
      </c>
      <c r="L6878" s="72" t="str">
        <f t="shared" ref="L6878:L6917" si="108">IF(ISBLANK(H6878),"",IF(H6878=K6878,"Payé","Impayé"))</f>
        <v>Payé</v>
      </c>
    </row>
    <row r="6879" spans="1:12" ht="15" customHeight="1" x14ac:dyDescent="0.25">
      <c r="A6879" s="160" t="s">
        <v>862</v>
      </c>
      <c r="B6879" s="173">
        <v>10469</v>
      </c>
      <c r="C6879" s="216" t="s">
        <v>1625</v>
      </c>
      <c r="D6879" s="90" t="s">
        <v>17</v>
      </c>
      <c r="E6879" s="196" t="s">
        <v>1104</v>
      </c>
      <c r="F6879" s="160" t="s">
        <v>862</v>
      </c>
      <c r="G6879" s="163">
        <v>3</v>
      </c>
      <c r="H6879" s="138">
        <v>270</v>
      </c>
      <c r="I6879" s="178">
        <v>46060</v>
      </c>
      <c r="J6879" s="172">
        <v>0.57152777777777775</v>
      </c>
      <c r="K6879" s="138">
        <v>270</v>
      </c>
      <c r="L6879" s="72" t="str">
        <f t="shared" si="108"/>
        <v>Payé</v>
      </c>
    </row>
    <row r="6880" spans="1:12" ht="15" customHeight="1" x14ac:dyDescent="0.25">
      <c r="A6880" s="160" t="s">
        <v>862</v>
      </c>
      <c r="B6880" s="173">
        <v>10470</v>
      </c>
      <c r="C6880" s="216" t="s">
        <v>1626</v>
      </c>
      <c r="D6880" s="90" t="s">
        <v>17</v>
      </c>
      <c r="E6880" s="196" t="s">
        <v>1104</v>
      </c>
      <c r="F6880" s="160" t="s">
        <v>862</v>
      </c>
      <c r="G6880" s="163">
        <v>7</v>
      </c>
      <c r="H6880" s="138">
        <v>630</v>
      </c>
      <c r="I6880" s="178">
        <v>46060</v>
      </c>
      <c r="J6880" s="172">
        <v>0.57152777777777775</v>
      </c>
      <c r="K6880" s="138">
        <v>630</v>
      </c>
      <c r="L6880" s="72" t="str">
        <f t="shared" si="108"/>
        <v>Payé</v>
      </c>
    </row>
    <row r="6881" spans="1:12" ht="15" customHeight="1" x14ac:dyDescent="0.25">
      <c r="A6881" s="160" t="s">
        <v>862</v>
      </c>
      <c r="B6881" s="173">
        <v>10471</v>
      </c>
      <c r="C6881" s="216" t="s">
        <v>1627</v>
      </c>
      <c r="D6881" s="90" t="s">
        <v>17</v>
      </c>
      <c r="E6881" s="196" t="s">
        <v>254</v>
      </c>
      <c r="F6881" s="160" t="s">
        <v>862</v>
      </c>
      <c r="G6881" s="163">
        <v>6</v>
      </c>
      <c r="H6881" s="138">
        <v>540</v>
      </c>
      <c r="I6881" s="188">
        <v>46071</v>
      </c>
      <c r="J6881" s="189">
        <v>0.54097222222222219</v>
      </c>
      <c r="K6881" s="138">
        <v>540</v>
      </c>
      <c r="L6881" s="72" t="str">
        <f t="shared" si="108"/>
        <v>Payé</v>
      </c>
    </row>
    <row r="6882" spans="1:12" ht="15" customHeight="1" x14ac:dyDescent="0.25">
      <c r="A6882" s="160" t="s">
        <v>862</v>
      </c>
      <c r="B6882" s="173">
        <v>10472</v>
      </c>
      <c r="C6882" s="216" t="s">
        <v>1628</v>
      </c>
      <c r="D6882" s="90" t="s">
        <v>17</v>
      </c>
      <c r="E6882" s="196" t="s">
        <v>1664</v>
      </c>
      <c r="F6882" s="160" t="s">
        <v>862</v>
      </c>
      <c r="G6882" s="163">
        <v>3</v>
      </c>
      <c r="H6882" s="138">
        <v>270</v>
      </c>
      <c r="I6882" s="188">
        <v>46071</v>
      </c>
      <c r="J6882" s="189">
        <v>0.56666666666666665</v>
      </c>
      <c r="K6882" s="138">
        <v>270</v>
      </c>
      <c r="L6882" s="72" t="str">
        <f t="shared" si="108"/>
        <v>Payé</v>
      </c>
    </row>
    <row r="6883" spans="1:12" ht="15" customHeight="1" x14ac:dyDescent="0.25">
      <c r="A6883" s="160" t="s">
        <v>862</v>
      </c>
      <c r="B6883" s="173">
        <v>10473</v>
      </c>
      <c r="C6883" s="216" t="s">
        <v>1629</v>
      </c>
      <c r="D6883" s="90" t="s">
        <v>17</v>
      </c>
      <c r="E6883" s="196" t="s">
        <v>1664</v>
      </c>
      <c r="F6883" s="160" t="s">
        <v>862</v>
      </c>
      <c r="G6883" s="163">
        <v>3</v>
      </c>
      <c r="H6883" s="138">
        <v>270</v>
      </c>
      <c r="I6883" s="188">
        <v>46071</v>
      </c>
      <c r="J6883" s="189">
        <v>0.56666666666666665</v>
      </c>
      <c r="K6883" s="138">
        <v>270</v>
      </c>
      <c r="L6883" s="72" t="str">
        <f t="shared" si="108"/>
        <v>Payé</v>
      </c>
    </row>
    <row r="6884" spans="1:12" ht="15" customHeight="1" x14ac:dyDescent="0.25">
      <c r="A6884" s="160" t="s">
        <v>862</v>
      </c>
      <c r="B6884" s="173">
        <v>10474</v>
      </c>
      <c r="C6884" s="216" t="s">
        <v>1630</v>
      </c>
      <c r="D6884" s="90" t="s">
        <v>17</v>
      </c>
      <c r="E6884" s="196" t="s">
        <v>1664</v>
      </c>
      <c r="F6884" s="160" t="s">
        <v>862</v>
      </c>
      <c r="G6884" s="163">
        <v>3</v>
      </c>
      <c r="H6884" s="138">
        <v>270</v>
      </c>
      <c r="I6884" s="188">
        <v>46071</v>
      </c>
      <c r="J6884" s="189">
        <v>0.56666666666666665</v>
      </c>
      <c r="K6884" s="138">
        <v>270</v>
      </c>
      <c r="L6884" s="72" t="str">
        <f t="shared" si="108"/>
        <v>Payé</v>
      </c>
    </row>
    <row r="6885" spans="1:12" ht="15" customHeight="1" x14ac:dyDescent="0.25">
      <c r="A6885" s="160" t="s">
        <v>862</v>
      </c>
      <c r="B6885" s="173">
        <v>10475</v>
      </c>
      <c r="C6885" s="216" t="s">
        <v>1631</v>
      </c>
      <c r="D6885" s="90" t="s">
        <v>17</v>
      </c>
      <c r="E6885" s="196" t="s">
        <v>254</v>
      </c>
      <c r="F6885" s="160" t="s">
        <v>862</v>
      </c>
      <c r="G6885" s="163">
        <v>1</v>
      </c>
      <c r="H6885" s="138">
        <v>90</v>
      </c>
      <c r="I6885" s="188">
        <v>46073</v>
      </c>
      <c r="J6885" s="189">
        <v>0.58263888888888882</v>
      </c>
      <c r="K6885" s="138">
        <v>90</v>
      </c>
      <c r="L6885" s="72" t="str">
        <f t="shared" si="108"/>
        <v>Payé</v>
      </c>
    </row>
    <row r="6886" spans="1:12" ht="15" customHeight="1" x14ac:dyDescent="0.25">
      <c r="A6886" s="160" t="s">
        <v>862</v>
      </c>
      <c r="B6886" s="173">
        <v>10476</v>
      </c>
      <c r="C6886" s="216" t="s">
        <v>1632</v>
      </c>
      <c r="D6886" s="90" t="s">
        <v>17</v>
      </c>
      <c r="E6886" s="196" t="s">
        <v>1187</v>
      </c>
      <c r="F6886" s="160" t="s">
        <v>862</v>
      </c>
      <c r="G6886" s="163">
        <v>3</v>
      </c>
      <c r="H6886" s="138">
        <v>270</v>
      </c>
      <c r="I6886" s="188">
        <v>46077</v>
      </c>
      <c r="J6886" s="189">
        <v>0.60138888888888886</v>
      </c>
      <c r="K6886" s="138">
        <v>270</v>
      </c>
      <c r="L6886" s="72" t="str">
        <f t="shared" si="108"/>
        <v>Payé</v>
      </c>
    </row>
    <row r="6887" spans="1:12" ht="15" customHeight="1" x14ac:dyDescent="0.25">
      <c r="A6887" s="160" t="s">
        <v>862</v>
      </c>
      <c r="B6887" s="173">
        <v>10477</v>
      </c>
      <c r="C6887" s="216" t="s">
        <v>1633</v>
      </c>
      <c r="D6887" s="90" t="s">
        <v>17</v>
      </c>
      <c r="E6887" s="196" t="s">
        <v>1104</v>
      </c>
      <c r="F6887" s="160" t="s">
        <v>862</v>
      </c>
      <c r="G6887" s="163">
        <v>4</v>
      </c>
      <c r="H6887" s="138">
        <v>360</v>
      </c>
      <c r="I6887" s="178">
        <v>46060</v>
      </c>
      <c r="J6887" s="172">
        <v>0.57152777777777775</v>
      </c>
      <c r="K6887" s="138">
        <v>360</v>
      </c>
      <c r="L6887" s="72" t="str">
        <f t="shared" si="108"/>
        <v>Payé</v>
      </c>
    </row>
    <row r="6888" spans="1:12" ht="15" customHeight="1" x14ac:dyDescent="0.25">
      <c r="A6888" s="160" t="s">
        <v>862</v>
      </c>
      <c r="B6888" s="173">
        <v>10480</v>
      </c>
      <c r="C6888" s="216" t="s">
        <v>1634</v>
      </c>
      <c r="D6888" s="90" t="s">
        <v>17</v>
      </c>
      <c r="E6888" s="196" t="s">
        <v>1664</v>
      </c>
      <c r="F6888" s="160" t="s">
        <v>862</v>
      </c>
      <c r="G6888" s="163">
        <v>1</v>
      </c>
      <c r="H6888" s="138">
        <v>90</v>
      </c>
      <c r="I6888" s="188">
        <v>46071</v>
      </c>
      <c r="J6888" s="189">
        <v>0.56666666666666665</v>
      </c>
      <c r="K6888" s="138">
        <v>90</v>
      </c>
      <c r="L6888" s="72" t="str">
        <f t="shared" si="108"/>
        <v>Payé</v>
      </c>
    </row>
    <row r="6889" spans="1:12" ht="15" customHeight="1" x14ac:dyDescent="0.25">
      <c r="A6889" s="160" t="s">
        <v>862</v>
      </c>
      <c r="B6889" s="173">
        <v>10481</v>
      </c>
      <c r="C6889" s="216" t="s">
        <v>1635</v>
      </c>
      <c r="D6889" s="90" t="s">
        <v>17</v>
      </c>
      <c r="E6889" s="196" t="s">
        <v>1663</v>
      </c>
      <c r="F6889" s="160" t="s">
        <v>862</v>
      </c>
      <c r="G6889" s="163">
        <v>1</v>
      </c>
      <c r="H6889" s="138">
        <v>90</v>
      </c>
      <c r="I6889" s="188">
        <v>46065</v>
      </c>
      <c r="J6889" s="189">
        <v>0.63680555555555551</v>
      </c>
      <c r="K6889" s="138">
        <v>90</v>
      </c>
      <c r="L6889" s="72" t="str">
        <f t="shared" si="108"/>
        <v>Payé</v>
      </c>
    </row>
    <row r="6890" spans="1:12" ht="15" customHeight="1" x14ac:dyDescent="0.25">
      <c r="A6890" s="160" t="s">
        <v>862</v>
      </c>
      <c r="B6890" s="173">
        <v>10482</v>
      </c>
      <c r="C6890" s="216" t="s">
        <v>1636</v>
      </c>
      <c r="D6890" s="90" t="s">
        <v>17</v>
      </c>
      <c r="E6890" s="196" t="s">
        <v>1663</v>
      </c>
      <c r="F6890" s="160" t="s">
        <v>862</v>
      </c>
      <c r="G6890" s="163">
        <v>1</v>
      </c>
      <c r="H6890" s="138">
        <v>90</v>
      </c>
      <c r="I6890" s="188">
        <v>46065</v>
      </c>
      <c r="J6890" s="189">
        <v>0.63680555555555551</v>
      </c>
      <c r="K6890" s="138">
        <v>90</v>
      </c>
      <c r="L6890" s="72" t="str">
        <f t="shared" si="108"/>
        <v>Payé</v>
      </c>
    </row>
    <row r="6891" spans="1:12" ht="15" customHeight="1" x14ac:dyDescent="0.25">
      <c r="A6891" s="160" t="s">
        <v>862</v>
      </c>
      <c r="B6891" s="173">
        <v>10483</v>
      </c>
      <c r="C6891" s="216" t="s">
        <v>1637</v>
      </c>
      <c r="D6891" s="90" t="s">
        <v>17</v>
      </c>
      <c r="E6891" s="196" t="s">
        <v>1664</v>
      </c>
      <c r="F6891" s="160" t="s">
        <v>862</v>
      </c>
      <c r="G6891" s="163">
        <v>2</v>
      </c>
      <c r="H6891" s="138">
        <v>180</v>
      </c>
      <c r="I6891" s="188">
        <v>46071</v>
      </c>
      <c r="J6891" s="189">
        <v>0.56666666666666665</v>
      </c>
      <c r="K6891" s="138">
        <v>180</v>
      </c>
      <c r="L6891" s="72" t="str">
        <f t="shared" si="108"/>
        <v>Payé</v>
      </c>
    </row>
    <row r="6892" spans="1:12" ht="15" customHeight="1" x14ac:dyDescent="0.25">
      <c r="A6892" s="160" t="s">
        <v>862</v>
      </c>
      <c r="B6892" s="173">
        <v>10485</v>
      </c>
      <c r="C6892" s="216" t="s">
        <v>1638</v>
      </c>
      <c r="D6892" s="90" t="s">
        <v>17</v>
      </c>
      <c r="E6892" s="196" t="s">
        <v>1664</v>
      </c>
      <c r="F6892" s="160" t="s">
        <v>862</v>
      </c>
      <c r="G6892" s="163">
        <v>1</v>
      </c>
      <c r="H6892" s="138">
        <v>90</v>
      </c>
      <c r="I6892" s="188">
        <v>46071</v>
      </c>
      <c r="J6892" s="189">
        <v>0.56666666666666665</v>
      </c>
      <c r="K6892" s="138">
        <v>90</v>
      </c>
      <c r="L6892" s="72" t="str">
        <f t="shared" si="108"/>
        <v>Payé</v>
      </c>
    </row>
    <row r="6893" spans="1:12" ht="15" customHeight="1" x14ac:dyDescent="0.25">
      <c r="A6893" s="160" t="s">
        <v>862</v>
      </c>
      <c r="B6893" s="173">
        <v>10486</v>
      </c>
      <c r="C6893" s="216" t="s">
        <v>1639</v>
      </c>
      <c r="D6893" s="90" t="s">
        <v>17</v>
      </c>
      <c r="E6893" s="196" t="s">
        <v>649</v>
      </c>
      <c r="F6893" s="160" t="s">
        <v>862</v>
      </c>
      <c r="G6893" s="163">
        <v>4</v>
      </c>
      <c r="H6893" s="138">
        <v>360</v>
      </c>
      <c r="I6893" s="188">
        <v>46073</v>
      </c>
      <c r="J6893" s="189">
        <v>0.58333333333333337</v>
      </c>
      <c r="K6893" s="138">
        <v>360</v>
      </c>
      <c r="L6893" s="72" t="str">
        <f t="shared" si="108"/>
        <v>Payé</v>
      </c>
    </row>
    <row r="6894" spans="1:12" ht="15" customHeight="1" x14ac:dyDescent="0.25">
      <c r="A6894" s="160" t="s">
        <v>862</v>
      </c>
      <c r="B6894" s="173">
        <v>10487</v>
      </c>
      <c r="C6894" s="216" t="s">
        <v>1640</v>
      </c>
      <c r="D6894" s="90" t="s">
        <v>17</v>
      </c>
      <c r="E6894" s="196" t="s">
        <v>753</v>
      </c>
      <c r="F6894" s="160" t="s">
        <v>862</v>
      </c>
      <c r="G6894" s="163">
        <v>3</v>
      </c>
      <c r="H6894" s="138">
        <v>270</v>
      </c>
      <c r="I6894" s="188">
        <v>46070</v>
      </c>
      <c r="J6894" s="189">
        <v>0.57916666666666672</v>
      </c>
      <c r="K6894" s="138">
        <v>270</v>
      </c>
      <c r="L6894" s="72" t="str">
        <f t="shared" si="108"/>
        <v>Payé</v>
      </c>
    </row>
    <row r="6895" spans="1:12" ht="15" customHeight="1" x14ac:dyDescent="0.25">
      <c r="A6895" s="160" t="s">
        <v>862</v>
      </c>
      <c r="B6895" s="173">
        <v>10488</v>
      </c>
      <c r="C6895" s="216" t="s">
        <v>1641</v>
      </c>
      <c r="D6895" s="90" t="s">
        <v>17</v>
      </c>
      <c r="E6895" s="196" t="s">
        <v>1104</v>
      </c>
      <c r="F6895" s="160" t="s">
        <v>862</v>
      </c>
      <c r="G6895" s="163">
        <v>1</v>
      </c>
      <c r="H6895" s="138">
        <v>90</v>
      </c>
      <c r="I6895" s="178">
        <v>46060</v>
      </c>
      <c r="J6895" s="172">
        <v>0.57152777777777775</v>
      </c>
      <c r="K6895" s="138">
        <v>90</v>
      </c>
      <c r="L6895" s="72" t="str">
        <f t="shared" si="108"/>
        <v>Payé</v>
      </c>
    </row>
    <row r="6896" spans="1:12" ht="15" customHeight="1" x14ac:dyDescent="0.25">
      <c r="A6896" s="160" t="s">
        <v>862</v>
      </c>
      <c r="B6896" s="173">
        <v>10489</v>
      </c>
      <c r="C6896" s="216" t="s">
        <v>1642</v>
      </c>
      <c r="D6896" s="90" t="s">
        <v>17</v>
      </c>
      <c r="E6896" s="196" t="s">
        <v>649</v>
      </c>
      <c r="F6896" s="160" t="s">
        <v>862</v>
      </c>
      <c r="G6896" s="163">
        <v>2</v>
      </c>
      <c r="H6896" s="138">
        <v>180</v>
      </c>
      <c r="I6896" s="188">
        <v>46073</v>
      </c>
      <c r="J6896" s="189">
        <v>0.58333333333333337</v>
      </c>
      <c r="K6896" s="138">
        <v>180</v>
      </c>
      <c r="L6896" s="72" t="str">
        <f t="shared" si="108"/>
        <v>Payé</v>
      </c>
    </row>
    <row r="6897" spans="1:12" ht="15" customHeight="1" x14ac:dyDescent="0.25">
      <c r="A6897" s="160" t="s">
        <v>862</v>
      </c>
      <c r="B6897" s="173">
        <v>10490</v>
      </c>
      <c r="C6897" s="216" t="s">
        <v>1643</v>
      </c>
      <c r="D6897" s="90" t="s">
        <v>17</v>
      </c>
      <c r="E6897" s="196" t="s">
        <v>649</v>
      </c>
      <c r="F6897" s="160" t="s">
        <v>862</v>
      </c>
      <c r="G6897" s="163">
        <v>3</v>
      </c>
      <c r="H6897" s="138">
        <v>270</v>
      </c>
      <c r="I6897" s="178">
        <v>46078</v>
      </c>
      <c r="J6897" s="187">
        <v>0.47500000000000003</v>
      </c>
      <c r="K6897" s="138">
        <v>270</v>
      </c>
      <c r="L6897" s="72" t="str">
        <f t="shared" si="108"/>
        <v>Payé</v>
      </c>
    </row>
    <row r="6898" spans="1:12" ht="15" customHeight="1" x14ac:dyDescent="0.25">
      <c r="A6898" s="160" t="s">
        <v>862</v>
      </c>
      <c r="B6898" s="173">
        <v>10491</v>
      </c>
      <c r="C6898" s="216" t="s">
        <v>1644</v>
      </c>
      <c r="D6898" s="90" t="s">
        <v>17</v>
      </c>
      <c r="E6898" s="196" t="s">
        <v>649</v>
      </c>
      <c r="F6898" s="160" t="s">
        <v>862</v>
      </c>
      <c r="G6898" s="163">
        <v>4</v>
      </c>
      <c r="H6898" s="138">
        <v>360</v>
      </c>
      <c r="I6898" s="188">
        <v>46070</v>
      </c>
      <c r="J6898" s="189">
        <v>0.55694444444444446</v>
      </c>
      <c r="K6898" s="138">
        <v>360</v>
      </c>
      <c r="L6898" s="72" t="str">
        <f t="shared" si="108"/>
        <v>Payé</v>
      </c>
    </row>
    <row r="6899" spans="1:12" ht="15" customHeight="1" x14ac:dyDescent="0.25">
      <c r="A6899" s="160" t="s">
        <v>862</v>
      </c>
      <c r="B6899" s="173">
        <v>10492</v>
      </c>
      <c r="C6899" s="216" t="s">
        <v>1645</v>
      </c>
      <c r="D6899" s="90" t="s">
        <v>17</v>
      </c>
      <c r="E6899" s="196" t="s">
        <v>628</v>
      </c>
      <c r="F6899" s="160" t="s">
        <v>862</v>
      </c>
      <c r="G6899" s="163">
        <v>5</v>
      </c>
      <c r="H6899" s="138">
        <v>450</v>
      </c>
      <c r="I6899" s="178">
        <v>46060</v>
      </c>
      <c r="J6899" s="172">
        <v>0.60972222222222217</v>
      </c>
      <c r="K6899" s="138">
        <v>450</v>
      </c>
      <c r="L6899" s="72" t="str">
        <f t="shared" si="108"/>
        <v>Payé</v>
      </c>
    </row>
    <row r="6900" spans="1:12" ht="15" customHeight="1" x14ac:dyDescent="0.25">
      <c r="A6900" s="160" t="s">
        <v>862</v>
      </c>
      <c r="B6900" s="173">
        <v>10493</v>
      </c>
      <c r="C6900" s="216" t="s">
        <v>1646</v>
      </c>
      <c r="D6900" s="90" t="s">
        <v>17</v>
      </c>
      <c r="E6900" s="196" t="s">
        <v>1664</v>
      </c>
      <c r="F6900" s="160" t="s">
        <v>862</v>
      </c>
      <c r="G6900" s="163">
        <v>1</v>
      </c>
      <c r="H6900" s="138">
        <v>90</v>
      </c>
      <c r="I6900" s="188">
        <v>46071</v>
      </c>
      <c r="J6900" s="189">
        <v>0.56666666666666665</v>
      </c>
      <c r="K6900" s="138">
        <v>90</v>
      </c>
      <c r="L6900" s="72" t="str">
        <f t="shared" si="108"/>
        <v>Payé</v>
      </c>
    </row>
    <row r="6901" spans="1:12" ht="15" customHeight="1" x14ac:dyDescent="0.25">
      <c r="A6901" s="160" t="s">
        <v>862</v>
      </c>
      <c r="B6901" s="173">
        <v>10495</v>
      </c>
      <c r="C6901" s="216" t="s">
        <v>1647</v>
      </c>
      <c r="D6901" s="90" t="s">
        <v>17</v>
      </c>
      <c r="E6901" s="196" t="s">
        <v>1663</v>
      </c>
      <c r="F6901" s="160" t="s">
        <v>862</v>
      </c>
      <c r="G6901" s="163">
        <v>1</v>
      </c>
      <c r="H6901" s="138">
        <v>90</v>
      </c>
      <c r="I6901" s="188">
        <v>46065</v>
      </c>
      <c r="J6901" s="189">
        <v>0.63680555555555551</v>
      </c>
      <c r="K6901" s="138">
        <v>90</v>
      </c>
      <c r="L6901" s="72" t="str">
        <f t="shared" si="108"/>
        <v>Payé</v>
      </c>
    </row>
    <row r="6902" spans="1:12" ht="15" customHeight="1" x14ac:dyDescent="0.25">
      <c r="A6902" s="160" t="s">
        <v>862</v>
      </c>
      <c r="B6902" s="173">
        <v>10496</v>
      </c>
      <c r="C6902" s="216" t="s">
        <v>1648</v>
      </c>
      <c r="D6902" s="90" t="s">
        <v>17</v>
      </c>
      <c r="E6902" s="196" t="s">
        <v>753</v>
      </c>
      <c r="F6902" s="160" t="s">
        <v>862</v>
      </c>
      <c r="G6902" s="163">
        <v>3</v>
      </c>
      <c r="H6902" s="138">
        <v>270</v>
      </c>
      <c r="I6902" s="188">
        <v>46070</v>
      </c>
      <c r="J6902" s="189">
        <v>0.5708333333333333</v>
      </c>
      <c r="K6902" s="138">
        <v>270</v>
      </c>
      <c r="L6902" s="72" t="str">
        <f t="shared" si="108"/>
        <v>Payé</v>
      </c>
    </row>
    <row r="6903" spans="1:12" ht="15" customHeight="1" x14ac:dyDescent="0.25">
      <c r="A6903" s="160" t="s">
        <v>862</v>
      </c>
      <c r="B6903" s="173">
        <v>10497</v>
      </c>
      <c r="C6903" s="216" t="s">
        <v>1649</v>
      </c>
      <c r="D6903" s="90" t="s">
        <v>17</v>
      </c>
      <c r="E6903" s="196" t="s">
        <v>1663</v>
      </c>
      <c r="F6903" s="160" t="s">
        <v>862</v>
      </c>
      <c r="G6903" s="163">
        <v>1</v>
      </c>
      <c r="H6903" s="138">
        <v>90</v>
      </c>
      <c r="I6903" s="188">
        <v>46065</v>
      </c>
      <c r="J6903" s="189">
        <v>0.63680555555555551</v>
      </c>
      <c r="K6903" s="138">
        <v>90</v>
      </c>
      <c r="L6903" s="72" t="str">
        <f t="shared" si="108"/>
        <v>Payé</v>
      </c>
    </row>
    <row r="6904" spans="1:12" ht="15" customHeight="1" x14ac:dyDescent="0.25">
      <c r="A6904" s="160" t="s">
        <v>862</v>
      </c>
      <c r="B6904" s="173">
        <v>10499</v>
      </c>
      <c r="C6904" s="216" t="s">
        <v>1650</v>
      </c>
      <c r="D6904" s="90" t="s">
        <v>17</v>
      </c>
      <c r="E6904" s="196" t="s">
        <v>1104</v>
      </c>
      <c r="F6904" s="160" t="s">
        <v>862</v>
      </c>
      <c r="G6904" s="163">
        <v>4</v>
      </c>
      <c r="H6904" s="138">
        <v>360</v>
      </c>
      <c r="I6904" s="178">
        <v>46060</v>
      </c>
      <c r="J6904" s="172">
        <v>0.57152777777777775</v>
      </c>
      <c r="K6904" s="138">
        <v>360</v>
      </c>
      <c r="L6904" s="72" t="str">
        <f t="shared" si="108"/>
        <v>Payé</v>
      </c>
    </row>
    <row r="6905" spans="1:12" ht="15" customHeight="1" x14ac:dyDescent="0.25">
      <c r="A6905" s="160" t="s">
        <v>862</v>
      </c>
      <c r="B6905" s="173">
        <v>10500</v>
      </c>
      <c r="C6905" s="216" t="s">
        <v>1651</v>
      </c>
      <c r="D6905" s="90" t="s">
        <v>17</v>
      </c>
      <c r="E6905" s="196" t="s">
        <v>1104</v>
      </c>
      <c r="F6905" s="160" t="s">
        <v>862</v>
      </c>
      <c r="G6905" s="163">
        <v>4</v>
      </c>
      <c r="H6905" s="138">
        <v>360</v>
      </c>
      <c r="I6905" s="178">
        <v>46060</v>
      </c>
      <c r="J6905" s="172">
        <v>0.57152777777777775</v>
      </c>
      <c r="K6905" s="138">
        <v>360</v>
      </c>
      <c r="L6905" s="72" t="str">
        <f t="shared" si="108"/>
        <v>Payé</v>
      </c>
    </row>
    <row r="6906" spans="1:12" ht="15" customHeight="1" x14ac:dyDescent="0.25">
      <c r="A6906" s="160" t="s">
        <v>862</v>
      </c>
      <c r="B6906" s="173">
        <v>10501</v>
      </c>
      <c r="C6906" s="216" t="s">
        <v>1652</v>
      </c>
      <c r="D6906" s="90" t="s">
        <v>17</v>
      </c>
      <c r="E6906" s="196" t="s">
        <v>1663</v>
      </c>
      <c r="F6906" s="160" t="s">
        <v>862</v>
      </c>
      <c r="G6906" s="163">
        <v>1</v>
      </c>
      <c r="H6906" s="138">
        <v>90</v>
      </c>
      <c r="I6906" s="188">
        <v>46065</v>
      </c>
      <c r="J6906" s="189">
        <v>0.63680555555555551</v>
      </c>
      <c r="K6906" s="138">
        <v>90</v>
      </c>
      <c r="L6906" s="72" t="str">
        <f t="shared" si="108"/>
        <v>Payé</v>
      </c>
    </row>
    <row r="6907" spans="1:12" ht="15" customHeight="1" x14ac:dyDescent="0.25">
      <c r="A6907" s="160" t="s">
        <v>862</v>
      </c>
      <c r="B6907" s="173">
        <v>10502</v>
      </c>
      <c r="C6907" s="216" t="s">
        <v>1653</v>
      </c>
      <c r="D6907" s="90" t="s">
        <v>17</v>
      </c>
      <c r="E6907" s="196" t="s">
        <v>613</v>
      </c>
      <c r="F6907" s="160" t="s">
        <v>862</v>
      </c>
      <c r="G6907" s="163">
        <v>4</v>
      </c>
      <c r="H6907" s="138">
        <v>470</v>
      </c>
      <c r="I6907" s="178">
        <v>46060</v>
      </c>
      <c r="J6907" s="172">
        <v>0.64374999999999993</v>
      </c>
      <c r="K6907" s="138">
        <v>470</v>
      </c>
      <c r="L6907" s="72" t="str">
        <f t="shared" si="108"/>
        <v>Payé</v>
      </c>
    </row>
    <row r="6908" spans="1:12" ht="15" customHeight="1" x14ac:dyDescent="0.25">
      <c r="A6908" s="160" t="s">
        <v>862</v>
      </c>
      <c r="B6908" s="173">
        <v>10503</v>
      </c>
      <c r="C6908" s="216" t="s">
        <v>1654</v>
      </c>
      <c r="D6908" s="90" t="s">
        <v>17</v>
      </c>
      <c r="E6908" s="196" t="s">
        <v>1663</v>
      </c>
      <c r="F6908" s="160" t="s">
        <v>862</v>
      </c>
      <c r="G6908" s="163">
        <v>1</v>
      </c>
      <c r="H6908" s="138">
        <v>90</v>
      </c>
      <c r="I6908" s="188">
        <v>46065</v>
      </c>
      <c r="J6908" s="189">
        <v>0.63680555555555551</v>
      </c>
      <c r="K6908" s="138">
        <v>90</v>
      </c>
      <c r="L6908" s="72" t="str">
        <f t="shared" si="108"/>
        <v>Payé</v>
      </c>
    </row>
    <row r="6909" spans="1:12" ht="15" customHeight="1" x14ac:dyDescent="0.25">
      <c r="A6909" s="160" t="s">
        <v>862</v>
      </c>
      <c r="B6909" s="173">
        <v>10504</v>
      </c>
      <c r="C6909" s="216" t="s">
        <v>1655</v>
      </c>
      <c r="D6909" s="90" t="s">
        <v>17</v>
      </c>
      <c r="E6909" s="196" t="s">
        <v>1104</v>
      </c>
      <c r="F6909" s="160" t="s">
        <v>862</v>
      </c>
      <c r="G6909" s="163">
        <v>1</v>
      </c>
      <c r="H6909" s="138">
        <v>90</v>
      </c>
      <c r="I6909" s="178">
        <v>46060</v>
      </c>
      <c r="J6909" s="172">
        <v>0.57152777777777775</v>
      </c>
      <c r="K6909" s="138">
        <v>90</v>
      </c>
      <c r="L6909" s="72" t="str">
        <f t="shared" si="108"/>
        <v>Payé</v>
      </c>
    </row>
    <row r="6910" spans="1:12" ht="15" customHeight="1" x14ac:dyDescent="0.25">
      <c r="A6910" s="160" t="s">
        <v>862</v>
      </c>
      <c r="B6910" s="173">
        <v>10505</v>
      </c>
      <c r="C6910" s="216" t="s">
        <v>1656</v>
      </c>
      <c r="D6910" s="90" t="s">
        <v>17</v>
      </c>
      <c r="E6910" s="196" t="s">
        <v>1104</v>
      </c>
      <c r="F6910" s="160" t="s">
        <v>862</v>
      </c>
      <c r="G6910" s="163">
        <v>1</v>
      </c>
      <c r="H6910" s="138">
        <v>90</v>
      </c>
      <c r="I6910" s="178">
        <v>46060</v>
      </c>
      <c r="J6910" s="172">
        <v>0.57152777777777775</v>
      </c>
      <c r="K6910" s="138">
        <v>90</v>
      </c>
      <c r="L6910" s="72" t="str">
        <f t="shared" si="108"/>
        <v>Payé</v>
      </c>
    </row>
    <row r="6911" spans="1:12" ht="15" customHeight="1" x14ac:dyDescent="0.25">
      <c r="A6911" s="160" t="s">
        <v>862</v>
      </c>
      <c r="B6911" s="173">
        <v>10507</v>
      </c>
      <c r="C6911" s="216" t="s">
        <v>1657</v>
      </c>
      <c r="D6911" s="90" t="s">
        <v>17</v>
      </c>
      <c r="E6911" s="196" t="s">
        <v>123</v>
      </c>
      <c r="F6911" s="160" t="s">
        <v>862</v>
      </c>
      <c r="G6911" s="163">
        <v>1</v>
      </c>
      <c r="H6911" s="138">
        <v>90</v>
      </c>
      <c r="I6911" s="178">
        <v>46060</v>
      </c>
      <c r="J6911" s="172">
        <v>0.6694444444444444</v>
      </c>
      <c r="K6911" s="138">
        <v>90</v>
      </c>
      <c r="L6911" s="72" t="str">
        <f t="shared" si="108"/>
        <v>Payé</v>
      </c>
    </row>
    <row r="6912" spans="1:12" ht="15" customHeight="1" x14ac:dyDescent="0.25">
      <c r="A6912" s="160" t="s">
        <v>862</v>
      </c>
      <c r="B6912" s="173">
        <v>10508</v>
      </c>
      <c r="C6912" s="216" t="s">
        <v>1658</v>
      </c>
      <c r="D6912" s="90" t="s">
        <v>17</v>
      </c>
      <c r="E6912" s="196" t="s">
        <v>123</v>
      </c>
      <c r="F6912" s="160" t="s">
        <v>862</v>
      </c>
      <c r="G6912" s="163">
        <v>1</v>
      </c>
      <c r="H6912" s="138">
        <v>90</v>
      </c>
      <c r="I6912" s="178">
        <v>46060</v>
      </c>
      <c r="J6912" s="172">
        <v>0.6694444444444444</v>
      </c>
      <c r="K6912" s="138">
        <v>90</v>
      </c>
      <c r="L6912" s="72" t="str">
        <f t="shared" si="108"/>
        <v>Payé</v>
      </c>
    </row>
    <row r="6913" spans="1:12" ht="15" customHeight="1" x14ac:dyDescent="0.25">
      <c r="A6913" s="160" t="s">
        <v>862</v>
      </c>
      <c r="B6913" s="173">
        <v>10509</v>
      </c>
      <c r="C6913" s="216" t="s">
        <v>1659</v>
      </c>
      <c r="D6913" s="90" t="s">
        <v>17</v>
      </c>
      <c r="E6913" s="196" t="s">
        <v>123</v>
      </c>
      <c r="F6913" s="160" t="s">
        <v>862</v>
      </c>
      <c r="G6913" s="163">
        <v>1</v>
      </c>
      <c r="H6913" s="138">
        <v>90</v>
      </c>
      <c r="I6913" s="178">
        <v>46060</v>
      </c>
      <c r="J6913" s="172">
        <v>0.6694444444444444</v>
      </c>
      <c r="K6913" s="138">
        <v>90</v>
      </c>
      <c r="L6913" s="72" t="str">
        <f t="shared" si="108"/>
        <v>Payé</v>
      </c>
    </row>
    <row r="6914" spans="1:12" ht="15" customHeight="1" x14ac:dyDescent="0.25">
      <c r="A6914" s="160" t="s">
        <v>862</v>
      </c>
      <c r="B6914" s="173">
        <v>10510</v>
      </c>
      <c r="C6914" s="216" t="s">
        <v>1660</v>
      </c>
      <c r="D6914" s="90" t="s">
        <v>17</v>
      </c>
      <c r="E6914" s="196" t="s">
        <v>1104</v>
      </c>
      <c r="F6914" s="160" t="s">
        <v>862</v>
      </c>
      <c r="G6914" s="163">
        <v>1</v>
      </c>
      <c r="H6914" s="138">
        <v>90</v>
      </c>
      <c r="I6914" s="178">
        <v>46060</v>
      </c>
      <c r="J6914" s="172">
        <v>0.57152777777777775</v>
      </c>
      <c r="K6914" s="138">
        <v>90</v>
      </c>
      <c r="L6914" s="72" t="str">
        <f t="shared" si="108"/>
        <v>Payé</v>
      </c>
    </row>
    <row r="6915" spans="1:12" ht="15" customHeight="1" x14ac:dyDescent="0.25">
      <c r="A6915" s="160" t="s">
        <v>862</v>
      </c>
      <c r="B6915" s="173">
        <v>10511</v>
      </c>
      <c r="C6915" s="216" t="s">
        <v>1661</v>
      </c>
      <c r="D6915" s="90" t="s">
        <v>17</v>
      </c>
      <c r="E6915" s="196" t="s">
        <v>123</v>
      </c>
      <c r="F6915" s="160" t="s">
        <v>862</v>
      </c>
      <c r="G6915" s="163">
        <v>1</v>
      </c>
      <c r="H6915" s="138">
        <v>90</v>
      </c>
      <c r="I6915" s="178">
        <v>46060</v>
      </c>
      <c r="J6915" s="172">
        <v>0.6694444444444444</v>
      </c>
      <c r="K6915" s="138">
        <v>90</v>
      </c>
      <c r="L6915" s="72" t="str">
        <f t="shared" si="108"/>
        <v>Payé</v>
      </c>
    </row>
    <row r="6916" spans="1:12" ht="15" customHeight="1" x14ac:dyDescent="0.25">
      <c r="A6916" s="160" t="s">
        <v>862</v>
      </c>
      <c r="B6916" s="173">
        <v>10512</v>
      </c>
      <c r="C6916" s="216" t="s">
        <v>1662</v>
      </c>
      <c r="D6916" s="90" t="s">
        <v>17</v>
      </c>
      <c r="E6916" s="196" t="s">
        <v>123</v>
      </c>
      <c r="F6916" s="160" t="s">
        <v>862</v>
      </c>
      <c r="G6916" s="163">
        <v>1</v>
      </c>
      <c r="H6916" s="138">
        <v>90</v>
      </c>
      <c r="I6916" s="178">
        <v>46060</v>
      </c>
      <c r="J6916" s="172">
        <v>0.6694444444444444</v>
      </c>
      <c r="K6916" s="138">
        <v>90</v>
      </c>
      <c r="L6916" s="72" t="str">
        <f t="shared" si="108"/>
        <v>Payé</v>
      </c>
    </row>
    <row r="6917" spans="1:12" ht="15" customHeight="1" x14ac:dyDescent="0.25">
      <c r="A6917" s="160" t="s">
        <v>862</v>
      </c>
      <c r="B6917" s="175">
        <v>30417</v>
      </c>
      <c r="C6917" s="219" t="s">
        <v>1583</v>
      </c>
      <c r="D6917" s="90" t="s">
        <v>17</v>
      </c>
      <c r="E6917" s="196" t="s">
        <v>649</v>
      </c>
      <c r="F6917" s="160" t="s">
        <v>862</v>
      </c>
      <c r="G6917" s="163">
        <v>10</v>
      </c>
      <c r="H6917" s="138">
        <v>900</v>
      </c>
      <c r="I6917" s="188">
        <v>46065</v>
      </c>
      <c r="J6917" s="189">
        <v>0.60069444444444442</v>
      </c>
      <c r="K6917" s="138">
        <v>900</v>
      </c>
      <c r="L6917" s="72" t="str">
        <f t="shared" si="108"/>
        <v>Payé</v>
      </c>
    </row>
    <row r="6918" spans="1:12" ht="15" customHeight="1" x14ac:dyDescent="0.25">
      <c r="A6918" s="160" t="s">
        <v>862</v>
      </c>
      <c r="B6918" s="160" t="s">
        <v>1195</v>
      </c>
      <c r="C6918" s="222" t="s">
        <v>1351</v>
      </c>
      <c r="D6918" s="90" t="s">
        <v>912</v>
      </c>
      <c r="E6918" s="196" t="s">
        <v>61</v>
      </c>
      <c r="F6918" s="160" t="s">
        <v>862</v>
      </c>
      <c r="G6918" s="138">
        <v>7</v>
      </c>
      <c r="H6918" s="176">
        <v>3150</v>
      </c>
      <c r="I6918" s="178">
        <v>46060</v>
      </c>
      <c r="J6918" s="172">
        <v>0.57430555555555551</v>
      </c>
      <c r="K6918" s="176">
        <v>3150</v>
      </c>
      <c r="L6918" s="72" t="str">
        <f t="shared" ref="L6918:L6939" si="109">IF(ISBLANK(H6918),"",IF(H6918=K6918,"Payé","Impayé"))</f>
        <v>Payé</v>
      </c>
    </row>
    <row r="6919" spans="1:12" ht="15" customHeight="1" x14ac:dyDescent="0.25">
      <c r="A6919" s="160" t="s">
        <v>862</v>
      </c>
      <c r="B6919" s="160" t="s">
        <v>1195</v>
      </c>
      <c r="C6919" s="222" t="s">
        <v>1352</v>
      </c>
      <c r="D6919" s="90" t="s">
        <v>912</v>
      </c>
      <c r="E6919" s="196" t="s">
        <v>61</v>
      </c>
      <c r="F6919" s="160" t="s">
        <v>862</v>
      </c>
      <c r="G6919" s="138">
        <v>2</v>
      </c>
      <c r="H6919" s="176">
        <v>900</v>
      </c>
      <c r="I6919" s="178">
        <v>46060</v>
      </c>
      <c r="J6919" s="172">
        <v>0.57430555555555551</v>
      </c>
      <c r="K6919" s="176">
        <v>900</v>
      </c>
      <c r="L6919" s="72" t="str">
        <f t="shared" si="109"/>
        <v>Payé</v>
      </c>
    </row>
    <row r="6920" spans="1:12" ht="15" customHeight="1" x14ac:dyDescent="0.25">
      <c r="A6920" s="160" t="s">
        <v>862</v>
      </c>
      <c r="B6920" s="160" t="s">
        <v>1202</v>
      </c>
      <c r="C6920" s="222" t="s">
        <v>1201</v>
      </c>
      <c r="D6920" s="90" t="s">
        <v>912</v>
      </c>
      <c r="E6920" s="196" t="s">
        <v>61</v>
      </c>
      <c r="F6920" s="160" t="s">
        <v>862</v>
      </c>
      <c r="G6920" s="138">
        <v>59</v>
      </c>
      <c r="H6920" s="176">
        <v>14750</v>
      </c>
      <c r="I6920" s="178">
        <v>46060</v>
      </c>
      <c r="J6920" s="172">
        <v>0.57430555555555551</v>
      </c>
      <c r="K6920" s="176">
        <v>14750</v>
      </c>
      <c r="L6920" s="72" t="str">
        <f t="shared" si="109"/>
        <v>Payé</v>
      </c>
    </row>
    <row r="6921" spans="1:12" ht="15" customHeight="1" x14ac:dyDescent="0.25">
      <c r="A6921" s="160" t="s">
        <v>862</v>
      </c>
      <c r="B6921" s="160" t="s">
        <v>1283</v>
      </c>
      <c r="C6921" s="222" t="s">
        <v>1665</v>
      </c>
      <c r="D6921" s="90" t="s">
        <v>912</v>
      </c>
      <c r="E6921" s="196" t="s">
        <v>61</v>
      </c>
      <c r="F6921" s="160" t="s">
        <v>862</v>
      </c>
      <c r="G6921" s="138">
        <v>1</v>
      </c>
      <c r="H6921" s="176">
        <v>150</v>
      </c>
      <c r="I6921" s="178">
        <v>46060</v>
      </c>
      <c r="J6921" s="172">
        <v>0.6479166666666667</v>
      </c>
      <c r="K6921" s="176">
        <v>150</v>
      </c>
      <c r="L6921" s="72" t="str">
        <f t="shared" si="109"/>
        <v>Payé</v>
      </c>
    </row>
    <row r="6922" spans="1:12" ht="15" customHeight="1" x14ac:dyDescent="0.25">
      <c r="A6922" s="160" t="s">
        <v>862</v>
      </c>
      <c r="B6922" s="160" t="s">
        <v>1666</v>
      </c>
      <c r="C6922" s="222" t="s">
        <v>1665</v>
      </c>
      <c r="D6922" s="90" t="s">
        <v>912</v>
      </c>
      <c r="E6922" s="196" t="s">
        <v>61</v>
      </c>
      <c r="F6922" s="160" t="s">
        <v>862</v>
      </c>
      <c r="G6922" s="138">
        <v>2</v>
      </c>
      <c r="H6922" s="176">
        <v>1000</v>
      </c>
      <c r="I6922" s="178">
        <v>46060</v>
      </c>
      <c r="J6922" s="172">
        <v>0.6479166666666667</v>
      </c>
      <c r="K6922" s="176">
        <v>1000</v>
      </c>
      <c r="L6922" s="72" t="str">
        <f t="shared" si="109"/>
        <v>Payé</v>
      </c>
    </row>
    <row r="6923" spans="1:12" ht="15" customHeight="1" x14ac:dyDescent="0.25">
      <c r="A6923" s="160" t="s">
        <v>862</v>
      </c>
      <c r="B6923" s="160" t="s">
        <v>1666</v>
      </c>
      <c r="C6923" s="222" t="s">
        <v>1665</v>
      </c>
      <c r="D6923" s="90" t="s">
        <v>912</v>
      </c>
      <c r="E6923" s="196" t="s">
        <v>61</v>
      </c>
      <c r="F6923" s="160" t="s">
        <v>862</v>
      </c>
      <c r="G6923" s="138">
        <v>1</v>
      </c>
      <c r="H6923" s="176">
        <v>500</v>
      </c>
      <c r="I6923" s="178">
        <v>46060</v>
      </c>
      <c r="J6923" s="172">
        <v>0.6479166666666667</v>
      </c>
      <c r="K6923" s="176">
        <v>500</v>
      </c>
      <c r="L6923" s="72" t="str">
        <f t="shared" si="109"/>
        <v>Payé</v>
      </c>
    </row>
    <row r="6924" spans="1:12" ht="15" customHeight="1" x14ac:dyDescent="0.25">
      <c r="A6924" s="160" t="s">
        <v>862</v>
      </c>
      <c r="B6924" s="160" t="s">
        <v>1666</v>
      </c>
      <c r="C6924" s="222" t="s">
        <v>1665</v>
      </c>
      <c r="D6924" s="90" t="s">
        <v>912</v>
      </c>
      <c r="E6924" s="196" t="s">
        <v>61</v>
      </c>
      <c r="F6924" s="160" t="s">
        <v>862</v>
      </c>
      <c r="G6924" s="138">
        <v>1</v>
      </c>
      <c r="H6924" s="176">
        <v>800</v>
      </c>
      <c r="I6924" s="178">
        <v>46060</v>
      </c>
      <c r="J6924" s="172">
        <v>0.6479166666666667</v>
      </c>
      <c r="K6924" s="176">
        <v>800</v>
      </c>
      <c r="L6924" s="72" t="str">
        <f t="shared" si="109"/>
        <v>Payé</v>
      </c>
    </row>
    <row r="6925" spans="1:12" ht="15" customHeight="1" x14ac:dyDescent="0.25">
      <c r="A6925" s="160" t="s">
        <v>862</v>
      </c>
      <c r="B6925" s="160" t="s">
        <v>1283</v>
      </c>
      <c r="C6925" s="222" t="s">
        <v>1346</v>
      </c>
      <c r="D6925" s="90" t="s">
        <v>912</v>
      </c>
      <c r="E6925" s="196" t="s">
        <v>61</v>
      </c>
      <c r="F6925" s="160" t="s">
        <v>862</v>
      </c>
      <c r="G6925" s="138">
        <v>3</v>
      </c>
      <c r="H6925" s="176">
        <v>450</v>
      </c>
      <c r="I6925" s="188">
        <v>46065</v>
      </c>
      <c r="J6925" s="189">
        <v>0.60138888888888886</v>
      </c>
      <c r="K6925" s="176">
        <v>450</v>
      </c>
      <c r="L6925" s="72" t="str">
        <f t="shared" si="109"/>
        <v>Payé</v>
      </c>
    </row>
    <row r="6926" spans="1:12" ht="15" customHeight="1" x14ac:dyDescent="0.25">
      <c r="A6926" s="160" t="s">
        <v>862</v>
      </c>
      <c r="B6926" s="160" t="s">
        <v>1355</v>
      </c>
      <c r="C6926" s="222" t="s">
        <v>1284</v>
      </c>
      <c r="D6926" s="90" t="s">
        <v>912</v>
      </c>
      <c r="E6926" s="196" t="s">
        <v>61</v>
      </c>
      <c r="F6926" s="160" t="s">
        <v>862</v>
      </c>
      <c r="G6926" s="138">
        <v>19</v>
      </c>
      <c r="H6926" s="176">
        <v>9500</v>
      </c>
      <c r="I6926" s="188">
        <v>46070</v>
      </c>
      <c r="J6926" s="189">
        <v>0.60972222222222217</v>
      </c>
      <c r="K6926" s="176">
        <v>9500</v>
      </c>
      <c r="L6926" s="72" t="str">
        <f t="shared" si="109"/>
        <v>Payé</v>
      </c>
    </row>
    <row r="6927" spans="1:12" ht="15" customHeight="1" x14ac:dyDescent="0.25">
      <c r="A6927" s="160" t="s">
        <v>862</v>
      </c>
      <c r="C6927" s="222" t="s">
        <v>585</v>
      </c>
      <c r="D6927" s="89" t="s">
        <v>910</v>
      </c>
      <c r="E6927" s="196" t="s">
        <v>123</v>
      </c>
      <c r="F6927" s="160" t="s">
        <v>862</v>
      </c>
      <c r="G6927" s="177">
        <v>138</v>
      </c>
      <c r="H6927" s="176">
        <v>4140</v>
      </c>
      <c r="I6927" s="178">
        <v>46060</v>
      </c>
      <c r="J6927" s="172">
        <v>0.66597222222222219</v>
      </c>
      <c r="K6927" s="176">
        <v>4140</v>
      </c>
      <c r="L6927" s="72" t="str">
        <f t="shared" si="109"/>
        <v>Payé</v>
      </c>
    </row>
    <row r="6928" spans="1:12" ht="15" customHeight="1" x14ac:dyDescent="0.25">
      <c r="A6928" s="160" t="s">
        <v>862</v>
      </c>
      <c r="C6928" s="222" t="s">
        <v>406</v>
      </c>
      <c r="D6928" s="89" t="s">
        <v>910</v>
      </c>
      <c r="E6928" s="196" t="s">
        <v>1191</v>
      </c>
      <c r="F6928" s="160" t="s">
        <v>862</v>
      </c>
      <c r="G6928" s="177">
        <v>135.5</v>
      </c>
      <c r="H6928" s="176">
        <v>4065</v>
      </c>
      <c r="I6928" s="178">
        <v>46060</v>
      </c>
      <c r="J6928" s="172">
        <v>0.57152777777777775</v>
      </c>
      <c r="K6928" s="176">
        <v>4065</v>
      </c>
      <c r="L6928" s="72" t="str">
        <f t="shared" si="109"/>
        <v>Payé</v>
      </c>
    </row>
    <row r="6929" spans="1:12" ht="15" customHeight="1" x14ac:dyDescent="0.25">
      <c r="A6929" s="160" t="s">
        <v>862</v>
      </c>
      <c r="C6929" s="222" t="s">
        <v>1346</v>
      </c>
      <c r="D6929" s="89" t="s">
        <v>910</v>
      </c>
      <c r="E6929" s="196" t="s">
        <v>649</v>
      </c>
      <c r="F6929" s="160" t="s">
        <v>862</v>
      </c>
      <c r="G6929" s="177">
        <v>258.5</v>
      </c>
      <c r="H6929" s="176">
        <v>7755</v>
      </c>
      <c r="I6929" s="178">
        <v>46060</v>
      </c>
      <c r="J6929" s="172">
        <v>0.66388888888888886</v>
      </c>
      <c r="K6929" s="176">
        <v>7755</v>
      </c>
      <c r="L6929" s="72" t="str">
        <f t="shared" si="109"/>
        <v>Payé</v>
      </c>
    </row>
    <row r="6930" spans="1:12" ht="15" customHeight="1" x14ac:dyDescent="0.25">
      <c r="A6930" s="160" t="s">
        <v>862</v>
      </c>
      <c r="C6930" s="222" t="s">
        <v>630</v>
      </c>
      <c r="D6930" s="89" t="s">
        <v>910</v>
      </c>
      <c r="E6930" s="196" t="s">
        <v>1047</v>
      </c>
      <c r="F6930" s="160" t="s">
        <v>862</v>
      </c>
      <c r="G6930" s="177">
        <v>216</v>
      </c>
      <c r="H6930" s="176">
        <v>6480</v>
      </c>
      <c r="I6930" s="178">
        <v>46060</v>
      </c>
      <c r="J6930" s="172">
        <v>0.60972222222222217</v>
      </c>
      <c r="K6930" s="176">
        <v>6480</v>
      </c>
      <c r="L6930" s="72" t="str">
        <f t="shared" si="109"/>
        <v>Payé</v>
      </c>
    </row>
    <row r="6931" spans="1:12" ht="15" customHeight="1" x14ac:dyDescent="0.25">
      <c r="A6931" s="160" t="s">
        <v>862</v>
      </c>
      <c r="C6931" s="222" t="s">
        <v>719</v>
      </c>
      <c r="D6931" s="89" t="s">
        <v>910</v>
      </c>
      <c r="E6931" s="196" t="s">
        <v>1349</v>
      </c>
      <c r="F6931" s="160" t="s">
        <v>862</v>
      </c>
      <c r="G6931" s="177">
        <v>260.5</v>
      </c>
      <c r="H6931" s="176">
        <v>9117.5</v>
      </c>
      <c r="I6931" s="178">
        <v>46062</v>
      </c>
      <c r="J6931" s="172">
        <v>0.6381944444444444</v>
      </c>
      <c r="K6931" s="176">
        <v>9117.5</v>
      </c>
      <c r="L6931" s="72" t="str">
        <f t="shared" si="109"/>
        <v>Payé</v>
      </c>
    </row>
    <row r="6932" spans="1:12" ht="15" customHeight="1" x14ac:dyDescent="0.25">
      <c r="A6932" s="160" t="s">
        <v>862</v>
      </c>
      <c r="C6932" s="222" t="s">
        <v>1190</v>
      </c>
      <c r="D6932" s="89" t="s">
        <v>910</v>
      </c>
      <c r="E6932" s="196" t="s">
        <v>1350</v>
      </c>
      <c r="F6932" s="160" t="s">
        <v>862</v>
      </c>
      <c r="G6932" s="177">
        <v>170</v>
      </c>
      <c r="H6932" s="176">
        <v>5100</v>
      </c>
      <c r="I6932" s="178">
        <v>46062</v>
      </c>
      <c r="J6932" s="172">
        <v>0.64374999999999993</v>
      </c>
      <c r="K6932" s="176">
        <v>5100</v>
      </c>
      <c r="L6932" s="72" t="str">
        <f t="shared" si="109"/>
        <v>Payé</v>
      </c>
    </row>
    <row r="6933" spans="1:12" ht="15" customHeight="1" x14ac:dyDescent="0.25">
      <c r="A6933" s="160" t="s">
        <v>862</v>
      </c>
      <c r="C6933" s="222" t="s">
        <v>1347</v>
      </c>
      <c r="D6933" s="89" t="s">
        <v>910</v>
      </c>
      <c r="E6933" s="196" t="s">
        <v>667</v>
      </c>
      <c r="F6933" s="160" t="s">
        <v>862</v>
      </c>
      <c r="G6933" s="177">
        <v>222</v>
      </c>
      <c r="H6933" s="176">
        <v>6660</v>
      </c>
      <c r="I6933" s="178">
        <v>46060</v>
      </c>
      <c r="J6933" s="172">
        <v>0.60972222222222217</v>
      </c>
      <c r="K6933" s="183">
        <v>6660</v>
      </c>
      <c r="L6933" s="72" t="str">
        <f t="shared" si="109"/>
        <v>Payé</v>
      </c>
    </row>
    <row r="6934" spans="1:12" ht="15" customHeight="1" x14ac:dyDescent="0.25">
      <c r="A6934" s="160" t="s">
        <v>862</v>
      </c>
      <c r="C6934" s="222" t="s">
        <v>1189</v>
      </c>
      <c r="D6934" s="89" t="s">
        <v>910</v>
      </c>
      <c r="E6934" s="196" t="s">
        <v>49</v>
      </c>
      <c r="F6934" s="160" t="s">
        <v>862</v>
      </c>
      <c r="G6934" s="177">
        <v>177</v>
      </c>
      <c r="H6934" s="176">
        <v>5310</v>
      </c>
      <c r="I6934" s="178">
        <v>46060</v>
      </c>
      <c r="J6934" s="172">
        <v>0.66736111111111107</v>
      </c>
      <c r="K6934" s="176">
        <v>5310</v>
      </c>
      <c r="L6934" s="72" t="str">
        <f t="shared" si="109"/>
        <v>Payé</v>
      </c>
    </row>
    <row r="6935" spans="1:12" ht="15" customHeight="1" x14ac:dyDescent="0.25">
      <c r="A6935" s="160" t="s">
        <v>862</v>
      </c>
      <c r="C6935" s="222" t="s">
        <v>1529</v>
      </c>
      <c r="D6935" s="89" t="s">
        <v>910</v>
      </c>
      <c r="E6935" s="196" t="s">
        <v>254</v>
      </c>
      <c r="F6935" s="160" t="s">
        <v>862</v>
      </c>
      <c r="G6935" s="177">
        <v>221</v>
      </c>
      <c r="H6935" s="176">
        <v>6630</v>
      </c>
      <c r="I6935" s="178">
        <v>46062</v>
      </c>
      <c r="J6935" s="179">
        <v>0.64374999999999993</v>
      </c>
      <c r="K6935" s="176">
        <v>6630</v>
      </c>
      <c r="L6935" s="72" t="str">
        <f t="shared" si="109"/>
        <v>Payé</v>
      </c>
    </row>
    <row r="6936" spans="1:12" ht="15" customHeight="1" x14ac:dyDescent="0.25">
      <c r="A6936" s="160" t="s">
        <v>862</v>
      </c>
      <c r="C6936" s="222" t="s">
        <v>1667</v>
      </c>
      <c r="D6936" s="89" t="s">
        <v>910</v>
      </c>
      <c r="E6936" s="196" t="s">
        <v>1523</v>
      </c>
      <c r="F6936" s="160" t="s">
        <v>862</v>
      </c>
      <c r="G6936" s="177">
        <v>81</v>
      </c>
      <c r="H6936" s="176">
        <v>2835</v>
      </c>
      <c r="I6936" s="188">
        <v>46065</v>
      </c>
      <c r="J6936" s="189">
        <v>0.6430555555555556</v>
      </c>
      <c r="K6936" s="176">
        <v>2835</v>
      </c>
      <c r="L6936" s="72" t="str">
        <f t="shared" si="109"/>
        <v>Payé</v>
      </c>
    </row>
    <row r="6937" spans="1:12" ht="15" customHeight="1" x14ac:dyDescent="0.25">
      <c r="A6937" s="160" t="s">
        <v>862</v>
      </c>
      <c r="C6937" s="222" t="s">
        <v>1668</v>
      </c>
      <c r="D6937" s="89" t="s">
        <v>910</v>
      </c>
      <c r="F6937" s="160" t="s">
        <v>862</v>
      </c>
      <c r="G6937" s="177">
        <v>26</v>
      </c>
      <c r="H6937" s="176">
        <v>780</v>
      </c>
      <c r="I6937" s="188">
        <v>46071</v>
      </c>
      <c r="J6937" s="189">
        <v>0.56736111111111109</v>
      </c>
      <c r="K6937" s="176">
        <v>780</v>
      </c>
      <c r="L6937" s="72" t="str">
        <f t="shared" si="109"/>
        <v>Payé</v>
      </c>
    </row>
    <row r="6938" spans="1:12" ht="15" customHeight="1" x14ac:dyDescent="0.25">
      <c r="A6938" s="160" t="s">
        <v>862</v>
      </c>
      <c r="B6938" s="160">
        <v>2497</v>
      </c>
      <c r="C6938" s="222" t="s">
        <v>330</v>
      </c>
      <c r="D6938" s="90" t="s">
        <v>17</v>
      </c>
      <c r="E6938" s="196" t="s">
        <v>254</v>
      </c>
      <c r="F6938" s="160" t="s">
        <v>862</v>
      </c>
      <c r="G6938" s="163">
        <v>7</v>
      </c>
      <c r="H6938" s="138">
        <v>630</v>
      </c>
      <c r="I6938" s="188">
        <v>46065</v>
      </c>
      <c r="J6938" s="189">
        <v>0.6</v>
      </c>
      <c r="K6938" s="138">
        <v>630</v>
      </c>
      <c r="L6938" s="72" t="str">
        <f t="shared" si="109"/>
        <v>Payé</v>
      </c>
    </row>
    <row r="6939" spans="1:12" ht="15" customHeight="1" x14ac:dyDescent="0.25">
      <c r="A6939" s="160" t="s">
        <v>862</v>
      </c>
      <c r="B6939" s="160">
        <v>3246</v>
      </c>
      <c r="C6939" s="222" t="s">
        <v>555</v>
      </c>
      <c r="D6939" s="90" t="s">
        <v>17</v>
      </c>
      <c r="E6939" s="196" t="s">
        <v>49</v>
      </c>
      <c r="F6939" s="160" t="s">
        <v>862</v>
      </c>
      <c r="G6939" s="163">
        <v>10</v>
      </c>
      <c r="H6939" s="138">
        <v>900</v>
      </c>
      <c r="I6939" s="178">
        <v>46060</v>
      </c>
      <c r="J6939" s="172">
        <v>0.66736111111111107</v>
      </c>
      <c r="K6939" s="138">
        <v>900</v>
      </c>
      <c r="L6939" s="72" t="str">
        <f t="shared" si="109"/>
        <v>Payé</v>
      </c>
    </row>
  </sheetData>
  <autoFilter ref="A3:N6939">
    <filterColumn colId="8" showButton="0"/>
    <sortState ref="A606:N6917">
      <sortCondition ref="A3:A6662"/>
    </sortState>
  </autoFilter>
  <mergeCells count="5">
    <mergeCell ref="B1:C1"/>
    <mergeCell ref="D1:L1"/>
    <mergeCell ref="C2:D2"/>
    <mergeCell ref="E2:F2"/>
    <mergeCell ref="I3:J3"/>
  </mergeCells>
  <conditionalFormatting sqref="B1282:B1286 C1282">
    <cfRule type="duplicateValues" dxfId="271" priority="263"/>
  </conditionalFormatting>
  <conditionalFormatting sqref="B1381:B1384 B1377:C1380 B1375:C1375">
    <cfRule type="duplicateValues" dxfId="270" priority="244"/>
  </conditionalFormatting>
  <conditionalFormatting sqref="B1276:C1276">
    <cfRule type="duplicateValues" dxfId="269" priority="274"/>
    <cfRule type="duplicateValues" dxfId="268" priority="275"/>
    <cfRule type="duplicateValues" dxfId="267" priority="276"/>
    <cfRule type="duplicateValues" dxfId="266" priority="277"/>
    <cfRule type="duplicateValues" dxfId="265" priority="278"/>
    <cfRule type="duplicateValues" dxfId="264" priority="279"/>
    <cfRule type="duplicateValues" dxfId="263" priority="280"/>
  </conditionalFormatting>
  <conditionalFormatting sqref="B1277:C1277">
    <cfRule type="duplicateValues" dxfId="262" priority="267"/>
    <cfRule type="duplicateValues" dxfId="261" priority="268"/>
    <cfRule type="duplicateValues" dxfId="260" priority="269"/>
    <cfRule type="duplicateValues" dxfId="259" priority="270"/>
    <cfRule type="duplicateValues" dxfId="258" priority="271"/>
    <cfRule type="duplicateValues" dxfId="257" priority="272"/>
    <cfRule type="duplicateValues" dxfId="256" priority="273"/>
  </conditionalFormatting>
  <conditionalFormatting sqref="B1278:C1278">
    <cfRule type="duplicateValues" dxfId="255" priority="265"/>
    <cfRule type="duplicateValues" dxfId="254" priority="266"/>
  </conditionalFormatting>
  <conditionalFormatting sqref="B1279:C1279 B1281:C1281">
    <cfRule type="duplicateValues" dxfId="253" priority="264"/>
  </conditionalFormatting>
  <conditionalFormatting sqref="B1280:C1280">
    <cfRule type="duplicateValues" dxfId="252" priority="261"/>
  </conditionalFormatting>
  <conditionalFormatting sqref="B1287:C1287">
    <cfRule type="duplicateValues" dxfId="251" priority="254"/>
    <cfRule type="duplicateValues" dxfId="250" priority="255"/>
    <cfRule type="duplicateValues" dxfId="249" priority="256"/>
    <cfRule type="duplicateValues" dxfId="248" priority="258"/>
  </conditionalFormatting>
  <conditionalFormatting sqref="B1287:C1294">
    <cfRule type="duplicateValues" dxfId="247" priority="257"/>
    <cfRule type="duplicateValues" dxfId="246" priority="259"/>
    <cfRule type="duplicateValues" dxfId="245" priority="260"/>
  </conditionalFormatting>
  <conditionalFormatting sqref="B1301:C1305">
    <cfRule type="duplicateValues" dxfId="244" priority="253"/>
  </conditionalFormatting>
  <conditionalFormatting sqref="B1306:C1315">
    <cfRule type="duplicateValues" dxfId="243" priority="252"/>
  </conditionalFormatting>
  <conditionalFormatting sqref="B1329:C1329">
    <cfRule type="duplicateValues" dxfId="242" priority="251"/>
  </conditionalFormatting>
  <conditionalFormatting sqref="B1346:C1347 B1322:C1323 B1349:C1350 B1352:C1352 B1337:C1338 B1329:C1335 B1325:C1326 B1340:C1343">
    <cfRule type="duplicateValues" dxfId="241" priority="250"/>
  </conditionalFormatting>
  <conditionalFormatting sqref="B1374:C1374">
    <cfRule type="duplicateValues" dxfId="240" priority="248"/>
  </conditionalFormatting>
  <conditionalFormatting sqref="B1385:C1386">
    <cfRule type="duplicateValues" dxfId="239" priority="243"/>
  </conditionalFormatting>
  <conditionalFormatting sqref="B1388:C1392">
    <cfRule type="duplicateValues" dxfId="238" priority="236"/>
    <cfRule type="duplicateValues" dxfId="237" priority="241"/>
    <cfRule type="duplicateValues" dxfId="236" priority="242"/>
  </conditionalFormatting>
  <conditionalFormatting sqref="B1391:C1392 B1388:C1389">
    <cfRule type="duplicateValues" dxfId="235" priority="240"/>
  </conditionalFormatting>
  <conditionalFormatting sqref="B1392:C1392 B1388:C1389">
    <cfRule type="duplicateValues" dxfId="234" priority="237"/>
    <cfRule type="duplicateValues" dxfId="233" priority="238"/>
    <cfRule type="duplicateValues" dxfId="232" priority="239"/>
  </conditionalFormatting>
  <conditionalFormatting sqref="B1393:C1396">
    <cfRule type="duplicateValues" dxfId="231" priority="229"/>
    <cfRule type="duplicateValues" dxfId="230" priority="230"/>
    <cfRule type="duplicateValues" dxfId="229" priority="231"/>
    <cfRule type="duplicateValues" dxfId="228" priority="232"/>
    <cfRule type="duplicateValues" dxfId="227" priority="233"/>
    <cfRule type="duplicateValues" dxfId="226" priority="234"/>
    <cfRule type="duplicateValues" dxfId="225" priority="235"/>
  </conditionalFormatting>
  <conditionalFormatting sqref="C1281:C1282 B1281:B1286 B1279:C1279">
    <cfRule type="duplicateValues" dxfId="224" priority="262"/>
  </conditionalFormatting>
  <conditionalFormatting sqref="C1372:C1373 B1371:B1373">
    <cfRule type="duplicateValues" dxfId="223" priority="249"/>
  </conditionalFormatting>
  <conditionalFormatting sqref="C1377:C1380 B1377:B1384">
    <cfRule type="duplicateValues" dxfId="222" priority="247"/>
  </conditionalFormatting>
  <conditionalFormatting sqref="C1378:C1380 B1378:B1384">
    <cfRule type="duplicateValues" dxfId="221" priority="245"/>
    <cfRule type="duplicateValues" dxfId="220" priority="246"/>
  </conditionalFormatting>
  <conditionalFormatting sqref="B6907 B6904:C6906">
    <cfRule type="duplicateValues" dxfId="219" priority="38"/>
  </conditionalFormatting>
  <conditionalFormatting sqref="B6907">
    <cfRule type="duplicateValues" dxfId="218" priority="34"/>
    <cfRule type="duplicateValues" dxfId="217" priority="35"/>
    <cfRule type="duplicateValues" dxfId="216" priority="36"/>
  </conditionalFormatting>
  <conditionalFormatting sqref="B6663:C6663">
    <cfRule type="duplicateValues" dxfId="215" priority="223"/>
    <cfRule type="duplicateValues" dxfId="214" priority="224"/>
    <cfRule type="duplicateValues" dxfId="213" priority="225"/>
    <cfRule type="duplicateValues" dxfId="212" priority="226"/>
    <cfRule type="duplicateValues" dxfId="211" priority="227"/>
  </conditionalFormatting>
  <conditionalFormatting sqref="B6664:C6664">
    <cfRule type="duplicateValues" dxfId="210" priority="219"/>
    <cfRule type="duplicateValues" dxfId="209" priority="220"/>
    <cfRule type="duplicateValues" dxfId="208" priority="221"/>
    <cfRule type="duplicateValues" dxfId="207" priority="222"/>
  </conditionalFormatting>
  <conditionalFormatting sqref="B6665:C6665">
    <cfRule type="duplicateValues" dxfId="206" priority="213"/>
    <cfRule type="duplicateValues" dxfId="205" priority="214"/>
    <cfRule type="duplicateValues" dxfId="204" priority="215"/>
    <cfRule type="duplicateValues" dxfId="203" priority="216"/>
    <cfRule type="duplicateValues" dxfId="202" priority="217"/>
    <cfRule type="duplicateValues" dxfId="201" priority="218"/>
  </conditionalFormatting>
  <conditionalFormatting sqref="B6666:C6666">
    <cfRule type="duplicateValues" dxfId="200" priority="209"/>
    <cfRule type="duplicateValues" dxfId="199" priority="210"/>
    <cfRule type="duplicateValues" dxfId="198" priority="211"/>
    <cfRule type="duplicateValues" dxfId="197" priority="212"/>
  </conditionalFormatting>
  <conditionalFormatting sqref="B6667:C6667">
    <cfRule type="duplicateValues" dxfId="196" priority="203"/>
    <cfRule type="duplicateValues" dxfId="195" priority="204"/>
    <cfRule type="duplicateValues" dxfId="194" priority="205"/>
    <cfRule type="duplicateValues" dxfId="193" priority="206"/>
    <cfRule type="duplicateValues" dxfId="192" priority="207"/>
    <cfRule type="duplicateValues" dxfId="191" priority="208"/>
  </conditionalFormatting>
  <conditionalFormatting sqref="B6668:C6679">
    <cfRule type="duplicateValues" dxfId="190" priority="197"/>
    <cfRule type="duplicateValues" dxfId="189" priority="198"/>
    <cfRule type="duplicateValues" dxfId="188" priority="199"/>
    <cfRule type="duplicateValues" dxfId="187" priority="200"/>
    <cfRule type="duplicateValues" dxfId="186" priority="201"/>
    <cfRule type="duplicateValues" dxfId="185" priority="202"/>
  </conditionalFormatting>
  <conditionalFormatting sqref="B6680:C6680">
    <cfRule type="duplicateValues" dxfId="184" priority="191"/>
    <cfRule type="duplicateValues" dxfId="183" priority="192"/>
    <cfRule type="duplicateValues" dxfId="182" priority="193"/>
    <cfRule type="duplicateValues" dxfId="181" priority="194"/>
    <cfRule type="duplicateValues" dxfId="180" priority="195"/>
    <cfRule type="duplicateValues" dxfId="179" priority="196"/>
  </conditionalFormatting>
  <conditionalFormatting sqref="B6681:C6682">
    <cfRule type="duplicateValues" dxfId="178" priority="185"/>
    <cfRule type="duplicateValues" dxfId="177" priority="186"/>
    <cfRule type="duplicateValues" dxfId="176" priority="187"/>
    <cfRule type="duplicateValues" dxfId="175" priority="188"/>
    <cfRule type="duplicateValues" dxfId="174" priority="189"/>
    <cfRule type="duplicateValues" dxfId="173" priority="190"/>
  </conditionalFormatting>
  <conditionalFormatting sqref="B6683:C6685 C6686:C6702">
    <cfRule type="duplicateValues" dxfId="172" priority="181"/>
    <cfRule type="duplicateValues" dxfId="171" priority="182"/>
    <cfRule type="duplicateValues" dxfId="170" priority="183"/>
  </conditionalFormatting>
  <conditionalFormatting sqref="B6683:C6685 C6686:C6706">
    <cfRule type="duplicateValues" dxfId="169" priority="168"/>
    <cfRule type="duplicateValues" dxfId="168" priority="178"/>
    <cfRule type="duplicateValues" dxfId="167" priority="184"/>
  </conditionalFormatting>
  <conditionalFormatting sqref="C6703">
    <cfRule type="duplicateValues" dxfId="166" priority="171"/>
    <cfRule type="duplicateValues" dxfId="165" priority="172"/>
    <cfRule type="duplicateValues" dxfId="164" priority="173"/>
    <cfRule type="duplicateValues" dxfId="163" priority="174"/>
    <cfRule type="duplicateValues" dxfId="162" priority="175"/>
    <cfRule type="duplicateValues" dxfId="161" priority="176"/>
    <cfRule type="duplicateValues" dxfId="160" priority="177"/>
  </conditionalFormatting>
  <conditionalFormatting sqref="C6704">
    <cfRule type="duplicateValues" dxfId="159" priority="169"/>
    <cfRule type="duplicateValues" dxfId="158" priority="170"/>
  </conditionalFormatting>
  <conditionalFormatting sqref="C6707:C6748">
    <cfRule type="duplicateValues" dxfId="157" priority="155"/>
    <cfRule type="duplicateValues" dxfId="156" priority="167"/>
  </conditionalFormatting>
  <conditionalFormatting sqref="C6708:C6710">
    <cfRule type="duplicateValues" dxfId="155" priority="156"/>
    <cfRule type="duplicateValues" dxfId="154" priority="157"/>
    <cfRule type="duplicateValues" dxfId="153" priority="158"/>
    <cfRule type="duplicateValues" dxfId="152" priority="159"/>
  </conditionalFormatting>
  <conditionalFormatting sqref="C6746">
    <cfRule type="duplicateValues" dxfId="151" priority="20"/>
    <cfRule type="duplicateValues" dxfId="150" priority="21"/>
    <cfRule type="duplicateValues" dxfId="149" priority="22"/>
    <cfRule type="duplicateValues" dxfId="148" priority="23"/>
    <cfRule type="duplicateValues" dxfId="147" priority="24"/>
  </conditionalFormatting>
  <conditionalFormatting sqref="C6748 C6707:C6745">
    <cfRule type="duplicateValues" dxfId="146" priority="164"/>
  </conditionalFormatting>
  <conditionalFormatting sqref="C6748 C6711:C6745">
    <cfRule type="duplicateValues" dxfId="145" priority="160"/>
    <cfRule type="duplicateValues" dxfId="144" priority="161"/>
    <cfRule type="duplicateValues" dxfId="143" priority="162"/>
    <cfRule type="duplicateValues" dxfId="142" priority="163"/>
  </conditionalFormatting>
  <conditionalFormatting sqref="C6749:C6750">
    <cfRule type="duplicateValues" dxfId="141" priority="148"/>
    <cfRule type="duplicateValues" dxfId="140" priority="149"/>
    <cfRule type="duplicateValues" dxfId="139" priority="150"/>
    <cfRule type="duplicateValues" dxfId="138" priority="151"/>
    <cfRule type="duplicateValues" dxfId="137" priority="152"/>
    <cfRule type="duplicateValues" dxfId="136" priority="153"/>
    <cfRule type="duplicateValues" dxfId="135" priority="154"/>
  </conditionalFormatting>
  <conditionalFormatting sqref="C6751">
    <cfRule type="duplicateValues" dxfId="134" priority="141"/>
    <cfRule type="duplicateValues" dxfId="133" priority="142"/>
    <cfRule type="duplicateValues" dxfId="132" priority="143"/>
    <cfRule type="duplicateValues" dxfId="131" priority="144"/>
    <cfRule type="duplicateValues" dxfId="130" priority="145"/>
    <cfRule type="duplicateValues" dxfId="129" priority="146"/>
    <cfRule type="duplicateValues" dxfId="128" priority="147"/>
  </conditionalFormatting>
  <conditionalFormatting sqref="C6752">
    <cfRule type="duplicateValues" dxfId="127" priority="134"/>
    <cfRule type="duplicateValues" dxfId="126" priority="135"/>
    <cfRule type="duplicateValues" dxfId="125" priority="136"/>
    <cfRule type="duplicateValues" dxfId="124" priority="137"/>
    <cfRule type="duplicateValues" dxfId="123" priority="138"/>
    <cfRule type="duplicateValues" dxfId="122" priority="139"/>
    <cfRule type="duplicateValues" dxfId="121" priority="140"/>
  </conditionalFormatting>
  <conditionalFormatting sqref="C6753:C6756">
    <cfRule type="duplicateValues" dxfId="120" priority="121"/>
    <cfRule type="duplicateValues" dxfId="119" priority="122"/>
  </conditionalFormatting>
  <conditionalFormatting sqref="C6753:C6798">
    <cfRule type="duplicateValues" dxfId="118" priority="119"/>
    <cfRule type="duplicateValues" dxfId="117" priority="132"/>
    <cfRule type="duplicateValues" dxfId="116" priority="133"/>
  </conditionalFormatting>
  <conditionalFormatting sqref="C6779 C6788 C6784">
    <cfRule type="duplicateValues" dxfId="115" priority="127"/>
  </conditionalFormatting>
  <conditionalFormatting sqref="C6789">
    <cfRule type="duplicateValues" dxfId="114" priority="123"/>
    <cfRule type="duplicateValues" dxfId="113" priority="124"/>
    <cfRule type="duplicateValues" dxfId="112" priority="125"/>
    <cfRule type="duplicateValues" dxfId="111" priority="126"/>
  </conditionalFormatting>
  <conditionalFormatting sqref="C6790:C6794 C6757:C6778 C6780:C6783 C6785:C6787">
    <cfRule type="duplicateValues" dxfId="110" priority="131"/>
  </conditionalFormatting>
  <conditionalFormatting sqref="C6794 C6764 C6757:C6760">
    <cfRule type="duplicateValues" dxfId="109" priority="120"/>
  </conditionalFormatting>
  <conditionalFormatting sqref="C6795:C6798">
    <cfRule type="duplicateValues" dxfId="108" priority="128"/>
    <cfRule type="duplicateValues" dxfId="107" priority="129"/>
    <cfRule type="duplicateValues" dxfId="106" priority="130"/>
  </conditionalFormatting>
  <conditionalFormatting sqref="C6799">
    <cfRule type="duplicateValues" dxfId="105" priority="114"/>
    <cfRule type="duplicateValues" dxfId="104" priority="115"/>
    <cfRule type="duplicateValues" dxfId="103" priority="116"/>
    <cfRule type="duplicateValues" dxfId="102" priority="117"/>
    <cfRule type="duplicateValues" dxfId="101" priority="118"/>
  </conditionalFormatting>
  <conditionalFormatting sqref="C6800">
    <cfRule type="duplicateValues" dxfId="100" priority="109"/>
    <cfRule type="duplicateValues" dxfId="99" priority="110"/>
    <cfRule type="duplicateValues" dxfId="98" priority="111"/>
    <cfRule type="duplicateValues" dxfId="97" priority="112"/>
    <cfRule type="duplicateValues" dxfId="96" priority="113"/>
  </conditionalFormatting>
  <conditionalFormatting sqref="C6801">
    <cfRule type="duplicateValues" dxfId="95" priority="103"/>
    <cfRule type="duplicateValues" dxfId="94" priority="104"/>
    <cfRule type="duplicateValues" dxfId="93" priority="105"/>
    <cfRule type="duplicateValues" dxfId="92" priority="106"/>
    <cfRule type="duplicateValues" dxfId="91" priority="107"/>
    <cfRule type="duplicateValues" dxfId="90" priority="108"/>
  </conditionalFormatting>
  <conditionalFormatting sqref="C6802:C6803">
    <cfRule type="duplicateValues" dxfId="89" priority="97"/>
    <cfRule type="duplicateValues" dxfId="88" priority="98"/>
    <cfRule type="duplicateValues" dxfId="87" priority="99"/>
    <cfRule type="duplicateValues" dxfId="86" priority="100"/>
    <cfRule type="duplicateValues" dxfId="85" priority="101"/>
    <cfRule type="duplicateValues" dxfId="84" priority="102"/>
  </conditionalFormatting>
  <conditionalFormatting sqref="C6804">
    <cfRule type="duplicateValues" dxfId="83" priority="91"/>
    <cfRule type="duplicateValues" dxfId="82" priority="92"/>
    <cfRule type="duplicateValues" dxfId="81" priority="93"/>
  </conditionalFormatting>
  <conditionalFormatting sqref="C6804:C6807">
    <cfRule type="duplicateValues" dxfId="80" priority="85"/>
    <cfRule type="duplicateValues" dxfId="79" priority="95"/>
    <cfRule type="duplicateValues" dxfId="78" priority="96"/>
  </conditionalFormatting>
  <conditionalFormatting sqref="C6805">
    <cfRule type="duplicateValues" dxfId="77" priority="86"/>
    <cfRule type="duplicateValues" dxfId="76" priority="87"/>
    <cfRule type="duplicateValues" dxfId="75" priority="88"/>
    <cfRule type="duplicateValues" dxfId="74" priority="89"/>
    <cfRule type="duplicateValues" dxfId="73" priority="90"/>
  </conditionalFormatting>
  <conditionalFormatting sqref="C6806:C6807">
    <cfRule type="duplicateValues" dxfId="72" priority="94"/>
  </conditionalFormatting>
  <conditionalFormatting sqref="C6808:C6843">
    <cfRule type="duplicateValues" dxfId="71" priority="81"/>
    <cfRule type="duplicateValues" dxfId="70" priority="83"/>
    <cfRule type="duplicateValues" dxfId="69" priority="84"/>
  </conditionalFormatting>
  <conditionalFormatting sqref="C6833:C6843 C6808:C6831">
    <cfRule type="duplicateValues" dxfId="68" priority="82"/>
  </conditionalFormatting>
  <conditionalFormatting sqref="C6844">
    <cfRule type="duplicateValues" dxfId="67" priority="77"/>
    <cfRule type="duplicateValues" dxfId="66" priority="78"/>
    <cfRule type="duplicateValues" dxfId="65" priority="79"/>
    <cfRule type="duplicateValues" dxfId="64" priority="80"/>
  </conditionalFormatting>
  <conditionalFormatting sqref="C6845">
    <cfRule type="duplicateValues" dxfId="63" priority="73"/>
    <cfRule type="duplicateValues" dxfId="62" priority="74"/>
    <cfRule type="duplicateValues" dxfId="61" priority="75"/>
    <cfRule type="duplicateValues" dxfId="60" priority="76"/>
  </conditionalFormatting>
  <conditionalFormatting sqref="C6846:C6847">
    <cfRule type="duplicateValues" dxfId="59" priority="65"/>
    <cfRule type="duplicateValues" dxfId="58" priority="70"/>
    <cfRule type="duplicateValues" dxfId="57" priority="71"/>
    <cfRule type="duplicateValues" dxfId="56" priority="72"/>
  </conditionalFormatting>
  <conditionalFormatting sqref="C6848:C6851">
    <cfRule type="duplicateValues" dxfId="55" priority="61"/>
    <cfRule type="duplicateValues" dxfId="54" priority="62"/>
    <cfRule type="duplicateValues" dxfId="53" priority="63"/>
    <cfRule type="duplicateValues" dxfId="52" priority="64"/>
  </conditionalFormatting>
  <conditionalFormatting sqref="C6852:C6869">
    <cfRule type="duplicateValues" dxfId="51" priority="53"/>
    <cfRule type="duplicateValues" dxfId="50" priority="59"/>
    <cfRule type="duplicateValues" dxfId="49" priority="60"/>
  </conditionalFormatting>
  <conditionalFormatting sqref="C6866">
    <cfRule type="duplicateValues" dxfId="48" priority="54"/>
    <cfRule type="duplicateValues" dxfId="47" priority="55"/>
    <cfRule type="duplicateValues" dxfId="46" priority="56"/>
    <cfRule type="duplicateValues" dxfId="45" priority="57"/>
  </conditionalFormatting>
  <conditionalFormatting sqref="C6867:C6869 C6852:C6865">
    <cfRule type="duplicateValues" dxfId="44" priority="58"/>
  </conditionalFormatting>
  <conditionalFormatting sqref="C6870">
    <cfRule type="duplicateValues" dxfId="43" priority="47"/>
    <cfRule type="duplicateValues" dxfId="42" priority="48"/>
    <cfRule type="duplicateValues" dxfId="41" priority="49"/>
    <cfRule type="duplicateValues" dxfId="40" priority="50"/>
    <cfRule type="duplicateValues" dxfId="39" priority="51"/>
    <cfRule type="duplicateValues" dxfId="38" priority="52"/>
  </conditionalFormatting>
  <conditionalFormatting sqref="B6878:C6903 B6914:C6917 C6871:C6877">
    <cfRule type="duplicateValues" dxfId="37" priority="228"/>
  </conditionalFormatting>
  <conditionalFormatting sqref="B6904:C6907">
    <cfRule type="duplicateValues" dxfId="36" priority="42"/>
    <cfRule type="duplicateValues" dxfId="35" priority="43"/>
  </conditionalFormatting>
  <conditionalFormatting sqref="B6904:C6910">
    <cfRule type="duplicateValues" dxfId="34" priority="37"/>
  </conditionalFormatting>
  <conditionalFormatting sqref="B6906:C6906 B6904:C6904">
    <cfRule type="duplicateValues" dxfId="33" priority="39"/>
    <cfRule type="duplicateValues" dxfId="32" priority="40"/>
    <cfRule type="duplicateValues" dxfId="31" priority="41"/>
  </conditionalFormatting>
  <conditionalFormatting sqref="B6910:C6910 B6904:C6908">
    <cfRule type="duplicateValues" dxfId="30" priority="44"/>
    <cfRule type="duplicateValues" dxfId="29" priority="45"/>
    <cfRule type="duplicateValues" dxfId="28" priority="46"/>
  </conditionalFormatting>
  <conditionalFormatting sqref="B6910:C6910 B6908:C6908">
    <cfRule type="duplicateValues" dxfId="27" priority="33"/>
  </conditionalFormatting>
  <conditionalFormatting sqref="B6910:C6910">
    <cfRule type="duplicateValues" dxfId="26" priority="32"/>
  </conditionalFormatting>
  <conditionalFormatting sqref="B6911:C6912">
    <cfRule type="duplicateValues" dxfId="25" priority="27"/>
    <cfRule type="duplicateValues" dxfId="24" priority="28"/>
  </conditionalFormatting>
  <conditionalFormatting sqref="B6911:C6913">
    <cfRule type="duplicateValues" dxfId="23" priority="26"/>
    <cfRule type="duplicateValues" dxfId="22" priority="29"/>
    <cfRule type="duplicateValues" dxfId="21" priority="30"/>
    <cfRule type="duplicateValues" dxfId="20" priority="31"/>
  </conditionalFormatting>
  <conditionalFormatting sqref="B6912:C6913">
    <cfRule type="duplicateValues" dxfId="19" priority="25"/>
  </conditionalFormatting>
  <conditionalFormatting sqref="C3569">
    <cfRule type="duplicateValues" dxfId="18" priority="14"/>
    <cfRule type="duplicateValues" dxfId="17" priority="15"/>
    <cfRule type="duplicateValues" dxfId="16" priority="16"/>
    <cfRule type="duplicateValues" dxfId="15" priority="17"/>
    <cfRule type="duplicateValues" dxfId="14" priority="18"/>
    <cfRule type="duplicateValues" dxfId="13" priority="19"/>
  </conditionalFormatting>
  <conditionalFormatting sqref="C3832">
    <cfRule type="duplicateValues" dxfId="12" priority="7"/>
    <cfRule type="duplicateValues" dxfId="11" priority="8"/>
    <cfRule type="duplicateValues" dxfId="10" priority="9"/>
    <cfRule type="duplicateValues" dxfId="9" priority="10"/>
    <cfRule type="duplicateValues" dxfId="8" priority="11"/>
    <cfRule type="duplicateValues" dxfId="7" priority="12"/>
    <cfRule type="duplicateValues" dxfId="6" priority="13"/>
  </conditionalFormatting>
  <conditionalFormatting sqref="C3833:C3834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  <cfRule type="duplicateValues" dxfId="0" priority="6"/>
  </conditionalFormatting>
  <printOptions horizontalCentered="1"/>
  <pageMargins left="0.17" right="0.70866141732283472" top="0.74803149606299213" bottom="0.2" header="0" footer="0"/>
  <pageSetup paperSize="9" fitToHeight="0" pageOrder="overThenDown" orientation="landscape" cellComments="atEn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8"/>
  <sheetViews>
    <sheetView workbookViewId="0">
      <selection activeCell="D11" sqref="D11"/>
    </sheetView>
  </sheetViews>
  <sheetFormatPr baseColWidth="10" defaultRowHeight="12.75" x14ac:dyDescent="0.2"/>
  <cols>
    <col min="2" max="2" width="30.5703125" bestFit="1" customWidth="1"/>
    <col min="3" max="3" width="15.85546875" bestFit="1" customWidth="1"/>
    <col min="4" max="4" width="10.7109375" bestFit="1" customWidth="1"/>
    <col min="5" max="5" width="11.28515625" bestFit="1" customWidth="1"/>
    <col min="6" max="6" width="21.140625" customWidth="1"/>
  </cols>
  <sheetData>
    <row r="1" spans="1:6" ht="12.75" customHeight="1" x14ac:dyDescent="0.2">
      <c r="A1" s="247" t="s">
        <v>1055</v>
      </c>
      <c r="B1" s="248"/>
      <c r="C1" s="248"/>
      <c r="D1" s="248"/>
      <c r="E1" s="248"/>
      <c r="F1" s="249"/>
    </row>
    <row r="2" spans="1:6" ht="13.5" customHeight="1" thickBot="1" x14ac:dyDescent="0.25">
      <c r="A2" s="250"/>
      <c r="B2" s="251"/>
      <c r="C2" s="251"/>
      <c r="D2" s="251"/>
      <c r="E2" s="251"/>
      <c r="F2" s="252"/>
    </row>
    <row r="3" spans="1:6" ht="16.5" thickBot="1" x14ac:dyDescent="0.3">
      <c r="D3" s="253" t="s">
        <v>1056</v>
      </c>
      <c r="E3" s="253"/>
      <c r="F3" s="253"/>
    </row>
    <row r="4" spans="1:6" ht="15" thickBot="1" x14ac:dyDescent="0.3">
      <c r="A4" s="119" t="s">
        <v>1050</v>
      </c>
      <c r="B4" s="120" t="s">
        <v>1053</v>
      </c>
      <c r="C4" s="120" t="s">
        <v>1051</v>
      </c>
      <c r="D4" s="120" t="s">
        <v>1052</v>
      </c>
      <c r="E4" s="120" t="s">
        <v>1054</v>
      </c>
      <c r="F4" s="121" t="s">
        <v>1049</v>
      </c>
    </row>
    <row r="5" spans="1:6" ht="42.75" customHeight="1" x14ac:dyDescent="0.2">
      <c r="A5" s="122">
        <v>3412</v>
      </c>
      <c r="B5" s="123" t="s">
        <v>560</v>
      </c>
      <c r="C5" s="124" t="s">
        <v>371</v>
      </c>
      <c r="D5" s="125">
        <v>2</v>
      </c>
      <c r="E5" s="126">
        <v>173</v>
      </c>
      <c r="F5" s="127"/>
    </row>
    <row r="6" spans="1:6" ht="42.75" customHeight="1" x14ac:dyDescent="0.2">
      <c r="A6" s="128">
        <v>3607</v>
      </c>
      <c r="B6" s="88" t="s">
        <v>984</v>
      </c>
      <c r="C6" s="90" t="s">
        <v>613</v>
      </c>
      <c r="D6" s="118">
        <v>12</v>
      </c>
      <c r="E6" s="94">
        <v>1201</v>
      </c>
      <c r="F6" s="129"/>
    </row>
    <row r="7" spans="1:6" ht="42.75" customHeight="1" x14ac:dyDescent="0.2">
      <c r="A7" s="128">
        <v>3672</v>
      </c>
      <c r="B7" s="88" t="s">
        <v>568</v>
      </c>
      <c r="C7" s="90" t="s">
        <v>613</v>
      </c>
      <c r="D7" s="118">
        <v>16</v>
      </c>
      <c r="E7" s="94">
        <v>1769</v>
      </c>
      <c r="F7" s="129"/>
    </row>
    <row r="8" spans="1:6" ht="42.75" customHeight="1" x14ac:dyDescent="0.2">
      <c r="A8" s="128">
        <v>6</v>
      </c>
      <c r="B8" s="88" t="s">
        <v>542</v>
      </c>
      <c r="C8" s="90" t="s">
        <v>420</v>
      </c>
      <c r="D8" s="118">
        <v>16</v>
      </c>
      <c r="E8" s="94">
        <v>1687</v>
      </c>
      <c r="F8" s="129"/>
    </row>
    <row r="9" spans="1:6" ht="42.75" customHeight="1" x14ac:dyDescent="0.2">
      <c r="A9" s="128">
        <v>41</v>
      </c>
      <c r="B9" s="88" t="s">
        <v>407</v>
      </c>
      <c r="C9" s="90" t="s">
        <v>420</v>
      </c>
      <c r="D9" s="118">
        <v>14</v>
      </c>
      <c r="E9" s="94">
        <v>1415</v>
      </c>
      <c r="F9" s="129"/>
    </row>
    <row r="10" spans="1:6" ht="42.75" customHeight="1" x14ac:dyDescent="0.2">
      <c r="A10" s="128">
        <v>95</v>
      </c>
      <c r="B10" s="88" t="s">
        <v>408</v>
      </c>
      <c r="C10" s="90" t="s">
        <v>81</v>
      </c>
      <c r="D10" s="118">
        <v>16</v>
      </c>
      <c r="E10" s="94">
        <v>1617</v>
      </c>
      <c r="F10" s="129"/>
    </row>
    <row r="11" spans="1:6" ht="42.75" customHeight="1" x14ac:dyDescent="0.2">
      <c r="A11" s="128">
        <v>4373</v>
      </c>
      <c r="B11" s="88" t="s">
        <v>988</v>
      </c>
      <c r="C11" s="90" t="s">
        <v>81</v>
      </c>
      <c r="D11" s="118">
        <v>14</v>
      </c>
      <c r="E11" s="94">
        <v>1354</v>
      </c>
      <c r="F11" s="129"/>
    </row>
    <row r="12" spans="1:6" ht="42.75" customHeight="1" x14ac:dyDescent="0.2">
      <c r="A12" s="128">
        <v>4807</v>
      </c>
      <c r="B12" s="88" t="s">
        <v>825</v>
      </c>
      <c r="C12" s="90" t="s">
        <v>81</v>
      </c>
      <c r="D12" s="118">
        <v>13</v>
      </c>
      <c r="E12" s="94">
        <v>1258</v>
      </c>
      <c r="F12" s="129"/>
    </row>
    <row r="13" spans="1:6" ht="42.75" customHeight="1" x14ac:dyDescent="0.2">
      <c r="A13" s="128">
        <v>198</v>
      </c>
      <c r="B13" s="88" t="s">
        <v>380</v>
      </c>
      <c r="C13" s="90" t="s">
        <v>370</v>
      </c>
      <c r="D13" s="118">
        <v>16</v>
      </c>
      <c r="E13" s="94">
        <v>1617</v>
      </c>
      <c r="F13" s="129"/>
    </row>
    <row r="14" spans="1:6" ht="42.75" customHeight="1" x14ac:dyDescent="0.2">
      <c r="A14" s="128">
        <v>202</v>
      </c>
      <c r="B14" s="88" t="s">
        <v>948</v>
      </c>
      <c r="C14" s="90" t="s">
        <v>370</v>
      </c>
      <c r="D14" s="118">
        <v>14</v>
      </c>
      <c r="E14" s="94">
        <v>1415</v>
      </c>
      <c r="F14" s="129"/>
    </row>
    <row r="15" spans="1:6" ht="42.75" customHeight="1" x14ac:dyDescent="0.2">
      <c r="A15" s="128">
        <v>752</v>
      </c>
      <c r="B15" s="88" t="s">
        <v>384</v>
      </c>
      <c r="C15" s="90" t="s">
        <v>369</v>
      </c>
      <c r="D15" s="118">
        <v>14</v>
      </c>
      <c r="E15" s="94">
        <v>1415</v>
      </c>
      <c r="F15" s="129"/>
    </row>
    <row r="16" spans="1:6" ht="42.75" customHeight="1" x14ac:dyDescent="0.2">
      <c r="A16" s="128">
        <v>753</v>
      </c>
      <c r="B16" s="88" t="s">
        <v>956</v>
      </c>
      <c r="C16" s="90" t="s">
        <v>369</v>
      </c>
      <c r="D16" s="118">
        <v>14</v>
      </c>
      <c r="E16" s="94">
        <v>1415</v>
      </c>
      <c r="F16" s="129"/>
    </row>
    <row r="17" spans="1:6" ht="42.75" customHeight="1" x14ac:dyDescent="0.2">
      <c r="A17" s="128">
        <v>191</v>
      </c>
      <c r="B17" s="88" t="s">
        <v>545</v>
      </c>
      <c r="C17" s="90" t="s">
        <v>103</v>
      </c>
      <c r="D17" s="118">
        <v>1</v>
      </c>
      <c r="E17" s="94">
        <v>91</v>
      </c>
      <c r="F17" s="129"/>
    </row>
    <row r="18" spans="1:6" ht="42.75" customHeight="1" x14ac:dyDescent="0.2">
      <c r="A18" s="128">
        <v>994</v>
      </c>
      <c r="B18" s="88" t="s">
        <v>381</v>
      </c>
      <c r="C18" s="90" t="s">
        <v>103</v>
      </c>
      <c r="D18" s="118">
        <v>14</v>
      </c>
      <c r="E18" s="94">
        <v>1415</v>
      </c>
      <c r="F18" s="129"/>
    </row>
    <row r="19" spans="1:6" ht="42.75" customHeight="1" x14ac:dyDescent="0.2">
      <c r="A19" s="128">
        <v>1041</v>
      </c>
      <c r="B19" s="88" t="s">
        <v>387</v>
      </c>
      <c r="C19" s="90" t="s">
        <v>103</v>
      </c>
      <c r="D19" s="118">
        <v>14</v>
      </c>
      <c r="E19" s="94">
        <v>1415</v>
      </c>
      <c r="F19" s="129"/>
    </row>
    <row r="20" spans="1:6" ht="42.75" customHeight="1" x14ac:dyDescent="0.2">
      <c r="A20" s="128">
        <v>2321</v>
      </c>
      <c r="B20" s="88" t="s">
        <v>969</v>
      </c>
      <c r="C20" s="90" t="s">
        <v>103</v>
      </c>
      <c r="D20" s="118">
        <v>14</v>
      </c>
      <c r="E20" s="94">
        <v>1354</v>
      </c>
      <c r="F20" s="129"/>
    </row>
    <row r="21" spans="1:6" ht="42.75" customHeight="1" x14ac:dyDescent="0.2">
      <c r="A21" s="128">
        <v>2384</v>
      </c>
      <c r="B21" s="88" t="s">
        <v>541</v>
      </c>
      <c r="C21" s="90" t="s">
        <v>103</v>
      </c>
      <c r="D21" s="118">
        <v>13</v>
      </c>
      <c r="E21" s="94">
        <v>1258</v>
      </c>
      <c r="F21" s="129"/>
    </row>
    <row r="22" spans="1:6" ht="42.75" customHeight="1" x14ac:dyDescent="0.2">
      <c r="A22" s="128">
        <v>3504</v>
      </c>
      <c r="B22" s="88" t="s">
        <v>981</v>
      </c>
      <c r="C22" s="90" t="s">
        <v>103</v>
      </c>
      <c r="D22" s="118">
        <v>11</v>
      </c>
      <c r="E22" s="94">
        <v>1104</v>
      </c>
      <c r="F22" s="129"/>
    </row>
    <row r="23" spans="1:6" ht="42.75" customHeight="1" x14ac:dyDescent="0.2">
      <c r="A23" s="128">
        <v>2845</v>
      </c>
      <c r="B23" s="88" t="s">
        <v>975</v>
      </c>
      <c r="C23" s="90" t="s">
        <v>391</v>
      </c>
      <c r="D23" s="118">
        <v>12</v>
      </c>
      <c r="E23" s="94">
        <v>1490</v>
      </c>
      <c r="F23" s="129"/>
    </row>
    <row r="24" spans="1:6" ht="42.75" customHeight="1" x14ac:dyDescent="0.2">
      <c r="A24" s="128">
        <v>5270</v>
      </c>
      <c r="B24" s="88" t="s">
        <v>926</v>
      </c>
      <c r="C24" s="90" t="s">
        <v>391</v>
      </c>
      <c r="D24" s="118">
        <v>15</v>
      </c>
      <c r="E24" s="94">
        <v>1451</v>
      </c>
      <c r="F24" s="129"/>
    </row>
    <row r="25" spans="1:6" ht="42.75" customHeight="1" x14ac:dyDescent="0.2">
      <c r="A25" s="128">
        <v>3397</v>
      </c>
      <c r="B25" s="88" t="s">
        <v>976</v>
      </c>
      <c r="C25" s="90" t="s">
        <v>107</v>
      </c>
      <c r="D25" s="118">
        <v>13</v>
      </c>
      <c r="E25" s="94">
        <v>1258</v>
      </c>
      <c r="F25" s="129"/>
    </row>
    <row r="26" spans="1:6" ht="42.75" customHeight="1" x14ac:dyDescent="0.2">
      <c r="A26" s="128">
        <v>331</v>
      </c>
      <c r="B26" s="88" t="s">
        <v>949</v>
      </c>
      <c r="C26" s="90" t="s">
        <v>944</v>
      </c>
      <c r="D26" s="118">
        <v>6</v>
      </c>
      <c r="E26" s="94">
        <v>520</v>
      </c>
      <c r="F26" s="129"/>
    </row>
    <row r="27" spans="1:6" ht="42.75" customHeight="1" x14ac:dyDescent="0.2">
      <c r="A27" s="128">
        <v>919</v>
      </c>
      <c r="B27" s="88" t="s">
        <v>242</v>
      </c>
      <c r="C27" s="90" t="s">
        <v>944</v>
      </c>
      <c r="D27" s="118">
        <v>6</v>
      </c>
      <c r="E27" s="94">
        <v>520</v>
      </c>
      <c r="F27" s="129"/>
    </row>
    <row r="28" spans="1:6" ht="42.75" customHeight="1" x14ac:dyDescent="0.2">
      <c r="A28" s="128">
        <v>2089</v>
      </c>
      <c r="B28" s="88" t="s">
        <v>966</v>
      </c>
      <c r="C28" s="90" t="s">
        <v>944</v>
      </c>
      <c r="D28" s="118">
        <v>3</v>
      </c>
      <c r="E28" s="94">
        <v>260</v>
      </c>
      <c r="F28" s="129"/>
    </row>
    <row r="29" spans="1:6" ht="42.75" customHeight="1" x14ac:dyDescent="0.2">
      <c r="A29" s="128">
        <v>2253</v>
      </c>
      <c r="B29" s="88" t="s">
        <v>967</v>
      </c>
      <c r="C29" s="90" t="s">
        <v>944</v>
      </c>
      <c r="D29" s="118">
        <v>5</v>
      </c>
      <c r="E29" s="94">
        <v>434</v>
      </c>
      <c r="F29" s="129"/>
    </row>
    <row r="30" spans="1:6" ht="42.75" customHeight="1" x14ac:dyDescent="0.2">
      <c r="A30" s="128">
        <v>2411</v>
      </c>
      <c r="B30" s="88" t="s">
        <v>970</v>
      </c>
      <c r="C30" s="90" t="s">
        <v>944</v>
      </c>
      <c r="D30" s="118">
        <v>5</v>
      </c>
      <c r="E30" s="94">
        <v>434</v>
      </c>
      <c r="F30" s="129"/>
    </row>
    <row r="31" spans="1:6" ht="42.75" customHeight="1" x14ac:dyDescent="0.2">
      <c r="A31" s="128">
        <v>2412</v>
      </c>
      <c r="B31" s="88" t="s">
        <v>971</v>
      </c>
      <c r="C31" s="90" t="s">
        <v>944</v>
      </c>
      <c r="D31" s="118">
        <v>13</v>
      </c>
      <c r="E31" s="94">
        <v>1258</v>
      </c>
      <c r="F31" s="129"/>
    </row>
    <row r="32" spans="1:6" ht="42.75" customHeight="1" x14ac:dyDescent="0.2">
      <c r="A32" s="128">
        <v>2638</v>
      </c>
      <c r="B32" s="88" t="s">
        <v>974</v>
      </c>
      <c r="C32" s="90" t="s">
        <v>944</v>
      </c>
      <c r="D32" s="118">
        <v>3</v>
      </c>
      <c r="E32" s="94">
        <v>260</v>
      </c>
      <c r="F32" s="129"/>
    </row>
    <row r="33" spans="1:6" ht="42.75" customHeight="1" x14ac:dyDescent="0.2">
      <c r="A33" s="128">
        <v>5281</v>
      </c>
      <c r="B33" s="88" t="s">
        <v>995</v>
      </c>
      <c r="C33" s="90" t="s">
        <v>944</v>
      </c>
      <c r="D33" s="118">
        <v>5</v>
      </c>
      <c r="E33" s="94">
        <v>434</v>
      </c>
      <c r="F33" s="129"/>
    </row>
    <row r="34" spans="1:6" ht="42.75" customHeight="1" x14ac:dyDescent="0.2">
      <c r="A34" s="128">
        <v>5282</v>
      </c>
      <c r="B34" s="88" t="s">
        <v>937</v>
      </c>
      <c r="C34" s="90" t="s">
        <v>944</v>
      </c>
      <c r="D34" s="118">
        <v>8</v>
      </c>
      <c r="E34" s="94">
        <v>694</v>
      </c>
      <c r="F34" s="129"/>
    </row>
    <row r="35" spans="1:6" ht="42.75" customHeight="1" x14ac:dyDescent="0.2">
      <c r="A35" s="128">
        <v>5283</v>
      </c>
      <c r="B35" s="88" t="s">
        <v>936</v>
      </c>
      <c r="C35" s="90" t="s">
        <v>944</v>
      </c>
      <c r="D35" s="118">
        <v>11</v>
      </c>
      <c r="E35" s="94">
        <v>954</v>
      </c>
      <c r="F35" s="129"/>
    </row>
    <row r="36" spans="1:6" ht="42.75" customHeight="1" x14ac:dyDescent="0.2">
      <c r="A36" s="128">
        <v>5286</v>
      </c>
      <c r="B36" s="88" t="s">
        <v>998</v>
      </c>
      <c r="C36" s="90" t="s">
        <v>944</v>
      </c>
      <c r="D36" s="118">
        <v>12</v>
      </c>
      <c r="E36" s="94">
        <v>1041</v>
      </c>
      <c r="F36" s="129"/>
    </row>
    <row r="37" spans="1:6" ht="42.75" customHeight="1" x14ac:dyDescent="0.2">
      <c r="A37" s="128">
        <v>5287</v>
      </c>
      <c r="B37" s="88" t="s">
        <v>999</v>
      </c>
      <c r="C37" s="90" t="s">
        <v>944</v>
      </c>
      <c r="D37" s="118">
        <v>10</v>
      </c>
      <c r="E37" s="94">
        <v>867</v>
      </c>
      <c r="F37" s="129"/>
    </row>
    <row r="38" spans="1:6" ht="42.75" customHeight="1" x14ac:dyDescent="0.2">
      <c r="A38" s="128">
        <v>5288</v>
      </c>
      <c r="B38" s="88" t="s">
        <v>1000</v>
      </c>
      <c r="C38" s="90" t="s">
        <v>944</v>
      </c>
      <c r="D38" s="118">
        <v>4</v>
      </c>
      <c r="E38" s="94">
        <v>347</v>
      </c>
      <c r="F38" s="129"/>
    </row>
    <row r="39" spans="1:6" ht="42.75" customHeight="1" x14ac:dyDescent="0.2">
      <c r="A39" s="128">
        <v>5289</v>
      </c>
      <c r="B39" s="88" t="s">
        <v>1001</v>
      </c>
      <c r="C39" s="90" t="s">
        <v>944</v>
      </c>
      <c r="D39" s="118">
        <v>10</v>
      </c>
      <c r="E39" s="94">
        <v>867</v>
      </c>
      <c r="F39" s="129"/>
    </row>
    <row r="40" spans="1:6" ht="42.75" customHeight="1" x14ac:dyDescent="0.2">
      <c r="A40" s="128">
        <v>5291</v>
      </c>
      <c r="B40" s="88" t="s">
        <v>1002</v>
      </c>
      <c r="C40" s="90" t="s">
        <v>944</v>
      </c>
      <c r="D40" s="118">
        <v>4</v>
      </c>
      <c r="E40" s="94">
        <v>357</v>
      </c>
      <c r="F40" s="129"/>
    </row>
    <row r="41" spans="1:6" ht="42.75" customHeight="1" x14ac:dyDescent="0.2">
      <c r="A41" s="128">
        <v>5304</v>
      </c>
      <c r="B41" s="88" t="s">
        <v>1015</v>
      </c>
      <c r="C41" s="90" t="s">
        <v>944</v>
      </c>
      <c r="D41" s="118">
        <v>6</v>
      </c>
      <c r="E41" s="94">
        <v>520</v>
      </c>
      <c r="F41" s="129"/>
    </row>
    <row r="42" spans="1:6" ht="42.75" customHeight="1" x14ac:dyDescent="0.2">
      <c r="A42" s="128">
        <v>5305</v>
      </c>
      <c r="B42" s="88" t="s">
        <v>1016</v>
      </c>
      <c r="C42" s="90" t="s">
        <v>944</v>
      </c>
      <c r="D42" s="118">
        <v>6</v>
      </c>
      <c r="E42" s="94">
        <v>520</v>
      </c>
      <c r="F42" s="129"/>
    </row>
    <row r="43" spans="1:6" ht="42.75" customHeight="1" x14ac:dyDescent="0.2">
      <c r="A43" s="128">
        <v>5306</v>
      </c>
      <c r="B43" s="88" t="s">
        <v>1017</v>
      </c>
      <c r="C43" s="90" t="s">
        <v>944</v>
      </c>
      <c r="D43" s="118">
        <v>9</v>
      </c>
      <c r="E43" s="94">
        <v>781</v>
      </c>
      <c r="F43" s="129"/>
    </row>
    <row r="44" spans="1:6" ht="42.75" customHeight="1" x14ac:dyDescent="0.2">
      <c r="A44" s="128">
        <v>5307</v>
      </c>
      <c r="B44" s="88" t="s">
        <v>1018</v>
      </c>
      <c r="C44" s="90" t="s">
        <v>944</v>
      </c>
      <c r="D44" s="118">
        <v>5</v>
      </c>
      <c r="E44" s="94">
        <v>434</v>
      </c>
      <c r="F44" s="129"/>
    </row>
    <row r="45" spans="1:6" ht="42.75" customHeight="1" x14ac:dyDescent="0.2">
      <c r="A45" s="128">
        <v>5311</v>
      </c>
      <c r="B45" s="88" t="s">
        <v>1021</v>
      </c>
      <c r="C45" s="90" t="s">
        <v>944</v>
      </c>
      <c r="D45" s="118">
        <v>6</v>
      </c>
      <c r="E45" s="94">
        <v>520</v>
      </c>
      <c r="F45" s="129"/>
    </row>
    <row r="46" spans="1:6" ht="42.75" customHeight="1" x14ac:dyDescent="0.2">
      <c r="A46" s="128">
        <v>5312</v>
      </c>
      <c r="B46" s="88" t="s">
        <v>938</v>
      </c>
      <c r="C46" s="90" t="s">
        <v>944</v>
      </c>
      <c r="D46" s="118">
        <v>9</v>
      </c>
      <c r="E46" s="94">
        <v>781</v>
      </c>
      <c r="F46" s="129"/>
    </row>
    <row r="47" spans="1:6" ht="42.75" customHeight="1" x14ac:dyDescent="0.2">
      <c r="A47" s="128">
        <v>5316</v>
      </c>
      <c r="B47" s="88" t="s">
        <v>1024</v>
      </c>
      <c r="C47" s="90" t="s">
        <v>944</v>
      </c>
      <c r="D47" s="118">
        <v>6</v>
      </c>
      <c r="E47" s="94">
        <v>520</v>
      </c>
      <c r="F47" s="129"/>
    </row>
    <row r="48" spans="1:6" ht="42.75" customHeight="1" x14ac:dyDescent="0.2">
      <c r="A48" s="128">
        <v>5326</v>
      </c>
      <c r="B48" s="88" t="s">
        <v>1032</v>
      </c>
      <c r="C48" s="90" t="s">
        <v>944</v>
      </c>
      <c r="D48" s="118">
        <v>5</v>
      </c>
      <c r="E48" s="94">
        <v>434</v>
      </c>
      <c r="F48" s="129"/>
    </row>
    <row r="49" spans="1:6" ht="42.75" customHeight="1" x14ac:dyDescent="0.2">
      <c r="A49" s="128">
        <v>5328</v>
      </c>
      <c r="B49" s="88" t="s">
        <v>1034</v>
      </c>
      <c r="C49" s="90" t="s">
        <v>944</v>
      </c>
      <c r="D49" s="118">
        <v>9</v>
      </c>
      <c r="E49" s="94">
        <v>781</v>
      </c>
      <c r="F49" s="129"/>
    </row>
    <row r="50" spans="1:6" ht="42.75" customHeight="1" x14ac:dyDescent="0.2">
      <c r="A50" s="128">
        <v>5337</v>
      </c>
      <c r="B50" s="88" t="s">
        <v>1042</v>
      </c>
      <c r="C50" s="90" t="s">
        <v>944</v>
      </c>
      <c r="D50" s="118">
        <v>1</v>
      </c>
      <c r="E50" s="94">
        <v>87</v>
      </c>
      <c r="F50" s="129"/>
    </row>
    <row r="51" spans="1:6" ht="42.75" customHeight="1" x14ac:dyDescent="0.2">
      <c r="A51" s="128">
        <v>5340</v>
      </c>
      <c r="B51" s="88" t="s">
        <v>1043</v>
      </c>
      <c r="C51" s="90" t="s">
        <v>944</v>
      </c>
      <c r="D51" s="118">
        <v>4</v>
      </c>
      <c r="E51" s="94">
        <v>347</v>
      </c>
      <c r="F51" s="129"/>
    </row>
    <row r="52" spans="1:6" ht="42.75" customHeight="1" x14ac:dyDescent="0.2">
      <c r="A52" s="128"/>
      <c r="B52" s="88" t="s">
        <v>913</v>
      </c>
      <c r="C52" s="90" t="s">
        <v>944</v>
      </c>
      <c r="D52" s="95">
        <v>171</v>
      </c>
      <c r="E52" s="92">
        <v>4275</v>
      </c>
      <c r="F52" s="129"/>
    </row>
    <row r="53" spans="1:6" ht="42.75" customHeight="1" x14ac:dyDescent="0.2">
      <c r="A53" s="128">
        <v>346</v>
      </c>
      <c r="B53" s="88" t="s">
        <v>950</v>
      </c>
      <c r="C53" s="90" t="s">
        <v>123</v>
      </c>
      <c r="D53" s="118">
        <v>9</v>
      </c>
      <c r="E53" s="94">
        <v>820</v>
      </c>
      <c r="F53" s="129"/>
    </row>
    <row r="54" spans="1:6" ht="42.75" customHeight="1" x14ac:dyDescent="0.2">
      <c r="A54" s="128">
        <v>348</v>
      </c>
      <c r="B54" s="88" t="s">
        <v>951</v>
      </c>
      <c r="C54" s="90" t="s">
        <v>123</v>
      </c>
      <c r="D54" s="118">
        <v>12</v>
      </c>
      <c r="E54" s="94">
        <v>1285</v>
      </c>
      <c r="F54" s="129"/>
    </row>
    <row r="55" spans="1:6" ht="42.75" customHeight="1" x14ac:dyDescent="0.2">
      <c r="A55" s="128">
        <v>354</v>
      </c>
      <c r="B55" s="88" t="s">
        <v>952</v>
      </c>
      <c r="C55" s="90" t="s">
        <v>123</v>
      </c>
      <c r="D55" s="118">
        <v>7</v>
      </c>
      <c r="E55" s="94">
        <v>638</v>
      </c>
      <c r="F55" s="129"/>
    </row>
    <row r="56" spans="1:6" ht="42.75" customHeight="1" x14ac:dyDescent="0.2">
      <c r="A56" s="128">
        <v>360</v>
      </c>
      <c r="B56" s="88" t="s">
        <v>953</v>
      </c>
      <c r="C56" s="90" t="s">
        <v>123</v>
      </c>
      <c r="D56" s="118">
        <v>9</v>
      </c>
      <c r="E56" s="94">
        <v>964</v>
      </c>
      <c r="F56" s="129"/>
    </row>
    <row r="57" spans="1:6" ht="42.75" customHeight="1" x14ac:dyDescent="0.2">
      <c r="A57" s="128">
        <v>520</v>
      </c>
      <c r="B57" s="88" t="s">
        <v>954</v>
      </c>
      <c r="C57" s="90" t="s">
        <v>123</v>
      </c>
      <c r="D57" s="118">
        <v>9</v>
      </c>
      <c r="E57" s="94">
        <v>820</v>
      </c>
      <c r="F57" s="129"/>
    </row>
    <row r="58" spans="1:6" ht="42.75" customHeight="1" x14ac:dyDescent="0.2">
      <c r="A58" s="128">
        <v>521</v>
      </c>
      <c r="B58" s="88" t="s">
        <v>392</v>
      </c>
      <c r="C58" s="90" t="s">
        <v>123</v>
      </c>
      <c r="D58" s="118">
        <v>9</v>
      </c>
      <c r="E58" s="94">
        <v>820</v>
      </c>
      <c r="F58" s="129"/>
    </row>
    <row r="59" spans="1:6" ht="42.75" customHeight="1" x14ac:dyDescent="0.2">
      <c r="A59" s="128">
        <v>559</v>
      </c>
      <c r="B59" s="88" t="s">
        <v>955</v>
      </c>
      <c r="C59" s="90" t="s">
        <v>123</v>
      </c>
      <c r="D59" s="118">
        <v>7</v>
      </c>
      <c r="E59" s="94">
        <v>638</v>
      </c>
      <c r="F59" s="129"/>
    </row>
    <row r="60" spans="1:6" ht="42.75" customHeight="1" x14ac:dyDescent="0.2">
      <c r="A60" s="128">
        <v>845</v>
      </c>
      <c r="B60" s="88" t="s">
        <v>958</v>
      </c>
      <c r="C60" s="90" t="s">
        <v>123</v>
      </c>
      <c r="D60" s="118">
        <v>9</v>
      </c>
      <c r="E60" s="94">
        <v>820</v>
      </c>
      <c r="F60" s="129"/>
    </row>
    <row r="61" spans="1:6" ht="42.75" customHeight="1" x14ac:dyDescent="0.2">
      <c r="A61" s="128">
        <v>1278</v>
      </c>
      <c r="B61" s="88" t="s">
        <v>962</v>
      </c>
      <c r="C61" s="90" t="s">
        <v>123</v>
      </c>
      <c r="D61" s="118">
        <v>6</v>
      </c>
      <c r="E61" s="94">
        <v>546</v>
      </c>
      <c r="F61" s="129"/>
    </row>
    <row r="62" spans="1:6" ht="42.75" customHeight="1" x14ac:dyDescent="0.2">
      <c r="A62" s="128">
        <v>1593</v>
      </c>
      <c r="B62" s="88" t="s">
        <v>965</v>
      </c>
      <c r="C62" s="90" t="s">
        <v>123</v>
      </c>
      <c r="D62" s="118">
        <v>8</v>
      </c>
      <c r="E62" s="94">
        <v>694</v>
      </c>
      <c r="F62" s="129"/>
    </row>
    <row r="63" spans="1:6" ht="42.75" customHeight="1" x14ac:dyDescent="0.2">
      <c r="A63" s="128">
        <v>1723</v>
      </c>
      <c r="B63" s="88" t="s">
        <v>395</v>
      </c>
      <c r="C63" s="90" t="s">
        <v>123</v>
      </c>
      <c r="D63" s="118">
        <v>15</v>
      </c>
      <c r="E63" s="94">
        <v>1536</v>
      </c>
      <c r="F63" s="129"/>
    </row>
    <row r="64" spans="1:6" ht="42.75" customHeight="1" x14ac:dyDescent="0.2">
      <c r="A64" s="128">
        <v>2664</v>
      </c>
      <c r="B64" s="88" t="s">
        <v>398</v>
      </c>
      <c r="C64" s="90" t="s">
        <v>123</v>
      </c>
      <c r="D64" s="118">
        <v>8</v>
      </c>
      <c r="E64" s="94">
        <v>694</v>
      </c>
      <c r="F64" s="129"/>
    </row>
    <row r="65" spans="1:6" ht="42.75" customHeight="1" x14ac:dyDescent="0.2">
      <c r="A65" s="128">
        <v>2694</v>
      </c>
      <c r="B65" s="88" t="s">
        <v>547</v>
      </c>
      <c r="C65" s="90" t="s">
        <v>123</v>
      </c>
      <c r="D65" s="118">
        <v>8</v>
      </c>
      <c r="E65" s="94">
        <v>694</v>
      </c>
      <c r="F65" s="129"/>
    </row>
    <row r="66" spans="1:6" ht="42.75" customHeight="1" x14ac:dyDescent="0.2">
      <c r="A66" s="128">
        <v>3413</v>
      </c>
      <c r="B66" s="88" t="s">
        <v>978</v>
      </c>
      <c r="C66" s="90" t="s">
        <v>123</v>
      </c>
      <c r="D66" s="118">
        <v>8</v>
      </c>
      <c r="E66" s="94">
        <v>694</v>
      </c>
      <c r="F66" s="129"/>
    </row>
    <row r="67" spans="1:6" ht="42.75" customHeight="1" x14ac:dyDescent="0.2">
      <c r="A67" s="128">
        <v>3426</v>
      </c>
      <c r="B67" s="88" t="s">
        <v>604</v>
      </c>
      <c r="C67" s="90" t="s">
        <v>123</v>
      </c>
      <c r="D67" s="118">
        <v>6</v>
      </c>
      <c r="E67" s="94">
        <v>520</v>
      </c>
      <c r="F67" s="129"/>
    </row>
    <row r="68" spans="1:6" ht="42.75" customHeight="1" x14ac:dyDescent="0.2">
      <c r="A68" s="128">
        <v>3726</v>
      </c>
      <c r="B68" s="88" t="s">
        <v>570</v>
      </c>
      <c r="C68" s="90" t="s">
        <v>123</v>
      </c>
      <c r="D68" s="118">
        <v>9</v>
      </c>
      <c r="E68" s="94">
        <v>781</v>
      </c>
      <c r="F68" s="129"/>
    </row>
    <row r="69" spans="1:6" ht="42.75" customHeight="1" x14ac:dyDescent="0.2">
      <c r="A69" s="128" t="s">
        <v>584</v>
      </c>
      <c r="B69" s="88" t="s">
        <v>585</v>
      </c>
      <c r="C69" s="90" t="s">
        <v>123</v>
      </c>
      <c r="D69" s="95">
        <v>163</v>
      </c>
      <c r="E69" s="92">
        <v>4075</v>
      </c>
      <c r="F69" s="129"/>
    </row>
    <row r="70" spans="1:6" ht="42.75" customHeight="1" x14ac:dyDescent="0.2">
      <c r="A70" s="128">
        <v>3427</v>
      </c>
      <c r="B70" s="88" t="s">
        <v>979</v>
      </c>
      <c r="C70" s="90" t="s">
        <v>847</v>
      </c>
      <c r="D70" s="118">
        <v>9</v>
      </c>
      <c r="E70" s="94">
        <v>781</v>
      </c>
      <c r="F70" s="129"/>
    </row>
    <row r="71" spans="1:6" ht="42.75" customHeight="1" x14ac:dyDescent="0.2">
      <c r="A71" s="128">
        <v>4415</v>
      </c>
      <c r="B71" s="88" t="s">
        <v>723</v>
      </c>
      <c r="C71" s="90" t="s">
        <v>847</v>
      </c>
      <c r="D71" s="118">
        <v>4</v>
      </c>
      <c r="E71" s="94">
        <v>347</v>
      </c>
      <c r="F71" s="129"/>
    </row>
    <row r="72" spans="1:6" ht="42.75" customHeight="1" x14ac:dyDescent="0.2">
      <c r="A72" s="128">
        <v>4550</v>
      </c>
      <c r="B72" s="88" t="s">
        <v>739</v>
      </c>
      <c r="C72" s="90" t="s">
        <v>847</v>
      </c>
      <c r="D72" s="118">
        <v>8</v>
      </c>
      <c r="E72" s="94">
        <v>694</v>
      </c>
      <c r="F72" s="129"/>
    </row>
    <row r="73" spans="1:6" ht="42.75" customHeight="1" x14ac:dyDescent="0.2">
      <c r="A73" s="128">
        <v>5268</v>
      </c>
      <c r="B73" s="88" t="s">
        <v>924</v>
      </c>
      <c r="C73" s="90" t="s">
        <v>847</v>
      </c>
      <c r="D73" s="118">
        <v>7</v>
      </c>
      <c r="E73" s="94">
        <v>607</v>
      </c>
      <c r="F73" s="129"/>
    </row>
    <row r="74" spans="1:6" ht="42.75" customHeight="1" x14ac:dyDescent="0.2">
      <c r="A74" s="128">
        <v>5274</v>
      </c>
      <c r="B74" s="88" t="s">
        <v>928</v>
      </c>
      <c r="C74" s="90" t="s">
        <v>847</v>
      </c>
      <c r="D74" s="118">
        <v>5</v>
      </c>
      <c r="E74" s="94">
        <v>434</v>
      </c>
      <c r="F74" s="129"/>
    </row>
    <row r="75" spans="1:6" ht="42.75" customHeight="1" x14ac:dyDescent="0.2">
      <c r="A75" s="128">
        <v>2580</v>
      </c>
      <c r="B75" s="88" t="s">
        <v>972</v>
      </c>
      <c r="C75" s="90" t="s">
        <v>254</v>
      </c>
      <c r="D75" s="118">
        <v>1</v>
      </c>
      <c r="E75" s="94">
        <v>87</v>
      </c>
      <c r="F75" s="129"/>
    </row>
    <row r="76" spans="1:6" ht="42.75" customHeight="1" x14ac:dyDescent="0.2">
      <c r="A76" s="128">
        <v>2589</v>
      </c>
      <c r="B76" s="88" t="s">
        <v>973</v>
      </c>
      <c r="C76" s="90" t="s">
        <v>254</v>
      </c>
      <c r="D76" s="118">
        <v>4</v>
      </c>
      <c r="E76" s="94">
        <v>347</v>
      </c>
      <c r="F76" s="129"/>
    </row>
    <row r="77" spans="1:6" ht="42.75" customHeight="1" x14ac:dyDescent="0.2">
      <c r="A77" s="128">
        <v>5187</v>
      </c>
      <c r="B77" s="88" t="s">
        <v>992</v>
      </c>
      <c r="C77" s="90" t="s">
        <v>254</v>
      </c>
      <c r="D77" s="118">
        <v>6</v>
      </c>
      <c r="E77" s="94">
        <v>520</v>
      </c>
      <c r="F77" s="129"/>
    </row>
    <row r="78" spans="1:6" ht="42.75" customHeight="1" x14ac:dyDescent="0.2">
      <c r="A78" s="128">
        <v>5225</v>
      </c>
      <c r="B78" s="88" t="s">
        <v>993</v>
      </c>
      <c r="C78" s="90" t="s">
        <v>254</v>
      </c>
      <c r="D78" s="118">
        <v>2</v>
      </c>
      <c r="E78" s="94">
        <v>173</v>
      </c>
      <c r="F78" s="129"/>
    </row>
    <row r="79" spans="1:6" ht="42.75" customHeight="1" x14ac:dyDescent="0.2">
      <c r="A79" s="128">
        <v>5332</v>
      </c>
      <c r="B79" s="88" t="s">
        <v>1038</v>
      </c>
      <c r="C79" s="90" t="s">
        <v>254</v>
      </c>
      <c r="D79" s="118">
        <v>4</v>
      </c>
      <c r="E79" s="94">
        <v>347</v>
      </c>
      <c r="F79" s="129"/>
    </row>
    <row r="80" spans="1:6" ht="42.75" customHeight="1" x14ac:dyDescent="0.2">
      <c r="A80" s="128"/>
      <c r="B80" s="88" t="s">
        <v>1046</v>
      </c>
      <c r="C80" s="90" t="s">
        <v>254</v>
      </c>
      <c r="D80" s="95">
        <v>44</v>
      </c>
      <c r="E80" s="92">
        <v>1100</v>
      </c>
      <c r="F80" s="129"/>
    </row>
    <row r="81" spans="1:6" ht="42.75" customHeight="1" x14ac:dyDescent="0.2">
      <c r="A81" s="128">
        <v>2254</v>
      </c>
      <c r="B81" s="88" t="s">
        <v>968</v>
      </c>
      <c r="C81" s="90" t="s">
        <v>649</v>
      </c>
      <c r="D81" s="118">
        <v>5</v>
      </c>
      <c r="E81" s="94">
        <v>434</v>
      </c>
      <c r="F81" s="129"/>
    </row>
    <row r="82" spans="1:6" ht="42.75" customHeight="1" x14ac:dyDescent="0.2">
      <c r="A82" s="128">
        <v>2436</v>
      </c>
      <c r="B82" s="88" t="s">
        <v>405</v>
      </c>
      <c r="C82" s="90" t="s">
        <v>649</v>
      </c>
      <c r="D82" s="118">
        <v>4</v>
      </c>
      <c r="E82" s="94">
        <v>347</v>
      </c>
      <c r="F82" s="129"/>
    </row>
    <row r="83" spans="1:6" ht="42.75" customHeight="1" x14ac:dyDescent="0.2">
      <c r="A83" s="128">
        <v>2922</v>
      </c>
      <c r="B83" s="88" t="s">
        <v>548</v>
      </c>
      <c r="C83" s="90" t="s">
        <v>649</v>
      </c>
      <c r="D83" s="118">
        <v>4</v>
      </c>
      <c r="E83" s="94">
        <v>387</v>
      </c>
      <c r="F83" s="129"/>
    </row>
    <row r="84" spans="1:6" ht="42.75" customHeight="1" x14ac:dyDescent="0.2">
      <c r="A84" s="128">
        <v>3010</v>
      </c>
      <c r="B84" s="88" t="s">
        <v>549</v>
      </c>
      <c r="C84" s="90" t="s">
        <v>649</v>
      </c>
      <c r="D84" s="118">
        <v>5</v>
      </c>
      <c r="E84" s="94">
        <v>434</v>
      </c>
      <c r="F84" s="129"/>
    </row>
    <row r="85" spans="1:6" ht="42.75" customHeight="1" x14ac:dyDescent="0.2">
      <c r="A85" s="128">
        <v>3075</v>
      </c>
      <c r="B85" s="88" t="s">
        <v>550</v>
      </c>
      <c r="C85" s="90" t="s">
        <v>649</v>
      </c>
      <c r="D85" s="118">
        <v>5</v>
      </c>
      <c r="E85" s="94">
        <v>434</v>
      </c>
      <c r="F85" s="129"/>
    </row>
    <row r="86" spans="1:6" ht="42.75" customHeight="1" x14ac:dyDescent="0.2">
      <c r="A86" s="128">
        <v>3086</v>
      </c>
      <c r="B86" s="88" t="s">
        <v>551</v>
      </c>
      <c r="C86" s="90" t="s">
        <v>649</v>
      </c>
      <c r="D86" s="118">
        <v>5</v>
      </c>
      <c r="E86" s="94">
        <v>434</v>
      </c>
      <c r="F86" s="129"/>
    </row>
    <row r="87" spans="1:6" ht="42.75" customHeight="1" x14ac:dyDescent="0.2">
      <c r="A87" s="128">
        <v>3130</v>
      </c>
      <c r="B87" s="88" t="s">
        <v>553</v>
      </c>
      <c r="C87" s="90" t="s">
        <v>649</v>
      </c>
      <c r="D87" s="118">
        <v>5</v>
      </c>
      <c r="E87" s="94">
        <v>454</v>
      </c>
      <c r="F87" s="129"/>
    </row>
    <row r="88" spans="1:6" ht="42.75" customHeight="1" x14ac:dyDescent="0.2">
      <c r="A88" s="128">
        <v>3133</v>
      </c>
      <c r="B88" s="88" t="s">
        <v>554</v>
      </c>
      <c r="C88" s="90" t="s">
        <v>649</v>
      </c>
      <c r="D88" s="118">
        <v>4</v>
      </c>
      <c r="E88" s="94">
        <v>347</v>
      </c>
      <c r="F88" s="129"/>
    </row>
    <row r="89" spans="1:6" ht="42.75" customHeight="1" x14ac:dyDescent="0.2">
      <c r="A89" s="128">
        <v>3136</v>
      </c>
      <c r="B89" s="88" t="s">
        <v>377</v>
      </c>
      <c r="C89" s="90" t="s">
        <v>649</v>
      </c>
      <c r="D89" s="118">
        <v>3</v>
      </c>
      <c r="E89" s="94">
        <v>260</v>
      </c>
      <c r="F89" s="129"/>
    </row>
    <row r="90" spans="1:6" ht="42.75" customHeight="1" x14ac:dyDescent="0.2">
      <c r="A90" s="128">
        <v>3400</v>
      </c>
      <c r="B90" s="88" t="s">
        <v>977</v>
      </c>
      <c r="C90" s="90" t="s">
        <v>649</v>
      </c>
      <c r="D90" s="118">
        <v>3</v>
      </c>
      <c r="E90" s="94">
        <v>260</v>
      </c>
      <c r="F90" s="129"/>
    </row>
    <row r="91" spans="1:6" ht="42.75" customHeight="1" x14ac:dyDescent="0.2">
      <c r="A91" s="128">
        <v>3627</v>
      </c>
      <c r="B91" s="88" t="s">
        <v>566</v>
      </c>
      <c r="C91" s="90" t="s">
        <v>649</v>
      </c>
      <c r="D91" s="118">
        <v>2</v>
      </c>
      <c r="E91" s="94">
        <v>173</v>
      </c>
      <c r="F91" s="129"/>
    </row>
    <row r="92" spans="1:6" ht="42.75" customHeight="1" x14ac:dyDescent="0.2">
      <c r="A92" s="128">
        <v>4102</v>
      </c>
      <c r="B92" s="88" t="s">
        <v>579</v>
      </c>
      <c r="C92" s="90" t="s">
        <v>649</v>
      </c>
      <c r="D92" s="118">
        <v>5</v>
      </c>
      <c r="E92" s="94">
        <v>434</v>
      </c>
      <c r="F92" s="129"/>
    </row>
    <row r="93" spans="1:6" ht="42.75" customHeight="1" x14ac:dyDescent="0.2">
      <c r="A93" s="128">
        <v>4177</v>
      </c>
      <c r="B93" s="88" t="s">
        <v>582</v>
      </c>
      <c r="C93" s="90" t="s">
        <v>649</v>
      </c>
      <c r="D93" s="118">
        <v>3</v>
      </c>
      <c r="E93" s="94">
        <v>260</v>
      </c>
      <c r="F93" s="129"/>
    </row>
    <row r="94" spans="1:6" ht="42.75" customHeight="1" x14ac:dyDescent="0.2">
      <c r="A94" s="128">
        <v>4202</v>
      </c>
      <c r="B94" s="88" t="s">
        <v>609</v>
      </c>
      <c r="C94" s="90" t="s">
        <v>649</v>
      </c>
      <c r="D94" s="118">
        <v>2</v>
      </c>
      <c r="E94" s="94">
        <v>173</v>
      </c>
      <c r="F94" s="129"/>
    </row>
    <row r="95" spans="1:6" ht="42.75" customHeight="1" x14ac:dyDescent="0.2">
      <c r="A95" s="128">
        <v>4204</v>
      </c>
      <c r="B95" s="88" t="s">
        <v>610</v>
      </c>
      <c r="C95" s="90" t="s">
        <v>649</v>
      </c>
      <c r="D95" s="118">
        <v>4</v>
      </c>
      <c r="E95" s="94">
        <v>347</v>
      </c>
      <c r="F95" s="129"/>
    </row>
    <row r="96" spans="1:6" ht="42.75" customHeight="1" x14ac:dyDescent="0.2">
      <c r="A96" s="128">
        <v>4265</v>
      </c>
      <c r="B96" s="88" t="s">
        <v>675</v>
      </c>
      <c r="C96" s="90" t="s">
        <v>649</v>
      </c>
      <c r="D96" s="118">
        <v>3</v>
      </c>
      <c r="E96" s="94">
        <v>260</v>
      </c>
      <c r="F96" s="129"/>
    </row>
    <row r="97" spans="1:6" ht="42.75" customHeight="1" x14ac:dyDescent="0.2">
      <c r="A97" s="128">
        <v>4506</v>
      </c>
      <c r="B97" s="88" t="s">
        <v>764</v>
      </c>
      <c r="C97" s="90" t="s">
        <v>649</v>
      </c>
      <c r="D97" s="118">
        <v>2</v>
      </c>
      <c r="E97" s="94">
        <v>173</v>
      </c>
      <c r="F97" s="129"/>
    </row>
    <row r="98" spans="1:6" ht="42.75" customHeight="1" x14ac:dyDescent="0.2">
      <c r="A98" s="128">
        <v>4730</v>
      </c>
      <c r="B98" s="88" t="s">
        <v>765</v>
      </c>
      <c r="C98" s="90" t="s">
        <v>649</v>
      </c>
      <c r="D98" s="118">
        <v>5</v>
      </c>
      <c r="E98" s="94">
        <v>434</v>
      </c>
      <c r="F98" s="129"/>
    </row>
    <row r="99" spans="1:6" ht="42.75" customHeight="1" x14ac:dyDescent="0.2">
      <c r="A99" s="128">
        <v>5195</v>
      </c>
      <c r="B99" s="88" t="s">
        <v>831</v>
      </c>
      <c r="C99" s="90" t="s">
        <v>649</v>
      </c>
      <c r="D99" s="118">
        <v>4</v>
      </c>
      <c r="E99" s="94">
        <v>347</v>
      </c>
      <c r="F99" s="129"/>
    </row>
    <row r="100" spans="1:6" ht="42.75" customHeight="1" x14ac:dyDescent="0.2">
      <c r="A100" s="128">
        <v>5198</v>
      </c>
      <c r="B100" s="88" t="s">
        <v>832</v>
      </c>
      <c r="C100" s="90" t="s">
        <v>649</v>
      </c>
      <c r="D100" s="118">
        <v>4</v>
      </c>
      <c r="E100" s="94">
        <v>347</v>
      </c>
      <c r="F100" s="129"/>
    </row>
    <row r="101" spans="1:6" ht="42.75" customHeight="1" x14ac:dyDescent="0.2">
      <c r="A101" s="128">
        <v>5199</v>
      </c>
      <c r="B101" s="88" t="s">
        <v>833</v>
      </c>
      <c r="C101" s="90" t="s">
        <v>649</v>
      </c>
      <c r="D101" s="118">
        <v>4</v>
      </c>
      <c r="E101" s="94">
        <v>347</v>
      </c>
      <c r="F101" s="129"/>
    </row>
    <row r="102" spans="1:6" ht="42.75" customHeight="1" x14ac:dyDescent="0.2">
      <c r="A102" s="128">
        <v>5210</v>
      </c>
      <c r="B102" s="88" t="s">
        <v>836</v>
      </c>
      <c r="C102" s="90" t="s">
        <v>649</v>
      </c>
      <c r="D102" s="118">
        <v>1</v>
      </c>
      <c r="E102" s="94">
        <v>87</v>
      </c>
      <c r="F102" s="129"/>
    </row>
    <row r="103" spans="1:6" ht="42.75" customHeight="1" x14ac:dyDescent="0.2">
      <c r="A103" s="128">
        <v>5237</v>
      </c>
      <c r="B103" s="88" t="s">
        <v>882</v>
      </c>
      <c r="C103" s="90" t="s">
        <v>649</v>
      </c>
      <c r="D103" s="118">
        <v>5</v>
      </c>
      <c r="E103" s="94">
        <v>434</v>
      </c>
      <c r="F103" s="129"/>
    </row>
    <row r="104" spans="1:6" ht="42.75" customHeight="1" x14ac:dyDescent="0.2">
      <c r="A104" s="128">
        <v>5252</v>
      </c>
      <c r="B104" s="88" t="s">
        <v>994</v>
      </c>
      <c r="C104" s="90" t="s">
        <v>649</v>
      </c>
      <c r="D104" s="118">
        <v>1</v>
      </c>
      <c r="E104" s="94">
        <v>87</v>
      </c>
      <c r="F104" s="129"/>
    </row>
    <row r="105" spans="1:6" ht="42.75" customHeight="1" x14ac:dyDescent="0.2">
      <c r="A105" s="128">
        <v>5261</v>
      </c>
      <c r="B105" s="88" t="s">
        <v>918</v>
      </c>
      <c r="C105" s="90" t="s">
        <v>649</v>
      </c>
      <c r="D105" s="118">
        <v>1</v>
      </c>
      <c r="E105" s="94">
        <v>87</v>
      </c>
      <c r="F105" s="129"/>
    </row>
    <row r="106" spans="1:6" ht="42.75" customHeight="1" x14ac:dyDescent="0.2">
      <c r="A106" s="128">
        <v>5262</v>
      </c>
      <c r="B106" s="88" t="s">
        <v>735</v>
      </c>
      <c r="C106" s="90" t="s">
        <v>649</v>
      </c>
      <c r="D106" s="118">
        <v>1</v>
      </c>
      <c r="E106" s="94">
        <v>87</v>
      </c>
      <c r="F106" s="129"/>
    </row>
    <row r="107" spans="1:6" ht="42.75" customHeight="1" x14ac:dyDescent="0.2">
      <c r="A107" s="128" t="s">
        <v>631</v>
      </c>
      <c r="B107" s="88" t="s">
        <v>548</v>
      </c>
      <c r="C107" s="90" t="s">
        <v>649</v>
      </c>
      <c r="D107" s="95">
        <v>90</v>
      </c>
      <c r="E107" s="92">
        <v>2250</v>
      </c>
      <c r="F107" s="129"/>
    </row>
    <row r="108" spans="1:6" ht="42.75" customHeight="1" x14ac:dyDescent="0.2">
      <c r="A108" s="128">
        <v>3486</v>
      </c>
      <c r="B108" s="88" t="s">
        <v>980</v>
      </c>
      <c r="C108" s="90" t="s">
        <v>628</v>
      </c>
      <c r="D108" s="118">
        <v>7</v>
      </c>
      <c r="E108" s="94">
        <v>607</v>
      </c>
      <c r="F108" s="129"/>
    </row>
    <row r="109" spans="1:6" ht="42.75" customHeight="1" x14ac:dyDescent="0.2">
      <c r="A109" s="128">
        <v>3506</v>
      </c>
      <c r="B109" s="88" t="s">
        <v>982</v>
      </c>
      <c r="C109" s="90" t="s">
        <v>628</v>
      </c>
      <c r="D109" s="118">
        <v>1</v>
      </c>
      <c r="E109" s="94">
        <v>87</v>
      </c>
      <c r="F109" s="129"/>
    </row>
    <row r="110" spans="1:6" ht="42.75" customHeight="1" x14ac:dyDescent="0.2">
      <c r="A110" s="128">
        <v>3590</v>
      </c>
      <c r="B110" s="88" t="s">
        <v>425</v>
      </c>
      <c r="C110" s="90" t="s">
        <v>628</v>
      </c>
      <c r="D110" s="118">
        <v>2</v>
      </c>
      <c r="E110" s="94">
        <v>173</v>
      </c>
      <c r="F110" s="129"/>
    </row>
    <row r="111" spans="1:6" ht="42.75" customHeight="1" x14ac:dyDescent="0.2">
      <c r="A111" s="128">
        <v>4061</v>
      </c>
      <c r="B111" s="88" t="s">
        <v>619</v>
      </c>
      <c r="C111" s="90" t="s">
        <v>628</v>
      </c>
      <c r="D111" s="118">
        <v>2</v>
      </c>
      <c r="E111" s="94">
        <v>173</v>
      </c>
      <c r="F111" s="129"/>
    </row>
    <row r="112" spans="1:6" ht="42.75" customHeight="1" x14ac:dyDescent="0.2">
      <c r="A112" s="128">
        <v>4090</v>
      </c>
      <c r="B112" s="88" t="s">
        <v>620</v>
      </c>
      <c r="C112" s="90" t="s">
        <v>628</v>
      </c>
      <c r="D112" s="118">
        <v>11</v>
      </c>
      <c r="E112" s="94">
        <v>954</v>
      </c>
      <c r="F112" s="129"/>
    </row>
    <row r="113" spans="1:6" ht="42.75" customHeight="1" x14ac:dyDescent="0.2">
      <c r="A113" s="128">
        <v>4310</v>
      </c>
      <c r="B113" s="88" t="s">
        <v>624</v>
      </c>
      <c r="C113" s="90" t="s">
        <v>628</v>
      </c>
      <c r="D113" s="118">
        <v>8</v>
      </c>
      <c r="E113" s="94">
        <v>694</v>
      </c>
      <c r="F113" s="129"/>
    </row>
    <row r="114" spans="1:6" ht="42.75" customHeight="1" x14ac:dyDescent="0.2">
      <c r="A114" s="128">
        <v>4333</v>
      </c>
      <c r="B114" s="88" t="s">
        <v>706</v>
      </c>
      <c r="C114" s="90" t="s">
        <v>628</v>
      </c>
      <c r="D114" s="118">
        <v>2</v>
      </c>
      <c r="E114" s="94">
        <v>173</v>
      </c>
      <c r="F114" s="129"/>
    </row>
    <row r="115" spans="1:6" ht="42.75" customHeight="1" x14ac:dyDescent="0.2">
      <c r="A115" s="128">
        <v>4334</v>
      </c>
      <c r="B115" s="88" t="s">
        <v>622</v>
      </c>
      <c r="C115" s="90" t="s">
        <v>628</v>
      </c>
      <c r="D115" s="118">
        <v>7</v>
      </c>
      <c r="E115" s="94">
        <v>607</v>
      </c>
      <c r="F115" s="129"/>
    </row>
    <row r="116" spans="1:6" ht="42.75" customHeight="1" x14ac:dyDescent="0.2">
      <c r="A116" s="128">
        <v>4470</v>
      </c>
      <c r="B116" s="88" t="s">
        <v>989</v>
      </c>
      <c r="C116" s="90" t="s">
        <v>628</v>
      </c>
      <c r="D116" s="118">
        <v>2</v>
      </c>
      <c r="E116" s="94">
        <v>173</v>
      </c>
      <c r="F116" s="129"/>
    </row>
    <row r="117" spans="1:6" ht="42.75" customHeight="1" x14ac:dyDescent="0.2">
      <c r="A117" s="128">
        <v>4509</v>
      </c>
      <c r="B117" s="88" t="s">
        <v>623</v>
      </c>
      <c r="C117" s="90" t="s">
        <v>628</v>
      </c>
      <c r="D117" s="118">
        <v>12</v>
      </c>
      <c r="E117" s="94">
        <v>1041</v>
      </c>
      <c r="F117" s="129"/>
    </row>
    <row r="118" spans="1:6" ht="42.75" customHeight="1" x14ac:dyDescent="0.2">
      <c r="A118" s="128">
        <v>4801</v>
      </c>
      <c r="B118" s="88" t="s">
        <v>990</v>
      </c>
      <c r="C118" s="90" t="s">
        <v>628</v>
      </c>
      <c r="D118" s="118">
        <v>7</v>
      </c>
      <c r="E118" s="94">
        <v>607</v>
      </c>
      <c r="F118" s="129"/>
    </row>
    <row r="119" spans="1:6" ht="42.75" customHeight="1" x14ac:dyDescent="0.2">
      <c r="A119" s="128">
        <v>5121</v>
      </c>
      <c r="B119" s="88" t="s">
        <v>826</v>
      </c>
      <c r="C119" s="90" t="s">
        <v>628</v>
      </c>
      <c r="D119" s="118">
        <v>5</v>
      </c>
      <c r="E119" s="94">
        <v>434</v>
      </c>
      <c r="F119" s="129"/>
    </row>
    <row r="120" spans="1:6" ht="42.75" customHeight="1" x14ac:dyDescent="0.2">
      <c r="A120" s="128">
        <v>5123</v>
      </c>
      <c r="B120" s="88" t="s">
        <v>827</v>
      </c>
      <c r="C120" s="90" t="s">
        <v>628</v>
      </c>
      <c r="D120" s="118">
        <v>1</v>
      </c>
      <c r="E120" s="94">
        <v>87</v>
      </c>
      <c r="F120" s="129"/>
    </row>
    <row r="121" spans="1:6" ht="42.75" customHeight="1" x14ac:dyDescent="0.2">
      <c r="A121" s="128">
        <v>5272</v>
      </c>
      <c r="B121" s="88" t="s">
        <v>639</v>
      </c>
      <c r="C121" s="90" t="s">
        <v>628</v>
      </c>
      <c r="D121" s="118">
        <v>7</v>
      </c>
      <c r="E121" s="94">
        <v>607</v>
      </c>
      <c r="F121" s="129"/>
    </row>
    <row r="122" spans="1:6" ht="42.75" customHeight="1" x14ac:dyDescent="0.2">
      <c r="A122" s="128">
        <v>8022</v>
      </c>
      <c r="B122" s="88" t="s">
        <v>707</v>
      </c>
      <c r="C122" s="90" t="s">
        <v>628</v>
      </c>
      <c r="D122" s="118">
        <v>13</v>
      </c>
      <c r="E122" s="94">
        <v>1128</v>
      </c>
      <c r="F122" s="129"/>
    </row>
    <row r="123" spans="1:6" ht="42.75" customHeight="1" x14ac:dyDescent="0.2">
      <c r="A123" s="128"/>
      <c r="B123" s="88" t="s">
        <v>761</v>
      </c>
      <c r="C123" s="90" t="s">
        <v>476</v>
      </c>
      <c r="D123" s="95">
        <v>112</v>
      </c>
      <c r="E123" s="92">
        <v>3360</v>
      </c>
      <c r="F123" s="129"/>
    </row>
    <row r="124" spans="1:6" ht="42.75" customHeight="1" x14ac:dyDescent="0.2">
      <c r="A124" s="128">
        <v>2943</v>
      </c>
      <c r="B124" s="88" t="s">
        <v>301</v>
      </c>
      <c r="C124" s="90" t="s">
        <v>753</v>
      </c>
      <c r="D124" s="118">
        <v>1</v>
      </c>
      <c r="E124" s="94">
        <v>87</v>
      </c>
      <c r="F124" s="129"/>
    </row>
    <row r="125" spans="1:6" ht="42.75" customHeight="1" x14ac:dyDescent="0.2">
      <c r="A125" s="128">
        <v>2965</v>
      </c>
      <c r="B125" s="88" t="s">
        <v>813</v>
      </c>
      <c r="C125" s="90" t="s">
        <v>753</v>
      </c>
      <c r="D125" s="118">
        <v>8</v>
      </c>
      <c r="E125" s="94">
        <v>694</v>
      </c>
      <c r="F125" s="129"/>
    </row>
    <row r="126" spans="1:6" ht="42.75" customHeight="1" x14ac:dyDescent="0.2">
      <c r="A126" s="128">
        <v>2997</v>
      </c>
      <c r="B126" s="88" t="s">
        <v>719</v>
      </c>
      <c r="C126" s="90" t="s">
        <v>753</v>
      </c>
      <c r="D126" s="118">
        <v>6</v>
      </c>
      <c r="E126" s="94">
        <v>580</v>
      </c>
      <c r="F126" s="129"/>
    </row>
    <row r="127" spans="1:6" ht="42.75" customHeight="1" x14ac:dyDescent="0.2">
      <c r="A127" s="128">
        <v>3001</v>
      </c>
      <c r="B127" s="88" t="s">
        <v>799</v>
      </c>
      <c r="C127" s="90" t="s">
        <v>753</v>
      </c>
      <c r="D127" s="118">
        <v>8</v>
      </c>
      <c r="E127" s="94">
        <v>694</v>
      </c>
      <c r="F127" s="129"/>
    </row>
    <row r="128" spans="1:6" ht="42.75" customHeight="1" x14ac:dyDescent="0.2">
      <c r="A128" s="128">
        <v>3903</v>
      </c>
      <c r="B128" s="88" t="s">
        <v>721</v>
      </c>
      <c r="C128" s="90" t="s">
        <v>753</v>
      </c>
      <c r="D128" s="118">
        <v>1</v>
      </c>
      <c r="E128" s="94">
        <v>87</v>
      </c>
      <c r="F128" s="129"/>
    </row>
    <row r="129" spans="1:6" ht="42.75" customHeight="1" x14ac:dyDescent="0.2">
      <c r="A129" s="128">
        <v>4060</v>
      </c>
      <c r="B129" s="88" t="s">
        <v>986</v>
      </c>
      <c r="C129" s="90" t="s">
        <v>753</v>
      </c>
      <c r="D129" s="118">
        <v>8</v>
      </c>
      <c r="E129" s="94">
        <v>704</v>
      </c>
      <c r="F129" s="129"/>
    </row>
    <row r="130" spans="1:6" ht="42.75" customHeight="1" x14ac:dyDescent="0.2">
      <c r="A130" s="128">
        <v>5076</v>
      </c>
      <c r="B130" s="88" t="s">
        <v>991</v>
      </c>
      <c r="C130" s="90" t="s">
        <v>753</v>
      </c>
      <c r="D130" s="118">
        <v>2</v>
      </c>
      <c r="E130" s="94">
        <v>183</v>
      </c>
      <c r="F130" s="129"/>
    </row>
    <row r="131" spans="1:6" ht="42.75" customHeight="1" x14ac:dyDescent="0.2">
      <c r="A131" s="128">
        <v>5203</v>
      </c>
      <c r="B131" s="88" t="s">
        <v>834</v>
      </c>
      <c r="C131" s="90" t="s">
        <v>753</v>
      </c>
      <c r="D131" s="118">
        <v>7</v>
      </c>
      <c r="E131" s="94">
        <v>607</v>
      </c>
      <c r="F131" s="129"/>
    </row>
    <row r="132" spans="1:6" ht="42.75" customHeight="1" x14ac:dyDescent="0.2">
      <c r="A132" s="128">
        <v>5209</v>
      </c>
      <c r="B132" s="88" t="s">
        <v>835</v>
      </c>
      <c r="C132" s="90" t="s">
        <v>753</v>
      </c>
      <c r="D132" s="118">
        <v>7</v>
      </c>
      <c r="E132" s="94">
        <v>607</v>
      </c>
      <c r="F132" s="129"/>
    </row>
    <row r="133" spans="1:6" ht="42.75" customHeight="1" x14ac:dyDescent="0.2">
      <c r="A133" s="128">
        <v>5222</v>
      </c>
      <c r="B133" s="88" t="s">
        <v>839</v>
      </c>
      <c r="C133" s="90" t="s">
        <v>753</v>
      </c>
      <c r="D133" s="118">
        <v>1</v>
      </c>
      <c r="E133" s="94">
        <v>87</v>
      </c>
      <c r="F133" s="129"/>
    </row>
    <row r="134" spans="1:6" ht="42.75" customHeight="1" x14ac:dyDescent="0.2">
      <c r="A134" s="128">
        <v>5238</v>
      </c>
      <c r="B134" s="88" t="s">
        <v>883</v>
      </c>
      <c r="C134" s="90" t="s">
        <v>753</v>
      </c>
      <c r="D134" s="118">
        <v>6</v>
      </c>
      <c r="E134" s="94">
        <v>520</v>
      </c>
      <c r="F134" s="129"/>
    </row>
    <row r="135" spans="1:6" ht="42.75" customHeight="1" x14ac:dyDescent="0.2">
      <c r="A135" s="128">
        <v>5240</v>
      </c>
      <c r="B135" s="88" t="s">
        <v>885</v>
      </c>
      <c r="C135" s="90" t="s">
        <v>753</v>
      </c>
      <c r="D135" s="118">
        <v>7</v>
      </c>
      <c r="E135" s="94">
        <v>607</v>
      </c>
      <c r="F135" s="129"/>
    </row>
    <row r="136" spans="1:6" ht="42.75" customHeight="1" x14ac:dyDescent="0.2">
      <c r="A136" s="128">
        <v>5241</v>
      </c>
      <c r="B136" s="88" t="s">
        <v>886</v>
      </c>
      <c r="C136" s="90" t="s">
        <v>753</v>
      </c>
      <c r="D136" s="118">
        <v>8</v>
      </c>
      <c r="E136" s="94">
        <v>694</v>
      </c>
      <c r="F136" s="129"/>
    </row>
    <row r="137" spans="1:6" ht="42.75" customHeight="1" x14ac:dyDescent="0.2">
      <c r="A137" s="128">
        <v>5248</v>
      </c>
      <c r="B137" s="88" t="s">
        <v>915</v>
      </c>
      <c r="C137" s="90" t="s">
        <v>753</v>
      </c>
      <c r="D137" s="118">
        <v>2</v>
      </c>
      <c r="E137" s="94">
        <v>173</v>
      </c>
      <c r="F137" s="129"/>
    </row>
    <row r="138" spans="1:6" ht="42.75" customHeight="1" x14ac:dyDescent="0.2">
      <c r="A138" s="128">
        <v>5253</v>
      </c>
      <c r="B138" s="88" t="s">
        <v>902</v>
      </c>
      <c r="C138" s="90" t="s">
        <v>753</v>
      </c>
      <c r="D138" s="118">
        <v>8</v>
      </c>
      <c r="E138" s="94">
        <v>694</v>
      </c>
      <c r="F138" s="129"/>
    </row>
    <row r="139" spans="1:6" ht="42.75" customHeight="1" x14ac:dyDescent="0.2">
      <c r="A139" s="128">
        <v>5255</v>
      </c>
      <c r="B139" s="88" t="s">
        <v>904</v>
      </c>
      <c r="C139" s="90" t="s">
        <v>753</v>
      </c>
      <c r="D139" s="118">
        <v>1</v>
      </c>
      <c r="E139" s="94">
        <v>87</v>
      </c>
      <c r="F139" s="129"/>
    </row>
    <row r="140" spans="1:6" ht="42.75" customHeight="1" x14ac:dyDescent="0.2">
      <c r="A140" s="128">
        <v>5267</v>
      </c>
      <c r="B140" s="88" t="s">
        <v>923</v>
      </c>
      <c r="C140" s="90" t="s">
        <v>753</v>
      </c>
      <c r="D140" s="118">
        <v>6</v>
      </c>
      <c r="E140" s="94">
        <v>520</v>
      </c>
      <c r="F140" s="129"/>
    </row>
    <row r="141" spans="1:6" ht="42.75" customHeight="1" x14ac:dyDescent="0.2">
      <c r="A141" s="128">
        <v>5293</v>
      </c>
      <c r="B141" s="88" t="s">
        <v>1004</v>
      </c>
      <c r="C141" s="90" t="s">
        <v>753</v>
      </c>
      <c r="D141" s="118">
        <v>6</v>
      </c>
      <c r="E141" s="94">
        <v>520</v>
      </c>
      <c r="F141" s="129"/>
    </row>
    <row r="142" spans="1:6" ht="42.75" customHeight="1" x14ac:dyDescent="0.2">
      <c r="A142" s="128">
        <v>5300</v>
      </c>
      <c r="B142" s="88" t="s">
        <v>1011</v>
      </c>
      <c r="C142" s="90" t="s">
        <v>753</v>
      </c>
      <c r="D142" s="118">
        <v>5</v>
      </c>
      <c r="E142" s="94">
        <v>434</v>
      </c>
      <c r="F142" s="129"/>
    </row>
    <row r="143" spans="1:6" ht="42.75" customHeight="1" x14ac:dyDescent="0.2">
      <c r="A143" s="128">
        <v>5327</v>
      </c>
      <c r="B143" s="88" t="s">
        <v>1033</v>
      </c>
      <c r="C143" s="90" t="s">
        <v>753</v>
      </c>
      <c r="D143" s="118">
        <v>4</v>
      </c>
      <c r="E143" s="94">
        <v>347</v>
      </c>
      <c r="F143" s="129"/>
    </row>
    <row r="144" spans="1:6" ht="42.75" customHeight="1" x14ac:dyDescent="0.2">
      <c r="A144" s="128">
        <v>5330</v>
      </c>
      <c r="B144" s="88" t="s">
        <v>1036</v>
      </c>
      <c r="C144" s="90" t="s">
        <v>753</v>
      </c>
      <c r="D144" s="118">
        <v>2</v>
      </c>
      <c r="E144" s="94">
        <v>183</v>
      </c>
      <c r="F144" s="129"/>
    </row>
    <row r="145" spans="1:6" ht="42.75" customHeight="1" x14ac:dyDescent="0.2">
      <c r="A145" s="128">
        <v>5331</v>
      </c>
      <c r="B145" s="88" t="s">
        <v>1037</v>
      </c>
      <c r="C145" s="90" t="s">
        <v>753</v>
      </c>
      <c r="D145" s="118">
        <v>3</v>
      </c>
      <c r="E145" s="94">
        <v>260</v>
      </c>
      <c r="F145" s="129"/>
    </row>
    <row r="146" spans="1:6" ht="42.75" customHeight="1" x14ac:dyDescent="0.2">
      <c r="A146" s="128">
        <v>5334</v>
      </c>
      <c r="B146" s="88" t="s">
        <v>1039</v>
      </c>
      <c r="C146" s="90" t="s">
        <v>753</v>
      </c>
      <c r="D146" s="118">
        <v>1</v>
      </c>
      <c r="E146" s="94">
        <v>87</v>
      </c>
      <c r="F146" s="129"/>
    </row>
    <row r="147" spans="1:6" ht="42.75" customHeight="1" x14ac:dyDescent="0.2">
      <c r="A147" s="128">
        <v>5335</v>
      </c>
      <c r="B147" s="88" t="s">
        <v>1040</v>
      </c>
      <c r="C147" s="90" t="s">
        <v>753</v>
      </c>
      <c r="D147" s="118">
        <v>2</v>
      </c>
      <c r="E147" s="94">
        <v>173</v>
      </c>
      <c r="F147" s="129"/>
    </row>
    <row r="148" spans="1:6" ht="42.75" customHeight="1" x14ac:dyDescent="0.2">
      <c r="A148" s="128">
        <v>5336</v>
      </c>
      <c r="B148" s="88" t="s">
        <v>1041</v>
      </c>
      <c r="C148" s="90" t="s">
        <v>753</v>
      </c>
      <c r="D148" s="118">
        <v>2</v>
      </c>
      <c r="E148" s="94">
        <v>173</v>
      </c>
      <c r="F148" s="129"/>
    </row>
    <row r="149" spans="1:6" ht="42.75" customHeight="1" x14ac:dyDescent="0.2">
      <c r="A149" s="128" t="s">
        <v>629</v>
      </c>
      <c r="B149" s="88" t="s">
        <v>630</v>
      </c>
      <c r="C149" s="90" t="s">
        <v>1047</v>
      </c>
      <c r="D149" s="95">
        <v>168</v>
      </c>
      <c r="E149" s="92">
        <v>4200</v>
      </c>
      <c r="F149" s="129"/>
    </row>
    <row r="150" spans="1:6" ht="42.75" customHeight="1" x14ac:dyDescent="0.2">
      <c r="A150" s="128">
        <v>526</v>
      </c>
      <c r="B150" s="88" t="s">
        <v>874</v>
      </c>
      <c r="C150" s="90" t="s">
        <v>646</v>
      </c>
      <c r="D150" s="118">
        <v>8</v>
      </c>
      <c r="E150" s="94">
        <v>694</v>
      </c>
      <c r="F150" s="129"/>
    </row>
    <row r="151" spans="1:6" ht="42.75" customHeight="1" x14ac:dyDescent="0.2">
      <c r="A151" s="128">
        <v>529</v>
      </c>
      <c r="B151" s="88" t="s">
        <v>702</v>
      </c>
      <c r="C151" s="90" t="s">
        <v>646</v>
      </c>
      <c r="D151" s="118">
        <v>8</v>
      </c>
      <c r="E151" s="94">
        <v>694</v>
      </c>
      <c r="F151" s="129"/>
    </row>
    <row r="152" spans="1:6" ht="42.75" customHeight="1" x14ac:dyDescent="0.2">
      <c r="A152" s="128">
        <v>649</v>
      </c>
      <c r="B152" s="88" t="s">
        <v>715</v>
      </c>
      <c r="C152" s="90" t="s">
        <v>646</v>
      </c>
      <c r="D152" s="118">
        <v>8</v>
      </c>
      <c r="E152" s="94">
        <v>694</v>
      </c>
      <c r="F152" s="129"/>
    </row>
    <row r="153" spans="1:6" ht="42.75" customHeight="1" x14ac:dyDescent="0.2">
      <c r="A153" s="128">
        <v>1377</v>
      </c>
      <c r="B153" s="88" t="s">
        <v>683</v>
      </c>
      <c r="C153" s="90" t="s">
        <v>646</v>
      </c>
      <c r="D153" s="118">
        <v>11</v>
      </c>
      <c r="E153" s="94">
        <v>954</v>
      </c>
      <c r="F153" s="129"/>
    </row>
    <row r="154" spans="1:6" ht="42.75" customHeight="1" x14ac:dyDescent="0.2">
      <c r="A154" s="128">
        <v>1380</v>
      </c>
      <c r="B154" s="88" t="s">
        <v>632</v>
      </c>
      <c r="C154" s="90" t="s">
        <v>646</v>
      </c>
      <c r="D154" s="118">
        <v>12</v>
      </c>
      <c r="E154" s="94">
        <v>1213</v>
      </c>
      <c r="F154" s="129"/>
    </row>
    <row r="155" spans="1:6" ht="42.75" customHeight="1" x14ac:dyDescent="0.2">
      <c r="A155" s="128">
        <v>1384</v>
      </c>
      <c r="B155" s="88" t="s">
        <v>633</v>
      </c>
      <c r="C155" s="90" t="s">
        <v>646</v>
      </c>
      <c r="D155" s="118">
        <v>11</v>
      </c>
      <c r="E155" s="94">
        <v>954</v>
      </c>
      <c r="F155" s="129"/>
    </row>
    <row r="156" spans="1:6" ht="42.75" customHeight="1" x14ac:dyDescent="0.2">
      <c r="A156" s="128">
        <v>1387</v>
      </c>
      <c r="B156" s="88" t="s">
        <v>634</v>
      </c>
      <c r="C156" s="90" t="s">
        <v>646</v>
      </c>
      <c r="D156" s="118">
        <v>11</v>
      </c>
      <c r="E156" s="94">
        <v>1002</v>
      </c>
      <c r="F156" s="129"/>
    </row>
    <row r="157" spans="1:6" ht="42.75" customHeight="1" x14ac:dyDescent="0.2">
      <c r="A157" s="128">
        <v>1392</v>
      </c>
      <c r="B157" s="88" t="s">
        <v>963</v>
      </c>
      <c r="C157" s="90" t="s">
        <v>646</v>
      </c>
      <c r="D157" s="118">
        <v>11</v>
      </c>
      <c r="E157" s="94">
        <v>1002</v>
      </c>
      <c r="F157" s="129"/>
    </row>
    <row r="158" spans="1:6" ht="42.75" customHeight="1" x14ac:dyDescent="0.2">
      <c r="A158" s="128">
        <v>1415</v>
      </c>
      <c r="B158" s="88" t="s">
        <v>964</v>
      </c>
      <c r="C158" s="90" t="s">
        <v>646</v>
      </c>
      <c r="D158" s="118">
        <v>9</v>
      </c>
      <c r="E158" s="94">
        <v>820</v>
      </c>
      <c r="F158" s="129"/>
    </row>
    <row r="159" spans="1:6" ht="42.75" customHeight="1" x14ac:dyDescent="0.2">
      <c r="A159" s="128">
        <v>1504</v>
      </c>
      <c r="B159" s="88" t="s">
        <v>635</v>
      </c>
      <c r="C159" s="90" t="s">
        <v>646</v>
      </c>
      <c r="D159" s="118">
        <v>7</v>
      </c>
      <c r="E159" s="94">
        <v>638</v>
      </c>
      <c r="F159" s="129"/>
    </row>
    <row r="160" spans="1:6" ht="42.75" customHeight="1" x14ac:dyDescent="0.2">
      <c r="A160" s="128">
        <v>1505</v>
      </c>
      <c r="B160" s="88" t="s">
        <v>383</v>
      </c>
      <c r="C160" s="90" t="s">
        <v>646</v>
      </c>
      <c r="D160" s="118">
        <v>12</v>
      </c>
      <c r="E160" s="94">
        <v>1041</v>
      </c>
      <c r="F160" s="129"/>
    </row>
    <row r="161" spans="1:6" ht="42.75" customHeight="1" x14ac:dyDescent="0.2">
      <c r="A161" s="128">
        <v>2161</v>
      </c>
      <c r="B161" s="88" t="s">
        <v>636</v>
      </c>
      <c r="C161" s="90" t="s">
        <v>646</v>
      </c>
      <c r="D161" s="118">
        <v>12</v>
      </c>
      <c r="E161" s="94">
        <v>1041</v>
      </c>
      <c r="F161" s="129"/>
    </row>
    <row r="162" spans="1:6" ht="42.75" customHeight="1" x14ac:dyDescent="0.2">
      <c r="A162" s="128">
        <v>2514</v>
      </c>
      <c r="B162" s="88" t="s">
        <v>644</v>
      </c>
      <c r="C162" s="90" t="s">
        <v>646</v>
      </c>
      <c r="D162" s="118">
        <v>12</v>
      </c>
      <c r="E162" s="94">
        <v>1041</v>
      </c>
      <c r="F162" s="129"/>
    </row>
    <row r="163" spans="1:6" ht="42.75" customHeight="1" x14ac:dyDescent="0.2">
      <c r="A163" s="128">
        <v>2577</v>
      </c>
      <c r="B163" s="88" t="s">
        <v>637</v>
      </c>
      <c r="C163" s="90" t="s">
        <v>646</v>
      </c>
      <c r="D163" s="118">
        <v>12</v>
      </c>
      <c r="E163" s="94">
        <v>1041</v>
      </c>
      <c r="F163" s="129"/>
    </row>
    <row r="164" spans="1:6" ht="42.75" customHeight="1" x14ac:dyDescent="0.2">
      <c r="A164" s="128">
        <v>3529</v>
      </c>
      <c r="B164" s="88" t="s">
        <v>638</v>
      </c>
      <c r="C164" s="90" t="s">
        <v>646</v>
      </c>
      <c r="D164" s="118">
        <v>11</v>
      </c>
      <c r="E164" s="94">
        <v>954</v>
      </c>
      <c r="F164" s="129"/>
    </row>
    <row r="165" spans="1:6" ht="42.75" customHeight="1" x14ac:dyDescent="0.2">
      <c r="A165" s="128">
        <v>3534</v>
      </c>
      <c r="B165" s="88" t="s">
        <v>563</v>
      </c>
      <c r="C165" s="90" t="s">
        <v>646</v>
      </c>
      <c r="D165" s="118">
        <v>6</v>
      </c>
      <c r="E165" s="94">
        <v>520</v>
      </c>
      <c r="F165" s="129"/>
    </row>
    <row r="166" spans="1:6" ht="42.75" customHeight="1" x14ac:dyDescent="0.2">
      <c r="A166" s="128">
        <v>3725</v>
      </c>
      <c r="B166" s="88" t="s">
        <v>569</v>
      </c>
      <c r="C166" s="90" t="s">
        <v>646</v>
      </c>
      <c r="D166" s="118">
        <v>10</v>
      </c>
      <c r="E166" s="94">
        <v>867</v>
      </c>
      <c r="F166" s="129"/>
    </row>
    <row r="167" spans="1:6" ht="42.75" customHeight="1" x14ac:dyDescent="0.2">
      <c r="A167" s="128">
        <v>3825</v>
      </c>
      <c r="B167" s="88" t="s">
        <v>574</v>
      </c>
      <c r="C167" s="90" t="s">
        <v>646</v>
      </c>
      <c r="D167" s="118">
        <v>10</v>
      </c>
      <c r="E167" s="94">
        <v>867</v>
      </c>
      <c r="F167" s="129"/>
    </row>
    <row r="168" spans="1:6" ht="42.75" customHeight="1" x14ac:dyDescent="0.2">
      <c r="A168" s="128">
        <v>4175</v>
      </c>
      <c r="B168" s="88" t="s">
        <v>987</v>
      </c>
      <c r="C168" s="90" t="s">
        <v>646</v>
      </c>
      <c r="D168" s="118">
        <v>9</v>
      </c>
      <c r="E168" s="94">
        <v>781</v>
      </c>
      <c r="F168" s="129"/>
    </row>
    <row r="169" spans="1:6" ht="42.75" customHeight="1" x14ac:dyDescent="0.2">
      <c r="A169" s="128">
        <v>4405</v>
      </c>
      <c r="B169" s="88" t="s">
        <v>688</v>
      </c>
      <c r="C169" s="90" t="s">
        <v>646</v>
      </c>
      <c r="D169" s="118">
        <v>8</v>
      </c>
      <c r="E169" s="94">
        <v>694</v>
      </c>
      <c r="F169" s="129"/>
    </row>
    <row r="170" spans="1:6" ht="42.75" customHeight="1" x14ac:dyDescent="0.2">
      <c r="A170" s="128">
        <v>5244</v>
      </c>
      <c r="B170" s="88" t="s">
        <v>888</v>
      </c>
      <c r="C170" s="90" t="s">
        <v>646</v>
      </c>
      <c r="D170" s="118">
        <v>12</v>
      </c>
      <c r="E170" s="94">
        <v>1041</v>
      </c>
      <c r="F170" s="129"/>
    </row>
    <row r="171" spans="1:6" ht="42.75" customHeight="1" x14ac:dyDescent="0.2">
      <c r="A171" s="128">
        <v>5257</v>
      </c>
      <c r="B171" s="88" t="s">
        <v>907</v>
      </c>
      <c r="C171" s="90" t="s">
        <v>646</v>
      </c>
      <c r="D171" s="118">
        <v>7</v>
      </c>
      <c r="E171" s="94">
        <v>607</v>
      </c>
      <c r="F171" s="129"/>
    </row>
    <row r="172" spans="1:6" ht="42.75" customHeight="1" x14ac:dyDescent="0.2">
      <c r="A172" s="128">
        <v>5259</v>
      </c>
      <c r="B172" s="88" t="s">
        <v>908</v>
      </c>
      <c r="C172" s="90" t="s">
        <v>646</v>
      </c>
      <c r="D172" s="118">
        <v>11</v>
      </c>
      <c r="E172" s="94">
        <v>954</v>
      </c>
      <c r="F172" s="129"/>
    </row>
    <row r="173" spans="1:6" ht="42.75" customHeight="1" x14ac:dyDescent="0.2">
      <c r="A173" s="128">
        <v>5263</v>
      </c>
      <c r="B173" s="88" t="s">
        <v>919</v>
      </c>
      <c r="C173" s="90" t="s">
        <v>646</v>
      </c>
      <c r="D173" s="118">
        <v>11</v>
      </c>
      <c r="E173" s="94">
        <v>954</v>
      </c>
      <c r="F173" s="129"/>
    </row>
    <row r="174" spans="1:6" ht="42.75" customHeight="1" x14ac:dyDescent="0.2">
      <c r="A174" s="128">
        <v>5264</v>
      </c>
      <c r="B174" s="88" t="s">
        <v>920</v>
      </c>
      <c r="C174" s="90" t="s">
        <v>646</v>
      </c>
      <c r="D174" s="118">
        <v>10</v>
      </c>
      <c r="E174" s="94">
        <v>867</v>
      </c>
      <c r="F174" s="129"/>
    </row>
    <row r="175" spans="1:6" ht="42.75" customHeight="1" x14ac:dyDescent="0.2">
      <c r="A175" s="128">
        <v>5269</v>
      </c>
      <c r="B175" s="88" t="s">
        <v>925</v>
      </c>
      <c r="C175" s="90" t="s">
        <v>646</v>
      </c>
      <c r="D175" s="118">
        <v>12</v>
      </c>
      <c r="E175" s="94">
        <v>1041</v>
      </c>
      <c r="F175" s="129"/>
    </row>
    <row r="176" spans="1:6" ht="42.75" customHeight="1" x14ac:dyDescent="0.2">
      <c r="A176" s="128">
        <v>5273</v>
      </c>
      <c r="B176" s="88" t="s">
        <v>927</v>
      </c>
      <c r="C176" s="90" t="s">
        <v>646</v>
      </c>
      <c r="D176" s="118">
        <v>12</v>
      </c>
      <c r="E176" s="94">
        <v>1041</v>
      </c>
      <c r="F176" s="129"/>
    </row>
    <row r="177" spans="1:6" ht="42.75" customHeight="1" x14ac:dyDescent="0.2">
      <c r="A177" s="128">
        <v>5278</v>
      </c>
      <c r="B177" s="88" t="s">
        <v>932</v>
      </c>
      <c r="C177" s="90" t="s">
        <v>646</v>
      </c>
      <c r="D177" s="118">
        <v>11</v>
      </c>
      <c r="E177" s="94">
        <v>954</v>
      </c>
      <c r="F177" s="129"/>
    </row>
    <row r="178" spans="1:6" ht="42.75" customHeight="1" x14ac:dyDescent="0.2">
      <c r="A178" s="128">
        <v>5279</v>
      </c>
      <c r="B178" s="88" t="s">
        <v>933</v>
      </c>
      <c r="C178" s="90" t="s">
        <v>646</v>
      </c>
      <c r="D178" s="118">
        <v>11</v>
      </c>
      <c r="E178" s="94">
        <v>954</v>
      </c>
      <c r="F178" s="129"/>
    </row>
    <row r="179" spans="1:6" ht="42.75" customHeight="1" x14ac:dyDescent="0.2">
      <c r="A179" s="128">
        <v>5284</v>
      </c>
      <c r="B179" s="88" t="s">
        <v>996</v>
      </c>
      <c r="C179" s="90" t="s">
        <v>646</v>
      </c>
      <c r="D179" s="118">
        <v>12</v>
      </c>
      <c r="E179" s="94">
        <v>1041</v>
      </c>
      <c r="F179" s="129"/>
    </row>
    <row r="180" spans="1:6" ht="42.75" customHeight="1" x14ac:dyDescent="0.2">
      <c r="A180" s="128">
        <v>5285</v>
      </c>
      <c r="B180" s="88" t="s">
        <v>997</v>
      </c>
      <c r="C180" s="90" t="s">
        <v>646</v>
      </c>
      <c r="D180" s="118">
        <v>11</v>
      </c>
      <c r="E180" s="94">
        <v>954</v>
      </c>
      <c r="F180" s="129"/>
    </row>
    <row r="181" spans="1:6" ht="42.75" customHeight="1" x14ac:dyDescent="0.2">
      <c r="A181" s="128">
        <v>5292</v>
      </c>
      <c r="B181" s="88" t="s">
        <v>1003</v>
      </c>
      <c r="C181" s="90" t="s">
        <v>646</v>
      </c>
      <c r="D181" s="118">
        <v>8</v>
      </c>
      <c r="E181" s="94">
        <v>694</v>
      </c>
      <c r="F181" s="129"/>
    </row>
    <row r="182" spans="1:6" ht="42.75" customHeight="1" x14ac:dyDescent="0.2">
      <c r="A182" s="128">
        <v>7012</v>
      </c>
      <c r="B182" s="88" t="s">
        <v>724</v>
      </c>
      <c r="C182" s="90" t="s">
        <v>646</v>
      </c>
      <c r="D182" s="118">
        <v>10</v>
      </c>
      <c r="E182" s="94">
        <v>867</v>
      </c>
      <c r="F182" s="129"/>
    </row>
    <row r="183" spans="1:6" ht="42.75" customHeight="1" x14ac:dyDescent="0.2">
      <c r="A183" s="128" t="s">
        <v>586</v>
      </c>
      <c r="B183" s="88" t="s">
        <v>587</v>
      </c>
      <c r="C183" s="90" t="s">
        <v>646</v>
      </c>
      <c r="D183" s="95">
        <v>336</v>
      </c>
      <c r="E183" s="92">
        <v>8400</v>
      </c>
      <c r="F183" s="129"/>
    </row>
    <row r="184" spans="1:6" ht="42.75" customHeight="1" x14ac:dyDescent="0.2">
      <c r="A184" s="128">
        <v>851</v>
      </c>
      <c r="B184" s="88" t="s">
        <v>403</v>
      </c>
      <c r="C184" s="90" t="s">
        <v>49</v>
      </c>
      <c r="D184" s="118">
        <v>9</v>
      </c>
      <c r="E184" s="94">
        <v>910</v>
      </c>
      <c r="F184" s="129"/>
    </row>
    <row r="185" spans="1:6" ht="42.75" customHeight="1" x14ac:dyDescent="0.2">
      <c r="A185" s="128">
        <v>1134</v>
      </c>
      <c r="B185" s="88" t="s">
        <v>959</v>
      </c>
      <c r="C185" s="90" t="s">
        <v>49</v>
      </c>
      <c r="D185" s="118">
        <v>7</v>
      </c>
      <c r="E185" s="94">
        <v>607</v>
      </c>
      <c r="F185" s="129"/>
    </row>
    <row r="186" spans="1:6" ht="42.75" customHeight="1" x14ac:dyDescent="0.2">
      <c r="A186" s="128">
        <v>3246</v>
      </c>
      <c r="B186" s="88" t="s">
        <v>555</v>
      </c>
      <c r="C186" s="90" t="s">
        <v>49</v>
      </c>
      <c r="D186" s="118">
        <v>6</v>
      </c>
      <c r="E186" s="94">
        <v>520</v>
      </c>
      <c r="F186" s="129"/>
    </row>
    <row r="187" spans="1:6" ht="42.75" customHeight="1" x14ac:dyDescent="0.2">
      <c r="A187" s="128">
        <v>3439</v>
      </c>
      <c r="B187" s="88" t="s">
        <v>875</v>
      </c>
      <c r="C187" s="90" t="s">
        <v>49</v>
      </c>
      <c r="D187" s="118">
        <v>7</v>
      </c>
      <c r="E187" s="94">
        <v>607</v>
      </c>
      <c r="F187" s="129"/>
    </row>
    <row r="188" spans="1:6" ht="42.75" customHeight="1" x14ac:dyDescent="0.2">
      <c r="A188" s="128">
        <v>3440</v>
      </c>
      <c r="B188" s="88" t="s">
        <v>561</v>
      </c>
      <c r="C188" s="90" t="s">
        <v>49</v>
      </c>
      <c r="D188" s="118">
        <v>8</v>
      </c>
      <c r="E188" s="94">
        <v>694</v>
      </c>
      <c r="F188" s="129"/>
    </row>
    <row r="189" spans="1:6" ht="42.75" customHeight="1" x14ac:dyDescent="0.2">
      <c r="A189" s="128">
        <v>3442</v>
      </c>
      <c r="B189" s="88" t="s">
        <v>876</v>
      </c>
      <c r="C189" s="90" t="s">
        <v>49</v>
      </c>
      <c r="D189" s="118">
        <v>5</v>
      </c>
      <c r="E189" s="94">
        <v>434</v>
      </c>
      <c r="F189" s="129"/>
    </row>
    <row r="190" spans="1:6" ht="42.75" customHeight="1" x14ac:dyDescent="0.2">
      <c r="A190" s="128">
        <v>3461</v>
      </c>
      <c r="B190" s="88" t="s">
        <v>878</v>
      </c>
      <c r="C190" s="90" t="s">
        <v>49</v>
      </c>
      <c r="D190" s="118">
        <v>8</v>
      </c>
      <c r="E190" s="94">
        <v>694</v>
      </c>
      <c r="F190" s="129"/>
    </row>
    <row r="191" spans="1:6" ht="42.75" customHeight="1" x14ac:dyDescent="0.2">
      <c r="A191" s="128">
        <v>3751</v>
      </c>
      <c r="B191" s="88" t="s">
        <v>571</v>
      </c>
      <c r="C191" s="90" t="s">
        <v>49</v>
      </c>
      <c r="D191" s="118">
        <v>9</v>
      </c>
      <c r="E191" s="94">
        <v>781</v>
      </c>
      <c r="F191" s="129"/>
    </row>
    <row r="192" spans="1:6" ht="42.75" customHeight="1" x14ac:dyDescent="0.2">
      <c r="A192" s="128">
        <v>3760</v>
      </c>
      <c r="B192" s="88" t="s">
        <v>465</v>
      </c>
      <c r="C192" s="90" t="s">
        <v>49</v>
      </c>
      <c r="D192" s="118">
        <v>8</v>
      </c>
      <c r="E192" s="94">
        <v>694</v>
      </c>
      <c r="F192" s="129"/>
    </row>
    <row r="193" spans="1:6" ht="42.75" customHeight="1" x14ac:dyDescent="0.2">
      <c r="A193" s="128">
        <v>3814</v>
      </c>
      <c r="B193" s="88" t="s">
        <v>985</v>
      </c>
      <c r="C193" s="90" t="s">
        <v>49</v>
      </c>
      <c r="D193" s="118">
        <v>6</v>
      </c>
      <c r="E193" s="94">
        <v>520</v>
      </c>
      <c r="F193" s="129"/>
    </row>
    <row r="194" spans="1:6" ht="42.75" customHeight="1" x14ac:dyDescent="0.2">
      <c r="A194" s="128">
        <v>4782</v>
      </c>
      <c r="B194" s="88" t="s">
        <v>698</v>
      </c>
      <c r="C194" s="90" t="s">
        <v>49</v>
      </c>
      <c r="D194" s="118">
        <v>6</v>
      </c>
      <c r="E194" s="94">
        <v>520</v>
      </c>
      <c r="F194" s="129"/>
    </row>
    <row r="195" spans="1:6" ht="42.75" customHeight="1" x14ac:dyDescent="0.2">
      <c r="A195" s="128">
        <v>5229</v>
      </c>
      <c r="B195" s="88" t="s">
        <v>879</v>
      </c>
      <c r="C195" s="90" t="s">
        <v>49</v>
      </c>
      <c r="D195" s="118">
        <v>6</v>
      </c>
      <c r="E195" s="94">
        <v>520</v>
      </c>
      <c r="F195" s="129"/>
    </row>
    <row r="196" spans="1:6" ht="42.75" customHeight="1" x14ac:dyDescent="0.2">
      <c r="A196" s="128">
        <v>5243</v>
      </c>
      <c r="B196" s="88" t="s">
        <v>887</v>
      </c>
      <c r="C196" s="90" t="s">
        <v>49</v>
      </c>
      <c r="D196" s="118">
        <v>7</v>
      </c>
      <c r="E196" s="94">
        <v>607</v>
      </c>
      <c r="F196" s="129"/>
    </row>
    <row r="197" spans="1:6" ht="42.75" customHeight="1" x14ac:dyDescent="0.2">
      <c r="A197" s="128">
        <v>5246</v>
      </c>
      <c r="B197" s="88" t="s">
        <v>890</v>
      </c>
      <c r="C197" s="90" t="s">
        <v>49</v>
      </c>
      <c r="D197" s="118">
        <v>9</v>
      </c>
      <c r="E197" s="94">
        <v>871</v>
      </c>
      <c r="F197" s="129"/>
    </row>
    <row r="198" spans="1:6" ht="42.75" customHeight="1" x14ac:dyDescent="0.2">
      <c r="A198" s="128">
        <v>7004</v>
      </c>
      <c r="B198" s="88" t="s">
        <v>713</v>
      </c>
      <c r="C198" s="90" t="s">
        <v>49</v>
      </c>
      <c r="D198" s="118">
        <v>9</v>
      </c>
      <c r="E198" s="94">
        <v>781</v>
      </c>
      <c r="F198" s="129"/>
    </row>
    <row r="199" spans="1:6" ht="42.75" customHeight="1" x14ac:dyDescent="0.2">
      <c r="A199" s="128">
        <v>9034</v>
      </c>
      <c r="B199" s="88" t="s">
        <v>736</v>
      </c>
      <c r="C199" s="90" t="s">
        <v>49</v>
      </c>
      <c r="D199" s="118">
        <v>9</v>
      </c>
      <c r="E199" s="94">
        <v>781</v>
      </c>
      <c r="F199" s="129"/>
    </row>
    <row r="200" spans="1:6" ht="42.75" customHeight="1" x14ac:dyDescent="0.2">
      <c r="A200" s="128" t="s">
        <v>588</v>
      </c>
      <c r="B200" s="88" t="s">
        <v>589</v>
      </c>
      <c r="C200" s="90" t="s">
        <v>49</v>
      </c>
      <c r="D200" s="95">
        <v>113</v>
      </c>
      <c r="E200" s="92">
        <v>2825</v>
      </c>
      <c r="F200" s="129"/>
    </row>
    <row r="201" spans="1:6" ht="42.75" customHeight="1" x14ac:dyDescent="0.2">
      <c r="A201" s="128"/>
      <c r="B201" s="88" t="s">
        <v>821</v>
      </c>
      <c r="C201" s="90" t="s">
        <v>614</v>
      </c>
      <c r="D201" s="94">
        <v>2</v>
      </c>
      <c r="E201" s="92">
        <v>900</v>
      </c>
      <c r="F201" s="129"/>
    </row>
    <row r="202" spans="1:6" ht="42.75" customHeight="1" x14ac:dyDescent="0.2">
      <c r="A202" s="128">
        <v>834</v>
      </c>
      <c r="B202" s="88" t="s">
        <v>957</v>
      </c>
      <c r="C202" s="90" t="s">
        <v>1045</v>
      </c>
      <c r="D202" s="118">
        <v>7</v>
      </c>
      <c r="E202" s="94">
        <v>607</v>
      </c>
      <c r="F202" s="129"/>
    </row>
    <row r="203" spans="1:6" ht="42.75" customHeight="1" x14ac:dyDescent="0.2">
      <c r="A203" s="128">
        <v>1169</v>
      </c>
      <c r="B203" s="88" t="s">
        <v>960</v>
      </c>
      <c r="C203" s="90" t="s">
        <v>1045</v>
      </c>
      <c r="D203" s="118">
        <v>6</v>
      </c>
      <c r="E203" s="94">
        <v>520</v>
      </c>
      <c r="F203" s="129"/>
    </row>
    <row r="204" spans="1:6" ht="42.75" customHeight="1" x14ac:dyDescent="0.2">
      <c r="A204" s="128">
        <v>1182</v>
      </c>
      <c r="B204" s="88" t="s">
        <v>961</v>
      </c>
      <c r="C204" s="90" t="s">
        <v>1045</v>
      </c>
      <c r="D204" s="118">
        <v>8</v>
      </c>
      <c r="E204" s="94">
        <v>774</v>
      </c>
      <c r="F204" s="129"/>
    </row>
    <row r="205" spans="1:6" ht="42.75" customHeight="1" x14ac:dyDescent="0.2">
      <c r="A205" s="128">
        <v>3527</v>
      </c>
      <c r="B205" s="88" t="s">
        <v>983</v>
      </c>
      <c r="C205" s="90" t="s">
        <v>1045</v>
      </c>
      <c r="D205" s="118">
        <v>5</v>
      </c>
      <c r="E205" s="94">
        <v>434</v>
      </c>
      <c r="F205" s="129"/>
    </row>
    <row r="206" spans="1:6" ht="42.75" customHeight="1" x14ac:dyDescent="0.2">
      <c r="A206" s="128">
        <v>5294</v>
      </c>
      <c r="B206" s="88" t="s">
        <v>1005</v>
      </c>
      <c r="C206" s="90" t="s">
        <v>1045</v>
      </c>
      <c r="D206" s="118">
        <v>8</v>
      </c>
      <c r="E206" s="94">
        <v>694</v>
      </c>
      <c r="F206" s="129"/>
    </row>
    <row r="207" spans="1:6" ht="42.75" customHeight="1" x14ac:dyDescent="0.2">
      <c r="A207" s="128">
        <v>5295</v>
      </c>
      <c r="B207" s="88" t="s">
        <v>1006</v>
      </c>
      <c r="C207" s="90" t="s">
        <v>1045</v>
      </c>
      <c r="D207" s="118">
        <v>7</v>
      </c>
      <c r="E207" s="94">
        <v>607</v>
      </c>
      <c r="F207" s="129"/>
    </row>
    <row r="208" spans="1:6" ht="42.75" customHeight="1" x14ac:dyDescent="0.2">
      <c r="A208" s="128">
        <v>5296</v>
      </c>
      <c r="B208" s="88" t="s">
        <v>1007</v>
      </c>
      <c r="C208" s="90" t="s">
        <v>1045</v>
      </c>
      <c r="D208" s="118">
        <v>8</v>
      </c>
      <c r="E208" s="94">
        <v>694</v>
      </c>
      <c r="F208" s="129"/>
    </row>
    <row r="209" spans="1:6" ht="42.75" customHeight="1" x14ac:dyDescent="0.2">
      <c r="A209" s="128">
        <v>5297</v>
      </c>
      <c r="B209" s="88" t="s">
        <v>1008</v>
      </c>
      <c r="C209" s="90" t="s">
        <v>1045</v>
      </c>
      <c r="D209" s="118">
        <v>7</v>
      </c>
      <c r="E209" s="94">
        <v>607</v>
      </c>
      <c r="F209" s="129"/>
    </row>
    <row r="210" spans="1:6" ht="42.75" customHeight="1" x14ac:dyDescent="0.2">
      <c r="A210" s="128">
        <v>5298</v>
      </c>
      <c r="B210" s="88" t="s">
        <v>1009</v>
      </c>
      <c r="C210" s="90" t="s">
        <v>1045</v>
      </c>
      <c r="D210" s="118">
        <v>6</v>
      </c>
      <c r="E210" s="94">
        <v>520</v>
      </c>
      <c r="F210" s="129"/>
    </row>
    <row r="211" spans="1:6" ht="42.75" customHeight="1" x14ac:dyDescent="0.2">
      <c r="A211" s="128">
        <v>5299</v>
      </c>
      <c r="B211" s="88" t="s">
        <v>1010</v>
      </c>
      <c r="C211" s="90" t="s">
        <v>1045</v>
      </c>
      <c r="D211" s="118">
        <v>8</v>
      </c>
      <c r="E211" s="94">
        <v>694</v>
      </c>
      <c r="F211" s="129"/>
    </row>
    <row r="212" spans="1:6" ht="42.75" customHeight="1" x14ac:dyDescent="0.2">
      <c r="A212" s="128">
        <v>5301</v>
      </c>
      <c r="B212" s="88" t="s">
        <v>1012</v>
      </c>
      <c r="C212" s="90" t="s">
        <v>1045</v>
      </c>
      <c r="D212" s="118">
        <v>4</v>
      </c>
      <c r="E212" s="94">
        <v>347</v>
      </c>
      <c r="F212" s="129"/>
    </row>
    <row r="213" spans="1:6" ht="42.75" customHeight="1" x14ac:dyDescent="0.2">
      <c r="A213" s="128">
        <v>5302</v>
      </c>
      <c r="B213" s="88" t="s">
        <v>1013</v>
      </c>
      <c r="C213" s="90" t="s">
        <v>1045</v>
      </c>
      <c r="D213" s="118">
        <v>7</v>
      </c>
      <c r="E213" s="94">
        <v>607</v>
      </c>
      <c r="F213" s="129"/>
    </row>
    <row r="214" spans="1:6" ht="42.75" customHeight="1" x14ac:dyDescent="0.2">
      <c r="A214" s="128">
        <v>5303</v>
      </c>
      <c r="B214" s="88" t="s">
        <v>1014</v>
      </c>
      <c r="C214" s="90" t="s">
        <v>1045</v>
      </c>
      <c r="D214" s="118">
        <v>5</v>
      </c>
      <c r="E214" s="94">
        <v>434</v>
      </c>
      <c r="F214" s="129"/>
    </row>
    <row r="215" spans="1:6" ht="42.75" customHeight="1" x14ac:dyDescent="0.2">
      <c r="A215" s="128">
        <v>5308</v>
      </c>
      <c r="B215" s="88" t="s">
        <v>1019</v>
      </c>
      <c r="C215" s="90" t="s">
        <v>1045</v>
      </c>
      <c r="D215" s="118">
        <v>6</v>
      </c>
      <c r="E215" s="94">
        <v>520</v>
      </c>
      <c r="F215" s="129"/>
    </row>
    <row r="216" spans="1:6" ht="42.75" customHeight="1" x14ac:dyDescent="0.2">
      <c r="A216" s="128">
        <v>5309</v>
      </c>
      <c r="B216" s="88" t="s">
        <v>1020</v>
      </c>
      <c r="C216" s="90" t="s">
        <v>1045</v>
      </c>
      <c r="D216" s="118">
        <v>6</v>
      </c>
      <c r="E216" s="94">
        <v>520</v>
      </c>
      <c r="F216" s="129"/>
    </row>
    <row r="217" spans="1:6" ht="42.75" customHeight="1" x14ac:dyDescent="0.2">
      <c r="A217" s="128">
        <v>5313</v>
      </c>
      <c r="B217" s="88" t="s">
        <v>1022</v>
      </c>
      <c r="C217" s="90" t="s">
        <v>1045</v>
      </c>
      <c r="D217" s="118">
        <v>2</v>
      </c>
      <c r="E217" s="94">
        <v>173</v>
      </c>
      <c r="F217" s="129"/>
    </row>
    <row r="218" spans="1:6" ht="42.75" customHeight="1" x14ac:dyDescent="0.2">
      <c r="A218" s="128">
        <v>5314</v>
      </c>
      <c r="B218" s="88" t="s">
        <v>1023</v>
      </c>
      <c r="C218" s="90" t="s">
        <v>1045</v>
      </c>
      <c r="D218" s="118">
        <v>3</v>
      </c>
      <c r="E218" s="94">
        <v>260</v>
      </c>
      <c r="F218" s="129"/>
    </row>
    <row r="219" spans="1:6" ht="42.75" customHeight="1" x14ac:dyDescent="0.2">
      <c r="A219" s="128">
        <v>5318</v>
      </c>
      <c r="B219" s="88" t="s">
        <v>1025</v>
      </c>
      <c r="C219" s="90" t="s">
        <v>1045</v>
      </c>
      <c r="D219" s="118">
        <v>4</v>
      </c>
      <c r="E219" s="94">
        <v>347</v>
      </c>
      <c r="F219" s="129"/>
    </row>
    <row r="220" spans="1:6" ht="42.75" customHeight="1" x14ac:dyDescent="0.2">
      <c r="A220" s="128">
        <v>5319</v>
      </c>
      <c r="B220" s="88" t="s">
        <v>1026</v>
      </c>
      <c r="C220" s="90" t="s">
        <v>1045</v>
      </c>
      <c r="D220" s="118">
        <v>4</v>
      </c>
      <c r="E220" s="94">
        <v>347</v>
      </c>
      <c r="F220" s="129"/>
    </row>
    <row r="221" spans="1:6" ht="42.75" customHeight="1" x14ac:dyDescent="0.2">
      <c r="A221" s="128">
        <v>5320</v>
      </c>
      <c r="B221" s="88" t="s">
        <v>1027</v>
      </c>
      <c r="C221" s="90" t="s">
        <v>1045</v>
      </c>
      <c r="D221" s="118">
        <v>1</v>
      </c>
      <c r="E221" s="94">
        <v>87</v>
      </c>
      <c r="F221" s="129"/>
    </row>
    <row r="222" spans="1:6" ht="42.75" customHeight="1" x14ac:dyDescent="0.2">
      <c r="A222" s="128">
        <v>5321</v>
      </c>
      <c r="B222" s="88" t="s">
        <v>1028</v>
      </c>
      <c r="C222" s="90" t="s">
        <v>1045</v>
      </c>
      <c r="D222" s="118">
        <v>3</v>
      </c>
      <c r="E222" s="94">
        <v>260</v>
      </c>
      <c r="F222" s="129"/>
    </row>
    <row r="223" spans="1:6" ht="42.75" customHeight="1" x14ac:dyDescent="0.2">
      <c r="A223" s="128">
        <v>5322</v>
      </c>
      <c r="B223" s="88" t="s">
        <v>1029</v>
      </c>
      <c r="C223" s="90" t="s">
        <v>1045</v>
      </c>
      <c r="D223" s="118">
        <v>2</v>
      </c>
      <c r="E223" s="94">
        <v>173</v>
      </c>
      <c r="F223" s="129"/>
    </row>
    <row r="224" spans="1:6" ht="42.75" customHeight="1" x14ac:dyDescent="0.2">
      <c r="A224" s="128">
        <v>5323</v>
      </c>
      <c r="B224" s="88" t="s">
        <v>1030</v>
      </c>
      <c r="C224" s="90" t="s">
        <v>1045</v>
      </c>
      <c r="D224" s="118">
        <v>5</v>
      </c>
      <c r="E224" s="94">
        <v>434</v>
      </c>
      <c r="F224" s="129"/>
    </row>
    <row r="225" spans="1:6" ht="42.75" customHeight="1" x14ac:dyDescent="0.2">
      <c r="A225" s="128">
        <v>5324</v>
      </c>
      <c r="B225" s="88" t="s">
        <v>1031</v>
      </c>
      <c r="C225" s="90" t="s">
        <v>1045</v>
      </c>
      <c r="D225" s="118">
        <v>3</v>
      </c>
      <c r="E225" s="94">
        <v>260</v>
      </c>
      <c r="F225" s="129"/>
    </row>
    <row r="226" spans="1:6" ht="42.75" customHeight="1" x14ac:dyDescent="0.2">
      <c r="A226" s="128">
        <v>5329</v>
      </c>
      <c r="B226" s="88" t="s">
        <v>1035</v>
      </c>
      <c r="C226" s="90" t="s">
        <v>1045</v>
      </c>
      <c r="D226" s="118">
        <v>1</v>
      </c>
      <c r="E226" s="94">
        <v>87</v>
      </c>
      <c r="F226" s="129"/>
    </row>
    <row r="227" spans="1:6" ht="42.75" customHeight="1" x14ac:dyDescent="0.2">
      <c r="A227" s="128"/>
      <c r="B227" s="88" t="s">
        <v>1044</v>
      </c>
      <c r="C227" s="90" t="s">
        <v>1045</v>
      </c>
      <c r="D227" s="118">
        <v>1</v>
      </c>
      <c r="E227" s="94">
        <v>87</v>
      </c>
      <c r="F227" s="129"/>
    </row>
    <row r="228" spans="1:6" ht="42.75" customHeight="1" thickBot="1" x14ac:dyDescent="0.25">
      <c r="A228" s="130"/>
      <c r="B228" s="131" t="s">
        <v>961</v>
      </c>
      <c r="C228" s="132" t="s">
        <v>1048</v>
      </c>
      <c r="D228" s="135">
        <v>127</v>
      </c>
      <c r="E228" s="133">
        <v>3175</v>
      </c>
      <c r="F228" s="134"/>
    </row>
  </sheetData>
  <autoFilter ref="A4:F4">
    <sortState ref="A5:F228">
      <sortCondition ref="C4"/>
    </sortState>
  </autoFilter>
  <mergeCells count="2">
    <mergeCell ref="A1:F2"/>
    <mergeCell ref="D3:F3"/>
  </mergeCells>
  <pageMargins left="0.17" right="0.17" top="0.17" bottom="0.17" header="0.3" footer="0.17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J974"/>
  <sheetViews>
    <sheetView showGridLines="0" workbookViewId="0">
      <selection activeCell="J14" sqref="J14"/>
    </sheetView>
  </sheetViews>
  <sheetFormatPr baseColWidth="10" defaultColWidth="12.5703125" defaultRowHeight="15" customHeight="1" x14ac:dyDescent="0.2"/>
  <cols>
    <col min="1" max="1" width="5.28515625" customWidth="1"/>
    <col min="2" max="2" width="12.42578125" customWidth="1"/>
    <col min="3" max="3" width="12.85546875" bestFit="1" customWidth="1"/>
    <col min="4" max="4" width="12.5703125" customWidth="1"/>
    <col min="5" max="5" width="15.140625" bestFit="1" customWidth="1"/>
    <col min="6" max="6" width="21" bestFit="1" customWidth="1"/>
    <col min="7" max="7" width="25" style="26" bestFit="1" customWidth="1"/>
    <col min="8" max="8" width="20.5703125" bestFit="1" customWidth="1"/>
    <col min="9" max="9" width="15.7109375" bestFit="1" customWidth="1"/>
  </cols>
  <sheetData>
    <row r="1" spans="1:10" ht="15.75" customHeight="1" x14ac:dyDescent="0.2">
      <c r="A1" s="263"/>
      <c r="B1" s="255"/>
      <c r="C1" s="255"/>
      <c r="D1" s="9"/>
      <c r="E1" s="10"/>
      <c r="F1" s="11"/>
      <c r="G1" s="11"/>
      <c r="J1" s="12"/>
    </row>
    <row r="2" spans="1:10" ht="15.75" customHeight="1" x14ac:dyDescent="0.2">
      <c r="A2" s="255"/>
      <c r="B2" s="255"/>
      <c r="C2" s="255"/>
      <c r="D2" s="9"/>
      <c r="E2" s="10"/>
      <c r="F2" s="11"/>
      <c r="G2" s="11"/>
      <c r="J2" s="12"/>
    </row>
    <row r="3" spans="1:10" ht="15.75" customHeight="1" x14ac:dyDescent="0.2">
      <c r="A3" s="255"/>
      <c r="B3" s="255"/>
      <c r="C3" s="255"/>
      <c r="D3" s="9"/>
      <c r="E3" s="10"/>
      <c r="F3" s="11"/>
      <c r="G3" s="11"/>
      <c r="J3" s="12"/>
    </row>
    <row r="4" spans="1:10" ht="15.75" customHeight="1" x14ac:dyDescent="0.2">
      <c r="A4" s="255"/>
      <c r="B4" s="255"/>
      <c r="C4" s="255"/>
      <c r="D4" s="9"/>
      <c r="E4" s="10"/>
      <c r="F4" s="11"/>
      <c r="G4" s="11"/>
      <c r="J4" s="12"/>
    </row>
    <row r="5" spans="1:10" ht="15.75" customHeight="1" x14ac:dyDescent="0.2">
      <c r="A5" s="264" t="s">
        <v>446</v>
      </c>
      <c r="B5" s="265"/>
      <c r="C5" s="265"/>
      <c r="D5" s="265"/>
      <c r="E5" s="265"/>
      <c r="F5" s="265"/>
      <c r="G5" s="265"/>
      <c r="H5" s="265"/>
      <c r="I5" s="265"/>
      <c r="J5" s="12"/>
    </row>
    <row r="6" spans="1:10" ht="15.75" customHeight="1" x14ac:dyDescent="0.2">
      <c r="A6" s="265"/>
      <c r="B6" s="265"/>
      <c r="C6" s="265"/>
      <c r="D6" s="265"/>
      <c r="E6" s="265"/>
      <c r="F6" s="265"/>
      <c r="G6" s="265"/>
      <c r="H6" s="265"/>
      <c r="I6" s="265"/>
      <c r="J6" s="12"/>
    </row>
    <row r="7" spans="1:10" ht="28.5" customHeight="1" thickBot="1" x14ac:dyDescent="0.25">
      <c r="A7" s="9"/>
      <c r="B7" s="9"/>
      <c r="C7" s="266"/>
      <c r="D7" s="255"/>
      <c r="E7" s="255"/>
      <c r="F7" s="255"/>
      <c r="J7" s="12"/>
    </row>
    <row r="8" spans="1:10" ht="30.75" thickBot="1" x14ac:dyDescent="0.25">
      <c r="A8" s="267" t="s">
        <v>478</v>
      </c>
      <c r="B8" s="268"/>
      <c r="C8" s="31" t="s">
        <v>447</v>
      </c>
      <c r="D8" s="269" t="s">
        <v>448</v>
      </c>
      <c r="E8" s="268"/>
      <c r="F8" s="38" t="s">
        <v>477</v>
      </c>
      <c r="G8" s="40" t="s">
        <v>479</v>
      </c>
      <c r="H8" s="39" t="s">
        <v>449</v>
      </c>
      <c r="I8" s="32" t="s">
        <v>450</v>
      </c>
      <c r="J8" s="12"/>
    </row>
    <row r="9" spans="1:10" s="30" customFormat="1" ht="39" customHeight="1" thickBot="1" x14ac:dyDescent="0.25">
      <c r="A9" s="256" t="s">
        <v>536</v>
      </c>
      <c r="B9" s="257" t="s">
        <v>536</v>
      </c>
      <c r="C9" s="37">
        <v>0.59375</v>
      </c>
      <c r="D9" s="260" t="s">
        <v>480</v>
      </c>
      <c r="E9" s="261"/>
      <c r="F9" s="86">
        <v>400</v>
      </c>
      <c r="G9" s="85" t="s">
        <v>775</v>
      </c>
      <c r="H9" s="35" t="s">
        <v>453</v>
      </c>
      <c r="I9" s="33" t="s">
        <v>515</v>
      </c>
      <c r="J9" s="29"/>
    </row>
    <row r="10" spans="1:10" ht="15.75" customHeight="1" x14ac:dyDescent="0.2">
      <c r="A10" s="9"/>
      <c r="B10" s="9"/>
      <c r="C10" s="9"/>
      <c r="D10" s="9"/>
      <c r="E10" s="10"/>
      <c r="F10" s="11"/>
      <c r="G10" s="11"/>
      <c r="J10" s="12"/>
    </row>
    <row r="11" spans="1:10" ht="15.75" customHeight="1" x14ac:dyDescent="0.2">
      <c r="A11" s="9"/>
      <c r="B11" s="9"/>
      <c r="C11" s="9"/>
      <c r="D11" s="9"/>
      <c r="E11" s="10"/>
      <c r="F11" s="11"/>
      <c r="G11" s="11"/>
      <c r="J11" s="12"/>
    </row>
    <row r="12" spans="1:10" ht="15.75" customHeight="1" x14ac:dyDescent="0.25">
      <c r="A12" s="258" t="s">
        <v>453</v>
      </c>
      <c r="B12" s="259"/>
      <c r="C12" s="259"/>
      <c r="D12" s="27"/>
      <c r="E12" s="28"/>
      <c r="F12" s="262" t="s">
        <v>454</v>
      </c>
      <c r="G12" s="262"/>
      <c r="H12" s="259"/>
      <c r="I12" s="259"/>
      <c r="J12" s="12"/>
    </row>
    <row r="13" spans="1:10" ht="15.75" customHeight="1" x14ac:dyDescent="0.2">
      <c r="A13" s="9"/>
      <c r="B13" s="9"/>
      <c r="C13" s="9"/>
      <c r="D13" s="9"/>
      <c r="E13" s="10"/>
      <c r="F13" s="11"/>
      <c r="G13" s="11"/>
      <c r="J13" s="12"/>
    </row>
    <row r="14" spans="1:10" ht="15.75" customHeight="1" x14ac:dyDescent="0.2">
      <c r="A14" s="9"/>
      <c r="B14" s="9"/>
      <c r="C14" s="9"/>
      <c r="D14" s="9"/>
      <c r="E14" s="10"/>
      <c r="F14" s="11"/>
      <c r="G14" s="11"/>
      <c r="H14" s="13" t="s">
        <v>451</v>
      </c>
      <c r="I14" s="34">
        <v>46079</v>
      </c>
      <c r="J14" s="12"/>
    </row>
    <row r="15" spans="1:10" ht="15.75" customHeight="1" x14ac:dyDescent="0.2">
      <c r="A15" s="9"/>
      <c r="B15" s="9"/>
      <c r="C15" s="9"/>
      <c r="D15" s="9"/>
      <c r="E15" s="10"/>
      <c r="F15" s="11"/>
      <c r="G15" s="11"/>
      <c r="J15" s="12"/>
    </row>
    <row r="16" spans="1:10" ht="15.75" customHeight="1" x14ac:dyDescent="0.2">
      <c r="A16" s="9"/>
      <c r="B16" s="9"/>
      <c r="C16" s="9"/>
      <c r="D16" s="9"/>
      <c r="E16" s="10"/>
      <c r="F16" s="11"/>
      <c r="G16" s="11"/>
      <c r="J16" s="12"/>
    </row>
    <row r="17" spans="1:10" ht="15.75" customHeight="1" x14ac:dyDescent="0.2">
      <c r="A17" s="254"/>
      <c r="B17" s="255"/>
      <c r="C17" s="255"/>
      <c r="D17" s="255"/>
      <c r="E17" s="255"/>
      <c r="F17" s="255"/>
      <c r="G17" s="255"/>
      <c r="H17" s="255"/>
      <c r="I17" s="255"/>
      <c r="J17" s="12"/>
    </row>
    <row r="18" spans="1:10" ht="15.75" customHeight="1" x14ac:dyDescent="0.2">
      <c r="A18" s="9"/>
      <c r="B18" s="9"/>
      <c r="C18" s="9"/>
      <c r="F18" s="11"/>
      <c r="G18" s="11"/>
      <c r="J18" s="12"/>
    </row>
    <row r="19" spans="1:10" ht="15.75" customHeight="1" x14ac:dyDescent="0.2">
      <c r="A19" s="9"/>
      <c r="B19" s="9"/>
      <c r="C19" s="9"/>
      <c r="D19" s="9"/>
      <c r="E19" s="10"/>
      <c r="F19" s="11"/>
      <c r="G19" s="11"/>
      <c r="J19" s="12"/>
    </row>
    <row r="20" spans="1:10" ht="15.75" customHeight="1" x14ac:dyDescent="0.2">
      <c r="A20" s="9"/>
      <c r="B20" s="9"/>
      <c r="C20" s="9"/>
      <c r="D20" s="9"/>
      <c r="E20" s="10"/>
      <c r="F20" s="11"/>
      <c r="G20" s="11"/>
      <c r="J20" s="12"/>
    </row>
    <row r="21" spans="1:10" ht="15.75" customHeight="1" x14ac:dyDescent="0.2">
      <c r="A21" s="9"/>
      <c r="B21" s="9"/>
      <c r="C21" s="9"/>
      <c r="D21" s="9"/>
      <c r="E21" s="10"/>
      <c r="F21" s="11"/>
      <c r="G21" s="11"/>
      <c r="J21" s="12"/>
    </row>
    <row r="22" spans="1:10" ht="15.75" customHeight="1" x14ac:dyDescent="0.2">
      <c r="A22" s="9"/>
      <c r="B22" s="9"/>
      <c r="C22" s="9"/>
      <c r="D22" s="9"/>
      <c r="E22" s="10"/>
      <c r="F22" s="11"/>
      <c r="G22" s="11"/>
      <c r="J22" s="12"/>
    </row>
    <row r="23" spans="1:10" ht="15.75" customHeight="1" x14ac:dyDescent="0.2">
      <c r="A23" s="9"/>
      <c r="B23" s="9"/>
      <c r="C23" s="9"/>
      <c r="D23" s="9"/>
      <c r="E23" s="10"/>
      <c r="F23" s="11"/>
      <c r="G23" s="11"/>
      <c r="J23" s="12"/>
    </row>
    <row r="24" spans="1:10" ht="15.75" customHeight="1" x14ac:dyDescent="0.2">
      <c r="A24" s="9"/>
      <c r="B24" s="9"/>
      <c r="C24" s="9"/>
      <c r="D24" s="9"/>
      <c r="E24" s="10"/>
      <c r="F24" s="11"/>
      <c r="G24" s="11"/>
      <c r="J24" s="12"/>
    </row>
    <row r="25" spans="1:10" ht="15.75" customHeight="1" x14ac:dyDescent="0.2">
      <c r="A25" s="9"/>
      <c r="B25" s="9"/>
      <c r="C25" s="9"/>
      <c r="D25" s="9"/>
      <c r="E25" s="10"/>
      <c r="F25" s="11"/>
      <c r="G25" s="11"/>
      <c r="J25" s="12"/>
    </row>
    <row r="26" spans="1:10" ht="15.75" customHeight="1" x14ac:dyDescent="0.2">
      <c r="A26" s="9"/>
      <c r="B26" s="9"/>
      <c r="C26" s="9"/>
      <c r="D26" s="9"/>
      <c r="E26" s="10"/>
      <c r="F26" s="11"/>
      <c r="G26" s="11"/>
      <c r="J26" s="12"/>
    </row>
    <row r="27" spans="1:10" ht="15.75" customHeight="1" x14ac:dyDescent="0.2">
      <c r="A27" s="9"/>
      <c r="B27" s="9"/>
      <c r="C27" s="9"/>
      <c r="D27" s="9"/>
      <c r="E27" s="10"/>
      <c r="F27" s="11"/>
      <c r="G27" s="11"/>
      <c r="J27" s="12"/>
    </row>
    <row r="28" spans="1:10" ht="15.75" customHeight="1" x14ac:dyDescent="0.2">
      <c r="A28" s="9"/>
      <c r="B28" s="9"/>
      <c r="C28" s="9"/>
      <c r="D28" s="9"/>
      <c r="E28" s="10"/>
      <c r="F28" s="11"/>
      <c r="G28" s="11"/>
      <c r="J28" s="12"/>
    </row>
    <row r="29" spans="1:10" ht="15.75" customHeight="1" x14ac:dyDescent="0.2">
      <c r="A29" s="9"/>
      <c r="B29" s="9"/>
      <c r="C29" s="9"/>
      <c r="D29" s="9"/>
      <c r="E29" s="10"/>
      <c r="F29" s="11"/>
      <c r="G29" s="11"/>
      <c r="J29" s="12"/>
    </row>
    <row r="30" spans="1:10" ht="15.75" customHeight="1" x14ac:dyDescent="0.2">
      <c r="A30" s="9"/>
      <c r="B30" s="9"/>
      <c r="C30" s="9"/>
      <c r="D30" s="9"/>
      <c r="E30" s="10"/>
      <c r="F30" s="11"/>
      <c r="G30" s="11"/>
      <c r="J30" s="12"/>
    </row>
    <row r="31" spans="1:10" ht="15.75" customHeight="1" x14ac:dyDescent="0.2">
      <c r="A31" s="9"/>
      <c r="B31" s="9"/>
      <c r="C31" s="9"/>
      <c r="D31" s="9"/>
      <c r="E31" s="10"/>
      <c r="F31" s="11"/>
      <c r="G31" s="11"/>
      <c r="J31" s="12"/>
    </row>
    <row r="32" spans="1:10" ht="15.75" customHeight="1" x14ac:dyDescent="0.2">
      <c r="A32" s="9"/>
      <c r="B32" s="9"/>
      <c r="C32" s="9"/>
      <c r="D32" s="9"/>
      <c r="E32" s="10"/>
      <c r="F32" s="11"/>
      <c r="G32" s="11"/>
      <c r="J32" s="12"/>
    </row>
    <row r="33" spans="1:10" ht="15.75" customHeight="1" x14ac:dyDescent="0.2">
      <c r="A33" s="9"/>
      <c r="B33" s="9"/>
      <c r="C33" s="9"/>
      <c r="D33" s="9"/>
      <c r="E33" s="10"/>
      <c r="F33" s="11"/>
      <c r="G33" s="11"/>
      <c r="J33" s="12"/>
    </row>
    <row r="34" spans="1:10" ht="15.75" customHeight="1" x14ac:dyDescent="0.2">
      <c r="A34" s="9"/>
      <c r="B34" s="9"/>
      <c r="C34" s="9"/>
      <c r="D34" s="9"/>
      <c r="E34" s="10"/>
      <c r="F34" s="11"/>
      <c r="G34" s="11"/>
      <c r="J34" s="12"/>
    </row>
    <row r="35" spans="1:10" ht="15.75" customHeight="1" x14ac:dyDescent="0.2">
      <c r="A35" s="9"/>
      <c r="B35" s="9"/>
      <c r="C35" s="9"/>
      <c r="D35" s="9"/>
      <c r="E35" s="10"/>
      <c r="F35" s="11"/>
      <c r="G35" s="11"/>
      <c r="J35" s="12"/>
    </row>
    <row r="36" spans="1:10" ht="15.75" customHeight="1" x14ac:dyDescent="0.2">
      <c r="A36" s="9"/>
      <c r="B36" s="9"/>
      <c r="C36" s="9"/>
      <c r="D36" s="9"/>
      <c r="E36" s="10"/>
      <c r="F36" s="11"/>
      <c r="G36" s="11"/>
      <c r="J36" s="12"/>
    </row>
    <row r="37" spans="1:10" ht="15.75" customHeight="1" x14ac:dyDescent="0.2">
      <c r="A37" s="9"/>
      <c r="B37" s="9"/>
      <c r="C37" s="9"/>
      <c r="D37" s="9"/>
      <c r="E37" s="10"/>
      <c r="F37" s="11"/>
      <c r="G37" s="11"/>
      <c r="J37" s="12"/>
    </row>
    <row r="38" spans="1:10" ht="15.75" customHeight="1" x14ac:dyDescent="0.2">
      <c r="A38" s="9"/>
      <c r="B38" s="9"/>
      <c r="C38" s="9"/>
      <c r="D38" s="9"/>
      <c r="E38" s="10"/>
      <c r="F38" s="11"/>
      <c r="G38" s="11"/>
      <c r="J38" s="12"/>
    </row>
    <row r="39" spans="1:10" ht="15.75" customHeight="1" x14ac:dyDescent="0.2">
      <c r="A39" s="9"/>
      <c r="B39" s="9"/>
      <c r="C39" s="9"/>
      <c r="D39" s="9"/>
      <c r="E39" s="10"/>
      <c r="F39" s="11"/>
      <c r="G39" s="11"/>
      <c r="J39" s="12"/>
    </row>
    <row r="40" spans="1:10" ht="15.75" customHeight="1" x14ac:dyDescent="0.2">
      <c r="A40" s="9"/>
      <c r="B40" s="9"/>
      <c r="C40" s="9"/>
      <c r="D40" s="9"/>
      <c r="E40" s="10"/>
      <c r="F40" s="11"/>
      <c r="G40" s="11"/>
      <c r="J40" s="12"/>
    </row>
    <row r="41" spans="1:10" ht="15.75" customHeight="1" x14ac:dyDescent="0.2">
      <c r="A41" s="9"/>
      <c r="B41" s="9"/>
      <c r="C41" s="9"/>
      <c r="D41" s="9"/>
      <c r="E41" s="10"/>
      <c r="F41" s="11"/>
      <c r="G41" s="11"/>
      <c r="J41" s="12"/>
    </row>
    <row r="42" spans="1:10" ht="15.75" customHeight="1" x14ac:dyDescent="0.2">
      <c r="A42" s="9"/>
      <c r="B42" s="9"/>
      <c r="C42" s="9"/>
      <c r="D42" s="9"/>
      <c r="E42" s="10"/>
      <c r="F42" s="11"/>
      <c r="G42" s="11"/>
      <c r="J42" s="12"/>
    </row>
    <row r="43" spans="1:10" ht="15.75" customHeight="1" x14ac:dyDescent="0.2">
      <c r="A43" s="9"/>
      <c r="B43" s="9"/>
      <c r="C43" s="9"/>
      <c r="D43" s="9"/>
      <c r="E43" s="10"/>
      <c r="F43" s="11"/>
      <c r="G43" s="11"/>
      <c r="J43" s="12"/>
    </row>
    <row r="44" spans="1:10" ht="15.75" customHeight="1" x14ac:dyDescent="0.2">
      <c r="A44" s="9"/>
      <c r="B44" s="9"/>
      <c r="C44" s="9"/>
      <c r="D44" s="9"/>
      <c r="E44" s="10"/>
      <c r="F44" s="11"/>
      <c r="G44" s="11"/>
      <c r="J44" s="12"/>
    </row>
    <row r="45" spans="1:10" ht="15.75" customHeight="1" x14ac:dyDescent="0.2">
      <c r="A45" s="9"/>
      <c r="B45" s="9"/>
      <c r="C45" s="9"/>
      <c r="D45" s="9"/>
      <c r="E45" s="10"/>
      <c r="F45" s="11"/>
      <c r="G45" s="11"/>
      <c r="J45" s="12"/>
    </row>
    <row r="46" spans="1:10" ht="15.75" customHeight="1" x14ac:dyDescent="0.2">
      <c r="A46" s="9"/>
      <c r="B46" s="9"/>
      <c r="C46" s="9"/>
      <c r="D46" s="9"/>
      <c r="E46" s="10"/>
      <c r="F46" s="11"/>
      <c r="G46" s="11"/>
      <c r="J46" s="12"/>
    </row>
    <row r="47" spans="1:10" ht="15.75" customHeight="1" x14ac:dyDescent="0.2">
      <c r="A47" s="9"/>
      <c r="B47" s="9"/>
      <c r="C47" s="9"/>
      <c r="D47" s="9"/>
      <c r="E47" s="10"/>
      <c r="F47" s="11"/>
      <c r="G47" s="11"/>
      <c r="J47" s="12"/>
    </row>
    <row r="48" spans="1:10" ht="15.75" customHeight="1" x14ac:dyDescent="0.2">
      <c r="A48" s="9"/>
      <c r="B48" s="9"/>
      <c r="C48" s="9"/>
      <c r="D48" s="9"/>
      <c r="E48" s="10"/>
      <c r="F48" s="11"/>
      <c r="G48" s="11"/>
      <c r="J48" s="12"/>
    </row>
    <row r="49" spans="1:10" ht="15.75" customHeight="1" x14ac:dyDescent="0.2">
      <c r="A49" s="9"/>
      <c r="B49" s="9"/>
      <c r="C49" s="9"/>
      <c r="D49" s="9"/>
      <c r="E49" s="10"/>
      <c r="F49" s="11"/>
      <c r="G49" s="11"/>
      <c r="J49" s="12"/>
    </row>
    <row r="50" spans="1:10" ht="15.75" customHeight="1" x14ac:dyDescent="0.2">
      <c r="A50" s="9"/>
      <c r="B50" s="9"/>
      <c r="C50" s="9"/>
      <c r="D50" s="9"/>
      <c r="E50" s="10"/>
      <c r="F50" s="11"/>
      <c r="G50" s="11"/>
      <c r="J50" s="12"/>
    </row>
    <row r="51" spans="1:10" ht="15.75" customHeight="1" x14ac:dyDescent="0.2">
      <c r="A51" s="9"/>
      <c r="B51" s="9"/>
      <c r="C51" s="9"/>
      <c r="D51" s="9"/>
      <c r="E51" s="10"/>
      <c r="F51" s="11"/>
      <c r="G51" s="11"/>
      <c r="J51" s="12"/>
    </row>
    <row r="52" spans="1:10" ht="15.75" customHeight="1" x14ac:dyDescent="0.2">
      <c r="A52" s="9"/>
      <c r="B52" s="9"/>
      <c r="C52" s="9"/>
      <c r="D52" s="9"/>
      <c r="E52" s="10"/>
      <c r="F52" s="11"/>
      <c r="G52" s="11"/>
      <c r="J52" s="12"/>
    </row>
    <row r="53" spans="1:10" ht="15.75" customHeight="1" x14ac:dyDescent="0.2">
      <c r="A53" s="9"/>
      <c r="B53" s="9"/>
      <c r="C53" s="9"/>
      <c r="D53" s="9"/>
      <c r="E53" s="10"/>
      <c r="F53" s="11"/>
      <c r="G53" s="11"/>
      <c r="J53" s="12"/>
    </row>
    <row r="54" spans="1:10" ht="15.75" customHeight="1" x14ac:dyDescent="0.2">
      <c r="A54" s="9"/>
      <c r="B54" s="9"/>
      <c r="C54" s="9"/>
      <c r="D54" s="9"/>
      <c r="E54" s="10"/>
      <c r="F54" s="11"/>
      <c r="G54" s="11"/>
      <c r="J54" s="12"/>
    </row>
    <row r="55" spans="1:10" ht="15.75" customHeight="1" x14ac:dyDescent="0.2">
      <c r="A55" s="9"/>
      <c r="B55" s="9"/>
      <c r="C55" s="9"/>
      <c r="D55" s="9"/>
      <c r="E55" s="10"/>
      <c r="F55" s="11"/>
      <c r="G55" s="11"/>
      <c r="J55" s="12"/>
    </row>
    <row r="56" spans="1:10" ht="15.75" customHeight="1" x14ac:dyDescent="0.2">
      <c r="A56" s="9"/>
      <c r="B56" s="9"/>
      <c r="C56" s="9"/>
      <c r="D56" s="9"/>
      <c r="E56" s="10"/>
      <c r="F56" s="11"/>
      <c r="G56" s="11"/>
      <c r="J56" s="12"/>
    </row>
    <row r="57" spans="1:10" ht="15.75" customHeight="1" x14ac:dyDescent="0.2">
      <c r="A57" s="9"/>
      <c r="B57" s="9"/>
      <c r="C57" s="9"/>
      <c r="D57" s="9"/>
      <c r="E57" s="10"/>
      <c r="F57" s="11"/>
      <c r="G57" s="11"/>
      <c r="J57" s="12"/>
    </row>
    <row r="58" spans="1:10" ht="15.75" customHeight="1" x14ac:dyDescent="0.2">
      <c r="A58" s="9"/>
      <c r="B58" s="9"/>
      <c r="C58" s="9"/>
      <c r="D58" s="9"/>
      <c r="E58" s="10"/>
      <c r="F58" s="11"/>
      <c r="G58" s="11"/>
      <c r="J58" s="12"/>
    </row>
    <row r="59" spans="1:10" ht="15.75" customHeight="1" x14ac:dyDescent="0.2">
      <c r="A59" s="9"/>
      <c r="B59" s="9"/>
      <c r="C59" s="9"/>
      <c r="D59" s="9"/>
      <c r="E59" s="10"/>
      <c r="F59" s="11"/>
      <c r="G59" s="11"/>
      <c r="J59" s="12"/>
    </row>
    <row r="60" spans="1:10" ht="15.75" customHeight="1" x14ac:dyDescent="0.2">
      <c r="A60" s="9"/>
      <c r="B60" s="9"/>
      <c r="C60" s="9"/>
      <c r="D60" s="9"/>
      <c r="E60" s="10"/>
      <c r="F60" s="11"/>
      <c r="G60" s="11"/>
      <c r="J60" s="12"/>
    </row>
    <row r="61" spans="1:10" ht="15.75" customHeight="1" x14ac:dyDescent="0.2">
      <c r="A61" s="9"/>
      <c r="B61" s="9"/>
      <c r="C61" s="9"/>
      <c r="D61" s="9"/>
      <c r="E61" s="10"/>
      <c r="F61" s="11"/>
      <c r="G61" s="11"/>
      <c r="J61" s="12"/>
    </row>
    <row r="62" spans="1:10" ht="15.75" customHeight="1" x14ac:dyDescent="0.2">
      <c r="A62" s="9"/>
      <c r="B62" s="9"/>
      <c r="C62" s="9"/>
      <c r="D62" s="9"/>
      <c r="E62" s="10"/>
      <c r="F62" s="11"/>
      <c r="G62" s="11"/>
      <c r="J62" s="12"/>
    </row>
    <row r="63" spans="1:10" ht="15.75" customHeight="1" x14ac:dyDescent="0.2">
      <c r="A63" s="9"/>
      <c r="B63" s="9"/>
      <c r="C63" s="9"/>
      <c r="D63" s="9"/>
      <c r="E63" s="10"/>
      <c r="F63" s="11"/>
      <c r="G63" s="11"/>
      <c r="J63" s="12"/>
    </row>
    <row r="64" spans="1:10" ht="15.75" customHeight="1" x14ac:dyDescent="0.2">
      <c r="A64" s="9"/>
      <c r="B64" s="9"/>
      <c r="C64" s="9"/>
      <c r="D64" s="9"/>
      <c r="E64" s="10"/>
      <c r="F64" s="11"/>
      <c r="G64" s="11"/>
      <c r="J64" s="12"/>
    </row>
    <row r="65" spans="1:10" ht="15.75" customHeight="1" x14ac:dyDescent="0.2">
      <c r="A65" s="9"/>
      <c r="B65" s="9"/>
      <c r="C65" s="9"/>
      <c r="D65" s="9"/>
      <c r="E65" s="10"/>
      <c r="F65" s="11"/>
      <c r="G65" s="11"/>
      <c r="J65" s="12"/>
    </row>
    <row r="66" spans="1:10" ht="15.75" customHeight="1" x14ac:dyDescent="0.2">
      <c r="A66" s="9"/>
      <c r="B66" s="9"/>
      <c r="C66" s="9"/>
      <c r="D66" s="9"/>
      <c r="E66" s="10"/>
      <c r="F66" s="11"/>
      <c r="G66" s="11"/>
      <c r="J66" s="12"/>
    </row>
    <row r="67" spans="1:10" ht="15.75" customHeight="1" x14ac:dyDescent="0.2">
      <c r="A67" s="9"/>
      <c r="B67" s="9"/>
      <c r="C67" s="9"/>
      <c r="D67" s="9"/>
      <c r="E67" s="10"/>
      <c r="F67" s="11"/>
      <c r="G67" s="11"/>
      <c r="J67" s="12"/>
    </row>
    <row r="68" spans="1:10" ht="15.75" customHeight="1" x14ac:dyDescent="0.2">
      <c r="A68" s="9"/>
      <c r="B68" s="9"/>
      <c r="C68" s="9"/>
      <c r="D68" s="9"/>
      <c r="E68" s="10"/>
      <c r="F68" s="11"/>
      <c r="G68" s="11"/>
      <c r="J68" s="12"/>
    </row>
    <row r="69" spans="1:10" ht="15.75" customHeight="1" x14ac:dyDescent="0.2">
      <c r="A69" s="9"/>
      <c r="B69" s="9"/>
      <c r="C69" s="9"/>
      <c r="D69" s="9"/>
      <c r="E69" s="10"/>
      <c r="F69" s="11"/>
      <c r="G69" s="11"/>
      <c r="J69" s="12"/>
    </row>
    <row r="70" spans="1:10" ht="15.75" customHeight="1" x14ac:dyDescent="0.2">
      <c r="A70" s="9"/>
      <c r="B70" s="9"/>
      <c r="C70" s="9"/>
      <c r="D70" s="9"/>
      <c r="E70" s="10"/>
      <c r="F70" s="11"/>
      <c r="G70" s="11"/>
      <c r="J70" s="12"/>
    </row>
    <row r="71" spans="1:10" ht="15.75" customHeight="1" x14ac:dyDescent="0.2">
      <c r="A71" s="9"/>
      <c r="B71" s="9"/>
      <c r="C71" s="9"/>
      <c r="D71" s="9"/>
      <c r="E71" s="10"/>
      <c r="F71" s="11"/>
      <c r="G71" s="11"/>
      <c r="J71" s="12"/>
    </row>
    <row r="72" spans="1:10" ht="15.75" customHeight="1" x14ac:dyDescent="0.2">
      <c r="A72" s="9"/>
      <c r="B72" s="9"/>
      <c r="C72" s="9"/>
      <c r="D72" s="9"/>
      <c r="E72" s="10"/>
      <c r="F72" s="11"/>
      <c r="G72" s="11"/>
      <c r="J72" s="12"/>
    </row>
    <row r="73" spans="1:10" ht="15.75" customHeight="1" x14ac:dyDescent="0.2">
      <c r="A73" s="9"/>
      <c r="B73" s="9"/>
      <c r="C73" s="9"/>
      <c r="D73" s="9"/>
      <c r="E73" s="10"/>
      <c r="F73" s="11"/>
      <c r="G73" s="11"/>
      <c r="J73" s="12"/>
    </row>
    <row r="74" spans="1:10" ht="15.75" customHeight="1" x14ac:dyDescent="0.2">
      <c r="A74" s="9"/>
      <c r="B74" s="9"/>
      <c r="C74" s="9"/>
      <c r="D74" s="9"/>
      <c r="E74" s="10"/>
      <c r="F74" s="11"/>
      <c r="G74" s="11"/>
      <c r="J74" s="12"/>
    </row>
    <row r="75" spans="1:10" ht="15.75" customHeight="1" x14ac:dyDescent="0.2">
      <c r="A75" s="9"/>
      <c r="B75" s="9"/>
      <c r="C75" s="9"/>
      <c r="D75" s="9"/>
      <c r="E75" s="10"/>
      <c r="F75" s="11"/>
      <c r="G75" s="11"/>
      <c r="J75" s="12"/>
    </row>
    <row r="76" spans="1:10" ht="15.75" customHeight="1" x14ac:dyDescent="0.2">
      <c r="A76" s="9"/>
      <c r="B76" s="9"/>
      <c r="C76" s="9"/>
      <c r="D76" s="9"/>
      <c r="E76" s="10"/>
      <c r="F76" s="11"/>
      <c r="G76" s="11"/>
      <c r="J76" s="12"/>
    </row>
    <row r="77" spans="1:10" ht="15.75" customHeight="1" x14ac:dyDescent="0.2">
      <c r="A77" s="9"/>
      <c r="B77" s="9"/>
      <c r="C77" s="9"/>
      <c r="D77" s="9"/>
      <c r="E77" s="10"/>
      <c r="F77" s="11"/>
      <c r="G77" s="11"/>
      <c r="J77" s="12"/>
    </row>
    <row r="78" spans="1:10" ht="15.75" customHeight="1" x14ac:dyDescent="0.2">
      <c r="A78" s="9"/>
      <c r="B78" s="9"/>
      <c r="C78" s="9"/>
      <c r="D78" s="9"/>
      <c r="E78" s="10"/>
      <c r="F78" s="11"/>
      <c r="G78" s="11"/>
      <c r="J78" s="12"/>
    </row>
    <row r="79" spans="1:10" ht="15.75" customHeight="1" x14ac:dyDescent="0.2">
      <c r="A79" s="9"/>
      <c r="B79" s="9"/>
      <c r="C79" s="9"/>
      <c r="D79" s="9"/>
      <c r="E79" s="10"/>
      <c r="F79" s="11"/>
      <c r="G79" s="11"/>
      <c r="J79" s="12"/>
    </row>
    <row r="80" spans="1:10" ht="15.75" customHeight="1" x14ac:dyDescent="0.2">
      <c r="A80" s="9"/>
      <c r="B80" s="9"/>
      <c r="C80" s="9"/>
      <c r="D80" s="9"/>
      <c r="E80" s="10"/>
      <c r="F80" s="11"/>
      <c r="G80" s="11"/>
      <c r="J80" s="12"/>
    </row>
    <row r="81" spans="1:10" ht="15.75" customHeight="1" x14ac:dyDescent="0.2">
      <c r="A81" s="9"/>
      <c r="B81" s="9"/>
      <c r="C81" s="9"/>
      <c r="D81" s="9"/>
      <c r="E81" s="10"/>
      <c r="F81" s="11"/>
      <c r="G81" s="11"/>
      <c r="J81" s="12"/>
    </row>
    <row r="82" spans="1:10" ht="15.75" customHeight="1" x14ac:dyDescent="0.2">
      <c r="A82" s="9"/>
      <c r="B82" s="9"/>
      <c r="C82" s="9"/>
      <c r="D82" s="9"/>
      <c r="E82" s="10"/>
      <c r="F82" s="11"/>
      <c r="G82" s="11"/>
      <c r="J82" s="12"/>
    </row>
    <row r="83" spans="1:10" ht="15.75" customHeight="1" x14ac:dyDescent="0.2">
      <c r="A83" s="9"/>
      <c r="B83" s="9"/>
      <c r="C83" s="9"/>
      <c r="D83" s="9"/>
      <c r="E83" s="10"/>
      <c r="F83" s="11"/>
      <c r="G83" s="11"/>
      <c r="J83" s="12"/>
    </row>
    <row r="84" spans="1:10" ht="15.75" customHeight="1" x14ac:dyDescent="0.2">
      <c r="A84" s="9"/>
      <c r="B84" s="9"/>
      <c r="C84" s="9"/>
      <c r="D84" s="9"/>
      <c r="E84" s="10"/>
      <c r="F84" s="11"/>
      <c r="G84" s="11"/>
      <c r="J84" s="12"/>
    </row>
    <row r="85" spans="1:10" ht="15.75" customHeight="1" x14ac:dyDescent="0.2">
      <c r="A85" s="9"/>
      <c r="B85" s="9"/>
      <c r="C85" s="9"/>
      <c r="D85" s="9"/>
      <c r="E85" s="10"/>
      <c r="F85" s="11"/>
      <c r="G85" s="11"/>
      <c r="J85" s="12"/>
    </row>
    <row r="86" spans="1:10" ht="15.75" customHeight="1" x14ac:dyDescent="0.2">
      <c r="A86" s="9"/>
      <c r="B86" s="9"/>
      <c r="C86" s="9"/>
      <c r="D86" s="9"/>
      <c r="E86" s="10"/>
      <c r="F86" s="11"/>
      <c r="G86" s="11"/>
      <c r="J86" s="12"/>
    </row>
    <row r="87" spans="1:10" ht="15.75" customHeight="1" x14ac:dyDescent="0.2">
      <c r="A87" s="9"/>
      <c r="B87" s="9"/>
      <c r="C87" s="9"/>
      <c r="D87" s="9"/>
      <c r="E87" s="10"/>
      <c r="F87" s="11"/>
      <c r="G87" s="11"/>
      <c r="J87" s="12"/>
    </row>
    <row r="88" spans="1:10" ht="15.75" customHeight="1" x14ac:dyDescent="0.2">
      <c r="A88" s="9"/>
      <c r="B88" s="9"/>
      <c r="C88" s="9"/>
      <c r="D88" s="9"/>
      <c r="E88" s="10"/>
      <c r="F88" s="11"/>
      <c r="G88" s="11"/>
      <c r="J88" s="12"/>
    </row>
    <row r="89" spans="1:10" ht="15.75" customHeight="1" x14ac:dyDescent="0.2">
      <c r="A89" s="9"/>
      <c r="B89" s="9"/>
      <c r="C89" s="9"/>
      <c r="D89" s="9"/>
      <c r="E89" s="10"/>
      <c r="F89" s="11"/>
      <c r="G89" s="11"/>
      <c r="J89" s="12"/>
    </row>
    <row r="90" spans="1:10" ht="15.75" customHeight="1" x14ac:dyDescent="0.2">
      <c r="A90" s="9"/>
      <c r="B90" s="9"/>
      <c r="C90" s="9"/>
      <c r="D90" s="9"/>
      <c r="E90" s="10"/>
      <c r="F90" s="11"/>
      <c r="G90" s="11"/>
      <c r="J90" s="12"/>
    </row>
    <row r="91" spans="1:10" ht="15.75" customHeight="1" x14ac:dyDescent="0.2">
      <c r="A91" s="9"/>
      <c r="B91" s="9"/>
      <c r="C91" s="9"/>
      <c r="D91" s="9"/>
      <c r="E91" s="10"/>
      <c r="F91" s="11"/>
      <c r="G91" s="11"/>
      <c r="J91" s="12"/>
    </row>
    <row r="92" spans="1:10" ht="15.75" customHeight="1" x14ac:dyDescent="0.2">
      <c r="A92" s="9"/>
      <c r="B92" s="9"/>
      <c r="C92" s="9"/>
      <c r="D92" s="9"/>
      <c r="E92" s="10"/>
      <c r="F92" s="11"/>
      <c r="G92" s="11"/>
      <c r="J92" s="12"/>
    </row>
    <row r="93" spans="1:10" ht="15.75" customHeight="1" x14ac:dyDescent="0.2">
      <c r="A93" s="9"/>
      <c r="B93" s="9"/>
      <c r="C93" s="9"/>
      <c r="D93" s="9"/>
      <c r="E93" s="10"/>
      <c r="F93" s="11"/>
      <c r="G93" s="11"/>
      <c r="J93" s="12"/>
    </row>
    <row r="94" spans="1:10" ht="15.75" customHeight="1" x14ac:dyDescent="0.2">
      <c r="A94" s="9"/>
      <c r="B94" s="9"/>
      <c r="C94" s="9"/>
      <c r="D94" s="9"/>
      <c r="E94" s="10"/>
      <c r="F94" s="11"/>
      <c r="G94" s="11"/>
      <c r="J94" s="12"/>
    </row>
    <row r="95" spans="1:10" ht="15.75" customHeight="1" x14ac:dyDescent="0.2">
      <c r="A95" s="9"/>
      <c r="B95" s="9"/>
      <c r="C95" s="9"/>
      <c r="D95" s="9"/>
      <c r="E95" s="10"/>
      <c r="F95" s="11"/>
      <c r="G95" s="11"/>
      <c r="J95" s="12"/>
    </row>
    <row r="96" spans="1:10" ht="15.75" customHeight="1" x14ac:dyDescent="0.2">
      <c r="A96" s="9"/>
      <c r="B96" s="9"/>
      <c r="C96" s="9"/>
      <c r="D96" s="9"/>
      <c r="E96" s="10"/>
      <c r="F96" s="11"/>
      <c r="G96" s="11"/>
      <c r="J96" s="12"/>
    </row>
    <row r="97" spans="1:10" ht="15.75" customHeight="1" x14ac:dyDescent="0.2">
      <c r="A97" s="9"/>
      <c r="B97" s="9"/>
      <c r="C97" s="9"/>
      <c r="D97" s="9"/>
      <c r="E97" s="10"/>
      <c r="F97" s="11"/>
      <c r="G97" s="11"/>
      <c r="J97" s="12"/>
    </row>
    <row r="98" spans="1:10" ht="15.75" customHeight="1" x14ac:dyDescent="0.2">
      <c r="A98" s="9"/>
      <c r="B98" s="9"/>
      <c r="C98" s="9"/>
      <c r="D98" s="9"/>
      <c r="E98" s="10"/>
      <c r="F98" s="11"/>
      <c r="G98" s="11"/>
      <c r="J98" s="12"/>
    </row>
    <row r="99" spans="1:10" ht="15.75" customHeight="1" x14ac:dyDescent="0.2">
      <c r="A99" s="9"/>
      <c r="B99" s="9"/>
      <c r="C99" s="9"/>
      <c r="D99" s="9"/>
      <c r="E99" s="10"/>
      <c r="F99" s="11"/>
      <c r="G99" s="11"/>
      <c r="J99" s="12"/>
    </row>
    <row r="100" spans="1:10" ht="15.75" customHeight="1" x14ac:dyDescent="0.2">
      <c r="A100" s="9"/>
      <c r="B100" s="9"/>
      <c r="C100" s="9"/>
      <c r="D100" s="9"/>
      <c r="E100" s="10"/>
      <c r="F100" s="11"/>
      <c r="G100" s="11"/>
      <c r="J100" s="12"/>
    </row>
    <row r="101" spans="1:10" ht="15.75" customHeight="1" x14ac:dyDescent="0.2">
      <c r="A101" s="9"/>
      <c r="B101" s="9"/>
      <c r="C101" s="9"/>
      <c r="D101" s="9"/>
      <c r="E101" s="10"/>
      <c r="F101" s="11"/>
      <c r="G101" s="11"/>
      <c r="J101" s="12"/>
    </row>
    <row r="102" spans="1:10" ht="15.75" customHeight="1" x14ac:dyDescent="0.2">
      <c r="A102" s="9"/>
      <c r="B102" s="9"/>
      <c r="C102" s="9"/>
      <c r="D102" s="9"/>
      <c r="E102" s="10"/>
      <c r="F102" s="11"/>
      <c r="G102" s="11"/>
      <c r="J102" s="12"/>
    </row>
    <row r="103" spans="1:10" ht="15.75" customHeight="1" x14ac:dyDescent="0.2">
      <c r="A103" s="9"/>
      <c r="B103" s="9"/>
      <c r="C103" s="9"/>
      <c r="D103" s="9"/>
      <c r="E103" s="10"/>
      <c r="F103" s="11"/>
      <c r="G103" s="11"/>
      <c r="J103" s="12"/>
    </row>
    <row r="104" spans="1:10" ht="15.75" customHeight="1" x14ac:dyDescent="0.2">
      <c r="A104" s="9"/>
      <c r="B104" s="9"/>
      <c r="C104" s="9"/>
      <c r="D104" s="9"/>
      <c r="E104" s="10"/>
      <c r="F104" s="11"/>
      <c r="G104" s="11"/>
      <c r="J104" s="12"/>
    </row>
    <row r="105" spans="1:10" ht="15.75" customHeight="1" x14ac:dyDescent="0.2">
      <c r="A105" s="9"/>
      <c r="B105" s="9"/>
      <c r="C105" s="9"/>
      <c r="D105" s="9"/>
      <c r="E105" s="10"/>
      <c r="F105" s="11"/>
      <c r="G105" s="11"/>
      <c r="J105" s="12"/>
    </row>
    <row r="106" spans="1:10" ht="15.75" customHeight="1" x14ac:dyDescent="0.2">
      <c r="A106" s="9"/>
      <c r="B106" s="9"/>
      <c r="C106" s="9"/>
      <c r="D106" s="9"/>
      <c r="E106" s="10"/>
      <c r="F106" s="11"/>
      <c r="G106" s="11"/>
      <c r="J106" s="12"/>
    </row>
    <row r="107" spans="1:10" ht="15.75" customHeight="1" x14ac:dyDescent="0.2">
      <c r="A107" s="9"/>
      <c r="B107" s="9"/>
      <c r="C107" s="9"/>
      <c r="D107" s="9"/>
      <c r="E107" s="10"/>
      <c r="F107" s="11"/>
      <c r="G107" s="11"/>
      <c r="J107" s="12"/>
    </row>
    <row r="108" spans="1:10" ht="15.75" customHeight="1" x14ac:dyDescent="0.2">
      <c r="A108" s="9"/>
      <c r="B108" s="9"/>
      <c r="C108" s="9"/>
      <c r="D108" s="9"/>
      <c r="E108" s="10"/>
      <c r="F108" s="11"/>
      <c r="G108" s="11"/>
      <c r="J108" s="12"/>
    </row>
    <row r="109" spans="1:10" ht="15.75" customHeight="1" x14ac:dyDescent="0.2">
      <c r="A109" s="9"/>
      <c r="B109" s="9"/>
      <c r="C109" s="9"/>
      <c r="D109" s="9"/>
      <c r="E109" s="10"/>
      <c r="F109" s="11"/>
      <c r="G109" s="11"/>
      <c r="J109" s="12"/>
    </row>
    <row r="110" spans="1:10" ht="15.75" customHeight="1" x14ac:dyDescent="0.2">
      <c r="A110" s="9"/>
      <c r="B110" s="9"/>
      <c r="C110" s="9"/>
      <c r="D110" s="9"/>
      <c r="E110" s="10"/>
      <c r="F110" s="11"/>
      <c r="G110" s="11"/>
      <c r="J110" s="12"/>
    </row>
    <row r="111" spans="1:10" ht="15.75" customHeight="1" x14ac:dyDescent="0.2">
      <c r="A111" s="9"/>
      <c r="B111" s="9"/>
      <c r="C111" s="9"/>
      <c r="D111" s="9"/>
      <c r="E111" s="10"/>
      <c r="F111" s="11"/>
      <c r="G111" s="11"/>
      <c r="J111" s="12"/>
    </row>
    <row r="112" spans="1:10" ht="15.75" customHeight="1" x14ac:dyDescent="0.2">
      <c r="A112" s="9"/>
      <c r="B112" s="9"/>
      <c r="C112" s="9"/>
      <c r="D112" s="9"/>
      <c r="E112" s="10"/>
      <c r="F112" s="11"/>
      <c r="G112" s="11"/>
      <c r="J112" s="12"/>
    </row>
    <row r="113" spans="1:10" ht="15.75" customHeight="1" x14ac:dyDescent="0.2">
      <c r="A113" s="9"/>
      <c r="B113" s="9"/>
      <c r="C113" s="9"/>
      <c r="D113" s="9"/>
      <c r="E113" s="10"/>
      <c r="F113" s="11"/>
      <c r="G113" s="11"/>
      <c r="J113" s="12"/>
    </row>
    <row r="114" spans="1:10" ht="15.75" customHeight="1" x14ac:dyDescent="0.2">
      <c r="A114" s="9"/>
      <c r="B114" s="9"/>
      <c r="C114" s="9"/>
      <c r="D114" s="9"/>
      <c r="E114" s="10"/>
      <c r="F114" s="11"/>
      <c r="G114" s="11"/>
      <c r="J114" s="12"/>
    </row>
    <row r="115" spans="1:10" ht="15.75" customHeight="1" x14ac:dyDescent="0.2">
      <c r="A115" s="9"/>
      <c r="B115" s="9"/>
      <c r="C115" s="9"/>
      <c r="D115" s="9"/>
      <c r="E115" s="10"/>
      <c r="F115" s="11"/>
      <c r="G115" s="11"/>
      <c r="J115" s="12"/>
    </row>
    <row r="116" spans="1:10" ht="15.75" customHeight="1" x14ac:dyDescent="0.2">
      <c r="A116" s="9"/>
      <c r="B116" s="9"/>
      <c r="C116" s="9"/>
      <c r="D116" s="9"/>
      <c r="E116" s="10"/>
      <c r="F116" s="11"/>
      <c r="G116" s="11"/>
      <c r="J116" s="12"/>
    </row>
    <row r="117" spans="1:10" ht="15.75" customHeight="1" x14ac:dyDescent="0.2">
      <c r="A117" s="9"/>
      <c r="B117" s="9"/>
      <c r="C117" s="9"/>
      <c r="D117" s="9"/>
      <c r="E117" s="10"/>
      <c r="F117" s="11"/>
      <c r="G117" s="11"/>
      <c r="J117" s="12"/>
    </row>
    <row r="118" spans="1:10" ht="15.75" customHeight="1" x14ac:dyDescent="0.2">
      <c r="A118" s="9"/>
      <c r="B118" s="9"/>
      <c r="C118" s="9"/>
      <c r="D118" s="9"/>
      <c r="E118" s="10"/>
      <c r="F118" s="11"/>
      <c r="G118" s="11"/>
      <c r="J118" s="12"/>
    </row>
    <row r="119" spans="1:10" ht="15.75" customHeight="1" x14ac:dyDescent="0.2">
      <c r="A119" s="9"/>
      <c r="B119" s="9"/>
      <c r="C119" s="9"/>
      <c r="D119" s="9"/>
      <c r="E119" s="10"/>
      <c r="F119" s="11"/>
      <c r="G119" s="11"/>
      <c r="J119" s="12"/>
    </row>
    <row r="120" spans="1:10" ht="15.75" customHeight="1" x14ac:dyDescent="0.2">
      <c r="A120" s="9"/>
      <c r="B120" s="9"/>
      <c r="C120" s="9"/>
      <c r="D120" s="9"/>
      <c r="E120" s="10"/>
      <c r="F120" s="11"/>
      <c r="G120" s="11"/>
      <c r="J120" s="12"/>
    </row>
    <row r="121" spans="1:10" ht="15.75" customHeight="1" x14ac:dyDescent="0.2">
      <c r="A121" s="9"/>
      <c r="B121" s="9"/>
      <c r="C121" s="9"/>
      <c r="D121" s="9"/>
      <c r="E121" s="10"/>
      <c r="F121" s="11"/>
      <c r="G121" s="11"/>
      <c r="J121" s="12"/>
    </row>
    <row r="122" spans="1:10" ht="15.75" customHeight="1" x14ac:dyDescent="0.2">
      <c r="A122" s="9"/>
      <c r="B122" s="9"/>
      <c r="C122" s="9"/>
      <c r="D122" s="9"/>
      <c r="E122" s="10"/>
      <c r="F122" s="11"/>
      <c r="G122" s="11"/>
      <c r="J122" s="12"/>
    </row>
    <row r="123" spans="1:10" ht="15.75" customHeight="1" x14ac:dyDescent="0.2">
      <c r="A123" s="9"/>
      <c r="B123" s="9"/>
      <c r="C123" s="9"/>
      <c r="D123" s="9"/>
      <c r="E123" s="10"/>
      <c r="F123" s="11"/>
      <c r="G123" s="11"/>
      <c r="J123" s="12"/>
    </row>
    <row r="124" spans="1:10" ht="15.75" customHeight="1" x14ac:dyDescent="0.2">
      <c r="A124" s="9"/>
      <c r="B124" s="9"/>
      <c r="C124" s="9"/>
      <c r="D124" s="9"/>
      <c r="E124" s="10"/>
      <c r="F124" s="11"/>
      <c r="G124" s="11"/>
      <c r="J124" s="12"/>
    </row>
    <row r="125" spans="1:10" ht="15.75" customHeight="1" x14ac:dyDescent="0.2">
      <c r="A125" s="9"/>
      <c r="B125" s="9"/>
      <c r="C125" s="9"/>
      <c r="D125" s="9"/>
      <c r="E125" s="10"/>
      <c r="F125" s="11"/>
      <c r="G125" s="11"/>
      <c r="J125" s="12"/>
    </row>
    <row r="126" spans="1:10" ht="15.75" customHeight="1" x14ac:dyDescent="0.2">
      <c r="A126" s="9"/>
      <c r="B126" s="9"/>
      <c r="C126" s="9"/>
      <c r="D126" s="9"/>
      <c r="E126" s="10"/>
      <c r="F126" s="11"/>
      <c r="G126" s="11"/>
      <c r="J126" s="12"/>
    </row>
    <row r="127" spans="1:10" ht="15.75" customHeight="1" x14ac:dyDescent="0.2">
      <c r="A127" s="9"/>
      <c r="B127" s="9"/>
      <c r="C127" s="9"/>
      <c r="D127" s="9"/>
      <c r="E127" s="10"/>
      <c r="F127" s="11"/>
      <c r="G127" s="11"/>
      <c r="J127" s="12"/>
    </row>
    <row r="128" spans="1:10" ht="15.75" customHeight="1" x14ac:dyDescent="0.2">
      <c r="A128" s="9"/>
      <c r="B128" s="9"/>
      <c r="C128" s="9"/>
      <c r="D128" s="9"/>
      <c r="E128" s="10"/>
      <c r="F128" s="11"/>
      <c r="G128" s="11"/>
      <c r="J128" s="12"/>
    </row>
    <row r="129" spans="1:10" ht="15.75" customHeight="1" x14ac:dyDescent="0.2">
      <c r="A129" s="9"/>
      <c r="B129" s="9"/>
      <c r="C129" s="9"/>
      <c r="D129" s="9"/>
      <c r="E129" s="10"/>
      <c r="F129" s="11"/>
      <c r="G129" s="11"/>
      <c r="J129" s="12"/>
    </row>
    <row r="130" spans="1:10" ht="15.75" customHeight="1" x14ac:dyDescent="0.2">
      <c r="A130" s="9"/>
      <c r="B130" s="9"/>
      <c r="C130" s="9"/>
      <c r="D130" s="9"/>
      <c r="E130" s="10"/>
      <c r="F130" s="11"/>
      <c r="G130" s="11"/>
      <c r="J130" s="12"/>
    </row>
    <row r="131" spans="1:10" ht="15.75" customHeight="1" x14ac:dyDescent="0.2">
      <c r="A131" s="9"/>
      <c r="B131" s="9"/>
      <c r="C131" s="9"/>
      <c r="D131" s="9"/>
      <c r="E131" s="10"/>
      <c r="F131" s="11"/>
      <c r="G131" s="11"/>
      <c r="J131" s="12"/>
    </row>
    <row r="132" spans="1:10" ht="15.75" customHeight="1" x14ac:dyDescent="0.2">
      <c r="A132" s="9"/>
      <c r="B132" s="9"/>
      <c r="C132" s="9"/>
      <c r="D132" s="9"/>
      <c r="E132" s="10"/>
      <c r="F132" s="11"/>
      <c r="G132" s="11"/>
      <c r="J132" s="12"/>
    </row>
    <row r="133" spans="1:10" ht="15.75" customHeight="1" x14ac:dyDescent="0.2">
      <c r="A133" s="9"/>
      <c r="B133" s="9"/>
      <c r="C133" s="9"/>
      <c r="D133" s="9"/>
      <c r="E133" s="10"/>
      <c r="F133" s="11"/>
      <c r="G133" s="11"/>
      <c r="J133" s="12"/>
    </row>
    <row r="134" spans="1:10" ht="15.75" customHeight="1" x14ac:dyDescent="0.2">
      <c r="A134" s="9"/>
      <c r="B134" s="9"/>
      <c r="C134" s="9"/>
      <c r="D134" s="9"/>
      <c r="E134" s="10"/>
      <c r="F134" s="11"/>
      <c r="G134" s="11"/>
      <c r="J134" s="12"/>
    </row>
    <row r="135" spans="1:10" ht="15.75" customHeight="1" x14ac:dyDescent="0.2">
      <c r="A135" s="9"/>
      <c r="B135" s="9"/>
      <c r="C135" s="9"/>
      <c r="D135" s="9"/>
      <c r="E135" s="10"/>
      <c r="F135" s="11"/>
      <c r="G135" s="11"/>
      <c r="J135" s="12"/>
    </row>
    <row r="136" spans="1:10" ht="15.75" customHeight="1" x14ac:dyDescent="0.2">
      <c r="A136" s="9"/>
      <c r="B136" s="9"/>
      <c r="C136" s="9"/>
      <c r="D136" s="9"/>
      <c r="E136" s="10"/>
      <c r="F136" s="11"/>
      <c r="G136" s="11"/>
      <c r="J136" s="12"/>
    </row>
    <row r="137" spans="1:10" ht="15.75" customHeight="1" x14ac:dyDescent="0.2">
      <c r="A137" s="9"/>
      <c r="B137" s="9"/>
      <c r="C137" s="9"/>
      <c r="D137" s="9"/>
      <c r="E137" s="10"/>
      <c r="F137" s="11"/>
      <c r="G137" s="11"/>
      <c r="J137" s="12"/>
    </row>
    <row r="138" spans="1:10" ht="15.75" customHeight="1" x14ac:dyDescent="0.2">
      <c r="A138" s="9"/>
      <c r="B138" s="9"/>
      <c r="C138" s="9"/>
      <c r="D138" s="9"/>
      <c r="E138" s="10"/>
      <c r="F138" s="11"/>
      <c r="G138" s="11"/>
      <c r="J138" s="12"/>
    </row>
    <row r="139" spans="1:10" ht="15.75" customHeight="1" x14ac:dyDescent="0.2">
      <c r="A139" s="9"/>
      <c r="B139" s="9"/>
      <c r="C139" s="9"/>
      <c r="D139" s="9"/>
      <c r="E139" s="10"/>
      <c r="F139" s="11"/>
      <c r="G139" s="11"/>
      <c r="J139" s="12"/>
    </row>
    <row r="140" spans="1:10" ht="15.75" customHeight="1" x14ac:dyDescent="0.2">
      <c r="A140" s="9"/>
      <c r="B140" s="9"/>
      <c r="C140" s="9"/>
      <c r="D140" s="9"/>
      <c r="E140" s="10"/>
      <c r="F140" s="11"/>
      <c r="G140" s="11"/>
      <c r="J140" s="12"/>
    </row>
    <row r="141" spans="1:10" ht="15.75" customHeight="1" x14ac:dyDescent="0.2">
      <c r="A141" s="9"/>
      <c r="B141" s="9"/>
      <c r="C141" s="9"/>
      <c r="D141" s="9"/>
      <c r="E141" s="10"/>
      <c r="F141" s="11"/>
      <c r="G141" s="11"/>
      <c r="J141" s="12"/>
    </row>
    <row r="142" spans="1:10" ht="15.75" customHeight="1" x14ac:dyDescent="0.2">
      <c r="A142" s="9"/>
      <c r="B142" s="9"/>
      <c r="C142" s="9"/>
      <c r="D142" s="9"/>
      <c r="E142" s="10"/>
      <c r="F142" s="11"/>
      <c r="G142" s="11"/>
      <c r="J142" s="12"/>
    </row>
    <row r="143" spans="1:10" ht="15.75" customHeight="1" x14ac:dyDescent="0.2">
      <c r="A143" s="9"/>
      <c r="B143" s="9"/>
      <c r="C143" s="9"/>
      <c r="D143" s="9"/>
      <c r="E143" s="10"/>
      <c r="F143" s="11"/>
      <c r="G143" s="11"/>
      <c r="J143" s="12"/>
    </row>
    <row r="144" spans="1:10" ht="15.75" customHeight="1" x14ac:dyDescent="0.2">
      <c r="A144" s="9"/>
      <c r="B144" s="9"/>
      <c r="C144" s="9"/>
      <c r="D144" s="9"/>
      <c r="E144" s="10"/>
      <c r="F144" s="11"/>
      <c r="G144" s="11"/>
      <c r="J144" s="12"/>
    </row>
    <row r="145" spans="1:10" ht="15.75" customHeight="1" x14ac:dyDescent="0.2">
      <c r="A145" s="9"/>
      <c r="B145" s="9"/>
      <c r="C145" s="9"/>
      <c r="D145" s="9"/>
      <c r="E145" s="10"/>
      <c r="F145" s="11"/>
      <c r="G145" s="11"/>
      <c r="J145" s="12"/>
    </row>
    <row r="146" spans="1:10" ht="15.75" customHeight="1" x14ac:dyDescent="0.2">
      <c r="A146" s="9"/>
      <c r="B146" s="9"/>
      <c r="C146" s="9"/>
      <c r="D146" s="9"/>
      <c r="E146" s="10"/>
      <c r="F146" s="11"/>
      <c r="G146" s="11"/>
      <c r="J146" s="12"/>
    </row>
    <row r="147" spans="1:10" ht="15.75" customHeight="1" x14ac:dyDescent="0.2">
      <c r="A147" s="9"/>
      <c r="B147" s="9"/>
      <c r="C147" s="9"/>
      <c r="D147" s="9"/>
      <c r="E147" s="10"/>
      <c r="F147" s="11"/>
      <c r="G147" s="11"/>
      <c r="J147" s="12"/>
    </row>
    <row r="148" spans="1:10" ht="15.75" customHeight="1" x14ac:dyDescent="0.2">
      <c r="A148" s="9"/>
      <c r="B148" s="9"/>
      <c r="C148" s="9"/>
      <c r="D148" s="9"/>
      <c r="E148" s="10"/>
      <c r="F148" s="11"/>
      <c r="G148" s="11"/>
      <c r="J148" s="12"/>
    </row>
    <row r="149" spans="1:10" ht="15.75" customHeight="1" x14ac:dyDescent="0.2">
      <c r="A149" s="9"/>
      <c r="B149" s="9"/>
      <c r="C149" s="9"/>
      <c r="D149" s="9"/>
      <c r="E149" s="10"/>
      <c r="F149" s="11"/>
      <c r="G149" s="11"/>
      <c r="J149" s="12"/>
    </row>
    <row r="150" spans="1:10" ht="15.75" customHeight="1" x14ac:dyDescent="0.2">
      <c r="A150" s="9"/>
      <c r="B150" s="9"/>
      <c r="C150" s="9"/>
      <c r="D150" s="9"/>
      <c r="E150" s="10"/>
      <c r="F150" s="11"/>
      <c r="G150" s="11"/>
      <c r="J150" s="12"/>
    </row>
    <row r="151" spans="1:10" ht="15.75" customHeight="1" x14ac:dyDescent="0.2">
      <c r="A151" s="9"/>
      <c r="B151" s="9"/>
      <c r="C151" s="9"/>
      <c r="D151" s="9"/>
      <c r="E151" s="10"/>
      <c r="F151" s="11"/>
      <c r="G151" s="11"/>
      <c r="J151" s="12"/>
    </row>
    <row r="152" spans="1:10" ht="15.75" customHeight="1" x14ac:dyDescent="0.2">
      <c r="A152" s="9"/>
      <c r="B152" s="9"/>
      <c r="C152" s="9"/>
      <c r="D152" s="9"/>
      <c r="E152" s="10"/>
      <c r="F152" s="11"/>
      <c r="G152" s="11"/>
      <c r="J152" s="12"/>
    </row>
    <row r="153" spans="1:10" ht="15.75" customHeight="1" x14ac:dyDescent="0.2">
      <c r="A153" s="9"/>
      <c r="B153" s="9"/>
      <c r="C153" s="9"/>
      <c r="D153" s="9"/>
      <c r="E153" s="10"/>
      <c r="F153" s="11"/>
      <c r="G153" s="11"/>
      <c r="J153" s="12"/>
    </row>
    <row r="154" spans="1:10" ht="15.75" customHeight="1" x14ac:dyDescent="0.2">
      <c r="A154" s="9"/>
      <c r="B154" s="9"/>
      <c r="C154" s="9"/>
      <c r="D154" s="9"/>
      <c r="E154" s="10"/>
      <c r="F154" s="11"/>
      <c r="G154" s="11"/>
      <c r="J154" s="12"/>
    </row>
    <row r="155" spans="1:10" ht="15.75" customHeight="1" x14ac:dyDescent="0.2">
      <c r="A155" s="9"/>
      <c r="B155" s="9"/>
      <c r="C155" s="9"/>
      <c r="D155" s="9"/>
      <c r="E155" s="10"/>
      <c r="F155" s="11"/>
      <c r="G155" s="11"/>
      <c r="J155" s="12"/>
    </row>
    <row r="156" spans="1:10" ht="15.75" customHeight="1" x14ac:dyDescent="0.2">
      <c r="A156" s="9"/>
      <c r="B156" s="9"/>
      <c r="C156" s="9"/>
      <c r="D156" s="9"/>
      <c r="E156" s="10"/>
      <c r="F156" s="11"/>
      <c r="G156" s="11"/>
      <c r="J156" s="12"/>
    </row>
    <row r="157" spans="1:10" ht="15.75" customHeight="1" x14ac:dyDescent="0.2">
      <c r="A157" s="9"/>
      <c r="B157" s="9"/>
      <c r="C157" s="9"/>
      <c r="D157" s="9"/>
      <c r="E157" s="10"/>
      <c r="F157" s="11"/>
      <c r="G157" s="11"/>
      <c r="J157" s="12"/>
    </row>
    <row r="158" spans="1:10" ht="15.75" customHeight="1" x14ac:dyDescent="0.2">
      <c r="A158" s="9"/>
      <c r="B158" s="9"/>
      <c r="C158" s="9"/>
      <c r="D158" s="9"/>
      <c r="E158" s="10"/>
      <c r="F158" s="11"/>
      <c r="G158" s="11"/>
      <c r="J158" s="12"/>
    </row>
    <row r="159" spans="1:10" ht="15.75" customHeight="1" x14ac:dyDescent="0.2">
      <c r="A159" s="9"/>
      <c r="B159" s="9"/>
      <c r="C159" s="9"/>
      <c r="D159" s="9"/>
      <c r="E159" s="10"/>
      <c r="F159" s="11"/>
      <c r="G159" s="11"/>
      <c r="J159" s="12"/>
    </row>
    <row r="160" spans="1:10" ht="15.75" customHeight="1" x14ac:dyDescent="0.2">
      <c r="A160" s="9"/>
      <c r="B160" s="9"/>
      <c r="C160" s="9"/>
      <c r="D160" s="9"/>
      <c r="E160" s="10"/>
      <c r="F160" s="11"/>
      <c r="G160" s="11"/>
      <c r="J160" s="12"/>
    </row>
    <row r="161" spans="1:10" ht="15.75" customHeight="1" x14ac:dyDescent="0.2">
      <c r="A161" s="9"/>
      <c r="B161" s="9"/>
      <c r="C161" s="9"/>
      <c r="D161" s="9"/>
      <c r="E161" s="10"/>
      <c r="F161" s="11"/>
      <c r="G161" s="11"/>
      <c r="J161" s="12"/>
    </row>
    <row r="162" spans="1:10" ht="15.75" customHeight="1" x14ac:dyDescent="0.2">
      <c r="A162" s="9"/>
      <c r="B162" s="9"/>
      <c r="C162" s="9"/>
      <c r="D162" s="9"/>
      <c r="E162" s="10"/>
      <c r="F162" s="11"/>
      <c r="G162" s="11"/>
      <c r="J162" s="12"/>
    </row>
    <row r="163" spans="1:10" ht="15.75" customHeight="1" x14ac:dyDescent="0.2">
      <c r="A163" s="9"/>
      <c r="B163" s="9"/>
      <c r="C163" s="9"/>
      <c r="D163" s="9"/>
      <c r="E163" s="10"/>
      <c r="F163" s="11"/>
      <c r="G163" s="11"/>
      <c r="J163" s="12"/>
    </row>
    <row r="164" spans="1:10" ht="15.75" customHeight="1" x14ac:dyDescent="0.2">
      <c r="A164" s="9"/>
      <c r="B164" s="9"/>
      <c r="C164" s="9"/>
      <c r="D164" s="9"/>
      <c r="E164" s="10"/>
      <c r="F164" s="11"/>
      <c r="G164" s="11"/>
      <c r="J164" s="12"/>
    </row>
    <row r="165" spans="1:10" ht="15.75" customHeight="1" x14ac:dyDescent="0.2">
      <c r="A165" s="9"/>
      <c r="B165" s="9"/>
      <c r="C165" s="9"/>
      <c r="D165" s="9"/>
      <c r="E165" s="10"/>
      <c r="F165" s="11"/>
      <c r="G165" s="11"/>
      <c r="J165" s="12"/>
    </row>
    <row r="166" spans="1:10" ht="15.75" customHeight="1" x14ac:dyDescent="0.2">
      <c r="A166" s="9"/>
      <c r="B166" s="9"/>
      <c r="C166" s="9"/>
      <c r="D166" s="9"/>
      <c r="E166" s="10"/>
      <c r="F166" s="11"/>
      <c r="G166" s="11"/>
      <c r="J166" s="12"/>
    </row>
    <row r="167" spans="1:10" ht="15.75" customHeight="1" x14ac:dyDescent="0.2">
      <c r="A167" s="9"/>
      <c r="B167" s="9"/>
      <c r="C167" s="9"/>
      <c r="D167" s="9"/>
      <c r="E167" s="10"/>
      <c r="F167" s="11"/>
      <c r="G167" s="11"/>
      <c r="J167" s="12"/>
    </row>
    <row r="168" spans="1:10" ht="15.75" customHeight="1" x14ac:dyDescent="0.2">
      <c r="A168" s="9"/>
      <c r="B168" s="9"/>
      <c r="C168" s="9"/>
      <c r="D168" s="9"/>
      <c r="E168" s="10"/>
      <c r="F168" s="11"/>
      <c r="G168" s="11"/>
      <c r="J168" s="12"/>
    </row>
    <row r="169" spans="1:10" ht="15.75" customHeight="1" x14ac:dyDescent="0.2">
      <c r="A169" s="9"/>
      <c r="B169" s="9"/>
      <c r="C169" s="9"/>
      <c r="D169" s="9"/>
      <c r="E169" s="10"/>
      <c r="F169" s="11"/>
      <c r="G169" s="11"/>
      <c r="J169" s="12"/>
    </row>
    <row r="170" spans="1:10" ht="15.75" customHeight="1" x14ac:dyDescent="0.2">
      <c r="A170" s="9"/>
      <c r="B170" s="9"/>
      <c r="C170" s="9"/>
      <c r="D170" s="9"/>
      <c r="E170" s="10"/>
      <c r="F170" s="11"/>
      <c r="G170" s="11"/>
      <c r="J170" s="12"/>
    </row>
    <row r="171" spans="1:10" ht="15.75" customHeight="1" x14ac:dyDescent="0.2">
      <c r="A171" s="9"/>
      <c r="B171" s="9"/>
      <c r="C171" s="9"/>
      <c r="D171" s="9"/>
      <c r="E171" s="10"/>
      <c r="F171" s="11"/>
      <c r="G171" s="11"/>
      <c r="J171" s="12"/>
    </row>
    <row r="172" spans="1:10" ht="15.75" customHeight="1" x14ac:dyDescent="0.2">
      <c r="A172" s="9"/>
      <c r="B172" s="9"/>
      <c r="C172" s="9"/>
      <c r="D172" s="9"/>
      <c r="E172" s="10"/>
      <c r="F172" s="11"/>
      <c r="G172" s="11"/>
      <c r="J172" s="12"/>
    </row>
    <row r="173" spans="1:10" ht="15.75" customHeight="1" x14ac:dyDescent="0.2">
      <c r="A173" s="9"/>
      <c r="B173" s="9"/>
      <c r="C173" s="9"/>
      <c r="D173" s="9"/>
      <c r="E173" s="10"/>
      <c r="F173" s="11"/>
      <c r="G173" s="11"/>
      <c r="J173" s="12"/>
    </row>
    <row r="174" spans="1:10" ht="15.75" customHeight="1" x14ac:dyDescent="0.2">
      <c r="A174" s="9"/>
      <c r="B174" s="9"/>
      <c r="C174" s="9"/>
      <c r="D174" s="9"/>
      <c r="E174" s="10"/>
      <c r="F174" s="11"/>
      <c r="G174" s="11"/>
      <c r="J174" s="12"/>
    </row>
    <row r="175" spans="1:10" ht="15.75" customHeight="1" x14ac:dyDescent="0.2">
      <c r="A175" s="9"/>
      <c r="B175" s="9"/>
      <c r="C175" s="9"/>
      <c r="D175" s="9"/>
      <c r="E175" s="10"/>
      <c r="F175" s="11"/>
      <c r="G175" s="11"/>
      <c r="J175" s="12"/>
    </row>
    <row r="176" spans="1:10" ht="15.75" customHeight="1" x14ac:dyDescent="0.2">
      <c r="A176" s="9"/>
      <c r="B176" s="9"/>
      <c r="C176" s="9"/>
      <c r="D176" s="9"/>
      <c r="E176" s="10"/>
      <c r="F176" s="11"/>
      <c r="G176" s="11"/>
      <c r="J176" s="12"/>
    </row>
    <row r="177" spans="1:10" ht="15.75" customHeight="1" x14ac:dyDescent="0.2">
      <c r="A177" s="9"/>
      <c r="B177" s="9"/>
      <c r="C177" s="9"/>
      <c r="D177" s="9"/>
      <c r="E177" s="10"/>
      <c r="F177" s="11"/>
      <c r="G177" s="11"/>
      <c r="J177" s="12"/>
    </row>
    <row r="178" spans="1:10" ht="15.75" customHeight="1" x14ac:dyDescent="0.2">
      <c r="A178" s="9"/>
      <c r="B178" s="9"/>
      <c r="C178" s="9"/>
      <c r="D178" s="9"/>
      <c r="E178" s="10"/>
      <c r="F178" s="11"/>
      <c r="G178" s="11"/>
      <c r="J178" s="12"/>
    </row>
    <row r="179" spans="1:10" ht="15.75" customHeight="1" x14ac:dyDescent="0.2">
      <c r="A179" s="9"/>
      <c r="B179" s="9"/>
      <c r="C179" s="9"/>
      <c r="D179" s="9"/>
      <c r="E179" s="10"/>
      <c r="F179" s="11"/>
      <c r="G179" s="11"/>
      <c r="J179" s="12"/>
    </row>
    <row r="180" spans="1:10" ht="15.75" customHeight="1" x14ac:dyDescent="0.2">
      <c r="A180" s="9"/>
      <c r="B180" s="9"/>
      <c r="C180" s="9"/>
      <c r="D180" s="9"/>
      <c r="E180" s="10"/>
      <c r="F180" s="11"/>
      <c r="G180" s="11"/>
      <c r="J180" s="12"/>
    </row>
    <row r="181" spans="1:10" ht="15.75" customHeight="1" x14ac:dyDescent="0.2">
      <c r="A181" s="9"/>
      <c r="B181" s="9"/>
      <c r="C181" s="9"/>
      <c r="D181" s="9"/>
      <c r="E181" s="10"/>
      <c r="F181" s="11"/>
      <c r="G181" s="11"/>
      <c r="J181" s="12"/>
    </row>
    <row r="182" spans="1:10" ht="15.75" customHeight="1" x14ac:dyDescent="0.2">
      <c r="A182" s="9"/>
      <c r="B182" s="9"/>
      <c r="C182" s="9"/>
      <c r="D182" s="9"/>
      <c r="E182" s="10"/>
      <c r="F182" s="11"/>
      <c r="G182" s="11"/>
      <c r="J182" s="12"/>
    </row>
    <row r="183" spans="1:10" ht="15.75" customHeight="1" x14ac:dyDescent="0.2">
      <c r="A183" s="9"/>
      <c r="B183" s="9"/>
      <c r="C183" s="9"/>
      <c r="D183" s="9"/>
      <c r="E183" s="10"/>
      <c r="F183" s="11"/>
      <c r="G183" s="11"/>
      <c r="J183" s="12"/>
    </row>
    <row r="184" spans="1:10" ht="15.75" customHeight="1" x14ac:dyDescent="0.2">
      <c r="A184" s="9"/>
      <c r="B184" s="9"/>
      <c r="C184" s="9"/>
      <c r="D184" s="9"/>
      <c r="E184" s="10"/>
      <c r="F184" s="11"/>
      <c r="G184" s="11"/>
      <c r="J184" s="12"/>
    </row>
    <row r="185" spans="1:10" ht="15.75" customHeight="1" x14ac:dyDescent="0.2">
      <c r="A185" s="9"/>
      <c r="B185" s="9"/>
      <c r="C185" s="9"/>
      <c r="D185" s="9"/>
      <c r="E185" s="10"/>
      <c r="F185" s="11"/>
      <c r="G185" s="11"/>
      <c r="J185" s="12"/>
    </row>
    <row r="186" spans="1:10" ht="15.75" customHeight="1" x14ac:dyDescent="0.2">
      <c r="A186" s="9"/>
      <c r="B186" s="9"/>
      <c r="C186" s="9"/>
      <c r="D186" s="9"/>
      <c r="E186" s="10"/>
      <c r="F186" s="11"/>
      <c r="G186" s="11"/>
      <c r="J186" s="12"/>
    </row>
    <row r="187" spans="1:10" ht="15.75" customHeight="1" x14ac:dyDescent="0.2">
      <c r="A187" s="9"/>
      <c r="B187" s="9"/>
      <c r="C187" s="9"/>
      <c r="D187" s="9"/>
      <c r="E187" s="10"/>
      <c r="F187" s="11"/>
      <c r="G187" s="11"/>
      <c r="J187" s="12"/>
    </row>
    <row r="188" spans="1:10" ht="15.75" customHeight="1" x14ac:dyDescent="0.2">
      <c r="A188" s="9"/>
      <c r="B188" s="9"/>
      <c r="C188" s="9"/>
      <c r="D188" s="9"/>
      <c r="E188" s="10"/>
      <c r="F188" s="11"/>
      <c r="G188" s="11"/>
      <c r="J188" s="12"/>
    </row>
    <row r="189" spans="1:10" ht="15.75" customHeight="1" x14ac:dyDescent="0.2">
      <c r="A189" s="9"/>
      <c r="B189" s="9"/>
      <c r="C189" s="9"/>
      <c r="D189" s="9"/>
      <c r="E189" s="10"/>
      <c r="F189" s="11"/>
      <c r="G189" s="11"/>
      <c r="J189" s="12"/>
    </row>
    <row r="190" spans="1:10" ht="15.75" customHeight="1" x14ac:dyDescent="0.2">
      <c r="A190" s="9"/>
      <c r="B190" s="9"/>
      <c r="C190" s="9"/>
      <c r="D190" s="9"/>
      <c r="E190" s="10"/>
      <c r="F190" s="11"/>
      <c r="G190" s="11"/>
      <c r="J190" s="12"/>
    </row>
    <row r="191" spans="1:10" ht="15.75" customHeight="1" x14ac:dyDescent="0.2">
      <c r="A191" s="9"/>
      <c r="B191" s="9"/>
      <c r="C191" s="9"/>
      <c r="D191" s="9"/>
      <c r="E191" s="10"/>
      <c r="F191" s="11"/>
      <c r="G191" s="11"/>
      <c r="J191" s="12"/>
    </row>
    <row r="192" spans="1:10" ht="15.75" customHeight="1" x14ac:dyDescent="0.2">
      <c r="A192" s="9"/>
      <c r="B192" s="9"/>
      <c r="C192" s="9"/>
      <c r="D192" s="9"/>
      <c r="E192" s="10"/>
      <c r="F192" s="11"/>
      <c r="G192" s="11"/>
      <c r="J192" s="12"/>
    </row>
    <row r="193" spans="1:10" ht="15.75" customHeight="1" x14ac:dyDescent="0.2">
      <c r="A193" s="9"/>
      <c r="B193" s="9"/>
      <c r="C193" s="9"/>
      <c r="D193" s="9"/>
      <c r="E193" s="10"/>
      <c r="F193" s="11"/>
      <c r="G193" s="11"/>
      <c r="J193" s="12"/>
    </row>
    <row r="194" spans="1:10" ht="15.75" customHeight="1" x14ac:dyDescent="0.2">
      <c r="A194" s="9"/>
      <c r="B194" s="9"/>
      <c r="C194" s="9"/>
      <c r="D194" s="9"/>
      <c r="E194" s="10"/>
      <c r="F194" s="11"/>
      <c r="G194" s="11"/>
      <c r="J194" s="12"/>
    </row>
    <row r="195" spans="1:10" ht="15.75" customHeight="1" x14ac:dyDescent="0.2">
      <c r="A195" s="9"/>
      <c r="B195" s="9"/>
      <c r="C195" s="9"/>
      <c r="D195" s="9"/>
      <c r="E195" s="10"/>
      <c r="F195" s="11"/>
      <c r="G195" s="11"/>
      <c r="J195" s="12"/>
    </row>
    <row r="196" spans="1:10" ht="15.75" customHeight="1" x14ac:dyDescent="0.2">
      <c r="A196" s="9"/>
      <c r="B196" s="9"/>
      <c r="C196" s="9"/>
      <c r="D196" s="9"/>
      <c r="E196" s="10"/>
      <c r="F196" s="11"/>
      <c r="G196" s="11"/>
      <c r="J196" s="12"/>
    </row>
    <row r="197" spans="1:10" ht="15.75" customHeight="1" x14ac:dyDescent="0.2">
      <c r="A197" s="9"/>
      <c r="B197" s="9"/>
      <c r="C197" s="9"/>
      <c r="D197" s="9"/>
      <c r="E197" s="10"/>
      <c r="F197" s="11"/>
      <c r="G197" s="11"/>
      <c r="J197" s="12"/>
    </row>
    <row r="198" spans="1:10" ht="15.75" customHeight="1" x14ac:dyDescent="0.2">
      <c r="A198" s="9"/>
      <c r="B198" s="9"/>
      <c r="C198" s="9"/>
      <c r="D198" s="9"/>
      <c r="E198" s="10"/>
      <c r="F198" s="11"/>
      <c r="G198" s="11"/>
      <c r="J198" s="12"/>
    </row>
    <row r="199" spans="1:10" ht="15.75" customHeight="1" x14ac:dyDescent="0.2">
      <c r="A199" s="9"/>
      <c r="B199" s="9"/>
      <c r="C199" s="9"/>
      <c r="D199" s="9"/>
      <c r="E199" s="10"/>
      <c r="F199" s="11"/>
      <c r="G199" s="11"/>
      <c r="J199" s="12"/>
    </row>
    <row r="200" spans="1:10" ht="15.75" customHeight="1" x14ac:dyDescent="0.2">
      <c r="A200" s="9"/>
      <c r="B200" s="9"/>
      <c r="C200" s="9"/>
      <c r="D200" s="9"/>
      <c r="E200" s="10"/>
      <c r="F200" s="11"/>
      <c r="G200" s="11"/>
      <c r="J200" s="12"/>
    </row>
    <row r="201" spans="1:10" ht="15.75" customHeight="1" x14ac:dyDescent="0.2">
      <c r="A201" s="9"/>
      <c r="B201" s="9"/>
      <c r="C201" s="9"/>
      <c r="D201" s="9"/>
      <c r="E201" s="10"/>
      <c r="F201" s="11"/>
      <c r="G201" s="11"/>
      <c r="J201" s="12"/>
    </row>
    <row r="202" spans="1:10" ht="15.75" customHeight="1" x14ac:dyDescent="0.2">
      <c r="A202" s="9"/>
      <c r="B202" s="9"/>
      <c r="C202" s="9"/>
      <c r="D202" s="9"/>
      <c r="E202" s="10"/>
      <c r="F202" s="11"/>
      <c r="G202" s="11"/>
      <c r="J202" s="12"/>
    </row>
    <row r="203" spans="1:10" ht="15.75" customHeight="1" x14ac:dyDescent="0.2">
      <c r="A203" s="9"/>
      <c r="B203" s="9"/>
      <c r="C203" s="9"/>
      <c r="D203" s="9"/>
      <c r="E203" s="10"/>
      <c r="F203" s="11"/>
      <c r="G203" s="11"/>
      <c r="J203" s="12"/>
    </row>
    <row r="204" spans="1:10" ht="15.75" customHeight="1" x14ac:dyDescent="0.2">
      <c r="A204" s="9"/>
      <c r="B204" s="9"/>
      <c r="C204" s="9"/>
      <c r="D204" s="9"/>
      <c r="E204" s="10"/>
      <c r="F204" s="11"/>
      <c r="G204" s="11"/>
      <c r="J204" s="12"/>
    </row>
    <row r="205" spans="1:10" ht="15.75" customHeight="1" x14ac:dyDescent="0.2">
      <c r="A205" s="9"/>
      <c r="B205" s="9"/>
      <c r="C205" s="9"/>
      <c r="D205" s="9"/>
      <c r="E205" s="10"/>
      <c r="F205" s="11"/>
      <c r="G205" s="11"/>
      <c r="J205" s="12"/>
    </row>
    <row r="206" spans="1:10" ht="15.75" customHeight="1" x14ac:dyDescent="0.2">
      <c r="A206" s="9"/>
      <c r="B206" s="9"/>
      <c r="C206" s="9"/>
      <c r="D206" s="9"/>
      <c r="E206" s="10"/>
      <c r="F206" s="11"/>
      <c r="G206" s="11"/>
      <c r="J206" s="12"/>
    </row>
    <row r="207" spans="1:10" ht="15.75" customHeight="1" x14ac:dyDescent="0.2"/>
    <row r="208" spans="1:10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</sheetData>
  <mergeCells count="10">
    <mergeCell ref="A1:C4"/>
    <mergeCell ref="A5:I6"/>
    <mergeCell ref="C7:F7"/>
    <mergeCell ref="A8:B8"/>
    <mergeCell ref="D8:E8"/>
    <mergeCell ref="A17:I17"/>
    <mergeCell ref="A9:B9"/>
    <mergeCell ref="A12:C12"/>
    <mergeCell ref="D9:E9"/>
    <mergeCell ref="F12:I12"/>
  </mergeCells>
  <printOptions horizontalCentered="1"/>
  <pageMargins left="0.7" right="0.7" top="0.75" bottom="0.75" header="0" footer="0"/>
  <pageSetup paperSize="9" scale="95" fitToHeight="0" pageOrder="overThenDown" orientation="landscape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Récap</vt:lpstr>
      <vt:lpstr>Liste de la paie</vt:lpstr>
      <vt:lpstr>ETAT EMARGEMENT</vt:lpstr>
      <vt:lpstr>PV de la Paie</vt:lpstr>
      <vt:lpstr>'ETAT EMARGEMENT'!Zone_d_impression</vt:lpstr>
      <vt:lpstr>'Liste de la paie'!Zone_d_impression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ReffaseOthmane</dc:creator>
  <cp:lastModifiedBy>ACHRAF</cp:lastModifiedBy>
  <cp:lastPrinted>2026-02-26T10:44:33Z</cp:lastPrinted>
  <dcterms:created xsi:type="dcterms:W3CDTF">2023-12-21T12:10:12Z</dcterms:created>
  <dcterms:modified xsi:type="dcterms:W3CDTF">2026-04-14T10:23:10Z</dcterms:modified>
</cp:coreProperties>
</file>