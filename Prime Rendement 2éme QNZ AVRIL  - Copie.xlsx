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ime Rendement\"/>
    </mc:Choice>
  </mc:AlternateContent>
  <xr:revisionPtr revIDLastSave="0" documentId="13_ncr:1_{7C266734-F924-4442-9648-A15BD4D43CB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Total" sheetId="1" r:id="rId1"/>
    <sheet name="F1" sheetId="2" r:id="rId2"/>
    <sheet name="f5" sheetId="3" r:id="rId3"/>
    <sheet name="comp .mer" sheetId="4" r:id="rId4"/>
    <sheet name="Feuil2" sheetId="5" r:id="rId5"/>
  </sheets>
  <definedNames>
    <definedName name="_xlnm._FilterDatabase" localSheetId="1" hidden="1">'F1'!$A$1:$S$164</definedName>
    <definedName name="_xlnm._FilterDatabase" localSheetId="2" hidden="1">'f5'!$A$1:$S$143</definedName>
    <definedName name="_xlnm.Print_Titles" localSheetId="1">'F1'!$1:$1</definedName>
    <definedName name="_xlnm.Print_Titles" localSheetId="2">'f5'!$1:$1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AG308" i="1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D143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S142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S141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S140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S139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S138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S137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S136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S135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S134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S133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S132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S131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S130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S129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S128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S127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S126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S125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S124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S123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S122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S121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S120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S119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S118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S117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S116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S115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S114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S113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S112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S111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S110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S109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S108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S107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S106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S105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S104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S103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S102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S101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S100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S99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S98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S97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S96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S95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S94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S93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S92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S91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S90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S89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S88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S87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S86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S85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S84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S83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S82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S81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S80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S79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S78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S77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S76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S75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AM74" i="3" s="1"/>
  <c r="S74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S73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S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S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S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S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S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S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AM66" i="3" s="1"/>
  <c r="S66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S65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S64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S63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S62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S61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S60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S59" i="3"/>
  <c r="AL58" i="3"/>
  <c r="AK58" i="3"/>
  <c r="AJ58" i="3"/>
  <c r="AI58" i="3"/>
  <c r="AH58" i="3"/>
  <c r="AG58" i="3"/>
  <c r="AF58" i="3"/>
  <c r="AE58" i="3"/>
  <c r="AM58" i="3" s="1"/>
  <c r="AD58" i="3"/>
  <c r="AC58" i="3"/>
  <c r="AB58" i="3"/>
  <c r="AA58" i="3"/>
  <c r="Z58" i="3"/>
  <c r="Y58" i="3"/>
  <c r="X58" i="3"/>
  <c r="S58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S57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S56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S55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S54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S53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S52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S51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AM50" i="3" s="1"/>
  <c r="S50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AM49" i="3" s="1"/>
  <c r="S49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AM48" i="3" s="1"/>
  <c r="S48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S47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AM46" i="3" s="1"/>
  <c r="S46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AM45" i="3" s="1"/>
  <c r="S45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S44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AM43" i="3" s="1"/>
  <c r="S43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AM42" i="3" s="1"/>
  <c r="X42" i="3"/>
  <c r="S42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S41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S40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S39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S38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S37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AM36" i="3" s="1"/>
  <c r="X36" i="3"/>
  <c r="S36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S35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AM34" i="3" s="1"/>
  <c r="Y34" i="3"/>
  <c r="X34" i="3"/>
  <c r="S34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S33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S32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AM31" i="3" s="1"/>
  <c r="Y31" i="3"/>
  <c r="X31" i="3"/>
  <c r="S31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S30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S29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S28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S27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S26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S25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S24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AM23" i="3" s="1"/>
  <c r="Y23" i="3"/>
  <c r="X23" i="3"/>
  <c r="S23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S22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S21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S20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S19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AM18" i="3" s="1"/>
  <c r="Z18" i="3"/>
  <c r="Y18" i="3"/>
  <c r="X18" i="3"/>
  <c r="S18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S17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S16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S15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S14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S13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S12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S11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S10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S9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S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S7" i="3"/>
  <c r="AL6" i="3"/>
  <c r="AK6" i="3"/>
  <c r="AJ6" i="3"/>
  <c r="AI6" i="3"/>
  <c r="AH6" i="3"/>
  <c r="AG6" i="3"/>
  <c r="AF6" i="3"/>
  <c r="AE6" i="3"/>
  <c r="AD6" i="3"/>
  <c r="AC6" i="3"/>
  <c r="AB6" i="3"/>
  <c r="AA6" i="3"/>
  <c r="AM6" i="3" s="1"/>
  <c r="Z6" i="3"/>
  <c r="Y6" i="3"/>
  <c r="X6" i="3"/>
  <c r="S6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S5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S4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S3" i="3"/>
  <c r="AL2" i="3"/>
  <c r="AL143" i="3" s="1"/>
  <c r="AK2" i="3"/>
  <c r="AK143" i="3" s="1"/>
  <c r="AJ2" i="3"/>
  <c r="AJ143" i="3" s="1"/>
  <c r="AI2" i="3"/>
  <c r="AI143" i="3" s="1"/>
  <c r="AH2" i="3"/>
  <c r="AH143" i="3" s="1"/>
  <c r="AG2" i="3"/>
  <c r="AG143" i="3" s="1"/>
  <c r="AF2" i="3"/>
  <c r="AF143" i="3" s="1"/>
  <c r="AE2" i="3"/>
  <c r="AE143" i="3" s="1"/>
  <c r="AD2" i="3"/>
  <c r="AD143" i="3" s="1"/>
  <c r="AC2" i="3"/>
  <c r="AC143" i="3" s="1"/>
  <c r="AB2" i="3"/>
  <c r="AM2" i="3" s="1"/>
  <c r="AA2" i="3"/>
  <c r="AA143" i="3" s="1"/>
  <c r="Z2" i="3"/>
  <c r="Z143" i="3" s="1"/>
  <c r="Y2" i="3"/>
  <c r="Y143" i="3" s="1"/>
  <c r="X2" i="3"/>
  <c r="X143" i="3" s="1"/>
  <c r="S2" i="3"/>
  <c r="S143" i="3" s="1"/>
  <c r="AG165" i="1"/>
  <c r="AH165" i="1"/>
  <c r="AI165" i="1"/>
  <c r="AJ165" i="1"/>
  <c r="AK165" i="1"/>
  <c r="AL165" i="1"/>
  <c r="AG166" i="1"/>
  <c r="AH166" i="1"/>
  <c r="AI166" i="1"/>
  <c r="AJ166" i="1"/>
  <c r="AK166" i="1"/>
  <c r="AL166" i="1"/>
  <c r="AG167" i="1"/>
  <c r="AH167" i="1"/>
  <c r="AI167" i="1"/>
  <c r="AJ167" i="1"/>
  <c r="AK167" i="1"/>
  <c r="AL167" i="1"/>
  <c r="AG168" i="1"/>
  <c r="AH168" i="1"/>
  <c r="AI168" i="1"/>
  <c r="AJ168" i="1"/>
  <c r="AK168" i="1"/>
  <c r="AL168" i="1"/>
  <c r="AG169" i="1"/>
  <c r="AH169" i="1"/>
  <c r="AI169" i="1"/>
  <c r="AJ169" i="1"/>
  <c r="AK169" i="1"/>
  <c r="AL169" i="1"/>
  <c r="AG170" i="1"/>
  <c r="AH170" i="1"/>
  <c r="AI170" i="1"/>
  <c r="AJ170" i="1"/>
  <c r="AK170" i="1"/>
  <c r="AL170" i="1"/>
  <c r="AG171" i="1"/>
  <c r="AH171" i="1"/>
  <c r="AI171" i="1"/>
  <c r="AJ171" i="1"/>
  <c r="AK171" i="1"/>
  <c r="AL171" i="1"/>
  <c r="AG172" i="1"/>
  <c r="AH172" i="1"/>
  <c r="AI172" i="1"/>
  <c r="AJ172" i="1"/>
  <c r="AK172" i="1"/>
  <c r="AL172" i="1"/>
  <c r="AG173" i="1"/>
  <c r="AH173" i="1"/>
  <c r="AI173" i="1"/>
  <c r="AJ173" i="1"/>
  <c r="AK173" i="1"/>
  <c r="AL173" i="1"/>
  <c r="AG174" i="1"/>
  <c r="AH174" i="1"/>
  <c r="AI174" i="1"/>
  <c r="AJ174" i="1"/>
  <c r="AK174" i="1"/>
  <c r="AL174" i="1"/>
  <c r="AG175" i="1"/>
  <c r="AH175" i="1"/>
  <c r="AI175" i="1"/>
  <c r="AJ175" i="1"/>
  <c r="AK175" i="1"/>
  <c r="AL175" i="1"/>
  <c r="AG176" i="1"/>
  <c r="AH176" i="1"/>
  <c r="AI176" i="1"/>
  <c r="AJ176" i="1"/>
  <c r="AK176" i="1"/>
  <c r="AL176" i="1"/>
  <c r="AG177" i="1"/>
  <c r="AH177" i="1"/>
  <c r="AI177" i="1"/>
  <c r="AJ177" i="1"/>
  <c r="AK177" i="1"/>
  <c r="AL177" i="1"/>
  <c r="AG178" i="1"/>
  <c r="AH178" i="1"/>
  <c r="AI178" i="1"/>
  <c r="AJ178" i="1"/>
  <c r="AK178" i="1"/>
  <c r="AL178" i="1"/>
  <c r="AG179" i="1"/>
  <c r="AH179" i="1"/>
  <c r="AI179" i="1"/>
  <c r="AJ179" i="1"/>
  <c r="AK179" i="1"/>
  <c r="AL179" i="1"/>
  <c r="AG180" i="1"/>
  <c r="AH180" i="1"/>
  <c r="AI180" i="1"/>
  <c r="AJ180" i="1"/>
  <c r="AK180" i="1"/>
  <c r="AL180" i="1"/>
  <c r="AG181" i="1"/>
  <c r="AH181" i="1"/>
  <c r="AI181" i="1"/>
  <c r="AJ181" i="1"/>
  <c r="AK181" i="1"/>
  <c r="AL181" i="1"/>
  <c r="AG182" i="1"/>
  <c r="AH182" i="1"/>
  <c r="AI182" i="1"/>
  <c r="AJ182" i="1"/>
  <c r="AK182" i="1"/>
  <c r="AL182" i="1"/>
  <c r="AG183" i="1"/>
  <c r="AH183" i="1"/>
  <c r="AI183" i="1"/>
  <c r="AJ183" i="1"/>
  <c r="AK183" i="1"/>
  <c r="AL183" i="1"/>
  <c r="AG184" i="1"/>
  <c r="AH184" i="1"/>
  <c r="AI184" i="1"/>
  <c r="AJ184" i="1"/>
  <c r="AK184" i="1"/>
  <c r="AL184" i="1"/>
  <c r="AG185" i="1"/>
  <c r="AH185" i="1"/>
  <c r="AI185" i="1"/>
  <c r="AJ185" i="1"/>
  <c r="AK185" i="1"/>
  <c r="AL185" i="1"/>
  <c r="AG186" i="1"/>
  <c r="AH186" i="1"/>
  <c r="AI186" i="1"/>
  <c r="AJ186" i="1"/>
  <c r="AK186" i="1"/>
  <c r="AL186" i="1"/>
  <c r="AG187" i="1"/>
  <c r="AH187" i="1"/>
  <c r="AI187" i="1"/>
  <c r="AJ187" i="1"/>
  <c r="AK187" i="1"/>
  <c r="AL187" i="1"/>
  <c r="AG188" i="1"/>
  <c r="AH188" i="1"/>
  <c r="AI188" i="1"/>
  <c r="AJ188" i="1"/>
  <c r="AK188" i="1"/>
  <c r="AL188" i="1"/>
  <c r="AG189" i="1"/>
  <c r="AH189" i="1"/>
  <c r="AI189" i="1"/>
  <c r="AJ189" i="1"/>
  <c r="AK189" i="1"/>
  <c r="AL189" i="1"/>
  <c r="AG190" i="1"/>
  <c r="AH190" i="1"/>
  <c r="AI190" i="1"/>
  <c r="AJ190" i="1"/>
  <c r="AK190" i="1"/>
  <c r="AL190" i="1"/>
  <c r="AG191" i="1"/>
  <c r="AH191" i="1"/>
  <c r="AI191" i="1"/>
  <c r="AJ191" i="1"/>
  <c r="AK191" i="1"/>
  <c r="AL191" i="1"/>
  <c r="AG192" i="1"/>
  <c r="AH192" i="1"/>
  <c r="AI192" i="1"/>
  <c r="AJ192" i="1"/>
  <c r="AK192" i="1"/>
  <c r="AL192" i="1"/>
  <c r="AG193" i="1"/>
  <c r="AH193" i="1"/>
  <c r="AI193" i="1"/>
  <c r="AJ193" i="1"/>
  <c r="AK193" i="1"/>
  <c r="AL193" i="1"/>
  <c r="AG194" i="1"/>
  <c r="AH194" i="1"/>
  <c r="AI194" i="1"/>
  <c r="AJ194" i="1"/>
  <c r="AK194" i="1"/>
  <c r="AL194" i="1"/>
  <c r="AG195" i="1"/>
  <c r="AH195" i="1"/>
  <c r="AI195" i="1"/>
  <c r="AJ195" i="1"/>
  <c r="AK195" i="1"/>
  <c r="AL195" i="1"/>
  <c r="AG196" i="1"/>
  <c r="AH196" i="1"/>
  <c r="AI196" i="1"/>
  <c r="AJ196" i="1"/>
  <c r="AK196" i="1"/>
  <c r="AL196" i="1"/>
  <c r="AG197" i="1"/>
  <c r="AH197" i="1"/>
  <c r="AI197" i="1"/>
  <c r="AJ197" i="1"/>
  <c r="AK197" i="1"/>
  <c r="AL197" i="1"/>
  <c r="AG198" i="1"/>
  <c r="AH198" i="1"/>
  <c r="AI198" i="1"/>
  <c r="AJ198" i="1"/>
  <c r="AK198" i="1"/>
  <c r="AL198" i="1"/>
  <c r="AG199" i="1"/>
  <c r="AH199" i="1"/>
  <c r="AI199" i="1"/>
  <c r="AJ199" i="1"/>
  <c r="AK199" i="1"/>
  <c r="AL199" i="1"/>
  <c r="AG200" i="1"/>
  <c r="AH200" i="1"/>
  <c r="AI200" i="1"/>
  <c r="AJ200" i="1"/>
  <c r="AK200" i="1"/>
  <c r="AL200" i="1"/>
  <c r="AG201" i="1"/>
  <c r="AH201" i="1"/>
  <c r="AI201" i="1"/>
  <c r="AJ201" i="1"/>
  <c r="AK201" i="1"/>
  <c r="AL201" i="1"/>
  <c r="AG202" i="1"/>
  <c r="AH202" i="1"/>
  <c r="AI202" i="1"/>
  <c r="AJ202" i="1"/>
  <c r="AK202" i="1"/>
  <c r="AL202" i="1"/>
  <c r="AG203" i="1"/>
  <c r="AH203" i="1"/>
  <c r="AI203" i="1"/>
  <c r="AJ203" i="1"/>
  <c r="AK203" i="1"/>
  <c r="AL203" i="1"/>
  <c r="AG204" i="1"/>
  <c r="AH204" i="1"/>
  <c r="AI204" i="1"/>
  <c r="AJ204" i="1"/>
  <c r="AK204" i="1"/>
  <c r="AL204" i="1"/>
  <c r="AG205" i="1"/>
  <c r="AH205" i="1"/>
  <c r="AI205" i="1"/>
  <c r="AJ205" i="1"/>
  <c r="AK205" i="1"/>
  <c r="AL205" i="1"/>
  <c r="AG206" i="1"/>
  <c r="AH206" i="1"/>
  <c r="AI206" i="1"/>
  <c r="AJ206" i="1"/>
  <c r="AK206" i="1"/>
  <c r="AL206" i="1"/>
  <c r="AG207" i="1"/>
  <c r="AH207" i="1"/>
  <c r="AI207" i="1"/>
  <c r="AJ207" i="1"/>
  <c r="AK207" i="1"/>
  <c r="AL207" i="1"/>
  <c r="AG208" i="1"/>
  <c r="AH208" i="1"/>
  <c r="AI208" i="1"/>
  <c r="AJ208" i="1"/>
  <c r="AK208" i="1"/>
  <c r="AL208" i="1"/>
  <c r="AG209" i="1"/>
  <c r="AH209" i="1"/>
  <c r="AI209" i="1"/>
  <c r="AJ209" i="1"/>
  <c r="AK209" i="1"/>
  <c r="AL209" i="1"/>
  <c r="AG210" i="1"/>
  <c r="AH210" i="1"/>
  <c r="AI210" i="1"/>
  <c r="AJ210" i="1"/>
  <c r="AK210" i="1"/>
  <c r="AL210" i="1"/>
  <c r="AG211" i="1"/>
  <c r="AH211" i="1"/>
  <c r="AI211" i="1"/>
  <c r="AJ211" i="1"/>
  <c r="AK211" i="1"/>
  <c r="AL211" i="1"/>
  <c r="AG212" i="1"/>
  <c r="AH212" i="1"/>
  <c r="AI212" i="1"/>
  <c r="AJ212" i="1"/>
  <c r="AK212" i="1"/>
  <c r="AL212" i="1"/>
  <c r="AG213" i="1"/>
  <c r="AH213" i="1"/>
  <c r="AI213" i="1"/>
  <c r="AJ213" i="1"/>
  <c r="AK213" i="1"/>
  <c r="AL213" i="1"/>
  <c r="AG214" i="1"/>
  <c r="AH214" i="1"/>
  <c r="AI214" i="1"/>
  <c r="AJ214" i="1"/>
  <c r="AK214" i="1"/>
  <c r="AL214" i="1"/>
  <c r="AG215" i="1"/>
  <c r="AH215" i="1"/>
  <c r="AI215" i="1"/>
  <c r="AJ215" i="1"/>
  <c r="AK215" i="1"/>
  <c r="AL215" i="1"/>
  <c r="AG216" i="1"/>
  <c r="AH216" i="1"/>
  <c r="AI216" i="1"/>
  <c r="AJ216" i="1"/>
  <c r="AK216" i="1"/>
  <c r="AL216" i="1"/>
  <c r="AG217" i="1"/>
  <c r="AH217" i="1"/>
  <c r="AI217" i="1"/>
  <c r="AJ217" i="1"/>
  <c r="AK217" i="1"/>
  <c r="AL217" i="1"/>
  <c r="AG218" i="1"/>
  <c r="AH218" i="1"/>
  <c r="AI218" i="1"/>
  <c r="AJ218" i="1"/>
  <c r="AK218" i="1"/>
  <c r="AL218" i="1"/>
  <c r="AG219" i="1"/>
  <c r="AH219" i="1"/>
  <c r="AI219" i="1"/>
  <c r="AJ219" i="1"/>
  <c r="AK219" i="1"/>
  <c r="AL219" i="1"/>
  <c r="AG220" i="1"/>
  <c r="AH220" i="1"/>
  <c r="AI220" i="1"/>
  <c r="AJ220" i="1"/>
  <c r="AK220" i="1"/>
  <c r="AL220" i="1"/>
  <c r="AG221" i="1"/>
  <c r="AH221" i="1"/>
  <c r="AI221" i="1"/>
  <c r="AJ221" i="1"/>
  <c r="AK221" i="1"/>
  <c r="AL221" i="1"/>
  <c r="AG222" i="1"/>
  <c r="AH222" i="1"/>
  <c r="AI222" i="1"/>
  <c r="AJ222" i="1"/>
  <c r="AK222" i="1"/>
  <c r="AL222" i="1"/>
  <c r="AG223" i="1"/>
  <c r="AH223" i="1"/>
  <c r="AI223" i="1"/>
  <c r="AJ223" i="1"/>
  <c r="AK223" i="1"/>
  <c r="AL223" i="1"/>
  <c r="AG224" i="1"/>
  <c r="AH224" i="1"/>
  <c r="AI224" i="1"/>
  <c r="AJ224" i="1"/>
  <c r="AK224" i="1"/>
  <c r="AL224" i="1"/>
  <c r="AG225" i="1"/>
  <c r="AH225" i="1"/>
  <c r="AI225" i="1"/>
  <c r="AJ225" i="1"/>
  <c r="AK225" i="1"/>
  <c r="AL225" i="1"/>
  <c r="AG226" i="1"/>
  <c r="AH226" i="1"/>
  <c r="AI226" i="1"/>
  <c r="AJ226" i="1"/>
  <c r="AK226" i="1"/>
  <c r="AL226" i="1"/>
  <c r="AG227" i="1"/>
  <c r="AH227" i="1"/>
  <c r="AI227" i="1"/>
  <c r="AJ227" i="1"/>
  <c r="AK227" i="1"/>
  <c r="AL227" i="1"/>
  <c r="AG228" i="1"/>
  <c r="AH228" i="1"/>
  <c r="AI228" i="1"/>
  <c r="AJ228" i="1"/>
  <c r="AK228" i="1"/>
  <c r="AL228" i="1"/>
  <c r="AG229" i="1"/>
  <c r="AH229" i="1"/>
  <c r="AI229" i="1"/>
  <c r="AJ229" i="1"/>
  <c r="AK229" i="1"/>
  <c r="AL229" i="1"/>
  <c r="AG230" i="1"/>
  <c r="AH230" i="1"/>
  <c r="AI230" i="1"/>
  <c r="AJ230" i="1"/>
  <c r="AK230" i="1"/>
  <c r="AL230" i="1"/>
  <c r="AG231" i="1"/>
  <c r="AH231" i="1"/>
  <c r="AI231" i="1"/>
  <c r="AJ231" i="1"/>
  <c r="AK231" i="1"/>
  <c r="AL231" i="1"/>
  <c r="AG232" i="1"/>
  <c r="AH232" i="1"/>
  <c r="AI232" i="1"/>
  <c r="AJ232" i="1"/>
  <c r="AK232" i="1"/>
  <c r="AL232" i="1"/>
  <c r="AG233" i="1"/>
  <c r="AH233" i="1"/>
  <c r="AI233" i="1"/>
  <c r="AJ233" i="1"/>
  <c r="AK233" i="1"/>
  <c r="AL233" i="1"/>
  <c r="AG234" i="1"/>
  <c r="AH234" i="1"/>
  <c r="AI234" i="1"/>
  <c r="AJ234" i="1"/>
  <c r="AK234" i="1"/>
  <c r="AL234" i="1"/>
  <c r="AG235" i="1"/>
  <c r="AH235" i="1"/>
  <c r="AI235" i="1"/>
  <c r="AJ235" i="1"/>
  <c r="AK235" i="1"/>
  <c r="AL235" i="1"/>
  <c r="AG236" i="1"/>
  <c r="AH236" i="1"/>
  <c r="AI236" i="1"/>
  <c r="AJ236" i="1"/>
  <c r="AK236" i="1"/>
  <c r="AL236" i="1"/>
  <c r="AG237" i="1"/>
  <c r="AH237" i="1"/>
  <c r="AI237" i="1"/>
  <c r="AJ237" i="1"/>
  <c r="AK237" i="1"/>
  <c r="AL237" i="1"/>
  <c r="AG238" i="1"/>
  <c r="AH238" i="1"/>
  <c r="AI238" i="1"/>
  <c r="AJ238" i="1"/>
  <c r="AK238" i="1"/>
  <c r="AL238" i="1"/>
  <c r="AG239" i="1"/>
  <c r="AH239" i="1"/>
  <c r="AI239" i="1"/>
  <c r="AJ239" i="1"/>
  <c r="AK239" i="1"/>
  <c r="AL239" i="1"/>
  <c r="AG240" i="1"/>
  <c r="AH240" i="1"/>
  <c r="AI240" i="1"/>
  <c r="AJ240" i="1"/>
  <c r="AK240" i="1"/>
  <c r="AL240" i="1"/>
  <c r="AG241" i="1"/>
  <c r="AH241" i="1"/>
  <c r="AI241" i="1"/>
  <c r="AJ241" i="1"/>
  <c r="AK241" i="1"/>
  <c r="AL241" i="1"/>
  <c r="AG242" i="1"/>
  <c r="AH242" i="1"/>
  <c r="AI242" i="1"/>
  <c r="AJ242" i="1"/>
  <c r="AK242" i="1"/>
  <c r="AL242" i="1"/>
  <c r="AG243" i="1"/>
  <c r="AH243" i="1"/>
  <c r="AI243" i="1"/>
  <c r="AJ243" i="1"/>
  <c r="AK243" i="1"/>
  <c r="AL243" i="1"/>
  <c r="AG244" i="1"/>
  <c r="AH244" i="1"/>
  <c r="AI244" i="1"/>
  <c r="AJ244" i="1"/>
  <c r="AK244" i="1"/>
  <c r="AL244" i="1"/>
  <c r="AG245" i="1"/>
  <c r="AH245" i="1"/>
  <c r="AI245" i="1"/>
  <c r="AJ245" i="1"/>
  <c r="AK245" i="1"/>
  <c r="AL245" i="1"/>
  <c r="AG246" i="1"/>
  <c r="AH246" i="1"/>
  <c r="AI246" i="1"/>
  <c r="AJ246" i="1"/>
  <c r="AK246" i="1"/>
  <c r="AL246" i="1"/>
  <c r="AG247" i="1"/>
  <c r="AH247" i="1"/>
  <c r="AI247" i="1"/>
  <c r="AJ247" i="1"/>
  <c r="AK247" i="1"/>
  <c r="AL247" i="1"/>
  <c r="AG248" i="1"/>
  <c r="AH248" i="1"/>
  <c r="AI248" i="1"/>
  <c r="AJ248" i="1"/>
  <c r="AK248" i="1"/>
  <c r="AL248" i="1"/>
  <c r="AG249" i="1"/>
  <c r="AH249" i="1"/>
  <c r="AI249" i="1"/>
  <c r="AJ249" i="1"/>
  <c r="AK249" i="1"/>
  <c r="AL249" i="1"/>
  <c r="AG250" i="1"/>
  <c r="AH250" i="1"/>
  <c r="AI250" i="1"/>
  <c r="AJ250" i="1"/>
  <c r="AK250" i="1"/>
  <c r="AL250" i="1"/>
  <c r="AG251" i="1"/>
  <c r="AH251" i="1"/>
  <c r="AI251" i="1"/>
  <c r="AJ251" i="1"/>
  <c r="AK251" i="1"/>
  <c r="AL251" i="1"/>
  <c r="AG252" i="1"/>
  <c r="AH252" i="1"/>
  <c r="AI252" i="1"/>
  <c r="AJ252" i="1"/>
  <c r="AK252" i="1"/>
  <c r="AL252" i="1"/>
  <c r="AG253" i="1"/>
  <c r="AH253" i="1"/>
  <c r="AI253" i="1"/>
  <c r="AJ253" i="1"/>
  <c r="AK253" i="1"/>
  <c r="AL253" i="1"/>
  <c r="AG254" i="1"/>
  <c r="AH254" i="1"/>
  <c r="AI254" i="1"/>
  <c r="AJ254" i="1"/>
  <c r="AJ308" i="1" s="1"/>
  <c r="AK254" i="1"/>
  <c r="AL254" i="1"/>
  <c r="AG255" i="1"/>
  <c r="AH255" i="1"/>
  <c r="AI255" i="1"/>
  <c r="AJ255" i="1"/>
  <c r="AK255" i="1"/>
  <c r="AL255" i="1"/>
  <c r="AG256" i="1"/>
  <c r="AH256" i="1"/>
  <c r="AI256" i="1"/>
  <c r="AJ256" i="1"/>
  <c r="AK256" i="1"/>
  <c r="AL256" i="1"/>
  <c r="AG257" i="1"/>
  <c r="AH257" i="1"/>
  <c r="AI257" i="1"/>
  <c r="AJ257" i="1"/>
  <c r="AK257" i="1"/>
  <c r="AL257" i="1"/>
  <c r="AG258" i="1"/>
  <c r="AH258" i="1"/>
  <c r="AI258" i="1"/>
  <c r="AJ258" i="1"/>
  <c r="AK258" i="1"/>
  <c r="AL258" i="1"/>
  <c r="AG259" i="1"/>
  <c r="AH259" i="1"/>
  <c r="AI259" i="1"/>
  <c r="AJ259" i="1"/>
  <c r="AK259" i="1"/>
  <c r="AL259" i="1"/>
  <c r="AG260" i="1"/>
  <c r="AH260" i="1"/>
  <c r="AI260" i="1"/>
  <c r="AJ260" i="1"/>
  <c r="AK260" i="1"/>
  <c r="AL260" i="1"/>
  <c r="AG261" i="1"/>
  <c r="AH261" i="1"/>
  <c r="AI261" i="1"/>
  <c r="AJ261" i="1"/>
  <c r="AK261" i="1"/>
  <c r="AL261" i="1"/>
  <c r="AG262" i="1"/>
  <c r="AH262" i="1"/>
  <c r="AI262" i="1"/>
  <c r="AJ262" i="1"/>
  <c r="AK262" i="1"/>
  <c r="AL262" i="1"/>
  <c r="AG263" i="1"/>
  <c r="AH263" i="1"/>
  <c r="AI263" i="1"/>
  <c r="AJ263" i="1"/>
  <c r="AK263" i="1"/>
  <c r="AL263" i="1"/>
  <c r="AG264" i="1"/>
  <c r="AH264" i="1"/>
  <c r="AI264" i="1"/>
  <c r="AJ264" i="1"/>
  <c r="AK264" i="1"/>
  <c r="AL264" i="1"/>
  <c r="AG265" i="1"/>
  <c r="AH265" i="1"/>
  <c r="AI265" i="1"/>
  <c r="AJ265" i="1"/>
  <c r="AK265" i="1"/>
  <c r="AL265" i="1"/>
  <c r="AG266" i="1"/>
  <c r="AH266" i="1"/>
  <c r="AI266" i="1"/>
  <c r="AJ266" i="1"/>
  <c r="AK266" i="1"/>
  <c r="AL266" i="1"/>
  <c r="AG267" i="1"/>
  <c r="AH267" i="1"/>
  <c r="AI267" i="1"/>
  <c r="AJ267" i="1"/>
  <c r="AK267" i="1"/>
  <c r="AL267" i="1"/>
  <c r="AG268" i="1"/>
  <c r="AH268" i="1"/>
  <c r="AI268" i="1"/>
  <c r="AJ268" i="1"/>
  <c r="AK268" i="1"/>
  <c r="AL268" i="1"/>
  <c r="AG269" i="1"/>
  <c r="AH269" i="1"/>
  <c r="AI269" i="1"/>
  <c r="AJ269" i="1"/>
  <c r="AK269" i="1"/>
  <c r="AL269" i="1"/>
  <c r="AG270" i="1"/>
  <c r="AH270" i="1"/>
  <c r="AI270" i="1"/>
  <c r="AJ270" i="1"/>
  <c r="AK270" i="1"/>
  <c r="AL270" i="1"/>
  <c r="AG271" i="1"/>
  <c r="AH271" i="1"/>
  <c r="AI271" i="1"/>
  <c r="AJ271" i="1"/>
  <c r="AK271" i="1"/>
  <c r="AL271" i="1"/>
  <c r="AG272" i="1"/>
  <c r="AH272" i="1"/>
  <c r="AI272" i="1"/>
  <c r="AJ272" i="1"/>
  <c r="AK272" i="1"/>
  <c r="AL272" i="1"/>
  <c r="AG273" i="1"/>
  <c r="AH273" i="1"/>
  <c r="AI273" i="1"/>
  <c r="AJ273" i="1"/>
  <c r="AK273" i="1"/>
  <c r="AL273" i="1"/>
  <c r="AG274" i="1"/>
  <c r="AH274" i="1"/>
  <c r="AI274" i="1"/>
  <c r="AJ274" i="1"/>
  <c r="AK274" i="1"/>
  <c r="AL274" i="1"/>
  <c r="AG275" i="1"/>
  <c r="AH275" i="1"/>
  <c r="AI275" i="1"/>
  <c r="AJ275" i="1"/>
  <c r="AK275" i="1"/>
  <c r="AL275" i="1"/>
  <c r="AG276" i="1"/>
  <c r="AH276" i="1"/>
  <c r="AI276" i="1"/>
  <c r="AJ276" i="1"/>
  <c r="AK276" i="1"/>
  <c r="AL276" i="1"/>
  <c r="AG277" i="1"/>
  <c r="AH277" i="1"/>
  <c r="AI277" i="1"/>
  <c r="AJ277" i="1"/>
  <c r="AK277" i="1"/>
  <c r="AL277" i="1"/>
  <c r="AG278" i="1"/>
  <c r="AH278" i="1"/>
  <c r="AI278" i="1"/>
  <c r="AJ278" i="1"/>
  <c r="AK278" i="1"/>
  <c r="AL278" i="1"/>
  <c r="AG279" i="1"/>
  <c r="AH279" i="1"/>
  <c r="AI279" i="1"/>
  <c r="AJ279" i="1"/>
  <c r="AK279" i="1"/>
  <c r="AL279" i="1"/>
  <c r="AG280" i="1"/>
  <c r="AH280" i="1"/>
  <c r="AI280" i="1"/>
  <c r="AJ280" i="1"/>
  <c r="AK280" i="1"/>
  <c r="AL280" i="1"/>
  <c r="AG281" i="1"/>
  <c r="AH281" i="1"/>
  <c r="AI281" i="1"/>
  <c r="AJ281" i="1"/>
  <c r="AK281" i="1"/>
  <c r="AL281" i="1"/>
  <c r="AG282" i="1"/>
  <c r="AH282" i="1"/>
  <c r="AI282" i="1"/>
  <c r="AJ282" i="1"/>
  <c r="AK282" i="1"/>
  <c r="AL282" i="1"/>
  <c r="AG283" i="1"/>
  <c r="AH283" i="1"/>
  <c r="AI283" i="1"/>
  <c r="AJ283" i="1"/>
  <c r="AK283" i="1"/>
  <c r="AL283" i="1"/>
  <c r="AG284" i="1"/>
  <c r="AH284" i="1"/>
  <c r="AI284" i="1"/>
  <c r="AJ284" i="1"/>
  <c r="AK284" i="1"/>
  <c r="AL284" i="1"/>
  <c r="AG285" i="1"/>
  <c r="AH285" i="1"/>
  <c r="AI285" i="1"/>
  <c r="AJ285" i="1"/>
  <c r="AK285" i="1"/>
  <c r="AL285" i="1"/>
  <c r="AG286" i="1"/>
  <c r="AH286" i="1"/>
  <c r="AI286" i="1"/>
  <c r="AJ286" i="1"/>
  <c r="AK286" i="1"/>
  <c r="AL286" i="1"/>
  <c r="AG287" i="1"/>
  <c r="AH287" i="1"/>
  <c r="AI287" i="1"/>
  <c r="AJ287" i="1"/>
  <c r="AK287" i="1"/>
  <c r="AL287" i="1"/>
  <c r="AG288" i="1"/>
  <c r="AH288" i="1"/>
  <c r="AI288" i="1"/>
  <c r="AJ288" i="1"/>
  <c r="AK288" i="1"/>
  <c r="AL288" i="1"/>
  <c r="AG289" i="1"/>
  <c r="AH289" i="1"/>
  <c r="AI289" i="1"/>
  <c r="AJ289" i="1"/>
  <c r="AK289" i="1"/>
  <c r="AL289" i="1"/>
  <c r="AG290" i="1"/>
  <c r="AH290" i="1"/>
  <c r="AI290" i="1"/>
  <c r="AJ290" i="1"/>
  <c r="AK290" i="1"/>
  <c r="AL290" i="1"/>
  <c r="AG291" i="1"/>
  <c r="AH291" i="1"/>
  <c r="AI291" i="1"/>
  <c r="AJ291" i="1"/>
  <c r="AK291" i="1"/>
  <c r="AL291" i="1"/>
  <c r="AG292" i="1"/>
  <c r="AH292" i="1"/>
  <c r="AM292" i="1" s="1"/>
  <c r="AI292" i="1"/>
  <c r="AJ292" i="1"/>
  <c r="AK292" i="1"/>
  <c r="AL292" i="1"/>
  <c r="AG293" i="1"/>
  <c r="AH293" i="1"/>
  <c r="AI293" i="1"/>
  <c r="AJ293" i="1"/>
  <c r="AK293" i="1"/>
  <c r="AL293" i="1"/>
  <c r="AG294" i="1"/>
  <c r="AM294" i="1" s="1"/>
  <c r="AH294" i="1"/>
  <c r="AI294" i="1"/>
  <c r="AJ294" i="1"/>
  <c r="AK294" i="1"/>
  <c r="AL294" i="1"/>
  <c r="AG295" i="1"/>
  <c r="AH295" i="1"/>
  <c r="AM295" i="1" s="1"/>
  <c r="AI295" i="1"/>
  <c r="AJ295" i="1"/>
  <c r="AK295" i="1"/>
  <c r="AL295" i="1"/>
  <c r="AG296" i="1"/>
  <c r="AM296" i="1" s="1"/>
  <c r="AH296" i="1"/>
  <c r="AI296" i="1"/>
  <c r="AJ296" i="1"/>
  <c r="AK296" i="1"/>
  <c r="AL296" i="1"/>
  <c r="AG297" i="1"/>
  <c r="AH297" i="1"/>
  <c r="AI297" i="1"/>
  <c r="AM297" i="1" s="1"/>
  <c r="AJ297" i="1"/>
  <c r="AK297" i="1"/>
  <c r="AL297" i="1"/>
  <c r="AG298" i="1"/>
  <c r="AH298" i="1"/>
  <c r="AI298" i="1"/>
  <c r="AJ298" i="1"/>
  <c r="AK298" i="1"/>
  <c r="AM298" i="1" s="1"/>
  <c r="AL298" i="1"/>
  <c r="AG299" i="1"/>
  <c r="AH299" i="1"/>
  <c r="AM299" i="1" s="1"/>
  <c r="AI299" i="1"/>
  <c r="AJ299" i="1"/>
  <c r="AK299" i="1"/>
  <c r="AL299" i="1"/>
  <c r="AG300" i="1"/>
  <c r="AM300" i="1" s="1"/>
  <c r="AH300" i="1"/>
  <c r="AI300" i="1"/>
  <c r="AJ300" i="1"/>
  <c r="AK300" i="1"/>
  <c r="AL300" i="1"/>
  <c r="AG301" i="1"/>
  <c r="AH301" i="1"/>
  <c r="AM301" i="1" s="1"/>
  <c r="AI301" i="1"/>
  <c r="AJ301" i="1"/>
  <c r="AK301" i="1"/>
  <c r="AL301" i="1"/>
  <c r="AG302" i="1"/>
  <c r="AH302" i="1"/>
  <c r="AI302" i="1"/>
  <c r="AJ302" i="1"/>
  <c r="AK302" i="1"/>
  <c r="AM302" i="1" s="1"/>
  <c r="AL302" i="1"/>
  <c r="AG303" i="1"/>
  <c r="AH303" i="1"/>
  <c r="AI303" i="1"/>
  <c r="AJ303" i="1"/>
  <c r="AK303" i="1"/>
  <c r="AL303" i="1"/>
  <c r="AG304" i="1"/>
  <c r="AH304" i="1"/>
  <c r="AI304" i="1"/>
  <c r="AJ304" i="1"/>
  <c r="AK304" i="1"/>
  <c r="AL304" i="1"/>
  <c r="AG305" i="1"/>
  <c r="AM305" i="1" s="1"/>
  <c r="AH305" i="1"/>
  <c r="AI305" i="1"/>
  <c r="AJ305" i="1"/>
  <c r="AK305" i="1"/>
  <c r="AL305" i="1"/>
  <c r="AG306" i="1"/>
  <c r="AM306" i="1" s="1"/>
  <c r="AH306" i="1"/>
  <c r="AI306" i="1"/>
  <c r="AJ306" i="1"/>
  <c r="AK306" i="1"/>
  <c r="AL306" i="1"/>
  <c r="AG307" i="1"/>
  <c r="AH307" i="1"/>
  <c r="AI307" i="1"/>
  <c r="AJ307" i="1"/>
  <c r="AK307" i="1"/>
  <c r="AL307" i="1"/>
  <c r="AM293" i="1"/>
  <c r="AM303" i="1"/>
  <c r="AM304" i="1"/>
  <c r="AG164" i="1"/>
  <c r="AH164" i="1"/>
  <c r="AI164" i="1"/>
  <c r="AJ164" i="1"/>
  <c r="AK164" i="1"/>
  <c r="AL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164" i="1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S163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S162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S161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S160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S159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S158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S157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S156" i="2"/>
  <c r="AL155" i="2"/>
  <c r="AK155" i="2"/>
  <c r="AJ155" i="2"/>
  <c r="AI155" i="2"/>
  <c r="AH155" i="2"/>
  <c r="AG155" i="2"/>
  <c r="AF155" i="2"/>
  <c r="AE155" i="2"/>
  <c r="AM155" i="2" s="1"/>
  <c r="AD155" i="2"/>
  <c r="AC155" i="2"/>
  <c r="AB155" i="2"/>
  <c r="AA155" i="2"/>
  <c r="Z155" i="2"/>
  <c r="Y155" i="2"/>
  <c r="X155" i="2"/>
  <c r="S155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S154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S153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S152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S151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S150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S149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S148" i="2"/>
  <c r="AL147" i="2"/>
  <c r="AK147" i="2"/>
  <c r="AJ147" i="2"/>
  <c r="AI147" i="2"/>
  <c r="AH147" i="2"/>
  <c r="AG147" i="2"/>
  <c r="AF147" i="2"/>
  <c r="AE147" i="2"/>
  <c r="AM147" i="2" s="1"/>
  <c r="AD147" i="2"/>
  <c r="AC147" i="2"/>
  <c r="AB147" i="2"/>
  <c r="AA147" i="2"/>
  <c r="Z147" i="2"/>
  <c r="Y147" i="2"/>
  <c r="X147" i="2"/>
  <c r="S147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S146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S145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S14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S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S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S141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S140" i="2"/>
  <c r="AL139" i="2"/>
  <c r="AK139" i="2"/>
  <c r="AJ139" i="2"/>
  <c r="AI139" i="2"/>
  <c r="AH139" i="2"/>
  <c r="AG139" i="2"/>
  <c r="AF139" i="2"/>
  <c r="AE139" i="2"/>
  <c r="AM139" i="2" s="1"/>
  <c r="AD139" i="2"/>
  <c r="AC139" i="2"/>
  <c r="AB139" i="2"/>
  <c r="AA139" i="2"/>
  <c r="Z139" i="2"/>
  <c r="Y139" i="2"/>
  <c r="X139" i="2"/>
  <c r="S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S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S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S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S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S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S133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S132" i="2"/>
  <c r="AL131" i="2"/>
  <c r="AK131" i="2"/>
  <c r="AJ131" i="2"/>
  <c r="AI131" i="2"/>
  <c r="AH131" i="2"/>
  <c r="AG131" i="2"/>
  <c r="AF131" i="2"/>
  <c r="AE131" i="2"/>
  <c r="AM131" i="2" s="1"/>
  <c r="AD131" i="2"/>
  <c r="AC131" i="2"/>
  <c r="AB131" i="2"/>
  <c r="AA131" i="2"/>
  <c r="Z131" i="2"/>
  <c r="Y131" i="2"/>
  <c r="X131" i="2"/>
  <c r="S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S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S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S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S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S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S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S124" i="2"/>
  <c r="AL123" i="2"/>
  <c r="AK123" i="2"/>
  <c r="AJ123" i="2"/>
  <c r="AI123" i="2"/>
  <c r="AH123" i="2"/>
  <c r="AG123" i="2"/>
  <c r="AF123" i="2"/>
  <c r="AE123" i="2"/>
  <c r="AM123" i="2" s="1"/>
  <c r="AD123" i="2"/>
  <c r="AC123" i="2"/>
  <c r="AB123" i="2"/>
  <c r="AA123" i="2"/>
  <c r="Z123" i="2"/>
  <c r="Y123" i="2"/>
  <c r="X123" i="2"/>
  <c r="S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S122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S121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S120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S119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S118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S117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S116" i="2"/>
  <c r="AL115" i="2"/>
  <c r="AK115" i="2"/>
  <c r="AJ115" i="2"/>
  <c r="AI115" i="2"/>
  <c r="AH115" i="2"/>
  <c r="AG115" i="2"/>
  <c r="AF115" i="2"/>
  <c r="AE115" i="2"/>
  <c r="AM115" i="2" s="1"/>
  <c r="AD115" i="2"/>
  <c r="AC115" i="2"/>
  <c r="AB115" i="2"/>
  <c r="AA115" i="2"/>
  <c r="Z115" i="2"/>
  <c r="Y115" i="2"/>
  <c r="X115" i="2"/>
  <c r="S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S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S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S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S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S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S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S108" i="2"/>
  <c r="AL107" i="2"/>
  <c r="AK107" i="2"/>
  <c r="AJ107" i="2"/>
  <c r="AI107" i="2"/>
  <c r="AH107" i="2"/>
  <c r="AG107" i="2"/>
  <c r="AF107" i="2"/>
  <c r="AE107" i="2"/>
  <c r="AM107" i="2" s="1"/>
  <c r="AD107" i="2"/>
  <c r="AC107" i="2"/>
  <c r="AB107" i="2"/>
  <c r="AA107" i="2"/>
  <c r="Z107" i="2"/>
  <c r="Y107" i="2"/>
  <c r="X107" i="2"/>
  <c r="S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S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S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S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S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S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S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S100" i="2"/>
  <c r="AL99" i="2"/>
  <c r="AK99" i="2"/>
  <c r="AJ99" i="2"/>
  <c r="AI99" i="2"/>
  <c r="AH99" i="2"/>
  <c r="AG99" i="2"/>
  <c r="AF99" i="2"/>
  <c r="AE99" i="2"/>
  <c r="AM99" i="2" s="1"/>
  <c r="AD99" i="2"/>
  <c r="AC99" i="2"/>
  <c r="AB99" i="2"/>
  <c r="AA99" i="2"/>
  <c r="Z99" i="2"/>
  <c r="Y99" i="2"/>
  <c r="X99" i="2"/>
  <c r="S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S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S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S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S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S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S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S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AM91" i="2" s="1"/>
  <c r="S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AM90" i="2" s="1"/>
  <c r="S90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S89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AM88" i="2" s="1"/>
  <c r="S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S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AM86" i="2" s="1"/>
  <c r="S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S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S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AM83" i="2" s="1"/>
  <c r="S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S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AM81" i="2" s="1"/>
  <c r="X81" i="2"/>
  <c r="S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S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AM79" i="2" s="1"/>
  <c r="X79" i="2"/>
  <c r="S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S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S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S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S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S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AM73" i="2" s="1"/>
  <c r="X73" i="2"/>
  <c r="S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S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AM71" i="2" s="1"/>
  <c r="X71" i="2"/>
  <c r="S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S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S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S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S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S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S65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S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AM63" i="2" s="1"/>
  <c r="X63" i="2"/>
  <c r="S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S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S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S60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S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S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AM57" i="2" s="1"/>
  <c r="X57" i="2"/>
  <c r="S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S56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AM55" i="2" s="1"/>
  <c r="X55" i="2"/>
  <c r="S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S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S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S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S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S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AM49" i="2" s="1"/>
  <c r="X49" i="2"/>
  <c r="S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S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AM47" i="2" s="1"/>
  <c r="X47" i="2"/>
  <c r="S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S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S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S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AM43" i="2" s="1"/>
  <c r="S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S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S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S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S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S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S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S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S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S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S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S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S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S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S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S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S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S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S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S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S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S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S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S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AM19" i="2" s="1"/>
  <c r="Z19" i="2"/>
  <c r="Y19" i="2"/>
  <c r="X19" i="2"/>
  <c r="S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S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S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S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S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S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AM13" i="2" s="1"/>
  <c r="Z13" i="2"/>
  <c r="Y13" i="2"/>
  <c r="X13" i="2"/>
  <c r="S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S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S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S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S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S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S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S6" i="2"/>
  <c r="AL5" i="2"/>
  <c r="AK5" i="2"/>
  <c r="AJ5" i="2"/>
  <c r="AI5" i="2"/>
  <c r="AH5" i="2"/>
  <c r="AG5" i="2"/>
  <c r="AF5" i="2"/>
  <c r="AE5" i="2"/>
  <c r="AD5" i="2"/>
  <c r="AC5" i="2"/>
  <c r="AB5" i="2"/>
  <c r="AA5" i="2"/>
  <c r="AM5" i="2" s="1"/>
  <c r="Z5" i="2"/>
  <c r="Y5" i="2"/>
  <c r="X5" i="2"/>
  <c r="S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S4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AM3" i="2" s="1"/>
  <c r="S3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S2" i="2"/>
  <c r="AE308" i="1"/>
  <c r="AM307" i="1"/>
  <c r="X291" i="1"/>
  <c r="Y291" i="1"/>
  <c r="Z291" i="1"/>
  <c r="AA291" i="1"/>
  <c r="AB291" i="1"/>
  <c r="AC291" i="1"/>
  <c r="AD291" i="1"/>
  <c r="AE291" i="1"/>
  <c r="AF291" i="1"/>
  <c r="X292" i="1"/>
  <c r="Y292" i="1"/>
  <c r="Z292" i="1"/>
  <c r="AA292" i="1"/>
  <c r="AB292" i="1"/>
  <c r="AC292" i="1"/>
  <c r="AD292" i="1"/>
  <c r="AE292" i="1"/>
  <c r="AF292" i="1"/>
  <c r="X293" i="1"/>
  <c r="Y293" i="1"/>
  <c r="Z293" i="1"/>
  <c r="AA293" i="1"/>
  <c r="AB293" i="1"/>
  <c r="AC293" i="1"/>
  <c r="AD293" i="1"/>
  <c r="AE293" i="1"/>
  <c r="AF293" i="1"/>
  <c r="X294" i="1"/>
  <c r="Y294" i="1"/>
  <c r="Z294" i="1"/>
  <c r="AA294" i="1"/>
  <c r="AB294" i="1"/>
  <c r="AC294" i="1"/>
  <c r="AD294" i="1"/>
  <c r="AE294" i="1"/>
  <c r="AF294" i="1"/>
  <c r="X295" i="1"/>
  <c r="Y295" i="1"/>
  <c r="Z295" i="1"/>
  <c r="AA295" i="1"/>
  <c r="AB295" i="1"/>
  <c r="AC295" i="1"/>
  <c r="AD295" i="1"/>
  <c r="AE295" i="1"/>
  <c r="AF295" i="1"/>
  <c r="X296" i="1"/>
  <c r="Y296" i="1"/>
  <c r="Z296" i="1"/>
  <c r="AA296" i="1"/>
  <c r="AB296" i="1"/>
  <c r="AC296" i="1"/>
  <c r="AD296" i="1"/>
  <c r="AE296" i="1"/>
  <c r="AF296" i="1"/>
  <c r="X297" i="1"/>
  <c r="Y297" i="1"/>
  <c r="Z297" i="1"/>
  <c r="AA297" i="1"/>
  <c r="AB297" i="1"/>
  <c r="AC297" i="1"/>
  <c r="AD297" i="1"/>
  <c r="AE297" i="1"/>
  <c r="AF297" i="1"/>
  <c r="X298" i="1"/>
  <c r="Y298" i="1"/>
  <c r="Z298" i="1"/>
  <c r="AA298" i="1"/>
  <c r="AB298" i="1"/>
  <c r="AC298" i="1"/>
  <c r="AD298" i="1"/>
  <c r="AE298" i="1"/>
  <c r="AF298" i="1"/>
  <c r="X299" i="1"/>
  <c r="Y299" i="1"/>
  <c r="Z299" i="1"/>
  <c r="AA299" i="1"/>
  <c r="AB299" i="1"/>
  <c r="AC299" i="1"/>
  <c r="AD299" i="1"/>
  <c r="AE299" i="1"/>
  <c r="AF299" i="1"/>
  <c r="X300" i="1"/>
  <c r="Y300" i="1"/>
  <c r="Z300" i="1"/>
  <c r="AA300" i="1"/>
  <c r="AB300" i="1"/>
  <c r="AC300" i="1"/>
  <c r="AD300" i="1"/>
  <c r="AE300" i="1"/>
  <c r="AF300" i="1"/>
  <c r="X301" i="1"/>
  <c r="Y301" i="1"/>
  <c r="Z301" i="1"/>
  <c r="AA301" i="1"/>
  <c r="AB301" i="1"/>
  <c r="AC301" i="1"/>
  <c r="AD301" i="1"/>
  <c r="AE301" i="1"/>
  <c r="AF301" i="1"/>
  <c r="X302" i="1"/>
  <c r="Y302" i="1"/>
  <c r="Z302" i="1"/>
  <c r="AA302" i="1"/>
  <c r="AB302" i="1"/>
  <c r="AC302" i="1"/>
  <c r="AD302" i="1"/>
  <c r="AE302" i="1"/>
  <c r="AF302" i="1"/>
  <c r="X303" i="1"/>
  <c r="Y303" i="1"/>
  <c r="Z303" i="1"/>
  <c r="AA303" i="1"/>
  <c r="AB303" i="1"/>
  <c r="AC303" i="1"/>
  <c r="AD303" i="1"/>
  <c r="AE303" i="1"/>
  <c r="AF303" i="1"/>
  <c r="X304" i="1"/>
  <c r="Y304" i="1"/>
  <c r="Z304" i="1"/>
  <c r="AA304" i="1"/>
  <c r="AB304" i="1"/>
  <c r="AC304" i="1"/>
  <c r="AD304" i="1"/>
  <c r="AE304" i="1"/>
  <c r="AF304" i="1"/>
  <c r="X305" i="1"/>
  <c r="Y305" i="1"/>
  <c r="Z305" i="1"/>
  <c r="AA305" i="1"/>
  <c r="AB305" i="1"/>
  <c r="AC305" i="1"/>
  <c r="AD305" i="1"/>
  <c r="AE305" i="1"/>
  <c r="AF305" i="1"/>
  <c r="X306" i="1"/>
  <c r="Y306" i="1"/>
  <c r="Z306" i="1"/>
  <c r="AA306" i="1"/>
  <c r="AB306" i="1"/>
  <c r="AC306" i="1"/>
  <c r="AD306" i="1"/>
  <c r="AE306" i="1"/>
  <c r="AF306" i="1"/>
  <c r="X307" i="1"/>
  <c r="Y307" i="1"/>
  <c r="Z307" i="1"/>
  <c r="AA307" i="1"/>
  <c r="AB307" i="1"/>
  <c r="AC307" i="1"/>
  <c r="AD307" i="1"/>
  <c r="AE307" i="1"/>
  <c r="AF307" i="1"/>
  <c r="S293" i="1"/>
  <c r="S301" i="1"/>
  <c r="S10" i="1"/>
  <c r="AG26" i="1"/>
  <c r="S34" i="1"/>
  <c r="S42" i="1"/>
  <c r="S50" i="1"/>
  <c r="S52" i="1"/>
  <c r="S60" i="1"/>
  <c r="S84" i="1"/>
  <c r="S90" i="1"/>
  <c r="S92" i="1"/>
  <c r="S106" i="1"/>
  <c r="S302" i="1"/>
  <c r="L308" i="1"/>
  <c r="AF24" i="1"/>
  <c r="AF25" i="1"/>
  <c r="S32" i="1"/>
  <c r="AF33" i="1"/>
  <c r="S40" i="1"/>
  <c r="S41" i="1"/>
  <c r="S48" i="1"/>
  <c r="S49" i="1"/>
  <c r="S88" i="1"/>
  <c r="AF89" i="1"/>
  <c r="S96" i="1"/>
  <c r="S104" i="1"/>
  <c r="S112" i="1"/>
  <c r="AE191" i="1"/>
  <c r="AE192" i="1"/>
  <c r="AE193" i="1"/>
  <c r="AE194" i="1"/>
  <c r="AE195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64" i="1"/>
  <c r="E308" i="1"/>
  <c r="F308" i="1"/>
  <c r="G308" i="1"/>
  <c r="H308" i="1"/>
  <c r="I308" i="1"/>
  <c r="J308" i="1"/>
  <c r="K308" i="1"/>
  <c r="M308" i="1"/>
  <c r="N308" i="1"/>
  <c r="O308" i="1"/>
  <c r="P308" i="1"/>
  <c r="Q308" i="1"/>
  <c r="R308" i="1"/>
  <c r="D308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89" i="1"/>
  <c r="AE290" i="1"/>
  <c r="S303" i="1"/>
  <c r="S304" i="1"/>
  <c r="S305" i="1"/>
  <c r="S306" i="1"/>
  <c r="S307" i="1"/>
  <c r="S292" i="1"/>
  <c r="S294" i="1"/>
  <c r="S295" i="1"/>
  <c r="S296" i="1"/>
  <c r="S297" i="1"/>
  <c r="S298" i="1"/>
  <c r="S299" i="1"/>
  <c r="S300" i="1"/>
  <c r="AE25" i="1"/>
  <c r="S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S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S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S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S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S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S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X9" i="1"/>
  <c r="Y9" i="1"/>
  <c r="Z9" i="1"/>
  <c r="AA9" i="1"/>
  <c r="AB9" i="1"/>
  <c r="AC9" i="1"/>
  <c r="AD9" i="1"/>
  <c r="AG9" i="1"/>
  <c r="AH9" i="1"/>
  <c r="AI9" i="1"/>
  <c r="AJ9" i="1"/>
  <c r="AK9" i="1"/>
  <c r="AL9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S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S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S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S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S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S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S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S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S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S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S24" i="1"/>
  <c r="X24" i="1"/>
  <c r="Y24" i="1"/>
  <c r="Z24" i="1"/>
  <c r="AA24" i="1"/>
  <c r="AB24" i="1"/>
  <c r="AC24" i="1"/>
  <c r="AD24" i="1"/>
  <c r="AE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H26" i="1"/>
  <c r="AI26" i="1"/>
  <c r="AJ26" i="1"/>
  <c r="AK26" i="1"/>
  <c r="AL26" i="1"/>
  <c r="S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S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S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S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S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G33" i="1"/>
  <c r="AH33" i="1"/>
  <c r="AI33" i="1"/>
  <c r="AJ33" i="1"/>
  <c r="AK33" i="1"/>
  <c r="AL33" i="1"/>
  <c r="X34" i="1"/>
  <c r="Y34" i="1"/>
  <c r="Z34" i="1"/>
  <c r="AA34" i="1"/>
  <c r="AB34" i="1"/>
  <c r="AC34" i="1"/>
  <c r="AD34" i="1"/>
  <c r="AE34" i="1"/>
  <c r="AF34" i="1"/>
  <c r="AH34" i="1"/>
  <c r="AI34" i="1"/>
  <c r="AJ34" i="1"/>
  <c r="AK34" i="1"/>
  <c r="AL34" i="1"/>
  <c r="S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S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S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S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S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X41" i="1"/>
  <c r="Y41" i="1"/>
  <c r="Z41" i="1"/>
  <c r="AA41" i="1"/>
  <c r="AB41" i="1"/>
  <c r="AC41" i="1"/>
  <c r="AD41" i="1"/>
  <c r="AE41" i="1"/>
  <c r="AG41" i="1"/>
  <c r="AH41" i="1"/>
  <c r="AI41" i="1"/>
  <c r="AJ41" i="1"/>
  <c r="AK41" i="1"/>
  <c r="AL41" i="1"/>
  <c r="X42" i="1"/>
  <c r="Y42" i="1"/>
  <c r="Z42" i="1"/>
  <c r="AA42" i="1"/>
  <c r="AB42" i="1"/>
  <c r="AC42" i="1"/>
  <c r="AD42" i="1"/>
  <c r="AE42" i="1"/>
  <c r="AF42" i="1"/>
  <c r="AH42" i="1"/>
  <c r="AI42" i="1"/>
  <c r="AJ42" i="1"/>
  <c r="AK42" i="1"/>
  <c r="AL42" i="1"/>
  <c r="S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S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S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S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S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X49" i="1"/>
  <c r="Y49" i="1"/>
  <c r="Z49" i="1"/>
  <c r="AA49" i="1"/>
  <c r="AB49" i="1"/>
  <c r="AC49" i="1"/>
  <c r="AD49" i="1"/>
  <c r="AE49" i="1"/>
  <c r="AG49" i="1"/>
  <c r="AH49" i="1"/>
  <c r="AI49" i="1"/>
  <c r="AJ49" i="1"/>
  <c r="AK49" i="1"/>
  <c r="AL49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S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S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S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S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S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S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S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X89" i="1"/>
  <c r="Y89" i="1"/>
  <c r="Z89" i="1"/>
  <c r="AA89" i="1"/>
  <c r="AB89" i="1"/>
  <c r="AC89" i="1"/>
  <c r="AD89" i="1"/>
  <c r="AE89" i="1"/>
  <c r="AG89" i="1"/>
  <c r="AH89" i="1"/>
  <c r="AI89" i="1"/>
  <c r="AJ89" i="1"/>
  <c r="AK89" i="1"/>
  <c r="AL89" i="1"/>
  <c r="X90" i="1"/>
  <c r="Y90" i="1"/>
  <c r="Z90" i="1"/>
  <c r="AA90" i="1"/>
  <c r="AB90" i="1"/>
  <c r="AC90" i="1"/>
  <c r="AD90" i="1"/>
  <c r="AE90" i="1"/>
  <c r="AF90" i="1"/>
  <c r="AH90" i="1"/>
  <c r="AI90" i="1"/>
  <c r="AJ90" i="1"/>
  <c r="AK90" i="1"/>
  <c r="AL90" i="1"/>
  <c r="S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X92" i="1"/>
  <c r="Y92" i="1"/>
  <c r="Z92" i="1"/>
  <c r="AA92" i="1"/>
  <c r="AB92" i="1"/>
  <c r="AC92" i="1"/>
  <c r="AD92" i="1"/>
  <c r="AE92" i="1"/>
  <c r="AF92" i="1"/>
  <c r="AH92" i="1"/>
  <c r="AI92" i="1"/>
  <c r="AJ92" i="1"/>
  <c r="AK92" i="1"/>
  <c r="AL92" i="1"/>
  <c r="S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S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X106" i="1"/>
  <c r="Y106" i="1"/>
  <c r="Z106" i="1"/>
  <c r="AA106" i="1"/>
  <c r="AB106" i="1"/>
  <c r="AC106" i="1"/>
  <c r="AD106" i="1"/>
  <c r="AE106" i="1"/>
  <c r="AF106" i="1"/>
  <c r="AH106" i="1"/>
  <c r="AI106" i="1"/>
  <c r="AJ106" i="1"/>
  <c r="AK106" i="1"/>
  <c r="AL106" i="1"/>
  <c r="S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S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S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S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S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S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S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S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164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164" i="1"/>
  <c r="AM10" i="3" l="1"/>
  <c r="AM63" i="3"/>
  <c r="AM68" i="3"/>
  <c r="AM75" i="3"/>
  <c r="AM77" i="3"/>
  <c r="AM78" i="3"/>
  <c r="AM80" i="3"/>
  <c r="AM81" i="3"/>
  <c r="AM83" i="3"/>
  <c r="AM85" i="3"/>
  <c r="AM86" i="3"/>
  <c r="AM88" i="3"/>
  <c r="AM89" i="3"/>
  <c r="AM91" i="3"/>
  <c r="AM93" i="3"/>
  <c r="AM94" i="3"/>
  <c r="AM96" i="3"/>
  <c r="AM97" i="3"/>
  <c r="AM99" i="3"/>
  <c r="AM101" i="3"/>
  <c r="AM102" i="3"/>
  <c r="AM104" i="3"/>
  <c r="AM105" i="3"/>
  <c r="AM107" i="3"/>
  <c r="AM109" i="3"/>
  <c r="AM110" i="3"/>
  <c r="AM112" i="3"/>
  <c r="AM113" i="3"/>
  <c r="AM115" i="3"/>
  <c r="AM117" i="3"/>
  <c r="AM118" i="3"/>
  <c r="AM120" i="3"/>
  <c r="AM121" i="3"/>
  <c r="AM123" i="3"/>
  <c r="AM125" i="3"/>
  <c r="AM126" i="3"/>
  <c r="AM128" i="3"/>
  <c r="AM129" i="3"/>
  <c r="AM131" i="3"/>
  <c r="AM133" i="3"/>
  <c r="AM134" i="3"/>
  <c r="AM136" i="3"/>
  <c r="AM137" i="3"/>
  <c r="AM139" i="3"/>
  <c r="AM141" i="3"/>
  <c r="AM142" i="3"/>
  <c r="AM3" i="3"/>
  <c r="AM143" i="3" s="1"/>
  <c r="AM5" i="3"/>
  <c r="AM8" i="3"/>
  <c r="AM9" i="3"/>
  <c r="AM11" i="3"/>
  <c r="AM13" i="3"/>
  <c r="AM14" i="3"/>
  <c r="AM16" i="3"/>
  <c r="AM17" i="3"/>
  <c r="AM26" i="3"/>
  <c r="AM71" i="3"/>
  <c r="AM76" i="3"/>
  <c r="AM84" i="3"/>
  <c r="AM92" i="3"/>
  <c r="AM100" i="3"/>
  <c r="AM108" i="3"/>
  <c r="AM116" i="3"/>
  <c r="AM124" i="3"/>
  <c r="AM132" i="3"/>
  <c r="AM140" i="3"/>
  <c r="AM4" i="3"/>
  <c r="AM12" i="3"/>
  <c r="AM19" i="3"/>
  <c r="AM21" i="3"/>
  <c r="AM22" i="3"/>
  <c r="AM24" i="3"/>
  <c r="AM25" i="3"/>
  <c r="AM27" i="3"/>
  <c r="AM29" i="3"/>
  <c r="AM30" i="3"/>
  <c r="AM32" i="3"/>
  <c r="AM33" i="3"/>
  <c r="AM79" i="3"/>
  <c r="AM87" i="3"/>
  <c r="AM95" i="3"/>
  <c r="AM103" i="3"/>
  <c r="AM111" i="3"/>
  <c r="AM119" i="3"/>
  <c r="AM127" i="3"/>
  <c r="AM135" i="3"/>
  <c r="AM7" i="3"/>
  <c r="AM15" i="3"/>
  <c r="AM20" i="3"/>
  <c r="AM28" i="3"/>
  <c r="AM35" i="3"/>
  <c r="AM37" i="3"/>
  <c r="AM38" i="3"/>
  <c r="AM40" i="3"/>
  <c r="AM41" i="3"/>
  <c r="AB143" i="3"/>
  <c r="AM39" i="3"/>
  <c r="AM44" i="3"/>
  <c r="AM51" i="3"/>
  <c r="AM53" i="3"/>
  <c r="AM54" i="3"/>
  <c r="AM56" i="3"/>
  <c r="AM57" i="3"/>
  <c r="AM47" i="3"/>
  <c r="AM52" i="3"/>
  <c r="AM59" i="3"/>
  <c r="AM61" i="3"/>
  <c r="AM62" i="3"/>
  <c r="AM64" i="3"/>
  <c r="AM65" i="3"/>
  <c r="AM55" i="3"/>
  <c r="AM60" i="3"/>
  <c r="AM67" i="3"/>
  <c r="AM69" i="3"/>
  <c r="AM70" i="3"/>
  <c r="AM72" i="3"/>
  <c r="AM73" i="3"/>
  <c r="AM82" i="3"/>
  <c r="AM90" i="3"/>
  <c r="AM98" i="3"/>
  <c r="AM106" i="3"/>
  <c r="AM114" i="3"/>
  <c r="AM122" i="3"/>
  <c r="AM130" i="3"/>
  <c r="AM138" i="3"/>
  <c r="AM21" i="2"/>
  <c r="AM89" i="2"/>
  <c r="AM94" i="2"/>
  <c r="AM96" i="2"/>
  <c r="AM98" i="2"/>
  <c r="AM102" i="2"/>
  <c r="AM104" i="2"/>
  <c r="AM106" i="2"/>
  <c r="AM110" i="2"/>
  <c r="AM112" i="2"/>
  <c r="AM114" i="2"/>
  <c r="AM118" i="2"/>
  <c r="AM130" i="2"/>
  <c r="AM136" i="2"/>
  <c r="AM138" i="2"/>
  <c r="AM144" i="2"/>
  <c r="AM146" i="2"/>
  <c r="AM150" i="2"/>
  <c r="AM152" i="2"/>
  <c r="AM154" i="2"/>
  <c r="AM158" i="2"/>
  <c r="AM160" i="2"/>
  <c r="AM162" i="2"/>
  <c r="AM95" i="2"/>
  <c r="AM97" i="2"/>
  <c r="AM103" i="2"/>
  <c r="AM105" i="2"/>
  <c r="AM111" i="2"/>
  <c r="AM113" i="2"/>
  <c r="AM119" i="2"/>
  <c r="AM121" i="2"/>
  <c r="AM127" i="2"/>
  <c r="AM129" i="2"/>
  <c r="AM135" i="2"/>
  <c r="AM137" i="2"/>
  <c r="AM143" i="2"/>
  <c r="AM145" i="2"/>
  <c r="AM151" i="2"/>
  <c r="AM153" i="2"/>
  <c r="AM159" i="2"/>
  <c r="AM161" i="2"/>
  <c r="AM120" i="2"/>
  <c r="AM122" i="2"/>
  <c r="AM126" i="2"/>
  <c r="AM128" i="2"/>
  <c r="AM134" i="2"/>
  <c r="AM142" i="2"/>
  <c r="AM163" i="2"/>
  <c r="AM4" i="2"/>
  <c r="AM12" i="2"/>
  <c r="AM37" i="2"/>
  <c r="AM65" i="2"/>
  <c r="AM133" i="2"/>
  <c r="AM141" i="2"/>
  <c r="AM149" i="2"/>
  <c r="AM157" i="2"/>
  <c r="AM87" i="2"/>
  <c r="AM2" i="2"/>
  <c r="AM20" i="2"/>
  <c r="AM36" i="2"/>
  <c r="AM61" i="2"/>
  <c r="AM69" i="2"/>
  <c r="AM125" i="2"/>
  <c r="AM6" i="2"/>
  <c r="AM8" i="2"/>
  <c r="AM10" i="2"/>
  <c r="AM14" i="2"/>
  <c r="AM16" i="2"/>
  <c r="AM18" i="2"/>
  <c r="AM27" i="2"/>
  <c r="AM35" i="2"/>
  <c r="AM44" i="2"/>
  <c r="AM52" i="2"/>
  <c r="AM60" i="2"/>
  <c r="AM68" i="2"/>
  <c r="AM76" i="2"/>
  <c r="AM85" i="2"/>
  <c r="AM29" i="2"/>
  <c r="AM45" i="2"/>
  <c r="AM53" i="2"/>
  <c r="AM7" i="2"/>
  <c r="AM9" i="2"/>
  <c r="AM15" i="2"/>
  <c r="AM17" i="2"/>
  <c r="AM22" i="2"/>
  <c r="AM24" i="2"/>
  <c r="AM26" i="2"/>
  <c r="AM30" i="2"/>
  <c r="AM32" i="2"/>
  <c r="AM34" i="2"/>
  <c r="AM38" i="2"/>
  <c r="AM40" i="2"/>
  <c r="AM42" i="2"/>
  <c r="AM51" i="2"/>
  <c r="AM59" i="2"/>
  <c r="AM67" i="2"/>
  <c r="AM75" i="2"/>
  <c r="AM84" i="2"/>
  <c r="AM93" i="2"/>
  <c r="AM101" i="2"/>
  <c r="AM109" i="2"/>
  <c r="AM117" i="2"/>
  <c r="AM11" i="2"/>
  <c r="AM28" i="2"/>
  <c r="AM77" i="2"/>
  <c r="AM23" i="2"/>
  <c r="AM25" i="2"/>
  <c r="AM31" i="2"/>
  <c r="AM33" i="2"/>
  <c r="AM39" i="2"/>
  <c r="AM41" i="2"/>
  <c r="AM46" i="2"/>
  <c r="AM48" i="2"/>
  <c r="AM50" i="2"/>
  <c r="AM54" i="2"/>
  <c r="AM56" i="2"/>
  <c r="AM58" i="2"/>
  <c r="AM62" i="2"/>
  <c r="AM64" i="2"/>
  <c r="AM66" i="2"/>
  <c r="AM70" i="2"/>
  <c r="AM72" i="2"/>
  <c r="AM74" i="2"/>
  <c r="AM78" i="2"/>
  <c r="AM80" i="2"/>
  <c r="AM82" i="2"/>
  <c r="AM92" i="2"/>
  <c r="AM100" i="2"/>
  <c r="AM108" i="2"/>
  <c r="AM116" i="2"/>
  <c r="AM124" i="2"/>
  <c r="AM132" i="2"/>
  <c r="AM140" i="2"/>
  <c r="AM148" i="2"/>
  <c r="AM156" i="2"/>
  <c r="S26" i="1"/>
  <c r="AG34" i="1"/>
  <c r="AM34" i="1" s="1"/>
  <c r="AG92" i="1"/>
  <c r="AG90" i="1"/>
  <c r="AM90" i="1" s="1"/>
  <c r="AG106" i="1"/>
  <c r="AG42" i="1"/>
  <c r="AM42" i="1" s="1"/>
  <c r="AF9" i="1"/>
  <c r="AF49" i="1"/>
  <c r="AF41" i="1"/>
  <c r="AM41" i="1" s="1"/>
  <c r="S89" i="1"/>
  <c r="S33" i="1"/>
  <c r="S9" i="1"/>
  <c r="AM2" i="1"/>
  <c r="AM10" i="1"/>
  <c r="AM30" i="1"/>
  <c r="AM6" i="1"/>
  <c r="AM8" i="1"/>
  <c r="AM4" i="1"/>
  <c r="AM7" i="1"/>
  <c r="AM5" i="1"/>
  <c r="AM3" i="1"/>
  <c r="AM22" i="1"/>
  <c r="AM15" i="1"/>
  <c r="AM13" i="1"/>
  <c r="AM11" i="1"/>
  <c r="AM38" i="1"/>
  <c r="AM46" i="1"/>
  <c r="AM16" i="1"/>
  <c r="AM12" i="1"/>
  <c r="S25" i="1"/>
  <c r="AE9" i="1"/>
  <c r="AM14" i="1"/>
  <c r="AM50" i="1"/>
  <c r="AM21" i="1"/>
  <c r="AM20" i="1"/>
  <c r="AM53" i="1"/>
  <c r="AM52" i="1"/>
  <c r="AM51" i="1"/>
  <c r="AM49" i="1"/>
  <c r="AM48" i="1"/>
  <c r="AM47" i="1"/>
  <c r="AM45" i="1"/>
  <c r="AM44" i="1"/>
  <c r="AM43" i="1"/>
  <c r="AM40" i="1"/>
  <c r="AM39" i="1"/>
  <c r="AM26" i="1"/>
  <c r="AM37" i="1"/>
  <c r="AM36" i="1"/>
  <c r="AM35" i="1"/>
  <c r="AM33" i="1"/>
  <c r="AM32" i="1"/>
  <c r="AM31" i="1"/>
  <c r="AM29" i="1"/>
  <c r="AM28" i="1"/>
  <c r="AM27" i="1"/>
  <c r="AM25" i="1"/>
  <c r="AM24" i="1"/>
  <c r="AM23" i="1"/>
  <c r="AM60" i="1"/>
  <c r="AM71" i="1"/>
  <c r="AM87" i="1"/>
  <c r="AM92" i="1"/>
  <c r="AM89" i="1"/>
  <c r="AM84" i="1"/>
  <c r="AM94" i="1"/>
  <c r="AM93" i="1"/>
  <c r="AM91" i="1"/>
  <c r="AM88" i="1"/>
  <c r="AM86" i="1"/>
  <c r="AM85" i="1"/>
  <c r="AM83" i="1"/>
  <c r="AM96" i="1"/>
  <c r="AM104" i="1"/>
  <c r="AM107" i="1"/>
  <c r="AM111" i="1"/>
  <c r="AM106" i="1"/>
  <c r="AM112" i="1"/>
  <c r="AM110" i="1"/>
  <c r="AM109" i="1"/>
  <c r="AM119" i="1"/>
  <c r="AM118" i="1"/>
  <c r="AM124" i="1"/>
  <c r="AM127" i="1"/>
  <c r="AM117" i="1"/>
  <c r="AM272" i="1"/>
  <c r="S284" i="1"/>
  <c r="S285" i="1"/>
  <c r="AA283" i="1"/>
  <c r="S18" i="1"/>
  <c r="S58" i="1"/>
  <c r="AA66" i="1"/>
  <c r="AA74" i="1"/>
  <c r="S82" i="1"/>
  <c r="S98" i="1"/>
  <c r="AA114" i="1"/>
  <c r="AA122" i="1"/>
  <c r="AA130" i="1"/>
  <c r="AA138" i="1"/>
  <c r="AA146" i="1"/>
  <c r="AA154" i="1"/>
  <c r="AA162" i="1"/>
  <c r="S172" i="1"/>
  <c r="S204" i="1"/>
  <c r="S236" i="1"/>
  <c r="S252" i="1"/>
  <c r="S272" i="1"/>
  <c r="S273" i="1"/>
  <c r="S274" i="1"/>
  <c r="S17" i="1"/>
  <c r="Y57" i="1"/>
  <c r="S73" i="1"/>
  <c r="Y81" i="1"/>
  <c r="Y97" i="1"/>
  <c r="S105" i="1"/>
  <c r="Y120" i="1"/>
  <c r="S121" i="1"/>
  <c r="Y128" i="1"/>
  <c r="Y129" i="1"/>
  <c r="Y136" i="1"/>
  <c r="Y137" i="1"/>
  <c r="Y144" i="1"/>
  <c r="S145" i="1"/>
  <c r="S153" i="1"/>
  <c r="S160" i="1"/>
  <c r="S161" i="1"/>
  <c r="Y283" i="1"/>
  <c r="S65" i="1"/>
  <c r="S113" i="1"/>
  <c r="Y152" i="1"/>
  <c r="S171" i="1"/>
  <c r="S179" i="1"/>
  <c r="S187" i="1"/>
  <c r="S195" i="1"/>
  <c r="S203" i="1"/>
  <c r="S211" i="1"/>
  <c r="S219" i="1"/>
  <c r="S235" i="1"/>
  <c r="S243" i="1"/>
  <c r="S251" i="1"/>
  <c r="S259" i="1"/>
  <c r="S267" i="1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D164" i="2"/>
  <c r="AL164" i="2"/>
  <c r="AJ164" i="2"/>
  <c r="AI164" i="2"/>
  <c r="AF164" i="2"/>
  <c r="AE164" i="2"/>
  <c r="AD164" i="2"/>
  <c r="AB164" i="2"/>
  <c r="AA164" i="2"/>
  <c r="S188" i="1"/>
  <c r="S196" i="1"/>
  <c r="S228" i="1"/>
  <c r="X18" i="1"/>
  <c r="X58" i="1"/>
  <c r="X66" i="1"/>
  <c r="X74" i="1"/>
  <c r="X82" i="1"/>
  <c r="X98" i="1"/>
  <c r="X114" i="1"/>
  <c r="X122" i="1"/>
  <c r="X130" i="1"/>
  <c r="X138" i="1"/>
  <c r="X146" i="1"/>
  <c r="X154" i="1"/>
  <c r="S117" i="1"/>
  <c r="Y277" i="1"/>
  <c r="Z277" i="1"/>
  <c r="AA277" i="1"/>
  <c r="AB277" i="1"/>
  <c r="AC277" i="1"/>
  <c r="AE277" i="1"/>
  <c r="AF277" i="1"/>
  <c r="Y278" i="1"/>
  <c r="Z278" i="1"/>
  <c r="AA278" i="1"/>
  <c r="AB278" i="1"/>
  <c r="AC278" i="1"/>
  <c r="AE278" i="1"/>
  <c r="AF278" i="1"/>
  <c r="Y279" i="1"/>
  <c r="Z279" i="1"/>
  <c r="AA279" i="1"/>
  <c r="AB279" i="1"/>
  <c r="AC279" i="1"/>
  <c r="AE279" i="1"/>
  <c r="AF279" i="1"/>
  <c r="Y280" i="1"/>
  <c r="Z280" i="1"/>
  <c r="AA280" i="1"/>
  <c r="AB280" i="1"/>
  <c r="AC280" i="1"/>
  <c r="AE280" i="1"/>
  <c r="AF280" i="1"/>
  <c r="Y281" i="1"/>
  <c r="Z281" i="1"/>
  <c r="AA281" i="1"/>
  <c r="AB281" i="1"/>
  <c r="AC281" i="1"/>
  <c r="AE281" i="1"/>
  <c r="AF281" i="1"/>
  <c r="Y282" i="1"/>
  <c r="Z282" i="1"/>
  <c r="AA282" i="1"/>
  <c r="AB282" i="1"/>
  <c r="AC282" i="1"/>
  <c r="AE282" i="1"/>
  <c r="AF282" i="1"/>
  <c r="Z283" i="1"/>
  <c r="AB283" i="1"/>
  <c r="AC283" i="1"/>
  <c r="AE283" i="1"/>
  <c r="AF283" i="1"/>
  <c r="Y284" i="1"/>
  <c r="Z284" i="1"/>
  <c r="AA284" i="1"/>
  <c r="AB284" i="1"/>
  <c r="AC284" i="1"/>
  <c r="AE284" i="1"/>
  <c r="AF284" i="1"/>
  <c r="Y285" i="1"/>
  <c r="Z285" i="1"/>
  <c r="AB285" i="1"/>
  <c r="AC285" i="1"/>
  <c r="AE285" i="1"/>
  <c r="AF285" i="1"/>
  <c r="Y286" i="1"/>
  <c r="Z286" i="1"/>
  <c r="AA286" i="1"/>
  <c r="AB286" i="1"/>
  <c r="AC286" i="1"/>
  <c r="AE286" i="1"/>
  <c r="AF286" i="1"/>
  <c r="Y287" i="1"/>
  <c r="Z287" i="1"/>
  <c r="AA287" i="1"/>
  <c r="AB287" i="1"/>
  <c r="AC287" i="1"/>
  <c r="AE287" i="1"/>
  <c r="AF287" i="1"/>
  <c r="Y288" i="1"/>
  <c r="Z288" i="1"/>
  <c r="AA288" i="1"/>
  <c r="AB288" i="1"/>
  <c r="AC288" i="1"/>
  <c r="AE288" i="1"/>
  <c r="AF288" i="1"/>
  <c r="Y289" i="1"/>
  <c r="Z289" i="1"/>
  <c r="AA289" i="1"/>
  <c r="AB289" i="1"/>
  <c r="AC289" i="1"/>
  <c r="AF289" i="1"/>
  <c r="Y290" i="1"/>
  <c r="Z290" i="1"/>
  <c r="AA290" i="1"/>
  <c r="AB290" i="1"/>
  <c r="AC290" i="1"/>
  <c r="AF290" i="1"/>
  <c r="X278" i="1"/>
  <c r="X279" i="1"/>
  <c r="X280" i="1"/>
  <c r="X281" i="1"/>
  <c r="X282" i="1"/>
  <c r="X283" i="1"/>
  <c r="X285" i="1"/>
  <c r="X286" i="1"/>
  <c r="X287" i="1"/>
  <c r="X288" i="1"/>
  <c r="X289" i="1"/>
  <c r="X290" i="1"/>
  <c r="Z17" i="1"/>
  <c r="AA17" i="1"/>
  <c r="AB17" i="1"/>
  <c r="AB308" i="1" s="1"/>
  <c r="AC17" i="1"/>
  <c r="AD17" i="1"/>
  <c r="AD308" i="1" s="1"/>
  <c r="AE17" i="1"/>
  <c r="AF17" i="1"/>
  <c r="AG17" i="1"/>
  <c r="AH17" i="1"/>
  <c r="AI17" i="1"/>
  <c r="AJ17" i="1"/>
  <c r="AK17" i="1"/>
  <c r="AL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Y58" i="1"/>
  <c r="Z58" i="1"/>
  <c r="AB58" i="1"/>
  <c r="AC58" i="1"/>
  <c r="AD58" i="1"/>
  <c r="AE58" i="1"/>
  <c r="AF58" i="1"/>
  <c r="AG58" i="1"/>
  <c r="AH58" i="1"/>
  <c r="AI58" i="1"/>
  <c r="AJ58" i="1"/>
  <c r="AK58" i="1"/>
  <c r="AL58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Y66" i="1"/>
  <c r="Z66" i="1"/>
  <c r="AB66" i="1"/>
  <c r="AC66" i="1"/>
  <c r="AD66" i="1"/>
  <c r="AE66" i="1"/>
  <c r="AF66" i="1"/>
  <c r="AG66" i="1"/>
  <c r="AH66" i="1"/>
  <c r="AI66" i="1"/>
  <c r="AJ66" i="1"/>
  <c r="AK66" i="1"/>
  <c r="AL66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Y74" i="1"/>
  <c r="Z74" i="1"/>
  <c r="AB74" i="1"/>
  <c r="AC74" i="1"/>
  <c r="AD74" i="1"/>
  <c r="AE74" i="1"/>
  <c r="AF74" i="1"/>
  <c r="AG74" i="1"/>
  <c r="AH74" i="1"/>
  <c r="AI74" i="1"/>
  <c r="AJ74" i="1"/>
  <c r="AK74" i="1"/>
  <c r="AL74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Y98" i="1"/>
  <c r="Z98" i="1"/>
  <c r="AB98" i="1"/>
  <c r="AC98" i="1"/>
  <c r="AD98" i="1"/>
  <c r="AE98" i="1"/>
  <c r="AF98" i="1"/>
  <c r="AG98" i="1"/>
  <c r="AH98" i="1"/>
  <c r="AI98" i="1"/>
  <c r="AJ98" i="1"/>
  <c r="AK98" i="1"/>
  <c r="AL98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Y114" i="1"/>
  <c r="Z114" i="1"/>
  <c r="AB114" i="1"/>
  <c r="AC114" i="1"/>
  <c r="AD114" i="1"/>
  <c r="AE114" i="1"/>
  <c r="AF114" i="1"/>
  <c r="AG114" i="1"/>
  <c r="AH114" i="1"/>
  <c r="AI114" i="1"/>
  <c r="AJ114" i="1"/>
  <c r="AK114" i="1"/>
  <c r="AL114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Y122" i="1"/>
  <c r="Z122" i="1"/>
  <c r="AB122" i="1"/>
  <c r="AC122" i="1"/>
  <c r="AD122" i="1"/>
  <c r="AE122" i="1"/>
  <c r="AF122" i="1"/>
  <c r="AG122" i="1"/>
  <c r="AH122" i="1"/>
  <c r="AI122" i="1"/>
  <c r="AJ122" i="1"/>
  <c r="AK122" i="1"/>
  <c r="AL122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Y130" i="1"/>
  <c r="Z130" i="1"/>
  <c r="AB130" i="1"/>
  <c r="AC130" i="1"/>
  <c r="AD130" i="1"/>
  <c r="AE130" i="1"/>
  <c r="AF130" i="1"/>
  <c r="AG130" i="1"/>
  <c r="AH130" i="1"/>
  <c r="AI130" i="1"/>
  <c r="AJ130" i="1"/>
  <c r="AK130" i="1"/>
  <c r="AL130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Y138" i="1"/>
  <c r="Z138" i="1"/>
  <c r="AB138" i="1"/>
  <c r="AC138" i="1"/>
  <c r="AD138" i="1"/>
  <c r="AE138" i="1"/>
  <c r="AF138" i="1"/>
  <c r="AG138" i="1"/>
  <c r="AH138" i="1"/>
  <c r="AI138" i="1"/>
  <c r="AJ138" i="1"/>
  <c r="AK138" i="1"/>
  <c r="AL138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Y146" i="1"/>
  <c r="Z146" i="1"/>
  <c r="AB146" i="1"/>
  <c r="AC146" i="1"/>
  <c r="AD146" i="1"/>
  <c r="AE146" i="1"/>
  <c r="AF146" i="1"/>
  <c r="AG146" i="1"/>
  <c r="AH146" i="1"/>
  <c r="AI146" i="1"/>
  <c r="AJ146" i="1"/>
  <c r="AK146" i="1"/>
  <c r="AL146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Y154" i="1"/>
  <c r="Z154" i="1"/>
  <c r="AB154" i="1"/>
  <c r="AC154" i="1"/>
  <c r="AD154" i="1"/>
  <c r="AE154" i="1"/>
  <c r="AF154" i="1"/>
  <c r="AG154" i="1"/>
  <c r="AH154" i="1"/>
  <c r="AI154" i="1"/>
  <c r="AJ154" i="1"/>
  <c r="AK154" i="1"/>
  <c r="AL154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Y162" i="1"/>
  <c r="Z162" i="1"/>
  <c r="AB162" i="1"/>
  <c r="AC162" i="1"/>
  <c r="AD162" i="1"/>
  <c r="AE162" i="1"/>
  <c r="AF162" i="1"/>
  <c r="AG162" i="1"/>
  <c r="AH162" i="1"/>
  <c r="AI162" i="1"/>
  <c r="AJ162" i="1"/>
  <c r="AK162" i="1"/>
  <c r="AL162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X17" i="1"/>
  <c r="X19" i="1"/>
  <c r="X54" i="1"/>
  <c r="X55" i="1"/>
  <c r="X56" i="1"/>
  <c r="X57" i="1"/>
  <c r="X59" i="1"/>
  <c r="X61" i="1"/>
  <c r="X62" i="1"/>
  <c r="X63" i="1"/>
  <c r="X64" i="1"/>
  <c r="X65" i="1"/>
  <c r="X67" i="1"/>
  <c r="X68" i="1"/>
  <c r="X69" i="1"/>
  <c r="X70" i="1"/>
  <c r="X72" i="1"/>
  <c r="X73" i="1"/>
  <c r="X75" i="1"/>
  <c r="X76" i="1"/>
  <c r="X77" i="1"/>
  <c r="X78" i="1"/>
  <c r="X79" i="1"/>
  <c r="X80" i="1"/>
  <c r="X81" i="1"/>
  <c r="X95" i="1"/>
  <c r="X97" i="1"/>
  <c r="X99" i="1"/>
  <c r="X100" i="1"/>
  <c r="X101" i="1"/>
  <c r="X102" i="1"/>
  <c r="X103" i="1"/>
  <c r="X105" i="1"/>
  <c r="X108" i="1"/>
  <c r="X113" i="1"/>
  <c r="X115" i="1"/>
  <c r="X116" i="1"/>
  <c r="X120" i="1"/>
  <c r="X121" i="1"/>
  <c r="X123" i="1"/>
  <c r="X125" i="1"/>
  <c r="X126" i="1"/>
  <c r="X128" i="1"/>
  <c r="X129" i="1"/>
  <c r="X131" i="1"/>
  <c r="X132" i="1"/>
  <c r="X133" i="1"/>
  <c r="X134" i="1"/>
  <c r="X135" i="1"/>
  <c r="X136" i="1"/>
  <c r="X137" i="1"/>
  <c r="X139" i="1"/>
  <c r="X140" i="1"/>
  <c r="X141" i="1"/>
  <c r="X142" i="1"/>
  <c r="X143" i="1"/>
  <c r="X144" i="1"/>
  <c r="X145" i="1"/>
  <c r="X147" i="1"/>
  <c r="X148" i="1"/>
  <c r="X149" i="1"/>
  <c r="X150" i="1"/>
  <c r="X151" i="1"/>
  <c r="X152" i="1"/>
  <c r="X153" i="1"/>
  <c r="X155" i="1"/>
  <c r="X156" i="1"/>
  <c r="X157" i="1"/>
  <c r="X158" i="1"/>
  <c r="X159" i="1"/>
  <c r="X160" i="1"/>
  <c r="X161" i="1"/>
  <c r="X162" i="1"/>
  <c r="X163" i="1"/>
  <c r="S19" i="1"/>
  <c r="S54" i="1"/>
  <c r="S55" i="1"/>
  <c r="S56" i="1"/>
  <c r="S59" i="1"/>
  <c r="S61" i="1"/>
  <c r="S62" i="1"/>
  <c r="S63" i="1"/>
  <c r="S64" i="1"/>
  <c r="S66" i="1"/>
  <c r="S67" i="1"/>
  <c r="S68" i="1"/>
  <c r="S69" i="1"/>
  <c r="S70" i="1"/>
  <c r="S72" i="1"/>
  <c r="S75" i="1"/>
  <c r="S76" i="1"/>
  <c r="S77" i="1"/>
  <c r="S78" i="1"/>
  <c r="S79" i="1"/>
  <c r="S80" i="1"/>
  <c r="S95" i="1"/>
  <c r="S99" i="1"/>
  <c r="S100" i="1"/>
  <c r="S101" i="1"/>
  <c r="S102" i="1"/>
  <c r="S103" i="1"/>
  <c r="S108" i="1"/>
  <c r="S114" i="1"/>
  <c r="S115" i="1"/>
  <c r="S116" i="1"/>
  <c r="S123" i="1"/>
  <c r="S125" i="1"/>
  <c r="S126" i="1"/>
  <c r="S128" i="1"/>
  <c r="S131" i="1"/>
  <c r="S132" i="1"/>
  <c r="S133" i="1"/>
  <c r="S134" i="1"/>
  <c r="S135" i="1"/>
  <c r="S139" i="1"/>
  <c r="S140" i="1"/>
  <c r="S141" i="1"/>
  <c r="S142" i="1"/>
  <c r="S143" i="1"/>
  <c r="S147" i="1"/>
  <c r="S148" i="1"/>
  <c r="S149" i="1"/>
  <c r="S150" i="1"/>
  <c r="S151" i="1"/>
  <c r="S155" i="1"/>
  <c r="S156" i="1"/>
  <c r="S157" i="1"/>
  <c r="S158" i="1"/>
  <c r="S159" i="1"/>
  <c r="S163" i="1"/>
  <c r="S164" i="1"/>
  <c r="S165" i="1"/>
  <c r="S166" i="1"/>
  <c r="S167" i="1"/>
  <c r="S168" i="1"/>
  <c r="S169" i="1"/>
  <c r="S170" i="1"/>
  <c r="S173" i="1"/>
  <c r="S174" i="1"/>
  <c r="S175" i="1"/>
  <c r="S176" i="1"/>
  <c r="S177" i="1"/>
  <c r="S178" i="1"/>
  <c r="S181" i="1"/>
  <c r="S182" i="1"/>
  <c r="S183" i="1"/>
  <c r="S184" i="1"/>
  <c r="S185" i="1"/>
  <c r="S186" i="1"/>
  <c r="S189" i="1"/>
  <c r="S190" i="1"/>
  <c r="S191" i="1"/>
  <c r="S192" i="1"/>
  <c r="S193" i="1"/>
  <c r="S194" i="1"/>
  <c r="S197" i="1"/>
  <c r="S198" i="1"/>
  <c r="S199" i="1"/>
  <c r="S200" i="1"/>
  <c r="S201" i="1"/>
  <c r="S202" i="1"/>
  <c r="S205" i="1"/>
  <c r="S206" i="1"/>
  <c r="S207" i="1"/>
  <c r="S208" i="1"/>
  <c r="S209" i="1"/>
  <c r="S210" i="1"/>
  <c r="S213" i="1"/>
  <c r="S214" i="1"/>
  <c r="S215" i="1"/>
  <c r="S216" i="1"/>
  <c r="S217" i="1"/>
  <c r="S218" i="1"/>
  <c r="S221" i="1"/>
  <c r="S222" i="1"/>
  <c r="S223" i="1"/>
  <c r="S224" i="1"/>
  <c r="S225" i="1"/>
  <c r="S226" i="1"/>
  <c r="S227" i="1"/>
  <c r="S229" i="1"/>
  <c r="S230" i="1"/>
  <c r="S231" i="1"/>
  <c r="S232" i="1"/>
  <c r="S233" i="1"/>
  <c r="S234" i="1"/>
  <c r="S237" i="1"/>
  <c r="S238" i="1"/>
  <c r="S239" i="1"/>
  <c r="S240" i="1"/>
  <c r="S241" i="1"/>
  <c r="S242" i="1"/>
  <c r="S245" i="1"/>
  <c r="S246" i="1"/>
  <c r="S247" i="1"/>
  <c r="S248" i="1"/>
  <c r="S249" i="1"/>
  <c r="S250" i="1"/>
  <c r="S253" i="1"/>
  <c r="S254" i="1"/>
  <c r="S255" i="1"/>
  <c r="S256" i="1"/>
  <c r="S257" i="1"/>
  <c r="S258" i="1"/>
  <c r="S261" i="1"/>
  <c r="S262" i="1"/>
  <c r="S263" i="1"/>
  <c r="S264" i="1"/>
  <c r="S265" i="1"/>
  <c r="S266" i="1"/>
  <c r="S269" i="1"/>
  <c r="S270" i="1"/>
  <c r="S271" i="1"/>
  <c r="S275" i="1"/>
  <c r="S277" i="1"/>
  <c r="S278" i="1"/>
  <c r="S279" i="1"/>
  <c r="S280" i="1"/>
  <c r="S281" i="1"/>
  <c r="S282" i="1"/>
  <c r="S286" i="1"/>
  <c r="S287" i="1"/>
  <c r="S288" i="1"/>
  <c r="S289" i="1"/>
  <c r="S290" i="1"/>
  <c r="X277" i="1"/>
  <c r="Z308" i="1" l="1"/>
  <c r="AH308" i="1"/>
  <c r="AI308" i="1"/>
  <c r="AC308" i="1"/>
  <c r="AM9" i="1"/>
  <c r="AF308" i="1"/>
  <c r="AA285" i="1"/>
  <c r="S74" i="1"/>
  <c r="S162" i="1"/>
  <c r="AA98" i="1"/>
  <c r="AM98" i="1" s="1"/>
  <c r="AA58" i="1"/>
  <c r="S268" i="1"/>
  <c r="S276" i="1"/>
  <c r="S244" i="1"/>
  <c r="S260" i="1"/>
  <c r="S212" i="1"/>
  <c r="S180" i="1"/>
  <c r="S220" i="1"/>
  <c r="AC164" i="2"/>
  <c r="AK164" i="2"/>
  <c r="Y164" i="2"/>
  <c r="AG164" i="2"/>
  <c r="S164" i="2"/>
  <c r="Z164" i="2"/>
  <c r="AH164" i="2"/>
  <c r="Y145" i="1"/>
  <c r="AM145" i="1" s="1"/>
  <c r="Y161" i="1"/>
  <c r="AM161" i="1" s="1"/>
  <c r="S136" i="1"/>
  <c r="Y121" i="1"/>
  <c r="AM121" i="1" s="1"/>
  <c r="S129" i="1"/>
  <c r="S137" i="1"/>
  <c r="AM103" i="1"/>
  <c r="AM55" i="1"/>
  <c r="AM63" i="1"/>
  <c r="S283" i="1"/>
  <c r="S291" i="1"/>
  <c r="AM283" i="1"/>
  <c r="AM291" i="1"/>
  <c r="AM79" i="1"/>
  <c r="S97" i="1"/>
  <c r="S81" i="1"/>
  <c r="S57" i="1"/>
  <c r="Y160" i="1"/>
  <c r="AM160" i="1" s="1"/>
  <c r="S120" i="1"/>
  <c r="AM95" i="1"/>
  <c r="Y105" i="1"/>
  <c r="AM105" i="1" s="1"/>
  <c r="Y17" i="1"/>
  <c r="Y113" i="1"/>
  <c r="AM113" i="1" s="1"/>
  <c r="Y65" i="1"/>
  <c r="AM65" i="1" s="1"/>
  <c r="S152" i="1"/>
  <c r="AM128" i="1"/>
  <c r="Y73" i="1"/>
  <c r="AM73" i="1" s="1"/>
  <c r="AM136" i="1"/>
  <c r="AM120" i="1"/>
  <c r="S144" i="1"/>
  <c r="AM144" i="1"/>
  <c r="AM152" i="1"/>
  <c r="X164" i="2"/>
  <c r="X284" i="1"/>
  <c r="AM284" i="1" s="1"/>
  <c r="AM268" i="1"/>
  <c r="AM260" i="1"/>
  <c r="AM252" i="1"/>
  <c r="AM244" i="1"/>
  <c r="AM228" i="1"/>
  <c r="AM220" i="1"/>
  <c r="AM212" i="1"/>
  <c r="AM196" i="1"/>
  <c r="AM188" i="1"/>
  <c r="AM180" i="1"/>
  <c r="S154" i="1"/>
  <c r="S138" i="1"/>
  <c r="S130" i="1"/>
  <c r="S146" i="1"/>
  <c r="S122" i="1"/>
  <c r="AM151" i="1"/>
  <c r="AM135" i="1"/>
  <c r="AM102" i="1"/>
  <c r="AM70" i="1"/>
  <c r="AM54" i="1"/>
  <c r="AM276" i="1"/>
  <c r="AM259" i="1"/>
  <c r="AM243" i="1"/>
  <c r="AM235" i="1"/>
  <c r="AM219" i="1"/>
  <c r="AM203" i="1"/>
  <c r="AM187" i="1"/>
  <c r="AM171" i="1"/>
  <c r="AM290" i="1"/>
  <c r="AM282" i="1"/>
  <c r="AM159" i="1"/>
  <c r="AM143" i="1"/>
  <c r="AM78" i="1"/>
  <c r="AM62" i="1"/>
  <c r="AM267" i="1"/>
  <c r="AM251" i="1"/>
  <c r="AM227" i="1"/>
  <c r="AM211" i="1"/>
  <c r="AM195" i="1"/>
  <c r="AM179" i="1"/>
  <c r="AM158" i="1"/>
  <c r="AM150" i="1"/>
  <c r="AM142" i="1"/>
  <c r="AM134" i="1"/>
  <c r="AM126" i="1"/>
  <c r="AM101" i="1"/>
  <c r="AM77" i="1"/>
  <c r="AM69" i="1"/>
  <c r="AM61" i="1"/>
  <c r="AM275" i="1"/>
  <c r="AM266" i="1"/>
  <c r="AM258" i="1"/>
  <c r="AM250" i="1"/>
  <c r="AM242" i="1"/>
  <c r="AM234" i="1"/>
  <c r="AM226" i="1"/>
  <c r="AM218" i="1"/>
  <c r="AM210" i="1"/>
  <c r="AM202" i="1"/>
  <c r="AM194" i="1"/>
  <c r="AM186" i="1"/>
  <c r="AM178" i="1"/>
  <c r="AM170" i="1"/>
  <c r="AM289" i="1"/>
  <c r="AM281" i="1"/>
  <c r="AM125" i="1"/>
  <c r="AM274" i="1"/>
  <c r="AM265" i="1"/>
  <c r="AM257" i="1"/>
  <c r="AM249" i="1"/>
  <c r="AM241" i="1"/>
  <c r="AM233" i="1"/>
  <c r="AM225" i="1"/>
  <c r="AM217" i="1"/>
  <c r="AM209" i="1"/>
  <c r="AM201" i="1"/>
  <c r="AM193" i="1"/>
  <c r="AM185" i="1"/>
  <c r="AM177" i="1"/>
  <c r="AM169" i="1"/>
  <c r="AM288" i="1"/>
  <c r="AM280" i="1"/>
  <c r="AM157" i="1"/>
  <c r="AM133" i="1"/>
  <c r="AM100" i="1"/>
  <c r="AM68" i="1"/>
  <c r="AM164" i="1"/>
  <c r="AM148" i="1"/>
  <c r="AM99" i="1"/>
  <c r="AM67" i="1"/>
  <c r="AM19" i="1"/>
  <c r="AM273" i="1"/>
  <c r="AM248" i="1"/>
  <c r="AM224" i="1"/>
  <c r="AM200" i="1"/>
  <c r="AM184" i="1"/>
  <c r="AM287" i="1"/>
  <c r="AM141" i="1"/>
  <c r="AM108" i="1"/>
  <c r="AM76" i="1"/>
  <c r="AM163" i="1"/>
  <c r="AM132" i="1"/>
  <c r="AM59" i="1"/>
  <c r="AM256" i="1"/>
  <c r="AM232" i="1"/>
  <c r="AM208" i="1"/>
  <c r="AM176" i="1"/>
  <c r="AM279" i="1"/>
  <c r="AM277" i="1"/>
  <c r="AM162" i="1"/>
  <c r="AM155" i="1"/>
  <c r="AM147" i="1"/>
  <c r="AM139" i="1"/>
  <c r="AM131" i="1"/>
  <c r="AM123" i="1"/>
  <c r="AM114" i="1"/>
  <c r="AM82" i="1"/>
  <c r="AM74" i="1"/>
  <c r="AM66" i="1"/>
  <c r="AM18" i="1"/>
  <c r="AM271" i="1"/>
  <c r="AM263" i="1"/>
  <c r="AM255" i="1"/>
  <c r="AM247" i="1"/>
  <c r="AM239" i="1"/>
  <c r="AM231" i="1"/>
  <c r="AM223" i="1"/>
  <c r="AM215" i="1"/>
  <c r="AM207" i="1"/>
  <c r="AM199" i="1"/>
  <c r="AM191" i="1"/>
  <c r="AM183" i="1"/>
  <c r="AM175" i="1"/>
  <c r="AM167" i="1"/>
  <c r="AM286" i="1"/>
  <c r="AM278" i="1"/>
  <c r="AM149" i="1"/>
  <c r="AM116" i="1"/>
  <c r="AM156" i="1"/>
  <c r="AM140" i="1"/>
  <c r="AM115" i="1"/>
  <c r="AM75" i="1"/>
  <c r="AM264" i="1"/>
  <c r="AM240" i="1"/>
  <c r="AM216" i="1"/>
  <c r="AM192" i="1"/>
  <c r="AM168" i="1"/>
  <c r="AM154" i="1"/>
  <c r="AM146" i="1"/>
  <c r="AM138" i="1"/>
  <c r="AM130" i="1"/>
  <c r="AM122" i="1"/>
  <c r="AM97" i="1"/>
  <c r="AM81" i="1"/>
  <c r="AM57" i="1"/>
  <c r="AM270" i="1"/>
  <c r="AM262" i="1"/>
  <c r="AM254" i="1"/>
  <c r="AM246" i="1"/>
  <c r="AM238" i="1"/>
  <c r="AM230" i="1"/>
  <c r="AM222" i="1"/>
  <c r="AM214" i="1"/>
  <c r="AM206" i="1"/>
  <c r="AM198" i="1"/>
  <c r="AM190" i="1"/>
  <c r="AM182" i="1"/>
  <c r="AM174" i="1"/>
  <c r="AM166" i="1"/>
  <c r="AM285" i="1"/>
  <c r="AM153" i="1"/>
  <c r="AM137" i="1"/>
  <c r="AM129" i="1"/>
  <c r="AM80" i="1"/>
  <c r="AM72" i="1"/>
  <c r="AM64" i="1"/>
  <c r="AM56" i="1"/>
  <c r="AM269" i="1"/>
  <c r="AM261" i="1"/>
  <c r="AM253" i="1"/>
  <c r="AM245" i="1"/>
  <c r="AM237" i="1"/>
  <c r="AM229" i="1"/>
  <c r="AM221" i="1"/>
  <c r="AM213" i="1"/>
  <c r="AM205" i="1"/>
  <c r="AM197" i="1"/>
  <c r="AM189" i="1"/>
  <c r="AM181" i="1"/>
  <c r="AM173" i="1"/>
  <c r="AM165" i="1"/>
  <c r="X308" i="1" l="1"/>
  <c r="AM58" i="1"/>
  <c r="AA308" i="1"/>
  <c r="AM17" i="1"/>
  <c r="Y308" i="1"/>
  <c r="S308" i="1"/>
  <c r="AM236" i="1"/>
  <c r="AM172" i="1"/>
  <c r="AM204" i="1"/>
  <c r="AM164" i="2"/>
  <c r="AL308" i="1"/>
  <c r="AK308" i="1"/>
  <c r="AM308" i="1" l="1"/>
</calcChain>
</file>

<file path=xl/sharedStrings.xml><?xml version="1.0" encoding="utf-8"?>
<sst xmlns="http://schemas.openxmlformats.org/spreadsheetml/2006/main" count="4176" uniqueCount="658">
  <si>
    <t>Matricule</t>
  </si>
  <si>
    <t>Personnel</t>
  </si>
  <si>
    <t>Variété</t>
  </si>
  <si>
    <t>Total</t>
  </si>
  <si>
    <t>CA10539</t>
  </si>
  <si>
    <t>BENAYAD ASSIA</t>
  </si>
  <si>
    <t>MARAVILLA</t>
  </si>
  <si>
    <t>CA10565</t>
  </si>
  <si>
    <t>EL HAMAMI ZAKIA</t>
  </si>
  <si>
    <t>CA10566</t>
  </si>
  <si>
    <t>REGRAGUI GHITA</t>
  </si>
  <si>
    <t>CA10567</t>
  </si>
  <si>
    <t>FERJANI ZOUHRA</t>
  </si>
  <si>
    <t>CA10569</t>
  </si>
  <si>
    <t>EL BOUAINI ABDENBI</t>
  </si>
  <si>
    <t>CA10700</t>
  </si>
  <si>
    <t>HAFOUDA ILIYASS</t>
  </si>
  <si>
    <t>CA10755</t>
  </si>
  <si>
    <t>ASSILA KARIM</t>
  </si>
  <si>
    <t>CC10049</t>
  </si>
  <si>
    <t>KHADDI IBRAHIIM</t>
  </si>
  <si>
    <t>CC10557</t>
  </si>
  <si>
    <t xml:space="preserve">LARHRISSI BADR </t>
  </si>
  <si>
    <t>DD10113</t>
  </si>
  <si>
    <t>BENZAINA HASSAN</t>
  </si>
  <si>
    <t>DD10115</t>
  </si>
  <si>
    <t>MOUMAN ABDELGHANI</t>
  </si>
  <si>
    <t>DD10245</t>
  </si>
  <si>
    <t>ANNAICH MOHAMMED</t>
  </si>
  <si>
    <t>DD10439</t>
  </si>
  <si>
    <t>KALLALI MOHAMED</t>
  </si>
  <si>
    <t>DD10517</t>
  </si>
  <si>
    <t>KALALI NOURDINNE</t>
  </si>
  <si>
    <t>DD10518</t>
  </si>
  <si>
    <t>EL BAZZA MOUHSSINE</t>
  </si>
  <si>
    <t>DD10519</t>
  </si>
  <si>
    <t>EL AYDI RACHID</t>
  </si>
  <si>
    <t>DD10524</t>
  </si>
  <si>
    <t>ZAABOUL MOHAMED</t>
  </si>
  <si>
    <t>DD10548</t>
  </si>
  <si>
    <t>BENHLAL ABDERRAHMAN</t>
  </si>
  <si>
    <t>DD10550</t>
  </si>
  <si>
    <t>EL AYDI ABDELTIF</t>
  </si>
  <si>
    <t>DD10574</t>
  </si>
  <si>
    <t>BELHAID M'BAREK</t>
  </si>
  <si>
    <t>DD10575</t>
  </si>
  <si>
    <t>KALALI 2 AHMED</t>
  </si>
  <si>
    <t>DD10593</t>
  </si>
  <si>
    <t>EL HAITAM MOHAMED</t>
  </si>
  <si>
    <t>DD10594</t>
  </si>
  <si>
    <t>TRIBACH ABDESLAM</t>
  </si>
  <si>
    <t>DD10598</t>
  </si>
  <si>
    <t>ROUICHAK IMAD</t>
  </si>
  <si>
    <t>DD10599</t>
  </si>
  <si>
    <t>KARDOUDA RACHID</t>
  </si>
  <si>
    <t>DD10602</t>
  </si>
  <si>
    <t>KALALI AHMED</t>
  </si>
  <si>
    <t>DD10645</t>
  </si>
  <si>
    <t>TRIBACH OMAR</t>
  </si>
  <si>
    <t>DD10646</t>
  </si>
  <si>
    <t>AL-AKRAFLI ABDELMAJID</t>
  </si>
  <si>
    <t>DD10647</t>
  </si>
  <si>
    <t>CHAHIDI NORDDINE</t>
  </si>
  <si>
    <t>DD10654</t>
  </si>
  <si>
    <t>TRIBCH JELLOUL</t>
  </si>
  <si>
    <t>DD10670</t>
  </si>
  <si>
    <t>KALALI ABDELLILAH</t>
  </si>
  <si>
    <t>DD10672</t>
  </si>
  <si>
    <t>EL AZOUZI ABDESLAM</t>
  </si>
  <si>
    <t>DD10673</t>
  </si>
  <si>
    <t>JASIMI EL HOUSSAINE</t>
  </si>
  <si>
    <t>DD10674</t>
  </si>
  <si>
    <t>ROUICHI MOHAMED</t>
  </si>
  <si>
    <t>DD10715</t>
  </si>
  <si>
    <t>ELMADLOUM SOUFAIN</t>
  </si>
  <si>
    <t>DD10750</t>
  </si>
  <si>
    <t>LAGRIOUI ABDESLAM</t>
  </si>
  <si>
    <t>DD1608</t>
  </si>
  <si>
    <t>CHAHIDI MUSTAPHA</t>
  </si>
  <si>
    <t>HAFI10008</t>
  </si>
  <si>
    <t>NAMSI AMAL</t>
  </si>
  <si>
    <t>HAFI2193</t>
  </si>
  <si>
    <t>SAYBARI NOURA</t>
  </si>
  <si>
    <t>HAFI2195</t>
  </si>
  <si>
    <t>FTAICHE BOUCHRA</t>
  </si>
  <si>
    <t>HAFI2198</t>
  </si>
  <si>
    <t>EL AISSOUM LATIFA</t>
  </si>
  <si>
    <t>HAFI2209</t>
  </si>
  <si>
    <t>DBOU TAMOU 1</t>
  </si>
  <si>
    <t>HAFI2296</t>
  </si>
  <si>
    <t>EL JELOULI ZOHRA</t>
  </si>
  <si>
    <t>HAFI233</t>
  </si>
  <si>
    <t>EL JELLOULI RACHIDA</t>
  </si>
  <si>
    <t>HAFI234</t>
  </si>
  <si>
    <t>SBAITI NAJAT</t>
  </si>
  <si>
    <t>HAFI236</t>
  </si>
  <si>
    <t>BENDADOUH FATIMA</t>
  </si>
  <si>
    <t>HAFI237</t>
  </si>
  <si>
    <t>EL AKRAA LATIFA</t>
  </si>
  <si>
    <t>HAFI239</t>
  </si>
  <si>
    <t>EL HAFI NADIA</t>
  </si>
  <si>
    <t>HAFI242</t>
  </si>
  <si>
    <t>SAIBARI FADILA</t>
  </si>
  <si>
    <t>HAFI277</t>
  </si>
  <si>
    <t>NAMSSI FATIHA</t>
  </si>
  <si>
    <t>HAFI2776</t>
  </si>
  <si>
    <t>EL FAKROUN ZOHRA</t>
  </si>
  <si>
    <t>HAFI3260</t>
  </si>
  <si>
    <t>BEHAIBAH ASSIYA</t>
  </si>
  <si>
    <t>HAFI3506</t>
  </si>
  <si>
    <t>EL GHARBAOUI NAJIA</t>
  </si>
  <si>
    <t>HAFI3590</t>
  </si>
  <si>
    <t>EL HAFI MOUNIA</t>
  </si>
  <si>
    <t>HAFI366</t>
  </si>
  <si>
    <t>REZZOUK RAHMA</t>
  </si>
  <si>
    <t>HAFI372</t>
  </si>
  <si>
    <t>EL JELOULI RACHIDA 1</t>
  </si>
  <si>
    <t>HAFI4015</t>
  </si>
  <si>
    <t>BENABDELLAH SOUKAINA</t>
  </si>
  <si>
    <t>HAFI4333</t>
  </si>
  <si>
    <t>EL HAFI FATIMA ZOHRA 1</t>
  </si>
  <si>
    <t>HAFI4470</t>
  </si>
  <si>
    <t>EL AISSOU  AMAL</t>
  </si>
  <si>
    <t>HAFI4473</t>
  </si>
  <si>
    <t>ASSOU FATIMA ZOHRA</t>
  </si>
  <si>
    <t>HAFI4848</t>
  </si>
  <si>
    <t>ELA AKRAA SALMA</t>
  </si>
  <si>
    <t>HAFI8022</t>
  </si>
  <si>
    <t>HASSOUN AZIZA</t>
  </si>
  <si>
    <t>KR10244</t>
  </si>
  <si>
    <t>HAJJIOUI FATIMA-ZAHRA</t>
  </si>
  <si>
    <t>KR10487</t>
  </si>
  <si>
    <t>DRISSI SOUHAILA</t>
  </si>
  <si>
    <t>KR10727</t>
  </si>
  <si>
    <t>MOMEN FATIMA ZAHRA</t>
  </si>
  <si>
    <t>KR10751</t>
  </si>
  <si>
    <t>MOMEN HAJAR</t>
  </si>
  <si>
    <t>LG10222</t>
  </si>
  <si>
    <t>KALBAT KHADIJA</t>
  </si>
  <si>
    <t>LG10223</t>
  </si>
  <si>
    <t>TAOUMI  HOUDA</t>
  </si>
  <si>
    <t>LG10224</t>
  </si>
  <si>
    <t>KALABAT SAMIA</t>
  </si>
  <si>
    <t>LG10225</t>
  </si>
  <si>
    <t>RAY GHIZLANE</t>
  </si>
  <si>
    <t>LG10226</t>
  </si>
  <si>
    <t>STAILA OUAFAE</t>
  </si>
  <si>
    <t>LG10227</t>
  </si>
  <si>
    <t>GRILI RHIMOU</t>
  </si>
  <si>
    <t>LG10228</t>
  </si>
  <si>
    <t>ELAKHAL FATIMA ZOHRA</t>
  </si>
  <si>
    <t>LG10229</t>
  </si>
  <si>
    <t>GRIGAR BADIA</t>
  </si>
  <si>
    <t>LG10241</t>
  </si>
  <si>
    <t>GRIGAR FATIMA ZOHRA</t>
  </si>
  <si>
    <t>LG10258</t>
  </si>
  <si>
    <t>HABIKOU DOUNIA</t>
  </si>
  <si>
    <t>LG10754</t>
  </si>
  <si>
    <t>LAADEL LAYLA</t>
  </si>
  <si>
    <t>LG10759</t>
  </si>
  <si>
    <t>EL AFIRITE MALAK</t>
  </si>
  <si>
    <t>LG2452</t>
  </si>
  <si>
    <t>BARRAHMA LOUBNA</t>
  </si>
  <si>
    <t>LG2453</t>
  </si>
  <si>
    <t>MHIZOU RABAB</t>
  </si>
  <si>
    <t>AY10048</t>
  </si>
  <si>
    <t>EL HASNAOUI ZAKARIA</t>
  </si>
  <si>
    <t>Myrtille</t>
  </si>
  <si>
    <t>AY10054</t>
  </si>
  <si>
    <t>EL KHARTA SADIK</t>
  </si>
  <si>
    <t>AY10138</t>
  </si>
  <si>
    <t>MEROUN MOHAMED</t>
  </si>
  <si>
    <t>AY10469</t>
  </si>
  <si>
    <t>LABROUZI JAOUAD</t>
  </si>
  <si>
    <t>AY4422</t>
  </si>
  <si>
    <t xml:space="preserve">EL HORCH MOHAMED-REDA </t>
  </si>
  <si>
    <t>AY5170</t>
  </si>
  <si>
    <t>MOHAMED TAITI</t>
  </si>
  <si>
    <t>AY5355</t>
  </si>
  <si>
    <t>EL HASNAOUI SOUFIANE</t>
  </si>
  <si>
    <t>AZ10034</t>
  </si>
  <si>
    <t>ESSOUSSI FATIMA ZAHRA</t>
  </si>
  <si>
    <t>AZ10082</t>
  </si>
  <si>
    <t>EL-AIOUJE SALMA</t>
  </si>
  <si>
    <t>AZ10083</t>
  </si>
  <si>
    <t>EL-AIOUJE chaimae</t>
  </si>
  <si>
    <t>AZ10084</t>
  </si>
  <si>
    <t>EL-AIOUJE IMANE</t>
  </si>
  <si>
    <t>AZ10234</t>
  </si>
  <si>
    <t>EL FADLA RHIMOU</t>
  </si>
  <si>
    <t>AZ10471</t>
  </si>
  <si>
    <t>SOUSSI  NADIA</t>
  </si>
  <si>
    <t>AZ1688</t>
  </si>
  <si>
    <t>EL COUAZ TOURYA</t>
  </si>
  <si>
    <t>AZ2464</t>
  </si>
  <si>
    <t>EL ASSFAR AICHA</t>
  </si>
  <si>
    <t>AZ2497</t>
  </si>
  <si>
    <t xml:space="preserve">MADKOUR OUAFA </t>
  </si>
  <si>
    <t>AZ2510</t>
  </si>
  <si>
    <t>CHERKAOUI FATIMA</t>
  </si>
  <si>
    <t>AZ2580</t>
  </si>
  <si>
    <t>EL FRAIHI FATIMA</t>
  </si>
  <si>
    <t>AZ2589</t>
  </si>
  <si>
    <t>BOUMEDIAN NAJEOI</t>
  </si>
  <si>
    <t>AZ2699</t>
  </si>
  <si>
    <t>CHAHDI CHRIFA</t>
  </si>
  <si>
    <t>AZ2750</t>
  </si>
  <si>
    <t>RADI HABIBA</t>
  </si>
  <si>
    <t>AZ2885</t>
  </si>
  <si>
    <t>BAKHADA AMINA</t>
  </si>
  <si>
    <t>AZ3518</t>
  </si>
  <si>
    <t>AAROUSSI AICHA</t>
  </si>
  <si>
    <t>AZ3930</t>
  </si>
  <si>
    <t>KADARA HAYAT</t>
  </si>
  <si>
    <t>AZ4241</t>
  </si>
  <si>
    <t>LAAOUAJ MALIKA</t>
  </si>
  <si>
    <t>AZ4759</t>
  </si>
  <si>
    <t>EL KASMI CHAIMAA</t>
  </si>
  <si>
    <t>AZ7082</t>
  </si>
  <si>
    <t>EL BATTINI FATIMA</t>
  </si>
  <si>
    <t>HT10105</t>
  </si>
  <si>
    <t>KADDARA MOUSSA</t>
  </si>
  <si>
    <t>HT10107</t>
  </si>
  <si>
    <t>KRIKAB MOHAMED</t>
  </si>
  <si>
    <t>HT10659</t>
  </si>
  <si>
    <t>LAZRAK MOHAMED</t>
  </si>
  <si>
    <t>HT10718</t>
  </si>
  <si>
    <t>EL OUINA AYOUB</t>
  </si>
  <si>
    <t>HT10725</t>
  </si>
  <si>
    <t>EL OUINA OMAR</t>
  </si>
  <si>
    <t>HT3087</t>
  </si>
  <si>
    <t>ES-SAGHYR MOHAMED SAID</t>
  </si>
  <si>
    <t>HT3130</t>
  </si>
  <si>
    <t>MLITOU MOUSTAPHA</t>
  </si>
  <si>
    <t>HT3400</t>
  </si>
  <si>
    <t>BEL-BOUHALI ABDERRAHIM</t>
  </si>
  <si>
    <t>HT4202</t>
  </si>
  <si>
    <t>BEN-RIAN SOUFIANE</t>
  </si>
  <si>
    <t>HT4204</t>
  </si>
  <si>
    <t>AAYAD M'HAMED</t>
  </si>
  <si>
    <t>HT5317</t>
  </si>
  <si>
    <t>ES-SAGHYR TAOUFIK</t>
  </si>
  <si>
    <t>HT9016</t>
  </si>
  <si>
    <t>BELBOUHALI MOUSTAPHA</t>
  </si>
  <si>
    <t>JA10040</t>
  </si>
  <si>
    <t>AOUACH KHAWLA</t>
  </si>
  <si>
    <t>JA10099</t>
  </si>
  <si>
    <t>EL MALHI BASMA</t>
  </si>
  <si>
    <t>JA10476</t>
  </si>
  <si>
    <t>BOUSTATI FOUZIA</t>
  </si>
  <si>
    <t>JA1377</t>
  </si>
  <si>
    <t>EL BOUHLI AMINA</t>
  </si>
  <si>
    <t>JA1392</t>
  </si>
  <si>
    <t>EL BSIR KHADIJA</t>
  </si>
  <si>
    <t>JA1415</t>
  </si>
  <si>
    <t>ER-REGRAGUI MARYAM</t>
  </si>
  <si>
    <t>JA1504</t>
  </si>
  <si>
    <t>EL KRAIMI NORA</t>
  </si>
  <si>
    <t>JA2514</t>
  </si>
  <si>
    <t>AZIZI NAJLAE</t>
  </si>
  <si>
    <t>JA2577</t>
  </si>
  <si>
    <t>CHAHDI SOUAD 1</t>
  </si>
  <si>
    <t>JA3534</t>
  </si>
  <si>
    <t>ARBIA HAKIMA</t>
  </si>
  <si>
    <t>JA3535</t>
  </si>
  <si>
    <t>LAFHILIA SAMIA</t>
  </si>
  <si>
    <t>JA3601</t>
  </si>
  <si>
    <t>HOUMMAN RACHIDA</t>
  </si>
  <si>
    <t>JA3725</t>
  </si>
  <si>
    <t>EL HADDAD NAIMA</t>
  </si>
  <si>
    <t>JA3947</t>
  </si>
  <si>
    <t>GUERCHAL FATIMA</t>
  </si>
  <si>
    <t>JA5269</t>
  </si>
  <si>
    <t>KABEECH FATIMA</t>
  </si>
  <si>
    <t>JA5278</t>
  </si>
  <si>
    <t>REGHAM GHIZLANE</t>
  </si>
  <si>
    <t>JA5292</t>
  </si>
  <si>
    <t>EL KHATTABI  TOURIA</t>
  </si>
  <si>
    <t>JA649</t>
  </si>
  <si>
    <t>NACBA SOUMAYA</t>
  </si>
  <si>
    <t>JA7012</t>
  </si>
  <si>
    <t>ASRI  RAHMA</t>
  </si>
  <si>
    <t>KR10010</t>
  </si>
  <si>
    <t>SAMADI MOHAMED 2</t>
  </si>
  <si>
    <t>KR10031</t>
  </si>
  <si>
    <t>WARDIN SOUFYAN</t>
  </si>
  <si>
    <t>KR10069</t>
  </si>
  <si>
    <t>EL HMAIDI ABDELHAMID</t>
  </si>
  <si>
    <t>KR10214</t>
  </si>
  <si>
    <t>TOUIHAR ACHRAF</t>
  </si>
  <si>
    <t>KR10259</t>
  </si>
  <si>
    <t>ELJEBARY MAROUAN</t>
  </si>
  <si>
    <t>KR10263</t>
  </si>
  <si>
    <t>EL HAMMAMI MOHAMED</t>
  </si>
  <si>
    <t>KR10397</t>
  </si>
  <si>
    <t>YAHYA  EL HARRAK</t>
  </si>
  <si>
    <t>KR10407</t>
  </si>
  <si>
    <t>EL AZEOUAN ISMAIL</t>
  </si>
  <si>
    <t>KR10413</t>
  </si>
  <si>
    <t>EL GADDAH YOUNES</t>
  </si>
  <si>
    <t>KR10416</t>
  </si>
  <si>
    <t>SERROUKH TAOUFIK</t>
  </si>
  <si>
    <t>KR10665</t>
  </si>
  <si>
    <t>EL JEBARY RACHID</t>
  </si>
  <si>
    <t>KR10669</t>
  </si>
  <si>
    <t>RIMI MOHAMED YASSINE</t>
  </si>
  <si>
    <t>KR10757</t>
  </si>
  <si>
    <t>EL ALAOUI BRAHIM</t>
  </si>
  <si>
    <t>KR10758</t>
  </si>
  <si>
    <t>EL HARRAK MOHAMED</t>
  </si>
  <si>
    <t>KR10763</t>
  </si>
  <si>
    <t>BALOULI NISRINE</t>
  </si>
  <si>
    <t>KR2983</t>
  </si>
  <si>
    <t>TAMIMY AYOUB</t>
  </si>
  <si>
    <t>KR3903</t>
  </si>
  <si>
    <t>BOUAZZA ZOUHYR</t>
  </si>
  <si>
    <t>KR3979</t>
  </si>
  <si>
    <t>DANKIR OTMAN</t>
  </si>
  <si>
    <t>KR4060</t>
  </si>
  <si>
    <t>EL AZOUAN MOHAMED</t>
  </si>
  <si>
    <t>KR4868</t>
  </si>
  <si>
    <t xml:space="preserve">EL KHOLFI YASSIN </t>
  </si>
  <si>
    <t>KR4886</t>
  </si>
  <si>
    <t>EL JEBARI SOUFIAN</t>
  </si>
  <si>
    <t>kR4923</t>
  </si>
  <si>
    <t>EL HMIDI MOHAMED</t>
  </si>
  <si>
    <t>MMG10719</t>
  </si>
  <si>
    <t>OUIAME DRIOUCH</t>
  </si>
  <si>
    <t>MMG3726</t>
  </si>
  <si>
    <t>HAMDOUCH   FATIMA ZOHRA</t>
  </si>
  <si>
    <t>NA10046</t>
  </si>
  <si>
    <t>MAOULOUD AICHA</t>
  </si>
  <si>
    <t>NA10070</t>
  </si>
  <si>
    <t>EL KANOUFI MAJDA</t>
  </si>
  <si>
    <t>NA10266</t>
  </si>
  <si>
    <t>EL HARRAK MOSSAAB</t>
  </si>
  <si>
    <t>NA10343</t>
  </si>
  <si>
    <t>ALHILI SANAE</t>
  </si>
  <si>
    <t>NA3440</t>
  </si>
  <si>
    <t>EL-AOUNY FATNA</t>
  </si>
  <si>
    <t>NA3516</t>
  </si>
  <si>
    <t>GRIDA SOUAD</t>
  </si>
  <si>
    <t>NA3751</t>
  </si>
  <si>
    <t>EL BLILI ZAHRA</t>
  </si>
  <si>
    <t>NA3760</t>
  </si>
  <si>
    <t>MOUHAN RACHIDA</t>
  </si>
  <si>
    <t>NA3814</t>
  </si>
  <si>
    <t>DEFLAOUI SOUMAYA</t>
  </si>
  <si>
    <t>NA4130</t>
  </si>
  <si>
    <t>ZAHDOUD FATIMA</t>
  </si>
  <si>
    <t>NA5076</t>
  </si>
  <si>
    <t>SAMADI YAHYA</t>
  </si>
  <si>
    <t>NA6070</t>
  </si>
  <si>
    <t>EL FHAL  AMINA</t>
  </si>
  <si>
    <t>NA7004</t>
  </si>
  <si>
    <t>EL BEHIOUI SOUADIAA</t>
  </si>
  <si>
    <t>NA855</t>
  </si>
  <si>
    <t>BEN CHIKH FATNA</t>
  </si>
  <si>
    <t>NA9034</t>
  </si>
  <si>
    <t>ERRACHIDY SAID</t>
  </si>
  <si>
    <t>MMG487</t>
  </si>
  <si>
    <t>EL FILALI MENNANA</t>
  </si>
  <si>
    <t>YAZMIN</t>
  </si>
  <si>
    <t>MMG354</t>
  </si>
  <si>
    <t>NACIRI FATNA</t>
  </si>
  <si>
    <t>MMG521</t>
  </si>
  <si>
    <t>BOUMEDIAN FATOUM</t>
  </si>
  <si>
    <t>MMG520</t>
  </si>
  <si>
    <t>AL MGITNI FATNA</t>
  </si>
  <si>
    <t>MMG559</t>
  </si>
  <si>
    <t>SOUIR FATIMA</t>
  </si>
  <si>
    <t>MMG547</t>
  </si>
  <si>
    <t>MJIMAR ZOHRA</t>
  </si>
  <si>
    <t>MMG4890</t>
  </si>
  <si>
    <t>SEKAF  NAZHA</t>
  </si>
  <si>
    <t>MMG10764</t>
  </si>
  <si>
    <t>EL MAAROUFI  AOUTIF</t>
  </si>
  <si>
    <t>NA4782</t>
  </si>
  <si>
    <t>HADOU NOUFISSA</t>
  </si>
  <si>
    <t>HAFI4801</t>
  </si>
  <si>
    <t>EL HAFI FATIMA ZOHRA</t>
  </si>
  <si>
    <t>NA4840</t>
  </si>
  <si>
    <t>EL MASSOUDI NABILA</t>
  </si>
  <si>
    <t>HAFI10492</t>
  </si>
  <si>
    <t>EL HAFI AYA</t>
  </si>
  <si>
    <t>CA10766</t>
  </si>
  <si>
    <t>ZAOUY MOHAMED</t>
  </si>
  <si>
    <t>AZ10770</t>
  </si>
  <si>
    <t>EL HARBAOUI FATIMA ZAHRA</t>
  </si>
  <si>
    <t>NA6077</t>
  </si>
  <si>
    <t>EL HLALI KHADIJA</t>
  </si>
  <si>
    <t>HH10444</t>
  </si>
  <si>
    <t>SAI  IKRAM</t>
  </si>
  <si>
    <t>HH10771</t>
  </si>
  <si>
    <t>ES-SABABI EL MOSTAPHA</t>
  </si>
  <si>
    <t>HH10772</t>
  </si>
  <si>
    <t>BARQOQI ABDELMONTASSIR</t>
  </si>
  <si>
    <t>HH10773</t>
  </si>
  <si>
    <t>ES-SABABI ABDERRAHIM</t>
  </si>
  <si>
    <t>HH10774</t>
  </si>
  <si>
    <t>ESSABABI AZIZ</t>
  </si>
  <si>
    <t>HH10775</t>
  </si>
  <si>
    <t>EL-ATTAFI ABDELILAH</t>
  </si>
  <si>
    <t>HH10776</t>
  </si>
  <si>
    <t>NASSIH MOHAMED</t>
  </si>
  <si>
    <t>HH10777</t>
  </si>
  <si>
    <t>EL KHALFI ENNADI</t>
  </si>
  <si>
    <t>HH10778</t>
  </si>
  <si>
    <t>EL KHIFI AYOUB</t>
  </si>
  <si>
    <t>HH10779</t>
  </si>
  <si>
    <t>BAQALI MOHAMED</t>
  </si>
  <si>
    <t>HH10780</t>
  </si>
  <si>
    <t>GZIEL AHMED</t>
  </si>
  <si>
    <t>HH10781</t>
  </si>
  <si>
    <t>ESSABABI SAID</t>
  </si>
  <si>
    <t>HH10782</t>
  </si>
  <si>
    <t>MOUMOU OUSSAMA</t>
  </si>
  <si>
    <t>HH10783</t>
  </si>
  <si>
    <t>EL BAKKALI ABDELAZIZ</t>
  </si>
  <si>
    <t>HH10784</t>
  </si>
  <si>
    <t>BOUHAJA MOUNIR</t>
  </si>
  <si>
    <t>HH10785</t>
  </si>
  <si>
    <t>ROCHDI ASSIA</t>
  </si>
  <si>
    <t>HH10786</t>
  </si>
  <si>
    <t>HILI HANAE</t>
  </si>
  <si>
    <t>HH10790</t>
  </si>
  <si>
    <t>BOUHAJA GHIZLAN</t>
  </si>
  <si>
    <t>HH10791</t>
  </si>
  <si>
    <t>SAHLI AYA</t>
  </si>
  <si>
    <t>HH10792</t>
  </si>
  <si>
    <t>CHAFAAI NOURHAN</t>
  </si>
  <si>
    <t>HH10793</t>
  </si>
  <si>
    <t>KHATABI BADIA</t>
  </si>
  <si>
    <t>HH10794</t>
  </si>
  <si>
    <t>KABADI MAREIM</t>
  </si>
  <si>
    <t>HH10795</t>
  </si>
  <si>
    <t>KARMAL BRAHIM</t>
  </si>
  <si>
    <t>HH10495</t>
  </si>
  <si>
    <t>SABRI SALMA</t>
  </si>
  <si>
    <t>HH10797</t>
  </si>
  <si>
    <t>CHAHBOUN  HAFIDA</t>
  </si>
  <si>
    <t>HH10798</t>
  </si>
  <si>
    <t>CHAFAAI FATIMA</t>
  </si>
  <si>
    <t>HH10799</t>
  </si>
  <si>
    <t>NAJMI HAFIDA</t>
  </si>
  <si>
    <t>HH10820</t>
  </si>
  <si>
    <t>WARDI SAMIA</t>
  </si>
  <si>
    <t>HH10821</t>
  </si>
  <si>
    <t>HAJI YASSMINE</t>
  </si>
  <si>
    <t>HH10822</t>
  </si>
  <si>
    <t>YAAKOUBI SALMA</t>
  </si>
  <si>
    <t>AQ10810</t>
  </si>
  <si>
    <t>AYADI FATIHA</t>
  </si>
  <si>
    <t>AQ10811</t>
  </si>
  <si>
    <t>HOUSNIYA EL KHELIFA</t>
  </si>
  <si>
    <t>AQ10812</t>
  </si>
  <si>
    <t>EL CHAMSI ZOUHRA</t>
  </si>
  <si>
    <t>AQ10813</t>
  </si>
  <si>
    <t>EL JAMAL KHAADIJA</t>
  </si>
  <si>
    <t>AQ10814</t>
  </si>
  <si>
    <t>EL ZAIME FATIMA ZOHRA</t>
  </si>
  <si>
    <t>AQ10815</t>
  </si>
  <si>
    <t>EL REGAD HIND</t>
  </si>
  <si>
    <t>AQ10816</t>
  </si>
  <si>
    <t>AL ABDI BOUCHRA</t>
  </si>
  <si>
    <t>AZ10802</t>
  </si>
  <si>
    <t>BANADI AHLAM</t>
  </si>
  <si>
    <t>AZ10752</t>
  </si>
  <si>
    <t>ESSOUNI KHADIJA</t>
  </si>
  <si>
    <t>HH10823</t>
  </si>
  <si>
    <t>WARDI MOHAMED</t>
  </si>
  <si>
    <t>HH10824</t>
  </si>
  <si>
    <t>SAHLI MOHAMED</t>
  </si>
  <si>
    <t>HH10825</t>
  </si>
  <si>
    <t>EL AMRANI NADIA</t>
  </si>
  <si>
    <t>HH10826</t>
  </si>
  <si>
    <t>KALAI YOUSSRA</t>
  </si>
  <si>
    <t>HH10827</t>
  </si>
  <si>
    <t>EL ATOUI FATIMA</t>
  </si>
  <si>
    <t>HH10828</t>
  </si>
  <si>
    <t>HATAKI FATIMA</t>
  </si>
  <si>
    <t>HH10829</t>
  </si>
  <si>
    <t>EL HAOUITI FARAH</t>
  </si>
  <si>
    <t>HH10836</t>
  </si>
  <si>
    <t>WARDI SAIDA</t>
  </si>
  <si>
    <t>HH10837</t>
  </si>
  <si>
    <t xml:space="preserve">AJABRI RABIA </t>
  </si>
  <si>
    <t>NA1932</t>
  </si>
  <si>
    <t>EL HADDABI RAHIMA</t>
  </si>
  <si>
    <t>HH10450</t>
  </si>
  <si>
    <t>HAJI YASSMIN</t>
  </si>
  <si>
    <t>HH10849</t>
  </si>
  <si>
    <t>TOUIRI WASSIMA</t>
  </si>
  <si>
    <t>HH10709</t>
  </si>
  <si>
    <t xml:space="preserve">EL ZOUHRAI NASSIMA </t>
  </si>
  <si>
    <t>CA10850</t>
  </si>
  <si>
    <t>CHAFIK SOUAD</t>
  </si>
  <si>
    <t>HAFI291</t>
  </si>
  <si>
    <t>EL JELLOULI LATIFA</t>
  </si>
  <si>
    <t>MMG10712</t>
  </si>
  <si>
    <t>EL OUADI LAMYAE</t>
  </si>
  <si>
    <t>AZ5356</t>
  </si>
  <si>
    <t>BOUTAHRA AICHA</t>
  </si>
  <si>
    <t>HAFI231</t>
  </si>
  <si>
    <t>EL HAFI HANAN</t>
  </si>
  <si>
    <t>HH10425</t>
  </si>
  <si>
    <t>HAJI HANAE</t>
  </si>
  <si>
    <t>AZ5187</t>
  </si>
  <si>
    <t>WAFAE LAKEHAL</t>
  </si>
  <si>
    <t>JA10706</t>
  </si>
  <si>
    <t>SERHANI MEKKA</t>
  </si>
  <si>
    <t>NA10730</t>
  </si>
  <si>
    <t>ANAIBA FATNA</t>
  </si>
  <si>
    <t>HH10860</t>
  </si>
  <si>
    <t>EL BARNI  SAADIA</t>
  </si>
  <si>
    <t>HH10861</t>
  </si>
  <si>
    <t>ZAIDI AYA</t>
  </si>
  <si>
    <t>HH10862</t>
  </si>
  <si>
    <t>ZAIDI HAFSSA</t>
  </si>
  <si>
    <t>HH10863</t>
  </si>
  <si>
    <t>EL CHAOUI ASSIA</t>
  </si>
  <si>
    <t>LG10515</t>
  </si>
  <si>
    <t>BOUTMIM MOHAMED</t>
  </si>
  <si>
    <t>LG10833</t>
  </si>
  <si>
    <t>mazian MOHAMED AMINE</t>
  </si>
  <si>
    <t>LG10834</t>
  </si>
  <si>
    <t>BELKHIRE YOUSSEF</t>
  </si>
  <si>
    <t>LG10835</t>
  </si>
  <si>
    <t>MOUNTASSIR BOUTMIM</t>
  </si>
  <si>
    <t>CC10839</t>
  </si>
  <si>
    <t>EL HARBAOUI HASSAN</t>
  </si>
  <si>
    <t>HH10842</t>
  </si>
  <si>
    <t>EL BOUANANI MOHMED</t>
  </si>
  <si>
    <t>HH10847</t>
  </si>
  <si>
    <t>TOUIRI AMINE</t>
  </si>
  <si>
    <t>LG10729</t>
  </si>
  <si>
    <t>ATTIOUI BILAL</t>
  </si>
  <si>
    <t>HH10845</t>
  </si>
  <si>
    <t>CHAOUI HOUSSAIN</t>
  </si>
  <si>
    <t>HH10848</t>
  </si>
  <si>
    <t>BARKOUKI ABDECHAKOUR</t>
  </si>
  <si>
    <t>HH10708</t>
  </si>
  <si>
    <t xml:space="preserve">EL HADIRA MOHSIN </t>
  </si>
  <si>
    <t>HH10887</t>
  </si>
  <si>
    <t>EL HAWTI HAJAR</t>
  </si>
  <si>
    <t>CA10657</t>
  </si>
  <si>
    <t>EL HAMAMI MOHAMED</t>
  </si>
  <si>
    <t>HH10844</t>
  </si>
  <si>
    <t>DOUKALI MOHAMED</t>
  </si>
  <si>
    <t>HH10864</t>
  </si>
  <si>
    <t>EL DOUIRI MOHAMED</t>
  </si>
  <si>
    <t>HH10843</t>
  </si>
  <si>
    <t>EL YAAKOUBI SAADDINE</t>
  </si>
  <si>
    <t>HH10707</t>
  </si>
  <si>
    <t>EL-ATTAFY ABDELKHALED</t>
  </si>
  <si>
    <t>HH10897</t>
  </si>
  <si>
    <t>SABRI RAFIK</t>
  </si>
  <si>
    <t>HH10900</t>
  </si>
  <si>
    <t>BOUANANI MOHAMED AMINE</t>
  </si>
  <si>
    <t>CA10907</t>
  </si>
  <si>
    <t>AARIOUA OUMAIMA</t>
  </si>
  <si>
    <t>HH10909</t>
  </si>
  <si>
    <t>EL MASBAHI MEHDI</t>
  </si>
  <si>
    <t>HH10910</t>
  </si>
  <si>
    <t>ROUIDI NISSRINE</t>
  </si>
  <si>
    <t>HT2436</t>
  </si>
  <si>
    <t>ANNOURA HAMZA</t>
  </si>
  <si>
    <t>HT3011</t>
  </si>
  <si>
    <t>HAIBA IBRAHIM</t>
  </si>
  <si>
    <t>HT10914</t>
  </si>
  <si>
    <t>BELHAJ MOHAMED</t>
  </si>
  <si>
    <t>DD10866</t>
  </si>
  <si>
    <t>BOUKHRAKI MOURAD</t>
  </si>
  <si>
    <t>HH10916</t>
  </si>
  <si>
    <t>FAHSI MAROUA</t>
  </si>
  <si>
    <t>MMG3427</t>
  </si>
  <si>
    <t>AYAD  ASMAE</t>
  </si>
  <si>
    <t>MM</t>
  </si>
  <si>
    <t>39 kg</t>
  </si>
  <si>
    <t>87 DH</t>
  </si>
  <si>
    <t>EL MAAROUFI AOUTIF</t>
  </si>
  <si>
    <t>NA</t>
  </si>
  <si>
    <t>37.5 kg</t>
  </si>
  <si>
    <t>83 DH</t>
  </si>
  <si>
    <t>30 kg</t>
  </si>
  <si>
    <t>60 DH</t>
  </si>
  <si>
    <t>AZ</t>
  </si>
  <si>
    <t>48 kg</t>
  </si>
  <si>
    <t>58 DH</t>
  </si>
  <si>
    <t>JA</t>
  </si>
  <si>
    <t>42 kg</t>
  </si>
  <si>
    <t>43 DH</t>
  </si>
  <si>
    <t>AYAD ASMAE</t>
  </si>
  <si>
    <t>27 kg</t>
  </si>
  <si>
    <t>40 DH</t>
  </si>
  <si>
    <t>28.5 kg</t>
  </si>
  <si>
    <t>SEKAF NAZHA</t>
  </si>
  <si>
    <t>35 DH</t>
  </si>
  <si>
    <t>ASRI RAHMA</t>
  </si>
  <si>
    <t>31 DH</t>
  </si>
  <si>
    <t>EL KHATTABI TOURIA</t>
  </si>
  <si>
    <t>HT</t>
  </si>
  <si>
    <t>36 kg</t>
  </si>
  <si>
    <t>28 DH</t>
  </si>
  <si>
    <t>34.5 kg</t>
  </si>
  <si>
    <t>24 DH</t>
  </si>
  <si>
    <t>MADKOUR OUAFA</t>
  </si>
  <si>
    <t>22.5 kg</t>
  </si>
  <si>
    <t>20 DH</t>
  </si>
  <si>
    <t>33 kg</t>
  </si>
  <si>
    <t>31.5 kg</t>
  </si>
  <si>
    <t>16 DH</t>
  </si>
  <si>
    <t>13 DH</t>
  </si>
  <si>
    <t>9 DH</t>
  </si>
  <si>
    <t>5 DH</t>
  </si>
  <si>
    <t>19.5 kg</t>
  </si>
  <si>
    <t>0 DH</t>
  </si>
  <si>
    <t>JA1380</t>
  </si>
  <si>
    <t>BELHADI AHMED 2</t>
  </si>
  <si>
    <t>0 kg</t>
  </si>
  <si>
    <t>AZ2511</t>
  </si>
  <si>
    <t>CHAHDI SOUAD</t>
  </si>
  <si>
    <t>JA1384</t>
  </si>
  <si>
    <t>EL BOUHSSINI HAFSA</t>
  </si>
  <si>
    <t>21 kg</t>
  </si>
  <si>
    <t>EL FHAL AMINA</t>
  </si>
  <si>
    <t>EL HAMIDI MOUNIM</t>
  </si>
  <si>
    <t>NA3246</t>
  </si>
  <si>
    <t>EL HAROUSSI BILAL</t>
  </si>
  <si>
    <t>24 kg</t>
  </si>
  <si>
    <t>MMG4471</t>
  </si>
  <si>
    <t>EL HIRRIT MOHAMED</t>
  </si>
  <si>
    <t>AZ2582</t>
  </si>
  <si>
    <t>EL KASMI ASMAE</t>
  </si>
  <si>
    <t>AZ10753</t>
  </si>
  <si>
    <t>EL KHANFOSS ASMAE</t>
  </si>
  <si>
    <t>MMG360</t>
  </si>
  <si>
    <t>EL MAAROUFI HAFIDA</t>
  </si>
  <si>
    <t>18 kg</t>
  </si>
  <si>
    <t>16.5 kg</t>
  </si>
  <si>
    <t>15 kg</t>
  </si>
  <si>
    <t>HAMDOUCH FATIMA ZOHRA</t>
  </si>
  <si>
    <t>NA2702</t>
  </si>
  <si>
    <t>HANI NADIA</t>
  </si>
  <si>
    <t>AZ385</t>
  </si>
  <si>
    <t>KOUISSI FOUZIA</t>
  </si>
  <si>
    <t>AA1134</t>
  </si>
  <si>
    <t>RBIE FATIMA</t>
  </si>
  <si>
    <t>AA</t>
  </si>
  <si>
    <t>az10395</t>
  </si>
  <si>
    <t>SAHLI MOHAMED REDA</t>
  </si>
  <si>
    <t>SOUSSI NADIA</t>
  </si>
  <si>
    <t>MMG10514</t>
  </si>
  <si>
    <t>ZAHIR IBRAHIIM</t>
  </si>
  <si>
    <t>mat</t>
  </si>
  <si>
    <t>Nom et Prénom</t>
  </si>
  <si>
    <t>excel</t>
  </si>
  <si>
    <t>smart 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</si>
</sst>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rgb="FF999999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2D8B4E"/>
      <name val="Arial"/>
      <family val="2"/>
    </font>
    <font>
      <sz val="10"/>
      <color rgb="FF9999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5F5F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top"/>
    </xf>
    <xf numFmtId="0" fontId="3" fillId="0" borderId="1" xfId="0" applyFont="1" applyBorder="1"/>
    <xf numFmtId="0" fontId="1" fillId="0" borderId="1" xfId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right" vertical="center"/>
    </xf>
    <xf numFmtId="164" fontId="3" fillId="0" borderId="1" xfId="0" applyNumberFormat="1" applyFont="1" applyBorder="1"/>
    <xf numFmtId="0" fontId="0" fillId="0" borderId="0" xfId="1" applyFont="1" applyAlignment="1">
      <alignment horizontal="left" vertical="center"/>
    </xf>
    <xf numFmtId="164" fontId="4" fillId="0" borderId="1" xfId="1" applyNumberFormat="1" applyFont="1" applyBorder="1" applyAlignment="1">
      <alignment horizontal="right" vertical="center"/>
    </xf>
    <xf numFmtId="164" fontId="1" fillId="0" borderId="1" xfId="0" applyNumberFormat="1" applyFont="1" applyBorder="1"/>
    <xf numFmtId="0" fontId="0" fillId="0" borderId="1" xfId="1" applyFont="1" applyBorder="1" applyAlignment="1">
      <alignment horizontal="left" vertical="center"/>
    </xf>
    <xf numFmtId="0" fontId="0" fillId="0" borderId="3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5" fillId="2" borderId="5" xfId="0" applyFont="1" applyFill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0" fillId="2" borderId="5" xfId="0" applyFont="1" applyFill="1" applyBorder="1" applyAlignment="1">
      <alignment horizontal="left" vertical="center" wrapText="1" indent="1"/>
    </xf>
    <xf numFmtId="0" fontId="1" fillId="0" borderId="0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8"/>
  <sheetViews>
    <sheetView workbookViewId="0">
      <pane xSplit="1" ySplit="1" topLeftCell="B15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cols>
    <col min="2" max="2" width="26.85546875" bestFit="1" customWidth="1"/>
    <col min="4" max="14" width="7" customWidth="1"/>
    <col min="15" max="15" width="4.5703125" customWidth="1"/>
    <col min="16" max="16" width="8" customWidth="1"/>
    <col min="17" max="18" width="6.42578125" customWidth="1"/>
    <col min="22" max="22" width="27.285156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>
        <v>16</v>
      </c>
      <c r="E1" s="2">
        <v>17</v>
      </c>
      <c r="F1" s="2">
        <v>18</v>
      </c>
      <c r="G1" s="2">
        <v>19</v>
      </c>
      <c r="H1" s="2">
        <v>20</v>
      </c>
      <c r="I1" s="2">
        <v>21</v>
      </c>
      <c r="J1" s="2">
        <v>22</v>
      </c>
      <c r="K1" s="2">
        <v>23</v>
      </c>
      <c r="L1" s="2">
        <v>24</v>
      </c>
      <c r="M1" s="2">
        <v>25</v>
      </c>
      <c r="N1" s="2">
        <v>26</v>
      </c>
      <c r="O1" s="2">
        <v>27</v>
      </c>
      <c r="P1" s="2">
        <v>28</v>
      </c>
      <c r="Q1" s="2">
        <v>29</v>
      </c>
      <c r="R1" s="2">
        <v>30</v>
      </c>
      <c r="S1" s="3" t="s">
        <v>3</v>
      </c>
      <c r="U1" s="2" t="s">
        <v>0</v>
      </c>
      <c r="V1" s="2" t="s">
        <v>1</v>
      </c>
      <c r="W1" s="2" t="s">
        <v>2</v>
      </c>
      <c r="X1" s="2">
        <v>16</v>
      </c>
      <c r="Y1" s="2">
        <v>17</v>
      </c>
      <c r="Z1" s="2">
        <v>18</v>
      </c>
      <c r="AA1" s="2">
        <v>19</v>
      </c>
      <c r="AB1" s="2">
        <v>20</v>
      </c>
      <c r="AC1" s="2">
        <v>21</v>
      </c>
      <c r="AD1" s="2">
        <v>22</v>
      </c>
      <c r="AE1" s="2">
        <v>23</v>
      </c>
      <c r="AF1" s="2">
        <v>24</v>
      </c>
      <c r="AG1" s="2">
        <v>25</v>
      </c>
      <c r="AH1" s="2">
        <v>26</v>
      </c>
      <c r="AI1" s="2">
        <v>27</v>
      </c>
      <c r="AJ1" s="2">
        <v>28</v>
      </c>
      <c r="AK1" s="2">
        <v>29</v>
      </c>
      <c r="AL1" s="2">
        <v>30</v>
      </c>
      <c r="AM1" s="3" t="s">
        <v>3</v>
      </c>
    </row>
    <row r="2" spans="1:39" x14ac:dyDescent="0.25">
      <c r="A2" s="4" t="s">
        <v>451</v>
      </c>
      <c r="B2" s="4" t="s">
        <v>452</v>
      </c>
      <c r="C2" s="4" t="s">
        <v>6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3"/>
      <c r="P2" s="3"/>
      <c r="Q2" s="3"/>
      <c r="R2" s="3"/>
      <c r="S2" s="6">
        <f t="shared" ref="S2:S92" si="0">SUM(D2:R2)</f>
        <v>0</v>
      </c>
      <c r="T2">
        <v>1</v>
      </c>
      <c r="U2" s="4" t="s">
        <v>451</v>
      </c>
      <c r="V2" s="4" t="s">
        <v>452</v>
      </c>
      <c r="W2" s="4" t="s">
        <v>6</v>
      </c>
      <c r="X2" s="5">
        <f t="shared" ref="X2:X65" si="1">IF(D2&lt;20,0,IF(D2&lt;25,20,IF(D2&lt;30,40,IF(D2&lt;=40,60+(D2-30)*3,60+30+(D2-40)*4))))</f>
        <v>0</v>
      </c>
      <c r="Y2" s="5">
        <f t="shared" ref="Y2:Y65" si="2">IF(E2&lt;20,0,IF(E2&lt;25,20,IF(E2&lt;30,40,IF(E2&lt;=40,60+(E2-30)*3,60+30+(E2-40)*4))))</f>
        <v>0</v>
      </c>
      <c r="Z2" s="5">
        <f t="shared" ref="Z2:Z65" si="3">IF(F2&lt;20,0,IF(F2&lt;25,20,IF(F2&lt;30,40,IF(F2&lt;=40,60+(F2-30)*3,60+30+(F2-40)*4))))</f>
        <v>0</v>
      </c>
      <c r="AA2" s="5">
        <f t="shared" ref="AA2:AA65" si="4">IF(G2&lt;20,0,IF(G2&lt;25,20,IF(G2&lt;30,40,IF(G2&lt;=40,60+(G2-30)*3,60+30+(G2-40)*4))))</f>
        <v>0</v>
      </c>
      <c r="AB2" s="5">
        <f t="shared" ref="AB2:AB65" si="5">IF(H2&lt;20,0,IF(H2&lt;25,20,IF(H2&lt;30,40,IF(H2&lt;=40,60+(H2-30)*3,60+30+(H2-40)*4))))</f>
        <v>0</v>
      </c>
      <c r="AC2" s="5">
        <f t="shared" ref="AC2:AC65" si="6">IF(I2&lt;20,0,IF(I2&lt;25,20,IF(I2&lt;30,40,IF(I2&lt;=40,60+(I2-30)*3,60+30+(I2-40)*4))))</f>
        <v>0</v>
      </c>
      <c r="AD2" s="5">
        <f t="shared" ref="AD2:AD65" si="7">IF(J2&lt;20,0,IF(J2&lt;25,20,IF(J2&lt;30,40,IF(J2&lt;=40,60+(J2-30)*3,60+30+(J2-40)*4))))</f>
        <v>0</v>
      </c>
      <c r="AE2" s="5">
        <f t="shared" ref="AE2:AE65" si="8">IF(K2&lt;20,0,IF(K2&lt;25,20,IF(K2&lt;30,40,IF(K2&lt;=40,60+(K2-30)*3,60+30+(K2-40)*4))))</f>
        <v>0</v>
      </c>
      <c r="AF2" s="5">
        <f t="shared" ref="AF2:AF65" si="9">IF(L2&lt;20,0,IF(L2&lt;25,20,IF(L2&lt;30,40,IF(L2&lt;=40,60+(L2-30)*3,60+30+(L2-40)*4))))</f>
        <v>0</v>
      </c>
      <c r="AG2" s="5">
        <f t="shared" ref="AG2:AG65" si="10">IF(M2&lt;20,0,IF(M2&lt;25,20,IF(M2&lt;30,40,IF(M2&lt;=40,60+(M2-30)*3,60+30+(M2-40)*4))))</f>
        <v>0</v>
      </c>
      <c r="AH2" s="5">
        <f t="shared" ref="AH2:AH65" si="11">IF(N2&lt;20,0,IF(N2&lt;25,20,IF(N2&lt;30,40,IF(N2&lt;=40,60+(N2-30)*3,60+30+(N2-40)*4))))</f>
        <v>0</v>
      </c>
      <c r="AI2" s="5">
        <f t="shared" ref="AI2:AI65" si="12">IF(O2&lt;20,0,IF(O2&lt;25,20,IF(O2&lt;30,40,IF(O2&lt;=40,60+(O2-30)*3,60+30+(O2-40)*4))))</f>
        <v>0</v>
      </c>
      <c r="AJ2" s="5">
        <f t="shared" ref="AJ2:AJ65" si="13">IF(P2&lt;20,0,IF(P2&lt;25,20,IF(P2&lt;30,40,IF(P2&lt;=40,60+(P2-30)*3,60+30+(P2-40)*4))))</f>
        <v>0</v>
      </c>
      <c r="AK2" s="5">
        <f t="shared" ref="AK2:AK65" si="14">IF(Q2&lt;20,0,IF(Q2&lt;25,20,IF(Q2&lt;30,40,IF(Q2&lt;=40,60+(Q2-30)*3,60+30+(Q2-40)*4))))</f>
        <v>0</v>
      </c>
      <c r="AL2" s="5">
        <f t="shared" ref="AL2:AL65" si="15">IF(R2&lt;20,0,IF(R2&lt;25,20,IF(R2&lt;30,40,IF(R2&lt;=40,60+(R2-30)*3,60+30+(R2-40)*4))))</f>
        <v>0</v>
      </c>
      <c r="AM2" s="6">
        <f t="shared" ref="AM2:AM92" si="16">SUM(X2:AL2)</f>
        <v>0</v>
      </c>
    </row>
    <row r="3" spans="1:39" x14ac:dyDescent="0.25">
      <c r="A3" s="4" t="s">
        <v>453</v>
      </c>
      <c r="B3" s="4" t="s">
        <v>454</v>
      </c>
      <c r="C3" s="4" t="s">
        <v>6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3"/>
      <c r="P3" s="3"/>
      <c r="Q3" s="3"/>
      <c r="R3" s="3"/>
      <c r="S3" s="6">
        <f t="shared" si="0"/>
        <v>0</v>
      </c>
      <c r="T3">
        <v>1</v>
      </c>
      <c r="U3" s="4" t="s">
        <v>453</v>
      </c>
      <c r="V3" s="4" t="s">
        <v>454</v>
      </c>
      <c r="W3" s="4" t="s">
        <v>6</v>
      </c>
      <c r="X3" s="5">
        <f t="shared" si="1"/>
        <v>0</v>
      </c>
      <c r="Y3" s="5">
        <f t="shared" si="2"/>
        <v>0</v>
      </c>
      <c r="Z3" s="5">
        <f t="shared" si="3"/>
        <v>0</v>
      </c>
      <c r="AA3" s="5">
        <f t="shared" si="4"/>
        <v>0</v>
      </c>
      <c r="AB3" s="5">
        <f t="shared" si="5"/>
        <v>0</v>
      </c>
      <c r="AC3" s="5">
        <f t="shared" si="6"/>
        <v>0</v>
      </c>
      <c r="AD3" s="5">
        <f t="shared" si="7"/>
        <v>0</v>
      </c>
      <c r="AE3" s="5">
        <f t="shared" si="8"/>
        <v>0</v>
      </c>
      <c r="AF3" s="5">
        <f t="shared" si="9"/>
        <v>0</v>
      </c>
      <c r="AG3" s="5">
        <f t="shared" si="10"/>
        <v>0</v>
      </c>
      <c r="AH3" s="5">
        <f t="shared" si="11"/>
        <v>0</v>
      </c>
      <c r="AI3" s="5">
        <f t="shared" si="12"/>
        <v>0</v>
      </c>
      <c r="AJ3" s="5">
        <f t="shared" si="13"/>
        <v>0</v>
      </c>
      <c r="AK3" s="5">
        <f t="shared" si="14"/>
        <v>0</v>
      </c>
      <c r="AL3" s="5">
        <f t="shared" si="15"/>
        <v>0</v>
      </c>
      <c r="AM3" s="6">
        <f t="shared" si="16"/>
        <v>0</v>
      </c>
    </row>
    <row r="4" spans="1:39" x14ac:dyDescent="0.25">
      <c r="A4" s="4" t="s">
        <v>455</v>
      </c>
      <c r="B4" s="4" t="s">
        <v>456</v>
      </c>
      <c r="C4" s="4" t="s">
        <v>6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6">
        <f t="shared" si="0"/>
        <v>0</v>
      </c>
      <c r="T4">
        <v>1</v>
      </c>
      <c r="U4" s="4" t="s">
        <v>455</v>
      </c>
      <c r="V4" s="4" t="s">
        <v>456</v>
      </c>
      <c r="W4" s="4" t="s">
        <v>6</v>
      </c>
      <c r="X4" s="5">
        <f t="shared" si="1"/>
        <v>0</v>
      </c>
      <c r="Y4" s="5">
        <f t="shared" si="2"/>
        <v>0</v>
      </c>
      <c r="Z4" s="5">
        <f t="shared" si="3"/>
        <v>0</v>
      </c>
      <c r="AA4" s="5">
        <f t="shared" si="4"/>
        <v>0</v>
      </c>
      <c r="AB4" s="5">
        <f t="shared" si="5"/>
        <v>0</v>
      </c>
      <c r="AC4" s="5">
        <f t="shared" si="6"/>
        <v>0</v>
      </c>
      <c r="AD4" s="5">
        <f t="shared" si="7"/>
        <v>0</v>
      </c>
      <c r="AE4" s="5">
        <f t="shared" si="8"/>
        <v>0</v>
      </c>
      <c r="AF4" s="5">
        <f t="shared" si="9"/>
        <v>0</v>
      </c>
      <c r="AG4" s="5">
        <f t="shared" si="10"/>
        <v>0</v>
      </c>
      <c r="AH4" s="5">
        <f t="shared" si="11"/>
        <v>0</v>
      </c>
      <c r="AI4" s="5">
        <f t="shared" si="12"/>
        <v>0</v>
      </c>
      <c r="AJ4" s="5">
        <f t="shared" si="13"/>
        <v>0</v>
      </c>
      <c r="AK4" s="5">
        <f t="shared" si="14"/>
        <v>0</v>
      </c>
      <c r="AL4" s="5">
        <f t="shared" si="15"/>
        <v>0</v>
      </c>
      <c r="AM4" s="6">
        <f t="shared" si="16"/>
        <v>0</v>
      </c>
    </row>
    <row r="5" spans="1:39" x14ac:dyDescent="0.25">
      <c r="A5" s="4" t="s">
        <v>457</v>
      </c>
      <c r="B5" s="4" t="s">
        <v>458</v>
      </c>
      <c r="C5" s="4" t="s">
        <v>6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3"/>
      <c r="Q5" s="3"/>
      <c r="R5" s="3"/>
      <c r="S5" s="6">
        <f t="shared" si="0"/>
        <v>0</v>
      </c>
      <c r="T5">
        <v>1</v>
      </c>
      <c r="U5" s="4" t="s">
        <v>457</v>
      </c>
      <c r="V5" s="4" t="s">
        <v>458</v>
      </c>
      <c r="W5" s="4" t="s">
        <v>6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  <c r="AD5" s="5">
        <f t="shared" si="7"/>
        <v>0</v>
      </c>
      <c r="AE5" s="5">
        <f t="shared" si="8"/>
        <v>0</v>
      </c>
      <c r="AF5" s="5">
        <f t="shared" si="9"/>
        <v>0</v>
      </c>
      <c r="AG5" s="5">
        <f t="shared" si="10"/>
        <v>0</v>
      </c>
      <c r="AH5" s="5">
        <f t="shared" si="11"/>
        <v>0</v>
      </c>
      <c r="AI5" s="5">
        <f t="shared" si="12"/>
        <v>0</v>
      </c>
      <c r="AJ5" s="5">
        <f t="shared" si="13"/>
        <v>0</v>
      </c>
      <c r="AK5" s="5">
        <f t="shared" si="14"/>
        <v>0</v>
      </c>
      <c r="AL5" s="5">
        <f t="shared" si="15"/>
        <v>0</v>
      </c>
      <c r="AM5" s="6">
        <f t="shared" si="16"/>
        <v>0</v>
      </c>
    </row>
    <row r="6" spans="1:39" x14ac:dyDescent="0.25">
      <c r="A6" s="4" t="s">
        <v>459</v>
      </c>
      <c r="B6" s="4" t="s">
        <v>460</v>
      </c>
      <c r="C6" s="4" t="s">
        <v>6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  <c r="R6" s="3"/>
      <c r="S6" s="6">
        <f t="shared" si="0"/>
        <v>0</v>
      </c>
      <c r="T6">
        <v>1</v>
      </c>
      <c r="U6" s="4" t="s">
        <v>459</v>
      </c>
      <c r="V6" s="4" t="s">
        <v>460</v>
      </c>
      <c r="W6" s="4" t="s">
        <v>6</v>
      </c>
      <c r="X6" s="5">
        <f t="shared" si="1"/>
        <v>0</v>
      </c>
      <c r="Y6" s="5">
        <f t="shared" si="2"/>
        <v>0</v>
      </c>
      <c r="Z6" s="5">
        <f t="shared" si="3"/>
        <v>0</v>
      </c>
      <c r="AA6" s="5">
        <f t="shared" si="4"/>
        <v>0</v>
      </c>
      <c r="AB6" s="5">
        <f t="shared" si="5"/>
        <v>0</v>
      </c>
      <c r="AC6" s="5">
        <f t="shared" si="6"/>
        <v>0</v>
      </c>
      <c r="AD6" s="5">
        <f t="shared" si="7"/>
        <v>0</v>
      </c>
      <c r="AE6" s="5">
        <f t="shared" si="8"/>
        <v>0</v>
      </c>
      <c r="AF6" s="5">
        <f t="shared" si="9"/>
        <v>0</v>
      </c>
      <c r="AG6" s="5">
        <f t="shared" si="10"/>
        <v>0</v>
      </c>
      <c r="AH6" s="5">
        <f t="shared" si="11"/>
        <v>0</v>
      </c>
      <c r="AI6" s="5">
        <f t="shared" si="12"/>
        <v>0</v>
      </c>
      <c r="AJ6" s="5">
        <f t="shared" si="13"/>
        <v>0</v>
      </c>
      <c r="AK6" s="5">
        <f t="shared" si="14"/>
        <v>0</v>
      </c>
      <c r="AL6" s="5">
        <f t="shared" si="15"/>
        <v>0</v>
      </c>
      <c r="AM6" s="6">
        <f t="shared" si="16"/>
        <v>0</v>
      </c>
    </row>
    <row r="7" spans="1:39" x14ac:dyDescent="0.25">
      <c r="A7" s="4" t="s">
        <v>461</v>
      </c>
      <c r="B7" s="4" t="s">
        <v>462</v>
      </c>
      <c r="C7" s="4" t="s">
        <v>6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6">
        <f t="shared" si="0"/>
        <v>0</v>
      </c>
      <c r="T7">
        <v>1</v>
      </c>
      <c r="U7" s="4" t="s">
        <v>461</v>
      </c>
      <c r="V7" s="4" t="s">
        <v>462</v>
      </c>
      <c r="W7" s="4" t="s">
        <v>6</v>
      </c>
      <c r="X7" s="5">
        <f t="shared" si="1"/>
        <v>0</v>
      </c>
      <c r="Y7" s="5">
        <f t="shared" si="2"/>
        <v>0</v>
      </c>
      <c r="Z7" s="5">
        <f t="shared" si="3"/>
        <v>0</v>
      </c>
      <c r="AA7" s="5">
        <f t="shared" si="4"/>
        <v>0</v>
      </c>
      <c r="AB7" s="5">
        <f t="shared" si="5"/>
        <v>0</v>
      </c>
      <c r="AC7" s="5">
        <f t="shared" si="6"/>
        <v>0</v>
      </c>
      <c r="AD7" s="5">
        <f t="shared" si="7"/>
        <v>0</v>
      </c>
      <c r="AE7" s="5">
        <f t="shared" si="8"/>
        <v>0</v>
      </c>
      <c r="AF7" s="5">
        <f t="shared" si="9"/>
        <v>0</v>
      </c>
      <c r="AG7" s="5">
        <f t="shared" si="10"/>
        <v>0</v>
      </c>
      <c r="AH7" s="5">
        <f t="shared" si="11"/>
        <v>0</v>
      </c>
      <c r="AI7" s="5">
        <f t="shared" si="12"/>
        <v>0</v>
      </c>
      <c r="AJ7" s="5">
        <f t="shared" si="13"/>
        <v>0</v>
      </c>
      <c r="AK7" s="5">
        <f t="shared" si="14"/>
        <v>0</v>
      </c>
      <c r="AL7" s="5">
        <f t="shared" si="15"/>
        <v>0</v>
      </c>
      <c r="AM7" s="6">
        <f t="shared" si="16"/>
        <v>0</v>
      </c>
    </row>
    <row r="8" spans="1:39" x14ac:dyDescent="0.25">
      <c r="A8" s="4" t="s">
        <v>463</v>
      </c>
      <c r="B8" s="4" t="s">
        <v>464</v>
      </c>
      <c r="C8" s="4" t="s">
        <v>6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3"/>
      <c r="R8" s="3"/>
      <c r="S8" s="6">
        <f t="shared" si="0"/>
        <v>0</v>
      </c>
      <c r="T8">
        <v>1</v>
      </c>
      <c r="U8" s="4" t="s">
        <v>463</v>
      </c>
      <c r="V8" s="4" t="s">
        <v>464</v>
      </c>
      <c r="W8" s="4" t="s">
        <v>6</v>
      </c>
      <c r="X8" s="5">
        <f t="shared" si="1"/>
        <v>0</v>
      </c>
      <c r="Y8" s="5">
        <f t="shared" si="2"/>
        <v>0</v>
      </c>
      <c r="Z8" s="5">
        <f t="shared" si="3"/>
        <v>0</v>
      </c>
      <c r="AA8" s="5">
        <f t="shared" si="4"/>
        <v>0</v>
      </c>
      <c r="AB8" s="5">
        <f t="shared" si="5"/>
        <v>0</v>
      </c>
      <c r="AC8" s="5">
        <f t="shared" si="6"/>
        <v>0</v>
      </c>
      <c r="AD8" s="5">
        <f t="shared" si="7"/>
        <v>0</v>
      </c>
      <c r="AE8" s="5">
        <f t="shared" si="8"/>
        <v>0</v>
      </c>
      <c r="AF8" s="5">
        <f t="shared" si="9"/>
        <v>0</v>
      </c>
      <c r="AG8" s="5">
        <f t="shared" si="10"/>
        <v>0</v>
      </c>
      <c r="AH8" s="5">
        <f t="shared" si="11"/>
        <v>0</v>
      </c>
      <c r="AI8" s="5">
        <f t="shared" si="12"/>
        <v>0</v>
      </c>
      <c r="AJ8" s="5">
        <f t="shared" si="13"/>
        <v>0</v>
      </c>
      <c r="AK8" s="5">
        <f t="shared" si="14"/>
        <v>0</v>
      </c>
      <c r="AL8" s="5">
        <f t="shared" si="15"/>
        <v>0</v>
      </c>
      <c r="AM8" s="6">
        <f t="shared" si="16"/>
        <v>0</v>
      </c>
    </row>
    <row r="9" spans="1:39" x14ac:dyDescent="0.25">
      <c r="A9" s="4" t="s">
        <v>4</v>
      </c>
      <c r="B9" s="4" t="s">
        <v>5</v>
      </c>
      <c r="C9" s="4" t="s">
        <v>6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  <c r="Q9" s="3"/>
      <c r="R9" s="3"/>
      <c r="S9" s="6">
        <f t="shared" si="0"/>
        <v>0</v>
      </c>
      <c r="T9">
        <v>1</v>
      </c>
      <c r="U9" s="4" t="s">
        <v>4</v>
      </c>
      <c r="V9" s="4" t="s">
        <v>5</v>
      </c>
      <c r="W9" s="4" t="s">
        <v>6</v>
      </c>
      <c r="X9" s="5">
        <f t="shared" si="1"/>
        <v>0</v>
      </c>
      <c r="Y9" s="5">
        <f t="shared" si="2"/>
        <v>0</v>
      </c>
      <c r="Z9" s="5">
        <f t="shared" si="3"/>
        <v>0</v>
      </c>
      <c r="AA9" s="5">
        <f t="shared" si="4"/>
        <v>0</v>
      </c>
      <c r="AB9" s="5">
        <f t="shared" si="5"/>
        <v>0</v>
      </c>
      <c r="AC9" s="5">
        <f t="shared" si="6"/>
        <v>0</v>
      </c>
      <c r="AD9" s="5">
        <f t="shared" si="7"/>
        <v>0</v>
      </c>
      <c r="AE9" s="5">
        <f t="shared" si="8"/>
        <v>0</v>
      </c>
      <c r="AF9" s="5">
        <f t="shared" si="9"/>
        <v>0</v>
      </c>
      <c r="AG9" s="5">
        <f t="shared" si="10"/>
        <v>0</v>
      </c>
      <c r="AH9" s="5">
        <f t="shared" si="11"/>
        <v>0</v>
      </c>
      <c r="AI9" s="5">
        <f t="shared" si="12"/>
        <v>0</v>
      </c>
      <c r="AJ9" s="5">
        <f t="shared" si="13"/>
        <v>0</v>
      </c>
      <c r="AK9" s="5">
        <f t="shared" si="14"/>
        <v>0</v>
      </c>
      <c r="AL9" s="5">
        <f t="shared" si="15"/>
        <v>0</v>
      </c>
      <c r="AM9" s="6">
        <f t="shared" si="16"/>
        <v>0</v>
      </c>
    </row>
    <row r="10" spans="1:39" x14ac:dyDescent="0.25">
      <c r="A10" s="4" t="s">
        <v>7</v>
      </c>
      <c r="B10" s="4" t="s">
        <v>8</v>
      </c>
      <c r="C10" s="4" t="s">
        <v>6</v>
      </c>
      <c r="D10" s="5">
        <v>9</v>
      </c>
      <c r="E10" s="6">
        <v>9</v>
      </c>
      <c r="F10" s="6">
        <v>9</v>
      </c>
      <c r="G10" s="6">
        <v>10.5</v>
      </c>
      <c r="H10" s="6">
        <v>7.5</v>
      </c>
      <c r="I10" s="6"/>
      <c r="J10" s="6">
        <v>39</v>
      </c>
      <c r="K10" s="6">
        <v>40.5</v>
      </c>
      <c r="L10" s="6">
        <v>57</v>
      </c>
      <c r="M10" s="6">
        <v>63</v>
      </c>
      <c r="N10" s="6"/>
      <c r="O10" s="3"/>
      <c r="P10" s="3"/>
      <c r="Q10" s="3"/>
      <c r="R10" s="3"/>
      <c r="S10" s="6">
        <f t="shared" si="0"/>
        <v>244.5</v>
      </c>
      <c r="T10">
        <v>1</v>
      </c>
      <c r="U10" s="4" t="s">
        <v>7</v>
      </c>
      <c r="V10" s="4" t="s">
        <v>8</v>
      </c>
      <c r="W10" s="4" t="s">
        <v>6</v>
      </c>
      <c r="X10" s="5">
        <f t="shared" si="1"/>
        <v>0</v>
      </c>
      <c r="Y10" s="5">
        <f t="shared" si="2"/>
        <v>0</v>
      </c>
      <c r="Z10" s="5">
        <f t="shared" si="3"/>
        <v>0</v>
      </c>
      <c r="AA10" s="5">
        <f t="shared" si="4"/>
        <v>0</v>
      </c>
      <c r="AB10" s="5">
        <f t="shared" si="5"/>
        <v>0</v>
      </c>
      <c r="AC10" s="5">
        <f t="shared" si="6"/>
        <v>0</v>
      </c>
      <c r="AD10" s="5">
        <f t="shared" si="7"/>
        <v>87</v>
      </c>
      <c r="AE10" s="5">
        <f t="shared" si="8"/>
        <v>92</v>
      </c>
      <c r="AF10" s="5">
        <f t="shared" si="9"/>
        <v>158</v>
      </c>
      <c r="AG10" s="5">
        <f t="shared" si="10"/>
        <v>182</v>
      </c>
      <c r="AH10" s="5">
        <f t="shared" si="11"/>
        <v>0</v>
      </c>
      <c r="AI10" s="5">
        <f t="shared" si="12"/>
        <v>0</v>
      </c>
      <c r="AJ10" s="5">
        <f t="shared" si="13"/>
        <v>0</v>
      </c>
      <c r="AK10" s="5">
        <f t="shared" si="14"/>
        <v>0</v>
      </c>
      <c r="AL10" s="5">
        <f t="shared" si="15"/>
        <v>0</v>
      </c>
      <c r="AM10" s="6">
        <f t="shared" si="16"/>
        <v>519</v>
      </c>
    </row>
    <row r="11" spans="1:39" x14ac:dyDescent="0.25">
      <c r="A11" s="4" t="s">
        <v>9</v>
      </c>
      <c r="B11" s="4" t="s">
        <v>10</v>
      </c>
      <c r="C11" s="4" t="s">
        <v>6</v>
      </c>
      <c r="D11" s="5">
        <v>9</v>
      </c>
      <c r="E11" s="6">
        <v>7.5</v>
      </c>
      <c r="F11" s="6">
        <v>9</v>
      </c>
      <c r="G11" s="6">
        <v>12</v>
      </c>
      <c r="H11" s="6"/>
      <c r="I11" s="6">
        <v>22.5</v>
      </c>
      <c r="J11" s="6">
        <v>25.5</v>
      </c>
      <c r="K11" s="6">
        <v>39</v>
      </c>
      <c r="L11" s="6">
        <v>49.5</v>
      </c>
      <c r="M11" s="6">
        <v>51</v>
      </c>
      <c r="N11" s="6"/>
      <c r="O11" s="3"/>
      <c r="P11" s="3"/>
      <c r="Q11" s="3"/>
      <c r="R11" s="3"/>
      <c r="S11" s="6">
        <f t="shared" si="0"/>
        <v>225</v>
      </c>
      <c r="T11">
        <v>1</v>
      </c>
      <c r="U11" s="4" t="s">
        <v>9</v>
      </c>
      <c r="V11" s="4" t="s">
        <v>10</v>
      </c>
      <c r="W11" s="4" t="s">
        <v>6</v>
      </c>
      <c r="X11" s="5">
        <f t="shared" si="1"/>
        <v>0</v>
      </c>
      <c r="Y11" s="5">
        <f t="shared" si="2"/>
        <v>0</v>
      </c>
      <c r="Z11" s="5">
        <f t="shared" si="3"/>
        <v>0</v>
      </c>
      <c r="AA11" s="5">
        <f t="shared" si="4"/>
        <v>0</v>
      </c>
      <c r="AB11" s="5">
        <f t="shared" si="5"/>
        <v>0</v>
      </c>
      <c r="AC11" s="5">
        <f t="shared" si="6"/>
        <v>20</v>
      </c>
      <c r="AD11" s="5">
        <f t="shared" si="7"/>
        <v>40</v>
      </c>
      <c r="AE11" s="5">
        <f t="shared" si="8"/>
        <v>87</v>
      </c>
      <c r="AF11" s="5">
        <f t="shared" si="9"/>
        <v>128</v>
      </c>
      <c r="AG11" s="5">
        <f t="shared" si="10"/>
        <v>134</v>
      </c>
      <c r="AH11" s="5">
        <f t="shared" si="11"/>
        <v>0</v>
      </c>
      <c r="AI11" s="5">
        <f t="shared" si="12"/>
        <v>0</v>
      </c>
      <c r="AJ11" s="5">
        <f t="shared" si="13"/>
        <v>0</v>
      </c>
      <c r="AK11" s="5">
        <f t="shared" si="14"/>
        <v>0</v>
      </c>
      <c r="AL11" s="5">
        <f t="shared" si="15"/>
        <v>0</v>
      </c>
      <c r="AM11" s="6">
        <f t="shared" si="16"/>
        <v>409</v>
      </c>
    </row>
    <row r="12" spans="1:39" x14ac:dyDescent="0.25">
      <c r="A12" s="4" t="s">
        <v>11</v>
      </c>
      <c r="B12" s="4" t="s">
        <v>12</v>
      </c>
      <c r="C12" s="4" t="s">
        <v>6</v>
      </c>
      <c r="D12" s="5"/>
      <c r="E12" s="6">
        <v>6</v>
      </c>
      <c r="F12" s="6">
        <v>6</v>
      </c>
      <c r="G12" s="6">
        <v>9</v>
      </c>
      <c r="H12" s="6">
        <v>4.5</v>
      </c>
      <c r="I12" s="6"/>
      <c r="J12" s="6"/>
      <c r="K12" s="6"/>
      <c r="L12" s="6"/>
      <c r="M12" s="6">
        <v>33</v>
      </c>
      <c r="N12" s="6"/>
      <c r="O12" s="3"/>
      <c r="P12" s="3"/>
      <c r="Q12" s="3"/>
      <c r="R12" s="3"/>
      <c r="S12" s="6">
        <f t="shared" si="0"/>
        <v>58.5</v>
      </c>
      <c r="T12">
        <v>1</v>
      </c>
      <c r="U12" s="4" t="s">
        <v>11</v>
      </c>
      <c r="V12" s="4" t="s">
        <v>12</v>
      </c>
      <c r="W12" s="4" t="s">
        <v>6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  <c r="AD12" s="5">
        <f t="shared" si="7"/>
        <v>0</v>
      </c>
      <c r="AE12" s="5">
        <f t="shared" si="8"/>
        <v>0</v>
      </c>
      <c r="AF12" s="5">
        <f t="shared" si="9"/>
        <v>0</v>
      </c>
      <c r="AG12" s="5">
        <f t="shared" si="10"/>
        <v>69</v>
      </c>
      <c r="AH12" s="5">
        <f t="shared" si="11"/>
        <v>0</v>
      </c>
      <c r="AI12" s="5">
        <f t="shared" si="12"/>
        <v>0</v>
      </c>
      <c r="AJ12" s="5">
        <f t="shared" si="13"/>
        <v>0</v>
      </c>
      <c r="AK12" s="5">
        <f t="shared" si="14"/>
        <v>0</v>
      </c>
      <c r="AL12" s="5">
        <f t="shared" si="15"/>
        <v>0</v>
      </c>
      <c r="AM12" s="6">
        <f t="shared" si="16"/>
        <v>69</v>
      </c>
    </row>
    <row r="13" spans="1:39" x14ac:dyDescent="0.25">
      <c r="A13" s="4" t="s">
        <v>13</v>
      </c>
      <c r="B13" s="4" t="s">
        <v>14</v>
      </c>
      <c r="C13" s="4" t="s">
        <v>6</v>
      </c>
      <c r="D13" s="5"/>
      <c r="E13" s="6"/>
      <c r="F13" s="6"/>
      <c r="G13" s="6"/>
      <c r="H13" s="6"/>
      <c r="I13" s="6"/>
      <c r="J13" s="6"/>
      <c r="K13" s="6">
        <v>19.5</v>
      </c>
      <c r="L13" s="6">
        <v>48</v>
      </c>
      <c r="M13" s="6">
        <v>40.5</v>
      </c>
      <c r="N13" s="6"/>
      <c r="O13" s="3"/>
      <c r="P13" s="3"/>
      <c r="Q13" s="3"/>
      <c r="R13" s="3"/>
      <c r="S13" s="6">
        <f t="shared" si="0"/>
        <v>108</v>
      </c>
      <c r="T13">
        <v>1</v>
      </c>
      <c r="U13" s="4" t="s">
        <v>13</v>
      </c>
      <c r="V13" s="4" t="s">
        <v>14</v>
      </c>
      <c r="W13" s="4" t="s">
        <v>6</v>
      </c>
      <c r="X13" s="5">
        <f t="shared" si="1"/>
        <v>0</v>
      </c>
      <c r="Y13" s="5">
        <f t="shared" si="2"/>
        <v>0</v>
      </c>
      <c r="Z13" s="5">
        <f t="shared" si="3"/>
        <v>0</v>
      </c>
      <c r="AA13" s="5">
        <f t="shared" si="4"/>
        <v>0</v>
      </c>
      <c r="AB13" s="5">
        <f t="shared" si="5"/>
        <v>0</v>
      </c>
      <c r="AC13" s="5">
        <f t="shared" si="6"/>
        <v>0</v>
      </c>
      <c r="AD13" s="5">
        <f t="shared" si="7"/>
        <v>0</v>
      </c>
      <c r="AE13" s="5">
        <f t="shared" si="8"/>
        <v>0</v>
      </c>
      <c r="AF13" s="5">
        <f t="shared" si="9"/>
        <v>122</v>
      </c>
      <c r="AG13" s="5">
        <f t="shared" si="10"/>
        <v>92</v>
      </c>
      <c r="AH13" s="5">
        <f t="shared" si="11"/>
        <v>0</v>
      </c>
      <c r="AI13" s="5">
        <f t="shared" si="12"/>
        <v>0</v>
      </c>
      <c r="AJ13" s="5">
        <f t="shared" si="13"/>
        <v>0</v>
      </c>
      <c r="AK13" s="5">
        <f t="shared" si="14"/>
        <v>0</v>
      </c>
      <c r="AL13" s="5">
        <f t="shared" si="15"/>
        <v>0</v>
      </c>
      <c r="AM13" s="6">
        <f t="shared" si="16"/>
        <v>214</v>
      </c>
    </row>
    <row r="14" spans="1:39" x14ac:dyDescent="0.25">
      <c r="A14" s="4" t="s">
        <v>545</v>
      </c>
      <c r="B14" s="4" t="s">
        <v>546</v>
      </c>
      <c r="C14" s="4" t="s">
        <v>6</v>
      </c>
      <c r="D14" s="5"/>
      <c r="E14" s="6"/>
      <c r="F14" s="6"/>
      <c r="G14" s="6"/>
      <c r="H14" s="6"/>
      <c r="I14" s="6"/>
      <c r="J14" s="6"/>
      <c r="K14" s="6">
        <v>19.5</v>
      </c>
      <c r="L14" s="6">
        <v>27</v>
      </c>
      <c r="M14" s="6"/>
      <c r="N14" s="6"/>
      <c r="O14" s="3"/>
      <c r="P14" s="3"/>
      <c r="Q14" s="3"/>
      <c r="R14" s="3"/>
      <c r="S14" s="6">
        <f t="shared" si="0"/>
        <v>46.5</v>
      </c>
      <c r="T14">
        <v>1</v>
      </c>
      <c r="U14" s="4" t="s">
        <v>545</v>
      </c>
      <c r="V14" s="4" t="s">
        <v>546</v>
      </c>
      <c r="W14" s="4" t="s">
        <v>6</v>
      </c>
      <c r="X14" s="5">
        <f t="shared" si="1"/>
        <v>0</v>
      </c>
      <c r="Y14" s="5">
        <f t="shared" si="2"/>
        <v>0</v>
      </c>
      <c r="Z14" s="5">
        <f t="shared" si="3"/>
        <v>0</v>
      </c>
      <c r="AA14" s="5">
        <f t="shared" si="4"/>
        <v>0</v>
      </c>
      <c r="AB14" s="5">
        <f t="shared" si="5"/>
        <v>0</v>
      </c>
      <c r="AC14" s="5">
        <f t="shared" si="6"/>
        <v>0</v>
      </c>
      <c r="AD14" s="5">
        <f t="shared" si="7"/>
        <v>0</v>
      </c>
      <c r="AE14" s="5">
        <f t="shared" si="8"/>
        <v>0</v>
      </c>
      <c r="AF14" s="5">
        <f t="shared" si="9"/>
        <v>40</v>
      </c>
      <c r="AG14" s="5">
        <f t="shared" si="10"/>
        <v>0</v>
      </c>
      <c r="AH14" s="5">
        <f t="shared" si="11"/>
        <v>0</v>
      </c>
      <c r="AI14" s="5">
        <f t="shared" si="12"/>
        <v>0</v>
      </c>
      <c r="AJ14" s="5">
        <f t="shared" si="13"/>
        <v>0</v>
      </c>
      <c r="AK14" s="5">
        <f t="shared" si="14"/>
        <v>0</v>
      </c>
      <c r="AL14" s="5">
        <f t="shared" si="15"/>
        <v>0</v>
      </c>
      <c r="AM14" s="6">
        <f t="shared" si="16"/>
        <v>40</v>
      </c>
    </row>
    <row r="15" spans="1:39" x14ac:dyDescent="0.25">
      <c r="A15" s="4" t="s">
        <v>15</v>
      </c>
      <c r="B15" s="4" t="s">
        <v>16</v>
      </c>
      <c r="C15" s="4" t="s">
        <v>6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3"/>
      <c r="P15" s="3"/>
      <c r="Q15" s="3"/>
      <c r="R15" s="3"/>
      <c r="S15" s="6">
        <f t="shared" si="0"/>
        <v>0</v>
      </c>
      <c r="T15">
        <v>1</v>
      </c>
      <c r="U15" s="4" t="s">
        <v>15</v>
      </c>
      <c r="V15" s="4" t="s">
        <v>16</v>
      </c>
      <c r="W15" s="4" t="s">
        <v>6</v>
      </c>
      <c r="X15" s="5">
        <f t="shared" si="1"/>
        <v>0</v>
      </c>
      <c r="Y15" s="5">
        <f t="shared" si="2"/>
        <v>0</v>
      </c>
      <c r="Z15" s="5">
        <f t="shared" si="3"/>
        <v>0</v>
      </c>
      <c r="AA15" s="5">
        <f t="shared" si="4"/>
        <v>0</v>
      </c>
      <c r="AB15" s="5">
        <f t="shared" si="5"/>
        <v>0</v>
      </c>
      <c r="AC15" s="5">
        <f t="shared" si="6"/>
        <v>0</v>
      </c>
      <c r="AD15" s="5">
        <f t="shared" si="7"/>
        <v>0</v>
      </c>
      <c r="AE15" s="5">
        <f t="shared" si="8"/>
        <v>0</v>
      </c>
      <c r="AF15" s="5">
        <f t="shared" si="9"/>
        <v>0</v>
      </c>
      <c r="AG15" s="5">
        <f t="shared" si="10"/>
        <v>0</v>
      </c>
      <c r="AH15" s="5">
        <f t="shared" si="11"/>
        <v>0</v>
      </c>
      <c r="AI15" s="5">
        <f t="shared" si="12"/>
        <v>0</v>
      </c>
      <c r="AJ15" s="5">
        <f t="shared" si="13"/>
        <v>0</v>
      </c>
      <c r="AK15" s="5">
        <f t="shared" si="14"/>
        <v>0</v>
      </c>
      <c r="AL15" s="5">
        <f t="shared" si="15"/>
        <v>0</v>
      </c>
      <c r="AM15" s="6">
        <f t="shared" si="16"/>
        <v>0</v>
      </c>
    </row>
    <row r="16" spans="1:39" x14ac:dyDescent="0.25">
      <c r="A16" s="4" t="s">
        <v>17</v>
      </c>
      <c r="B16" s="4" t="s">
        <v>18</v>
      </c>
      <c r="C16" s="4" t="s">
        <v>6</v>
      </c>
      <c r="D16" s="5"/>
      <c r="E16" s="6"/>
      <c r="F16" s="6"/>
      <c r="G16" s="6"/>
      <c r="H16" s="6"/>
      <c r="I16" s="6"/>
      <c r="J16" s="6"/>
      <c r="K16" s="6">
        <v>15</v>
      </c>
      <c r="L16" s="6">
        <v>48</v>
      </c>
      <c r="M16" s="6">
        <v>36</v>
      </c>
      <c r="N16" s="6"/>
      <c r="O16" s="3"/>
      <c r="P16" s="3"/>
      <c r="Q16" s="3"/>
      <c r="R16" s="3"/>
      <c r="S16" s="6">
        <f t="shared" si="0"/>
        <v>99</v>
      </c>
      <c r="T16">
        <v>1</v>
      </c>
      <c r="U16" s="4" t="s">
        <v>17</v>
      </c>
      <c r="V16" s="4" t="s">
        <v>18</v>
      </c>
      <c r="W16" s="4" t="s">
        <v>6</v>
      </c>
      <c r="X16" s="5">
        <f t="shared" si="1"/>
        <v>0</v>
      </c>
      <c r="Y16" s="5">
        <f t="shared" si="2"/>
        <v>0</v>
      </c>
      <c r="Z16" s="5">
        <f t="shared" si="3"/>
        <v>0</v>
      </c>
      <c r="AA16" s="5">
        <f t="shared" si="4"/>
        <v>0</v>
      </c>
      <c r="AB16" s="5">
        <f t="shared" si="5"/>
        <v>0</v>
      </c>
      <c r="AC16" s="5">
        <f t="shared" si="6"/>
        <v>0</v>
      </c>
      <c r="AD16" s="5">
        <f t="shared" si="7"/>
        <v>0</v>
      </c>
      <c r="AE16" s="5">
        <f t="shared" si="8"/>
        <v>0</v>
      </c>
      <c r="AF16" s="5">
        <f t="shared" si="9"/>
        <v>122</v>
      </c>
      <c r="AG16" s="5">
        <f t="shared" si="10"/>
        <v>78</v>
      </c>
      <c r="AH16" s="5">
        <f t="shared" si="11"/>
        <v>0</v>
      </c>
      <c r="AI16" s="5">
        <f t="shared" si="12"/>
        <v>0</v>
      </c>
      <c r="AJ16" s="5">
        <f t="shared" si="13"/>
        <v>0</v>
      </c>
      <c r="AK16" s="5">
        <f t="shared" si="14"/>
        <v>0</v>
      </c>
      <c r="AL16" s="5">
        <f t="shared" si="15"/>
        <v>0</v>
      </c>
      <c r="AM16" s="6">
        <f t="shared" si="16"/>
        <v>200</v>
      </c>
    </row>
    <row r="17" spans="1:39" x14ac:dyDescent="0.25">
      <c r="A17" s="4" t="s">
        <v>385</v>
      </c>
      <c r="B17" s="4" t="s">
        <v>386</v>
      </c>
      <c r="C17" s="4" t="s">
        <v>6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3"/>
      <c r="R17" s="3"/>
      <c r="S17" s="6">
        <f t="shared" si="0"/>
        <v>0</v>
      </c>
      <c r="T17">
        <v>1</v>
      </c>
      <c r="U17" s="4" t="s">
        <v>385</v>
      </c>
      <c r="V17" s="4" t="s">
        <v>386</v>
      </c>
      <c r="W17" s="4" t="s">
        <v>6</v>
      </c>
      <c r="X17" s="5">
        <f t="shared" si="1"/>
        <v>0</v>
      </c>
      <c r="Y17" s="5">
        <f t="shared" si="2"/>
        <v>0</v>
      </c>
      <c r="Z17" s="5">
        <f t="shared" si="3"/>
        <v>0</v>
      </c>
      <c r="AA17" s="5">
        <f t="shared" si="4"/>
        <v>0</v>
      </c>
      <c r="AB17" s="5">
        <f t="shared" si="5"/>
        <v>0</v>
      </c>
      <c r="AC17" s="5">
        <f t="shared" si="6"/>
        <v>0</v>
      </c>
      <c r="AD17" s="5">
        <f t="shared" si="7"/>
        <v>0</v>
      </c>
      <c r="AE17" s="5">
        <f t="shared" si="8"/>
        <v>0</v>
      </c>
      <c r="AF17" s="5">
        <f t="shared" si="9"/>
        <v>0</v>
      </c>
      <c r="AG17" s="5">
        <f t="shared" si="10"/>
        <v>0</v>
      </c>
      <c r="AH17" s="5">
        <f t="shared" si="11"/>
        <v>0</v>
      </c>
      <c r="AI17" s="5">
        <f t="shared" si="12"/>
        <v>0</v>
      </c>
      <c r="AJ17" s="5">
        <f t="shared" si="13"/>
        <v>0</v>
      </c>
      <c r="AK17" s="5">
        <f t="shared" si="14"/>
        <v>0</v>
      </c>
      <c r="AL17" s="5">
        <f t="shared" si="15"/>
        <v>0</v>
      </c>
      <c r="AM17" s="6">
        <f t="shared" si="16"/>
        <v>0</v>
      </c>
    </row>
    <row r="18" spans="1:39" x14ac:dyDescent="0.25">
      <c r="A18" s="4" t="s">
        <v>495</v>
      </c>
      <c r="B18" s="4" t="s">
        <v>496</v>
      </c>
      <c r="C18" s="4" t="s">
        <v>6</v>
      </c>
      <c r="D18" s="5"/>
      <c r="E18" s="6"/>
      <c r="F18" s="6">
        <v>7.5</v>
      </c>
      <c r="G18" s="6">
        <v>6</v>
      </c>
      <c r="H18" s="6">
        <v>6</v>
      </c>
      <c r="I18" s="6">
        <v>13.5</v>
      </c>
      <c r="J18" s="6">
        <v>16.5</v>
      </c>
      <c r="K18" s="6">
        <v>30</v>
      </c>
      <c r="L18" s="6"/>
      <c r="M18" s="6">
        <v>36</v>
      </c>
      <c r="N18" s="6"/>
      <c r="O18" s="3"/>
      <c r="P18" s="3"/>
      <c r="Q18" s="3"/>
      <c r="R18" s="3"/>
      <c r="S18" s="6">
        <f t="shared" si="0"/>
        <v>115.5</v>
      </c>
      <c r="T18">
        <v>1</v>
      </c>
      <c r="U18" s="4" t="s">
        <v>495</v>
      </c>
      <c r="V18" s="4" t="s">
        <v>496</v>
      </c>
      <c r="W18" s="4" t="s">
        <v>6</v>
      </c>
      <c r="X18" s="5">
        <f t="shared" si="1"/>
        <v>0</v>
      </c>
      <c r="Y18" s="5">
        <f t="shared" si="2"/>
        <v>0</v>
      </c>
      <c r="Z18" s="5">
        <f t="shared" si="3"/>
        <v>0</v>
      </c>
      <c r="AA18" s="5">
        <f t="shared" si="4"/>
        <v>0</v>
      </c>
      <c r="AB18" s="5">
        <f t="shared" si="5"/>
        <v>0</v>
      </c>
      <c r="AC18" s="5">
        <f t="shared" si="6"/>
        <v>0</v>
      </c>
      <c r="AD18" s="5">
        <f t="shared" si="7"/>
        <v>0</v>
      </c>
      <c r="AE18" s="5">
        <f t="shared" si="8"/>
        <v>60</v>
      </c>
      <c r="AF18" s="5">
        <f t="shared" si="9"/>
        <v>0</v>
      </c>
      <c r="AG18" s="5">
        <f t="shared" si="10"/>
        <v>78</v>
      </c>
      <c r="AH18" s="5">
        <f t="shared" si="11"/>
        <v>0</v>
      </c>
      <c r="AI18" s="5">
        <f t="shared" si="12"/>
        <v>0</v>
      </c>
      <c r="AJ18" s="5">
        <f t="shared" si="13"/>
        <v>0</v>
      </c>
      <c r="AK18" s="5">
        <f t="shared" si="14"/>
        <v>0</v>
      </c>
      <c r="AL18" s="5">
        <f t="shared" si="15"/>
        <v>0</v>
      </c>
      <c r="AM18" s="6">
        <f t="shared" si="16"/>
        <v>138</v>
      </c>
    </row>
    <row r="19" spans="1:39" x14ac:dyDescent="0.25">
      <c r="A19" s="4" t="s">
        <v>559</v>
      </c>
      <c r="B19" s="4" t="s">
        <v>560</v>
      </c>
      <c r="C19" s="4" t="s">
        <v>6</v>
      </c>
      <c r="D19" s="5"/>
      <c r="E19" s="6"/>
      <c r="F19" s="6"/>
      <c r="G19" s="6"/>
      <c r="H19" s="6"/>
      <c r="I19" s="6"/>
      <c r="J19" s="6"/>
      <c r="K19" s="6"/>
      <c r="L19" s="6">
        <v>48</v>
      </c>
      <c r="M19" s="6">
        <v>46.5</v>
      </c>
      <c r="N19" s="6"/>
      <c r="O19" s="3"/>
      <c r="P19" s="3"/>
      <c r="Q19" s="3"/>
      <c r="R19" s="3"/>
      <c r="S19" s="6">
        <f t="shared" si="0"/>
        <v>94.5</v>
      </c>
      <c r="T19">
        <v>1</v>
      </c>
      <c r="U19" s="4" t="s">
        <v>559</v>
      </c>
      <c r="V19" s="4" t="s">
        <v>560</v>
      </c>
      <c r="W19" s="4" t="s">
        <v>6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  <c r="AD19" s="5">
        <f t="shared" si="7"/>
        <v>0</v>
      </c>
      <c r="AE19" s="5">
        <f t="shared" si="8"/>
        <v>0</v>
      </c>
      <c r="AF19" s="5">
        <f t="shared" si="9"/>
        <v>122</v>
      </c>
      <c r="AG19" s="5">
        <f t="shared" si="10"/>
        <v>116</v>
      </c>
      <c r="AH19" s="5">
        <f t="shared" si="11"/>
        <v>0</v>
      </c>
      <c r="AI19" s="5">
        <f t="shared" si="12"/>
        <v>0</v>
      </c>
      <c r="AJ19" s="5">
        <f t="shared" si="13"/>
        <v>0</v>
      </c>
      <c r="AK19" s="5">
        <f t="shared" si="14"/>
        <v>0</v>
      </c>
      <c r="AL19" s="5">
        <f t="shared" si="15"/>
        <v>0</v>
      </c>
      <c r="AM19" s="6">
        <f t="shared" si="16"/>
        <v>238</v>
      </c>
    </row>
    <row r="20" spans="1:39" x14ac:dyDescent="0.25">
      <c r="A20" s="4" t="s">
        <v>19</v>
      </c>
      <c r="B20" s="4" t="s">
        <v>20</v>
      </c>
      <c r="C20" s="4" t="s">
        <v>6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3"/>
      <c r="R20" s="3"/>
      <c r="S20" s="6">
        <f t="shared" si="0"/>
        <v>0</v>
      </c>
      <c r="T20">
        <v>1</v>
      </c>
      <c r="U20" s="4" t="s">
        <v>19</v>
      </c>
      <c r="V20" s="4" t="s">
        <v>20</v>
      </c>
      <c r="W20" s="4" t="s">
        <v>6</v>
      </c>
      <c r="X20" s="5">
        <f t="shared" si="1"/>
        <v>0</v>
      </c>
      <c r="Y20" s="5">
        <f t="shared" si="2"/>
        <v>0</v>
      </c>
      <c r="Z20" s="5">
        <f t="shared" si="3"/>
        <v>0</v>
      </c>
      <c r="AA20" s="5">
        <f t="shared" si="4"/>
        <v>0</v>
      </c>
      <c r="AB20" s="5">
        <f t="shared" si="5"/>
        <v>0</v>
      </c>
      <c r="AC20" s="5">
        <f t="shared" si="6"/>
        <v>0</v>
      </c>
      <c r="AD20" s="5">
        <f t="shared" si="7"/>
        <v>0</v>
      </c>
      <c r="AE20" s="5">
        <f t="shared" si="8"/>
        <v>0</v>
      </c>
      <c r="AF20" s="5">
        <f t="shared" si="9"/>
        <v>0</v>
      </c>
      <c r="AG20" s="5">
        <f t="shared" si="10"/>
        <v>0</v>
      </c>
      <c r="AH20" s="5">
        <f t="shared" si="11"/>
        <v>0</v>
      </c>
      <c r="AI20" s="5">
        <f t="shared" si="12"/>
        <v>0</v>
      </c>
      <c r="AJ20" s="5">
        <f t="shared" si="13"/>
        <v>0</v>
      </c>
      <c r="AK20" s="5">
        <f t="shared" si="14"/>
        <v>0</v>
      </c>
      <c r="AL20" s="5">
        <f t="shared" si="15"/>
        <v>0</v>
      </c>
      <c r="AM20" s="6">
        <f t="shared" si="16"/>
        <v>0</v>
      </c>
    </row>
    <row r="21" spans="1:39" x14ac:dyDescent="0.25">
      <c r="A21" s="4" t="s">
        <v>21</v>
      </c>
      <c r="B21" s="4" t="s">
        <v>22</v>
      </c>
      <c r="C21" s="4" t="s">
        <v>6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6">
        <f t="shared" si="0"/>
        <v>0</v>
      </c>
      <c r="T21">
        <v>1</v>
      </c>
      <c r="U21" s="4" t="s">
        <v>21</v>
      </c>
      <c r="V21" s="4" t="s">
        <v>22</v>
      </c>
      <c r="W21" s="4" t="s">
        <v>6</v>
      </c>
      <c r="X21" s="5">
        <f t="shared" si="1"/>
        <v>0</v>
      </c>
      <c r="Y21" s="5">
        <f t="shared" si="2"/>
        <v>0</v>
      </c>
      <c r="Z21" s="5">
        <f t="shared" si="3"/>
        <v>0</v>
      </c>
      <c r="AA21" s="5">
        <f t="shared" si="4"/>
        <v>0</v>
      </c>
      <c r="AB21" s="5">
        <f t="shared" si="5"/>
        <v>0</v>
      </c>
      <c r="AC21" s="5">
        <f t="shared" si="6"/>
        <v>0</v>
      </c>
      <c r="AD21" s="5">
        <f t="shared" si="7"/>
        <v>0</v>
      </c>
      <c r="AE21" s="5">
        <f t="shared" si="8"/>
        <v>0</v>
      </c>
      <c r="AF21" s="5">
        <f t="shared" si="9"/>
        <v>0</v>
      </c>
      <c r="AG21" s="5">
        <f t="shared" si="10"/>
        <v>0</v>
      </c>
      <c r="AH21" s="5">
        <f t="shared" si="11"/>
        <v>0</v>
      </c>
      <c r="AI21" s="5">
        <f t="shared" si="12"/>
        <v>0</v>
      </c>
      <c r="AJ21" s="5">
        <f t="shared" si="13"/>
        <v>0</v>
      </c>
      <c r="AK21" s="5">
        <f t="shared" si="14"/>
        <v>0</v>
      </c>
      <c r="AL21" s="5">
        <f t="shared" si="15"/>
        <v>0</v>
      </c>
      <c r="AM21" s="6">
        <f t="shared" si="16"/>
        <v>0</v>
      </c>
    </row>
    <row r="22" spans="1:39" x14ac:dyDescent="0.25">
      <c r="A22" s="4" t="s">
        <v>529</v>
      </c>
      <c r="B22" s="4" t="s">
        <v>530</v>
      </c>
      <c r="C22" s="4" t="s">
        <v>6</v>
      </c>
      <c r="D22" s="5"/>
      <c r="E22" s="6"/>
      <c r="F22" s="6"/>
      <c r="G22" s="6"/>
      <c r="H22" s="6"/>
      <c r="I22" s="6">
        <v>3</v>
      </c>
      <c r="J22" s="6"/>
      <c r="K22" s="6"/>
      <c r="L22" s="6"/>
      <c r="M22" s="6"/>
      <c r="N22" s="6"/>
      <c r="O22" s="3"/>
      <c r="P22" s="3"/>
      <c r="Q22" s="3"/>
      <c r="R22" s="3"/>
      <c r="S22" s="6">
        <f t="shared" si="0"/>
        <v>3</v>
      </c>
      <c r="T22">
        <v>1</v>
      </c>
      <c r="U22" s="4" t="s">
        <v>529</v>
      </c>
      <c r="V22" s="4" t="s">
        <v>530</v>
      </c>
      <c r="W22" s="4" t="s">
        <v>6</v>
      </c>
      <c r="X22" s="5">
        <f t="shared" si="1"/>
        <v>0</v>
      </c>
      <c r="Y22" s="5">
        <f t="shared" si="2"/>
        <v>0</v>
      </c>
      <c r="Z22" s="5">
        <f t="shared" si="3"/>
        <v>0</v>
      </c>
      <c r="AA22" s="5">
        <f t="shared" si="4"/>
        <v>0</v>
      </c>
      <c r="AB22" s="5">
        <f t="shared" si="5"/>
        <v>0</v>
      </c>
      <c r="AC22" s="5">
        <f t="shared" si="6"/>
        <v>0</v>
      </c>
      <c r="AD22" s="5">
        <f t="shared" si="7"/>
        <v>0</v>
      </c>
      <c r="AE22" s="5">
        <f t="shared" si="8"/>
        <v>0</v>
      </c>
      <c r="AF22" s="5">
        <f t="shared" si="9"/>
        <v>0</v>
      </c>
      <c r="AG22" s="5">
        <f t="shared" si="10"/>
        <v>0</v>
      </c>
      <c r="AH22" s="5">
        <f t="shared" si="11"/>
        <v>0</v>
      </c>
      <c r="AI22" s="5">
        <f t="shared" si="12"/>
        <v>0</v>
      </c>
      <c r="AJ22" s="5">
        <f t="shared" si="13"/>
        <v>0</v>
      </c>
      <c r="AK22" s="5">
        <f t="shared" si="14"/>
        <v>0</v>
      </c>
      <c r="AL22" s="5">
        <f t="shared" si="15"/>
        <v>0</v>
      </c>
      <c r="AM22" s="6">
        <f t="shared" si="16"/>
        <v>0</v>
      </c>
    </row>
    <row r="23" spans="1:39" x14ac:dyDescent="0.25">
      <c r="A23" s="4" t="s">
        <v>23</v>
      </c>
      <c r="B23" s="4" t="s">
        <v>24</v>
      </c>
      <c r="C23" s="4" t="s">
        <v>6</v>
      </c>
      <c r="D23" s="5"/>
      <c r="E23" s="6"/>
      <c r="F23" s="6"/>
      <c r="G23" s="6"/>
      <c r="H23" s="6"/>
      <c r="I23" s="6"/>
      <c r="J23" s="6"/>
      <c r="K23" s="6"/>
      <c r="L23" s="6"/>
      <c r="M23" s="6">
        <v>25.5</v>
      </c>
      <c r="N23" s="6"/>
      <c r="O23" s="3"/>
      <c r="P23" s="3"/>
      <c r="Q23" s="3"/>
      <c r="R23" s="3"/>
      <c r="S23" s="6">
        <f t="shared" si="0"/>
        <v>25.5</v>
      </c>
      <c r="T23">
        <v>1</v>
      </c>
      <c r="U23" s="4" t="s">
        <v>23</v>
      </c>
      <c r="V23" s="4" t="s">
        <v>24</v>
      </c>
      <c r="W23" s="4" t="s">
        <v>6</v>
      </c>
      <c r="X23" s="5">
        <f t="shared" si="1"/>
        <v>0</v>
      </c>
      <c r="Y23" s="5">
        <f t="shared" si="2"/>
        <v>0</v>
      </c>
      <c r="Z23" s="5">
        <f t="shared" si="3"/>
        <v>0</v>
      </c>
      <c r="AA23" s="5">
        <f t="shared" si="4"/>
        <v>0</v>
      </c>
      <c r="AB23" s="5">
        <f t="shared" si="5"/>
        <v>0</v>
      </c>
      <c r="AC23" s="5">
        <f t="shared" si="6"/>
        <v>0</v>
      </c>
      <c r="AD23" s="5">
        <f t="shared" si="7"/>
        <v>0</v>
      </c>
      <c r="AE23" s="5">
        <f t="shared" si="8"/>
        <v>0</v>
      </c>
      <c r="AF23" s="5">
        <f t="shared" si="9"/>
        <v>0</v>
      </c>
      <c r="AG23" s="5">
        <f t="shared" si="10"/>
        <v>40</v>
      </c>
      <c r="AH23" s="5">
        <f t="shared" si="11"/>
        <v>0</v>
      </c>
      <c r="AI23" s="5">
        <f t="shared" si="12"/>
        <v>0</v>
      </c>
      <c r="AJ23" s="5">
        <f t="shared" si="13"/>
        <v>0</v>
      </c>
      <c r="AK23" s="5">
        <f t="shared" si="14"/>
        <v>0</v>
      </c>
      <c r="AL23" s="5">
        <f t="shared" si="15"/>
        <v>0</v>
      </c>
      <c r="AM23" s="6">
        <f t="shared" si="16"/>
        <v>40</v>
      </c>
    </row>
    <row r="24" spans="1:39" x14ac:dyDescent="0.25">
      <c r="A24" s="4" t="s">
        <v>25</v>
      </c>
      <c r="B24" s="4" t="s">
        <v>26</v>
      </c>
      <c r="C24" s="4" t="s">
        <v>6</v>
      </c>
      <c r="D24" s="5"/>
      <c r="E24" s="6"/>
      <c r="F24" s="6"/>
      <c r="G24" s="6"/>
      <c r="H24" s="6"/>
      <c r="I24" s="6"/>
      <c r="J24" s="6"/>
      <c r="K24" s="6"/>
      <c r="L24" s="6"/>
      <c r="M24" s="6">
        <v>15</v>
      </c>
      <c r="N24" s="6"/>
      <c r="O24" s="3"/>
      <c r="P24" s="3"/>
      <c r="Q24" s="3"/>
      <c r="R24" s="3"/>
      <c r="S24" s="6">
        <f t="shared" si="0"/>
        <v>15</v>
      </c>
      <c r="T24">
        <v>1</v>
      </c>
      <c r="U24" s="4" t="s">
        <v>25</v>
      </c>
      <c r="V24" s="4" t="s">
        <v>26</v>
      </c>
      <c r="W24" s="4" t="s">
        <v>6</v>
      </c>
      <c r="X24" s="5">
        <f t="shared" si="1"/>
        <v>0</v>
      </c>
      <c r="Y24" s="5">
        <f t="shared" si="2"/>
        <v>0</v>
      </c>
      <c r="Z24" s="5">
        <f t="shared" si="3"/>
        <v>0</v>
      </c>
      <c r="AA24" s="5">
        <f t="shared" si="4"/>
        <v>0</v>
      </c>
      <c r="AB24" s="5">
        <f t="shared" si="5"/>
        <v>0</v>
      </c>
      <c r="AC24" s="5">
        <f t="shared" si="6"/>
        <v>0</v>
      </c>
      <c r="AD24" s="5">
        <f t="shared" si="7"/>
        <v>0</v>
      </c>
      <c r="AE24" s="5">
        <f t="shared" si="8"/>
        <v>0</v>
      </c>
      <c r="AF24" s="5">
        <f t="shared" si="9"/>
        <v>0</v>
      </c>
      <c r="AG24" s="5">
        <f t="shared" si="10"/>
        <v>0</v>
      </c>
      <c r="AH24" s="5">
        <f t="shared" si="11"/>
        <v>0</v>
      </c>
      <c r="AI24" s="5">
        <f t="shared" si="12"/>
        <v>0</v>
      </c>
      <c r="AJ24" s="5">
        <f t="shared" si="13"/>
        <v>0</v>
      </c>
      <c r="AK24" s="5">
        <f t="shared" si="14"/>
        <v>0</v>
      </c>
      <c r="AL24" s="5">
        <f t="shared" si="15"/>
        <v>0</v>
      </c>
      <c r="AM24" s="6">
        <f t="shared" si="16"/>
        <v>0</v>
      </c>
    </row>
    <row r="25" spans="1:39" x14ac:dyDescent="0.25">
      <c r="A25" s="4" t="s">
        <v>27</v>
      </c>
      <c r="B25" s="4" t="s">
        <v>28</v>
      </c>
      <c r="C25" s="4" t="s">
        <v>6</v>
      </c>
      <c r="D25" s="5"/>
      <c r="E25" s="6"/>
      <c r="F25" s="6"/>
      <c r="G25" s="6"/>
      <c r="H25" s="6"/>
      <c r="I25" s="6"/>
      <c r="J25" s="6"/>
      <c r="K25" s="6"/>
      <c r="L25" s="6"/>
      <c r="M25" s="6">
        <v>13.5</v>
      </c>
      <c r="N25" s="6"/>
      <c r="O25" s="3"/>
      <c r="P25" s="3"/>
      <c r="Q25" s="3"/>
      <c r="R25" s="3"/>
      <c r="S25" s="6">
        <f t="shared" si="0"/>
        <v>13.5</v>
      </c>
      <c r="T25">
        <v>1</v>
      </c>
      <c r="U25" s="4" t="s">
        <v>27</v>
      </c>
      <c r="V25" s="4" t="s">
        <v>28</v>
      </c>
      <c r="W25" s="4" t="s">
        <v>6</v>
      </c>
      <c r="X25" s="5">
        <f t="shared" si="1"/>
        <v>0</v>
      </c>
      <c r="Y25" s="5">
        <f t="shared" si="2"/>
        <v>0</v>
      </c>
      <c r="Z25" s="5">
        <f t="shared" si="3"/>
        <v>0</v>
      </c>
      <c r="AA25" s="5">
        <f t="shared" si="4"/>
        <v>0</v>
      </c>
      <c r="AB25" s="5">
        <f t="shared" si="5"/>
        <v>0</v>
      </c>
      <c r="AC25" s="5">
        <f t="shared" si="6"/>
        <v>0</v>
      </c>
      <c r="AD25" s="5">
        <f t="shared" si="7"/>
        <v>0</v>
      </c>
      <c r="AE25" s="5">
        <f t="shared" si="8"/>
        <v>0</v>
      </c>
      <c r="AF25" s="5">
        <f t="shared" si="9"/>
        <v>0</v>
      </c>
      <c r="AG25" s="5">
        <f t="shared" si="10"/>
        <v>0</v>
      </c>
      <c r="AH25" s="5">
        <f t="shared" si="11"/>
        <v>0</v>
      </c>
      <c r="AI25" s="5">
        <f t="shared" si="12"/>
        <v>0</v>
      </c>
      <c r="AJ25" s="5">
        <f t="shared" si="13"/>
        <v>0</v>
      </c>
      <c r="AK25" s="5">
        <f t="shared" si="14"/>
        <v>0</v>
      </c>
      <c r="AL25" s="5">
        <f t="shared" si="15"/>
        <v>0</v>
      </c>
      <c r="AM25" s="6">
        <f t="shared" si="16"/>
        <v>0</v>
      </c>
    </row>
    <row r="26" spans="1:39" x14ac:dyDescent="0.25">
      <c r="A26" s="4" t="s">
        <v>29</v>
      </c>
      <c r="B26" s="4" t="s">
        <v>30</v>
      </c>
      <c r="C26" s="4" t="s">
        <v>6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3"/>
      <c r="P26" s="3"/>
      <c r="Q26" s="3"/>
      <c r="R26" s="3"/>
      <c r="S26" s="6">
        <f t="shared" si="0"/>
        <v>0</v>
      </c>
      <c r="T26">
        <v>1</v>
      </c>
      <c r="U26" s="4" t="s">
        <v>29</v>
      </c>
      <c r="V26" s="4" t="s">
        <v>30</v>
      </c>
      <c r="W26" s="4" t="s">
        <v>6</v>
      </c>
      <c r="X26" s="5">
        <f t="shared" si="1"/>
        <v>0</v>
      </c>
      <c r="Y26" s="5">
        <f t="shared" si="2"/>
        <v>0</v>
      </c>
      <c r="Z26" s="5">
        <f t="shared" si="3"/>
        <v>0</v>
      </c>
      <c r="AA26" s="5">
        <f t="shared" si="4"/>
        <v>0</v>
      </c>
      <c r="AB26" s="5">
        <f t="shared" si="5"/>
        <v>0</v>
      </c>
      <c r="AC26" s="5">
        <f t="shared" si="6"/>
        <v>0</v>
      </c>
      <c r="AD26" s="5">
        <f t="shared" si="7"/>
        <v>0</v>
      </c>
      <c r="AE26" s="5">
        <f t="shared" si="8"/>
        <v>0</v>
      </c>
      <c r="AF26" s="5">
        <f t="shared" si="9"/>
        <v>0</v>
      </c>
      <c r="AG26" s="5">
        <f t="shared" si="10"/>
        <v>0</v>
      </c>
      <c r="AH26" s="5">
        <f t="shared" si="11"/>
        <v>0</v>
      </c>
      <c r="AI26" s="5">
        <f t="shared" si="12"/>
        <v>0</v>
      </c>
      <c r="AJ26" s="5">
        <f t="shared" si="13"/>
        <v>0</v>
      </c>
      <c r="AK26" s="5">
        <f t="shared" si="14"/>
        <v>0</v>
      </c>
      <c r="AL26" s="5">
        <f t="shared" si="15"/>
        <v>0</v>
      </c>
      <c r="AM26" s="6">
        <f t="shared" si="16"/>
        <v>0</v>
      </c>
    </row>
    <row r="27" spans="1:39" x14ac:dyDescent="0.25">
      <c r="A27" s="4" t="s">
        <v>31</v>
      </c>
      <c r="B27" s="4" t="s">
        <v>32</v>
      </c>
      <c r="C27" s="4" t="s">
        <v>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3"/>
      <c r="P27" s="3"/>
      <c r="Q27" s="3"/>
      <c r="R27" s="3"/>
      <c r="S27" s="6">
        <f t="shared" si="0"/>
        <v>0</v>
      </c>
      <c r="T27">
        <v>1</v>
      </c>
      <c r="U27" s="4" t="s">
        <v>31</v>
      </c>
      <c r="V27" s="4" t="s">
        <v>32</v>
      </c>
      <c r="W27" s="4" t="s">
        <v>6</v>
      </c>
      <c r="X27" s="5">
        <f t="shared" si="1"/>
        <v>0</v>
      </c>
      <c r="Y27" s="5">
        <f t="shared" si="2"/>
        <v>0</v>
      </c>
      <c r="Z27" s="5">
        <f t="shared" si="3"/>
        <v>0</v>
      </c>
      <c r="AA27" s="5">
        <f t="shared" si="4"/>
        <v>0</v>
      </c>
      <c r="AB27" s="5">
        <f t="shared" si="5"/>
        <v>0</v>
      </c>
      <c r="AC27" s="5">
        <f t="shared" si="6"/>
        <v>0</v>
      </c>
      <c r="AD27" s="5">
        <f t="shared" si="7"/>
        <v>0</v>
      </c>
      <c r="AE27" s="5">
        <f t="shared" si="8"/>
        <v>0</v>
      </c>
      <c r="AF27" s="5">
        <f t="shared" si="9"/>
        <v>0</v>
      </c>
      <c r="AG27" s="5">
        <f t="shared" si="10"/>
        <v>0</v>
      </c>
      <c r="AH27" s="5">
        <f t="shared" si="11"/>
        <v>0</v>
      </c>
      <c r="AI27" s="5">
        <f t="shared" si="12"/>
        <v>0</v>
      </c>
      <c r="AJ27" s="5">
        <f t="shared" si="13"/>
        <v>0</v>
      </c>
      <c r="AK27" s="5">
        <f t="shared" si="14"/>
        <v>0</v>
      </c>
      <c r="AL27" s="5">
        <f t="shared" si="15"/>
        <v>0</v>
      </c>
      <c r="AM27" s="6">
        <f t="shared" si="16"/>
        <v>0</v>
      </c>
    </row>
    <row r="28" spans="1:39" x14ac:dyDescent="0.25">
      <c r="A28" s="4" t="s">
        <v>33</v>
      </c>
      <c r="B28" s="4" t="s">
        <v>34</v>
      </c>
      <c r="C28" s="4" t="s">
        <v>6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3"/>
      <c r="R28" s="3"/>
      <c r="S28" s="6">
        <f t="shared" si="0"/>
        <v>0</v>
      </c>
      <c r="T28">
        <v>1</v>
      </c>
      <c r="U28" s="4" t="s">
        <v>33</v>
      </c>
      <c r="V28" s="4" t="s">
        <v>34</v>
      </c>
      <c r="W28" s="4" t="s">
        <v>6</v>
      </c>
      <c r="X28" s="5">
        <f t="shared" si="1"/>
        <v>0</v>
      </c>
      <c r="Y28" s="5">
        <f t="shared" si="2"/>
        <v>0</v>
      </c>
      <c r="Z28" s="5">
        <f t="shared" si="3"/>
        <v>0</v>
      </c>
      <c r="AA28" s="5">
        <f t="shared" si="4"/>
        <v>0</v>
      </c>
      <c r="AB28" s="5">
        <f t="shared" si="5"/>
        <v>0</v>
      </c>
      <c r="AC28" s="5">
        <f t="shared" si="6"/>
        <v>0</v>
      </c>
      <c r="AD28" s="5">
        <f t="shared" si="7"/>
        <v>0</v>
      </c>
      <c r="AE28" s="5">
        <f t="shared" si="8"/>
        <v>0</v>
      </c>
      <c r="AF28" s="5">
        <f t="shared" si="9"/>
        <v>0</v>
      </c>
      <c r="AG28" s="5">
        <f t="shared" si="10"/>
        <v>0</v>
      </c>
      <c r="AH28" s="5">
        <f t="shared" si="11"/>
        <v>0</v>
      </c>
      <c r="AI28" s="5">
        <f t="shared" si="12"/>
        <v>0</v>
      </c>
      <c r="AJ28" s="5">
        <f t="shared" si="13"/>
        <v>0</v>
      </c>
      <c r="AK28" s="5">
        <f t="shared" si="14"/>
        <v>0</v>
      </c>
      <c r="AL28" s="5">
        <f t="shared" si="15"/>
        <v>0</v>
      </c>
      <c r="AM28" s="6">
        <f t="shared" si="16"/>
        <v>0</v>
      </c>
    </row>
    <row r="29" spans="1:39" x14ac:dyDescent="0.25">
      <c r="A29" s="4" t="s">
        <v>35</v>
      </c>
      <c r="B29" s="4" t="s">
        <v>36</v>
      </c>
      <c r="C29" s="4" t="s">
        <v>6</v>
      </c>
      <c r="D29" s="5"/>
      <c r="E29" s="6"/>
      <c r="F29" s="6"/>
      <c r="G29" s="6"/>
      <c r="H29" s="6"/>
      <c r="I29" s="6"/>
      <c r="J29" s="6"/>
      <c r="K29" s="6"/>
      <c r="L29" s="6"/>
      <c r="M29" s="6">
        <v>18</v>
      </c>
      <c r="N29" s="6"/>
      <c r="O29" s="3"/>
      <c r="P29" s="3"/>
      <c r="Q29" s="3"/>
      <c r="R29" s="3"/>
      <c r="S29" s="6">
        <f t="shared" si="0"/>
        <v>18</v>
      </c>
      <c r="T29">
        <v>1</v>
      </c>
      <c r="U29" s="4" t="s">
        <v>35</v>
      </c>
      <c r="V29" s="4" t="s">
        <v>36</v>
      </c>
      <c r="W29" s="4" t="s">
        <v>6</v>
      </c>
      <c r="X29" s="5">
        <f t="shared" si="1"/>
        <v>0</v>
      </c>
      <c r="Y29" s="5">
        <f t="shared" si="2"/>
        <v>0</v>
      </c>
      <c r="Z29" s="5">
        <f t="shared" si="3"/>
        <v>0</v>
      </c>
      <c r="AA29" s="5">
        <f t="shared" si="4"/>
        <v>0</v>
      </c>
      <c r="AB29" s="5">
        <f t="shared" si="5"/>
        <v>0</v>
      </c>
      <c r="AC29" s="5">
        <f t="shared" si="6"/>
        <v>0</v>
      </c>
      <c r="AD29" s="5">
        <f t="shared" si="7"/>
        <v>0</v>
      </c>
      <c r="AE29" s="5">
        <f t="shared" si="8"/>
        <v>0</v>
      </c>
      <c r="AF29" s="5">
        <f t="shared" si="9"/>
        <v>0</v>
      </c>
      <c r="AG29" s="5">
        <f t="shared" si="10"/>
        <v>0</v>
      </c>
      <c r="AH29" s="5">
        <f t="shared" si="11"/>
        <v>0</v>
      </c>
      <c r="AI29" s="5">
        <f t="shared" si="12"/>
        <v>0</v>
      </c>
      <c r="AJ29" s="5">
        <f t="shared" si="13"/>
        <v>0</v>
      </c>
      <c r="AK29" s="5">
        <f t="shared" si="14"/>
        <v>0</v>
      </c>
      <c r="AL29" s="5">
        <f t="shared" si="15"/>
        <v>0</v>
      </c>
      <c r="AM29" s="6">
        <f t="shared" si="16"/>
        <v>0</v>
      </c>
    </row>
    <row r="30" spans="1:39" x14ac:dyDescent="0.25">
      <c r="A30" s="4" t="s">
        <v>37</v>
      </c>
      <c r="B30" s="4" t="s">
        <v>38</v>
      </c>
      <c r="C30" s="4" t="s">
        <v>6</v>
      </c>
      <c r="D30" s="5"/>
      <c r="E30" s="6"/>
      <c r="F30" s="6"/>
      <c r="G30" s="6"/>
      <c r="H30" s="6"/>
      <c r="I30" s="6"/>
      <c r="J30" s="6"/>
      <c r="K30" s="6"/>
      <c r="L30" s="6"/>
      <c r="M30" s="6">
        <v>25.5</v>
      </c>
      <c r="N30" s="6"/>
      <c r="O30" s="3"/>
      <c r="P30" s="3"/>
      <c r="Q30" s="3"/>
      <c r="R30" s="3"/>
      <c r="S30" s="6">
        <f t="shared" si="0"/>
        <v>25.5</v>
      </c>
      <c r="T30">
        <v>1</v>
      </c>
      <c r="U30" s="4" t="s">
        <v>37</v>
      </c>
      <c r="V30" s="4" t="s">
        <v>38</v>
      </c>
      <c r="W30" s="4" t="s">
        <v>6</v>
      </c>
      <c r="X30" s="5">
        <f t="shared" si="1"/>
        <v>0</v>
      </c>
      <c r="Y30" s="5">
        <f t="shared" si="2"/>
        <v>0</v>
      </c>
      <c r="Z30" s="5">
        <f t="shared" si="3"/>
        <v>0</v>
      </c>
      <c r="AA30" s="5">
        <f t="shared" si="4"/>
        <v>0</v>
      </c>
      <c r="AB30" s="5">
        <f t="shared" si="5"/>
        <v>0</v>
      </c>
      <c r="AC30" s="5">
        <f t="shared" si="6"/>
        <v>0</v>
      </c>
      <c r="AD30" s="5">
        <f t="shared" si="7"/>
        <v>0</v>
      </c>
      <c r="AE30" s="5">
        <f t="shared" si="8"/>
        <v>0</v>
      </c>
      <c r="AF30" s="5">
        <f t="shared" si="9"/>
        <v>0</v>
      </c>
      <c r="AG30" s="5">
        <f t="shared" si="10"/>
        <v>40</v>
      </c>
      <c r="AH30" s="5">
        <f t="shared" si="11"/>
        <v>0</v>
      </c>
      <c r="AI30" s="5">
        <f t="shared" si="12"/>
        <v>0</v>
      </c>
      <c r="AJ30" s="5">
        <f t="shared" si="13"/>
        <v>0</v>
      </c>
      <c r="AK30" s="5">
        <f t="shared" si="14"/>
        <v>0</v>
      </c>
      <c r="AL30" s="5">
        <f t="shared" si="15"/>
        <v>0</v>
      </c>
      <c r="AM30" s="6">
        <f t="shared" si="16"/>
        <v>40</v>
      </c>
    </row>
    <row r="31" spans="1:39" x14ac:dyDescent="0.25">
      <c r="A31" s="4" t="s">
        <v>39</v>
      </c>
      <c r="B31" s="4" t="s">
        <v>40</v>
      </c>
      <c r="C31" s="4" t="s">
        <v>6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3"/>
      <c r="P31" s="3"/>
      <c r="Q31" s="3"/>
      <c r="R31" s="3"/>
      <c r="S31" s="6">
        <f t="shared" si="0"/>
        <v>0</v>
      </c>
      <c r="T31">
        <v>1</v>
      </c>
      <c r="U31" s="4" t="s">
        <v>39</v>
      </c>
      <c r="V31" s="4" t="s">
        <v>40</v>
      </c>
      <c r="W31" s="4" t="s">
        <v>6</v>
      </c>
      <c r="X31" s="5">
        <f t="shared" si="1"/>
        <v>0</v>
      </c>
      <c r="Y31" s="5">
        <f t="shared" si="2"/>
        <v>0</v>
      </c>
      <c r="Z31" s="5">
        <f t="shared" si="3"/>
        <v>0</v>
      </c>
      <c r="AA31" s="5">
        <f t="shared" si="4"/>
        <v>0</v>
      </c>
      <c r="AB31" s="5">
        <f t="shared" si="5"/>
        <v>0</v>
      </c>
      <c r="AC31" s="5">
        <f t="shared" si="6"/>
        <v>0</v>
      </c>
      <c r="AD31" s="5">
        <f t="shared" si="7"/>
        <v>0</v>
      </c>
      <c r="AE31" s="5">
        <f t="shared" si="8"/>
        <v>0</v>
      </c>
      <c r="AF31" s="5">
        <f t="shared" si="9"/>
        <v>0</v>
      </c>
      <c r="AG31" s="5">
        <f t="shared" si="10"/>
        <v>0</v>
      </c>
      <c r="AH31" s="5">
        <f t="shared" si="11"/>
        <v>0</v>
      </c>
      <c r="AI31" s="5">
        <f t="shared" si="12"/>
        <v>0</v>
      </c>
      <c r="AJ31" s="5">
        <f t="shared" si="13"/>
        <v>0</v>
      </c>
      <c r="AK31" s="5">
        <f t="shared" si="14"/>
        <v>0</v>
      </c>
      <c r="AL31" s="5">
        <f t="shared" si="15"/>
        <v>0</v>
      </c>
      <c r="AM31" s="6">
        <f t="shared" si="16"/>
        <v>0</v>
      </c>
    </row>
    <row r="32" spans="1:39" x14ac:dyDescent="0.25">
      <c r="A32" s="4" t="s">
        <v>41</v>
      </c>
      <c r="B32" s="4" t="s">
        <v>42</v>
      </c>
      <c r="C32" s="4" t="s">
        <v>6</v>
      </c>
      <c r="D32" s="5"/>
      <c r="E32" s="6"/>
      <c r="F32" s="6"/>
      <c r="G32" s="6"/>
      <c r="H32" s="6"/>
      <c r="I32" s="6"/>
      <c r="J32" s="6"/>
      <c r="K32" s="6"/>
      <c r="L32" s="6"/>
      <c r="M32" s="6">
        <v>16.5</v>
      </c>
      <c r="N32" s="6"/>
      <c r="O32" s="3"/>
      <c r="P32" s="3"/>
      <c r="Q32" s="3"/>
      <c r="R32" s="3"/>
      <c r="S32" s="6">
        <f t="shared" si="0"/>
        <v>16.5</v>
      </c>
      <c r="T32">
        <v>1</v>
      </c>
      <c r="U32" s="4" t="s">
        <v>41</v>
      </c>
      <c r="V32" s="4" t="s">
        <v>42</v>
      </c>
      <c r="W32" s="4" t="s">
        <v>6</v>
      </c>
      <c r="X32" s="5">
        <f t="shared" si="1"/>
        <v>0</v>
      </c>
      <c r="Y32" s="5">
        <f t="shared" si="2"/>
        <v>0</v>
      </c>
      <c r="Z32" s="5">
        <f t="shared" si="3"/>
        <v>0</v>
      </c>
      <c r="AA32" s="5">
        <f t="shared" si="4"/>
        <v>0</v>
      </c>
      <c r="AB32" s="5">
        <f t="shared" si="5"/>
        <v>0</v>
      </c>
      <c r="AC32" s="5">
        <f t="shared" si="6"/>
        <v>0</v>
      </c>
      <c r="AD32" s="5">
        <f t="shared" si="7"/>
        <v>0</v>
      </c>
      <c r="AE32" s="5">
        <f t="shared" si="8"/>
        <v>0</v>
      </c>
      <c r="AF32" s="5">
        <f t="shared" si="9"/>
        <v>0</v>
      </c>
      <c r="AG32" s="5">
        <f t="shared" si="10"/>
        <v>0</v>
      </c>
      <c r="AH32" s="5">
        <f t="shared" si="11"/>
        <v>0</v>
      </c>
      <c r="AI32" s="5">
        <f t="shared" si="12"/>
        <v>0</v>
      </c>
      <c r="AJ32" s="5">
        <f t="shared" si="13"/>
        <v>0</v>
      </c>
      <c r="AK32" s="5">
        <f t="shared" si="14"/>
        <v>0</v>
      </c>
      <c r="AL32" s="5">
        <f t="shared" si="15"/>
        <v>0</v>
      </c>
      <c r="AM32" s="6">
        <f t="shared" si="16"/>
        <v>0</v>
      </c>
    </row>
    <row r="33" spans="1:39" x14ac:dyDescent="0.25">
      <c r="A33" s="4" t="s">
        <v>43</v>
      </c>
      <c r="B33" s="4" t="s">
        <v>44</v>
      </c>
      <c r="C33" s="4" t="s">
        <v>6</v>
      </c>
      <c r="D33" s="5"/>
      <c r="E33" s="6"/>
      <c r="F33" s="6"/>
      <c r="G33" s="6"/>
      <c r="H33" s="6"/>
      <c r="I33" s="6"/>
      <c r="J33" s="6"/>
      <c r="K33" s="6"/>
      <c r="L33" s="6"/>
      <c r="M33" s="6">
        <v>13.5</v>
      </c>
      <c r="N33" s="6"/>
      <c r="O33" s="3"/>
      <c r="P33" s="3"/>
      <c r="Q33" s="3"/>
      <c r="R33" s="3"/>
      <c r="S33" s="6">
        <f t="shared" si="0"/>
        <v>13.5</v>
      </c>
      <c r="T33">
        <v>1</v>
      </c>
      <c r="U33" s="4" t="s">
        <v>43</v>
      </c>
      <c r="V33" s="4" t="s">
        <v>44</v>
      </c>
      <c r="W33" s="4" t="s">
        <v>6</v>
      </c>
      <c r="X33" s="5">
        <f t="shared" si="1"/>
        <v>0</v>
      </c>
      <c r="Y33" s="5">
        <f t="shared" si="2"/>
        <v>0</v>
      </c>
      <c r="Z33" s="5">
        <f t="shared" si="3"/>
        <v>0</v>
      </c>
      <c r="AA33" s="5">
        <f t="shared" si="4"/>
        <v>0</v>
      </c>
      <c r="AB33" s="5">
        <f t="shared" si="5"/>
        <v>0</v>
      </c>
      <c r="AC33" s="5">
        <f t="shared" si="6"/>
        <v>0</v>
      </c>
      <c r="AD33" s="5">
        <f t="shared" si="7"/>
        <v>0</v>
      </c>
      <c r="AE33" s="5">
        <f t="shared" si="8"/>
        <v>0</v>
      </c>
      <c r="AF33" s="5">
        <f t="shared" si="9"/>
        <v>0</v>
      </c>
      <c r="AG33" s="5">
        <f t="shared" si="10"/>
        <v>0</v>
      </c>
      <c r="AH33" s="5">
        <f t="shared" si="11"/>
        <v>0</v>
      </c>
      <c r="AI33" s="5">
        <f t="shared" si="12"/>
        <v>0</v>
      </c>
      <c r="AJ33" s="5">
        <f t="shared" si="13"/>
        <v>0</v>
      </c>
      <c r="AK33" s="5">
        <f t="shared" si="14"/>
        <v>0</v>
      </c>
      <c r="AL33" s="5">
        <f t="shared" si="15"/>
        <v>0</v>
      </c>
      <c r="AM33" s="6">
        <f t="shared" si="16"/>
        <v>0</v>
      </c>
    </row>
    <row r="34" spans="1:39" x14ac:dyDescent="0.25">
      <c r="A34" s="4" t="s">
        <v>45</v>
      </c>
      <c r="B34" s="4" t="s">
        <v>46</v>
      </c>
      <c r="C34" s="4" t="s">
        <v>6</v>
      </c>
      <c r="D34" s="5"/>
      <c r="E34" s="6"/>
      <c r="F34" s="6"/>
      <c r="G34" s="6"/>
      <c r="H34" s="6"/>
      <c r="I34" s="6"/>
      <c r="J34" s="6"/>
      <c r="K34" s="6"/>
      <c r="L34" s="6"/>
      <c r="M34" s="6">
        <v>16.5</v>
      </c>
      <c r="N34" s="6"/>
      <c r="O34" s="3"/>
      <c r="P34" s="3"/>
      <c r="Q34" s="3"/>
      <c r="R34" s="3"/>
      <c r="S34" s="6">
        <f t="shared" si="0"/>
        <v>16.5</v>
      </c>
      <c r="T34">
        <v>1</v>
      </c>
      <c r="U34" s="4" t="s">
        <v>45</v>
      </c>
      <c r="V34" s="4" t="s">
        <v>46</v>
      </c>
      <c r="W34" s="4" t="s">
        <v>6</v>
      </c>
      <c r="X34" s="5">
        <f t="shared" si="1"/>
        <v>0</v>
      </c>
      <c r="Y34" s="5">
        <f t="shared" si="2"/>
        <v>0</v>
      </c>
      <c r="Z34" s="5">
        <f t="shared" si="3"/>
        <v>0</v>
      </c>
      <c r="AA34" s="5">
        <f t="shared" si="4"/>
        <v>0</v>
      </c>
      <c r="AB34" s="5">
        <f t="shared" si="5"/>
        <v>0</v>
      </c>
      <c r="AC34" s="5">
        <f t="shared" si="6"/>
        <v>0</v>
      </c>
      <c r="AD34" s="5">
        <f t="shared" si="7"/>
        <v>0</v>
      </c>
      <c r="AE34" s="5">
        <f t="shared" si="8"/>
        <v>0</v>
      </c>
      <c r="AF34" s="5">
        <f t="shared" si="9"/>
        <v>0</v>
      </c>
      <c r="AG34" s="5">
        <f t="shared" si="10"/>
        <v>0</v>
      </c>
      <c r="AH34" s="5">
        <f t="shared" si="11"/>
        <v>0</v>
      </c>
      <c r="AI34" s="5">
        <f t="shared" si="12"/>
        <v>0</v>
      </c>
      <c r="AJ34" s="5">
        <f t="shared" si="13"/>
        <v>0</v>
      </c>
      <c r="AK34" s="5">
        <f t="shared" si="14"/>
        <v>0</v>
      </c>
      <c r="AL34" s="5">
        <f t="shared" si="15"/>
        <v>0</v>
      </c>
      <c r="AM34" s="6">
        <f t="shared" si="16"/>
        <v>0</v>
      </c>
    </row>
    <row r="35" spans="1:39" x14ac:dyDescent="0.25">
      <c r="A35" s="4" t="s">
        <v>47</v>
      </c>
      <c r="B35" s="4" t="s">
        <v>48</v>
      </c>
      <c r="C35" s="4" t="s">
        <v>6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3"/>
      <c r="P35" s="3"/>
      <c r="Q35" s="3"/>
      <c r="R35" s="3"/>
      <c r="S35" s="6">
        <f t="shared" si="0"/>
        <v>0</v>
      </c>
      <c r="T35">
        <v>1</v>
      </c>
      <c r="U35" s="4" t="s">
        <v>47</v>
      </c>
      <c r="V35" s="4" t="s">
        <v>48</v>
      </c>
      <c r="W35" s="4" t="s">
        <v>6</v>
      </c>
      <c r="X35" s="5">
        <f t="shared" si="1"/>
        <v>0</v>
      </c>
      <c r="Y35" s="5">
        <f t="shared" si="2"/>
        <v>0</v>
      </c>
      <c r="Z35" s="5">
        <f t="shared" si="3"/>
        <v>0</v>
      </c>
      <c r="AA35" s="5">
        <f t="shared" si="4"/>
        <v>0</v>
      </c>
      <c r="AB35" s="5">
        <f t="shared" si="5"/>
        <v>0</v>
      </c>
      <c r="AC35" s="5">
        <f t="shared" si="6"/>
        <v>0</v>
      </c>
      <c r="AD35" s="5">
        <f t="shared" si="7"/>
        <v>0</v>
      </c>
      <c r="AE35" s="5">
        <f t="shared" si="8"/>
        <v>0</v>
      </c>
      <c r="AF35" s="5">
        <f t="shared" si="9"/>
        <v>0</v>
      </c>
      <c r="AG35" s="5">
        <f t="shared" si="10"/>
        <v>0</v>
      </c>
      <c r="AH35" s="5">
        <f t="shared" si="11"/>
        <v>0</v>
      </c>
      <c r="AI35" s="5">
        <f t="shared" si="12"/>
        <v>0</v>
      </c>
      <c r="AJ35" s="5">
        <f t="shared" si="13"/>
        <v>0</v>
      </c>
      <c r="AK35" s="5">
        <f t="shared" si="14"/>
        <v>0</v>
      </c>
      <c r="AL35" s="5">
        <f t="shared" si="15"/>
        <v>0</v>
      </c>
      <c r="AM35" s="6">
        <f t="shared" si="16"/>
        <v>0</v>
      </c>
    </row>
    <row r="36" spans="1:39" x14ac:dyDescent="0.25">
      <c r="A36" s="4" t="s">
        <v>49</v>
      </c>
      <c r="B36" s="4" t="s">
        <v>50</v>
      </c>
      <c r="C36" s="4" t="s">
        <v>6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3"/>
      <c r="P36" s="3"/>
      <c r="Q36" s="3"/>
      <c r="R36" s="3"/>
      <c r="S36" s="6">
        <f t="shared" si="0"/>
        <v>0</v>
      </c>
      <c r="T36">
        <v>1</v>
      </c>
      <c r="U36" s="4" t="s">
        <v>49</v>
      </c>
      <c r="V36" s="4" t="s">
        <v>50</v>
      </c>
      <c r="W36" s="4" t="s">
        <v>6</v>
      </c>
      <c r="X36" s="5">
        <f t="shared" si="1"/>
        <v>0</v>
      </c>
      <c r="Y36" s="5">
        <f t="shared" si="2"/>
        <v>0</v>
      </c>
      <c r="Z36" s="5">
        <f t="shared" si="3"/>
        <v>0</v>
      </c>
      <c r="AA36" s="5">
        <f t="shared" si="4"/>
        <v>0</v>
      </c>
      <c r="AB36" s="5">
        <f t="shared" si="5"/>
        <v>0</v>
      </c>
      <c r="AC36" s="5">
        <f t="shared" si="6"/>
        <v>0</v>
      </c>
      <c r="AD36" s="5">
        <f t="shared" si="7"/>
        <v>0</v>
      </c>
      <c r="AE36" s="5">
        <f t="shared" si="8"/>
        <v>0</v>
      </c>
      <c r="AF36" s="5">
        <f t="shared" si="9"/>
        <v>0</v>
      </c>
      <c r="AG36" s="5">
        <f t="shared" si="10"/>
        <v>0</v>
      </c>
      <c r="AH36" s="5">
        <f t="shared" si="11"/>
        <v>0</v>
      </c>
      <c r="AI36" s="5">
        <f t="shared" si="12"/>
        <v>0</v>
      </c>
      <c r="AJ36" s="5">
        <f t="shared" si="13"/>
        <v>0</v>
      </c>
      <c r="AK36" s="5">
        <f t="shared" si="14"/>
        <v>0</v>
      </c>
      <c r="AL36" s="5">
        <f t="shared" si="15"/>
        <v>0</v>
      </c>
      <c r="AM36" s="6">
        <f t="shared" si="16"/>
        <v>0</v>
      </c>
    </row>
    <row r="37" spans="1:39" x14ac:dyDescent="0.25">
      <c r="A37" s="4" t="s">
        <v>51</v>
      </c>
      <c r="B37" s="4" t="s">
        <v>52</v>
      </c>
      <c r="C37" s="4" t="s">
        <v>6</v>
      </c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3"/>
      <c r="P37" s="3"/>
      <c r="Q37" s="3"/>
      <c r="R37" s="3"/>
      <c r="S37" s="6">
        <f t="shared" si="0"/>
        <v>0</v>
      </c>
      <c r="T37">
        <v>1</v>
      </c>
      <c r="U37" s="4" t="s">
        <v>51</v>
      </c>
      <c r="V37" s="4" t="s">
        <v>52</v>
      </c>
      <c r="W37" s="4" t="s">
        <v>6</v>
      </c>
      <c r="X37" s="5">
        <f t="shared" si="1"/>
        <v>0</v>
      </c>
      <c r="Y37" s="5">
        <f t="shared" si="2"/>
        <v>0</v>
      </c>
      <c r="Z37" s="5">
        <f t="shared" si="3"/>
        <v>0</v>
      </c>
      <c r="AA37" s="5">
        <f t="shared" si="4"/>
        <v>0</v>
      </c>
      <c r="AB37" s="5">
        <f t="shared" si="5"/>
        <v>0</v>
      </c>
      <c r="AC37" s="5">
        <f t="shared" si="6"/>
        <v>0</v>
      </c>
      <c r="AD37" s="5">
        <f t="shared" si="7"/>
        <v>0</v>
      </c>
      <c r="AE37" s="5">
        <f t="shared" si="8"/>
        <v>0</v>
      </c>
      <c r="AF37" s="5">
        <f t="shared" si="9"/>
        <v>0</v>
      </c>
      <c r="AG37" s="5">
        <f t="shared" si="10"/>
        <v>0</v>
      </c>
      <c r="AH37" s="5">
        <f t="shared" si="11"/>
        <v>0</v>
      </c>
      <c r="AI37" s="5">
        <f t="shared" si="12"/>
        <v>0</v>
      </c>
      <c r="AJ37" s="5">
        <f t="shared" si="13"/>
        <v>0</v>
      </c>
      <c r="AK37" s="5">
        <f t="shared" si="14"/>
        <v>0</v>
      </c>
      <c r="AL37" s="5">
        <f t="shared" si="15"/>
        <v>0</v>
      </c>
      <c r="AM37" s="6">
        <f t="shared" si="16"/>
        <v>0</v>
      </c>
    </row>
    <row r="38" spans="1:39" x14ac:dyDescent="0.25">
      <c r="A38" s="4" t="s">
        <v>53</v>
      </c>
      <c r="B38" s="4" t="s">
        <v>54</v>
      </c>
      <c r="C38" s="4" t="s">
        <v>6</v>
      </c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3"/>
      <c r="P38" s="3"/>
      <c r="Q38" s="3"/>
      <c r="R38" s="3"/>
      <c r="S38" s="6">
        <f t="shared" si="0"/>
        <v>0</v>
      </c>
      <c r="T38">
        <v>1</v>
      </c>
      <c r="U38" s="4" t="s">
        <v>53</v>
      </c>
      <c r="V38" s="4" t="s">
        <v>54</v>
      </c>
      <c r="W38" s="4" t="s">
        <v>6</v>
      </c>
      <c r="X38" s="5">
        <f t="shared" si="1"/>
        <v>0</v>
      </c>
      <c r="Y38" s="5">
        <f t="shared" si="2"/>
        <v>0</v>
      </c>
      <c r="Z38" s="5">
        <f t="shared" si="3"/>
        <v>0</v>
      </c>
      <c r="AA38" s="5">
        <f t="shared" si="4"/>
        <v>0</v>
      </c>
      <c r="AB38" s="5">
        <f t="shared" si="5"/>
        <v>0</v>
      </c>
      <c r="AC38" s="5">
        <f t="shared" si="6"/>
        <v>0</v>
      </c>
      <c r="AD38" s="5">
        <f t="shared" si="7"/>
        <v>0</v>
      </c>
      <c r="AE38" s="5">
        <f t="shared" si="8"/>
        <v>0</v>
      </c>
      <c r="AF38" s="5">
        <f t="shared" si="9"/>
        <v>0</v>
      </c>
      <c r="AG38" s="5">
        <f t="shared" si="10"/>
        <v>0</v>
      </c>
      <c r="AH38" s="5">
        <f t="shared" si="11"/>
        <v>0</v>
      </c>
      <c r="AI38" s="5">
        <f t="shared" si="12"/>
        <v>0</v>
      </c>
      <c r="AJ38" s="5">
        <f t="shared" si="13"/>
        <v>0</v>
      </c>
      <c r="AK38" s="5">
        <f t="shared" si="14"/>
        <v>0</v>
      </c>
      <c r="AL38" s="5">
        <f t="shared" si="15"/>
        <v>0</v>
      </c>
      <c r="AM38" s="6">
        <f t="shared" si="16"/>
        <v>0</v>
      </c>
    </row>
    <row r="39" spans="1:39" x14ac:dyDescent="0.25">
      <c r="A39" s="4" t="s">
        <v>55</v>
      </c>
      <c r="B39" s="4" t="s">
        <v>56</v>
      </c>
      <c r="C39" s="4" t="s">
        <v>6</v>
      </c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3"/>
      <c r="P39" s="3"/>
      <c r="Q39" s="3"/>
      <c r="R39" s="3"/>
      <c r="S39" s="6">
        <f t="shared" si="0"/>
        <v>0</v>
      </c>
      <c r="T39">
        <v>1</v>
      </c>
      <c r="U39" s="4" t="s">
        <v>55</v>
      </c>
      <c r="V39" s="4" t="s">
        <v>56</v>
      </c>
      <c r="W39" s="4" t="s">
        <v>6</v>
      </c>
      <c r="X39" s="5">
        <f t="shared" si="1"/>
        <v>0</v>
      </c>
      <c r="Y39" s="5">
        <f t="shared" si="2"/>
        <v>0</v>
      </c>
      <c r="Z39" s="5">
        <f t="shared" si="3"/>
        <v>0</v>
      </c>
      <c r="AA39" s="5">
        <f t="shared" si="4"/>
        <v>0</v>
      </c>
      <c r="AB39" s="5">
        <f t="shared" si="5"/>
        <v>0</v>
      </c>
      <c r="AC39" s="5">
        <f t="shared" si="6"/>
        <v>0</v>
      </c>
      <c r="AD39" s="5">
        <f t="shared" si="7"/>
        <v>0</v>
      </c>
      <c r="AE39" s="5">
        <f t="shared" si="8"/>
        <v>0</v>
      </c>
      <c r="AF39" s="5">
        <f t="shared" si="9"/>
        <v>0</v>
      </c>
      <c r="AG39" s="5">
        <f t="shared" si="10"/>
        <v>0</v>
      </c>
      <c r="AH39" s="5">
        <f t="shared" si="11"/>
        <v>0</v>
      </c>
      <c r="AI39" s="5">
        <f t="shared" si="12"/>
        <v>0</v>
      </c>
      <c r="AJ39" s="5">
        <f t="shared" si="13"/>
        <v>0</v>
      </c>
      <c r="AK39" s="5">
        <f t="shared" si="14"/>
        <v>0</v>
      </c>
      <c r="AL39" s="5">
        <f t="shared" si="15"/>
        <v>0</v>
      </c>
      <c r="AM39" s="6">
        <f t="shared" si="16"/>
        <v>0</v>
      </c>
    </row>
    <row r="40" spans="1:39" x14ac:dyDescent="0.25">
      <c r="A40" s="4" t="s">
        <v>57</v>
      </c>
      <c r="B40" s="4" t="s">
        <v>58</v>
      </c>
      <c r="C40" s="4" t="s">
        <v>6</v>
      </c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3"/>
      <c r="P40" s="3"/>
      <c r="Q40" s="3"/>
      <c r="R40" s="3"/>
      <c r="S40" s="6">
        <f t="shared" si="0"/>
        <v>0</v>
      </c>
      <c r="T40">
        <v>1</v>
      </c>
      <c r="U40" s="4" t="s">
        <v>57</v>
      </c>
      <c r="V40" s="4" t="s">
        <v>58</v>
      </c>
      <c r="W40" s="4" t="s">
        <v>6</v>
      </c>
      <c r="X40" s="5">
        <f t="shared" si="1"/>
        <v>0</v>
      </c>
      <c r="Y40" s="5">
        <f t="shared" si="2"/>
        <v>0</v>
      </c>
      <c r="Z40" s="5">
        <f t="shared" si="3"/>
        <v>0</v>
      </c>
      <c r="AA40" s="5">
        <f t="shared" si="4"/>
        <v>0</v>
      </c>
      <c r="AB40" s="5">
        <f t="shared" si="5"/>
        <v>0</v>
      </c>
      <c r="AC40" s="5">
        <f t="shared" si="6"/>
        <v>0</v>
      </c>
      <c r="AD40" s="5">
        <f t="shared" si="7"/>
        <v>0</v>
      </c>
      <c r="AE40" s="5">
        <f t="shared" si="8"/>
        <v>0</v>
      </c>
      <c r="AF40" s="5">
        <f t="shared" si="9"/>
        <v>0</v>
      </c>
      <c r="AG40" s="5">
        <f t="shared" si="10"/>
        <v>0</v>
      </c>
      <c r="AH40" s="5">
        <f t="shared" si="11"/>
        <v>0</v>
      </c>
      <c r="AI40" s="5">
        <f t="shared" si="12"/>
        <v>0</v>
      </c>
      <c r="AJ40" s="5">
        <f t="shared" si="13"/>
        <v>0</v>
      </c>
      <c r="AK40" s="5">
        <f t="shared" si="14"/>
        <v>0</v>
      </c>
      <c r="AL40" s="5">
        <f t="shared" si="15"/>
        <v>0</v>
      </c>
      <c r="AM40" s="6">
        <f t="shared" si="16"/>
        <v>0</v>
      </c>
    </row>
    <row r="41" spans="1:39" x14ac:dyDescent="0.25">
      <c r="A41" s="4" t="s">
        <v>59</v>
      </c>
      <c r="B41" s="4" t="s">
        <v>60</v>
      </c>
      <c r="C41" s="4" t="s">
        <v>6</v>
      </c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3"/>
      <c r="P41" s="3"/>
      <c r="Q41" s="3"/>
      <c r="R41" s="3"/>
      <c r="S41" s="6">
        <f t="shared" si="0"/>
        <v>0</v>
      </c>
      <c r="T41">
        <v>1</v>
      </c>
      <c r="U41" s="4" t="s">
        <v>59</v>
      </c>
      <c r="V41" s="4" t="s">
        <v>60</v>
      </c>
      <c r="W41" s="4" t="s">
        <v>6</v>
      </c>
      <c r="X41" s="5">
        <f t="shared" si="1"/>
        <v>0</v>
      </c>
      <c r="Y41" s="5">
        <f t="shared" si="2"/>
        <v>0</v>
      </c>
      <c r="Z41" s="5">
        <f t="shared" si="3"/>
        <v>0</v>
      </c>
      <c r="AA41" s="5">
        <f t="shared" si="4"/>
        <v>0</v>
      </c>
      <c r="AB41" s="5">
        <f t="shared" si="5"/>
        <v>0</v>
      </c>
      <c r="AC41" s="5">
        <f t="shared" si="6"/>
        <v>0</v>
      </c>
      <c r="AD41" s="5">
        <f t="shared" si="7"/>
        <v>0</v>
      </c>
      <c r="AE41" s="5">
        <f t="shared" si="8"/>
        <v>0</v>
      </c>
      <c r="AF41" s="5">
        <f t="shared" si="9"/>
        <v>0</v>
      </c>
      <c r="AG41" s="5">
        <f t="shared" si="10"/>
        <v>0</v>
      </c>
      <c r="AH41" s="5">
        <f t="shared" si="11"/>
        <v>0</v>
      </c>
      <c r="AI41" s="5">
        <f t="shared" si="12"/>
        <v>0</v>
      </c>
      <c r="AJ41" s="5">
        <f t="shared" si="13"/>
        <v>0</v>
      </c>
      <c r="AK41" s="5">
        <f t="shared" si="14"/>
        <v>0</v>
      </c>
      <c r="AL41" s="5">
        <f t="shared" si="15"/>
        <v>0</v>
      </c>
      <c r="AM41" s="6">
        <f t="shared" si="16"/>
        <v>0</v>
      </c>
    </row>
    <row r="42" spans="1:39" x14ac:dyDescent="0.25">
      <c r="A42" s="4" t="s">
        <v>61</v>
      </c>
      <c r="B42" s="4" t="s">
        <v>62</v>
      </c>
      <c r="C42" s="4" t="s">
        <v>6</v>
      </c>
      <c r="D42" s="5"/>
      <c r="E42" s="6"/>
      <c r="F42" s="6"/>
      <c r="G42" s="6"/>
      <c r="H42" s="6"/>
      <c r="I42" s="6"/>
      <c r="J42" s="6"/>
      <c r="K42" s="6"/>
      <c r="L42" s="6"/>
      <c r="M42" s="6">
        <v>18</v>
      </c>
      <c r="N42" s="6"/>
      <c r="O42" s="3"/>
      <c r="P42" s="3"/>
      <c r="Q42" s="3"/>
      <c r="R42" s="3"/>
      <c r="S42" s="6">
        <f t="shared" si="0"/>
        <v>18</v>
      </c>
      <c r="T42">
        <v>1</v>
      </c>
      <c r="U42" s="4" t="s">
        <v>61</v>
      </c>
      <c r="V42" s="4" t="s">
        <v>62</v>
      </c>
      <c r="W42" s="4" t="s">
        <v>6</v>
      </c>
      <c r="X42" s="5">
        <f t="shared" si="1"/>
        <v>0</v>
      </c>
      <c r="Y42" s="5">
        <f t="shared" si="2"/>
        <v>0</v>
      </c>
      <c r="Z42" s="5">
        <f t="shared" si="3"/>
        <v>0</v>
      </c>
      <c r="AA42" s="5">
        <f t="shared" si="4"/>
        <v>0</v>
      </c>
      <c r="AB42" s="5">
        <f t="shared" si="5"/>
        <v>0</v>
      </c>
      <c r="AC42" s="5">
        <f t="shared" si="6"/>
        <v>0</v>
      </c>
      <c r="AD42" s="5">
        <f t="shared" si="7"/>
        <v>0</v>
      </c>
      <c r="AE42" s="5">
        <f t="shared" si="8"/>
        <v>0</v>
      </c>
      <c r="AF42" s="5">
        <f t="shared" si="9"/>
        <v>0</v>
      </c>
      <c r="AG42" s="5">
        <f t="shared" si="10"/>
        <v>0</v>
      </c>
      <c r="AH42" s="5">
        <f t="shared" si="11"/>
        <v>0</v>
      </c>
      <c r="AI42" s="5">
        <f t="shared" si="12"/>
        <v>0</v>
      </c>
      <c r="AJ42" s="5">
        <f t="shared" si="13"/>
        <v>0</v>
      </c>
      <c r="AK42" s="5">
        <f t="shared" si="14"/>
        <v>0</v>
      </c>
      <c r="AL42" s="5">
        <f t="shared" si="15"/>
        <v>0</v>
      </c>
      <c r="AM42" s="6">
        <f t="shared" si="16"/>
        <v>0</v>
      </c>
    </row>
    <row r="43" spans="1:39" x14ac:dyDescent="0.25">
      <c r="A43" s="4" t="s">
        <v>63</v>
      </c>
      <c r="B43" s="4" t="s">
        <v>64</v>
      </c>
      <c r="C43" s="4" t="s">
        <v>6</v>
      </c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3"/>
      <c r="P43" s="3"/>
      <c r="Q43" s="3"/>
      <c r="R43" s="3"/>
      <c r="S43" s="6">
        <f t="shared" si="0"/>
        <v>0</v>
      </c>
      <c r="T43">
        <v>1</v>
      </c>
      <c r="U43" s="4" t="s">
        <v>63</v>
      </c>
      <c r="V43" s="4" t="s">
        <v>64</v>
      </c>
      <c r="W43" s="4" t="s">
        <v>6</v>
      </c>
      <c r="X43" s="5">
        <f t="shared" si="1"/>
        <v>0</v>
      </c>
      <c r="Y43" s="5">
        <f t="shared" si="2"/>
        <v>0</v>
      </c>
      <c r="Z43" s="5">
        <f t="shared" si="3"/>
        <v>0</v>
      </c>
      <c r="AA43" s="5">
        <f t="shared" si="4"/>
        <v>0</v>
      </c>
      <c r="AB43" s="5">
        <f t="shared" si="5"/>
        <v>0</v>
      </c>
      <c r="AC43" s="5">
        <f t="shared" si="6"/>
        <v>0</v>
      </c>
      <c r="AD43" s="5">
        <f t="shared" si="7"/>
        <v>0</v>
      </c>
      <c r="AE43" s="5">
        <f t="shared" si="8"/>
        <v>0</v>
      </c>
      <c r="AF43" s="5">
        <f t="shared" si="9"/>
        <v>0</v>
      </c>
      <c r="AG43" s="5">
        <f t="shared" si="10"/>
        <v>0</v>
      </c>
      <c r="AH43" s="5">
        <f t="shared" si="11"/>
        <v>0</v>
      </c>
      <c r="AI43" s="5">
        <f t="shared" si="12"/>
        <v>0</v>
      </c>
      <c r="AJ43" s="5">
        <f t="shared" si="13"/>
        <v>0</v>
      </c>
      <c r="AK43" s="5">
        <f t="shared" si="14"/>
        <v>0</v>
      </c>
      <c r="AL43" s="5">
        <f t="shared" si="15"/>
        <v>0</v>
      </c>
      <c r="AM43" s="6">
        <f t="shared" si="16"/>
        <v>0</v>
      </c>
    </row>
    <row r="44" spans="1:39" x14ac:dyDescent="0.25">
      <c r="A44" s="4" t="s">
        <v>65</v>
      </c>
      <c r="B44" s="4" t="s">
        <v>66</v>
      </c>
      <c r="C44" s="4" t="s">
        <v>6</v>
      </c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3"/>
      <c r="P44" s="3"/>
      <c r="Q44" s="3"/>
      <c r="R44" s="3"/>
      <c r="S44" s="6">
        <f t="shared" si="0"/>
        <v>0</v>
      </c>
      <c r="T44">
        <v>1</v>
      </c>
      <c r="U44" s="4" t="s">
        <v>65</v>
      </c>
      <c r="V44" s="4" t="s">
        <v>66</v>
      </c>
      <c r="W44" s="4" t="s">
        <v>6</v>
      </c>
      <c r="X44" s="5">
        <f t="shared" si="1"/>
        <v>0</v>
      </c>
      <c r="Y44" s="5">
        <f t="shared" si="2"/>
        <v>0</v>
      </c>
      <c r="Z44" s="5">
        <f t="shared" si="3"/>
        <v>0</v>
      </c>
      <c r="AA44" s="5">
        <f t="shared" si="4"/>
        <v>0</v>
      </c>
      <c r="AB44" s="5">
        <f t="shared" si="5"/>
        <v>0</v>
      </c>
      <c r="AC44" s="5">
        <f t="shared" si="6"/>
        <v>0</v>
      </c>
      <c r="AD44" s="5">
        <f t="shared" si="7"/>
        <v>0</v>
      </c>
      <c r="AE44" s="5">
        <f t="shared" si="8"/>
        <v>0</v>
      </c>
      <c r="AF44" s="5">
        <f t="shared" si="9"/>
        <v>0</v>
      </c>
      <c r="AG44" s="5">
        <f t="shared" si="10"/>
        <v>0</v>
      </c>
      <c r="AH44" s="5">
        <f t="shared" si="11"/>
        <v>0</v>
      </c>
      <c r="AI44" s="5">
        <f t="shared" si="12"/>
        <v>0</v>
      </c>
      <c r="AJ44" s="5">
        <f t="shared" si="13"/>
        <v>0</v>
      </c>
      <c r="AK44" s="5">
        <f t="shared" si="14"/>
        <v>0</v>
      </c>
      <c r="AL44" s="5">
        <f t="shared" si="15"/>
        <v>0</v>
      </c>
      <c r="AM44" s="6">
        <f t="shared" si="16"/>
        <v>0</v>
      </c>
    </row>
    <row r="45" spans="1:39" x14ac:dyDescent="0.25">
      <c r="A45" s="4" t="s">
        <v>67</v>
      </c>
      <c r="B45" s="4" t="s">
        <v>68</v>
      </c>
      <c r="C45" s="4" t="s">
        <v>6</v>
      </c>
      <c r="D45" s="5"/>
      <c r="E45" s="6"/>
      <c r="F45" s="6"/>
      <c r="G45" s="6"/>
      <c r="H45" s="6"/>
      <c r="I45" s="6"/>
      <c r="J45" s="6"/>
      <c r="K45" s="6"/>
      <c r="L45" s="6"/>
      <c r="M45" s="6">
        <v>15</v>
      </c>
      <c r="N45" s="6"/>
      <c r="O45" s="3"/>
      <c r="P45" s="3"/>
      <c r="Q45" s="3"/>
      <c r="R45" s="3"/>
      <c r="S45" s="6">
        <f t="shared" si="0"/>
        <v>15</v>
      </c>
      <c r="T45">
        <v>1</v>
      </c>
      <c r="U45" s="4" t="s">
        <v>67</v>
      </c>
      <c r="V45" s="4" t="s">
        <v>68</v>
      </c>
      <c r="W45" s="4" t="s">
        <v>6</v>
      </c>
      <c r="X45" s="5">
        <f t="shared" si="1"/>
        <v>0</v>
      </c>
      <c r="Y45" s="5">
        <f t="shared" si="2"/>
        <v>0</v>
      </c>
      <c r="Z45" s="5">
        <f t="shared" si="3"/>
        <v>0</v>
      </c>
      <c r="AA45" s="5">
        <f t="shared" si="4"/>
        <v>0</v>
      </c>
      <c r="AB45" s="5">
        <f t="shared" si="5"/>
        <v>0</v>
      </c>
      <c r="AC45" s="5">
        <f t="shared" si="6"/>
        <v>0</v>
      </c>
      <c r="AD45" s="5">
        <f t="shared" si="7"/>
        <v>0</v>
      </c>
      <c r="AE45" s="5">
        <f t="shared" si="8"/>
        <v>0</v>
      </c>
      <c r="AF45" s="5">
        <f t="shared" si="9"/>
        <v>0</v>
      </c>
      <c r="AG45" s="5">
        <f t="shared" si="10"/>
        <v>0</v>
      </c>
      <c r="AH45" s="5">
        <f t="shared" si="11"/>
        <v>0</v>
      </c>
      <c r="AI45" s="5">
        <f t="shared" si="12"/>
        <v>0</v>
      </c>
      <c r="AJ45" s="5">
        <f t="shared" si="13"/>
        <v>0</v>
      </c>
      <c r="AK45" s="5">
        <f t="shared" si="14"/>
        <v>0</v>
      </c>
      <c r="AL45" s="5">
        <f t="shared" si="15"/>
        <v>0</v>
      </c>
      <c r="AM45" s="6">
        <f t="shared" si="16"/>
        <v>0</v>
      </c>
    </row>
    <row r="46" spans="1:39" x14ac:dyDescent="0.25">
      <c r="A46" s="4" t="s">
        <v>69</v>
      </c>
      <c r="B46" s="4" t="s">
        <v>70</v>
      </c>
      <c r="C46" s="4" t="s">
        <v>6</v>
      </c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3"/>
      <c r="P46" s="3"/>
      <c r="Q46" s="3"/>
      <c r="R46" s="3"/>
      <c r="S46" s="6">
        <f t="shared" si="0"/>
        <v>0</v>
      </c>
      <c r="T46">
        <v>1</v>
      </c>
      <c r="U46" s="4" t="s">
        <v>69</v>
      </c>
      <c r="V46" s="4" t="s">
        <v>70</v>
      </c>
      <c r="W46" s="4" t="s">
        <v>6</v>
      </c>
      <c r="X46" s="5">
        <f t="shared" si="1"/>
        <v>0</v>
      </c>
      <c r="Y46" s="5">
        <f t="shared" si="2"/>
        <v>0</v>
      </c>
      <c r="Z46" s="5">
        <f t="shared" si="3"/>
        <v>0</v>
      </c>
      <c r="AA46" s="5">
        <f t="shared" si="4"/>
        <v>0</v>
      </c>
      <c r="AB46" s="5">
        <f t="shared" si="5"/>
        <v>0</v>
      </c>
      <c r="AC46" s="5">
        <f t="shared" si="6"/>
        <v>0</v>
      </c>
      <c r="AD46" s="5">
        <f t="shared" si="7"/>
        <v>0</v>
      </c>
      <c r="AE46" s="5">
        <f t="shared" si="8"/>
        <v>0</v>
      </c>
      <c r="AF46" s="5">
        <f t="shared" si="9"/>
        <v>0</v>
      </c>
      <c r="AG46" s="5">
        <f t="shared" si="10"/>
        <v>0</v>
      </c>
      <c r="AH46" s="5">
        <f t="shared" si="11"/>
        <v>0</v>
      </c>
      <c r="AI46" s="5">
        <f t="shared" si="12"/>
        <v>0</v>
      </c>
      <c r="AJ46" s="5">
        <f t="shared" si="13"/>
        <v>0</v>
      </c>
      <c r="AK46" s="5">
        <f t="shared" si="14"/>
        <v>0</v>
      </c>
      <c r="AL46" s="5">
        <f t="shared" si="15"/>
        <v>0</v>
      </c>
      <c r="AM46" s="6">
        <f t="shared" si="16"/>
        <v>0</v>
      </c>
    </row>
    <row r="47" spans="1:39" x14ac:dyDescent="0.25">
      <c r="A47" s="4" t="s">
        <v>71</v>
      </c>
      <c r="B47" s="4" t="s">
        <v>72</v>
      </c>
      <c r="C47" s="4" t="s">
        <v>6</v>
      </c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3"/>
      <c r="P47" s="3"/>
      <c r="Q47" s="3"/>
      <c r="R47" s="3"/>
      <c r="S47" s="6">
        <f t="shared" si="0"/>
        <v>0</v>
      </c>
      <c r="T47">
        <v>1</v>
      </c>
      <c r="U47" s="4" t="s">
        <v>71</v>
      </c>
      <c r="V47" s="4" t="s">
        <v>72</v>
      </c>
      <c r="W47" s="4" t="s">
        <v>6</v>
      </c>
      <c r="X47" s="5">
        <f t="shared" si="1"/>
        <v>0</v>
      </c>
      <c r="Y47" s="5">
        <f t="shared" si="2"/>
        <v>0</v>
      </c>
      <c r="Z47" s="5">
        <f t="shared" si="3"/>
        <v>0</v>
      </c>
      <c r="AA47" s="5">
        <f t="shared" si="4"/>
        <v>0</v>
      </c>
      <c r="AB47" s="5">
        <f t="shared" si="5"/>
        <v>0</v>
      </c>
      <c r="AC47" s="5">
        <f t="shared" si="6"/>
        <v>0</v>
      </c>
      <c r="AD47" s="5">
        <f t="shared" si="7"/>
        <v>0</v>
      </c>
      <c r="AE47" s="5">
        <f t="shared" si="8"/>
        <v>0</v>
      </c>
      <c r="AF47" s="5">
        <f t="shared" si="9"/>
        <v>0</v>
      </c>
      <c r="AG47" s="5">
        <f t="shared" si="10"/>
        <v>0</v>
      </c>
      <c r="AH47" s="5">
        <f t="shared" si="11"/>
        <v>0</v>
      </c>
      <c r="AI47" s="5">
        <f t="shared" si="12"/>
        <v>0</v>
      </c>
      <c r="AJ47" s="5">
        <f t="shared" si="13"/>
        <v>0</v>
      </c>
      <c r="AK47" s="5">
        <f t="shared" si="14"/>
        <v>0</v>
      </c>
      <c r="AL47" s="5">
        <f t="shared" si="15"/>
        <v>0</v>
      </c>
      <c r="AM47" s="6">
        <f t="shared" si="16"/>
        <v>0</v>
      </c>
    </row>
    <row r="48" spans="1:39" x14ac:dyDescent="0.25">
      <c r="A48" s="4" t="s">
        <v>73</v>
      </c>
      <c r="B48" s="4" t="s">
        <v>74</v>
      </c>
      <c r="C48" s="4" t="s">
        <v>6</v>
      </c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3"/>
      <c r="P48" s="3"/>
      <c r="Q48" s="3"/>
      <c r="R48" s="3"/>
      <c r="S48" s="6">
        <f t="shared" si="0"/>
        <v>0</v>
      </c>
      <c r="T48">
        <v>1</v>
      </c>
      <c r="U48" s="4" t="s">
        <v>73</v>
      </c>
      <c r="V48" s="4" t="s">
        <v>74</v>
      </c>
      <c r="W48" s="4" t="s">
        <v>6</v>
      </c>
      <c r="X48" s="5">
        <f t="shared" si="1"/>
        <v>0</v>
      </c>
      <c r="Y48" s="5">
        <f t="shared" si="2"/>
        <v>0</v>
      </c>
      <c r="Z48" s="5">
        <f t="shared" si="3"/>
        <v>0</v>
      </c>
      <c r="AA48" s="5">
        <f t="shared" si="4"/>
        <v>0</v>
      </c>
      <c r="AB48" s="5">
        <f t="shared" si="5"/>
        <v>0</v>
      </c>
      <c r="AC48" s="5">
        <f t="shared" si="6"/>
        <v>0</v>
      </c>
      <c r="AD48" s="5">
        <f t="shared" si="7"/>
        <v>0</v>
      </c>
      <c r="AE48" s="5">
        <f t="shared" si="8"/>
        <v>0</v>
      </c>
      <c r="AF48" s="5">
        <f t="shared" si="9"/>
        <v>0</v>
      </c>
      <c r="AG48" s="5">
        <f t="shared" si="10"/>
        <v>0</v>
      </c>
      <c r="AH48" s="5">
        <f t="shared" si="11"/>
        <v>0</v>
      </c>
      <c r="AI48" s="5">
        <f t="shared" si="12"/>
        <v>0</v>
      </c>
      <c r="AJ48" s="5">
        <f t="shared" si="13"/>
        <v>0</v>
      </c>
      <c r="AK48" s="5">
        <f t="shared" si="14"/>
        <v>0</v>
      </c>
      <c r="AL48" s="5">
        <f t="shared" si="15"/>
        <v>0</v>
      </c>
      <c r="AM48" s="6">
        <f t="shared" si="16"/>
        <v>0</v>
      </c>
    </row>
    <row r="49" spans="1:39" x14ac:dyDescent="0.25">
      <c r="A49" s="4" t="s">
        <v>75</v>
      </c>
      <c r="B49" s="4" t="s">
        <v>76</v>
      </c>
      <c r="C49" s="4" t="s">
        <v>6</v>
      </c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3"/>
      <c r="P49" s="3"/>
      <c r="Q49" s="3"/>
      <c r="R49" s="3"/>
      <c r="S49" s="6">
        <f t="shared" si="0"/>
        <v>0</v>
      </c>
      <c r="T49">
        <v>1</v>
      </c>
      <c r="U49" s="4" t="s">
        <v>75</v>
      </c>
      <c r="V49" s="4" t="s">
        <v>76</v>
      </c>
      <c r="W49" s="4" t="s">
        <v>6</v>
      </c>
      <c r="X49" s="5">
        <f t="shared" si="1"/>
        <v>0</v>
      </c>
      <c r="Y49" s="5">
        <f t="shared" si="2"/>
        <v>0</v>
      </c>
      <c r="Z49" s="5">
        <f t="shared" si="3"/>
        <v>0</v>
      </c>
      <c r="AA49" s="5">
        <f t="shared" si="4"/>
        <v>0</v>
      </c>
      <c r="AB49" s="5">
        <f t="shared" si="5"/>
        <v>0</v>
      </c>
      <c r="AC49" s="5">
        <f t="shared" si="6"/>
        <v>0</v>
      </c>
      <c r="AD49" s="5">
        <f t="shared" si="7"/>
        <v>0</v>
      </c>
      <c r="AE49" s="5">
        <f t="shared" si="8"/>
        <v>0</v>
      </c>
      <c r="AF49" s="5">
        <f t="shared" si="9"/>
        <v>0</v>
      </c>
      <c r="AG49" s="5">
        <f t="shared" si="10"/>
        <v>0</v>
      </c>
      <c r="AH49" s="5">
        <f t="shared" si="11"/>
        <v>0</v>
      </c>
      <c r="AI49" s="5">
        <f t="shared" si="12"/>
        <v>0</v>
      </c>
      <c r="AJ49" s="5">
        <f t="shared" si="13"/>
        <v>0</v>
      </c>
      <c r="AK49" s="5">
        <f t="shared" si="14"/>
        <v>0</v>
      </c>
      <c r="AL49" s="5">
        <f t="shared" si="15"/>
        <v>0</v>
      </c>
      <c r="AM49" s="6">
        <f t="shared" si="16"/>
        <v>0</v>
      </c>
    </row>
    <row r="50" spans="1:39" x14ac:dyDescent="0.25">
      <c r="A50" s="10" t="s">
        <v>571</v>
      </c>
      <c r="B50" s="10" t="s">
        <v>572</v>
      </c>
      <c r="C50" s="4" t="s">
        <v>6</v>
      </c>
      <c r="D50" s="5"/>
      <c r="E50" s="6"/>
      <c r="F50" s="6"/>
      <c r="G50" s="6"/>
      <c r="H50" s="6"/>
      <c r="I50" s="6"/>
      <c r="J50" s="6"/>
      <c r="K50" s="6"/>
      <c r="L50" s="6"/>
      <c r="M50" s="6">
        <v>15</v>
      </c>
      <c r="N50" s="6"/>
      <c r="O50" s="3"/>
      <c r="P50" s="3"/>
      <c r="Q50" s="3"/>
      <c r="R50" s="3"/>
      <c r="S50" s="6">
        <f t="shared" si="0"/>
        <v>15</v>
      </c>
      <c r="T50">
        <v>1</v>
      </c>
      <c r="U50" s="10" t="s">
        <v>571</v>
      </c>
      <c r="V50" s="10" t="s">
        <v>572</v>
      </c>
      <c r="W50" s="4" t="s">
        <v>6</v>
      </c>
      <c r="X50" s="5">
        <f t="shared" si="1"/>
        <v>0</v>
      </c>
      <c r="Y50" s="5">
        <f t="shared" si="2"/>
        <v>0</v>
      </c>
      <c r="Z50" s="5">
        <f t="shared" si="3"/>
        <v>0</v>
      </c>
      <c r="AA50" s="5">
        <f t="shared" si="4"/>
        <v>0</v>
      </c>
      <c r="AB50" s="5">
        <f t="shared" si="5"/>
        <v>0</v>
      </c>
      <c r="AC50" s="5">
        <f t="shared" si="6"/>
        <v>0</v>
      </c>
      <c r="AD50" s="5">
        <f t="shared" si="7"/>
        <v>0</v>
      </c>
      <c r="AE50" s="5">
        <f t="shared" si="8"/>
        <v>0</v>
      </c>
      <c r="AF50" s="5">
        <f t="shared" si="9"/>
        <v>0</v>
      </c>
      <c r="AG50" s="5">
        <f t="shared" si="10"/>
        <v>0</v>
      </c>
      <c r="AH50" s="5">
        <f t="shared" si="11"/>
        <v>0</v>
      </c>
      <c r="AI50" s="5">
        <f t="shared" si="12"/>
        <v>0</v>
      </c>
      <c r="AJ50" s="5">
        <f t="shared" si="13"/>
        <v>0</v>
      </c>
      <c r="AK50" s="5">
        <f t="shared" si="14"/>
        <v>0</v>
      </c>
      <c r="AL50" s="5">
        <f t="shared" si="15"/>
        <v>0</v>
      </c>
      <c r="AM50" s="6">
        <f t="shared" si="16"/>
        <v>0</v>
      </c>
    </row>
    <row r="51" spans="1:39" x14ac:dyDescent="0.25">
      <c r="A51" s="4" t="s">
        <v>77</v>
      </c>
      <c r="B51" s="4" t="s">
        <v>78</v>
      </c>
      <c r="C51" s="4" t="s">
        <v>6</v>
      </c>
      <c r="D51" s="5"/>
      <c r="E51" s="6"/>
      <c r="F51" s="6"/>
      <c r="G51" s="6"/>
      <c r="H51" s="6"/>
      <c r="I51" s="6"/>
      <c r="J51" s="6"/>
      <c r="K51" s="6"/>
      <c r="L51" s="6"/>
      <c r="M51" s="6">
        <v>21</v>
      </c>
      <c r="N51" s="6"/>
      <c r="O51" s="3"/>
      <c r="P51" s="3"/>
      <c r="Q51" s="3"/>
      <c r="R51" s="3"/>
      <c r="S51" s="6">
        <f t="shared" si="0"/>
        <v>21</v>
      </c>
      <c r="T51">
        <v>1</v>
      </c>
      <c r="U51" s="4" t="s">
        <v>77</v>
      </c>
      <c r="V51" s="4" t="s">
        <v>78</v>
      </c>
      <c r="W51" s="4" t="s">
        <v>6</v>
      </c>
      <c r="X51" s="5">
        <f t="shared" si="1"/>
        <v>0</v>
      </c>
      <c r="Y51" s="5">
        <f t="shared" si="2"/>
        <v>0</v>
      </c>
      <c r="Z51" s="5">
        <f t="shared" si="3"/>
        <v>0</v>
      </c>
      <c r="AA51" s="5">
        <f t="shared" si="4"/>
        <v>0</v>
      </c>
      <c r="AB51" s="5">
        <f t="shared" si="5"/>
        <v>0</v>
      </c>
      <c r="AC51" s="5">
        <f t="shared" si="6"/>
        <v>0</v>
      </c>
      <c r="AD51" s="5">
        <f t="shared" si="7"/>
        <v>0</v>
      </c>
      <c r="AE51" s="5">
        <f t="shared" si="8"/>
        <v>0</v>
      </c>
      <c r="AF51" s="5">
        <f t="shared" si="9"/>
        <v>0</v>
      </c>
      <c r="AG51" s="5">
        <f t="shared" si="10"/>
        <v>20</v>
      </c>
      <c r="AH51" s="5">
        <f t="shared" si="11"/>
        <v>0</v>
      </c>
      <c r="AI51" s="5">
        <f t="shared" si="12"/>
        <v>0</v>
      </c>
      <c r="AJ51" s="5">
        <f t="shared" si="13"/>
        <v>0</v>
      </c>
      <c r="AK51" s="5">
        <f t="shared" si="14"/>
        <v>0</v>
      </c>
      <c r="AL51" s="5">
        <f t="shared" si="15"/>
        <v>0</v>
      </c>
      <c r="AM51" s="6">
        <f t="shared" si="16"/>
        <v>20</v>
      </c>
    </row>
    <row r="52" spans="1:39" x14ac:dyDescent="0.25">
      <c r="A52" s="4" t="s">
        <v>79</v>
      </c>
      <c r="B52" s="4" t="s">
        <v>80</v>
      </c>
      <c r="C52" s="4" t="s">
        <v>6</v>
      </c>
      <c r="D52" s="5"/>
      <c r="E52" s="6"/>
      <c r="F52" s="6"/>
      <c r="G52" s="6"/>
      <c r="H52" s="6"/>
      <c r="I52" s="6">
        <v>21</v>
      </c>
      <c r="J52" s="6"/>
      <c r="K52" s="6">
        <v>30</v>
      </c>
      <c r="L52" s="6"/>
      <c r="M52" s="6"/>
      <c r="N52" s="6"/>
      <c r="O52" s="3"/>
      <c r="P52" s="3"/>
      <c r="Q52" s="3"/>
      <c r="R52" s="3"/>
      <c r="S52" s="6">
        <f t="shared" si="0"/>
        <v>51</v>
      </c>
      <c r="T52">
        <v>1</v>
      </c>
      <c r="U52" s="4" t="s">
        <v>79</v>
      </c>
      <c r="V52" s="4" t="s">
        <v>80</v>
      </c>
      <c r="W52" s="4" t="s">
        <v>6</v>
      </c>
      <c r="X52" s="5">
        <f t="shared" si="1"/>
        <v>0</v>
      </c>
      <c r="Y52" s="5">
        <f t="shared" si="2"/>
        <v>0</v>
      </c>
      <c r="Z52" s="5">
        <f t="shared" si="3"/>
        <v>0</v>
      </c>
      <c r="AA52" s="5">
        <f t="shared" si="4"/>
        <v>0</v>
      </c>
      <c r="AB52" s="5">
        <f t="shared" si="5"/>
        <v>0</v>
      </c>
      <c r="AC52" s="5">
        <f t="shared" si="6"/>
        <v>20</v>
      </c>
      <c r="AD52" s="5">
        <f t="shared" si="7"/>
        <v>0</v>
      </c>
      <c r="AE52" s="5">
        <f t="shared" si="8"/>
        <v>60</v>
      </c>
      <c r="AF52" s="5">
        <f t="shared" si="9"/>
        <v>0</v>
      </c>
      <c r="AG52" s="5">
        <f t="shared" si="10"/>
        <v>0</v>
      </c>
      <c r="AH52" s="5">
        <f t="shared" si="11"/>
        <v>0</v>
      </c>
      <c r="AI52" s="5">
        <f t="shared" si="12"/>
        <v>0</v>
      </c>
      <c r="AJ52" s="5">
        <f t="shared" si="13"/>
        <v>0</v>
      </c>
      <c r="AK52" s="5">
        <f t="shared" si="14"/>
        <v>0</v>
      </c>
      <c r="AL52" s="5">
        <f t="shared" si="15"/>
        <v>0</v>
      </c>
      <c r="AM52" s="6">
        <f t="shared" si="16"/>
        <v>80</v>
      </c>
    </row>
    <row r="53" spans="1:39" x14ac:dyDescent="0.25">
      <c r="A53" s="4" t="s">
        <v>383</v>
      </c>
      <c r="B53" s="4" t="s">
        <v>384</v>
      </c>
      <c r="C53" s="4" t="s">
        <v>6</v>
      </c>
      <c r="D53" s="5"/>
      <c r="E53" s="6"/>
      <c r="F53" s="6"/>
      <c r="G53" s="6">
        <v>12</v>
      </c>
      <c r="H53" s="6"/>
      <c r="I53" s="6"/>
      <c r="J53" s="6"/>
      <c r="K53" s="6"/>
      <c r="L53" s="6"/>
      <c r="M53" s="6"/>
      <c r="N53" s="6"/>
      <c r="O53" s="3"/>
      <c r="P53" s="3"/>
      <c r="Q53" s="3"/>
      <c r="R53" s="3"/>
      <c r="S53" s="6">
        <f t="shared" si="0"/>
        <v>12</v>
      </c>
      <c r="T53">
        <v>1</v>
      </c>
      <c r="U53" s="4" t="s">
        <v>383</v>
      </c>
      <c r="V53" s="4" t="s">
        <v>384</v>
      </c>
      <c r="W53" s="4" t="s">
        <v>6</v>
      </c>
      <c r="X53" s="5">
        <f t="shared" si="1"/>
        <v>0</v>
      </c>
      <c r="Y53" s="5">
        <f t="shared" si="2"/>
        <v>0</v>
      </c>
      <c r="Z53" s="5">
        <f t="shared" si="3"/>
        <v>0</v>
      </c>
      <c r="AA53" s="5">
        <f t="shared" si="4"/>
        <v>0</v>
      </c>
      <c r="AB53" s="5">
        <f t="shared" si="5"/>
        <v>0</v>
      </c>
      <c r="AC53" s="5">
        <f t="shared" si="6"/>
        <v>0</v>
      </c>
      <c r="AD53" s="5">
        <f t="shared" si="7"/>
        <v>0</v>
      </c>
      <c r="AE53" s="5">
        <f t="shared" si="8"/>
        <v>0</v>
      </c>
      <c r="AF53" s="5">
        <f t="shared" si="9"/>
        <v>0</v>
      </c>
      <c r="AG53" s="5">
        <f t="shared" si="10"/>
        <v>0</v>
      </c>
      <c r="AH53" s="5">
        <f t="shared" si="11"/>
        <v>0</v>
      </c>
      <c r="AI53" s="5">
        <f t="shared" si="12"/>
        <v>0</v>
      </c>
      <c r="AJ53" s="5">
        <f t="shared" si="13"/>
        <v>0</v>
      </c>
      <c r="AK53" s="5">
        <f t="shared" si="14"/>
        <v>0</v>
      </c>
      <c r="AL53" s="5">
        <f t="shared" si="15"/>
        <v>0</v>
      </c>
      <c r="AM53" s="6">
        <f t="shared" si="16"/>
        <v>0</v>
      </c>
    </row>
    <row r="54" spans="1:39" x14ac:dyDescent="0.25">
      <c r="A54" s="4" t="s">
        <v>81</v>
      </c>
      <c r="B54" s="4" t="s">
        <v>82</v>
      </c>
      <c r="C54" s="4" t="s">
        <v>6</v>
      </c>
      <c r="D54" s="5">
        <v>7.5</v>
      </c>
      <c r="E54" s="6">
        <v>7.5</v>
      </c>
      <c r="F54" s="6"/>
      <c r="G54" s="6"/>
      <c r="H54" s="6">
        <v>21</v>
      </c>
      <c r="I54" s="6">
        <v>21</v>
      </c>
      <c r="J54" s="6">
        <v>28.5</v>
      </c>
      <c r="K54" s="6">
        <v>39</v>
      </c>
      <c r="L54" s="6"/>
      <c r="M54" s="6">
        <v>45</v>
      </c>
      <c r="N54" s="6"/>
      <c r="O54" s="3"/>
      <c r="P54" s="3"/>
      <c r="Q54" s="3"/>
      <c r="R54" s="3"/>
      <c r="S54" s="6">
        <f t="shared" si="0"/>
        <v>169.5</v>
      </c>
      <c r="T54">
        <v>1</v>
      </c>
      <c r="U54" s="4" t="s">
        <v>81</v>
      </c>
      <c r="V54" s="4" t="s">
        <v>82</v>
      </c>
      <c r="W54" s="4" t="s">
        <v>6</v>
      </c>
      <c r="X54" s="5">
        <f t="shared" si="1"/>
        <v>0</v>
      </c>
      <c r="Y54" s="5">
        <f t="shared" si="2"/>
        <v>0</v>
      </c>
      <c r="Z54" s="5">
        <f t="shared" si="3"/>
        <v>0</v>
      </c>
      <c r="AA54" s="5">
        <f t="shared" si="4"/>
        <v>0</v>
      </c>
      <c r="AB54" s="5">
        <f t="shared" si="5"/>
        <v>20</v>
      </c>
      <c r="AC54" s="5">
        <f t="shared" si="6"/>
        <v>20</v>
      </c>
      <c r="AD54" s="5">
        <f t="shared" si="7"/>
        <v>40</v>
      </c>
      <c r="AE54" s="5">
        <f t="shared" si="8"/>
        <v>87</v>
      </c>
      <c r="AF54" s="5">
        <f t="shared" si="9"/>
        <v>0</v>
      </c>
      <c r="AG54" s="5">
        <f t="shared" si="10"/>
        <v>110</v>
      </c>
      <c r="AH54" s="5">
        <f t="shared" si="11"/>
        <v>0</v>
      </c>
      <c r="AI54" s="5">
        <f t="shared" si="12"/>
        <v>0</v>
      </c>
      <c r="AJ54" s="5">
        <f t="shared" si="13"/>
        <v>0</v>
      </c>
      <c r="AK54" s="5">
        <f t="shared" si="14"/>
        <v>0</v>
      </c>
      <c r="AL54" s="5">
        <f t="shared" si="15"/>
        <v>0</v>
      </c>
      <c r="AM54" s="6">
        <f t="shared" si="16"/>
        <v>277</v>
      </c>
    </row>
    <row r="55" spans="1:39" x14ac:dyDescent="0.25">
      <c r="A55" s="4" t="s">
        <v>83</v>
      </c>
      <c r="B55" s="4" t="s">
        <v>84</v>
      </c>
      <c r="C55" s="4" t="s">
        <v>6</v>
      </c>
      <c r="D55" s="5">
        <v>9</v>
      </c>
      <c r="E55" s="6">
        <v>10.5</v>
      </c>
      <c r="F55" s="6"/>
      <c r="G55" s="6"/>
      <c r="H55" s="6"/>
      <c r="I55" s="6"/>
      <c r="J55" s="6">
        <v>30</v>
      </c>
      <c r="K55" s="6">
        <v>36</v>
      </c>
      <c r="L55" s="6"/>
      <c r="M55" s="6"/>
      <c r="N55" s="6"/>
      <c r="O55" s="3"/>
      <c r="P55" s="3"/>
      <c r="Q55" s="3"/>
      <c r="R55" s="3"/>
      <c r="S55" s="6">
        <f t="shared" si="0"/>
        <v>85.5</v>
      </c>
      <c r="T55">
        <v>1</v>
      </c>
      <c r="U55" s="4" t="s">
        <v>83</v>
      </c>
      <c r="V55" s="4" t="s">
        <v>84</v>
      </c>
      <c r="W55" s="4" t="s">
        <v>6</v>
      </c>
      <c r="X55" s="5">
        <f t="shared" si="1"/>
        <v>0</v>
      </c>
      <c r="Y55" s="5">
        <f t="shared" si="2"/>
        <v>0</v>
      </c>
      <c r="Z55" s="5">
        <f t="shared" si="3"/>
        <v>0</v>
      </c>
      <c r="AA55" s="5">
        <f t="shared" si="4"/>
        <v>0</v>
      </c>
      <c r="AB55" s="5">
        <f t="shared" si="5"/>
        <v>0</v>
      </c>
      <c r="AC55" s="5">
        <f t="shared" si="6"/>
        <v>0</v>
      </c>
      <c r="AD55" s="5">
        <f t="shared" si="7"/>
        <v>60</v>
      </c>
      <c r="AE55" s="5">
        <f t="shared" si="8"/>
        <v>78</v>
      </c>
      <c r="AF55" s="5">
        <f t="shared" si="9"/>
        <v>0</v>
      </c>
      <c r="AG55" s="5">
        <f t="shared" si="10"/>
        <v>0</v>
      </c>
      <c r="AH55" s="5">
        <f t="shared" si="11"/>
        <v>0</v>
      </c>
      <c r="AI55" s="5">
        <f t="shared" si="12"/>
        <v>0</v>
      </c>
      <c r="AJ55" s="5">
        <f t="shared" si="13"/>
        <v>0</v>
      </c>
      <c r="AK55" s="5">
        <f t="shared" si="14"/>
        <v>0</v>
      </c>
      <c r="AL55" s="5">
        <f t="shared" si="15"/>
        <v>0</v>
      </c>
      <c r="AM55" s="6">
        <f t="shared" si="16"/>
        <v>138</v>
      </c>
    </row>
    <row r="56" spans="1:39" x14ac:dyDescent="0.25">
      <c r="A56" s="4" t="s">
        <v>85</v>
      </c>
      <c r="B56" s="4" t="s">
        <v>86</v>
      </c>
      <c r="C56" s="4" t="s">
        <v>6</v>
      </c>
      <c r="D56" s="5">
        <v>12</v>
      </c>
      <c r="E56" s="6">
        <v>6</v>
      </c>
      <c r="F56" s="6">
        <v>15</v>
      </c>
      <c r="G56" s="6">
        <v>22.5</v>
      </c>
      <c r="H56" s="6">
        <v>18.5</v>
      </c>
      <c r="I56" s="6"/>
      <c r="J56" s="6">
        <v>30</v>
      </c>
      <c r="K56" s="6">
        <v>30</v>
      </c>
      <c r="L56" s="6"/>
      <c r="M56" s="6"/>
      <c r="N56" s="6"/>
      <c r="O56" s="3"/>
      <c r="P56" s="3"/>
      <c r="Q56" s="3"/>
      <c r="R56" s="3"/>
      <c r="S56" s="6">
        <f t="shared" si="0"/>
        <v>134</v>
      </c>
      <c r="T56">
        <v>1</v>
      </c>
      <c r="U56" s="4" t="s">
        <v>85</v>
      </c>
      <c r="V56" s="4" t="s">
        <v>86</v>
      </c>
      <c r="W56" s="4" t="s">
        <v>6</v>
      </c>
      <c r="X56" s="5">
        <f t="shared" si="1"/>
        <v>0</v>
      </c>
      <c r="Y56" s="5">
        <f t="shared" si="2"/>
        <v>0</v>
      </c>
      <c r="Z56" s="5">
        <f t="shared" si="3"/>
        <v>0</v>
      </c>
      <c r="AA56" s="5">
        <f t="shared" si="4"/>
        <v>20</v>
      </c>
      <c r="AB56" s="5">
        <f t="shared" si="5"/>
        <v>0</v>
      </c>
      <c r="AC56" s="5">
        <f t="shared" si="6"/>
        <v>0</v>
      </c>
      <c r="AD56" s="5">
        <f t="shared" si="7"/>
        <v>60</v>
      </c>
      <c r="AE56" s="5">
        <f t="shared" si="8"/>
        <v>60</v>
      </c>
      <c r="AF56" s="5">
        <f t="shared" si="9"/>
        <v>0</v>
      </c>
      <c r="AG56" s="5">
        <f t="shared" si="10"/>
        <v>0</v>
      </c>
      <c r="AH56" s="5">
        <f t="shared" si="11"/>
        <v>0</v>
      </c>
      <c r="AI56" s="5">
        <f t="shared" si="12"/>
        <v>0</v>
      </c>
      <c r="AJ56" s="5">
        <f t="shared" si="13"/>
        <v>0</v>
      </c>
      <c r="AK56" s="5">
        <f t="shared" si="14"/>
        <v>0</v>
      </c>
      <c r="AL56" s="5">
        <f t="shared" si="15"/>
        <v>0</v>
      </c>
      <c r="AM56" s="6">
        <f t="shared" si="16"/>
        <v>140</v>
      </c>
    </row>
    <row r="57" spans="1:39" x14ac:dyDescent="0.25">
      <c r="A57" s="4" t="s">
        <v>87</v>
      </c>
      <c r="B57" s="4" t="s">
        <v>88</v>
      </c>
      <c r="C57" s="4" t="s">
        <v>6</v>
      </c>
      <c r="D57" s="5">
        <v>7.5</v>
      </c>
      <c r="E57" s="6"/>
      <c r="F57" s="6">
        <v>15</v>
      </c>
      <c r="G57" s="6"/>
      <c r="H57" s="6">
        <v>27.5</v>
      </c>
      <c r="I57" s="6"/>
      <c r="J57" s="6">
        <v>34.5</v>
      </c>
      <c r="K57" s="6">
        <v>43.5</v>
      </c>
      <c r="L57" s="6"/>
      <c r="M57" s="6"/>
      <c r="N57" s="6"/>
      <c r="O57" s="3"/>
      <c r="P57" s="3"/>
      <c r="Q57" s="3"/>
      <c r="R57" s="3"/>
      <c r="S57" s="6">
        <f t="shared" si="0"/>
        <v>128</v>
      </c>
      <c r="T57">
        <v>1</v>
      </c>
      <c r="U57" s="4" t="s">
        <v>87</v>
      </c>
      <c r="V57" s="4" t="s">
        <v>88</v>
      </c>
      <c r="W57" s="4" t="s">
        <v>6</v>
      </c>
      <c r="X57" s="5">
        <f t="shared" si="1"/>
        <v>0</v>
      </c>
      <c r="Y57" s="5">
        <f t="shared" si="2"/>
        <v>0</v>
      </c>
      <c r="Z57" s="5">
        <f t="shared" si="3"/>
        <v>0</v>
      </c>
      <c r="AA57" s="5">
        <f t="shared" si="4"/>
        <v>0</v>
      </c>
      <c r="AB57" s="5">
        <f t="shared" si="5"/>
        <v>40</v>
      </c>
      <c r="AC57" s="5">
        <f t="shared" si="6"/>
        <v>0</v>
      </c>
      <c r="AD57" s="5">
        <f t="shared" si="7"/>
        <v>73.5</v>
      </c>
      <c r="AE57" s="5">
        <f t="shared" si="8"/>
        <v>104</v>
      </c>
      <c r="AF57" s="5">
        <f t="shared" si="9"/>
        <v>0</v>
      </c>
      <c r="AG57" s="5">
        <f t="shared" si="10"/>
        <v>0</v>
      </c>
      <c r="AH57" s="5">
        <f t="shared" si="11"/>
        <v>0</v>
      </c>
      <c r="AI57" s="5">
        <f t="shared" si="12"/>
        <v>0</v>
      </c>
      <c r="AJ57" s="5">
        <f t="shared" si="13"/>
        <v>0</v>
      </c>
      <c r="AK57" s="5">
        <f t="shared" si="14"/>
        <v>0</v>
      </c>
      <c r="AL57" s="5">
        <f t="shared" si="15"/>
        <v>0</v>
      </c>
      <c r="AM57" s="6">
        <f t="shared" si="16"/>
        <v>217.5</v>
      </c>
    </row>
    <row r="58" spans="1:39" x14ac:dyDescent="0.25">
      <c r="A58" s="4" t="s">
        <v>89</v>
      </c>
      <c r="B58" s="4" t="s">
        <v>90</v>
      </c>
      <c r="C58" s="4" t="s">
        <v>6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3"/>
      <c r="P58" s="3"/>
      <c r="Q58" s="3"/>
      <c r="R58" s="3"/>
      <c r="S58" s="6">
        <f t="shared" si="0"/>
        <v>0</v>
      </c>
      <c r="T58">
        <v>1</v>
      </c>
      <c r="U58" s="4" t="s">
        <v>89</v>
      </c>
      <c r="V58" s="4" t="s">
        <v>90</v>
      </c>
      <c r="W58" s="4" t="s">
        <v>6</v>
      </c>
      <c r="X58" s="5">
        <f t="shared" si="1"/>
        <v>0</v>
      </c>
      <c r="Y58" s="5">
        <f t="shared" si="2"/>
        <v>0</v>
      </c>
      <c r="Z58" s="5">
        <f t="shared" si="3"/>
        <v>0</v>
      </c>
      <c r="AA58" s="5">
        <f t="shared" si="4"/>
        <v>0</v>
      </c>
      <c r="AB58" s="5">
        <f t="shared" si="5"/>
        <v>0</v>
      </c>
      <c r="AC58" s="5">
        <f t="shared" si="6"/>
        <v>0</v>
      </c>
      <c r="AD58" s="5">
        <f t="shared" si="7"/>
        <v>0</v>
      </c>
      <c r="AE58" s="5">
        <f t="shared" si="8"/>
        <v>0</v>
      </c>
      <c r="AF58" s="5">
        <f t="shared" si="9"/>
        <v>0</v>
      </c>
      <c r="AG58" s="5">
        <f t="shared" si="10"/>
        <v>0</v>
      </c>
      <c r="AH58" s="5">
        <f t="shared" si="11"/>
        <v>0</v>
      </c>
      <c r="AI58" s="5">
        <f t="shared" si="12"/>
        <v>0</v>
      </c>
      <c r="AJ58" s="5">
        <f t="shared" si="13"/>
        <v>0</v>
      </c>
      <c r="AK58" s="5">
        <f t="shared" si="14"/>
        <v>0</v>
      </c>
      <c r="AL58" s="5">
        <f t="shared" si="15"/>
        <v>0</v>
      </c>
      <c r="AM58" s="6">
        <f t="shared" si="16"/>
        <v>0</v>
      </c>
    </row>
    <row r="59" spans="1:39" x14ac:dyDescent="0.25">
      <c r="A59" s="4" t="s">
        <v>503</v>
      </c>
      <c r="B59" s="4" t="s">
        <v>504</v>
      </c>
      <c r="C59" s="4" t="s">
        <v>6</v>
      </c>
      <c r="D59" s="5"/>
      <c r="E59" s="6"/>
      <c r="F59" s="6">
        <v>13.5</v>
      </c>
      <c r="G59" s="6"/>
      <c r="H59" s="6"/>
      <c r="I59" s="6"/>
      <c r="J59" s="6"/>
      <c r="K59" s="6"/>
      <c r="L59" s="6"/>
      <c r="M59" s="6"/>
      <c r="N59" s="6"/>
      <c r="O59" s="3"/>
      <c r="P59" s="3"/>
      <c r="Q59" s="3"/>
      <c r="R59" s="3"/>
      <c r="S59" s="6">
        <f t="shared" si="0"/>
        <v>13.5</v>
      </c>
      <c r="T59">
        <v>1</v>
      </c>
      <c r="U59" s="4" t="s">
        <v>503</v>
      </c>
      <c r="V59" s="4" t="s">
        <v>504</v>
      </c>
      <c r="W59" s="4" t="s">
        <v>6</v>
      </c>
      <c r="X59" s="5">
        <f t="shared" si="1"/>
        <v>0</v>
      </c>
      <c r="Y59" s="5">
        <f t="shared" si="2"/>
        <v>0</v>
      </c>
      <c r="Z59" s="5">
        <f t="shared" si="3"/>
        <v>0</v>
      </c>
      <c r="AA59" s="5">
        <f t="shared" si="4"/>
        <v>0</v>
      </c>
      <c r="AB59" s="5">
        <f t="shared" si="5"/>
        <v>0</v>
      </c>
      <c r="AC59" s="5">
        <f t="shared" si="6"/>
        <v>0</v>
      </c>
      <c r="AD59" s="5">
        <f t="shared" si="7"/>
        <v>0</v>
      </c>
      <c r="AE59" s="5">
        <f t="shared" si="8"/>
        <v>0</v>
      </c>
      <c r="AF59" s="5">
        <f t="shared" si="9"/>
        <v>0</v>
      </c>
      <c r="AG59" s="5">
        <f t="shared" si="10"/>
        <v>0</v>
      </c>
      <c r="AH59" s="5">
        <f t="shared" si="11"/>
        <v>0</v>
      </c>
      <c r="AI59" s="5">
        <f t="shared" si="12"/>
        <v>0</v>
      </c>
      <c r="AJ59" s="5">
        <f t="shared" si="13"/>
        <v>0</v>
      </c>
      <c r="AK59" s="5">
        <f t="shared" si="14"/>
        <v>0</v>
      </c>
      <c r="AL59" s="5">
        <f t="shared" si="15"/>
        <v>0</v>
      </c>
      <c r="AM59" s="6">
        <f t="shared" si="16"/>
        <v>0</v>
      </c>
    </row>
    <row r="60" spans="1:39" x14ac:dyDescent="0.25">
      <c r="A60" s="4" t="s">
        <v>91</v>
      </c>
      <c r="B60" s="4" t="s">
        <v>92</v>
      </c>
      <c r="C60" s="4" t="s">
        <v>6</v>
      </c>
      <c r="D60" s="5"/>
      <c r="E60" s="6"/>
      <c r="F60" s="6"/>
      <c r="G60" s="6"/>
      <c r="H60" s="6"/>
      <c r="I60" s="6"/>
      <c r="J60" s="6">
        <v>30</v>
      </c>
      <c r="K60" s="6">
        <v>37.5</v>
      </c>
      <c r="L60" s="6"/>
      <c r="M60" s="6">
        <v>36</v>
      </c>
      <c r="N60" s="6"/>
      <c r="O60" s="3"/>
      <c r="P60" s="3"/>
      <c r="Q60" s="3"/>
      <c r="R60" s="3"/>
      <c r="S60" s="6">
        <f t="shared" si="0"/>
        <v>103.5</v>
      </c>
      <c r="T60">
        <v>1</v>
      </c>
      <c r="U60" s="4" t="s">
        <v>91</v>
      </c>
      <c r="V60" s="4" t="s">
        <v>92</v>
      </c>
      <c r="W60" s="4" t="s">
        <v>6</v>
      </c>
      <c r="X60" s="5">
        <f t="shared" si="1"/>
        <v>0</v>
      </c>
      <c r="Y60" s="5">
        <f t="shared" si="2"/>
        <v>0</v>
      </c>
      <c r="Z60" s="5">
        <f t="shared" si="3"/>
        <v>0</v>
      </c>
      <c r="AA60" s="5">
        <f t="shared" si="4"/>
        <v>0</v>
      </c>
      <c r="AB60" s="5">
        <f t="shared" si="5"/>
        <v>0</v>
      </c>
      <c r="AC60" s="5">
        <f t="shared" si="6"/>
        <v>0</v>
      </c>
      <c r="AD60" s="5">
        <f t="shared" si="7"/>
        <v>60</v>
      </c>
      <c r="AE60" s="5">
        <f t="shared" si="8"/>
        <v>82.5</v>
      </c>
      <c r="AF60" s="5">
        <f t="shared" si="9"/>
        <v>0</v>
      </c>
      <c r="AG60" s="5">
        <f t="shared" si="10"/>
        <v>78</v>
      </c>
      <c r="AH60" s="5">
        <f t="shared" si="11"/>
        <v>0</v>
      </c>
      <c r="AI60" s="5">
        <f t="shared" si="12"/>
        <v>0</v>
      </c>
      <c r="AJ60" s="5">
        <f t="shared" si="13"/>
        <v>0</v>
      </c>
      <c r="AK60" s="5">
        <f t="shared" si="14"/>
        <v>0</v>
      </c>
      <c r="AL60" s="5">
        <f t="shared" si="15"/>
        <v>0</v>
      </c>
      <c r="AM60" s="6">
        <f t="shared" si="16"/>
        <v>220.5</v>
      </c>
    </row>
    <row r="61" spans="1:39" x14ac:dyDescent="0.25">
      <c r="A61" s="4" t="s">
        <v>93</v>
      </c>
      <c r="B61" s="4" t="s">
        <v>94</v>
      </c>
      <c r="C61" s="4" t="s">
        <v>6</v>
      </c>
      <c r="D61" s="5">
        <v>13.5</v>
      </c>
      <c r="E61" s="6">
        <v>18</v>
      </c>
      <c r="F61" s="6"/>
      <c r="G61" s="6"/>
      <c r="H61" s="6"/>
      <c r="I61" s="6"/>
      <c r="J61" s="6">
        <v>39</v>
      </c>
      <c r="K61" s="6">
        <v>45</v>
      </c>
      <c r="L61" s="6"/>
      <c r="M61" s="6">
        <v>51</v>
      </c>
      <c r="N61" s="6"/>
      <c r="O61" s="3"/>
      <c r="P61" s="3"/>
      <c r="Q61" s="3"/>
      <c r="R61" s="3"/>
      <c r="S61" s="6">
        <f t="shared" si="0"/>
        <v>166.5</v>
      </c>
      <c r="T61">
        <v>1</v>
      </c>
      <c r="U61" s="4" t="s">
        <v>93</v>
      </c>
      <c r="V61" s="4" t="s">
        <v>94</v>
      </c>
      <c r="W61" s="4" t="s">
        <v>6</v>
      </c>
      <c r="X61" s="5">
        <f t="shared" si="1"/>
        <v>0</v>
      </c>
      <c r="Y61" s="5">
        <f t="shared" si="2"/>
        <v>0</v>
      </c>
      <c r="Z61" s="5">
        <f t="shared" si="3"/>
        <v>0</v>
      </c>
      <c r="AA61" s="5">
        <f t="shared" si="4"/>
        <v>0</v>
      </c>
      <c r="AB61" s="5">
        <f t="shared" si="5"/>
        <v>0</v>
      </c>
      <c r="AC61" s="5">
        <f t="shared" si="6"/>
        <v>0</v>
      </c>
      <c r="AD61" s="5">
        <f t="shared" si="7"/>
        <v>87</v>
      </c>
      <c r="AE61" s="5">
        <f t="shared" si="8"/>
        <v>110</v>
      </c>
      <c r="AF61" s="5">
        <f t="shared" si="9"/>
        <v>0</v>
      </c>
      <c r="AG61" s="5">
        <f t="shared" si="10"/>
        <v>134</v>
      </c>
      <c r="AH61" s="5">
        <f t="shared" si="11"/>
        <v>0</v>
      </c>
      <c r="AI61" s="5">
        <f t="shared" si="12"/>
        <v>0</v>
      </c>
      <c r="AJ61" s="5">
        <f t="shared" si="13"/>
        <v>0</v>
      </c>
      <c r="AK61" s="5">
        <f t="shared" si="14"/>
        <v>0</v>
      </c>
      <c r="AL61" s="5">
        <f t="shared" si="15"/>
        <v>0</v>
      </c>
      <c r="AM61" s="6">
        <f t="shared" si="16"/>
        <v>331</v>
      </c>
    </row>
    <row r="62" spans="1:39" x14ac:dyDescent="0.25">
      <c r="A62" s="4" t="s">
        <v>95</v>
      </c>
      <c r="B62" s="4" t="s">
        <v>96</v>
      </c>
      <c r="C62" s="4" t="s">
        <v>6</v>
      </c>
      <c r="D62" s="5">
        <v>7.5</v>
      </c>
      <c r="E62" s="6"/>
      <c r="F62" s="6">
        <v>12</v>
      </c>
      <c r="G62" s="6">
        <v>22.5</v>
      </c>
      <c r="H62" s="6"/>
      <c r="I62" s="6"/>
      <c r="J62" s="6">
        <v>25.5</v>
      </c>
      <c r="K62" s="6">
        <v>34.5</v>
      </c>
      <c r="L62" s="6"/>
      <c r="M62" s="6"/>
      <c r="N62" s="6"/>
      <c r="O62" s="3"/>
      <c r="P62" s="3"/>
      <c r="Q62" s="3"/>
      <c r="R62" s="3"/>
      <c r="S62" s="6">
        <f t="shared" si="0"/>
        <v>102</v>
      </c>
      <c r="T62">
        <v>1</v>
      </c>
      <c r="U62" s="4" t="s">
        <v>95</v>
      </c>
      <c r="V62" s="4" t="s">
        <v>96</v>
      </c>
      <c r="W62" s="4" t="s">
        <v>6</v>
      </c>
      <c r="X62" s="5">
        <f t="shared" si="1"/>
        <v>0</v>
      </c>
      <c r="Y62" s="5">
        <f t="shared" si="2"/>
        <v>0</v>
      </c>
      <c r="Z62" s="5">
        <f t="shared" si="3"/>
        <v>0</v>
      </c>
      <c r="AA62" s="5">
        <f t="shared" si="4"/>
        <v>20</v>
      </c>
      <c r="AB62" s="5">
        <f t="shared" si="5"/>
        <v>0</v>
      </c>
      <c r="AC62" s="5">
        <f t="shared" si="6"/>
        <v>0</v>
      </c>
      <c r="AD62" s="5">
        <f t="shared" si="7"/>
        <v>40</v>
      </c>
      <c r="AE62" s="5">
        <f t="shared" si="8"/>
        <v>73.5</v>
      </c>
      <c r="AF62" s="5">
        <f t="shared" si="9"/>
        <v>0</v>
      </c>
      <c r="AG62" s="5">
        <f t="shared" si="10"/>
        <v>0</v>
      </c>
      <c r="AH62" s="5">
        <f t="shared" si="11"/>
        <v>0</v>
      </c>
      <c r="AI62" s="5">
        <f t="shared" si="12"/>
        <v>0</v>
      </c>
      <c r="AJ62" s="5">
        <f t="shared" si="13"/>
        <v>0</v>
      </c>
      <c r="AK62" s="5">
        <f t="shared" si="14"/>
        <v>0</v>
      </c>
      <c r="AL62" s="5">
        <f t="shared" si="15"/>
        <v>0</v>
      </c>
      <c r="AM62" s="6">
        <f t="shared" si="16"/>
        <v>133.5</v>
      </c>
    </row>
    <row r="63" spans="1:39" x14ac:dyDescent="0.25">
      <c r="A63" s="4" t="s">
        <v>97</v>
      </c>
      <c r="B63" s="4" t="s">
        <v>98</v>
      </c>
      <c r="C63" s="4" t="s">
        <v>6</v>
      </c>
      <c r="D63" s="5">
        <v>10.5</v>
      </c>
      <c r="E63" s="6">
        <v>9</v>
      </c>
      <c r="F63" s="6">
        <v>15</v>
      </c>
      <c r="G63" s="6"/>
      <c r="H63" s="6">
        <v>20.5</v>
      </c>
      <c r="I63" s="6"/>
      <c r="J63" s="6"/>
      <c r="K63" s="6"/>
      <c r="L63" s="6"/>
      <c r="M63" s="6"/>
      <c r="N63" s="6"/>
      <c r="O63" s="3"/>
      <c r="P63" s="3"/>
      <c r="Q63" s="3"/>
      <c r="R63" s="3"/>
      <c r="S63" s="6">
        <f t="shared" si="0"/>
        <v>55</v>
      </c>
      <c r="T63">
        <v>1</v>
      </c>
      <c r="U63" s="4" t="s">
        <v>97</v>
      </c>
      <c r="V63" s="4" t="s">
        <v>98</v>
      </c>
      <c r="W63" s="4" t="s">
        <v>6</v>
      </c>
      <c r="X63" s="5">
        <f t="shared" si="1"/>
        <v>0</v>
      </c>
      <c r="Y63" s="5">
        <f t="shared" si="2"/>
        <v>0</v>
      </c>
      <c r="Z63" s="5">
        <f t="shared" si="3"/>
        <v>0</v>
      </c>
      <c r="AA63" s="5">
        <f t="shared" si="4"/>
        <v>0</v>
      </c>
      <c r="AB63" s="5">
        <f t="shared" si="5"/>
        <v>20</v>
      </c>
      <c r="AC63" s="5">
        <f t="shared" si="6"/>
        <v>0</v>
      </c>
      <c r="AD63" s="5">
        <f t="shared" si="7"/>
        <v>0</v>
      </c>
      <c r="AE63" s="5">
        <f t="shared" si="8"/>
        <v>0</v>
      </c>
      <c r="AF63" s="5">
        <f t="shared" si="9"/>
        <v>0</v>
      </c>
      <c r="AG63" s="5">
        <f t="shared" si="10"/>
        <v>0</v>
      </c>
      <c r="AH63" s="5">
        <f t="shared" si="11"/>
        <v>0</v>
      </c>
      <c r="AI63" s="5">
        <f t="shared" si="12"/>
        <v>0</v>
      </c>
      <c r="AJ63" s="5">
        <f t="shared" si="13"/>
        <v>0</v>
      </c>
      <c r="AK63" s="5">
        <f t="shared" si="14"/>
        <v>0</v>
      </c>
      <c r="AL63" s="5">
        <f t="shared" si="15"/>
        <v>0</v>
      </c>
      <c r="AM63" s="6">
        <f t="shared" si="16"/>
        <v>20</v>
      </c>
    </row>
    <row r="64" spans="1:39" x14ac:dyDescent="0.25">
      <c r="A64" s="4" t="s">
        <v>99</v>
      </c>
      <c r="B64" s="4" t="s">
        <v>100</v>
      </c>
      <c r="C64" s="4" t="s">
        <v>6</v>
      </c>
      <c r="D64" s="5">
        <v>4.5</v>
      </c>
      <c r="E64" s="6">
        <v>10.5</v>
      </c>
      <c r="F64" s="6">
        <v>22.5</v>
      </c>
      <c r="G64" s="6"/>
      <c r="H64" s="6">
        <v>13</v>
      </c>
      <c r="I64" s="6"/>
      <c r="J64" s="6">
        <v>34.5</v>
      </c>
      <c r="K64" s="6">
        <v>40.5</v>
      </c>
      <c r="L64" s="6"/>
      <c r="M64" s="6"/>
      <c r="N64" s="6"/>
      <c r="O64" s="3"/>
      <c r="P64" s="3"/>
      <c r="Q64" s="3"/>
      <c r="R64" s="3"/>
      <c r="S64" s="6">
        <f t="shared" si="0"/>
        <v>125.5</v>
      </c>
      <c r="T64">
        <v>1</v>
      </c>
      <c r="U64" s="4" t="s">
        <v>99</v>
      </c>
      <c r="V64" s="4" t="s">
        <v>100</v>
      </c>
      <c r="W64" s="4" t="s">
        <v>6</v>
      </c>
      <c r="X64" s="5">
        <f t="shared" si="1"/>
        <v>0</v>
      </c>
      <c r="Y64" s="5">
        <f t="shared" si="2"/>
        <v>0</v>
      </c>
      <c r="Z64" s="5">
        <f t="shared" si="3"/>
        <v>20</v>
      </c>
      <c r="AA64" s="5">
        <f t="shared" si="4"/>
        <v>0</v>
      </c>
      <c r="AB64" s="5">
        <f t="shared" si="5"/>
        <v>0</v>
      </c>
      <c r="AC64" s="5">
        <f t="shared" si="6"/>
        <v>0</v>
      </c>
      <c r="AD64" s="5">
        <f t="shared" si="7"/>
        <v>73.5</v>
      </c>
      <c r="AE64" s="5">
        <f t="shared" si="8"/>
        <v>92</v>
      </c>
      <c r="AF64" s="5">
        <f t="shared" si="9"/>
        <v>0</v>
      </c>
      <c r="AG64" s="5">
        <f t="shared" si="10"/>
        <v>0</v>
      </c>
      <c r="AH64" s="5">
        <f t="shared" si="11"/>
        <v>0</v>
      </c>
      <c r="AI64" s="5">
        <f t="shared" si="12"/>
        <v>0</v>
      </c>
      <c r="AJ64" s="5">
        <f t="shared" si="13"/>
        <v>0</v>
      </c>
      <c r="AK64" s="5">
        <f t="shared" si="14"/>
        <v>0</v>
      </c>
      <c r="AL64" s="5">
        <f t="shared" si="15"/>
        <v>0</v>
      </c>
      <c r="AM64" s="6">
        <f t="shared" si="16"/>
        <v>185.5</v>
      </c>
    </row>
    <row r="65" spans="1:39" x14ac:dyDescent="0.25">
      <c r="A65" s="4" t="s">
        <v>101</v>
      </c>
      <c r="B65" s="4" t="s">
        <v>102</v>
      </c>
      <c r="C65" s="4" t="s">
        <v>6</v>
      </c>
      <c r="D65" s="5">
        <v>7.5</v>
      </c>
      <c r="E65" s="6">
        <v>6</v>
      </c>
      <c r="F65" s="6">
        <v>18</v>
      </c>
      <c r="G65" s="6">
        <v>33</v>
      </c>
      <c r="H65" s="6">
        <v>23</v>
      </c>
      <c r="I65" s="6">
        <v>22.5</v>
      </c>
      <c r="J65" s="6">
        <v>30</v>
      </c>
      <c r="K65" s="6">
        <v>33</v>
      </c>
      <c r="L65" s="6"/>
      <c r="M65" s="6">
        <v>37.5</v>
      </c>
      <c r="N65" s="6"/>
      <c r="O65" s="3"/>
      <c r="P65" s="3"/>
      <c r="Q65" s="3"/>
      <c r="R65" s="3"/>
      <c r="S65" s="6">
        <f t="shared" si="0"/>
        <v>210.5</v>
      </c>
      <c r="T65">
        <v>1</v>
      </c>
      <c r="U65" s="4" t="s">
        <v>101</v>
      </c>
      <c r="V65" s="4" t="s">
        <v>102</v>
      </c>
      <c r="W65" s="4" t="s">
        <v>6</v>
      </c>
      <c r="X65" s="5">
        <f t="shared" si="1"/>
        <v>0</v>
      </c>
      <c r="Y65" s="5">
        <f t="shared" si="2"/>
        <v>0</v>
      </c>
      <c r="Z65" s="5">
        <f t="shared" si="3"/>
        <v>0</v>
      </c>
      <c r="AA65" s="5">
        <f t="shared" si="4"/>
        <v>69</v>
      </c>
      <c r="AB65" s="5">
        <f t="shared" si="5"/>
        <v>20</v>
      </c>
      <c r="AC65" s="5">
        <f t="shared" si="6"/>
        <v>20</v>
      </c>
      <c r="AD65" s="5">
        <f t="shared" si="7"/>
        <v>60</v>
      </c>
      <c r="AE65" s="5">
        <f t="shared" si="8"/>
        <v>69</v>
      </c>
      <c r="AF65" s="5">
        <f t="shared" si="9"/>
        <v>0</v>
      </c>
      <c r="AG65" s="5">
        <f t="shared" si="10"/>
        <v>82.5</v>
      </c>
      <c r="AH65" s="5">
        <f t="shared" si="11"/>
        <v>0</v>
      </c>
      <c r="AI65" s="5">
        <f t="shared" si="12"/>
        <v>0</v>
      </c>
      <c r="AJ65" s="5">
        <f t="shared" si="13"/>
        <v>0</v>
      </c>
      <c r="AK65" s="5">
        <f t="shared" si="14"/>
        <v>0</v>
      </c>
      <c r="AL65" s="5">
        <f t="shared" si="15"/>
        <v>0</v>
      </c>
      <c r="AM65" s="6">
        <f t="shared" si="16"/>
        <v>320.5</v>
      </c>
    </row>
    <row r="66" spans="1:39" x14ac:dyDescent="0.25">
      <c r="A66" s="4" t="s">
        <v>103</v>
      </c>
      <c r="B66" s="4" t="s">
        <v>104</v>
      </c>
      <c r="C66" s="4" t="s">
        <v>6</v>
      </c>
      <c r="D66" s="5">
        <v>7.5</v>
      </c>
      <c r="E66" s="6">
        <v>10.5</v>
      </c>
      <c r="F66" s="6"/>
      <c r="G66" s="6"/>
      <c r="H66" s="6"/>
      <c r="I66" s="6"/>
      <c r="J66" s="6">
        <v>30</v>
      </c>
      <c r="K66" s="6">
        <v>37.5</v>
      </c>
      <c r="L66" s="6"/>
      <c r="M66" s="6"/>
      <c r="N66" s="6"/>
      <c r="O66" s="3"/>
      <c r="P66" s="3"/>
      <c r="Q66" s="3"/>
      <c r="R66" s="3"/>
      <c r="S66" s="6">
        <f t="shared" si="0"/>
        <v>85.5</v>
      </c>
      <c r="T66">
        <v>1</v>
      </c>
      <c r="U66" s="4" t="s">
        <v>103</v>
      </c>
      <c r="V66" s="4" t="s">
        <v>104</v>
      </c>
      <c r="W66" s="4" t="s">
        <v>6</v>
      </c>
      <c r="X66" s="5">
        <f t="shared" ref="X66:X130" si="17">IF(D66&lt;20,0,IF(D66&lt;25,20,IF(D66&lt;30,40,IF(D66&lt;=40,60+(D66-30)*3,60+30+(D66-40)*4))))</f>
        <v>0</v>
      </c>
      <c r="Y66" s="5">
        <f t="shared" ref="Y66:Y130" si="18">IF(E66&lt;20,0,IF(E66&lt;25,20,IF(E66&lt;30,40,IF(E66&lt;=40,60+(E66-30)*3,60+30+(E66-40)*4))))</f>
        <v>0</v>
      </c>
      <c r="Z66" s="5">
        <f t="shared" ref="Z66:Z130" si="19">IF(F66&lt;20,0,IF(F66&lt;25,20,IF(F66&lt;30,40,IF(F66&lt;=40,60+(F66-30)*3,60+30+(F66-40)*4))))</f>
        <v>0</v>
      </c>
      <c r="AA66" s="5">
        <f t="shared" ref="AA66:AA130" si="20">IF(G66&lt;20,0,IF(G66&lt;25,20,IF(G66&lt;30,40,IF(G66&lt;=40,60+(G66-30)*3,60+30+(G66-40)*4))))</f>
        <v>0</v>
      </c>
      <c r="AB66" s="5">
        <f t="shared" ref="AB66:AB130" si="21">IF(H66&lt;20,0,IF(H66&lt;25,20,IF(H66&lt;30,40,IF(H66&lt;=40,60+(H66-30)*3,60+30+(H66-40)*4))))</f>
        <v>0</v>
      </c>
      <c r="AC66" s="5">
        <f t="shared" ref="AC66:AC130" si="22">IF(I66&lt;20,0,IF(I66&lt;25,20,IF(I66&lt;30,40,IF(I66&lt;=40,60+(I66-30)*3,60+30+(I66-40)*4))))</f>
        <v>0</v>
      </c>
      <c r="AD66" s="5">
        <f t="shared" ref="AD66:AD130" si="23">IF(J66&lt;20,0,IF(J66&lt;25,20,IF(J66&lt;30,40,IF(J66&lt;=40,60+(J66-30)*3,60+30+(J66-40)*4))))</f>
        <v>60</v>
      </c>
      <c r="AE66" s="5">
        <f t="shared" ref="AE66:AE130" si="24">IF(K66&lt;20,0,IF(K66&lt;25,20,IF(K66&lt;30,40,IF(K66&lt;=40,60+(K66-30)*3,60+30+(K66-40)*4))))</f>
        <v>82.5</v>
      </c>
      <c r="AF66" s="5">
        <f t="shared" ref="AF66:AF130" si="25">IF(L66&lt;20,0,IF(L66&lt;25,20,IF(L66&lt;30,40,IF(L66&lt;=40,60+(L66-30)*3,60+30+(L66-40)*4))))</f>
        <v>0</v>
      </c>
      <c r="AG66" s="5">
        <f t="shared" ref="AG66:AG130" si="26">IF(M66&lt;20,0,IF(M66&lt;25,20,IF(M66&lt;30,40,IF(M66&lt;=40,60+(M66-30)*3,60+30+(M66-40)*4))))</f>
        <v>0</v>
      </c>
      <c r="AH66" s="5">
        <f t="shared" ref="AH66:AH130" si="27">IF(N66&lt;20,0,IF(N66&lt;25,20,IF(N66&lt;30,40,IF(N66&lt;=40,60+(N66-30)*3,60+30+(N66-40)*4))))</f>
        <v>0</v>
      </c>
      <c r="AI66" s="5">
        <f t="shared" ref="AI66:AI130" si="28">IF(O66&lt;20,0,IF(O66&lt;25,20,IF(O66&lt;30,40,IF(O66&lt;=40,60+(O66-30)*3,60+30+(O66-40)*4))))</f>
        <v>0</v>
      </c>
      <c r="AJ66" s="5">
        <f t="shared" ref="AJ66:AJ130" si="29">IF(P66&lt;20,0,IF(P66&lt;25,20,IF(P66&lt;30,40,IF(P66&lt;=40,60+(P66-30)*3,60+30+(P66-40)*4))))</f>
        <v>0</v>
      </c>
      <c r="AK66" s="5">
        <f t="shared" ref="AK66:AK130" si="30">IF(Q66&lt;20,0,IF(Q66&lt;25,20,IF(Q66&lt;30,40,IF(Q66&lt;=40,60+(Q66-30)*3,60+30+(Q66-40)*4))))</f>
        <v>0</v>
      </c>
      <c r="AL66" s="5">
        <f t="shared" ref="AL66:AL130" si="31">IF(R66&lt;20,0,IF(R66&lt;25,20,IF(R66&lt;30,40,IF(R66&lt;=40,60+(R66-30)*3,60+30+(R66-40)*4))))</f>
        <v>0</v>
      </c>
      <c r="AM66" s="6">
        <f t="shared" si="16"/>
        <v>142.5</v>
      </c>
    </row>
    <row r="67" spans="1:39" x14ac:dyDescent="0.25">
      <c r="A67" s="4" t="s">
        <v>105</v>
      </c>
      <c r="B67" s="4" t="s">
        <v>106</v>
      </c>
      <c r="C67" s="4" t="s">
        <v>6</v>
      </c>
      <c r="D67" s="5">
        <v>7.5</v>
      </c>
      <c r="E67" s="6">
        <v>4.5</v>
      </c>
      <c r="F67" s="6"/>
      <c r="G67" s="6">
        <v>27</v>
      </c>
      <c r="H67" s="6">
        <v>13.5</v>
      </c>
      <c r="I67" s="6">
        <v>22.5</v>
      </c>
      <c r="J67" s="6">
        <v>27</v>
      </c>
      <c r="K67" s="6">
        <v>30</v>
      </c>
      <c r="L67" s="6"/>
      <c r="M67" s="6"/>
      <c r="N67" s="6"/>
      <c r="O67" s="3"/>
      <c r="P67" s="3"/>
      <c r="Q67" s="3"/>
      <c r="R67" s="3"/>
      <c r="S67" s="6">
        <f t="shared" si="0"/>
        <v>132</v>
      </c>
      <c r="T67">
        <v>1</v>
      </c>
      <c r="U67" s="4" t="s">
        <v>105</v>
      </c>
      <c r="V67" s="4" t="s">
        <v>106</v>
      </c>
      <c r="W67" s="4" t="s">
        <v>6</v>
      </c>
      <c r="X67" s="5">
        <f t="shared" si="17"/>
        <v>0</v>
      </c>
      <c r="Y67" s="5">
        <f t="shared" si="18"/>
        <v>0</v>
      </c>
      <c r="Z67" s="5">
        <f t="shared" si="19"/>
        <v>0</v>
      </c>
      <c r="AA67" s="5">
        <f t="shared" si="20"/>
        <v>40</v>
      </c>
      <c r="AB67" s="5">
        <f t="shared" si="21"/>
        <v>0</v>
      </c>
      <c r="AC67" s="5">
        <f t="shared" si="22"/>
        <v>20</v>
      </c>
      <c r="AD67" s="5">
        <f t="shared" si="23"/>
        <v>40</v>
      </c>
      <c r="AE67" s="5">
        <f t="shared" si="24"/>
        <v>60</v>
      </c>
      <c r="AF67" s="5">
        <f t="shared" si="25"/>
        <v>0</v>
      </c>
      <c r="AG67" s="5">
        <f t="shared" si="26"/>
        <v>0</v>
      </c>
      <c r="AH67" s="5">
        <f t="shared" si="27"/>
        <v>0</v>
      </c>
      <c r="AI67" s="5">
        <f t="shared" si="28"/>
        <v>0</v>
      </c>
      <c r="AJ67" s="5">
        <f t="shared" si="29"/>
        <v>0</v>
      </c>
      <c r="AK67" s="5">
        <f t="shared" si="30"/>
        <v>0</v>
      </c>
      <c r="AL67" s="5">
        <f t="shared" si="31"/>
        <v>0</v>
      </c>
      <c r="AM67" s="6">
        <f t="shared" si="16"/>
        <v>160</v>
      </c>
    </row>
    <row r="68" spans="1:39" x14ac:dyDescent="0.25">
      <c r="A68" s="4" t="s">
        <v>497</v>
      </c>
      <c r="B68" s="4" t="s">
        <v>498</v>
      </c>
      <c r="C68" s="4" t="s">
        <v>6</v>
      </c>
      <c r="D68" s="5"/>
      <c r="E68" s="6"/>
      <c r="F68" s="6">
        <v>16.5</v>
      </c>
      <c r="G68" s="6">
        <v>24</v>
      </c>
      <c r="H68" s="6">
        <v>19</v>
      </c>
      <c r="I68" s="6">
        <v>21</v>
      </c>
      <c r="J68" s="6">
        <v>33</v>
      </c>
      <c r="K68" s="6">
        <v>37.5</v>
      </c>
      <c r="L68" s="6"/>
      <c r="M68" s="6">
        <v>40.5</v>
      </c>
      <c r="N68" s="6"/>
      <c r="O68" s="3"/>
      <c r="P68" s="3"/>
      <c r="Q68" s="3"/>
      <c r="R68" s="3"/>
      <c r="S68" s="6">
        <f t="shared" si="0"/>
        <v>191.5</v>
      </c>
      <c r="T68">
        <v>1</v>
      </c>
      <c r="U68" s="4" t="s">
        <v>497</v>
      </c>
      <c r="V68" s="4" t="s">
        <v>498</v>
      </c>
      <c r="W68" s="4" t="s">
        <v>6</v>
      </c>
      <c r="X68" s="5">
        <f t="shared" si="17"/>
        <v>0</v>
      </c>
      <c r="Y68" s="5">
        <f t="shared" si="18"/>
        <v>0</v>
      </c>
      <c r="Z68" s="5">
        <f t="shared" si="19"/>
        <v>0</v>
      </c>
      <c r="AA68" s="5">
        <f t="shared" si="20"/>
        <v>20</v>
      </c>
      <c r="AB68" s="5">
        <f t="shared" si="21"/>
        <v>0</v>
      </c>
      <c r="AC68" s="5">
        <f t="shared" si="22"/>
        <v>20</v>
      </c>
      <c r="AD68" s="5">
        <f t="shared" si="23"/>
        <v>69</v>
      </c>
      <c r="AE68" s="5">
        <f t="shared" si="24"/>
        <v>82.5</v>
      </c>
      <c r="AF68" s="5">
        <f t="shared" si="25"/>
        <v>0</v>
      </c>
      <c r="AG68" s="5">
        <f t="shared" si="26"/>
        <v>92</v>
      </c>
      <c r="AH68" s="5">
        <f t="shared" si="27"/>
        <v>0</v>
      </c>
      <c r="AI68" s="5">
        <f t="shared" si="28"/>
        <v>0</v>
      </c>
      <c r="AJ68" s="5">
        <f t="shared" si="29"/>
        <v>0</v>
      </c>
      <c r="AK68" s="5">
        <f t="shared" si="30"/>
        <v>0</v>
      </c>
      <c r="AL68" s="5">
        <f t="shared" si="31"/>
        <v>0</v>
      </c>
      <c r="AM68" s="6">
        <f t="shared" si="16"/>
        <v>283.5</v>
      </c>
    </row>
    <row r="69" spans="1:39" x14ac:dyDescent="0.25">
      <c r="A69" s="4" t="s">
        <v>107</v>
      </c>
      <c r="B69" s="4" t="s">
        <v>108</v>
      </c>
      <c r="C69" s="4" t="s">
        <v>6</v>
      </c>
      <c r="D69" s="5"/>
      <c r="E69" s="6"/>
      <c r="F69" s="6"/>
      <c r="G69" s="6"/>
      <c r="H69" s="6"/>
      <c r="I69" s="6">
        <v>12</v>
      </c>
      <c r="J69" s="6">
        <v>30</v>
      </c>
      <c r="K69" s="6"/>
      <c r="L69" s="6"/>
      <c r="M69" s="6"/>
      <c r="N69" s="6"/>
      <c r="O69" s="3"/>
      <c r="P69" s="3"/>
      <c r="Q69" s="3"/>
      <c r="R69" s="3"/>
      <c r="S69" s="6">
        <f t="shared" si="0"/>
        <v>42</v>
      </c>
      <c r="T69">
        <v>1</v>
      </c>
      <c r="U69" s="4" t="s">
        <v>107</v>
      </c>
      <c r="V69" s="4" t="s">
        <v>108</v>
      </c>
      <c r="W69" s="4" t="s">
        <v>6</v>
      </c>
      <c r="X69" s="5">
        <f t="shared" si="17"/>
        <v>0</v>
      </c>
      <c r="Y69" s="5">
        <f t="shared" si="18"/>
        <v>0</v>
      </c>
      <c r="Z69" s="5">
        <f t="shared" si="19"/>
        <v>0</v>
      </c>
      <c r="AA69" s="5">
        <f t="shared" si="20"/>
        <v>0</v>
      </c>
      <c r="AB69" s="5">
        <f t="shared" si="21"/>
        <v>0</v>
      </c>
      <c r="AC69" s="5">
        <f t="shared" si="22"/>
        <v>0</v>
      </c>
      <c r="AD69" s="5">
        <f t="shared" si="23"/>
        <v>60</v>
      </c>
      <c r="AE69" s="5">
        <f t="shared" si="24"/>
        <v>0</v>
      </c>
      <c r="AF69" s="5">
        <f t="shared" si="25"/>
        <v>0</v>
      </c>
      <c r="AG69" s="5">
        <f t="shared" si="26"/>
        <v>0</v>
      </c>
      <c r="AH69" s="5">
        <f t="shared" si="27"/>
        <v>0</v>
      </c>
      <c r="AI69" s="5">
        <f t="shared" si="28"/>
        <v>0</v>
      </c>
      <c r="AJ69" s="5">
        <f t="shared" si="29"/>
        <v>0</v>
      </c>
      <c r="AK69" s="5">
        <f t="shared" si="30"/>
        <v>0</v>
      </c>
      <c r="AL69" s="5">
        <f t="shared" si="31"/>
        <v>0</v>
      </c>
      <c r="AM69" s="6">
        <f t="shared" si="16"/>
        <v>60</v>
      </c>
    </row>
    <row r="70" spans="1:39" x14ac:dyDescent="0.25">
      <c r="A70" s="4" t="s">
        <v>109</v>
      </c>
      <c r="B70" s="4" t="s">
        <v>110</v>
      </c>
      <c r="C70" s="4" t="s">
        <v>6</v>
      </c>
      <c r="D70" s="5">
        <v>9</v>
      </c>
      <c r="E70" s="6">
        <v>15</v>
      </c>
      <c r="F70" s="6">
        <v>18</v>
      </c>
      <c r="G70" s="6"/>
      <c r="H70" s="6">
        <v>19.5</v>
      </c>
      <c r="I70" s="6"/>
      <c r="J70" s="6">
        <v>30</v>
      </c>
      <c r="K70" s="6">
        <v>33</v>
      </c>
      <c r="L70" s="6"/>
      <c r="M70" s="6"/>
      <c r="N70" s="6"/>
      <c r="O70" s="3"/>
      <c r="P70" s="3"/>
      <c r="Q70" s="3"/>
      <c r="R70" s="3"/>
      <c r="S70" s="6">
        <f t="shared" si="0"/>
        <v>124.5</v>
      </c>
      <c r="T70">
        <v>1</v>
      </c>
      <c r="U70" s="4" t="s">
        <v>109</v>
      </c>
      <c r="V70" s="4" t="s">
        <v>110</v>
      </c>
      <c r="W70" s="4" t="s">
        <v>6</v>
      </c>
      <c r="X70" s="5">
        <f t="shared" si="17"/>
        <v>0</v>
      </c>
      <c r="Y70" s="5">
        <f t="shared" si="18"/>
        <v>0</v>
      </c>
      <c r="Z70" s="5">
        <f t="shared" si="19"/>
        <v>0</v>
      </c>
      <c r="AA70" s="5">
        <f t="shared" si="20"/>
        <v>0</v>
      </c>
      <c r="AB70" s="5">
        <f t="shared" si="21"/>
        <v>0</v>
      </c>
      <c r="AC70" s="5">
        <f t="shared" si="22"/>
        <v>0</v>
      </c>
      <c r="AD70" s="5">
        <f t="shared" si="23"/>
        <v>60</v>
      </c>
      <c r="AE70" s="5">
        <f t="shared" si="24"/>
        <v>69</v>
      </c>
      <c r="AF70" s="5">
        <f t="shared" si="25"/>
        <v>0</v>
      </c>
      <c r="AG70" s="5">
        <f t="shared" si="26"/>
        <v>0</v>
      </c>
      <c r="AH70" s="5">
        <f t="shared" si="27"/>
        <v>0</v>
      </c>
      <c r="AI70" s="5">
        <f t="shared" si="28"/>
        <v>0</v>
      </c>
      <c r="AJ70" s="5">
        <f t="shared" si="29"/>
        <v>0</v>
      </c>
      <c r="AK70" s="5">
        <f t="shared" si="30"/>
        <v>0</v>
      </c>
      <c r="AL70" s="5">
        <f t="shared" si="31"/>
        <v>0</v>
      </c>
      <c r="AM70" s="6">
        <f t="shared" si="16"/>
        <v>129</v>
      </c>
    </row>
    <row r="71" spans="1:39" x14ac:dyDescent="0.25">
      <c r="A71" s="4" t="s">
        <v>111</v>
      </c>
      <c r="B71" s="4" t="s">
        <v>112</v>
      </c>
      <c r="C71" s="4" t="s">
        <v>6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3"/>
      <c r="P71" s="3"/>
      <c r="Q71" s="3"/>
      <c r="R71" s="3"/>
      <c r="S71" s="6">
        <f t="shared" si="0"/>
        <v>0</v>
      </c>
      <c r="T71">
        <v>1</v>
      </c>
      <c r="U71" s="4" t="s">
        <v>111</v>
      </c>
      <c r="V71" s="4" t="s">
        <v>112</v>
      </c>
      <c r="W71" s="4" t="s">
        <v>6</v>
      </c>
      <c r="X71" s="5">
        <f t="shared" si="17"/>
        <v>0</v>
      </c>
      <c r="Y71" s="5">
        <f t="shared" si="18"/>
        <v>0</v>
      </c>
      <c r="Z71" s="5">
        <f t="shared" si="19"/>
        <v>0</v>
      </c>
      <c r="AA71" s="5">
        <f t="shared" si="20"/>
        <v>0</v>
      </c>
      <c r="AB71" s="5">
        <f t="shared" si="21"/>
        <v>0</v>
      </c>
      <c r="AC71" s="5">
        <f t="shared" si="22"/>
        <v>0</v>
      </c>
      <c r="AD71" s="5">
        <f t="shared" si="23"/>
        <v>0</v>
      </c>
      <c r="AE71" s="5">
        <f t="shared" si="24"/>
        <v>0</v>
      </c>
      <c r="AF71" s="5">
        <f t="shared" si="25"/>
        <v>0</v>
      </c>
      <c r="AG71" s="5">
        <f t="shared" si="26"/>
        <v>0</v>
      </c>
      <c r="AH71" s="5">
        <f t="shared" si="27"/>
        <v>0</v>
      </c>
      <c r="AI71" s="5">
        <f t="shared" si="28"/>
        <v>0</v>
      </c>
      <c r="AJ71" s="5">
        <f t="shared" si="29"/>
        <v>0</v>
      </c>
      <c r="AK71" s="5">
        <f t="shared" si="30"/>
        <v>0</v>
      </c>
      <c r="AL71" s="5">
        <f t="shared" si="31"/>
        <v>0</v>
      </c>
      <c r="AM71" s="6">
        <f t="shared" si="16"/>
        <v>0</v>
      </c>
    </row>
    <row r="72" spans="1:39" x14ac:dyDescent="0.25">
      <c r="A72" s="4" t="s">
        <v>113</v>
      </c>
      <c r="B72" s="4" t="s">
        <v>114</v>
      </c>
      <c r="C72" s="4" t="s">
        <v>6</v>
      </c>
      <c r="D72" s="5">
        <v>6</v>
      </c>
      <c r="E72" s="6">
        <v>9</v>
      </c>
      <c r="F72" s="6"/>
      <c r="G72" s="6"/>
      <c r="H72" s="6"/>
      <c r="I72" s="6">
        <v>21</v>
      </c>
      <c r="J72" s="6">
        <v>30</v>
      </c>
      <c r="K72" s="6">
        <v>30</v>
      </c>
      <c r="L72" s="6"/>
      <c r="M72" s="6">
        <v>37.5</v>
      </c>
      <c r="N72" s="6"/>
      <c r="O72" s="3"/>
      <c r="P72" s="3"/>
      <c r="Q72" s="3"/>
      <c r="R72" s="3"/>
      <c r="S72" s="6">
        <f t="shared" si="0"/>
        <v>133.5</v>
      </c>
      <c r="T72">
        <v>1</v>
      </c>
      <c r="U72" s="4" t="s">
        <v>113</v>
      </c>
      <c r="V72" s="4" t="s">
        <v>114</v>
      </c>
      <c r="W72" s="4" t="s">
        <v>6</v>
      </c>
      <c r="X72" s="5">
        <f t="shared" si="17"/>
        <v>0</v>
      </c>
      <c r="Y72" s="5">
        <f t="shared" si="18"/>
        <v>0</v>
      </c>
      <c r="Z72" s="5">
        <f t="shared" si="19"/>
        <v>0</v>
      </c>
      <c r="AA72" s="5">
        <f t="shared" si="20"/>
        <v>0</v>
      </c>
      <c r="AB72" s="5">
        <f t="shared" si="21"/>
        <v>0</v>
      </c>
      <c r="AC72" s="5">
        <f t="shared" si="22"/>
        <v>20</v>
      </c>
      <c r="AD72" s="5">
        <f t="shared" si="23"/>
        <v>60</v>
      </c>
      <c r="AE72" s="5">
        <f t="shared" si="24"/>
        <v>60</v>
      </c>
      <c r="AF72" s="5">
        <f t="shared" si="25"/>
        <v>0</v>
      </c>
      <c r="AG72" s="5">
        <f t="shared" si="26"/>
        <v>82.5</v>
      </c>
      <c r="AH72" s="5">
        <f t="shared" si="27"/>
        <v>0</v>
      </c>
      <c r="AI72" s="5">
        <f t="shared" si="28"/>
        <v>0</v>
      </c>
      <c r="AJ72" s="5">
        <f t="shared" si="29"/>
        <v>0</v>
      </c>
      <c r="AK72" s="5">
        <f t="shared" si="30"/>
        <v>0</v>
      </c>
      <c r="AL72" s="5">
        <f t="shared" si="31"/>
        <v>0</v>
      </c>
      <c r="AM72" s="6">
        <f t="shared" si="16"/>
        <v>222.5</v>
      </c>
    </row>
    <row r="73" spans="1:39" x14ac:dyDescent="0.25">
      <c r="A73" s="4" t="s">
        <v>115</v>
      </c>
      <c r="B73" s="4" t="s">
        <v>116</v>
      </c>
      <c r="C73" s="4" t="s">
        <v>6</v>
      </c>
      <c r="D73" s="5">
        <v>10.5</v>
      </c>
      <c r="E73" s="6">
        <v>9</v>
      </c>
      <c r="F73" s="6">
        <v>21</v>
      </c>
      <c r="G73" s="6"/>
      <c r="H73" s="6">
        <v>21</v>
      </c>
      <c r="I73" s="6"/>
      <c r="J73" s="6"/>
      <c r="K73" s="6">
        <v>36</v>
      </c>
      <c r="L73" s="6"/>
      <c r="M73" s="6"/>
      <c r="N73" s="6"/>
      <c r="O73" s="3"/>
      <c r="P73" s="3"/>
      <c r="Q73" s="3"/>
      <c r="R73" s="3"/>
      <c r="S73" s="6">
        <f t="shared" si="0"/>
        <v>97.5</v>
      </c>
      <c r="T73">
        <v>1</v>
      </c>
      <c r="U73" s="4" t="s">
        <v>115</v>
      </c>
      <c r="V73" s="4" t="s">
        <v>116</v>
      </c>
      <c r="W73" s="4" t="s">
        <v>6</v>
      </c>
      <c r="X73" s="5">
        <f t="shared" si="17"/>
        <v>0</v>
      </c>
      <c r="Y73" s="5">
        <f t="shared" si="18"/>
        <v>0</v>
      </c>
      <c r="Z73" s="5">
        <f t="shared" si="19"/>
        <v>20</v>
      </c>
      <c r="AA73" s="5">
        <f t="shared" si="20"/>
        <v>0</v>
      </c>
      <c r="AB73" s="5">
        <f t="shared" si="21"/>
        <v>20</v>
      </c>
      <c r="AC73" s="5">
        <f t="shared" si="22"/>
        <v>0</v>
      </c>
      <c r="AD73" s="5">
        <f t="shared" si="23"/>
        <v>0</v>
      </c>
      <c r="AE73" s="5">
        <f t="shared" si="24"/>
        <v>78</v>
      </c>
      <c r="AF73" s="5">
        <f t="shared" si="25"/>
        <v>0</v>
      </c>
      <c r="AG73" s="5">
        <f t="shared" si="26"/>
        <v>0</v>
      </c>
      <c r="AH73" s="5">
        <f t="shared" si="27"/>
        <v>0</v>
      </c>
      <c r="AI73" s="5">
        <f t="shared" si="28"/>
        <v>0</v>
      </c>
      <c r="AJ73" s="5">
        <f t="shared" si="29"/>
        <v>0</v>
      </c>
      <c r="AK73" s="5">
        <f t="shared" si="30"/>
        <v>0</v>
      </c>
      <c r="AL73" s="5">
        <f t="shared" si="31"/>
        <v>0</v>
      </c>
      <c r="AM73" s="6">
        <f t="shared" si="16"/>
        <v>118</v>
      </c>
    </row>
    <row r="74" spans="1:39" x14ac:dyDescent="0.25">
      <c r="A74" s="4" t="s">
        <v>117</v>
      </c>
      <c r="B74" s="4" t="s">
        <v>118</v>
      </c>
      <c r="C74" s="4" t="s">
        <v>6</v>
      </c>
      <c r="D74" s="5">
        <v>6</v>
      </c>
      <c r="E74" s="6"/>
      <c r="F74" s="6"/>
      <c r="G74" s="6"/>
      <c r="H74" s="6"/>
      <c r="I74" s="6"/>
      <c r="J74" s="6">
        <v>21</v>
      </c>
      <c r="K74" s="6">
        <v>24</v>
      </c>
      <c r="L74" s="6"/>
      <c r="M74" s="6"/>
      <c r="N74" s="6"/>
      <c r="O74" s="3"/>
      <c r="P74" s="3"/>
      <c r="Q74" s="3"/>
      <c r="R74" s="3"/>
      <c r="S74" s="6">
        <f t="shared" si="0"/>
        <v>51</v>
      </c>
      <c r="T74">
        <v>1</v>
      </c>
      <c r="U74" s="4" t="s">
        <v>117</v>
      </c>
      <c r="V74" s="4" t="s">
        <v>118</v>
      </c>
      <c r="W74" s="4" t="s">
        <v>6</v>
      </c>
      <c r="X74" s="5">
        <f t="shared" si="17"/>
        <v>0</v>
      </c>
      <c r="Y74" s="5">
        <f t="shared" si="18"/>
        <v>0</v>
      </c>
      <c r="Z74" s="5">
        <f t="shared" si="19"/>
        <v>0</v>
      </c>
      <c r="AA74" s="5">
        <f t="shared" si="20"/>
        <v>0</v>
      </c>
      <c r="AB74" s="5">
        <f t="shared" si="21"/>
        <v>0</v>
      </c>
      <c r="AC74" s="5">
        <f t="shared" si="22"/>
        <v>0</v>
      </c>
      <c r="AD74" s="5">
        <f t="shared" si="23"/>
        <v>20</v>
      </c>
      <c r="AE74" s="5">
        <f t="shared" si="24"/>
        <v>20</v>
      </c>
      <c r="AF74" s="5">
        <f t="shared" si="25"/>
        <v>0</v>
      </c>
      <c r="AG74" s="5">
        <f t="shared" si="26"/>
        <v>0</v>
      </c>
      <c r="AH74" s="5">
        <f t="shared" si="27"/>
        <v>0</v>
      </c>
      <c r="AI74" s="5">
        <f t="shared" si="28"/>
        <v>0</v>
      </c>
      <c r="AJ74" s="5">
        <f t="shared" si="29"/>
        <v>0</v>
      </c>
      <c r="AK74" s="5">
        <f t="shared" si="30"/>
        <v>0</v>
      </c>
      <c r="AL74" s="5">
        <f t="shared" si="31"/>
        <v>0</v>
      </c>
      <c r="AM74" s="6">
        <f t="shared" si="16"/>
        <v>40</v>
      </c>
    </row>
    <row r="75" spans="1:39" x14ac:dyDescent="0.25">
      <c r="A75" s="4" t="s">
        <v>119</v>
      </c>
      <c r="B75" s="4" t="s">
        <v>120</v>
      </c>
      <c r="C75" s="4" t="s">
        <v>6</v>
      </c>
      <c r="D75" s="5">
        <v>4.5</v>
      </c>
      <c r="E75" s="6"/>
      <c r="F75" s="6"/>
      <c r="G75" s="6"/>
      <c r="H75" s="6"/>
      <c r="I75" s="6"/>
      <c r="J75" s="6">
        <v>31.5</v>
      </c>
      <c r="K75" s="6">
        <v>33</v>
      </c>
      <c r="L75" s="6"/>
      <c r="M75" s="6">
        <v>42</v>
      </c>
      <c r="N75" s="6"/>
      <c r="O75" s="3"/>
      <c r="P75" s="3"/>
      <c r="Q75" s="3"/>
      <c r="R75" s="3"/>
      <c r="S75" s="6">
        <f t="shared" si="0"/>
        <v>111</v>
      </c>
      <c r="T75">
        <v>1</v>
      </c>
      <c r="U75" s="4" t="s">
        <v>119</v>
      </c>
      <c r="V75" s="4" t="s">
        <v>120</v>
      </c>
      <c r="W75" s="4" t="s">
        <v>6</v>
      </c>
      <c r="X75" s="5">
        <f t="shared" si="17"/>
        <v>0</v>
      </c>
      <c r="Y75" s="5">
        <f t="shared" si="18"/>
        <v>0</v>
      </c>
      <c r="Z75" s="5">
        <f t="shared" si="19"/>
        <v>0</v>
      </c>
      <c r="AA75" s="5">
        <f t="shared" si="20"/>
        <v>0</v>
      </c>
      <c r="AB75" s="5">
        <f t="shared" si="21"/>
        <v>0</v>
      </c>
      <c r="AC75" s="5">
        <f t="shared" si="22"/>
        <v>0</v>
      </c>
      <c r="AD75" s="5">
        <f t="shared" si="23"/>
        <v>64.5</v>
      </c>
      <c r="AE75" s="5">
        <f t="shared" si="24"/>
        <v>69</v>
      </c>
      <c r="AF75" s="5">
        <f t="shared" si="25"/>
        <v>0</v>
      </c>
      <c r="AG75" s="5">
        <f t="shared" si="26"/>
        <v>98</v>
      </c>
      <c r="AH75" s="5">
        <f t="shared" si="27"/>
        <v>0</v>
      </c>
      <c r="AI75" s="5">
        <f t="shared" si="28"/>
        <v>0</v>
      </c>
      <c r="AJ75" s="5">
        <f t="shared" si="29"/>
        <v>0</v>
      </c>
      <c r="AK75" s="5">
        <f t="shared" si="30"/>
        <v>0</v>
      </c>
      <c r="AL75" s="5">
        <f t="shared" si="31"/>
        <v>0</v>
      </c>
      <c r="AM75" s="6">
        <f t="shared" si="16"/>
        <v>231.5</v>
      </c>
    </row>
    <row r="76" spans="1:39" x14ac:dyDescent="0.25">
      <c r="A76" s="4" t="s">
        <v>121</v>
      </c>
      <c r="B76" s="4" t="s">
        <v>122</v>
      </c>
      <c r="C76" s="4" t="s">
        <v>6</v>
      </c>
      <c r="D76" s="5">
        <v>9</v>
      </c>
      <c r="E76" s="6">
        <v>6</v>
      </c>
      <c r="F76" s="6"/>
      <c r="G76" s="6"/>
      <c r="H76" s="6">
        <v>23.5</v>
      </c>
      <c r="I76" s="6"/>
      <c r="J76" s="6">
        <v>25.5</v>
      </c>
      <c r="K76" s="6">
        <v>25.5</v>
      </c>
      <c r="L76" s="6"/>
      <c r="M76" s="6"/>
      <c r="N76" s="6"/>
      <c r="O76" s="3"/>
      <c r="P76" s="3"/>
      <c r="Q76" s="3"/>
      <c r="R76" s="3"/>
      <c r="S76" s="6">
        <f t="shared" si="0"/>
        <v>89.5</v>
      </c>
      <c r="T76">
        <v>1</v>
      </c>
      <c r="U76" s="4" t="s">
        <v>121</v>
      </c>
      <c r="V76" s="4" t="s">
        <v>122</v>
      </c>
      <c r="W76" s="4" t="s">
        <v>6</v>
      </c>
      <c r="X76" s="5">
        <f t="shared" si="17"/>
        <v>0</v>
      </c>
      <c r="Y76" s="5">
        <f t="shared" si="18"/>
        <v>0</v>
      </c>
      <c r="Z76" s="5">
        <f t="shared" si="19"/>
        <v>0</v>
      </c>
      <c r="AA76" s="5">
        <f t="shared" si="20"/>
        <v>0</v>
      </c>
      <c r="AB76" s="5">
        <f t="shared" si="21"/>
        <v>20</v>
      </c>
      <c r="AC76" s="5">
        <f t="shared" si="22"/>
        <v>0</v>
      </c>
      <c r="AD76" s="5">
        <f t="shared" si="23"/>
        <v>40</v>
      </c>
      <c r="AE76" s="5">
        <f t="shared" si="24"/>
        <v>40</v>
      </c>
      <c r="AF76" s="5">
        <f t="shared" si="25"/>
        <v>0</v>
      </c>
      <c r="AG76" s="5">
        <f t="shared" si="26"/>
        <v>0</v>
      </c>
      <c r="AH76" s="5">
        <f t="shared" si="27"/>
        <v>0</v>
      </c>
      <c r="AI76" s="5">
        <f t="shared" si="28"/>
        <v>0</v>
      </c>
      <c r="AJ76" s="5">
        <f t="shared" si="29"/>
        <v>0</v>
      </c>
      <c r="AK76" s="5">
        <f t="shared" si="30"/>
        <v>0</v>
      </c>
      <c r="AL76" s="5">
        <f t="shared" si="31"/>
        <v>0</v>
      </c>
      <c r="AM76" s="6">
        <f t="shared" si="16"/>
        <v>100</v>
      </c>
    </row>
    <row r="77" spans="1:39" x14ac:dyDescent="0.25">
      <c r="A77" s="4" t="s">
        <v>123</v>
      </c>
      <c r="B77" s="4" t="s">
        <v>124</v>
      </c>
      <c r="C77" s="4" t="s">
        <v>6</v>
      </c>
      <c r="D77" s="5"/>
      <c r="E77" s="6"/>
      <c r="F77" s="6"/>
      <c r="G77" s="6"/>
      <c r="H77" s="6"/>
      <c r="I77" s="6">
        <v>21</v>
      </c>
      <c r="J77" s="6">
        <v>30</v>
      </c>
      <c r="K77" s="6">
        <v>34.5</v>
      </c>
      <c r="L77" s="6"/>
      <c r="M77" s="6">
        <v>36</v>
      </c>
      <c r="N77" s="6"/>
      <c r="O77" s="3"/>
      <c r="P77" s="3"/>
      <c r="Q77" s="3"/>
      <c r="R77" s="3"/>
      <c r="S77" s="6">
        <f t="shared" si="0"/>
        <v>121.5</v>
      </c>
      <c r="T77">
        <v>1</v>
      </c>
      <c r="U77" s="4" t="s">
        <v>123</v>
      </c>
      <c r="V77" s="4" t="s">
        <v>124</v>
      </c>
      <c r="W77" s="4" t="s">
        <v>6</v>
      </c>
      <c r="X77" s="5">
        <f t="shared" si="17"/>
        <v>0</v>
      </c>
      <c r="Y77" s="5">
        <f t="shared" si="18"/>
        <v>0</v>
      </c>
      <c r="Z77" s="5">
        <f t="shared" si="19"/>
        <v>0</v>
      </c>
      <c r="AA77" s="5">
        <f t="shared" si="20"/>
        <v>0</v>
      </c>
      <c r="AB77" s="5">
        <f t="shared" si="21"/>
        <v>0</v>
      </c>
      <c r="AC77" s="5">
        <f t="shared" si="22"/>
        <v>20</v>
      </c>
      <c r="AD77" s="5">
        <f t="shared" si="23"/>
        <v>60</v>
      </c>
      <c r="AE77" s="5">
        <f t="shared" si="24"/>
        <v>73.5</v>
      </c>
      <c r="AF77" s="5">
        <f t="shared" si="25"/>
        <v>0</v>
      </c>
      <c r="AG77" s="5">
        <f t="shared" si="26"/>
        <v>78</v>
      </c>
      <c r="AH77" s="5">
        <f t="shared" si="27"/>
        <v>0</v>
      </c>
      <c r="AI77" s="5">
        <f t="shared" si="28"/>
        <v>0</v>
      </c>
      <c r="AJ77" s="5">
        <f t="shared" si="29"/>
        <v>0</v>
      </c>
      <c r="AK77" s="5">
        <f t="shared" si="30"/>
        <v>0</v>
      </c>
      <c r="AL77" s="5">
        <f t="shared" si="31"/>
        <v>0</v>
      </c>
      <c r="AM77" s="6">
        <f t="shared" si="16"/>
        <v>231.5</v>
      </c>
    </row>
    <row r="78" spans="1:39" x14ac:dyDescent="0.25">
      <c r="A78" s="4" t="s">
        <v>379</v>
      </c>
      <c r="B78" s="4" t="s">
        <v>380</v>
      </c>
      <c r="C78" s="4" t="s">
        <v>6</v>
      </c>
      <c r="D78" s="5"/>
      <c r="E78" s="6"/>
      <c r="F78" s="6"/>
      <c r="G78" s="6">
        <v>15</v>
      </c>
      <c r="H78" s="6">
        <v>20</v>
      </c>
      <c r="I78" s="6"/>
      <c r="J78" s="6">
        <v>30</v>
      </c>
      <c r="K78" s="6">
        <v>31.5</v>
      </c>
      <c r="L78" s="6"/>
      <c r="M78" s="6"/>
      <c r="N78" s="6"/>
      <c r="O78" s="3"/>
      <c r="P78" s="3"/>
      <c r="Q78" s="3"/>
      <c r="R78" s="3"/>
      <c r="S78" s="6">
        <f t="shared" si="0"/>
        <v>96.5</v>
      </c>
      <c r="T78">
        <v>1</v>
      </c>
      <c r="U78" s="4" t="s">
        <v>379</v>
      </c>
      <c r="V78" s="4" t="s">
        <v>380</v>
      </c>
      <c r="W78" s="4" t="s">
        <v>6</v>
      </c>
      <c r="X78" s="5">
        <f t="shared" si="17"/>
        <v>0</v>
      </c>
      <c r="Y78" s="5">
        <f t="shared" si="18"/>
        <v>0</v>
      </c>
      <c r="Z78" s="5">
        <f t="shared" si="19"/>
        <v>0</v>
      </c>
      <c r="AA78" s="5">
        <f t="shared" si="20"/>
        <v>0</v>
      </c>
      <c r="AB78" s="5">
        <f t="shared" si="21"/>
        <v>20</v>
      </c>
      <c r="AC78" s="5">
        <f t="shared" si="22"/>
        <v>0</v>
      </c>
      <c r="AD78" s="5">
        <f t="shared" si="23"/>
        <v>60</v>
      </c>
      <c r="AE78" s="5">
        <f t="shared" si="24"/>
        <v>64.5</v>
      </c>
      <c r="AF78" s="5">
        <f t="shared" si="25"/>
        <v>0</v>
      </c>
      <c r="AG78" s="5">
        <f t="shared" si="26"/>
        <v>0</v>
      </c>
      <c r="AH78" s="5">
        <f t="shared" si="27"/>
        <v>0</v>
      </c>
      <c r="AI78" s="5">
        <f t="shared" si="28"/>
        <v>0</v>
      </c>
      <c r="AJ78" s="5">
        <f t="shared" si="29"/>
        <v>0</v>
      </c>
      <c r="AK78" s="5">
        <f t="shared" si="30"/>
        <v>0</v>
      </c>
      <c r="AL78" s="5">
        <f t="shared" si="31"/>
        <v>0</v>
      </c>
      <c r="AM78" s="6">
        <f t="shared" si="16"/>
        <v>144.5</v>
      </c>
    </row>
    <row r="79" spans="1:39" x14ac:dyDescent="0.25">
      <c r="A79" s="4" t="s">
        <v>125</v>
      </c>
      <c r="B79" s="4" t="s">
        <v>126</v>
      </c>
      <c r="C79" s="4" t="s">
        <v>6</v>
      </c>
      <c r="D79" s="5"/>
      <c r="E79" s="6"/>
      <c r="F79" s="6"/>
      <c r="G79" s="6">
        <v>15</v>
      </c>
      <c r="H79" s="6"/>
      <c r="I79" s="6"/>
      <c r="J79" s="6"/>
      <c r="K79" s="6"/>
      <c r="L79" s="6"/>
      <c r="M79" s="6"/>
      <c r="N79" s="6"/>
      <c r="O79" s="3"/>
      <c r="P79" s="3"/>
      <c r="Q79" s="3"/>
      <c r="R79" s="3"/>
      <c r="S79" s="6">
        <f t="shared" si="0"/>
        <v>15</v>
      </c>
      <c r="T79">
        <v>1</v>
      </c>
      <c r="U79" s="4" t="s">
        <v>125</v>
      </c>
      <c r="V79" s="4" t="s">
        <v>126</v>
      </c>
      <c r="W79" s="4" t="s">
        <v>6</v>
      </c>
      <c r="X79" s="5">
        <f t="shared" si="17"/>
        <v>0</v>
      </c>
      <c r="Y79" s="5">
        <f t="shared" si="18"/>
        <v>0</v>
      </c>
      <c r="Z79" s="5">
        <f t="shared" si="19"/>
        <v>0</v>
      </c>
      <c r="AA79" s="5">
        <f t="shared" si="20"/>
        <v>0</v>
      </c>
      <c r="AB79" s="5">
        <f t="shared" si="21"/>
        <v>0</v>
      </c>
      <c r="AC79" s="5">
        <f t="shared" si="22"/>
        <v>0</v>
      </c>
      <c r="AD79" s="5">
        <f t="shared" si="23"/>
        <v>0</v>
      </c>
      <c r="AE79" s="5">
        <f t="shared" si="24"/>
        <v>0</v>
      </c>
      <c r="AF79" s="5">
        <f t="shared" si="25"/>
        <v>0</v>
      </c>
      <c r="AG79" s="5">
        <f t="shared" si="26"/>
        <v>0</v>
      </c>
      <c r="AH79" s="5">
        <f t="shared" si="27"/>
        <v>0</v>
      </c>
      <c r="AI79" s="5">
        <f t="shared" si="28"/>
        <v>0</v>
      </c>
      <c r="AJ79" s="5">
        <f t="shared" si="29"/>
        <v>0</v>
      </c>
      <c r="AK79" s="5">
        <f t="shared" si="30"/>
        <v>0</v>
      </c>
      <c r="AL79" s="5">
        <f t="shared" si="31"/>
        <v>0</v>
      </c>
      <c r="AM79" s="6">
        <f t="shared" si="16"/>
        <v>0</v>
      </c>
    </row>
    <row r="80" spans="1:39" x14ac:dyDescent="0.25">
      <c r="A80" s="4" t="s">
        <v>127</v>
      </c>
      <c r="B80" s="4" t="s">
        <v>128</v>
      </c>
      <c r="C80" s="4" t="s">
        <v>6</v>
      </c>
      <c r="D80" s="5">
        <v>7.5</v>
      </c>
      <c r="E80" s="6">
        <v>7.5</v>
      </c>
      <c r="F80" s="6">
        <v>13.5</v>
      </c>
      <c r="G80" s="6">
        <v>24</v>
      </c>
      <c r="H80" s="6">
        <v>26.5</v>
      </c>
      <c r="I80" s="6"/>
      <c r="J80" s="6">
        <v>24</v>
      </c>
      <c r="K80" s="6">
        <v>30</v>
      </c>
      <c r="L80" s="6"/>
      <c r="M80" s="6">
        <v>31.5</v>
      </c>
      <c r="N80" s="6"/>
      <c r="O80" s="3"/>
      <c r="P80" s="3"/>
      <c r="Q80" s="3"/>
      <c r="R80" s="3"/>
      <c r="S80" s="6">
        <f t="shared" si="0"/>
        <v>164.5</v>
      </c>
      <c r="T80">
        <v>1</v>
      </c>
      <c r="U80" s="4" t="s">
        <v>127</v>
      </c>
      <c r="V80" s="4" t="s">
        <v>128</v>
      </c>
      <c r="W80" s="4" t="s">
        <v>6</v>
      </c>
      <c r="X80" s="5">
        <f t="shared" si="17"/>
        <v>0</v>
      </c>
      <c r="Y80" s="5">
        <f t="shared" si="18"/>
        <v>0</v>
      </c>
      <c r="Z80" s="5">
        <f t="shared" si="19"/>
        <v>0</v>
      </c>
      <c r="AA80" s="5">
        <f t="shared" si="20"/>
        <v>20</v>
      </c>
      <c r="AB80" s="5">
        <f t="shared" si="21"/>
        <v>40</v>
      </c>
      <c r="AC80" s="5">
        <f t="shared" si="22"/>
        <v>0</v>
      </c>
      <c r="AD80" s="5">
        <f t="shared" si="23"/>
        <v>20</v>
      </c>
      <c r="AE80" s="5">
        <f t="shared" si="24"/>
        <v>60</v>
      </c>
      <c r="AF80" s="5">
        <f t="shared" si="25"/>
        <v>0</v>
      </c>
      <c r="AG80" s="5">
        <f t="shared" si="26"/>
        <v>64.5</v>
      </c>
      <c r="AH80" s="5">
        <f t="shared" si="27"/>
        <v>0</v>
      </c>
      <c r="AI80" s="5">
        <f t="shared" si="28"/>
        <v>0</v>
      </c>
      <c r="AJ80" s="5">
        <f t="shared" si="29"/>
        <v>0</v>
      </c>
      <c r="AK80" s="5">
        <f t="shared" si="30"/>
        <v>0</v>
      </c>
      <c r="AL80" s="5">
        <f t="shared" si="31"/>
        <v>0</v>
      </c>
      <c r="AM80" s="6">
        <f t="shared" si="16"/>
        <v>204.5</v>
      </c>
    </row>
    <row r="81" spans="1:39" x14ac:dyDescent="0.25">
      <c r="A81" s="4" t="s">
        <v>505</v>
      </c>
      <c r="B81" s="4" t="s">
        <v>506</v>
      </c>
      <c r="C81" s="4" t="s">
        <v>6</v>
      </c>
      <c r="D81" s="5"/>
      <c r="E81" s="6"/>
      <c r="F81" s="6">
        <v>4.5</v>
      </c>
      <c r="G81" s="6"/>
      <c r="H81" s="6">
        <v>4.5</v>
      </c>
      <c r="I81" s="6"/>
      <c r="J81" s="6">
        <v>10.5</v>
      </c>
      <c r="K81" s="6"/>
      <c r="L81" s="6">
        <v>25.5</v>
      </c>
      <c r="M81" s="6">
        <v>22.5</v>
      </c>
      <c r="N81" s="6"/>
      <c r="O81" s="3"/>
      <c r="P81" s="3"/>
      <c r="Q81" s="3"/>
      <c r="R81" s="3"/>
      <c r="S81" s="6">
        <f t="shared" si="0"/>
        <v>67.5</v>
      </c>
      <c r="T81">
        <v>1</v>
      </c>
      <c r="U81" s="4" t="s">
        <v>505</v>
      </c>
      <c r="V81" s="4" t="s">
        <v>506</v>
      </c>
      <c r="W81" s="4" t="s">
        <v>6</v>
      </c>
      <c r="X81" s="5">
        <f t="shared" si="17"/>
        <v>0</v>
      </c>
      <c r="Y81" s="5">
        <f t="shared" si="18"/>
        <v>0</v>
      </c>
      <c r="Z81" s="5">
        <f t="shared" si="19"/>
        <v>0</v>
      </c>
      <c r="AA81" s="5">
        <f t="shared" si="20"/>
        <v>0</v>
      </c>
      <c r="AB81" s="5">
        <f t="shared" si="21"/>
        <v>0</v>
      </c>
      <c r="AC81" s="5">
        <f t="shared" si="22"/>
        <v>0</v>
      </c>
      <c r="AD81" s="5">
        <f t="shared" si="23"/>
        <v>0</v>
      </c>
      <c r="AE81" s="5">
        <f t="shared" si="24"/>
        <v>0</v>
      </c>
      <c r="AF81" s="5">
        <f t="shared" si="25"/>
        <v>40</v>
      </c>
      <c r="AG81" s="5">
        <f t="shared" si="26"/>
        <v>20</v>
      </c>
      <c r="AH81" s="5">
        <f t="shared" si="27"/>
        <v>0</v>
      </c>
      <c r="AI81" s="5">
        <f t="shared" si="28"/>
        <v>0</v>
      </c>
      <c r="AJ81" s="5">
        <f t="shared" si="29"/>
        <v>0</v>
      </c>
      <c r="AK81" s="5">
        <f t="shared" si="30"/>
        <v>0</v>
      </c>
      <c r="AL81" s="5">
        <f t="shared" si="31"/>
        <v>0</v>
      </c>
      <c r="AM81" s="6">
        <f t="shared" si="16"/>
        <v>60</v>
      </c>
    </row>
    <row r="82" spans="1:39" x14ac:dyDescent="0.25">
      <c r="A82" s="4" t="s">
        <v>391</v>
      </c>
      <c r="B82" s="4" t="s">
        <v>392</v>
      </c>
      <c r="C82" s="4" t="s">
        <v>6</v>
      </c>
      <c r="D82" s="5"/>
      <c r="E82" s="6"/>
      <c r="F82" s="6">
        <v>6</v>
      </c>
      <c r="G82" s="6">
        <v>7.5</v>
      </c>
      <c r="H82" s="6">
        <v>9</v>
      </c>
      <c r="I82" s="6">
        <v>15</v>
      </c>
      <c r="J82" s="6">
        <v>15</v>
      </c>
      <c r="K82" s="6">
        <v>16.5</v>
      </c>
      <c r="L82" s="6">
        <v>33</v>
      </c>
      <c r="M82" s="6">
        <v>24</v>
      </c>
      <c r="N82" s="6"/>
      <c r="O82" s="3"/>
      <c r="P82" s="3"/>
      <c r="Q82" s="3"/>
      <c r="R82" s="3"/>
      <c r="S82" s="6">
        <f t="shared" si="0"/>
        <v>126</v>
      </c>
      <c r="T82">
        <v>1</v>
      </c>
      <c r="U82" s="4" t="s">
        <v>391</v>
      </c>
      <c r="V82" s="4" t="s">
        <v>392</v>
      </c>
      <c r="W82" s="4" t="s">
        <v>6</v>
      </c>
      <c r="X82" s="5">
        <f t="shared" si="17"/>
        <v>0</v>
      </c>
      <c r="Y82" s="5">
        <f t="shared" si="18"/>
        <v>0</v>
      </c>
      <c r="Z82" s="5">
        <f t="shared" si="19"/>
        <v>0</v>
      </c>
      <c r="AA82" s="5">
        <f t="shared" si="20"/>
        <v>0</v>
      </c>
      <c r="AB82" s="5">
        <f t="shared" si="21"/>
        <v>0</v>
      </c>
      <c r="AC82" s="5">
        <f t="shared" si="22"/>
        <v>0</v>
      </c>
      <c r="AD82" s="5">
        <f t="shared" si="23"/>
        <v>0</v>
      </c>
      <c r="AE82" s="5">
        <f t="shared" si="24"/>
        <v>0</v>
      </c>
      <c r="AF82" s="5">
        <f t="shared" si="25"/>
        <v>69</v>
      </c>
      <c r="AG82" s="5">
        <f t="shared" si="26"/>
        <v>20</v>
      </c>
      <c r="AH82" s="5">
        <f t="shared" si="27"/>
        <v>0</v>
      </c>
      <c r="AI82" s="5">
        <f t="shared" si="28"/>
        <v>0</v>
      </c>
      <c r="AJ82" s="5">
        <f t="shared" si="29"/>
        <v>0</v>
      </c>
      <c r="AK82" s="5">
        <f t="shared" si="30"/>
        <v>0</v>
      </c>
      <c r="AL82" s="5">
        <f t="shared" si="31"/>
        <v>0</v>
      </c>
      <c r="AM82" s="6">
        <f t="shared" si="16"/>
        <v>89</v>
      </c>
    </row>
    <row r="83" spans="1:39" x14ac:dyDescent="0.25">
      <c r="A83" s="4" t="s">
        <v>489</v>
      </c>
      <c r="B83" s="4" t="s">
        <v>490</v>
      </c>
      <c r="C83" s="4" t="s">
        <v>6</v>
      </c>
      <c r="D83" s="5"/>
      <c r="E83" s="6"/>
      <c r="F83" s="6">
        <v>4.5</v>
      </c>
      <c r="G83" s="6">
        <v>4.5</v>
      </c>
      <c r="H83" s="6">
        <v>9</v>
      </c>
      <c r="I83" s="6"/>
      <c r="J83" s="6">
        <v>10.5</v>
      </c>
      <c r="K83" s="6">
        <v>16.5</v>
      </c>
      <c r="L83" s="6">
        <v>30</v>
      </c>
      <c r="M83" s="6">
        <v>31.5</v>
      </c>
      <c r="N83" s="6"/>
      <c r="O83" s="3"/>
      <c r="P83" s="3"/>
      <c r="Q83" s="3"/>
      <c r="R83" s="3"/>
      <c r="S83" s="6">
        <f t="shared" si="0"/>
        <v>106.5</v>
      </c>
      <c r="T83">
        <v>1</v>
      </c>
      <c r="U83" s="4" t="s">
        <v>489</v>
      </c>
      <c r="V83" s="4" t="s">
        <v>490</v>
      </c>
      <c r="W83" s="4" t="s">
        <v>6</v>
      </c>
      <c r="X83" s="5">
        <f t="shared" si="17"/>
        <v>0</v>
      </c>
      <c r="Y83" s="5">
        <f t="shared" si="18"/>
        <v>0</v>
      </c>
      <c r="Z83" s="5">
        <f t="shared" si="19"/>
        <v>0</v>
      </c>
      <c r="AA83" s="5">
        <f t="shared" si="20"/>
        <v>0</v>
      </c>
      <c r="AB83" s="5">
        <f t="shared" si="21"/>
        <v>0</v>
      </c>
      <c r="AC83" s="5">
        <f t="shared" si="22"/>
        <v>0</v>
      </c>
      <c r="AD83" s="5">
        <f t="shared" si="23"/>
        <v>0</v>
      </c>
      <c r="AE83" s="5">
        <f t="shared" si="24"/>
        <v>0</v>
      </c>
      <c r="AF83" s="5">
        <f t="shared" si="25"/>
        <v>60</v>
      </c>
      <c r="AG83" s="5">
        <f t="shared" si="26"/>
        <v>64.5</v>
      </c>
      <c r="AH83" s="5">
        <f t="shared" si="27"/>
        <v>0</v>
      </c>
      <c r="AI83" s="5">
        <f t="shared" si="28"/>
        <v>0</v>
      </c>
      <c r="AJ83" s="5">
        <f t="shared" si="29"/>
        <v>0</v>
      </c>
      <c r="AK83" s="5">
        <f t="shared" si="30"/>
        <v>0</v>
      </c>
      <c r="AL83" s="5">
        <f t="shared" si="31"/>
        <v>0</v>
      </c>
      <c r="AM83" s="6">
        <f t="shared" si="16"/>
        <v>124.5</v>
      </c>
    </row>
    <row r="84" spans="1:39" x14ac:dyDescent="0.25">
      <c r="A84" s="4" t="s">
        <v>437</v>
      </c>
      <c r="B84" s="4" t="s">
        <v>438</v>
      </c>
      <c r="C84" s="4" t="s">
        <v>6</v>
      </c>
      <c r="D84" s="5"/>
      <c r="E84" s="6">
        <v>4.5</v>
      </c>
      <c r="F84" s="6">
        <v>3</v>
      </c>
      <c r="G84" s="6">
        <v>3</v>
      </c>
      <c r="H84" s="6">
        <v>4.5</v>
      </c>
      <c r="I84" s="6">
        <v>9</v>
      </c>
      <c r="J84" s="6">
        <v>7.5</v>
      </c>
      <c r="K84" s="6"/>
      <c r="L84" s="6"/>
      <c r="M84" s="6"/>
      <c r="N84" s="6"/>
      <c r="O84" s="3"/>
      <c r="P84" s="3"/>
      <c r="Q84" s="3"/>
      <c r="R84" s="3"/>
      <c r="S84" s="6">
        <f t="shared" si="0"/>
        <v>31.5</v>
      </c>
      <c r="T84">
        <v>1</v>
      </c>
      <c r="U84" s="4" t="s">
        <v>437</v>
      </c>
      <c r="V84" s="4" t="s">
        <v>438</v>
      </c>
      <c r="W84" s="4" t="s">
        <v>6</v>
      </c>
      <c r="X84" s="5">
        <f t="shared" si="17"/>
        <v>0</v>
      </c>
      <c r="Y84" s="5">
        <f t="shared" si="18"/>
        <v>0</v>
      </c>
      <c r="Z84" s="5">
        <f t="shared" si="19"/>
        <v>0</v>
      </c>
      <c r="AA84" s="5">
        <f t="shared" si="20"/>
        <v>0</v>
      </c>
      <c r="AB84" s="5">
        <f t="shared" si="21"/>
        <v>0</v>
      </c>
      <c r="AC84" s="5">
        <f t="shared" si="22"/>
        <v>0</v>
      </c>
      <c r="AD84" s="5">
        <f t="shared" si="23"/>
        <v>0</v>
      </c>
      <c r="AE84" s="5">
        <f t="shared" si="24"/>
        <v>0</v>
      </c>
      <c r="AF84" s="5">
        <f t="shared" si="25"/>
        <v>0</v>
      </c>
      <c r="AG84" s="5">
        <f t="shared" si="26"/>
        <v>0</v>
      </c>
      <c r="AH84" s="5">
        <f t="shared" si="27"/>
        <v>0</v>
      </c>
      <c r="AI84" s="5">
        <f t="shared" si="28"/>
        <v>0</v>
      </c>
      <c r="AJ84" s="5">
        <f t="shared" si="29"/>
        <v>0</v>
      </c>
      <c r="AK84" s="5">
        <f t="shared" si="30"/>
        <v>0</v>
      </c>
      <c r="AL84" s="5">
        <f t="shared" si="31"/>
        <v>0</v>
      </c>
      <c r="AM84" s="6">
        <f t="shared" si="16"/>
        <v>0</v>
      </c>
    </row>
    <row r="85" spans="1:39" x14ac:dyDescent="0.25">
      <c r="A85" s="4" t="s">
        <v>553</v>
      </c>
      <c r="B85" s="4" t="s">
        <v>554</v>
      </c>
      <c r="C85" s="4" t="s">
        <v>6</v>
      </c>
      <c r="D85" s="5"/>
      <c r="E85" s="6"/>
      <c r="F85" s="6"/>
      <c r="G85" s="6"/>
      <c r="H85" s="6"/>
      <c r="I85" s="6"/>
      <c r="J85" s="6"/>
      <c r="K85" s="6"/>
      <c r="L85" s="6">
        <v>30</v>
      </c>
      <c r="M85" s="6">
        <v>19.5</v>
      </c>
      <c r="N85" s="6"/>
      <c r="O85" s="3"/>
      <c r="P85" s="3"/>
      <c r="Q85" s="3"/>
      <c r="R85" s="3"/>
      <c r="S85" s="6">
        <f t="shared" si="0"/>
        <v>49.5</v>
      </c>
      <c r="T85">
        <v>1</v>
      </c>
      <c r="U85" s="4" t="s">
        <v>553</v>
      </c>
      <c r="V85" s="4" t="s">
        <v>554</v>
      </c>
      <c r="W85" s="4" t="s">
        <v>6</v>
      </c>
      <c r="X85" s="5">
        <f t="shared" si="17"/>
        <v>0</v>
      </c>
      <c r="Y85" s="5">
        <f t="shared" si="18"/>
        <v>0</v>
      </c>
      <c r="Z85" s="5">
        <f t="shared" si="19"/>
        <v>0</v>
      </c>
      <c r="AA85" s="5">
        <f t="shared" si="20"/>
        <v>0</v>
      </c>
      <c r="AB85" s="5">
        <f t="shared" si="21"/>
        <v>0</v>
      </c>
      <c r="AC85" s="5">
        <f t="shared" si="22"/>
        <v>0</v>
      </c>
      <c r="AD85" s="5">
        <f t="shared" si="23"/>
        <v>0</v>
      </c>
      <c r="AE85" s="5">
        <f t="shared" si="24"/>
        <v>0</v>
      </c>
      <c r="AF85" s="5">
        <f t="shared" si="25"/>
        <v>60</v>
      </c>
      <c r="AG85" s="5">
        <f t="shared" si="26"/>
        <v>0</v>
      </c>
      <c r="AH85" s="5">
        <f t="shared" si="27"/>
        <v>0</v>
      </c>
      <c r="AI85" s="5">
        <f t="shared" si="28"/>
        <v>0</v>
      </c>
      <c r="AJ85" s="5">
        <f t="shared" si="29"/>
        <v>0</v>
      </c>
      <c r="AK85" s="5">
        <f t="shared" si="30"/>
        <v>0</v>
      </c>
      <c r="AL85" s="5">
        <f t="shared" si="31"/>
        <v>0</v>
      </c>
      <c r="AM85" s="6">
        <f t="shared" si="16"/>
        <v>60</v>
      </c>
    </row>
    <row r="86" spans="1:39" x14ac:dyDescent="0.25">
      <c r="A86" s="4" t="s">
        <v>541</v>
      </c>
      <c r="B86" s="4" t="s">
        <v>542</v>
      </c>
      <c r="C86" s="4" t="s">
        <v>6</v>
      </c>
      <c r="D86" s="5"/>
      <c r="E86" s="6"/>
      <c r="F86" s="6"/>
      <c r="G86" s="6"/>
      <c r="H86" s="6"/>
      <c r="I86" s="6"/>
      <c r="J86" s="6">
        <v>6</v>
      </c>
      <c r="K86" s="6"/>
      <c r="L86" s="6">
        <v>16.5</v>
      </c>
      <c r="M86" s="6"/>
      <c r="N86" s="6"/>
      <c r="O86" s="3"/>
      <c r="P86" s="3"/>
      <c r="Q86" s="3"/>
      <c r="R86" s="3"/>
      <c r="S86" s="6">
        <f t="shared" si="0"/>
        <v>22.5</v>
      </c>
      <c r="T86">
        <v>1</v>
      </c>
      <c r="U86" s="4" t="s">
        <v>541</v>
      </c>
      <c r="V86" s="4" t="s">
        <v>542</v>
      </c>
      <c r="W86" s="4" t="s">
        <v>6</v>
      </c>
      <c r="X86" s="5">
        <f t="shared" si="17"/>
        <v>0</v>
      </c>
      <c r="Y86" s="5">
        <f t="shared" si="18"/>
        <v>0</v>
      </c>
      <c r="Z86" s="5">
        <f t="shared" si="19"/>
        <v>0</v>
      </c>
      <c r="AA86" s="5">
        <f t="shared" si="20"/>
        <v>0</v>
      </c>
      <c r="AB86" s="5">
        <f t="shared" si="21"/>
        <v>0</v>
      </c>
      <c r="AC86" s="5">
        <f t="shared" si="22"/>
        <v>0</v>
      </c>
      <c r="AD86" s="5">
        <f t="shared" si="23"/>
        <v>0</v>
      </c>
      <c r="AE86" s="5">
        <f t="shared" si="24"/>
        <v>0</v>
      </c>
      <c r="AF86" s="5">
        <f t="shared" si="25"/>
        <v>0</v>
      </c>
      <c r="AG86" s="5">
        <f t="shared" si="26"/>
        <v>0</v>
      </c>
      <c r="AH86" s="5">
        <f t="shared" si="27"/>
        <v>0</v>
      </c>
      <c r="AI86" s="5">
        <f t="shared" si="28"/>
        <v>0</v>
      </c>
      <c r="AJ86" s="5">
        <f t="shared" si="29"/>
        <v>0</v>
      </c>
      <c r="AK86" s="5">
        <f t="shared" si="30"/>
        <v>0</v>
      </c>
      <c r="AL86" s="5">
        <f t="shared" si="31"/>
        <v>0</v>
      </c>
      <c r="AM86" s="6">
        <f t="shared" si="16"/>
        <v>0</v>
      </c>
    </row>
    <row r="87" spans="1:39" x14ac:dyDescent="0.25">
      <c r="A87" s="4" t="s">
        <v>493</v>
      </c>
      <c r="B87" s="4" t="s">
        <v>494</v>
      </c>
      <c r="C87" s="4" t="s">
        <v>6</v>
      </c>
      <c r="D87" s="5"/>
      <c r="E87" s="6"/>
      <c r="F87" s="6"/>
      <c r="G87" s="6">
        <v>6</v>
      </c>
      <c r="H87" s="6"/>
      <c r="I87" s="6"/>
      <c r="J87" s="6"/>
      <c r="K87" s="6"/>
      <c r="L87" s="6"/>
      <c r="M87" s="6"/>
      <c r="N87" s="6"/>
      <c r="O87" s="3"/>
      <c r="P87" s="3"/>
      <c r="Q87" s="3"/>
      <c r="R87" s="3"/>
      <c r="S87" s="6">
        <f t="shared" si="0"/>
        <v>6</v>
      </c>
      <c r="T87">
        <v>1</v>
      </c>
      <c r="U87" s="4" t="s">
        <v>493</v>
      </c>
      <c r="V87" s="4" t="s">
        <v>494</v>
      </c>
      <c r="W87" s="4" t="s">
        <v>6</v>
      </c>
      <c r="X87" s="5">
        <f t="shared" si="17"/>
        <v>0</v>
      </c>
      <c r="Y87" s="5">
        <f t="shared" si="18"/>
        <v>0</v>
      </c>
      <c r="Z87" s="5">
        <f t="shared" si="19"/>
        <v>0</v>
      </c>
      <c r="AA87" s="5">
        <f t="shared" si="20"/>
        <v>0</v>
      </c>
      <c r="AB87" s="5">
        <f t="shared" si="21"/>
        <v>0</v>
      </c>
      <c r="AC87" s="5">
        <f t="shared" si="22"/>
        <v>0</v>
      </c>
      <c r="AD87" s="5">
        <f t="shared" si="23"/>
        <v>0</v>
      </c>
      <c r="AE87" s="5">
        <f t="shared" si="24"/>
        <v>0</v>
      </c>
      <c r="AF87" s="5">
        <f t="shared" si="25"/>
        <v>0</v>
      </c>
      <c r="AG87" s="5">
        <f t="shared" si="26"/>
        <v>0</v>
      </c>
      <c r="AH87" s="5">
        <f t="shared" si="27"/>
        <v>0</v>
      </c>
      <c r="AI87" s="5">
        <f t="shared" si="28"/>
        <v>0</v>
      </c>
      <c r="AJ87" s="5">
        <f t="shared" si="29"/>
        <v>0</v>
      </c>
      <c r="AK87" s="5">
        <f t="shared" si="30"/>
        <v>0</v>
      </c>
      <c r="AL87" s="5">
        <f t="shared" si="31"/>
        <v>0</v>
      </c>
      <c r="AM87" s="6">
        <f t="shared" si="16"/>
        <v>0</v>
      </c>
    </row>
    <row r="88" spans="1:39" x14ac:dyDescent="0.25">
      <c r="A88" s="4" t="s">
        <v>393</v>
      </c>
      <c r="B88" s="4" t="s">
        <v>394</v>
      </c>
      <c r="C88" s="4" t="s">
        <v>6</v>
      </c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3"/>
      <c r="P88" s="3"/>
      <c r="Q88" s="3"/>
      <c r="R88" s="3"/>
      <c r="S88" s="6">
        <f t="shared" si="0"/>
        <v>0</v>
      </c>
      <c r="T88">
        <v>1</v>
      </c>
      <c r="U88" s="4" t="s">
        <v>393</v>
      </c>
      <c r="V88" s="4" t="s">
        <v>394</v>
      </c>
      <c r="W88" s="4" t="s">
        <v>6</v>
      </c>
      <c r="X88" s="5">
        <f t="shared" si="17"/>
        <v>0</v>
      </c>
      <c r="Y88" s="5">
        <f t="shared" si="18"/>
        <v>0</v>
      </c>
      <c r="Z88" s="5">
        <f t="shared" si="19"/>
        <v>0</v>
      </c>
      <c r="AA88" s="5">
        <f t="shared" si="20"/>
        <v>0</v>
      </c>
      <c r="AB88" s="5">
        <f t="shared" si="21"/>
        <v>0</v>
      </c>
      <c r="AC88" s="5">
        <f t="shared" si="22"/>
        <v>0</v>
      </c>
      <c r="AD88" s="5">
        <f t="shared" si="23"/>
        <v>0</v>
      </c>
      <c r="AE88" s="5">
        <f t="shared" si="24"/>
        <v>0</v>
      </c>
      <c r="AF88" s="5">
        <f t="shared" si="25"/>
        <v>0</v>
      </c>
      <c r="AG88" s="5">
        <f t="shared" si="26"/>
        <v>0</v>
      </c>
      <c r="AH88" s="5">
        <f t="shared" si="27"/>
        <v>0</v>
      </c>
      <c r="AI88" s="5">
        <f t="shared" si="28"/>
        <v>0</v>
      </c>
      <c r="AJ88" s="5">
        <f t="shared" si="29"/>
        <v>0</v>
      </c>
      <c r="AK88" s="5">
        <f t="shared" si="30"/>
        <v>0</v>
      </c>
      <c r="AL88" s="5">
        <f t="shared" si="31"/>
        <v>0</v>
      </c>
      <c r="AM88" s="6">
        <f t="shared" si="16"/>
        <v>0</v>
      </c>
    </row>
    <row r="89" spans="1:39" x14ac:dyDescent="0.25">
      <c r="A89" s="4" t="s">
        <v>395</v>
      </c>
      <c r="B89" s="4" t="s">
        <v>396</v>
      </c>
      <c r="C89" s="4" t="s">
        <v>6</v>
      </c>
      <c r="D89" s="5"/>
      <c r="E89" s="6"/>
      <c r="F89" s="6"/>
      <c r="G89" s="6"/>
      <c r="H89" s="6"/>
      <c r="I89" s="6"/>
      <c r="J89" s="6"/>
      <c r="K89" s="6">
        <v>7.5</v>
      </c>
      <c r="L89" s="6"/>
      <c r="M89" s="6">
        <v>28.5</v>
      </c>
      <c r="N89" s="6"/>
      <c r="O89" s="3"/>
      <c r="P89" s="3"/>
      <c r="Q89" s="3"/>
      <c r="R89" s="3"/>
      <c r="S89" s="6">
        <f t="shared" si="0"/>
        <v>36</v>
      </c>
      <c r="T89">
        <v>1</v>
      </c>
      <c r="U89" s="4" t="s">
        <v>395</v>
      </c>
      <c r="V89" s="4" t="s">
        <v>396</v>
      </c>
      <c r="W89" s="4" t="s">
        <v>6</v>
      </c>
      <c r="X89" s="5">
        <f t="shared" si="17"/>
        <v>0</v>
      </c>
      <c r="Y89" s="5">
        <f t="shared" si="18"/>
        <v>0</v>
      </c>
      <c r="Z89" s="5">
        <f t="shared" si="19"/>
        <v>0</v>
      </c>
      <c r="AA89" s="5">
        <f t="shared" si="20"/>
        <v>0</v>
      </c>
      <c r="AB89" s="5">
        <f t="shared" si="21"/>
        <v>0</v>
      </c>
      <c r="AC89" s="5">
        <f t="shared" si="22"/>
        <v>0</v>
      </c>
      <c r="AD89" s="5">
        <f t="shared" si="23"/>
        <v>0</v>
      </c>
      <c r="AE89" s="5">
        <f t="shared" si="24"/>
        <v>0</v>
      </c>
      <c r="AF89" s="5">
        <f t="shared" si="25"/>
        <v>0</v>
      </c>
      <c r="AG89" s="5">
        <f t="shared" si="26"/>
        <v>40</v>
      </c>
      <c r="AH89" s="5">
        <f t="shared" si="27"/>
        <v>0</v>
      </c>
      <c r="AI89" s="5">
        <f t="shared" si="28"/>
        <v>0</v>
      </c>
      <c r="AJ89" s="5">
        <f t="shared" si="29"/>
        <v>0</v>
      </c>
      <c r="AK89" s="5">
        <f t="shared" si="30"/>
        <v>0</v>
      </c>
      <c r="AL89" s="5">
        <f t="shared" si="31"/>
        <v>0</v>
      </c>
      <c r="AM89" s="6">
        <f t="shared" si="16"/>
        <v>40</v>
      </c>
    </row>
    <row r="90" spans="1:39" x14ac:dyDescent="0.25">
      <c r="A90" s="4" t="s">
        <v>397</v>
      </c>
      <c r="B90" s="4" t="s">
        <v>398</v>
      </c>
      <c r="C90" s="4" t="s">
        <v>6</v>
      </c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3"/>
      <c r="P90" s="3"/>
      <c r="Q90" s="3"/>
      <c r="R90" s="3"/>
      <c r="S90" s="6">
        <f t="shared" si="0"/>
        <v>0</v>
      </c>
      <c r="T90">
        <v>1</v>
      </c>
      <c r="U90" s="4" t="s">
        <v>397</v>
      </c>
      <c r="V90" s="4" t="s">
        <v>398</v>
      </c>
      <c r="W90" s="4" t="s">
        <v>6</v>
      </c>
      <c r="X90" s="5">
        <f t="shared" si="17"/>
        <v>0</v>
      </c>
      <c r="Y90" s="5">
        <f t="shared" si="18"/>
        <v>0</v>
      </c>
      <c r="Z90" s="5">
        <f t="shared" si="19"/>
        <v>0</v>
      </c>
      <c r="AA90" s="5">
        <f t="shared" si="20"/>
        <v>0</v>
      </c>
      <c r="AB90" s="5">
        <f t="shared" si="21"/>
        <v>0</v>
      </c>
      <c r="AC90" s="5">
        <f t="shared" si="22"/>
        <v>0</v>
      </c>
      <c r="AD90" s="5">
        <f t="shared" si="23"/>
        <v>0</v>
      </c>
      <c r="AE90" s="5">
        <f t="shared" si="24"/>
        <v>0</v>
      </c>
      <c r="AF90" s="5">
        <f t="shared" si="25"/>
        <v>0</v>
      </c>
      <c r="AG90" s="5">
        <f t="shared" si="26"/>
        <v>0</v>
      </c>
      <c r="AH90" s="5">
        <f t="shared" si="27"/>
        <v>0</v>
      </c>
      <c r="AI90" s="5">
        <f t="shared" si="28"/>
        <v>0</v>
      </c>
      <c r="AJ90" s="5">
        <f t="shared" si="29"/>
        <v>0</v>
      </c>
      <c r="AK90" s="5">
        <f t="shared" si="30"/>
        <v>0</v>
      </c>
      <c r="AL90" s="5">
        <f t="shared" si="31"/>
        <v>0</v>
      </c>
      <c r="AM90" s="6">
        <f t="shared" si="16"/>
        <v>0</v>
      </c>
    </row>
    <row r="91" spans="1:39" x14ac:dyDescent="0.25">
      <c r="A91" s="4" t="s">
        <v>399</v>
      </c>
      <c r="B91" s="4" t="s">
        <v>400</v>
      </c>
      <c r="C91" s="4" t="s">
        <v>6</v>
      </c>
      <c r="D91" s="5"/>
      <c r="E91" s="6"/>
      <c r="F91" s="6"/>
      <c r="G91" s="6"/>
      <c r="H91" s="6"/>
      <c r="I91" s="6"/>
      <c r="J91" s="6"/>
      <c r="K91" s="6">
        <v>6</v>
      </c>
      <c r="L91" s="6">
        <v>19.5</v>
      </c>
      <c r="M91" s="6">
        <v>19.5</v>
      </c>
      <c r="N91" s="6"/>
      <c r="O91" s="3"/>
      <c r="P91" s="3"/>
      <c r="Q91" s="3"/>
      <c r="R91" s="3"/>
      <c r="S91" s="6">
        <f t="shared" si="0"/>
        <v>45</v>
      </c>
      <c r="T91">
        <v>1</v>
      </c>
      <c r="U91" s="4" t="s">
        <v>399</v>
      </c>
      <c r="V91" s="4" t="s">
        <v>400</v>
      </c>
      <c r="W91" s="4" t="s">
        <v>6</v>
      </c>
      <c r="X91" s="5">
        <f t="shared" si="17"/>
        <v>0</v>
      </c>
      <c r="Y91" s="5">
        <f t="shared" si="18"/>
        <v>0</v>
      </c>
      <c r="Z91" s="5">
        <f t="shared" si="19"/>
        <v>0</v>
      </c>
      <c r="AA91" s="5">
        <f t="shared" si="20"/>
        <v>0</v>
      </c>
      <c r="AB91" s="5">
        <f t="shared" si="21"/>
        <v>0</v>
      </c>
      <c r="AC91" s="5">
        <f t="shared" si="22"/>
        <v>0</v>
      </c>
      <c r="AD91" s="5">
        <f t="shared" si="23"/>
        <v>0</v>
      </c>
      <c r="AE91" s="5">
        <f t="shared" si="24"/>
        <v>0</v>
      </c>
      <c r="AF91" s="5">
        <f t="shared" si="25"/>
        <v>0</v>
      </c>
      <c r="AG91" s="5">
        <f t="shared" si="26"/>
        <v>0</v>
      </c>
      <c r="AH91" s="5">
        <f t="shared" si="27"/>
        <v>0</v>
      </c>
      <c r="AI91" s="5">
        <f t="shared" si="28"/>
        <v>0</v>
      </c>
      <c r="AJ91" s="5">
        <f t="shared" si="29"/>
        <v>0</v>
      </c>
      <c r="AK91" s="5">
        <f t="shared" si="30"/>
        <v>0</v>
      </c>
      <c r="AL91" s="5">
        <f t="shared" si="31"/>
        <v>0</v>
      </c>
      <c r="AM91" s="6">
        <f t="shared" si="16"/>
        <v>0</v>
      </c>
    </row>
    <row r="92" spans="1:39" x14ac:dyDescent="0.25">
      <c r="A92" s="4" t="s">
        <v>401</v>
      </c>
      <c r="B92" s="4" t="s">
        <v>402</v>
      </c>
      <c r="C92" s="4" t="s">
        <v>6</v>
      </c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3"/>
      <c r="P92" s="3"/>
      <c r="Q92" s="3"/>
      <c r="R92" s="3"/>
      <c r="S92" s="6">
        <f t="shared" si="0"/>
        <v>0</v>
      </c>
      <c r="T92">
        <v>1</v>
      </c>
      <c r="U92" s="4" t="s">
        <v>401</v>
      </c>
      <c r="V92" s="4" t="s">
        <v>402</v>
      </c>
      <c r="W92" s="4" t="s">
        <v>6</v>
      </c>
      <c r="X92" s="5">
        <f t="shared" si="17"/>
        <v>0</v>
      </c>
      <c r="Y92" s="5">
        <f t="shared" si="18"/>
        <v>0</v>
      </c>
      <c r="Z92" s="5">
        <f t="shared" si="19"/>
        <v>0</v>
      </c>
      <c r="AA92" s="5">
        <f t="shared" si="20"/>
        <v>0</v>
      </c>
      <c r="AB92" s="5">
        <f t="shared" si="21"/>
        <v>0</v>
      </c>
      <c r="AC92" s="5">
        <f t="shared" si="22"/>
        <v>0</v>
      </c>
      <c r="AD92" s="5">
        <f t="shared" si="23"/>
        <v>0</v>
      </c>
      <c r="AE92" s="5">
        <f t="shared" si="24"/>
        <v>0</v>
      </c>
      <c r="AF92" s="5">
        <f t="shared" si="25"/>
        <v>0</v>
      </c>
      <c r="AG92" s="5">
        <f t="shared" si="26"/>
        <v>0</v>
      </c>
      <c r="AH92" s="5">
        <f t="shared" si="27"/>
        <v>0</v>
      </c>
      <c r="AI92" s="5">
        <f t="shared" si="28"/>
        <v>0</v>
      </c>
      <c r="AJ92" s="5">
        <f t="shared" si="29"/>
        <v>0</v>
      </c>
      <c r="AK92" s="5">
        <f t="shared" si="30"/>
        <v>0</v>
      </c>
      <c r="AL92" s="5">
        <f t="shared" si="31"/>
        <v>0</v>
      </c>
      <c r="AM92" s="6">
        <f t="shared" si="16"/>
        <v>0</v>
      </c>
    </row>
    <row r="93" spans="1:39" x14ac:dyDescent="0.25">
      <c r="A93" s="4" t="s">
        <v>403</v>
      </c>
      <c r="B93" s="4" t="s">
        <v>404</v>
      </c>
      <c r="C93" s="4" t="s">
        <v>6</v>
      </c>
      <c r="D93" s="5"/>
      <c r="E93" s="6"/>
      <c r="F93" s="6"/>
      <c r="G93" s="6"/>
      <c r="H93" s="6"/>
      <c r="I93" s="6"/>
      <c r="J93" s="6"/>
      <c r="K93" s="6"/>
      <c r="L93" s="6">
        <v>43.5</v>
      </c>
      <c r="M93" s="6">
        <v>18</v>
      </c>
      <c r="N93" s="6"/>
      <c r="O93" s="3"/>
      <c r="P93" s="3"/>
      <c r="Q93" s="3"/>
      <c r="R93" s="3"/>
      <c r="S93" s="6">
        <f t="shared" ref="S93:S157" si="32">SUM(D93:R93)</f>
        <v>61.5</v>
      </c>
      <c r="T93">
        <v>1</v>
      </c>
      <c r="U93" s="4" t="s">
        <v>403</v>
      </c>
      <c r="V93" s="4" t="s">
        <v>404</v>
      </c>
      <c r="W93" s="4" t="s">
        <v>6</v>
      </c>
      <c r="X93" s="5">
        <f t="shared" si="17"/>
        <v>0</v>
      </c>
      <c r="Y93" s="5">
        <f t="shared" si="18"/>
        <v>0</v>
      </c>
      <c r="Z93" s="5">
        <f t="shared" si="19"/>
        <v>0</v>
      </c>
      <c r="AA93" s="5">
        <f t="shared" si="20"/>
        <v>0</v>
      </c>
      <c r="AB93" s="5">
        <f t="shared" si="21"/>
        <v>0</v>
      </c>
      <c r="AC93" s="5">
        <f t="shared" si="22"/>
        <v>0</v>
      </c>
      <c r="AD93" s="5">
        <f t="shared" si="23"/>
        <v>0</v>
      </c>
      <c r="AE93" s="5">
        <f t="shared" si="24"/>
        <v>0</v>
      </c>
      <c r="AF93" s="5">
        <f t="shared" si="25"/>
        <v>104</v>
      </c>
      <c r="AG93" s="5">
        <f t="shared" si="26"/>
        <v>0</v>
      </c>
      <c r="AH93" s="5">
        <f t="shared" si="27"/>
        <v>0</v>
      </c>
      <c r="AI93" s="5">
        <f t="shared" si="28"/>
        <v>0</v>
      </c>
      <c r="AJ93" s="5">
        <f t="shared" si="29"/>
        <v>0</v>
      </c>
      <c r="AK93" s="5">
        <f t="shared" si="30"/>
        <v>0</v>
      </c>
      <c r="AL93" s="5">
        <f t="shared" si="31"/>
        <v>0</v>
      </c>
      <c r="AM93" s="6">
        <f t="shared" ref="AM93:AM157" si="33">SUM(X93:AL93)</f>
        <v>104</v>
      </c>
    </row>
    <row r="94" spans="1:39" x14ac:dyDescent="0.25">
      <c r="A94" s="4" t="s">
        <v>405</v>
      </c>
      <c r="B94" s="4" t="s">
        <v>406</v>
      </c>
      <c r="C94" s="4" t="s">
        <v>6</v>
      </c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3"/>
      <c r="P94" s="3"/>
      <c r="Q94" s="3"/>
      <c r="R94" s="3"/>
      <c r="S94" s="6">
        <f t="shared" si="32"/>
        <v>0</v>
      </c>
      <c r="T94">
        <v>1</v>
      </c>
      <c r="U94" s="4" t="s">
        <v>405</v>
      </c>
      <c r="V94" s="4" t="s">
        <v>406</v>
      </c>
      <c r="W94" s="4" t="s">
        <v>6</v>
      </c>
      <c r="X94" s="5">
        <f t="shared" si="17"/>
        <v>0</v>
      </c>
      <c r="Y94" s="5">
        <f t="shared" si="18"/>
        <v>0</v>
      </c>
      <c r="Z94" s="5">
        <f t="shared" si="19"/>
        <v>0</v>
      </c>
      <c r="AA94" s="5">
        <f t="shared" si="20"/>
        <v>0</v>
      </c>
      <c r="AB94" s="5">
        <f t="shared" si="21"/>
        <v>0</v>
      </c>
      <c r="AC94" s="5">
        <f t="shared" si="22"/>
        <v>0</v>
      </c>
      <c r="AD94" s="5">
        <f t="shared" si="23"/>
        <v>0</v>
      </c>
      <c r="AE94" s="5">
        <f t="shared" si="24"/>
        <v>0</v>
      </c>
      <c r="AF94" s="5">
        <f t="shared" si="25"/>
        <v>0</v>
      </c>
      <c r="AG94" s="5">
        <f t="shared" si="26"/>
        <v>0</v>
      </c>
      <c r="AH94" s="5">
        <f t="shared" si="27"/>
        <v>0</v>
      </c>
      <c r="AI94" s="5">
        <f t="shared" si="28"/>
        <v>0</v>
      </c>
      <c r="AJ94" s="5">
        <f t="shared" si="29"/>
        <v>0</v>
      </c>
      <c r="AK94" s="5">
        <f t="shared" si="30"/>
        <v>0</v>
      </c>
      <c r="AL94" s="5">
        <f t="shared" si="31"/>
        <v>0</v>
      </c>
      <c r="AM94" s="6">
        <f t="shared" si="33"/>
        <v>0</v>
      </c>
    </row>
    <row r="95" spans="1:39" x14ac:dyDescent="0.25">
      <c r="A95" s="4" t="s">
        <v>407</v>
      </c>
      <c r="B95" s="4" t="s">
        <v>408</v>
      </c>
      <c r="C95" s="4" t="s">
        <v>6</v>
      </c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3"/>
      <c r="P95" s="3"/>
      <c r="Q95" s="3"/>
      <c r="R95" s="3"/>
      <c r="S95" s="6">
        <f t="shared" si="32"/>
        <v>0</v>
      </c>
      <c r="T95">
        <v>1</v>
      </c>
      <c r="U95" s="4" t="s">
        <v>407</v>
      </c>
      <c r="V95" s="4" t="s">
        <v>408</v>
      </c>
      <c r="W95" s="4" t="s">
        <v>6</v>
      </c>
      <c r="X95" s="5">
        <f t="shared" si="17"/>
        <v>0</v>
      </c>
      <c r="Y95" s="5">
        <f t="shared" si="18"/>
        <v>0</v>
      </c>
      <c r="Z95" s="5">
        <f t="shared" si="19"/>
        <v>0</v>
      </c>
      <c r="AA95" s="5">
        <f t="shared" si="20"/>
        <v>0</v>
      </c>
      <c r="AB95" s="5">
        <f t="shared" si="21"/>
        <v>0</v>
      </c>
      <c r="AC95" s="5">
        <f t="shared" si="22"/>
        <v>0</v>
      </c>
      <c r="AD95" s="5">
        <f t="shared" si="23"/>
        <v>0</v>
      </c>
      <c r="AE95" s="5">
        <f t="shared" si="24"/>
        <v>0</v>
      </c>
      <c r="AF95" s="5">
        <f t="shared" si="25"/>
        <v>0</v>
      </c>
      <c r="AG95" s="5">
        <f t="shared" si="26"/>
        <v>0</v>
      </c>
      <c r="AH95" s="5">
        <f t="shared" si="27"/>
        <v>0</v>
      </c>
      <c r="AI95" s="5">
        <f t="shared" si="28"/>
        <v>0</v>
      </c>
      <c r="AJ95" s="5">
        <f t="shared" si="29"/>
        <v>0</v>
      </c>
      <c r="AK95" s="5">
        <f t="shared" si="30"/>
        <v>0</v>
      </c>
      <c r="AL95" s="5">
        <f t="shared" si="31"/>
        <v>0</v>
      </c>
      <c r="AM95" s="6">
        <f t="shared" si="33"/>
        <v>0</v>
      </c>
    </row>
    <row r="96" spans="1:39" x14ac:dyDescent="0.25">
      <c r="A96" s="4" t="s">
        <v>409</v>
      </c>
      <c r="B96" s="4" t="s">
        <v>410</v>
      </c>
      <c r="C96" s="4" t="s">
        <v>6</v>
      </c>
      <c r="D96" s="5"/>
      <c r="E96" s="6"/>
      <c r="F96" s="6"/>
      <c r="G96" s="6"/>
      <c r="H96" s="6"/>
      <c r="I96" s="6"/>
      <c r="J96" s="6"/>
      <c r="K96" s="6"/>
      <c r="L96" s="6">
        <v>42</v>
      </c>
      <c r="M96" s="6">
        <v>28.5</v>
      </c>
      <c r="N96" s="6"/>
      <c r="O96" s="3"/>
      <c r="P96" s="3"/>
      <c r="Q96" s="3"/>
      <c r="R96" s="3"/>
      <c r="S96" s="6">
        <f t="shared" si="32"/>
        <v>70.5</v>
      </c>
      <c r="T96">
        <v>1</v>
      </c>
      <c r="U96" s="4" t="s">
        <v>409</v>
      </c>
      <c r="V96" s="4" t="s">
        <v>410</v>
      </c>
      <c r="W96" s="4" t="s">
        <v>6</v>
      </c>
      <c r="X96" s="5">
        <f t="shared" si="17"/>
        <v>0</v>
      </c>
      <c r="Y96" s="5">
        <f t="shared" si="18"/>
        <v>0</v>
      </c>
      <c r="Z96" s="5">
        <f t="shared" si="19"/>
        <v>0</v>
      </c>
      <c r="AA96" s="5">
        <f t="shared" si="20"/>
        <v>0</v>
      </c>
      <c r="AB96" s="5">
        <f t="shared" si="21"/>
        <v>0</v>
      </c>
      <c r="AC96" s="5">
        <f t="shared" si="22"/>
        <v>0</v>
      </c>
      <c r="AD96" s="5">
        <f t="shared" si="23"/>
        <v>0</v>
      </c>
      <c r="AE96" s="5">
        <f t="shared" si="24"/>
        <v>0</v>
      </c>
      <c r="AF96" s="5">
        <f t="shared" si="25"/>
        <v>98</v>
      </c>
      <c r="AG96" s="5">
        <f t="shared" si="26"/>
        <v>40</v>
      </c>
      <c r="AH96" s="5">
        <f t="shared" si="27"/>
        <v>0</v>
      </c>
      <c r="AI96" s="5">
        <f t="shared" si="28"/>
        <v>0</v>
      </c>
      <c r="AJ96" s="5">
        <f t="shared" si="29"/>
        <v>0</v>
      </c>
      <c r="AK96" s="5">
        <f t="shared" si="30"/>
        <v>0</v>
      </c>
      <c r="AL96" s="5">
        <f t="shared" si="31"/>
        <v>0</v>
      </c>
      <c r="AM96" s="6">
        <f t="shared" si="33"/>
        <v>138</v>
      </c>
    </row>
    <row r="97" spans="1:39" x14ac:dyDescent="0.25">
      <c r="A97" s="4" t="s">
        <v>411</v>
      </c>
      <c r="B97" s="4" t="s">
        <v>412</v>
      </c>
      <c r="C97" s="4" t="s">
        <v>6</v>
      </c>
      <c r="D97" s="5"/>
      <c r="E97" s="6"/>
      <c r="F97" s="6"/>
      <c r="G97" s="6"/>
      <c r="H97" s="6"/>
      <c r="I97" s="6"/>
      <c r="J97" s="6"/>
      <c r="K97" s="6"/>
      <c r="L97" s="6">
        <v>22.5</v>
      </c>
      <c r="M97" s="6"/>
      <c r="N97" s="6"/>
      <c r="O97" s="3"/>
      <c r="P97" s="3"/>
      <c r="Q97" s="3"/>
      <c r="R97" s="3"/>
      <c r="S97" s="6">
        <f t="shared" si="32"/>
        <v>22.5</v>
      </c>
      <c r="T97">
        <v>1</v>
      </c>
      <c r="U97" s="4" t="s">
        <v>411</v>
      </c>
      <c r="V97" s="4" t="s">
        <v>412</v>
      </c>
      <c r="W97" s="4" t="s">
        <v>6</v>
      </c>
      <c r="X97" s="5">
        <f t="shared" si="17"/>
        <v>0</v>
      </c>
      <c r="Y97" s="5">
        <f t="shared" si="18"/>
        <v>0</v>
      </c>
      <c r="Z97" s="5">
        <f t="shared" si="19"/>
        <v>0</v>
      </c>
      <c r="AA97" s="5">
        <f t="shared" si="20"/>
        <v>0</v>
      </c>
      <c r="AB97" s="5">
        <f t="shared" si="21"/>
        <v>0</v>
      </c>
      <c r="AC97" s="5">
        <f t="shared" si="22"/>
        <v>0</v>
      </c>
      <c r="AD97" s="5">
        <f t="shared" si="23"/>
        <v>0</v>
      </c>
      <c r="AE97" s="5">
        <f t="shared" si="24"/>
        <v>0</v>
      </c>
      <c r="AF97" s="5">
        <f t="shared" si="25"/>
        <v>20</v>
      </c>
      <c r="AG97" s="5">
        <f t="shared" si="26"/>
        <v>0</v>
      </c>
      <c r="AH97" s="5">
        <f t="shared" si="27"/>
        <v>0</v>
      </c>
      <c r="AI97" s="5">
        <f t="shared" si="28"/>
        <v>0</v>
      </c>
      <c r="AJ97" s="5">
        <f t="shared" si="29"/>
        <v>0</v>
      </c>
      <c r="AK97" s="5">
        <f t="shared" si="30"/>
        <v>0</v>
      </c>
      <c r="AL97" s="5">
        <f t="shared" si="31"/>
        <v>0</v>
      </c>
      <c r="AM97" s="6">
        <f t="shared" si="33"/>
        <v>20</v>
      </c>
    </row>
    <row r="98" spans="1:39" x14ac:dyDescent="0.25">
      <c r="A98" s="4" t="s">
        <v>413</v>
      </c>
      <c r="B98" s="4" t="s">
        <v>414</v>
      </c>
      <c r="C98" s="4" t="s">
        <v>6</v>
      </c>
      <c r="D98" s="5"/>
      <c r="E98" s="6"/>
      <c r="F98" s="6"/>
      <c r="G98" s="6"/>
      <c r="H98" s="6"/>
      <c r="I98" s="6"/>
      <c r="J98" s="6"/>
      <c r="K98" s="6"/>
      <c r="L98" s="6">
        <v>34.5</v>
      </c>
      <c r="M98" s="6">
        <v>21</v>
      </c>
      <c r="N98" s="6"/>
      <c r="O98" s="3"/>
      <c r="P98" s="3"/>
      <c r="Q98" s="3"/>
      <c r="R98" s="3"/>
      <c r="S98" s="6">
        <f t="shared" si="32"/>
        <v>55.5</v>
      </c>
      <c r="T98">
        <v>1</v>
      </c>
      <c r="U98" s="4" t="s">
        <v>413</v>
      </c>
      <c r="V98" s="4" t="s">
        <v>414</v>
      </c>
      <c r="W98" s="4" t="s">
        <v>6</v>
      </c>
      <c r="X98" s="5">
        <f t="shared" si="17"/>
        <v>0</v>
      </c>
      <c r="Y98" s="5">
        <f t="shared" si="18"/>
        <v>0</v>
      </c>
      <c r="Z98" s="5">
        <f t="shared" si="19"/>
        <v>0</v>
      </c>
      <c r="AA98" s="5">
        <f t="shared" si="20"/>
        <v>0</v>
      </c>
      <c r="AB98" s="5">
        <f t="shared" si="21"/>
        <v>0</v>
      </c>
      <c r="AC98" s="5">
        <f t="shared" si="22"/>
        <v>0</v>
      </c>
      <c r="AD98" s="5">
        <f t="shared" si="23"/>
        <v>0</v>
      </c>
      <c r="AE98" s="5">
        <f t="shared" si="24"/>
        <v>0</v>
      </c>
      <c r="AF98" s="5">
        <f t="shared" si="25"/>
        <v>73.5</v>
      </c>
      <c r="AG98" s="5">
        <f t="shared" si="26"/>
        <v>20</v>
      </c>
      <c r="AH98" s="5">
        <f t="shared" si="27"/>
        <v>0</v>
      </c>
      <c r="AI98" s="5">
        <f t="shared" si="28"/>
        <v>0</v>
      </c>
      <c r="AJ98" s="5">
        <f t="shared" si="29"/>
        <v>0</v>
      </c>
      <c r="AK98" s="5">
        <f t="shared" si="30"/>
        <v>0</v>
      </c>
      <c r="AL98" s="5">
        <f t="shared" si="31"/>
        <v>0</v>
      </c>
      <c r="AM98" s="6">
        <f t="shared" si="33"/>
        <v>93.5</v>
      </c>
    </row>
    <row r="99" spans="1:39" x14ac:dyDescent="0.25">
      <c r="A99" s="4" t="s">
        <v>415</v>
      </c>
      <c r="B99" s="4" t="s">
        <v>416</v>
      </c>
      <c r="C99" s="4" t="s">
        <v>6</v>
      </c>
      <c r="D99" s="5"/>
      <c r="E99" s="6"/>
      <c r="F99" s="6"/>
      <c r="G99" s="6"/>
      <c r="H99" s="6"/>
      <c r="I99" s="6"/>
      <c r="J99" s="6"/>
      <c r="K99" s="6"/>
      <c r="L99" s="6">
        <v>16.5</v>
      </c>
      <c r="M99" s="6"/>
      <c r="N99" s="6"/>
      <c r="O99" s="3"/>
      <c r="P99" s="3"/>
      <c r="Q99" s="3"/>
      <c r="R99" s="3"/>
      <c r="S99" s="6">
        <f t="shared" si="32"/>
        <v>16.5</v>
      </c>
      <c r="T99">
        <v>1</v>
      </c>
      <c r="U99" s="4" t="s">
        <v>415</v>
      </c>
      <c r="V99" s="4" t="s">
        <v>416</v>
      </c>
      <c r="W99" s="4" t="s">
        <v>6</v>
      </c>
      <c r="X99" s="5">
        <f t="shared" si="17"/>
        <v>0</v>
      </c>
      <c r="Y99" s="5">
        <f t="shared" si="18"/>
        <v>0</v>
      </c>
      <c r="Z99" s="5">
        <f t="shared" si="19"/>
        <v>0</v>
      </c>
      <c r="AA99" s="5">
        <f t="shared" si="20"/>
        <v>0</v>
      </c>
      <c r="AB99" s="5">
        <f t="shared" si="21"/>
        <v>0</v>
      </c>
      <c r="AC99" s="5">
        <f t="shared" si="22"/>
        <v>0</v>
      </c>
      <c r="AD99" s="5">
        <f t="shared" si="23"/>
        <v>0</v>
      </c>
      <c r="AE99" s="5">
        <f t="shared" si="24"/>
        <v>0</v>
      </c>
      <c r="AF99" s="5">
        <f t="shared" si="25"/>
        <v>0</v>
      </c>
      <c r="AG99" s="5">
        <f t="shared" si="26"/>
        <v>0</v>
      </c>
      <c r="AH99" s="5">
        <f t="shared" si="27"/>
        <v>0</v>
      </c>
      <c r="AI99" s="5">
        <f t="shared" si="28"/>
        <v>0</v>
      </c>
      <c r="AJ99" s="5">
        <f t="shared" si="29"/>
        <v>0</v>
      </c>
      <c r="AK99" s="5">
        <f t="shared" si="30"/>
        <v>0</v>
      </c>
      <c r="AL99" s="5">
        <f t="shared" si="31"/>
        <v>0</v>
      </c>
      <c r="AM99" s="6">
        <f t="shared" si="33"/>
        <v>0</v>
      </c>
    </row>
    <row r="100" spans="1:39" x14ac:dyDescent="0.25">
      <c r="A100" s="4" t="s">
        <v>417</v>
      </c>
      <c r="B100" s="4" t="s">
        <v>418</v>
      </c>
      <c r="C100" s="4" t="s">
        <v>6</v>
      </c>
      <c r="D100" s="5"/>
      <c r="E100" s="6"/>
      <c r="F100" s="6"/>
      <c r="G100" s="6"/>
      <c r="H100" s="6"/>
      <c r="I100" s="6">
        <v>9</v>
      </c>
      <c r="J100" s="6">
        <v>10.5</v>
      </c>
      <c r="K100" s="6">
        <v>16.5</v>
      </c>
      <c r="L100" s="6"/>
      <c r="M100" s="6">
        <v>25.5</v>
      </c>
      <c r="N100" s="6"/>
      <c r="O100" s="3"/>
      <c r="P100" s="3"/>
      <c r="Q100" s="3"/>
      <c r="R100" s="3"/>
      <c r="S100" s="6">
        <f t="shared" si="32"/>
        <v>61.5</v>
      </c>
      <c r="T100">
        <v>1</v>
      </c>
      <c r="U100" s="4" t="s">
        <v>417</v>
      </c>
      <c r="V100" s="4" t="s">
        <v>418</v>
      </c>
      <c r="W100" s="4" t="s">
        <v>6</v>
      </c>
      <c r="X100" s="5">
        <f t="shared" si="17"/>
        <v>0</v>
      </c>
      <c r="Y100" s="5">
        <f t="shared" si="18"/>
        <v>0</v>
      </c>
      <c r="Z100" s="5">
        <f t="shared" si="19"/>
        <v>0</v>
      </c>
      <c r="AA100" s="5">
        <f t="shared" si="20"/>
        <v>0</v>
      </c>
      <c r="AB100" s="5">
        <f t="shared" si="21"/>
        <v>0</v>
      </c>
      <c r="AC100" s="5">
        <f t="shared" si="22"/>
        <v>0</v>
      </c>
      <c r="AD100" s="5">
        <f t="shared" si="23"/>
        <v>0</v>
      </c>
      <c r="AE100" s="5">
        <f t="shared" si="24"/>
        <v>0</v>
      </c>
      <c r="AF100" s="5">
        <f t="shared" si="25"/>
        <v>0</v>
      </c>
      <c r="AG100" s="5">
        <f t="shared" si="26"/>
        <v>40</v>
      </c>
      <c r="AH100" s="5">
        <f t="shared" si="27"/>
        <v>0</v>
      </c>
      <c r="AI100" s="5">
        <f t="shared" si="28"/>
        <v>0</v>
      </c>
      <c r="AJ100" s="5">
        <f t="shared" si="29"/>
        <v>0</v>
      </c>
      <c r="AK100" s="5">
        <f t="shared" si="30"/>
        <v>0</v>
      </c>
      <c r="AL100" s="5">
        <f t="shared" si="31"/>
        <v>0</v>
      </c>
      <c r="AM100" s="6">
        <f t="shared" si="33"/>
        <v>40</v>
      </c>
    </row>
    <row r="101" spans="1:39" x14ac:dyDescent="0.25">
      <c r="A101" s="4" t="s">
        <v>419</v>
      </c>
      <c r="B101" s="4" t="s">
        <v>420</v>
      </c>
      <c r="C101" s="4" t="s">
        <v>6</v>
      </c>
      <c r="D101" s="5"/>
      <c r="E101" s="6"/>
      <c r="F101" s="6"/>
      <c r="G101" s="6"/>
      <c r="H101" s="6"/>
      <c r="I101" s="6"/>
      <c r="J101" s="6"/>
      <c r="K101" s="6"/>
      <c r="L101" s="6">
        <v>19.5</v>
      </c>
      <c r="M101" s="6">
        <v>24</v>
      </c>
      <c r="N101" s="6"/>
      <c r="O101" s="3"/>
      <c r="P101" s="3"/>
      <c r="Q101" s="3"/>
      <c r="R101" s="3"/>
      <c r="S101" s="6">
        <f t="shared" si="32"/>
        <v>43.5</v>
      </c>
      <c r="T101">
        <v>1</v>
      </c>
      <c r="U101" s="4" t="s">
        <v>419</v>
      </c>
      <c r="V101" s="4" t="s">
        <v>420</v>
      </c>
      <c r="W101" s="4" t="s">
        <v>6</v>
      </c>
      <c r="X101" s="5">
        <f t="shared" si="17"/>
        <v>0</v>
      </c>
      <c r="Y101" s="5">
        <f t="shared" si="18"/>
        <v>0</v>
      </c>
      <c r="Z101" s="5">
        <f t="shared" si="19"/>
        <v>0</v>
      </c>
      <c r="AA101" s="5">
        <f t="shared" si="20"/>
        <v>0</v>
      </c>
      <c r="AB101" s="5">
        <f t="shared" si="21"/>
        <v>0</v>
      </c>
      <c r="AC101" s="5">
        <f t="shared" si="22"/>
        <v>0</v>
      </c>
      <c r="AD101" s="5">
        <f t="shared" si="23"/>
        <v>0</v>
      </c>
      <c r="AE101" s="5">
        <f t="shared" si="24"/>
        <v>0</v>
      </c>
      <c r="AF101" s="5">
        <f t="shared" si="25"/>
        <v>0</v>
      </c>
      <c r="AG101" s="5">
        <f t="shared" si="26"/>
        <v>20</v>
      </c>
      <c r="AH101" s="5">
        <f t="shared" si="27"/>
        <v>0</v>
      </c>
      <c r="AI101" s="5">
        <f t="shared" si="28"/>
        <v>0</v>
      </c>
      <c r="AJ101" s="5">
        <f t="shared" si="29"/>
        <v>0</v>
      </c>
      <c r="AK101" s="5">
        <f t="shared" si="30"/>
        <v>0</v>
      </c>
      <c r="AL101" s="5">
        <f t="shared" si="31"/>
        <v>0</v>
      </c>
      <c r="AM101" s="6">
        <f t="shared" si="33"/>
        <v>20</v>
      </c>
    </row>
    <row r="102" spans="1:39" x14ac:dyDescent="0.25">
      <c r="A102" s="4" t="s">
        <v>421</v>
      </c>
      <c r="B102" s="4" t="s">
        <v>422</v>
      </c>
      <c r="C102" s="4" t="s">
        <v>6</v>
      </c>
      <c r="D102" s="5">
        <v>7.5</v>
      </c>
      <c r="E102" s="6">
        <v>4.5</v>
      </c>
      <c r="F102" s="6">
        <v>3</v>
      </c>
      <c r="G102" s="6">
        <v>6</v>
      </c>
      <c r="H102" s="6"/>
      <c r="I102" s="6">
        <v>15</v>
      </c>
      <c r="J102" s="6">
        <v>12</v>
      </c>
      <c r="K102" s="6">
        <v>18</v>
      </c>
      <c r="L102" s="6">
        <v>33</v>
      </c>
      <c r="M102" s="6">
        <v>21</v>
      </c>
      <c r="N102" s="6"/>
      <c r="O102" s="3"/>
      <c r="P102" s="3"/>
      <c r="Q102" s="3"/>
      <c r="R102" s="3"/>
      <c r="S102" s="6">
        <f t="shared" si="32"/>
        <v>120</v>
      </c>
      <c r="T102">
        <v>1</v>
      </c>
      <c r="U102" s="4" t="s">
        <v>421</v>
      </c>
      <c r="V102" s="4" t="s">
        <v>422</v>
      </c>
      <c r="W102" s="4" t="s">
        <v>6</v>
      </c>
      <c r="X102" s="5">
        <f t="shared" si="17"/>
        <v>0</v>
      </c>
      <c r="Y102" s="5">
        <f t="shared" si="18"/>
        <v>0</v>
      </c>
      <c r="Z102" s="5">
        <f t="shared" si="19"/>
        <v>0</v>
      </c>
      <c r="AA102" s="5">
        <f t="shared" si="20"/>
        <v>0</v>
      </c>
      <c r="AB102" s="5">
        <f t="shared" si="21"/>
        <v>0</v>
      </c>
      <c r="AC102" s="5">
        <f t="shared" si="22"/>
        <v>0</v>
      </c>
      <c r="AD102" s="5">
        <f t="shared" si="23"/>
        <v>0</v>
      </c>
      <c r="AE102" s="5">
        <f t="shared" si="24"/>
        <v>0</v>
      </c>
      <c r="AF102" s="5">
        <f t="shared" si="25"/>
        <v>69</v>
      </c>
      <c r="AG102" s="5">
        <f t="shared" si="26"/>
        <v>20</v>
      </c>
      <c r="AH102" s="5">
        <f t="shared" si="27"/>
        <v>0</v>
      </c>
      <c r="AI102" s="5">
        <f t="shared" si="28"/>
        <v>0</v>
      </c>
      <c r="AJ102" s="5">
        <f t="shared" si="29"/>
        <v>0</v>
      </c>
      <c r="AK102" s="5">
        <f t="shared" si="30"/>
        <v>0</v>
      </c>
      <c r="AL102" s="5">
        <f t="shared" si="31"/>
        <v>0</v>
      </c>
      <c r="AM102" s="6">
        <f t="shared" si="33"/>
        <v>89</v>
      </c>
    </row>
    <row r="103" spans="1:39" x14ac:dyDescent="0.25">
      <c r="A103" s="4" t="s">
        <v>423</v>
      </c>
      <c r="B103" s="4" t="s">
        <v>424</v>
      </c>
      <c r="C103" s="4" t="s">
        <v>6</v>
      </c>
      <c r="D103" s="5">
        <v>3</v>
      </c>
      <c r="E103" s="6">
        <v>6</v>
      </c>
      <c r="F103" s="6">
        <v>4.5</v>
      </c>
      <c r="G103" s="6">
        <v>6</v>
      </c>
      <c r="H103" s="6">
        <v>7.5</v>
      </c>
      <c r="I103" s="6">
        <v>7.5</v>
      </c>
      <c r="J103" s="6">
        <v>9</v>
      </c>
      <c r="K103" s="6"/>
      <c r="L103" s="6"/>
      <c r="M103" s="6">
        <v>24</v>
      </c>
      <c r="N103" s="6"/>
      <c r="O103" s="3"/>
      <c r="P103" s="3"/>
      <c r="Q103" s="3"/>
      <c r="R103" s="3"/>
      <c r="S103" s="6">
        <f t="shared" si="32"/>
        <v>67.5</v>
      </c>
      <c r="T103">
        <v>1</v>
      </c>
      <c r="U103" s="4" t="s">
        <v>423</v>
      </c>
      <c r="V103" s="4" t="s">
        <v>424</v>
      </c>
      <c r="W103" s="4" t="s">
        <v>6</v>
      </c>
      <c r="X103" s="5">
        <f t="shared" si="17"/>
        <v>0</v>
      </c>
      <c r="Y103" s="5">
        <f t="shared" si="18"/>
        <v>0</v>
      </c>
      <c r="Z103" s="5">
        <f t="shared" si="19"/>
        <v>0</v>
      </c>
      <c r="AA103" s="5">
        <f t="shared" si="20"/>
        <v>0</v>
      </c>
      <c r="AB103" s="5">
        <f t="shared" si="21"/>
        <v>0</v>
      </c>
      <c r="AC103" s="5">
        <f t="shared" si="22"/>
        <v>0</v>
      </c>
      <c r="AD103" s="5">
        <f t="shared" si="23"/>
        <v>0</v>
      </c>
      <c r="AE103" s="5">
        <f t="shared" si="24"/>
        <v>0</v>
      </c>
      <c r="AF103" s="5">
        <f t="shared" si="25"/>
        <v>0</v>
      </c>
      <c r="AG103" s="5">
        <f t="shared" si="26"/>
        <v>20</v>
      </c>
      <c r="AH103" s="5">
        <f t="shared" si="27"/>
        <v>0</v>
      </c>
      <c r="AI103" s="5">
        <f t="shared" si="28"/>
        <v>0</v>
      </c>
      <c r="AJ103" s="5">
        <f t="shared" si="29"/>
        <v>0</v>
      </c>
      <c r="AK103" s="5">
        <f t="shared" si="30"/>
        <v>0</v>
      </c>
      <c r="AL103" s="5">
        <f t="shared" si="31"/>
        <v>0</v>
      </c>
      <c r="AM103" s="6">
        <f t="shared" si="33"/>
        <v>20</v>
      </c>
    </row>
    <row r="104" spans="1:39" x14ac:dyDescent="0.25">
      <c r="A104" s="4" t="s">
        <v>425</v>
      </c>
      <c r="B104" s="4" t="s">
        <v>426</v>
      </c>
      <c r="C104" s="4" t="s">
        <v>6</v>
      </c>
      <c r="D104" s="5">
        <v>4.5</v>
      </c>
      <c r="E104" s="6">
        <v>4.5</v>
      </c>
      <c r="F104" s="6">
        <v>4.5</v>
      </c>
      <c r="G104" s="6">
        <v>4.5</v>
      </c>
      <c r="H104" s="6">
        <v>4.5</v>
      </c>
      <c r="I104" s="6">
        <v>6</v>
      </c>
      <c r="J104" s="6">
        <v>9</v>
      </c>
      <c r="K104" s="6"/>
      <c r="L104" s="6"/>
      <c r="M104" s="6">
        <v>19.5</v>
      </c>
      <c r="N104" s="6"/>
      <c r="O104" s="3"/>
      <c r="P104" s="3"/>
      <c r="Q104" s="3"/>
      <c r="R104" s="3"/>
      <c r="S104" s="6">
        <f t="shared" si="32"/>
        <v>57</v>
      </c>
      <c r="T104">
        <v>1</v>
      </c>
      <c r="U104" s="4" t="s">
        <v>425</v>
      </c>
      <c r="V104" s="4" t="s">
        <v>426</v>
      </c>
      <c r="W104" s="4" t="s">
        <v>6</v>
      </c>
      <c r="X104" s="5">
        <f t="shared" si="17"/>
        <v>0</v>
      </c>
      <c r="Y104" s="5">
        <f t="shared" si="18"/>
        <v>0</v>
      </c>
      <c r="Z104" s="5">
        <f t="shared" si="19"/>
        <v>0</v>
      </c>
      <c r="AA104" s="5">
        <f t="shared" si="20"/>
        <v>0</v>
      </c>
      <c r="AB104" s="5">
        <f t="shared" si="21"/>
        <v>0</v>
      </c>
      <c r="AC104" s="5">
        <f t="shared" si="22"/>
        <v>0</v>
      </c>
      <c r="AD104" s="5">
        <f t="shared" si="23"/>
        <v>0</v>
      </c>
      <c r="AE104" s="5">
        <f t="shared" si="24"/>
        <v>0</v>
      </c>
      <c r="AF104" s="5">
        <f t="shared" si="25"/>
        <v>0</v>
      </c>
      <c r="AG104" s="5">
        <f t="shared" si="26"/>
        <v>0</v>
      </c>
      <c r="AH104" s="5">
        <f t="shared" si="27"/>
        <v>0</v>
      </c>
      <c r="AI104" s="5">
        <f t="shared" si="28"/>
        <v>0</v>
      </c>
      <c r="AJ104" s="5">
        <f t="shared" si="29"/>
        <v>0</v>
      </c>
      <c r="AK104" s="5">
        <f t="shared" si="30"/>
        <v>0</v>
      </c>
      <c r="AL104" s="5">
        <f t="shared" si="31"/>
        <v>0</v>
      </c>
      <c r="AM104" s="6">
        <f t="shared" si="33"/>
        <v>0</v>
      </c>
    </row>
    <row r="105" spans="1:39" x14ac:dyDescent="0.25">
      <c r="A105" s="4" t="s">
        <v>427</v>
      </c>
      <c r="B105" s="4" t="s">
        <v>428</v>
      </c>
      <c r="C105" s="4" t="s">
        <v>6</v>
      </c>
      <c r="D105" s="5">
        <v>6</v>
      </c>
      <c r="E105" s="6">
        <v>3</v>
      </c>
      <c r="F105" s="6">
        <v>3</v>
      </c>
      <c r="G105" s="6">
        <v>4.5</v>
      </c>
      <c r="H105" s="6">
        <v>4.5</v>
      </c>
      <c r="I105" s="6">
        <v>6</v>
      </c>
      <c r="J105" s="6">
        <v>6</v>
      </c>
      <c r="K105" s="6">
        <v>9</v>
      </c>
      <c r="L105" s="6">
        <v>16.5</v>
      </c>
      <c r="M105" s="6">
        <v>19.5</v>
      </c>
      <c r="N105" s="6"/>
      <c r="O105" s="3"/>
      <c r="P105" s="3"/>
      <c r="Q105" s="3"/>
      <c r="R105" s="3"/>
      <c r="S105" s="6">
        <f t="shared" si="32"/>
        <v>78</v>
      </c>
      <c r="T105">
        <v>1</v>
      </c>
      <c r="U105" s="4" t="s">
        <v>427</v>
      </c>
      <c r="V105" s="4" t="s">
        <v>428</v>
      </c>
      <c r="W105" s="4" t="s">
        <v>6</v>
      </c>
      <c r="X105" s="5">
        <f t="shared" si="17"/>
        <v>0</v>
      </c>
      <c r="Y105" s="5">
        <f t="shared" si="18"/>
        <v>0</v>
      </c>
      <c r="Z105" s="5">
        <f t="shared" si="19"/>
        <v>0</v>
      </c>
      <c r="AA105" s="5">
        <f t="shared" si="20"/>
        <v>0</v>
      </c>
      <c r="AB105" s="5">
        <f t="shared" si="21"/>
        <v>0</v>
      </c>
      <c r="AC105" s="5">
        <f t="shared" si="22"/>
        <v>0</v>
      </c>
      <c r="AD105" s="5">
        <f t="shared" si="23"/>
        <v>0</v>
      </c>
      <c r="AE105" s="5">
        <f t="shared" si="24"/>
        <v>0</v>
      </c>
      <c r="AF105" s="5">
        <f t="shared" si="25"/>
        <v>0</v>
      </c>
      <c r="AG105" s="5">
        <f t="shared" si="26"/>
        <v>0</v>
      </c>
      <c r="AH105" s="5">
        <f t="shared" si="27"/>
        <v>0</v>
      </c>
      <c r="AI105" s="5">
        <f t="shared" si="28"/>
        <v>0</v>
      </c>
      <c r="AJ105" s="5">
        <f t="shared" si="29"/>
        <v>0</v>
      </c>
      <c r="AK105" s="5">
        <f t="shared" si="30"/>
        <v>0</v>
      </c>
      <c r="AL105" s="5">
        <f t="shared" si="31"/>
        <v>0</v>
      </c>
      <c r="AM105" s="6">
        <f t="shared" si="33"/>
        <v>0</v>
      </c>
    </row>
    <row r="106" spans="1:39" x14ac:dyDescent="0.25">
      <c r="A106" s="4" t="s">
        <v>429</v>
      </c>
      <c r="B106" s="4" t="s">
        <v>430</v>
      </c>
      <c r="C106" s="4" t="s">
        <v>6</v>
      </c>
      <c r="D106" s="5">
        <v>7.5</v>
      </c>
      <c r="E106" s="6">
        <v>4.5</v>
      </c>
      <c r="F106" s="6">
        <v>4.5</v>
      </c>
      <c r="G106" s="6">
        <v>4.5</v>
      </c>
      <c r="H106" s="6">
        <v>6</v>
      </c>
      <c r="I106" s="6"/>
      <c r="J106" s="6">
        <v>15</v>
      </c>
      <c r="K106" s="6">
        <v>9</v>
      </c>
      <c r="L106" s="6">
        <v>28.5</v>
      </c>
      <c r="M106" s="6">
        <v>19.5</v>
      </c>
      <c r="N106" s="6"/>
      <c r="O106" s="3"/>
      <c r="P106" s="3"/>
      <c r="Q106" s="3"/>
      <c r="R106" s="3"/>
      <c r="S106" s="6">
        <f t="shared" si="32"/>
        <v>99</v>
      </c>
      <c r="T106">
        <v>1</v>
      </c>
      <c r="U106" s="4" t="s">
        <v>429</v>
      </c>
      <c r="V106" s="4" t="s">
        <v>430</v>
      </c>
      <c r="W106" s="4" t="s">
        <v>6</v>
      </c>
      <c r="X106" s="5">
        <f t="shared" si="17"/>
        <v>0</v>
      </c>
      <c r="Y106" s="5">
        <f t="shared" si="18"/>
        <v>0</v>
      </c>
      <c r="Z106" s="5">
        <f t="shared" si="19"/>
        <v>0</v>
      </c>
      <c r="AA106" s="5">
        <f t="shared" si="20"/>
        <v>0</v>
      </c>
      <c r="AB106" s="5">
        <f t="shared" si="21"/>
        <v>0</v>
      </c>
      <c r="AC106" s="5">
        <f t="shared" si="22"/>
        <v>0</v>
      </c>
      <c r="AD106" s="5">
        <f t="shared" si="23"/>
        <v>0</v>
      </c>
      <c r="AE106" s="5">
        <f t="shared" si="24"/>
        <v>0</v>
      </c>
      <c r="AF106" s="5">
        <f t="shared" si="25"/>
        <v>40</v>
      </c>
      <c r="AG106" s="5">
        <f t="shared" si="26"/>
        <v>0</v>
      </c>
      <c r="AH106" s="5">
        <f t="shared" si="27"/>
        <v>0</v>
      </c>
      <c r="AI106" s="5">
        <f t="shared" si="28"/>
        <v>0</v>
      </c>
      <c r="AJ106" s="5">
        <f t="shared" si="29"/>
        <v>0</v>
      </c>
      <c r="AK106" s="5">
        <f t="shared" si="30"/>
        <v>0</v>
      </c>
      <c r="AL106" s="5">
        <f t="shared" si="31"/>
        <v>0</v>
      </c>
      <c r="AM106" s="6">
        <f t="shared" si="33"/>
        <v>40</v>
      </c>
    </row>
    <row r="107" spans="1:39" x14ac:dyDescent="0.25">
      <c r="A107" s="4" t="s">
        <v>431</v>
      </c>
      <c r="B107" s="4" t="s">
        <v>432</v>
      </c>
      <c r="C107" s="4" t="s">
        <v>6</v>
      </c>
      <c r="D107" s="5">
        <v>6</v>
      </c>
      <c r="E107" s="6">
        <v>4.5</v>
      </c>
      <c r="F107" s="6">
        <v>6</v>
      </c>
      <c r="G107" s="6">
        <v>6</v>
      </c>
      <c r="H107" s="6">
        <v>10.5</v>
      </c>
      <c r="I107" s="6">
        <v>7.5</v>
      </c>
      <c r="J107" s="6">
        <v>9</v>
      </c>
      <c r="K107" s="6">
        <v>15</v>
      </c>
      <c r="L107" s="6">
        <v>30</v>
      </c>
      <c r="M107" s="6">
        <v>25.5</v>
      </c>
      <c r="N107" s="6"/>
      <c r="O107" s="3"/>
      <c r="P107" s="3"/>
      <c r="Q107" s="3"/>
      <c r="R107" s="3"/>
      <c r="S107" s="6">
        <f t="shared" si="32"/>
        <v>120</v>
      </c>
      <c r="T107">
        <v>1</v>
      </c>
      <c r="U107" s="4" t="s">
        <v>431</v>
      </c>
      <c r="V107" s="4" t="s">
        <v>432</v>
      </c>
      <c r="W107" s="4" t="s">
        <v>6</v>
      </c>
      <c r="X107" s="5">
        <f t="shared" si="17"/>
        <v>0</v>
      </c>
      <c r="Y107" s="5">
        <f t="shared" si="18"/>
        <v>0</v>
      </c>
      <c r="Z107" s="5">
        <f t="shared" si="19"/>
        <v>0</v>
      </c>
      <c r="AA107" s="5">
        <f t="shared" si="20"/>
        <v>0</v>
      </c>
      <c r="AB107" s="5">
        <f t="shared" si="21"/>
        <v>0</v>
      </c>
      <c r="AC107" s="5">
        <f t="shared" si="22"/>
        <v>0</v>
      </c>
      <c r="AD107" s="5">
        <f t="shared" si="23"/>
        <v>0</v>
      </c>
      <c r="AE107" s="5">
        <f t="shared" si="24"/>
        <v>0</v>
      </c>
      <c r="AF107" s="5">
        <f t="shared" si="25"/>
        <v>60</v>
      </c>
      <c r="AG107" s="5">
        <f t="shared" si="26"/>
        <v>40</v>
      </c>
      <c r="AH107" s="5">
        <f t="shared" si="27"/>
        <v>0</v>
      </c>
      <c r="AI107" s="5">
        <f t="shared" si="28"/>
        <v>0</v>
      </c>
      <c r="AJ107" s="5">
        <f t="shared" si="29"/>
        <v>0</v>
      </c>
      <c r="AK107" s="5">
        <f t="shared" si="30"/>
        <v>0</v>
      </c>
      <c r="AL107" s="5">
        <f t="shared" si="31"/>
        <v>0</v>
      </c>
      <c r="AM107" s="6">
        <f t="shared" si="33"/>
        <v>100</v>
      </c>
    </row>
    <row r="108" spans="1:39" x14ac:dyDescent="0.25">
      <c r="A108" s="4" t="s">
        <v>433</v>
      </c>
      <c r="B108" s="4" t="s">
        <v>434</v>
      </c>
      <c r="C108" s="4" t="s">
        <v>6</v>
      </c>
      <c r="D108" s="5">
        <v>6</v>
      </c>
      <c r="E108" s="6">
        <v>4.5</v>
      </c>
      <c r="F108" s="6">
        <v>3</v>
      </c>
      <c r="G108" s="6">
        <v>3</v>
      </c>
      <c r="H108" s="6">
        <v>7.5</v>
      </c>
      <c r="I108" s="6">
        <v>6</v>
      </c>
      <c r="J108" s="6">
        <v>7.5</v>
      </c>
      <c r="K108" s="6">
        <v>16.5</v>
      </c>
      <c r="L108" s="6">
        <v>7.5</v>
      </c>
      <c r="M108" s="6"/>
      <c r="N108" s="6"/>
      <c r="O108" s="3"/>
      <c r="P108" s="3"/>
      <c r="Q108" s="3"/>
      <c r="R108" s="3"/>
      <c r="S108" s="6">
        <f t="shared" si="32"/>
        <v>61.5</v>
      </c>
      <c r="T108">
        <v>1</v>
      </c>
      <c r="U108" s="4" t="s">
        <v>433</v>
      </c>
      <c r="V108" s="4" t="s">
        <v>434</v>
      </c>
      <c r="W108" s="4" t="s">
        <v>6</v>
      </c>
      <c r="X108" s="5">
        <f t="shared" si="17"/>
        <v>0</v>
      </c>
      <c r="Y108" s="5">
        <f t="shared" si="18"/>
        <v>0</v>
      </c>
      <c r="Z108" s="5">
        <f t="shared" si="19"/>
        <v>0</v>
      </c>
      <c r="AA108" s="5">
        <f t="shared" si="20"/>
        <v>0</v>
      </c>
      <c r="AB108" s="5">
        <f t="shared" si="21"/>
        <v>0</v>
      </c>
      <c r="AC108" s="5">
        <f t="shared" si="22"/>
        <v>0</v>
      </c>
      <c r="AD108" s="5">
        <f t="shared" si="23"/>
        <v>0</v>
      </c>
      <c r="AE108" s="5">
        <f t="shared" si="24"/>
        <v>0</v>
      </c>
      <c r="AF108" s="5">
        <f t="shared" si="25"/>
        <v>0</v>
      </c>
      <c r="AG108" s="5">
        <f t="shared" si="26"/>
        <v>0</v>
      </c>
      <c r="AH108" s="5">
        <f t="shared" si="27"/>
        <v>0</v>
      </c>
      <c r="AI108" s="5">
        <f t="shared" si="28"/>
        <v>0</v>
      </c>
      <c r="AJ108" s="5">
        <f t="shared" si="29"/>
        <v>0</v>
      </c>
      <c r="AK108" s="5">
        <f t="shared" si="30"/>
        <v>0</v>
      </c>
      <c r="AL108" s="5">
        <f t="shared" si="31"/>
        <v>0</v>
      </c>
      <c r="AM108" s="6">
        <f t="shared" si="33"/>
        <v>0</v>
      </c>
    </row>
    <row r="109" spans="1:39" x14ac:dyDescent="0.25">
      <c r="A109" s="4" t="s">
        <v>435</v>
      </c>
      <c r="B109" s="4" t="s">
        <v>436</v>
      </c>
      <c r="C109" s="4" t="s">
        <v>6</v>
      </c>
      <c r="D109" s="5"/>
      <c r="E109" s="6"/>
      <c r="F109" s="6"/>
      <c r="G109" s="6"/>
      <c r="H109" s="6"/>
      <c r="I109" s="6"/>
      <c r="J109" s="6"/>
      <c r="K109" s="6">
        <v>15</v>
      </c>
      <c r="L109" s="6"/>
      <c r="M109" s="6"/>
      <c r="N109" s="6"/>
      <c r="O109" s="3"/>
      <c r="P109" s="3"/>
      <c r="Q109" s="3"/>
      <c r="R109" s="3"/>
      <c r="S109" s="6">
        <f t="shared" si="32"/>
        <v>15</v>
      </c>
      <c r="T109">
        <v>1</v>
      </c>
      <c r="U109" s="4" t="s">
        <v>435</v>
      </c>
      <c r="V109" s="4" t="s">
        <v>436</v>
      </c>
      <c r="W109" s="4" t="s">
        <v>6</v>
      </c>
      <c r="X109" s="5">
        <f t="shared" si="17"/>
        <v>0</v>
      </c>
      <c r="Y109" s="5">
        <f t="shared" si="18"/>
        <v>0</v>
      </c>
      <c r="Z109" s="5">
        <f t="shared" si="19"/>
        <v>0</v>
      </c>
      <c r="AA109" s="5">
        <f t="shared" si="20"/>
        <v>0</v>
      </c>
      <c r="AB109" s="5">
        <f t="shared" si="21"/>
        <v>0</v>
      </c>
      <c r="AC109" s="5">
        <f t="shared" si="22"/>
        <v>0</v>
      </c>
      <c r="AD109" s="5">
        <f t="shared" si="23"/>
        <v>0</v>
      </c>
      <c r="AE109" s="5">
        <f t="shared" si="24"/>
        <v>0</v>
      </c>
      <c r="AF109" s="5">
        <f t="shared" si="25"/>
        <v>0</v>
      </c>
      <c r="AG109" s="5">
        <f t="shared" si="26"/>
        <v>0</v>
      </c>
      <c r="AH109" s="5">
        <f t="shared" si="27"/>
        <v>0</v>
      </c>
      <c r="AI109" s="5">
        <f t="shared" si="28"/>
        <v>0</v>
      </c>
      <c r="AJ109" s="5">
        <f t="shared" si="29"/>
        <v>0</v>
      </c>
      <c r="AK109" s="5">
        <f t="shared" si="30"/>
        <v>0</v>
      </c>
      <c r="AL109" s="5">
        <f t="shared" si="31"/>
        <v>0</v>
      </c>
      <c r="AM109" s="6">
        <f t="shared" si="33"/>
        <v>0</v>
      </c>
    </row>
    <row r="110" spans="1:39" x14ac:dyDescent="0.25">
      <c r="A110" s="4" t="s">
        <v>439</v>
      </c>
      <c r="B110" s="4" t="s">
        <v>440</v>
      </c>
      <c r="C110" s="4" t="s">
        <v>6</v>
      </c>
      <c r="D110" s="5">
        <v>6</v>
      </c>
      <c r="E110" s="6">
        <v>4.5</v>
      </c>
      <c r="F110" s="6">
        <v>4.5</v>
      </c>
      <c r="G110" s="6">
        <v>4.5</v>
      </c>
      <c r="H110" s="6">
        <v>6</v>
      </c>
      <c r="I110" s="6">
        <v>13.5</v>
      </c>
      <c r="J110" s="6">
        <v>12</v>
      </c>
      <c r="K110" s="6">
        <v>18</v>
      </c>
      <c r="L110" s="6">
        <v>30</v>
      </c>
      <c r="M110" s="6">
        <v>21</v>
      </c>
      <c r="N110" s="6"/>
      <c r="O110" s="3"/>
      <c r="P110" s="3"/>
      <c r="Q110" s="3"/>
      <c r="R110" s="3"/>
      <c r="S110" s="6">
        <f t="shared" si="32"/>
        <v>120</v>
      </c>
      <c r="T110">
        <v>1</v>
      </c>
      <c r="U110" s="4" t="s">
        <v>439</v>
      </c>
      <c r="V110" s="4" t="s">
        <v>440</v>
      </c>
      <c r="W110" s="4" t="s">
        <v>6</v>
      </c>
      <c r="X110" s="5">
        <f t="shared" si="17"/>
        <v>0</v>
      </c>
      <c r="Y110" s="5">
        <f t="shared" si="18"/>
        <v>0</v>
      </c>
      <c r="Z110" s="5">
        <f t="shared" si="19"/>
        <v>0</v>
      </c>
      <c r="AA110" s="5">
        <f t="shared" si="20"/>
        <v>0</v>
      </c>
      <c r="AB110" s="5">
        <f t="shared" si="21"/>
        <v>0</v>
      </c>
      <c r="AC110" s="5">
        <f t="shared" si="22"/>
        <v>0</v>
      </c>
      <c r="AD110" s="5">
        <f t="shared" si="23"/>
        <v>0</v>
      </c>
      <c r="AE110" s="5">
        <f t="shared" si="24"/>
        <v>0</v>
      </c>
      <c r="AF110" s="5">
        <f t="shared" si="25"/>
        <v>60</v>
      </c>
      <c r="AG110" s="5">
        <f t="shared" si="26"/>
        <v>20</v>
      </c>
      <c r="AH110" s="5">
        <f t="shared" si="27"/>
        <v>0</v>
      </c>
      <c r="AI110" s="5">
        <f t="shared" si="28"/>
        <v>0</v>
      </c>
      <c r="AJ110" s="5">
        <f t="shared" si="29"/>
        <v>0</v>
      </c>
      <c r="AK110" s="5">
        <f t="shared" si="30"/>
        <v>0</v>
      </c>
      <c r="AL110" s="5">
        <f t="shared" si="31"/>
        <v>0</v>
      </c>
      <c r="AM110" s="6">
        <f t="shared" si="33"/>
        <v>80</v>
      </c>
    </row>
    <row r="111" spans="1:39" x14ac:dyDescent="0.25">
      <c r="A111" s="4" t="s">
        <v>441</v>
      </c>
      <c r="B111" s="4" t="s">
        <v>442</v>
      </c>
      <c r="C111" s="4" t="s">
        <v>6</v>
      </c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3"/>
      <c r="P111" s="3"/>
      <c r="Q111" s="3"/>
      <c r="R111" s="3"/>
      <c r="S111" s="6">
        <f t="shared" si="32"/>
        <v>0</v>
      </c>
      <c r="T111">
        <v>1</v>
      </c>
      <c r="U111" s="4" t="s">
        <v>441</v>
      </c>
      <c r="V111" s="4" t="s">
        <v>442</v>
      </c>
      <c r="W111" s="4" t="s">
        <v>6</v>
      </c>
      <c r="X111" s="5">
        <f t="shared" si="17"/>
        <v>0</v>
      </c>
      <c r="Y111" s="5">
        <f t="shared" si="18"/>
        <v>0</v>
      </c>
      <c r="Z111" s="5">
        <f t="shared" si="19"/>
        <v>0</v>
      </c>
      <c r="AA111" s="5">
        <f t="shared" si="20"/>
        <v>0</v>
      </c>
      <c r="AB111" s="5">
        <f t="shared" si="21"/>
        <v>0</v>
      </c>
      <c r="AC111" s="5">
        <f t="shared" si="22"/>
        <v>0</v>
      </c>
      <c r="AD111" s="5">
        <f t="shared" si="23"/>
        <v>0</v>
      </c>
      <c r="AE111" s="5">
        <f t="shared" si="24"/>
        <v>0</v>
      </c>
      <c r="AF111" s="5">
        <f t="shared" si="25"/>
        <v>0</v>
      </c>
      <c r="AG111" s="5">
        <f t="shared" si="26"/>
        <v>0</v>
      </c>
      <c r="AH111" s="5">
        <f t="shared" si="27"/>
        <v>0</v>
      </c>
      <c r="AI111" s="5">
        <f t="shared" si="28"/>
        <v>0</v>
      </c>
      <c r="AJ111" s="5">
        <f t="shared" si="29"/>
        <v>0</v>
      </c>
      <c r="AK111" s="5">
        <f t="shared" si="30"/>
        <v>0</v>
      </c>
      <c r="AL111" s="5">
        <f t="shared" si="31"/>
        <v>0</v>
      </c>
      <c r="AM111" s="6">
        <f t="shared" si="33"/>
        <v>0</v>
      </c>
    </row>
    <row r="112" spans="1:39" x14ac:dyDescent="0.25">
      <c r="A112" s="4" t="s">
        <v>443</v>
      </c>
      <c r="B112" s="4" t="s">
        <v>444</v>
      </c>
      <c r="C112" s="4" t="s">
        <v>6</v>
      </c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3"/>
      <c r="P112" s="3"/>
      <c r="Q112" s="3"/>
      <c r="R112" s="3"/>
      <c r="S112" s="6">
        <f t="shared" si="32"/>
        <v>0</v>
      </c>
      <c r="T112">
        <v>1</v>
      </c>
      <c r="U112" s="4" t="s">
        <v>443</v>
      </c>
      <c r="V112" s="4" t="s">
        <v>444</v>
      </c>
      <c r="W112" s="4" t="s">
        <v>6</v>
      </c>
      <c r="X112" s="5">
        <f t="shared" si="17"/>
        <v>0</v>
      </c>
      <c r="Y112" s="5">
        <f t="shared" si="18"/>
        <v>0</v>
      </c>
      <c r="Z112" s="5">
        <f t="shared" si="19"/>
        <v>0</v>
      </c>
      <c r="AA112" s="5">
        <f t="shared" si="20"/>
        <v>0</v>
      </c>
      <c r="AB112" s="5">
        <f t="shared" si="21"/>
        <v>0</v>
      </c>
      <c r="AC112" s="5">
        <f t="shared" si="22"/>
        <v>0</v>
      </c>
      <c r="AD112" s="5">
        <f t="shared" si="23"/>
        <v>0</v>
      </c>
      <c r="AE112" s="5">
        <f t="shared" si="24"/>
        <v>0</v>
      </c>
      <c r="AF112" s="5">
        <f t="shared" si="25"/>
        <v>0</v>
      </c>
      <c r="AG112" s="5">
        <f t="shared" si="26"/>
        <v>0</v>
      </c>
      <c r="AH112" s="5">
        <f t="shared" si="27"/>
        <v>0</v>
      </c>
      <c r="AI112" s="5">
        <f t="shared" si="28"/>
        <v>0</v>
      </c>
      <c r="AJ112" s="5">
        <f t="shared" si="29"/>
        <v>0</v>
      </c>
      <c r="AK112" s="5">
        <f t="shared" si="30"/>
        <v>0</v>
      </c>
      <c r="AL112" s="5">
        <f t="shared" si="31"/>
        <v>0</v>
      </c>
      <c r="AM112" s="6">
        <f t="shared" si="33"/>
        <v>0</v>
      </c>
    </row>
    <row r="113" spans="1:39" x14ac:dyDescent="0.25">
      <c r="A113" s="4" t="s">
        <v>445</v>
      </c>
      <c r="B113" s="4" t="s">
        <v>446</v>
      </c>
      <c r="C113" s="4" t="s">
        <v>6</v>
      </c>
      <c r="D113" s="5"/>
      <c r="E113" s="6"/>
      <c r="F113" s="6">
        <v>4.5</v>
      </c>
      <c r="G113" s="6">
        <v>4.5</v>
      </c>
      <c r="H113" s="6">
        <v>3</v>
      </c>
      <c r="I113" s="6"/>
      <c r="J113" s="6">
        <v>6</v>
      </c>
      <c r="K113" s="6"/>
      <c r="L113" s="6">
        <v>19.5</v>
      </c>
      <c r="M113" s="6">
        <v>21</v>
      </c>
      <c r="N113" s="6"/>
      <c r="O113" s="3"/>
      <c r="P113" s="3"/>
      <c r="Q113" s="3"/>
      <c r="R113" s="3"/>
      <c r="S113" s="6">
        <f t="shared" si="32"/>
        <v>58.5</v>
      </c>
      <c r="T113">
        <v>1</v>
      </c>
      <c r="U113" s="4" t="s">
        <v>445</v>
      </c>
      <c r="V113" s="4" t="s">
        <v>446</v>
      </c>
      <c r="W113" s="4" t="s">
        <v>6</v>
      </c>
      <c r="X113" s="5">
        <f t="shared" si="17"/>
        <v>0</v>
      </c>
      <c r="Y113" s="5">
        <f t="shared" si="18"/>
        <v>0</v>
      </c>
      <c r="Z113" s="5">
        <f t="shared" si="19"/>
        <v>0</v>
      </c>
      <c r="AA113" s="5">
        <f t="shared" si="20"/>
        <v>0</v>
      </c>
      <c r="AB113" s="5">
        <f t="shared" si="21"/>
        <v>0</v>
      </c>
      <c r="AC113" s="5">
        <f t="shared" si="22"/>
        <v>0</v>
      </c>
      <c r="AD113" s="5">
        <f t="shared" si="23"/>
        <v>0</v>
      </c>
      <c r="AE113" s="5">
        <f t="shared" si="24"/>
        <v>0</v>
      </c>
      <c r="AF113" s="5">
        <f t="shared" si="25"/>
        <v>0</v>
      </c>
      <c r="AG113" s="5">
        <f t="shared" si="26"/>
        <v>20</v>
      </c>
      <c r="AH113" s="5">
        <f t="shared" si="27"/>
        <v>0</v>
      </c>
      <c r="AI113" s="5">
        <f t="shared" si="28"/>
        <v>0</v>
      </c>
      <c r="AJ113" s="5">
        <f t="shared" si="29"/>
        <v>0</v>
      </c>
      <c r="AK113" s="5">
        <f t="shared" si="30"/>
        <v>0</v>
      </c>
      <c r="AL113" s="5">
        <f t="shared" si="31"/>
        <v>0</v>
      </c>
      <c r="AM113" s="6">
        <f t="shared" si="33"/>
        <v>20</v>
      </c>
    </row>
    <row r="114" spans="1:39" x14ac:dyDescent="0.25">
      <c r="A114" s="4" t="s">
        <v>447</v>
      </c>
      <c r="B114" s="4" t="s">
        <v>448</v>
      </c>
      <c r="C114" s="4" t="s">
        <v>6</v>
      </c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3"/>
      <c r="P114" s="3"/>
      <c r="Q114" s="3"/>
      <c r="R114" s="3"/>
      <c r="S114" s="6">
        <f t="shared" si="32"/>
        <v>0</v>
      </c>
      <c r="T114">
        <v>1</v>
      </c>
      <c r="U114" s="4" t="s">
        <v>447</v>
      </c>
      <c r="V114" s="4" t="s">
        <v>448</v>
      </c>
      <c r="W114" s="4" t="s">
        <v>6</v>
      </c>
      <c r="X114" s="5">
        <f t="shared" si="17"/>
        <v>0</v>
      </c>
      <c r="Y114" s="5">
        <f t="shared" si="18"/>
        <v>0</v>
      </c>
      <c r="Z114" s="5">
        <f t="shared" si="19"/>
        <v>0</v>
      </c>
      <c r="AA114" s="5">
        <f t="shared" si="20"/>
        <v>0</v>
      </c>
      <c r="AB114" s="5">
        <f t="shared" si="21"/>
        <v>0</v>
      </c>
      <c r="AC114" s="5">
        <f t="shared" si="22"/>
        <v>0</v>
      </c>
      <c r="AD114" s="5">
        <f t="shared" si="23"/>
        <v>0</v>
      </c>
      <c r="AE114" s="5">
        <f t="shared" si="24"/>
        <v>0</v>
      </c>
      <c r="AF114" s="5">
        <f t="shared" si="25"/>
        <v>0</v>
      </c>
      <c r="AG114" s="5">
        <f t="shared" si="26"/>
        <v>0</v>
      </c>
      <c r="AH114" s="5">
        <f t="shared" si="27"/>
        <v>0</v>
      </c>
      <c r="AI114" s="5">
        <f t="shared" si="28"/>
        <v>0</v>
      </c>
      <c r="AJ114" s="5">
        <f t="shared" si="29"/>
        <v>0</v>
      </c>
      <c r="AK114" s="5">
        <f t="shared" si="30"/>
        <v>0</v>
      </c>
      <c r="AL114" s="5">
        <f t="shared" si="31"/>
        <v>0</v>
      </c>
      <c r="AM114" s="6">
        <f t="shared" si="33"/>
        <v>0</v>
      </c>
    </row>
    <row r="115" spans="1:39" x14ac:dyDescent="0.25">
      <c r="A115" s="4" t="s">
        <v>449</v>
      </c>
      <c r="B115" s="4" t="s">
        <v>450</v>
      </c>
      <c r="C115" s="4" t="s">
        <v>6</v>
      </c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3"/>
      <c r="P115" s="3"/>
      <c r="Q115" s="3"/>
      <c r="R115" s="3"/>
      <c r="S115" s="6">
        <f t="shared" si="32"/>
        <v>0</v>
      </c>
      <c r="T115">
        <v>1</v>
      </c>
      <c r="U115" s="4" t="s">
        <v>449</v>
      </c>
      <c r="V115" s="4" t="s">
        <v>450</v>
      </c>
      <c r="W115" s="4" t="s">
        <v>6</v>
      </c>
      <c r="X115" s="5">
        <f t="shared" si="17"/>
        <v>0</v>
      </c>
      <c r="Y115" s="5">
        <f t="shared" si="18"/>
        <v>0</v>
      </c>
      <c r="Z115" s="5">
        <f t="shared" si="19"/>
        <v>0</v>
      </c>
      <c r="AA115" s="5">
        <f t="shared" si="20"/>
        <v>0</v>
      </c>
      <c r="AB115" s="5">
        <f t="shared" si="21"/>
        <v>0</v>
      </c>
      <c r="AC115" s="5">
        <f t="shared" si="22"/>
        <v>0</v>
      </c>
      <c r="AD115" s="5">
        <f t="shared" si="23"/>
        <v>0</v>
      </c>
      <c r="AE115" s="5">
        <f t="shared" si="24"/>
        <v>0</v>
      </c>
      <c r="AF115" s="5">
        <f t="shared" si="25"/>
        <v>0</v>
      </c>
      <c r="AG115" s="5">
        <f t="shared" si="26"/>
        <v>0</v>
      </c>
      <c r="AH115" s="5">
        <f t="shared" si="27"/>
        <v>0</v>
      </c>
      <c r="AI115" s="5">
        <f t="shared" si="28"/>
        <v>0</v>
      </c>
      <c r="AJ115" s="5">
        <f t="shared" si="29"/>
        <v>0</v>
      </c>
      <c r="AK115" s="5">
        <f t="shared" si="30"/>
        <v>0</v>
      </c>
      <c r="AL115" s="5">
        <f t="shared" si="31"/>
        <v>0</v>
      </c>
      <c r="AM115" s="6">
        <f t="shared" si="33"/>
        <v>0</v>
      </c>
    </row>
    <row r="116" spans="1:39" x14ac:dyDescent="0.25">
      <c r="A116" s="4" t="s">
        <v>469</v>
      </c>
      <c r="B116" s="4" t="s">
        <v>470</v>
      </c>
      <c r="C116" s="4" t="s">
        <v>6</v>
      </c>
      <c r="D116" s="5"/>
      <c r="E116" s="6"/>
      <c r="F116" s="6"/>
      <c r="G116" s="6"/>
      <c r="H116" s="6"/>
      <c r="I116" s="6"/>
      <c r="J116" s="6"/>
      <c r="K116" s="6">
        <v>7.5</v>
      </c>
      <c r="L116" s="6">
        <v>31.5</v>
      </c>
      <c r="M116" s="6"/>
      <c r="N116" s="6"/>
      <c r="O116" s="3"/>
      <c r="P116" s="3"/>
      <c r="Q116" s="3"/>
      <c r="R116" s="3"/>
      <c r="S116" s="6">
        <f t="shared" si="32"/>
        <v>39</v>
      </c>
      <c r="T116">
        <v>1</v>
      </c>
      <c r="U116" s="4" t="s">
        <v>469</v>
      </c>
      <c r="V116" s="4" t="s">
        <v>470</v>
      </c>
      <c r="W116" s="4" t="s">
        <v>6</v>
      </c>
      <c r="X116" s="5">
        <f t="shared" si="17"/>
        <v>0</v>
      </c>
      <c r="Y116" s="5">
        <f t="shared" si="18"/>
        <v>0</v>
      </c>
      <c r="Z116" s="5">
        <f t="shared" si="19"/>
        <v>0</v>
      </c>
      <c r="AA116" s="5">
        <f t="shared" si="20"/>
        <v>0</v>
      </c>
      <c r="AB116" s="5">
        <f t="shared" si="21"/>
        <v>0</v>
      </c>
      <c r="AC116" s="5">
        <f t="shared" si="22"/>
        <v>0</v>
      </c>
      <c r="AD116" s="5">
        <f t="shared" si="23"/>
        <v>0</v>
      </c>
      <c r="AE116" s="5">
        <f t="shared" si="24"/>
        <v>0</v>
      </c>
      <c r="AF116" s="5">
        <f t="shared" si="25"/>
        <v>64.5</v>
      </c>
      <c r="AG116" s="5">
        <f t="shared" si="26"/>
        <v>0</v>
      </c>
      <c r="AH116" s="5">
        <f t="shared" si="27"/>
        <v>0</v>
      </c>
      <c r="AI116" s="5">
        <f t="shared" si="28"/>
        <v>0</v>
      </c>
      <c r="AJ116" s="5">
        <f t="shared" si="29"/>
        <v>0</v>
      </c>
      <c r="AK116" s="5">
        <f t="shared" si="30"/>
        <v>0</v>
      </c>
      <c r="AL116" s="5">
        <f t="shared" si="31"/>
        <v>0</v>
      </c>
      <c r="AM116" s="6">
        <f t="shared" si="33"/>
        <v>64.5</v>
      </c>
    </row>
    <row r="117" spans="1:39" x14ac:dyDescent="0.25">
      <c r="A117" s="4" t="s">
        <v>471</v>
      </c>
      <c r="B117" s="4" t="s">
        <v>472</v>
      </c>
      <c r="C117" s="4" t="s">
        <v>6</v>
      </c>
      <c r="D117" s="5"/>
      <c r="E117" s="6"/>
      <c r="F117" s="6"/>
      <c r="G117" s="6"/>
      <c r="H117" s="6"/>
      <c r="I117" s="6"/>
      <c r="J117" s="6"/>
      <c r="K117" s="6">
        <v>4.5</v>
      </c>
      <c r="L117" s="6">
        <v>21</v>
      </c>
      <c r="M117" s="6"/>
      <c r="N117" s="6"/>
      <c r="O117" s="3"/>
      <c r="P117" s="3"/>
      <c r="Q117" s="3"/>
      <c r="R117" s="3"/>
      <c r="S117" s="6">
        <f t="shared" si="32"/>
        <v>25.5</v>
      </c>
      <c r="U117" s="4" t="s">
        <v>471</v>
      </c>
      <c r="V117" s="4" t="s">
        <v>472</v>
      </c>
      <c r="W117" s="4" t="s">
        <v>6</v>
      </c>
      <c r="X117" s="5">
        <f t="shared" ref="X117" si="34">IF(D117&lt;20,0,IF(D117&lt;25,20,IF(D117&lt;30,40,IF(D117&lt;=40,60+(D117-30)*3,60+30+(D117-40)*4))))</f>
        <v>0</v>
      </c>
      <c r="Y117" s="5">
        <f t="shared" ref="Y117" si="35">IF(E117&lt;20,0,IF(E117&lt;25,20,IF(E117&lt;30,40,IF(E117&lt;=40,60+(E117-30)*3,60+30+(E117-40)*4))))</f>
        <v>0</v>
      </c>
      <c r="Z117" s="5">
        <f t="shared" ref="Z117" si="36">IF(F117&lt;20,0,IF(F117&lt;25,20,IF(F117&lt;30,40,IF(F117&lt;=40,60+(F117-30)*3,60+30+(F117-40)*4))))</f>
        <v>0</v>
      </c>
      <c r="AA117" s="5">
        <f t="shared" ref="AA117" si="37">IF(G117&lt;20,0,IF(G117&lt;25,20,IF(G117&lt;30,40,IF(G117&lt;=40,60+(G117-30)*3,60+30+(G117-40)*4))))</f>
        <v>0</v>
      </c>
      <c r="AB117" s="5">
        <f t="shared" ref="AB117" si="38">IF(H117&lt;20,0,IF(H117&lt;25,20,IF(H117&lt;30,40,IF(H117&lt;=40,60+(H117-30)*3,60+30+(H117-40)*4))))</f>
        <v>0</v>
      </c>
      <c r="AC117" s="5">
        <f t="shared" ref="AC117" si="39">IF(I117&lt;20,0,IF(I117&lt;25,20,IF(I117&lt;30,40,IF(I117&lt;=40,60+(I117-30)*3,60+30+(I117-40)*4))))</f>
        <v>0</v>
      </c>
      <c r="AD117" s="5">
        <f t="shared" ref="AD117" si="40">IF(J117&lt;20,0,IF(J117&lt;25,20,IF(J117&lt;30,40,IF(J117&lt;=40,60+(J117-30)*3,60+30+(J117-40)*4))))</f>
        <v>0</v>
      </c>
      <c r="AE117" s="5">
        <f t="shared" ref="AE117" si="41">IF(K117&lt;20,0,IF(K117&lt;25,20,IF(K117&lt;30,40,IF(K117&lt;=40,60+(K117-30)*3,60+30+(K117-40)*4))))</f>
        <v>0</v>
      </c>
      <c r="AF117" s="5">
        <f t="shared" ref="AF117" si="42">IF(L117&lt;20,0,IF(L117&lt;25,20,IF(L117&lt;30,40,IF(L117&lt;=40,60+(L117-30)*3,60+30+(L117-40)*4))))</f>
        <v>20</v>
      </c>
      <c r="AG117" s="5">
        <f t="shared" ref="AG117" si="43">IF(M117&lt;20,0,IF(M117&lt;25,20,IF(M117&lt;30,40,IF(M117&lt;=40,60+(M117-30)*3,60+30+(M117-40)*4))))</f>
        <v>0</v>
      </c>
      <c r="AH117" s="5">
        <f t="shared" ref="AH117" si="44">IF(N117&lt;20,0,IF(N117&lt;25,20,IF(N117&lt;30,40,IF(N117&lt;=40,60+(N117-30)*3,60+30+(N117-40)*4))))</f>
        <v>0</v>
      </c>
      <c r="AI117" s="5">
        <f t="shared" ref="AI117" si="45">IF(O117&lt;20,0,IF(O117&lt;25,20,IF(O117&lt;30,40,IF(O117&lt;=40,60+(O117-30)*3,60+30+(O117-40)*4))))</f>
        <v>0</v>
      </c>
      <c r="AJ117" s="5">
        <f t="shared" ref="AJ117" si="46">IF(P117&lt;20,0,IF(P117&lt;25,20,IF(P117&lt;30,40,IF(P117&lt;=40,60+(P117-30)*3,60+30+(P117-40)*4))))</f>
        <v>0</v>
      </c>
      <c r="AK117" s="5">
        <f t="shared" ref="AK117" si="47">IF(Q117&lt;20,0,IF(Q117&lt;25,20,IF(Q117&lt;30,40,IF(Q117&lt;=40,60+(Q117-30)*3,60+30+(Q117-40)*4))))</f>
        <v>0</v>
      </c>
      <c r="AL117" s="5">
        <f t="shared" ref="AL117" si="48">IF(R117&lt;20,0,IF(R117&lt;25,20,IF(R117&lt;30,40,IF(R117&lt;=40,60+(R117-30)*3,60+30+(R117-40)*4))))</f>
        <v>0</v>
      </c>
      <c r="AM117" s="6">
        <f t="shared" ref="AM117" si="49">SUM(X117:AL117)</f>
        <v>20</v>
      </c>
    </row>
    <row r="118" spans="1:39" x14ac:dyDescent="0.25">
      <c r="A118" s="4" t="s">
        <v>473</v>
      </c>
      <c r="B118" s="4" t="s">
        <v>474</v>
      </c>
      <c r="C118" s="4" t="s">
        <v>6</v>
      </c>
      <c r="D118" s="5">
        <v>7.5</v>
      </c>
      <c r="E118" s="6">
        <v>4.5</v>
      </c>
      <c r="F118" s="6">
        <v>4.5</v>
      </c>
      <c r="G118" s="6">
        <v>1.5</v>
      </c>
      <c r="H118" s="6"/>
      <c r="I118" s="6"/>
      <c r="J118" s="6"/>
      <c r="K118" s="6"/>
      <c r="L118" s="6"/>
      <c r="M118" s="6">
        <v>24</v>
      </c>
      <c r="N118" s="6"/>
      <c r="O118" s="3"/>
      <c r="P118" s="3"/>
      <c r="Q118" s="3"/>
      <c r="R118" s="3"/>
      <c r="S118" s="6">
        <f t="shared" si="32"/>
        <v>42</v>
      </c>
      <c r="T118">
        <v>1</v>
      </c>
      <c r="U118" s="4" t="s">
        <v>473</v>
      </c>
      <c r="V118" s="4" t="s">
        <v>474</v>
      </c>
      <c r="W118" s="4" t="s">
        <v>6</v>
      </c>
      <c r="X118" s="5">
        <f t="shared" si="17"/>
        <v>0</v>
      </c>
      <c r="Y118" s="5">
        <f t="shared" si="18"/>
        <v>0</v>
      </c>
      <c r="Z118" s="5">
        <f t="shared" si="19"/>
        <v>0</v>
      </c>
      <c r="AA118" s="5">
        <f t="shared" si="20"/>
        <v>0</v>
      </c>
      <c r="AB118" s="5">
        <f t="shared" si="21"/>
        <v>0</v>
      </c>
      <c r="AC118" s="5">
        <f t="shared" si="22"/>
        <v>0</v>
      </c>
      <c r="AD118" s="5">
        <f t="shared" si="23"/>
        <v>0</v>
      </c>
      <c r="AE118" s="5">
        <f t="shared" si="24"/>
        <v>0</v>
      </c>
      <c r="AF118" s="5">
        <f t="shared" si="25"/>
        <v>0</v>
      </c>
      <c r="AG118" s="5">
        <f t="shared" si="26"/>
        <v>20</v>
      </c>
      <c r="AH118" s="5">
        <f t="shared" si="27"/>
        <v>0</v>
      </c>
      <c r="AI118" s="5">
        <f t="shared" si="28"/>
        <v>0</v>
      </c>
      <c r="AJ118" s="5">
        <f t="shared" si="29"/>
        <v>0</v>
      </c>
      <c r="AK118" s="5">
        <f t="shared" si="30"/>
        <v>0</v>
      </c>
      <c r="AL118" s="5">
        <f t="shared" si="31"/>
        <v>0</v>
      </c>
      <c r="AM118" s="6">
        <f t="shared" si="33"/>
        <v>20</v>
      </c>
    </row>
    <row r="119" spans="1:39" x14ac:dyDescent="0.25">
      <c r="A119" s="4" t="s">
        <v>475</v>
      </c>
      <c r="B119" s="4" t="s">
        <v>476</v>
      </c>
      <c r="C119" s="4" t="s">
        <v>6</v>
      </c>
      <c r="D119" s="5">
        <v>6</v>
      </c>
      <c r="E119" s="6">
        <v>4.5</v>
      </c>
      <c r="F119" s="6">
        <v>4.5</v>
      </c>
      <c r="G119" s="6">
        <v>4.5</v>
      </c>
      <c r="H119" s="6"/>
      <c r="I119" s="6"/>
      <c r="J119" s="6"/>
      <c r="K119" s="6"/>
      <c r="L119" s="6"/>
      <c r="M119" s="6">
        <v>24</v>
      </c>
      <c r="N119" s="6"/>
      <c r="O119" s="3"/>
      <c r="P119" s="3"/>
      <c r="Q119" s="3"/>
      <c r="R119" s="3"/>
      <c r="S119" s="6">
        <f t="shared" si="32"/>
        <v>43.5</v>
      </c>
      <c r="T119">
        <v>1</v>
      </c>
      <c r="U119" s="4" t="s">
        <v>475</v>
      </c>
      <c r="V119" s="4" t="s">
        <v>476</v>
      </c>
      <c r="W119" s="4" t="s">
        <v>6</v>
      </c>
      <c r="X119" s="5">
        <f t="shared" si="17"/>
        <v>0</v>
      </c>
      <c r="Y119" s="5">
        <f t="shared" si="18"/>
        <v>0</v>
      </c>
      <c r="Z119" s="5">
        <f t="shared" si="19"/>
        <v>0</v>
      </c>
      <c r="AA119" s="5">
        <f t="shared" si="20"/>
        <v>0</v>
      </c>
      <c r="AB119" s="5">
        <f t="shared" si="21"/>
        <v>0</v>
      </c>
      <c r="AC119" s="5">
        <f t="shared" si="22"/>
        <v>0</v>
      </c>
      <c r="AD119" s="5">
        <f t="shared" si="23"/>
        <v>0</v>
      </c>
      <c r="AE119" s="5">
        <f t="shared" si="24"/>
        <v>0</v>
      </c>
      <c r="AF119" s="5">
        <f t="shared" si="25"/>
        <v>0</v>
      </c>
      <c r="AG119" s="5">
        <f t="shared" si="26"/>
        <v>20</v>
      </c>
      <c r="AH119" s="5">
        <f t="shared" si="27"/>
        <v>0</v>
      </c>
      <c r="AI119" s="5">
        <f t="shared" si="28"/>
        <v>0</v>
      </c>
      <c r="AJ119" s="5">
        <f t="shared" si="29"/>
        <v>0</v>
      </c>
      <c r="AK119" s="5">
        <f t="shared" si="30"/>
        <v>0</v>
      </c>
      <c r="AL119" s="5">
        <f t="shared" si="31"/>
        <v>0</v>
      </c>
      <c r="AM119" s="6">
        <f t="shared" si="33"/>
        <v>20</v>
      </c>
    </row>
    <row r="120" spans="1:39" x14ac:dyDescent="0.25">
      <c r="A120" s="4" t="s">
        <v>477</v>
      </c>
      <c r="B120" s="4" t="s">
        <v>478</v>
      </c>
      <c r="C120" s="4" t="s">
        <v>6</v>
      </c>
      <c r="D120" s="5">
        <v>3</v>
      </c>
      <c r="E120" s="6">
        <v>4.5</v>
      </c>
      <c r="F120" s="6">
        <v>6</v>
      </c>
      <c r="G120" s="6"/>
      <c r="H120" s="6"/>
      <c r="I120" s="6">
        <v>9</v>
      </c>
      <c r="J120" s="6"/>
      <c r="K120" s="6"/>
      <c r="L120" s="6"/>
      <c r="M120" s="6"/>
      <c r="N120" s="6"/>
      <c r="O120" s="3"/>
      <c r="P120" s="3"/>
      <c r="Q120" s="3"/>
      <c r="R120" s="3"/>
      <c r="S120" s="6">
        <f t="shared" si="32"/>
        <v>22.5</v>
      </c>
      <c r="T120">
        <v>1</v>
      </c>
      <c r="U120" s="4" t="s">
        <v>477</v>
      </c>
      <c r="V120" s="4" t="s">
        <v>478</v>
      </c>
      <c r="W120" s="4" t="s">
        <v>6</v>
      </c>
      <c r="X120" s="5">
        <f t="shared" si="17"/>
        <v>0</v>
      </c>
      <c r="Y120" s="5">
        <f t="shared" si="18"/>
        <v>0</v>
      </c>
      <c r="Z120" s="5">
        <f t="shared" si="19"/>
        <v>0</v>
      </c>
      <c r="AA120" s="5">
        <f t="shared" si="20"/>
        <v>0</v>
      </c>
      <c r="AB120" s="5">
        <f t="shared" si="21"/>
        <v>0</v>
      </c>
      <c r="AC120" s="5">
        <f t="shared" si="22"/>
        <v>0</v>
      </c>
      <c r="AD120" s="5">
        <f t="shared" si="23"/>
        <v>0</v>
      </c>
      <c r="AE120" s="5">
        <f t="shared" si="24"/>
        <v>0</v>
      </c>
      <c r="AF120" s="5">
        <f t="shared" si="25"/>
        <v>0</v>
      </c>
      <c r="AG120" s="5">
        <f t="shared" si="26"/>
        <v>0</v>
      </c>
      <c r="AH120" s="5">
        <f t="shared" si="27"/>
        <v>0</v>
      </c>
      <c r="AI120" s="5">
        <f t="shared" si="28"/>
        <v>0</v>
      </c>
      <c r="AJ120" s="5">
        <f t="shared" si="29"/>
        <v>0</v>
      </c>
      <c r="AK120" s="5">
        <f t="shared" si="30"/>
        <v>0</v>
      </c>
      <c r="AL120" s="5">
        <f t="shared" si="31"/>
        <v>0</v>
      </c>
      <c r="AM120" s="6">
        <f t="shared" si="33"/>
        <v>0</v>
      </c>
    </row>
    <row r="121" spans="1:39" x14ac:dyDescent="0.25">
      <c r="A121" s="4" t="s">
        <v>479</v>
      </c>
      <c r="B121" s="4" t="s">
        <v>480</v>
      </c>
      <c r="C121" s="4" t="s">
        <v>6</v>
      </c>
      <c r="D121" s="5">
        <v>3</v>
      </c>
      <c r="E121" s="6">
        <v>4.5</v>
      </c>
      <c r="F121" s="6">
        <v>4.5</v>
      </c>
      <c r="G121" s="6">
        <v>6</v>
      </c>
      <c r="H121" s="6">
        <v>10.5</v>
      </c>
      <c r="I121" s="6">
        <v>7.5</v>
      </c>
      <c r="J121" s="6">
        <v>15</v>
      </c>
      <c r="K121" s="6"/>
      <c r="L121" s="6"/>
      <c r="M121" s="6"/>
      <c r="N121" s="6"/>
      <c r="O121" s="3"/>
      <c r="P121" s="3"/>
      <c r="Q121" s="3"/>
      <c r="R121" s="3"/>
      <c r="S121" s="6">
        <f t="shared" si="32"/>
        <v>51</v>
      </c>
      <c r="T121">
        <v>1</v>
      </c>
      <c r="U121" s="4" t="s">
        <v>479</v>
      </c>
      <c r="V121" s="4" t="s">
        <v>480</v>
      </c>
      <c r="W121" s="4" t="s">
        <v>6</v>
      </c>
      <c r="X121" s="5">
        <f t="shared" si="17"/>
        <v>0</v>
      </c>
      <c r="Y121" s="5">
        <f t="shared" si="18"/>
        <v>0</v>
      </c>
      <c r="Z121" s="5">
        <f t="shared" si="19"/>
        <v>0</v>
      </c>
      <c r="AA121" s="5">
        <f t="shared" si="20"/>
        <v>0</v>
      </c>
      <c r="AB121" s="5">
        <f t="shared" si="21"/>
        <v>0</v>
      </c>
      <c r="AC121" s="5">
        <f t="shared" si="22"/>
        <v>0</v>
      </c>
      <c r="AD121" s="5">
        <f t="shared" si="23"/>
        <v>0</v>
      </c>
      <c r="AE121" s="5">
        <f t="shared" si="24"/>
        <v>0</v>
      </c>
      <c r="AF121" s="5">
        <f t="shared" si="25"/>
        <v>0</v>
      </c>
      <c r="AG121" s="5">
        <f t="shared" si="26"/>
        <v>0</v>
      </c>
      <c r="AH121" s="5">
        <f t="shared" si="27"/>
        <v>0</v>
      </c>
      <c r="AI121" s="5">
        <f t="shared" si="28"/>
        <v>0</v>
      </c>
      <c r="AJ121" s="5">
        <f t="shared" si="29"/>
        <v>0</v>
      </c>
      <c r="AK121" s="5">
        <f t="shared" si="30"/>
        <v>0</v>
      </c>
      <c r="AL121" s="5">
        <f t="shared" si="31"/>
        <v>0</v>
      </c>
      <c r="AM121" s="6">
        <f t="shared" si="33"/>
        <v>0</v>
      </c>
    </row>
    <row r="122" spans="1:39" x14ac:dyDescent="0.25">
      <c r="A122" s="4" t="s">
        <v>481</v>
      </c>
      <c r="B122" s="4" t="s">
        <v>482</v>
      </c>
      <c r="C122" s="4" t="s">
        <v>6</v>
      </c>
      <c r="D122" s="5">
        <v>6</v>
      </c>
      <c r="E122" s="6">
        <v>3</v>
      </c>
      <c r="F122" s="6">
        <v>4.5</v>
      </c>
      <c r="G122" s="6">
        <v>4.5</v>
      </c>
      <c r="H122" s="6">
        <v>3</v>
      </c>
      <c r="I122" s="6">
        <v>6</v>
      </c>
      <c r="J122" s="6">
        <v>15</v>
      </c>
      <c r="K122" s="6">
        <v>12</v>
      </c>
      <c r="L122" s="6">
        <v>27</v>
      </c>
      <c r="M122" s="6">
        <v>19.5</v>
      </c>
      <c r="N122" s="6"/>
      <c r="O122" s="3"/>
      <c r="P122" s="3"/>
      <c r="Q122" s="3"/>
      <c r="R122" s="3"/>
      <c r="S122" s="6">
        <f t="shared" si="32"/>
        <v>100.5</v>
      </c>
      <c r="T122">
        <v>1</v>
      </c>
      <c r="U122" s="4" t="s">
        <v>481</v>
      </c>
      <c r="V122" s="4" t="s">
        <v>482</v>
      </c>
      <c r="W122" s="4" t="s">
        <v>6</v>
      </c>
      <c r="X122" s="5">
        <f t="shared" si="17"/>
        <v>0</v>
      </c>
      <c r="Y122" s="5">
        <f t="shared" si="18"/>
        <v>0</v>
      </c>
      <c r="Z122" s="5">
        <f t="shared" si="19"/>
        <v>0</v>
      </c>
      <c r="AA122" s="5">
        <f t="shared" si="20"/>
        <v>0</v>
      </c>
      <c r="AB122" s="5">
        <f t="shared" si="21"/>
        <v>0</v>
      </c>
      <c r="AC122" s="5">
        <f t="shared" si="22"/>
        <v>0</v>
      </c>
      <c r="AD122" s="5">
        <f t="shared" si="23"/>
        <v>0</v>
      </c>
      <c r="AE122" s="5">
        <f t="shared" si="24"/>
        <v>0</v>
      </c>
      <c r="AF122" s="5">
        <f t="shared" si="25"/>
        <v>40</v>
      </c>
      <c r="AG122" s="5">
        <f t="shared" si="26"/>
        <v>0</v>
      </c>
      <c r="AH122" s="5">
        <f t="shared" si="27"/>
        <v>0</v>
      </c>
      <c r="AI122" s="5">
        <f t="shared" si="28"/>
        <v>0</v>
      </c>
      <c r="AJ122" s="5">
        <f t="shared" si="29"/>
        <v>0</v>
      </c>
      <c r="AK122" s="5">
        <f t="shared" si="30"/>
        <v>0</v>
      </c>
      <c r="AL122" s="5">
        <f t="shared" si="31"/>
        <v>0</v>
      </c>
      <c r="AM122" s="6">
        <f t="shared" si="33"/>
        <v>40</v>
      </c>
    </row>
    <row r="123" spans="1:39" x14ac:dyDescent="0.25">
      <c r="A123" s="4" t="s">
        <v>483</v>
      </c>
      <c r="B123" s="4" t="s">
        <v>484</v>
      </c>
      <c r="C123" s="4" t="s">
        <v>6</v>
      </c>
      <c r="D123" s="5"/>
      <c r="E123" s="6">
        <v>6</v>
      </c>
      <c r="F123" s="6">
        <v>6</v>
      </c>
      <c r="G123" s="6">
        <v>4.5</v>
      </c>
      <c r="H123" s="6">
        <v>7.5</v>
      </c>
      <c r="I123" s="6">
        <v>15</v>
      </c>
      <c r="J123" s="6">
        <v>16.5</v>
      </c>
      <c r="K123" s="6">
        <v>15</v>
      </c>
      <c r="L123" s="6">
        <v>43.5</v>
      </c>
      <c r="M123" s="6">
        <v>25.5</v>
      </c>
      <c r="N123" s="6"/>
      <c r="O123" s="3"/>
      <c r="P123" s="3"/>
      <c r="Q123" s="3"/>
      <c r="R123" s="3"/>
      <c r="S123" s="6">
        <f t="shared" si="32"/>
        <v>139.5</v>
      </c>
      <c r="T123">
        <v>1</v>
      </c>
      <c r="U123" s="4" t="s">
        <v>483</v>
      </c>
      <c r="V123" s="4" t="s">
        <v>484</v>
      </c>
      <c r="W123" s="4" t="s">
        <v>6</v>
      </c>
      <c r="X123" s="5">
        <f t="shared" si="17"/>
        <v>0</v>
      </c>
      <c r="Y123" s="5">
        <f t="shared" si="18"/>
        <v>0</v>
      </c>
      <c r="Z123" s="5">
        <f t="shared" si="19"/>
        <v>0</v>
      </c>
      <c r="AA123" s="5">
        <f t="shared" si="20"/>
        <v>0</v>
      </c>
      <c r="AB123" s="5">
        <f t="shared" si="21"/>
        <v>0</v>
      </c>
      <c r="AC123" s="5">
        <f t="shared" si="22"/>
        <v>0</v>
      </c>
      <c r="AD123" s="5">
        <f t="shared" si="23"/>
        <v>0</v>
      </c>
      <c r="AE123" s="5">
        <f t="shared" si="24"/>
        <v>0</v>
      </c>
      <c r="AF123" s="5">
        <f t="shared" si="25"/>
        <v>104</v>
      </c>
      <c r="AG123" s="5">
        <f t="shared" si="26"/>
        <v>40</v>
      </c>
      <c r="AH123" s="5">
        <f t="shared" si="27"/>
        <v>0</v>
      </c>
      <c r="AI123" s="5">
        <f t="shared" si="28"/>
        <v>0</v>
      </c>
      <c r="AJ123" s="5">
        <f t="shared" si="29"/>
        <v>0</v>
      </c>
      <c r="AK123" s="5">
        <f t="shared" si="30"/>
        <v>0</v>
      </c>
      <c r="AL123" s="5">
        <f t="shared" si="31"/>
        <v>0</v>
      </c>
      <c r="AM123" s="6">
        <f t="shared" si="33"/>
        <v>144</v>
      </c>
    </row>
    <row r="124" spans="1:39" x14ac:dyDescent="0.25">
      <c r="A124" s="4" t="s">
        <v>485</v>
      </c>
      <c r="B124" s="4" t="s">
        <v>486</v>
      </c>
      <c r="C124" s="4" t="s">
        <v>6</v>
      </c>
      <c r="D124" s="5"/>
      <c r="E124" s="6">
        <v>6</v>
      </c>
      <c r="F124" s="6">
        <v>6</v>
      </c>
      <c r="G124" s="6">
        <v>6</v>
      </c>
      <c r="H124" s="6">
        <v>4.5</v>
      </c>
      <c r="I124" s="6">
        <v>13.5</v>
      </c>
      <c r="J124" s="6">
        <v>12</v>
      </c>
      <c r="K124" s="6">
        <v>15</v>
      </c>
      <c r="L124" s="6">
        <v>34.5</v>
      </c>
      <c r="M124" s="6">
        <v>18</v>
      </c>
      <c r="N124" s="6"/>
      <c r="O124" s="3"/>
      <c r="P124" s="3"/>
      <c r="Q124" s="3"/>
      <c r="R124" s="3"/>
      <c r="S124" s="6">
        <f t="shared" si="32"/>
        <v>115.5</v>
      </c>
      <c r="T124">
        <v>1</v>
      </c>
      <c r="U124" s="4" t="s">
        <v>485</v>
      </c>
      <c r="V124" s="4" t="s">
        <v>486</v>
      </c>
      <c r="W124" s="4" t="s">
        <v>6</v>
      </c>
      <c r="X124" s="5">
        <f t="shared" si="17"/>
        <v>0</v>
      </c>
      <c r="Y124" s="5">
        <f t="shared" si="18"/>
        <v>0</v>
      </c>
      <c r="Z124" s="5">
        <f t="shared" si="19"/>
        <v>0</v>
      </c>
      <c r="AA124" s="5">
        <f t="shared" si="20"/>
        <v>0</v>
      </c>
      <c r="AB124" s="5">
        <f t="shared" si="21"/>
        <v>0</v>
      </c>
      <c r="AC124" s="5">
        <f t="shared" si="22"/>
        <v>0</v>
      </c>
      <c r="AD124" s="5">
        <f t="shared" si="23"/>
        <v>0</v>
      </c>
      <c r="AE124" s="5">
        <f t="shared" si="24"/>
        <v>0</v>
      </c>
      <c r="AF124" s="5">
        <f t="shared" si="25"/>
        <v>73.5</v>
      </c>
      <c r="AG124" s="5">
        <f t="shared" si="26"/>
        <v>0</v>
      </c>
      <c r="AH124" s="5">
        <f t="shared" si="27"/>
        <v>0</v>
      </c>
      <c r="AI124" s="5">
        <f t="shared" si="28"/>
        <v>0</v>
      </c>
      <c r="AJ124" s="5">
        <f t="shared" si="29"/>
        <v>0</v>
      </c>
      <c r="AK124" s="5">
        <f t="shared" si="30"/>
        <v>0</v>
      </c>
      <c r="AL124" s="5">
        <f t="shared" si="31"/>
        <v>0</v>
      </c>
      <c r="AM124" s="6">
        <f t="shared" si="33"/>
        <v>73.5</v>
      </c>
    </row>
    <row r="125" spans="1:39" x14ac:dyDescent="0.25">
      <c r="A125" s="4" t="s">
        <v>531</v>
      </c>
      <c r="B125" s="4" t="s">
        <v>532</v>
      </c>
      <c r="C125" s="4" t="s">
        <v>6</v>
      </c>
      <c r="D125" s="5"/>
      <c r="E125" s="6"/>
      <c r="F125" s="6"/>
      <c r="G125" s="6"/>
      <c r="H125" s="6"/>
      <c r="I125" s="6">
        <v>9</v>
      </c>
      <c r="J125" s="6">
        <v>9</v>
      </c>
      <c r="K125" s="6">
        <v>7.5</v>
      </c>
      <c r="L125" s="6">
        <v>19.5</v>
      </c>
      <c r="M125" s="6"/>
      <c r="N125" s="6"/>
      <c r="O125" s="3"/>
      <c r="P125" s="3"/>
      <c r="Q125" s="3"/>
      <c r="R125" s="3"/>
      <c r="S125" s="6">
        <f t="shared" si="32"/>
        <v>45</v>
      </c>
      <c r="T125">
        <v>1</v>
      </c>
      <c r="U125" s="4" t="s">
        <v>531</v>
      </c>
      <c r="V125" s="4" t="s">
        <v>532</v>
      </c>
      <c r="W125" s="4" t="s">
        <v>6</v>
      </c>
      <c r="X125" s="5">
        <f t="shared" si="17"/>
        <v>0</v>
      </c>
      <c r="Y125" s="5">
        <f t="shared" si="18"/>
        <v>0</v>
      </c>
      <c r="Z125" s="5">
        <f t="shared" si="19"/>
        <v>0</v>
      </c>
      <c r="AA125" s="5">
        <f t="shared" si="20"/>
        <v>0</v>
      </c>
      <c r="AB125" s="5">
        <f t="shared" si="21"/>
        <v>0</v>
      </c>
      <c r="AC125" s="5">
        <f t="shared" si="22"/>
        <v>0</v>
      </c>
      <c r="AD125" s="5">
        <f t="shared" si="23"/>
        <v>0</v>
      </c>
      <c r="AE125" s="5">
        <f t="shared" si="24"/>
        <v>0</v>
      </c>
      <c r="AF125" s="5">
        <f t="shared" si="25"/>
        <v>0</v>
      </c>
      <c r="AG125" s="5">
        <f t="shared" si="26"/>
        <v>0</v>
      </c>
      <c r="AH125" s="5">
        <f t="shared" si="27"/>
        <v>0</v>
      </c>
      <c r="AI125" s="5">
        <f t="shared" si="28"/>
        <v>0</v>
      </c>
      <c r="AJ125" s="5">
        <f t="shared" si="29"/>
        <v>0</v>
      </c>
      <c r="AK125" s="5">
        <f t="shared" si="30"/>
        <v>0</v>
      </c>
      <c r="AL125" s="5">
        <f t="shared" si="31"/>
        <v>0</v>
      </c>
      <c r="AM125" s="6">
        <f t="shared" si="33"/>
        <v>0</v>
      </c>
    </row>
    <row r="126" spans="1:39" x14ac:dyDescent="0.25">
      <c r="A126" s="4" t="s">
        <v>551</v>
      </c>
      <c r="B126" s="4" t="s">
        <v>552</v>
      </c>
      <c r="C126" s="4" t="s">
        <v>6</v>
      </c>
      <c r="D126" s="5"/>
      <c r="E126" s="6"/>
      <c r="F126" s="6"/>
      <c r="G126" s="6"/>
      <c r="H126" s="6"/>
      <c r="I126" s="6"/>
      <c r="J126" s="6"/>
      <c r="K126" s="6"/>
      <c r="L126" s="6">
        <v>25.5</v>
      </c>
      <c r="M126" s="6"/>
      <c r="N126" s="6"/>
      <c r="O126" s="3"/>
      <c r="P126" s="3"/>
      <c r="Q126" s="3"/>
      <c r="R126" s="3"/>
      <c r="S126" s="6">
        <f t="shared" si="32"/>
        <v>25.5</v>
      </c>
      <c r="T126">
        <v>1</v>
      </c>
      <c r="U126" s="4" t="s">
        <v>551</v>
      </c>
      <c r="V126" s="4" t="s">
        <v>552</v>
      </c>
      <c r="W126" s="4" t="s">
        <v>6</v>
      </c>
      <c r="X126" s="5">
        <f t="shared" si="17"/>
        <v>0</v>
      </c>
      <c r="Y126" s="5">
        <f t="shared" si="18"/>
        <v>0</v>
      </c>
      <c r="Z126" s="5">
        <f t="shared" si="19"/>
        <v>0</v>
      </c>
      <c r="AA126" s="5">
        <f t="shared" si="20"/>
        <v>0</v>
      </c>
      <c r="AB126" s="5">
        <f t="shared" si="21"/>
        <v>0</v>
      </c>
      <c r="AC126" s="5">
        <f t="shared" si="22"/>
        <v>0</v>
      </c>
      <c r="AD126" s="5">
        <f t="shared" si="23"/>
        <v>0</v>
      </c>
      <c r="AE126" s="5">
        <f t="shared" si="24"/>
        <v>0</v>
      </c>
      <c r="AF126" s="5">
        <f t="shared" si="25"/>
        <v>40</v>
      </c>
      <c r="AG126" s="5">
        <f t="shared" si="26"/>
        <v>0</v>
      </c>
      <c r="AH126" s="5">
        <f t="shared" si="27"/>
        <v>0</v>
      </c>
      <c r="AI126" s="5">
        <f t="shared" si="28"/>
        <v>0</v>
      </c>
      <c r="AJ126" s="5">
        <f t="shared" si="29"/>
        <v>0</v>
      </c>
      <c r="AK126" s="5">
        <f t="shared" si="30"/>
        <v>0</v>
      </c>
      <c r="AL126" s="5">
        <f t="shared" si="31"/>
        <v>0</v>
      </c>
      <c r="AM126" s="6">
        <f t="shared" si="33"/>
        <v>40</v>
      </c>
    </row>
    <row r="127" spans="1:39" x14ac:dyDescent="0.25">
      <c r="A127" s="4" t="s">
        <v>547</v>
      </c>
      <c r="B127" s="4" t="s">
        <v>548</v>
      </c>
      <c r="C127" s="4" t="s">
        <v>6</v>
      </c>
      <c r="D127" s="5"/>
      <c r="E127" s="6"/>
      <c r="F127" s="6"/>
      <c r="G127" s="6"/>
      <c r="H127" s="6"/>
      <c r="I127" s="6"/>
      <c r="J127" s="6"/>
      <c r="K127" s="6">
        <v>7.5</v>
      </c>
      <c r="L127" s="6">
        <v>24</v>
      </c>
      <c r="M127" s="6">
        <v>18</v>
      </c>
      <c r="N127" s="6"/>
      <c r="O127" s="3"/>
      <c r="P127" s="3"/>
      <c r="Q127" s="3"/>
      <c r="R127" s="3"/>
      <c r="S127" s="6">
        <f t="shared" si="32"/>
        <v>49.5</v>
      </c>
      <c r="T127">
        <v>1</v>
      </c>
      <c r="U127" s="4" t="s">
        <v>547</v>
      </c>
      <c r="V127" s="4" t="s">
        <v>548</v>
      </c>
      <c r="W127" s="4" t="s">
        <v>6</v>
      </c>
      <c r="X127" s="5">
        <f t="shared" si="17"/>
        <v>0</v>
      </c>
      <c r="Y127" s="5">
        <f t="shared" si="18"/>
        <v>0</v>
      </c>
      <c r="Z127" s="5">
        <f t="shared" si="19"/>
        <v>0</v>
      </c>
      <c r="AA127" s="5">
        <f t="shared" si="20"/>
        <v>0</v>
      </c>
      <c r="AB127" s="5">
        <f t="shared" si="21"/>
        <v>0</v>
      </c>
      <c r="AC127" s="5">
        <f t="shared" si="22"/>
        <v>0</v>
      </c>
      <c r="AD127" s="5">
        <f t="shared" si="23"/>
        <v>0</v>
      </c>
      <c r="AE127" s="5">
        <f t="shared" si="24"/>
        <v>0</v>
      </c>
      <c r="AF127" s="5">
        <f t="shared" si="25"/>
        <v>20</v>
      </c>
      <c r="AG127" s="5">
        <f t="shared" si="26"/>
        <v>0</v>
      </c>
      <c r="AH127" s="5">
        <f t="shared" si="27"/>
        <v>0</v>
      </c>
      <c r="AI127" s="5">
        <f t="shared" si="28"/>
        <v>0</v>
      </c>
      <c r="AJ127" s="5">
        <f t="shared" si="29"/>
        <v>0</v>
      </c>
      <c r="AK127" s="5">
        <f t="shared" si="30"/>
        <v>0</v>
      </c>
      <c r="AL127" s="5">
        <f t="shared" si="31"/>
        <v>0</v>
      </c>
      <c r="AM127" s="6">
        <f t="shared" si="33"/>
        <v>20</v>
      </c>
    </row>
    <row r="128" spans="1:39" x14ac:dyDescent="0.25">
      <c r="A128" s="4" t="s">
        <v>537</v>
      </c>
      <c r="B128" s="4" t="s">
        <v>538</v>
      </c>
      <c r="C128" s="4" t="s">
        <v>6</v>
      </c>
      <c r="D128" s="5"/>
      <c r="E128" s="6"/>
      <c r="F128" s="6"/>
      <c r="G128" s="6"/>
      <c r="H128" s="6"/>
      <c r="I128" s="6"/>
      <c r="J128" s="6">
        <v>6</v>
      </c>
      <c r="K128" s="6"/>
      <c r="L128" s="6">
        <v>24</v>
      </c>
      <c r="M128" s="6"/>
      <c r="N128" s="6"/>
      <c r="O128" s="3"/>
      <c r="P128" s="3"/>
      <c r="Q128" s="3"/>
      <c r="R128" s="3"/>
      <c r="S128" s="6">
        <f t="shared" si="32"/>
        <v>30</v>
      </c>
      <c r="T128">
        <v>1</v>
      </c>
      <c r="U128" s="4" t="s">
        <v>537</v>
      </c>
      <c r="V128" s="4" t="s">
        <v>538</v>
      </c>
      <c r="W128" s="4" t="s">
        <v>6</v>
      </c>
      <c r="X128" s="5">
        <f t="shared" si="17"/>
        <v>0</v>
      </c>
      <c r="Y128" s="5">
        <f t="shared" si="18"/>
        <v>0</v>
      </c>
      <c r="Z128" s="5">
        <f t="shared" si="19"/>
        <v>0</v>
      </c>
      <c r="AA128" s="5">
        <f t="shared" si="20"/>
        <v>0</v>
      </c>
      <c r="AB128" s="5">
        <f t="shared" si="21"/>
        <v>0</v>
      </c>
      <c r="AC128" s="5">
        <f t="shared" si="22"/>
        <v>0</v>
      </c>
      <c r="AD128" s="5">
        <f t="shared" si="23"/>
        <v>0</v>
      </c>
      <c r="AE128" s="5">
        <f t="shared" si="24"/>
        <v>0</v>
      </c>
      <c r="AF128" s="5">
        <f t="shared" si="25"/>
        <v>20</v>
      </c>
      <c r="AG128" s="5">
        <f t="shared" si="26"/>
        <v>0</v>
      </c>
      <c r="AH128" s="5">
        <f t="shared" si="27"/>
        <v>0</v>
      </c>
      <c r="AI128" s="5">
        <f t="shared" si="28"/>
        <v>0</v>
      </c>
      <c r="AJ128" s="5">
        <f t="shared" si="29"/>
        <v>0</v>
      </c>
      <c r="AK128" s="5">
        <f t="shared" si="30"/>
        <v>0</v>
      </c>
      <c r="AL128" s="5">
        <f t="shared" si="31"/>
        <v>0</v>
      </c>
      <c r="AM128" s="6">
        <f t="shared" si="33"/>
        <v>20</v>
      </c>
    </row>
    <row r="129" spans="1:39" x14ac:dyDescent="0.25">
      <c r="A129" s="4" t="s">
        <v>533</v>
      </c>
      <c r="B129" s="4" t="s">
        <v>534</v>
      </c>
      <c r="C129" s="4" t="s">
        <v>6</v>
      </c>
      <c r="D129" s="5"/>
      <c r="E129" s="6"/>
      <c r="F129" s="6"/>
      <c r="G129" s="6"/>
      <c r="H129" s="6"/>
      <c r="I129" s="6">
        <v>7.5</v>
      </c>
      <c r="J129" s="6">
        <v>9</v>
      </c>
      <c r="K129" s="6"/>
      <c r="L129" s="6">
        <v>21</v>
      </c>
      <c r="M129" s="6"/>
      <c r="N129" s="6"/>
      <c r="O129" s="3"/>
      <c r="P129" s="3"/>
      <c r="Q129" s="3"/>
      <c r="R129" s="3"/>
      <c r="S129" s="6">
        <f t="shared" si="32"/>
        <v>37.5</v>
      </c>
      <c r="T129">
        <v>1</v>
      </c>
      <c r="U129" s="4" t="s">
        <v>533</v>
      </c>
      <c r="V129" s="4" t="s">
        <v>534</v>
      </c>
      <c r="W129" s="4" t="s">
        <v>6</v>
      </c>
      <c r="X129" s="5">
        <f t="shared" si="17"/>
        <v>0</v>
      </c>
      <c r="Y129" s="5">
        <f t="shared" si="18"/>
        <v>0</v>
      </c>
      <c r="Z129" s="5">
        <f t="shared" si="19"/>
        <v>0</v>
      </c>
      <c r="AA129" s="5">
        <f t="shared" si="20"/>
        <v>0</v>
      </c>
      <c r="AB129" s="5">
        <f t="shared" si="21"/>
        <v>0</v>
      </c>
      <c r="AC129" s="5">
        <f t="shared" si="22"/>
        <v>0</v>
      </c>
      <c r="AD129" s="5">
        <f t="shared" si="23"/>
        <v>0</v>
      </c>
      <c r="AE129" s="5">
        <f t="shared" si="24"/>
        <v>0</v>
      </c>
      <c r="AF129" s="5">
        <f t="shared" si="25"/>
        <v>20</v>
      </c>
      <c r="AG129" s="5">
        <f t="shared" si="26"/>
        <v>0</v>
      </c>
      <c r="AH129" s="5">
        <f t="shared" si="27"/>
        <v>0</v>
      </c>
      <c r="AI129" s="5">
        <f t="shared" si="28"/>
        <v>0</v>
      </c>
      <c r="AJ129" s="5">
        <f t="shared" si="29"/>
        <v>0</v>
      </c>
      <c r="AK129" s="5">
        <f t="shared" si="30"/>
        <v>0</v>
      </c>
      <c r="AL129" s="5">
        <f t="shared" si="31"/>
        <v>0</v>
      </c>
      <c r="AM129" s="6">
        <f t="shared" si="33"/>
        <v>20</v>
      </c>
    </row>
    <row r="130" spans="1:39" x14ac:dyDescent="0.25">
      <c r="A130" s="4" t="s">
        <v>539</v>
      </c>
      <c r="B130" s="4" t="s">
        <v>540</v>
      </c>
      <c r="C130" s="4" t="s">
        <v>6</v>
      </c>
      <c r="D130" s="5"/>
      <c r="E130" s="6"/>
      <c r="F130" s="6"/>
      <c r="G130" s="6"/>
      <c r="H130" s="6"/>
      <c r="I130" s="6"/>
      <c r="J130" s="6">
        <v>16.5</v>
      </c>
      <c r="K130" s="6">
        <v>18</v>
      </c>
      <c r="L130" s="6">
        <v>33</v>
      </c>
      <c r="M130" s="6">
        <v>30</v>
      </c>
      <c r="N130" s="6"/>
      <c r="O130" s="3"/>
      <c r="P130" s="3"/>
      <c r="Q130" s="3"/>
      <c r="R130" s="3"/>
      <c r="S130" s="6">
        <f t="shared" si="32"/>
        <v>97.5</v>
      </c>
      <c r="T130">
        <v>1</v>
      </c>
      <c r="U130" s="4" t="s">
        <v>539</v>
      </c>
      <c r="V130" s="4" t="s">
        <v>540</v>
      </c>
      <c r="W130" s="4" t="s">
        <v>6</v>
      </c>
      <c r="X130" s="5">
        <f t="shared" si="17"/>
        <v>0</v>
      </c>
      <c r="Y130" s="5">
        <f t="shared" si="18"/>
        <v>0</v>
      </c>
      <c r="Z130" s="5">
        <f t="shared" si="19"/>
        <v>0</v>
      </c>
      <c r="AA130" s="5">
        <f t="shared" si="20"/>
        <v>0</v>
      </c>
      <c r="AB130" s="5">
        <f t="shared" si="21"/>
        <v>0</v>
      </c>
      <c r="AC130" s="5">
        <f t="shared" si="22"/>
        <v>0</v>
      </c>
      <c r="AD130" s="5">
        <f t="shared" si="23"/>
        <v>0</v>
      </c>
      <c r="AE130" s="5">
        <f t="shared" si="24"/>
        <v>0</v>
      </c>
      <c r="AF130" s="5">
        <f t="shared" si="25"/>
        <v>69</v>
      </c>
      <c r="AG130" s="5">
        <f t="shared" si="26"/>
        <v>60</v>
      </c>
      <c r="AH130" s="5">
        <f t="shared" si="27"/>
        <v>0</v>
      </c>
      <c r="AI130" s="5">
        <f t="shared" si="28"/>
        <v>0</v>
      </c>
      <c r="AJ130" s="5">
        <f t="shared" si="29"/>
        <v>0</v>
      </c>
      <c r="AK130" s="5">
        <f t="shared" si="30"/>
        <v>0</v>
      </c>
      <c r="AL130" s="5">
        <f t="shared" si="31"/>
        <v>0</v>
      </c>
      <c r="AM130" s="6">
        <f t="shared" si="33"/>
        <v>129</v>
      </c>
    </row>
    <row r="131" spans="1:39" x14ac:dyDescent="0.25">
      <c r="A131" s="4" t="s">
        <v>491</v>
      </c>
      <c r="B131" s="4" t="s">
        <v>492</v>
      </c>
      <c r="C131" s="4" t="s">
        <v>6</v>
      </c>
      <c r="D131" s="5"/>
      <c r="E131" s="6"/>
      <c r="F131" s="6">
        <v>4.5</v>
      </c>
      <c r="G131" s="6">
        <v>3</v>
      </c>
      <c r="H131" s="6">
        <v>4.5</v>
      </c>
      <c r="I131" s="6">
        <v>7.5</v>
      </c>
      <c r="J131" s="6">
        <v>10.5</v>
      </c>
      <c r="K131" s="6">
        <v>12</v>
      </c>
      <c r="L131" s="6">
        <v>25.5</v>
      </c>
      <c r="M131" s="6">
        <v>25.5</v>
      </c>
      <c r="N131" s="6"/>
      <c r="O131" s="3"/>
      <c r="P131" s="3"/>
      <c r="Q131" s="3"/>
      <c r="R131" s="3"/>
      <c r="S131" s="6">
        <f t="shared" si="32"/>
        <v>93</v>
      </c>
      <c r="T131">
        <v>1</v>
      </c>
      <c r="U131" s="4" t="s">
        <v>491</v>
      </c>
      <c r="V131" s="4" t="s">
        <v>492</v>
      </c>
      <c r="W131" s="4" t="s">
        <v>6</v>
      </c>
      <c r="X131" s="5">
        <f t="shared" ref="X131:X163" si="50">IF(D131&lt;20,0,IF(D131&lt;25,20,IF(D131&lt;30,40,IF(D131&lt;=40,60+(D131-30)*3,60+30+(D131-40)*4))))</f>
        <v>0</v>
      </c>
      <c r="Y131" s="5">
        <f t="shared" ref="Y131:Y163" si="51">IF(E131&lt;20,0,IF(E131&lt;25,20,IF(E131&lt;30,40,IF(E131&lt;=40,60+(E131-30)*3,60+30+(E131-40)*4))))</f>
        <v>0</v>
      </c>
      <c r="Z131" s="5">
        <f t="shared" ref="Z131:Z163" si="52">IF(F131&lt;20,0,IF(F131&lt;25,20,IF(F131&lt;30,40,IF(F131&lt;=40,60+(F131-30)*3,60+30+(F131-40)*4))))</f>
        <v>0</v>
      </c>
      <c r="AA131" s="5">
        <f t="shared" ref="AA131:AA163" si="53">IF(G131&lt;20,0,IF(G131&lt;25,20,IF(G131&lt;30,40,IF(G131&lt;=40,60+(G131-30)*3,60+30+(G131-40)*4))))</f>
        <v>0</v>
      </c>
      <c r="AB131" s="5">
        <f t="shared" ref="AB131:AB163" si="54">IF(H131&lt;20,0,IF(H131&lt;25,20,IF(H131&lt;30,40,IF(H131&lt;=40,60+(H131-30)*3,60+30+(H131-40)*4))))</f>
        <v>0</v>
      </c>
      <c r="AC131" s="5">
        <f t="shared" ref="AC131:AC163" si="55">IF(I131&lt;20,0,IF(I131&lt;25,20,IF(I131&lt;30,40,IF(I131&lt;=40,60+(I131-30)*3,60+30+(I131-40)*4))))</f>
        <v>0</v>
      </c>
      <c r="AD131" s="5">
        <f t="shared" ref="AD131:AD163" si="56">IF(J131&lt;20,0,IF(J131&lt;25,20,IF(J131&lt;30,40,IF(J131&lt;=40,60+(J131-30)*3,60+30+(J131-40)*4))))</f>
        <v>0</v>
      </c>
      <c r="AE131" s="5">
        <f t="shared" ref="AE131:AE163" si="57">IF(K131&lt;20,0,IF(K131&lt;25,20,IF(K131&lt;30,40,IF(K131&lt;=40,60+(K131-30)*3,60+30+(K131-40)*4))))</f>
        <v>0</v>
      </c>
      <c r="AF131" s="5">
        <f t="shared" ref="AF131:AF163" si="58">IF(L131&lt;20,0,IF(L131&lt;25,20,IF(L131&lt;30,40,IF(L131&lt;=40,60+(L131-30)*3,60+30+(L131-40)*4))))</f>
        <v>40</v>
      </c>
      <c r="AG131" s="5">
        <f t="shared" ref="AG131:AG163" si="59">IF(M131&lt;20,0,IF(M131&lt;25,20,IF(M131&lt;30,40,IF(M131&lt;=40,60+(M131-30)*3,60+30+(M131-40)*4))))</f>
        <v>40</v>
      </c>
      <c r="AH131" s="5">
        <f t="shared" ref="AH131:AH163" si="60">IF(N131&lt;20,0,IF(N131&lt;25,20,IF(N131&lt;30,40,IF(N131&lt;=40,60+(N131-30)*3,60+30+(N131-40)*4))))</f>
        <v>0</v>
      </c>
      <c r="AI131" s="5">
        <f t="shared" ref="AI131:AI163" si="61">IF(O131&lt;20,0,IF(O131&lt;25,20,IF(O131&lt;30,40,IF(O131&lt;=40,60+(O131-30)*3,60+30+(O131-40)*4))))</f>
        <v>0</v>
      </c>
      <c r="AJ131" s="5">
        <f t="shared" ref="AJ131:AJ163" si="62">IF(P131&lt;20,0,IF(P131&lt;25,20,IF(P131&lt;30,40,IF(P131&lt;=40,60+(P131-30)*3,60+30+(P131-40)*4))))</f>
        <v>0</v>
      </c>
      <c r="AK131" s="5">
        <f t="shared" ref="AK131:AK163" si="63">IF(Q131&lt;20,0,IF(Q131&lt;25,20,IF(Q131&lt;30,40,IF(Q131&lt;=40,60+(Q131-30)*3,60+30+(Q131-40)*4))))</f>
        <v>0</v>
      </c>
      <c r="AL131" s="5">
        <f t="shared" ref="AL131:AL163" si="64">IF(R131&lt;20,0,IF(R131&lt;25,20,IF(R131&lt;30,40,IF(R131&lt;=40,60+(R131-30)*3,60+30+(R131-40)*4))))</f>
        <v>0</v>
      </c>
      <c r="AM131" s="6">
        <f t="shared" si="33"/>
        <v>80</v>
      </c>
    </row>
    <row r="132" spans="1:39" x14ac:dyDescent="0.25">
      <c r="A132" s="4" t="s">
        <v>513</v>
      </c>
      <c r="B132" s="4" t="s">
        <v>514</v>
      </c>
      <c r="C132" s="4" t="s">
        <v>6</v>
      </c>
      <c r="D132" s="5"/>
      <c r="E132" s="6"/>
      <c r="F132" s="6"/>
      <c r="G132" s="6"/>
      <c r="H132" s="6">
        <v>3</v>
      </c>
      <c r="I132" s="6">
        <v>4.5</v>
      </c>
      <c r="J132" s="6">
        <v>10.5</v>
      </c>
      <c r="K132" s="6">
        <v>10.5</v>
      </c>
      <c r="L132" s="6">
        <v>16.5</v>
      </c>
      <c r="M132" s="6">
        <v>13.5</v>
      </c>
      <c r="N132" s="6"/>
      <c r="O132" s="3"/>
      <c r="P132" s="3"/>
      <c r="Q132" s="3"/>
      <c r="R132" s="3"/>
      <c r="S132" s="6">
        <f t="shared" si="32"/>
        <v>58.5</v>
      </c>
      <c r="T132">
        <v>1</v>
      </c>
      <c r="U132" s="4" t="s">
        <v>513</v>
      </c>
      <c r="V132" s="4" t="s">
        <v>514</v>
      </c>
      <c r="W132" s="4" t="s">
        <v>6</v>
      </c>
      <c r="X132" s="5">
        <f t="shared" si="50"/>
        <v>0</v>
      </c>
      <c r="Y132" s="5">
        <f t="shared" si="51"/>
        <v>0</v>
      </c>
      <c r="Z132" s="5">
        <f t="shared" si="52"/>
        <v>0</v>
      </c>
      <c r="AA132" s="5">
        <f t="shared" si="53"/>
        <v>0</v>
      </c>
      <c r="AB132" s="5">
        <f t="shared" si="54"/>
        <v>0</v>
      </c>
      <c r="AC132" s="5">
        <f t="shared" si="55"/>
        <v>0</v>
      </c>
      <c r="AD132" s="5">
        <f t="shared" si="56"/>
        <v>0</v>
      </c>
      <c r="AE132" s="5">
        <f t="shared" si="57"/>
        <v>0</v>
      </c>
      <c r="AF132" s="5">
        <f t="shared" si="58"/>
        <v>0</v>
      </c>
      <c r="AG132" s="5">
        <f t="shared" si="59"/>
        <v>0</v>
      </c>
      <c r="AH132" s="5">
        <f t="shared" si="60"/>
        <v>0</v>
      </c>
      <c r="AI132" s="5">
        <f t="shared" si="61"/>
        <v>0</v>
      </c>
      <c r="AJ132" s="5">
        <f t="shared" si="62"/>
        <v>0</v>
      </c>
      <c r="AK132" s="5">
        <f t="shared" si="63"/>
        <v>0</v>
      </c>
      <c r="AL132" s="5">
        <f t="shared" si="64"/>
        <v>0</v>
      </c>
      <c r="AM132" s="6">
        <f t="shared" si="33"/>
        <v>0</v>
      </c>
    </row>
    <row r="133" spans="1:39" x14ac:dyDescent="0.25">
      <c r="A133" s="4" t="s">
        <v>515</v>
      </c>
      <c r="B133" s="4" t="s">
        <v>516</v>
      </c>
      <c r="C133" s="4" t="s">
        <v>6</v>
      </c>
      <c r="D133" s="5"/>
      <c r="E133" s="6"/>
      <c r="F133" s="6"/>
      <c r="G133" s="6"/>
      <c r="H133" s="6">
        <v>3</v>
      </c>
      <c r="I133" s="6">
        <v>7.5</v>
      </c>
      <c r="J133" s="6">
        <v>9</v>
      </c>
      <c r="K133" s="6">
        <v>10.5</v>
      </c>
      <c r="L133" s="6">
        <v>30</v>
      </c>
      <c r="M133" s="6">
        <v>21</v>
      </c>
      <c r="N133" s="6"/>
      <c r="O133" s="3"/>
      <c r="P133" s="3"/>
      <c r="Q133" s="3"/>
      <c r="R133" s="3"/>
      <c r="S133" s="6">
        <f t="shared" si="32"/>
        <v>81</v>
      </c>
      <c r="T133">
        <v>1</v>
      </c>
      <c r="U133" s="4" t="s">
        <v>515</v>
      </c>
      <c r="V133" s="4" t="s">
        <v>516</v>
      </c>
      <c r="W133" s="4" t="s">
        <v>6</v>
      </c>
      <c r="X133" s="5">
        <f t="shared" si="50"/>
        <v>0</v>
      </c>
      <c r="Y133" s="5">
        <f t="shared" si="51"/>
        <v>0</v>
      </c>
      <c r="Z133" s="5">
        <f t="shared" si="52"/>
        <v>0</v>
      </c>
      <c r="AA133" s="5">
        <f t="shared" si="53"/>
        <v>0</v>
      </c>
      <c r="AB133" s="5">
        <f t="shared" si="54"/>
        <v>0</v>
      </c>
      <c r="AC133" s="5">
        <f t="shared" si="55"/>
        <v>0</v>
      </c>
      <c r="AD133" s="5">
        <f t="shared" si="56"/>
        <v>0</v>
      </c>
      <c r="AE133" s="5">
        <f t="shared" si="57"/>
        <v>0</v>
      </c>
      <c r="AF133" s="5">
        <f t="shared" si="58"/>
        <v>60</v>
      </c>
      <c r="AG133" s="5">
        <f t="shared" si="59"/>
        <v>20</v>
      </c>
      <c r="AH133" s="5">
        <f t="shared" si="60"/>
        <v>0</v>
      </c>
      <c r="AI133" s="5">
        <f t="shared" si="61"/>
        <v>0</v>
      </c>
      <c r="AJ133" s="5">
        <f t="shared" si="62"/>
        <v>0</v>
      </c>
      <c r="AK133" s="5">
        <f t="shared" si="63"/>
        <v>0</v>
      </c>
      <c r="AL133" s="5">
        <f t="shared" si="64"/>
        <v>0</v>
      </c>
      <c r="AM133" s="6">
        <f t="shared" si="33"/>
        <v>80</v>
      </c>
    </row>
    <row r="134" spans="1:39" x14ac:dyDescent="0.25">
      <c r="A134" s="4" t="s">
        <v>517</v>
      </c>
      <c r="B134" s="4" t="s">
        <v>518</v>
      </c>
      <c r="C134" s="4" t="s">
        <v>6</v>
      </c>
      <c r="D134" s="5"/>
      <c r="E134" s="6"/>
      <c r="F134" s="6"/>
      <c r="G134" s="6"/>
      <c r="H134" s="6">
        <v>4.5</v>
      </c>
      <c r="I134" s="6">
        <v>3</v>
      </c>
      <c r="J134" s="6">
        <v>7.5</v>
      </c>
      <c r="K134" s="6">
        <v>13.5</v>
      </c>
      <c r="L134" s="6">
        <v>28.5</v>
      </c>
      <c r="M134" s="6">
        <v>18</v>
      </c>
      <c r="N134" s="6"/>
      <c r="O134" s="3"/>
      <c r="P134" s="3"/>
      <c r="Q134" s="3"/>
      <c r="R134" s="3"/>
      <c r="S134" s="6">
        <f t="shared" si="32"/>
        <v>75</v>
      </c>
      <c r="T134">
        <v>1</v>
      </c>
      <c r="U134" s="4" t="s">
        <v>517</v>
      </c>
      <c r="V134" s="4" t="s">
        <v>518</v>
      </c>
      <c r="W134" s="4" t="s">
        <v>6</v>
      </c>
      <c r="X134" s="5">
        <f t="shared" si="50"/>
        <v>0</v>
      </c>
      <c r="Y134" s="5">
        <f t="shared" si="51"/>
        <v>0</v>
      </c>
      <c r="Z134" s="5">
        <f t="shared" si="52"/>
        <v>0</v>
      </c>
      <c r="AA134" s="5">
        <f t="shared" si="53"/>
        <v>0</v>
      </c>
      <c r="AB134" s="5">
        <f t="shared" si="54"/>
        <v>0</v>
      </c>
      <c r="AC134" s="5">
        <f t="shared" si="55"/>
        <v>0</v>
      </c>
      <c r="AD134" s="5">
        <f t="shared" si="56"/>
        <v>0</v>
      </c>
      <c r="AE134" s="5">
        <f t="shared" si="57"/>
        <v>0</v>
      </c>
      <c r="AF134" s="5">
        <f t="shared" si="58"/>
        <v>40</v>
      </c>
      <c r="AG134" s="5">
        <f t="shared" si="59"/>
        <v>0</v>
      </c>
      <c r="AH134" s="5">
        <f t="shared" si="60"/>
        <v>0</v>
      </c>
      <c r="AI134" s="5">
        <f t="shared" si="61"/>
        <v>0</v>
      </c>
      <c r="AJ134" s="5">
        <f t="shared" si="62"/>
        <v>0</v>
      </c>
      <c r="AK134" s="5">
        <f t="shared" si="63"/>
        <v>0</v>
      </c>
      <c r="AL134" s="5">
        <f t="shared" si="64"/>
        <v>0</v>
      </c>
      <c r="AM134" s="6">
        <f t="shared" si="33"/>
        <v>40</v>
      </c>
    </row>
    <row r="135" spans="1:39" x14ac:dyDescent="0.25">
      <c r="A135" s="4" t="s">
        <v>519</v>
      </c>
      <c r="B135" s="4" t="s">
        <v>520</v>
      </c>
      <c r="C135" s="4" t="s">
        <v>6</v>
      </c>
      <c r="D135" s="5"/>
      <c r="E135" s="6"/>
      <c r="F135" s="6"/>
      <c r="G135" s="6"/>
      <c r="H135" s="6">
        <v>4.5</v>
      </c>
      <c r="I135" s="6">
        <v>7.5</v>
      </c>
      <c r="J135" s="6">
        <v>9</v>
      </c>
      <c r="K135" s="6">
        <v>12</v>
      </c>
      <c r="L135" s="6">
        <v>27</v>
      </c>
      <c r="M135" s="6"/>
      <c r="N135" s="6"/>
      <c r="O135" s="3"/>
      <c r="P135" s="3"/>
      <c r="Q135" s="3"/>
      <c r="R135" s="3"/>
      <c r="S135" s="6">
        <f t="shared" si="32"/>
        <v>60</v>
      </c>
      <c r="T135">
        <v>1</v>
      </c>
      <c r="U135" s="4" t="s">
        <v>519</v>
      </c>
      <c r="V135" s="4" t="s">
        <v>520</v>
      </c>
      <c r="W135" s="4" t="s">
        <v>6</v>
      </c>
      <c r="X135" s="5">
        <f t="shared" si="50"/>
        <v>0</v>
      </c>
      <c r="Y135" s="5">
        <f t="shared" si="51"/>
        <v>0</v>
      </c>
      <c r="Z135" s="5">
        <f t="shared" si="52"/>
        <v>0</v>
      </c>
      <c r="AA135" s="5">
        <f t="shared" si="53"/>
        <v>0</v>
      </c>
      <c r="AB135" s="5">
        <f t="shared" si="54"/>
        <v>0</v>
      </c>
      <c r="AC135" s="5">
        <f t="shared" si="55"/>
        <v>0</v>
      </c>
      <c r="AD135" s="5">
        <f t="shared" si="56"/>
        <v>0</v>
      </c>
      <c r="AE135" s="5">
        <f t="shared" si="57"/>
        <v>0</v>
      </c>
      <c r="AF135" s="5">
        <f t="shared" si="58"/>
        <v>40</v>
      </c>
      <c r="AG135" s="5">
        <f t="shared" si="59"/>
        <v>0</v>
      </c>
      <c r="AH135" s="5">
        <f t="shared" si="60"/>
        <v>0</v>
      </c>
      <c r="AI135" s="5">
        <f t="shared" si="61"/>
        <v>0</v>
      </c>
      <c r="AJ135" s="5">
        <f t="shared" si="62"/>
        <v>0</v>
      </c>
      <c r="AK135" s="5">
        <f t="shared" si="63"/>
        <v>0</v>
      </c>
      <c r="AL135" s="5">
        <f t="shared" si="64"/>
        <v>0</v>
      </c>
      <c r="AM135" s="6">
        <f t="shared" si="33"/>
        <v>40</v>
      </c>
    </row>
    <row r="136" spans="1:39" x14ac:dyDescent="0.25">
      <c r="A136" s="4" t="s">
        <v>549</v>
      </c>
      <c r="B136" s="4" t="s">
        <v>550</v>
      </c>
      <c r="C136" s="4" t="s">
        <v>6</v>
      </c>
      <c r="D136" s="5"/>
      <c r="E136" s="6"/>
      <c r="F136" s="6"/>
      <c r="G136" s="6"/>
      <c r="H136" s="6"/>
      <c r="I136" s="6"/>
      <c r="J136" s="6"/>
      <c r="K136" s="6">
        <v>6</v>
      </c>
      <c r="L136" s="6">
        <v>19.5</v>
      </c>
      <c r="M136" s="6"/>
      <c r="N136" s="6"/>
      <c r="O136" s="3"/>
      <c r="P136" s="3"/>
      <c r="Q136" s="3"/>
      <c r="R136" s="3"/>
      <c r="S136" s="6">
        <f t="shared" si="32"/>
        <v>25.5</v>
      </c>
      <c r="T136">
        <v>1</v>
      </c>
      <c r="U136" s="4" t="s">
        <v>549</v>
      </c>
      <c r="V136" s="4" t="s">
        <v>550</v>
      </c>
      <c r="W136" s="4" t="s">
        <v>6</v>
      </c>
      <c r="X136" s="5">
        <f t="shared" si="50"/>
        <v>0</v>
      </c>
      <c r="Y136" s="5">
        <f t="shared" si="51"/>
        <v>0</v>
      </c>
      <c r="Z136" s="5">
        <f t="shared" si="52"/>
        <v>0</v>
      </c>
      <c r="AA136" s="5">
        <f t="shared" si="53"/>
        <v>0</v>
      </c>
      <c r="AB136" s="5">
        <f t="shared" si="54"/>
        <v>0</v>
      </c>
      <c r="AC136" s="5">
        <f t="shared" si="55"/>
        <v>0</v>
      </c>
      <c r="AD136" s="5">
        <f t="shared" si="56"/>
        <v>0</v>
      </c>
      <c r="AE136" s="5">
        <f t="shared" si="57"/>
        <v>0</v>
      </c>
      <c r="AF136" s="5">
        <f t="shared" si="58"/>
        <v>0</v>
      </c>
      <c r="AG136" s="5">
        <f t="shared" si="59"/>
        <v>0</v>
      </c>
      <c r="AH136" s="5">
        <f t="shared" si="60"/>
        <v>0</v>
      </c>
      <c r="AI136" s="5">
        <f t="shared" si="61"/>
        <v>0</v>
      </c>
      <c r="AJ136" s="5">
        <f t="shared" si="62"/>
        <v>0</v>
      </c>
      <c r="AK136" s="5">
        <f t="shared" si="63"/>
        <v>0</v>
      </c>
      <c r="AL136" s="5">
        <f t="shared" si="64"/>
        <v>0</v>
      </c>
      <c r="AM136" s="6">
        <f t="shared" si="33"/>
        <v>0</v>
      </c>
    </row>
    <row r="137" spans="1:39" x14ac:dyDescent="0.25">
      <c r="A137" s="4" t="s">
        <v>543</v>
      </c>
      <c r="B137" s="4" t="s">
        <v>544</v>
      </c>
      <c r="C137" s="4" t="s">
        <v>6</v>
      </c>
      <c r="D137" s="5"/>
      <c r="E137" s="6"/>
      <c r="F137" s="6"/>
      <c r="G137" s="6"/>
      <c r="H137" s="6"/>
      <c r="I137" s="6"/>
      <c r="J137" s="6">
        <v>6</v>
      </c>
      <c r="K137" s="6"/>
      <c r="L137" s="6">
        <v>22.5</v>
      </c>
      <c r="M137" s="6">
        <v>9</v>
      </c>
      <c r="N137" s="6"/>
      <c r="O137" s="3"/>
      <c r="P137" s="3"/>
      <c r="Q137" s="3"/>
      <c r="R137" s="3"/>
      <c r="S137" s="6">
        <f t="shared" si="32"/>
        <v>37.5</v>
      </c>
      <c r="T137">
        <v>1</v>
      </c>
      <c r="U137" s="4" t="s">
        <v>543</v>
      </c>
      <c r="V137" s="4" t="s">
        <v>544</v>
      </c>
      <c r="W137" s="4" t="s">
        <v>6</v>
      </c>
      <c r="X137" s="5">
        <f t="shared" si="50"/>
        <v>0</v>
      </c>
      <c r="Y137" s="5">
        <f t="shared" si="51"/>
        <v>0</v>
      </c>
      <c r="Z137" s="5">
        <f t="shared" si="52"/>
        <v>0</v>
      </c>
      <c r="AA137" s="5">
        <f t="shared" si="53"/>
        <v>0</v>
      </c>
      <c r="AB137" s="5">
        <f t="shared" si="54"/>
        <v>0</v>
      </c>
      <c r="AC137" s="5">
        <f t="shared" si="55"/>
        <v>0</v>
      </c>
      <c r="AD137" s="5">
        <f t="shared" si="56"/>
        <v>0</v>
      </c>
      <c r="AE137" s="5">
        <f t="shared" si="57"/>
        <v>0</v>
      </c>
      <c r="AF137" s="5">
        <f t="shared" si="58"/>
        <v>20</v>
      </c>
      <c r="AG137" s="5">
        <f t="shared" si="59"/>
        <v>0</v>
      </c>
      <c r="AH137" s="5">
        <f t="shared" si="60"/>
        <v>0</v>
      </c>
      <c r="AI137" s="5">
        <f t="shared" si="61"/>
        <v>0</v>
      </c>
      <c r="AJ137" s="5">
        <f t="shared" si="62"/>
        <v>0</v>
      </c>
      <c r="AK137" s="5">
        <f t="shared" si="63"/>
        <v>0</v>
      </c>
      <c r="AL137" s="5">
        <f t="shared" si="64"/>
        <v>0</v>
      </c>
      <c r="AM137" s="6">
        <f t="shared" si="33"/>
        <v>20</v>
      </c>
    </row>
    <row r="138" spans="1:39" x14ac:dyDescent="0.25">
      <c r="A138" s="4" t="s">
        <v>555</v>
      </c>
      <c r="B138" s="4" t="s">
        <v>556</v>
      </c>
      <c r="C138" s="4" t="s">
        <v>6</v>
      </c>
      <c r="D138" s="5"/>
      <c r="E138" s="6"/>
      <c r="F138" s="6"/>
      <c r="G138" s="6"/>
      <c r="H138" s="6"/>
      <c r="I138" s="6"/>
      <c r="J138" s="6"/>
      <c r="K138" s="6"/>
      <c r="L138" s="6">
        <v>15</v>
      </c>
      <c r="M138" s="6">
        <v>21</v>
      </c>
      <c r="N138" s="6"/>
      <c r="O138" s="3"/>
      <c r="P138" s="3"/>
      <c r="Q138" s="3"/>
      <c r="R138" s="3"/>
      <c r="S138" s="6">
        <f t="shared" si="32"/>
        <v>36</v>
      </c>
      <c r="T138">
        <v>1</v>
      </c>
      <c r="U138" s="4" t="s">
        <v>555</v>
      </c>
      <c r="V138" s="4" t="s">
        <v>556</v>
      </c>
      <c r="W138" s="4" t="s">
        <v>6</v>
      </c>
      <c r="X138" s="5">
        <f t="shared" si="50"/>
        <v>0</v>
      </c>
      <c r="Y138" s="5">
        <f t="shared" si="51"/>
        <v>0</v>
      </c>
      <c r="Z138" s="5">
        <f t="shared" si="52"/>
        <v>0</v>
      </c>
      <c r="AA138" s="5">
        <f t="shared" si="53"/>
        <v>0</v>
      </c>
      <c r="AB138" s="5">
        <f t="shared" si="54"/>
        <v>0</v>
      </c>
      <c r="AC138" s="5">
        <f t="shared" si="55"/>
        <v>0</v>
      </c>
      <c r="AD138" s="5">
        <f t="shared" si="56"/>
        <v>0</v>
      </c>
      <c r="AE138" s="5">
        <f t="shared" si="57"/>
        <v>0</v>
      </c>
      <c r="AF138" s="5">
        <f t="shared" si="58"/>
        <v>0</v>
      </c>
      <c r="AG138" s="5">
        <f t="shared" si="59"/>
        <v>20</v>
      </c>
      <c r="AH138" s="5">
        <f t="shared" si="60"/>
        <v>0</v>
      </c>
      <c r="AI138" s="5">
        <f t="shared" si="61"/>
        <v>0</v>
      </c>
      <c r="AJ138" s="5">
        <f t="shared" si="62"/>
        <v>0</v>
      </c>
      <c r="AK138" s="5">
        <f t="shared" si="63"/>
        <v>0</v>
      </c>
      <c r="AL138" s="5">
        <f t="shared" si="64"/>
        <v>0</v>
      </c>
      <c r="AM138" s="6">
        <f t="shared" si="33"/>
        <v>20</v>
      </c>
    </row>
    <row r="139" spans="1:39" x14ac:dyDescent="0.25">
      <c r="A139" s="4" t="s">
        <v>557</v>
      </c>
      <c r="B139" s="4" t="s">
        <v>558</v>
      </c>
      <c r="C139" s="4" t="s">
        <v>6</v>
      </c>
      <c r="D139" s="5"/>
      <c r="E139" s="6"/>
      <c r="F139" s="6"/>
      <c r="G139" s="6"/>
      <c r="H139" s="6"/>
      <c r="I139" s="6"/>
      <c r="J139" s="6"/>
      <c r="K139" s="6"/>
      <c r="L139" s="6">
        <v>19.5</v>
      </c>
      <c r="M139" s="6"/>
      <c r="N139" s="6"/>
      <c r="O139" s="3"/>
      <c r="P139" s="3"/>
      <c r="Q139" s="3"/>
      <c r="R139" s="3"/>
      <c r="S139" s="6">
        <f t="shared" si="32"/>
        <v>19.5</v>
      </c>
      <c r="T139">
        <v>1</v>
      </c>
      <c r="U139" s="4" t="s">
        <v>557</v>
      </c>
      <c r="V139" s="4" t="s">
        <v>558</v>
      </c>
      <c r="W139" s="4" t="s">
        <v>6</v>
      </c>
      <c r="X139" s="5">
        <f t="shared" si="50"/>
        <v>0</v>
      </c>
      <c r="Y139" s="5">
        <f t="shared" si="51"/>
        <v>0</v>
      </c>
      <c r="Z139" s="5">
        <f t="shared" si="52"/>
        <v>0</v>
      </c>
      <c r="AA139" s="5">
        <f t="shared" si="53"/>
        <v>0</v>
      </c>
      <c r="AB139" s="5">
        <f t="shared" si="54"/>
        <v>0</v>
      </c>
      <c r="AC139" s="5">
        <f t="shared" si="55"/>
        <v>0</v>
      </c>
      <c r="AD139" s="5">
        <f t="shared" si="56"/>
        <v>0</v>
      </c>
      <c r="AE139" s="5">
        <f t="shared" si="57"/>
        <v>0</v>
      </c>
      <c r="AF139" s="5">
        <f t="shared" si="58"/>
        <v>0</v>
      </c>
      <c r="AG139" s="5">
        <f t="shared" si="59"/>
        <v>0</v>
      </c>
      <c r="AH139" s="5">
        <f t="shared" si="60"/>
        <v>0</v>
      </c>
      <c r="AI139" s="5">
        <f t="shared" si="61"/>
        <v>0</v>
      </c>
      <c r="AJ139" s="5">
        <f t="shared" si="62"/>
        <v>0</v>
      </c>
      <c r="AK139" s="5">
        <f t="shared" si="63"/>
        <v>0</v>
      </c>
      <c r="AL139" s="5">
        <f t="shared" si="64"/>
        <v>0</v>
      </c>
      <c r="AM139" s="6">
        <f t="shared" si="33"/>
        <v>0</v>
      </c>
    </row>
    <row r="140" spans="1:39" x14ac:dyDescent="0.25">
      <c r="A140" s="4" t="s">
        <v>561</v>
      </c>
      <c r="B140" s="4" t="s">
        <v>562</v>
      </c>
      <c r="C140" s="4" t="s">
        <v>6</v>
      </c>
      <c r="D140" s="5"/>
      <c r="E140" s="6"/>
      <c r="F140" s="6"/>
      <c r="G140" s="6"/>
      <c r="H140" s="6"/>
      <c r="I140" s="6"/>
      <c r="J140" s="6"/>
      <c r="K140" s="6"/>
      <c r="L140" s="6">
        <v>18</v>
      </c>
      <c r="M140" s="6"/>
      <c r="N140" s="6"/>
      <c r="O140" s="3"/>
      <c r="P140" s="3"/>
      <c r="Q140" s="3"/>
      <c r="R140" s="3"/>
      <c r="S140" s="6">
        <f t="shared" si="32"/>
        <v>18</v>
      </c>
      <c r="T140">
        <v>1</v>
      </c>
      <c r="U140" s="4" t="s">
        <v>561</v>
      </c>
      <c r="V140" s="4" t="s">
        <v>562</v>
      </c>
      <c r="W140" s="4" t="s">
        <v>6</v>
      </c>
      <c r="X140" s="5">
        <f t="shared" si="50"/>
        <v>0</v>
      </c>
      <c r="Y140" s="5">
        <f t="shared" si="51"/>
        <v>0</v>
      </c>
      <c r="Z140" s="5">
        <f t="shared" si="52"/>
        <v>0</v>
      </c>
      <c r="AA140" s="5">
        <f t="shared" si="53"/>
        <v>0</v>
      </c>
      <c r="AB140" s="5">
        <f t="shared" si="54"/>
        <v>0</v>
      </c>
      <c r="AC140" s="5">
        <f t="shared" si="55"/>
        <v>0</v>
      </c>
      <c r="AD140" s="5">
        <f t="shared" si="56"/>
        <v>0</v>
      </c>
      <c r="AE140" s="5">
        <f t="shared" si="57"/>
        <v>0</v>
      </c>
      <c r="AF140" s="5">
        <f t="shared" si="58"/>
        <v>0</v>
      </c>
      <c r="AG140" s="5">
        <f t="shared" si="59"/>
        <v>0</v>
      </c>
      <c r="AH140" s="5">
        <f t="shared" si="60"/>
        <v>0</v>
      </c>
      <c r="AI140" s="5">
        <f t="shared" si="61"/>
        <v>0</v>
      </c>
      <c r="AJ140" s="5">
        <f t="shared" si="62"/>
        <v>0</v>
      </c>
      <c r="AK140" s="5">
        <f t="shared" si="63"/>
        <v>0</v>
      </c>
      <c r="AL140" s="5">
        <f t="shared" si="64"/>
        <v>0</v>
      </c>
      <c r="AM140" s="6">
        <f t="shared" si="33"/>
        <v>0</v>
      </c>
    </row>
    <row r="141" spans="1:39" x14ac:dyDescent="0.25">
      <c r="A141" s="4" t="s">
        <v>563</v>
      </c>
      <c r="B141" s="4" t="s">
        <v>564</v>
      </c>
      <c r="C141" s="4" t="s">
        <v>6</v>
      </c>
      <c r="D141" s="5"/>
      <c r="E141" s="6"/>
      <c r="F141" s="6"/>
      <c r="G141" s="6"/>
      <c r="H141" s="6"/>
      <c r="I141" s="6"/>
      <c r="J141" s="6"/>
      <c r="K141" s="6"/>
      <c r="L141" s="6">
        <v>24</v>
      </c>
      <c r="M141" s="6">
        <v>30</v>
      </c>
      <c r="N141" s="6"/>
      <c r="O141" s="3"/>
      <c r="P141" s="3"/>
      <c r="Q141" s="3"/>
      <c r="R141" s="3"/>
      <c r="S141" s="6">
        <f t="shared" si="32"/>
        <v>54</v>
      </c>
      <c r="T141">
        <v>1</v>
      </c>
      <c r="U141" s="4" t="s">
        <v>563</v>
      </c>
      <c r="V141" s="4" t="s">
        <v>564</v>
      </c>
      <c r="W141" s="4" t="s">
        <v>6</v>
      </c>
      <c r="X141" s="5">
        <f t="shared" si="50"/>
        <v>0</v>
      </c>
      <c r="Y141" s="5">
        <f t="shared" si="51"/>
        <v>0</v>
      </c>
      <c r="Z141" s="5">
        <f t="shared" si="52"/>
        <v>0</v>
      </c>
      <c r="AA141" s="5">
        <f t="shared" si="53"/>
        <v>0</v>
      </c>
      <c r="AB141" s="5">
        <f t="shared" si="54"/>
        <v>0</v>
      </c>
      <c r="AC141" s="5">
        <f t="shared" si="55"/>
        <v>0</v>
      </c>
      <c r="AD141" s="5">
        <f t="shared" si="56"/>
        <v>0</v>
      </c>
      <c r="AE141" s="5">
        <f t="shared" si="57"/>
        <v>0</v>
      </c>
      <c r="AF141" s="5">
        <f t="shared" si="58"/>
        <v>20</v>
      </c>
      <c r="AG141" s="5">
        <f t="shared" si="59"/>
        <v>60</v>
      </c>
      <c r="AH141" s="5">
        <f t="shared" si="60"/>
        <v>0</v>
      </c>
      <c r="AI141" s="5">
        <f t="shared" si="61"/>
        <v>0</v>
      </c>
      <c r="AJ141" s="5">
        <f t="shared" si="62"/>
        <v>0</v>
      </c>
      <c r="AK141" s="5">
        <f t="shared" si="63"/>
        <v>0</v>
      </c>
      <c r="AL141" s="5">
        <f t="shared" si="64"/>
        <v>0</v>
      </c>
      <c r="AM141" s="6">
        <f t="shared" si="33"/>
        <v>80</v>
      </c>
    </row>
    <row r="142" spans="1:39" x14ac:dyDescent="0.25">
      <c r="A142" s="10" t="s">
        <v>573</v>
      </c>
      <c r="B142" s="10" t="s">
        <v>574</v>
      </c>
      <c r="C142" s="4" t="s">
        <v>6</v>
      </c>
      <c r="D142" s="5"/>
      <c r="E142" s="6"/>
      <c r="F142" s="6"/>
      <c r="G142" s="6"/>
      <c r="H142" s="6"/>
      <c r="I142" s="6"/>
      <c r="J142" s="6"/>
      <c r="K142" s="6"/>
      <c r="L142" s="6"/>
      <c r="M142" s="6">
        <v>16.5</v>
      </c>
      <c r="N142" s="6"/>
      <c r="O142" s="3"/>
      <c r="P142" s="3"/>
      <c r="Q142" s="3"/>
      <c r="R142" s="3"/>
      <c r="S142" s="6">
        <f t="shared" si="32"/>
        <v>16.5</v>
      </c>
      <c r="T142">
        <v>1</v>
      </c>
      <c r="U142" s="10" t="s">
        <v>573</v>
      </c>
      <c r="V142" s="10" t="s">
        <v>574</v>
      </c>
      <c r="W142" s="4" t="s">
        <v>6</v>
      </c>
      <c r="X142" s="5">
        <f t="shared" si="50"/>
        <v>0</v>
      </c>
      <c r="Y142" s="5">
        <f t="shared" si="51"/>
        <v>0</v>
      </c>
      <c r="Z142" s="5">
        <f t="shared" si="52"/>
        <v>0</v>
      </c>
      <c r="AA142" s="5">
        <f t="shared" si="53"/>
        <v>0</v>
      </c>
      <c r="AB142" s="5">
        <f t="shared" si="54"/>
        <v>0</v>
      </c>
      <c r="AC142" s="5">
        <f t="shared" si="55"/>
        <v>0</v>
      </c>
      <c r="AD142" s="5">
        <f t="shared" si="56"/>
        <v>0</v>
      </c>
      <c r="AE142" s="5">
        <f t="shared" si="57"/>
        <v>0</v>
      </c>
      <c r="AF142" s="5">
        <f t="shared" si="58"/>
        <v>0</v>
      </c>
      <c r="AG142" s="5">
        <f t="shared" si="59"/>
        <v>0</v>
      </c>
      <c r="AH142" s="5">
        <f t="shared" si="60"/>
        <v>0</v>
      </c>
      <c r="AI142" s="5">
        <f t="shared" si="61"/>
        <v>0</v>
      </c>
      <c r="AJ142" s="5">
        <f t="shared" si="62"/>
        <v>0</v>
      </c>
      <c r="AK142" s="5">
        <f t="shared" si="63"/>
        <v>0</v>
      </c>
      <c r="AL142" s="5">
        <f t="shared" si="64"/>
        <v>0</v>
      </c>
      <c r="AM142" s="6">
        <f t="shared" si="33"/>
        <v>0</v>
      </c>
    </row>
    <row r="143" spans="1:39" x14ac:dyDescent="0.25">
      <c r="A143" s="4" t="s">
        <v>137</v>
      </c>
      <c r="B143" s="4" t="s">
        <v>138</v>
      </c>
      <c r="C143" s="4" t="s">
        <v>6</v>
      </c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3"/>
      <c r="P143" s="3"/>
      <c r="Q143" s="3"/>
      <c r="R143" s="3"/>
      <c r="S143" s="6">
        <f t="shared" si="32"/>
        <v>0</v>
      </c>
      <c r="T143">
        <v>1</v>
      </c>
      <c r="U143" s="4" t="s">
        <v>137</v>
      </c>
      <c r="V143" s="4" t="s">
        <v>138</v>
      </c>
      <c r="W143" s="4" t="s">
        <v>6</v>
      </c>
      <c r="X143" s="5">
        <f t="shared" si="50"/>
        <v>0</v>
      </c>
      <c r="Y143" s="5">
        <f t="shared" si="51"/>
        <v>0</v>
      </c>
      <c r="Z143" s="5">
        <f t="shared" si="52"/>
        <v>0</v>
      </c>
      <c r="AA143" s="5">
        <f t="shared" si="53"/>
        <v>0</v>
      </c>
      <c r="AB143" s="5">
        <f t="shared" si="54"/>
        <v>0</v>
      </c>
      <c r="AC143" s="5">
        <f t="shared" si="55"/>
        <v>0</v>
      </c>
      <c r="AD143" s="5">
        <f t="shared" si="56"/>
        <v>0</v>
      </c>
      <c r="AE143" s="5">
        <f t="shared" si="57"/>
        <v>0</v>
      </c>
      <c r="AF143" s="5">
        <f t="shared" si="58"/>
        <v>0</v>
      </c>
      <c r="AG143" s="5">
        <f t="shared" si="59"/>
        <v>0</v>
      </c>
      <c r="AH143" s="5">
        <f t="shared" si="60"/>
        <v>0</v>
      </c>
      <c r="AI143" s="5">
        <f t="shared" si="61"/>
        <v>0</v>
      </c>
      <c r="AJ143" s="5">
        <f t="shared" si="62"/>
        <v>0</v>
      </c>
      <c r="AK143" s="5">
        <f t="shared" si="63"/>
        <v>0</v>
      </c>
      <c r="AL143" s="5">
        <f t="shared" si="64"/>
        <v>0</v>
      </c>
      <c r="AM143" s="6">
        <f t="shared" si="33"/>
        <v>0</v>
      </c>
    </row>
    <row r="144" spans="1:39" x14ac:dyDescent="0.25">
      <c r="A144" s="4" t="s">
        <v>139</v>
      </c>
      <c r="B144" s="4" t="s">
        <v>140</v>
      </c>
      <c r="C144" s="4" t="s">
        <v>6</v>
      </c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3"/>
      <c r="P144" s="3"/>
      <c r="Q144" s="3"/>
      <c r="R144" s="3"/>
      <c r="S144" s="6">
        <f t="shared" si="32"/>
        <v>0</v>
      </c>
      <c r="T144">
        <v>1</v>
      </c>
      <c r="U144" s="4" t="s">
        <v>139</v>
      </c>
      <c r="V144" s="4" t="s">
        <v>140</v>
      </c>
      <c r="W144" s="4" t="s">
        <v>6</v>
      </c>
      <c r="X144" s="5">
        <f t="shared" si="50"/>
        <v>0</v>
      </c>
      <c r="Y144" s="5">
        <f t="shared" si="51"/>
        <v>0</v>
      </c>
      <c r="Z144" s="5">
        <f t="shared" si="52"/>
        <v>0</v>
      </c>
      <c r="AA144" s="5">
        <f t="shared" si="53"/>
        <v>0</v>
      </c>
      <c r="AB144" s="5">
        <f t="shared" si="54"/>
        <v>0</v>
      </c>
      <c r="AC144" s="5">
        <f t="shared" si="55"/>
        <v>0</v>
      </c>
      <c r="AD144" s="5">
        <f t="shared" si="56"/>
        <v>0</v>
      </c>
      <c r="AE144" s="5">
        <f t="shared" si="57"/>
        <v>0</v>
      </c>
      <c r="AF144" s="5">
        <f t="shared" si="58"/>
        <v>0</v>
      </c>
      <c r="AG144" s="5">
        <f t="shared" si="59"/>
        <v>0</v>
      </c>
      <c r="AH144" s="5">
        <f t="shared" si="60"/>
        <v>0</v>
      </c>
      <c r="AI144" s="5">
        <f t="shared" si="61"/>
        <v>0</v>
      </c>
      <c r="AJ144" s="5">
        <f t="shared" si="62"/>
        <v>0</v>
      </c>
      <c r="AK144" s="5">
        <f t="shared" si="63"/>
        <v>0</v>
      </c>
      <c r="AL144" s="5">
        <f t="shared" si="64"/>
        <v>0</v>
      </c>
      <c r="AM144" s="6">
        <f t="shared" si="33"/>
        <v>0</v>
      </c>
    </row>
    <row r="145" spans="1:39" x14ac:dyDescent="0.25">
      <c r="A145" s="4" t="s">
        <v>141</v>
      </c>
      <c r="B145" s="4" t="s">
        <v>142</v>
      </c>
      <c r="C145" s="4" t="s">
        <v>6</v>
      </c>
      <c r="D145" s="5">
        <v>7.5</v>
      </c>
      <c r="E145" s="6">
        <v>6</v>
      </c>
      <c r="F145" s="6"/>
      <c r="G145" s="6">
        <v>12</v>
      </c>
      <c r="H145" s="6"/>
      <c r="I145" s="6">
        <v>10.5</v>
      </c>
      <c r="J145" s="6">
        <v>25.5</v>
      </c>
      <c r="K145" s="6">
        <v>21</v>
      </c>
      <c r="L145" s="6">
        <v>42</v>
      </c>
      <c r="M145" s="6">
        <v>36</v>
      </c>
      <c r="N145" s="6"/>
      <c r="O145" s="3"/>
      <c r="P145" s="3"/>
      <c r="Q145" s="3"/>
      <c r="R145" s="3"/>
      <c r="S145" s="6">
        <f t="shared" si="32"/>
        <v>160.5</v>
      </c>
      <c r="T145">
        <v>1</v>
      </c>
      <c r="U145" s="4" t="s">
        <v>141</v>
      </c>
      <c r="V145" s="4" t="s">
        <v>142</v>
      </c>
      <c r="W145" s="4" t="s">
        <v>6</v>
      </c>
      <c r="X145" s="5">
        <f t="shared" si="50"/>
        <v>0</v>
      </c>
      <c r="Y145" s="5">
        <f t="shared" si="51"/>
        <v>0</v>
      </c>
      <c r="Z145" s="5">
        <f t="shared" si="52"/>
        <v>0</v>
      </c>
      <c r="AA145" s="5">
        <f t="shared" si="53"/>
        <v>0</v>
      </c>
      <c r="AB145" s="5">
        <f t="shared" si="54"/>
        <v>0</v>
      </c>
      <c r="AC145" s="5">
        <f t="shared" si="55"/>
        <v>0</v>
      </c>
      <c r="AD145" s="5">
        <f t="shared" si="56"/>
        <v>40</v>
      </c>
      <c r="AE145" s="5">
        <f t="shared" si="57"/>
        <v>20</v>
      </c>
      <c r="AF145" s="5">
        <f t="shared" si="58"/>
        <v>98</v>
      </c>
      <c r="AG145" s="5">
        <f t="shared" si="59"/>
        <v>78</v>
      </c>
      <c r="AH145" s="5">
        <f t="shared" si="60"/>
        <v>0</v>
      </c>
      <c r="AI145" s="5">
        <f t="shared" si="61"/>
        <v>0</v>
      </c>
      <c r="AJ145" s="5">
        <f t="shared" si="62"/>
        <v>0</v>
      </c>
      <c r="AK145" s="5">
        <f t="shared" si="63"/>
        <v>0</v>
      </c>
      <c r="AL145" s="5">
        <f t="shared" si="64"/>
        <v>0</v>
      </c>
      <c r="AM145" s="6">
        <f t="shared" si="33"/>
        <v>236</v>
      </c>
    </row>
    <row r="146" spans="1:39" x14ac:dyDescent="0.25">
      <c r="A146" s="4" t="s">
        <v>143</v>
      </c>
      <c r="B146" s="4" t="s">
        <v>144</v>
      </c>
      <c r="C146" s="4" t="s">
        <v>6</v>
      </c>
      <c r="D146" s="5"/>
      <c r="E146" s="6"/>
      <c r="F146" s="6"/>
      <c r="G146" s="6">
        <v>12</v>
      </c>
      <c r="H146" s="6"/>
      <c r="I146" s="6"/>
      <c r="J146" s="6">
        <v>22.5</v>
      </c>
      <c r="K146" s="6">
        <v>22.5</v>
      </c>
      <c r="L146" s="6">
        <v>46.5</v>
      </c>
      <c r="M146" s="6">
        <v>33</v>
      </c>
      <c r="N146" s="6"/>
      <c r="O146" s="3"/>
      <c r="P146" s="3"/>
      <c r="Q146" s="3"/>
      <c r="R146" s="3"/>
      <c r="S146" s="6">
        <f t="shared" si="32"/>
        <v>136.5</v>
      </c>
      <c r="T146">
        <v>1</v>
      </c>
      <c r="U146" s="4" t="s">
        <v>143</v>
      </c>
      <c r="V146" s="4" t="s">
        <v>144</v>
      </c>
      <c r="W146" s="4" t="s">
        <v>6</v>
      </c>
      <c r="X146" s="5">
        <f t="shared" si="50"/>
        <v>0</v>
      </c>
      <c r="Y146" s="5">
        <f t="shared" si="51"/>
        <v>0</v>
      </c>
      <c r="Z146" s="5">
        <f t="shared" si="52"/>
        <v>0</v>
      </c>
      <c r="AA146" s="5">
        <f t="shared" si="53"/>
        <v>0</v>
      </c>
      <c r="AB146" s="5">
        <f t="shared" si="54"/>
        <v>0</v>
      </c>
      <c r="AC146" s="5">
        <f t="shared" si="55"/>
        <v>0</v>
      </c>
      <c r="AD146" s="5">
        <f t="shared" si="56"/>
        <v>20</v>
      </c>
      <c r="AE146" s="5">
        <f t="shared" si="57"/>
        <v>20</v>
      </c>
      <c r="AF146" s="5">
        <f t="shared" si="58"/>
        <v>116</v>
      </c>
      <c r="AG146" s="5">
        <f t="shared" si="59"/>
        <v>69</v>
      </c>
      <c r="AH146" s="5">
        <f t="shared" si="60"/>
        <v>0</v>
      </c>
      <c r="AI146" s="5">
        <f t="shared" si="61"/>
        <v>0</v>
      </c>
      <c r="AJ146" s="5">
        <f t="shared" si="62"/>
        <v>0</v>
      </c>
      <c r="AK146" s="5">
        <f t="shared" si="63"/>
        <v>0</v>
      </c>
      <c r="AL146" s="5">
        <f t="shared" si="64"/>
        <v>0</v>
      </c>
      <c r="AM146" s="6">
        <f t="shared" si="33"/>
        <v>225</v>
      </c>
    </row>
    <row r="147" spans="1:39" x14ac:dyDescent="0.25">
      <c r="A147" s="4" t="s">
        <v>145</v>
      </c>
      <c r="B147" s="4" t="s">
        <v>146</v>
      </c>
      <c r="C147" s="4" t="s">
        <v>6</v>
      </c>
      <c r="D147" s="5"/>
      <c r="E147" s="6">
        <v>6</v>
      </c>
      <c r="F147" s="6"/>
      <c r="G147" s="6">
        <v>12</v>
      </c>
      <c r="H147" s="6">
        <v>18.5</v>
      </c>
      <c r="I147" s="6">
        <v>9</v>
      </c>
      <c r="J147" s="6">
        <v>21</v>
      </c>
      <c r="K147" s="6">
        <v>25.5</v>
      </c>
      <c r="L147" s="6">
        <v>40.5</v>
      </c>
      <c r="M147" s="6">
        <v>34.5</v>
      </c>
      <c r="N147" s="6"/>
      <c r="O147" s="3"/>
      <c r="P147" s="3"/>
      <c r="Q147" s="3"/>
      <c r="R147" s="3"/>
      <c r="S147" s="6">
        <f t="shared" si="32"/>
        <v>167</v>
      </c>
      <c r="T147">
        <v>1</v>
      </c>
      <c r="U147" s="4" t="s">
        <v>145</v>
      </c>
      <c r="V147" s="4" t="s">
        <v>146</v>
      </c>
      <c r="W147" s="4" t="s">
        <v>6</v>
      </c>
      <c r="X147" s="5">
        <f t="shared" si="50"/>
        <v>0</v>
      </c>
      <c r="Y147" s="5">
        <f t="shared" si="51"/>
        <v>0</v>
      </c>
      <c r="Z147" s="5">
        <f t="shared" si="52"/>
        <v>0</v>
      </c>
      <c r="AA147" s="5">
        <f t="shared" si="53"/>
        <v>0</v>
      </c>
      <c r="AB147" s="5">
        <f t="shared" si="54"/>
        <v>0</v>
      </c>
      <c r="AC147" s="5">
        <f t="shared" si="55"/>
        <v>0</v>
      </c>
      <c r="AD147" s="5">
        <f t="shared" si="56"/>
        <v>20</v>
      </c>
      <c r="AE147" s="5">
        <f t="shared" si="57"/>
        <v>40</v>
      </c>
      <c r="AF147" s="5">
        <f t="shared" si="58"/>
        <v>92</v>
      </c>
      <c r="AG147" s="5">
        <f t="shared" si="59"/>
        <v>73.5</v>
      </c>
      <c r="AH147" s="5">
        <f t="shared" si="60"/>
        <v>0</v>
      </c>
      <c r="AI147" s="5">
        <f t="shared" si="61"/>
        <v>0</v>
      </c>
      <c r="AJ147" s="5">
        <f t="shared" si="62"/>
        <v>0</v>
      </c>
      <c r="AK147" s="5">
        <f t="shared" si="63"/>
        <v>0</v>
      </c>
      <c r="AL147" s="5">
        <f t="shared" si="64"/>
        <v>0</v>
      </c>
      <c r="AM147" s="6">
        <f t="shared" si="33"/>
        <v>225.5</v>
      </c>
    </row>
    <row r="148" spans="1:39" x14ac:dyDescent="0.25">
      <c r="A148" s="4" t="s">
        <v>147</v>
      </c>
      <c r="B148" s="4" t="s">
        <v>148</v>
      </c>
      <c r="C148" s="4" t="s">
        <v>6</v>
      </c>
      <c r="D148" s="5"/>
      <c r="E148" s="6">
        <v>6</v>
      </c>
      <c r="F148" s="6"/>
      <c r="G148" s="6">
        <v>10.5</v>
      </c>
      <c r="H148" s="6"/>
      <c r="I148" s="6">
        <v>10.5</v>
      </c>
      <c r="J148" s="6">
        <v>24</v>
      </c>
      <c r="K148" s="6">
        <v>25.5</v>
      </c>
      <c r="L148" s="6">
        <v>42</v>
      </c>
      <c r="M148" s="6">
        <v>37.5</v>
      </c>
      <c r="N148" s="6"/>
      <c r="O148" s="3"/>
      <c r="P148" s="3"/>
      <c r="Q148" s="3"/>
      <c r="R148" s="3"/>
      <c r="S148" s="6">
        <f t="shared" si="32"/>
        <v>156</v>
      </c>
      <c r="T148">
        <v>1</v>
      </c>
      <c r="U148" s="4" t="s">
        <v>147</v>
      </c>
      <c r="V148" s="4" t="s">
        <v>148</v>
      </c>
      <c r="W148" s="4" t="s">
        <v>6</v>
      </c>
      <c r="X148" s="5">
        <f t="shared" si="50"/>
        <v>0</v>
      </c>
      <c r="Y148" s="5">
        <f t="shared" si="51"/>
        <v>0</v>
      </c>
      <c r="Z148" s="5">
        <f t="shared" si="52"/>
        <v>0</v>
      </c>
      <c r="AA148" s="5">
        <f t="shared" si="53"/>
        <v>0</v>
      </c>
      <c r="AB148" s="5">
        <f t="shared" si="54"/>
        <v>0</v>
      </c>
      <c r="AC148" s="5">
        <f t="shared" si="55"/>
        <v>0</v>
      </c>
      <c r="AD148" s="5">
        <f t="shared" si="56"/>
        <v>20</v>
      </c>
      <c r="AE148" s="5">
        <f t="shared" si="57"/>
        <v>40</v>
      </c>
      <c r="AF148" s="5">
        <f t="shared" si="58"/>
        <v>98</v>
      </c>
      <c r="AG148" s="5">
        <f t="shared" si="59"/>
        <v>82.5</v>
      </c>
      <c r="AH148" s="5">
        <f t="shared" si="60"/>
        <v>0</v>
      </c>
      <c r="AI148" s="5">
        <f t="shared" si="61"/>
        <v>0</v>
      </c>
      <c r="AJ148" s="5">
        <f t="shared" si="62"/>
        <v>0</v>
      </c>
      <c r="AK148" s="5">
        <f t="shared" si="63"/>
        <v>0</v>
      </c>
      <c r="AL148" s="5">
        <f t="shared" si="64"/>
        <v>0</v>
      </c>
      <c r="AM148" s="6">
        <f t="shared" si="33"/>
        <v>240.5</v>
      </c>
    </row>
    <row r="149" spans="1:39" x14ac:dyDescent="0.25">
      <c r="A149" s="4" t="s">
        <v>149</v>
      </c>
      <c r="B149" s="4" t="s">
        <v>150</v>
      </c>
      <c r="C149" s="4" t="s">
        <v>6</v>
      </c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3"/>
      <c r="P149" s="3"/>
      <c r="Q149" s="3"/>
      <c r="R149" s="3"/>
      <c r="S149" s="6">
        <f t="shared" si="32"/>
        <v>0</v>
      </c>
      <c r="T149">
        <v>1</v>
      </c>
      <c r="U149" s="4" t="s">
        <v>149</v>
      </c>
      <c r="V149" s="4" t="s">
        <v>150</v>
      </c>
      <c r="W149" s="4" t="s">
        <v>6</v>
      </c>
      <c r="X149" s="5">
        <f t="shared" si="50"/>
        <v>0</v>
      </c>
      <c r="Y149" s="5">
        <f t="shared" si="51"/>
        <v>0</v>
      </c>
      <c r="Z149" s="5">
        <f t="shared" si="52"/>
        <v>0</v>
      </c>
      <c r="AA149" s="5">
        <f t="shared" si="53"/>
        <v>0</v>
      </c>
      <c r="AB149" s="5">
        <f t="shared" si="54"/>
        <v>0</v>
      </c>
      <c r="AC149" s="5">
        <f t="shared" si="55"/>
        <v>0</v>
      </c>
      <c r="AD149" s="5">
        <f t="shared" si="56"/>
        <v>0</v>
      </c>
      <c r="AE149" s="5">
        <f t="shared" si="57"/>
        <v>0</v>
      </c>
      <c r="AF149" s="5">
        <f t="shared" si="58"/>
        <v>0</v>
      </c>
      <c r="AG149" s="5">
        <f t="shared" si="59"/>
        <v>0</v>
      </c>
      <c r="AH149" s="5">
        <f t="shared" si="60"/>
        <v>0</v>
      </c>
      <c r="AI149" s="5">
        <f t="shared" si="61"/>
        <v>0</v>
      </c>
      <c r="AJ149" s="5">
        <f t="shared" si="62"/>
        <v>0</v>
      </c>
      <c r="AK149" s="5">
        <f t="shared" si="63"/>
        <v>0</v>
      </c>
      <c r="AL149" s="5">
        <f t="shared" si="64"/>
        <v>0</v>
      </c>
      <c r="AM149" s="6">
        <f t="shared" si="33"/>
        <v>0</v>
      </c>
    </row>
    <row r="150" spans="1:39" x14ac:dyDescent="0.25">
      <c r="A150" s="4" t="s">
        <v>151</v>
      </c>
      <c r="B150" s="4" t="s">
        <v>152</v>
      </c>
      <c r="C150" s="4" t="s">
        <v>6</v>
      </c>
      <c r="D150" s="5"/>
      <c r="E150" s="6">
        <v>4.5</v>
      </c>
      <c r="F150" s="6"/>
      <c r="G150" s="6">
        <v>13.5</v>
      </c>
      <c r="H150" s="6">
        <v>14.5</v>
      </c>
      <c r="I150" s="6">
        <v>10.5</v>
      </c>
      <c r="J150" s="6">
        <v>18</v>
      </c>
      <c r="K150" s="6">
        <v>25.5</v>
      </c>
      <c r="L150" s="6">
        <v>42</v>
      </c>
      <c r="M150" s="6">
        <v>34.5</v>
      </c>
      <c r="N150" s="6"/>
      <c r="O150" s="3"/>
      <c r="P150" s="3"/>
      <c r="Q150" s="3"/>
      <c r="R150" s="3"/>
      <c r="S150" s="6">
        <f t="shared" si="32"/>
        <v>163</v>
      </c>
      <c r="T150">
        <v>1</v>
      </c>
      <c r="U150" s="4" t="s">
        <v>151</v>
      </c>
      <c r="V150" s="4" t="s">
        <v>152</v>
      </c>
      <c r="W150" s="4" t="s">
        <v>6</v>
      </c>
      <c r="X150" s="5">
        <f t="shared" si="50"/>
        <v>0</v>
      </c>
      <c r="Y150" s="5">
        <f t="shared" si="51"/>
        <v>0</v>
      </c>
      <c r="Z150" s="5">
        <f t="shared" si="52"/>
        <v>0</v>
      </c>
      <c r="AA150" s="5">
        <f t="shared" si="53"/>
        <v>0</v>
      </c>
      <c r="AB150" s="5">
        <f t="shared" si="54"/>
        <v>0</v>
      </c>
      <c r="AC150" s="5">
        <f t="shared" si="55"/>
        <v>0</v>
      </c>
      <c r="AD150" s="5">
        <f t="shared" si="56"/>
        <v>0</v>
      </c>
      <c r="AE150" s="5">
        <f t="shared" si="57"/>
        <v>40</v>
      </c>
      <c r="AF150" s="5">
        <f t="shared" si="58"/>
        <v>98</v>
      </c>
      <c r="AG150" s="5">
        <f t="shared" si="59"/>
        <v>73.5</v>
      </c>
      <c r="AH150" s="5">
        <f t="shared" si="60"/>
        <v>0</v>
      </c>
      <c r="AI150" s="5">
        <f t="shared" si="61"/>
        <v>0</v>
      </c>
      <c r="AJ150" s="5">
        <f t="shared" si="62"/>
        <v>0</v>
      </c>
      <c r="AK150" s="5">
        <f t="shared" si="63"/>
        <v>0</v>
      </c>
      <c r="AL150" s="5">
        <f t="shared" si="64"/>
        <v>0</v>
      </c>
      <c r="AM150" s="6">
        <f t="shared" si="33"/>
        <v>211.5</v>
      </c>
    </row>
    <row r="151" spans="1:39" x14ac:dyDescent="0.25">
      <c r="A151" s="4" t="s">
        <v>153</v>
      </c>
      <c r="B151" s="4" t="s">
        <v>154</v>
      </c>
      <c r="C151" s="4" t="s">
        <v>6</v>
      </c>
      <c r="D151" s="5">
        <v>7.5</v>
      </c>
      <c r="E151" s="6">
        <v>4.5</v>
      </c>
      <c r="F151" s="6"/>
      <c r="G151" s="6">
        <v>13.5</v>
      </c>
      <c r="H151" s="6">
        <v>23.5</v>
      </c>
      <c r="I151" s="6">
        <v>12</v>
      </c>
      <c r="J151" s="6">
        <v>25.5</v>
      </c>
      <c r="K151" s="6">
        <v>21</v>
      </c>
      <c r="L151" s="6">
        <v>42</v>
      </c>
      <c r="M151" s="6">
        <v>36</v>
      </c>
      <c r="N151" s="6"/>
      <c r="O151" s="3"/>
      <c r="P151" s="3"/>
      <c r="Q151" s="3"/>
      <c r="R151" s="3"/>
      <c r="S151" s="6">
        <f t="shared" si="32"/>
        <v>185.5</v>
      </c>
      <c r="T151">
        <v>1</v>
      </c>
      <c r="U151" s="4" t="s">
        <v>153</v>
      </c>
      <c r="V151" s="4" t="s">
        <v>154</v>
      </c>
      <c r="W151" s="4" t="s">
        <v>6</v>
      </c>
      <c r="X151" s="5">
        <f t="shared" si="50"/>
        <v>0</v>
      </c>
      <c r="Y151" s="5">
        <f t="shared" si="51"/>
        <v>0</v>
      </c>
      <c r="Z151" s="5">
        <f t="shared" si="52"/>
        <v>0</v>
      </c>
      <c r="AA151" s="5">
        <f t="shared" si="53"/>
        <v>0</v>
      </c>
      <c r="AB151" s="5">
        <f t="shared" si="54"/>
        <v>20</v>
      </c>
      <c r="AC151" s="5">
        <f t="shared" si="55"/>
        <v>0</v>
      </c>
      <c r="AD151" s="5">
        <f t="shared" si="56"/>
        <v>40</v>
      </c>
      <c r="AE151" s="5">
        <f t="shared" si="57"/>
        <v>20</v>
      </c>
      <c r="AF151" s="5">
        <f t="shared" si="58"/>
        <v>98</v>
      </c>
      <c r="AG151" s="5">
        <f t="shared" si="59"/>
        <v>78</v>
      </c>
      <c r="AH151" s="5">
        <f t="shared" si="60"/>
        <v>0</v>
      </c>
      <c r="AI151" s="5">
        <f t="shared" si="61"/>
        <v>0</v>
      </c>
      <c r="AJ151" s="5">
        <f t="shared" si="62"/>
        <v>0</v>
      </c>
      <c r="AK151" s="5">
        <f t="shared" si="63"/>
        <v>0</v>
      </c>
      <c r="AL151" s="5">
        <f t="shared" si="64"/>
        <v>0</v>
      </c>
      <c r="AM151" s="6">
        <f t="shared" si="33"/>
        <v>256</v>
      </c>
    </row>
    <row r="152" spans="1:39" x14ac:dyDescent="0.25">
      <c r="A152" s="4" t="s">
        <v>155</v>
      </c>
      <c r="B152" s="4" t="s">
        <v>156</v>
      </c>
      <c r="C152" s="4" t="s">
        <v>6</v>
      </c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3"/>
      <c r="P152" s="3"/>
      <c r="Q152" s="3"/>
      <c r="R152" s="3"/>
      <c r="S152" s="6">
        <f t="shared" si="32"/>
        <v>0</v>
      </c>
      <c r="T152">
        <v>1</v>
      </c>
      <c r="U152" s="4" t="s">
        <v>155</v>
      </c>
      <c r="V152" s="4" t="s">
        <v>156</v>
      </c>
      <c r="W152" s="4" t="s">
        <v>6</v>
      </c>
      <c r="X152" s="5">
        <f t="shared" si="50"/>
        <v>0</v>
      </c>
      <c r="Y152" s="5">
        <f t="shared" si="51"/>
        <v>0</v>
      </c>
      <c r="Z152" s="5">
        <f t="shared" si="52"/>
        <v>0</v>
      </c>
      <c r="AA152" s="5">
        <f t="shared" si="53"/>
        <v>0</v>
      </c>
      <c r="AB152" s="5">
        <f t="shared" si="54"/>
        <v>0</v>
      </c>
      <c r="AC152" s="5">
        <f t="shared" si="55"/>
        <v>0</v>
      </c>
      <c r="AD152" s="5">
        <f t="shared" si="56"/>
        <v>0</v>
      </c>
      <c r="AE152" s="5">
        <f t="shared" si="57"/>
        <v>0</v>
      </c>
      <c r="AF152" s="5">
        <f t="shared" si="58"/>
        <v>0</v>
      </c>
      <c r="AG152" s="5">
        <f t="shared" si="59"/>
        <v>0</v>
      </c>
      <c r="AH152" s="5">
        <f t="shared" si="60"/>
        <v>0</v>
      </c>
      <c r="AI152" s="5">
        <f t="shared" si="61"/>
        <v>0</v>
      </c>
      <c r="AJ152" s="5">
        <f t="shared" si="62"/>
        <v>0</v>
      </c>
      <c r="AK152" s="5">
        <f t="shared" si="63"/>
        <v>0</v>
      </c>
      <c r="AL152" s="5">
        <f t="shared" si="64"/>
        <v>0</v>
      </c>
      <c r="AM152" s="6">
        <f t="shared" si="33"/>
        <v>0</v>
      </c>
    </row>
    <row r="153" spans="1:39" x14ac:dyDescent="0.25">
      <c r="A153" s="4" t="s">
        <v>521</v>
      </c>
      <c r="B153" s="4" t="s">
        <v>522</v>
      </c>
      <c r="C153" s="4" t="s">
        <v>6</v>
      </c>
      <c r="D153" s="5"/>
      <c r="E153" s="6"/>
      <c r="F153" s="6"/>
      <c r="G153" s="6"/>
      <c r="H153" s="6"/>
      <c r="I153" s="6">
        <v>1.5</v>
      </c>
      <c r="J153" s="6"/>
      <c r="K153" s="6"/>
      <c r="L153" s="6"/>
      <c r="M153" s="6"/>
      <c r="N153" s="6"/>
      <c r="O153" s="3"/>
      <c r="P153" s="3"/>
      <c r="Q153" s="3"/>
      <c r="R153" s="3"/>
      <c r="S153" s="6">
        <f t="shared" si="32"/>
        <v>1.5</v>
      </c>
      <c r="T153">
        <v>1</v>
      </c>
      <c r="U153" s="4" t="s">
        <v>521</v>
      </c>
      <c r="V153" s="4" t="s">
        <v>522</v>
      </c>
      <c r="W153" s="4" t="s">
        <v>6</v>
      </c>
      <c r="X153" s="5">
        <f t="shared" si="50"/>
        <v>0</v>
      </c>
      <c r="Y153" s="5">
        <f t="shared" si="51"/>
        <v>0</v>
      </c>
      <c r="Z153" s="5">
        <f t="shared" si="52"/>
        <v>0</v>
      </c>
      <c r="AA153" s="5">
        <f t="shared" si="53"/>
        <v>0</v>
      </c>
      <c r="AB153" s="5">
        <f t="shared" si="54"/>
        <v>0</v>
      </c>
      <c r="AC153" s="5">
        <f t="shared" si="55"/>
        <v>0</v>
      </c>
      <c r="AD153" s="5">
        <f t="shared" si="56"/>
        <v>0</v>
      </c>
      <c r="AE153" s="5">
        <f t="shared" si="57"/>
        <v>0</v>
      </c>
      <c r="AF153" s="5">
        <f t="shared" si="58"/>
        <v>0</v>
      </c>
      <c r="AG153" s="5">
        <f t="shared" si="59"/>
        <v>0</v>
      </c>
      <c r="AH153" s="5">
        <f t="shared" si="60"/>
        <v>0</v>
      </c>
      <c r="AI153" s="5">
        <f t="shared" si="61"/>
        <v>0</v>
      </c>
      <c r="AJ153" s="5">
        <f t="shared" si="62"/>
        <v>0</v>
      </c>
      <c r="AK153" s="5">
        <f t="shared" si="63"/>
        <v>0</v>
      </c>
      <c r="AL153" s="5">
        <f t="shared" si="64"/>
        <v>0</v>
      </c>
      <c r="AM153" s="6">
        <f t="shared" si="33"/>
        <v>0</v>
      </c>
    </row>
    <row r="154" spans="1:39" x14ac:dyDescent="0.25">
      <c r="A154" s="4" t="s">
        <v>535</v>
      </c>
      <c r="B154" s="4" t="s">
        <v>536</v>
      </c>
      <c r="C154" s="4" t="s">
        <v>6</v>
      </c>
      <c r="D154" s="5"/>
      <c r="E154" s="6"/>
      <c r="F154" s="6"/>
      <c r="G154" s="6"/>
      <c r="H154" s="6"/>
      <c r="I154" s="6">
        <v>4.5</v>
      </c>
      <c r="J154" s="6"/>
      <c r="K154" s="6"/>
      <c r="L154" s="6"/>
      <c r="M154" s="6"/>
      <c r="N154" s="6"/>
      <c r="O154" s="3"/>
      <c r="P154" s="3"/>
      <c r="Q154" s="3"/>
      <c r="R154" s="3"/>
      <c r="S154" s="6">
        <f t="shared" si="32"/>
        <v>4.5</v>
      </c>
      <c r="T154">
        <v>1</v>
      </c>
      <c r="U154" s="4" t="s">
        <v>535</v>
      </c>
      <c r="V154" s="4" t="s">
        <v>536</v>
      </c>
      <c r="W154" s="4" t="s">
        <v>6</v>
      </c>
      <c r="X154" s="5">
        <f t="shared" si="50"/>
        <v>0</v>
      </c>
      <c r="Y154" s="5">
        <f t="shared" si="51"/>
        <v>0</v>
      </c>
      <c r="Z154" s="5">
        <f t="shared" si="52"/>
        <v>0</v>
      </c>
      <c r="AA154" s="5">
        <f t="shared" si="53"/>
        <v>0</v>
      </c>
      <c r="AB154" s="5">
        <f t="shared" si="54"/>
        <v>0</v>
      </c>
      <c r="AC154" s="5">
        <f t="shared" si="55"/>
        <v>0</v>
      </c>
      <c r="AD154" s="5">
        <f t="shared" si="56"/>
        <v>0</v>
      </c>
      <c r="AE154" s="5">
        <f t="shared" si="57"/>
        <v>0</v>
      </c>
      <c r="AF154" s="5">
        <f t="shared" si="58"/>
        <v>0</v>
      </c>
      <c r="AG154" s="5">
        <f t="shared" si="59"/>
        <v>0</v>
      </c>
      <c r="AH154" s="5">
        <f t="shared" si="60"/>
        <v>0</v>
      </c>
      <c r="AI154" s="5">
        <f t="shared" si="61"/>
        <v>0</v>
      </c>
      <c r="AJ154" s="5">
        <f t="shared" si="62"/>
        <v>0</v>
      </c>
      <c r="AK154" s="5">
        <f t="shared" si="63"/>
        <v>0</v>
      </c>
      <c r="AL154" s="5">
        <f t="shared" si="64"/>
        <v>0</v>
      </c>
      <c r="AM154" s="6">
        <f t="shared" si="33"/>
        <v>0</v>
      </c>
    </row>
    <row r="155" spans="1:39" x14ac:dyDescent="0.25">
      <c r="A155" s="4" t="s">
        <v>157</v>
      </c>
      <c r="B155" s="4" t="s">
        <v>158</v>
      </c>
      <c r="C155" s="4" t="s">
        <v>6</v>
      </c>
      <c r="D155" s="5">
        <v>9</v>
      </c>
      <c r="E155" s="6">
        <v>4.5</v>
      </c>
      <c r="F155" s="6"/>
      <c r="G155" s="6">
        <v>10.5</v>
      </c>
      <c r="H155" s="6">
        <v>13</v>
      </c>
      <c r="I155" s="6">
        <v>9</v>
      </c>
      <c r="J155" s="6">
        <v>18</v>
      </c>
      <c r="K155" s="6"/>
      <c r="L155" s="6">
        <v>34.5</v>
      </c>
      <c r="M155" s="6">
        <v>31.5</v>
      </c>
      <c r="N155" s="6"/>
      <c r="O155" s="3"/>
      <c r="P155" s="3"/>
      <c r="Q155" s="3"/>
      <c r="R155" s="3"/>
      <c r="S155" s="6">
        <f t="shared" si="32"/>
        <v>130</v>
      </c>
      <c r="T155">
        <v>1</v>
      </c>
      <c r="U155" s="4" t="s">
        <v>157</v>
      </c>
      <c r="V155" s="4" t="s">
        <v>158</v>
      </c>
      <c r="W155" s="4" t="s">
        <v>6</v>
      </c>
      <c r="X155" s="5">
        <f t="shared" si="50"/>
        <v>0</v>
      </c>
      <c r="Y155" s="5">
        <f t="shared" si="51"/>
        <v>0</v>
      </c>
      <c r="Z155" s="5">
        <f t="shared" si="52"/>
        <v>0</v>
      </c>
      <c r="AA155" s="5">
        <f t="shared" si="53"/>
        <v>0</v>
      </c>
      <c r="AB155" s="5">
        <f t="shared" si="54"/>
        <v>0</v>
      </c>
      <c r="AC155" s="5">
        <f t="shared" si="55"/>
        <v>0</v>
      </c>
      <c r="AD155" s="5">
        <f t="shared" si="56"/>
        <v>0</v>
      </c>
      <c r="AE155" s="5">
        <f t="shared" si="57"/>
        <v>0</v>
      </c>
      <c r="AF155" s="5">
        <f t="shared" si="58"/>
        <v>73.5</v>
      </c>
      <c r="AG155" s="5">
        <f t="shared" si="59"/>
        <v>64.5</v>
      </c>
      <c r="AH155" s="5">
        <f t="shared" si="60"/>
        <v>0</v>
      </c>
      <c r="AI155" s="5">
        <f t="shared" si="61"/>
        <v>0</v>
      </c>
      <c r="AJ155" s="5">
        <f t="shared" si="62"/>
        <v>0</v>
      </c>
      <c r="AK155" s="5">
        <f t="shared" si="63"/>
        <v>0</v>
      </c>
      <c r="AL155" s="5">
        <f t="shared" si="64"/>
        <v>0</v>
      </c>
      <c r="AM155" s="6">
        <f t="shared" si="33"/>
        <v>138</v>
      </c>
    </row>
    <row r="156" spans="1:39" x14ac:dyDescent="0.25">
      <c r="A156" s="4" t="s">
        <v>159</v>
      </c>
      <c r="B156" s="4" t="s">
        <v>160</v>
      </c>
      <c r="C156" s="4" t="s">
        <v>6</v>
      </c>
      <c r="D156" s="5">
        <v>6</v>
      </c>
      <c r="E156" s="6">
        <v>4.5</v>
      </c>
      <c r="F156" s="6"/>
      <c r="G156" s="6">
        <v>6</v>
      </c>
      <c r="H156" s="6">
        <v>11.5</v>
      </c>
      <c r="I156" s="6">
        <v>9</v>
      </c>
      <c r="J156" s="6">
        <v>9</v>
      </c>
      <c r="K156" s="6"/>
      <c r="L156" s="6"/>
      <c r="M156" s="6">
        <v>13.5</v>
      </c>
      <c r="N156" s="6"/>
      <c r="O156" s="3"/>
      <c r="P156" s="3"/>
      <c r="Q156" s="3"/>
      <c r="R156" s="3"/>
      <c r="S156" s="6">
        <f t="shared" si="32"/>
        <v>59.5</v>
      </c>
      <c r="T156">
        <v>1</v>
      </c>
      <c r="U156" s="4" t="s">
        <v>159</v>
      </c>
      <c r="V156" s="4" t="s">
        <v>160</v>
      </c>
      <c r="W156" s="4" t="s">
        <v>6</v>
      </c>
      <c r="X156" s="5">
        <f t="shared" si="50"/>
        <v>0</v>
      </c>
      <c r="Y156" s="5">
        <f t="shared" si="51"/>
        <v>0</v>
      </c>
      <c r="Z156" s="5">
        <f t="shared" si="52"/>
        <v>0</v>
      </c>
      <c r="AA156" s="5">
        <f t="shared" si="53"/>
        <v>0</v>
      </c>
      <c r="AB156" s="5">
        <f t="shared" si="54"/>
        <v>0</v>
      </c>
      <c r="AC156" s="5">
        <f t="shared" si="55"/>
        <v>0</v>
      </c>
      <c r="AD156" s="5">
        <f t="shared" si="56"/>
        <v>0</v>
      </c>
      <c r="AE156" s="5">
        <f t="shared" si="57"/>
        <v>0</v>
      </c>
      <c r="AF156" s="5">
        <f t="shared" si="58"/>
        <v>0</v>
      </c>
      <c r="AG156" s="5">
        <f t="shared" si="59"/>
        <v>0</v>
      </c>
      <c r="AH156" s="5">
        <f t="shared" si="60"/>
        <v>0</v>
      </c>
      <c r="AI156" s="5">
        <f t="shared" si="61"/>
        <v>0</v>
      </c>
      <c r="AJ156" s="5">
        <f t="shared" si="62"/>
        <v>0</v>
      </c>
      <c r="AK156" s="5">
        <f t="shared" si="63"/>
        <v>0</v>
      </c>
      <c r="AL156" s="5">
        <f t="shared" si="64"/>
        <v>0</v>
      </c>
      <c r="AM156" s="6">
        <f t="shared" si="33"/>
        <v>0</v>
      </c>
    </row>
    <row r="157" spans="1:39" x14ac:dyDescent="0.25">
      <c r="A157" s="4" t="s">
        <v>523</v>
      </c>
      <c r="B157" s="4" t="s">
        <v>524</v>
      </c>
      <c r="C157" s="4" t="s">
        <v>6</v>
      </c>
      <c r="D157" s="5"/>
      <c r="E157" s="6"/>
      <c r="F157" s="6"/>
      <c r="G157" s="6"/>
      <c r="H157" s="6"/>
      <c r="I157" s="6">
        <v>6</v>
      </c>
      <c r="J157" s="6"/>
      <c r="K157" s="6"/>
      <c r="L157" s="6"/>
      <c r="M157" s="6"/>
      <c r="N157" s="6"/>
      <c r="O157" s="3"/>
      <c r="P157" s="3"/>
      <c r="Q157" s="3"/>
      <c r="R157" s="3"/>
      <c r="S157" s="6">
        <f t="shared" si="32"/>
        <v>6</v>
      </c>
      <c r="T157">
        <v>1</v>
      </c>
      <c r="U157" s="4" t="s">
        <v>523</v>
      </c>
      <c r="V157" s="4" t="s">
        <v>524</v>
      </c>
      <c r="W157" s="4" t="s">
        <v>6</v>
      </c>
      <c r="X157" s="5">
        <f t="shared" si="50"/>
        <v>0</v>
      </c>
      <c r="Y157" s="5">
        <f t="shared" si="51"/>
        <v>0</v>
      </c>
      <c r="Z157" s="5">
        <f t="shared" si="52"/>
        <v>0</v>
      </c>
      <c r="AA157" s="5">
        <f t="shared" si="53"/>
        <v>0</v>
      </c>
      <c r="AB157" s="5">
        <f t="shared" si="54"/>
        <v>0</v>
      </c>
      <c r="AC157" s="5">
        <f t="shared" si="55"/>
        <v>0</v>
      </c>
      <c r="AD157" s="5">
        <f t="shared" si="56"/>
        <v>0</v>
      </c>
      <c r="AE157" s="5">
        <f t="shared" si="57"/>
        <v>0</v>
      </c>
      <c r="AF157" s="5">
        <f t="shared" si="58"/>
        <v>0</v>
      </c>
      <c r="AG157" s="5">
        <f t="shared" si="59"/>
        <v>0</v>
      </c>
      <c r="AH157" s="5">
        <f t="shared" si="60"/>
        <v>0</v>
      </c>
      <c r="AI157" s="5">
        <f t="shared" si="61"/>
        <v>0</v>
      </c>
      <c r="AJ157" s="5">
        <f t="shared" si="62"/>
        <v>0</v>
      </c>
      <c r="AK157" s="5">
        <f t="shared" si="63"/>
        <v>0</v>
      </c>
      <c r="AL157" s="5">
        <f t="shared" si="64"/>
        <v>0</v>
      </c>
      <c r="AM157" s="6">
        <f t="shared" si="33"/>
        <v>0</v>
      </c>
    </row>
    <row r="158" spans="1:39" x14ac:dyDescent="0.25">
      <c r="A158" s="4" t="s">
        <v>525</v>
      </c>
      <c r="B158" s="4" t="s">
        <v>526</v>
      </c>
      <c r="C158" s="4" t="s">
        <v>6</v>
      </c>
      <c r="D158" s="5"/>
      <c r="E158" s="6"/>
      <c r="F158" s="6"/>
      <c r="G158" s="6"/>
      <c r="H158" s="6"/>
      <c r="I158" s="6">
        <v>1.5</v>
      </c>
      <c r="J158" s="6"/>
      <c r="K158" s="6"/>
      <c r="L158" s="6"/>
      <c r="M158" s="6"/>
      <c r="N158" s="6"/>
      <c r="O158" s="3"/>
      <c r="P158" s="3"/>
      <c r="Q158" s="3"/>
      <c r="R158" s="3"/>
      <c r="S158" s="6">
        <f t="shared" ref="S158:S220" si="65">SUM(D158:R158)</f>
        <v>1.5</v>
      </c>
      <c r="T158">
        <v>1</v>
      </c>
      <c r="U158" s="4" t="s">
        <v>525</v>
      </c>
      <c r="V158" s="4" t="s">
        <v>526</v>
      </c>
      <c r="W158" s="4" t="s">
        <v>6</v>
      </c>
      <c r="X158" s="5">
        <f t="shared" si="50"/>
        <v>0</v>
      </c>
      <c r="Y158" s="5">
        <f t="shared" si="51"/>
        <v>0</v>
      </c>
      <c r="Z158" s="5">
        <f t="shared" si="52"/>
        <v>0</v>
      </c>
      <c r="AA158" s="5">
        <f t="shared" si="53"/>
        <v>0</v>
      </c>
      <c r="AB158" s="5">
        <f t="shared" si="54"/>
        <v>0</v>
      </c>
      <c r="AC158" s="5">
        <f t="shared" si="55"/>
        <v>0</v>
      </c>
      <c r="AD158" s="5">
        <f t="shared" si="56"/>
        <v>0</v>
      </c>
      <c r="AE158" s="5">
        <f t="shared" si="57"/>
        <v>0</v>
      </c>
      <c r="AF158" s="5">
        <f t="shared" si="58"/>
        <v>0</v>
      </c>
      <c r="AG158" s="5">
        <f t="shared" si="59"/>
        <v>0</v>
      </c>
      <c r="AH158" s="5">
        <f t="shared" si="60"/>
        <v>0</v>
      </c>
      <c r="AI158" s="5">
        <f t="shared" si="61"/>
        <v>0</v>
      </c>
      <c r="AJ158" s="5">
        <f t="shared" si="62"/>
        <v>0</v>
      </c>
      <c r="AK158" s="5">
        <f t="shared" si="63"/>
        <v>0</v>
      </c>
      <c r="AL158" s="5">
        <f t="shared" si="64"/>
        <v>0</v>
      </c>
      <c r="AM158" s="6">
        <f t="shared" ref="AM158:AM220" si="66">SUM(X158:AL158)</f>
        <v>0</v>
      </c>
    </row>
    <row r="159" spans="1:39" x14ac:dyDescent="0.25">
      <c r="A159" s="4" t="s">
        <v>527</v>
      </c>
      <c r="B159" s="4" t="s">
        <v>528</v>
      </c>
      <c r="C159" s="4" t="s">
        <v>6</v>
      </c>
      <c r="D159" s="5"/>
      <c r="E159" s="6"/>
      <c r="F159" s="6"/>
      <c r="G159" s="6"/>
      <c r="H159" s="6"/>
      <c r="I159" s="6">
        <v>3</v>
      </c>
      <c r="J159" s="6"/>
      <c r="K159" s="6"/>
      <c r="L159" s="6"/>
      <c r="M159" s="6"/>
      <c r="N159" s="6"/>
      <c r="O159" s="3"/>
      <c r="P159" s="3"/>
      <c r="Q159" s="3"/>
      <c r="R159" s="3"/>
      <c r="S159" s="6">
        <f t="shared" si="65"/>
        <v>3</v>
      </c>
      <c r="T159">
        <v>1</v>
      </c>
      <c r="U159" s="4" t="s">
        <v>527</v>
      </c>
      <c r="V159" s="4" t="s">
        <v>528</v>
      </c>
      <c r="W159" s="4" t="s">
        <v>6</v>
      </c>
      <c r="X159" s="5">
        <f t="shared" si="50"/>
        <v>0</v>
      </c>
      <c r="Y159" s="5">
        <f t="shared" si="51"/>
        <v>0</v>
      </c>
      <c r="Z159" s="5">
        <f t="shared" si="52"/>
        <v>0</v>
      </c>
      <c r="AA159" s="5">
        <f t="shared" si="53"/>
        <v>0</v>
      </c>
      <c r="AB159" s="5">
        <f t="shared" si="54"/>
        <v>0</v>
      </c>
      <c r="AC159" s="5">
        <f t="shared" si="55"/>
        <v>0</v>
      </c>
      <c r="AD159" s="5">
        <f t="shared" si="56"/>
        <v>0</v>
      </c>
      <c r="AE159" s="5">
        <f t="shared" si="57"/>
        <v>0</v>
      </c>
      <c r="AF159" s="5">
        <f t="shared" si="58"/>
        <v>0</v>
      </c>
      <c r="AG159" s="5">
        <f t="shared" si="59"/>
        <v>0</v>
      </c>
      <c r="AH159" s="5">
        <f t="shared" si="60"/>
        <v>0</v>
      </c>
      <c r="AI159" s="5">
        <f t="shared" si="61"/>
        <v>0</v>
      </c>
      <c r="AJ159" s="5">
        <f t="shared" si="62"/>
        <v>0</v>
      </c>
      <c r="AK159" s="5">
        <f t="shared" si="63"/>
        <v>0</v>
      </c>
      <c r="AL159" s="5">
        <f t="shared" si="64"/>
        <v>0</v>
      </c>
      <c r="AM159" s="6">
        <f t="shared" si="66"/>
        <v>0</v>
      </c>
    </row>
    <row r="160" spans="1:39" x14ac:dyDescent="0.25">
      <c r="A160" s="4" t="s">
        <v>161</v>
      </c>
      <c r="B160" s="4" t="s">
        <v>162</v>
      </c>
      <c r="C160" s="4" t="s">
        <v>6</v>
      </c>
      <c r="D160" s="5"/>
      <c r="E160" s="6">
        <v>4.5</v>
      </c>
      <c r="F160" s="6"/>
      <c r="G160" s="6">
        <v>15</v>
      </c>
      <c r="H160" s="6">
        <v>16</v>
      </c>
      <c r="I160" s="6">
        <v>10.5</v>
      </c>
      <c r="J160" s="6">
        <v>24</v>
      </c>
      <c r="K160" s="6"/>
      <c r="L160" s="6">
        <v>48</v>
      </c>
      <c r="M160" s="6">
        <v>34.5</v>
      </c>
      <c r="N160" s="6"/>
      <c r="O160" s="3"/>
      <c r="P160" s="3"/>
      <c r="Q160" s="3"/>
      <c r="R160" s="3"/>
      <c r="S160" s="6">
        <f t="shared" si="65"/>
        <v>152.5</v>
      </c>
      <c r="T160">
        <v>1</v>
      </c>
      <c r="U160" s="4" t="s">
        <v>161</v>
      </c>
      <c r="V160" s="4" t="s">
        <v>162</v>
      </c>
      <c r="W160" s="4" t="s">
        <v>6</v>
      </c>
      <c r="X160" s="5">
        <f t="shared" si="50"/>
        <v>0</v>
      </c>
      <c r="Y160" s="5">
        <f t="shared" si="51"/>
        <v>0</v>
      </c>
      <c r="Z160" s="5">
        <f t="shared" si="52"/>
        <v>0</v>
      </c>
      <c r="AA160" s="5">
        <f t="shared" si="53"/>
        <v>0</v>
      </c>
      <c r="AB160" s="5">
        <f t="shared" si="54"/>
        <v>0</v>
      </c>
      <c r="AC160" s="5">
        <f t="shared" si="55"/>
        <v>0</v>
      </c>
      <c r="AD160" s="5">
        <f t="shared" si="56"/>
        <v>20</v>
      </c>
      <c r="AE160" s="5">
        <f t="shared" si="57"/>
        <v>0</v>
      </c>
      <c r="AF160" s="5">
        <f t="shared" si="58"/>
        <v>122</v>
      </c>
      <c r="AG160" s="5">
        <f t="shared" si="59"/>
        <v>73.5</v>
      </c>
      <c r="AH160" s="5">
        <f t="shared" si="60"/>
        <v>0</v>
      </c>
      <c r="AI160" s="5">
        <f t="shared" si="61"/>
        <v>0</v>
      </c>
      <c r="AJ160" s="5">
        <f t="shared" si="62"/>
        <v>0</v>
      </c>
      <c r="AK160" s="5">
        <f t="shared" si="63"/>
        <v>0</v>
      </c>
      <c r="AL160" s="5">
        <f t="shared" si="64"/>
        <v>0</v>
      </c>
      <c r="AM160" s="6">
        <f t="shared" si="66"/>
        <v>215.5</v>
      </c>
    </row>
    <row r="161" spans="1:39" x14ac:dyDescent="0.25">
      <c r="A161" s="4" t="s">
        <v>163</v>
      </c>
      <c r="B161" s="4" t="s">
        <v>164</v>
      </c>
      <c r="C161" s="4" t="s">
        <v>6</v>
      </c>
      <c r="D161" s="5"/>
      <c r="E161" s="6">
        <v>3</v>
      </c>
      <c r="F161" s="6"/>
      <c r="G161" s="6">
        <v>12</v>
      </c>
      <c r="H161" s="6">
        <v>16</v>
      </c>
      <c r="I161" s="6">
        <v>9</v>
      </c>
      <c r="J161" s="6">
        <v>24</v>
      </c>
      <c r="K161" s="6">
        <v>15</v>
      </c>
      <c r="L161" s="6">
        <v>54</v>
      </c>
      <c r="M161" s="6">
        <v>34.5</v>
      </c>
      <c r="N161" s="6"/>
      <c r="O161" s="3"/>
      <c r="P161" s="3"/>
      <c r="Q161" s="3"/>
      <c r="R161" s="3"/>
      <c r="S161" s="6">
        <f t="shared" si="65"/>
        <v>167.5</v>
      </c>
      <c r="T161">
        <v>1</v>
      </c>
      <c r="U161" s="4" t="s">
        <v>163</v>
      </c>
      <c r="V161" s="4" t="s">
        <v>164</v>
      </c>
      <c r="W161" s="4" t="s">
        <v>6</v>
      </c>
      <c r="X161" s="5">
        <f t="shared" si="50"/>
        <v>0</v>
      </c>
      <c r="Y161" s="5">
        <f t="shared" si="51"/>
        <v>0</v>
      </c>
      <c r="Z161" s="5">
        <f t="shared" si="52"/>
        <v>0</v>
      </c>
      <c r="AA161" s="5">
        <f t="shared" si="53"/>
        <v>0</v>
      </c>
      <c r="AB161" s="5">
        <f t="shared" si="54"/>
        <v>0</v>
      </c>
      <c r="AC161" s="5">
        <f t="shared" si="55"/>
        <v>0</v>
      </c>
      <c r="AD161" s="5">
        <f t="shared" si="56"/>
        <v>20</v>
      </c>
      <c r="AE161" s="5">
        <f t="shared" si="57"/>
        <v>0</v>
      </c>
      <c r="AF161" s="5">
        <f t="shared" si="58"/>
        <v>146</v>
      </c>
      <c r="AG161" s="5">
        <f t="shared" si="59"/>
        <v>73.5</v>
      </c>
      <c r="AH161" s="5">
        <f t="shared" si="60"/>
        <v>0</v>
      </c>
      <c r="AI161" s="5">
        <f t="shared" si="61"/>
        <v>0</v>
      </c>
      <c r="AJ161" s="5">
        <f t="shared" si="62"/>
        <v>0</v>
      </c>
      <c r="AK161" s="5">
        <f t="shared" si="63"/>
        <v>0</v>
      </c>
      <c r="AL161" s="5">
        <f t="shared" si="64"/>
        <v>0</v>
      </c>
      <c r="AM161" s="6">
        <f t="shared" si="66"/>
        <v>239.5</v>
      </c>
    </row>
    <row r="162" spans="1:39" x14ac:dyDescent="0.25">
      <c r="A162" s="4" t="s">
        <v>338</v>
      </c>
      <c r="B162" s="4" t="s">
        <v>339</v>
      </c>
      <c r="C162" s="4" t="s">
        <v>6</v>
      </c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"/>
      <c r="P162" s="3"/>
      <c r="Q162" s="3"/>
      <c r="R162" s="3"/>
      <c r="S162" s="6">
        <f t="shared" si="65"/>
        <v>0</v>
      </c>
      <c r="T162">
        <v>1</v>
      </c>
      <c r="U162" s="4" t="s">
        <v>338</v>
      </c>
      <c r="V162" s="4" t="s">
        <v>339</v>
      </c>
      <c r="W162" s="4" t="s">
        <v>6</v>
      </c>
      <c r="X162" s="5">
        <f t="shared" si="50"/>
        <v>0</v>
      </c>
      <c r="Y162" s="5">
        <f t="shared" si="51"/>
        <v>0</v>
      </c>
      <c r="Z162" s="5">
        <f t="shared" si="52"/>
        <v>0</v>
      </c>
      <c r="AA162" s="5">
        <f t="shared" si="53"/>
        <v>0</v>
      </c>
      <c r="AB162" s="5">
        <f t="shared" si="54"/>
        <v>0</v>
      </c>
      <c r="AC162" s="5">
        <f t="shared" si="55"/>
        <v>0</v>
      </c>
      <c r="AD162" s="5">
        <f t="shared" si="56"/>
        <v>0</v>
      </c>
      <c r="AE162" s="5">
        <f t="shared" si="57"/>
        <v>0</v>
      </c>
      <c r="AF162" s="5">
        <f t="shared" si="58"/>
        <v>0</v>
      </c>
      <c r="AG162" s="5">
        <f t="shared" si="59"/>
        <v>0</v>
      </c>
      <c r="AH162" s="5">
        <f t="shared" si="60"/>
        <v>0</v>
      </c>
      <c r="AI162" s="5">
        <f t="shared" si="61"/>
        <v>0</v>
      </c>
      <c r="AJ162" s="5">
        <f t="shared" si="62"/>
        <v>0</v>
      </c>
      <c r="AK162" s="5">
        <f t="shared" si="63"/>
        <v>0</v>
      </c>
      <c r="AL162" s="5">
        <f t="shared" si="64"/>
        <v>0</v>
      </c>
      <c r="AM162" s="6">
        <f t="shared" si="66"/>
        <v>0</v>
      </c>
    </row>
    <row r="163" spans="1:39" x14ac:dyDescent="0.25">
      <c r="A163" s="4" t="s">
        <v>389</v>
      </c>
      <c r="B163" s="4" t="s">
        <v>390</v>
      </c>
      <c r="C163" s="4" t="s">
        <v>6</v>
      </c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3"/>
      <c r="P163" s="3"/>
      <c r="Q163" s="3"/>
      <c r="R163" s="3"/>
      <c r="S163" s="6">
        <f t="shared" si="65"/>
        <v>0</v>
      </c>
      <c r="T163">
        <v>1</v>
      </c>
      <c r="U163" s="4" t="s">
        <v>389</v>
      </c>
      <c r="V163" s="4" t="s">
        <v>390</v>
      </c>
      <c r="W163" s="4" t="s">
        <v>6</v>
      </c>
      <c r="X163" s="5">
        <f t="shared" si="50"/>
        <v>0</v>
      </c>
      <c r="Y163" s="5">
        <f t="shared" si="51"/>
        <v>0</v>
      </c>
      <c r="Z163" s="5">
        <f t="shared" si="52"/>
        <v>0</v>
      </c>
      <c r="AA163" s="5">
        <f t="shared" si="53"/>
        <v>0</v>
      </c>
      <c r="AB163" s="5">
        <f t="shared" si="54"/>
        <v>0</v>
      </c>
      <c r="AC163" s="5">
        <f t="shared" si="55"/>
        <v>0</v>
      </c>
      <c r="AD163" s="5">
        <f t="shared" si="56"/>
        <v>0</v>
      </c>
      <c r="AE163" s="5">
        <f t="shared" si="57"/>
        <v>0</v>
      </c>
      <c r="AF163" s="5">
        <f t="shared" si="58"/>
        <v>0</v>
      </c>
      <c r="AG163" s="5">
        <f t="shared" si="59"/>
        <v>0</v>
      </c>
      <c r="AH163" s="5">
        <f t="shared" si="60"/>
        <v>0</v>
      </c>
      <c r="AI163" s="5">
        <f t="shared" si="61"/>
        <v>0</v>
      </c>
      <c r="AJ163" s="5">
        <f t="shared" si="62"/>
        <v>0</v>
      </c>
      <c r="AK163" s="5">
        <f t="shared" si="63"/>
        <v>0</v>
      </c>
      <c r="AL163" s="5">
        <f t="shared" si="64"/>
        <v>0</v>
      </c>
      <c r="AM163" s="6">
        <f t="shared" si="66"/>
        <v>0</v>
      </c>
    </row>
    <row r="164" spans="1:39" x14ac:dyDescent="0.25">
      <c r="A164" s="4" t="s">
        <v>165</v>
      </c>
      <c r="B164" s="4" t="s">
        <v>166</v>
      </c>
      <c r="C164" s="4" t="s">
        <v>167</v>
      </c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3"/>
      <c r="P164" s="3"/>
      <c r="Q164" s="3"/>
      <c r="R164" s="3"/>
      <c r="S164" s="6">
        <f t="shared" si="65"/>
        <v>0</v>
      </c>
      <c r="T164">
        <v>1</v>
      </c>
      <c r="U164" s="4" t="s">
        <v>165</v>
      </c>
      <c r="V164" s="4" t="s">
        <v>166</v>
      </c>
      <c r="W164" s="4" t="s">
        <v>167</v>
      </c>
      <c r="X164" s="5">
        <f>IF(D164&lt;=30,0,(D164-30)*2.5)</f>
        <v>0</v>
      </c>
      <c r="Y164" s="5">
        <f>IF(E164&lt;=25,0,(E164-25)*2.5)</f>
        <v>0</v>
      </c>
      <c r="Z164" s="5">
        <f>IF(F164&lt;=25,0,(F164-25)*2.5)</f>
        <v>0</v>
      </c>
      <c r="AA164" s="5">
        <f>IF(G164&lt;=25,0,(G164-25)*2.5)</f>
        <v>0</v>
      </c>
      <c r="AB164" s="5">
        <f>IF(H164&lt;=30,0,(H164-30)*2.5)</f>
        <v>0</v>
      </c>
      <c r="AC164" s="5">
        <f>IF(I164&lt;=30,0,(I164-30)*2.5)</f>
        <v>0</v>
      </c>
      <c r="AD164" s="5">
        <f>IF(J164&lt;=30,0,(J164-30)*2.5)</f>
        <v>0</v>
      </c>
      <c r="AE164" s="5">
        <f>IF(K164&lt;=25,0,(K164-25)*2.5)</f>
        <v>0</v>
      </c>
      <c r="AF164" s="5">
        <f>IF(L164&lt;=30,0,(L164-30)*2.5)</f>
        <v>0</v>
      </c>
      <c r="AG164" s="5">
        <f t="shared" ref="AG164:AL164" si="67">IF(M164&lt;=30,0,(M164-30)*2.5)</f>
        <v>0</v>
      </c>
      <c r="AH164" s="5">
        <f t="shared" si="67"/>
        <v>0</v>
      </c>
      <c r="AI164" s="5">
        <f t="shared" si="67"/>
        <v>0</v>
      </c>
      <c r="AJ164" s="5">
        <f t="shared" si="67"/>
        <v>0</v>
      </c>
      <c r="AK164" s="5">
        <f t="shared" si="67"/>
        <v>0</v>
      </c>
      <c r="AL164" s="5">
        <f t="shared" si="67"/>
        <v>0</v>
      </c>
      <c r="AM164" s="6">
        <f t="shared" si="66"/>
        <v>0</v>
      </c>
    </row>
    <row r="165" spans="1:39" x14ac:dyDescent="0.25">
      <c r="A165" s="4" t="s">
        <v>168</v>
      </c>
      <c r="B165" s="4" t="s">
        <v>169</v>
      </c>
      <c r="C165" s="4" t="s">
        <v>167</v>
      </c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3"/>
      <c r="P165" s="3"/>
      <c r="Q165" s="3"/>
      <c r="R165" s="3"/>
      <c r="S165" s="6">
        <f t="shared" si="65"/>
        <v>0</v>
      </c>
      <c r="T165">
        <v>1</v>
      </c>
      <c r="U165" s="4" t="s">
        <v>168</v>
      </c>
      <c r="V165" s="4" t="s">
        <v>169</v>
      </c>
      <c r="W165" s="4" t="s">
        <v>167</v>
      </c>
      <c r="X165" s="5">
        <f t="shared" ref="X165:X228" si="68">IF(D165&lt;=30,0,(D165-30)*2.5)</f>
        <v>0</v>
      </c>
      <c r="Y165" s="5">
        <f t="shared" ref="Y165:Y228" si="69">IF(E165&lt;=25,0,(E165-25)*2.5)</f>
        <v>0</v>
      </c>
      <c r="Z165" s="5">
        <f t="shared" ref="Z165:Z228" si="70">IF(F165&lt;=25,0,(F165-25)*2.5)</f>
        <v>0</v>
      </c>
      <c r="AA165" s="5">
        <f t="shared" ref="AA165:AA228" si="71">IF(G165&lt;=25,0,(G165-25)*2.5)</f>
        <v>0</v>
      </c>
      <c r="AB165" s="5">
        <f t="shared" ref="AB165:AB228" si="72">IF(H165&lt;=30,0,(H165-30)*2.5)</f>
        <v>0</v>
      </c>
      <c r="AC165" s="5">
        <f t="shared" ref="AC165:AC228" si="73">IF(I165&lt;=30,0,(I165-30)*2.5)</f>
        <v>0</v>
      </c>
      <c r="AD165" s="5">
        <f t="shared" ref="AD165:AD228" si="74">IF(J165&lt;=30,0,(J165-30)*2.5)</f>
        <v>0</v>
      </c>
      <c r="AE165" s="5">
        <f t="shared" ref="AE165:AE195" si="75">IF(K165&lt;=25,0,(K165-25)*2.5)</f>
        <v>0</v>
      </c>
      <c r="AF165" s="5">
        <f t="shared" ref="AF165:AF228" si="76">IF(L165&lt;=30,0,(L165-30)*2.5)</f>
        <v>0</v>
      </c>
      <c r="AG165" s="5">
        <f t="shared" ref="AG165:AG228" si="77">IF(M165&lt;=30,0,(M165-30)*2.5)</f>
        <v>0</v>
      </c>
      <c r="AH165" s="5">
        <f t="shared" ref="AH165:AH228" si="78">IF(N165&lt;=30,0,(N165-30)*2.5)</f>
        <v>0</v>
      </c>
      <c r="AI165" s="5">
        <f t="shared" ref="AI165:AI228" si="79">IF(O165&lt;=30,0,(O165-30)*2.5)</f>
        <v>0</v>
      </c>
      <c r="AJ165" s="5">
        <f t="shared" ref="AJ165:AJ228" si="80">IF(P165&lt;=30,0,(P165-30)*2.5)</f>
        <v>0</v>
      </c>
      <c r="AK165" s="5">
        <f t="shared" ref="AK165:AK228" si="81">IF(Q165&lt;=30,0,(Q165-30)*2.5)</f>
        <v>0</v>
      </c>
      <c r="AL165" s="5">
        <f t="shared" ref="AL165:AL228" si="82">IF(R165&lt;=30,0,(R165-30)*2.5)</f>
        <v>0</v>
      </c>
      <c r="AM165" s="6">
        <f t="shared" si="66"/>
        <v>0</v>
      </c>
    </row>
    <row r="166" spans="1:39" x14ac:dyDescent="0.25">
      <c r="A166" s="4" t="s">
        <v>170</v>
      </c>
      <c r="B166" s="4" t="s">
        <v>171</v>
      </c>
      <c r="C166" s="4" t="s">
        <v>167</v>
      </c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3"/>
      <c r="P166" s="3"/>
      <c r="Q166" s="3"/>
      <c r="R166" s="3"/>
      <c r="S166" s="6">
        <f t="shared" si="65"/>
        <v>0</v>
      </c>
      <c r="T166">
        <v>1</v>
      </c>
      <c r="U166" s="4" t="s">
        <v>170</v>
      </c>
      <c r="V166" s="4" t="s">
        <v>171</v>
      </c>
      <c r="W166" s="4" t="s">
        <v>167</v>
      </c>
      <c r="X166" s="5">
        <f t="shared" si="68"/>
        <v>0</v>
      </c>
      <c r="Y166" s="5">
        <f t="shared" si="69"/>
        <v>0</v>
      </c>
      <c r="Z166" s="5">
        <f t="shared" si="70"/>
        <v>0</v>
      </c>
      <c r="AA166" s="5">
        <f t="shared" si="71"/>
        <v>0</v>
      </c>
      <c r="AB166" s="5">
        <f t="shared" si="72"/>
        <v>0</v>
      </c>
      <c r="AC166" s="5">
        <f t="shared" si="73"/>
        <v>0</v>
      </c>
      <c r="AD166" s="5">
        <f t="shared" si="74"/>
        <v>0</v>
      </c>
      <c r="AE166" s="5">
        <f t="shared" si="75"/>
        <v>0</v>
      </c>
      <c r="AF166" s="5">
        <f t="shared" si="76"/>
        <v>0</v>
      </c>
      <c r="AG166" s="5">
        <f t="shared" si="77"/>
        <v>0</v>
      </c>
      <c r="AH166" s="5">
        <f t="shared" si="78"/>
        <v>0</v>
      </c>
      <c r="AI166" s="5">
        <f t="shared" si="79"/>
        <v>0</v>
      </c>
      <c r="AJ166" s="5">
        <f t="shared" si="80"/>
        <v>0</v>
      </c>
      <c r="AK166" s="5">
        <f t="shared" si="81"/>
        <v>0</v>
      </c>
      <c r="AL166" s="5">
        <f t="shared" si="82"/>
        <v>0</v>
      </c>
      <c r="AM166" s="6">
        <f t="shared" si="66"/>
        <v>0</v>
      </c>
    </row>
    <row r="167" spans="1:39" x14ac:dyDescent="0.25">
      <c r="A167" s="4" t="s">
        <v>172</v>
      </c>
      <c r="B167" s="4" t="s">
        <v>173</v>
      </c>
      <c r="C167" s="4" t="s">
        <v>167</v>
      </c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3"/>
      <c r="P167" s="3"/>
      <c r="Q167" s="3"/>
      <c r="R167" s="3"/>
      <c r="S167" s="6">
        <f t="shared" si="65"/>
        <v>0</v>
      </c>
      <c r="T167">
        <v>1</v>
      </c>
      <c r="U167" s="4" t="s">
        <v>172</v>
      </c>
      <c r="V167" s="4" t="s">
        <v>173</v>
      </c>
      <c r="W167" s="4" t="s">
        <v>167</v>
      </c>
      <c r="X167" s="5">
        <f t="shared" si="68"/>
        <v>0</v>
      </c>
      <c r="Y167" s="5">
        <f t="shared" si="69"/>
        <v>0</v>
      </c>
      <c r="Z167" s="5">
        <f t="shared" si="70"/>
        <v>0</v>
      </c>
      <c r="AA167" s="5">
        <f t="shared" si="71"/>
        <v>0</v>
      </c>
      <c r="AB167" s="5">
        <f t="shared" si="72"/>
        <v>0</v>
      </c>
      <c r="AC167" s="5">
        <f t="shared" si="73"/>
        <v>0</v>
      </c>
      <c r="AD167" s="5">
        <f t="shared" si="74"/>
        <v>0</v>
      </c>
      <c r="AE167" s="5">
        <f t="shared" si="75"/>
        <v>0</v>
      </c>
      <c r="AF167" s="5">
        <f t="shared" si="76"/>
        <v>0</v>
      </c>
      <c r="AG167" s="5">
        <f t="shared" si="77"/>
        <v>0</v>
      </c>
      <c r="AH167" s="5">
        <f t="shared" si="78"/>
        <v>0</v>
      </c>
      <c r="AI167" s="5">
        <f t="shared" si="79"/>
        <v>0</v>
      </c>
      <c r="AJ167" s="5">
        <f t="shared" si="80"/>
        <v>0</v>
      </c>
      <c r="AK167" s="5">
        <f t="shared" si="81"/>
        <v>0</v>
      </c>
      <c r="AL167" s="5">
        <f t="shared" si="82"/>
        <v>0</v>
      </c>
      <c r="AM167" s="6">
        <f t="shared" si="66"/>
        <v>0</v>
      </c>
    </row>
    <row r="168" spans="1:39" x14ac:dyDescent="0.25">
      <c r="A168" s="4" t="s">
        <v>174</v>
      </c>
      <c r="B168" s="4" t="s">
        <v>175</v>
      </c>
      <c r="C168" s="4" t="s">
        <v>167</v>
      </c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3"/>
      <c r="P168" s="3"/>
      <c r="Q168" s="3"/>
      <c r="R168" s="3"/>
      <c r="S168" s="6">
        <f t="shared" si="65"/>
        <v>0</v>
      </c>
      <c r="T168">
        <v>1</v>
      </c>
      <c r="U168" s="4" t="s">
        <v>174</v>
      </c>
      <c r="V168" s="4" t="s">
        <v>175</v>
      </c>
      <c r="W168" s="4" t="s">
        <v>167</v>
      </c>
      <c r="X168" s="5">
        <f t="shared" si="68"/>
        <v>0</v>
      </c>
      <c r="Y168" s="5">
        <f t="shared" si="69"/>
        <v>0</v>
      </c>
      <c r="Z168" s="5">
        <f t="shared" si="70"/>
        <v>0</v>
      </c>
      <c r="AA168" s="5">
        <f t="shared" si="71"/>
        <v>0</v>
      </c>
      <c r="AB168" s="5">
        <f t="shared" si="72"/>
        <v>0</v>
      </c>
      <c r="AC168" s="5">
        <f t="shared" si="73"/>
        <v>0</v>
      </c>
      <c r="AD168" s="5">
        <f t="shared" si="74"/>
        <v>0</v>
      </c>
      <c r="AE168" s="5">
        <f t="shared" si="75"/>
        <v>0</v>
      </c>
      <c r="AF168" s="5">
        <f t="shared" si="76"/>
        <v>0</v>
      </c>
      <c r="AG168" s="5">
        <f t="shared" si="77"/>
        <v>0</v>
      </c>
      <c r="AH168" s="5">
        <f t="shared" si="78"/>
        <v>0</v>
      </c>
      <c r="AI168" s="5">
        <f t="shared" si="79"/>
        <v>0</v>
      </c>
      <c r="AJ168" s="5">
        <f t="shared" si="80"/>
        <v>0</v>
      </c>
      <c r="AK168" s="5">
        <f t="shared" si="81"/>
        <v>0</v>
      </c>
      <c r="AL168" s="5">
        <f t="shared" si="82"/>
        <v>0</v>
      </c>
      <c r="AM168" s="6">
        <f t="shared" si="66"/>
        <v>0</v>
      </c>
    </row>
    <row r="169" spans="1:39" x14ac:dyDescent="0.25">
      <c r="A169" s="4" t="s">
        <v>176</v>
      </c>
      <c r="B169" s="4" t="s">
        <v>177</v>
      </c>
      <c r="C169" s="4" t="s">
        <v>167</v>
      </c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3"/>
      <c r="P169" s="3"/>
      <c r="Q169" s="3"/>
      <c r="R169" s="3"/>
      <c r="S169" s="6">
        <f t="shared" si="65"/>
        <v>0</v>
      </c>
      <c r="T169">
        <v>1</v>
      </c>
      <c r="U169" s="4" t="s">
        <v>176</v>
      </c>
      <c r="V169" s="4" t="s">
        <v>177</v>
      </c>
      <c r="W169" s="4" t="s">
        <v>167</v>
      </c>
      <c r="X169" s="5">
        <f t="shared" si="68"/>
        <v>0</v>
      </c>
      <c r="Y169" s="5">
        <f t="shared" si="69"/>
        <v>0</v>
      </c>
      <c r="Z169" s="5">
        <f t="shared" si="70"/>
        <v>0</v>
      </c>
      <c r="AA169" s="5">
        <f t="shared" si="71"/>
        <v>0</v>
      </c>
      <c r="AB169" s="5">
        <f t="shared" si="72"/>
        <v>0</v>
      </c>
      <c r="AC169" s="5">
        <f t="shared" si="73"/>
        <v>0</v>
      </c>
      <c r="AD169" s="5">
        <f t="shared" si="74"/>
        <v>0</v>
      </c>
      <c r="AE169" s="5">
        <f t="shared" si="75"/>
        <v>0</v>
      </c>
      <c r="AF169" s="5">
        <f t="shared" si="76"/>
        <v>0</v>
      </c>
      <c r="AG169" s="5">
        <f t="shared" si="77"/>
        <v>0</v>
      </c>
      <c r="AH169" s="5">
        <f t="shared" si="78"/>
        <v>0</v>
      </c>
      <c r="AI169" s="5">
        <f t="shared" si="79"/>
        <v>0</v>
      </c>
      <c r="AJ169" s="5">
        <f t="shared" si="80"/>
        <v>0</v>
      </c>
      <c r="AK169" s="5">
        <f t="shared" si="81"/>
        <v>0</v>
      </c>
      <c r="AL169" s="5">
        <f t="shared" si="82"/>
        <v>0</v>
      </c>
      <c r="AM169" s="6">
        <f t="shared" si="66"/>
        <v>0</v>
      </c>
    </row>
    <row r="170" spans="1:39" x14ac:dyDescent="0.25">
      <c r="A170" s="4" t="s">
        <v>178</v>
      </c>
      <c r="B170" s="4" t="s">
        <v>179</v>
      </c>
      <c r="C170" s="4" t="s">
        <v>167</v>
      </c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3"/>
      <c r="P170" s="3"/>
      <c r="Q170" s="3"/>
      <c r="R170" s="3"/>
      <c r="S170" s="6">
        <f t="shared" si="65"/>
        <v>0</v>
      </c>
      <c r="T170">
        <v>1</v>
      </c>
      <c r="U170" s="4" t="s">
        <v>178</v>
      </c>
      <c r="V170" s="4" t="s">
        <v>179</v>
      </c>
      <c r="W170" s="4" t="s">
        <v>167</v>
      </c>
      <c r="X170" s="5">
        <f t="shared" si="68"/>
        <v>0</v>
      </c>
      <c r="Y170" s="5">
        <f t="shared" si="69"/>
        <v>0</v>
      </c>
      <c r="Z170" s="5">
        <f t="shared" si="70"/>
        <v>0</v>
      </c>
      <c r="AA170" s="5">
        <f t="shared" si="71"/>
        <v>0</v>
      </c>
      <c r="AB170" s="5">
        <f t="shared" si="72"/>
        <v>0</v>
      </c>
      <c r="AC170" s="5">
        <f t="shared" si="73"/>
        <v>0</v>
      </c>
      <c r="AD170" s="5">
        <f t="shared" si="74"/>
        <v>0</v>
      </c>
      <c r="AE170" s="5">
        <f t="shared" si="75"/>
        <v>0</v>
      </c>
      <c r="AF170" s="5">
        <f t="shared" si="76"/>
        <v>0</v>
      </c>
      <c r="AG170" s="5">
        <f t="shared" si="77"/>
        <v>0</v>
      </c>
      <c r="AH170" s="5">
        <f t="shared" si="78"/>
        <v>0</v>
      </c>
      <c r="AI170" s="5">
        <f t="shared" si="79"/>
        <v>0</v>
      </c>
      <c r="AJ170" s="5">
        <f t="shared" si="80"/>
        <v>0</v>
      </c>
      <c r="AK170" s="5">
        <f t="shared" si="81"/>
        <v>0</v>
      </c>
      <c r="AL170" s="5">
        <f t="shared" si="82"/>
        <v>0</v>
      </c>
      <c r="AM170" s="6">
        <f t="shared" si="66"/>
        <v>0</v>
      </c>
    </row>
    <row r="171" spans="1:39" x14ac:dyDescent="0.25">
      <c r="A171" s="4" t="s">
        <v>180</v>
      </c>
      <c r="B171" s="4" t="s">
        <v>181</v>
      </c>
      <c r="C171" s="4" t="s">
        <v>167</v>
      </c>
      <c r="D171" s="5"/>
      <c r="E171" s="6"/>
      <c r="F171" s="6">
        <v>3</v>
      </c>
      <c r="G171" s="6">
        <v>10.5</v>
      </c>
      <c r="H171" s="6">
        <v>25.5</v>
      </c>
      <c r="I171" s="6">
        <v>33</v>
      </c>
      <c r="J171" s="6"/>
      <c r="K171" s="6"/>
      <c r="L171" s="6"/>
      <c r="M171" s="6"/>
      <c r="N171" s="6"/>
      <c r="O171" s="3"/>
      <c r="P171" s="3"/>
      <c r="Q171" s="3"/>
      <c r="R171" s="3"/>
      <c r="S171" s="6">
        <f t="shared" si="65"/>
        <v>72</v>
      </c>
      <c r="T171">
        <v>1</v>
      </c>
      <c r="U171" s="4" t="s">
        <v>180</v>
      </c>
      <c r="V171" s="4" t="s">
        <v>181</v>
      </c>
      <c r="W171" s="4" t="s">
        <v>167</v>
      </c>
      <c r="X171" s="5">
        <f t="shared" si="68"/>
        <v>0</v>
      </c>
      <c r="Y171" s="5">
        <f t="shared" si="69"/>
        <v>0</v>
      </c>
      <c r="Z171" s="5">
        <f t="shared" si="70"/>
        <v>0</v>
      </c>
      <c r="AA171" s="5">
        <f t="shared" si="71"/>
        <v>0</v>
      </c>
      <c r="AB171" s="5">
        <f t="shared" si="72"/>
        <v>0</v>
      </c>
      <c r="AC171" s="5">
        <f t="shared" si="73"/>
        <v>7.5</v>
      </c>
      <c r="AD171" s="5">
        <f t="shared" si="74"/>
        <v>0</v>
      </c>
      <c r="AE171" s="5">
        <f t="shared" si="75"/>
        <v>0</v>
      </c>
      <c r="AF171" s="5">
        <f t="shared" si="76"/>
        <v>0</v>
      </c>
      <c r="AG171" s="5">
        <f t="shared" si="77"/>
        <v>0</v>
      </c>
      <c r="AH171" s="5">
        <f t="shared" si="78"/>
        <v>0</v>
      </c>
      <c r="AI171" s="5">
        <f t="shared" si="79"/>
        <v>0</v>
      </c>
      <c r="AJ171" s="5">
        <f t="shared" si="80"/>
        <v>0</v>
      </c>
      <c r="AK171" s="5">
        <f t="shared" si="81"/>
        <v>0</v>
      </c>
      <c r="AL171" s="5">
        <f t="shared" si="82"/>
        <v>0</v>
      </c>
      <c r="AM171" s="6">
        <f t="shared" si="66"/>
        <v>7.5</v>
      </c>
    </row>
    <row r="172" spans="1:39" x14ac:dyDescent="0.25">
      <c r="A172" s="4" t="s">
        <v>182</v>
      </c>
      <c r="B172" s="4" t="s">
        <v>183</v>
      </c>
      <c r="C172" s="4" t="s">
        <v>167</v>
      </c>
      <c r="D172" s="5"/>
      <c r="E172" s="6"/>
      <c r="F172" s="6"/>
      <c r="G172" s="6"/>
      <c r="H172" s="6"/>
      <c r="I172" s="6"/>
      <c r="J172" s="6"/>
      <c r="K172" s="6"/>
      <c r="L172" s="6">
        <v>6</v>
      </c>
      <c r="M172" s="6">
        <v>15</v>
      </c>
      <c r="N172" s="6"/>
      <c r="O172" s="3"/>
      <c r="P172" s="3"/>
      <c r="Q172" s="3"/>
      <c r="R172" s="3"/>
      <c r="S172" s="6">
        <f t="shared" si="65"/>
        <v>21</v>
      </c>
      <c r="T172">
        <v>1</v>
      </c>
      <c r="U172" s="4" t="s">
        <v>182</v>
      </c>
      <c r="V172" s="4" t="s">
        <v>183</v>
      </c>
      <c r="W172" s="4" t="s">
        <v>167</v>
      </c>
      <c r="X172" s="5">
        <f t="shared" si="68"/>
        <v>0</v>
      </c>
      <c r="Y172" s="5">
        <f t="shared" si="69"/>
        <v>0</v>
      </c>
      <c r="Z172" s="5">
        <f t="shared" si="70"/>
        <v>0</v>
      </c>
      <c r="AA172" s="5">
        <f t="shared" si="71"/>
        <v>0</v>
      </c>
      <c r="AB172" s="5">
        <f t="shared" si="72"/>
        <v>0</v>
      </c>
      <c r="AC172" s="5">
        <f t="shared" si="73"/>
        <v>0</v>
      </c>
      <c r="AD172" s="5">
        <f t="shared" si="74"/>
        <v>0</v>
      </c>
      <c r="AE172" s="5">
        <f t="shared" si="75"/>
        <v>0</v>
      </c>
      <c r="AF172" s="5">
        <f t="shared" si="76"/>
        <v>0</v>
      </c>
      <c r="AG172" s="5">
        <f t="shared" si="77"/>
        <v>0</v>
      </c>
      <c r="AH172" s="5">
        <f t="shared" si="78"/>
        <v>0</v>
      </c>
      <c r="AI172" s="5">
        <f t="shared" si="79"/>
        <v>0</v>
      </c>
      <c r="AJ172" s="5">
        <f t="shared" si="80"/>
        <v>0</v>
      </c>
      <c r="AK172" s="5">
        <f t="shared" si="81"/>
        <v>0</v>
      </c>
      <c r="AL172" s="5">
        <f t="shared" si="82"/>
        <v>0</v>
      </c>
      <c r="AM172" s="6">
        <f t="shared" si="66"/>
        <v>0</v>
      </c>
    </row>
    <row r="173" spans="1:39" x14ac:dyDescent="0.25">
      <c r="A173" s="4" t="s">
        <v>184</v>
      </c>
      <c r="B173" s="4" t="s">
        <v>185</v>
      </c>
      <c r="C173" s="4" t="s">
        <v>167</v>
      </c>
      <c r="D173" s="5"/>
      <c r="E173" s="6">
        <v>26.400000000000002</v>
      </c>
      <c r="F173" s="6">
        <v>22.5</v>
      </c>
      <c r="G173" s="6"/>
      <c r="H173" s="6">
        <v>21</v>
      </c>
      <c r="I173" s="6">
        <v>42</v>
      </c>
      <c r="J173" s="6">
        <v>51</v>
      </c>
      <c r="K173" s="6">
        <v>22.5</v>
      </c>
      <c r="L173" s="6">
        <v>27</v>
      </c>
      <c r="M173" s="6">
        <v>18</v>
      </c>
      <c r="N173" s="6"/>
      <c r="O173" s="3"/>
      <c r="P173" s="3"/>
      <c r="Q173" s="3"/>
      <c r="R173" s="3"/>
      <c r="S173" s="6">
        <f t="shared" si="65"/>
        <v>230.4</v>
      </c>
      <c r="T173">
        <v>1</v>
      </c>
      <c r="U173" s="4" t="s">
        <v>184</v>
      </c>
      <c r="V173" s="4" t="s">
        <v>185</v>
      </c>
      <c r="W173" s="4" t="s">
        <v>167</v>
      </c>
      <c r="X173" s="5">
        <f t="shared" si="68"/>
        <v>0</v>
      </c>
      <c r="Y173" s="5">
        <f t="shared" si="69"/>
        <v>3.5000000000000053</v>
      </c>
      <c r="Z173" s="5">
        <f t="shared" si="70"/>
        <v>0</v>
      </c>
      <c r="AA173" s="5">
        <f t="shared" si="71"/>
        <v>0</v>
      </c>
      <c r="AB173" s="5">
        <f t="shared" si="72"/>
        <v>0</v>
      </c>
      <c r="AC173" s="5">
        <f t="shared" si="73"/>
        <v>30</v>
      </c>
      <c r="AD173" s="5">
        <f t="shared" si="74"/>
        <v>52.5</v>
      </c>
      <c r="AE173" s="5">
        <f t="shared" si="75"/>
        <v>0</v>
      </c>
      <c r="AF173" s="5">
        <f t="shared" si="76"/>
        <v>0</v>
      </c>
      <c r="AG173" s="5">
        <f t="shared" si="77"/>
        <v>0</v>
      </c>
      <c r="AH173" s="5">
        <f t="shared" si="78"/>
        <v>0</v>
      </c>
      <c r="AI173" s="5">
        <f t="shared" si="79"/>
        <v>0</v>
      </c>
      <c r="AJ173" s="5">
        <f t="shared" si="80"/>
        <v>0</v>
      </c>
      <c r="AK173" s="5">
        <f t="shared" si="81"/>
        <v>0</v>
      </c>
      <c r="AL173" s="5">
        <f t="shared" si="82"/>
        <v>0</v>
      </c>
      <c r="AM173" s="6">
        <f t="shared" si="66"/>
        <v>86</v>
      </c>
    </row>
    <row r="174" spans="1:39" x14ac:dyDescent="0.25">
      <c r="A174" s="4" t="s">
        <v>186</v>
      </c>
      <c r="B174" s="4" t="s">
        <v>187</v>
      </c>
      <c r="C174" s="4" t="s">
        <v>167</v>
      </c>
      <c r="D174" s="5">
        <v>21</v>
      </c>
      <c r="E174" s="6"/>
      <c r="F174" s="6">
        <v>25.5</v>
      </c>
      <c r="G174" s="6"/>
      <c r="H174" s="6">
        <v>9</v>
      </c>
      <c r="I174" s="6">
        <v>12</v>
      </c>
      <c r="J174" s="6">
        <v>42</v>
      </c>
      <c r="K174" s="6">
        <v>30</v>
      </c>
      <c r="L174" s="6">
        <v>27</v>
      </c>
      <c r="M174" s="6">
        <v>16.5</v>
      </c>
      <c r="N174" s="6"/>
      <c r="O174" s="3"/>
      <c r="P174" s="3"/>
      <c r="Q174" s="3"/>
      <c r="R174" s="3"/>
      <c r="S174" s="6">
        <f t="shared" si="65"/>
        <v>183</v>
      </c>
      <c r="T174">
        <v>1</v>
      </c>
      <c r="U174" s="4" t="s">
        <v>186</v>
      </c>
      <c r="V174" s="4" t="s">
        <v>187</v>
      </c>
      <c r="W174" s="4" t="s">
        <v>167</v>
      </c>
      <c r="X174" s="5">
        <f t="shared" si="68"/>
        <v>0</v>
      </c>
      <c r="Y174" s="5">
        <f t="shared" si="69"/>
        <v>0</v>
      </c>
      <c r="Z174" s="5">
        <f t="shared" si="70"/>
        <v>1.25</v>
      </c>
      <c r="AA174" s="5">
        <f t="shared" si="71"/>
        <v>0</v>
      </c>
      <c r="AB174" s="5">
        <f t="shared" si="72"/>
        <v>0</v>
      </c>
      <c r="AC174" s="5">
        <f t="shared" si="73"/>
        <v>0</v>
      </c>
      <c r="AD174" s="5">
        <f t="shared" si="74"/>
        <v>30</v>
      </c>
      <c r="AE174" s="5">
        <f t="shared" si="75"/>
        <v>12.5</v>
      </c>
      <c r="AF174" s="5">
        <f t="shared" si="76"/>
        <v>0</v>
      </c>
      <c r="AG174" s="5">
        <f t="shared" si="77"/>
        <v>0</v>
      </c>
      <c r="AH174" s="5">
        <f t="shared" si="78"/>
        <v>0</v>
      </c>
      <c r="AI174" s="5">
        <f t="shared" si="79"/>
        <v>0</v>
      </c>
      <c r="AJ174" s="5">
        <f t="shared" si="80"/>
        <v>0</v>
      </c>
      <c r="AK174" s="5">
        <f t="shared" si="81"/>
        <v>0</v>
      </c>
      <c r="AL174" s="5">
        <f t="shared" si="82"/>
        <v>0</v>
      </c>
      <c r="AM174" s="6">
        <f t="shared" si="66"/>
        <v>43.75</v>
      </c>
    </row>
    <row r="175" spans="1:39" x14ac:dyDescent="0.25">
      <c r="A175" s="4" t="s">
        <v>188</v>
      </c>
      <c r="B175" s="4" t="s">
        <v>189</v>
      </c>
      <c r="C175" s="4" t="s">
        <v>167</v>
      </c>
      <c r="D175" s="5"/>
      <c r="E175" s="6">
        <v>26.4</v>
      </c>
      <c r="F175" s="6"/>
      <c r="G175" s="6"/>
      <c r="H175" s="6">
        <v>25.5</v>
      </c>
      <c r="I175" s="6">
        <v>27</v>
      </c>
      <c r="J175" s="6"/>
      <c r="K175" s="6"/>
      <c r="L175" s="6">
        <v>30</v>
      </c>
      <c r="M175" s="6">
        <v>21</v>
      </c>
      <c r="N175" s="6"/>
      <c r="O175" s="3"/>
      <c r="P175" s="3"/>
      <c r="Q175" s="3"/>
      <c r="R175" s="3"/>
      <c r="S175" s="6">
        <f t="shared" si="65"/>
        <v>129.9</v>
      </c>
      <c r="T175">
        <v>1</v>
      </c>
      <c r="U175" s="4" t="s">
        <v>188</v>
      </c>
      <c r="V175" s="4" t="s">
        <v>189</v>
      </c>
      <c r="W175" s="4" t="s">
        <v>167</v>
      </c>
      <c r="X175" s="5">
        <f t="shared" si="68"/>
        <v>0</v>
      </c>
      <c r="Y175" s="5">
        <f t="shared" si="69"/>
        <v>3.4999999999999964</v>
      </c>
      <c r="Z175" s="5">
        <f t="shared" si="70"/>
        <v>0</v>
      </c>
      <c r="AA175" s="5">
        <f t="shared" si="71"/>
        <v>0</v>
      </c>
      <c r="AB175" s="5">
        <f t="shared" si="72"/>
        <v>0</v>
      </c>
      <c r="AC175" s="5">
        <f t="shared" si="73"/>
        <v>0</v>
      </c>
      <c r="AD175" s="5">
        <f t="shared" si="74"/>
        <v>0</v>
      </c>
      <c r="AE175" s="5">
        <f t="shared" si="75"/>
        <v>0</v>
      </c>
      <c r="AF175" s="5">
        <f t="shared" si="76"/>
        <v>0</v>
      </c>
      <c r="AG175" s="5">
        <f t="shared" si="77"/>
        <v>0</v>
      </c>
      <c r="AH175" s="5">
        <f t="shared" si="78"/>
        <v>0</v>
      </c>
      <c r="AI175" s="5">
        <f t="shared" si="79"/>
        <v>0</v>
      </c>
      <c r="AJ175" s="5">
        <f t="shared" si="80"/>
        <v>0</v>
      </c>
      <c r="AK175" s="5">
        <f t="shared" si="81"/>
        <v>0</v>
      </c>
      <c r="AL175" s="5">
        <f t="shared" si="82"/>
        <v>0</v>
      </c>
      <c r="AM175" s="6">
        <f t="shared" si="66"/>
        <v>3.4999999999999964</v>
      </c>
    </row>
    <row r="176" spans="1:39" x14ac:dyDescent="0.25">
      <c r="A176" s="4" t="s">
        <v>190</v>
      </c>
      <c r="B176" s="4" t="s">
        <v>191</v>
      </c>
      <c r="C176" s="4" t="s">
        <v>167</v>
      </c>
      <c r="D176" s="5">
        <v>15</v>
      </c>
      <c r="E176" s="6">
        <v>33</v>
      </c>
      <c r="F176" s="6">
        <v>24</v>
      </c>
      <c r="G176" s="6"/>
      <c r="H176" s="6">
        <v>22.5</v>
      </c>
      <c r="I176" s="6">
        <v>40.5</v>
      </c>
      <c r="J176" s="6"/>
      <c r="K176" s="6">
        <v>37.5</v>
      </c>
      <c r="L176" s="6">
        <v>33</v>
      </c>
      <c r="M176" s="6">
        <v>24</v>
      </c>
      <c r="N176" s="6"/>
      <c r="O176" s="3"/>
      <c r="P176" s="3"/>
      <c r="Q176" s="3"/>
      <c r="R176" s="3"/>
      <c r="S176" s="6">
        <f t="shared" si="65"/>
        <v>229.5</v>
      </c>
      <c r="T176">
        <v>1</v>
      </c>
      <c r="U176" s="4" t="s">
        <v>190</v>
      </c>
      <c r="V176" s="4" t="s">
        <v>191</v>
      </c>
      <c r="W176" s="4" t="s">
        <v>167</v>
      </c>
      <c r="X176" s="5">
        <f t="shared" si="68"/>
        <v>0</v>
      </c>
      <c r="Y176" s="5">
        <f t="shared" si="69"/>
        <v>20</v>
      </c>
      <c r="Z176" s="5">
        <f t="shared" si="70"/>
        <v>0</v>
      </c>
      <c r="AA176" s="5">
        <f t="shared" si="71"/>
        <v>0</v>
      </c>
      <c r="AB176" s="5">
        <f t="shared" si="72"/>
        <v>0</v>
      </c>
      <c r="AC176" s="5">
        <f t="shared" si="73"/>
        <v>26.25</v>
      </c>
      <c r="AD176" s="5">
        <f t="shared" si="74"/>
        <v>0</v>
      </c>
      <c r="AE176" s="5">
        <f t="shared" si="75"/>
        <v>31.25</v>
      </c>
      <c r="AF176" s="5">
        <f t="shared" si="76"/>
        <v>7.5</v>
      </c>
      <c r="AG176" s="5">
        <f t="shared" si="77"/>
        <v>0</v>
      </c>
      <c r="AH176" s="5">
        <f t="shared" si="78"/>
        <v>0</v>
      </c>
      <c r="AI176" s="5">
        <f t="shared" si="79"/>
        <v>0</v>
      </c>
      <c r="AJ176" s="5">
        <f t="shared" si="80"/>
        <v>0</v>
      </c>
      <c r="AK176" s="5">
        <f t="shared" si="81"/>
        <v>0</v>
      </c>
      <c r="AL176" s="5">
        <f t="shared" si="82"/>
        <v>0</v>
      </c>
      <c r="AM176" s="6">
        <f t="shared" si="66"/>
        <v>85</v>
      </c>
    </row>
    <row r="177" spans="1:39" x14ac:dyDescent="0.25">
      <c r="A177" s="4" t="s">
        <v>467</v>
      </c>
      <c r="B177" s="4" t="s">
        <v>468</v>
      </c>
      <c r="C177" s="4" t="s">
        <v>167</v>
      </c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3"/>
      <c r="P177" s="3"/>
      <c r="Q177" s="3"/>
      <c r="R177" s="3"/>
      <c r="S177" s="6">
        <f t="shared" si="65"/>
        <v>0</v>
      </c>
      <c r="T177">
        <v>1</v>
      </c>
      <c r="U177" s="4" t="s">
        <v>467</v>
      </c>
      <c r="V177" s="4" t="s">
        <v>468</v>
      </c>
      <c r="W177" s="4" t="s">
        <v>167</v>
      </c>
      <c r="X177" s="5">
        <f t="shared" si="68"/>
        <v>0</v>
      </c>
      <c r="Y177" s="5">
        <f t="shared" si="69"/>
        <v>0</v>
      </c>
      <c r="Z177" s="5">
        <f t="shared" si="70"/>
        <v>0</v>
      </c>
      <c r="AA177" s="5">
        <f t="shared" si="71"/>
        <v>0</v>
      </c>
      <c r="AB177" s="5">
        <f t="shared" si="72"/>
        <v>0</v>
      </c>
      <c r="AC177" s="5">
        <f t="shared" si="73"/>
        <v>0</v>
      </c>
      <c r="AD177" s="5">
        <f t="shared" si="74"/>
        <v>0</v>
      </c>
      <c r="AE177" s="5">
        <f t="shared" si="75"/>
        <v>0</v>
      </c>
      <c r="AF177" s="5">
        <f t="shared" si="76"/>
        <v>0</v>
      </c>
      <c r="AG177" s="5">
        <f t="shared" si="77"/>
        <v>0</v>
      </c>
      <c r="AH177" s="5">
        <f t="shared" si="78"/>
        <v>0</v>
      </c>
      <c r="AI177" s="5">
        <f t="shared" si="79"/>
        <v>0</v>
      </c>
      <c r="AJ177" s="5">
        <f t="shared" si="80"/>
        <v>0</v>
      </c>
      <c r="AK177" s="5">
        <f t="shared" si="81"/>
        <v>0</v>
      </c>
      <c r="AL177" s="5">
        <f t="shared" si="82"/>
        <v>0</v>
      </c>
      <c r="AM177" s="6">
        <f t="shared" si="66"/>
        <v>0</v>
      </c>
    </row>
    <row r="178" spans="1:39" x14ac:dyDescent="0.25">
      <c r="A178" s="4" t="s">
        <v>387</v>
      </c>
      <c r="B178" s="4" t="s">
        <v>388</v>
      </c>
      <c r="C178" s="4" t="s">
        <v>167</v>
      </c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3"/>
      <c r="P178" s="5"/>
      <c r="Q178" s="3"/>
      <c r="R178" s="3"/>
      <c r="S178" s="6">
        <f t="shared" si="65"/>
        <v>0</v>
      </c>
      <c r="T178">
        <v>1</v>
      </c>
      <c r="U178" s="4" t="s">
        <v>387</v>
      </c>
      <c r="V178" s="4" t="s">
        <v>388</v>
      </c>
      <c r="W178" s="4" t="s">
        <v>167</v>
      </c>
      <c r="X178" s="5">
        <f t="shared" si="68"/>
        <v>0</v>
      </c>
      <c r="Y178" s="5">
        <f t="shared" si="69"/>
        <v>0</v>
      </c>
      <c r="Z178" s="5">
        <f t="shared" si="70"/>
        <v>0</v>
      </c>
      <c r="AA178" s="5">
        <f t="shared" si="71"/>
        <v>0</v>
      </c>
      <c r="AB178" s="5">
        <f t="shared" si="72"/>
        <v>0</v>
      </c>
      <c r="AC178" s="5">
        <f t="shared" si="73"/>
        <v>0</v>
      </c>
      <c r="AD178" s="5">
        <f t="shared" si="74"/>
        <v>0</v>
      </c>
      <c r="AE178" s="5">
        <f t="shared" si="75"/>
        <v>0</v>
      </c>
      <c r="AF178" s="5">
        <f t="shared" si="76"/>
        <v>0</v>
      </c>
      <c r="AG178" s="5">
        <f t="shared" si="77"/>
        <v>0</v>
      </c>
      <c r="AH178" s="5">
        <f t="shared" si="78"/>
        <v>0</v>
      </c>
      <c r="AI178" s="5">
        <f t="shared" si="79"/>
        <v>0</v>
      </c>
      <c r="AJ178" s="5">
        <f t="shared" si="80"/>
        <v>0</v>
      </c>
      <c r="AK178" s="5">
        <f t="shared" si="81"/>
        <v>0</v>
      </c>
      <c r="AL178" s="5">
        <f t="shared" si="82"/>
        <v>0</v>
      </c>
      <c r="AM178" s="6">
        <f t="shared" si="66"/>
        <v>0</v>
      </c>
    </row>
    <row r="179" spans="1:39" x14ac:dyDescent="0.25">
      <c r="A179" s="4" t="s">
        <v>465</v>
      </c>
      <c r="B179" s="4" t="s">
        <v>466</v>
      </c>
      <c r="C179" s="4" t="s">
        <v>167</v>
      </c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3"/>
      <c r="P179" s="3"/>
      <c r="Q179" s="3"/>
      <c r="R179" s="3"/>
      <c r="S179" s="6">
        <f t="shared" si="65"/>
        <v>0</v>
      </c>
      <c r="T179">
        <v>1</v>
      </c>
      <c r="U179" s="4" t="s">
        <v>465</v>
      </c>
      <c r="V179" s="4" t="s">
        <v>466</v>
      </c>
      <c r="W179" s="4" t="s">
        <v>167</v>
      </c>
      <c r="X179" s="5">
        <f t="shared" si="68"/>
        <v>0</v>
      </c>
      <c r="Y179" s="5">
        <f t="shared" si="69"/>
        <v>0</v>
      </c>
      <c r="Z179" s="5">
        <f t="shared" si="70"/>
        <v>0</v>
      </c>
      <c r="AA179" s="5">
        <f t="shared" si="71"/>
        <v>0</v>
      </c>
      <c r="AB179" s="5">
        <f t="shared" si="72"/>
        <v>0</v>
      </c>
      <c r="AC179" s="5">
        <f t="shared" si="73"/>
        <v>0</v>
      </c>
      <c r="AD179" s="5">
        <f t="shared" si="74"/>
        <v>0</v>
      </c>
      <c r="AE179" s="5">
        <f t="shared" si="75"/>
        <v>0</v>
      </c>
      <c r="AF179" s="5">
        <f t="shared" si="76"/>
        <v>0</v>
      </c>
      <c r="AG179" s="5">
        <f t="shared" si="77"/>
        <v>0</v>
      </c>
      <c r="AH179" s="5">
        <f t="shared" si="78"/>
        <v>0</v>
      </c>
      <c r="AI179" s="5">
        <f t="shared" si="79"/>
        <v>0</v>
      </c>
      <c r="AJ179" s="5">
        <f t="shared" si="80"/>
        <v>0</v>
      </c>
      <c r="AK179" s="5">
        <f t="shared" si="81"/>
        <v>0</v>
      </c>
      <c r="AL179" s="5">
        <f t="shared" si="82"/>
        <v>0</v>
      </c>
      <c r="AM179" s="6">
        <f t="shared" si="66"/>
        <v>0</v>
      </c>
    </row>
    <row r="180" spans="1:39" x14ac:dyDescent="0.25">
      <c r="A180" s="4" t="s">
        <v>192</v>
      </c>
      <c r="B180" s="4" t="s">
        <v>193</v>
      </c>
      <c r="C180" s="4" t="s">
        <v>167</v>
      </c>
      <c r="D180" s="5">
        <v>24</v>
      </c>
      <c r="E180" s="6">
        <v>39.6</v>
      </c>
      <c r="F180" s="6">
        <v>28.5</v>
      </c>
      <c r="G180" s="6"/>
      <c r="H180" s="6"/>
      <c r="I180" s="6">
        <v>48</v>
      </c>
      <c r="J180" s="6">
        <v>45</v>
      </c>
      <c r="K180" s="6"/>
      <c r="L180" s="6"/>
      <c r="M180" s="6"/>
      <c r="N180" s="6"/>
      <c r="O180" s="3"/>
      <c r="P180" s="3"/>
      <c r="Q180" s="3"/>
      <c r="R180" s="3"/>
      <c r="S180" s="6">
        <f t="shared" si="65"/>
        <v>185.1</v>
      </c>
      <c r="T180">
        <v>1</v>
      </c>
      <c r="U180" s="4" t="s">
        <v>192</v>
      </c>
      <c r="V180" s="4" t="s">
        <v>193</v>
      </c>
      <c r="W180" s="4" t="s">
        <v>167</v>
      </c>
      <c r="X180" s="5">
        <f t="shared" si="68"/>
        <v>0</v>
      </c>
      <c r="Y180" s="5">
        <f t="shared" si="69"/>
        <v>36.5</v>
      </c>
      <c r="Z180" s="5">
        <f t="shared" si="70"/>
        <v>8.75</v>
      </c>
      <c r="AA180" s="5">
        <f t="shared" si="71"/>
        <v>0</v>
      </c>
      <c r="AB180" s="5">
        <f t="shared" si="72"/>
        <v>0</v>
      </c>
      <c r="AC180" s="5">
        <f t="shared" si="73"/>
        <v>45</v>
      </c>
      <c r="AD180" s="5">
        <f t="shared" si="74"/>
        <v>37.5</v>
      </c>
      <c r="AE180" s="5">
        <f t="shared" si="75"/>
        <v>0</v>
      </c>
      <c r="AF180" s="5">
        <f t="shared" si="76"/>
        <v>0</v>
      </c>
      <c r="AG180" s="5">
        <f t="shared" si="77"/>
        <v>0</v>
      </c>
      <c r="AH180" s="5">
        <f t="shared" si="78"/>
        <v>0</v>
      </c>
      <c r="AI180" s="5">
        <f t="shared" si="79"/>
        <v>0</v>
      </c>
      <c r="AJ180" s="5">
        <f t="shared" si="80"/>
        <v>0</v>
      </c>
      <c r="AK180" s="5">
        <f t="shared" si="81"/>
        <v>0</v>
      </c>
      <c r="AL180" s="5">
        <f t="shared" si="82"/>
        <v>0</v>
      </c>
      <c r="AM180" s="6">
        <f t="shared" si="66"/>
        <v>127.75</v>
      </c>
    </row>
    <row r="181" spans="1:39" x14ac:dyDescent="0.25">
      <c r="A181" s="4" t="s">
        <v>194</v>
      </c>
      <c r="B181" s="4" t="s">
        <v>195</v>
      </c>
      <c r="C181" s="4" t="s">
        <v>167</v>
      </c>
      <c r="D181" s="5">
        <v>27</v>
      </c>
      <c r="E181" s="6">
        <v>35.200000000000003</v>
      </c>
      <c r="F181" s="6">
        <v>22.5</v>
      </c>
      <c r="G181" s="6">
        <v>21</v>
      </c>
      <c r="H181" s="6">
        <v>18</v>
      </c>
      <c r="I181" s="6">
        <v>49.5</v>
      </c>
      <c r="J181" s="6">
        <v>33</v>
      </c>
      <c r="K181" s="6">
        <v>30</v>
      </c>
      <c r="L181" s="6">
        <v>42</v>
      </c>
      <c r="M181" s="6">
        <v>30</v>
      </c>
      <c r="N181" s="6"/>
      <c r="O181" s="3"/>
      <c r="P181" s="3"/>
      <c r="Q181" s="3"/>
      <c r="R181" s="3"/>
      <c r="S181" s="6">
        <f t="shared" si="65"/>
        <v>308.2</v>
      </c>
      <c r="T181">
        <v>1</v>
      </c>
      <c r="U181" s="4" t="s">
        <v>194</v>
      </c>
      <c r="V181" s="4" t="s">
        <v>195</v>
      </c>
      <c r="W181" s="4" t="s">
        <v>167</v>
      </c>
      <c r="X181" s="5">
        <f t="shared" si="68"/>
        <v>0</v>
      </c>
      <c r="Y181" s="5">
        <f t="shared" si="69"/>
        <v>25.500000000000007</v>
      </c>
      <c r="Z181" s="5">
        <f t="shared" si="70"/>
        <v>0</v>
      </c>
      <c r="AA181" s="5">
        <f t="shared" si="71"/>
        <v>0</v>
      </c>
      <c r="AB181" s="5">
        <f t="shared" si="72"/>
        <v>0</v>
      </c>
      <c r="AC181" s="5">
        <f t="shared" si="73"/>
        <v>48.75</v>
      </c>
      <c r="AD181" s="5">
        <f t="shared" si="74"/>
        <v>7.5</v>
      </c>
      <c r="AE181" s="5">
        <f t="shared" si="75"/>
        <v>12.5</v>
      </c>
      <c r="AF181" s="5">
        <f t="shared" si="76"/>
        <v>30</v>
      </c>
      <c r="AG181" s="5">
        <f t="shared" si="77"/>
        <v>0</v>
      </c>
      <c r="AH181" s="5">
        <f t="shared" si="78"/>
        <v>0</v>
      </c>
      <c r="AI181" s="5">
        <f t="shared" si="79"/>
        <v>0</v>
      </c>
      <c r="AJ181" s="5">
        <f t="shared" si="80"/>
        <v>0</v>
      </c>
      <c r="AK181" s="5">
        <f t="shared" si="81"/>
        <v>0</v>
      </c>
      <c r="AL181" s="5">
        <f t="shared" si="82"/>
        <v>0</v>
      </c>
      <c r="AM181" s="6">
        <f t="shared" si="66"/>
        <v>124.25</v>
      </c>
    </row>
    <row r="182" spans="1:39" x14ac:dyDescent="0.25">
      <c r="A182" s="4" t="s">
        <v>196</v>
      </c>
      <c r="B182" s="4" t="s">
        <v>197</v>
      </c>
      <c r="C182" s="4" t="s">
        <v>167</v>
      </c>
      <c r="D182" s="5">
        <v>30</v>
      </c>
      <c r="E182" s="6">
        <v>37.400000000000006</v>
      </c>
      <c r="F182" s="6">
        <v>27</v>
      </c>
      <c r="G182" s="6"/>
      <c r="H182" s="6">
        <v>19.5</v>
      </c>
      <c r="I182" s="6">
        <v>42</v>
      </c>
      <c r="J182" s="6">
        <v>36</v>
      </c>
      <c r="K182" s="6">
        <v>37.5</v>
      </c>
      <c r="L182" s="6">
        <v>36</v>
      </c>
      <c r="M182" s="6">
        <v>34.5</v>
      </c>
      <c r="N182" s="6"/>
      <c r="O182" s="3"/>
      <c r="P182" s="3"/>
      <c r="Q182" s="3"/>
      <c r="R182" s="3"/>
      <c r="S182" s="6">
        <f t="shared" si="65"/>
        <v>299.89999999999998</v>
      </c>
      <c r="T182">
        <v>1</v>
      </c>
      <c r="U182" s="4" t="s">
        <v>196</v>
      </c>
      <c r="V182" s="4" t="s">
        <v>197</v>
      </c>
      <c r="W182" s="4" t="s">
        <v>167</v>
      </c>
      <c r="X182" s="5">
        <f t="shared" si="68"/>
        <v>0</v>
      </c>
      <c r="Y182" s="5">
        <f t="shared" si="69"/>
        <v>31.000000000000014</v>
      </c>
      <c r="Z182" s="5">
        <f t="shared" si="70"/>
        <v>5</v>
      </c>
      <c r="AA182" s="5">
        <f t="shared" si="71"/>
        <v>0</v>
      </c>
      <c r="AB182" s="5">
        <f t="shared" si="72"/>
        <v>0</v>
      </c>
      <c r="AC182" s="5">
        <f t="shared" si="73"/>
        <v>30</v>
      </c>
      <c r="AD182" s="5">
        <f t="shared" si="74"/>
        <v>15</v>
      </c>
      <c r="AE182" s="5">
        <f t="shared" si="75"/>
        <v>31.25</v>
      </c>
      <c r="AF182" s="5">
        <f t="shared" si="76"/>
        <v>15</v>
      </c>
      <c r="AG182" s="5">
        <f t="shared" si="77"/>
        <v>11.25</v>
      </c>
      <c r="AH182" s="5">
        <f t="shared" si="78"/>
        <v>0</v>
      </c>
      <c r="AI182" s="5">
        <f t="shared" si="79"/>
        <v>0</v>
      </c>
      <c r="AJ182" s="5">
        <f t="shared" si="80"/>
        <v>0</v>
      </c>
      <c r="AK182" s="5">
        <f t="shared" si="81"/>
        <v>0</v>
      </c>
      <c r="AL182" s="5">
        <f t="shared" si="82"/>
        <v>0</v>
      </c>
      <c r="AM182" s="6">
        <f t="shared" si="66"/>
        <v>138.5</v>
      </c>
    </row>
    <row r="183" spans="1:39" x14ac:dyDescent="0.25">
      <c r="A183" s="4" t="s">
        <v>198</v>
      </c>
      <c r="B183" s="4" t="s">
        <v>199</v>
      </c>
      <c r="C183" s="4" t="s">
        <v>167</v>
      </c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3"/>
      <c r="P183" s="3"/>
      <c r="Q183" s="3"/>
      <c r="R183" s="3"/>
      <c r="S183" s="6">
        <f t="shared" si="65"/>
        <v>0</v>
      </c>
      <c r="T183">
        <v>1</v>
      </c>
      <c r="U183" s="4" t="s">
        <v>198</v>
      </c>
      <c r="V183" s="4" t="s">
        <v>199</v>
      </c>
      <c r="W183" s="4" t="s">
        <v>167</v>
      </c>
      <c r="X183" s="5">
        <f t="shared" si="68"/>
        <v>0</v>
      </c>
      <c r="Y183" s="5">
        <f t="shared" si="69"/>
        <v>0</v>
      </c>
      <c r="Z183" s="5">
        <f t="shared" si="70"/>
        <v>0</v>
      </c>
      <c r="AA183" s="5">
        <f t="shared" si="71"/>
        <v>0</v>
      </c>
      <c r="AB183" s="5">
        <f t="shared" si="72"/>
        <v>0</v>
      </c>
      <c r="AC183" s="5">
        <f t="shared" si="73"/>
        <v>0</v>
      </c>
      <c r="AD183" s="5">
        <f t="shared" si="74"/>
        <v>0</v>
      </c>
      <c r="AE183" s="5">
        <f t="shared" si="75"/>
        <v>0</v>
      </c>
      <c r="AF183" s="5">
        <f t="shared" si="76"/>
        <v>0</v>
      </c>
      <c r="AG183" s="5">
        <f t="shared" si="77"/>
        <v>0</v>
      </c>
      <c r="AH183" s="5">
        <f t="shared" si="78"/>
        <v>0</v>
      </c>
      <c r="AI183" s="5">
        <f t="shared" si="79"/>
        <v>0</v>
      </c>
      <c r="AJ183" s="5">
        <f t="shared" si="80"/>
        <v>0</v>
      </c>
      <c r="AK183" s="5">
        <f t="shared" si="81"/>
        <v>0</v>
      </c>
      <c r="AL183" s="5">
        <f t="shared" si="82"/>
        <v>0</v>
      </c>
      <c r="AM183" s="6">
        <f t="shared" si="66"/>
        <v>0</v>
      </c>
    </row>
    <row r="184" spans="1:39" x14ac:dyDescent="0.25">
      <c r="A184" s="4" t="s">
        <v>200</v>
      </c>
      <c r="B184" s="4" t="s">
        <v>201</v>
      </c>
      <c r="C184" s="4" t="s">
        <v>167</v>
      </c>
      <c r="D184" s="5">
        <v>18</v>
      </c>
      <c r="E184" s="6"/>
      <c r="F184" s="6"/>
      <c r="G184" s="6"/>
      <c r="H184" s="6"/>
      <c r="I184" s="6">
        <v>21</v>
      </c>
      <c r="J184" s="6">
        <v>3</v>
      </c>
      <c r="K184" s="6"/>
      <c r="L184" s="6">
        <v>27</v>
      </c>
      <c r="M184" s="6"/>
      <c r="N184" s="6"/>
      <c r="O184" s="3"/>
      <c r="P184" s="3"/>
      <c r="Q184" s="3"/>
      <c r="R184" s="3"/>
      <c r="S184" s="6">
        <f t="shared" si="65"/>
        <v>69</v>
      </c>
      <c r="T184">
        <v>1</v>
      </c>
      <c r="U184" s="4" t="s">
        <v>200</v>
      </c>
      <c r="V184" s="4" t="s">
        <v>201</v>
      </c>
      <c r="W184" s="4" t="s">
        <v>167</v>
      </c>
      <c r="X184" s="5">
        <f t="shared" si="68"/>
        <v>0</v>
      </c>
      <c r="Y184" s="5">
        <f t="shared" si="69"/>
        <v>0</v>
      </c>
      <c r="Z184" s="5">
        <f t="shared" si="70"/>
        <v>0</v>
      </c>
      <c r="AA184" s="5">
        <f t="shared" si="71"/>
        <v>0</v>
      </c>
      <c r="AB184" s="5">
        <f t="shared" si="72"/>
        <v>0</v>
      </c>
      <c r="AC184" s="5">
        <f t="shared" si="73"/>
        <v>0</v>
      </c>
      <c r="AD184" s="5">
        <f t="shared" si="74"/>
        <v>0</v>
      </c>
      <c r="AE184" s="5">
        <f t="shared" si="75"/>
        <v>0</v>
      </c>
      <c r="AF184" s="5">
        <f t="shared" si="76"/>
        <v>0</v>
      </c>
      <c r="AG184" s="5">
        <f t="shared" si="77"/>
        <v>0</v>
      </c>
      <c r="AH184" s="5">
        <f t="shared" si="78"/>
        <v>0</v>
      </c>
      <c r="AI184" s="5">
        <f t="shared" si="79"/>
        <v>0</v>
      </c>
      <c r="AJ184" s="5">
        <f t="shared" si="80"/>
        <v>0</v>
      </c>
      <c r="AK184" s="5">
        <f t="shared" si="81"/>
        <v>0</v>
      </c>
      <c r="AL184" s="5">
        <f t="shared" si="82"/>
        <v>0</v>
      </c>
      <c r="AM184" s="6">
        <f t="shared" si="66"/>
        <v>0</v>
      </c>
    </row>
    <row r="185" spans="1:39" x14ac:dyDescent="0.25">
      <c r="A185" s="4" t="s">
        <v>202</v>
      </c>
      <c r="B185" s="4" t="s">
        <v>203</v>
      </c>
      <c r="C185" s="4" t="s">
        <v>167</v>
      </c>
      <c r="D185" s="5">
        <v>21</v>
      </c>
      <c r="E185" s="6">
        <v>46.2</v>
      </c>
      <c r="F185" s="6">
        <v>37.5</v>
      </c>
      <c r="G185" s="6">
        <v>30</v>
      </c>
      <c r="H185" s="6">
        <v>7.5</v>
      </c>
      <c r="I185" s="6">
        <v>45</v>
      </c>
      <c r="J185" s="6"/>
      <c r="K185" s="6"/>
      <c r="L185" s="6"/>
      <c r="M185" s="6"/>
      <c r="N185" s="6"/>
      <c r="O185" s="3"/>
      <c r="P185" s="3"/>
      <c r="Q185" s="3"/>
      <c r="R185" s="3"/>
      <c r="S185" s="6">
        <f t="shared" si="65"/>
        <v>187.2</v>
      </c>
      <c r="T185">
        <v>1</v>
      </c>
      <c r="U185" s="4" t="s">
        <v>202</v>
      </c>
      <c r="V185" s="4" t="s">
        <v>203</v>
      </c>
      <c r="W185" s="4" t="s">
        <v>167</v>
      </c>
      <c r="X185" s="5">
        <f t="shared" si="68"/>
        <v>0</v>
      </c>
      <c r="Y185" s="5">
        <f t="shared" si="69"/>
        <v>53.000000000000007</v>
      </c>
      <c r="Z185" s="5">
        <f t="shared" si="70"/>
        <v>31.25</v>
      </c>
      <c r="AA185" s="5">
        <f t="shared" si="71"/>
        <v>12.5</v>
      </c>
      <c r="AB185" s="5">
        <f t="shared" si="72"/>
        <v>0</v>
      </c>
      <c r="AC185" s="5">
        <f t="shared" si="73"/>
        <v>37.5</v>
      </c>
      <c r="AD185" s="5">
        <f t="shared" si="74"/>
        <v>0</v>
      </c>
      <c r="AE185" s="5">
        <f t="shared" si="75"/>
        <v>0</v>
      </c>
      <c r="AF185" s="5">
        <f t="shared" si="76"/>
        <v>0</v>
      </c>
      <c r="AG185" s="5">
        <f t="shared" si="77"/>
        <v>0</v>
      </c>
      <c r="AH185" s="5">
        <f t="shared" si="78"/>
        <v>0</v>
      </c>
      <c r="AI185" s="5">
        <f t="shared" si="79"/>
        <v>0</v>
      </c>
      <c r="AJ185" s="5">
        <f t="shared" si="80"/>
        <v>0</v>
      </c>
      <c r="AK185" s="5">
        <f t="shared" si="81"/>
        <v>0</v>
      </c>
      <c r="AL185" s="5">
        <f t="shared" si="82"/>
        <v>0</v>
      </c>
      <c r="AM185" s="6">
        <f t="shared" si="66"/>
        <v>134.25</v>
      </c>
    </row>
    <row r="186" spans="1:39" x14ac:dyDescent="0.25">
      <c r="A186" s="4" t="s">
        <v>204</v>
      </c>
      <c r="B186" s="4" t="s">
        <v>205</v>
      </c>
      <c r="C186" s="4" t="s">
        <v>167</v>
      </c>
      <c r="D186" s="5">
        <v>33</v>
      </c>
      <c r="E186" s="6"/>
      <c r="F186" s="6">
        <v>37.5</v>
      </c>
      <c r="G186" s="6">
        <v>31.5</v>
      </c>
      <c r="H186" s="6">
        <v>34.5</v>
      </c>
      <c r="I186" s="6">
        <v>49.5</v>
      </c>
      <c r="J186" s="6">
        <v>51</v>
      </c>
      <c r="K186" s="6">
        <v>45</v>
      </c>
      <c r="L186" s="6">
        <v>36</v>
      </c>
      <c r="M186" s="6">
        <v>34.5</v>
      </c>
      <c r="N186" s="6"/>
      <c r="O186" s="3"/>
      <c r="P186" s="3"/>
      <c r="Q186" s="3"/>
      <c r="R186" s="3"/>
      <c r="S186" s="6">
        <f t="shared" si="65"/>
        <v>352.5</v>
      </c>
      <c r="T186">
        <v>1</v>
      </c>
      <c r="U186" s="4" t="s">
        <v>204</v>
      </c>
      <c r="V186" s="4" t="s">
        <v>205</v>
      </c>
      <c r="W186" s="4" t="s">
        <v>167</v>
      </c>
      <c r="X186" s="5">
        <f t="shared" si="68"/>
        <v>7.5</v>
      </c>
      <c r="Y186" s="5">
        <f t="shared" si="69"/>
        <v>0</v>
      </c>
      <c r="Z186" s="5">
        <f t="shared" si="70"/>
        <v>31.25</v>
      </c>
      <c r="AA186" s="5">
        <f t="shared" si="71"/>
        <v>16.25</v>
      </c>
      <c r="AB186" s="5">
        <f t="shared" si="72"/>
        <v>11.25</v>
      </c>
      <c r="AC186" s="5">
        <f t="shared" si="73"/>
        <v>48.75</v>
      </c>
      <c r="AD186" s="5">
        <f t="shared" si="74"/>
        <v>52.5</v>
      </c>
      <c r="AE186" s="5">
        <f t="shared" si="75"/>
        <v>50</v>
      </c>
      <c r="AF186" s="5">
        <f t="shared" si="76"/>
        <v>15</v>
      </c>
      <c r="AG186" s="5">
        <f t="shared" si="77"/>
        <v>11.25</v>
      </c>
      <c r="AH186" s="5">
        <f t="shared" si="78"/>
        <v>0</v>
      </c>
      <c r="AI186" s="5">
        <f t="shared" si="79"/>
        <v>0</v>
      </c>
      <c r="AJ186" s="5">
        <f t="shared" si="80"/>
        <v>0</v>
      </c>
      <c r="AK186" s="5">
        <f t="shared" si="81"/>
        <v>0</v>
      </c>
      <c r="AL186" s="5">
        <f t="shared" si="82"/>
        <v>0</v>
      </c>
      <c r="AM186" s="6">
        <f t="shared" si="66"/>
        <v>243.75</v>
      </c>
    </row>
    <row r="187" spans="1:39" x14ac:dyDescent="0.25">
      <c r="A187" s="4" t="s">
        <v>206</v>
      </c>
      <c r="B187" s="4" t="s">
        <v>207</v>
      </c>
      <c r="C187" s="4" t="s">
        <v>167</v>
      </c>
      <c r="D187" s="5"/>
      <c r="E187" s="6">
        <v>39.6</v>
      </c>
      <c r="F187" s="6">
        <v>34.5</v>
      </c>
      <c r="G187" s="6">
        <v>27</v>
      </c>
      <c r="H187" s="6"/>
      <c r="I187" s="6"/>
      <c r="J187" s="6">
        <v>42</v>
      </c>
      <c r="K187" s="6"/>
      <c r="L187" s="6"/>
      <c r="M187" s="6"/>
      <c r="N187" s="6"/>
      <c r="O187" s="3"/>
      <c r="P187" s="3"/>
      <c r="Q187" s="3"/>
      <c r="R187" s="3"/>
      <c r="S187" s="6">
        <f t="shared" si="65"/>
        <v>143.1</v>
      </c>
      <c r="T187">
        <v>1</v>
      </c>
      <c r="U187" s="4" t="s">
        <v>206</v>
      </c>
      <c r="V187" s="4" t="s">
        <v>207</v>
      </c>
      <c r="W187" s="4" t="s">
        <v>167</v>
      </c>
      <c r="X187" s="5">
        <f t="shared" si="68"/>
        <v>0</v>
      </c>
      <c r="Y187" s="5">
        <f t="shared" si="69"/>
        <v>36.5</v>
      </c>
      <c r="Z187" s="5">
        <f t="shared" si="70"/>
        <v>23.75</v>
      </c>
      <c r="AA187" s="5">
        <f t="shared" si="71"/>
        <v>5</v>
      </c>
      <c r="AB187" s="5">
        <f t="shared" si="72"/>
        <v>0</v>
      </c>
      <c r="AC187" s="5">
        <f t="shared" si="73"/>
        <v>0</v>
      </c>
      <c r="AD187" s="5">
        <f t="shared" si="74"/>
        <v>30</v>
      </c>
      <c r="AE187" s="5">
        <f t="shared" si="75"/>
        <v>0</v>
      </c>
      <c r="AF187" s="5">
        <f t="shared" si="76"/>
        <v>0</v>
      </c>
      <c r="AG187" s="5">
        <f t="shared" si="77"/>
        <v>0</v>
      </c>
      <c r="AH187" s="5">
        <f t="shared" si="78"/>
        <v>0</v>
      </c>
      <c r="AI187" s="5">
        <f t="shared" si="79"/>
        <v>0</v>
      </c>
      <c r="AJ187" s="5">
        <f t="shared" si="80"/>
        <v>0</v>
      </c>
      <c r="AK187" s="5">
        <f t="shared" si="81"/>
        <v>0</v>
      </c>
      <c r="AL187" s="5">
        <f t="shared" si="82"/>
        <v>0</v>
      </c>
      <c r="AM187" s="6">
        <f t="shared" si="66"/>
        <v>95.25</v>
      </c>
    </row>
    <row r="188" spans="1:39" x14ac:dyDescent="0.25">
      <c r="A188" s="4" t="s">
        <v>208</v>
      </c>
      <c r="B188" s="4" t="s">
        <v>209</v>
      </c>
      <c r="C188" s="4" t="s">
        <v>167</v>
      </c>
      <c r="D188" s="5">
        <v>48</v>
      </c>
      <c r="E188" s="6">
        <v>19.800000000000004</v>
      </c>
      <c r="F188" s="6">
        <v>27</v>
      </c>
      <c r="G188" s="6"/>
      <c r="H188" s="6"/>
      <c r="I188" s="6"/>
      <c r="J188" s="6">
        <v>42</v>
      </c>
      <c r="K188" s="6">
        <v>45</v>
      </c>
      <c r="L188" s="6">
        <v>33</v>
      </c>
      <c r="M188" s="6">
        <v>39</v>
      </c>
      <c r="N188" s="6"/>
      <c r="O188" s="3"/>
      <c r="P188" s="3"/>
      <c r="Q188" s="3"/>
      <c r="R188" s="3"/>
      <c r="S188" s="6">
        <f t="shared" si="65"/>
        <v>253.8</v>
      </c>
      <c r="T188">
        <v>1</v>
      </c>
      <c r="U188" s="4" t="s">
        <v>208</v>
      </c>
      <c r="V188" s="4" t="s">
        <v>209</v>
      </c>
      <c r="W188" s="4" t="s">
        <v>167</v>
      </c>
      <c r="X188" s="5">
        <f t="shared" si="68"/>
        <v>45</v>
      </c>
      <c r="Y188" s="5">
        <f t="shared" si="69"/>
        <v>0</v>
      </c>
      <c r="Z188" s="5">
        <f t="shared" si="70"/>
        <v>5</v>
      </c>
      <c r="AA188" s="5">
        <f t="shared" si="71"/>
        <v>0</v>
      </c>
      <c r="AB188" s="5">
        <f t="shared" si="72"/>
        <v>0</v>
      </c>
      <c r="AC188" s="5">
        <f t="shared" si="73"/>
        <v>0</v>
      </c>
      <c r="AD188" s="5">
        <f t="shared" si="74"/>
        <v>30</v>
      </c>
      <c r="AE188" s="5">
        <f t="shared" si="75"/>
        <v>50</v>
      </c>
      <c r="AF188" s="5">
        <f t="shared" si="76"/>
        <v>7.5</v>
      </c>
      <c r="AG188" s="5">
        <f t="shared" si="77"/>
        <v>22.5</v>
      </c>
      <c r="AH188" s="5">
        <f t="shared" si="78"/>
        <v>0</v>
      </c>
      <c r="AI188" s="5">
        <f t="shared" si="79"/>
        <v>0</v>
      </c>
      <c r="AJ188" s="5">
        <f t="shared" si="80"/>
        <v>0</v>
      </c>
      <c r="AK188" s="5">
        <f t="shared" si="81"/>
        <v>0</v>
      </c>
      <c r="AL188" s="5">
        <f t="shared" si="82"/>
        <v>0</v>
      </c>
      <c r="AM188" s="6">
        <f t="shared" si="66"/>
        <v>160</v>
      </c>
    </row>
    <row r="189" spans="1:39" x14ac:dyDescent="0.25">
      <c r="A189" s="4" t="s">
        <v>210</v>
      </c>
      <c r="B189" s="4" t="s">
        <v>211</v>
      </c>
      <c r="C189" s="4" t="s">
        <v>167</v>
      </c>
      <c r="D189" s="5">
        <v>45</v>
      </c>
      <c r="E189" s="6">
        <v>30.800000000000004</v>
      </c>
      <c r="F189" s="6">
        <v>30</v>
      </c>
      <c r="G189" s="6">
        <v>28.5</v>
      </c>
      <c r="H189" s="6">
        <v>27</v>
      </c>
      <c r="I189" s="6">
        <v>37.5</v>
      </c>
      <c r="J189" s="6">
        <v>45</v>
      </c>
      <c r="K189" s="6">
        <v>37.5</v>
      </c>
      <c r="L189" s="6">
        <v>36</v>
      </c>
      <c r="M189" s="6">
        <v>31.5</v>
      </c>
      <c r="N189" s="6"/>
      <c r="O189" s="3"/>
      <c r="P189" s="3"/>
      <c r="Q189" s="3"/>
      <c r="R189" s="3"/>
      <c r="S189" s="6">
        <f t="shared" si="65"/>
        <v>348.8</v>
      </c>
      <c r="T189">
        <v>1</v>
      </c>
      <c r="U189" s="4" t="s">
        <v>210</v>
      </c>
      <c r="V189" s="4" t="s">
        <v>211</v>
      </c>
      <c r="W189" s="4" t="s">
        <v>167</v>
      </c>
      <c r="X189" s="5">
        <f t="shared" si="68"/>
        <v>37.5</v>
      </c>
      <c r="Y189" s="5">
        <f t="shared" si="69"/>
        <v>14.500000000000011</v>
      </c>
      <c r="Z189" s="5">
        <f t="shared" si="70"/>
        <v>12.5</v>
      </c>
      <c r="AA189" s="5">
        <f t="shared" si="71"/>
        <v>8.75</v>
      </c>
      <c r="AB189" s="5">
        <f t="shared" si="72"/>
        <v>0</v>
      </c>
      <c r="AC189" s="5">
        <f t="shared" si="73"/>
        <v>18.75</v>
      </c>
      <c r="AD189" s="5">
        <f t="shared" si="74"/>
        <v>37.5</v>
      </c>
      <c r="AE189" s="5">
        <f t="shared" si="75"/>
        <v>31.25</v>
      </c>
      <c r="AF189" s="5">
        <f t="shared" si="76"/>
        <v>15</v>
      </c>
      <c r="AG189" s="5">
        <f t="shared" si="77"/>
        <v>3.75</v>
      </c>
      <c r="AH189" s="5">
        <f t="shared" si="78"/>
        <v>0</v>
      </c>
      <c r="AI189" s="5">
        <f t="shared" si="79"/>
        <v>0</v>
      </c>
      <c r="AJ189" s="5">
        <f t="shared" si="80"/>
        <v>0</v>
      </c>
      <c r="AK189" s="5">
        <f t="shared" si="81"/>
        <v>0</v>
      </c>
      <c r="AL189" s="5">
        <f t="shared" si="82"/>
        <v>0</v>
      </c>
      <c r="AM189" s="6">
        <f t="shared" si="66"/>
        <v>179.5</v>
      </c>
    </row>
    <row r="190" spans="1:39" x14ac:dyDescent="0.25">
      <c r="A190" s="4" t="s">
        <v>212</v>
      </c>
      <c r="B190" s="4" t="s">
        <v>213</v>
      </c>
      <c r="C190" s="4" t="s">
        <v>167</v>
      </c>
      <c r="D190" s="5">
        <v>42</v>
      </c>
      <c r="E190" s="6">
        <v>37.400000000000006</v>
      </c>
      <c r="F190" s="6">
        <v>27</v>
      </c>
      <c r="G190" s="6">
        <v>33</v>
      </c>
      <c r="H190" s="6">
        <v>22.5</v>
      </c>
      <c r="I190" s="6">
        <v>49.5</v>
      </c>
      <c r="J190" s="6">
        <v>45</v>
      </c>
      <c r="K190" s="6"/>
      <c r="L190" s="6">
        <v>45</v>
      </c>
      <c r="M190" s="6">
        <v>48</v>
      </c>
      <c r="N190" s="6"/>
      <c r="O190" s="3"/>
      <c r="P190" s="3"/>
      <c r="Q190" s="3"/>
      <c r="R190" s="3"/>
      <c r="S190" s="6">
        <f t="shared" si="65"/>
        <v>349.4</v>
      </c>
      <c r="T190">
        <v>1</v>
      </c>
      <c r="U190" s="4" t="s">
        <v>212</v>
      </c>
      <c r="V190" s="4" t="s">
        <v>213</v>
      </c>
      <c r="W190" s="4" t="s">
        <v>167</v>
      </c>
      <c r="X190" s="5">
        <f t="shared" si="68"/>
        <v>30</v>
      </c>
      <c r="Y190" s="5">
        <f t="shared" si="69"/>
        <v>31.000000000000014</v>
      </c>
      <c r="Z190" s="5">
        <f t="shared" si="70"/>
        <v>5</v>
      </c>
      <c r="AA190" s="5">
        <f t="shared" si="71"/>
        <v>20</v>
      </c>
      <c r="AB190" s="5">
        <f t="shared" si="72"/>
        <v>0</v>
      </c>
      <c r="AC190" s="5">
        <f t="shared" si="73"/>
        <v>48.75</v>
      </c>
      <c r="AD190" s="5">
        <f t="shared" si="74"/>
        <v>37.5</v>
      </c>
      <c r="AE190" s="5">
        <f t="shared" si="75"/>
        <v>0</v>
      </c>
      <c r="AF190" s="5">
        <f t="shared" si="76"/>
        <v>37.5</v>
      </c>
      <c r="AG190" s="5">
        <f t="shared" si="77"/>
        <v>45</v>
      </c>
      <c r="AH190" s="5">
        <f t="shared" si="78"/>
        <v>0</v>
      </c>
      <c r="AI190" s="5">
        <f t="shared" si="79"/>
        <v>0</v>
      </c>
      <c r="AJ190" s="5">
        <f t="shared" si="80"/>
        <v>0</v>
      </c>
      <c r="AK190" s="5">
        <f t="shared" si="81"/>
        <v>0</v>
      </c>
      <c r="AL190" s="5">
        <f t="shared" si="82"/>
        <v>0</v>
      </c>
      <c r="AM190" s="6">
        <f t="shared" si="66"/>
        <v>254.75</v>
      </c>
    </row>
    <row r="191" spans="1:39" x14ac:dyDescent="0.25">
      <c r="A191" s="4" t="s">
        <v>214</v>
      </c>
      <c r="B191" s="4" t="s">
        <v>215</v>
      </c>
      <c r="C191" s="4" t="s">
        <v>167</v>
      </c>
      <c r="D191" s="5">
        <v>24</v>
      </c>
      <c r="E191" s="6">
        <v>15.400000000000002</v>
      </c>
      <c r="F191" s="6"/>
      <c r="G191" s="6"/>
      <c r="H191" s="6"/>
      <c r="I191" s="6">
        <v>22.5</v>
      </c>
      <c r="J191" s="6"/>
      <c r="K191" s="6"/>
      <c r="L191" s="6"/>
      <c r="M191" s="6"/>
      <c r="N191" s="6"/>
      <c r="O191" s="3"/>
      <c r="P191" s="3"/>
      <c r="Q191" s="3"/>
      <c r="R191" s="3"/>
      <c r="S191" s="6">
        <f t="shared" si="65"/>
        <v>61.900000000000006</v>
      </c>
      <c r="T191">
        <v>1</v>
      </c>
      <c r="U191" s="4" t="s">
        <v>214</v>
      </c>
      <c r="V191" s="4" t="s">
        <v>215</v>
      </c>
      <c r="W191" s="4" t="s">
        <v>167</v>
      </c>
      <c r="X191" s="5">
        <f t="shared" si="68"/>
        <v>0</v>
      </c>
      <c r="Y191" s="5">
        <f t="shared" si="69"/>
        <v>0</v>
      </c>
      <c r="Z191" s="5">
        <f t="shared" si="70"/>
        <v>0</v>
      </c>
      <c r="AA191" s="5">
        <f t="shared" si="71"/>
        <v>0</v>
      </c>
      <c r="AB191" s="5">
        <f t="shared" si="72"/>
        <v>0</v>
      </c>
      <c r="AC191" s="5">
        <f t="shared" si="73"/>
        <v>0</v>
      </c>
      <c r="AD191" s="5">
        <f t="shared" si="74"/>
        <v>0</v>
      </c>
      <c r="AE191" s="5">
        <f t="shared" si="75"/>
        <v>0</v>
      </c>
      <c r="AF191" s="5">
        <f t="shared" si="76"/>
        <v>0</v>
      </c>
      <c r="AG191" s="5">
        <f t="shared" si="77"/>
        <v>0</v>
      </c>
      <c r="AH191" s="5">
        <f t="shared" si="78"/>
        <v>0</v>
      </c>
      <c r="AI191" s="5">
        <f t="shared" si="79"/>
        <v>0</v>
      </c>
      <c r="AJ191" s="5">
        <f t="shared" si="80"/>
        <v>0</v>
      </c>
      <c r="AK191" s="5">
        <f t="shared" si="81"/>
        <v>0</v>
      </c>
      <c r="AL191" s="5">
        <f t="shared" si="82"/>
        <v>0</v>
      </c>
      <c r="AM191" s="6">
        <f t="shared" si="66"/>
        <v>0</v>
      </c>
    </row>
    <row r="192" spans="1:39" x14ac:dyDescent="0.25">
      <c r="A192" s="4" t="s">
        <v>216</v>
      </c>
      <c r="B192" s="4" t="s">
        <v>217</v>
      </c>
      <c r="C192" s="4" t="s">
        <v>167</v>
      </c>
      <c r="D192" s="5">
        <v>45</v>
      </c>
      <c r="E192" s="6">
        <v>52.8</v>
      </c>
      <c r="F192" s="6">
        <v>22.5</v>
      </c>
      <c r="G192" s="6"/>
      <c r="H192" s="6">
        <v>42</v>
      </c>
      <c r="I192" s="6">
        <v>4.5</v>
      </c>
      <c r="J192" s="6"/>
      <c r="K192" s="6"/>
      <c r="L192" s="6">
        <v>36</v>
      </c>
      <c r="M192" s="6">
        <v>42</v>
      </c>
      <c r="N192" s="6"/>
      <c r="O192" s="3"/>
      <c r="P192" s="3"/>
      <c r="Q192" s="3"/>
      <c r="R192" s="3"/>
      <c r="S192" s="6">
        <f t="shared" si="65"/>
        <v>244.8</v>
      </c>
      <c r="T192">
        <v>1</v>
      </c>
      <c r="U192" s="4" t="s">
        <v>216</v>
      </c>
      <c r="V192" s="4" t="s">
        <v>217</v>
      </c>
      <c r="W192" s="4" t="s">
        <v>167</v>
      </c>
      <c r="X192" s="5">
        <f t="shared" si="68"/>
        <v>37.5</v>
      </c>
      <c r="Y192" s="5">
        <f t="shared" si="69"/>
        <v>69.5</v>
      </c>
      <c r="Z192" s="5">
        <f t="shared" si="70"/>
        <v>0</v>
      </c>
      <c r="AA192" s="5">
        <f t="shared" si="71"/>
        <v>0</v>
      </c>
      <c r="AB192" s="5">
        <f t="shared" si="72"/>
        <v>30</v>
      </c>
      <c r="AC192" s="5">
        <f t="shared" si="73"/>
        <v>0</v>
      </c>
      <c r="AD192" s="5">
        <f t="shared" si="74"/>
        <v>0</v>
      </c>
      <c r="AE192" s="5">
        <f t="shared" si="75"/>
        <v>0</v>
      </c>
      <c r="AF192" s="5">
        <f t="shared" si="76"/>
        <v>15</v>
      </c>
      <c r="AG192" s="5">
        <f t="shared" si="77"/>
        <v>30</v>
      </c>
      <c r="AH192" s="5">
        <f t="shared" si="78"/>
        <v>0</v>
      </c>
      <c r="AI192" s="5">
        <f t="shared" si="79"/>
        <v>0</v>
      </c>
      <c r="AJ192" s="5">
        <f t="shared" si="80"/>
        <v>0</v>
      </c>
      <c r="AK192" s="5">
        <f t="shared" si="81"/>
        <v>0</v>
      </c>
      <c r="AL192" s="5">
        <f t="shared" si="82"/>
        <v>0</v>
      </c>
      <c r="AM192" s="6">
        <f t="shared" si="66"/>
        <v>182</v>
      </c>
    </row>
    <row r="193" spans="1:39" x14ac:dyDescent="0.25">
      <c r="A193" s="4" t="s">
        <v>507</v>
      </c>
      <c r="B193" s="4" t="s">
        <v>508</v>
      </c>
      <c r="C193" s="4" t="s">
        <v>167</v>
      </c>
      <c r="D193" s="5"/>
      <c r="E193" s="6"/>
      <c r="F193" s="6"/>
      <c r="G193" s="6"/>
      <c r="H193" s="6">
        <v>18</v>
      </c>
      <c r="I193" s="6">
        <v>31.5</v>
      </c>
      <c r="J193" s="6">
        <v>42</v>
      </c>
      <c r="K193" s="6">
        <v>22.5</v>
      </c>
      <c r="L193" s="6">
        <v>30</v>
      </c>
      <c r="M193" s="6">
        <v>34.5</v>
      </c>
      <c r="N193" s="6"/>
      <c r="O193" s="3"/>
      <c r="P193" s="3"/>
      <c r="Q193" s="3"/>
      <c r="R193" s="3"/>
      <c r="S193" s="6">
        <f t="shared" si="65"/>
        <v>178.5</v>
      </c>
      <c r="T193">
        <v>1</v>
      </c>
      <c r="U193" s="4" t="s">
        <v>507</v>
      </c>
      <c r="V193" s="4" t="s">
        <v>508</v>
      </c>
      <c r="W193" s="4" t="s">
        <v>167</v>
      </c>
      <c r="X193" s="5">
        <f t="shared" si="68"/>
        <v>0</v>
      </c>
      <c r="Y193" s="5">
        <f t="shared" si="69"/>
        <v>0</v>
      </c>
      <c r="Z193" s="5">
        <f t="shared" si="70"/>
        <v>0</v>
      </c>
      <c r="AA193" s="5">
        <f t="shared" si="71"/>
        <v>0</v>
      </c>
      <c r="AB193" s="5">
        <f t="shared" si="72"/>
        <v>0</v>
      </c>
      <c r="AC193" s="5">
        <f t="shared" si="73"/>
        <v>3.75</v>
      </c>
      <c r="AD193" s="5">
        <f t="shared" si="74"/>
        <v>30</v>
      </c>
      <c r="AE193" s="5">
        <f t="shared" si="75"/>
        <v>0</v>
      </c>
      <c r="AF193" s="5">
        <f t="shared" si="76"/>
        <v>0</v>
      </c>
      <c r="AG193" s="5">
        <f t="shared" si="77"/>
        <v>11.25</v>
      </c>
      <c r="AH193" s="5">
        <f t="shared" si="78"/>
        <v>0</v>
      </c>
      <c r="AI193" s="5">
        <f t="shared" si="79"/>
        <v>0</v>
      </c>
      <c r="AJ193" s="5">
        <f t="shared" si="80"/>
        <v>0</v>
      </c>
      <c r="AK193" s="5">
        <f t="shared" si="81"/>
        <v>0</v>
      </c>
      <c r="AL193" s="5">
        <f t="shared" si="82"/>
        <v>0</v>
      </c>
      <c r="AM193" s="6">
        <f t="shared" si="66"/>
        <v>45</v>
      </c>
    </row>
    <row r="194" spans="1:39" x14ac:dyDescent="0.25">
      <c r="A194" s="4" t="s">
        <v>501</v>
      </c>
      <c r="B194" s="4" t="s">
        <v>502</v>
      </c>
      <c r="C194" s="4" t="s">
        <v>167</v>
      </c>
      <c r="D194" s="5"/>
      <c r="E194" s="6"/>
      <c r="F194" s="6">
        <v>30</v>
      </c>
      <c r="G194" s="6"/>
      <c r="H194" s="6"/>
      <c r="I194" s="6"/>
      <c r="J194" s="6"/>
      <c r="K194" s="6"/>
      <c r="L194" s="6"/>
      <c r="M194" s="6"/>
      <c r="N194" s="6"/>
      <c r="O194" s="3"/>
      <c r="P194" s="3"/>
      <c r="Q194" s="3"/>
      <c r="R194" s="3"/>
      <c r="S194" s="6">
        <f t="shared" si="65"/>
        <v>30</v>
      </c>
      <c r="T194">
        <v>1</v>
      </c>
      <c r="U194" s="4" t="s">
        <v>501</v>
      </c>
      <c r="V194" s="4" t="s">
        <v>502</v>
      </c>
      <c r="W194" s="4" t="s">
        <v>167</v>
      </c>
      <c r="X194" s="5">
        <f t="shared" si="68"/>
        <v>0</v>
      </c>
      <c r="Y194" s="5">
        <f t="shared" si="69"/>
        <v>0</v>
      </c>
      <c r="Z194" s="5">
        <f t="shared" si="70"/>
        <v>12.5</v>
      </c>
      <c r="AA194" s="5">
        <f t="shared" si="71"/>
        <v>0</v>
      </c>
      <c r="AB194" s="5">
        <f t="shared" si="72"/>
        <v>0</v>
      </c>
      <c r="AC194" s="5">
        <f t="shared" si="73"/>
        <v>0</v>
      </c>
      <c r="AD194" s="5">
        <f t="shared" si="74"/>
        <v>0</v>
      </c>
      <c r="AE194" s="5">
        <f t="shared" si="75"/>
        <v>0</v>
      </c>
      <c r="AF194" s="5">
        <f t="shared" si="76"/>
        <v>0</v>
      </c>
      <c r="AG194" s="5">
        <f t="shared" si="77"/>
        <v>0</v>
      </c>
      <c r="AH194" s="5">
        <f t="shared" si="78"/>
        <v>0</v>
      </c>
      <c r="AI194" s="5">
        <f t="shared" si="79"/>
        <v>0</v>
      </c>
      <c r="AJ194" s="5">
        <f t="shared" si="80"/>
        <v>0</v>
      </c>
      <c r="AK194" s="5">
        <f t="shared" si="81"/>
        <v>0</v>
      </c>
      <c r="AL194" s="5">
        <f t="shared" si="82"/>
        <v>0</v>
      </c>
      <c r="AM194" s="6">
        <f t="shared" si="66"/>
        <v>12.5</v>
      </c>
    </row>
    <row r="195" spans="1:39" x14ac:dyDescent="0.25">
      <c r="A195" s="4" t="s">
        <v>218</v>
      </c>
      <c r="B195" s="4" t="s">
        <v>219</v>
      </c>
      <c r="C195" s="4" t="s">
        <v>167</v>
      </c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3"/>
      <c r="P195" s="3"/>
      <c r="Q195" s="3"/>
      <c r="R195" s="3"/>
      <c r="S195" s="6">
        <f t="shared" si="65"/>
        <v>0</v>
      </c>
      <c r="T195">
        <v>1</v>
      </c>
      <c r="U195" s="4" t="s">
        <v>218</v>
      </c>
      <c r="V195" s="4" t="s">
        <v>219</v>
      </c>
      <c r="W195" s="4" t="s">
        <v>167</v>
      </c>
      <c r="X195" s="5">
        <f t="shared" si="68"/>
        <v>0</v>
      </c>
      <c r="Y195" s="5">
        <f t="shared" si="69"/>
        <v>0</v>
      </c>
      <c r="Z195" s="5">
        <f t="shared" si="70"/>
        <v>0</v>
      </c>
      <c r="AA195" s="5">
        <f t="shared" si="71"/>
        <v>0</v>
      </c>
      <c r="AB195" s="5">
        <f t="shared" si="72"/>
        <v>0</v>
      </c>
      <c r="AC195" s="5">
        <f t="shared" si="73"/>
        <v>0</v>
      </c>
      <c r="AD195" s="5">
        <f t="shared" si="74"/>
        <v>0</v>
      </c>
      <c r="AE195" s="5">
        <f t="shared" si="75"/>
        <v>0</v>
      </c>
      <c r="AF195" s="5">
        <f t="shared" si="76"/>
        <v>0</v>
      </c>
      <c r="AG195" s="5">
        <f t="shared" si="77"/>
        <v>0</v>
      </c>
      <c r="AH195" s="5">
        <f t="shared" si="78"/>
        <v>0</v>
      </c>
      <c r="AI195" s="5">
        <f t="shared" si="79"/>
        <v>0</v>
      </c>
      <c r="AJ195" s="5">
        <f t="shared" si="80"/>
        <v>0</v>
      </c>
      <c r="AK195" s="5">
        <f t="shared" si="81"/>
        <v>0</v>
      </c>
      <c r="AL195" s="5">
        <f t="shared" si="82"/>
        <v>0</v>
      </c>
      <c r="AM195" s="6">
        <f t="shared" si="66"/>
        <v>0</v>
      </c>
    </row>
    <row r="196" spans="1:39" x14ac:dyDescent="0.25">
      <c r="A196" s="4" t="s">
        <v>220</v>
      </c>
      <c r="B196" s="4" t="s">
        <v>221</v>
      </c>
      <c r="C196" s="4" t="s">
        <v>167</v>
      </c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3"/>
      <c r="P196" s="3"/>
      <c r="Q196" s="3"/>
      <c r="R196" s="3"/>
      <c r="S196" s="6">
        <f t="shared" si="65"/>
        <v>0</v>
      </c>
      <c r="T196">
        <v>1</v>
      </c>
      <c r="U196" s="4" t="s">
        <v>220</v>
      </c>
      <c r="V196" s="4" t="s">
        <v>221</v>
      </c>
      <c r="W196" s="4" t="s">
        <v>167</v>
      </c>
      <c r="X196" s="5">
        <f t="shared" si="68"/>
        <v>0</v>
      </c>
      <c r="Y196" s="5">
        <f t="shared" si="69"/>
        <v>0</v>
      </c>
      <c r="Z196" s="5">
        <f t="shared" si="70"/>
        <v>0</v>
      </c>
      <c r="AA196" s="5">
        <f t="shared" si="71"/>
        <v>0</v>
      </c>
      <c r="AB196" s="5">
        <f t="shared" si="72"/>
        <v>0</v>
      </c>
      <c r="AC196" s="5">
        <f t="shared" si="73"/>
        <v>0</v>
      </c>
      <c r="AD196" s="5">
        <f t="shared" si="74"/>
        <v>0</v>
      </c>
      <c r="AE196" s="5">
        <f t="shared" ref="AE196:AE228" si="83">IF(K196&lt;=30,0,(K196-30)*2.5)</f>
        <v>0</v>
      </c>
      <c r="AF196" s="5">
        <f t="shared" si="76"/>
        <v>0</v>
      </c>
      <c r="AG196" s="5">
        <f t="shared" si="77"/>
        <v>0</v>
      </c>
      <c r="AH196" s="5">
        <f t="shared" si="78"/>
        <v>0</v>
      </c>
      <c r="AI196" s="5">
        <f t="shared" si="79"/>
        <v>0</v>
      </c>
      <c r="AJ196" s="5">
        <f t="shared" si="80"/>
        <v>0</v>
      </c>
      <c r="AK196" s="5">
        <f t="shared" si="81"/>
        <v>0</v>
      </c>
      <c r="AL196" s="5">
        <f t="shared" si="82"/>
        <v>0</v>
      </c>
      <c r="AM196" s="6">
        <f t="shared" si="66"/>
        <v>0</v>
      </c>
    </row>
    <row r="197" spans="1:39" x14ac:dyDescent="0.25">
      <c r="A197" s="4" t="s">
        <v>222</v>
      </c>
      <c r="B197" s="4" t="s">
        <v>223</v>
      </c>
      <c r="C197" s="4" t="s">
        <v>167</v>
      </c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3"/>
      <c r="P197" s="3"/>
      <c r="Q197" s="3"/>
      <c r="R197" s="3"/>
      <c r="S197" s="6">
        <f t="shared" si="65"/>
        <v>0</v>
      </c>
      <c r="T197">
        <v>1</v>
      </c>
      <c r="U197" s="4" t="s">
        <v>222</v>
      </c>
      <c r="V197" s="4" t="s">
        <v>223</v>
      </c>
      <c r="W197" s="4" t="s">
        <v>167</v>
      </c>
      <c r="X197" s="5">
        <f t="shared" si="68"/>
        <v>0</v>
      </c>
      <c r="Y197" s="5">
        <f t="shared" si="69"/>
        <v>0</v>
      </c>
      <c r="Z197" s="5">
        <f t="shared" si="70"/>
        <v>0</v>
      </c>
      <c r="AA197" s="5">
        <f t="shared" si="71"/>
        <v>0</v>
      </c>
      <c r="AB197" s="5">
        <f t="shared" si="72"/>
        <v>0</v>
      </c>
      <c r="AC197" s="5">
        <f t="shared" si="73"/>
        <v>0</v>
      </c>
      <c r="AD197" s="5">
        <f t="shared" si="74"/>
        <v>0</v>
      </c>
      <c r="AE197" s="5">
        <f t="shared" si="83"/>
        <v>0</v>
      </c>
      <c r="AF197" s="5">
        <f t="shared" si="76"/>
        <v>0</v>
      </c>
      <c r="AG197" s="5">
        <f t="shared" si="77"/>
        <v>0</v>
      </c>
      <c r="AH197" s="5">
        <f t="shared" si="78"/>
        <v>0</v>
      </c>
      <c r="AI197" s="5">
        <f t="shared" si="79"/>
        <v>0</v>
      </c>
      <c r="AJ197" s="5">
        <f t="shared" si="80"/>
        <v>0</v>
      </c>
      <c r="AK197" s="5">
        <f t="shared" si="81"/>
        <v>0</v>
      </c>
      <c r="AL197" s="5">
        <f t="shared" si="82"/>
        <v>0</v>
      </c>
      <c r="AM197" s="6">
        <f t="shared" si="66"/>
        <v>0</v>
      </c>
    </row>
    <row r="198" spans="1:39" x14ac:dyDescent="0.25">
      <c r="A198" s="4" t="s">
        <v>224</v>
      </c>
      <c r="B198" s="4" t="s">
        <v>225</v>
      </c>
      <c r="C198" s="4" t="s">
        <v>167</v>
      </c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3"/>
      <c r="P198" s="3"/>
      <c r="Q198" s="3"/>
      <c r="R198" s="3"/>
      <c r="S198" s="6">
        <f t="shared" si="65"/>
        <v>0</v>
      </c>
      <c r="T198">
        <v>1</v>
      </c>
      <c r="U198" s="4" t="s">
        <v>224</v>
      </c>
      <c r="V198" s="4" t="s">
        <v>225</v>
      </c>
      <c r="W198" s="4" t="s">
        <v>167</v>
      </c>
      <c r="X198" s="5">
        <f t="shared" si="68"/>
        <v>0</v>
      </c>
      <c r="Y198" s="5">
        <f t="shared" si="69"/>
        <v>0</v>
      </c>
      <c r="Z198" s="5">
        <f t="shared" si="70"/>
        <v>0</v>
      </c>
      <c r="AA198" s="5">
        <f t="shared" si="71"/>
        <v>0</v>
      </c>
      <c r="AB198" s="5">
        <f t="shared" si="72"/>
        <v>0</v>
      </c>
      <c r="AC198" s="5">
        <f t="shared" si="73"/>
        <v>0</v>
      </c>
      <c r="AD198" s="5">
        <f t="shared" si="74"/>
        <v>0</v>
      </c>
      <c r="AE198" s="5">
        <f t="shared" si="83"/>
        <v>0</v>
      </c>
      <c r="AF198" s="5">
        <f t="shared" si="76"/>
        <v>0</v>
      </c>
      <c r="AG198" s="5">
        <f t="shared" si="77"/>
        <v>0</v>
      </c>
      <c r="AH198" s="5">
        <f t="shared" si="78"/>
        <v>0</v>
      </c>
      <c r="AI198" s="5">
        <f t="shared" si="79"/>
        <v>0</v>
      </c>
      <c r="AJ198" s="5">
        <f t="shared" si="80"/>
        <v>0</v>
      </c>
      <c r="AK198" s="5">
        <f t="shared" si="81"/>
        <v>0</v>
      </c>
      <c r="AL198" s="5">
        <f t="shared" si="82"/>
        <v>0</v>
      </c>
      <c r="AM198" s="6">
        <f t="shared" si="66"/>
        <v>0</v>
      </c>
    </row>
    <row r="199" spans="1:39" x14ac:dyDescent="0.25">
      <c r="A199" s="4" t="s">
        <v>226</v>
      </c>
      <c r="B199" s="4" t="s">
        <v>227</v>
      </c>
      <c r="C199" s="4" t="s">
        <v>167</v>
      </c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3"/>
      <c r="P199" s="3"/>
      <c r="Q199" s="3"/>
      <c r="R199" s="3"/>
      <c r="S199" s="6">
        <f t="shared" si="65"/>
        <v>0</v>
      </c>
      <c r="T199">
        <v>1</v>
      </c>
      <c r="U199" s="4" t="s">
        <v>226</v>
      </c>
      <c r="V199" s="4" t="s">
        <v>227</v>
      </c>
      <c r="W199" s="4" t="s">
        <v>167</v>
      </c>
      <c r="X199" s="5">
        <f t="shared" si="68"/>
        <v>0</v>
      </c>
      <c r="Y199" s="5">
        <f t="shared" si="69"/>
        <v>0</v>
      </c>
      <c r="Z199" s="5">
        <f t="shared" si="70"/>
        <v>0</v>
      </c>
      <c r="AA199" s="5">
        <f t="shared" si="71"/>
        <v>0</v>
      </c>
      <c r="AB199" s="5">
        <f t="shared" si="72"/>
        <v>0</v>
      </c>
      <c r="AC199" s="5">
        <f t="shared" si="73"/>
        <v>0</v>
      </c>
      <c r="AD199" s="5">
        <f t="shared" si="74"/>
        <v>0</v>
      </c>
      <c r="AE199" s="5">
        <f t="shared" si="83"/>
        <v>0</v>
      </c>
      <c r="AF199" s="5">
        <f t="shared" si="76"/>
        <v>0</v>
      </c>
      <c r="AG199" s="5">
        <f t="shared" si="77"/>
        <v>0</v>
      </c>
      <c r="AH199" s="5">
        <f t="shared" si="78"/>
        <v>0</v>
      </c>
      <c r="AI199" s="5">
        <f t="shared" si="79"/>
        <v>0</v>
      </c>
      <c r="AJ199" s="5">
        <f t="shared" si="80"/>
        <v>0</v>
      </c>
      <c r="AK199" s="5">
        <f t="shared" si="81"/>
        <v>0</v>
      </c>
      <c r="AL199" s="5">
        <f t="shared" si="82"/>
        <v>0</v>
      </c>
      <c r="AM199" s="6">
        <f t="shared" si="66"/>
        <v>0</v>
      </c>
    </row>
    <row r="200" spans="1:39" x14ac:dyDescent="0.25">
      <c r="A200" s="4" t="s">
        <v>228</v>
      </c>
      <c r="B200" s="4" t="s">
        <v>229</v>
      </c>
      <c r="C200" s="4" t="s">
        <v>167</v>
      </c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3"/>
      <c r="P200" s="3"/>
      <c r="Q200" s="3"/>
      <c r="R200" s="3"/>
      <c r="S200" s="6">
        <f t="shared" si="65"/>
        <v>0</v>
      </c>
      <c r="T200">
        <v>1</v>
      </c>
      <c r="U200" s="4" t="s">
        <v>228</v>
      </c>
      <c r="V200" s="4" t="s">
        <v>229</v>
      </c>
      <c r="W200" s="4" t="s">
        <v>167</v>
      </c>
      <c r="X200" s="5">
        <f t="shared" si="68"/>
        <v>0</v>
      </c>
      <c r="Y200" s="5">
        <f t="shared" si="69"/>
        <v>0</v>
      </c>
      <c r="Z200" s="5">
        <f t="shared" si="70"/>
        <v>0</v>
      </c>
      <c r="AA200" s="5">
        <f t="shared" si="71"/>
        <v>0</v>
      </c>
      <c r="AB200" s="5">
        <f t="shared" si="72"/>
        <v>0</v>
      </c>
      <c r="AC200" s="5">
        <f t="shared" si="73"/>
        <v>0</v>
      </c>
      <c r="AD200" s="5">
        <f t="shared" si="74"/>
        <v>0</v>
      </c>
      <c r="AE200" s="5">
        <f t="shared" si="83"/>
        <v>0</v>
      </c>
      <c r="AF200" s="5">
        <f t="shared" si="76"/>
        <v>0</v>
      </c>
      <c r="AG200" s="5">
        <f t="shared" si="77"/>
        <v>0</v>
      </c>
      <c r="AH200" s="5">
        <f t="shared" si="78"/>
        <v>0</v>
      </c>
      <c r="AI200" s="5">
        <f t="shared" si="79"/>
        <v>0</v>
      </c>
      <c r="AJ200" s="5">
        <f t="shared" si="80"/>
        <v>0</v>
      </c>
      <c r="AK200" s="5">
        <f t="shared" si="81"/>
        <v>0</v>
      </c>
      <c r="AL200" s="5">
        <f t="shared" si="82"/>
        <v>0</v>
      </c>
      <c r="AM200" s="6">
        <f t="shared" si="66"/>
        <v>0</v>
      </c>
    </row>
    <row r="201" spans="1:39" x14ac:dyDescent="0.25">
      <c r="A201" s="4" t="s">
        <v>569</v>
      </c>
      <c r="B201" s="4" t="s">
        <v>570</v>
      </c>
      <c r="C201" s="4" t="s">
        <v>167</v>
      </c>
      <c r="D201" s="5"/>
      <c r="E201" s="6"/>
      <c r="F201" s="6"/>
      <c r="G201" s="6"/>
      <c r="H201" s="6"/>
      <c r="I201" s="6"/>
      <c r="J201" s="6"/>
      <c r="K201" s="6"/>
      <c r="L201" s="6"/>
      <c r="M201" s="6">
        <v>27</v>
      </c>
      <c r="N201" s="6"/>
      <c r="O201" s="3"/>
      <c r="P201" s="3"/>
      <c r="Q201" s="3"/>
      <c r="R201" s="3"/>
      <c r="S201" s="6">
        <f t="shared" si="65"/>
        <v>27</v>
      </c>
      <c r="T201">
        <v>1</v>
      </c>
      <c r="U201" s="4" t="s">
        <v>569</v>
      </c>
      <c r="V201" s="4" t="s">
        <v>570</v>
      </c>
      <c r="W201" s="4" t="s">
        <v>167</v>
      </c>
      <c r="X201" s="5">
        <f t="shared" si="68"/>
        <v>0</v>
      </c>
      <c r="Y201" s="5">
        <f t="shared" si="69"/>
        <v>0</v>
      </c>
      <c r="Z201" s="5">
        <f t="shared" si="70"/>
        <v>0</v>
      </c>
      <c r="AA201" s="5">
        <f t="shared" si="71"/>
        <v>0</v>
      </c>
      <c r="AB201" s="5">
        <f t="shared" si="72"/>
        <v>0</v>
      </c>
      <c r="AC201" s="5">
        <f t="shared" si="73"/>
        <v>0</v>
      </c>
      <c r="AD201" s="5">
        <f t="shared" si="74"/>
        <v>0</v>
      </c>
      <c r="AE201" s="5">
        <f t="shared" si="83"/>
        <v>0</v>
      </c>
      <c r="AF201" s="5">
        <f t="shared" si="76"/>
        <v>0</v>
      </c>
      <c r="AG201" s="5">
        <f t="shared" si="77"/>
        <v>0</v>
      </c>
      <c r="AH201" s="5">
        <f t="shared" si="78"/>
        <v>0</v>
      </c>
      <c r="AI201" s="5">
        <f t="shared" si="79"/>
        <v>0</v>
      </c>
      <c r="AJ201" s="5">
        <f t="shared" si="80"/>
        <v>0</v>
      </c>
      <c r="AK201" s="5">
        <f t="shared" si="81"/>
        <v>0</v>
      </c>
      <c r="AL201" s="5">
        <f t="shared" si="82"/>
        <v>0</v>
      </c>
      <c r="AM201" s="6">
        <f t="shared" si="66"/>
        <v>0</v>
      </c>
    </row>
    <row r="202" spans="1:39" x14ac:dyDescent="0.25">
      <c r="A202" s="4" t="s">
        <v>565</v>
      </c>
      <c r="B202" s="4" t="s">
        <v>566</v>
      </c>
      <c r="C202" s="4" t="s">
        <v>167</v>
      </c>
      <c r="D202" s="5"/>
      <c r="E202" s="6"/>
      <c r="F202" s="6"/>
      <c r="G202" s="6"/>
      <c r="H202" s="6"/>
      <c r="I202" s="6"/>
      <c r="J202" s="6"/>
      <c r="K202" s="6"/>
      <c r="L202" s="6">
        <v>30</v>
      </c>
      <c r="M202" s="6">
        <v>28.5</v>
      </c>
      <c r="N202" s="6"/>
      <c r="O202" s="3"/>
      <c r="P202" s="3"/>
      <c r="Q202" s="3"/>
      <c r="R202" s="3"/>
      <c r="S202" s="6">
        <f t="shared" si="65"/>
        <v>58.5</v>
      </c>
      <c r="T202">
        <v>1</v>
      </c>
      <c r="U202" s="4" t="s">
        <v>565</v>
      </c>
      <c r="V202" s="4" t="s">
        <v>566</v>
      </c>
      <c r="W202" s="4" t="s">
        <v>167</v>
      </c>
      <c r="X202" s="5">
        <f t="shared" si="68"/>
        <v>0</v>
      </c>
      <c r="Y202" s="5">
        <f t="shared" si="69"/>
        <v>0</v>
      </c>
      <c r="Z202" s="5">
        <f t="shared" si="70"/>
        <v>0</v>
      </c>
      <c r="AA202" s="5">
        <f t="shared" si="71"/>
        <v>0</v>
      </c>
      <c r="AB202" s="5">
        <f t="shared" si="72"/>
        <v>0</v>
      </c>
      <c r="AC202" s="5">
        <f t="shared" si="73"/>
        <v>0</v>
      </c>
      <c r="AD202" s="5">
        <f t="shared" si="74"/>
        <v>0</v>
      </c>
      <c r="AE202" s="5">
        <f t="shared" si="83"/>
        <v>0</v>
      </c>
      <c r="AF202" s="5">
        <f t="shared" si="76"/>
        <v>0</v>
      </c>
      <c r="AG202" s="5">
        <f t="shared" si="77"/>
        <v>0</v>
      </c>
      <c r="AH202" s="5">
        <f t="shared" si="78"/>
        <v>0</v>
      </c>
      <c r="AI202" s="5">
        <f t="shared" si="79"/>
        <v>0</v>
      </c>
      <c r="AJ202" s="5">
        <f t="shared" si="80"/>
        <v>0</v>
      </c>
      <c r="AK202" s="5">
        <f t="shared" si="81"/>
        <v>0</v>
      </c>
      <c r="AL202" s="5">
        <f t="shared" si="82"/>
        <v>0</v>
      </c>
      <c r="AM202" s="6">
        <f t="shared" si="66"/>
        <v>0</v>
      </c>
    </row>
    <row r="203" spans="1:39" x14ac:dyDescent="0.25">
      <c r="A203" s="4" t="s">
        <v>567</v>
      </c>
      <c r="B203" s="4" t="s">
        <v>568</v>
      </c>
      <c r="C203" s="4" t="s">
        <v>167</v>
      </c>
      <c r="D203" s="5"/>
      <c r="E203" s="6"/>
      <c r="F203" s="6"/>
      <c r="G203" s="6"/>
      <c r="H203" s="6"/>
      <c r="I203" s="6"/>
      <c r="J203" s="6"/>
      <c r="K203" s="6"/>
      <c r="L203" s="6">
        <v>27</v>
      </c>
      <c r="M203" s="6">
        <v>31.5</v>
      </c>
      <c r="N203" s="6"/>
      <c r="O203" s="3"/>
      <c r="P203" s="3"/>
      <c r="Q203" s="3"/>
      <c r="R203" s="3"/>
      <c r="S203" s="6">
        <f t="shared" si="65"/>
        <v>58.5</v>
      </c>
      <c r="T203">
        <v>1</v>
      </c>
      <c r="U203" s="4" t="s">
        <v>567</v>
      </c>
      <c r="V203" s="4" t="s">
        <v>568</v>
      </c>
      <c r="W203" s="4" t="s">
        <v>167</v>
      </c>
      <c r="X203" s="5">
        <f t="shared" si="68"/>
        <v>0</v>
      </c>
      <c r="Y203" s="5">
        <f t="shared" si="69"/>
        <v>0</v>
      </c>
      <c r="Z203" s="5">
        <f t="shared" si="70"/>
        <v>0</v>
      </c>
      <c r="AA203" s="5">
        <f t="shared" si="71"/>
        <v>0</v>
      </c>
      <c r="AB203" s="5">
        <f t="shared" si="72"/>
        <v>0</v>
      </c>
      <c r="AC203" s="5">
        <f t="shared" si="73"/>
        <v>0</v>
      </c>
      <c r="AD203" s="5">
        <f t="shared" si="74"/>
        <v>0</v>
      </c>
      <c r="AE203" s="5">
        <f t="shared" si="83"/>
        <v>0</v>
      </c>
      <c r="AF203" s="5">
        <f t="shared" si="76"/>
        <v>0</v>
      </c>
      <c r="AG203" s="5">
        <f t="shared" si="77"/>
        <v>3.75</v>
      </c>
      <c r="AH203" s="5">
        <f t="shared" si="78"/>
        <v>0</v>
      </c>
      <c r="AI203" s="5">
        <f t="shared" si="79"/>
        <v>0</v>
      </c>
      <c r="AJ203" s="5">
        <f t="shared" si="80"/>
        <v>0</v>
      </c>
      <c r="AK203" s="5">
        <f t="shared" si="81"/>
        <v>0</v>
      </c>
      <c r="AL203" s="5">
        <f t="shared" si="82"/>
        <v>0</v>
      </c>
      <c r="AM203" s="6">
        <f t="shared" si="66"/>
        <v>3.75</v>
      </c>
    </row>
    <row r="204" spans="1:39" x14ac:dyDescent="0.25">
      <c r="A204" s="4" t="s">
        <v>230</v>
      </c>
      <c r="B204" s="4" t="s">
        <v>231</v>
      </c>
      <c r="C204" s="4" t="s">
        <v>167</v>
      </c>
      <c r="D204" s="5"/>
      <c r="E204" s="6"/>
      <c r="F204" s="6"/>
      <c r="G204" s="6"/>
      <c r="H204" s="6"/>
      <c r="I204" s="6"/>
      <c r="J204" s="6"/>
      <c r="K204" s="6"/>
      <c r="L204" s="6">
        <v>33</v>
      </c>
      <c r="M204" s="6">
        <v>27</v>
      </c>
      <c r="N204" s="6"/>
      <c r="O204" s="3"/>
      <c r="P204" s="3"/>
      <c r="Q204" s="3"/>
      <c r="R204" s="3"/>
      <c r="S204" s="6">
        <f t="shared" si="65"/>
        <v>60</v>
      </c>
      <c r="T204">
        <v>1</v>
      </c>
      <c r="U204" s="4" t="s">
        <v>230</v>
      </c>
      <c r="V204" s="4" t="s">
        <v>231</v>
      </c>
      <c r="W204" s="4" t="s">
        <v>167</v>
      </c>
      <c r="X204" s="5">
        <f t="shared" si="68"/>
        <v>0</v>
      </c>
      <c r="Y204" s="5">
        <f t="shared" si="69"/>
        <v>0</v>
      </c>
      <c r="Z204" s="5">
        <f t="shared" si="70"/>
        <v>0</v>
      </c>
      <c r="AA204" s="5">
        <f t="shared" si="71"/>
        <v>0</v>
      </c>
      <c r="AB204" s="5">
        <f t="shared" si="72"/>
        <v>0</v>
      </c>
      <c r="AC204" s="5">
        <f t="shared" si="73"/>
        <v>0</v>
      </c>
      <c r="AD204" s="5">
        <f t="shared" si="74"/>
        <v>0</v>
      </c>
      <c r="AE204" s="5">
        <f t="shared" si="83"/>
        <v>0</v>
      </c>
      <c r="AF204" s="5">
        <f t="shared" si="76"/>
        <v>7.5</v>
      </c>
      <c r="AG204" s="5">
        <f t="shared" si="77"/>
        <v>0</v>
      </c>
      <c r="AH204" s="5">
        <f t="shared" si="78"/>
        <v>0</v>
      </c>
      <c r="AI204" s="5">
        <f t="shared" si="79"/>
        <v>0</v>
      </c>
      <c r="AJ204" s="5">
        <f t="shared" si="80"/>
        <v>0</v>
      </c>
      <c r="AK204" s="5">
        <f t="shared" si="81"/>
        <v>0</v>
      </c>
      <c r="AL204" s="5">
        <f t="shared" si="82"/>
        <v>0</v>
      </c>
      <c r="AM204" s="6">
        <f t="shared" si="66"/>
        <v>7.5</v>
      </c>
    </row>
    <row r="205" spans="1:39" x14ac:dyDescent="0.25">
      <c r="A205" s="4" t="s">
        <v>232</v>
      </c>
      <c r="B205" s="4" t="s">
        <v>233</v>
      </c>
      <c r="C205" s="4" t="s">
        <v>167</v>
      </c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3"/>
      <c r="P205" s="3"/>
      <c r="Q205" s="3"/>
      <c r="R205" s="3"/>
      <c r="S205" s="6">
        <f t="shared" si="65"/>
        <v>0</v>
      </c>
      <c r="T205">
        <v>1</v>
      </c>
      <c r="U205" s="4" t="s">
        <v>232</v>
      </c>
      <c r="V205" s="4" t="s">
        <v>233</v>
      </c>
      <c r="W205" s="4" t="s">
        <v>167</v>
      </c>
      <c r="X205" s="5">
        <f t="shared" si="68"/>
        <v>0</v>
      </c>
      <c r="Y205" s="5">
        <f t="shared" si="69"/>
        <v>0</v>
      </c>
      <c r="Z205" s="5">
        <f t="shared" si="70"/>
        <v>0</v>
      </c>
      <c r="AA205" s="5">
        <f t="shared" si="71"/>
        <v>0</v>
      </c>
      <c r="AB205" s="5">
        <f t="shared" si="72"/>
        <v>0</v>
      </c>
      <c r="AC205" s="5">
        <f t="shared" si="73"/>
        <v>0</v>
      </c>
      <c r="AD205" s="5">
        <f t="shared" si="74"/>
        <v>0</v>
      </c>
      <c r="AE205" s="5">
        <f t="shared" si="83"/>
        <v>0</v>
      </c>
      <c r="AF205" s="5">
        <f t="shared" si="76"/>
        <v>0</v>
      </c>
      <c r="AG205" s="5">
        <f t="shared" si="77"/>
        <v>0</v>
      </c>
      <c r="AH205" s="5">
        <f t="shared" si="78"/>
        <v>0</v>
      </c>
      <c r="AI205" s="5">
        <f t="shared" si="79"/>
        <v>0</v>
      </c>
      <c r="AJ205" s="5">
        <f t="shared" si="80"/>
        <v>0</v>
      </c>
      <c r="AK205" s="5">
        <f t="shared" si="81"/>
        <v>0</v>
      </c>
      <c r="AL205" s="5">
        <f t="shared" si="82"/>
        <v>0</v>
      </c>
      <c r="AM205" s="6">
        <f t="shared" si="66"/>
        <v>0</v>
      </c>
    </row>
    <row r="206" spans="1:39" x14ac:dyDescent="0.25">
      <c r="A206" s="4" t="s">
        <v>234</v>
      </c>
      <c r="B206" s="4" t="s">
        <v>235</v>
      </c>
      <c r="C206" s="4" t="s">
        <v>167</v>
      </c>
      <c r="D206" s="5"/>
      <c r="E206" s="6"/>
      <c r="F206" s="6"/>
      <c r="G206" s="6"/>
      <c r="H206" s="6"/>
      <c r="I206" s="6"/>
      <c r="J206" s="6"/>
      <c r="K206" s="6"/>
      <c r="L206" s="6">
        <v>30</v>
      </c>
      <c r="M206" s="6">
        <v>27</v>
      </c>
      <c r="N206" s="6"/>
      <c r="O206" s="3"/>
      <c r="P206" s="3"/>
      <c r="Q206" s="3"/>
      <c r="R206" s="3"/>
      <c r="S206" s="6">
        <f t="shared" si="65"/>
        <v>57</v>
      </c>
      <c r="T206">
        <v>1</v>
      </c>
      <c r="U206" s="4" t="s">
        <v>234</v>
      </c>
      <c r="V206" s="4" t="s">
        <v>235</v>
      </c>
      <c r="W206" s="4" t="s">
        <v>167</v>
      </c>
      <c r="X206" s="5">
        <f t="shared" si="68"/>
        <v>0</v>
      </c>
      <c r="Y206" s="5">
        <f t="shared" si="69"/>
        <v>0</v>
      </c>
      <c r="Z206" s="5">
        <f t="shared" si="70"/>
        <v>0</v>
      </c>
      <c r="AA206" s="5">
        <f t="shared" si="71"/>
        <v>0</v>
      </c>
      <c r="AB206" s="5">
        <f t="shared" si="72"/>
        <v>0</v>
      </c>
      <c r="AC206" s="5">
        <f t="shared" si="73"/>
        <v>0</v>
      </c>
      <c r="AD206" s="5">
        <f t="shared" si="74"/>
        <v>0</v>
      </c>
      <c r="AE206" s="5">
        <f t="shared" si="83"/>
        <v>0</v>
      </c>
      <c r="AF206" s="5">
        <f t="shared" si="76"/>
        <v>0</v>
      </c>
      <c r="AG206" s="5">
        <f t="shared" si="77"/>
        <v>0</v>
      </c>
      <c r="AH206" s="5">
        <f t="shared" si="78"/>
        <v>0</v>
      </c>
      <c r="AI206" s="5">
        <f t="shared" si="79"/>
        <v>0</v>
      </c>
      <c r="AJ206" s="5">
        <f t="shared" si="80"/>
        <v>0</v>
      </c>
      <c r="AK206" s="5">
        <f t="shared" si="81"/>
        <v>0</v>
      </c>
      <c r="AL206" s="5">
        <f t="shared" si="82"/>
        <v>0</v>
      </c>
      <c r="AM206" s="6">
        <f t="shared" si="66"/>
        <v>0</v>
      </c>
    </row>
    <row r="207" spans="1:39" x14ac:dyDescent="0.25">
      <c r="A207" s="4" t="s">
        <v>236</v>
      </c>
      <c r="B207" s="4" t="s">
        <v>237</v>
      </c>
      <c r="C207" s="4" t="s">
        <v>167</v>
      </c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3"/>
      <c r="P207" s="3"/>
      <c r="Q207" s="3"/>
      <c r="R207" s="3"/>
      <c r="S207" s="6">
        <f t="shared" si="65"/>
        <v>0</v>
      </c>
      <c r="T207">
        <v>1</v>
      </c>
      <c r="U207" s="4" t="s">
        <v>236</v>
      </c>
      <c r="V207" s="4" t="s">
        <v>237</v>
      </c>
      <c r="W207" s="4" t="s">
        <v>167</v>
      </c>
      <c r="X207" s="5">
        <f t="shared" si="68"/>
        <v>0</v>
      </c>
      <c r="Y207" s="5">
        <f t="shared" si="69"/>
        <v>0</v>
      </c>
      <c r="Z207" s="5">
        <f t="shared" si="70"/>
        <v>0</v>
      </c>
      <c r="AA207" s="5">
        <f t="shared" si="71"/>
        <v>0</v>
      </c>
      <c r="AB207" s="5">
        <f t="shared" si="72"/>
        <v>0</v>
      </c>
      <c r="AC207" s="5">
        <f t="shared" si="73"/>
        <v>0</v>
      </c>
      <c r="AD207" s="5">
        <f t="shared" si="74"/>
        <v>0</v>
      </c>
      <c r="AE207" s="5">
        <f t="shared" si="83"/>
        <v>0</v>
      </c>
      <c r="AF207" s="5">
        <f t="shared" si="76"/>
        <v>0</v>
      </c>
      <c r="AG207" s="5">
        <f t="shared" si="77"/>
        <v>0</v>
      </c>
      <c r="AH207" s="5">
        <f t="shared" si="78"/>
        <v>0</v>
      </c>
      <c r="AI207" s="5">
        <f t="shared" si="79"/>
        <v>0</v>
      </c>
      <c r="AJ207" s="5">
        <f t="shared" si="80"/>
        <v>0</v>
      </c>
      <c r="AK207" s="5">
        <f t="shared" si="81"/>
        <v>0</v>
      </c>
      <c r="AL207" s="5">
        <f t="shared" si="82"/>
        <v>0</v>
      </c>
      <c r="AM207" s="6">
        <f t="shared" si="66"/>
        <v>0</v>
      </c>
    </row>
    <row r="208" spans="1:39" x14ac:dyDescent="0.25">
      <c r="A208" s="4" t="s">
        <v>238</v>
      </c>
      <c r="B208" s="4" t="s">
        <v>239</v>
      </c>
      <c r="C208" s="4" t="s">
        <v>167</v>
      </c>
      <c r="D208" s="5"/>
      <c r="E208" s="6"/>
      <c r="F208" s="6"/>
      <c r="G208" s="6"/>
      <c r="H208" s="6"/>
      <c r="I208" s="6"/>
      <c r="J208" s="6"/>
      <c r="K208" s="6"/>
      <c r="L208" s="6"/>
      <c r="M208" s="6">
        <v>36</v>
      </c>
      <c r="N208" s="6"/>
      <c r="O208" s="3"/>
      <c r="P208" s="3"/>
      <c r="Q208" s="3"/>
      <c r="R208" s="3"/>
      <c r="S208" s="6">
        <f t="shared" si="65"/>
        <v>36</v>
      </c>
      <c r="T208">
        <v>1</v>
      </c>
      <c r="U208" s="4" t="s">
        <v>238</v>
      </c>
      <c r="V208" s="4" t="s">
        <v>239</v>
      </c>
      <c r="W208" s="4" t="s">
        <v>167</v>
      </c>
      <c r="X208" s="5">
        <f t="shared" si="68"/>
        <v>0</v>
      </c>
      <c r="Y208" s="5">
        <f t="shared" si="69"/>
        <v>0</v>
      </c>
      <c r="Z208" s="5">
        <f t="shared" si="70"/>
        <v>0</v>
      </c>
      <c r="AA208" s="5">
        <f t="shared" si="71"/>
        <v>0</v>
      </c>
      <c r="AB208" s="5">
        <f t="shared" si="72"/>
        <v>0</v>
      </c>
      <c r="AC208" s="5">
        <f t="shared" si="73"/>
        <v>0</v>
      </c>
      <c r="AD208" s="5">
        <f t="shared" si="74"/>
        <v>0</v>
      </c>
      <c r="AE208" s="5">
        <f t="shared" si="83"/>
        <v>0</v>
      </c>
      <c r="AF208" s="5">
        <f t="shared" si="76"/>
        <v>0</v>
      </c>
      <c r="AG208" s="5">
        <f t="shared" si="77"/>
        <v>15</v>
      </c>
      <c r="AH208" s="5">
        <f t="shared" si="78"/>
        <v>0</v>
      </c>
      <c r="AI208" s="5">
        <f t="shared" si="79"/>
        <v>0</v>
      </c>
      <c r="AJ208" s="5">
        <f t="shared" si="80"/>
        <v>0</v>
      </c>
      <c r="AK208" s="5">
        <f t="shared" si="81"/>
        <v>0</v>
      </c>
      <c r="AL208" s="5">
        <f t="shared" si="82"/>
        <v>0</v>
      </c>
      <c r="AM208" s="6">
        <f t="shared" si="66"/>
        <v>15</v>
      </c>
    </row>
    <row r="209" spans="1:39" x14ac:dyDescent="0.25">
      <c r="A209" s="4" t="s">
        <v>240</v>
      </c>
      <c r="B209" s="4" t="s">
        <v>241</v>
      </c>
      <c r="C209" s="4" t="s">
        <v>167</v>
      </c>
      <c r="D209" s="5"/>
      <c r="E209" s="6"/>
      <c r="F209" s="6"/>
      <c r="G209" s="6"/>
      <c r="H209" s="6"/>
      <c r="I209" s="6"/>
      <c r="J209" s="6"/>
      <c r="K209" s="6"/>
      <c r="L209" s="6"/>
      <c r="M209" s="6">
        <v>28.5</v>
      </c>
      <c r="N209" s="6"/>
      <c r="O209" s="3"/>
      <c r="P209" s="3"/>
      <c r="Q209" s="3"/>
      <c r="R209" s="3"/>
      <c r="S209" s="6">
        <f t="shared" si="65"/>
        <v>28.5</v>
      </c>
      <c r="T209">
        <v>1</v>
      </c>
      <c r="U209" s="4" t="s">
        <v>240</v>
      </c>
      <c r="V209" s="4" t="s">
        <v>241</v>
      </c>
      <c r="W209" s="4" t="s">
        <v>167</v>
      </c>
      <c r="X209" s="5">
        <f t="shared" si="68"/>
        <v>0</v>
      </c>
      <c r="Y209" s="5">
        <f t="shared" si="69"/>
        <v>0</v>
      </c>
      <c r="Z209" s="5">
        <f t="shared" si="70"/>
        <v>0</v>
      </c>
      <c r="AA209" s="5">
        <f t="shared" si="71"/>
        <v>0</v>
      </c>
      <c r="AB209" s="5">
        <f t="shared" si="72"/>
        <v>0</v>
      </c>
      <c r="AC209" s="5">
        <f t="shared" si="73"/>
        <v>0</v>
      </c>
      <c r="AD209" s="5">
        <f t="shared" si="74"/>
        <v>0</v>
      </c>
      <c r="AE209" s="5">
        <f t="shared" si="83"/>
        <v>0</v>
      </c>
      <c r="AF209" s="5">
        <f t="shared" si="76"/>
        <v>0</v>
      </c>
      <c r="AG209" s="5">
        <f t="shared" si="77"/>
        <v>0</v>
      </c>
      <c r="AH209" s="5">
        <f t="shared" si="78"/>
        <v>0</v>
      </c>
      <c r="AI209" s="5">
        <f t="shared" si="79"/>
        <v>0</v>
      </c>
      <c r="AJ209" s="5">
        <f t="shared" si="80"/>
        <v>0</v>
      </c>
      <c r="AK209" s="5">
        <f t="shared" si="81"/>
        <v>0</v>
      </c>
      <c r="AL209" s="5">
        <f t="shared" si="82"/>
        <v>0</v>
      </c>
      <c r="AM209" s="6">
        <f t="shared" si="66"/>
        <v>0</v>
      </c>
    </row>
    <row r="210" spans="1:39" x14ac:dyDescent="0.25">
      <c r="A210" s="4" t="s">
        <v>242</v>
      </c>
      <c r="B210" s="4" t="s">
        <v>243</v>
      </c>
      <c r="C210" s="4" t="s">
        <v>167</v>
      </c>
      <c r="D210" s="5"/>
      <c r="E210" s="6"/>
      <c r="F210" s="6"/>
      <c r="G210" s="6"/>
      <c r="H210" s="6"/>
      <c r="I210" s="6"/>
      <c r="J210" s="6"/>
      <c r="K210" s="6"/>
      <c r="L210" s="6"/>
      <c r="M210" s="6">
        <v>19.5</v>
      </c>
      <c r="N210" s="6"/>
      <c r="O210" s="3"/>
      <c r="P210" s="3"/>
      <c r="Q210" s="3"/>
      <c r="R210" s="3"/>
      <c r="S210" s="6">
        <f t="shared" si="65"/>
        <v>19.5</v>
      </c>
      <c r="T210">
        <v>1</v>
      </c>
      <c r="U210" s="4" t="s">
        <v>242</v>
      </c>
      <c r="V210" s="4" t="s">
        <v>243</v>
      </c>
      <c r="W210" s="4" t="s">
        <v>167</v>
      </c>
      <c r="X210" s="5">
        <f t="shared" si="68"/>
        <v>0</v>
      </c>
      <c r="Y210" s="5">
        <f t="shared" si="69"/>
        <v>0</v>
      </c>
      <c r="Z210" s="5">
        <f t="shared" si="70"/>
        <v>0</v>
      </c>
      <c r="AA210" s="5">
        <f t="shared" si="71"/>
        <v>0</v>
      </c>
      <c r="AB210" s="5">
        <f t="shared" si="72"/>
        <v>0</v>
      </c>
      <c r="AC210" s="5">
        <f t="shared" si="73"/>
        <v>0</v>
      </c>
      <c r="AD210" s="5">
        <f t="shared" si="74"/>
        <v>0</v>
      </c>
      <c r="AE210" s="5">
        <f t="shared" si="83"/>
        <v>0</v>
      </c>
      <c r="AF210" s="5">
        <f t="shared" si="76"/>
        <v>0</v>
      </c>
      <c r="AG210" s="5">
        <f t="shared" si="77"/>
        <v>0</v>
      </c>
      <c r="AH210" s="5">
        <f t="shared" si="78"/>
        <v>0</v>
      </c>
      <c r="AI210" s="5">
        <f t="shared" si="79"/>
        <v>0</v>
      </c>
      <c r="AJ210" s="5">
        <f t="shared" si="80"/>
        <v>0</v>
      </c>
      <c r="AK210" s="5">
        <f t="shared" si="81"/>
        <v>0</v>
      </c>
      <c r="AL210" s="5">
        <f t="shared" si="82"/>
        <v>0</v>
      </c>
      <c r="AM210" s="6">
        <f t="shared" si="66"/>
        <v>0</v>
      </c>
    </row>
    <row r="211" spans="1:39" x14ac:dyDescent="0.25">
      <c r="A211" s="4" t="s">
        <v>244</v>
      </c>
      <c r="B211" s="4" t="s">
        <v>245</v>
      </c>
      <c r="C211" s="4" t="s">
        <v>167</v>
      </c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3"/>
      <c r="P211" s="3"/>
      <c r="Q211" s="3"/>
      <c r="R211" s="3"/>
      <c r="S211" s="6">
        <f t="shared" si="65"/>
        <v>0</v>
      </c>
      <c r="T211">
        <v>1</v>
      </c>
      <c r="U211" s="4" t="s">
        <v>244</v>
      </c>
      <c r="V211" s="4" t="s">
        <v>245</v>
      </c>
      <c r="W211" s="4" t="s">
        <v>167</v>
      </c>
      <c r="X211" s="5">
        <f t="shared" si="68"/>
        <v>0</v>
      </c>
      <c r="Y211" s="5">
        <f t="shared" si="69"/>
        <v>0</v>
      </c>
      <c r="Z211" s="5">
        <f t="shared" si="70"/>
        <v>0</v>
      </c>
      <c r="AA211" s="5">
        <f t="shared" si="71"/>
        <v>0</v>
      </c>
      <c r="AB211" s="5">
        <f t="shared" si="72"/>
        <v>0</v>
      </c>
      <c r="AC211" s="5">
        <f t="shared" si="73"/>
        <v>0</v>
      </c>
      <c r="AD211" s="5">
        <f t="shared" si="74"/>
        <v>0</v>
      </c>
      <c r="AE211" s="5">
        <f t="shared" si="83"/>
        <v>0</v>
      </c>
      <c r="AF211" s="5">
        <f t="shared" si="76"/>
        <v>0</v>
      </c>
      <c r="AG211" s="5">
        <f t="shared" si="77"/>
        <v>0</v>
      </c>
      <c r="AH211" s="5">
        <f t="shared" si="78"/>
        <v>0</v>
      </c>
      <c r="AI211" s="5">
        <f t="shared" si="79"/>
        <v>0</v>
      </c>
      <c r="AJ211" s="5">
        <f t="shared" si="80"/>
        <v>0</v>
      </c>
      <c r="AK211" s="5">
        <f t="shared" si="81"/>
        <v>0</v>
      </c>
      <c r="AL211" s="5">
        <f t="shared" si="82"/>
        <v>0</v>
      </c>
      <c r="AM211" s="6">
        <f t="shared" si="66"/>
        <v>0</v>
      </c>
    </row>
    <row r="212" spans="1:39" x14ac:dyDescent="0.25">
      <c r="A212" s="4" t="s">
        <v>246</v>
      </c>
      <c r="B212" s="4" t="s">
        <v>247</v>
      </c>
      <c r="C212" s="4" t="s">
        <v>167</v>
      </c>
      <c r="D212" s="5">
        <v>18</v>
      </c>
      <c r="E212" s="6"/>
      <c r="F212" s="6"/>
      <c r="G212" s="6"/>
      <c r="H212" s="6"/>
      <c r="I212" s="6"/>
      <c r="J212" s="6"/>
      <c r="K212" s="6"/>
      <c r="L212" s="6"/>
      <c r="M212" s="6">
        <v>1.5</v>
      </c>
      <c r="N212" s="6"/>
      <c r="O212" s="3"/>
      <c r="P212" s="3"/>
      <c r="Q212" s="3"/>
      <c r="R212" s="3"/>
      <c r="S212" s="6">
        <f t="shared" si="65"/>
        <v>19.5</v>
      </c>
      <c r="T212">
        <v>1</v>
      </c>
      <c r="U212" s="4" t="s">
        <v>246</v>
      </c>
      <c r="V212" s="4" t="s">
        <v>247</v>
      </c>
      <c r="W212" s="4" t="s">
        <v>167</v>
      </c>
      <c r="X212" s="5">
        <f t="shared" si="68"/>
        <v>0</v>
      </c>
      <c r="Y212" s="5">
        <f t="shared" si="69"/>
        <v>0</v>
      </c>
      <c r="Z212" s="5">
        <f t="shared" si="70"/>
        <v>0</v>
      </c>
      <c r="AA212" s="5">
        <f t="shared" si="71"/>
        <v>0</v>
      </c>
      <c r="AB212" s="5">
        <f t="shared" si="72"/>
        <v>0</v>
      </c>
      <c r="AC212" s="5">
        <f t="shared" si="73"/>
        <v>0</v>
      </c>
      <c r="AD212" s="5">
        <f t="shared" si="74"/>
        <v>0</v>
      </c>
      <c r="AE212" s="5">
        <f t="shared" si="83"/>
        <v>0</v>
      </c>
      <c r="AF212" s="5">
        <f t="shared" si="76"/>
        <v>0</v>
      </c>
      <c r="AG212" s="5">
        <f t="shared" si="77"/>
        <v>0</v>
      </c>
      <c r="AH212" s="5">
        <f t="shared" si="78"/>
        <v>0</v>
      </c>
      <c r="AI212" s="5">
        <f t="shared" si="79"/>
        <v>0</v>
      </c>
      <c r="AJ212" s="5">
        <f t="shared" si="80"/>
        <v>0</v>
      </c>
      <c r="AK212" s="5">
        <f t="shared" si="81"/>
        <v>0</v>
      </c>
      <c r="AL212" s="5">
        <f t="shared" si="82"/>
        <v>0</v>
      </c>
      <c r="AM212" s="6">
        <f t="shared" si="66"/>
        <v>0</v>
      </c>
    </row>
    <row r="213" spans="1:39" x14ac:dyDescent="0.25">
      <c r="A213" s="4" t="s">
        <v>248</v>
      </c>
      <c r="B213" s="4" t="s">
        <v>249</v>
      </c>
      <c r="C213" s="4" t="s">
        <v>167</v>
      </c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3"/>
      <c r="P213" s="3"/>
      <c r="Q213" s="3"/>
      <c r="R213" s="3"/>
      <c r="S213" s="6">
        <f t="shared" si="65"/>
        <v>0</v>
      </c>
      <c r="T213">
        <v>1</v>
      </c>
      <c r="U213" s="4" t="s">
        <v>248</v>
      </c>
      <c r="V213" s="4" t="s">
        <v>249</v>
      </c>
      <c r="W213" s="4" t="s">
        <v>167</v>
      </c>
      <c r="X213" s="5">
        <f t="shared" si="68"/>
        <v>0</v>
      </c>
      <c r="Y213" s="5">
        <f t="shared" si="69"/>
        <v>0</v>
      </c>
      <c r="Z213" s="5">
        <f t="shared" si="70"/>
        <v>0</v>
      </c>
      <c r="AA213" s="5">
        <f t="shared" si="71"/>
        <v>0</v>
      </c>
      <c r="AB213" s="5">
        <f t="shared" si="72"/>
        <v>0</v>
      </c>
      <c r="AC213" s="5">
        <f t="shared" si="73"/>
        <v>0</v>
      </c>
      <c r="AD213" s="5">
        <f t="shared" si="74"/>
        <v>0</v>
      </c>
      <c r="AE213" s="5">
        <f t="shared" si="83"/>
        <v>0</v>
      </c>
      <c r="AF213" s="5">
        <f t="shared" si="76"/>
        <v>0</v>
      </c>
      <c r="AG213" s="5">
        <f t="shared" si="77"/>
        <v>0</v>
      </c>
      <c r="AH213" s="5">
        <f t="shared" si="78"/>
        <v>0</v>
      </c>
      <c r="AI213" s="5">
        <f t="shared" si="79"/>
        <v>0</v>
      </c>
      <c r="AJ213" s="5">
        <f t="shared" si="80"/>
        <v>0</v>
      </c>
      <c r="AK213" s="5">
        <f t="shared" si="81"/>
        <v>0</v>
      </c>
      <c r="AL213" s="5">
        <f t="shared" si="82"/>
        <v>0</v>
      </c>
      <c r="AM213" s="6">
        <f t="shared" si="66"/>
        <v>0</v>
      </c>
    </row>
    <row r="214" spans="1:39" x14ac:dyDescent="0.25">
      <c r="A214" s="4" t="s">
        <v>509</v>
      </c>
      <c r="B214" s="4" t="s">
        <v>510</v>
      </c>
      <c r="C214" s="4" t="s">
        <v>167</v>
      </c>
      <c r="D214" s="5"/>
      <c r="E214" s="6"/>
      <c r="F214" s="6"/>
      <c r="G214" s="6"/>
      <c r="H214" s="6"/>
      <c r="I214" s="6">
        <v>51</v>
      </c>
      <c r="J214" s="6">
        <v>42</v>
      </c>
      <c r="K214" s="6">
        <v>45</v>
      </c>
      <c r="L214" s="6"/>
      <c r="M214" s="6">
        <v>34.5</v>
      </c>
      <c r="N214" s="6"/>
      <c r="O214" s="3"/>
      <c r="P214" s="3"/>
      <c r="Q214" s="3"/>
      <c r="R214" s="3"/>
      <c r="S214" s="6">
        <f t="shared" si="65"/>
        <v>172.5</v>
      </c>
      <c r="T214">
        <v>1</v>
      </c>
      <c r="U214" s="4" t="s">
        <v>509</v>
      </c>
      <c r="V214" s="4" t="s">
        <v>510</v>
      </c>
      <c r="W214" s="4" t="s">
        <v>167</v>
      </c>
      <c r="X214" s="5">
        <f t="shared" si="68"/>
        <v>0</v>
      </c>
      <c r="Y214" s="5">
        <f t="shared" si="69"/>
        <v>0</v>
      </c>
      <c r="Z214" s="5">
        <f t="shared" si="70"/>
        <v>0</v>
      </c>
      <c r="AA214" s="5">
        <f t="shared" si="71"/>
        <v>0</v>
      </c>
      <c r="AB214" s="5">
        <f t="shared" si="72"/>
        <v>0</v>
      </c>
      <c r="AC214" s="5">
        <f t="shared" si="73"/>
        <v>52.5</v>
      </c>
      <c r="AD214" s="5">
        <f t="shared" si="74"/>
        <v>30</v>
      </c>
      <c r="AE214" s="5">
        <f t="shared" si="83"/>
        <v>37.5</v>
      </c>
      <c r="AF214" s="5">
        <f t="shared" si="76"/>
        <v>0</v>
      </c>
      <c r="AG214" s="5">
        <f t="shared" si="77"/>
        <v>11.25</v>
      </c>
      <c r="AH214" s="5">
        <f t="shared" si="78"/>
        <v>0</v>
      </c>
      <c r="AI214" s="5">
        <f t="shared" si="79"/>
        <v>0</v>
      </c>
      <c r="AJ214" s="5">
        <f t="shared" si="80"/>
        <v>0</v>
      </c>
      <c r="AK214" s="5">
        <f t="shared" si="81"/>
        <v>0</v>
      </c>
      <c r="AL214" s="5">
        <f t="shared" si="82"/>
        <v>0</v>
      </c>
      <c r="AM214" s="6">
        <f t="shared" si="66"/>
        <v>131.25</v>
      </c>
    </row>
    <row r="215" spans="1:39" x14ac:dyDescent="0.25">
      <c r="A215" s="4" t="s">
        <v>250</v>
      </c>
      <c r="B215" s="4" t="s">
        <v>251</v>
      </c>
      <c r="C215" s="4" t="s">
        <v>167</v>
      </c>
      <c r="D215" s="5">
        <v>21</v>
      </c>
      <c r="E215" s="6">
        <v>26.400000000000002</v>
      </c>
      <c r="F215" s="6">
        <v>30</v>
      </c>
      <c r="G215" s="6">
        <v>13.5</v>
      </c>
      <c r="H215" s="6">
        <v>45</v>
      </c>
      <c r="I215" s="6"/>
      <c r="J215" s="6">
        <v>45</v>
      </c>
      <c r="K215" s="6">
        <v>37.5</v>
      </c>
      <c r="L215" s="6"/>
      <c r="M215" s="6">
        <v>31.5</v>
      </c>
      <c r="N215" s="6"/>
      <c r="O215" s="3"/>
      <c r="P215" s="3"/>
      <c r="Q215" s="3"/>
      <c r="R215" s="3"/>
      <c r="S215" s="6">
        <f t="shared" si="65"/>
        <v>249.9</v>
      </c>
      <c r="T215">
        <v>1</v>
      </c>
      <c r="U215" s="4" t="s">
        <v>250</v>
      </c>
      <c r="V215" s="4" t="s">
        <v>251</v>
      </c>
      <c r="W215" s="4" t="s">
        <v>167</v>
      </c>
      <c r="X215" s="5">
        <f t="shared" si="68"/>
        <v>0</v>
      </c>
      <c r="Y215" s="5">
        <f t="shared" si="69"/>
        <v>3.5000000000000053</v>
      </c>
      <c r="Z215" s="5">
        <f t="shared" si="70"/>
        <v>12.5</v>
      </c>
      <c r="AA215" s="5">
        <f t="shared" si="71"/>
        <v>0</v>
      </c>
      <c r="AB215" s="5">
        <f t="shared" si="72"/>
        <v>37.5</v>
      </c>
      <c r="AC215" s="5">
        <f t="shared" si="73"/>
        <v>0</v>
      </c>
      <c r="AD215" s="5">
        <f t="shared" si="74"/>
        <v>37.5</v>
      </c>
      <c r="AE215" s="5">
        <f t="shared" si="83"/>
        <v>18.75</v>
      </c>
      <c r="AF215" s="5">
        <f t="shared" si="76"/>
        <v>0</v>
      </c>
      <c r="AG215" s="5">
        <f t="shared" si="77"/>
        <v>3.75</v>
      </c>
      <c r="AH215" s="5">
        <f t="shared" si="78"/>
        <v>0</v>
      </c>
      <c r="AI215" s="5">
        <f t="shared" si="79"/>
        <v>0</v>
      </c>
      <c r="AJ215" s="5">
        <f t="shared" si="80"/>
        <v>0</v>
      </c>
      <c r="AK215" s="5">
        <f t="shared" si="81"/>
        <v>0</v>
      </c>
      <c r="AL215" s="5">
        <f t="shared" si="82"/>
        <v>0</v>
      </c>
      <c r="AM215" s="6">
        <f t="shared" si="66"/>
        <v>113.5</v>
      </c>
    </row>
    <row r="216" spans="1:39" x14ac:dyDescent="0.25">
      <c r="A216" s="4" t="s">
        <v>252</v>
      </c>
      <c r="B216" s="4" t="s">
        <v>253</v>
      </c>
      <c r="C216" s="4" t="s">
        <v>167</v>
      </c>
      <c r="D216" s="5">
        <v>21</v>
      </c>
      <c r="E216" s="6"/>
      <c r="F216" s="6">
        <v>3</v>
      </c>
      <c r="G216" s="6">
        <v>15</v>
      </c>
      <c r="H216" s="6">
        <v>46.5</v>
      </c>
      <c r="I216" s="6">
        <v>48</v>
      </c>
      <c r="J216" s="6">
        <v>42</v>
      </c>
      <c r="K216" s="6"/>
      <c r="L216" s="6"/>
      <c r="M216" s="6"/>
      <c r="N216" s="6"/>
      <c r="O216" s="3"/>
      <c r="P216" s="3"/>
      <c r="Q216" s="3"/>
      <c r="R216" s="3"/>
      <c r="S216" s="6">
        <f t="shared" si="65"/>
        <v>175.5</v>
      </c>
      <c r="T216">
        <v>1</v>
      </c>
      <c r="U216" s="4" t="s">
        <v>252</v>
      </c>
      <c r="V216" s="4" t="s">
        <v>253</v>
      </c>
      <c r="W216" s="4" t="s">
        <v>167</v>
      </c>
      <c r="X216" s="5">
        <f t="shared" si="68"/>
        <v>0</v>
      </c>
      <c r="Y216" s="5">
        <f t="shared" si="69"/>
        <v>0</v>
      </c>
      <c r="Z216" s="5">
        <f t="shared" si="70"/>
        <v>0</v>
      </c>
      <c r="AA216" s="5">
        <f t="shared" si="71"/>
        <v>0</v>
      </c>
      <c r="AB216" s="5">
        <f t="shared" si="72"/>
        <v>41.25</v>
      </c>
      <c r="AC216" s="5">
        <f t="shared" si="73"/>
        <v>45</v>
      </c>
      <c r="AD216" s="5">
        <f t="shared" si="74"/>
        <v>30</v>
      </c>
      <c r="AE216" s="5">
        <f t="shared" si="83"/>
        <v>0</v>
      </c>
      <c r="AF216" s="5">
        <f t="shared" si="76"/>
        <v>0</v>
      </c>
      <c r="AG216" s="5">
        <f t="shared" si="77"/>
        <v>0</v>
      </c>
      <c r="AH216" s="5">
        <f t="shared" si="78"/>
        <v>0</v>
      </c>
      <c r="AI216" s="5">
        <f t="shared" si="79"/>
        <v>0</v>
      </c>
      <c r="AJ216" s="5">
        <f t="shared" si="80"/>
        <v>0</v>
      </c>
      <c r="AK216" s="5">
        <f t="shared" si="81"/>
        <v>0</v>
      </c>
      <c r="AL216" s="5">
        <f t="shared" si="82"/>
        <v>0</v>
      </c>
      <c r="AM216" s="6">
        <f t="shared" si="66"/>
        <v>116.25</v>
      </c>
    </row>
    <row r="217" spans="1:39" x14ac:dyDescent="0.25">
      <c r="A217" s="4" t="s">
        <v>254</v>
      </c>
      <c r="B217" s="4" t="s">
        <v>255</v>
      </c>
      <c r="C217" s="4" t="s">
        <v>167</v>
      </c>
      <c r="D217" s="5"/>
      <c r="E217" s="6">
        <v>33</v>
      </c>
      <c r="F217" s="6">
        <v>21</v>
      </c>
      <c r="G217" s="6">
        <v>12</v>
      </c>
      <c r="H217" s="6">
        <v>46.5</v>
      </c>
      <c r="I217" s="6">
        <v>48</v>
      </c>
      <c r="J217" s="6">
        <v>45</v>
      </c>
      <c r="K217" s="6"/>
      <c r="L217" s="6"/>
      <c r="M217" s="6">
        <v>30</v>
      </c>
      <c r="N217" s="6"/>
      <c r="O217" s="3"/>
      <c r="P217" s="3"/>
      <c r="Q217" s="3"/>
      <c r="R217" s="3"/>
      <c r="S217" s="6">
        <f t="shared" si="65"/>
        <v>235.5</v>
      </c>
      <c r="T217">
        <v>1</v>
      </c>
      <c r="U217" s="4" t="s">
        <v>254</v>
      </c>
      <c r="V217" s="4" t="s">
        <v>255</v>
      </c>
      <c r="W217" s="4" t="s">
        <v>167</v>
      </c>
      <c r="X217" s="5">
        <f t="shared" si="68"/>
        <v>0</v>
      </c>
      <c r="Y217" s="5">
        <f t="shared" si="69"/>
        <v>20</v>
      </c>
      <c r="Z217" s="5">
        <f t="shared" si="70"/>
        <v>0</v>
      </c>
      <c r="AA217" s="5">
        <f t="shared" si="71"/>
        <v>0</v>
      </c>
      <c r="AB217" s="5">
        <f t="shared" si="72"/>
        <v>41.25</v>
      </c>
      <c r="AC217" s="5">
        <f t="shared" si="73"/>
        <v>45</v>
      </c>
      <c r="AD217" s="5">
        <f t="shared" si="74"/>
        <v>37.5</v>
      </c>
      <c r="AE217" s="5">
        <f t="shared" si="83"/>
        <v>0</v>
      </c>
      <c r="AF217" s="5">
        <f t="shared" si="76"/>
        <v>0</v>
      </c>
      <c r="AG217" s="5">
        <f t="shared" si="77"/>
        <v>0</v>
      </c>
      <c r="AH217" s="5">
        <f t="shared" si="78"/>
        <v>0</v>
      </c>
      <c r="AI217" s="5">
        <f t="shared" si="79"/>
        <v>0</v>
      </c>
      <c r="AJ217" s="5">
        <f t="shared" si="80"/>
        <v>0</v>
      </c>
      <c r="AK217" s="5">
        <f t="shared" si="81"/>
        <v>0</v>
      </c>
      <c r="AL217" s="5">
        <f t="shared" si="82"/>
        <v>0</v>
      </c>
      <c r="AM217" s="6">
        <f t="shared" si="66"/>
        <v>143.75</v>
      </c>
    </row>
    <row r="218" spans="1:39" x14ac:dyDescent="0.25">
      <c r="A218" s="4" t="s">
        <v>256</v>
      </c>
      <c r="B218" s="4" t="s">
        <v>257</v>
      </c>
      <c r="C218" s="4" t="s">
        <v>167</v>
      </c>
      <c r="D218" s="5">
        <v>30</v>
      </c>
      <c r="E218" s="6">
        <v>35.200000000000003</v>
      </c>
      <c r="F218" s="6">
        <v>39</v>
      </c>
      <c r="G218" s="6">
        <v>21</v>
      </c>
      <c r="H218" s="6">
        <v>28.5</v>
      </c>
      <c r="I218" s="6"/>
      <c r="J218" s="6"/>
      <c r="K218" s="6">
        <v>75</v>
      </c>
      <c r="L218" s="6"/>
      <c r="M218" s="6"/>
      <c r="N218" s="6"/>
      <c r="O218" s="3"/>
      <c r="P218" s="3"/>
      <c r="Q218" s="3"/>
      <c r="R218" s="3"/>
      <c r="S218" s="6">
        <f t="shared" si="65"/>
        <v>228.7</v>
      </c>
      <c r="T218">
        <v>1</v>
      </c>
      <c r="U218" s="4" t="s">
        <v>256</v>
      </c>
      <c r="V218" s="4" t="s">
        <v>257</v>
      </c>
      <c r="W218" s="4" t="s">
        <v>167</v>
      </c>
      <c r="X218" s="5">
        <f t="shared" si="68"/>
        <v>0</v>
      </c>
      <c r="Y218" s="5">
        <f t="shared" si="69"/>
        <v>25.500000000000007</v>
      </c>
      <c r="Z218" s="5">
        <f t="shared" si="70"/>
        <v>35</v>
      </c>
      <c r="AA218" s="5">
        <f t="shared" si="71"/>
        <v>0</v>
      </c>
      <c r="AB218" s="5">
        <f t="shared" si="72"/>
        <v>0</v>
      </c>
      <c r="AC218" s="5">
        <f t="shared" si="73"/>
        <v>0</v>
      </c>
      <c r="AD218" s="5">
        <f t="shared" si="74"/>
        <v>0</v>
      </c>
      <c r="AE218" s="5">
        <f t="shared" si="83"/>
        <v>112.5</v>
      </c>
      <c r="AF218" s="5">
        <f t="shared" si="76"/>
        <v>0</v>
      </c>
      <c r="AG218" s="5">
        <f t="shared" si="77"/>
        <v>0</v>
      </c>
      <c r="AH218" s="5">
        <f t="shared" si="78"/>
        <v>0</v>
      </c>
      <c r="AI218" s="5">
        <f t="shared" si="79"/>
        <v>0</v>
      </c>
      <c r="AJ218" s="5">
        <f t="shared" si="80"/>
        <v>0</v>
      </c>
      <c r="AK218" s="5">
        <f t="shared" si="81"/>
        <v>0</v>
      </c>
      <c r="AL218" s="5">
        <f t="shared" si="82"/>
        <v>0</v>
      </c>
      <c r="AM218" s="6">
        <f t="shared" si="66"/>
        <v>173</v>
      </c>
    </row>
    <row r="219" spans="1:39" x14ac:dyDescent="0.25">
      <c r="A219" s="4" t="s">
        <v>258</v>
      </c>
      <c r="B219" s="4" t="s">
        <v>259</v>
      </c>
      <c r="C219" s="4" t="s">
        <v>167</v>
      </c>
      <c r="D219" s="5">
        <v>30</v>
      </c>
      <c r="E219" s="6"/>
      <c r="F219" s="6">
        <v>34.5</v>
      </c>
      <c r="G219" s="6">
        <v>16.5</v>
      </c>
      <c r="H219" s="6">
        <v>43.5</v>
      </c>
      <c r="I219" s="6">
        <v>46.5</v>
      </c>
      <c r="J219" s="6">
        <v>51</v>
      </c>
      <c r="K219" s="6"/>
      <c r="L219" s="6"/>
      <c r="M219" s="6"/>
      <c r="N219" s="6"/>
      <c r="O219" s="3"/>
      <c r="P219" s="3"/>
      <c r="Q219" s="3"/>
      <c r="R219" s="3"/>
      <c r="S219" s="6">
        <f t="shared" si="65"/>
        <v>222</v>
      </c>
      <c r="T219">
        <v>1</v>
      </c>
      <c r="U219" s="4" t="s">
        <v>258</v>
      </c>
      <c r="V219" s="4" t="s">
        <v>259</v>
      </c>
      <c r="W219" s="4" t="s">
        <v>167</v>
      </c>
      <c r="X219" s="5">
        <f t="shared" si="68"/>
        <v>0</v>
      </c>
      <c r="Y219" s="5">
        <f t="shared" si="69"/>
        <v>0</v>
      </c>
      <c r="Z219" s="5">
        <f t="shared" si="70"/>
        <v>23.75</v>
      </c>
      <c r="AA219" s="5">
        <f t="shared" si="71"/>
        <v>0</v>
      </c>
      <c r="AB219" s="5">
        <f t="shared" si="72"/>
        <v>33.75</v>
      </c>
      <c r="AC219" s="5">
        <f t="shared" si="73"/>
        <v>41.25</v>
      </c>
      <c r="AD219" s="5">
        <f t="shared" si="74"/>
        <v>52.5</v>
      </c>
      <c r="AE219" s="5">
        <f t="shared" si="83"/>
        <v>0</v>
      </c>
      <c r="AF219" s="5">
        <f t="shared" si="76"/>
        <v>0</v>
      </c>
      <c r="AG219" s="5">
        <f t="shared" si="77"/>
        <v>0</v>
      </c>
      <c r="AH219" s="5">
        <f t="shared" si="78"/>
        <v>0</v>
      </c>
      <c r="AI219" s="5">
        <f t="shared" si="79"/>
        <v>0</v>
      </c>
      <c r="AJ219" s="5">
        <f t="shared" si="80"/>
        <v>0</v>
      </c>
      <c r="AK219" s="5">
        <f t="shared" si="81"/>
        <v>0</v>
      </c>
      <c r="AL219" s="5">
        <f t="shared" si="82"/>
        <v>0</v>
      </c>
      <c r="AM219" s="6">
        <f t="shared" si="66"/>
        <v>151.25</v>
      </c>
    </row>
    <row r="220" spans="1:39" x14ac:dyDescent="0.25">
      <c r="A220" s="4" t="s">
        <v>260</v>
      </c>
      <c r="B220" s="4" t="s">
        <v>261</v>
      </c>
      <c r="C220" s="4" t="s">
        <v>167</v>
      </c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3"/>
      <c r="P220" s="3"/>
      <c r="Q220" s="3"/>
      <c r="R220" s="3"/>
      <c r="S220" s="6">
        <f t="shared" si="65"/>
        <v>0</v>
      </c>
      <c r="T220">
        <v>1</v>
      </c>
      <c r="U220" s="4" t="s">
        <v>260</v>
      </c>
      <c r="V220" s="4" t="s">
        <v>261</v>
      </c>
      <c r="W220" s="4" t="s">
        <v>167</v>
      </c>
      <c r="X220" s="5">
        <f t="shared" si="68"/>
        <v>0</v>
      </c>
      <c r="Y220" s="5">
        <f t="shared" si="69"/>
        <v>0</v>
      </c>
      <c r="Z220" s="5">
        <f t="shared" si="70"/>
        <v>0</v>
      </c>
      <c r="AA220" s="5">
        <f t="shared" si="71"/>
        <v>0</v>
      </c>
      <c r="AB220" s="5">
        <f t="shared" si="72"/>
        <v>0</v>
      </c>
      <c r="AC220" s="5">
        <f t="shared" si="73"/>
        <v>0</v>
      </c>
      <c r="AD220" s="5">
        <f t="shared" si="74"/>
        <v>0</v>
      </c>
      <c r="AE220" s="5">
        <f t="shared" si="83"/>
        <v>0</v>
      </c>
      <c r="AF220" s="5">
        <f t="shared" si="76"/>
        <v>0</v>
      </c>
      <c r="AG220" s="5">
        <f t="shared" si="77"/>
        <v>0</v>
      </c>
      <c r="AH220" s="5">
        <f t="shared" si="78"/>
        <v>0</v>
      </c>
      <c r="AI220" s="5">
        <f t="shared" si="79"/>
        <v>0</v>
      </c>
      <c r="AJ220" s="5">
        <f t="shared" si="80"/>
        <v>0</v>
      </c>
      <c r="AK220" s="5">
        <f t="shared" si="81"/>
        <v>0</v>
      </c>
      <c r="AL220" s="5">
        <f t="shared" si="82"/>
        <v>0</v>
      </c>
      <c r="AM220" s="6">
        <f t="shared" si="66"/>
        <v>0</v>
      </c>
    </row>
    <row r="221" spans="1:39" x14ac:dyDescent="0.25">
      <c r="A221" s="4" t="s">
        <v>262</v>
      </c>
      <c r="B221" s="4" t="s">
        <v>263</v>
      </c>
      <c r="C221" s="4" t="s">
        <v>167</v>
      </c>
      <c r="D221" s="5"/>
      <c r="E221" s="6">
        <v>30.8</v>
      </c>
      <c r="F221" s="6">
        <v>37.5</v>
      </c>
      <c r="G221" s="6">
        <v>16.5</v>
      </c>
      <c r="H221" s="6">
        <v>45</v>
      </c>
      <c r="I221" s="6">
        <v>52.5</v>
      </c>
      <c r="J221" s="6">
        <v>48</v>
      </c>
      <c r="K221" s="6">
        <v>45</v>
      </c>
      <c r="L221" s="6"/>
      <c r="M221" s="6">
        <v>42</v>
      </c>
      <c r="N221" s="6"/>
      <c r="O221" s="3"/>
      <c r="P221" s="3"/>
      <c r="Q221" s="3"/>
      <c r="R221" s="3"/>
      <c r="S221" s="6">
        <f t="shared" ref="S221:S285" si="84">SUM(D221:R221)</f>
        <v>317.3</v>
      </c>
      <c r="T221">
        <v>1</v>
      </c>
      <c r="U221" s="4" t="s">
        <v>262</v>
      </c>
      <c r="V221" s="4" t="s">
        <v>263</v>
      </c>
      <c r="W221" s="4" t="s">
        <v>167</v>
      </c>
      <c r="X221" s="5">
        <f t="shared" si="68"/>
        <v>0</v>
      </c>
      <c r="Y221" s="5">
        <f t="shared" si="69"/>
        <v>14.500000000000002</v>
      </c>
      <c r="Z221" s="5">
        <f t="shared" si="70"/>
        <v>31.25</v>
      </c>
      <c r="AA221" s="5">
        <f t="shared" si="71"/>
        <v>0</v>
      </c>
      <c r="AB221" s="5">
        <f t="shared" si="72"/>
        <v>37.5</v>
      </c>
      <c r="AC221" s="5">
        <f t="shared" si="73"/>
        <v>56.25</v>
      </c>
      <c r="AD221" s="5">
        <f t="shared" si="74"/>
        <v>45</v>
      </c>
      <c r="AE221" s="5">
        <f t="shared" si="83"/>
        <v>37.5</v>
      </c>
      <c r="AF221" s="5">
        <f t="shared" si="76"/>
        <v>0</v>
      </c>
      <c r="AG221" s="5">
        <f t="shared" si="77"/>
        <v>30</v>
      </c>
      <c r="AH221" s="5">
        <f t="shared" si="78"/>
        <v>0</v>
      </c>
      <c r="AI221" s="5">
        <f t="shared" si="79"/>
        <v>0</v>
      </c>
      <c r="AJ221" s="5">
        <f t="shared" si="80"/>
        <v>0</v>
      </c>
      <c r="AK221" s="5">
        <f t="shared" si="81"/>
        <v>0</v>
      </c>
      <c r="AL221" s="5">
        <f t="shared" si="82"/>
        <v>0</v>
      </c>
      <c r="AM221" s="6">
        <f t="shared" ref="AM221:AM285" si="85">SUM(X221:AL221)</f>
        <v>252</v>
      </c>
    </row>
    <row r="222" spans="1:39" x14ac:dyDescent="0.25">
      <c r="A222" s="4" t="s">
        <v>264</v>
      </c>
      <c r="B222" s="4" t="s">
        <v>265</v>
      </c>
      <c r="C222" s="4" t="s">
        <v>167</v>
      </c>
      <c r="D222" s="5">
        <v>21</v>
      </c>
      <c r="E222" s="6">
        <v>26.400000000000002</v>
      </c>
      <c r="F222" s="6">
        <v>24</v>
      </c>
      <c r="G222" s="6">
        <v>18</v>
      </c>
      <c r="H222" s="6">
        <v>39</v>
      </c>
      <c r="I222" s="6"/>
      <c r="J222" s="6">
        <v>45</v>
      </c>
      <c r="K222" s="6">
        <v>37.5</v>
      </c>
      <c r="L222" s="6"/>
      <c r="M222" s="6">
        <v>36</v>
      </c>
      <c r="N222" s="6"/>
      <c r="O222" s="3"/>
      <c r="P222" s="3"/>
      <c r="Q222" s="3"/>
      <c r="R222" s="3"/>
      <c r="S222" s="6">
        <f t="shared" si="84"/>
        <v>246.9</v>
      </c>
      <c r="T222">
        <v>1</v>
      </c>
      <c r="U222" s="4" t="s">
        <v>264</v>
      </c>
      <c r="V222" s="4" t="s">
        <v>265</v>
      </c>
      <c r="W222" s="4" t="s">
        <v>167</v>
      </c>
      <c r="X222" s="5">
        <f t="shared" si="68"/>
        <v>0</v>
      </c>
      <c r="Y222" s="5">
        <f t="shared" si="69"/>
        <v>3.5000000000000053</v>
      </c>
      <c r="Z222" s="5">
        <f t="shared" si="70"/>
        <v>0</v>
      </c>
      <c r="AA222" s="5">
        <f t="shared" si="71"/>
        <v>0</v>
      </c>
      <c r="AB222" s="5">
        <f t="shared" si="72"/>
        <v>22.5</v>
      </c>
      <c r="AC222" s="5">
        <f t="shared" si="73"/>
        <v>0</v>
      </c>
      <c r="AD222" s="5">
        <f t="shared" si="74"/>
        <v>37.5</v>
      </c>
      <c r="AE222" s="5">
        <f t="shared" si="83"/>
        <v>18.75</v>
      </c>
      <c r="AF222" s="5">
        <f t="shared" si="76"/>
        <v>0</v>
      </c>
      <c r="AG222" s="5">
        <f t="shared" si="77"/>
        <v>15</v>
      </c>
      <c r="AH222" s="5">
        <f t="shared" si="78"/>
        <v>0</v>
      </c>
      <c r="AI222" s="5">
        <f t="shared" si="79"/>
        <v>0</v>
      </c>
      <c r="AJ222" s="5">
        <f t="shared" si="80"/>
        <v>0</v>
      </c>
      <c r="AK222" s="5">
        <f t="shared" si="81"/>
        <v>0</v>
      </c>
      <c r="AL222" s="5">
        <f t="shared" si="82"/>
        <v>0</v>
      </c>
      <c r="AM222" s="6">
        <f t="shared" si="85"/>
        <v>97.25</v>
      </c>
    </row>
    <row r="223" spans="1:39" x14ac:dyDescent="0.25">
      <c r="A223" s="4" t="s">
        <v>266</v>
      </c>
      <c r="B223" s="4" t="s">
        <v>267</v>
      </c>
      <c r="C223" s="4" t="s">
        <v>167</v>
      </c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3"/>
      <c r="P223" s="3"/>
      <c r="Q223" s="3"/>
      <c r="R223" s="3"/>
      <c r="S223" s="6">
        <f t="shared" si="84"/>
        <v>0</v>
      </c>
      <c r="T223">
        <v>1</v>
      </c>
      <c r="U223" s="4" t="s">
        <v>266</v>
      </c>
      <c r="V223" s="4" t="s">
        <v>267</v>
      </c>
      <c r="W223" s="4" t="s">
        <v>167</v>
      </c>
      <c r="X223" s="5">
        <f t="shared" si="68"/>
        <v>0</v>
      </c>
      <c r="Y223" s="5">
        <f t="shared" si="69"/>
        <v>0</v>
      </c>
      <c r="Z223" s="5">
        <f t="shared" si="70"/>
        <v>0</v>
      </c>
      <c r="AA223" s="5">
        <f t="shared" si="71"/>
        <v>0</v>
      </c>
      <c r="AB223" s="5">
        <f t="shared" si="72"/>
        <v>0</v>
      </c>
      <c r="AC223" s="5">
        <f t="shared" si="73"/>
        <v>0</v>
      </c>
      <c r="AD223" s="5">
        <f t="shared" si="74"/>
        <v>0</v>
      </c>
      <c r="AE223" s="5">
        <f t="shared" si="83"/>
        <v>0</v>
      </c>
      <c r="AF223" s="5">
        <f t="shared" si="76"/>
        <v>0</v>
      </c>
      <c r="AG223" s="5">
        <f t="shared" si="77"/>
        <v>0</v>
      </c>
      <c r="AH223" s="5">
        <f t="shared" si="78"/>
        <v>0</v>
      </c>
      <c r="AI223" s="5">
        <f t="shared" si="79"/>
        <v>0</v>
      </c>
      <c r="AJ223" s="5">
        <f t="shared" si="80"/>
        <v>0</v>
      </c>
      <c r="AK223" s="5">
        <f t="shared" si="81"/>
        <v>0</v>
      </c>
      <c r="AL223" s="5">
        <f t="shared" si="82"/>
        <v>0</v>
      </c>
      <c r="AM223" s="6">
        <f t="shared" si="85"/>
        <v>0</v>
      </c>
    </row>
    <row r="224" spans="1:39" x14ac:dyDescent="0.25">
      <c r="A224" s="4" t="s">
        <v>268</v>
      </c>
      <c r="B224" s="4" t="s">
        <v>269</v>
      </c>
      <c r="C224" s="4" t="s">
        <v>167</v>
      </c>
      <c r="D224" s="5">
        <v>27</v>
      </c>
      <c r="E224" s="6">
        <v>24.200000000000003</v>
      </c>
      <c r="F224" s="6">
        <v>21</v>
      </c>
      <c r="G224" s="6">
        <v>15</v>
      </c>
      <c r="H224" s="6">
        <v>42</v>
      </c>
      <c r="I224" s="6">
        <v>52.5</v>
      </c>
      <c r="J224" s="6"/>
      <c r="K224" s="6">
        <v>52.5</v>
      </c>
      <c r="L224" s="6"/>
      <c r="M224" s="6">
        <v>39</v>
      </c>
      <c r="N224" s="6"/>
      <c r="O224" s="3"/>
      <c r="P224" s="3"/>
      <c r="Q224" s="3"/>
      <c r="R224" s="3"/>
      <c r="S224" s="6">
        <f t="shared" si="84"/>
        <v>273.2</v>
      </c>
      <c r="T224">
        <v>1</v>
      </c>
      <c r="U224" s="4" t="s">
        <v>268</v>
      </c>
      <c r="V224" s="4" t="s">
        <v>269</v>
      </c>
      <c r="W224" s="4" t="s">
        <v>167</v>
      </c>
      <c r="X224" s="5">
        <f t="shared" si="68"/>
        <v>0</v>
      </c>
      <c r="Y224" s="5">
        <f t="shared" si="69"/>
        <v>0</v>
      </c>
      <c r="Z224" s="5">
        <f t="shared" si="70"/>
        <v>0</v>
      </c>
      <c r="AA224" s="5">
        <f t="shared" si="71"/>
        <v>0</v>
      </c>
      <c r="AB224" s="5">
        <f t="shared" si="72"/>
        <v>30</v>
      </c>
      <c r="AC224" s="5">
        <f t="shared" si="73"/>
        <v>56.25</v>
      </c>
      <c r="AD224" s="5">
        <f t="shared" si="74"/>
        <v>0</v>
      </c>
      <c r="AE224" s="5">
        <f t="shared" si="83"/>
        <v>56.25</v>
      </c>
      <c r="AF224" s="5">
        <f t="shared" si="76"/>
        <v>0</v>
      </c>
      <c r="AG224" s="5">
        <f t="shared" si="77"/>
        <v>22.5</v>
      </c>
      <c r="AH224" s="5">
        <f t="shared" si="78"/>
        <v>0</v>
      </c>
      <c r="AI224" s="5">
        <f t="shared" si="79"/>
        <v>0</v>
      </c>
      <c r="AJ224" s="5">
        <f t="shared" si="80"/>
        <v>0</v>
      </c>
      <c r="AK224" s="5">
        <f t="shared" si="81"/>
        <v>0</v>
      </c>
      <c r="AL224" s="5">
        <f t="shared" si="82"/>
        <v>0</v>
      </c>
      <c r="AM224" s="6">
        <f t="shared" si="85"/>
        <v>165</v>
      </c>
    </row>
    <row r="225" spans="1:39" x14ac:dyDescent="0.25">
      <c r="A225" s="4" t="s">
        <v>270</v>
      </c>
      <c r="B225" s="4" t="s">
        <v>271</v>
      </c>
      <c r="C225" s="4" t="s">
        <v>167</v>
      </c>
      <c r="D225" s="5">
        <v>30</v>
      </c>
      <c r="E225" s="6">
        <v>37.400000000000006</v>
      </c>
      <c r="F225" s="6">
        <v>24</v>
      </c>
      <c r="G225" s="6">
        <v>13.5</v>
      </c>
      <c r="H225" s="6">
        <v>42</v>
      </c>
      <c r="I225" s="6">
        <v>55.5</v>
      </c>
      <c r="J225" s="6">
        <v>51</v>
      </c>
      <c r="K225" s="6">
        <v>37.5</v>
      </c>
      <c r="L225" s="6"/>
      <c r="M225" s="6">
        <v>28.5</v>
      </c>
      <c r="N225" s="6"/>
      <c r="O225" s="3"/>
      <c r="P225" s="3"/>
      <c r="Q225" s="3"/>
      <c r="R225" s="3"/>
      <c r="S225" s="6">
        <f t="shared" si="84"/>
        <v>319.39999999999998</v>
      </c>
      <c r="T225">
        <v>1</v>
      </c>
      <c r="U225" s="4" t="s">
        <v>270</v>
      </c>
      <c r="V225" s="4" t="s">
        <v>271</v>
      </c>
      <c r="W225" s="4" t="s">
        <v>167</v>
      </c>
      <c r="X225" s="5">
        <f t="shared" si="68"/>
        <v>0</v>
      </c>
      <c r="Y225" s="5">
        <f t="shared" si="69"/>
        <v>31.000000000000014</v>
      </c>
      <c r="Z225" s="5">
        <f t="shared" si="70"/>
        <v>0</v>
      </c>
      <c r="AA225" s="5">
        <f t="shared" si="71"/>
        <v>0</v>
      </c>
      <c r="AB225" s="5">
        <f t="shared" si="72"/>
        <v>30</v>
      </c>
      <c r="AC225" s="5">
        <f t="shared" si="73"/>
        <v>63.75</v>
      </c>
      <c r="AD225" s="5">
        <f t="shared" si="74"/>
        <v>52.5</v>
      </c>
      <c r="AE225" s="5">
        <f t="shared" si="83"/>
        <v>18.75</v>
      </c>
      <c r="AF225" s="5">
        <f t="shared" si="76"/>
        <v>0</v>
      </c>
      <c r="AG225" s="5">
        <f t="shared" si="77"/>
        <v>0</v>
      </c>
      <c r="AH225" s="5">
        <f t="shared" si="78"/>
        <v>0</v>
      </c>
      <c r="AI225" s="5">
        <f t="shared" si="79"/>
        <v>0</v>
      </c>
      <c r="AJ225" s="5">
        <f t="shared" si="80"/>
        <v>0</v>
      </c>
      <c r="AK225" s="5">
        <f t="shared" si="81"/>
        <v>0</v>
      </c>
      <c r="AL225" s="5">
        <f t="shared" si="82"/>
        <v>0</v>
      </c>
      <c r="AM225" s="6">
        <f t="shared" si="85"/>
        <v>196</v>
      </c>
    </row>
    <row r="226" spans="1:39" x14ac:dyDescent="0.25">
      <c r="A226" s="4" t="s">
        <v>272</v>
      </c>
      <c r="B226" s="4" t="s">
        <v>273</v>
      </c>
      <c r="C226" s="4" t="s">
        <v>167</v>
      </c>
      <c r="D226" s="5">
        <v>30</v>
      </c>
      <c r="E226" s="6">
        <v>35.200000000000003</v>
      </c>
      <c r="F226" s="6">
        <v>21</v>
      </c>
      <c r="G226" s="6">
        <v>15</v>
      </c>
      <c r="H226" s="6"/>
      <c r="I226" s="6"/>
      <c r="J226" s="6"/>
      <c r="K226" s="6">
        <v>45</v>
      </c>
      <c r="L226" s="6"/>
      <c r="M226" s="6">
        <v>3</v>
      </c>
      <c r="N226" s="6"/>
      <c r="O226" s="3"/>
      <c r="P226" s="3"/>
      <c r="Q226" s="3"/>
      <c r="R226" s="3"/>
      <c r="S226" s="6">
        <f t="shared" si="84"/>
        <v>149.19999999999999</v>
      </c>
      <c r="T226">
        <v>1</v>
      </c>
      <c r="U226" s="4" t="s">
        <v>272</v>
      </c>
      <c r="V226" s="4" t="s">
        <v>273</v>
      </c>
      <c r="W226" s="4" t="s">
        <v>167</v>
      </c>
      <c r="X226" s="5">
        <f t="shared" si="68"/>
        <v>0</v>
      </c>
      <c r="Y226" s="5">
        <f t="shared" si="69"/>
        <v>25.500000000000007</v>
      </c>
      <c r="Z226" s="5">
        <f t="shared" si="70"/>
        <v>0</v>
      </c>
      <c r="AA226" s="5">
        <f t="shared" si="71"/>
        <v>0</v>
      </c>
      <c r="AB226" s="5">
        <f t="shared" si="72"/>
        <v>0</v>
      </c>
      <c r="AC226" s="5">
        <f t="shared" si="73"/>
        <v>0</v>
      </c>
      <c r="AD226" s="5">
        <f t="shared" si="74"/>
        <v>0</v>
      </c>
      <c r="AE226" s="5">
        <f t="shared" si="83"/>
        <v>37.5</v>
      </c>
      <c r="AF226" s="5">
        <f t="shared" si="76"/>
        <v>0</v>
      </c>
      <c r="AG226" s="5">
        <f t="shared" si="77"/>
        <v>0</v>
      </c>
      <c r="AH226" s="5">
        <f t="shared" si="78"/>
        <v>0</v>
      </c>
      <c r="AI226" s="5">
        <f t="shared" si="79"/>
        <v>0</v>
      </c>
      <c r="AJ226" s="5">
        <f t="shared" si="80"/>
        <v>0</v>
      </c>
      <c r="AK226" s="5">
        <f t="shared" si="81"/>
        <v>0</v>
      </c>
      <c r="AL226" s="5">
        <f t="shared" si="82"/>
        <v>0</v>
      </c>
      <c r="AM226" s="6">
        <f t="shared" si="85"/>
        <v>63.000000000000007</v>
      </c>
    </row>
    <row r="227" spans="1:39" x14ac:dyDescent="0.25">
      <c r="A227" s="4" t="s">
        <v>274</v>
      </c>
      <c r="B227" s="4" t="s">
        <v>275</v>
      </c>
      <c r="C227" s="4" t="s">
        <v>167</v>
      </c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3"/>
      <c r="P227" s="3"/>
      <c r="Q227" s="3"/>
      <c r="R227" s="3"/>
      <c r="S227" s="6">
        <f t="shared" si="84"/>
        <v>0</v>
      </c>
      <c r="T227">
        <v>1</v>
      </c>
      <c r="U227" s="4" t="s">
        <v>274</v>
      </c>
      <c r="V227" s="4" t="s">
        <v>275</v>
      </c>
      <c r="W227" s="4" t="s">
        <v>167</v>
      </c>
      <c r="X227" s="5">
        <f t="shared" si="68"/>
        <v>0</v>
      </c>
      <c r="Y227" s="5">
        <f t="shared" si="69"/>
        <v>0</v>
      </c>
      <c r="Z227" s="5">
        <f t="shared" si="70"/>
        <v>0</v>
      </c>
      <c r="AA227" s="5">
        <f t="shared" si="71"/>
        <v>0</v>
      </c>
      <c r="AB227" s="5">
        <f t="shared" si="72"/>
        <v>0</v>
      </c>
      <c r="AC227" s="5">
        <f t="shared" si="73"/>
        <v>0</v>
      </c>
      <c r="AD227" s="5">
        <f t="shared" si="74"/>
        <v>0</v>
      </c>
      <c r="AE227" s="5">
        <f t="shared" si="83"/>
        <v>0</v>
      </c>
      <c r="AF227" s="5">
        <f t="shared" si="76"/>
        <v>0</v>
      </c>
      <c r="AG227" s="5">
        <f t="shared" si="77"/>
        <v>0</v>
      </c>
      <c r="AH227" s="5">
        <f t="shared" si="78"/>
        <v>0</v>
      </c>
      <c r="AI227" s="5">
        <f t="shared" si="79"/>
        <v>0</v>
      </c>
      <c r="AJ227" s="5">
        <f t="shared" si="80"/>
        <v>0</v>
      </c>
      <c r="AK227" s="5">
        <f t="shared" si="81"/>
        <v>0</v>
      </c>
      <c r="AL227" s="5">
        <f t="shared" si="82"/>
        <v>0</v>
      </c>
      <c r="AM227" s="6">
        <f t="shared" si="85"/>
        <v>0</v>
      </c>
    </row>
    <row r="228" spans="1:39" x14ac:dyDescent="0.25">
      <c r="A228" s="4" t="s">
        <v>276</v>
      </c>
      <c r="B228" s="4" t="s">
        <v>277</v>
      </c>
      <c r="C228" s="4" t="s">
        <v>167</v>
      </c>
      <c r="D228" s="5">
        <v>30</v>
      </c>
      <c r="E228" s="6">
        <v>30.800000000000004</v>
      </c>
      <c r="F228" s="6">
        <v>33</v>
      </c>
      <c r="G228" s="6">
        <v>27</v>
      </c>
      <c r="H228" s="6"/>
      <c r="I228" s="6">
        <v>43.5</v>
      </c>
      <c r="J228" s="6">
        <v>48</v>
      </c>
      <c r="K228" s="6">
        <v>67.5</v>
      </c>
      <c r="L228" s="6"/>
      <c r="M228" s="6">
        <v>37.5</v>
      </c>
      <c r="N228" s="6"/>
      <c r="O228" s="3"/>
      <c r="P228" s="3"/>
      <c r="Q228" s="3"/>
      <c r="R228" s="3"/>
      <c r="S228" s="6">
        <f t="shared" si="84"/>
        <v>317.3</v>
      </c>
      <c r="T228">
        <v>1</v>
      </c>
      <c r="U228" s="4" t="s">
        <v>276</v>
      </c>
      <c r="V228" s="4" t="s">
        <v>277</v>
      </c>
      <c r="W228" s="4" t="s">
        <v>167</v>
      </c>
      <c r="X228" s="5">
        <f t="shared" si="68"/>
        <v>0</v>
      </c>
      <c r="Y228" s="5">
        <f t="shared" si="69"/>
        <v>14.500000000000011</v>
      </c>
      <c r="Z228" s="5">
        <f t="shared" si="70"/>
        <v>20</v>
      </c>
      <c r="AA228" s="5">
        <f t="shared" si="71"/>
        <v>5</v>
      </c>
      <c r="AB228" s="5">
        <f t="shared" si="72"/>
        <v>0</v>
      </c>
      <c r="AC228" s="5">
        <f t="shared" si="73"/>
        <v>33.75</v>
      </c>
      <c r="AD228" s="5">
        <f t="shared" si="74"/>
        <v>45</v>
      </c>
      <c r="AE228" s="5">
        <f t="shared" si="83"/>
        <v>93.75</v>
      </c>
      <c r="AF228" s="5">
        <f t="shared" si="76"/>
        <v>0</v>
      </c>
      <c r="AG228" s="5">
        <f t="shared" si="77"/>
        <v>18.75</v>
      </c>
      <c r="AH228" s="5">
        <f t="shared" si="78"/>
        <v>0</v>
      </c>
      <c r="AI228" s="5">
        <f t="shared" si="79"/>
        <v>0</v>
      </c>
      <c r="AJ228" s="5">
        <f t="shared" si="80"/>
        <v>0</v>
      </c>
      <c r="AK228" s="5">
        <f t="shared" si="81"/>
        <v>0</v>
      </c>
      <c r="AL228" s="5">
        <f t="shared" si="82"/>
        <v>0</v>
      </c>
      <c r="AM228" s="6">
        <f t="shared" si="85"/>
        <v>230.75</v>
      </c>
    </row>
    <row r="229" spans="1:39" x14ac:dyDescent="0.25">
      <c r="A229" s="4" t="s">
        <v>278</v>
      </c>
      <c r="B229" s="4" t="s">
        <v>279</v>
      </c>
      <c r="C229" s="4" t="s">
        <v>167</v>
      </c>
      <c r="D229" s="5"/>
      <c r="E229" s="6"/>
      <c r="F229" s="6">
        <v>25.5</v>
      </c>
      <c r="G229" s="6">
        <v>18</v>
      </c>
      <c r="H229" s="6">
        <v>39</v>
      </c>
      <c r="I229" s="6">
        <v>34.5</v>
      </c>
      <c r="J229" s="6">
        <v>3</v>
      </c>
      <c r="K229" s="6">
        <v>52.5</v>
      </c>
      <c r="L229" s="6"/>
      <c r="M229" s="6">
        <v>36</v>
      </c>
      <c r="N229" s="6"/>
      <c r="O229" s="3"/>
      <c r="P229" s="3"/>
      <c r="Q229" s="3"/>
      <c r="R229" s="3"/>
      <c r="S229" s="6">
        <f t="shared" si="84"/>
        <v>208.5</v>
      </c>
      <c r="T229">
        <v>1</v>
      </c>
      <c r="U229" s="4" t="s">
        <v>278</v>
      </c>
      <c r="V229" s="4" t="s">
        <v>279</v>
      </c>
      <c r="W229" s="4" t="s">
        <v>167</v>
      </c>
      <c r="X229" s="5">
        <f t="shared" ref="X229:X276" si="86">IF(D229&lt;=30,0,(D229-30)*2.5)</f>
        <v>0</v>
      </c>
      <c r="Y229" s="5">
        <f t="shared" ref="Y229:Y276" si="87">IF(E229&lt;=25,0,(E229-25)*2.5)</f>
        <v>0</v>
      </c>
      <c r="Z229" s="5">
        <f t="shared" ref="Z229:Z276" si="88">IF(F229&lt;=25,0,(F229-25)*2.5)</f>
        <v>1.25</v>
      </c>
      <c r="AA229" s="5">
        <f t="shared" ref="AA229:AA276" si="89">IF(G229&lt;=25,0,(G229-25)*2.5)</f>
        <v>0</v>
      </c>
      <c r="AB229" s="5">
        <f t="shared" ref="AB229:AB276" si="90">IF(H229&lt;=30,0,(H229-30)*2.5)</f>
        <v>22.5</v>
      </c>
      <c r="AC229" s="5">
        <f t="shared" ref="AC229:AC276" si="91">IF(I229&lt;=30,0,(I229-30)*2.5)</f>
        <v>11.25</v>
      </c>
      <c r="AD229" s="5">
        <f t="shared" ref="AD229:AD276" si="92">IF(J229&lt;=30,0,(J229-30)*2.5)</f>
        <v>0</v>
      </c>
      <c r="AE229" s="5">
        <f t="shared" ref="AE229:AE276" si="93">IF(K229&lt;=30,0,(K229-30)*2.5)</f>
        <v>56.25</v>
      </c>
      <c r="AF229" s="5">
        <f t="shared" ref="AF229:AF276" si="94">IF(L229&lt;=30,0,(L229-30)*2.5)</f>
        <v>0</v>
      </c>
      <c r="AG229" s="5">
        <f t="shared" ref="AG229:AG276" si="95">IF(M229&lt;=30,0,(M229-30)*2.5)</f>
        <v>15</v>
      </c>
      <c r="AH229" s="5">
        <f t="shared" ref="AH229:AH276" si="96">IF(N229&lt;=30,0,(N229-30)*2.5)</f>
        <v>0</v>
      </c>
      <c r="AI229" s="5">
        <f t="shared" ref="AI229:AI276" si="97">IF(O229&lt;=30,0,(O229-30)*2.5)</f>
        <v>0</v>
      </c>
      <c r="AJ229" s="5">
        <f t="shared" ref="AJ229:AJ276" si="98">IF(P229&lt;=30,0,(P229-30)*2.5)</f>
        <v>0</v>
      </c>
      <c r="AK229" s="5">
        <f t="shared" ref="AK229:AK276" si="99">IF(Q229&lt;=30,0,(Q229-30)*2.5)</f>
        <v>0</v>
      </c>
      <c r="AL229" s="5">
        <f t="shared" ref="AL229:AL276" si="100">IF(R229&lt;=30,0,(R229-30)*2.5)</f>
        <v>0</v>
      </c>
      <c r="AM229" s="6">
        <f t="shared" si="85"/>
        <v>106.25</v>
      </c>
    </row>
    <row r="230" spans="1:39" x14ac:dyDescent="0.25">
      <c r="A230" s="4" t="s">
        <v>280</v>
      </c>
      <c r="B230" s="4" t="s">
        <v>281</v>
      </c>
      <c r="C230" s="4" t="s">
        <v>167</v>
      </c>
      <c r="D230" s="5"/>
      <c r="E230" s="6">
        <v>30.8</v>
      </c>
      <c r="F230" s="6">
        <v>39</v>
      </c>
      <c r="G230" s="6">
        <v>13.5</v>
      </c>
      <c r="H230" s="6">
        <v>39</v>
      </c>
      <c r="I230" s="6">
        <v>57</v>
      </c>
      <c r="J230" s="6">
        <v>45</v>
      </c>
      <c r="K230" s="6"/>
      <c r="L230" s="6"/>
      <c r="M230" s="6">
        <v>37.5</v>
      </c>
      <c r="N230" s="6"/>
      <c r="O230" s="3"/>
      <c r="P230" s="3"/>
      <c r="Q230" s="3"/>
      <c r="R230" s="3"/>
      <c r="S230" s="6">
        <f t="shared" si="84"/>
        <v>261.8</v>
      </c>
      <c r="T230">
        <v>1</v>
      </c>
      <c r="U230" s="4" t="s">
        <v>280</v>
      </c>
      <c r="V230" s="4" t="s">
        <v>281</v>
      </c>
      <c r="W230" s="4" t="s">
        <v>167</v>
      </c>
      <c r="X230" s="5">
        <f t="shared" si="86"/>
        <v>0</v>
      </c>
      <c r="Y230" s="5">
        <f t="shared" si="87"/>
        <v>14.500000000000002</v>
      </c>
      <c r="Z230" s="5">
        <f t="shared" si="88"/>
        <v>35</v>
      </c>
      <c r="AA230" s="5">
        <f t="shared" si="89"/>
        <v>0</v>
      </c>
      <c r="AB230" s="5">
        <f t="shared" si="90"/>
        <v>22.5</v>
      </c>
      <c r="AC230" s="5">
        <f t="shared" si="91"/>
        <v>67.5</v>
      </c>
      <c r="AD230" s="5">
        <f t="shared" si="92"/>
        <v>37.5</v>
      </c>
      <c r="AE230" s="5">
        <f t="shared" si="93"/>
        <v>0</v>
      </c>
      <c r="AF230" s="5">
        <f t="shared" si="94"/>
        <v>0</v>
      </c>
      <c r="AG230" s="5">
        <f t="shared" si="95"/>
        <v>18.75</v>
      </c>
      <c r="AH230" s="5">
        <f t="shared" si="96"/>
        <v>0</v>
      </c>
      <c r="AI230" s="5">
        <f t="shared" si="97"/>
        <v>0</v>
      </c>
      <c r="AJ230" s="5">
        <f t="shared" si="98"/>
        <v>0</v>
      </c>
      <c r="AK230" s="5">
        <f t="shared" si="99"/>
        <v>0</v>
      </c>
      <c r="AL230" s="5">
        <f t="shared" si="100"/>
        <v>0</v>
      </c>
      <c r="AM230" s="6">
        <f t="shared" si="85"/>
        <v>195.75</v>
      </c>
    </row>
    <row r="231" spans="1:39" x14ac:dyDescent="0.25">
      <c r="A231" s="4" t="s">
        <v>282</v>
      </c>
      <c r="B231" s="4" t="s">
        <v>283</v>
      </c>
      <c r="C231" s="4" t="s">
        <v>167</v>
      </c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3"/>
      <c r="P231" s="3"/>
      <c r="Q231" s="3"/>
      <c r="R231" s="3"/>
      <c r="S231" s="6">
        <f t="shared" si="84"/>
        <v>0</v>
      </c>
      <c r="T231">
        <v>1</v>
      </c>
      <c r="U231" s="4" t="s">
        <v>282</v>
      </c>
      <c r="V231" s="4" t="s">
        <v>283</v>
      </c>
      <c r="W231" s="4" t="s">
        <v>167</v>
      </c>
      <c r="X231" s="5">
        <f t="shared" si="86"/>
        <v>0</v>
      </c>
      <c r="Y231" s="5">
        <f t="shared" si="87"/>
        <v>0</v>
      </c>
      <c r="Z231" s="5">
        <f t="shared" si="88"/>
        <v>0</v>
      </c>
      <c r="AA231" s="5">
        <f t="shared" si="89"/>
        <v>0</v>
      </c>
      <c r="AB231" s="5">
        <f t="shared" si="90"/>
        <v>0</v>
      </c>
      <c r="AC231" s="5">
        <f t="shared" si="91"/>
        <v>0</v>
      </c>
      <c r="AD231" s="5">
        <f t="shared" si="92"/>
        <v>0</v>
      </c>
      <c r="AE231" s="5">
        <f t="shared" si="93"/>
        <v>0</v>
      </c>
      <c r="AF231" s="5">
        <f t="shared" si="94"/>
        <v>0</v>
      </c>
      <c r="AG231" s="5">
        <f t="shared" si="95"/>
        <v>0</v>
      </c>
      <c r="AH231" s="5">
        <f t="shared" si="96"/>
        <v>0</v>
      </c>
      <c r="AI231" s="5">
        <f t="shared" si="97"/>
        <v>0</v>
      </c>
      <c r="AJ231" s="5">
        <f t="shared" si="98"/>
        <v>0</v>
      </c>
      <c r="AK231" s="5">
        <f t="shared" si="99"/>
        <v>0</v>
      </c>
      <c r="AL231" s="5">
        <f t="shared" si="100"/>
        <v>0</v>
      </c>
      <c r="AM231" s="6">
        <f t="shared" si="85"/>
        <v>0</v>
      </c>
    </row>
    <row r="232" spans="1:39" x14ac:dyDescent="0.25">
      <c r="A232" s="4" t="s">
        <v>284</v>
      </c>
      <c r="B232" s="4" t="s">
        <v>285</v>
      </c>
      <c r="C232" s="4" t="s">
        <v>167</v>
      </c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3"/>
      <c r="P232" s="3"/>
      <c r="Q232" s="3"/>
      <c r="R232" s="3"/>
      <c r="S232" s="6">
        <f t="shared" si="84"/>
        <v>0</v>
      </c>
      <c r="T232">
        <v>1</v>
      </c>
      <c r="U232" s="4" t="s">
        <v>284</v>
      </c>
      <c r="V232" s="4" t="s">
        <v>285</v>
      </c>
      <c r="W232" s="4" t="s">
        <v>167</v>
      </c>
      <c r="X232" s="5">
        <f t="shared" si="86"/>
        <v>0</v>
      </c>
      <c r="Y232" s="5">
        <f t="shared" si="87"/>
        <v>0</v>
      </c>
      <c r="Z232" s="5">
        <f t="shared" si="88"/>
        <v>0</v>
      </c>
      <c r="AA232" s="5">
        <f t="shared" si="89"/>
        <v>0</v>
      </c>
      <c r="AB232" s="5">
        <f t="shared" si="90"/>
        <v>0</v>
      </c>
      <c r="AC232" s="5">
        <f t="shared" si="91"/>
        <v>0</v>
      </c>
      <c r="AD232" s="5">
        <f t="shared" si="92"/>
        <v>0</v>
      </c>
      <c r="AE232" s="5">
        <f t="shared" si="93"/>
        <v>0</v>
      </c>
      <c r="AF232" s="5">
        <f t="shared" si="94"/>
        <v>0</v>
      </c>
      <c r="AG232" s="5">
        <f t="shared" si="95"/>
        <v>0</v>
      </c>
      <c r="AH232" s="5">
        <f t="shared" si="96"/>
        <v>0</v>
      </c>
      <c r="AI232" s="5">
        <f t="shared" si="97"/>
        <v>0</v>
      </c>
      <c r="AJ232" s="5">
        <f t="shared" si="98"/>
        <v>0</v>
      </c>
      <c r="AK232" s="5">
        <f t="shared" si="99"/>
        <v>0</v>
      </c>
      <c r="AL232" s="5">
        <f t="shared" si="100"/>
        <v>0</v>
      </c>
      <c r="AM232" s="6">
        <f t="shared" si="85"/>
        <v>0</v>
      </c>
    </row>
    <row r="233" spans="1:39" x14ac:dyDescent="0.25">
      <c r="A233" s="4" t="s">
        <v>286</v>
      </c>
      <c r="B233" s="4" t="s">
        <v>287</v>
      </c>
      <c r="C233" s="4" t="s">
        <v>167</v>
      </c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3"/>
      <c r="P233" s="3"/>
      <c r="Q233" s="3"/>
      <c r="R233" s="3"/>
      <c r="S233" s="6">
        <f t="shared" si="84"/>
        <v>0</v>
      </c>
      <c r="T233">
        <v>1</v>
      </c>
      <c r="U233" s="4" t="s">
        <v>286</v>
      </c>
      <c r="V233" s="4" t="s">
        <v>287</v>
      </c>
      <c r="W233" s="4" t="s">
        <v>167</v>
      </c>
      <c r="X233" s="5">
        <f t="shared" si="86"/>
        <v>0</v>
      </c>
      <c r="Y233" s="5">
        <f t="shared" si="87"/>
        <v>0</v>
      </c>
      <c r="Z233" s="5">
        <f t="shared" si="88"/>
        <v>0</v>
      </c>
      <c r="AA233" s="5">
        <f t="shared" si="89"/>
        <v>0</v>
      </c>
      <c r="AB233" s="5">
        <f t="shared" si="90"/>
        <v>0</v>
      </c>
      <c r="AC233" s="5">
        <f t="shared" si="91"/>
        <v>0</v>
      </c>
      <c r="AD233" s="5">
        <f t="shared" si="92"/>
        <v>0</v>
      </c>
      <c r="AE233" s="5">
        <f t="shared" si="93"/>
        <v>0</v>
      </c>
      <c r="AF233" s="5">
        <f t="shared" si="94"/>
        <v>0</v>
      </c>
      <c r="AG233" s="5">
        <f t="shared" si="95"/>
        <v>0</v>
      </c>
      <c r="AH233" s="5">
        <f t="shared" si="96"/>
        <v>0</v>
      </c>
      <c r="AI233" s="5">
        <f t="shared" si="97"/>
        <v>0</v>
      </c>
      <c r="AJ233" s="5">
        <f t="shared" si="98"/>
        <v>0</v>
      </c>
      <c r="AK233" s="5">
        <f t="shared" si="99"/>
        <v>0</v>
      </c>
      <c r="AL233" s="5">
        <f t="shared" si="100"/>
        <v>0</v>
      </c>
      <c r="AM233" s="6">
        <f t="shared" si="85"/>
        <v>0</v>
      </c>
    </row>
    <row r="234" spans="1:39" x14ac:dyDescent="0.25">
      <c r="A234" s="4" t="s">
        <v>288</v>
      </c>
      <c r="B234" s="4" t="s">
        <v>289</v>
      </c>
      <c r="C234" s="4" t="s">
        <v>167</v>
      </c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3"/>
      <c r="P234" s="3"/>
      <c r="Q234" s="3"/>
      <c r="R234" s="3"/>
      <c r="S234" s="6">
        <f t="shared" si="84"/>
        <v>0</v>
      </c>
      <c r="T234">
        <v>1</v>
      </c>
      <c r="U234" s="4" t="s">
        <v>288</v>
      </c>
      <c r="V234" s="4" t="s">
        <v>289</v>
      </c>
      <c r="W234" s="4" t="s">
        <v>167</v>
      </c>
      <c r="X234" s="5">
        <f t="shared" si="86"/>
        <v>0</v>
      </c>
      <c r="Y234" s="5">
        <f t="shared" si="87"/>
        <v>0</v>
      </c>
      <c r="Z234" s="5">
        <f t="shared" si="88"/>
        <v>0</v>
      </c>
      <c r="AA234" s="5">
        <f t="shared" si="89"/>
        <v>0</v>
      </c>
      <c r="AB234" s="5">
        <f t="shared" si="90"/>
        <v>0</v>
      </c>
      <c r="AC234" s="5">
        <f t="shared" si="91"/>
        <v>0</v>
      </c>
      <c r="AD234" s="5">
        <f t="shared" si="92"/>
        <v>0</v>
      </c>
      <c r="AE234" s="5">
        <f t="shared" si="93"/>
        <v>0</v>
      </c>
      <c r="AF234" s="5">
        <f t="shared" si="94"/>
        <v>0</v>
      </c>
      <c r="AG234" s="5">
        <f t="shared" si="95"/>
        <v>0</v>
      </c>
      <c r="AH234" s="5">
        <f t="shared" si="96"/>
        <v>0</v>
      </c>
      <c r="AI234" s="5">
        <f t="shared" si="97"/>
        <v>0</v>
      </c>
      <c r="AJ234" s="5">
        <f t="shared" si="98"/>
        <v>0</v>
      </c>
      <c r="AK234" s="5">
        <f t="shared" si="99"/>
        <v>0</v>
      </c>
      <c r="AL234" s="5">
        <f t="shared" si="100"/>
        <v>0</v>
      </c>
      <c r="AM234" s="6">
        <f t="shared" si="85"/>
        <v>0</v>
      </c>
    </row>
    <row r="235" spans="1:39" x14ac:dyDescent="0.25">
      <c r="A235" s="4" t="s">
        <v>129</v>
      </c>
      <c r="B235" s="4" t="s">
        <v>130</v>
      </c>
      <c r="C235" s="4" t="s">
        <v>167</v>
      </c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3"/>
      <c r="P235" s="3"/>
      <c r="Q235" s="3"/>
      <c r="R235" s="3"/>
      <c r="S235" s="6">
        <f t="shared" si="84"/>
        <v>0</v>
      </c>
      <c r="T235">
        <v>1</v>
      </c>
      <c r="U235" s="4" t="s">
        <v>129</v>
      </c>
      <c r="V235" s="4" t="s">
        <v>130</v>
      </c>
      <c r="W235" s="4" t="s">
        <v>167</v>
      </c>
      <c r="X235" s="5">
        <f t="shared" si="86"/>
        <v>0</v>
      </c>
      <c r="Y235" s="5">
        <f t="shared" si="87"/>
        <v>0</v>
      </c>
      <c r="Z235" s="5">
        <f t="shared" si="88"/>
        <v>0</v>
      </c>
      <c r="AA235" s="5">
        <f t="shared" si="89"/>
        <v>0</v>
      </c>
      <c r="AB235" s="5">
        <f t="shared" si="90"/>
        <v>0</v>
      </c>
      <c r="AC235" s="5">
        <f t="shared" si="91"/>
        <v>0</v>
      </c>
      <c r="AD235" s="5">
        <f t="shared" si="92"/>
        <v>0</v>
      </c>
      <c r="AE235" s="5">
        <f t="shared" si="93"/>
        <v>0</v>
      </c>
      <c r="AF235" s="5">
        <f t="shared" si="94"/>
        <v>0</v>
      </c>
      <c r="AG235" s="5">
        <f t="shared" si="95"/>
        <v>0</v>
      </c>
      <c r="AH235" s="5">
        <f t="shared" si="96"/>
        <v>0</v>
      </c>
      <c r="AI235" s="5">
        <f t="shared" si="97"/>
        <v>0</v>
      </c>
      <c r="AJ235" s="5">
        <f t="shared" si="98"/>
        <v>0</v>
      </c>
      <c r="AK235" s="5">
        <f t="shared" si="99"/>
        <v>0</v>
      </c>
      <c r="AL235" s="5">
        <f t="shared" si="100"/>
        <v>0</v>
      </c>
      <c r="AM235" s="6">
        <f t="shared" si="85"/>
        <v>0</v>
      </c>
    </row>
    <row r="236" spans="1:39" x14ac:dyDescent="0.25">
      <c r="A236" s="4" t="s">
        <v>290</v>
      </c>
      <c r="B236" s="4" t="s">
        <v>291</v>
      </c>
      <c r="C236" s="4" t="s">
        <v>167</v>
      </c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3"/>
      <c r="P236" s="3"/>
      <c r="Q236" s="3"/>
      <c r="R236" s="3"/>
      <c r="S236" s="6">
        <f t="shared" si="84"/>
        <v>0</v>
      </c>
      <c r="T236">
        <v>1</v>
      </c>
      <c r="U236" s="4" t="s">
        <v>290</v>
      </c>
      <c r="V236" s="4" t="s">
        <v>291</v>
      </c>
      <c r="W236" s="4" t="s">
        <v>167</v>
      </c>
      <c r="X236" s="5">
        <f t="shared" si="86"/>
        <v>0</v>
      </c>
      <c r="Y236" s="5">
        <f t="shared" si="87"/>
        <v>0</v>
      </c>
      <c r="Z236" s="5">
        <f t="shared" si="88"/>
        <v>0</v>
      </c>
      <c r="AA236" s="5">
        <f t="shared" si="89"/>
        <v>0</v>
      </c>
      <c r="AB236" s="5">
        <f t="shared" si="90"/>
        <v>0</v>
      </c>
      <c r="AC236" s="5">
        <f t="shared" si="91"/>
        <v>0</v>
      </c>
      <c r="AD236" s="5">
        <f t="shared" si="92"/>
        <v>0</v>
      </c>
      <c r="AE236" s="5">
        <f t="shared" si="93"/>
        <v>0</v>
      </c>
      <c r="AF236" s="5">
        <f t="shared" si="94"/>
        <v>0</v>
      </c>
      <c r="AG236" s="5">
        <f t="shared" si="95"/>
        <v>0</v>
      </c>
      <c r="AH236" s="5">
        <f t="shared" si="96"/>
        <v>0</v>
      </c>
      <c r="AI236" s="5">
        <f t="shared" si="97"/>
        <v>0</v>
      </c>
      <c r="AJ236" s="5">
        <f t="shared" si="98"/>
        <v>0</v>
      </c>
      <c r="AK236" s="5">
        <f t="shared" si="99"/>
        <v>0</v>
      </c>
      <c r="AL236" s="5">
        <f t="shared" si="100"/>
        <v>0</v>
      </c>
      <c r="AM236" s="6">
        <f t="shared" si="85"/>
        <v>0</v>
      </c>
    </row>
    <row r="237" spans="1:39" x14ac:dyDescent="0.25">
      <c r="A237" s="4" t="s">
        <v>292</v>
      </c>
      <c r="B237" s="4" t="s">
        <v>293</v>
      </c>
      <c r="C237" s="4" t="s">
        <v>167</v>
      </c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3"/>
      <c r="P237" s="3"/>
      <c r="Q237" s="3"/>
      <c r="R237" s="3"/>
      <c r="S237" s="6">
        <f t="shared" si="84"/>
        <v>0</v>
      </c>
      <c r="T237">
        <v>1</v>
      </c>
      <c r="U237" s="4" t="s">
        <v>292</v>
      </c>
      <c r="V237" s="4" t="s">
        <v>293</v>
      </c>
      <c r="W237" s="4" t="s">
        <v>167</v>
      </c>
      <c r="X237" s="5">
        <f t="shared" si="86"/>
        <v>0</v>
      </c>
      <c r="Y237" s="5">
        <f t="shared" si="87"/>
        <v>0</v>
      </c>
      <c r="Z237" s="5">
        <f t="shared" si="88"/>
        <v>0</v>
      </c>
      <c r="AA237" s="5">
        <f t="shared" si="89"/>
        <v>0</v>
      </c>
      <c r="AB237" s="5">
        <f t="shared" si="90"/>
        <v>0</v>
      </c>
      <c r="AC237" s="5">
        <f t="shared" si="91"/>
        <v>0</v>
      </c>
      <c r="AD237" s="5">
        <f t="shared" si="92"/>
        <v>0</v>
      </c>
      <c r="AE237" s="5">
        <f t="shared" si="93"/>
        <v>0</v>
      </c>
      <c r="AF237" s="5">
        <f t="shared" si="94"/>
        <v>0</v>
      </c>
      <c r="AG237" s="5">
        <f t="shared" si="95"/>
        <v>0</v>
      </c>
      <c r="AH237" s="5">
        <f t="shared" si="96"/>
        <v>0</v>
      </c>
      <c r="AI237" s="5">
        <f t="shared" si="97"/>
        <v>0</v>
      </c>
      <c r="AJ237" s="5">
        <f t="shared" si="98"/>
        <v>0</v>
      </c>
      <c r="AK237" s="5">
        <f t="shared" si="99"/>
        <v>0</v>
      </c>
      <c r="AL237" s="5">
        <f t="shared" si="100"/>
        <v>0</v>
      </c>
      <c r="AM237" s="6">
        <f t="shared" si="85"/>
        <v>0</v>
      </c>
    </row>
    <row r="238" spans="1:39" x14ac:dyDescent="0.25">
      <c r="A238" s="4" t="s">
        <v>294</v>
      </c>
      <c r="B238" s="4" t="s">
        <v>295</v>
      </c>
      <c r="C238" s="4" t="s">
        <v>167</v>
      </c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3"/>
      <c r="P238" s="3"/>
      <c r="Q238" s="3"/>
      <c r="R238" s="3"/>
      <c r="S238" s="6">
        <f t="shared" si="84"/>
        <v>0</v>
      </c>
      <c r="T238">
        <v>1</v>
      </c>
      <c r="U238" s="4" t="s">
        <v>294</v>
      </c>
      <c r="V238" s="4" t="s">
        <v>295</v>
      </c>
      <c r="W238" s="4" t="s">
        <v>167</v>
      </c>
      <c r="X238" s="5">
        <f t="shared" si="86"/>
        <v>0</v>
      </c>
      <c r="Y238" s="5">
        <f t="shared" si="87"/>
        <v>0</v>
      </c>
      <c r="Z238" s="5">
        <f t="shared" si="88"/>
        <v>0</v>
      </c>
      <c r="AA238" s="5">
        <f t="shared" si="89"/>
        <v>0</v>
      </c>
      <c r="AB238" s="5">
        <f t="shared" si="90"/>
        <v>0</v>
      </c>
      <c r="AC238" s="5">
        <f t="shared" si="91"/>
        <v>0</v>
      </c>
      <c r="AD238" s="5">
        <f t="shared" si="92"/>
        <v>0</v>
      </c>
      <c r="AE238" s="5">
        <f t="shared" si="93"/>
        <v>0</v>
      </c>
      <c r="AF238" s="5">
        <f t="shared" si="94"/>
        <v>0</v>
      </c>
      <c r="AG238" s="5">
        <f t="shared" si="95"/>
        <v>0</v>
      </c>
      <c r="AH238" s="5">
        <f t="shared" si="96"/>
        <v>0</v>
      </c>
      <c r="AI238" s="5">
        <f t="shared" si="97"/>
        <v>0</v>
      </c>
      <c r="AJ238" s="5">
        <f t="shared" si="98"/>
        <v>0</v>
      </c>
      <c r="AK238" s="5">
        <f t="shared" si="99"/>
        <v>0</v>
      </c>
      <c r="AL238" s="5">
        <f t="shared" si="100"/>
        <v>0</v>
      </c>
      <c r="AM238" s="6">
        <f t="shared" si="85"/>
        <v>0</v>
      </c>
    </row>
    <row r="239" spans="1:39" x14ac:dyDescent="0.25">
      <c r="A239" s="4" t="s">
        <v>296</v>
      </c>
      <c r="B239" s="4" t="s">
        <v>297</v>
      </c>
      <c r="C239" s="4" t="s">
        <v>167</v>
      </c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3"/>
      <c r="P239" s="3"/>
      <c r="Q239" s="3"/>
      <c r="R239" s="3"/>
      <c r="S239" s="6">
        <f t="shared" si="84"/>
        <v>0</v>
      </c>
      <c r="T239">
        <v>1</v>
      </c>
      <c r="U239" s="4" t="s">
        <v>296</v>
      </c>
      <c r="V239" s="4" t="s">
        <v>297</v>
      </c>
      <c r="W239" s="4" t="s">
        <v>167</v>
      </c>
      <c r="X239" s="5">
        <f t="shared" si="86"/>
        <v>0</v>
      </c>
      <c r="Y239" s="5">
        <f t="shared" si="87"/>
        <v>0</v>
      </c>
      <c r="Z239" s="5">
        <f t="shared" si="88"/>
        <v>0</v>
      </c>
      <c r="AA239" s="5">
        <f t="shared" si="89"/>
        <v>0</v>
      </c>
      <c r="AB239" s="5">
        <f t="shared" si="90"/>
        <v>0</v>
      </c>
      <c r="AC239" s="5">
        <f t="shared" si="91"/>
        <v>0</v>
      </c>
      <c r="AD239" s="5">
        <f t="shared" si="92"/>
        <v>0</v>
      </c>
      <c r="AE239" s="5">
        <f t="shared" si="93"/>
        <v>0</v>
      </c>
      <c r="AF239" s="5">
        <f t="shared" si="94"/>
        <v>0</v>
      </c>
      <c r="AG239" s="5">
        <f t="shared" si="95"/>
        <v>0</v>
      </c>
      <c r="AH239" s="5">
        <f t="shared" si="96"/>
        <v>0</v>
      </c>
      <c r="AI239" s="5">
        <f t="shared" si="97"/>
        <v>0</v>
      </c>
      <c r="AJ239" s="5">
        <f t="shared" si="98"/>
        <v>0</v>
      </c>
      <c r="AK239" s="5">
        <f t="shared" si="99"/>
        <v>0</v>
      </c>
      <c r="AL239" s="5">
        <f t="shared" si="100"/>
        <v>0</v>
      </c>
      <c r="AM239" s="6">
        <f t="shared" si="85"/>
        <v>0</v>
      </c>
    </row>
    <row r="240" spans="1:39" x14ac:dyDescent="0.25">
      <c r="A240" s="4" t="s">
        <v>298</v>
      </c>
      <c r="B240" s="4" t="s">
        <v>299</v>
      </c>
      <c r="C240" s="4" t="s">
        <v>167</v>
      </c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3"/>
      <c r="P240" s="3"/>
      <c r="Q240" s="3"/>
      <c r="R240" s="3"/>
      <c r="S240" s="6">
        <f t="shared" si="84"/>
        <v>0</v>
      </c>
      <c r="T240">
        <v>1</v>
      </c>
      <c r="U240" s="4" t="s">
        <v>298</v>
      </c>
      <c r="V240" s="4" t="s">
        <v>299</v>
      </c>
      <c r="W240" s="4" t="s">
        <v>167</v>
      </c>
      <c r="X240" s="5">
        <f t="shared" si="86"/>
        <v>0</v>
      </c>
      <c r="Y240" s="5">
        <f t="shared" si="87"/>
        <v>0</v>
      </c>
      <c r="Z240" s="5">
        <f t="shared" si="88"/>
        <v>0</v>
      </c>
      <c r="AA240" s="5">
        <f t="shared" si="89"/>
        <v>0</v>
      </c>
      <c r="AB240" s="5">
        <f t="shared" si="90"/>
        <v>0</v>
      </c>
      <c r="AC240" s="5">
        <f t="shared" si="91"/>
        <v>0</v>
      </c>
      <c r="AD240" s="5">
        <f t="shared" si="92"/>
        <v>0</v>
      </c>
      <c r="AE240" s="5">
        <f t="shared" si="93"/>
        <v>0</v>
      </c>
      <c r="AF240" s="5">
        <f t="shared" si="94"/>
        <v>0</v>
      </c>
      <c r="AG240" s="5">
        <f t="shared" si="95"/>
        <v>0</v>
      </c>
      <c r="AH240" s="5">
        <f t="shared" si="96"/>
        <v>0</v>
      </c>
      <c r="AI240" s="5">
        <f t="shared" si="97"/>
        <v>0</v>
      </c>
      <c r="AJ240" s="5">
        <f t="shared" si="98"/>
        <v>0</v>
      </c>
      <c r="AK240" s="5">
        <f t="shared" si="99"/>
        <v>0</v>
      </c>
      <c r="AL240" s="5">
        <f t="shared" si="100"/>
        <v>0</v>
      </c>
      <c r="AM240" s="6">
        <f t="shared" si="85"/>
        <v>0</v>
      </c>
    </row>
    <row r="241" spans="1:39" x14ac:dyDescent="0.25">
      <c r="A241" s="4" t="s">
        <v>300</v>
      </c>
      <c r="B241" s="4" t="s">
        <v>301</v>
      </c>
      <c r="C241" s="4" t="s">
        <v>167</v>
      </c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3"/>
      <c r="P241" s="3"/>
      <c r="Q241" s="3"/>
      <c r="R241" s="3"/>
      <c r="S241" s="6">
        <f t="shared" si="84"/>
        <v>0</v>
      </c>
      <c r="T241">
        <v>1</v>
      </c>
      <c r="U241" s="4" t="s">
        <v>300</v>
      </c>
      <c r="V241" s="4" t="s">
        <v>301</v>
      </c>
      <c r="W241" s="4" t="s">
        <v>167</v>
      </c>
      <c r="X241" s="5">
        <f t="shared" si="86"/>
        <v>0</v>
      </c>
      <c r="Y241" s="5">
        <f t="shared" si="87"/>
        <v>0</v>
      </c>
      <c r="Z241" s="5">
        <f t="shared" si="88"/>
        <v>0</v>
      </c>
      <c r="AA241" s="5">
        <f t="shared" si="89"/>
        <v>0</v>
      </c>
      <c r="AB241" s="5">
        <f t="shared" si="90"/>
        <v>0</v>
      </c>
      <c r="AC241" s="5">
        <f t="shared" si="91"/>
        <v>0</v>
      </c>
      <c r="AD241" s="5">
        <f t="shared" si="92"/>
        <v>0</v>
      </c>
      <c r="AE241" s="5">
        <f t="shared" si="93"/>
        <v>0</v>
      </c>
      <c r="AF241" s="5">
        <f t="shared" si="94"/>
        <v>0</v>
      </c>
      <c r="AG241" s="5">
        <f t="shared" si="95"/>
        <v>0</v>
      </c>
      <c r="AH241" s="5">
        <f t="shared" si="96"/>
        <v>0</v>
      </c>
      <c r="AI241" s="5">
        <f t="shared" si="97"/>
        <v>0</v>
      </c>
      <c r="AJ241" s="5">
        <f t="shared" si="98"/>
        <v>0</v>
      </c>
      <c r="AK241" s="5">
        <f t="shared" si="99"/>
        <v>0</v>
      </c>
      <c r="AL241" s="5">
        <f t="shared" si="100"/>
        <v>0</v>
      </c>
      <c r="AM241" s="6">
        <f t="shared" si="85"/>
        <v>0</v>
      </c>
    </row>
    <row r="242" spans="1:39" x14ac:dyDescent="0.25">
      <c r="A242" s="4" t="s">
        <v>131</v>
      </c>
      <c r="B242" s="4" t="s">
        <v>132</v>
      </c>
      <c r="C242" s="4" t="s">
        <v>167</v>
      </c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3"/>
      <c r="P242" s="3"/>
      <c r="Q242" s="3"/>
      <c r="R242" s="3"/>
      <c r="S242" s="6">
        <f t="shared" si="84"/>
        <v>0</v>
      </c>
      <c r="T242">
        <v>1</v>
      </c>
      <c r="U242" s="4" t="s">
        <v>131</v>
      </c>
      <c r="V242" s="4" t="s">
        <v>132</v>
      </c>
      <c r="W242" s="4" t="s">
        <v>167</v>
      </c>
      <c r="X242" s="5">
        <f t="shared" si="86"/>
        <v>0</v>
      </c>
      <c r="Y242" s="5">
        <f t="shared" si="87"/>
        <v>0</v>
      </c>
      <c r="Z242" s="5">
        <f t="shared" si="88"/>
        <v>0</v>
      </c>
      <c r="AA242" s="5">
        <f t="shared" si="89"/>
        <v>0</v>
      </c>
      <c r="AB242" s="5">
        <f t="shared" si="90"/>
        <v>0</v>
      </c>
      <c r="AC242" s="5">
        <f t="shared" si="91"/>
        <v>0</v>
      </c>
      <c r="AD242" s="5">
        <f t="shared" si="92"/>
        <v>0</v>
      </c>
      <c r="AE242" s="5">
        <f t="shared" si="93"/>
        <v>0</v>
      </c>
      <c r="AF242" s="5">
        <f t="shared" si="94"/>
        <v>0</v>
      </c>
      <c r="AG242" s="5">
        <f t="shared" si="95"/>
        <v>0</v>
      </c>
      <c r="AH242" s="5">
        <f t="shared" si="96"/>
        <v>0</v>
      </c>
      <c r="AI242" s="5">
        <f t="shared" si="97"/>
        <v>0</v>
      </c>
      <c r="AJ242" s="5">
        <f t="shared" si="98"/>
        <v>0</v>
      </c>
      <c r="AK242" s="5">
        <f t="shared" si="99"/>
        <v>0</v>
      </c>
      <c r="AL242" s="5">
        <f t="shared" si="100"/>
        <v>0</v>
      </c>
      <c r="AM242" s="6">
        <f t="shared" si="85"/>
        <v>0</v>
      </c>
    </row>
    <row r="243" spans="1:39" x14ac:dyDescent="0.25">
      <c r="A243" s="4" t="s">
        <v>302</v>
      </c>
      <c r="B243" s="4" t="s">
        <v>303</v>
      </c>
      <c r="C243" s="4" t="s">
        <v>167</v>
      </c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3"/>
      <c r="P243" s="3"/>
      <c r="Q243" s="3"/>
      <c r="R243" s="3"/>
      <c r="S243" s="6">
        <f t="shared" si="84"/>
        <v>0</v>
      </c>
      <c r="T243">
        <v>1</v>
      </c>
      <c r="U243" s="4" t="s">
        <v>302</v>
      </c>
      <c r="V243" s="4" t="s">
        <v>303</v>
      </c>
      <c r="W243" s="4" t="s">
        <v>167</v>
      </c>
      <c r="X243" s="5">
        <f t="shared" si="86"/>
        <v>0</v>
      </c>
      <c r="Y243" s="5">
        <f t="shared" si="87"/>
        <v>0</v>
      </c>
      <c r="Z243" s="5">
        <f t="shared" si="88"/>
        <v>0</v>
      </c>
      <c r="AA243" s="5">
        <f t="shared" si="89"/>
        <v>0</v>
      </c>
      <c r="AB243" s="5">
        <f t="shared" si="90"/>
        <v>0</v>
      </c>
      <c r="AC243" s="5">
        <f t="shared" si="91"/>
        <v>0</v>
      </c>
      <c r="AD243" s="5">
        <f t="shared" si="92"/>
        <v>0</v>
      </c>
      <c r="AE243" s="5">
        <f t="shared" si="93"/>
        <v>0</v>
      </c>
      <c r="AF243" s="5">
        <f t="shared" si="94"/>
        <v>0</v>
      </c>
      <c r="AG243" s="5">
        <f t="shared" si="95"/>
        <v>0</v>
      </c>
      <c r="AH243" s="5">
        <f t="shared" si="96"/>
        <v>0</v>
      </c>
      <c r="AI243" s="5">
        <f t="shared" si="97"/>
        <v>0</v>
      </c>
      <c r="AJ243" s="5">
        <f t="shared" si="98"/>
        <v>0</v>
      </c>
      <c r="AK243" s="5">
        <f t="shared" si="99"/>
        <v>0</v>
      </c>
      <c r="AL243" s="5">
        <f t="shared" si="100"/>
        <v>0</v>
      </c>
      <c r="AM243" s="6">
        <f t="shared" si="85"/>
        <v>0</v>
      </c>
    </row>
    <row r="244" spans="1:39" x14ac:dyDescent="0.25">
      <c r="A244" s="4" t="s">
        <v>304</v>
      </c>
      <c r="B244" s="4" t="s">
        <v>305</v>
      </c>
      <c r="C244" s="4" t="s">
        <v>167</v>
      </c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3"/>
      <c r="P244" s="3"/>
      <c r="Q244" s="3"/>
      <c r="R244" s="3"/>
      <c r="S244" s="6">
        <f t="shared" si="84"/>
        <v>0</v>
      </c>
      <c r="T244">
        <v>1</v>
      </c>
      <c r="U244" s="4" t="s">
        <v>304</v>
      </c>
      <c r="V244" s="4" t="s">
        <v>305</v>
      </c>
      <c r="W244" s="4" t="s">
        <v>167</v>
      </c>
      <c r="X244" s="5">
        <f t="shared" si="86"/>
        <v>0</v>
      </c>
      <c r="Y244" s="5">
        <f t="shared" si="87"/>
        <v>0</v>
      </c>
      <c r="Z244" s="5">
        <f t="shared" si="88"/>
        <v>0</v>
      </c>
      <c r="AA244" s="5">
        <f t="shared" si="89"/>
        <v>0</v>
      </c>
      <c r="AB244" s="5">
        <f t="shared" si="90"/>
        <v>0</v>
      </c>
      <c r="AC244" s="5">
        <f t="shared" si="91"/>
        <v>0</v>
      </c>
      <c r="AD244" s="5">
        <f t="shared" si="92"/>
        <v>0</v>
      </c>
      <c r="AE244" s="5">
        <f t="shared" si="93"/>
        <v>0</v>
      </c>
      <c r="AF244" s="5">
        <f t="shared" si="94"/>
        <v>0</v>
      </c>
      <c r="AG244" s="5">
        <f t="shared" si="95"/>
        <v>0</v>
      </c>
      <c r="AH244" s="5">
        <f t="shared" si="96"/>
        <v>0</v>
      </c>
      <c r="AI244" s="5">
        <f t="shared" si="97"/>
        <v>0</v>
      </c>
      <c r="AJ244" s="5">
        <f t="shared" si="98"/>
        <v>0</v>
      </c>
      <c r="AK244" s="5">
        <f t="shared" si="99"/>
        <v>0</v>
      </c>
      <c r="AL244" s="5">
        <f t="shared" si="100"/>
        <v>0</v>
      </c>
      <c r="AM244" s="6">
        <f t="shared" si="85"/>
        <v>0</v>
      </c>
    </row>
    <row r="245" spans="1:39" x14ac:dyDescent="0.25">
      <c r="A245" s="4" t="s">
        <v>133</v>
      </c>
      <c r="B245" s="4" t="s">
        <v>134</v>
      </c>
      <c r="C245" s="4" t="s">
        <v>167</v>
      </c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3"/>
      <c r="P245" s="3"/>
      <c r="Q245" s="3"/>
      <c r="R245" s="3"/>
      <c r="S245" s="6">
        <f t="shared" si="84"/>
        <v>0</v>
      </c>
      <c r="T245">
        <v>1</v>
      </c>
      <c r="U245" s="4" t="s">
        <v>133</v>
      </c>
      <c r="V245" s="4" t="s">
        <v>134</v>
      </c>
      <c r="W245" s="4" t="s">
        <v>167</v>
      </c>
      <c r="X245" s="5">
        <f t="shared" si="86"/>
        <v>0</v>
      </c>
      <c r="Y245" s="5">
        <f t="shared" si="87"/>
        <v>0</v>
      </c>
      <c r="Z245" s="5">
        <f t="shared" si="88"/>
        <v>0</v>
      </c>
      <c r="AA245" s="5">
        <f t="shared" si="89"/>
        <v>0</v>
      </c>
      <c r="AB245" s="5">
        <f t="shared" si="90"/>
        <v>0</v>
      </c>
      <c r="AC245" s="5">
        <f t="shared" si="91"/>
        <v>0</v>
      </c>
      <c r="AD245" s="5">
        <f t="shared" si="92"/>
        <v>0</v>
      </c>
      <c r="AE245" s="5">
        <f t="shared" si="93"/>
        <v>0</v>
      </c>
      <c r="AF245" s="5">
        <f t="shared" si="94"/>
        <v>0</v>
      </c>
      <c r="AG245" s="5">
        <f t="shared" si="95"/>
        <v>0</v>
      </c>
      <c r="AH245" s="5">
        <f t="shared" si="96"/>
        <v>0</v>
      </c>
      <c r="AI245" s="5">
        <f t="shared" si="97"/>
        <v>0</v>
      </c>
      <c r="AJ245" s="5">
        <f t="shared" si="98"/>
        <v>0</v>
      </c>
      <c r="AK245" s="5">
        <f t="shared" si="99"/>
        <v>0</v>
      </c>
      <c r="AL245" s="5">
        <f t="shared" si="100"/>
        <v>0</v>
      </c>
      <c r="AM245" s="6">
        <f t="shared" si="85"/>
        <v>0</v>
      </c>
    </row>
    <row r="246" spans="1:39" x14ac:dyDescent="0.25">
      <c r="A246" s="4" t="s">
        <v>135</v>
      </c>
      <c r="B246" s="4" t="s">
        <v>136</v>
      </c>
      <c r="C246" s="4" t="s">
        <v>167</v>
      </c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3"/>
      <c r="P246" s="3"/>
      <c r="Q246" s="3"/>
      <c r="R246" s="3"/>
      <c r="S246" s="6">
        <f t="shared" si="84"/>
        <v>0</v>
      </c>
      <c r="T246">
        <v>1</v>
      </c>
      <c r="U246" s="4" t="s">
        <v>135</v>
      </c>
      <c r="V246" s="4" t="s">
        <v>136</v>
      </c>
      <c r="W246" s="4" t="s">
        <v>167</v>
      </c>
      <c r="X246" s="5">
        <f t="shared" si="86"/>
        <v>0</v>
      </c>
      <c r="Y246" s="5">
        <f t="shared" si="87"/>
        <v>0</v>
      </c>
      <c r="Z246" s="5">
        <f t="shared" si="88"/>
        <v>0</v>
      </c>
      <c r="AA246" s="5">
        <f t="shared" si="89"/>
        <v>0</v>
      </c>
      <c r="AB246" s="5">
        <f t="shared" si="90"/>
        <v>0</v>
      </c>
      <c r="AC246" s="5">
        <f t="shared" si="91"/>
        <v>0</v>
      </c>
      <c r="AD246" s="5">
        <f t="shared" si="92"/>
        <v>0</v>
      </c>
      <c r="AE246" s="5">
        <f t="shared" si="93"/>
        <v>0</v>
      </c>
      <c r="AF246" s="5">
        <f t="shared" si="94"/>
        <v>0</v>
      </c>
      <c r="AG246" s="5">
        <f t="shared" si="95"/>
        <v>0</v>
      </c>
      <c r="AH246" s="5">
        <f t="shared" si="96"/>
        <v>0</v>
      </c>
      <c r="AI246" s="5">
        <f t="shared" si="97"/>
        <v>0</v>
      </c>
      <c r="AJ246" s="5">
        <f t="shared" si="98"/>
        <v>0</v>
      </c>
      <c r="AK246" s="5">
        <f t="shared" si="99"/>
        <v>0</v>
      </c>
      <c r="AL246" s="5">
        <f t="shared" si="100"/>
        <v>0</v>
      </c>
      <c r="AM246" s="6">
        <f t="shared" si="85"/>
        <v>0</v>
      </c>
    </row>
    <row r="247" spans="1:39" x14ac:dyDescent="0.25">
      <c r="A247" s="4" t="s">
        <v>306</v>
      </c>
      <c r="B247" s="4" t="s">
        <v>307</v>
      </c>
      <c r="C247" s="4" t="s">
        <v>167</v>
      </c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3"/>
      <c r="P247" s="3"/>
      <c r="Q247" s="3"/>
      <c r="R247" s="3"/>
      <c r="S247" s="6">
        <f t="shared" si="84"/>
        <v>0</v>
      </c>
      <c r="T247">
        <v>1</v>
      </c>
      <c r="U247" s="4" t="s">
        <v>306</v>
      </c>
      <c r="V247" s="4" t="s">
        <v>307</v>
      </c>
      <c r="W247" s="4" t="s">
        <v>167</v>
      </c>
      <c r="X247" s="5">
        <f t="shared" si="86"/>
        <v>0</v>
      </c>
      <c r="Y247" s="5">
        <f t="shared" si="87"/>
        <v>0</v>
      </c>
      <c r="Z247" s="5">
        <f t="shared" si="88"/>
        <v>0</v>
      </c>
      <c r="AA247" s="5">
        <f t="shared" si="89"/>
        <v>0</v>
      </c>
      <c r="AB247" s="5">
        <f t="shared" si="90"/>
        <v>0</v>
      </c>
      <c r="AC247" s="5">
        <f t="shared" si="91"/>
        <v>0</v>
      </c>
      <c r="AD247" s="5">
        <f t="shared" si="92"/>
        <v>0</v>
      </c>
      <c r="AE247" s="5">
        <f t="shared" si="93"/>
        <v>0</v>
      </c>
      <c r="AF247" s="5">
        <f t="shared" si="94"/>
        <v>0</v>
      </c>
      <c r="AG247" s="5">
        <f t="shared" si="95"/>
        <v>0</v>
      </c>
      <c r="AH247" s="5">
        <f t="shared" si="96"/>
        <v>0</v>
      </c>
      <c r="AI247" s="5">
        <f t="shared" si="97"/>
        <v>0</v>
      </c>
      <c r="AJ247" s="5">
        <f t="shared" si="98"/>
        <v>0</v>
      </c>
      <c r="AK247" s="5">
        <f t="shared" si="99"/>
        <v>0</v>
      </c>
      <c r="AL247" s="5">
        <f t="shared" si="100"/>
        <v>0</v>
      </c>
      <c r="AM247" s="6">
        <f t="shared" si="85"/>
        <v>0</v>
      </c>
    </row>
    <row r="248" spans="1:39" x14ac:dyDescent="0.25">
      <c r="A248" s="4" t="s">
        <v>308</v>
      </c>
      <c r="B248" s="4" t="s">
        <v>309</v>
      </c>
      <c r="C248" s="4" t="s">
        <v>167</v>
      </c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3"/>
      <c r="P248" s="3"/>
      <c r="Q248" s="3"/>
      <c r="R248" s="3"/>
      <c r="S248" s="6">
        <f t="shared" si="84"/>
        <v>0</v>
      </c>
      <c r="T248">
        <v>1</v>
      </c>
      <c r="U248" s="4" t="s">
        <v>308</v>
      </c>
      <c r="V248" s="4" t="s">
        <v>309</v>
      </c>
      <c r="W248" s="4" t="s">
        <v>167</v>
      </c>
      <c r="X248" s="5">
        <f t="shared" si="86"/>
        <v>0</v>
      </c>
      <c r="Y248" s="5">
        <f t="shared" si="87"/>
        <v>0</v>
      </c>
      <c r="Z248" s="5">
        <f t="shared" si="88"/>
        <v>0</v>
      </c>
      <c r="AA248" s="5">
        <f t="shared" si="89"/>
        <v>0</v>
      </c>
      <c r="AB248" s="5">
        <f t="shared" si="90"/>
        <v>0</v>
      </c>
      <c r="AC248" s="5">
        <f t="shared" si="91"/>
        <v>0</v>
      </c>
      <c r="AD248" s="5">
        <f t="shared" si="92"/>
        <v>0</v>
      </c>
      <c r="AE248" s="5">
        <f t="shared" si="93"/>
        <v>0</v>
      </c>
      <c r="AF248" s="5">
        <f t="shared" si="94"/>
        <v>0</v>
      </c>
      <c r="AG248" s="5">
        <f t="shared" si="95"/>
        <v>0</v>
      </c>
      <c r="AH248" s="5">
        <f t="shared" si="96"/>
        <v>0</v>
      </c>
      <c r="AI248" s="5">
        <f t="shared" si="97"/>
        <v>0</v>
      </c>
      <c r="AJ248" s="5">
        <f t="shared" si="98"/>
        <v>0</v>
      </c>
      <c r="AK248" s="5">
        <f t="shared" si="99"/>
        <v>0</v>
      </c>
      <c r="AL248" s="5">
        <f t="shared" si="100"/>
        <v>0</v>
      </c>
      <c r="AM248" s="6">
        <f t="shared" si="85"/>
        <v>0</v>
      </c>
    </row>
    <row r="249" spans="1:39" x14ac:dyDescent="0.25">
      <c r="A249" s="4" t="s">
        <v>310</v>
      </c>
      <c r="B249" s="4" t="s">
        <v>311</v>
      </c>
      <c r="C249" s="4" t="s">
        <v>167</v>
      </c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3"/>
      <c r="P249" s="3"/>
      <c r="Q249" s="3"/>
      <c r="R249" s="3"/>
      <c r="S249" s="6">
        <f t="shared" si="84"/>
        <v>0</v>
      </c>
      <c r="T249">
        <v>1</v>
      </c>
      <c r="U249" s="4" t="s">
        <v>310</v>
      </c>
      <c r="V249" s="4" t="s">
        <v>311</v>
      </c>
      <c r="W249" s="4" t="s">
        <v>167</v>
      </c>
      <c r="X249" s="5">
        <f t="shared" si="86"/>
        <v>0</v>
      </c>
      <c r="Y249" s="5">
        <f t="shared" si="87"/>
        <v>0</v>
      </c>
      <c r="Z249" s="5">
        <f t="shared" si="88"/>
        <v>0</v>
      </c>
      <c r="AA249" s="5">
        <f t="shared" si="89"/>
        <v>0</v>
      </c>
      <c r="AB249" s="5">
        <f t="shared" si="90"/>
        <v>0</v>
      </c>
      <c r="AC249" s="5">
        <f t="shared" si="91"/>
        <v>0</v>
      </c>
      <c r="AD249" s="5">
        <f t="shared" si="92"/>
        <v>0</v>
      </c>
      <c r="AE249" s="5">
        <f t="shared" si="93"/>
        <v>0</v>
      </c>
      <c r="AF249" s="5">
        <f t="shared" si="94"/>
        <v>0</v>
      </c>
      <c r="AG249" s="5">
        <f t="shared" si="95"/>
        <v>0</v>
      </c>
      <c r="AH249" s="5">
        <f t="shared" si="96"/>
        <v>0</v>
      </c>
      <c r="AI249" s="5">
        <f t="shared" si="97"/>
        <v>0</v>
      </c>
      <c r="AJ249" s="5">
        <f t="shared" si="98"/>
        <v>0</v>
      </c>
      <c r="AK249" s="5">
        <f t="shared" si="99"/>
        <v>0</v>
      </c>
      <c r="AL249" s="5">
        <f t="shared" si="100"/>
        <v>0</v>
      </c>
      <c r="AM249" s="6">
        <f t="shared" si="85"/>
        <v>0</v>
      </c>
    </row>
    <row r="250" spans="1:39" x14ac:dyDescent="0.25">
      <c r="A250" s="4" t="s">
        <v>312</v>
      </c>
      <c r="B250" s="4" t="s">
        <v>313</v>
      </c>
      <c r="C250" s="4" t="s">
        <v>167</v>
      </c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3"/>
      <c r="P250" s="3"/>
      <c r="Q250" s="3"/>
      <c r="R250" s="3"/>
      <c r="S250" s="6">
        <f t="shared" si="84"/>
        <v>0</v>
      </c>
      <c r="T250">
        <v>1</v>
      </c>
      <c r="U250" s="4" t="s">
        <v>312</v>
      </c>
      <c r="V250" s="4" t="s">
        <v>313</v>
      </c>
      <c r="W250" s="4" t="s">
        <v>167</v>
      </c>
      <c r="X250" s="5">
        <f t="shared" si="86"/>
        <v>0</v>
      </c>
      <c r="Y250" s="5">
        <f t="shared" si="87"/>
        <v>0</v>
      </c>
      <c r="Z250" s="5">
        <f t="shared" si="88"/>
        <v>0</v>
      </c>
      <c r="AA250" s="5">
        <f t="shared" si="89"/>
        <v>0</v>
      </c>
      <c r="AB250" s="5">
        <f t="shared" si="90"/>
        <v>0</v>
      </c>
      <c r="AC250" s="5">
        <f t="shared" si="91"/>
        <v>0</v>
      </c>
      <c r="AD250" s="5">
        <f t="shared" si="92"/>
        <v>0</v>
      </c>
      <c r="AE250" s="5">
        <f t="shared" si="93"/>
        <v>0</v>
      </c>
      <c r="AF250" s="5">
        <f t="shared" si="94"/>
        <v>0</v>
      </c>
      <c r="AG250" s="5">
        <f t="shared" si="95"/>
        <v>0</v>
      </c>
      <c r="AH250" s="5">
        <f t="shared" si="96"/>
        <v>0</v>
      </c>
      <c r="AI250" s="5">
        <f t="shared" si="97"/>
        <v>0</v>
      </c>
      <c r="AJ250" s="5">
        <f t="shared" si="98"/>
        <v>0</v>
      </c>
      <c r="AK250" s="5">
        <f t="shared" si="99"/>
        <v>0</v>
      </c>
      <c r="AL250" s="5">
        <f t="shared" si="100"/>
        <v>0</v>
      </c>
      <c r="AM250" s="6">
        <f t="shared" si="85"/>
        <v>0</v>
      </c>
    </row>
    <row r="251" spans="1:39" x14ac:dyDescent="0.25">
      <c r="A251" s="4" t="s">
        <v>314</v>
      </c>
      <c r="B251" s="4" t="s">
        <v>315</v>
      </c>
      <c r="C251" s="4" t="s">
        <v>167</v>
      </c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3"/>
      <c r="P251" s="3"/>
      <c r="Q251" s="3"/>
      <c r="R251" s="3"/>
      <c r="S251" s="6">
        <f t="shared" si="84"/>
        <v>0</v>
      </c>
      <c r="T251">
        <v>1</v>
      </c>
      <c r="U251" s="4" t="s">
        <v>314</v>
      </c>
      <c r="V251" s="4" t="s">
        <v>315</v>
      </c>
      <c r="W251" s="4" t="s">
        <v>167</v>
      </c>
      <c r="X251" s="5">
        <f t="shared" si="86"/>
        <v>0</v>
      </c>
      <c r="Y251" s="5">
        <f t="shared" si="87"/>
        <v>0</v>
      </c>
      <c r="Z251" s="5">
        <f t="shared" si="88"/>
        <v>0</v>
      </c>
      <c r="AA251" s="5">
        <f t="shared" si="89"/>
        <v>0</v>
      </c>
      <c r="AB251" s="5">
        <f t="shared" si="90"/>
        <v>0</v>
      </c>
      <c r="AC251" s="5">
        <f t="shared" si="91"/>
        <v>0</v>
      </c>
      <c r="AD251" s="5">
        <f t="shared" si="92"/>
        <v>0</v>
      </c>
      <c r="AE251" s="5">
        <f t="shared" si="93"/>
        <v>0</v>
      </c>
      <c r="AF251" s="5">
        <f t="shared" si="94"/>
        <v>0</v>
      </c>
      <c r="AG251" s="5">
        <f t="shared" si="95"/>
        <v>0</v>
      </c>
      <c r="AH251" s="5">
        <f t="shared" si="96"/>
        <v>0</v>
      </c>
      <c r="AI251" s="5">
        <f t="shared" si="97"/>
        <v>0</v>
      </c>
      <c r="AJ251" s="5">
        <f t="shared" si="98"/>
        <v>0</v>
      </c>
      <c r="AK251" s="5">
        <f t="shared" si="99"/>
        <v>0</v>
      </c>
      <c r="AL251" s="5">
        <f t="shared" si="100"/>
        <v>0</v>
      </c>
      <c r="AM251" s="6">
        <f t="shared" si="85"/>
        <v>0</v>
      </c>
    </row>
    <row r="252" spans="1:39" x14ac:dyDescent="0.25">
      <c r="A252" s="4" t="s">
        <v>316</v>
      </c>
      <c r="B252" s="4" t="s">
        <v>317</v>
      </c>
      <c r="C252" s="4" t="s">
        <v>167</v>
      </c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3"/>
      <c r="P252" s="3"/>
      <c r="Q252" s="3"/>
      <c r="R252" s="3"/>
      <c r="S252" s="6">
        <f t="shared" si="84"/>
        <v>0</v>
      </c>
      <c r="T252">
        <v>1</v>
      </c>
      <c r="U252" s="4" t="s">
        <v>316</v>
      </c>
      <c r="V252" s="4" t="s">
        <v>317</v>
      </c>
      <c r="W252" s="4" t="s">
        <v>167</v>
      </c>
      <c r="X252" s="5">
        <f t="shared" si="86"/>
        <v>0</v>
      </c>
      <c r="Y252" s="5">
        <f t="shared" si="87"/>
        <v>0</v>
      </c>
      <c r="Z252" s="5">
        <f t="shared" si="88"/>
        <v>0</v>
      </c>
      <c r="AA252" s="5">
        <f t="shared" si="89"/>
        <v>0</v>
      </c>
      <c r="AB252" s="5">
        <f t="shared" si="90"/>
        <v>0</v>
      </c>
      <c r="AC252" s="5">
        <f t="shared" si="91"/>
        <v>0</v>
      </c>
      <c r="AD252" s="5">
        <f t="shared" si="92"/>
        <v>0</v>
      </c>
      <c r="AE252" s="5">
        <f t="shared" si="93"/>
        <v>0</v>
      </c>
      <c r="AF252" s="5">
        <f t="shared" si="94"/>
        <v>0</v>
      </c>
      <c r="AG252" s="5">
        <f t="shared" si="95"/>
        <v>0</v>
      </c>
      <c r="AH252" s="5">
        <f t="shared" si="96"/>
        <v>0</v>
      </c>
      <c r="AI252" s="5">
        <f t="shared" si="97"/>
        <v>0</v>
      </c>
      <c r="AJ252" s="5">
        <f t="shared" si="98"/>
        <v>0</v>
      </c>
      <c r="AK252" s="5">
        <f t="shared" si="99"/>
        <v>0</v>
      </c>
      <c r="AL252" s="5">
        <f t="shared" si="100"/>
        <v>0</v>
      </c>
      <c r="AM252" s="6">
        <f t="shared" si="85"/>
        <v>0</v>
      </c>
    </row>
    <row r="253" spans="1:39" x14ac:dyDescent="0.25">
      <c r="A253" s="4" t="s">
        <v>318</v>
      </c>
      <c r="B253" s="4" t="s">
        <v>319</v>
      </c>
      <c r="C253" s="4" t="s">
        <v>167</v>
      </c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3"/>
      <c r="P253" s="3"/>
      <c r="Q253" s="3"/>
      <c r="R253" s="3"/>
      <c r="S253" s="6">
        <f t="shared" si="84"/>
        <v>0</v>
      </c>
      <c r="T253">
        <v>1</v>
      </c>
      <c r="U253" s="4" t="s">
        <v>318</v>
      </c>
      <c r="V253" s="4" t="s">
        <v>319</v>
      </c>
      <c r="W253" s="4" t="s">
        <v>167</v>
      </c>
      <c r="X253" s="5">
        <f t="shared" si="86"/>
        <v>0</v>
      </c>
      <c r="Y253" s="5">
        <f t="shared" si="87"/>
        <v>0</v>
      </c>
      <c r="Z253" s="5">
        <f t="shared" si="88"/>
        <v>0</v>
      </c>
      <c r="AA253" s="5">
        <f t="shared" si="89"/>
        <v>0</v>
      </c>
      <c r="AB253" s="5">
        <f t="shared" si="90"/>
        <v>0</v>
      </c>
      <c r="AC253" s="5">
        <f t="shared" si="91"/>
        <v>0</v>
      </c>
      <c r="AD253" s="5">
        <f t="shared" si="92"/>
        <v>0</v>
      </c>
      <c r="AE253" s="5">
        <f t="shared" si="93"/>
        <v>0</v>
      </c>
      <c r="AF253" s="5">
        <f t="shared" si="94"/>
        <v>0</v>
      </c>
      <c r="AG253" s="5">
        <f t="shared" si="95"/>
        <v>0</v>
      </c>
      <c r="AH253" s="5">
        <f t="shared" si="96"/>
        <v>0</v>
      </c>
      <c r="AI253" s="5">
        <f t="shared" si="97"/>
        <v>0</v>
      </c>
      <c r="AJ253" s="5">
        <f t="shared" si="98"/>
        <v>0</v>
      </c>
      <c r="AK253" s="5">
        <f t="shared" si="99"/>
        <v>0</v>
      </c>
      <c r="AL253" s="5">
        <f t="shared" si="100"/>
        <v>0</v>
      </c>
      <c r="AM253" s="6">
        <f t="shared" si="85"/>
        <v>0</v>
      </c>
    </row>
    <row r="254" spans="1:39" x14ac:dyDescent="0.25">
      <c r="A254" s="4" t="s">
        <v>320</v>
      </c>
      <c r="B254" s="4" t="s">
        <v>321</v>
      </c>
      <c r="C254" s="4" t="s">
        <v>167</v>
      </c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3"/>
      <c r="P254" s="3"/>
      <c r="Q254" s="3"/>
      <c r="R254" s="3"/>
      <c r="S254" s="6">
        <f t="shared" si="84"/>
        <v>0</v>
      </c>
      <c r="T254">
        <v>1</v>
      </c>
      <c r="U254" s="4" t="s">
        <v>320</v>
      </c>
      <c r="V254" s="4" t="s">
        <v>321</v>
      </c>
      <c r="W254" s="4" t="s">
        <v>167</v>
      </c>
      <c r="X254" s="5">
        <f t="shared" si="86"/>
        <v>0</v>
      </c>
      <c r="Y254" s="5">
        <f t="shared" si="87"/>
        <v>0</v>
      </c>
      <c r="Z254" s="5">
        <f t="shared" si="88"/>
        <v>0</v>
      </c>
      <c r="AA254" s="5">
        <f t="shared" si="89"/>
        <v>0</v>
      </c>
      <c r="AB254" s="5">
        <f t="shared" si="90"/>
        <v>0</v>
      </c>
      <c r="AC254" s="5">
        <f t="shared" si="91"/>
        <v>0</v>
      </c>
      <c r="AD254" s="5">
        <f t="shared" si="92"/>
        <v>0</v>
      </c>
      <c r="AE254" s="5">
        <f t="shared" si="93"/>
        <v>0</v>
      </c>
      <c r="AF254" s="5">
        <f t="shared" si="94"/>
        <v>0</v>
      </c>
      <c r="AG254" s="5">
        <f t="shared" si="95"/>
        <v>0</v>
      </c>
      <c r="AH254" s="5">
        <f t="shared" si="96"/>
        <v>0</v>
      </c>
      <c r="AI254" s="5">
        <f t="shared" si="97"/>
        <v>0</v>
      </c>
      <c r="AJ254" s="5">
        <f t="shared" si="98"/>
        <v>0</v>
      </c>
      <c r="AK254" s="5">
        <f t="shared" si="99"/>
        <v>0</v>
      </c>
      <c r="AL254" s="5">
        <f t="shared" si="100"/>
        <v>0</v>
      </c>
      <c r="AM254" s="6">
        <f t="shared" si="85"/>
        <v>0</v>
      </c>
    </row>
    <row r="255" spans="1:39" x14ac:dyDescent="0.25">
      <c r="A255" s="4" t="s">
        <v>322</v>
      </c>
      <c r="B255" s="4" t="s">
        <v>323</v>
      </c>
      <c r="C255" s="4" t="s">
        <v>167</v>
      </c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3"/>
      <c r="P255" s="3"/>
      <c r="Q255" s="3"/>
      <c r="R255" s="3"/>
      <c r="S255" s="6">
        <f t="shared" si="84"/>
        <v>0</v>
      </c>
      <c r="T255">
        <v>1</v>
      </c>
      <c r="U255" s="4" t="s">
        <v>322</v>
      </c>
      <c r="V255" s="4" t="s">
        <v>323</v>
      </c>
      <c r="W255" s="4" t="s">
        <v>167</v>
      </c>
      <c r="X255" s="5">
        <f t="shared" si="86"/>
        <v>0</v>
      </c>
      <c r="Y255" s="5">
        <f t="shared" si="87"/>
        <v>0</v>
      </c>
      <c r="Z255" s="5">
        <f t="shared" si="88"/>
        <v>0</v>
      </c>
      <c r="AA255" s="5">
        <f t="shared" si="89"/>
        <v>0</v>
      </c>
      <c r="AB255" s="5">
        <f t="shared" si="90"/>
        <v>0</v>
      </c>
      <c r="AC255" s="5">
        <f t="shared" si="91"/>
        <v>0</v>
      </c>
      <c r="AD255" s="5">
        <f t="shared" si="92"/>
        <v>0</v>
      </c>
      <c r="AE255" s="5">
        <f t="shared" si="93"/>
        <v>0</v>
      </c>
      <c r="AF255" s="5">
        <f t="shared" si="94"/>
        <v>0</v>
      </c>
      <c r="AG255" s="5">
        <f t="shared" si="95"/>
        <v>0</v>
      </c>
      <c r="AH255" s="5">
        <f t="shared" si="96"/>
        <v>0</v>
      </c>
      <c r="AI255" s="5">
        <f t="shared" si="97"/>
        <v>0</v>
      </c>
      <c r="AJ255" s="5">
        <f t="shared" si="98"/>
        <v>0</v>
      </c>
      <c r="AK255" s="5">
        <f t="shared" si="99"/>
        <v>0</v>
      </c>
      <c r="AL255" s="5">
        <f t="shared" si="100"/>
        <v>0</v>
      </c>
      <c r="AM255" s="6">
        <f t="shared" si="85"/>
        <v>0</v>
      </c>
    </row>
    <row r="256" spans="1:39" x14ac:dyDescent="0.25">
      <c r="A256" s="4" t="s">
        <v>324</v>
      </c>
      <c r="B256" s="4" t="s">
        <v>325</v>
      </c>
      <c r="C256" s="4" t="s">
        <v>167</v>
      </c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3"/>
      <c r="P256" s="3"/>
      <c r="Q256" s="3"/>
      <c r="R256" s="3"/>
      <c r="S256" s="6">
        <f t="shared" si="84"/>
        <v>0</v>
      </c>
      <c r="T256">
        <v>1</v>
      </c>
      <c r="U256" s="4" t="s">
        <v>324</v>
      </c>
      <c r="V256" s="4" t="s">
        <v>325</v>
      </c>
      <c r="W256" s="4" t="s">
        <v>167</v>
      </c>
      <c r="X256" s="5">
        <f t="shared" si="86"/>
        <v>0</v>
      </c>
      <c r="Y256" s="5">
        <f t="shared" si="87"/>
        <v>0</v>
      </c>
      <c r="Z256" s="5">
        <f t="shared" si="88"/>
        <v>0</v>
      </c>
      <c r="AA256" s="5">
        <f t="shared" si="89"/>
        <v>0</v>
      </c>
      <c r="AB256" s="5">
        <f t="shared" si="90"/>
        <v>0</v>
      </c>
      <c r="AC256" s="5">
        <f t="shared" si="91"/>
        <v>0</v>
      </c>
      <c r="AD256" s="5">
        <f t="shared" si="92"/>
        <v>0</v>
      </c>
      <c r="AE256" s="5">
        <f t="shared" si="93"/>
        <v>0</v>
      </c>
      <c r="AF256" s="5">
        <f t="shared" si="94"/>
        <v>0</v>
      </c>
      <c r="AG256" s="5">
        <f t="shared" si="95"/>
        <v>0</v>
      </c>
      <c r="AH256" s="5">
        <f t="shared" si="96"/>
        <v>0</v>
      </c>
      <c r="AI256" s="5">
        <f t="shared" si="97"/>
        <v>0</v>
      </c>
      <c r="AJ256" s="5">
        <f t="shared" si="98"/>
        <v>0</v>
      </c>
      <c r="AK256" s="5">
        <f t="shared" si="99"/>
        <v>0</v>
      </c>
      <c r="AL256" s="5">
        <f t="shared" si="100"/>
        <v>0</v>
      </c>
      <c r="AM256" s="6">
        <f t="shared" si="85"/>
        <v>0</v>
      </c>
    </row>
    <row r="257" spans="1:39" x14ac:dyDescent="0.25">
      <c r="A257" s="4" t="s">
        <v>330</v>
      </c>
      <c r="B257" s="4" t="s">
        <v>331</v>
      </c>
      <c r="C257" s="4" t="s">
        <v>167</v>
      </c>
      <c r="D257" s="5"/>
      <c r="E257" s="6"/>
      <c r="F257" s="6"/>
      <c r="G257" s="6">
        <v>27</v>
      </c>
      <c r="H257" s="6"/>
      <c r="I257" s="6"/>
      <c r="J257" s="6">
        <v>36</v>
      </c>
      <c r="K257" s="6"/>
      <c r="L257" s="6"/>
      <c r="M257" s="6"/>
      <c r="N257" s="6"/>
      <c r="O257" s="3"/>
      <c r="P257" s="3"/>
      <c r="Q257" s="3"/>
      <c r="R257" s="3"/>
      <c r="S257" s="6">
        <f t="shared" si="84"/>
        <v>63</v>
      </c>
      <c r="T257">
        <v>1</v>
      </c>
      <c r="U257" s="4" t="s">
        <v>330</v>
      </c>
      <c r="V257" s="4" t="s">
        <v>331</v>
      </c>
      <c r="W257" s="4" t="s">
        <v>167</v>
      </c>
      <c r="X257" s="5">
        <f t="shared" si="86"/>
        <v>0</v>
      </c>
      <c r="Y257" s="5">
        <f t="shared" si="87"/>
        <v>0</v>
      </c>
      <c r="Z257" s="5">
        <f t="shared" si="88"/>
        <v>0</v>
      </c>
      <c r="AA257" s="5">
        <f t="shared" si="89"/>
        <v>5</v>
      </c>
      <c r="AB257" s="5">
        <f t="shared" si="90"/>
        <v>0</v>
      </c>
      <c r="AC257" s="5">
        <f t="shared" si="91"/>
        <v>0</v>
      </c>
      <c r="AD257" s="5">
        <f t="shared" si="92"/>
        <v>15</v>
      </c>
      <c r="AE257" s="5">
        <f t="shared" si="93"/>
        <v>0</v>
      </c>
      <c r="AF257" s="5">
        <f t="shared" si="94"/>
        <v>0</v>
      </c>
      <c r="AG257" s="5">
        <f t="shared" si="95"/>
        <v>0</v>
      </c>
      <c r="AH257" s="5">
        <f t="shared" si="96"/>
        <v>0</v>
      </c>
      <c r="AI257" s="5">
        <f t="shared" si="97"/>
        <v>0</v>
      </c>
      <c r="AJ257" s="5">
        <f t="shared" si="98"/>
        <v>0</v>
      </c>
      <c r="AK257" s="5">
        <f t="shared" si="99"/>
        <v>0</v>
      </c>
      <c r="AL257" s="5">
        <f t="shared" si="100"/>
        <v>0</v>
      </c>
      <c r="AM257" s="6">
        <f t="shared" si="85"/>
        <v>20</v>
      </c>
    </row>
    <row r="258" spans="1:39" x14ac:dyDescent="0.25">
      <c r="A258" s="4" t="s">
        <v>332</v>
      </c>
      <c r="B258" s="4" t="s">
        <v>333</v>
      </c>
      <c r="C258" s="4" t="s">
        <v>167</v>
      </c>
      <c r="D258" s="5"/>
      <c r="E258" s="6"/>
      <c r="F258" s="6"/>
      <c r="G258" s="6">
        <v>31.5</v>
      </c>
      <c r="H258" s="6">
        <v>40.5</v>
      </c>
      <c r="I258" s="6">
        <v>40.5</v>
      </c>
      <c r="J258" s="6">
        <v>42</v>
      </c>
      <c r="K258" s="6"/>
      <c r="L258" s="6"/>
      <c r="M258" s="6">
        <v>36</v>
      </c>
      <c r="N258" s="6"/>
      <c r="O258" s="3"/>
      <c r="P258" s="3"/>
      <c r="Q258" s="3"/>
      <c r="R258" s="3"/>
      <c r="S258" s="6">
        <f t="shared" si="84"/>
        <v>190.5</v>
      </c>
      <c r="T258">
        <v>1</v>
      </c>
      <c r="U258" s="4" t="s">
        <v>332</v>
      </c>
      <c r="V258" s="4" t="s">
        <v>333</v>
      </c>
      <c r="W258" s="4" t="s">
        <v>167</v>
      </c>
      <c r="X258" s="5">
        <f t="shared" si="86"/>
        <v>0</v>
      </c>
      <c r="Y258" s="5">
        <f t="shared" si="87"/>
        <v>0</v>
      </c>
      <c r="Z258" s="5">
        <f t="shared" si="88"/>
        <v>0</v>
      </c>
      <c r="AA258" s="5">
        <f t="shared" si="89"/>
        <v>16.25</v>
      </c>
      <c r="AB258" s="5">
        <f t="shared" si="90"/>
        <v>26.25</v>
      </c>
      <c r="AC258" s="5">
        <f t="shared" si="91"/>
        <v>26.25</v>
      </c>
      <c r="AD258" s="5">
        <f t="shared" si="92"/>
        <v>30</v>
      </c>
      <c r="AE258" s="5">
        <f t="shared" si="93"/>
        <v>0</v>
      </c>
      <c r="AF258" s="5">
        <f t="shared" si="94"/>
        <v>0</v>
      </c>
      <c r="AG258" s="5">
        <f t="shared" si="95"/>
        <v>15</v>
      </c>
      <c r="AH258" s="5">
        <f t="shared" si="96"/>
        <v>0</v>
      </c>
      <c r="AI258" s="5">
        <f t="shared" si="97"/>
        <v>0</v>
      </c>
      <c r="AJ258" s="5">
        <f t="shared" si="98"/>
        <v>0</v>
      </c>
      <c r="AK258" s="5">
        <f t="shared" si="99"/>
        <v>0</v>
      </c>
      <c r="AL258" s="5">
        <f t="shared" si="100"/>
        <v>0</v>
      </c>
      <c r="AM258" s="6">
        <f t="shared" si="85"/>
        <v>113.75</v>
      </c>
    </row>
    <row r="259" spans="1:39" x14ac:dyDescent="0.25">
      <c r="A259" s="4" t="s">
        <v>334</v>
      </c>
      <c r="B259" s="4" t="s">
        <v>335</v>
      </c>
      <c r="C259" s="4" t="s">
        <v>167</v>
      </c>
      <c r="D259" s="5"/>
      <c r="E259" s="6"/>
      <c r="F259" s="6"/>
      <c r="G259" s="6"/>
      <c r="H259" s="6"/>
      <c r="I259" s="6"/>
      <c r="J259" s="6"/>
      <c r="K259" s="6"/>
      <c r="L259" s="6"/>
      <c r="M259" s="6">
        <v>24</v>
      </c>
      <c r="N259" s="6"/>
      <c r="O259" s="3"/>
      <c r="P259" s="3"/>
      <c r="Q259" s="3"/>
      <c r="R259" s="3"/>
      <c r="S259" s="6">
        <f t="shared" si="84"/>
        <v>24</v>
      </c>
      <c r="T259">
        <v>1</v>
      </c>
      <c r="U259" s="4" t="s">
        <v>334</v>
      </c>
      <c r="V259" s="4" t="s">
        <v>335</v>
      </c>
      <c r="W259" s="4" t="s">
        <v>167</v>
      </c>
      <c r="X259" s="5">
        <f t="shared" si="86"/>
        <v>0</v>
      </c>
      <c r="Y259" s="5">
        <f t="shared" si="87"/>
        <v>0</v>
      </c>
      <c r="Z259" s="5">
        <f t="shared" si="88"/>
        <v>0</v>
      </c>
      <c r="AA259" s="5">
        <f t="shared" si="89"/>
        <v>0</v>
      </c>
      <c r="AB259" s="5">
        <f t="shared" si="90"/>
        <v>0</v>
      </c>
      <c r="AC259" s="5">
        <f t="shared" si="91"/>
        <v>0</v>
      </c>
      <c r="AD259" s="5">
        <f t="shared" si="92"/>
        <v>0</v>
      </c>
      <c r="AE259" s="5">
        <f t="shared" si="93"/>
        <v>0</v>
      </c>
      <c r="AF259" s="5">
        <f t="shared" si="94"/>
        <v>0</v>
      </c>
      <c r="AG259" s="5">
        <f t="shared" si="95"/>
        <v>0</v>
      </c>
      <c r="AH259" s="5">
        <f t="shared" si="96"/>
        <v>0</v>
      </c>
      <c r="AI259" s="5">
        <f t="shared" si="97"/>
        <v>0</v>
      </c>
      <c r="AJ259" s="5">
        <f t="shared" si="98"/>
        <v>0</v>
      </c>
      <c r="AK259" s="5">
        <f t="shared" si="99"/>
        <v>0</v>
      </c>
      <c r="AL259" s="5">
        <f t="shared" si="100"/>
        <v>0</v>
      </c>
      <c r="AM259" s="6">
        <f t="shared" si="85"/>
        <v>0</v>
      </c>
    </row>
    <row r="260" spans="1:39" x14ac:dyDescent="0.25">
      <c r="A260" s="4" t="s">
        <v>336</v>
      </c>
      <c r="B260" s="4" t="s">
        <v>337</v>
      </c>
      <c r="C260" s="4" t="s">
        <v>167</v>
      </c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3"/>
      <c r="P260" s="3"/>
      <c r="Q260" s="3"/>
      <c r="R260" s="3"/>
      <c r="S260" s="6">
        <f t="shared" si="84"/>
        <v>0</v>
      </c>
      <c r="T260">
        <v>1</v>
      </c>
      <c r="U260" s="4" t="s">
        <v>336</v>
      </c>
      <c r="V260" s="4" t="s">
        <v>337</v>
      </c>
      <c r="W260" s="4" t="s">
        <v>167</v>
      </c>
      <c r="X260" s="5">
        <f t="shared" si="86"/>
        <v>0</v>
      </c>
      <c r="Y260" s="5">
        <f t="shared" si="87"/>
        <v>0</v>
      </c>
      <c r="Z260" s="5">
        <f t="shared" si="88"/>
        <v>0</v>
      </c>
      <c r="AA260" s="5">
        <f t="shared" si="89"/>
        <v>0</v>
      </c>
      <c r="AB260" s="5">
        <f t="shared" si="90"/>
        <v>0</v>
      </c>
      <c r="AC260" s="5">
        <f t="shared" si="91"/>
        <v>0</v>
      </c>
      <c r="AD260" s="5">
        <f t="shared" si="92"/>
        <v>0</v>
      </c>
      <c r="AE260" s="5">
        <f t="shared" si="93"/>
        <v>0</v>
      </c>
      <c r="AF260" s="5">
        <f t="shared" si="94"/>
        <v>0</v>
      </c>
      <c r="AG260" s="5">
        <f t="shared" si="95"/>
        <v>0</v>
      </c>
      <c r="AH260" s="5">
        <f t="shared" si="96"/>
        <v>0</v>
      </c>
      <c r="AI260" s="5">
        <f t="shared" si="97"/>
        <v>0</v>
      </c>
      <c r="AJ260" s="5">
        <f t="shared" si="98"/>
        <v>0</v>
      </c>
      <c r="AK260" s="5">
        <f t="shared" si="99"/>
        <v>0</v>
      </c>
      <c r="AL260" s="5">
        <f t="shared" si="100"/>
        <v>0</v>
      </c>
      <c r="AM260" s="6">
        <f t="shared" si="85"/>
        <v>0</v>
      </c>
    </row>
    <row r="261" spans="1:39" x14ac:dyDescent="0.25">
      <c r="A261" s="4" t="s">
        <v>511</v>
      </c>
      <c r="B261" s="4" t="s">
        <v>512</v>
      </c>
      <c r="C261" s="4" t="s">
        <v>167</v>
      </c>
      <c r="D261" s="5"/>
      <c r="E261" s="6"/>
      <c r="F261" s="6"/>
      <c r="G261" s="6"/>
      <c r="H261" s="6">
        <v>24</v>
      </c>
      <c r="I261" s="6">
        <v>36</v>
      </c>
      <c r="J261" s="6">
        <v>45</v>
      </c>
      <c r="K261" s="6"/>
      <c r="L261" s="6"/>
      <c r="M261" s="6"/>
      <c r="N261" s="6"/>
      <c r="O261" s="3"/>
      <c r="P261" s="3"/>
      <c r="Q261" s="3"/>
      <c r="R261" s="3"/>
      <c r="S261" s="6">
        <f t="shared" si="84"/>
        <v>105</v>
      </c>
      <c r="T261">
        <v>1</v>
      </c>
      <c r="U261" s="4" t="s">
        <v>511</v>
      </c>
      <c r="V261" s="4" t="s">
        <v>512</v>
      </c>
      <c r="W261" s="4" t="s">
        <v>167</v>
      </c>
      <c r="X261" s="5">
        <f t="shared" si="86"/>
        <v>0</v>
      </c>
      <c r="Y261" s="5">
        <f t="shared" si="87"/>
        <v>0</v>
      </c>
      <c r="Z261" s="5">
        <f t="shared" si="88"/>
        <v>0</v>
      </c>
      <c r="AA261" s="5">
        <f t="shared" si="89"/>
        <v>0</v>
      </c>
      <c r="AB261" s="5">
        <f t="shared" si="90"/>
        <v>0</v>
      </c>
      <c r="AC261" s="5">
        <f t="shared" si="91"/>
        <v>15</v>
      </c>
      <c r="AD261" s="5">
        <f t="shared" si="92"/>
        <v>37.5</v>
      </c>
      <c r="AE261" s="5">
        <f t="shared" si="93"/>
        <v>0</v>
      </c>
      <c r="AF261" s="5">
        <f t="shared" si="94"/>
        <v>0</v>
      </c>
      <c r="AG261" s="5">
        <f t="shared" si="95"/>
        <v>0</v>
      </c>
      <c r="AH261" s="5">
        <f t="shared" si="96"/>
        <v>0</v>
      </c>
      <c r="AI261" s="5">
        <f t="shared" si="97"/>
        <v>0</v>
      </c>
      <c r="AJ261" s="5">
        <f t="shared" si="98"/>
        <v>0</v>
      </c>
      <c r="AK261" s="5">
        <f t="shared" si="99"/>
        <v>0</v>
      </c>
      <c r="AL261" s="5">
        <f t="shared" si="100"/>
        <v>0</v>
      </c>
      <c r="AM261" s="6">
        <f t="shared" si="85"/>
        <v>52.5</v>
      </c>
    </row>
    <row r="262" spans="1:39" x14ac:dyDescent="0.25">
      <c r="A262" s="4" t="s">
        <v>487</v>
      </c>
      <c r="B262" s="4" t="s">
        <v>488</v>
      </c>
      <c r="C262" s="4" t="s">
        <v>167</v>
      </c>
      <c r="D262" s="5"/>
      <c r="E262" s="6"/>
      <c r="F262" s="6"/>
      <c r="G262" s="6">
        <v>28.5</v>
      </c>
      <c r="H262" s="6">
        <v>22.5</v>
      </c>
      <c r="I262" s="6">
        <v>36</v>
      </c>
      <c r="J262" s="6">
        <v>45</v>
      </c>
      <c r="K262" s="6"/>
      <c r="L262" s="6">
        <v>30</v>
      </c>
      <c r="M262" s="6">
        <v>27</v>
      </c>
      <c r="N262" s="6"/>
      <c r="O262" s="3"/>
      <c r="P262" s="3"/>
      <c r="Q262" s="3"/>
      <c r="R262" s="3"/>
      <c r="S262" s="6">
        <f t="shared" si="84"/>
        <v>189</v>
      </c>
      <c r="T262">
        <v>1</v>
      </c>
      <c r="U262" s="4" t="s">
        <v>487</v>
      </c>
      <c r="V262" s="4" t="s">
        <v>488</v>
      </c>
      <c r="W262" s="4" t="s">
        <v>167</v>
      </c>
      <c r="X262" s="5">
        <f t="shared" si="86"/>
        <v>0</v>
      </c>
      <c r="Y262" s="5">
        <f t="shared" si="87"/>
        <v>0</v>
      </c>
      <c r="Z262" s="5">
        <f t="shared" si="88"/>
        <v>0</v>
      </c>
      <c r="AA262" s="5">
        <f t="shared" si="89"/>
        <v>8.75</v>
      </c>
      <c r="AB262" s="5">
        <f t="shared" si="90"/>
        <v>0</v>
      </c>
      <c r="AC262" s="5">
        <f t="shared" si="91"/>
        <v>15</v>
      </c>
      <c r="AD262" s="5">
        <f t="shared" si="92"/>
        <v>37.5</v>
      </c>
      <c r="AE262" s="5">
        <f t="shared" si="93"/>
        <v>0</v>
      </c>
      <c r="AF262" s="5">
        <f t="shared" si="94"/>
        <v>0</v>
      </c>
      <c r="AG262" s="5">
        <f t="shared" si="95"/>
        <v>0</v>
      </c>
      <c r="AH262" s="5">
        <f t="shared" si="96"/>
        <v>0</v>
      </c>
      <c r="AI262" s="5">
        <f t="shared" si="97"/>
        <v>0</v>
      </c>
      <c r="AJ262" s="5">
        <f t="shared" si="98"/>
        <v>0</v>
      </c>
      <c r="AK262" s="5">
        <f t="shared" si="99"/>
        <v>0</v>
      </c>
      <c r="AL262" s="5">
        <f t="shared" si="100"/>
        <v>0</v>
      </c>
      <c r="AM262" s="6">
        <f t="shared" si="85"/>
        <v>61.25</v>
      </c>
    </row>
    <row r="263" spans="1:39" x14ac:dyDescent="0.25">
      <c r="A263" s="4" t="s">
        <v>338</v>
      </c>
      <c r="B263" s="4" t="s">
        <v>339</v>
      </c>
      <c r="C263" s="4" t="s">
        <v>167</v>
      </c>
      <c r="D263" s="5"/>
      <c r="E263" s="6"/>
      <c r="F263" s="6"/>
      <c r="G263" s="6">
        <v>34.5</v>
      </c>
      <c r="H263" s="6">
        <v>27</v>
      </c>
      <c r="I263" s="6">
        <v>43.5</v>
      </c>
      <c r="J263" s="6">
        <v>33</v>
      </c>
      <c r="K263" s="6"/>
      <c r="L263" s="6">
        <v>57</v>
      </c>
      <c r="M263" s="6">
        <v>37.5</v>
      </c>
      <c r="N263" s="6"/>
      <c r="O263" s="3"/>
      <c r="P263" s="3"/>
      <c r="Q263" s="3"/>
      <c r="R263" s="3"/>
      <c r="S263" s="6">
        <f t="shared" si="84"/>
        <v>232.5</v>
      </c>
      <c r="T263">
        <v>1</v>
      </c>
      <c r="U263" s="4" t="s">
        <v>338</v>
      </c>
      <c r="V263" s="4" t="s">
        <v>339</v>
      </c>
      <c r="W263" s="4" t="s">
        <v>167</v>
      </c>
      <c r="X263" s="5">
        <f t="shared" si="86"/>
        <v>0</v>
      </c>
      <c r="Y263" s="5">
        <f t="shared" si="87"/>
        <v>0</v>
      </c>
      <c r="Z263" s="5">
        <f t="shared" si="88"/>
        <v>0</v>
      </c>
      <c r="AA263" s="5">
        <f t="shared" si="89"/>
        <v>23.75</v>
      </c>
      <c r="AB263" s="5">
        <f t="shared" si="90"/>
        <v>0</v>
      </c>
      <c r="AC263" s="5">
        <f t="shared" si="91"/>
        <v>33.75</v>
      </c>
      <c r="AD263" s="5">
        <f t="shared" si="92"/>
        <v>7.5</v>
      </c>
      <c r="AE263" s="5">
        <f t="shared" si="93"/>
        <v>0</v>
      </c>
      <c r="AF263" s="5">
        <f t="shared" si="94"/>
        <v>67.5</v>
      </c>
      <c r="AG263" s="5">
        <f t="shared" si="95"/>
        <v>18.75</v>
      </c>
      <c r="AH263" s="5">
        <f t="shared" si="96"/>
        <v>0</v>
      </c>
      <c r="AI263" s="5">
        <f t="shared" si="97"/>
        <v>0</v>
      </c>
      <c r="AJ263" s="5">
        <f t="shared" si="98"/>
        <v>0</v>
      </c>
      <c r="AK263" s="5">
        <f t="shared" si="99"/>
        <v>0</v>
      </c>
      <c r="AL263" s="5">
        <f t="shared" si="100"/>
        <v>0</v>
      </c>
      <c r="AM263" s="6">
        <f t="shared" si="85"/>
        <v>151.25</v>
      </c>
    </row>
    <row r="264" spans="1:39" x14ac:dyDescent="0.25">
      <c r="A264" s="4" t="s">
        <v>340</v>
      </c>
      <c r="B264" s="4" t="s">
        <v>341</v>
      </c>
      <c r="C264" s="4" t="s">
        <v>167</v>
      </c>
      <c r="D264" s="5"/>
      <c r="E264" s="6"/>
      <c r="F264" s="6"/>
      <c r="G264" s="6">
        <v>39</v>
      </c>
      <c r="H264" s="6">
        <v>25.5</v>
      </c>
      <c r="I264" s="6">
        <v>46.5</v>
      </c>
      <c r="J264" s="6">
        <v>42</v>
      </c>
      <c r="K264" s="6"/>
      <c r="L264" s="6">
        <v>33</v>
      </c>
      <c r="M264" s="6">
        <v>36</v>
      </c>
      <c r="N264" s="6"/>
      <c r="O264" s="3"/>
      <c r="P264" s="3"/>
      <c r="Q264" s="3"/>
      <c r="R264" s="3"/>
      <c r="S264" s="6">
        <f t="shared" si="84"/>
        <v>222</v>
      </c>
      <c r="T264">
        <v>1</v>
      </c>
      <c r="U264" s="4" t="s">
        <v>340</v>
      </c>
      <c r="V264" s="4" t="s">
        <v>341</v>
      </c>
      <c r="W264" s="4" t="s">
        <v>167</v>
      </c>
      <c r="X264" s="5">
        <f t="shared" si="86"/>
        <v>0</v>
      </c>
      <c r="Y264" s="5">
        <f t="shared" si="87"/>
        <v>0</v>
      </c>
      <c r="Z264" s="5">
        <f t="shared" si="88"/>
        <v>0</v>
      </c>
      <c r="AA264" s="5">
        <f t="shared" si="89"/>
        <v>35</v>
      </c>
      <c r="AB264" s="5">
        <f t="shared" si="90"/>
        <v>0</v>
      </c>
      <c r="AC264" s="5">
        <f t="shared" si="91"/>
        <v>41.25</v>
      </c>
      <c r="AD264" s="5">
        <f t="shared" si="92"/>
        <v>30</v>
      </c>
      <c r="AE264" s="5">
        <f t="shared" si="93"/>
        <v>0</v>
      </c>
      <c r="AF264" s="5">
        <f t="shared" si="94"/>
        <v>7.5</v>
      </c>
      <c r="AG264" s="5">
        <f t="shared" si="95"/>
        <v>15</v>
      </c>
      <c r="AH264" s="5">
        <f t="shared" si="96"/>
        <v>0</v>
      </c>
      <c r="AI264" s="5">
        <f t="shared" si="97"/>
        <v>0</v>
      </c>
      <c r="AJ264" s="5">
        <f t="shared" si="98"/>
        <v>0</v>
      </c>
      <c r="AK264" s="5">
        <f t="shared" si="99"/>
        <v>0</v>
      </c>
      <c r="AL264" s="5">
        <f t="shared" si="100"/>
        <v>0</v>
      </c>
      <c r="AM264" s="6">
        <f t="shared" si="85"/>
        <v>128.75</v>
      </c>
    </row>
    <row r="265" spans="1:39" x14ac:dyDescent="0.25">
      <c r="A265" s="4" t="s">
        <v>342</v>
      </c>
      <c r="B265" s="4" t="s">
        <v>343</v>
      </c>
      <c r="C265" s="4" t="s">
        <v>167</v>
      </c>
      <c r="D265" s="5"/>
      <c r="E265" s="6"/>
      <c r="F265" s="6"/>
      <c r="G265" s="6">
        <v>25.5</v>
      </c>
      <c r="H265" s="6">
        <v>19.5</v>
      </c>
      <c r="I265" s="6">
        <v>36</v>
      </c>
      <c r="J265" s="6">
        <v>36</v>
      </c>
      <c r="K265" s="6"/>
      <c r="L265" s="6">
        <v>27</v>
      </c>
      <c r="M265" s="6">
        <v>33</v>
      </c>
      <c r="N265" s="6"/>
      <c r="O265" s="3"/>
      <c r="P265" s="3"/>
      <c r="Q265" s="3"/>
      <c r="R265" s="3"/>
      <c r="S265" s="6">
        <f t="shared" si="84"/>
        <v>177</v>
      </c>
      <c r="T265">
        <v>1</v>
      </c>
      <c r="U265" s="4" t="s">
        <v>342</v>
      </c>
      <c r="V265" s="4" t="s">
        <v>343</v>
      </c>
      <c r="W265" s="4" t="s">
        <v>167</v>
      </c>
      <c r="X265" s="5">
        <f t="shared" si="86"/>
        <v>0</v>
      </c>
      <c r="Y265" s="5">
        <f t="shared" si="87"/>
        <v>0</v>
      </c>
      <c r="Z265" s="5">
        <f t="shared" si="88"/>
        <v>0</v>
      </c>
      <c r="AA265" s="5">
        <f t="shared" si="89"/>
        <v>1.25</v>
      </c>
      <c r="AB265" s="5">
        <f t="shared" si="90"/>
        <v>0</v>
      </c>
      <c r="AC265" s="5">
        <f t="shared" si="91"/>
        <v>15</v>
      </c>
      <c r="AD265" s="5">
        <f t="shared" si="92"/>
        <v>15</v>
      </c>
      <c r="AE265" s="5">
        <f t="shared" si="93"/>
        <v>0</v>
      </c>
      <c r="AF265" s="5">
        <f t="shared" si="94"/>
        <v>0</v>
      </c>
      <c r="AG265" s="5">
        <f t="shared" si="95"/>
        <v>7.5</v>
      </c>
      <c r="AH265" s="5">
        <f t="shared" si="96"/>
        <v>0</v>
      </c>
      <c r="AI265" s="5">
        <f t="shared" si="97"/>
        <v>0</v>
      </c>
      <c r="AJ265" s="5">
        <f t="shared" si="98"/>
        <v>0</v>
      </c>
      <c r="AK265" s="5">
        <f t="shared" si="99"/>
        <v>0</v>
      </c>
      <c r="AL265" s="5">
        <f t="shared" si="100"/>
        <v>0</v>
      </c>
      <c r="AM265" s="6">
        <f t="shared" si="85"/>
        <v>38.75</v>
      </c>
    </row>
    <row r="266" spans="1:39" x14ac:dyDescent="0.25">
      <c r="A266" s="4" t="s">
        <v>344</v>
      </c>
      <c r="B266" s="4" t="s">
        <v>345</v>
      </c>
      <c r="C266" s="4" t="s">
        <v>167</v>
      </c>
      <c r="D266" s="5"/>
      <c r="E266" s="6"/>
      <c r="F266" s="6"/>
      <c r="G266" s="6"/>
      <c r="H266" s="6"/>
      <c r="I266" s="6"/>
      <c r="J266" s="6"/>
      <c r="K266" s="6"/>
      <c r="L266" s="6">
        <v>15</v>
      </c>
      <c r="M266" s="6"/>
      <c r="N266" s="6"/>
      <c r="O266" s="3"/>
      <c r="P266" s="3"/>
      <c r="Q266" s="3"/>
      <c r="R266" s="3"/>
      <c r="S266" s="6">
        <f t="shared" si="84"/>
        <v>15</v>
      </c>
      <c r="T266">
        <v>1</v>
      </c>
      <c r="U266" s="4" t="s">
        <v>344</v>
      </c>
      <c r="V266" s="4" t="s">
        <v>345</v>
      </c>
      <c r="W266" s="4" t="s">
        <v>167</v>
      </c>
      <c r="X266" s="5">
        <f t="shared" si="86"/>
        <v>0</v>
      </c>
      <c r="Y266" s="5">
        <f t="shared" si="87"/>
        <v>0</v>
      </c>
      <c r="Z266" s="5">
        <f t="shared" si="88"/>
        <v>0</v>
      </c>
      <c r="AA266" s="5">
        <f t="shared" si="89"/>
        <v>0</v>
      </c>
      <c r="AB266" s="5">
        <f t="shared" si="90"/>
        <v>0</v>
      </c>
      <c r="AC266" s="5">
        <f t="shared" si="91"/>
        <v>0</v>
      </c>
      <c r="AD266" s="5">
        <f t="shared" si="92"/>
        <v>0</v>
      </c>
      <c r="AE266" s="5">
        <f t="shared" si="93"/>
        <v>0</v>
      </c>
      <c r="AF266" s="5">
        <f t="shared" si="94"/>
        <v>0</v>
      </c>
      <c r="AG266" s="5">
        <f t="shared" si="95"/>
        <v>0</v>
      </c>
      <c r="AH266" s="5">
        <f t="shared" si="96"/>
        <v>0</v>
      </c>
      <c r="AI266" s="5">
        <f t="shared" si="97"/>
        <v>0</v>
      </c>
      <c r="AJ266" s="5">
        <f t="shared" si="98"/>
        <v>0</v>
      </c>
      <c r="AK266" s="5">
        <f t="shared" si="99"/>
        <v>0</v>
      </c>
      <c r="AL266" s="5">
        <f t="shared" si="100"/>
        <v>0</v>
      </c>
      <c r="AM266" s="6">
        <f t="shared" si="85"/>
        <v>0</v>
      </c>
    </row>
    <row r="267" spans="1:39" x14ac:dyDescent="0.25">
      <c r="A267" s="4" t="s">
        <v>346</v>
      </c>
      <c r="B267" s="4" t="s">
        <v>347</v>
      </c>
      <c r="C267" s="4" t="s">
        <v>167</v>
      </c>
      <c r="D267" s="5"/>
      <c r="E267" s="6"/>
      <c r="F267" s="6"/>
      <c r="G267" s="6"/>
      <c r="H267" s="6">
        <v>16.5</v>
      </c>
      <c r="I267" s="6">
        <v>37.5</v>
      </c>
      <c r="J267" s="6">
        <v>39</v>
      </c>
      <c r="K267" s="6"/>
      <c r="L267" s="6">
        <v>36</v>
      </c>
      <c r="M267" s="6">
        <v>31.5</v>
      </c>
      <c r="N267" s="6"/>
      <c r="O267" s="3"/>
      <c r="P267" s="3"/>
      <c r="Q267" s="3"/>
      <c r="R267" s="3"/>
      <c r="S267" s="6">
        <f t="shared" si="84"/>
        <v>160.5</v>
      </c>
      <c r="T267">
        <v>1</v>
      </c>
      <c r="U267" s="4" t="s">
        <v>346</v>
      </c>
      <c r="V267" s="4" t="s">
        <v>347</v>
      </c>
      <c r="W267" s="4" t="s">
        <v>167</v>
      </c>
      <c r="X267" s="5">
        <f t="shared" si="86"/>
        <v>0</v>
      </c>
      <c r="Y267" s="5">
        <f t="shared" si="87"/>
        <v>0</v>
      </c>
      <c r="Z267" s="5">
        <f t="shared" si="88"/>
        <v>0</v>
      </c>
      <c r="AA267" s="5">
        <f t="shared" si="89"/>
        <v>0</v>
      </c>
      <c r="AB267" s="5">
        <f t="shared" si="90"/>
        <v>0</v>
      </c>
      <c r="AC267" s="5">
        <f t="shared" si="91"/>
        <v>18.75</v>
      </c>
      <c r="AD267" s="5">
        <f t="shared" si="92"/>
        <v>22.5</v>
      </c>
      <c r="AE267" s="5">
        <f t="shared" si="93"/>
        <v>0</v>
      </c>
      <c r="AF267" s="5">
        <f t="shared" si="94"/>
        <v>15</v>
      </c>
      <c r="AG267" s="5">
        <f t="shared" si="95"/>
        <v>3.75</v>
      </c>
      <c r="AH267" s="5">
        <f t="shared" si="96"/>
        <v>0</v>
      </c>
      <c r="AI267" s="5">
        <f t="shared" si="97"/>
        <v>0</v>
      </c>
      <c r="AJ267" s="5">
        <f t="shared" si="98"/>
        <v>0</v>
      </c>
      <c r="AK267" s="5">
        <f t="shared" si="99"/>
        <v>0</v>
      </c>
      <c r="AL267" s="5">
        <f t="shared" si="100"/>
        <v>0</v>
      </c>
      <c r="AM267" s="6">
        <f t="shared" si="85"/>
        <v>60</v>
      </c>
    </row>
    <row r="268" spans="1:39" x14ac:dyDescent="0.25">
      <c r="A268" s="4" t="s">
        <v>348</v>
      </c>
      <c r="B268" s="4" t="s">
        <v>349</v>
      </c>
      <c r="C268" s="4" t="s">
        <v>167</v>
      </c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3"/>
      <c r="P268" s="3"/>
      <c r="Q268" s="3"/>
      <c r="R268" s="3"/>
      <c r="S268" s="6">
        <f t="shared" si="84"/>
        <v>0</v>
      </c>
      <c r="T268">
        <v>1</v>
      </c>
      <c r="U268" s="4" t="s">
        <v>348</v>
      </c>
      <c r="V268" s="4" t="s">
        <v>349</v>
      </c>
      <c r="W268" s="4" t="s">
        <v>167</v>
      </c>
      <c r="X268" s="5">
        <f t="shared" si="86"/>
        <v>0</v>
      </c>
      <c r="Y268" s="5">
        <f t="shared" si="87"/>
        <v>0</v>
      </c>
      <c r="Z268" s="5">
        <f t="shared" si="88"/>
        <v>0</v>
      </c>
      <c r="AA268" s="5">
        <f t="shared" si="89"/>
        <v>0</v>
      </c>
      <c r="AB268" s="5">
        <f t="shared" si="90"/>
        <v>0</v>
      </c>
      <c r="AC268" s="5">
        <f t="shared" si="91"/>
        <v>0</v>
      </c>
      <c r="AD268" s="5">
        <f t="shared" si="92"/>
        <v>0</v>
      </c>
      <c r="AE268" s="5">
        <f t="shared" si="93"/>
        <v>0</v>
      </c>
      <c r="AF268" s="5">
        <f t="shared" si="94"/>
        <v>0</v>
      </c>
      <c r="AG268" s="5">
        <f t="shared" si="95"/>
        <v>0</v>
      </c>
      <c r="AH268" s="5">
        <f t="shared" si="96"/>
        <v>0</v>
      </c>
      <c r="AI268" s="5">
        <f t="shared" si="97"/>
        <v>0</v>
      </c>
      <c r="AJ268" s="5">
        <f t="shared" si="98"/>
        <v>0</v>
      </c>
      <c r="AK268" s="5">
        <f t="shared" si="99"/>
        <v>0</v>
      </c>
      <c r="AL268" s="5">
        <f t="shared" si="100"/>
        <v>0</v>
      </c>
      <c r="AM268" s="6">
        <f t="shared" si="85"/>
        <v>0</v>
      </c>
    </row>
    <row r="269" spans="1:39" x14ac:dyDescent="0.25">
      <c r="A269" s="4" t="s">
        <v>377</v>
      </c>
      <c r="B269" s="4" t="s">
        <v>378</v>
      </c>
      <c r="C269" s="4" t="s">
        <v>167</v>
      </c>
      <c r="D269" s="5"/>
      <c r="E269" s="6"/>
      <c r="F269" s="6"/>
      <c r="G269" s="6"/>
      <c r="H269" s="6">
        <v>45</v>
      </c>
      <c r="I269" s="6">
        <v>43.5</v>
      </c>
      <c r="J269" s="6"/>
      <c r="K269" s="6"/>
      <c r="L269" s="6"/>
      <c r="M269" s="6"/>
      <c r="N269" s="6"/>
      <c r="O269" s="3"/>
      <c r="P269" s="3"/>
      <c r="Q269" s="3"/>
      <c r="R269" s="3"/>
      <c r="S269" s="6">
        <f t="shared" si="84"/>
        <v>88.5</v>
      </c>
      <c r="T269">
        <v>1</v>
      </c>
      <c r="U269" s="4" t="s">
        <v>377</v>
      </c>
      <c r="V269" s="4" t="s">
        <v>378</v>
      </c>
      <c r="W269" s="4" t="s">
        <v>167</v>
      </c>
      <c r="X269" s="5">
        <f t="shared" si="86"/>
        <v>0</v>
      </c>
      <c r="Y269" s="5">
        <f t="shared" si="87"/>
        <v>0</v>
      </c>
      <c r="Z269" s="5">
        <f t="shared" si="88"/>
        <v>0</v>
      </c>
      <c r="AA269" s="5">
        <f t="shared" si="89"/>
        <v>0</v>
      </c>
      <c r="AB269" s="5">
        <f t="shared" si="90"/>
        <v>37.5</v>
      </c>
      <c r="AC269" s="5">
        <f t="shared" si="91"/>
        <v>33.75</v>
      </c>
      <c r="AD269" s="5">
        <f t="shared" si="92"/>
        <v>0</v>
      </c>
      <c r="AE269" s="5">
        <f t="shared" si="93"/>
        <v>0</v>
      </c>
      <c r="AF269" s="5">
        <f t="shared" si="94"/>
        <v>0</v>
      </c>
      <c r="AG269" s="5">
        <f t="shared" si="95"/>
        <v>0</v>
      </c>
      <c r="AH269" s="5">
        <f t="shared" si="96"/>
        <v>0</v>
      </c>
      <c r="AI269" s="5">
        <f t="shared" si="97"/>
        <v>0</v>
      </c>
      <c r="AJ269" s="5">
        <f t="shared" si="98"/>
        <v>0</v>
      </c>
      <c r="AK269" s="5">
        <f t="shared" si="99"/>
        <v>0</v>
      </c>
      <c r="AL269" s="5">
        <f t="shared" si="100"/>
        <v>0</v>
      </c>
      <c r="AM269" s="6">
        <f t="shared" si="85"/>
        <v>71.25</v>
      </c>
    </row>
    <row r="270" spans="1:39" x14ac:dyDescent="0.25">
      <c r="A270" s="4" t="s">
        <v>381</v>
      </c>
      <c r="B270" s="4" t="s">
        <v>382</v>
      </c>
      <c r="C270" s="4" t="s">
        <v>167</v>
      </c>
      <c r="D270" s="5"/>
      <c r="E270" s="6"/>
      <c r="F270" s="6"/>
      <c r="G270" s="6">
        <v>3</v>
      </c>
      <c r="H270" s="6"/>
      <c r="I270" s="6"/>
      <c r="J270" s="6"/>
      <c r="K270" s="6"/>
      <c r="L270" s="6"/>
      <c r="M270" s="6"/>
      <c r="N270" s="6"/>
      <c r="O270" s="3"/>
      <c r="P270" s="3"/>
      <c r="Q270" s="3"/>
      <c r="R270" s="3"/>
      <c r="S270" s="6">
        <f t="shared" si="84"/>
        <v>3</v>
      </c>
      <c r="T270">
        <v>1</v>
      </c>
      <c r="U270" s="4" t="s">
        <v>381</v>
      </c>
      <c r="V270" s="4" t="s">
        <v>382</v>
      </c>
      <c r="W270" s="4" t="s">
        <v>167</v>
      </c>
      <c r="X270" s="5">
        <f t="shared" si="86"/>
        <v>0</v>
      </c>
      <c r="Y270" s="5">
        <f t="shared" si="87"/>
        <v>0</v>
      </c>
      <c r="Z270" s="5">
        <f t="shared" si="88"/>
        <v>0</v>
      </c>
      <c r="AA270" s="5">
        <f t="shared" si="89"/>
        <v>0</v>
      </c>
      <c r="AB270" s="5">
        <f t="shared" si="90"/>
        <v>0</v>
      </c>
      <c r="AC270" s="5">
        <f t="shared" si="91"/>
        <v>0</v>
      </c>
      <c r="AD270" s="5">
        <f t="shared" si="92"/>
        <v>0</v>
      </c>
      <c r="AE270" s="5">
        <f t="shared" si="93"/>
        <v>0</v>
      </c>
      <c r="AF270" s="5">
        <f t="shared" si="94"/>
        <v>0</v>
      </c>
      <c r="AG270" s="5">
        <f t="shared" si="95"/>
        <v>0</v>
      </c>
      <c r="AH270" s="5">
        <f t="shared" si="96"/>
        <v>0</v>
      </c>
      <c r="AI270" s="5">
        <f t="shared" si="97"/>
        <v>0</v>
      </c>
      <c r="AJ270" s="5">
        <f t="shared" si="98"/>
        <v>0</v>
      </c>
      <c r="AK270" s="5">
        <f t="shared" si="99"/>
        <v>0</v>
      </c>
      <c r="AL270" s="5">
        <f t="shared" si="100"/>
        <v>0</v>
      </c>
      <c r="AM270" s="6">
        <f t="shared" si="85"/>
        <v>0</v>
      </c>
    </row>
    <row r="271" spans="1:39" x14ac:dyDescent="0.25">
      <c r="A271" s="4" t="s">
        <v>350</v>
      </c>
      <c r="B271" s="4" t="s">
        <v>351</v>
      </c>
      <c r="C271" s="4" t="s">
        <v>167</v>
      </c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3"/>
      <c r="P271" s="3"/>
      <c r="Q271" s="3"/>
      <c r="R271" s="3"/>
      <c r="S271" s="6">
        <f t="shared" si="84"/>
        <v>0</v>
      </c>
      <c r="T271">
        <v>1</v>
      </c>
      <c r="U271" s="4" t="s">
        <v>350</v>
      </c>
      <c r="V271" s="4" t="s">
        <v>351</v>
      </c>
      <c r="W271" s="4" t="s">
        <v>167</v>
      </c>
      <c r="X271" s="5">
        <f t="shared" si="86"/>
        <v>0</v>
      </c>
      <c r="Y271" s="5">
        <f t="shared" si="87"/>
        <v>0</v>
      </c>
      <c r="Z271" s="5">
        <f t="shared" si="88"/>
        <v>0</v>
      </c>
      <c r="AA271" s="5">
        <f t="shared" si="89"/>
        <v>0</v>
      </c>
      <c r="AB271" s="5">
        <f t="shared" si="90"/>
        <v>0</v>
      </c>
      <c r="AC271" s="5">
        <f t="shared" si="91"/>
        <v>0</v>
      </c>
      <c r="AD271" s="5">
        <f t="shared" si="92"/>
        <v>0</v>
      </c>
      <c r="AE271" s="5">
        <f t="shared" si="93"/>
        <v>0</v>
      </c>
      <c r="AF271" s="5">
        <f t="shared" si="94"/>
        <v>0</v>
      </c>
      <c r="AG271" s="5">
        <f t="shared" si="95"/>
        <v>0</v>
      </c>
      <c r="AH271" s="5">
        <f t="shared" si="96"/>
        <v>0</v>
      </c>
      <c r="AI271" s="5">
        <f t="shared" si="97"/>
        <v>0</v>
      </c>
      <c r="AJ271" s="5">
        <f t="shared" si="98"/>
        <v>0</v>
      </c>
      <c r="AK271" s="5">
        <f t="shared" si="99"/>
        <v>0</v>
      </c>
      <c r="AL271" s="5">
        <f t="shared" si="100"/>
        <v>0</v>
      </c>
      <c r="AM271" s="6">
        <f t="shared" si="85"/>
        <v>0</v>
      </c>
    </row>
    <row r="272" spans="1:39" x14ac:dyDescent="0.25">
      <c r="A272" s="4" t="s">
        <v>352</v>
      </c>
      <c r="B272" s="4" t="s">
        <v>353</v>
      </c>
      <c r="C272" s="4" t="s">
        <v>167</v>
      </c>
      <c r="D272" s="5"/>
      <c r="E272" s="6"/>
      <c r="F272" s="6"/>
      <c r="G272" s="6">
        <v>31.5</v>
      </c>
      <c r="H272" s="6">
        <v>21</v>
      </c>
      <c r="I272" s="6">
        <v>43.5</v>
      </c>
      <c r="J272" s="6"/>
      <c r="K272" s="6"/>
      <c r="L272" s="6">
        <v>27</v>
      </c>
      <c r="M272" s="6">
        <v>21</v>
      </c>
      <c r="N272" s="6"/>
      <c r="O272" s="3"/>
      <c r="P272" s="3"/>
      <c r="Q272" s="3"/>
      <c r="R272" s="3"/>
      <c r="S272" s="6">
        <f t="shared" si="84"/>
        <v>144</v>
      </c>
      <c r="T272">
        <v>1</v>
      </c>
      <c r="U272" s="4" t="s">
        <v>352</v>
      </c>
      <c r="V272" s="4" t="s">
        <v>353</v>
      </c>
      <c r="W272" s="4" t="s">
        <v>167</v>
      </c>
      <c r="X272" s="5">
        <f t="shared" si="86"/>
        <v>0</v>
      </c>
      <c r="Y272" s="5">
        <f t="shared" si="87"/>
        <v>0</v>
      </c>
      <c r="Z272" s="5">
        <f t="shared" si="88"/>
        <v>0</v>
      </c>
      <c r="AA272" s="5">
        <f t="shared" si="89"/>
        <v>16.25</v>
      </c>
      <c r="AB272" s="5">
        <f t="shared" si="90"/>
        <v>0</v>
      </c>
      <c r="AC272" s="5">
        <f t="shared" si="91"/>
        <v>33.75</v>
      </c>
      <c r="AD272" s="5">
        <f t="shared" si="92"/>
        <v>0</v>
      </c>
      <c r="AE272" s="5">
        <f t="shared" si="93"/>
        <v>0</v>
      </c>
      <c r="AF272" s="5">
        <f t="shared" si="94"/>
        <v>0</v>
      </c>
      <c r="AG272" s="5">
        <f t="shared" si="95"/>
        <v>0</v>
      </c>
      <c r="AH272" s="5">
        <f t="shared" si="96"/>
        <v>0</v>
      </c>
      <c r="AI272" s="5">
        <f t="shared" si="97"/>
        <v>0</v>
      </c>
      <c r="AJ272" s="5">
        <f t="shared" si="98"/>
        <v>0</v>
      </c>
      <c r="AK272" s="5">
        <f t="shared" si="99"/>
        <v>0</v>
      </c>
      <c r="AL272" s="5">
        <f t="shared" si="100"/>
        <v>0</v>
      </c>
      <c r="AM272" s="6">
        <f t="shared" ref="AM272" si="101">SUM(X272:AL272)</f>
        <v>50</v>
      </c>
    </row>
    <row r="273" spans="1:39" x14ac:dyDescent="0.25">
      <c r="A273" s="4" t="s">
        <v>389</v>
      </c>
      <c r="B273" s="4" t="s">
        <v>390</v>
      </c>
      <c r="C273" s="4" t="s">
        <v>167</v>
      </c>
      <c r="D273" s="5"/>
      <c r="E273" s="6"/>
      <c r="F273" s="6"/>
      <c r="G273" s="6">
        <v>3</v>
      </c>
      <c r="H273" s="6">
        <v>48</v>
      </c>
      <c r="I273" s="6">
        <v>39</v>
      </c>
      <c r="J273" s="6">
        <v>42</v>
      </c>
      <c r="K273" s="6"/>
      <c r="L273" s="6"/>
      <c r="M273" s="6"/>
      <c r="N273" s="6"/>
      <c r="O273" s="3"/>
      <c r="P273" s="3"/>
      <c r="Q273" s="3"/>
      <c r="R273" s="3"/>
      <c r="S273" s="6">
        <f t="shared" si="84"/>
        <v>132</v>
      </c>
      <c r="T273">
        <v>1</v>
      </c>
      <c r="U273" s="4" t="s">
        <v>389</v>
      </c>
      <c r="V273" s="4" t="s">
        <v>390</v>
      </c>
      <c r="W273" s="4" t="s">
        <v>167</v>
      </c>
      <c r="X273" s="5">
        <f t="shared" si="86"/>
        <v>0</v>
      </c>
      <c r="Y273" s="5">
        <f t="shared" si="87"/>
        <v>0</v>
      </c>
      <c r="Z273" s="5">
        <f t="shared" si="88"/>
        <v>0</v>
      </c>
      <c r="AA273" s="5">
        <f t="shared" si="89"/>
        <v>0</v>
      </c>
      <c r="AB273" s="5">
        <f t="shared" si="90"/>
        <v>45</v>
      </c>
      <c r="AC273" s="5">
        <f t="shared" si="91"/>
        <v>22.5</v>
      </c>
      <c r="AD273" s="5">
        <f t="shared" si="92"/>
        <v>30</v>
      </c>
      <c r="AE273" s="5">
        <f t="shared" si="93"/>
        <v>0</v>
      </c>
      <c r="AF273" s="5">
        <f t="shared" si="94"/>
        <v>0</v>
      </c>
      <c r="AG273" s="5">
        <f t="shared" si="95"/>
        <v>0</v>
      </c>
      <c r="AH273" s="5">
        <f t="shared" si="96"/>
        <v>0</v>
      </c>
      <c r="AI273" s="5">
        <f t="shared" si="97"/>
        <v>0</v>
      </c>
      <c r="AJ273" s="5">
        <f t="shared" si="98"/>
        <v>0</v>
      </c>
      <c r="AK273" s="5">
        <f t="shared" si="99"/>
        <v>0</v>
      </c>
      <c r="AL273" s="5">
        <f t="shared" si="100"/>
        <v>0</v>
      </c>
      <c r="AM273" s="6">
        <f t="shared" si="85"/>
        <v>97.5</v>
      </c>
    </row>
    <row r="274" spans="1:39" x14ac:dyDescent="0.25">
      <c r="A274" s="4" t="s">
        <v>354</v>
      </c>
      <c r="B274" s="4" t="s">
        <v>355</v>
      </c>
      <c r="C274" s="4" t="s">
        <v>167</v>
      </c>
      <c r="D274" s="5"/>
      <c r="E274" s="6"/>
      <c r="F274" s="6"/>
      <c r="G274" s="6">
        <v>24</v>
      </c>
      <c r="H274" s="6">
        <v>18</v>
      </c>
      <c r="I274" s="6">
        <v>45</v>
      </c>
      <c r="J274" s="6">
        <v>36</v>
      </c>
      <c r="K274" s="6"/>
      <c r="L274" s="6"/>
      <c r="M274" s="6"/>
      <c r="N274" s="6"/>
      <c r="O274" s="3"/>
      <c r="P274" s="3"/>
      <c r="Q274" s="3"/>
      <c r="R274" s="3"/>
      <c r="S274" s="6">
        <f t="shared" si="84"/>
        <v>123</v>
      </c>
      <c r="T274">
        <v>1</v>
      </c>
      <c r="U274" s="4" t="s">
        <v>354</v>
      </c>
      <c r="V274" s="4" t="s">
        <v>355</v>
      </c>
      <c r="W274" s="4" t="s">
        <v>167</v>
      </c>
      <c r="X274" s="5">
        <f t="shared" si="86"/>
        <v>0</v>
      </c>
      <c r="Y274" s="5">
        <f t="shared" si="87"/>
        <v>0</v>
      </c>
      <c r="Z274" s="5">
        <f t="shared" si="88"/>
        <v>0</v>
      </c>
      <c r="AA274" s="5">
        <f t="shared" si="89"/>
        <v>0</v>
      </c>
      <c r="AB274" s="5">
        <f t="shared" si="90"/>
        <v>0</v>
      </c>
      <c r="AC274" s="5">
        <f t="shared" si="91"/>
        <v>37.5</v>
      </c>
      <c r="AD274" s="5">
        <f t="shared" si="92"/>
        <v>15</v>
      </c>
      <c r="AE274" s="5">
        <f t="shared" si="93"/>
        <v>0</v>
      </c>
      <c r="AF274" s="5">
        <f t="shared" si="94"/>
        <v>0</v>
      </c>
      <c r="AG274" s="5">
        <f t="shared" si="95"/>
        <v>0</v>
      </c>
      <c r="AH274" s="5">
        <f t="shared" si="96"/>
        <v>0</v>
      </c>
      <c r="AI274" s="5">
        <f t="shared" si="97"/>
        <v>0</v>
      </c>
      <c r="AJ274" s="5">
        <f t="shared" si="98"/>
        <v>0</v>
      </c>
      <c r="AK274" s="5">
        <f t="shared" si="99"/>
        <v>0</v>
      </c>
      <c r="AL274" s="5">
        <f t="shared" si="100"/>
        <v>0</v>
      </c>
      <c r="AM274" s="6">
        <f t="shared" si="85"/>
        <v>52.5</v>
      </c>
    </row>
    <row r="275" spans="1:39" x14ac:dyDescent="0.25">
      <c r="A275" s="4" t="s">
        <v>356</v>
      </c>
      <c r="B275" s="4" t="s">
        <v>357</v>
      </c>
      <c r="C275" s="4" t="s">
        <v>167</v>
      </c>
      <c r="D275" s="5"/>
      <c r="E275" s="6"/>
      <c r="F275" s="6"/>
      <c r="G275" s="6"/>
      <c r="H275" s="6"/>
      <c r="I275" s="6"/>
      <c r="J275" s="6"/>
      <c r="K275" s="6"/>
      <c r="L275" s="6">
        <v>33</v>
      </c>
      <c r="M275" s="6"/>
      <c r="N275" s="6"/>
      <c r="O275" s="3"/>
      <c r="P275" s="3"/>
      <c r="Q275" s="3"/>
      <c r="R275" s="3"/>
      <c r="S275" s="6">
        <f t="shared" si="84"/>
        <v>33</v>
      </c>
      <c r="T275">
        <v>1</v>
      </c>
      <c r="U275" s="4" t="s">
        <v>356</v>
      </c>
      <c r="V275" s="4" t="s">
        <v>357</v>
      </c>
      <c r="W275" s="4" t="s">
        <v>167</v>
      </c>
      <c r="X275" s="5">
        <f t="shared" si="86"/>
        <v>0</v>
      </c>
      <c r="Y275" s="5">
        <f t="shared" si="87"/>
        <v>0</v>
      </c>
      <c r="Z275" s="5">
        <f t="shared" si="88"/>
        <v>0</v>
      </c>
      <c r="AA275" s="5">
        <f t="shared" si="89"/>
        <v>0</v>
      </c>
      <c r="AB275" s="5">
        <f t="shared" si="90"/>
        <v>0</v>
      </c>
      <c r="AC275" s="5">
        <f t="shared" si="91"/>
        <v>0</v>
      </c>
      <c r="AD275" s="5">
        <f t="shared" si="92"/>
        <v>0</v>
      </c>
      <c r="AE275" s="5">
        <f t="shared" si="93"/>
        <v>0</v>
      </c>
      <c r="AF275" s="5">
        <f t="shared" si="94"/>
        <v>7.5</v>
      </c>
      <c r="AG275" s="5">
        <f t="shared" si="95"/>
        <v>0</v>
      </c>
      <c r="AH275" s="5">
        <f t="shared" si="96"/>
        <v>0</v>
      </c>
      <c r="AI275" s="5">
        <f t="shared" si="97"/>
        <v>0</v>
      </c>
      <c r="AJ275" s="5">
        <f t="shared" si="98"/>
        <v>0</v>
      </c>
      <c r="AK275" s="5">
        <f t="shared" si="99"/>
        <v>0</v>
      </c>
      <c r="AL275" s="5">
        <f t="shared" si="100"/>
        <v>0</v>
      </c>
      <c r="AM275" s="6">
        <f t="shared" si="85"/>
        <v>7.5</v>
      </c>
    </row>
    <row r="276" spans="1:39" x14ac:dyDescent="0.25">
      <c r="A276" s="4" t="s">
        <v>358</v>
      </c>
      <c r="B276" s="4" t="s">
        <v>359</v>
      </c>
      <c r="C276" s="4" t="s">
        <v>167</v>
      </c>
      <c r="D276" s="5"/>
      <c r="E276" s="6"/>
      <c r="F276" s="6"/>
      <c r="G276" s="6"/>
      <c r="H276" s="6"/>
      <c r="I276" s="6"/>
      <c r="J276" s="6"/>
      <c r="K276" s="6"/>
      <c r="L276" s="6">
        <v>18</v>
      </c>
      <c r="M276" s="6"/>
      <c r="N276" s="6"/>
      <c r="O276" s="3"/>
      <c r="P276" s="3"/>
      <c r="Q276" s="3"/>
      <c r="R276" s="3"/>
      <c r="S276" s="6">
        <f t="shared" si="84"/>
        <v>18</v>
      </c>
      <c r="T276">
        <v>1</v>
      </c>
      <c r="U276" s="4" t="s">
        <v>358</v>
      </c>
      <c r="V276" s="4" t="s">
        <v>359</v>
      </c>
      <c r="W276" s="4" t="s">
        <v>167</v>
      </c>
      <c r="X276" s="5">
        <f t="shared" si="86"/>
        <v>0</v>
      </c>
      <c r="Y276" s="5">
        <f t="shared" si="87"/>
        <v>0</v>
      </c>
      <c r="Z276" s="5">
        <f t="shared" si="88"/>
        <v>0</v>
      </c>
      <c r="AA276" s="5">
        <f t="shared" si="89"/>
        <v>0</v>
      </c>
      <c r="AB276" s="5">
        <f t="shared" si="90"/>
        <v>0</v>
      </c>
      <c r="AC276" s="5">
        <f t="shared" si="91"/>
        <v>0</v>
      </c>
      <c r="AD276" s="5">
        <f t="shared" si="92"/>
        <v>0</v>
      </c>
      <c r="AE276" s="5">
        <f t="shared" si="93"/>
        <v>0</v>
      </c>
      <c r="AF276" s="5">
        <f t="shared" si="94"/>
        <v>0</v>
      </c>
      <c r="AG276" s="5">
        <f t="shared" si="95"/>
        <v>0</v>
      </c>
      <c r="AH276" s="5">
        <f t="shared" si="96"/>
        <v>0</v>
      </c>
      <c r="AI276" s="5">
        <f t="shared" si="97"/>
        <v>0</v>
      </c>
      <c r="AJ276" s="5">
        <f t="shared" si="98"/>
        <v>0</v>
      </c>
      <c r="AK276" s="5">
        <f t="shared" si="99"/>
        <v>0</v>
      </c>
      <c r="AL276" s="5">
        <f t="shared" si="100"/>
        <v>0</v>
      </c>
      <c r="AM276" s="6">
        <f t="shared" si="85"/>
        <v>0</v>
      </c>
    </row>
    <row r="277" spans="1:39" x14ac:dyDescent="0.25">
      <c r="A277" s="4" t="s">
        <v>250</v>
      </c>
      <c r="B277" s="4" t="s">
        <v>251</v>
      </c>
      <c r="C277" s="4" t="s">
        <v>362</v>
      </c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3"/>
      <c r="P277" s="3"/>
      <c r="Q277" s="3"/>
      <c r="R277" s="3"/>
      <c r="S277" s="6">
        <f t="shared" si="84"/>
        <v>0</v>
      </c>
      <c r="T277">
        <v>1</v>
      </c>
      <c r="U277" s="4" t="s">
        <v>250</v>
      </c>
      <c r="V277" s="4" t="s">
        <v>251</v>
      </c>
      <c r="W277" s="4" t="s">
        <v>362</v>
      </c>
      <c r="X277" s="5">
        <f t="shared" ref="X277:X290" si="102">IF(D277&lt;20,0,IF(D277&lt;25,20,IF(D277&lt;30,40,IF(D277&lt;=40,60+(D277-30)*3,60+30+(D277-40)*4))))</f>
        <v>0</v>
      </c>
      <c r="Y277" s="5">
        <f t="shared" ref="Y277:Y290" si="103">IF(E277&lt;20,0,IF(E277&lt;25,20,IF(E277&lt;30,40,IF(E277&lt;=40,60+(E277-30)*3,60+30+(E277-40)*4))))</f>
        <v>0</v>
      </c>
      <c r="Z277" s="5">
        <f t="shared" ref="Z277:Z290" si="104">IF(F277&lt;20,0,IF(F277&lt;25,20,IF(F277&lt;30,40,IF(F277&lt;=40,60+(F277-30)*3,60+30+(F277-40)*4))))</f>
        <v>0</v>
      </c>
      <c r="AA277" s="5">
        <f t="shared" ref="AA277:AA290" si="105">IF(G277&lt;20,0,IF(G277&lt;25,20,IF(G277&lt;30,40,IF(G277&lt;=40,60+(G277-30)*3,60+30+(G277-40)*4))))</f>
        <v>0</v>
      </c>
      <c r="AB277" s="5">
        <f t="shared" ref="AB277:AB290" si="106">IF(H277&lt;20,0,IF(H277&lt;25,20,IF(H277&lt;30,40,IF(H277&lt;=40,60+(H277-30)*3,60+30+(H277-40)*4))))</f>
        <v>0</v>
      </c>
      <c r="AC277" s="5">
        <f t="shared" ref="AC277:AC290" si="107">IF(I277&lt;20,0,IF(I277&lt;25,20,IF(I277&lt;30,40,IF(I277&lt;=40,60+(I277-30)*3,60+30+(I277-40)*4))))</f>
        <v>0</v>
      </c>
      <c r="AD277" s="5">
        <f t="shared" ref="AD277:AD290" si="108">IF(J277&lt;20,0,IF(J277&lt;25,20,IF(J277&lt;30,40,IF(J277&lt;=40,60+(J277-30)*3,60+30+(J277-40)*4))))</f>
        <v>0</v>
      </c>
      <c r="AE277" s="5">
        <f t="shared" ref="AE277:AE290" si="109">IF(K277&lt;20,0,IF(K277&lt;25,20,IF(K277&lt;30,40,IF(K277&lt;=40,60+(K277-30)*3,60+30+(K277-40)*4))))</f>
        <v>0</v>
      </c>
      <c r="AF277" s="5">
        <f t="shared" ref="AF277:AF290" si="110">IF(L277&lt;20,0,IF(L277&lt;25,20,IF(L277&lt;30,40,IF(L277&lt;=40,60+(L277-30)*3,60+30+(L277-40)*4))))</f>
        <v>0</v>
      </c>
      <c r="AG277" s="5">
        <f t="shared" ref="AG277:AG290" si="111">IF(M277&lt;20,0,IF(M277&lt;25,20,IF(M277&lt;30,40,IF(M277&lt;=40,60+(M277-30)*3,60+30+(M277-40)*4))))</f>
        <v>0</v>
      </c>
      <c r="AH277" s="5">
        <f t="shared" ref="AH277:AH290" si="112">IF(N277&lt;20,0,IF(N277&lt;25,20,IF(N277&lt;30,40,IF(N277&lt;=40,60+(N277-30)*3,60+30+(N277-40)*4))))</f>
        <v>0</v>
      </c>
      <c r="AI277" s="5">
        <f t="shared" ref="AI277:AI290" si="113">IF(O277&lt;20,0,IF(O277&lt;25,20,IF(O277&lt;30,40,IF(O277&lt;=40,60+(O277-30)*3,60+30+(O277-40)*4))))</f>
        <v>0</v>
      </c>
      <c r="AJ277" s="5">
        <f t="shared" ref="AJ277:AJ290" si="114">IF(P277&lt;20,0,IF(P277&lt;25,20,IF(P277&lt;30,40,IF(P277&lt;=40,60+(P277-30)*3,60+30+(P277-40)*4))))</f>
        <v>0</v>
      </c>
      <c r="AK277" s="5">
        <f t="shared" ref="AK277:AK290" si="115">IF(Q277&lt;20,0,IF(Q277&lt;25,20,IF(Q277&lt;30,40,IF(Q277&lt;=40,60+(Q277-30)*3,60+30+(Q277-40)*4))))</f>
        <v>0</v>
      </c>
      <c r="AL277" s="5">
        <f t="shared" ref="AL277:AL290" si="116">IF(R277&lt;20,0,IF(R277&lt;25,20,IF(R277&lt;30,40,IF(R277&lt;=40,60+(R277-30)*3,60+30+(R277-40)*4))))</f>
        <v>0</v>
      </c>
      <c r="AM277" s="6">
        <f t="shared" si="85"/>
        <v>0</v>
      </c>
    </row>
    <row r="278" spans="1:39" x14ac:dyDescent="0.25">
      <c r="A278" s="4" t="s">
        <v>238</v>
      </c>
      <c r="B278" s="4" t="s">
        <v>239</v>
      </c>
      <c r="C278" s="4" t="s">
        <v>362</v>
      </c>
      <c r="D278" s="5"/>
      <c r="E278" s="6"/>
      <c r="F278" s="6"/>
      <c r="G278" s="6"/>
      <c r="H278" s="6"/>
      <c r="I278" s="6"/>
      <c r="J278" s="6"/>
      <c r="K278" s="6"/>
      <c r="L278" s="6">
        <v>28.5</v>
      </c>
      <c r="M278" s="6"/>
      <c r="N278" s="6"/>
      <c r="O278" s="3"/>
      <c r="P278" s="3"/>
      <c r="Q278" s="3"/>
      <c r="R278" s="3"/>
      <c r="S278" s="6">
        <f t="shared" si="84"/>
        <v>28.5</v>
      </c>
      <c r="T278">
        <v>1</v>
      </c>
      <c r="U278" s="4" t="s">
        <v>238</v>
      </c>
      <c r="V278" s="4" t="s">
        <v>239</v>
      </c>
      <c r="W278" s="4" t="s">
        <v>362</v>
      </c>
      <c r="X278" s="5">
        <f t="shared" si="102"/>
        <v>0</v>
      </c>
      <c r="Y278" s="5">
        <f t="shared" si="103"/>
        <v>0</v>
      </c>
      <c r="Z278" s="5">
        <f t="shared" si="104"/>
        <v>0</v>
      </c>
      <c r="AA278" s="5">
        <f t="shared" si="105"/>
        <v>0</v>
      </c>
      <c r="AB278" s="5">
        <f t="shared" si="106"/>
        <v>0</v>
      </c>
      <c r="AC278" s="5">
        <f t="shared" si="107"/>
        <v>0</v>
      </c>
      <c r="AD278" s="5">
        <f t="shared" si="108"/>
        <v>0</v>
      </c>
      <c r="AE278" s="5">
        <f t="shared" si="109"/>
        <v>0</v>
      </c>
      <c r="AF278" s="5">
        <f t="shared" si="110"/>
        <v>40</v>
      </c>
      <c r="AG278" s="5">
        <f t="shared" si="111"/>
        <v>0</v>
      </c>
      <c r="AH278" s="5">
        <f t="shared" si="112"/>
        <v>0</v>
      </c>
      <c r="AI278" s="5">
        <f t="shared" si="113"/>
        <v>0</v>
      </c>
      <c r="AJ278" s="5">
        <f t="shared" si="114"/>
        <v>0</v>
      </c>
      <c r="AK278" s="5">
        <f t="shared" si="115"/>
        <v>0</v>
      </c>
      <c r="AL278" s="5">
        <f t="shared" si="116"/>
        <v>0</v>
      </c>
      <c r="AM278" s="6">
        <f t="shared" si="85"/>
        <v>40</v>
      </c>
    </row>
    <row r="279" spans="1:39" x14ac:dyDescent="0.25">
      <c r="A279" s="4" t="s">
        <v>240</v>
      </c>
      <c r="B279" s="4" t="s">
        <v>241</v>
      </c>
      <c r="C279" s="4" t="s">
        <v>362</v>
      </c>
      <c r="D279" s="5"/>
      <c r="E279" s="6"/>
      <c r="F279" s="6"/>
      <c r="G279" s="6"/>
      <c r="H279" s="6"/>
      <c r="I279" s="6"/>
      <c r="J279" s="6"/>
      <c r="K279" s="6"/>
      <c r="L279" s="6">
        <v>27</v>
      </c>
      <c r="M279" s="6"/>
      <c r="N279" s="6"/>
      <c r="O279" s="3"/>
      <c r="P279" s="3"/>
      <c r="Q279" s="3"/>
      <c r="R279" s="3"/>
      <c r="S279" s="6">
        <f t="shared" si="84"/>
        <v>27</v>
      </c>
      <c r="T279">
        <v>1</v>
      </c>
      <c r="U279" s="4" t="s">
        <v>240</v>
      </c>
      <c r="V279" s="4" t="s">
        <v>241</v>
      </c>
      <c r="W279" s="4" t="s">
        <v>362</v>
      </c>
      <c r="X279" s="5">
        <f t="shared" si="102"/>
        <v>0</v>
      </c>
      <c r="Y279" s="5">
        <f t="shared" si="103"/>
        <v>0</v>
      </c>
      <c r="Z279" s="5">
        <f t="shared" si="104"/>
        <v>0</v>
      </c>
      <c r="AA279" s="5">
        <f t="shared" si="105"/>
        <v>0</v>
      </c>
      <c r="AB279" s="5">
        <f t="shared" si="106"/>
        <v>0</v>
      </c>
      <c r="AC279" s="5">
        <f t="shared" si="107"/>
        <v>0</v>
      </c>
      <c r="AD279" s="5">
        <f t="shared" si="108"/>
        <v>0</v>
      </c>
      <c r="AE279" s="5">
        <f t="shared" si="109"/>
        <v>0</v>
      </c>
      <c r="AF279" s="5">
        <f t="shared" si="110"/>
        <v>40</v>
      </c>
      <c r="AG279" s="5">
        <f t="shared" si="111"/>
        <v>0</v>
      </c>
      <c r="AH279" s="5">
        <f t="shared" si="112"/>
        <v>0</v>
      </c>
      <c r="AI279" s="5">
        <f t="shared" si="113"/>
        <v>0</v>
      </c>
      <c r="AJ279" s="5">
        <f t="shared" si="114"/>
        <v>0</v>
      </c>
      <c r="AK279" s="5">
        <f t="shared" si="115"/>
        <v>0</v>
      </c>
      <c r="AL279" s="5">
        <f t="shared" si="116"/>
        <v>0</v>
      </c>
      <c r="AM279" s="6">
        <f t="shared" si="85"/>
        <v>40</v>
      </c>
    </row>
    <row r="280" spans="1:39" x14ac:dyDescent="0.25">
      <c r="A280" s="4" t="s">
        <v>262</v>
      </c>
      <c r="B280" s="4" t="s">
        <v>263</v>
      </c>
      <c r="C280" s="4" t="s">
        <v>362</v>
      </c>
      <c r="D280" s="5">
        <v>21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3"/>
      <c r="P280" s="3"/>
      <c r="Q280" s="3"/>
      <c r="R280" s="3"/>
      <c r="S280" s="6">
        <f t="shared" si="84"/>
        <v>21</v>
      </c>
      <c r="T280">
        <v>1</v>
      </c>
      <c r="U280" s="4" t="s">
        <v>262</v>
      </c>
      <c r="V280" s="4" t="s">
        <v>263</v>
      </c>
      <c r="W280" s="4" t="s">
        <v>362</v>
      </c>
      <c r="X280" s="5">
        <f t="shared" si="102"/>
        <v>20</v>
      </c>
      <c r="Y280" s="5">
        <f t="shared" si="103"/>
        <v>0</v>
      </c>
      <c r="Z280" s="5">
        <f t="shared" si="104"/>
        <v>0</v>
      </c>
      <c r="AA280" s="5">
        <f t="shared" si="105"/>
        <v>0</v>
      </c>
      <c r="AB280" s="5">
        <f t="shared" si="106"/>
        <v>0</v>
      </c>
      <c r="AC280" s="5">
        <f t="shared" si="107"/>
        <v>0</v>
      </c>
      <c r="AD280" s="5">
        <f t="shared" si="108"/>
        <v>0</v>
      </c>
      <c r="AE280" s="5">
        <f t="shared" si="109"/>
        <v>0</v>
      </c>
      <c r="AF280" s="5">
        <f t="shared" si="110"/>
        <v>0</v>
      </c>
      <c r="AG280" s="5">
        <f t="shared" si="111"/>
        <v>0</v>
      </c>
      <c r="AH280" s="5">
        <f t="shared" si="112"/>
        <v>0</v>
      </c>
      <c r="AI280" s="5">
        <f t="shared" si="113"/>
        <v>0</v>
      </c>
      <c r="AJ280" s="5">
        <f t="shared" si="114"/>
        <v>0</v>
      </c>
      <c r="AK280" s="5">
        <f t="shared" si="115"/>
        <v>0</v>
      </c>
      <c r="AL280" s="5">
        <f t="shared" si="116"/>
        <v>0</v>
      </c>
      <c r="AM280" s="6">
        <f t="shared" si="85"/>
        <v>20</v>
      </c>
    </row>
    <row r="281" spans="1:39" x14ac:dyDescent="0.25">
      <c r="A281" s="4" t="s">
        <v>264</v>
      </c>
      <c r="B281" s="4" t="s">
        <v>265</v>
      </c>
      <c r="C281" s="4" t="s">
        <v>362</v>
      </c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3"/>
      <c r="P281" s="3"/>
      <c r="Q281" s="3"/>
      <c r="R281" s="3"/>
      <c r="S281" s="6">
        <f t="shared" si="84"/>
        <v>0</v>
      </c>
      <c r="T281">
        <v>1</v>
      </c>
      <c r="U281" s="4" t="s">
        <v>264</v>
      </c>
      <c r="V281" s="4" t="s">
        <v>265</v>
      </c>
      <c r="W281" s="4" t="s">
        <v>362</v>
      </c>
      <c r="X281" s="5">
        <f t="shared" si="102"/>
        <v>0</v>
      </c>
      <c r="Y281" s="5">
        <f t="shared" si="103"/>
        <v>0</v>
      </c>
      <c r="Z281" s="5">
        <f t="shared" si="104"/>
        <v>0</v>
      </c>
      <c r="AA281" s="5">
        <f t="shared" si="105"/>
        <v>0</v>
      </c>
      <c r="AB281" s="5">
        <f t="shared" si="106"/>
        <v>0</v>
      </c>
      <c r="AC281" s="5">
        <f t="shared" si="107"/>
        <v>0</v>
      </c>
      <c r="AD281" s="5">
        <f t="shared" si="108"/>
        <v>0</v>
      </c>
      <c r="AE281" s="5">
        <f t="shared" si="109"/>
        <v>0</v>
      </c>
      <c r="AF281" s="5">
        <f t="shared" si="110"/>
        <v>0</v>
      </c>
      <c r="AG281" s="5">
        <f t="shared" si="111"/>
        <v>0</v>
      </c>
      <c r="AH281" s="5">
        <f t="shared" si="112"/>
        <v>0</v>
      </c>
      <c r="AI281" s="5">
        <f t="shared" si="113"/>
        <v>0</v>
      </c>
      <c r="AJ281" s="5">
        <f t="shared" si="114"/>
        <v>0</v>
      </c>
      <c r="AK281" s="5">
        <f t="shared" si="115"/>
        <v>0</v>
      </c>
      <c r="AL281" s="5">
        <f t="shared" si="116"/>
        <v>0</v>
      </c>
      <c r="AM281" s="6">
        <f t="shared" si="85"/>
        <v>0</v>
      </c>
    </row>
    <row r="282" spans="1:39" x14ac:dyDescent="0.25">
      <c r="A282" s="4" t="s">
        <v>280</v>
      </c>
      <c r="B282" s="4" t="s">
        <v>281</v>
      </c>
      <c r="C282" s="4" t="s">
        <v>362</v>
      </c>
      <c r="D282" s="5">
        <v>21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3"/>
      <c r="P282" s="3"/>
      <c r="Q282" s="3"/>
      <c r="R282" s="3"/>
      <c r="S282" s="6">
        <f t="shared" si="84"/>
        <v>21</v>
      </c>
      <c r="T282">
        <v>1</v>
      </c>
      <c r="U282" s="4" t="s">
        <v>280</v>
      </c>
      <c r="V282" s="4" t="s">
        <v>281</v>
      </c>
      <c r="W282" s="4" t="s">
        <v>362</v>
      </c>
      <c r="X282" s="5">
        <f t="shared" si="102"/>
        <v>20</v>
      </c>
      <c r="Y282" s="5">
        <f t="shared" si="103"/>
        <v>0</v>
      </c>
      <c r="Z282" s="5">
        <f t="shared" si="104"/>
        <v>0</v>
      </c>
      <c r="AA282" s="5">
        <f t="shared" si="105"/>
        <v>0</v>
      </c>
      <c r="AB282" s="5">
        <f t="shared" si="106"/>
        <v>0</v>
      </c>
      <c r="AC282" s="5">
        <f t="shared" si="107"/>
        <v>0</v>
      </c>
      <c r="AD282" s="5">
        <f t="shared" si="108"/>
        <v>0</v>
      </c>
      <c r="AE282" s="5">
        <f t="shared" si="109"/>
        <v>0</v>
      </c>
      <c r="AF282" s="5">
        <f t="shared" si="110"/>
        <v>0</v>
      </c>
      <c r="AG282" s="5">
        <f t="shared" si="111"/>
        <v>0</v>
      </c>
      <c r="AH282" s="5">
        <f t="shared" si="112"/>
        <v>0</v>
      </c>
      <c r="AI282" s="5">
        <f t="shared" si="113"/>
        <v>0</v>
      </c>
      <c r="AJ282" s="5">
        <f t="shared" si="114"/>
        <v>0</v>
      </c>
      <c r="AK282" s="5">
        <f t="shared" si="115"/>
        <v>0</v>
      </c>
      <c r="AL282" s="5">
        <f t="shared" si="116"/>
        <v>0</v>
      </c>
      <c r="AM282" s="6">
        <f t="shared" si="85"/>
        <v>20</v>
      </c>
    </row>
    <row r="283" spans="1:39" x14ac:dyDescent="0.25">
      <c r="A283" s="4" t="s">
        <v>499</v>
      </c>
      <c r="B283" s="4" t="s">
        <v>500</v>
      </c>
      <c r="C283" s="4" t="s">
        <v>362</v>
      </c>
      <c r="D283" s="5"/>
      <c r="E283" s="6"/>
      <c r="F283" s="6"/>
      <c r="G283" s="6">
        <v>25.5</v>
      </c>
      <c r="H283" s="6"/>
      <c r="I283" s="6"/>
      <c r="J283" s="6"/>
      <c r="K283" s="6"/>
      <c r="L283" s="6"/>
      <c r="M283" s="6"/>
      <c r="N283" s="6"/>
      <c r="O283" s="3"/>
      <c r="P283" s="3"/>
      <c r="Q283" s="3"/>
      <c r="R283" s="3"/>
      <c r="S283" s="6">
        <f t="shared" si="84"/>
        <v>25.5</v>
      </c>
      <c r="T283">
        <v>1</v>
      </c>
      <c r="U283" s="4" t="s">
        <v>499</v>
      </c>
      <c r="V283" s="4" t="s">
        <v>500</v>
      </c>
      <c r="W283" s="4" t="s">
        <v>362</v>
      </c>
      <c r="X283" s="5">
        <f t="shared" si="102"/>
        <v>0</v>
      </c>
      <c r="Y283" s="5">
        <f t="shared" si="103"/>
        <v>0</v>
      </c>
      <c r="Z283" s="5">
        <f t="shared" si="104"/>
        <v>0</v>
      </c>
      <c r="AA283" s="5">
        <f t="shared" si="105"/>
        <v>40</v>
      </c>
      <c r="AB283" s="5">
        <f t="shared" si="106"/>
        <v>0</v>
      </c>
      <c r="AC283" s="5">
        <f t="shared" si="107"/>
        <v>0</v>
      </c>
      <c r="AD283" s="5">
        <f t="shared" si="108"/>
        <v>0</v>
      </c>
      <c r="AE283" s="5">
        <f t="shared" si="109"/>
        <v>0</v>
      </c>
      <c r="AF283" s="5">
        <f t="shared" si="110"/>
        <v>0</v>
      </c>
      <c r="AG283" s="5">
        <f t="shared" si="111"/>
        <v>0</v>
      </c>
      <c r="AH283" s="5">
        <f t="shared" si="112"/>
        <v>0</v>
      </c>
      <c r="AI283" s="5">
        <f t="shared" si="113"/>
        <v>0</v>
      </c>
      <c r="AJ283" s="5">
        <f t="shared" si="114"/>
        <v>0</v>
      </c>
      <c r="AK283" s="5">
        <f t="shared" si="115"/>
        <v>0</v>
      </c>
      <c r="AL283" s="5">
        <f t="shared" si="116"/>
        <v>0</v>
      </c>
      <c r="AM283" s="6">
        <f t="shared" si="85"/>
        <v>40</v>
      </c>
    </row>
    <row r="284" spans="1:39" x14ac:dyDescent="0.25">
      <c r="A284" s="4" t="s">
        <v>326</v>
      </c>
      <c r="B284" s="4" t="s">
        <v>327</v>
      </c>
      <c r="C284" s="4" t="s">
        <v>362</v>
      </c>
      <c r="D284" s="5">
        <v>13.5</v>
      </c>
      <c r="E284" s="6">
        <v>12</v>
      </c>
      <c r="F284" s="6">
        <v>15</v>
      </c>
      <c r="G284" s="6">
        <v>25.5</v>
      </c>
      <c r="H284" s="6">
        <v>27.5</v>
      </c>
      <c r="I284" s="6">
        <v>27</v>
      </c>
      <c r="J284" s="6">
        <v>34.5</v>
      </c>
      <c r="K284" s="6"/>
      <c r="L284" s="6">
        <v>40.5</v>
      </c>
      <c r="M284" s="6"/>
      <c r="N284" s="6"/>
      <c r="O284" s="3"/>
      <c r="P284" s="3"/>
      <c r="Q284" s="3"/>
      <c r="R284" s="3"/>
      <c r="S284" s="6">
        <f t="shared" si="84"/>
        <v>195.5</v>
      </c>
      <c r="T284">
        <v>1</v>
      </c>
      <c r="U284" s="4" t="s">
        <v>326</v>
      </c>
      <c r="V284" s="4" t="s">
        <v>327</v>
      </c>
      <c r="W284" s="4" t="s">
        <v>362</v>
      </c>
      <c r="X284" s="5">
        <f t="shared" si="102"/>
        <v>0</v>
      </c>
      <c r="Y284" s="5">
        <f t="shared" si="103"/>
        <v>0</v>
      </c>
      <c r="Z284" s="5">
        <f t="shared" si="104"/>
        <v>0</v>
      </c>
      <c r="AA284" s="5">
        <f t="shared" si="105"/>
        <v>40</v>
      </c>
      <c r="AB284" s="5">
        <f t="shared" si="106"/>
        <v>40</v>
      </c>
      <c r="AC284" s="5">
        <f t="shared" si="107"/>
        <v>40</v>
      </c>
      <c r="AD284" s="5">
        <f t="shared" si="108"/>
        <v>73.5</v>
      </c>
      <c r="AE284" s="5">
        <f t="shared" si="109"/>
        <v>0</v>
      </c>
      <c r="AF284" s="5">
        <f t="shared" si="110"/>
        <v>92</v>
      </c>
      <c r="AG284" s="5">
        <f t="shared" si="111"/>
        <v>0</v>
      </c>
      <c r="AH284" s="5">
        <f t="shared" si="112"/>
        <v>0</v>
      </c>
      <c r="AI284" s="5">
        <f t="shared" si="113"/>
        <v>0</v>
      </c>
      <c r="AJ284" s="5">
        <f t="shared" si="114"/>
        <v>0</v>
      </c>
      <c r="AK284" s="5">
        <f t="shared" si="115"/>
        <v>0</v>
      </c>
      <c r="AL284" s="5">
        <f t="shared" si="116"/>
        <v>0</v>
      </c>
      <c r="AM284" s="6">
        <f t="shared" si="85"/>
        <v>285.5</v>
      </c>
    </row>
    <row r="285" spans="1:39" x14ac:dyDescent="0.25">
      <c r="A285" s="4" t="s">
        <v>375</v>
      </c>
      <c r="B285" s="4" t="s">
        <v>376</v>
      </c>
      <c r="C285" s="4" t="s">
        <v>362</v>
      </c>
      <c r="D285" s="5">
        <v>22.5</v>
      </c>
      <c r="E285" s="6">
        <v>21</v>
      </c>
      <c r="F285" s="6">
        <v>16.5</v>
      </c>
      <c r="G285" s="6">
        <v>25.5</v>
      </c>
      <c r="H285" s="6">
        <v>29</v>
      </c>
      <c r="I285" s="6">
        <v>27</v>
      </c>
      <c r="J285" s="6">
        <v>36</v>
      </c>
      <c r="K285" s="6">
        <v>42</v>
      </c>
      <c r="L285" s="6">
        <v>39</v>
      </c>
      <c r="M285" s="6">
        <v>39</v>
      </c>
      <c r="N285" s="6"/>
      <c r="O285" s="3"/>
      <c r="P285" s="3"/>
      <c r="Q285" s="3"/>
      <c r="R285" s="3"/>
      <c r="S285" s="6">
        <f t="shared" si="84"/>
        <v>297.5</v>
      </c>
      <c r="T285">
        <v>1</v>
      </c>
      <c r="U285" s="4" t="s">
        <v>375</v>
      </c>
      <c r="V285" s="4" t="s">
        <v>376</v>
      </c>
      <c r="W285" s="4" t="s">
        <v>362</v>
      </c>
      <c r="X285" s="5">
        <f t="shared" si="102"/>
        <v>20</v>
      </c>
      <c r="Y285" s="5">
        <f t="shared" si="103"/>
        <v>20</v>
      </c>
      <c r="Z285" s="5">
        <f t="shared" si="104"/>
        <v>0</v>
      </c>
      <c r="AA285" s="5">
        <f t="shared" si="105"/>
        <v>40</v>
      </c>
      <c r="AB285" s="5">
        <f t="shared" si="106"/>
        <v>40</v>
      </c>
      <c r="AC285" s="5">
        <f t="shared" si="107"/>
        <v>40</v>
      </c>
      <c r="AD285" s="5">
        <f t="shared" si="108"/>
        <v>78</v>
      </c>
      <c r="AE285" s="5">
        <f t="shared" si="109"/>
        <v>98</v>
      </c>
      <c r="AF285" s="5">
        <f t="shared" si="110"/>
        <v>87</v>
      </c>
      <c r="AG285" s="5">
        <f t="shared" si="111"/>
        <v>87</v>
      </c>
      <c r="AH285" s="5">
        <f t="shared" si="112"/>
        <v>0</v>
      </c>
      <c r="AI285" s="5">
        <f t="shared" si="113"/>
        <v>0</v>
      </c>
      <c r="AJ285" s="5">
        <f t="shared" si="114"/>
        <v>0</v>
      </c>
      <c r="AK285" s="5">
        <f t="shared" si="115"/>
        <v>0</v>
      </c>
      <c r="AL285" s="5">
        <f t="shared" si="116"/>
        <v>0</v>
      </c>
      <c r="AM285" s="6">
        <f t="shared" si="85"/>
        <v>510</v>
      </c>
    </row>
    <row r="286" spans="1:39" x14ac:dyDescent="0.25">
      <c r="A286" s="4" t="s">
        <v>575</v>
      </c>
      <c r="B286" s="4" t="s">
        <v>576</v>
      </c>
      <c r="C286" s="4" t="s">
        <v>362</v>
      </c>
      <c r="D286" s="5"/>
      <c r="E286" s="6"/>
      <c r="F286" s="6"/>
      <c r="G286" s="6"/>
      <c r="H286" s="6"/>
      <c r="I286" s="6"/>
      <c r="J286" s="6"/>
      <c r="K286" s="6"/>
      <c r="L286" s="6"/>
      <c r="M286" s="6">
        <v>27</v>
      </c>
      <c r="N286" s="6"/>
      <c r="O286" s="3"/>
      <c r="P286" s="3"/>
      <c r="Q286" s="3"/>
      <c r="R286" s="3"/>
      <c r="S286" s="6">
        <f t="shared" ref="S286:S307" si="117">SUM(D286:R286)</f>
        <v>27</v>
      </c>
      <c r="T286">
        <v>1</v>
      </c>
      <c r="U286" s="4" t="s">
        <v>575</v>
      </c>
      <c r="V286" s="4" t="s">
        <v>576</v>
      </c>
      <c r="W286" s="4" t="s">
        <v>362</v>
      </c>
      <c r="X286" s="5">
        <f t="shared" si="102"/>
        <v>0</v>
      </c>
      <c r="Y286" s="5">
        <f t="shared" si="103"/>
        <v>0</v>
      </c>
      <c r="Z286" s="5">
        <f t="shared" si="104"/>
        <v>0</v>
      </c>
      <c r="AA286" s="5">
        <f t="shared" si="105"/>
        <v>0</v>
      </c>
      <c r="AB286" s="5">
        <f t="shared" si="106"/>
        <v>0</v>
      </c>
      <c r="AC286" s="5">
        <f t="shared" si="107"/>
        <v>0</v>
      </c>
      <c r="AD286" s="5">
        <f t="shared" si="108"/>
        <v>0</v>
      </c>
      <c r="AE286" s="5">
        <f t="shared" si="109"/>
        <v>0</v>
      </c>
      <c r="AF286" s="5">
        <f t="shared" si="110"/>
        <v>0</v>
      </c>
      <c r="AG286" s="5">
        <f t="shared" si="111"/>
        <v>40</v>
      </c>
      <c r="AH286" s="5">
        <f t="shared" si="112"/>
        <v>0</v>
      </c>
      <c r="AI286" s="5">
        <f t="shared" si="113"/>
        <v>0</v>
      </c>
      <c r="AJ286" s="5">
        <f t="shared" si="114"/>
        <v>0</v>
      </c>
      <c r="AK286" s="5">
        <f t="shared" si="115"/>
        <v>0</v>
      </c>
      <c r="AL286" s="5">
        <f t="shared" si="116"/>
        <v>0</v>
      </c>
      <c r="AM286" s="6">
        <f t="shared" ref="AM286:AM307" si="118">SUM(X286:AL286)</f>
        <v>40</v>
      </c>
    </row>
    <row r="287" spans="1:39" x14ac:dyDescent="0.25">
      <c r="A287" s="4" t="s">
        <v>363</v>
      </c>
      <c r="B287" s="4" t="s">
        <v>364</v>
      </c>
      <c r="C287" s="4" t="s">
        <v>362</v>
      </c>
      <c r="D287" s="5"/>
      <c r="E287" s="6"/>
      <c r="F287" s="6">
        <v>16.5</v>
      </c>
      <c r="G287" s="6">
        <v>27</v>
      </c>
      <c r="H287" s="6">
        <v>27.5</v>
      </c>
      <c r="I287" s="6">
        <v>27</v>
      </c>
      <c r="J287" s="6">
        <v>36</v>
      </c>
      <c r="K287" s="6">
        <v>42</v>
      </c>
      <c r="L287" s="6">
        <v>37.5</v>
      </c>
      <c r="M287" s="6">
        <v>39</v>
      </c>
      <c r="N287" s="6"/>
      <c r="O287" s="3"/>
      <c r="P287" s="3"/>
      <c r="Q287" s="3"/>
      <c r="R287" s="3"/>
      <c r="S287" s="6">
        <f t="shared" si="117"/>
        <v>252.5</v>
      </c>
      <c r="T287">
        <v>1</v>
      </c>
      <c r="U287" s="4" t="s">
        <v>363</v>
      </c>
      <c r="V287" s="4" t="s">
        <v>364</v>
      </c>
      <c r="W287" s="4" t="s">
        <v>362</v>
      </c>
      <c r="X287" s="5">
        <f t="shared" si="102"/>
        <v>0</v>
      </c>
      <c r="Y287" s="5">
        <f t="shared" si="103"/>
        <v>0</v>
      </c>
      <c r="Z287" s="5">
        <f t="shared" si="104"/>
        <v>0</v>
      </c>
      <c r="AA287" s="5">
        <f t="shared" si="105"/>
        <v>40</v>
      </c>
      <c r="AB287" s="5">
        <f t="shared" si="106"/>
        <v>40</v>
      </c>
      <c r="AC287" s="5">
        <f t="shared" si="107"/>
        <v>40</v>
      </c>
      <c r="AD287" s="5">
        <f t="shared" si="108"/>
        <v>78</v>
      </c>
      <c r="AE287" s="5">
        <f t="shared" si="109"/>
        <v>98</v>
      </c>
      <c r="AF287" s="5">
        <f t="shared" si="110"/>
        <v>82.5</v>
      </c>
      <c r="AG287" s="5">
        <f t="shared" si="111"/>
        <v>87</v>
      </c>
      <c r="AH287" s="5">
        <f t="shared" si="112"/>
        <v>0</v>
      </c>
      <c r="AI287" s="5">
        <f t="shared" si="113"/>
        <v>0</v>
      </c>
      <c r="AJ287" s="5">
        <f t="shared" si="114"/>
        <v>0</v>
      </c>
      <c r="AK287" s="5">
        <f t="shared" si="115"/>
        <v>0</v>
      </c>
      <c r="AL287" s="5">
        <f t="shared" si="116"/>
        <v>0</v>
      </c>
      <c r="AM287" s="6">
        <f t="shared" si="118"/>
        <v>465.5</v>
      </c>
    </row>
    <row r="288" spans="1:39" x14ac:dyDescent="0.25">
      <c r="A288" s="4" t="s">
        <v>328</v>
      </c>
      <c r="B288" s="4" t="s">
        <v>329</v>
      </c>
      <c r="C288" s="4" t="s">
        <v>362</v>
      </c>
      <c r="D288" s="5">
        <v>13.5</v>
      </c>
      <c r="E288" s="6">
        <v>12</v>
      </c>
      <c r="F288" s="6">
        <v>15</v>
      </c>
      <c r="G288" s="6">
        <v>25.5</v>
      </c>
      <c r="H288" s="6">
        <v>23</v>
      </c>
      <c r="I288" s="6"/>
      <c r="J288" s="6">
        <v>36</v>
      </c>
      <c r="K288" s="6">
        <v>33</v>
      </c>
      <c r="L288" s="6"/>
      <c r="M288" s="6"/>
      <c r="N288" s="6"/>
      <c r="O288" s="3"/>
      <c r="P288" s="3"/>
      <c r="Q288" s="3"/>
      <c r="R288" s="3"/>
      <c r="S288" s="6">
        <f t="shared" si="117"/>
        <v>158</v>
      </c>
      <c r="T288">
        <v>1</v>
      </c>
      <c r="U288" s="4" t="s">
        <v>328</v>
      </c>
      <c r="V288" s="4" t="s">
        <v>329</v>
      </c>
      <c r="W288" s="4" t="s">
        <v>362</v>
      </c>
      <c r="X288" s="5">
        <f t="shared" si="102"/>
        <v>0</v>
      </c>
      <c r="Y288" s="5">
        <f t="shared" si="103"/>
        <v>0</v>
      </c>
      <c r="Z288" s="5">
        <f t="shared" si="104"/>
        <v>0</v>
      </c>
      <c r="AA288" s="5">
        <f t="shared" si="105"/>
        <v>40</v>
      </c>
      <c r="AB288" s="5">
        <f t="shared" si="106"/>
        <v>20</v>
      </c>
      <c r="AC288" s="5">
        <f t="shared" si="107"/>
        <v>0</v>
      </c>
      <c r="AD288" s="5">
        <f t="shared" si="108"/>
        <v>78</v>
      </c>
      <c r="AE288" s="5">
        <f t="shared" si="109"/>
        <v>69</v>
      </c>
      <c r="AF288" s="5">
        <f t="shared" si="110"/>
        <v>0</v>
      </c>
      <c r="AG288" s="5">
        <f t="shared" si="111"/>
        <v>0</v>
      </c>
      <c r="AH288" s="5">
        <f t="shared" si="112"/>
        <v>0</v>
      </c>
      <c r="AI288" s="5">
        <f t="shared" si="113"/>
        <v>0</v>
      </c>
      <c r="AJ288" s="5">
        <f t="shared" si="114"/>
        <v>0</v>
      </c>
      <c r="AK288" s="5">
        <f t="shared" si="115"/>
        <v>0</v>
      </c>
      <c r="AL288" s="5">
        <f t="shared" si="116"/>
        <v>0</v>
      </c>
      <c r="AM288" s="6">
        <f t="shared" si="118"/>
        <v>207</v>
      </c>
    </row>
    <row r="289" spans="1:39" x14ac:dyDescent="0.25">
      <c r="A289" s="4" t="s">
        <v>360</v>
      </c>
      <c r="B289" s="4" t="s">
        <v>361</v>
      </c>
      <c r="C289" s="4" t="s">
        <v>362</v>
      </c>
      <c r="D289" s="5">
        <v>19.5</v>
      </c>
      <c r="E289" s="6">
        <v>21</v>
      </c>
      <c r="F289" s="6">
        <v>16.5</v>
      </c>
      <c r="G289" s="6">
        <v>25.5</v>
      </c>
      <c r="H289" s="6">
        <v>26</v>
      </c>
      <c r="I289" s="6">
        <v>28.5</v>
      </c>
      <c r="J289" s="6">
        <v>34.5</v>
      </c>
      <c r="K289" s="6"/>
      <c r="L289" s="6">
        <v>42</v>
      </c>
      <c r="M289" s="6">
        <v>39</v>
      </c>
      <c r="N289" s="6"/>
      <c r="O289" s="3"/>
      <c r="P289" s="3"/>
      <c r="Q289" s="3"/>
      <c r="R289" s="3"/>
      <c r="S289" s="6">
        <f t="shared" si="117"/>
        <v>252.5</v>
      </c>
      <c r="T289">
        <v>1</v>
      </c>
      <c r="U289" s="4" t="s">
        <v>360</v>
      </c>
      <c r="V289" s="4" t="s">
        <v>361</v>
      </c>
      <c r="W289" s="4" t="s">
        <v>362</v>
      </c>
      <c r="X289" s="5">
        <f t="shared" si="102"/>
        <v>0</v>
      </c>
      <c r="Y289" s="5">
        <f t="shared" si="103"/>
        <v>20</v>
      </c>
      <c r="Z289" s="5">
        <f t="shared" si="104"/>
        <v>0</v>
      </c>
      <c r="AA289" s="5">
        <f t="shared" si="105"/>
        <v>40</v>
      </c>
      <c r="AB289" s="5">
        <f t="shared" si="106"/>
        <v>40</v>
      </c>
      <c r="AC289" s="5">
        <f t="shared" si="107"/>
        <v>40</v>
      </c>
      <c r="AD289" s="5">
        <f t="shared" si="108"/>
        <v>73.5</v>
      </c>
      <c r="AE289" s="5">
        <f t="shared" si="109"/>
        <v>0</v>
      </c>
      <c r="AF289" s="5">
        <f t="shared" si="110"/>
        <v>98</v>
      </c>
      <c r="AG289" s="5">
        <f t="shared" si="111"/>
        <v>87</v>
      </c>
      <c r="AH289" s="5">
        <f t="shared" si="112"/>
        <v>0</v>
      </c>
      <c r="AI289" s="5">
        <f t="shared" si="113"/>
        <v>0</v>
      </c>
      <c r="AJ289" s="5">
        <f t="shared" si="114"/>
        <v>0</v>
      </c>
      <c r="AK289" s="5">
        <f t="shared" si="115"/>
        <v>0</v>
      </c>
      <c r="AL289" s="5">
        <f t="shared" si="116"/>
        <v>0</v>
      </c>
      <c r="AM289" s="6">
        <f t="shared" si="118"/>
        <v>398.5</v>
      </c>
    </row>
    <row r="290" spans="1:39" x14ac:dyDescent="0.25">
      <c r="A290" s="4" t="s">
        <v>373</v>
      </c>
      <c r="B290" s="4" t="s">
        <v>374</v>
      </c>
      <c r="C290" s="4" t="s">
        <v>362</v>
      </c>
      <c r="D290" s="5"/>
      <c r="E290" s="6"/>
      <c r="F290" s="6">
        <v>16.5</v>
      </c>
      <c r="G290" s="6">
        <v>25.5</v>
      </c>
      <c r="H290" s="6">
        <v>27.5</v>
      </c>
      <c r="I290" s="6">
        <v>27</v>
      </c>
      <c r="J290" s="6">
        <v>36</v>
      </c>
      <c r="K290" s="6"/>
      <c r="L290" s="6">
        <v>33</v>
      </c>
      <c r="M290" s="6">
        <v>27</v>
      </c>
      <c r="N290" s="6"/>
      <c r="O290" s="3"/>
      <c r="P290" s="3"/>
      <c r="Q290" s="3"/>
      <c r="R290" s="3"/>
      <c r="S290" s="6">
        <f t="shared" si="117"/>
        <v>192.5</v>
      </c>
      <c r="T290">
        <v>1</v>
      </c>
      <c r="U290" s="4" t="s">
        <v>373</v>
      </c>
      <c r="V290" s="4" t="s">
        <v>374</v>
      </c>
      <c r="W290" s="4" t="s">
        <v>362</v>
      </c>
      <c r="X290" s="5">
        <f t="shared" si="102"/>
        <v>0</v>
      </c>
      <c r="Y290" s="5">
        <f t="shared" si="103"/>
        <v>0</v>
      </c>
      <c r="Z290" s="5">
        <f t="shared" si="104"/>
        <v>0</v>
      </c>
      <c r="AA290" s="5">
        <f t="shared" si="105"/>
        <v>40</v>
      </c>
      <c r="AB290" s="5">
        <f t="shared" si="106"/>
        <v>40</v>
      </c>
      <c r="AC290" s="5">
        <f t="shared" si="107"/>
        <v>40</v>
      </c>
      <c r="AD290" s="5">
        <f t="shared" si="108"/>
        <v>78</v>
      </c>
      <c r="AE290" s="5">
        <f t="shared" si="109"/>
        <v>0</v>
      </c>
      <c r="AF290" s="5">
        <f t="shared" si="110"/>
        <v>69</v>
      </c>
      <c r="AG290" s="5">
        <f t="shared" si="111"/>
        <v>40</v>
      </c>
      <c r="AH290" s="5">
        <f t="shared" si="112"/>
        <v>0</v>
      </c>
      <c r="AI290" s="5">
        <f t="shared" si="113"/>
        <v>0</v>
      </c>
      <c r="AJ290" s="5">
        <f t="shared" si="114"/>
        <v>0</v>
      </c>
      <c r="AK290" s="5">
        <f t="shared" si="115"/>
        <v>0</v>
      </c>
      <c r="AL290" s="5">
        <f t="shared" si="116"/>
        <v>0</v>
      </c>
      <c r="AM290" s="6">
        <f t="shared" si="118"/>
        <v>307</v>
      </c>
    </row>
    <row r="291" spans="1:39" x14ac:dyDescent="0.25">
      <c r="A291" s="4" t="s">
        <v>367</v>
      </c>
      <c r="B291" s="4" t="s">
        <v>368</v>
      </c>
      <c r="C291" s="4" t="s">
        <v>362</v>
      </c>
      <c r="D291" s="5">
        <v>21</v>
      </c>
      <c r="E291" s="6">
        <v>21</v>
      </c>
      <c r="F291" s="6">
        <v>16.5</v>
      </c>
      <c r="G291" s="6">
        <v>25.5</v>
      </c>
      <c r="H291" s="6">
        <v>27.5</v>
      </c>
      <c r="I291" s="6">
        <v>28.5</v>
      </c>
      <c r="J291" s="6">
        <v>34.5</v>
      </c>
      <c r="K291" s="6"/>
      <c r="L291" s="6">
        <v>40.5</v>
      </c>
      <c r="M291" s="6">
        <v>37.5</v>
      </c>
      <c r="N291" s="6"/>
      <c r="O291" s="3"/>
      <c r="P291" s="3"/>
      <c r="Q291" s="3"/>
      <c r="R291" s="3"/>
      <c r="S291" s="6">
        <f t="shared" si="117"/>
        <v>252.5</v>
      </c>
      <c r="T291">
        <v>1</v>
      </c>
      <c r="U291" s="4" t="s">
        <v>367</v>
      </c>
      <c r="V291" s="4" t="s">
        <v>368</v>
      </c>
      <c r="W291" s="4" t="s">
        <v>362</v>
      </c>
      <c r="X291" s="5">
        <f t="shared" ref="X291:X307" si="119">IF(D291&lt;20,0,IF(D291&lt;25,20,IF(D291&lt;30,40,IF(D291&lt;=40,60+(D291-30)*3,60+30+(D291-40)*4))))</f>
        <v>20</v>
      </c>
      <c r="Y291" s="5">
        <f t="shared" ref="Y291:Y307" si="120">IF(E291&lt;20,0,IF(E291&lt;25,20,IF(E291&lt;30,40,IF(E291&lt;=40,60+(E291-30)*3,60+30+(E291-40)*4))))</f>
        <v>20</v>
      </c>
      <c r="Z291" s="5">
        <f t="shared" ref="Z291:Z307" si="121">IF(F291&lt;20,0,IF(F291&lt;25,20,IF(F291&lt;30,40,IF(F291&lt;=40,60+(F291-30)*3,60+30+(F291-40)*4))))</f>
        <v>0</v>
      </c>
      <c r="AA291" s="5">
        <f t="shared" ref="AA291:AA307" si="122">IF(G291&lt;20,0,IF(G291&lt;25,20,IF(G291&lt;30,40,IF(G291&lt;=40,60+(G291-30)*3,60+30+(G291-40)*4))))</f>
        <v>40</v>
      </c>
      <c r="AB291" s="5">
        <f t="shared" ref="AB291:AB307" si="123">IF(H291&lt;20,0,IF(H291&lt;25,20,IF(H291&lt;30,40,IF(H291&lt;=40,60+(H291-30)*3,60+30+(H291-40)*4))))</f>
        <v>40</v>
      </c>
      <c r="AC291" s="5">
        <f t="shared" ref="AC291:AC307" si="124">IF(I291&lt;20,0,IF(I291&lt;25,20,IF(I291&lt;30,40,IF(I291&lt;=40,60+(I291-30)*3,60+30+(I291-40)*4))))</f>
        <v>40</v>
      </c>
      <c r="AD291" s="5">
        <f t="shared" ref="AD291:AD307" si="125">IF(J291&lt;20,0,IF(J291&lt;25,20,IF(J291&lt;30,40,IF(J291&lt;=40,60+(J291-30)*3,60+30+(J291-40)*4))))</f>
        <v>73.5</v>
      </c>
      <c r="AE291" s="5">
        <f t="shared" ref="AE291:AE307" si="126">IF(K291&lt;20,0,IF(K291&lt;25,20,IF(K291&lt;30,40,IF(K291&lt;=40,60+(K291-30)*3,60+30+(K291-40)*4))))</f>
        <v>0</v>
      </c>
      <c r="AF291" s="5">
        <f t="shared" ref="AF291:AF307" si="127">IF(L291&lt;20,0,IF(L291&lt;25,20,IF(L291&lt;30,40,IF(L291&lt;=40,60+(L291-30)*3,60+30+(L291-40)*4))))</f>
        <v>92</v>
      </c>
      <c r="AG291" s="5">
        <f t="shared" ref="AG291:AG307" si="128">IF(M291&lt;20,0,IF(M291&lt;25,20,IF(M291&lt;30,40,IF(M291&lt;=40,60+(M291-30)*3,60+30+(M291-40)*4))))</f>
        <v>82.5</v>
      </c>
      <c r="AH291" s="5">
        <f t="shared" ref="AH291:AH307" si="129">IF(N291&lt;20,0,IF(N291&lt;25,20,IF(N291&lt;30,40,IF(N291&lt;=40,60+(N291-30)*3,60+30+(N291-40)*4))))</f>
        <v>0</v>
      </c>
      <c r="AI291" s="5">
        <f t="shared" ref="AI291:AI307" si="130">IF(O291&lt;20,0,IF(O291&lt;25,20,IF(O291&lt;30,40,IF(O291&lt;=40,60+(O291-30)*3,60+30+(O291-40)*4))))</f>
        <v>0</v>
      </c>
      <c r="AJ291" s="5">
        <f t="shared" ref="AJ291:AJ307" si="131">IF(P291&lt;20,0,IF(P291&lt;25,20,IF(P291&lt;30,40,IF(P291&lt;=40,60+(P291-30)*3,60+30+(P291-40)*4))))</f>
        <v>0</v>
      </c>
      <c r="AK291" s="5">
        <f t="shared" ref="AK291:AK307" si="132">IF(Q291&lt;20,0,IF(Q291&lt;25,20,IF(Q291&lt;30,40,IF(Q291&lt;=40,60+(Q291-30)*3,60+30+(Q291-40)*4))))</f>
        <v>0</v>
      </c>
      <c r="AL291" s="5">
        <f t="shared" ref="AL291:AL307" si="133">IF(R291&lt;20,0,IF(R291&lt;25,20,IF(R291&lt;30,40,IF(R291&lt;=40,60+(R291-30)*3,60+30+(R291-40)*4))))</f>
        <v>0</v>
      </c>
      <c r="AM291" s="6">
        <f t="shared" si="118"/>
        <v>408</v>
      </c>
    </row>
    <row r="292" spans="1:39" x14ac:dyDescent="0.25">
      <c r="A292" s="4" t="s">
        <v>365</v>
      </c>
      <c r="B292" s="4" t="s">
        <v>366</v>
      </c>
      <c r="C292" s="4" t="s">
        <v>362</v>
      </c>
      <c r="D292" s="5">
        <v>21</v>
      </c>
      <c r="E292" s="6">
        <v>21</v>
      </c>
      <c r="F292" s="6">
        <v>16.5</v>
      </c>
      <c r="G292" s="6">
        <v>30</v>
      </c>
      <c r="H292" s="6">
        <v>29</v>
      </c>
      <c r="I292" s="6">
        <v>27</v>
      </c>
      <c r="J292" s="6">
        <v>34.5</v>
      </c>
      <c r="K292" s="6">
        <v>43.5</v>
      </c>
      <c r="L292" s="6">
        <v>39</v>
      </c>
      <c r="M292" s="6">
        <v>39</v>
      </c>
      <c r="N292" s="6"/>
      <c r="O292" s="3"/>
      <c r="P292" s="3"/>
      <c r="Q292" s="3"/>
      <c r="R292" s="3"/>
      <c r="S292" s="6">
        <f t="shared" si="117"/>
        <v>300.5</v>
      </c>
      <c r="T292">
        <v>1</v>
      </c>
      <c r="U292" s="4" t="s">
        <v>365</v>
      </c>
      <c r="V292" s="4" t="s">
        <v>366</v>
      </c>
      <c r="W292" s="4" t="s">
        <v>362</v>
      </c>
      <c r="X292" s="5">
        <f t="shared" si="119"/>
        <v>20</v>
      </c>
      <c r="Y292" s="5">
        <f t="shared" si="120"/>
        <v>20</v>
      </c>
      <c r="Z292" s="5">
        <f t="shared" si="121"/>
        <v>0</v>
      </c>
      <c r="AA292" s="5">
        <f t="shared" si="122"/>
        <v>60</v>
      </c>
      <c r="AB292" s="5">
        <f t="shared" si="123"/>
        <v>40</v>
      </c>
      <c r="AC292" s="5">
        <f t="shared" si="124"/>
        <v>40</v>
      </c>
      <c r="AD292" s="5">
        <f t="shared" si="125"/>
        <v>73.5</v>
      </c>
      <c r="AE292" s="5">
        <f t="shared" si="126"/>
        <v>104</v>
      </c>
      <c r="AF292" s="5">
        <f t="shared" si="127"/>
        <v>87</v>
      </c>
      <c r="AG292" s="5">
        <f t="shared" si="128"/>
        <v>87</v>
      </c>
      <c r="AH292" s="5">
        <f t="shared" si="129"/>
        <v>0</v>
      </c>
      <c r="AI292" s="5">
        <f t="shared" si="130"/>
        <v>0</v>
      </c>
      <c r="AJ292" s="5">
        <f t="shared" si="131"/>
        <v>0</v>
      </c>
      <c r="AK292" s="5">
        <f t="shared" si="132"/>
        <v>0</v>
      </c>
      <c r="AL292" s="5">
        <f t="shared" si="133"/>
        <v>0</v>
      </c>
      <c r="AM292" s="6">
        <f t="shared" si="118"/>
        <v>531.5</v>
      </c>
    </row>
    <row r="293" spans="1:39" x14ac:dyDescent="0.25">
      <c r="A293" s="4" t="s">
        <v>371</v>
      </c>
      <c r="B293" s="4" t="s">
        <v>372</v>
      </c>
      <c r="C293" s="4" t="s">
        <v>362</v>
      </c>
      <c r="D293" s="5">
        <v>21</v>
      </c>
      <c r="E293" s="6">
        <v>21</v>
      </c>
      <c r="F293" s="6">
        <v>16.5</v>
      </c>
      <c r="G293" s="6">
        <v>25.5</v>
      </c>
      <c r="H293" s="6">
        <v>30.5</v>
      </c>
      <c r="I293" s="6">
        <v>30</v>
      </c>
      <c r="J293" s="6">
        <v>34.5</v>
      </c>
      <c r="K293" s="6"/>
      <c r="L293" s="6">
        <v>43.5</v>
      </c>
      <c r="M293" s="6">
        <v>39</v>
      </c>
      <c r="N293" s="6"/>
      <c r="O293" s="3"/>
      <c r="P293" s="3"/>
      <c r="Q293" s="3"/>
      <c r="R293" s="3"/>
      <c r="S293" s="6">
        <f t="shared" si="117"/>
        <v>261.5</v>
      </c>
      <c r="T293">
        <v>1</v>
      </c>
      <c r="U293" s="4" t="s">
        <v>371</v>
      </c>
      <c r="V293" s="4" t="s">
        <v>372</v>
      </c>
      <c r="W293" s="4" t="s">
        <v>362</v>
      </c>
      <c r="X293" s="5">
        <f t="shared" si="119"/>
        <v>20</v>
      </c>
      <c r="Y293" s="5">
        <f t="shared" si="120"/>
        <v>20</v>
      </c>
      <c r="Z293" s="5">
        <f t="shared" si="121"/>
        <v>0</v>
      </c>
      <c r="AA293" s="5">
        <f t="shared" si="122"/>
        <v>40</v>
      </c>
      <c r="AB293" s="5">
        <f t="shared" si="123"/>
        <v>61.5</v>
      </c>
      <c r="AC293" s="5">
        <f t="shared" si="124"/>
        <v>60</v>
      </c>
      <c r="AD293" s="5">
        <f t="shared" si="125"/>
        <v>73.5</v>
      </c>
      <c r="AE293" s="5">
        <f t="shared" si="126"/>
        <v>0</v>
      </c>
      <c r="AF293" s="5">
        <f t="shared" si="127"/>
        <v>104</v>
      </c>
      <c r="AG293" s="5">
        <f t="shared" si="128"/>
        <v>87</v>
      </c>
      <c r="AH293" s="5">
        <f t="shared" si="129"/>
        <v>0</v>
      </c>
      <c r="AI293" s="5">
        <f t="shared" si="130"/>
        <v>0</v>
      </c>
      <c r="AJ293" s="5">
        <f t="shared" si="131"/>
        <v>0</v>
      </c>
      <c r="AK293" s="5">
        <f t="shared" si="132"/>
        <v>0</v>
      </c>
      <c r="AL293" s="5">
        <f t="shared" si="133"/>
        <v>0</v>
      </c>
      <c r="AM293" s="6">
        <f t="shared" si="118"/>
        <v>466</v>
      </c>
    </row>
    <row r="294" spans="1:39" x14ac:dyDescent="0.25">
      <c r="A294" s="4" t="s">
        <v>369</v>
      </c>
      <c r="B294" s="4" t="s">
        <v>370</v>
      </c>
      <c r="C294" s="4" t="s">
        <v>362</v>
      </c>
      <c r="D294" s="5"/>
      <c r="E294" s="6">
        <v>21</v>
      </c>
      <c r="F294" s="6">
        <v>16.5</v>
      </c>
      <c r="G294" s="6">
        <v>25.5</v>
      </c>
      <c r="H294" s="6">
        <v>26</v>
      </c>
      <c r="I294" s="6">
        <v>28.5</v>
      </c>
      <c r="J294" s="6">
        <v>36</v>
      </c>
      <c r="K294" s="6">
        <v>40.5</v>
      </c>
      <c r="L294" s="6">
        <v>42</v>
      </c>
      <c r="M294" s="6">
        <v>37.5</v>
      </c>
      <c r="N294" s="6"/>
      <c r="O294" s="3"/>
      <c r="P294" s="3"/>
      <c r="Q294" s="3"/>
      <c r="R294" s="3"/>
      <c r="S294" s="6">
        <f t="shared" si="117"/>
        <v>273.5</v>
      </c>
      <c r="T294">
        <v>1</v>
      </c>
      <c r="U294" s="4" t="s">
        <v>369</v>
      </c>
      <c r="V294" s="4" t="s">
        <v>370</v>
      </c>
      <c r="W294" s="4" t="s">
        <v>362</v>
      </c>
      <c r="X294" s="5">
        <f t="shared" si="119"/>
        <v>0</v>
      </c>
      <c r="Y294" s="5">
        <f t="shared" si="120"/>
        <v>20</v>
      </c>
      <c r="Z294" s="5">
        <f t="shared" si="121"/>
        <v>0</v>
      </c>
      <c r="AA294" s="5">
        <f t="shared" si="122"/>
        <v>40</v>
      </c>
      <c r="AB294" s="5">
        <f t="shared" si="123"/>
        <v>40</v>
      </c>
      <c r="AC294" s="5">
        <f t="shared" si="124"/>
        <v>40</v>
      </c>
      <c r="AD294" s="5">
        <f t="shared" si="125"/>
        <v>78</v>
      </c>
      <c r="AE294" s="5">
        <f t="shared" si="126"/>
        <v>92</v>
      </c>
      <c r="AF294" s="5">
        <f t="shared" si="127"/>
        <v>98</v>
      </c>
      <c r="AG294" s="5">
        <f t="shared" si="128"/>
        <v>82.5</v>
      </c>
      <c r="AH294" s="5">
        <f t="shared" si="129"/>
        <v>0</v>
      </c>
      <c r="AI294" s="5">
        <f t="shared" si="130"/>
        <v>0</v>
      </c>
      <c r="AJ294" s="5">
        <f t="shared" si="131"/>
        <v>0</v>
      </c>
      <c r="AK294" s="5">
        <f t="shared" si="132"/>
        <v>0</v>
      </c>
      <c r="AL294" s="5">
        <f t="shared" si="133"/>
        <v>0</v>
      </c>
      <c r="AM294" s="6">
        <f t="shared" si="118"/>
        <v>490.5</v>
      </c>
    </row>
    <row r="295" spans="1:39" x14ac:dyDescent="0.25">
      <c r="A295" s="4" t="s">
        <v>332</v>
      </c>
      <c r="B295" s="4" t="s">
        <v>333</v>
      </c>
      <c r="C295" s="4" t="s">
        <v>362</v>
      </c>
      <c r="D295" s="5"/>
      <c r="E295" s="6"/>
      <c r="F295" s="6"/>
      <c r="G295" s="6"/>
      <c r="H295" s="6"/>
      <c r="I295" s="6"/>
      <c r="J295" s="6"/>
      <c r="K295" s="6">
        <v>28.5</v>
      </c>
      <c r="L295" s="6"/>
      <c r="M295" s="6"/>
      <c r="N295" s="6"/>
      <c r="O295" s="3"/>
      <c r="P295" s="3"/>
      <c r="Q295" s="3"/>
      <c r="R295" s="3"/>
      <c r="S295" s="6">
        <f t="shared" si="117"/>
        <v>28.5</v>
      </c>
      <c r="T295">
        <v>1</v>
      </c>
      <c r="U295" s="4" t="s">
        <v>332</v>
      </c>
      <c r="V295" s="4" t="s">
        <v>333</v>
      </c>
      <c r="W295" s="4" t="s">
        <v>362</v>
      </c>
      <c r="X295" s="5">
        <f t="shared" si="119"/>
        <v>0</v>
      </c>
      <c r="Y295" s="5">
        <f t="shared" si="120"/>
        <v>0</v>
      </c>
      <c r="Z295" s="5">
        <f t="shared" si="121"/>
        <v>0</v>
      </c>
      <c r="AA295" s="5">
        <f t="shared" si="122"/>
        <v>0</v>
      </c>
      <c r="AB295" s="5">
        <f t="shared" si="123"/>
        <v>0</v>
      </c>
      <c r="AC295" s="5">
        <f t="shared" si="124"/>
        <v>0</v>
      </c>
      <c r="AD295" s="5">
        <f t="shared" si="125"/>
        <v>0</v>
      </c>
      <c r="AE295" s="5">
        <f t="shared" si="126"/>
        <v>40</v>
      </c>
      <c r="AF295" s="5">
        <f t="shared" si="127"/>
        <v>0</v>
      </c>
      <c r="AG295" s="5">
        <f t="shared" si="128"/>
        <v>0</v>
      </c>
      <c r="AH295" s="5">
        <f t="shared" si="129"/>
        <v>0</v>
      </c>
      <c r="AI295" s="5">
        <f t="shared" si="130"/>
        <v>0</v>
      </c>
      <c r="AJ295" s="5">
        <f t="shared" si="131"/>
        <v>0</v>
      </c>
      <c r="AK295" s="5">
        <f t="shared" si="132"/>
        <v>0</v>
      </c>
      <c r="AL295" s="5">
        <f t="shared" si="133"/>
        <v>0</v>
      </c>
      <c r="AM295" s="6">
        <f t="shared" si="118"/>
        <v>40</v>
      </c>
    </row>
    <row r="296" spans="1:39" x14ac:dyDescent="0.25">
      <c r="A296" s="4" t="s">
        <v>511</v>
      </c>
      <c r="B296" s="4" t="s">
        <v>512</v>
      </c>
      <c r="C296" s="4" t="s">
        <v>362</v>
      </c>
      <c r="D296" s="5"/>
      <c r="E296" s="6"/>
      <c r="F296" s="6"/>
      <c r="G296" s="6"/>
      <c r="H296" s="6"/>
      <c r="I296" s="6"/>
      <c r="J296" s="6"/>
      <c r="K296" s="6">
        <v>16.5</v>
      </c>
      <c r="L296" s="6"/>
      <c r="M296" s="6"/>
      <c r="N296" s="6"/>
      <c r="O296" s="3"/>
      <c r="P296" s="3"/>
      <c r="Q296" s="3"/>
      <c r="R296" s="3"/>
      <c r="S296" s="6">
        <f t="shared" si="117"/>
        <v>16.5</v>
      </c>
      <c r="T296">
        <v>1</v>
      </c>
      <c r="U296" s="4" t="s">
        <v>511</v>
      </c>
      <c r="V296" s="4" t="s">
        <v>512</v>
      </c>
      <c r="W296" s="4" t="s">
        <v>362</v>
      </c>
      <c r="X296" s="5">
        <f t="shared" si="119"/>
        <v>0</v>
      </c>
      <c r="Y296" s="5">
        <f t="shared" si="120"/>
        <v>0</v>
      </c>
      <c r="Z296" s="5">
        <f t="shared" si="121"/>
        <v>0</v>
      </c>
      <c r="AA296" s="5">
        <f t="shared" si="122"/>
        <v>0</v>
      </c>
      <c r="AB296" s="5">
        <f t="shared" si="123"/>
        <v>0</v>
      </c>
      <c r="AC296" s="5">
        <f t="shared" si="124"/>
        <v>0</v>
      </c>
      <c r="AD296" s="5">
        <f t="shared" si="125"/>
        <v>0</v>
      </c>
      <c r="AE296" s="5">
        <f t="shared" si="126"/>
        <v>0</v>
      </c>
      <c r="AF296" s="5">
        <f t="shared" si="127"/>
        <v>0</v>
      </c>
      <c r="AG296" s="5">
        <f t="shared" si="128"/>
        <v>0</v>
      </c>
      <c r="AH296" s="5">
        <f t="shared" si="129"/>
        <v>0</v>
      </c>
      <c r="AI296" s="5">
        <f t="shared" si="130"/>
        <v>0</v>
      </c>
      <c r="AJ296" s="5">
        <f t="shared" si="131"/>
        <v>0</v>
      </c>
      <c r="AK296" s="5">
        <f t="shared" si="132"/>
        <v>0</v>
      </c>
      <c r="AL296" s="5">
        <f t="shared" si="133"/>
        <v>0</v>
      </c>
      <c r="AM296" s="6">
        <f t="shared" si="118"/>
        <v>0</v>
      </c>
    </row>
    <row r="297" spans="1:39" x14ac:dyDescent="0.25">
      <c r="A297" s="4" t="s">
        <v>338</v>
      </c>
      <c r="B297" s="4" t="s">
        <v>339</v>
      </c>
      <c r="C297" s="4" t="s">
        <v>362</v>
      </c>
      <c r="D297" s="5"/>
      <c r="E297" s="6"/>
      <c r="F297" s="6"/>
      <c r="G297" s="6"/>
      <c r="H297" s="6"/>
      <c r="I297" s="6"/>
      <c r="J297" s="6"/>
      <c r="K297" s="6">
        <v>27</v>
      </c>
      <c r="L297" s="6"/>
      <c r="M297" s="6"/>
      <c r="N297" s="6"/>
      <c r="O297" s="3"/>
      <c r="P297" s="3"/>
      <c r="Q297" s="3"/>
      <c r="R297" s="3"/>
      <c r="S297" s="6">
        <f t="shared" si="117"/>
        <v>27</v>
      </c>
      <c r="T297">
        <v>1</v>
      </c>
      <c r="U297" s="4" t="s">
        <v>338</v>
      </c>
      <c r="V297" s="4" t="s">
        <v>339</v>
      </c>
      <c r="W297" s="4" t="s">
        <v>362</v>
      </c>
      <c r="X297" s="5">
        <f t="shared" si="119"/>
        <v>0</v>
      </c>
      <c r="Y297" s="5">
        <f t="shared" si="120"/>
        <v>0</v>
      </c>
      <c r="Z297" s="5">
        <f t="shared" si="121"/>
        <v>0</v>
      </c>
      <c r="AA297" s="5">
        <f t="shared" si="122"/>
        <v>0</v>
      </c>
      <c r="AB297" s="5">
        <f t="shared" si="123"/>
        <v>0</v>
      </c>
      <c r="AC297" s="5">
        <f t="shared" si="124"/>
        <v>0</v>
      </c>
      <c r="AD297" s="5">
        <f t="shared" si="125"/>
        <v>0</v>
      </c>
      <c r="AE297" s="5">
        <f t="shared" si="126"/>
        <v>40</v>
      </c>
      <c r="AF297" s="5">
        <f t="shared" si="127"/>
        <v>0</v>
      </c>
      <c r="AG297" s="5">
        <f t="shared" si="128"/>
        <v>0</v>
      </c>
      <c r="AH297" s="5">
        <f t="shared" si="129"/>
        <v>0</v>
      </c>
      <c r="AI297" s="5">
        <f t="shared" si="130"/>
        <v>0</v>
      </c>
      <c r="AJ297" s="5">
        <f t="shared" si="131"/>
        <v>0</v>
      </c>
      <c r="AK297" s="5">
        <f t="shared" si="132"/>
        <v>0</v>
      </c>
      <c r="AL297" s="5">
        <f t="shared" si="133"/>
        <v>0</v>
      </c>
      <c r="AM297" s="6">
        <f t="shared" si="118"/>
        <v>40</v>
      </c>
    </row>
    <row r="298" spans="1:39" x14ac:dyDescent="0.25">
      <c r="A298" s="4" t="s">
        <v>340</v>
      </c>
      <c r="B298" s="4" t="s">
        <v>341</v>
      </c>
      <c r="C298" s="4" t="s">
        <v>362</v>
      </c>
      <c r="D298" s="5"/>
      <c r="E298" s="6"/>
      <c r="F298" s="6"/>
      <c r="G298" s="6"/>
      <c r="H298" s="6"/>
      <c r="I298" s="6"/>
      <c r="J298" s="6"/>
      <c r="K298" s="6">
        <v>28.5</v>
      </c>
      <c r="L298" s="6"/>
      <c r="M298" s="6"/>
      <c r="N298" s="6"/>
      <c r="O298" s="3"/>
      <c r="P298" s="3"/>
      <c r="Q298" s="3"/>
      <c r="R298" s="3"/>
      <c r="S298" s="6">
        <f t="shared" si="117"/>
        <v>28.5</v>
      </c>
      <c r="T298">
        <v>1</v>
      </c>
      <c r="U298" s="4" t="s">
        <v>340</v>
      </c>
      <c r="V298" s="4" t="s">
        <v>341</v>
      </c>
      <c r="W298" s="4" t="s">
        <v>362</v>
      </c>
      <c r="X298" s="5">
        <f t="shared" si="119"/>
        <v>0</v>
      </c>
      <c r="Y298" s="5">
        <f t="shared" si="120"/>
        <v>0</v>
      </c>
      <c r="Z298" s="5">
        <f t="shared" si="121"/>
        <v>0</v>
      </c>
      <c r="AA298" s="5">
        <f t="shared" si="122"/>
        <v>0</v>
      </c>
      <c r="AB298" s="5">
        <f t="shared" si="123"/>
        <v>0</v>
      </c>
      <c r="AC298" s="5">
        <f t="shared" si="124"/>
        <v>0</v>
      </c>
      <c r="AD298" s="5">
        <f t="shared" si="125"/>
        <v>0</v>
      </c>
      <c r="AE298" s="5">
        <f t="shared" si="126"/>
        <v>40</v>
      </c>
      <c r="AF298" s="5">
        <f t="shared" si="127"/>
        <v>0</v>
      </c>
      <c r="AG298" s="5">
        <f t="shared" si="128"/>
        <v>0</v>
      </c>
      <c r="AH298" s="5">
        <f t="shared" si="129"/>
        <v>0</v>
      </c>
      <c r="AI298" s="5">
        <f t="shared" si="130"/>
        <v>0</v>
      </c>
      <c r="AJ298" s="5">
        <f t="shared" si="131"/>
        <v>0</v>
      </c>
      <c r="AK298" s="5">
        <f t="shared" si="132"/>
        <v>0</v>
      </c>
      <c r="AL298" s="5">
        <f t="shared" si="133"/>
        <v>0</v>
      </c>
      <c r="AM298" s="6">
        <f t="shared" si="118"/>
        <v>40</v>
      </c>
    </row>
    <row r="299" spans="1:39" x14ac:dyDescent="0.25">
      <c r="A299" s="4" t="s">
        <v>346</v>
      </c>
      <c r="B299" s="4" t="s">
        <v>347</v>
      </c>
      <c r="C299" s="4" t="s">
        <v>362</v>
      </c>
      <c r="D299" s="5"/>
      <c r="E299" s="6"/>
      <c r="F299" s="6"/>
      <c r="G299" s="6"/>
      <c r="H299" s="6"/>
      <c r="I299" s="6"/>
      <c r="J299" s="6"/>
      <c r="K299" s="6">
        <v>24</v>
      </c>
      <c r="L299" s="6"/>
      <c r="M299" s="6"/>
      <c r="N299" s="6"/>
      <c r="O299" s="3"/>
      <c r="P299" s="3"/>
      <c r="Q299" s="3"/>
      <c r="R299" s="3"/>
      <c r="S299" s="6">
        <f t="shared" si="117"/>
        <v>24</v>
      </c>
      <c r="T299">
        <v>1</v>
      </c>
      <c r="U299" s="4" t="s">
        <v>346</v>
      </c>
      <c r="V299" s="4" t="s">
        <v>347</v>
      </c>
      <c r="W299" s="4" t="s">
        <v>362</v>
      </c>
      <c r="X299" s="5">
        <f t="shared" si="119"/>
        <v>0</v>
      </c>
      <c r="Y299" s="5">
        <f t="shared" si="120"/>
        <v>0</v>
      </c>
      <c r="Z299" s="5">
        <f t="shared" si="121"/>
        <v>0</v>
      </c>
      <c r="AA299" s="5">
        <f t="shared" si="122"/>
        <v>0</v>
      </c>
      <c r="AB299" s="5">
        <f t="shared" si="123"/>
        <v>0</v>
      </c>
      <c r="AC299" s="5">
        <f t="shared" si="124"/>
        <v>0</v>
      </c>
      <c r="AD299" s="5">
        <f t="shared" si="125"/>
        <v>0</v>
      </c>
      <c r="AE299" s="5">
        <f t="shared" si="126"/>
        <v>20</v>
      </c>
      <c r="AF299" s="5">
        <f t="shared" si="127"/>
        <v>0</v>
      </c>
      <c r="AG299" s="5">
        <f t="shared" si="128"/>
        <v>0</v>
      </c>
      <c r="AH299" s="5">
        <f t="shared" si="129"/>
        <v>0</v>
      </c>
      <c r="AI299" s="5">
        <f t="shared" si="130"/>
        <v>0</v>
      </c>
      <c r="AJ299" s="5">
        <f t="shared" si="131"/>
        <v>0</v>
      </c>
      <c r="AK299" s="5">
        <f t="shared" si="132"/>
        <v>0</v>
      </c>
      <c r="AL299" s="5">
        <f t="shared" si="133"/>
        <v>0</v>
      </c>
      <c r="AM299" s="6">
        <f t="shared" si="118"/>
        <v>20</v>
      </c>
    </row>
    <row r="300" spans="1:39" x14ac:dyDescent="0.25">
      <c r="A300" s="4" t="s">
        <v>348</v>
      </c>
      <c r="B300" s="4" t="s">
        <v>349</v>
      </c>
      <c r="C300" s="4" t="s">
        <v>362</v>
      </c>
      <c r="D300" s="5"/>
      <c r="E300" s="6"/>
      <c r="F300" s="6"/>
      <c r="G300" s="6"/>
      <c r="H300" s="6"/>
      <c r="I300" s="6"/>
      <c r="J300" s="6"/>
      <c r="K300" s="6">
        <v>19.5</v>
      </c>
      <c r="L300" s="6"/>
      <c r="M300" s="6"/>
      <c r="N300" s="6"/>
      <c r="O300" s="3"/>
      <c r="P300" s="3"/>
      <c r="Q300" s="3"/>
      <c r="R300" s="3"/>
      <c r="S300" s="6">
        <f t="shared" si="117"/>
        <v>19.5</v>
      </c>
      <c r="T300">
        <v>1</v>
      </c>
      <c r="U300" s="4" t="s">
        <v>348</v>
      </c>
      <c r="V300" s="4" t="s">
        <v>349</v>
      </c>
      <c r="W300" s="4" t="s">
        <v>362</v>
      </c>
      <c r="X300" s="5">
        <f t="shared" si="119"/>
        <v>0</v>
      </c>
      <c r="Y300" s="5">
        <f t="shared" si="120"/>
        <v>0</v>
      </c>
      <c r="Z300" s="5">
        <f t="shared" si="121"/>
        <v>0</v>
      </c>
      <c r="AA300" s="5">
        <f t="shared" si="122"/>
        <v>0</v>
      </c>
      <c r="AB300" s="5">
        <f t="shared" si="123"/>
        <v>0</v>
      </c>
      <c r="AC300" s="5">
        <f t="shared" si="124"/>
        <v>0</v>
      </c>
      <c r="AD300" s="5">
        <f t="shared" si="125"/>
        <v>0</v>
      </c>
      <c r="AE300" s="5">
        <f t="shared" si="126"/>
        <v>0</v>
      </c>
      <c r="AF300" s="5">
        <f t="shared" si="127"/>
        <v>0</v>
      </c>
      <c r="AG300" s="5">
        <f t="shared" si="128"/>
        <v>0</v>
      </c>
      <c r="AH300" s="5">
        <f t="shared" si="129"/>
        <v>0</v>
      </c>
      <c r="AI300" s="5">
        <f t="shared" si="130"/>
        <v>0</v>
      </c>
      <c r="AJ300" s="5">
        <f t="shared" si="131"/>
        <v>0</v>
      </c>
      <c r="AK300" s="5">
        <f t="shared" si="132"/>
        <v>0</v>
      </c>
      <c r="AL300" s="5">
        <f t="shared" si="133"/>
        <v>0</v>
      </c>
      <c r="AM300" s="6">
        <f t="shared" si="118"/>
        <v>0</v>
      </c>
    </row>
    <row r="301" spans="1:39" x14ac:dyDescent="0.25">
      <c r="A301" s="4" t="s">
        <v>377</v>
      </c>
      <c r="B301" s="4" t="s">
        <v>378</v>
      </c>
      <c r="C301" s="4" t="s">
        <v>362</v>
      </c>
      <c r="D301" s="5"/>
      <c r="E301" s="6"/>
      <c r="F301" s="6"/>
      <c r="G301" s="6"/>
      <c r="H301" s="6"/>
      <c r="I301" s="6"/>
      <c r="J301" s="6"/>
      <c r="K301" s="6">
        <v>34.5</v>
      </c>
      <c r="L301" s="6">
        <v>39</v>
      </c>
      <c r="M301" s="6">
        <v>39</v>
      </c>
      <c r="N301" s="6"/>
      <c r="O301" s="3"/>
      <c r="P301" s="3"/>
      <c r="Q301" s="3"/>
      <c r="R301" s="3"/>
      <c r="S301" s="6">
        <f t="shared" si="117"/>
        <v>112.5</v>
      </c>
      <c r="T301">
        <v>1</v>
      </c>
      <c r="U301" s="4" t="s">
        <v>377</v>
      </c>
      <c r="V301" s="4" t="s">
        <v>378</v>
      </c>
      <c r="W301" s="4" t="s">
        <v>362</v>
      </c>
      <c r="X301" s="5">
        <f t="shared" si="119"/>
        <v>0</v>
      </c>
      <c r="Y301" s="5">
        <f t="shared" si="120"/>
        <v>0</v>
      </c>
      <c r="Z301" s="5">
        <f t="shared" si="121"/>
        <v>0</v>
      </c>
      <c r="AA301" s="5">
        <f t="shared" si="122"/>
        <v>0</v>
      </c>
      <c r="AB301" s="5">
        <f t="shared" si="123"/>
        <v>0</v>
      </c>
      <c r="AC301" s="5">
        <f t="shared" si="124"/>
        <v>0</v>
      </c>
      <c r="AD301" s="5">
        <f t="shared" si="125"/>
        <v>0</v>
      </c>
      <c r="AE301" s="5">
        <f t="shared" si="126"/>
        <v>73.5</v>
      </c>
      <c r="AF301" s="5">
        <f t="shared" si="127"/>
        <v>87</v>
      </c>
      <c r="AG301" s="5">
        <f t="shared" si="128"/>
        <v>87</v>
      </c>
      <c r="AH301" s="5">
        <f t="shared" si="129"/>
        <v>0</v>
      </c>
      <c r="AI301" s="5">
        <f t="shared" si="130"/>
        <v>0</v>
      </c>
      <c r="AJ301" s="5">
        <f t="shared" si="131"/>
        <v>0</v>
      </c>
      <c r="AK301" s="5">
        <f t="shared" si="132"/>
        <v>0</v>
      </c>
      <c r="AL301" s="5">
        <f t="shared" si="133"/>
        <v>0</v>
      </c>
      <c r="AM301" s="6">
        <f t="shared" si="118"/>
        <v>247.5</v>
      </c>
    </row>
    <row r="302" spans="1:39" x14ac:dyDescent="0.25">
      <c r="A302" s="4" t="s">
        <v>381</v>
      </c>
      <c r="B302" s="4" t="s">
        <v>382</v>
      </c>
      <c r="C302" s="4" t="s">
        <v>362</v>
      </c>
      <c r="D302" s="5"/>
      <c r="E302" s="6"/>
      <c r="F302" s="6"/>
      <c r="G302" s="6"/>
      <c r="H302" s="6"/>
      <c r="I302" s="6"/>
      <c r="J302" s="6"/>
      <c r="K302" s="6">
        <v>27</v>
      </c>
      <c r="L302" s="6">
        <v>36</v>
      </c>
      <c r="M302" s="6">
        <v>30</v>
      </c>
      <c r="N302" s="6"/>
      <c r="O302" s="3"/>
      <c r="P302" s="3"/>
      <c r="Q302" s="3"/>
      <c r="R302" s="3"/>
      <c r="S302" s="6">
        <f t="shared" si="117"/>
        <v>93</v>
      </c>
      <c r="T302">
        <v>1</v>
      </c>
      <c r="U302" s="4" t="s">
        <v>381</v>
      </c>
      <c r="V302" s="4" t="s">
        <v>382</v>
      </c>
      <c r="W302" s="4" t="s">
        <v>362</v>
      </c>
      <c r="X302" s="5">
        <f t="shared" si="119"/>
        <v>0</v>
      </c>
      <c r="Y302" s="5">
        <f t="shared" si="120"/>
        <v>0</v>
      </c>
      <c r="Z302" s="5">
        <f t="shared" si="121"/>
        <v>0</v>
      </c>
      <c r="AA302" s="5">
        <f t="shared" si="122"/>
        <v>0</v>
      </c>
      <c r="AB302" s="5">
        <f t="shared" si="123"/>
        <v>0</v>
      </c>
      <c r="AC302" s="5">
        <f t="shared" si="124"/>
        <v>0</v>
      </c>
      <c r="AD302" s="5">
        <f t="shared" si="125"/>
        <v>0</v>
      </c>
      <c r="AE302" s="5">
        <f t="shared" si="126"/>
        <v>40</v>
      </c>
      <c r="AF302" s="5">
        <f t="shared" si="127"/>
        <v>78</v>
      </c>
      <c r="AG302" s="5">
        <f t="shared" si="128"/>
        <v>60</v>
      </c>
      <c r="AH302" s="5">
        <f t="shared" si="129"/>
        <v>0</v>
      </c>
      <c r="AI302" s="5">
        <f t="shared" si="130"/>
        <v>0</v>
      </c>
      <c r="AJ302" s="5">
        <f t="shared" si="131"/>
        <v>0</v>
      </c>
      <c r="AK302" s="5">
        <f t="shared" si="132"/>
        <v>0</v>
      </c>
      <c r="AL302" s="5">
        <f t="shared" si="133"/>
        <v>0</v>
      </c>
      <c r="AM302" s="6">
        <f t="shared" si="118"/>
        <v>178</v>
      </c>
    </row>
    <row r="303" spans="1:39" x14ac:dyDescent="0.25">
      <c r="A303" s="4" t="s">
        <v>389</v>
      </c>
      <c r="B303" s="4" t="s">
        <v>390</v>
      </c>
      <c r="C303" s="4" t="s">
        <v>362</v>
      </c>
      <c r="D303" s="5"/>
      <c r="E303" s="6"/>
      <c r="F303" s="6"/>
      <c r="G303" s="6"/>
      <c r="H303" s="6"/>
      <c r="I303" s="6"/>
      <c r="J303" s="6"/>
      <c r="K303" s="6">
        <v>34.5</v>
      </c>
      <c r="L303" s="6">
        <v>36</v>
      </c>
      <c r="M303" s="6">
        <v>28.5</v>
      </c>
      <c r="N303" s="6"/>
      <c r="O303" s="3"/>
      <c r="P303" s="3"/>
      <c r="Q303" s="3"/>
      <c r="R303" s="3"/>
      <c r="S303" s="6">
        <f t="shared" si="117"/>
        <v>99</v>
      </c>
      <c r="T303">
        <v>1</v>
      </c>
      <c r="U303" s="4" t="s">
        <v>389</v>
      </c>
      <c r="V303" s="4" t="s">
        <v>390</v>
      </c>
      <c r="W303" s="4" t="s">
        <v>362</v>
      </c>
      <c r="X303" s="5">
        <f t="shared" si="119"/>
        <v>0</v>
      </c>
      <c r="Y303" s="5">
        <f t="shared" si="120"/>
        <v>0</v>
      </c>
      <c r="Z303" s="5">
        <f t="shared" si="121"/>
        <v>0</v>
      </c>
      <c r="AA303" s="5">
        <f t="shared" si="122"/>
        <v>0</v>
      </c>
      <c r="AB303" s="5">
        <f t="shared" si="123"/>
        <v>0</v>
      </c>
      <c r="AC303" s="5">
        <f t="shared" si="124"/>
        <v>0</v>
      </c>
      <c r="AD303" s="5">
        <f t="shared" si="125"/>
        <v>0</v>
      </c>
      <c r="AE303" s="5">
        <f t="shared" si="126"/>
        <v>73.5</v>
      </c>
      <c r="AF303" s="5">
        <f t="shared" si="127"/>
        <v>78</v>
      </c>
      <c r="AG303" s="5">
        <f t="shared" si="128"/>
        <v>40</v>
      </c>
      <c r="AH303" s="5">
        <f t="shared" si="129"/>
        <v>0</v>
      </c>
      <c r="AI303" s="5">
        <f t="shared" si="130"/>
        <v>0</v>
      </c>
      <c r="AJ303" s="5">
        <f t="shared" si="131"/>
        <v>0</v>
      </c>
      <c r="AK303" s="5">
        <f t="shared" si="132"/>
        <v>0</v>
      </c>
      <c r="AL303" s="5">
        <f t="shared" si="133"/>
        <v>0</v>
      </c>
      <c r="AM303" s="6">
        <f t="shared" si="118"/>
        <v>191.5</v>
      </c>
    </row>
    <row r="304" spans="1:39" x14ac:dyDescent="0.25">
      <c r="A304" s="4" t="s">
        <v>354</v>
      </c>
      <c r="B304" s="4" t="s">
        <v>355</v>
      </c>
      <c r="C304" s="4" t="s">
        <v>362</v>
      </c>
      <c r="D304" s="5"/>
      <c r="E304" s="6"/>
      <c r="F304" s="6"/>
      <c r="G304" s="6"/>
      <c r="H304" s="6"/>
      <c r="I304" s="6"/>
      <c r="J304" s="6"/>
      <c r="K304" s="6">
        <v>25.5</v>
      </c>
      <c r="L304" s="6">
        <v>37.5</v>
      </c>
      <c r="M304" s="6">
        <v>22.5</v>
      </c>
      <c r="N304" s="6"/>
      <c r="O304" s="3"/>
      <c r="P304" s="3"/>
      <c r="Q304" s="3"/>
      <c r="R304" s="3"/>
      <c r="S304" s="6">
        <f t="shared" si="117"/>
        <v>85.5</v>
      </c>
      <c r="T304">
        <v>1</v>
      </c>
      <c r="U304" s="4" t="s">
        <v>354</v>
      </c>
      <c r="V304" s="4" t="s">
        <v>355</v>
      </c>
      <c r="W304" s="4" t="s">
        <v>362</v>
      </c>
      <c r="X304" s="5">
        <f t="shared" si="119"/>
        <v>0</v>
      </c>
      <c r="Y304" s="5">
        <f t="shared" si="120"/>
        <v>0</v>
      </c>
      <c r="Z304" s="5">
        <f t="shared" si="121"/>
        <v>0</v>
      </c>
      <c r="AA304" s="5">
        <f t="shared" si="122"/>
        <v>0</v>
      </c>
      <c r="AB304" s="5">
        <f t="shared" si="123"/>
        <v>0</v>
      </c>
      <c r="AC304" s="5">
        <f t="shared" si="124"/>
        <v>0</v>
      </c>
      <c r="AD304" s="5">
        <f t="shared" si="125"/>
        <v>0</v>
      </c>
      <c r="AE304" s="5">
        <f t="shared" si="126"/>
        <v>40</v>
      </c>
      <c r="AF304" s="5">
        <f t="shared" si="127"/>
        <v>82.5</v>
      </c>
      <c r="AG304" s="5">
        <f t="shared" si="128"/>
        <v>20</v>
      </c>
      <c r="AH304" s="5">
        <f t="shared" si="129"/>
        <v>0</v>
      </c>
      <c r="AI304" s="5">
        <f t="shared" si="130"/>
        <v>0</v>
      </c>
      <c r="AJ304" s="5">
        <f t="shared" si="131"/>
        <v>0</v>
      </c>
      <c r="AK304" s="5">
        <f t="shared" si="132"/>
        <v>0</v>
      </c>
      <c r="AL304" s="5">
        <f t="shared" si="133"/>
        <v>0</v>
      </c>
      <c r="AM304" s="6">
        <f t="shared" si="118"/>
        <v>142.5</v>
      </c>
    </row>
    <row r="305" spans="1:39" x14ac:dyDescent="0.25">
      <c r="A305" s="4"/>
      <c r="B305" s="4"/>
      <c r="C305" s="4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3"/>
      <c r="P305" s="3"/>
      <c r="Q305" s="3"/>
      <c r="R305" s="3"/>
      <c r="S305" s="6">
        <f t="shared" si="117"/>
        <v>0</v>
      </c>
      <c r="T305">
        <v>1</v>
      </c>
      <c r="U305" s="4"/>
      <c r="V305" s="4"/>
      <c r="W305" s="7"/>
      <c r="X305" s="5">
        <f t="shared" si="119"/>
        <v>0</v>
      </c>
      <c r="Y305" s="5">
        <f t="shared" si="120"/>
        <v>0</v>
      </c>
      <c r="Z305" s="5">
        <f t="shared" si="121"/>
        <v>0</v>
      </c>
      <c r="AA305" s="5">
        <f t="shared" si="122"/>
        <v>0</v>
      </c>
      <c r="AB305" s="5">
        <f t="shared" si="123"/>
        <v>0</v>
      </c>
      <c r="AC305" s="5">
        <f t="shared" si="124"/>
        <v>0</v>
      </c>
      <c r="AD305" s="5">
        <f t="shared" si="125"/>
        <v>0</v>
      </c>
      <c r="AE305" s="5">
        <f t="shared" si="126"/>
        <v>0</v>
      </c>
      <c r="AF305" s="5">
        <f t="shared" si="127"/>
        <v>0</v>
      </c>
      <c r="AG305" s="5">
        <f t="shared" si="128"/>
        <v>0</v>
      </c>
      <c r="AH305" s="5">
        <f t="shared" si="129"/>
        <v>0</v>
      </c>
      <c r="AI305" s="5">
        <f t="shared" si="130"/>
        <v>0</v>
      </c>
      <c r="AJ305" s="5">
        <f t="shared" si="131"/>
        <v>0</v>
      </c>
      <c r="AK305" s="5">
        <f t="shared" si="132"/>
        <v>0</v>
      </c>
      <c r="AL305" s="5">
        <f t="shared" si="133"/>
        <v>0</v>
      </c>
      <c r="AM305" s="6">
        <f t="shared" si="118"/>
        <v>0</v>
      </c>
    </row>
    <row r="306" spans="1:39" x14ac:dyDescent="0.25">
      <c r="A306" s="4"/>
      <c r="B306" s="4"/>
      <c r="C306" s="4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3"/>
      <c r="P306" s="3"/>
      <c r="Q306" s="3"/>
      <c r="R306" s="3"/>
      <c r="S306" s="6">
        <f t="shared" si="117"/>
        <v>0</v>
      </c>
      <c r="T306">
        <v>1</v>
      </c>
      <c r="U306" s="4"/>
      <c r="V306" s="4"/>
      <c r="W306" s="7"/>
      <c r="X306" s="5">
        <f t="shared" si="119"/>
        <v>0</v>
      </c>
      <c r="Y306" s="5">
        <f t="shared" si="120"/>
        <v>0</v>
      </c>
      <c r="Z306" s="5">
        <f t="shared" si="121"/>
        <v>0</v>
      </c>
      <c r="AA306" s="5">
        <f t="shared" si="122"/>
        <v>0</v>
      </c>
      <c r="AB306" s="5">
        <f t="shared" si="123"/>
        <v>0</v>
      </c>
      <c r="AC306" s="5">
        <f t="shared" si="124"/>
        <v>0</v>
      </c>
      <c r="AD306" s="5">
        <f t="shared" si="125"/>
        <v>0</v>
      </c>
      <c r="AE306" s="5">
        <f t="shared" si="126"/>
        <v>0</v>
      </c>
      <c r="AF306" s="5">
        <f t="shared" si="127"/>
        <v>0</v>
      </c>
      <c r="AG306" s="5">
        <f t="shared" si="128"/>
        <v>0</v>
      </c>
      <c r="AH306" s="5">
        <f t="shared" si="129"/>
        <v>0</v>
      </c>
      <c r="AI306" s="5">
        <f t="shared" si="130"/>
        <v>0</v>
      </c>
      <c r="AJ306" s="5">
        <f t="shared" si="131"/>
        <v>0</v>
      </c>
      <c r="AK306" s="5">
        <f t="shared" si="132"/>
        <v>0</v>
      </c>
      <c r="AL306" s="5">
        <f t="shared" si="133"/>
        <v>0</v>
      </c>
      <c r="AM306" s="6">
        <f t="shared" si="118"/>
        <v>0</v>
      </c>
    </row>
    <row r="307" spans="1:39" x14ac:dyDescent="0.25">
      <c r="A307" s="4"/>
      <c r="B307" s="4"/>
      <c r="C307" s="4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3"/>
      <c r="P307" s="3"/>
      <c r="Q307" s="3"/>
      <c r="R307" s="3"/>
      <c r="S307" s="6">
        <f t="shared" si="117"/>
        <v>0</v>
      </c>
      <c r="T307">
        <v>1</v>
      </c>
      <c r="U307" s="4"/>
      <c r="V307" s="4"/>
      <c r="W307" s="7"/>
      <c r="X307" s="5">
        <f t="shared" si="119"/>
        <v>0</v>
      </c>
      <c r="Y307" s="5">
        <f t="shared" si="120"/>
        <v>0</v>
      </c>
      <c r="Z307" s="5">
        <f t="shared" si="121"/>
        <v>0</v>
      </c>
      <c r="AA307" s="5">
        <f t="shared" si="122"/>
        <v>0</v>
      </c>
      <c r="AB307" s="5">
        <f t="shared" si="123"/>
        <v>0</v>
      </c>
      <c r="AC307" s="5">
        <f t="shared" si="124"/>
        <v>0</v>
      </c>
      <c r="AD307" s="5">
        <f t="shared" si="125"/>
        <v>0</v>
      </c>
      <c r="AE307" s="5">
        <f t="shared" si="126"/>
        <v>0</v>
      </c>
      <c r="AF307" s="5">
        <f t="shared" si="127"/>
        <v>0</v>
      </c>
      <c r="AG307" s="5">
        <f t="shared" si="128"/>
        <v>0</v>
      </c>
      <c r="AH307" s="5">
        <f t="shared" si="129"/>
        <v>0</v>
      </c>
      <c r="AI307" s="5">
        <f t="shared" si="130"/>
        <v>0</v>
      </c>
      <c r="AJ307" s="5">
        <f t="shared" si="131"/>
        <v>0</v>
      </c>
      <c r="AK307" s="5">
        <f t="shared" si="132"/>
        <v>0</v>
      </c>
      <c r="AL307" s="5">
        <f t="shared" si="133"/>
        <v>0</v>
      </c>
      <c r="AM307" s="6">
        <f t="shared" si="118"/>
        <v>0</v>
      </c>
    </row>
    <row r="308" spans="1:39" x14ac:dyDescent="0.25">
      <c r="A308" s="1" t="s">
        <v>3</v>
      </c>
      <c r="B308" s="1"/>
      <c r="C308" s="1"/>
      <c r="D308" s="8">
        <f>SUM(D2:D307)</f>
        <v>1092</v>
      </c>
      <c r="E308" s="8">
        <f t="shared" ref="E308:S308" si="134">SUM(E2:E307)</f>
        <v>1168.6999999999998</v>
      </c>
      <c r="F308" s="8">
        <f t="shared" si="134"/>
        <v>1221</v>
      </c>
      <c r="G308" s="8">
        <f t="shared" si="134"/>
        <v>1374</v>
      </c>
      <c r="H308" s="8">
        <f t="shared" si="134"/>
        <v>1848.5</v>
      </c>
      <c r="I308" s="8">
        <f t="shared" si="134"/>
        <v>2241</v>
      </c>
      <c r="J308" s="8">
        <f t="shared" si="134"/>
        <v>2904</v>
      </c>
      <c r="K308" s="8">
        <f t="shared" si="134"/>
        <v>2655</v>
      </c>
      <c r="L308" s="8">
        <f t="shared" si="134"/>
        <v>3118.5</v>
      </c>
      <c r="M308" s="8">
        <f t="shared" si="134"/>
        <v>3609</v>
      </c>
      <c r="N308" s="8">
        <f t="shared" si="134"/>
        <v>0</v>
      </c>
      <c r="O308" s="8">
        <f t="shared" si="134"/>
        <v>0</v>
      </c>
      <c r="P308" s="8">
        <f t="shared" si="134"/>
        <v>0</v>
      </c>
      <c r="Q308" s="8">
        <f t="shared" si="134"/>
        <v>0</v>
      </c>
      <c r="R308" s="8">
        <f t="shared" si="134"/>
        <v>0</v>
      </c>
      <c r="S308" s="8">
        <f t="shared" si="134"/>
        <v>21231.699999999997</v>
      </c>
      <c r="U308" s="11" t="s">
        <v>3</v>
      </c>
      <c r="V308" s="12"/>
      <c r="W308" s="13"/>
      <c r="X308" s="8">
        <f>SUM(X2:X307)</f>
        <v>277.5</v>
      </c>
      <c r="Y308" s="8">
        <f t="shared" ref="Y308:AJ308" si="135">SUM(Y2:Y307)</f>
        <v>597</v>
      </c>
      <c r="Z308" s="8">
        <f t="shared" si="135"/>
        <v>335</v>
      </c>
      <c r="AA308" s="8">
        <f t="shared" si="135"/>
        <v>822.75</v>
      </c>
      <c r="AB308" s="8">
        <f t="shared" si="135"/>
        <v>1090.25</v>
      </c>
      <c r="AC308" s="8">
        <f t="shared" si="135"/>
        <v>1650</v>
      </c>
      <c r="AD308" s="8">
        <f t="shared" si="135"/>
        <v>3237</v>
      </c>
      <c r="AE308" s="8">
        <f>SUM(AE2:AE307)</f>
        <v>3528.25</v>
      </c>
      <c r="AF308" s="8">
        <f t="shared" si="135"/>
        <v>4540.5</v>
      </c>
      <c r="AG308" s="8">
        <f>SUM(AG2:AG307)</f>
        <v>4234.75</v>
      </c>
      <c r="AH308" s="8">
        <f t="shared" si="135"/>
        <v>0</v>
      </c>
      <c r="AI308" s="8">
        <f t="shared" si="135"/>
        <v>0</v>
      </c>
      <c r="AJ308" s="8">
        <f t="shared" si="135"/>
        <v>0</v>
      </c>
      <c r="AK308" s="8">
        <f t="shared" ref="AK308:AM308" si="136">SUM(AK2:AK291)</f>
        <v>0</v>
      </c>
      <c r="AL308" s="8">
        <f t="shared" si="136"/>
        <v>0</v>
      </c>
      <c r="AM308" s="8">
        <f t="shared" si="136"/>
        <v>17925.5</v>
      </c>
    </row>
  </sheetData>
  <sortState xmlns:xlrd2="http://schemas.microsoft.com/office/spreadsheetml/2017/richdata2" ref="A165:O276">
    <sortCondition ref="A165:A276"/>
  </sortState>
  <mergeCells count="2">
    <mergeCell ref="A308:C308"/>
    <mergeCell ref="U308:W308"/>
  </mergeCells>
  <conditionalFormatting sqref="A5:B5">
    <cfRule type="duplicateValues" dxfId="116" priority="252" stopIfTrue="1"/>
  </conditionalFormatting>
  <conditionalFormatting sqref="A96:B102">
    <cfRule type="duplicateValues" dxfId="115" priority="251" stopIfTrue="1"/>
  </conditionalFormatting>
  <conditionalFormatting sqref="A103:B161 A91:B95 A2:B4 A6:B8">
    <cfRule type="duplicateValues" dxfId="114" priority="382" stopIfTrue="1"/>
  </conditionalFormatting>
  <conditionalFormatting sqref="A103:B163 A2:B4 A6:B95">
    <cfRule type="duplicateValues" dxfId="113" priority="387" stopIfTrue="1"/>
  </conditionalFormatting>
  <conditionalFormatting sqref="A185:B196">
    <cfRule type="duplicateValues" dxfId="112" priority="248" stopIfTrue="1"/>
  </conditionalFormatting>
  <conditionalFormatting sqref="A198:B228">
    <cfRule type="duplicateValues" dxfId="111" priority="247" stopIfTrue="1"/>
  </conditionalFormatting>
  <conditionalFormatting sqref="A244:B251">
    <cfRule type="duplicateValues" dxfId="110" priority="242" stopIfTrue="1"/>
  </conditionalFormatting>
  <conditionalFormatting sqref="A253:B260">
    <cfRule type="duplicateValues" dxfId="109" priority="243" stopIfTrue="1"/>
  </conditionalFormatting>
  <conditionalFormatting sqref="A261:B276 A252:B252 A229:B243 A164:B197">
    <cfRule type="duplicateValues" dxfId="108" priority="287"/>
  </conditionalFormatting>
  <conditionalFormatting sqref="A261:B281 A252:B252 A229:B243 A164:B197 A286:B287">
    <cfRule type="duplicateValues" dxfId="107" priority="346"/>
  </conditionalFormatting>
  <conditionalFormatting sqref="A277:B281 A286:B288">
    <cfRule type="duplicateValues" dxfId="106" priority="313"/>
  </conditionalFormatting>
  <conditionalFormatting sqref="A277:B281 A286:B290">
    <cfRule type="duplicateValues" dxfId="105" priority="315"/>
  </conditionalFormatting>
  <conditionalFormatting sqref="A282:B284">
    <cfRule type="duplicateValues" dxfId="104" priority="224" stopIfTrue="1"/>
  </conditionalFormatting>
  <conditionalFormatting sqref="A285:B285">
    <cfRule type="duplicateValues" dxfId="103" priority="223" stopIfTrue="1"/>
  </conditionalFormatting>
  <conditionalFormatting sqref="A289:B289">
    <cfRule type="duplicateValues" dxfId="102" priority="241" stopIfTrue="1"/>
  </conditionalFormatting>
  <conditionalFormatting sqref="A290:B290 A261:B281 A252:B252 A197:B197 A229:B243 A103:B184 A2:B4 A6:B95 A286:B287">
    <cfRule type="duplicateValues" dxfId="101" priority="255"/>
  </conditionalFormatting>
  <conditionalFormatting sqref="A291:B291 A304:B307">
    <cfRule type="duplicateValues" dxfId="100" priority="185" stopIfTrue="1"/>
  </conditionalFormatting>
  <conditionalFormatting sqref="A292:B294">
    <cfRule type="duplicateValues" dxfId="99" priority="112" stopIfTrue="1"/>
  </conditionalFormatting>
  <conditionalFormatting sqref="A295:B300">
    <cfRule type="duplicateValues" dxfId="98" priority="111" stopIfTrue="1"/>
  </conditionalFormatting>
  <conditionalFormatting sqref="A301:B301">
    <cfRule type="duplicateValues" dxfId="97" priority="110" stopIfTrue="1"/>
  </conditionalFormatting>
  <conditionalFormatting sqref="A302:B303">
    <cfRule type="duplicateValues" dxfId="96" priority="67" stopIfTrue="1"/>
  </conditionalFormatting>
  <conditionalFormatting sqref="A277:C277 A278:B281 A286:B287 C278:C307">
    <cfRule type="duplicateValues" dxfId="95" priority="325"/>
  </conditionalFormatting>
  <conditionalFormatting sqref="U5:V5">
    <cfRule type="duplicateValues" dxfId="94" priority="14" stopIfTrue="1"/>
  </conditionalFormatting>
  <conditionalFormatting sqref="U96:V102">
    <cfRule type="duplicateValues" dxfId="93" priority="13" stopIfTrue="1"/>
  </conditionalFormatting>
  <conditionalFormatting sqref="U103:V161 U91:V95 U2:V4 U6:V8">
    <cfRule type="duplicateValues" dxfId="92" priority="21" stopIfTrue="1"/>
  </conditionalFormatting>
  <conditionalFormatting sqref="U103:V163 U2:V4 U6:V95">
    <cfRule type="duplicateValues" dxfId="91" priority="22" stopIfTrue="1"/>
  </conditionalFormatting>
  <conditionalFormatting sqref="U185:V196">
    <cfRule type="duplicateValues" dxfId="90" priority="12" stopIfTrue="1"/>
  </conditionalFormatting>
  <conditionalFormatting sqref="U198:V228">
    <cfRule type="duplicateValues" dxfId="89" priority="11" stopIfTrue="1"/>
  </conditionalFormatting>
  <conditionalFormatting sqref="U244:V251">
    <cfRule type="duplicateValues" dxfId="88" priority="9" stopIfTrue="1"/>
  </conditionalFormatting>
  <conditionalFormatting sqref="U253:V260">
    <cfRule type="duplicateValues" dxfId="87" priority="10" stopIfTrue="1"/>
  </conditionalFormatting>
  <conditionalFormatting sqref="U261:V276 U252:V252 U229:V243 U164:V197">
    <cfRule type="duplicateValues" dxfId="86" priority="16"/>
  </conditionalFormatting>
  <conditionalFormatting sqref="U261:V281 U252:V252 U229:V243 U164:V197 U286:V287">
    <cfRule type="duplicateValues" dxfId="85" priority="20"/>
  </conditionalFormatting>
  <conditionalFormatting sqref="U277:V281 U286:V287">
    <cfRule type="duplicateValues" dxfId="84" priority="19"/>
  </conditionalFormatting>
  <conditionalFormatting sqref="U277:V281 U286:V288">
    <cfRule type="duplicateValues" dxfId="83" priority="17"/>
  </conditionalFormatting>
  <conditionalFormatting sqref="U277:V281 U286:V290">
    <cfRule type="duplicateValues" dxfId="82" priority="18"/>
  </conditionalFormatting>
  <conditionalFormatting sqref="U282:V284">
    <cfRule type="duplicateValues" dxfId="81" priority="7" stopIfTrue="1"/>
  </conditionalFormatting>
  <conditionalFormatting sqref="U285:V285">
    <cfRule type="duplicateValues" dxfId="80" priority="6" stopIfTrue="1"/>
  </conditionalFormatting>
  <conditionalFormatting sqref="U289:V289">
    <cfRule type="duplicateValues" dxfId="79" priority="8" stopIfTrue="1"/>
  </conditionalFormatting>
  <conditionalFormatting sqref="U290:V290 U261:V281 U252:V252 U197:V197 U229:V243 U103:V184 U2:V4 U6:V95 U286:V287">
    <cfRule type="duplicateValues" dxfId="78" priority="15"/>
  </conditionalFormatting>
  <conditionalFormatting sqref="U291:V291 U304:V307">
    <cfRule type="duplicateValues" dxfId="77" priority="5" stopIfTrue="1"/>
  </conditionalFormatting>
  <conditionalFormatting sqref="U292:V294">
    <cfRule type="duplicateValues" dxfId="76" priority="4" stopIfTrue="1"/>
  </conditionalFormatting>
  <conditionalFormatting sqref="U295:V300">
    <cfRule type="duplicateValues" dxfId="75" priority="3" stopIfTrue="1"/>
  </conditionalFormatting>
  <conditionalFormatting sqref="U301:V301">
    <cfRule type="duplicateValues" dxfId="74" priority="2" stopIfTrue="1"/>
  </conditionalFormatting>
  <conditionalFormatting sqref="U302:V303">
    <cfRule type="duplicateValues" dxfId="73" priority="1" stopIfTrue="1"/>
  </conditionalFormatting>
  <conditionalFormatting sqref="W277:W304">
    <cfRule type="duplicateValues" dxfId="72" priority="63"/>
  </conditionalFormatting>
  <conditionalFormatting sqref="W305:W307">
    <cfRule type="duplicateValues" dxfId="71" priority="34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DB1C-A565-45CC-87B1-4B29D876C388}">
  <dimension ref="A1:AM164"/>
  <sheetViews>
    <sheetView topLeftCell="R144" workbookViewId="0">
      <selection activeCell="A164" sqref="A164:XFD164"/>
    </sheetView>
  </sheetViews>
  <sheetFormatPr baseColWidth="10" defaultRowHeight="15" x14ac:dyDescent="0.25"/>
  <cols>
    <col min="2" max="2" width="23.85546875" bestFit="1" customWidth="1"/>
    <col min="4" max="9" width="6.140625" customWidth="1"/>
    <col min="10" max="12" width="8.28515625" customWidth="1"/>
    <col min="13" max="13" width="7.42578125" customWidth="1"/>
    <col min="14" max="18" width="6.140625" customWidth="1"/>
    <col min="22" max="22" width="23.85546875" bestFit="1" customWidth="1"/>
    <col min="24" max="38" width="6.7109375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>
        <v>16</v>
      </c>
      <c r="E1" s="2">
        <v>17</v>
      </c>
      <c r="F1" s="2">
        <v>18</v>
      </c>
      <c r="G1" s="2">
        <v>19</v>
      </c>
      <c r="H1" s="2">
        <v>20</v>
      </c>
      <c r="I1" s="2">
        <v>21</v>
      </c>
      <c r="J1" s="2">
        <v>22</v>
      </c>
      <c r="K1" s="2">
        <v>23</v>
      </c>
      <c r="L1" s="2">
        <v>24</v>
      </c>
      <c r="M1" s="2">
        <v>25</v>
      </c>
      <c r="N1" s="2">
        <v>26</v>
      </c>
      <c r="O1" s="2">
        <v>27</v>
      </c>
      <c r="P1" s="2">
        <v>28</v>
      </c>
      <c r="Q1" s="2">
        <v>29</v>
      </c>
      <c r="R1" s="2">
        <v>30</v>
      </c>
      <c r="S1" s="3" t="s">
        <v>3</v>
      </c>
      <c r="U1" s="2" t="s">
        <v>0</v>
      </c>
      <c r="V1" s="2" t="s">
        <v>1</v>
      </c>
      <c r="W1" s="2" t="s">
        <v>2</v>
      </c>
      <c r="X1" s="2">
        <v>16</v>
      </c>
      <c r="Y1" s="2">
        <v>17</v>
      </c>
      <c r="Z1" s="2">
        <v>18</v>
      </c>
      <c r="AA1" s="2">
        <v>19</v>
      </c>
      <c r="AB1" s="2">
        <v>20</v>
      </c>
      <c r="AC1" s="2">
        <v>21</v>
      </c>
      <c r="AD1" s="2">
        <v>22</v>
      </c>
      <c r="AE1" s="2">
        <v>23</v>
      </c>
      <c r="AF1" s="2">
        <v>24</v>
      </c>
      <c r="AG1" s="2">
        <v>25</v>
      </c>
      <c r="AH1" s="2">
        <v>26</v>
      </c>
      <c r="AI1" s="2">
        <v>27</v>
      </c>
      <c r="AJ1" s="2">
        <v>28</v>
      </c>
      <c r="AK1" s="2">
        <v>29</v>
      </c>
      <c r="AL1" s="2">
        <v>30</v>
      </c>
      <c r="AM1" s="3" t="s">
        <v>3</v>
      </c>
    </row>
    <row r="2" spans="1:39" x14ac:dyDescent="0.25">
      <c r="A2" s="4" t="s">
        <v>451</v>
      </c>
      <c r="B2" s="4" t="s">
        <v>452</v>
      </c>
      <c r="C2" s="4" t="s">
        <v>6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3"/>
      <c r="P2" s="3"/>
      <c r="Q2" s="3"/>
      <c r="R2" s="3"/>
      <c r="S2" s="6">
        <f t="shared" ref="S2:S92" si="0">SUM(D2:R2)</f>
        <v>0</v>
      </c>
      <c r="T2">
        <v>1</v>
      </c>
      <c r="U2" s="4" t="s">
        <v>451</v>
      </c>
      <c r="V2" s="4" t="s">
        <v>452</v>
      </c>
      <c r="W2" s="4" t="s">
        <v>6</v>
      </c>
      <c r="X2" s="5">
        <f t="shared" ref="X2:AL18" si="1">IF(D2&lt;20,0,IF(D2&lt;25,20,IF(D2&lt;30,40,IF(D2&lt;=40,60+(D2-30)*3,60+30+(D2-40)*4))))</f>
        <v>0</v>
      </c>
      <c r="Y2" s="5">
        <f t="shared" si="1"/>
        <v>0</v>
      </c>
      <c r="Z2" s="5">
        <f t="shared" si="1"/>
        <v>0</v>
      </c>
      <c r="AA2" s="5">
        <f t="shared" si="1"/>
        <v>0</v>
      </c>
      <c r="AB2" s="5">
        <f t="shared" si="1"/>
        <v>0</v>
      </c>
      <c r="AC2" s="5">
        <f t="shared" si="1"/>
        <v>0</v>
      </c>
      <c r="AD2" s="5">
        <f t="shared" si="1"/>
        <v>0</v>
      </c>
      <c r="AE2" s="5">
        <f t="shared" si="1"/>
        <v>0</v>
      </c>
      <c r="AF2" s="5">
        <f t="shared" si="1"/>
        <v>0</v>
      </c>
      <c r="AG2" s="5">
        <f t="shared" si="1"/>
        <v>0</v>
      </c>
      <c r="AH2" s="5">
        <f t="shared" si="1"/>
        <v>0</v>
      </c>
      <c r="AI2" s="5">
        <f t="shared" si="1"/>
        <v>0</v>
      </c>
      <c r="AJ2" s="5">
        <f t="shared" si="1"/>
        <v>0</v>
      </c>
      <c r="AK2" s="5">
        <f t="shared" si="1"/>
        <v>0</v>
      </c>
      <c r="AL2" s="5">
        <f t="shared" si="1"/>
        <v>0</v>
      </c>
      <c r="AM2" s="6">
        <f t="shared" ref="AM2:AM92" si="2">SUM(X2:AL2)</f>
        <v>0</v>
      </c>
    </row>
    <row r="3" spans="1:39" x14ac:dyDescent="0.25">
      <c r="A3" s="4" t="s">
        <v>453</v>
      </c>
      <c r="B3" s="4" t="s">
        <v>454</v>
      </c>
      <c r="C3" s="4" t="s">
        <v>6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3"/>
      <c r="P3" s="3"/>
      <c r="Q3" s="3"/>
      <c r="R3" s="3"/>
      <c r="S3" s="6">
        <f t="shared" si="0"/>
        <v>0</v>
      </c>
      <c r="T3">
        <v>1</v>
      </c>
      <c r="U3" s="4" t="s">
        <v>453</v>
      </c>
      <c r="V3" s="4" t="s">
        <v>454</v>
      </c>
      <c r="W3" s="4" t="s">
        <v>6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 t="shared" si="1"/>
        <v>0</v>
      </c>
      <c r="AH3" s="5">
        <f t="shared" si="1"/>
        <v>0</v>
      </c>
      <c r="AI3" s="5">
        <f t="shared" si="1"/>
        <v>0</v>
      </c>
      <c r="AJ3" s="5">
        <f t="shared" si="1"/>
        <v>0</v>
      </c>
      <c r="AK3" s="5">
        <f t="shared" si="1"/>
        <v>0</v>
      </c>
      <c r="AL3" s="5">
        <f t="shared" si="1"/>
        <v>0</v>
      </c>
      <c r="AM3" s="6">
        <f t="shared" si="2"/>
        <v>0</v>
      </c>
    </row>
    <row r="4" spans="1:39" x14ac:dyDescent="0.25">
      <c r="A4" s="4" t="s">
        <v>455</v>
      </c>
      <c r="B4" s="4" t="s">
        <v>456</v>
      </c>
      <c r="C4" s="4" t="s">
        <v>6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6">
        <f t="shared" si="0"/>
        <v>0</v>
      </c>
      <c r="T4">
        <v>1</v>
      </c>
      <c r="U4" s="4" t="s">
        <v>455</v>
      </c>
      <c r="V4" s="4" t="s">
        <v>456</v>
      </c>
      <c r="W4" s="4" t="s">
        <v>6</v>
      </c>
      <c r="X4" s="5">
        <f t="shared" si="1"/>
        <v>0</v>
      </c>
      <c r="Y4" s="5">
        <f t="shared" si="1"/>
        <v>0</v>
      </c>
      <c r="Z4" s="5">
        <f t="shared" si="1"/>
        <v>0</v>
      </c>
      <c r="AA4" s="5">
        <f t="shared" si="1"/>
        <v>0</v>
      </c>
      <c r="AB4" s="5">
        <f t="shared" si="1"/>
        <v>0</v>
      </c>
      <c r="AC4" s="5">
        <f t="shared" si="1"/>
        <v>0</v>
      </c>
      <c r="AD4" s="5">
        <f t="shared" si="1"/>
        <v>0</v>
      </c>
      <c r="AE4" s="5">
        <f t="shared" si="1"/>
        <v>0</v>
      </c>
      <c r="AF4" s="5">
        <f t="shared" si="1"/>
        <v>0</v>
      </c>
      <c r="AG4" s="5">
        <f t="shared" si="1"/>
        <v>0</v>
      </c>
      <c r="AH4" s="5">
        <f t="shared" si="1"/>
        <v>0</v>
      </c>
      <c r="AI4" s="5">
        <f t="shared" si="1"/>
        <v>0</v>
      </c>
      <c r="AJ4" s="5">
        <f t="shared" si="1"/>
        <v>0</v>
      </c>
      <c r="AK4" s="5">
        <f t="shared" si="1"/>
        <v>0</v>
      </c>
      <c r="AL4" s="5">
        <f t="shared" si="1"/>
        <v>0</v>
      </c>
      <c r="AM4" s="6">
        <f t="shared" si="2"/>
        <v>0</v>
      </c>
    </row>
    <row r="5" spans="1:39" x14ac:dyDescent="0.25">
      <c r="A5" s="4" t="s">
        <v>457</v>
      </c>
      <c r="B5" s="4" t="s">
        <v>458</v>
      </c>
      <c r="C5" s="4" t="s">
        <v>6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3"/>
      <c r="Q5" s="3"/>
      <c r="R5" s="3"/>
      <c r="S5" s="6">
        <f t="shared" si="0"/>
        <v>0</v>
      </c>
      <c r="T5">
        <v>1</v>
      </c>
      <c r="U5" s="4" t="s">
        <v>457</v>
      </c>
      <c r="V5" s="4" t="s">
        <v>458</v>
      </c>
      <c r="W5" s="4" t="s">
        <v>6</v>
      </c>
      <c r="X5" s="5">
        <f t="shared" si="1"/>
        <v>0</v>
      </c>
      <c r="Y5" s="5">
        <f t="shared" si="1"/>
        <v>0</v>
      </c>
      <c r="Z5" s="5">
        <f t="shared" si="1"/>
        <v>0</v>
      </c>
      <c r="AA5" s="5">
        <f t="shared" si="1"/>
        <v>0</v>
      </c>
      <c r="AB5" s="5">
        <f t="shared" si="1"/>
        <v>0</v>
      </c>
      <c r="AC5" s="5">
        <f t="shared" si="1"/>
        <v>0</v>
      </c>
      <c r="AD5" s="5">
        <f t="shared" si="1"/>
        <v>0</v>
      </c>
      <c r="AE5" s="5">
        <f t="shared" si="1"/>
        <v>0</v>
      </c>
      <c r="AF5" s="5">
        <f t="shared" si="1"/>
        <v>0</v>
      </c>
      <c r="AG5" s="5">
        <f t="shared" si="1"/>
        <v>0</v>
      </c>
      <c r="AH5" s="5">
        <f t="shared" si="1"/>
        <v>0</v>
      </c>
      <c r="AI5" s="5">
        <f t="shared" si="1"/>
        <v>0</v>
      </c>
      <c r="AJ5" s="5">
        <f t="shared" si="1"/>
        <v>0</v>
      </c>
      <c r="AK5" s="5">
        <f t="shared" si="1"/>
        <v>0</v>
      </c>
      <c r="AL5" s="5">
        <f t="shared" si="1"/>
        <v>0</v>
      </c>
      <c r="AM5" s="6">
        <f t="shared" si="2"/>
        <v>0</v>
      </c>
    </row>
    <row r="6" spans="1:39" x14ac:dyDescent="0.25">
      <c r="A6" s="4" t="s">
        <v>459</v>
      </c>
      <c r="B6" s="4" t="s">
        <v>460</v>
      </c>
      <c r="C6" s="4" t="s">
        <v>6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  <c r="R6" s="3"/>
      <c r="S6" s="6">
        <f t="shared" si="0"/>
        <v>0</v>
      </c>
      <c r="T6">
        <v>1</v>
      </c>
      <c r="U6" s="4" t="s">
        <v>459</v>
      </c>
      <c r="V6" s="4" t="s">
        <v>460</v>
      </c>
      <c r="W6" s="4" t="s">
        <v>6</v>
      </c>
      <c r="X6" s="5">
        <f t="shared" si="1"/>
        <v>0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  <c r="AH6" s="5">
        <f t="shared" si="1"/>
        <v>0</v>
      </c>
      <c r="AI6" s="5">
        <f t="shared" si="1"/>
        <v>0</v>
      </c>
      <c r="AJ6" s="5">
        <f t="shared" si="1"/>
        <v>0</v>
      </c>
      <c r="AK6" s="5">
        <f t="shared" si="1"/>
        <v>0</v>
      </c>
      <c r="AL6" s="5">
        <f t="shared" si="1"/>
        <v>0</v>
      </c>
      <c r="AM6" s="6">
        <f t="shared" si="2"/>
        <v>0</v>
      </c>
    </row>
    <row r="7" spans="1:39" x14ac:dyDescent="0.25">
      <c r="A7" s="4" t="s">
        <v>461</v>
      </c>
      <c r="B7" s="4" t="s">
        <v>462</v>
      </c>
      <c r="C7" s="4" t="s">
        <v>6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6">
        <f t="shared" si="0"/>
        <v>0</v>
      </c>
      <c r="T7">
        <v>1</v>
      </c>
      <c r="U7" s="4" t="s">
        <v>461</v>
      </c>
      <c r="V7" s="4" t="s">
        <v>462</v>
      </c>
      <c r="W7" s="4" t="s">
        <v>6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6">
        <f t="shared" si="2"/>
        <v>0</v>
      </c>
    </row>
    <row r="8" spans="1:39" x14ac:dyDescent="0.25">
      <c r="A8" s="4" t="s">
        <v>463</v>
      </c>
      <c r="B8" s="4" t="s">
        <v>464</v>
      </c>
      <c r="C8" s="4" t="s">
        <v>6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3"/>
      <c r="R8" s="3"/>
      <c r="S8" s="6">
        <f t="shared" si="0"/>
        <v>0</v>
      </c>
      <c r="T8">
        <v>1</v>
      </c>
      <c r="U8" s="4" t="s">
        <v>463</v>
      </c>
      <c r="V8" s="4" t="s">
        <v>464</v>
      </c>
      <c r="W8" s="4" t="s">
        <v>6</v>
      </c>
      <c r="X8" s="5">
        <f t="shared" si="1"/>
        <v>0</v>
      </c>
      <c r="Y8" s="5">
        <f t="shared" si="1"/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>
        <f t="shared" si="1"/>
        <v>0</v>
      </c>
      <c r="AD8" s="5">
        <f t="shared" si="1"/>
        <v>0</v>
      </c>
      <c r="AE8" s="5">
        <f t="shared" si="1"/>
        <v>0</v>
      </c>
      <c r="AF8" s="5">
        <f t="shared" si="1"/>
        <v>0</v>
      </c>
      <c r="AG8" s="5">
        <f t="shared" si="1"/>
        <v>0</v>
      </c>
      <c r="AH8" s="5">
        <f t="shared" si="1"/>
        <v>0</v>
      </c>
      <c r="AI8" s="5">
        <f t="shared" si="1"/>
        <v>0</v>
      </c>
      <c r="AJ8" s="5">
        <f t="shared" si="1"/>
        <v>0</v>
      </c>
      <c r="AK8" s="5">
        <f t="shared" si="1"/>
        <v>0</v>
      </c>
      <c r="AL8" s="5">
        <f t="shared" si="1"/>
        <v>0</v>
      </c>
      <c r="AM8" s="6">
        <f t="shared" si="2"/>
        <v>0</v>
      </c>
    </row>
    <row r="9" spans="1:39" x14ac:dyDescent="0.25">
      <c r="A9" s="4" t="s">
        <v>4</v>
      </c>
      <c r="B9" s="4" t="s">
        <v>5</v>
      </c>
      <c r="C9" s="4" t="s">
        <v>6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  <c r="Q9" s="3"/>
      <c r="R9" s="3"/>
      <c r="S9" s="6">
        <f t="shared" si="0"/>
        <v>0</v>
      </c>
      <c r="T9">
        <v>1</v>
      </c>
      <c r="U9" s="4" t="s">
        <v>4</v>
      </c>
      <c r="V9" s="4" t="s">
        <v>5</v>
      </c>
      <c r="W9" s="4" t="s">
        <v>6</v>
      </c>
      <c r="X9" s="5">
        <f t="shared" si="1"/>
        <v>0</v>
      </c>
      <c r="Y9" s="5">
        <f t="shared" si="1"/>
        <v>0</v>
      </c>
      <c r="Z9" s="5">
        <f t="shared" si="1"/>
        <v>0</v>
      </c>
      <c r="AA9" s="5">
        <f t="shared" si="1"/>
        <v>0</v>
      </c>
      <c r="AB9" s="5">
        <f t="shared" si="1"/>
        <v>0</v>
      </c>
      <c r="AC9" s="5">
        <f t="shared" si="1"/>
        <v>0</v>
      </c>
      <c r="AD9" s="5">
        <f t="shared" si="1"/>
        <v>0</v>
      </c>
      <c r="AE9" s="5">
        <f t="shared" si="1"/>
        <v>0</v>
      </c>
      <c r="AF9" s="5">
        <f t="shared" si="1"/>
        <v>0</v>
      </c>
      <c r="AG9" s="5">
        <f t="shared" si="1"/>
        <v>0</v>
      </c>
      <c r="AH9" s="5">
        <f t="shared" si="1"/>
        <v>0</v>
      </c>
      <c r="AI9" s="5">
        <f t="shared" si="1"/>
        <v>0</v>
      </c>
      <c r="AJ9" s="5">
        <f t="shared" si="1"/>
        <v>0</v>
      </c>
      <c r="AK9" s="5">
        <f t="shared" si="1"/>
        <v>0</v>
      </c>
      <c r="AL9" s="5">
        <f t="shared" si="1"/>
        <v>0</v>
      </c>
      <c r="AM9" s="6">
        <f t="shared" si="2"/>
        <v>0</v>
      </c>
    </row>
    <row r="10" spans="1:39" x14ac:dyDescent="0.25">
      <c r="A10" s="4" t="s">
        <v>7</v>
      </c>
      <c r="B10" s="4" t="s">
        <v>8</v>
      </c>
      <c r="C10" s="4" t="s">
        <v>6</v>
      </c>
      <c r="D10" s="5">
        <v>9</v>
      </c>
      <c r="E10" s="6">
        <v>9</v>
      </c>
      <c r="F10" s="6">
        <v>9</v>
      </c>
      <c r="G10" s="6">
        <v>10.5</v>
      </c>
      <c r="H10" s="6">
        <v>7.5</v>
      </c>
      <c r="I10" s="6"/>
      <c r="J10" s="6">
        <v>39</v>
      </c>
      <c r="K10" s="6">
        <v>40.5</v>
      </c>
      <c r="L10" s="6">
        <v>57</v>
      </c>
      <c r="M10" s="6">
        <v>63</v>
      </c>
      <c r="N10" s="6"/>
      <c r="O10" s="3"/>
      <c r="P10" s="3"/>
      <c r="Q10" s="3"/>
      <c r="R10" s="3"/>
      <c r="S10" s="6">
        <f t="shared" si="0"/>
        <v>244.5</v>
      </c>
      <c r="T10">
        <v>1</v>
      </c>
      <c r="U10" s="4" t="s">
        <v>7</v>
      </c>
      <c r="V10" s="4" t="s">
        <v>8</v>
      </c>
      <c r="W10" s="4" t="s">
        <v>6</v>
      </c>
      <c r="X10" s="5">
        <f t="shared" si="1"/>
        <v>0</v>
      </c>
      <c r="Y10" s="5">
        <f t="shared" si="1"/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  <c r="AD10" s="5">
        <f t="shared" si="1"/>
        <v>87</v>
      </c>
      <c r="AE10" s="5">
        <f t="shared" si="1"/>
        <v>92</v>
      </c>
      <c r="AF10" s="5">
        <f t="shared" si="1"/>
        <v>158</v>
      </c>
      <c r="AG10" s="5">
        <f t="shared" si="1"/>
        <v>182</v>
      </c>
      <c r="AH10" s="5">
        <f t="shared" si="1"/>
        <v>0</v>
      </c>
      <c r="AI10" s="5">
        <f t="shared" si="1"/>
        <v>0</v>
      </c>
      <c r="AJ10" s="5">
        <f t="shared" si="1"/>
        <v>0</v>
      </c>
      <c r="AK10" s="5">
        <f t="shared" si="1"/>
        <v>0</v>
      </c>
      <c r="AL10" s="5">
        <f t="shared" si="1"/>
        <v>0</v>
      </c>
      <c r="AM10" s="6">
        <f t="shared" si="2"/>
        <v>519</v>
      </c>
    </row>
    <row r="11" spans="1:39" x14ac:dyDescent="0.25">
      <c r="A11" s="4" t="s">
        <v>9</v>
      </c>
      <c r="B11" s="4" t="s">
        <v>10</v>
      </c>
      <c r="C11" s="4" t="s">
        <v>6</v>
      </c>
      <c r="D11" s="5">
        <v>9</v>
      </c>
      <c r="E11" s="6">
        <v>7.5</v>
      </c>
      <c r="F11" s="6">
        <v>9</v>
      </c>
      <c r="G11" s="6">
        <v>12</v>
      </c>
      <c r="H11" s="6"/>
      <c r="I11" s="6">
        <v>22.5</v>
      </c>
      <c r="J11" s="6">
        <v>25.5</v>
      </c>
      <c r="K11" s="6">
        <v>39</v>
      </c>
      <c r="L11" s="6">
        <v>49.5</v>
      </c>
      <c r="M11" s="6">
        <v>51</v>
      </c>
      <c r="N11" s="6"/>
      <c r="O11" s="3"/>
      <c r="P11" s="3"/>
      <c r="Q11" s="3"/>
      <c r="R11" s="3"/>
      <c r="S11" s="6">
        <f t="shared" si="0"/>
        <v>225</v>
      </c>
      <c r="T11">
        <v>1</v>
      </c>
      <c r="U11" s="4" t="s">
        <v>9</v>
      </c>
      <c r="V11" s="4" t="s">
        <v>10</v>
      </c>
      <c r="W11" s="4" t="s">
        <v>6</v>
      </c>
      <c r="X11" s="5">
        <f t="shared" si="1"/>
        <v>0</v>
      </c>
      <c r="Y11" s="5">
        <f t="shared" si="1"/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20</v>
      </c>
      <c r="AD11" s="5">
        <f t="shared" si="1"/>
        <v>40</v>
      </c>
      <c r="AE11" s="5">
        <f t="shared" si="1"/>
        <v>87</v>
      </c>
      <c r="AF11" s="5">
        <f t="shared" si="1"/>
        <v>128</v>
      </c>
      <c r="AG11" s="5">
        <f t="shared" si="1"/>
        <v>134</v>
      </c>
      <c r="AH11" s="5">
        <f t="shared" si="1"/>
        <v>0</v>
      </c>
      <c r="AI11" s="5">
        <f t="shared" si="1"/>
        <v>0</v>
      </c>
      <c r="AJ11" s="5">
        <f t="shared" si="1"/>
        <v>0</v>
      </c>
      <c r="AK11" s="5">
        <f t="shared" si="1"/>
        <v>0</v>
      </c>
      <c r="AL11" s="5">
        <f t="shared" si="1"/>
        <v>0</v>
      </c>
      <c r="AM11" s="6">
        <f t="shared" si="2"/>
        <v>409</v>
      </c>
    </row>
    <row r="12" spans="1:39" x14ac:dyDescent="0.25">
      <c r="A12" s="4" t="s">
        <v>11</v>
      </c>
      <c r="B12" s="4" t="s">
        <v>12</v>
      </c>
      <c r="C12" s="4" t="s">
        <v>6</v>
      </c>
      <c r="D12" s="5"/>
      <c r="E12" s="6">
        <v>6</v>
      </c>
      <c r="F12" s="6">
        <v>6</v>
      </c>
      <c r="G12" s="6">
        <v>9</v>
      </c>
      <c r="H12" s="6">
        <v>4.5</v>
      </c>
      <c r="I12" s="6"/>
      <c r="J12" s="6"/>
      <c r="K12" s="6"/>
      <c r="L12" s="6"/>
      <c r="M12" s="6">
        <v>33</v>
      </c>
      <c r="N12" s="6"/>
      <c r="O12" s="3"/>
      <c r="P12" s="3"/>
      <c r="Q12" s="3"/>
      <c r="R12" s="3"/>
      <c r="S12" s="6">
        <f t="shared" si="0"/>
        <v>58.5</v>
      </c>
      <c r="T12">
        <v>1</v>
      </c>
      <c r="U12" s="4" t="s">
        <v>11</v>
      </c>
      <c r="V12" s="4" t="s">
        <v>12</v>
      </c>
      <c r="W12" s="4" t="s">
        <v>6</v>
      </c>
      <c r="X12" s="5">
        <f t="shared" si="1"/>
        <v>0</v>
      </c>
      <c r="Y12" s="5">
        <f t="shared" si="1"/>
        <v>0</v>
      </c>
      <c r="Z12" s="5">
        <f t="shared" si="1"/>
        <v>0</v>
      </c>
      <c r="AA12" s="5">
        <f t="shared" si="1"/>
        <v>0</v>
      </c>
      <c r="AB12" s="5">
        <f t="shared" si="1"/>
        <v>0</v>
      </c>
      <c r="AC12" s="5">
        <f t="shared" si="1"/>
        <v>0</v>
      </c>
      <c r="AD12" s="5">
        <f t="shared" si="1"/>
        <v>0</v>
      </c>
      <c r="AE12" s="5">
        <f t="shared" si="1"/>
        <v>0</v>
      </c>
      <c r="AF12" s="5">
        <f t="shared" si="1"/>
        <v>0</v>
      </c>
      <c r="AG12" s="5">
        <f t="shared" si="1"/>
        <v>69</v>
      </c>
      <c r="AH12" s="5">
        <f t="shared" si="1"/>
        <v>0</v>
      </c>
      <c r="AI12" s="5">
        <f t="shared" si="1"/>
        <v>0</v>
      </c>
      <c r="AJ12" s="5">
        <f t="shared" si="1"/>
        <v>0</v>
      </c>
      <c r="AK12" s="5">
        <f t="shared" si="1"/>
        <v>0</v>
      </c>
      <c r="AL12" s="5">
        <f t="shared" si="1"/>
        <v>0</v>
      </c>
      <c r="AM12" s="6">
        <f t="shared" si="2"/>
        <v>69</v>
      </c>
    </row>
    <row r="13" spans="1:39" x14ac:dyDescent="0.25">
      <c r="A13" s="4" t="s">
        <v>13</v>
      </c>
      <c r="B13" s="4" t="s">
        <v>14</v>
      </c>
      <c r="C13" s="4" t="s">
        <v>6</v>
      </c>
      <c r="D13" s="5"/>
      <c r="E13" s="6"/>
      <c r="F13" s="6"/>
      <c r="G13" s="6"/>
      <c r="H13" s="6"/>
      <c r="I13" s="6"/>
      <c r="J13" s="6"/>
      <c r="K13" s="6">
        <v>19.5</v>
      </c>
      <c r="L13" s="6">
        <v>48</v>
      </c>
      <c r="M13" s="6">
        <v>40.5</v>
      </c>
      <c r="N13" s="6"/>
      <c r="O13" s="3"/>
      <c r="P13" s="3"/>
      <c r="Q13" s="3"/>
      <c r="R13" s="3"/>
      <c r="S13" s="6">
        <f t="shared" si="0"/>
        <v>108</v>
      </c>
      <c r="T13">
        <v>1</v>
      </c>
      <c r="U13" s="4" t="s">
        <v>13</v>
      </c>
      <c r="V13" s="4" t="s">
        <v>14</v>
      </c>
      <c r="W13" s="4" t="s">
        <v>6</v>
      </c>
      <c r="X13" s="5">
        <f t="shared" si="1"/>
        <v>0</v>
      </c>
      <c r="Y13" s="5">
        <f t="shared" si="1"/>
        <v>0</v>
      </c>
      <c r="Z13" s="5">
        <f t="shared" si="1"/>
        <v>0</v>
      </c>
      <c r="AA13" s="5">
        <f t="shared" si="1"/>
        <v>0</v>
      </c>
      <c r="AB13" s="5">
        <f t="shared" si="1"/>
        <v>0</v>
      </c>
      <c r="AC13" s="5">
        <f t="shared" si="1"/>
        <v>0</v>
      </c>
      <c r="AD13" s="5">
        <f t="shared" si="1"/>
        <v>0</v>
      </c>
      <c r="AE13" s="5">
        <f t="shared" si="1"/>
        <v>0</v>
      </c>
      <c r="AF13" s="5">
        <f t="shared" si="1"/>
        <v>122</v>
      </c>
      <c r="AG13" s="5">
        <f t="shared" si="1"/>
        <v>92</v>
      </c>
      <c r="AH13" s="5">
        <f t="shared" si="1"/>
        <v>0</v>
      </c>
      <c r="AI13" s="5">
        <f t="shared" si="1"/>
        <v>0</v>
      </c>
      <c r="AJ13" s="5">
        <f t="shared" si="1"/>
        <v>0</v>
      </c>
      <c r="AK13" s="5">
        <f t="shared" si="1"/>
        <v>0</v>
      </c>
      <c r="AL13" s="5">
        <f t="shared" si="1"/>
        <v>0</v>
      </c>
      <c r="AM13" s="6">
        <f t="shared" si="2"/>
        <v>214</v>
      </c>
    </row>
    <row r="14" spans="1:39" x14ac:dyDescent="0.25">
      <c r="A14" s="4" t="s">
        <v>545</v>
      </c>
      <c r="B14" s="4" t="s">
        <v>546</v>
      </c>
      <c r="C14" s="4" t="s">
        <v>6</v>
      </c>
      <c r="D14" s="5"/>
      <c r="E14" s="6"/>
      <c r="F14" s="6"/>
      <c r="G14" s="6"/>
      <c r="H14" s="6"/>
      <c r="I14" s="6"/>
      <c r="J14" s="6"/>
      <c r="K14" s="6">
        <v>19.5</v>
      </c>
      <c r="L14" s="6">
        <v>27</v>
      </c>
      <c r="M14" s="6"/>
      <c r="N14" s="6"/>
      <c r="O14" s="3"/>
      <c r="P14" s="3"/>
      <c r="Q14" s="3"/>
      <c r="R14" s="3"/>
      <c r="S14" s="6">
        <f t="shared" si="0"/>
        <v>46.5</v>
      </c>
      <c r="T14">
        <v>1</v>
      </c>
      <c r="U14" s="4" t="s">
        <v>545</v>
      </c>
      <c r="V14" s="4" t="s">
        <v>546</v>
      </c>
      <c r="W14" s="4" t="s">
        <v>6</v>
      </c>
      <c r="X14" s="5">
        <f t="shared" si="1"/>
        <v>0</v>
      </c>
      <c r="Y14" s="5">
        <f t="shared" si="1"/>
        <v>0</v>
      </c>
      <c r="Z14" s="5">
        <f t="shared" si="1"/>
        <v>0</v>
      </c>
      <c r="AA14" s="5">
        <f t="shared" si="1"/>
        <v>0</v>
      </c>
      <c r="AB14" s="5">
        <f t="shared" si="1"/>
        <v>0</v>
      </c>
      <c r="AC14" s="5">
        <f t="shared" si="1"/>
        <v>0</v>
      </c>
      <c r="AD14" s="5">
        <f t="shared" si="1"/>
        <v>0</v>
      </c>
      <c r="AE14" s="5">
        <f t="shared" si="1"/>
        <v>0</v>
      </c>
      <c r="AF14" s="5">
        <f t="shared" si="1"/>
        <v>40</v>
      </c>
      <c r="AG14" s="5">
        <f t="shared" si="1"/>
        <v>0</v>
      </c>
      <c r="AH14" s="5">
        <f t="shared" si="1"/>
        <v>0</v>
      </c>
      <c r="AI14" s="5">
        <f t="shared" si="1"/>
        <v>0</v>
      </c>
      <c r="AJ14" s="5">
        <f t="shared" si="1"/>
        <v>0</v>
      </c>
      <c r="AK14" s="5">
        <f t="shared" si="1"/>
        <v>0</v>
      </c>
      <c r="AL14" s="5">
        <f t="shared" si="1"/>
        <v>0</v>
      </c>
      <c r="AM14" s="6">
        <f t="shared" si="2"/>
        <v>40</v>
      </c>
    </row>
    <row r="15" spans="1:39" x14ac:dyDescent="0.25">
      <c r="A15" s="4" t="s">
        <v>15</v>
      </c>
      <c r="B15" s="4" t="s">
        <v>16</v>
      </c>
      <c r="C15" s="4" t="s">
        <v>6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3"/>
      <c r="P15" s="3"/>
      <c r="Q15" s="3"/>
      <c r="R15" s="3"/>
      <c r="S15" s="6">
        <f t="shared" si="0"/>
        <v>0</v>
      </c>
      <c r="T15">
        <v>1</v>
      </c>
      <c r="U15" s="4" t="s">
        <v>15</v>
      </c>
      <c r="V15" s="4" t="s">
        <v>16</v>
      </c>
      <c r="W15" s="4" t="s">
        <v>6</v>
      </c>
      <c r="X15" s="5">
        <f t="shared" si="1"/>
        <v>0</v>
      </c>
      <c r="Y15" s="5">
        <f t="shared" si="1"/>
        <v>0</v>
      </c>
      <c r="Z15" s="5">
        <f t="shared" si="1"/>
        <v>0</v>
      </c>
      <c r="AA15" s="5">
        <f t="shared" si="1"/>
        <v>0</v>
      </c>
      <c r="AB15" s="5">
        <f t="shared" si="1"/>
        <v>0</v>
      </c>
      <c r="AC15" s="5">
        <f t="shared" si="1"/>
        <v>0</v>
      </c>
      <c r="AD15" s="5">
        <f t="shared" si="1"/>
        <v>0</v>
      </c>
      <c r="AE15" s="5">
        <f t="shared" si="1"/>
        <v>0</v>
      </c>
      <c r="AF15" s="5">
        <f t="shared" si="1"/>
        <v>0</v>
      </c>
      <c r="AG15" s="5">
        <f t="shared" si="1"/>
        <v>0</v>
      </c>
      <c r="AH15" s="5">
        <f t="shared" si="1"/>
        <v>0</v>
      </c>
      <c r="AI15" s="5">
        <f t="shared" si="1"/>
        <v>0</v>
      </c>
      <c r="AJ15" s="5">
        <f t="shared" si="1"/>
        <v>0</v>
      </c>
      <c r="AK15" s="5">
        <f t="shared" si="1"/>
        <v>0</v>
      </c>
      <c r="AL15" s="5">
        <f t="shared" si="1"/>
        <v>0</v>
      </c>
      <c r="AM15" s="6">
        <f t="shared" si="2"/>
        <v>0</v>
      </c>
    </row>
    <row r="16" spans="1:39" x14ac:dyDescent="0.25">
      <c r="A16" s="4" t="s">
        <v>17</v>
      </c>
      <c r="B16" s="4" t="s">
        <v>18</v>
      </c>
      <c r="C16" s="4" t="s">
        <v>6</v>
      </c>
      <c r="D16" s="5"/>
      <c r="E16" s="6"/>
      <c r="F16" s="6"/>
      <c r="G16" s="6"/>
      <c r="H16" s="6"/>
      <c r="I16" s="6"/>
      <c r="J16" s="6"/>
      <c r="K16" s="6">
        <v>15</v>
      </c>
      <c r="L16" s="6">
        <v>48</v>
      </c>
      <c r="M16" s="6">
        <v>36</v>
      </c>
      <c r="N16" s="6"/>
      <c r="O16" s="3"/>
      <c r="P16" s="3"/>
      <c r="Q16" s="3"/>
      <c r="R16" s="3"/>
      <c r="S16" s="6">
        <f t="shared" si="0"/>
        <v>99</v>
      </c>
      <c r="T16">
        <v>1</v>
      </c>
      <c r="U16" s="4" t="s">
        <v>17</v>
      </c>
      <c r="V16" s="4" t="s">
        <v>18</v>
      </c>
      <c r="W16" s="4" t="s">
        <v>6</v>
      </c>
      <c r="X16" s="5">
        <f t="shared" si="1"/>
        <v>0</v>
      </c>
      <c r="Y16" s="5">
        <f t="shared" si="1"/>
        <v>0</v>
      </c>
      <c r="Z16" s="5">
        <f t="shared" si="1"/>
        <v>0</v>
      </c>
      <c r="AA16" s="5">
        <f t="shared" si="1"/>
        <v>0</v>
      </c>
      <c r="AB16" s="5">
        <f t="shared" si="1"/>
        <v>0</v>
      </c>
      <c r="AC16" s="5">
        <f t="shared" si="1"/>
        <v>0</v>
      </c>
      <c r="AD16" s="5">
        <f t="shared" si="1"/>
        <v>0</v>
      </c>
      <c r="AE16" s="5">
        <f t="shared" si="1"/>
        <v>0</v>
      </c>
      <c r="AF16" s="5">
        <f t="shared" si="1"/>
        <v>122</v>
      </c>
      <c r="AG16" s="5">
        <f t="shared" si="1"/>
        <v>78</v>
      </c>
      <c r="AH16" s="5">
        <f t="shared" si="1"/>
        <v>0</v>
      </c>
      <c r="AI16" s="5">
        <f t="shared" si="1"/>
        <v>0</v>
      </c>
      <c r="AJ16" s="5">
        <f t="shared" si="1"/>
        <v>0</v>
      </c>
      <c r="AK16" s="5">
        <f t="shared" si="1"/>
        <v>0</v>
      </c>
      <c r="AL16" s="5">
        <f t="shared" si="1"/>
        <v>0</v>
      </c>
      <c r="AM16" s="6">
        <f t="shared" si="2"/>
        <v>200</v>
      </c>
    </row>
    <row r="17" spans="1:39" x14ac:dyDescent="0.25">
      <c r="A17" s="4" t="s">
        <v>385</v>
      </c>
      <c r="B17" s="4" t="s">
        <v>386</v>
      </c>
      <c r="C17" s="4" t="s">
        <v>6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3"/>
      <c r="R17" s="3"/>
      <c r="S17" s="6">
        <f t="shared" si="0"/>
        <v>0</v>
      </c>
      <c r="T17">
        <v>1</v>
      </c>
      <c r="U17" s="4" t="s">
        <v>385</v>
      </c>
      <c r="V17" s="4" t="s">
        <v>386</v>
      </c>
      <c r="W17" s="4" t="s">
        <v>6</v>
      </c>
      <c r="X17" s="5">
        <f t="shared" si="1"/>
        <v>0</v>
      </c>
      <c r="Y17" s="5">
        <f t="shared" si="1"/>
        <v>0</v>
      </c>
      <c r="Z17" s="5">
        <f t="shared" si="1"/>
        <v>0</v>
      </c>
      <c r="AA17" s="5">
        <f t="shared" si="1"/>
        <v>0</v>
      </c>
      <c r="AB17" s="5">
        <f t="shared" si="1"/>
        <v>0</v>
      </c>
      <c r="AC17" s="5">
        <f t="shared" si="1"/>
        <v>0</v>
      </c>
      <c r="AD17" s="5">
        <f t="shared" si="1"/>
        <v>0</v>
      </c>
      <c r="AE17" s="5">
        <f t="shared" si="1"/>
        <v>0</v>
      </c>
      <c r="AF17" s="5">
        <f t="shared" si="1"/>
        <v>0</v>
      </c>
      <c r="AG17" s="5">
        <f t="shared" si="1"/>
        <v>0</v>
      </c>
      <c r="AH17" s="5">
        <f t="shared" si="1"/>
        <v>0</v>
      </c>
      <c r="AI17" s="5">
        <f t="shared" si="1"/>
        <v>0</v>
      </c>
      <c r="AJ17" s="5">
        <f t="shared" si="1"/>
        <v>0</v>
      </c>
      <c r="AK17" s="5">
        <f t="shared" si="1"/>
        <v>0</v>
      </c>
      <c r="AL17" s="5">
        <f t="shared" si="1"/>
        <v>0</v>
      </c>
      <c r="AM17" s="6">
        <f t="shared" si="2"/>
        <v>0</v>
      </c>
    </row>
    <row r="18" spans="1:39" x14ac:dyDescent="0.25">
      <c r="A18" s="4" t="s">
        <v>495</v>
      </c>
      <c r="B18" s="4" t="s">
        <v>496</v>
      </c>
      <c r="C18" s="4" t="s">
        <v>6</v>
      </c>
      <c r="D18" s="5"/>
      <c r="E18" s="6"/>
      <c r="F18" s="6">
        <v>7.5</v>
      </c>
      <c r="G18" s="6">
        <v>6</v>
      </c>
      <c r="H18" s="6">
        <v>6</v>
      </c>
      <c r="I18" s="6">
        <v>13.5</v>
      </c>
      <c r="J18" s="6">
        <v>16.5</v>
      </c>
      <c r="K18" s="6">
        <v>30</v>
      </c>
      <c r="L18" s="6"/>
      <c r="M18" s="6">
        <v>36</v>
      </c>
      <c r="N18" s="6"/>
      <c r="O18" s="3"/>
      <c r="P18" s="3"/>
      <c r="Q18" s="3"/>
      <c r="R18" s="3"/>
      <c r="S18" s="6">
        <f t="shared" si="0"/>
        <v>115.5</v>
      </c>
      <c r="T18">
        <v>1</v>
      </c>
      <c r="U18" s="4" t="s">
        <v>495</v>
      </c>
      <c r="V18" s="4" t="s">
        <v>496</v>
      </c>
      <c r="W18" s="4" t="s">
        <v>6</v>
      </c>
      <c r="X18" s="5">
        <f t="shared" si="1"/>
        <v>0</v>
      </c>
      <c r="Y18" s="5">
        <f t="shared" si="1"/>
        <v>0</v>
      </c>
      <c r="Z18" s="5">
        <f t="shared" si="1"/>
        <v>0</v>
      </c>
      <c r="AA18" s="5">
        <f t="shared" si="1"/>
        <v>0</v>
      </c>
      <c r="AB18" s="5">
        <f t="shared" si="1"/>
        <v>0</v>
      </c>
      <c r="AC18" s="5">
        <f t="shared" si="1"/>
        <v>0</v>
      </c>
      <c r="AD18" s="5">
        <f t="shared" si="1"/>
        <v>0</v>
      </c>
      <c r="AE18" s="5">
        <f t="shared" si="1"/>
        <v>60</v>
      </c>
      <c r="AF18" s="5">
        <f t="shared" si="1"/>
        <v>0</v>
      </c>
      <c r="AG18" s="5">
        <f t="shared" si="1"/>
        <v>78</v>
      </c>
      <c r="AH18" s="5">
        <f t="shared" si="1"/>
        <v>0</v>
      </c>
      <c r="AI18" s="5">
        <f t="shared" si="1"/>
        <v>0</v>
      </c>
      <c r="AJ18" s="5">
        <f t="shared" si="1"/>
        <v>0</v>
      </c>
      <c r="AK18" s="5">
        <f t="shared" si="1"/>
        <v>0</v>
      </c>
      <c r="AL18" s="5">
        <f t="shared" si="1"/>
        <v>0</v>
      </c>
      <c r="AM18" s="6">
        <f t="shared" si="2"/>
        <v>138</v>
      </c>
    </row>
    <row r="19" spans="1:39" x14ac:dyDescent="0.25">
      <c r="A19" s="4" t="s">
        <v>559</v>
      </c>
      <c r="B19" s="4" t="s">
        <v>560</v>
      </c>
      <c r="C19" s="4" t="s">
        <v>6</v>
      </c>
      <c r="D19" s="5"/>
      <c r="E19" s="6"/>
      <c r="F19" s="6"/>
      <c r="G19" s="6"/>
      <c r="H19" s="6"/>
      <c r="I19" s="6"/>
      <c r="J19" s="6"/>
      <c r="K19" s="6"/>
      <c r="L19" s="6">
        <v>48</v>
      </c>
      <c r="M19" s="6">
        <v>46.5</v>
      </c>
      <c r="N19" s="6"/>
      <c r="O19" s="3"/>
      <c r="P19" s="3"/>
      <c r="Q19" s="3"/>
      <c r="R19" s="3"/>
      <c r="S19" s="6">
        <f t="shared" si="0"/>
        <v>94.5</v>
      </c>
      <c r="T19">
        <v>1</v>
      </c>
      <c r="U19" s="4" t="s">
        <v>559</v>
      </c>
      <c r="V19" s="4" t="s">
        <v>560</v>
      </c>
      <c r="W19" s="4" t="s">
        <v>6</v>
      </c>
      <c r="X19" s="5">
        <f t="shared" ref="X19:AL35" si="3">IF(D19&lt;20,0,IF(D19&lt;25,20,IF(D19&lt;30,40,IF(D19&lt;=40,60+(D19-30)*3,60+30+(D19-40)*4))))</f>
        <v>0</v>
      </c>
      <c r="Y19" s="5">
        <f t="shared" si="3"/>
        <v>0</v>
      </c>
      <c r="Z19" s="5">
        <f t="shared" si="3"/>
        <v>0</v>
      </c>
      <c r="AA19" s="5">
        <f t="shared" si="3"/>
        <v>0</v>
      </c>
      <c r="AB19" s="5">
        <f t="shared" si="3"/>
        <v>0</v>
      </c>
      <c r="AC19" s="5">
        <f t="shared" si="3"/>
        <v>0</v>
      </c>
      <c r="AD19" s="5">
        <f t="shared" si="3"/>
        <v>0</v>
      </c>
      <c r="AE19" s="5">
        <f t="shared" si="3"/>
        <v>0</v>
      </c>
      <c r="AF19" s="5">
        <f t="shared" si="3"/>
        <v>122</v>
      </c>
      <c r="AG19" s="5">
        <f t="shared" si="3"/>
        <v>116</v>
      </c>
      <c r="AH19" s="5">
        <f t="shared" si="3"/>
        <v>0</v>
      </c>
      <c r="AI19" s="5">
        <f t="shared" si="3"/>
        <v>0</v>
      </c>
      <c r="AJ19" s="5">
        <f t="shared" si="3"/>
        <v>0</v>
      </c>
      <c r="AK19" s="5">
        <f t="shared" si="3"/>
        <v>0</v>
      </c>
      <c r="AL19" s="5">
        <f t="shared" si="3"/>
        <v>0</v>
      </c>
      <c r="AM19" s="6">
        <f t="shared" si="2"/>
        <v>238</v>
      </c>
    </row>
    <row r="20" spans="1:39" x14ac:dyDescent="0.25">
      <c r="A20" s="4" t="s">
        <v>19</v>
      </c>
      <c r="B20" s="4" t="s">
        <v>20</v>
      </c>
      <c r="C20" s="4" t="s">
        <v>6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3"/>
      <c r="R20" s="3"/>
      <c r="S20" s="6">
        <f t="shared" si="0"/>
        <v>0</v>
      </c>
      <c r="T20">
        <v>1</v>
      </c>
      <c r="U20" s="4" t="s">
        <v>19</v>
      </c>
      <c r="V20" s="4" t="s">
        <v>20</v>
      </c>
      <c r="W20" s="4" t="s">
        <v>6</v>
      </c>
      <c r="X20" s="5">
        <f t="shared" si="3"/>
        <v>0</v>
      </c>
      <c r="Y20" s="5">
        <f t="shared" si="3"/>
        <v>0</v>
      </c>
      <c r="Z20" s="5">
        <f t="shared" si="3"/>
        <v>0</v>
      </c>
      <c r="AA20" s="5">
        <f t="shared" si="3"/>
        <v>0</v>
      </c>
      <c r="AB20" s="5">
        <f t="shared" si="3"/>
        <v>0</v>
      </c>
      <c r="AC20" s="5">
        <f t="shared" si="3"/>
        <v>0</v>
      </c>
      <c r="AD20" s="5">
        <f t="shared" si="3"/>
        <v>0</v>
      </c>
      <c r="AE20" s="5">
        <f t="shared" si="3"/>
        <v>0</v>
      </c>
      <c r="AF20" s="5">
        <f t="shared" si="3"/>
        <v>0</v>
      </c>
      <c r="AG20" s="5">
        <f t="shared" si="3"/>
        <v>0</v>
      </c>
      <c r="AH20" s="5">
        <f t="shared" si="3"/>
        <v>0</v>
      </c>
      <c r="AI20" s="5">
        <f t="shared" si="3"/>
        <v>0</v>
      </c>
      <c r="AJ20" s="5">
        <f t="shared" si="3"/>
        <v>0</v>
      </c>
      <c r="AK20" s="5">
        <f t="shared" si="3"/>
        <v>0</v>
      </c>
      <c r="AL20" s="5">
        <f t="shared" si="3"/>
        <v>0</v>
      </c>
      <c r="AM20" s="6">
        <f t="shared" si="2"/>
        <v>0</v>
      </c>
    </row>
    <row r="21" spans="1:39" x14ac:dyDescent="0.25">
      <c r="A21" s="4" t="s">
        <v>21</v>
      </c>
      <c r="B21" s="4" t="s">
        <v>22</v>
      </c>
      <c r="C21" s="4" t="s">
        <v>6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6">
        <f t="shared" si="0"/>
        <v>0</v>
      </c>
      <c r="T21">
        <v>1</v>
      </c>
      <c r="U21" s="4" t="s">
        <v>21</v>
      </c>
      <c r="V21" s="4" t="s">
        <v>22</v>
      </c>
      <c r="W21" s="4" t="s">
        <v>6</v>
      </c>
      <c r="X21" s="5">
        <f t="shared" si="3"/>
        <v>0</v>
      </c>
      <c r="Y21" s="5">
        <f t="shared" si="3"/>
        <v>0</v>
      </c>
      <c r="Z21" s="5">
        <f t="shared" si="3"/>
        <v>0</v>
      </c>
      <c r="AA21" s="5">
        <f t="shared" si="3"/>
        <v>0</v>
      </c>
      <c r="AB21" s="5">
        <f t="shared" si="3"/>
        <v>0</v>
      </c>
      <c r="AC21" s="5">
        <f t="shared" si="3"/>
        <v>0</v>
      </c>
      <c r="AD21" s="5">
        <f t="shared" si="3"/>
        <v>0</v>
      </c>
      <c r="AE21" s="5">
        <f t="shared" si="3"/>
        <v>0</v>
      </c>
      <c r="AF21" s="5">
        <f t="shared" si="3"/>
        <v>0</v>
      </c>
      <c r="AG21" s="5">
        <f t="shared" si="3"/>
        <v>0</v>
      </c>
      <c r="AH21" s="5">
        <f t="shared" si="3"/>
        <v>0</v>
      </c>
      <c r="AI21" s="5">
        <f t="shared" si="3"/>
        <v>0</v>
      </c>
      <c r="AJ21" s="5">
        <f t="shared" si="3"/>
        <v>0</v>
      </c>
      <c r="AK21" s="5">
        <f t="shared" si="3"/>
        <v>0</v>
      </c>
      <c r="AL21" s="5">
        <f t="shared" si="3"/>
        <v>0</v>
      </c>
      <c r="AM21" s="6">
        <f t="shared" si="2"/>
        <v>0</v>
      </c>
    </row>
    <row r="22" spans="1:39" x14ac:dyDescent="0.25">
      <c r="A22" s="4" t="s">
        <v>529</v>
      </c>
      <c r="B22" s="4" t="s">
        <v>530</v>
      </c>
      <c r="C22" s="4" t="s">
        <v>6</v>
      </c>
      <c r="D22" s="5"/>
      <c r="E22" s="6"/>
      <c r="F22" s="6"/>
      <c r="G22" s="6"/>
      <c r="H22" s="6"/>
      <c r="I22" s="6">
        <v>3</v>
      </c>
      <c r="J22" s="6"/>
      <c r="K22" s="6"/>
      <c r="L22" s="6"/>
      <c r="M22" s="6"/>
      <c r="N22" s="6"/>
      <c r="O22" s="3"/>
      <c r="P22" s="3"/>
      <c r="Q22" s="3"/>
      <c r="R22" s="3"/>
      <c r="S22" s="6">
        <f t="shared" si="0"/>
        <v>3</v>
      </c>
      <c r="T22">
        <v>1</v>
      </c>
      <c r="U22" s="4" t="s">
        <v>529</v>
      </c>
      <c r="V22" s="4" t="s">
        <v>530</v>
      </c>
      <c r="W22" s="4" t="s">
        <v>6</v>
      </c>
      <c r="X22" s="5">
        <f t="shared" si="3"/>
        <v>0</v>
      </c>
      <c r="Y22" s="5">
        <f t="shared" si="3"/>
        <v>0</v>
      </c>
      <c r="Z22" s="5">
        <f t="shared" si="3"/>
        <v>0</v>
      </c>
      <c r="AA22" s="5">
        <f t="shared" si="3"/>
        <v>0</v>
      </c>
      <c r="AB22" s="5">
        <f t="shared" si="3"/>
        <v>0</v>
      </c>
      <c r="AC22" s="5">
        <f t="shared" si="3"/>
        <v>0</v>
      </c>
      <c r="AD22" s="5">
        <f t="shared" si="3"/>
        <v>0</v>
      </c>
      <c r="AE22" s="5">
        <f t="shared" si="3"/>
        <v>0</v>
      </c>
      <c r="AF22" s="5">
        <f t="shared" si="3"/>
        <v>0</v>
      </c>
      <c r="AG22" s="5">
        <f t="shared" si="3"/>
        <v>0</v>
      </c>
      <c r="AH22" s="5">
        <f t="shared" si="3"/>
        <v>0</v>
      </c>
      <c r="AI22" s="5">
        <f t="shared" si="3"/>
        <v>0</v>
      </c>
      <c r="AJ22" s="5">
        <f t="shared" si="3"/>
        <v>0</v>
      </c>
      <c r="AK22" s="5">
        <f t="shared" si="3"/>
        <v>0</v>
      </c>
      <c r="AL22" s="5">
        <f t="shared" si="3"/>
        <v>0</v>
      </c>
      <c r="AM22" s="6">
        <f t="shared" si="2"/>
        <v>0</v>
      </c>
    </row>
    <row r="23" spans="1:39" x14ac:dyDescent="0.25">
      <c r="A23" s="4" t="s">
        <v>23</v>
      </c>
      <c r="B23" s="4" t="s">
        <v>24</v>
      </c>
      <c r="C23" s="4" t="s">
        <v>6</v>
      </c>
      <c r="D23" s="5"/>
      <c r="E23" s="6"/>
      <c r="F23" s="6"/>
      <c r="G23" s="6"/>
      <c r="H23" s="6"/>
      <c r="I23" s="6"/>
      <c r="J23" s="6"/>
      <c r="K23" s="6"/>
      <c r="L23" s="6"/>
      <c r="M23" s="6">
        <v>25.5</v>
      </c>
      <c r="N23" s="6"/>
      <c r="O23" s="3"/>
      <c r="P23" s="3"/>
      <c r="Q23" s="3"/>
      <c r="R23" s="3"/>
      <c r="S23" s="6">
        <f t="shared" si="0"/>
        <v>25.5</v>
      </c>
      <c r="T23">
        <v>1</v>
      </c>
      <c r="U23" s="4" t="s">
        <v>23</v>
      </c>
      <c r="V23" s="4" t="s">
        <v>24</v>
      </c>
      <c r="W23" s="4" t="s">
        <v>6</v>
      </c>
      <c r="X23" s="5">
        <f t="shared" si="3"/>
        <v>0</v>
      </c>
      <c r="Y23" s="5">
        <f t="shared" si="3"/>
        <v>0</v>
      </c>
      <c r="Z23" s="5">
        <f t="shared" si="3"/>
        <v>0</v>
      </c>
      <c r="AA23" s="5">
        <f t="shared" si="3"/>
        <v>0</v>
      </c>
      <c r="AB23" s="5">
        <f t="shared" si="3"/>
        <v>0</v>
      </c>
      <c r="AC23" s="5">
        <f t="shared" si="3"/>
        <v>0</v>
      </c>
      <c r="AD23" s="5">
        <f t="shared" si="3"/>
        <v>0</v>
      </c>
      <c r="AE23" s="5">
        <f t="shared" si="3"/>
        <v>0</v>
      </c>
      <c r="AF23" s="5">
        <f t="shared" si="3"/>
        <v>0</v>
      </c>
      <c r="AG23" s="5">
        <f t="shared" si="3"/>
        <v>40</v>
      </c>
      <c r="AH23" s="5">
        <f t="shared" si="3"/>
        <v>0</v>
      </c>
      <c r="AI23" s="5">
        <f t="shared" si="3"/>
        <v>0</v>
      </c>
      <c r="AJ23" s="5">
        <f t="shared" si="3"/>
        <v>0</v>
      </c>
      <c r="AK23" s="5">
        <f t="shared" si="3"/>
        <v>0</v>
      </c>
      <c r="AL23" s="5">
        <f t="shared" si="3"/>
        <v>0</v>
      </c>
      <c r="AM23" s="6">
        <f t="shared" si="2"/>
        <v>40</v>
      </c>
    </row>
    <row r="24" spans="1:39" x14ac:dyDescent="0.25">
      <c r="A24" s="4" t="s">
        <v>25</v>
      </c>
      <c r="B24" s="4" t="s">
        <v>26</v>
      </c>
      <c r="C24" s="4" t="s">
        <v>6</v>
      </c>
      <c r="D24" s="5"/>
      <c r="E24" s="6"/>
      <c r="F24" s="6"/>
      <c r="G24" s="6"/>
      <c r="H24" s="6"/>
      <c r="I24" s="6"/>
      <c r="J24" s="6"/>
      <c r="K24" s="6"/>
      <c r="L24" s="6"/>
      <c r="M24" s="6">
        <v>15</v>
      </c>
      <c r="N24" s="6"/>
      <c r="O24" s="3"/>
      <c r="P24" s="3"/>
      <c r="Q24" s="3"/>
      <c r="R24" s="3"/>
      <c r="S24" s="6">
        <f t="shared" si="0"/>
        <v>15</v>
      </c>
      <c r="T24">
        <v>1</v>
      </c>
      <c r="U24" s="4" t="s">
        <v>25</v>
      </c>
      <c r="V24" s="4" t="s">
        <v>26</v>
      </c>
      <c r="W24" s="4" t="s">
        <v>6</v>
      </c>
      <c r="X24" s="5">
        <f t="shared" si="3"/>
        <v>0</v>
      </c>
      <c r="Y24" s="5">
        <f t="shared" si="3"/>
        <v>0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  <c r="AD24" s="5">
        <f t="shared" si="3"/>
        <v>0</v>
      </c>
      <c r="AE24" s="5">
        <f t="shared" si="3"/>
        <v>0</v>
      </c>
      <c r="AF24" s="5">
        <f t="shared" si="3"/>
        <v>0</v>
      </c>
      <c r="AG24" s="5">
        <f t="shared" si="3"/>
        <v>0</v>
      </c>
      <c r="AH24" s="5">
        <f t="shared" si="3"/>
        <v>0</v>
      </c>
      <c r="AI24" s="5">
        <f t="shared" si="3"/>
        <v>0</v>
      </c>
      <c r="AJ24" s="5">
        <f t="shared" si="3"/>
        <v>0</v>
      </c>
      <c r="AK24" s="5">
        <f t="shared" si="3"/>
        <v>0</v>
      </c>
      <c r="AL24" s="5">
        <f t="shared" si="3"/>
        <v>0</v>
      </c>
      <c r="AM24" s="6">
        <f t="shared" si="2"/>
        <v>0</v>
      </c>
    </row>
    <row r="25" spans="1:39" x14ac:dyDescent="0.25">
      <c r="A25" s="4" t="s">
        <v>27</v>
      </c>
      <c r="B25" s="4" t="s">
        <v>28</v>
      </c>
      <c r="C25" s="4" t="s">
        <v>6</v>
      </c>
      <c r="D25" s="5"/>
      <c r="E25" s="6"/>
      <c r="F25" s="6"/>
      <c r="G25" s="6"/>
      <c r="H25" s="6"/>
      <c r="I25" s="6"/>
      <c r="J25" s="6"/>
      <c r="K25" s="6"/>
      <c r="L25" s="6"/>
      <c r="M25" s="6">
        <v>13.5</v>
      </c>
      <c r="N25" s="6"/>
      <c r="O25" s="3"/>
      <c r="P25" s="3"/>
      <c r="Q25" s="3"/>
      <c r="R25" s="3"/>
      <c r="S25" s="6">
        <f t="shared" si="0"/>
        <v>13.5</v>
      </c>
      <c r="T25">
        <v>1</v>
      </c>
      <c r="U25" s="4" t="s">
        <v>27</v>
      </c>
      <c r="V25" s="4" t="s">
        <v>28</v>
      </c>
      <c r="W25" s="4" t="s">
        <v>6</v>
      </c>
      <c r="X25" s="5">
        <f t="shared" si="3"/>
        <v>0</v>
      </c>
      <c r="Y25" s="5">
        <f t="shared" si="3"/>
        <v>0</v>
      </c>
      <c r="Z25" s="5">
        <f t="shared" si="3"/>
        <v>0</v>
      </c>
      <c r="AA25" s="5">
        <f t="shared" si="3"/>
        <v>0</v>
      </c>
      <c r="AB25" s="5">
        <f t="shared" si="3"/>
        <v>0</v>
      </c>
      <c r="AC25" s="5">
        <f t="shared" si="3"/>
        <v>0</v>
      </c>
      <c r="AD25" s="5">
        <f t="shared" si="3"/>
        <v>0</v>
      </c>
      <c r="AE25" s="5">
        <f t="shared" si="3"/>
        <v>0</v>
      </c>
      <c r="AF25" s="5">
        <f t="shared" si="3"/>
        <v>0</v>
      </c>
      <c r="AG25" s="5">
        <f t="shared" si="3"/>
        <v>0</v>
      </c>
      <c r="AH25" s="5">
        <f t="shared" si="3"/>
        <v>0</v>
      </c>
      <c r="AI25" s="5">
        <f t="shared" si="3"/>
        <v>0</v>
      </c>
      <c r="AJ25" s="5">
        <f t="shared" si="3"/>
        <v>0</v>
      </c>
      <c r="AK25" s="5">
        <f t="shared" si="3"/>
        <v>0</v>
      </c>
      <c r="AL25" s="5">
        <f t="shared" si="3"/>
        <v>0</v>
      </c>
      <c r="AM25" s="6">
        <f t="shared" si="2"/>
        <v>0</v>
      </c>
    </row>
    <row r="26" spans="1:39" x14ac:dyDescent="0.25">
      <c r="A26" s="4" t="s">
        <v>29</v>
      </c>
      <c r="B26" s="4" t="s">
        <v>30</v>
      </c>
      <c r="C26" s="4" t="s">
        <v>6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3"/>
      <c r="P26" s="3"/>
      <c r="Q26" s="3"/>
      <c r="R26" s="3"/>
      <c r="S26" s="6">
        <f t="shared" si="0"/>
        <v>0</v>
      </c>
      <c r="T26">
        <v>1</v>
      </c>
      <c r="U26" s="4" t="s">
        <v>29</v>
      </c>
      <c r="V26" s="4" t="s">
        <v>30</v>
      </c>
      <c r="W26" s="4" t="s">
        <v>6</v>
      </c>
      <c r="X26" s="5">
        <f t="shared" si="3"/>
        <v>0</v>
      </c>
      <c r="Y26" s="5">
        <f t="shared" si="3"/>
        <v>0</v>
      </c>
      <c r="Z26" s="5">
        <f t="shared" si="3"/>
        <v>0</v>
      </c>
      <c r="AA26" s="5">
        <f t="shared" si="3"/>
        <v>0</v>
      </c>
      <c r="AB26" s="5">
        <f t="shared" si="3"/>
        <v>0</v>
      </c>
      <c r="AC26" s="5">
        <f t="shared" si="3"/>
        <v>0</v>
      </c>
      <c r="AD26" s="5">
        <f t="shared" si="3"/>
        <v>0</v>
      </c>
      <c r="AE26" s="5">
        <f t="shared" si="3"/>
        <v>0</v>
      </c>
      <c r="AF26" s="5">
        <f t="shared" si="3"/>
        <v>0</v>
      </c>
      <c r="AG26" s="5">
        <f t="shared" si="3"/>
        <v>0</v>
      </c>
      <c r="AH26" s="5">
        <f t="shared" si="3"/>
        <v>0</v>
      </c>
      <c r="AI26" s="5">
        <f t="shared" si="3"/>
        <v>0</v>
      </c>
      <c r="AJ26" s="5">
        <f t="shared" si="3"/>
        <v>0</v>
      </c>
      <c r="AK26" s="5">
        <f t="shared" si="3"/>
        <v>0</v>
      </c>
      <c r="AL26" s="5">
        <f t="shared" si="3"/>
        <v>0</v>
      </c>
      <c r="AM26" s="6">
        <f t="shared" si="2"/>
        <v>0</v>
      </c>
    </row>
    <row r="27" spans="1:39" x14ac:dyDescent="0.25">
      <c r="A27" s="4" t="s">
        <v>31</v>
      </c>
      <c r="B27" s="4" t="s">
        <v>32</v>
      </c>
      <c r="C27" s="4" t="s">
        <v>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3"/>
      <c r="P27" s="3"/>
      <c r="Q27" s="3"/>
      <c r="R27" s="3"/>
      <c r="S27" s="6">
        <f t="shared" si="0"/>
        <v>0</v>
      </c>
      <c r="T27">
        <v>1</v>
      </c>
      <c r="U27" s="4" t="s">
        <v>31</v>
      </c>
      <c r="V27" s="4" t="s">
        <v>32</v>
      </c>
      <c r="W27" s="4" t="s">
        <v>6</v>
      </c>
      <c r="X27" s="5">
        <f t="shared" si="3"/>
        <v>0</v>
      </c>
      <c r="Y27" s="5">
        <f t="shared" si="3"/>
        <v>0</v>
      </c>
      <c r="Z27" s="5">
        <f t="shared" si="3"/>
        <v>0</v>
      </c>
      <c r="AA27" s="5">
        <f t="shared" si="3"/>
        <v>0</v>
      </c>
      <c r="AB27" s="5">
        <f t="shared" si="3"/>
        <v>0</v>
      </c>
      <c r="AC27" s="5">
        <f t="shared" si="3"/>
        <v>0</v>
      </c>
      <c r="AD27" s="5">
        <f t="shared" si="3"/>
        <v>0</v>
      </c>
      <c r="AE27" s="5">
        <f t="shared" si="3"/>
        <v>0</v>
      </c>
      <c r="AF27" s="5">
        <f t="shared" si="3"/>
        <v>0</v>
      </c>
      <c r="AG27" s="5">
        <f t="shared" si="3"/>
        <v>0</v>
      </c>
      <c r="AH27" s="5">
        <f t="shared" si="3"/>
        <v>0</v>
      </c>
      <c r="AI27" s="5">
        <f t="shared" si="3"/>
        <v>0</v>
      </c>
      <c r="AJ27" s="5">
        <f t="shared" si="3"/>
        <v>0</v>
      </c>
      <c r="AK27" s="5">
        <f t="shared" si="3"/>
        <v>0</v>
      </c>
      <c r="AL27" s="5">
        <f t="shared" si="3"/>
        <v>0</v>
      </c>
      <c r="AM27" s="6">
        <f t="shared" si="2"/>
        <v>0</v>
      </c>
    </row>
    <row r="28" spans="1:39" x14ac:dyDescent="0.25">
      <c r="A28" s="4" t="s">
        <v>33</v>
      </c>
      <c r="B28" s="4" t="s">
        <v>34</v>
      </c>
      <c r="C28" s="4" t="s">
        <v>6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3"/>
      <c r="R28" s="3"/>
      <c r="S28" s="6">
        <f t="shared" si="0"/>
        <v>0</v>
      </c>
      <c r="T28">
        <v>1</v>
      </c>
      <c r="U28" s="4" t="s">
        <v>33</v>
      </c>
      <c r="V28" s="4" t="s">
        <v>34</v>
      </c>
      <c r="W28" s="4" t="s">
        <v>6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 t="shared" si="3"/>
        <v>0</v>
      </c>
      <c r="AK28" s="5">
        <f t="shared" si="3"/>
        <v>0</v>
      </c>
      <c r="AL28" s="5">
        <f t="shared" si="3"/>
        <v>0</v>
      </c>
      <c r="AM28" s="6">
        <f t="shared" si="2"/>
        <v>0</v>
      </c>
    </row>
    <row r="29" spans="1:39" x14ac:dyDescent="0.25">
      <c r="A29" s="4" t="s">
        <v>35</v>
      </c>
      <c r="B29" s="4" t="s">
        <v>36</v>
      </c>
      <c r="C29" s="4" t="s">
        <v>6</v>
      </c>
      <c r="D29" s="5"/>
      <c r="E29" s="6"/>
      <c r="F29" s="6"/>
      <c r="G29" s="6"/>
      <c r="H29" s="6"/>
      <c r="I29" s="6"/>
      <c r="J29" s="6"/>
      <c r="K29" s="6"/>
      <c r="L29" s="6"/>
      <c r="M29" s="6">
        <v>18</v>
      </c>
      <c r="N29" s="6"/>
      <c r="O29" s="3"/>
      <c r="P29" s="3"/>
      <c r="Q29" s="3"/>
      <c r="R29" s="3"/>
      <c r="S29" s="6">
        <f t="shared" si="0"/>
        <v>18</v>
      </c>
      <c r="T29">
        <v>1</v>
      </c>
      <c r="U29" s="4" t="s">
        <v>35</v>
      </c>
      <c r="V29" s="4" t="s">
        <v>36</v>
      </c>
      <c r="W29" s="4" t="s">
        <v>6</v>
      </c>
      <c r="X29" s="5">
        <f t="shared" si="3"/>
        <v>0</v>
      </c>
      <c r="Y29" s="5">
        <f t="shared" si="3"/>
        <v>0</v>
      </c>
      <c r="Z29" s="5">
        <f t="shared" si="3"/>
        <v>0</v>
      </c>
      <c r="AA29" s="5">
        <f t="shared" si="3"/>
        <v>0</v>
      </c>
      <c r="AB29" s="5">
        <f t="shared" si="3"/>
        <v>0</v>
      </c>
      <c r="AC29" s="5">
        <f t="shared" si="3"/>
        <v>0</v>
      </c>
      <c r="AD29" s="5">
        <f t="shared" si="3"/>
        <v>0</v>
      </c>
      <c r="AE29" s="5">
        <f t="shared" si="3"/>
        <v>0</v>
      </c>
      <c r="AF29" s="5">
        <f t="shared" si="3"/>
        <v>0</v>
      </c>
      <c r="AG29" s="5">
        <f t="shared" si="3"/>
        <v>0</v>
      </c>
      <c r="AH29" s="5">
        <f t="shared" si="3"/>
        <v>0</v>
      </c>
      <c r="AI29" s="5">
        <f t="shared" si="3"/>
        <v>0</v>
      </c>
      <c r="AJ29" s="5">
        <f t="shared" si="3"/>
        <v>0</v>
      </c>
      <c r="AK29" s="5">
        <f t="shared" si="3"/>
        <v>0</v>
      </c>
      <c r="AL29" s="5">
        <f t="shared" si="3"/>
        <v>0</v>
      </c>
      <c r="AM29" s="6">
        <f t="shared" si="2"/>
        <v>0</v>
      </c>
    </row>
    <row r="30" spans="1:39" x14ac:dyDescent="0.25">
      <c r="A30" s="4" t="s">
        <v>37</v>
      </c>
      <c r="B30" s="4" t="s">
        <v>38</v>
      </c>
      <c r="C30" s="4" t="s">
        <v>6</v>
      </c>
      <c r="D30" s="5"/>
      <c r="E30" s="6"/>
      <c r="F30" s="6"/>
      <c r="G30" s="6"/>
      <c r="H30" s="6"/>
      <c r="I30" s="6"/>
      <c r="J30" s="6"/>
      <c r="K30" s="6"/>
      <c r="L30" s="6"/>
      <c r="M30" s="6">
        <v>25.5</v>
      </c>
      <c r="N30" s="6"/>
      <c r="O30" s="3"/>
      <c r="P30" s="3"/>
      <c r="Q30" s="3"/>
      <c r="R30" s="3"/>
      <c r="S30" s="6">
        <f t="shared" si="0"/>
        <v>25.5</v>
      </c>
      <c r="T30">
        <v>1</v>
      </c>
      <c r="U30" s="4" t="s">
        <v>37</v>
      </c>
      <c r="V30" s="4" t="s">
        <v>38</v>
      </c>
      <c r="W30" s="4" t="s">
        <v>6</v>
      </c>
      <c r="X30" s="5">
        <f t="shared" si="3"/>
        <v>0</v>
      </c>
      <c r="Y30" s="5">
        <f t="shared" si="3"/>
        <v>0</v>
      </c>
      <c r="Z30" s="5">
        <f t="shared" si="3"/>
        <v>0</v>
      </c>
      <c r="AA30" s="5">
        <f t="shared" si="3"/>
        <v>0</v>
      </c>
      <c r="AB30" s="5">
        <f t="shared" si="3"/>
        <v>0</v>
      </c>
      <c r="AC30" s="5">
        <f t="shared" si="3"/>
        <v>0</v>
      </c>
      <c r="AD30" s="5">
        <f t="shared" si="3"/>
        <v>0</v>
      </c>
      <c r="AE30" s="5">
        <f t="shared" si="3"/>
        <v>0</v>
      </c>
      <c r="AF30" s="5">
        <f t="shared" si="3"/>
        <v>0</v>
      </c>
      <c r="AG30" s="5">
        <f t="shared" si="3"/>
        <v>40</v>
      </c>
      <c r="AH30" s="5">
        <f t="shared" si="3"/>
        <v>0</v>
      </c>
      <c r="AI30" s="5">
        <f t="shared" si="3"/>
        <v>0</v>
      </c>
      <c r="AJ30" s="5">
        <f t="shared" si="3"/>
        <v>0</v>
      </c>
      <c r="AK30" s="5">
        <f t="shared" si="3"/>
        <v>0</v>
      </c>
      <c r="AL30" s="5">
        <f t="shared" si="3"/>
        <v>0</v>
      </c>
      <c r="AM30" s="6">
        <f t="shared" si="2"/>
        <v>40</v>
      </c>
    </row>
    <row r="31" spans="1:39" x14ac:dyDescent="0.25">
      <c r="A31" s="4" t="s">
        <v>39</v>
      </c>
      <c r="B31" s="4" t="s">
        <v>40</v>
      </c>
      <c r="C31" s="4" t="s">
        <v>6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3"/>
      <c r="P31" s="3"/>
      <c r="Q31" s="3"/>
      <c r="R31" s="3"/>
      <c r="S31" s="6">
        <f t="shared" si="0"/>
        <v>0</v>
      </c>
      <c r="T31">
        <v>1</v>
      </c>
      <c r="U31" s="4" t="s">
        <v>39</v>
      </c>
      <c r="V31" s="4" t="s">
        <v>40</v>
      </c>
      <c r="W31" s="4" t="s">
        <v>6</v>
      </c>
      <c r="X31" s="5">
        <f t="shared" si="3"/>
        <v>0</v>
      </c>
      <c r="Y31" s="5">
        <f t="shared" si="3"/>
        <v>0</v>
      </c>
      <c r="Z31" s="5">
        <f t="shared" si="3"/>
        <v>0</v>
      </c>
      <c r="AA31" s="5">
        <f t="shared" si="3"/>
        <v>0</v>
      </c>
      <c r="AB31" s="5">
        <f t="shared" si="3"/>
        <v>0</v>
      </c>
      <c r="AC31" s="5">
        <f t="shared" si="3"/>
        <v>0</v>
      </c>
      <c r="AD31" s="5">
        <f t="shared" si="3"/>
        <v>0</v>
      </c>
      <c r="AE31" s="5">
        <f t="shared" si="3"/>
        <v>0</v>
      </c>
      <c r="AF31" s="5">
        <f t="shared" si="3"/>
        <v>0</v>
      </c>
      <c r="AG31" s="5">
        <f t="shared" si="3"/>
        <v>0</v>
      </c>
      <c r="AH31" s="5">
        <f t="shared" si="3"/>
        <v>0</v>
      </c>
      <c r="AI31" s="5">
        <f t="shared" si="3"/>
        <v>0</v>
      </c>
      <c r="AJ31" s="5">
        <f t="shared" si="3"/>
        <v>0</v>
      </c>
      <c r="AK31" s="5">
        <f t="shared" si="3"/>
        <v>0</v>
      </c>
      <c r="AL31" s="5">
        <f t="shared" si="3"/>
        <v>0</v>
      </c>
      <c r="AM31" s="6">
        <f t="shared" si="2"/>
        <v>0</v>
      </c>
    </row>
    <row r="32" spans="1:39" x14ac:dyDescent="0.25">
      <c r="A32" s="4" t="s">
        <v>41</v>
      </c>
      <c r="B32" s="4" t="s">
        <v>42</v>
      </c>
      <c r="C32" s="4" t="s">
        <v>6</v>
      </c>
      <c r="D32" s="5"/>
      <c r="E32" s="6"/>
      <c r="F32" s="6"/>
      <c r="G32" s="6"/>
      <c r="H32" s="6"/>
      <c r="I32" s="6"/>
      <c r="J32" s="6"/>
      <c r="K32" s="6"/>
      <c r="L32" s="6"/>
      <c r="M32" s="6">
        <v>16.5</v>
      </c>
      <c r="N32" s="6"/>
      <c r="O32" s="3"/>
      <c r="P32" s="3"/>
      <c r="Q32" s="3"/>
      <c r="R32" s="3"/>
      <c r="S32" s="6">
        <f t="shared" si="0"/>
        <v>16.5</v>
      </c>
      <c r="T32">
        <v>1</v>
      </c>
      <c r="U32" s="4" t="s">
        <v>41</v>
      </c>
      <c r="V32" s="4" t="s">
        <v>42</v>
      </c>
      <c r="W32" s="4" t="s">
        <v>6</v>
      </c>
      <c r="X32" s="5">
        <f t="shared" si="3"/>
        <v>0</v>
      </c>
      <c r="Y32" s="5">
        <f t="shared" si="3"/>
        <v>0</v>
      </c>
      <c r="Z32" s="5">
        <f t="shared" si="3"/>
        <v>0</v>
      </c>
      <c r="AA32" s="5">
        <f t="shared" si="3"/>
        <v>0</v>
      </c>
      <c r="AB32" s="5">
        <f t="shared" si="3"/>
        <v>0</v>
      </c>
      <c r="AC32" s="5">
        <f t="shared" si="3"/>
        <v>0</v>
      </c>
      <c r="AD32" s="5">
        <f t="shared" si="3"/>
        <v>0</v>
      </c>
      <c r="AE32" s="5">
        <f t="shared" si="3"/>
        <v>0</v>
      </c>
      <c r="AF32" s="5">
        <f t="shared" si="3"/>
        <v>0</v>
      </c>
      <c r="AG32" s="5">
        <f t="shared" si="3"/>
        <v>0</v>
      </c>
      <c r="AH32" s="5">
        <f t="shared" si="3"/>
        <v>0</v>
      </c>
      <c r="AI32" s="5">
        <f t="shared" si="3"/>
        <v>0</v>
      </c>
      <c r="AJ32" s="5">
        <f t="shared" si="3"/>
        <v>0</v>
      </c>
      <c r="AK32" s="5">
        <f t="shared" si="3"/>
        <v>0</v>
      </c>
      <c r="AL32" s="5">
        <f t="shared" si="3"/>
        <v>0</v>
      </c>
      <c r="AM32" s="6">
        <f t="shared" si="2"/>
        <v>0</v>
      </c>
    </row>
    <row r="33" spans="1:39" x14ac:dyDescent="0.25">
      <c r="A33" s="4" t="s">
        <v>43</v>
      </c>
      <c r="B33" s="4" t="s">
        <v>44</v>
      </c>
      <c r="C33" s="4" t="s">
        <v>6</v>
      </c>
      <c r="D33" s="5"/>
      <c r="E33" s="6"/>
      <c r="F33" s="6"/>
      <c r="G33" s="6"/>
      <c r="H33" s="6"/>
      <c r="I33" s="6"/>
      <c r="J33" s="6"/>
      <c r="K33" s="6"/>
      <c r="L33" s="6"/>
      <c r="M33" s="6">
        <v>13.5</v>
      </c>
      <c r="N33" s="6"/>
      <c r="O33" s="3"/>
      <c r="P33" s="3"/>
      <c r="Q33" s="3"/>
      <c r="R33" s="3"/>
      <c r="S33" s="6">
        <f t="shared" si="0"/>
        <v>13.5</v>
      </c>
      <c r="T33">
        <v>1</v>
      </c>
      <c r="U33" s="4" t="s">
        <v>43</v>
      </c>
      <c r="V33" s="4" t="s">
        <v>44</v>
      </c>
      <c r="W33" s="4" t="s">
        <v>6</v>
      </c>
      <c r="X33" s="5">
        <f t="shared" si="3"/>
        <v>0</v>
      </c>
      <c r="Y33" s="5">
        <f t="shared" si="3"/>
        <v>0</v>
      </c>
      <c r="Z33" s="5">
        <f t="shared" si="3"/>
        <v>0</v>
      </c>
      <c r="AA33" s="5">
        <f t="shared" si="3"/>
        <v>0</v>
      </c>
      <c r="AB33" s="5">
        <f t="shared" si="3"/>
        <v>0</v>
      </c>
      <c r="AC33" s="5">
        <f t="shared" si="3"/>
        <v>0</v>
      </c>
      <c r="AD33" s="5">
        <f t="shared" si="3"/>
        <v>0</v>
      </c>
      <c r="AE33" s="5">
        <f t="shared" si="3"/>
        <v>0</v>
      </c>
      <c r="AF33" s="5">
        <f t="shared" si="3"/>
        <v>0</v>
      </c>
      <c r="AG33" s="5">
        <f t="shared" si="3"/>
        <v>0</v>
      </c>
      <c r="AH33" s="5">
        <f t="shared" si="3"/>
        <v>0</v>
      </c>
      <c r="AI33" s="5">
        <f t="shared" si="3"/>
        <v>0</v>
      </c>
      <c r="AJ33" s="5">
        <f t="shared" si="3"/>
        <v>0</v>
      </c>
      <c r="AK33" s="5">
        <f t="shared" si="3"/>
        <v>0</v>
      </c>
      <c r="AL33" s="5">
        <f t="shared" si="3"/>
        <v>0</v>
      </c>
      <c r="AM33" s="6">
        <f t="shared" si="2"/>
        <v>0</v>
      </c>
    </row>
    <row r="34" spans="1:39" x14ac:dyDescent="0.25">
      <c r="A34" s="4" t="s">
        <v>45</v>
      </c>
      <c r="B34" s="4" t="s">
        <v>46</v>
      </c>
      <c r="C34" s="4" t="s">
        <v>6</v>
      </c>
      <c r="D34" s="5"/>
      <c r="E34" s="6"/>
      <c r="F34" s="6"/>
      <c r="G34" s="6"/>
      <c r="H34" s="6"/>
      <c r="I34" s="6"/>
      <c r="J34" s="6"/>
      <c r="K34" s="6"/>
      <c r="L34" s="6"/>
      <c r="M34" s="6">
        <v>16.5</v>
      </c>
      <c r="N34" s="6"/>
      <c r="O34" s="3"/>
      <c r="P34" s="3"/>
      <c r="Q34" s="3"/>
      <c r="R34" s="3"/>
      <c r="S34" s="6">
        <f t="shared" si="0"/>
        <v>16.5</v>
      </c>
      <c r="T34">
        <v>1</v>
      </c>
      <c r="U34" s="4" t="s">
        <v>45</v>
      </c>
      <c r="V34" s="4" t="s">
        <v>46</v>
      </c>
      <c r="W34" s="4" t="s">
        <v>6</v>
      </c>
      <c r="X34" s="5">
        <f t="shared" si="3"/>
        <v>0</v>
      </c>
      <c r="Y34" s="5">
        <f t="shared" si="3"/>
        <v>0</v>
      </c>
      <c r="Z34" s="5">
        <f t="shared" si="3"/>
        <v>0</v>
      </c>
      <c r="AA34" s="5">
        <f t="shared" si="3"/>
        <v>0</v>
      </c>
      <c r="AB34" s="5">
        <f t="shared" si="3"/>
        <v>0</v>
      </c>
      <c r="AC34" s="5">
        <f t="shared" si="3"/>
        <v>0</v>
      </c>
      <c r="AD34" s="5">
        <f t="shared" si="3"/>
        <v>0</v>
      </c>
      <c r="AE34" s="5">
        <f t="shared" si="3"/>
        <v>0</v>
      </c>
      <c r="AF34" s="5">
        <f t="shared" si="3"/>
        <v>0</v>
      </c>
      <c r="AG34" s="5">
        <f t="shared" si="3"/>
        <v>0</v>
      </c>
      <c r="AH34" s="5">
        <f t="shared" si="3"/>
        <v>0</v>
      </c>
      <c r="AI34" s="5">
        <f t="shared" si="3"/>
        <v>0</v>
      </c>
      <c r="AJ34" s="5">
        <f t="shared" si="3"/>
        <v>0</v>
      </c>
      <c r="AK34" s="5">
        <f t="shared" si="3"/>
        <v>0</v>
      </c>
      <c r="AL34" s="5">
        <f t="shared" si="3"/>
        <v>0</v>
      </c>
      <c r="AM34" s="6">
        <f t="shared" si="2"/>
        <v>0</v>
      </c>
    </row>
    <row r="35" spans="1:39" x14ac:dyDescent="0.25">
      <c r="A35" s="4" t="s">
        <v>47</v>
      </c>
      <c r="B35" s="4" t="s">
        <v>48</v>
      </c>
      <c r="C35" s="4" t="s">
        <v>6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3"/>
      <c r="P35" s="3"/>
      <c r="Q35" s="3"/>
      <c r="R35" s="3"/>
      <c r="S35" s="6">
        <f t="shared" si="0"/>
        <v>0</v>
      </c>
      <c r="T35">
        <v>1</v>
      </c>
      <c r="U35" s="4" t="s">
        <v>47</v>
      </c>
      <c r="V35" s="4" t="s">
        <v>48</v>
      </c>
      <c r="W35" s="4" t="s">
        <v>6</v>
      </c>
      <c r="X35" s="5">
        <f t="shared" si="3"/>
        <v>0</v>
      </c>
      <c r="Y35" s="5">
        <f t="shared" si="3"/>
        <v>0</v>
      </c>
      <c r="Z35" s="5">
        <f t="shared" si="3"/>
        <v>0</v>
      </c>
      <c r="AA35" s="5">
        <f t="shared" si="3"/>
        <v>0</v>
      </c>
      <c r="AB35" s="5">
        <f t="shared" si="3"/>
        <v>0</v>
      </c>
      <c r="AC35" s="5">
        <f t="shared" si="3"/>
        <v>0</v>
      </c>
      <c r="AD35" s="5">
        <f t="shared" si="3"/>
        <v>0</v>
      </c>
      <c r="AE35" s="5">
        <f t="shared" si="3"/>
        <v>0</v>
      </c>
      <c r="AF35" s="5">
        <f t="shared" si="3"/>
        <v>0</v>
      </c>
      <c r="AG35" s="5">
        <f t="shared" si="3"/>
        <v>0</v>
      </c>
      <c r="AH35" s="5">
        <f t="shared" si="3"/>
        <v>0</v>
      </c>
      <c r="AI35" s="5">
        <f t="shared" si="3"/>
        <v>0</v>
      </c>
      <c r="AJ35" s="5">
        <f t="shared" si="3"/>
        <v>0</v>
      </c>
      <c r="AK35" s="5">
        <f t="shared" si="3"/>
        <v>0</v>
      </c>
      <c r="AL35" s="5">
        <f t="shared" si="3"/>
        <v>0</v>
      </c>
      <c r="AM35" s="6">
        <f t="shared" si="2"/>
        <v>0</v>
      </c>
    </row>
    <row r="36" spans="1:39" x14ac:dyDescent="0.25">
      <c r="A36" s="4" t="s">
        <v>49</v>
      </c>
      <c r="B36" s="4" t="s">
        <v>50</v>
      </c>
      <c r="C36" s="4" t="s">
        <v>6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3"/>
      <c r="P36" s="3"/>
      <c r="Q36" s="3"/>
      <c r="R36" s="3"/>
      <c r="S36" s="6">
        <f t="shared" si="0"/>
        <v>0</v>
      </c>
      <c r="T36">
        <v>1</v>
      </c>
      <c r="U36" s="4" t="s">
        <v>49</v>
      </c>
      <c r="V36" s="4" t="s">
        <v>50</v>
      </c>
      <c r="W36" s="4" t="s">
        <v>6</v>
      </c>
      <c r="X36" s="5">
        <f t="shared" ref="X36:AL52" si="4">IF(D36&lt;20,0,IF(D36&lt;25,20,IF(D36&lt;30,40,IF(D36&lt;=40,60+(D36-30)*3,60+30+(D36-40)*4))))</f>
        <v>0</v>
      </c>
      <c r="Y36" s="5">
        <f t="shared" si="4"/>
        <v>0</v>
      </c>
      <c r="Z36" s="5">
        <f t="shared" si="4"/>
        <v>0</v>
      </c>
      <c r="AA36" s="5">
        <f t="shared" si="4"/>
        <v>0</v>
      </c>
      <c r="AB36" s="5">
        <f t="shared" si="4"/>
        <v>0</v>
      </c>
      <c r="AC36" s="5">
        <f t="shared" si="4"/>
        <v>0</v>
      </c>
      <c r="AD36" s="5">
        <f t="shared" si="4"/>
        <v>0</v>
      </c>
      <c r="AE36" s="5">
        <f t="shared" si="4"/>
        <v>0</v>
      </c>
      <c r="AF36" s="5">
        <f t="shared" si="4"/>
        <v>0</v>
      </c>
      <c r="AG36" s="5">
        <f t="shared" si="4"/>
        <v>0</v>
      </c>
      <c r="AH36" s="5">
        <f t="shared" si="4"/>
        <v>0</v>
      </c>
      <c r="AI36" s="5">
        <f t="shared" si="4"/>
        <v>0</v>
      </c>
      <c r="AJ36" s="5">
        <f t="shared" si="4"/>
        <v>0</v>
      </c>
      <c r="AK36" s="5">
        <f t="shared" si="4"/>
        <v>0</v>
      </c>
      <c r="AL36" s="5">
        <f t="shared" si="4"/>
        <v>0</v>
      </c>
      <c r="AM36" s="6">
        <f t="shared" si="2"/>
        <v>0</v>
      </c>
    </row>
    <row r="37" spans="1:39" x14ac:dyDescent="0.25">
      <c r="A37" s="4" t="s">
        <v>51</v>
      </c>
      <c r="B37" s="4" t="s">
        <v>52</v>
      </c>
      <c r="C37" s="4" t="s">
        <v>6</v>
      </c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3"/>
      <c r="P37" s="3"/>
      <c r="Q37" s="3"/>
      <c r="R37" s="3"/>
      <c r="S37" s="6">
        <f t="shared" si="0"/>
        <v>0</v>
      </c>
      <c r="T37">
        <v>1</v>
      </c>
      <c r="U37" s="4" t="s">
        <v>51</v>
      </c>
      <c r="V37" s="4" t="s">
        <v>52</v>
      </c>
      <c r="W37" s="4" t="s">
        <v>6</v>
      </c>
      <c r="X37" s="5">
        <f t="shared" si="4"/>
        <v>0</v>
      </c>
      <c r="Y37" s="5">
        <f t="shared" si="4"/>
        <v>0</v>
      </c>
      <c r="Z37" s="5">
        <f t="shared" si="4"/>
        <v>0</v>
      </c>
      <c r="AA37" s="5">
        <f t="shared" si="4"/>
        <v>0</v>
      </c>
      <c r="AB37" s="5">
        <f t="shared" si="4"/>
        <v>0</v>
      </c>
      <c r="AC37" s="5">
        <f t="shared" si="4"/>
        <v>0</v>
      </c>
      <c r="AD37" s="5">
        <f t="shared" si="4"/>
        <v>0</v>
      </c>
      <c r="AE37" s="5">
        <f t="shared" si="4"/>
        <v>0</v>
      </c>
      <c r="AF37" s="5">
        <f t="shared" si="4"/>
        <v>0</v>
      </c>
      <c r="AG37" s="5">
        <f t="shared" si="4"/>
        <v>0</v>
      </c>
      <c r="AH37" s="5">
        <f t="shared" si="4"/>
        <v>0</v>
      </c>
      <c r="AI37" s="5">
        <f t="shared" si="4"/>
        <v>0</v>
      </c>
      <c r="AJ37" s="5">
        <f t="shared" si="4"/>
        <v>0</v>
      </c>
      <c r="AK37" s="5">
        <f t="shared" si="4"/>
        <v>0</v>
      </c>
      <c r="AL37" s="5">
        <f t="shared" si="4"/>
        <v>0</v>
      </c>
      <c r="AM37" s="6">
        <f t="shared" si="2"/>
        <v>0</v>
      </c>
    </row>
    <row r="38" spans="1:39" x14ac:dyDescent="0.25">
      <c r="A38" s="4" t="s">
        <v>53</v>
      </c>
      <c r="B38" s="4" t="s">
        <v>54</v>
      </c>
      <c r="C38" s="4" t="s">
        <v>6</v>
      </c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3"/>
      <c r="P38" s="3"/>
      <c r="Q38" s="3"/>
      <c r="R38" s="3"/>
      <c r="S38" s="6">
        <f t="shared" si="0"/>
        <v>0</v>
      </c>
      <c r="T38">
        <v>1</v>
      </c>
      <c r="U38" s="4" t="s">
        <v>53</v>
      </c>
      <c r="V38" s="4" t="s">
        <v>54</v>
      </c>
      <c r="W38" s="4" t="s">
        <v>6</v>
      </c>
      <c r="X38" s="5">
        <f t="shared" si="4"/>
        <v>0</v>
      </c>
      <c r="Y38" s="5">
        <f t="shared" si="4"/>
        <v>0</v>
      </c>
      <c r="Z38" s="5">
        <f t="shared" si="4"/>
        <v>0</v>
      </c>
      <c r="AA38" s="5">
        <f t="shared" si="4"/>
        <v>0</v>
      </c>
      <c r="AB38" s="5">
        <f t="shared" si="4"/>
        <v>0</v>
      </c>
      <c r="AC38" s="5">
        <f t="shared" si="4"/>
        <v>0</v>
      </c>
      <c r="AD38" s="5">
        <f t="shared" si="4"/>
        <v>0</v>
      </c>
      <c r="AE38" s="5">
        <f t="shared" si="4"/>
        <v>0</v>
      </c>
      <c r="AF38" s="5">
        <f t="shared" si="4"/>
        <v>0</v>
      </c>
      <c r="AG38" s="5">
        <f t="shared" si="4"/>
        <v>0</v>
      </c>
      <c r="AH38" s="5">
        <f t="shared" si="4"/>
        <v>0</v>
      </c>
      <c r="AI38" s="5">
        <f t="shared" si="4"/>
        <v>0</v>
      </c>
      <c r="AJ38" s="5">
        <f t="shared" si="4"/>
        <v>0</v>
      </c>
      <c r="AK38" s="5">
        <f t="shared" si="4"/>
        <v>0</v>
      </c>
      <c r="AL38" s="5">
        <f t="shared" si="4"/>
        <v>0</v>
      </c>
      <c r="AM38" s="6">
        <f t="shared" si="2"/>
        <v>0</v>
      </c>
    </row>
    <row r="39" spans="1:39" x14ac:dyDescent="0.25">
      <c r="A39" s="4" t="s">
        <v>55</v>
      </c>
      <c r="B39" s="4" t="s">
        <v>56</v>
      </c>
      <c r="C39" s="4" t="s">
        <v>6</v>
      </c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3"/>
      <c r="P39" s="3"/>
      <c r="Q39" s="3"/>
      <c r="R39" s="3"/>
      <c r="S39" s="6">
        <f t="shared" si="0"/>
        <v>0</v>
      </c>
      <c r="T39">
        <v>1</v>
      </c>
      <c r="U39" s="4" t="s">
        <v>55</v>
      </c>
      <c r="V39" s="4" t="s">
        <v>56</v>
      </c>
      <c r="W39" s="4" t="s">
        <v>6</v>
      </c>
      <c r="X39" s="5">
        <f t="shared" si="4"/>
        <v>0</v>
      </c>
      <c r="Y39" s="5">
        <f t="shared" si="4"/>
        <v>0</v>
      </c>
      <c r="Z39" s="5">
        <f t="shared" si="4"/>
        <v>0</v>
      </c>
      <c r="AA39" s="5">
        <f t="shared" si="4"/>
        <v>0</v>
      </c>
      <c r="AB39" s="5">
        <f t="shared" si="4"/>
        <v>0</v>
      </c>
      <c r="AC39" s="5">
        <f t="shared" si="4"/>
        <v>0</v>
      </c>
      <c r="AD39" s="5">
        <f t="shared" si="4"/>
        <v>0</v>
      </c>
      <c r="AE39" s="5">
        <f t="shared" si="4"/>
        <v>0</v>
      </c>
      <c r="AF39" s="5">
        <f t="shared" si="4"/>
        <v>0</v>
      </c>
      <c r="AG39" s="5">
        <f t="shared" si="4"/>
        <v>0</v>
      </c>
      <c r="AH39" s="5">
        <f t="shared" si="4"/>
        <v>0</v>
      </c>
      <c r="AI39" s="5">
        <f t="shared" si="4"/>
        <v>0</v>
      </c>
      <c r="AJ39" s="5">
        <f t="shared" si="4"/>
        <v>0</v>
      </c>
      <c r="AK39" s="5">
        <f t="shared" si="4"/>
        <v>0</v>
      </c>
      <c r="AL39" s="5">
        <f t="shared" si="4"/>
        <v>0</v>
      </c>
      <c r="AM39" s="6">
        <f t="shared" si="2"/>
        <v>0</v>
      </c>
    </row>
    <row r="40" spans="1:39" x14ac:dyDescent="0.25">
      <c r="A40" s="4" t="s">
        <v>57</v>
      </c>
      <c r="B40" s="4" t="s">
        <v>58</v>
      </c>
      <c r="C40" s="4" t="s">
        <v>6</v>
      </c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3"/>
      <c r="P40" s="3"/>
      <c r="Q40" s="3"/>
      <c r="R40" s="3"/>
      <c r="S40" s="6">
        <f t="shared" si="0"/>
        <v>0</v>
      </c>
      <c r="T40">
        <v>1</v>
      </c>
      <c r="U40" s="4" t="s">
        <v>57</v>
      </c>
      <c r="V40" s="4" t="s">
        <v>58</v>
      </c>
      <c r="W40" s="4" t="s">
        <v>6</v>
      </c>
      <c r="X40" s="5">
        <f t="shared" si="4"/>
        <v>0</v>
      </c>
      <c r="Y40" s="5">
        <f t="shared" si="4"/>
        <v>0</v>
      </c>
      <c r="Z40" s="5">
        <f t="shared" si="4"/>
        <v>0</v>
      </c>
      <c r="AA40" s="5">
        <f t="shared" si="4"/>
        <v>0</v>
      </c>
      <c r="AB40" s="5">
        <f t="shared" si="4"/>
        <v>0</v>
      </c>
      <c r="AC40" s="5">
        <f t="shared" si="4"/>
        <v>0</v>
      </c>
      <c r="AD40" s="5">
        <f t="shared" si="4"/>
        <v>0</v>
      </c>
      <c r="AE40" s="5">
        <f t="shared" si="4"/>
        <v>0</v>
      </c>
      <c r="AF40" s="5">
        <f t="shared" si="4"/>
        <v>0</v>
      </c>
      <c r="AG40" s="5">
        <f t="shared" si="4"/>
        <v>0</v>
      </c>
      <c r="AH40" s="5">
        <f t="shared" si="4"/>
        <v>0</v>
      </c>
      <c r="AI40" s="5">
        <f t="shared" si="4"/>
        <v>0</v>
      </c>
      <c r="AJ40" s="5">
        <f t="shared" si="4"/>
        <v>0</v>
      </c>
      <c r="AK40" s="5">
        <f t="shared" si="4"/>
        <v>0</v>
      </c>
      <c r="AL40" s="5">
        <f t="shared" si="4"/>
        <v>0</v>
      </c>
      <c r="AM40" s="6">
        <f t="shared" si="2"/>
        <v>0</v>
      </c>
    </row>
    <row r="41" spans="1:39" x14ac:dyDescent="0.25">
      <c r="A41" s="4" t="s">
        <v>59</v>
      </c>
      <c r="B41" s="4" t="s">
        <v>60</v>
      </c>
      <c r="C41" s="4" t="s">
        <v>6</v>
      </c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3"/>
      <c r="P41" s="3"/>
      <c r="Q41" s="3"/>
      <c r="R41" s="3"/>
      <c r="S41" s="6">
        <f t="shared" si="0"/>
        <v>0</v>
      </c>
      <c r="T41">
        <v>1</v>
      </c>
      <c r="U41" s="4" t="s">
        <v>59</v>
      </c>
      <c r="V41" s="4" t="s">
        <v>60</v>
      </c>
      <c r="W41" s="4" t="s">
        <v>6</v>
      </c>
      <c r="X41" s="5">
        <f t="shared" si="4"/>
        <v>0</v>
      </c>
      <c r="Y41" s="5">
        <f t="shared" si="4"/>
        <v>0</v>
      </c>
      <c r="Z41" s="5">
        <f t="shared" si="4"/>
        <v>0</v>
      </c>
      <c r="AA41" s="5">
        <f t="shared" si="4"/>
        <v>0</v>
      </c>
      <c r="AB41" s="5">
        <f t="shared" si="4"/>
        <v>0</v>
      </c>
      <c r="AC41" s="5">
        <f t="shared" si="4"/>
        <v>0</v>
      </c>
      <c r="AD41" s="5">
        <f t="shared" si="4"/>
        <v>0</v>
      </c>
      <c r="AE41" s="5">
        <f t="shared" si="4"/>
        <v>0</v>
      </c>
      <c r="AF41" s="5">
        <f t="shared" si="4"/>
        <v>0</v>
      </c>
      <c r="AG41" s="5">
        <f t="shared" si="4"/>
        <v>0</v>
      </c>
      <c r="AH41" s="5">
        <f t="shared" si="4"/>
        <v>0</v>
      </c>
      <c r="AI41" s="5">
        <f t="shared" si="4"/>
        <v>0</v>
      </c>
      <c r="AJ41" s="5">
        <f t="shared" si="4"/>
        <v>0</v>
      </c>
      <c r="AK41" s="5">
        <f t="shared" si="4"/>
        <v>0</v>
      </c>
      <c r="AL41" s="5">
        <f t="shared" si="4"/>
        <v>0</v>
      </c>
      <c r="AM41" s="6">
        <f t="shared" si="2"/>
        <v>0</v>
      </c>
    </row>
    <row r="42" spans="1:39" x14ac:dyDescent="0.25">
      <c r="A42" s="4" t="s">
        <v>61</v>
      </c>
      <c r="B42" s="4" t="s">
        <v>62</v>
      </c>
      <c r="C42" s="4" t="s">
        <v>6</v>
      </c>
      <c r="D42" s="5"/>
      <c r="E42" s="6"/>
      <c r="F42" s="6"/>
      <c r="G42" s="6"/>
      <c r="H42" s="6"/>
      <c r="I42" s="6"/>
      <c r="J42" s="6"/>
      <c r="K42" s="6"/>
      <c r="L42" s="6"/>
      <c r="M42" s="6">
        <v>18</v>
      </c>
      <c r="N42" s="6"/>
      <c r="O42" s="3"/>
      <c r="P42" s="3"/>
      <c r="Q42" s="3"/>
      <c r="R42" s="3"/>
      <c r="S42" s="6">
        <f t="shared" si="0"/>
        <v>18</v>
      </c>
      <c r="T42">
        <v>1</v>
      </c>
      <c r="U42" s="4" t="s">
        <v>61</v>
      </c>
      <c r="V42" s="4" t="s">
        <v>62</v>
      </c>
      <c r="W42" s="4" t="s">
        <v>6</v>
      </c>
      <c r="X42" s="5">
        <f t="shared" si="4"/>
        <v>0</v>
      </c>
      <c r="Y42" s="5">
        <f t="shared" si="4"/>
        <v>0</v>
      </c>
      <c r="Z42" s="5">
        <f t="shared" si="4"/>
        <v>0</v>
      </c>
      <c r="AA42" s="5">
        <f t="shared" si="4"/>
        <v>0</v>
      </c>
      <c r="AB42" s="5">
        <f t="shared" si="4"/>
        <v>0</v>
      </c>
      <c r="AC42" s="5">
        <f t="shared" si="4"/>
        <v>0</v>
      </c>
      <c r="AD42" s="5">
        <f t="shared" si="4"/>
        <v>0</v>
      </c>
      <c r="AE42" s="5">
        <f t="shared" si="4"/>
        <v>0</v>
      </c>
      <c r="AF42" s="5">
        <f t="shared" si="4"/>
        <v>0</v>
      </c>
      <c r="AG42" s="5">
        <f t="shared" si="4"/>
        <v>0</v>
      </c>
      <c r="AH42" s="5">
        <f t="shared" si="4"/>
        <v>0</v>
      </c>
      <c r="AI42" s="5">
        <f t="shared" si="4"/>
        <v>0</v>
      </c>
      <c r="AJ42" s="5">
        <f t="shared" si="4"/>
        <v>0</v>
      </c>
      <c r="AK42" s="5">
        <f t="shared" si="4"/>
        <v>0</v>
      </c>
      <c r="AL42" s="5">
        <f t="shared" si="4"/>
        <v>0</v>
      </c>
      <c r="AM42" s="6">
        <f t="shared" si="2"/>
        <v>0</v>
      </c>
    </row>
    <row r="43" spans="1:39" x14ac:dyDescent="0.25">
      <c r="A43" s="4" t="s">
        <v>63</v>
      </c>
      <c r="B43" s="4" t="s">
        <v>64</v>
      </c>
      <c r="C43" s="4" t="s">
        <v>6</v>
      </c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3"/>
      <c r="P43" s="3"/>
      <c r="Q43" s="3"/>
      <c r="R43" s="3"/>
      <c r="S43" s="6">
        <f t="shared" si="0"/>
        <v>0</v>
      </c>
      <c r="T43">
        <v>1</v>
      </c>
      <c r="U43" s="4" t="s">
        <v>63</v>
      </c>
      <c r="V43" s="4" t="s">
        <v>64</v>
      </c>
      <c r="W43" s="4" t="s">
        <v>6</v>
      </c>
      <c r="X43" s="5">
        <f t="shared" si="4"/>
        <v>0</v>
      </c>
      <c r="Y43" s="5">
        <f t="shared" si="4"/>
        <v>0</v>
      </c>
      <c r="Z43" s="5">
        <f t="shared" si="4"/>
        <v>0</v>
      </c>
      <c r="AA43" s="5">
        <f t="shared" si="4"/>
        <v>0</v>
      </c>
      <c r="AB43" s="5">
        <f t="shared" si="4"/>
        <v>0</v>
      </c>
      <c r="AC43" s="5">
        <f t="shared" si="4"/>
        <v>0</v>
      </c>
      <c r="AD43" s="5">
        <f t="shared" si="4"/>
        <v>0</v>
      </c>
      <c r="AE43" s="5">
        <f t="shared" si="4"/>
        <v>0</v>
      </c>
      <c r="AF43" s="5">
        <f t="shared" si="4"/>
        <v>0</v>
      </c>
      <c r="AG43" s="5">
        <f t="shared" si="4"/>
        <v>0</v>
      </c>
      <c r="AH43" s="5">
        <f t="shared" si="4"/>
        <v>0</v>
      </c>
      <c r="AI43" s="5">
        <f t="shared" si="4"/>
        <v>0</v>
      </c>
      <c r="AJ43" s="5">
        <f t="shared" si="4"/>
        <v>0</v>
      </c>
      <c r="AK43" s="5">
        <f t="shared" si="4"/>
        <v>0</v>
      </c>
      <c r="AL43" s="5">
        <f t="shared" si="4"/>
        <v>0</v>
      </c>
      <c r="AM43" s="6">
        <f t="shared" si="2"/>
        <v>0</v>
      </c>
    </row>
    <row r="44" spans="1:39" x14ac:dyDescent="0.25">
      <c r="A44" s="4" t="s">
        <v>65</v>
      </c>
      <c r="B44" s="4" t="s">
        <v>66</v>
      </c>
      <c r="C44" s="4" t="s">
        <v>6</v>
      </c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3"/>
      <c r="P44" s="3"/>
      <c r="Q44" s="3"/>
      <c r="R44" s="3"/>
      <c r="S44" s="6">
        <f t="shared" si="0"/>
        <v>0</v>
      </c>
      <c r="T44">
        <v>1</v>
      </c>
      <c r="U44" s="4" t="s">
        <v>65</v>
      </c>
      <c r="V44" s="4" t="s">
        <v>66</v>
      </c>
      <c r="W44" s="4" t="s">
        <v>6</v>
      </c>
      <c r="X44" s="5">
        <f t="shared" si="4"/>
        <v>0</v>
      </c>
      <c r="Y44" s="5">
        <f t="shared" si="4"/>
        <v>0</v>
      </c>
      <c r="Z44" s="5">
        <f t="shared" si="4"/>
        <v>0</v>
      </c>
      <c r="AA44" s="5">
        <f t="shared" si="4"/>
        <v>0</v>
      </c>
      <c r="AB44" s="5">
        <f t="shared" si="4"/>
        <v>0</v>
      </c>
      <c r="AC44" s="5">
        <f t="shared" si="4"/>
        <v>0</v>
      </c>
      <c r="AD44" s="5">
        <f t="shared" si="4"/>
        <v>0</v>
      </c>
      <c r="AE44" s="5">
        <f t="shared" si="4"/>
        <v>0</v>
      </c>
      <c r="AF44" s="5">
        <f t="shared" si="4"/>
        <v>0</v>
      </c>
      <c r="AG44" s="5">
        <f t="shared" si="4"/>
        <v>0</v>
      </c>
      <c r="AH44" s="5">
        <f t="shared" si="4"/>
        <v>0</v>
      </c>
      <c r="AI44" s="5">
        <f t="shared" si="4"/>
        <v>0</v>
      </c>
      <c r="AJ44" s="5">
        <f t="shared" si="4"/>
        <v>0</v>
      </c>
      <c r="AK44" s="5">
        <f t="shared" si="4"/>
        <v>0</v>
      </c>
      <c r="AL44" s="5">
        <f t="shared" si="4"/>
        <v>0</v>
      </c>
      <c r="AM44" s="6">
        <f t="shared" si="2"/>
        <v>0</v>
      </c>
    </row>
    <row r="45" spans="1:39" x14ac:dyDescent="0.25">
      <c r="A45" s="4" t="s">
        <v>67</v>
      </c>
      <c r="B45" s="4" t="s">
        <v>68</v>
      </c>
      <c r="C45" s="4" t="s">
        <v>6</v>
      </c>
      <c r="D45" s="5"/>
      <c r="E45" s="6"/>
      <c r="F45" s="6"/>
      <c r="G45" s="6"/>
      <c r="H45" s="6"/>
      <c r="I45" s="6"/>
      <c r="J45" s="6"/>
      <c r="K45" s="6"/>
      <c r="L45" s="6"/>
      <c r="M45" s="6">
        <v>15</v>
      </c>
      <c r="N45" s="6"/>
      <c r="O45" s="3"/>
      <c r="P45" s="3"/>
      <c r="Q45" s="3"/>
      <c r="R45" s="3"/>
      <c r="S45" s="6">
        <f t="shared" si="0"/>
        <v>15</v>
      </c>
      <c r="T45">
        <v>1</v>
      </c>
      <c r="U45" s="4" t="s">
        <v>67</v>
      </c>
      <c r="V45" s="4" t="s">
        <v>68</v>
      </c>
      <c r="W45" s="4" t="s">
        <v>6</v>
      </c>
      <c r="X45" s="5">
        <f t="shared" si="4"/>
        <v>0</v>
      </c>
      <c r="Y45" s="5">
        <f t="shared" si="4"/>
        <v>0</v>
      </c>
      <c r="Z45" s="5">
        <f t="shared" si="4"/>
        <v>0</v>
      </c>
      <c r="AA45" s="5">
        <f t="shared" si="4"/>
        <v>0</v>
      </c>
      <c r="AB45" s="5">
        <f t="shared" si="4"/>
        <v>0</v>
      </c>
      <c r="AC45" s="5">
        <f t="shared" si="4"/>
        <v>0</v>
      </c>
      <c r="AD45" s="5">
        <f t="shared" si="4"/>
        <v>0</v>
      </c>
      <c r="AE45" s="5">
        <f t="shared" si="4"/>
        <v>0</v>
      </c>
      <c r="AF45" s="5">
        <f t="shared" si="4"/>
        <v>0</v>
      </c>
      <c r="AG45" s="5">
        <f t="shared" si="4"/>
        <v>0</v>
      </c>
      <c r="AH45" s="5">
        <f t="shared" si="4"/>
        <v>0</v>
      </c>
      <c r="AI45" s="5">
        <f t="shared" si="4"/>
        <v>0</v>
      </c>
      <c r="AJ45" s="5">
        <f t="shared" si="4"/>
        <v>0</v>
      </c>
      <c r="AK45" s="5">
        <f t="shared" si="4"/>
        <v>0</v>
      </c>
      <c r="AL45" s="5">
        <f t="shared" si="4"/>
        <v>0</v>
      </c>
      <c r="AM45" s="6">
        <f t="shared" si="2"/>
        <v>0</v>
      </c>
    </row>
    <row r="46" spans="1:39" x14ac:dyDescent="0.25">
      <c r="A46" s="4" t="s">
        <v>69</v>
      </c>
      <c r="B46" s="4" t="s">
        <v>70</v>
      </c>
      <c r="C46" s="4" t="s">
        <v>6</v>
      </c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3"/>
      <c r="P46" s="3"/>
      <c r="Q46" s="3"/>
      <c r="R46" s="3"/>
      <c r="S46" s="6">
        <f t="shared" si="0"/>
        <v>0</v>
      </c>
      <c r="T46">
        <v>1</v>
      </c>
      <c r="U46" s="4" t="s">
        <v>69</v>
      </c>
      <c r="V46" s="4" t="s">
        <v>70</v>
      </c>
      <c r="W46" s="4" t="s">
        <v>6</v>
      </c>
      <c r="X46" s="5">
        <f t="shared" si="4"/>
        <v>0</v>
      </c>
      <c r="Y46" s="5">
        <f t="shared" si="4"/>
        <v>0</v>
      </c>
      <c r="Z46" s="5">
        <f t="shared" si="4"/>
        <v>0</v>
      </c>
      <c r="AA46" s="5">
        <f t="shared" si="4"/>
        <v>0</v>
      </c>
      <c r="AB46" s="5">
        <f t="shared" si="4"/>
        <v>0</v>
      </c>
      <c r="AC46" s="5">
        <f t="shared" si="4"/>
        <v>0</v>
      </c>
      <c r="AD46" s="5">
        <f t="shared" si="4"/>
        <v>0</v>
      </c>
      <c r="AE46" s="5">
        <f t="shared" si="4"/>
        <v>0</v>
      </c>
      <c r="AF46" s="5">
        <f t="shared" si="4"/>
        <v>0</v>
      </c>
      <c r="AG46" s="5">
        <f t="shared" si="4"/>
        <v>0</v>
      </c>
      <c r="AH46" s="5">
        <f t="shared" si="4"/>
        <v>0</v>
      </c>
      <c r="AI46" s="5">
        <f t="shared" si="4"/>
        <v>0</v>
      </c>
      <c r="AJ46" s="5">
        <f t="shared" si="4"/>
        <v>0</v>
      </c>
      <c r="AK46" s="5">
        <f t="shared" si="4"/>
        <v>0</v>
      </c>
      <c r="AL46" s="5">
        <f t="shared" si="4"/>
        <v>0</v>
      </c>
      <c r="AM46" s="6">
        <f t="shared" si="2"/>
        <v>0</v>
      </c>
    </row>
    <row r="47" spans="1:39" x14ac:dyDescent="0.25">
      <c r="A47" s="4" t="s">
        <v>71</v>
      </c>
      <c r="B47" s="4" t="s">
        <v>72</v>
      </c>
      <c r="C47" s="4" t="s">
        <v>6</v>
      </c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3"/>
      <c r="P47" s="3"/>
      <c r="Q47" s="3"/>
      <c r="R47" s="3"/>
      <c r="S47" s="6">
        <f t="shared" si="0"/>
        <v>0</v>
      </c>
      <c r="T47">
        <v>1</v>
      </c>
      <c r="U47" s="4" t="s">
        <v>71</v>
      </c>
      <c r="V47" s="4" t="s">
        <v>72</v>
      </c>
      <c r="W47" s="4" t="s">
        <v>6</v>
      </c>
      <c r="X47" s="5">
        <f t="shared" si="4"/>
        <v>0</v>
      </c>
      <c r="Y47" s="5">
        <f t="shared" si="4"/>
        <v>0</v>
      </c>
      <c r="Z47" s="5">
        <f t="shared" si="4"/>
        <v>0</v>
      </c>
      <c r="AA47" s="5">
        <f t="shared" si="4"/>
        <v>0</v>
      </c>
      <c r="AB47" s="5">
        <f t="shared" si="4"/>
        <v>0</v>
      </c>
      <c r="AC47" s="5">
        <f t="shared" si="4"/>
        <v>0</v>
      </c>
      <c r="AD47" s="5">
        <f t="shared" si="4"/>
        <v>0</v>
      </c>
      <c r="AE47" s="5">
        <f t="shared" si="4"/>
        <v>0</v>
      </c>
      <c r="AF47" s="5">
        <f t="shared" si="4"/>
        <v>0</v>
      </c>
      <c r="AG47" s="5">
        <f t="shared" si="4"/>
        <v>0</v>
      </c>
      <c r="AH47" s="5">
        <f t="shared" si="4"/>
        <v>0</v>
      </c>
      <c r="AI47" s="5">
        <f t="shared" si="4"/>
        <v>0</v>
      </c>
      <c r="AJ47" s="5">
        <f t="shared" si="4"/>
        <v>0</v>
      </c>
      <c r="AK47" s="5">
        <f t="shared" si="4"/>
        <v>0</v>
      </c>
      <c r="AL47" s="5">
        <f t="shared" si="4"/>
        <v>0</v>
      </c>
      <c r="AM47" s="6">
        <f t="shared" si="2"/>
        <v>0</v>
      </c>
    </row>
    <row r="48" spans="1:39" x14ac:dyDescent="0.25">
      <c r="A48" s="4" t="s">
        <v>73</v>
      </c>
      <c r="B48" s="4" t="s">
        <v>74</v>
      </c>
      <c r="C48" s="4" t="s">
        <v>6</v>
      </c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3"/>
      <c r="P48" s="3"/>
      <c r="Q48" s="3"/>
      <c r="R48" s="3"/>
      <c r="S48" s="6">
        <f t="shared" si="0"/>
        <v>0</v>
      </c>
      <c r="T48">
        <v>1</v>
      </c>
      <c r="U48" s="4" t="s">
        <v>73</v>
      </c>
      <c r="V48" s="4" t="s">
        <v>74</v>
      </c>
      <c r="W48" s="4" t="s">
        <v>6</v>
      </c>
      <c r="X48" s="5">
        <f t="shared" si="4"/>
        <v>0</v>
      </c>
      <c r="Y48" s="5">
        <f t="shared" si="4"/>
        <v>0</v>
      </c>
      <c r="Z48" s="5">
        <f t="shared" si="4"/>
        <v>0</v>
      </c>
      <c r="AA48" s="5">
        <f t="shared" si="4"/>
        <v>0</v>
      </c>
      <c r="AB48" s="5">
        <f t="shared" si="4"/>
        <v>0</v>
      </c>
      <c r="AC48" s="5">
        <f t="shared" si="4"/>
        <v>0</v>
      </c>
      <c r="AD48" s="5">
        <f t="shared" si="4"/>
        <v>0</v>
      </c>
      <c r="AE48" s="5">
        <f t="shared" si="4"/>
        <v>0</v>
      </c>
      <c r="AF48" s="5">
        <f t="shared" si="4"/>
        <v>0</v>
      </c>
      <c r="AG48" s="5">
        <f t="shared" si="4"/>
        <v>0</v>
      </c>
      <c r="AH48" s="5">
        <f t="shared" si="4"/>
        <v>0</v>
      </c>
      <c r="AI48" s="5">
        <f t="shared" si="4"/>
        <v>0</v>
      </c>
      <c r="AJ48" s="5">
        <f t="shared" si="4"/>
        <v>0</v>
      </c>
      <c r="AK48" s="5">
        <f t="shared" si="4"/>
        <v>0</v>
      </c>
      <c r="AL48" s="5">
        <f t="shared" si="4"/>
        <v>0</v>
      </c>
      <c r="AM48" s="6">
        <f t="shared" si="2"/>
        <v>0</v>
      </c>
    </row>
    <row r="49" spans="1:39" x14ac:dyDescent="0.25">
      <c r="A49" s="4" t="s">
        <v>75</v>
      </c>
      <c r="B49" s="4" t="s">
        <v>76</v>
      </c>
      <c r="C49" s="4" t="s">
        <v>6</v>
      </c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3"/>
      <c r="P49" s="3"/>
      <c r="Q49" s="3"/>
      <c r="R49" s="3"/>
      <c r="S49" s="6">
        <f t="shared" si="0"/>
        <v>0</v>
      </c>
      <c r="T49">
        <v>1</v>
      </c>
      <c r="U49" s="4" t="s">
        <v>75</v>
      </c>
      <c r="V49" s="4" t="s">
        <v>76</v>
      </c>
      <c r="W49" s="4" t="s">
        <v>6</v>
      </c>
      <c r="X49" s="5">
        <f t="shared" si="4"/>
        <v>0</v>
      </c>
      <c r="Y49" s="5">
        <f t="shared" si="4"/>
        <v>0</v>
      </c>
      <c r="Z49" s="5">
        <f t="shared" si="4"/>
        <v>0</v>
      </c>
      <c r="AA49" s="5">
        <f t="shared" si="4"/>
        <v>0</v>
      </c>
      <c r="AB49" s="5">
        <f t="shared" si="4"/>
        <v>0</v>
      </c>
      <c r="AC49" s="5">
        <f t="shared" si="4"/>
        <v>0</v>
      </c>
      <c r="AD49" s="5">
        <f t="shared" si="4"/>
        <v>0</v>
      </c>
      <c r="AE49" s="5">
        <f t="shared" si="4"/>
        <v>0</v>
      </c>
      <c r="AF49" s="5">
        <f t="shared" si="4"/>
        <v>0</v>
      </c>
      <c r="AG49" s="5">
        <f t="shared" si="4"/>
        <v>0</v>
      </c>
      <c r="AH49" s="5">
        <f t="shared" si="4"/>
        <v>0</v>
      </c>
      <c r="AI49" s="5">
        <f t="shared" si="4"/>
        <v>0</v>
      </c>
      <c r="AJ49" s="5">
        <f t="shared" si="4"/>
        <v>0</v>
      </c>
      <c r="AK49" s="5">
        <f t="shared" si="4"/>
        <v>0</v>
      </c>
      <c r="AL49" s="5">
        <f t="shared" si="4"/>
        <v>0</v>
      </c>
      <c r="AM49" s="6">
        <f t="shared" si="2"/>
        <v>0</v>
      </c>
    </row>
    <row r="50" spans="1:39" x14ac:dyDescent="0.25">
      <c r="A50" s="10" t="s">
        <v>571</v>
      </c>
      <c r="B50" s="10" t="s">
        <v>572</v>
      </c>
      <c r="C50" s="4" t="s">
        <v>6</v>
      </c>
      <c r="D50" s="5"/>
      <c r="E50" s="6"/>
      <c r="F50" s="6"/>
      <c r="G50" s="6"/>
      <c r="H50" s="6"/>
      <c r="I50" s="6"/>
      <c r="J50" s="6"/>
      <c r="K50" s="6"/>
      <c r="L50" s="6"/>
      <c r="M50" s="6">
        <v>15</v>
      </c>
      <c r="N50" s="6"/>
      <c r="O50" s="3"/>
      <c r="P50" s="3"/>
      <c r="Q50" s="3"/>
      <c r="R50" s="3"/>
      <c r="S50" s="6">
        <f t="shared" si="0"/>
        <v>15</v>
      </c>
      <c r="T50">
        <v>1</v>
      </c>
      <c r="U50" s="10" t="s">
        <v>571</v>
      </c>
      <c r="V50" s="10" t="s">
        <v>572</v>
      </c>
      <c r="W50" s="4" t="s">
        <v>6</v>
      </c>
      <c r="X50" s="5">
        <f t="shared" si="4"/>
        <v>0</v>
      </c>
      <c r="Y50" s="5">
        <f t="shared" si="4"/>
        <v>0</v>
      </c>
      <c r="Z50" s="5">
        <f t="shared" si="4"/>
        <v>0</v>
      </c>
      <c r="AA50" s="5">
        <f t="shared" si="4"/>
        <v>0</v>
      </c>
      <c r="AB50" s="5">
        <f t="shared" si="4"/>
        <v>0</v>
      </c>
      <c r="AC50" s="5">
        <f t="shared" si="4"/>
        <v>0</v>
      </c>
      <c r="AD50" s="5">
        <f t="shared" si="4"/>
        <v>0</v>
      </c>
      <c r="AE50" s="5">
        <f t="shared" si="4"/>
        <v>0</v>
      </c>
      <c r="AF50" s="5">
        <f t="shared" si="4"/>
        <v>0</v>
      </c>
      <c r="AG50" s="5">
        <f t="shared" si="4"/>
        <v>0</v>
      </c>
      <c r="AH50" s="5">
        <f t="shared" si="4"/>
        <v>0</v>
      </c>
      <c r="AI50" s="5">
        <f t="shared" si="4"/>
        <v>0</v>
      </c>
      <c r="AJ50" s="5">
        <f t="shared" si="4"/>
        <v>0</v>
      </c>
      <c r="AK50" s="5">
        <f t="shared" si="4"/>
        <v>0</v>
      </c>
      <c r="AL50" s="5">
        <f t="shared" si="4"/>
        <v>0</v>
      </c>
      <c r="AM50" s="6">
        <f t="shared" si="2"/>
        <v>0</v>
      </c>
    </row>
    <row r="51" spans="1:39" x14ac:dyDescent="0.25">
      <c r="A51" s="4" t="s">
        <v>77</v>
      </c>
      <c r="B51" s="4" t="s">
        <v>78</v>
      </c>
      <c r="C51" s="4" t="s">
        <v>6</v>
      </c>
      <c r="D51" s="5"/>
      <c r="E51" s="6"/>
      <c r="F51" s="6"/>
      <c r="G51" s="6"/>
      <c r="H51" s="6"/>
      <c r="I51" s="6"/>
      <c r="J51" s="6"/>
      <c r="K51" s="6"/>
      <c r="L51" s="6"/>
      <c r="M51" s="6">
        <v>21</v>
      </c>
      <c r="N51" s="6"/>
      <c r="O51" s="3"/>
      <c r="P51" s="3"/>
      <c r="Q51" s="3"/>
      <c r="R51" s="3"/>
      <c r="S51" s="6">
        <f t="shared" si="0"/>
        <v>21</v>
      </c>
      <c r="T51">
        <v>1</v>
      </c>
      <c r="U51" s="4" t="s">
        <v>77</v>
      </c>
      <c r="V51" s="4" t="s">
        <v>78</v>
      </c>
      <c r="W51" s="4" t="s">
        <v>6</v>
      </c>
      <c r="X51" s="5">
        <f t="shared" si="4"/>
        <v>0</v>
      </c>
      <c r="Y51" s="5">
        <f t="shared" si="4"/>
        <v>0</v>
      </c>
      <c r="Z51" s="5">
        <f t="shared" si="4"/>
        <v>0</v>
      </c>
      <c r="AA51" s="5">
        <f t="shared" si="4"/>
        <v>0</v>
      </c>
      <c r="AB51" s="5">
        <f t="shared" si="4"/>
        <v>0</v>
      </c>
      <c r="AC51" s="5">
        <f t="shared" si="4"/>
        <v>0</v>
      </c>
      <c r="AD51" s="5">
        <f t="shared" si="4"/>
        <v>0</v>
      </c>
      <c r="AE51" s="5">
        <f t="shared" si="4"/>
        <v>0</v>
      </c>
      <c r="AF51" s="5">
        <f t="shared" si="4"/>
        <v>0</v>
      </c>
      <c r="AG51" s="5">
        <f t="shared" si="4"/>
        <v>20</v>
      </c>
      <c r="AH51" s="5">
        <f t="shared" si="4"/>
        <v>0</v>
      </c>
      <c r="AI51" s="5">
        <f t="shared" si="4"/>
        <v>0</v>
      </c>
      <c r="AJ51" s="5">
        <f t="shared" si="4"/>
        <v>0</v>
      </c>
      <c r="AK51" s="5">
        <f t="shared" si="4"/>
        <v>0</v>
      </c>
      <c r="AL51" s="5">
        <f t="shared" si="4"/>
        <v>0</v>
      </c>
      <c r="AM51" s="6">
        <f t="shared" si="2"/>
        <v>20</v>
      </c>
    </row>
    <row r="52" spans="1:39" x14ac:dyDescent="0.25">
      <c r="A52" s="4" t="s">
        <v>79</v>
      </c>
      <c r="B52" s="4" t="s">
        <v>80</v>
      </c>
      <c r="C52" s="4" t="s">
        <v>6</v>
      </c>
      <c r="D52" s="5"/>
      <c r="E52" s="6"/>
      <c r="F52" s="6"/>
      <c r="G52" s="6"/>
      <c r="H52" s="6"/>
      <c r="I52" s="6">
        <v>21</v>
      </c>
      <c r="J52" s="6"/>
      <c r="K52" s="6">
        <v>30</v>
      </c>
      <c r="L52" s="6"/>
      <c r="M52" s="6"/>
      <c r="N52" s="6"/>
      <c r="O52" s="3"/>
      <c r="P52" s="3"/>
      <c r="Q52" s="3"/>
      <c r="R52" s="3"/>
      <c r="S52" s="6">
        <f t="shared" si="0"/>
        <v>51</v>
      </c>
      <c r="T52">
        <v>1</v>
      </c>
      <c r="U52" s="4" t="s">
        <v>79</v>
      </c>
      <c r="V52" s="4" t="s">
        <v>80</v>
      </c>
      <c r="W52" s="4" t="s">
        <v>6</v>
      </c>
      <c r="X52" s="5">
        <f t="shared" si="4"/>
        <v>0</v>
      </c>
      <c r="Y52" s="5">
        <f t="shared" si="4"/>
        <v>0</v>
      </c>
      <c r="Z52" s="5">
        <f t="shared" si="4"/>
        <v>0</v>
      </c>
      <c r="AA52" s="5">
        <f t="shared" si="4"/>
        <v>0</v>
      </c>
      <c r="AB52" s="5">
        <f t="shared" si="4"/>
        <v>0</v>
      </c>
      <c r="AC52" s="5">
        <f t="shared" si="4"/>
        <v>20</v>
      </c>
      <c r="AD52" s="5">
        <f t="shared" si="4"/>
        <v>0</v>
      </c>
      <c r="AE52" s="5">
        <f t="shared" si="4"/>
        <v>60</v>
      </c>
      <c r="AF52" s="5">
        <f t="shared" si="4"/>
        <v>0</v>
      </c>
      <c r="AG52" s="5">
        <f t="shared" si="4"/>
        <v>0</v>
      </c>
      <c r="AH52" s="5">
        <f t="shared" si="4"/>
        <v>0</v>
      </c>
      <c r="AI52" s="5">
        <f t="shared" si="4"/>
        <v>0</v>
      </c>
      <c r="AJ52" s="5">
        <f t="shared" si="4"/>
        <v>0</v>
      </c>
      <c r="AK52" s="5">
        <f t="shared" si="4"/>
        <v>0</v>
      </c>
      <c r="AL52" s="5">
        <f t="shared" si="4"/>
        <v>0</v>
      </c>
      <c r="AM52" s="6">
        <f t="shared" si="2"/>
        <v>80</v>
      </c>
    </row>
    <row r="53" spans="1:39" x14ac:dyDescent="0.25">
      <c r="A53" s="4" t="s">
        <v>383</v>
      </c>
      <c r="B53" s="4" t="s">
        <v>384</v>
      </c>
      <c r="C53" s="4" t="s">
        <v>6</v>
      </c>
      <c r="D53" s="5"/>
      <c r="E53" s="6"/>
      <c r="F53" s="6"/>
      <c r="G53" s="6">
        <v>12</v>
      </c>
      <c r="H53" s="6"/>
      <c r="I53" s="6"/>
      <c r="J53" s="6"/>
      <c r="K53" s="6"/>
      <c r="L53" s="6"/>
      <c r="M53" s="6"/>
      <c r="N53" s="6"/>
      <c r="O53" s="3"/>
      <c r="P53" s="3"/>
      <c r="Q53" s="3"/>
      <c r="R53" s="3"/>
      <c r="S53" s="6">
        <f t="shared" si="0"/>
        <v>12</v>
      </c>
      <c r="T53">
        <v>1</v>
      </c>
      <c r="U53" s="4" t="s">
        <v>383</v>
      </c>
      <c r="V53" s="4" t="s">
        <v>384</v>
      </c>
      <c r="W53" s="4" t="s">
        <v>6</v>
      </c>
      <c r="X53" s="5">
        <f t="shared" ref="X53:AL69" si="5">IF(D53&lt;20,0,IF(D53&lt;25,20,IF(D53&lt;30,40,IF(D53&lt;=40,60+(D53-30)*3,60+30+(D53-40)*4))))</f>
        <v>0</v>
      </c>
      <c r="Y53" s="5">
        <f t="shared" si="5"/>
        <v>0</v>
      </c>
      <c r="Z53" s="5">
        <f t="shared" si="5"/>
        <v>0</v>
      </c>
      <c r="AA53" s="5">
        <f t="shared" si="5"/>
        <v>0</v>
      </c>
      <c r="AB53" s="5">
        <f t="shared" si="5"/>
        <v>0</v>
      </c>
      <c r="AC53" s="5">
        <f t="shared" si="5"/>
        <v>0</v>
      </c>
      <c r="AD53" s="5">
        <f t="shared" si="5"/>
        <v>0</v>
      </c>
      <c r="AE53" s="5">
        <f t="shared" si="5"/>
        <v>0</v>
      </c>
      <c r="AF53" s="5">
        <f t="shared" si="5"/>
        <v>0</v>
      </c>
      <c r="AG53" s="5">
        <f t="shared" si="5"/>
        <v>0</v>
      </c>
      <c r="AH53" s="5">
        <f t="shared" si="5"/>
        <v>0</v>
      </c>
      <c r="AI53" s="5">
        <f t="shared" si="5"/>
        <v>0</v>
      </c>
      <c r="AJ53" s="5">
        <f t="shared" si="5"/>
        <v>0</v>
      </c>
      <c r="AK53" s="5">
        <f t="shared" si="5"/>
        <v>0</v>
      </c>
      <c r="AL53" s="5">
        <f t="shared" si="5"/>
        <v>0</v>
      </c>
      <c r="AM53" s="6">
        <f t="shared" si="2"/>
        <v>0</v>
      </c>
    </row>
    <row r="54" spans="1:39" x14ac:dyDescent="0.25">
      <c r="A54" s="4" t="s">
        <v>81</v>
      </c>
      <c r="B54" s="4" t="s">
        <v>82</v>
      </c>
      <c r="C54" s="4" t="s">
        <v>6</v>
      </c>
      <c r="D54" s="5">
        <v>7.5</v>
      </c>
      <c r="E54" s="6">
        <v>7.5</v>
      </c>
      <c r="F54" s="6"/>
      <c r="G54" s="6"/>
      <c r="H54" s="6">
        <v>21</v>
      </c>
      <c r="I54" s="6">
        <v>21</v>
      </c>
      <c r="J54" s="6">
        <v>28.5</v>
      </c>
      <c r="K54" s="6">
        <v>39</v>
      </c>
      <c r="L54" s="6"/>
      <c r="M54" s="6">
        <v>45</v>
      </c>
      <c r="N54" s="6"/>
      <c r="O54" s="3"/>
      <c r="P54" s="3"/>
      <c r="Q54" s="3"/>
      <c r="R54" s="3"/>
      <c r="S54" s="6">
        <f t="shared" si="0"/>
        <v>169.5</v>
      </c>
      <c r="T54">
        <v>1</v>
      </c>
      <c r="U54" s="4" t="s">
        <v>81</v>
      </c>
      <c r="V54" s="4" t="s">
        <v>82</v>
      </c>
      <c r="W54" s="4" t="s">
        <v>6</v>
      </c>
      <c r="X54" s="5">
        <f t="shared" si="5"/>
        <v>0</v>
      </c>
      <c r="Y54" s="5">
        <f t="shared" si="5"/>
        <v>0</v>
      </c>
      <c r="Z54" s="5">
        <f t="shared" si="5"/>
        <v>0</v>
      </c>
      <c r="AA54" s="5">
        <f t="shared" si="5"/>
        <v>0</v>
      </c>
      <c r="AB54" s="5">
        <f t="shared" si="5"/>
        <v>20</v>
      </c>
      <c r="AC54" s="5">
        <f t="shared" si="5"/>
        <v>20</v>
      </c>
      <c r="AD54" s="5">
        <f t="shared" si="5"/>
        <v>40</v>
      </c>
      <c r="AE54" s="5">
        <f t="shared" si="5"/>
        <v>87</v>
      </c>
      <c r="AF54" s="5">
        <f t="shared" si="5"/>
        <v>0</v>
      </c>
      <c r="AG54" s="5">
        <f t="shared" si="5"/>
        <v>110</v>
      </c>
      <c r="AH54" s="5">
        <f t="shared" si="5"/>
        <v>0</v>
      </c>
      <c r="AI54" s="5">
        <f t="shared" si="5"/>
        <v>0</v>
      </c>
      <c r="AJ54" s="5">
        <f t="shared" si="5"/>
        <v>0</v>
      </c>
      <c r="AK54" s="5">
        <f t="shared" si="5"/>
        <v>0</v>
      </c>
      <c r="AL54" s="5">
        <f t="shared" si="5"/>
        <v>0</v>
      </c>
      <c r="AM54" s="6">
        <f t="shared" si="2"/>
        <v>277</v>
      </c>
    </row>
    <row r="55" spans="1:39" x14ac:dyDescent="0.25">
      <c r="A55" s="4" t="s">
        <v>83</v>
      </c>
      <c r="B55" s="4" t="s">
        <v>84</v>
      </c>
      <c r="C55" s="4" t="s">
        <v>6</v>
      </c>
      <c r="D55" s="5">
        <v>9</v>
      </c>
      <c r="E55" s="6">
        <v>10.5</v>
      </c>
      <c r="F55" s="6"/>
      <c r="G55" s="6"/>
      <c r="H55" s="6"/>
      <c r="I55" s="6"/>
      <c r="J55" s="6">
        <v>30</v>
      </c>
      <c r="K55" s="6">
        <v>36</v>
      </c>
      <c r="L55" s="6"/>
      <c r="M55" s="6"/>
      <c r="N55" s="6"/>
      <c r="O55" s="3"/>
      <c r="P55" s="3"/>
      <c r="Q55" s="3"/>
      <c r="R55" s="3"/>
      <c r="S55" s="6">
        <f t="shared" si="0"/>
        <v>85.5</v>
      </c>
      <c r="T55">
        <v>1</v>
      </c>
      <c r="U55" s="4" t="s">
        <v>83</v>
      </c>
      <c r="V55" s="4" t="s">
        <v>84</v>
      </c>
      <c r="W55" s="4" t="s">
        <v>6</v>
      </c>
      <c r="X55" s="5">
        <f t="shared" si="5"/>
        <v>0</v>
      </c>
      <c r="Y55" s="5">
        <f t="shared" si="5"/>
        <v>0</v>
      </c>
      <c r="Z55" s="5">
        <f t="shared" si="5"/>
        <v>0</v>
      </c>
      <c r="AA55" s="5">
        <f t="shared" si="5"/>
        <v>0</v>
      </c>
      <c r="AB55" s="5">
        <f t="shared" si="5"/>
        <v>0</v>
      </c>
      <c r="AC55" s="5">
        <f t="shared" si="5"/>
        <v>0</v>
      </c>
      <c r="AD55" s="5">
        <f t="shared" si="5"/>
        <v>60</v>
      </c>
      <c r="AE55" s="5">
        <f t="shared" si="5"/>
        <v>78</v>
      </c>
      <c r="AF55" s="5">
        <f t="shared" si="5"/>
        <v>0</v>
      </c>
      <c r="AG55" s="5">
        <f t="shared" si="5"/>
        <v>0</v>
      </c>
      <c r="AH55" s="5">
        <f t="shared" si="5"/>
        <v>0</v>
      </c>
      <c r="AI55" s="5">
        <f t="shared" si="5"/>
        <v>0</v>
      </c>
      <c r="AJ55" s="5">
        <f t="shared" si="5"/>
        <v>0</v>
      </c>
      <c r="AK55" s="5">
        <f t="shared" si="5"/>
        <v>0</v>
      </c>
      <c r="AL55" s="5">
        <f t="shared" si="5"/>
        <v>0</v>
      </c>
      <c r="AM55" s="6">
        <f t="shared" si="2"/>
        <v>138</v>
      </c>
    </row>
    <row r="56" spans="1:39" x14ac:dyDescent="0.25">
      <c r="A56" s="4" t="s">
        <v>85</v>
      </c>
      <c r="B56" s="4" t="s">
        <v>86</v>
      </c>
      <c r="C56" s="4" t="s">
        <v>6</v>
      </c>
      <c r="D56" s="5">
        <v>12</v>
      </c>
      <c r="E56" s="6">
        <v>6</v>
      </c>
      <c r="F56" s="6">
        <v>15</v>
      </c>
      <c r="G56" s="6">
        <v>22.5</v>
      </c>
      <c r="H56" s="6">
        <v>18.5</v>
      </c>
      <c r="I56" s="6"/>
      <c r="J56" s="6">
        <v>30</v>
      </c>
      <c r="K56" s="6">
        <v>30</v>
      </c>
      <c r="L56" s="6"/>
      <c r="M56" s="6"/>
      <c r="N56" s="6"/>
      <c r="O56" s="3"/>
      <c r="P56" s="3"/>
      <c r="Q56" s="3"/>
      <c r="R56" s="3"/>
      <c r="S56" s="6">
        <f t="shared" si="0"/>
        <v>134</v>
      </c>
      <c r="T56">
        <v>1</v>
      </c>
      <c r="U56" s="4" t="s">
        <v>85</v>
      </c>
      <c r="V56" s="4" t="s">
        <v>86</v>
      </c>
      <c r="W56" s="4" t="s">
        <v>6</v>
      </c>
      <c r="X56" s="5">
        <f t="shared" si="5"/>
        <v>0</v>
      </c>
      <c r="Y56" s="5">
        <f t="shared" si="5"/>
        <v>0</v>
      </c>
      <c r="Z56" s="5">
        <f t="shared" si="5"/>
        <v>0</v>
      </c>
      <c r="AA56" s="5">
        <f t="shared" si="5"/>
        <v>20</v>
      </c>
      <c r="AB56" s="5">
        <f t="shared" si="5"/>
        <v>0</v>
      </c>
      <c r="AC56" s="5">
        <f t="shared" si="5"/>
        <v>0</v>
      </c>
      <c r="AD56" s="5">
        <f t="shared" si="5"/>
        <v>60</v>
      </c>
      <c r="AE56" s="5">
        <f t="shared" si="5"/>
        <v>60</v>
      </c>
      <c r="AF56" s="5">
        <f t="shared" si="5"/>
        <v>0</v>
      </c>
      <c r="AG56" s="5">
        <f t="shared" si="5"/>
        <v>0</v>
      </c>
      <c r="AH56" s="5">
        <f t="shared" si="5"/>
        <v>0</v>
      </c>
      <c r="AI56" s="5">
        <f t="shared" si="5"/>
        <v>0</v>
      </c>
      <c r="AJ56" s="5">
        <f t="shared" si="5"/>
        <v>0</v>
      </c>
      <c r="AK56" s="5">
        <f t="shared" si="5"/>
        <v>0</v>
      </c>
      <c r="AL56" s="5">
        <f t="shared" si="5"/>
        <v>0</v>
      </c>
      <c r="AM56" s="6">
        <f t="shared" si="2"/>
        <v>140</v>
      </c>
    </row>
    <row r="57" spans="1:39" x14ac:dyDescent="0.25">
      <c r="A57" s="4" t="s">
        <v>87</v>
      </c>
      <c r="B57" s="4" t="s">
        <v>88</v>
      </c>
      <c r="C57" s="4" t="s">
        <v>6</v>
      </c>
      <c r="D57" s="5">
        <v>7.5</v>
      </c>
      <c r="E57" s="6"/>
      <c r="F57" s="6">
        <v>15</v>
      </c>
      <c r="G57" s="6"/>
      <c r="H57" s="6">
        <v>27.5</v>
      </c>
      <c r="I57" s="6"/>
      <c r="J57" s="6">
        <v>34.5</v>
      </c>
      <c r="K57" s="6">
        <v>43.5</v>
      </c>
      <c r="L57" s="6"/>
      <c r="M57" s="6"/>
      <c r="N57" s="6"/>
      <c r="O57" s="3"/>
      <c r="P57" s="3"/>
      <c r="Q57" s="3"/>
      <c r="R57" s="3"/>
      <c r="S57" s="6">
        <f t="shared" si="0"/>
        <v>128</v>
      </c>
      <c r="T57">
        <v>1</v>
      </c>
      <c r="U57" s="4" t="s">
        <v>87</v>
      </c>
      <c r="V57" s="4" t="s">
        <v>88</v>
      </c>
      <c r="W57" s="4" t="s">
        <v>6</v>
      </c>
      <c r="X57" s="5">
        <f t="shared" si="5"/>
        <v>0</v>
      </c>
      <c r="Y57" s="5">
        <f t="shared" si="5"/>
        <v>0</v>
      </c>
      <c r="Z57" s="5">
        <f t="shared" si="5"/>
        <v>0</v>
      </c>
      <c r="AA57" s="5">
        <f t="shared" si="5"/>
        <v>0</v>
      </c>
      <c r="AB57" s="5">
        <f t="shared" si="5"/>
        <v>40</v>
      </c>
      <c r="AC57" s="5">
        <f t="shared" si="5"/>
        <v>0</v>
      </c>
      <c r="AD57" s="5">
        <f t="shared" si="5"/>
        <v>73.5</v>
      </c>
      <c r="AE57" s="5">
        <f t="shared" si="5"/>
        <v>104</v>
      </c>
      <c r="AF57" s="5">
        <f t="shared" si="5"/>
        <v>0</v>
      </c>
      <c r="AG57" s="5">
        <f t="shared" si="5"/>
        <v>0</v>
      </c>
      <c r="AH57" s="5">
        <f t="shared" si="5"/>
        <v>0</v>
      </c>
      <c r="AI57" s="5">
        <f t="shared" si="5"/>
        <v>0</v>
      </c>
      <c r="AJ57" s="5">
        <f t="shared" si="5"/>
        <v>0</v>
      </c>
      <c r="AK57" s="5">
        <f t="shared" si="5"/>
        <v>0</v>
      </c>
      <c r="AL57" s="5">
        <f t="shared" si="5"/>
        <v>0</v>
      </c>
      <c r="AM57" s="6">
        <f t="shared" si="2"/>
        <v>217.5</v>
      </c>
    </row>
    <row r="58" spans="1:39" x14ac:dyDescent="0.25">
      <c r="A58" s="4" t="s">
        <v>89</v>
      </c>
      <c r="B58" s="4" t="s">
        <v>90</v>
      </c>
      <c r="C58" s="4" t="s">
        <v>6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3"/>
      <c r="P58" s="3"/>
      <c r="Q58" s="3"/>
      <c r="R58" s="3"/>
      <c r="S58" s="6">
        <f t="shared" si="0"/>
        <v>0</v>
      </c>
      <c r="T58">
        <v>1</v>
      </c>
      <c r="U58" s="4" t="s">
        <v>89</v>
      </c>
      <c r="V58" s="4" t="s">
        <v>90</v>
      </c>
      <c r="W58" s="4" t="s">
        <v>6</v>
      </c>
      <c r="X58" s="5">
        <f t="shared" si="5"/>
        <v>0</v>
      </c>
      <c r="Y58" s="5">
        <f t="shared" si="5"/>
        <v>0</v>
      </c>
      <c r="Z58" s="5">
        <f t="shared" si="5"/>
        <v>0</v>
      </c>
      <c r="AA58" s="5">
        <f t="shared" si="5"/>
        <v>0</v>
      </c>
      <c r="AB58" s="5">
        <f t="shared" si="5"/>
        <v>0</v>
      </c>
      <c r="AC58" s="5">
        <f t="shared" si="5"/>
        <v>0</v>
      </c>
      <c r="AD58" s="5">
        <f t="shared" si="5"/>
        <v>0</v>
      </c>
      <c r="AE58" s="5">
        <f t="shared" si="5"/>
        <v>0</v>
      </c>
      <c r="AF58" s="5">
        <f t="shared" si="5"/>
        <v>0</v>
      </c>
      <c r="AG58" s="5">
        <f t="shared" si="5"/>
        <v>0</v>
      </c>
      <c r="AH58" s="5">
        <f t="shared" si="5"/>
        <v>0</v>
      </c>
      <c r="AI58" s="5">
        <f t="shared" si="5"/>
        <v>0</v>
      </c>
      <c r="AJ58" s="5">
        <f t="shared" si="5"/>
        <v>0</v>
      </c>
      <c r="AK58" s="5">
        <f t="shared" si="5"/>
        <v>0</v>
      </c>
      <c r="AL58" s="5">
        <f t="shared" si="5"/>
        <v>0</v>
      </c>
      <c r="AM58" s="6">
        <f t="shared" si="2"/>
        <v>0</v>
      </c>
    </row>
    <row r="59" spans="1:39" x14ac:dyDescent="0.25">
      <c r="A59" s="4" t="s">
        <v>503</v>
      </c>
      <c r="B59" s="4" t="s">
        <v>504</v>
      </c>
      <c r="C59" s="4" t="s">
        <v>6</v>
      </c>
      <c r="D59" s="5"/>
      <c r="E59" s="6"/>
      <c r="F59" s="6">
        <v>13.5</v>
      </c>
      <c r="G59" s="6"/>
      <c r="H59" s="6"/>
      <c r="I59" s="6"/>
      <c r="J59" s="6"/>
      <c r="K59" s="6"/>
      <c r="L59" s="6"/>
      <c r="M59" s="6"/>
      <c r="N59" s="6"/>
      <c r="O59" s="3"/>
      <c r="P59" s="3"/>
      <c r="Q59" s="3"/>
      <c r="R59" s="3"/>
      <c r="S59" s="6">
        <f t="shared" si="0"/>
        <v>13.5</v>
      </c>
      <c r="T59">
        <v>1</v>
      </c>
      <c r="U59" s="4" t="s">
        <v>503</v>
      </c>
      <c r="V59" s="4" t="s">
        <v>504</v>
      </c>
      <c r="W59" s="4" t="s">
        <v>6</v>
      </c>
      <c r="X59" s="5">
        <f t="shared" si="5"/>
        <v>0</v>
      </c>
      <c r="Y59" s="5">
        <f t="shared" si="5"/>
        <v>0</v>
      </c>
      <c r="Z59" s="5">
        <f t="shared" si="5"/>
        <v>0</v>
      </c>
      <c r="AA59" s="5">
        <f t="shared" si="5"/>
        <v>0</v>
      </c>
      <c r="AB59" s="5">
        <f t="shared" si="5"/>
        <v>0</v>
      </c>
      <c r="AC59" s="5">
        <f t="shared" si="5"/>
        <v>0</v>
      </c>
      <c r="AD59" s="5">
        <f t="shared" si="5"/>
        <v>0</v>
      </c>
      <c r="AE59" s="5">
        <f t="shared" si="5"/>
        <v>0</v>
      </c>
      <c r="AF59" s="5">
        <f t="shared" si="5"/>
        <v>0</v>
      </c>
      <c r="AG59" s="5">
        <f t="shared" si="5"/>
        <v>0</v>
      </c>
      <c r="AH59" s="5">
        <f t="shared" si="5"/>
        <v>0</v>
      </c>
      <c r="AI59" s="5">
        <f t="shared" si="5"/>
        <v>0</v>
      </c>
      <c r="AJ59" s="5">
        <f t="shared" si="5"/>
        <v>0</v>
      </c>
      <c r="AK59" s="5">
        <f t="shared" si="5"/>
        <v>0</v>
      </c>
      <c r="AL59" s="5">
        <f t="shared" si="5"/>
        <v>0</v>
      </c>
      <c r="AM59" s="6">
        <f t="shared" si="2"/>
        <v>0</v>
      </c>
    </row>
    <row r="60" spans="1:39" x14ac:dyDescent="0.25">
      <c r="A60" s="4" t="s">
        <v>91</v>
      </c>
      <c r="B60" s="4" t="s">
        <v>92</v>
      </c>
      <c r="C60" s="4" t="s">
        <v>6</v>
      </c>
      <c r="D60" s="5"/>
      <c r="E60" s="6"/>
      <c r="F60" s="6"/>
      <c r="G60" s="6"/>
      <c r="H60" s="6"/>
      <c r="I60" s="6"/>
      <c r="J60" s="6">
        <v>30</v>
      </c>
      <c r="K60" s="6">
        <v>37.5</v>
      </c>
      <c r="L60" s="6"/>
      <c r="M60" s="6">
        <v>36</v>
      </c>
      <c r="N60" s="6"/>
      <c r="O60" s="3"/>
      <c r="P60" s="3"/>
      <c r="Q60" s="3"/>
      <c r="R60" s="3"/>
      <c r="S60" s="6">
        <f t="shared" si="0"/>
        <v>103.5</v>
      </c>
      <c r="T60">
        <v>1</v>
      </c>
      <c r="U60" s="4" t="s">
        <v>91</v>
      </c>
      <c r="V60" s="4" t="s">
        <v>92</v>
      </c>
      <c r="W60" s="4" t="s">
        <v>6</v>
      </c>
      <c r="X60" s="5">
        <f t="shared" si="5"/>
        <v>0</v>
      </c>
      <c r="Y60" s="5">
        <f t="shared" si="5"/>
        <v>0</v>
      </c>
      <c r="Z60" s="5">
        <f t="shared" si="5"/>
        <v>0</v>
      </c>
      <c r="AA60" s="5">
        <f t="shared" si="5"/>
        <v>0</v>
      </c>
      <c r="AB60" s="5">
        <f t="shared" si="5"/>
        <v>0</v>
      </c>
      <c r="AC60" s="5">
        <f t="shared" si="5"/>
        <v>0</v>
      </c>
      <c r="AD60" s="5">
        <f t="shared" si="5"/>
        <v>60</v>
      </c>
      <c r="AE60" s="5">
        <f t="shared" si="5"/>
        <v>82.5</v>
      </c>
      <c r="AF60" s="5">
        <f t="shared" si="5"/>
        <v>0</v>
      </c>
      <c r="AG60" s="5">
        <f t="shared" si="5"/>
        <v>78</v>
      </c>
      <c r="AH60" s="5">
        <f t="shared" si="5"/>
        <v>0</v>
      </c>
      <c r="AI60" s="5">
        <f t="shared" si="5"/>
        <v>0</v>
      </c>
      <c r="AJ60" s="5">
        <f t="shared" si="5"/>
        <v>0</v>
      </c>
      <c r="AK60" s="5">
        <f t="shared" si="5"/>
        <v>0</v>
      </c>
      <c r="AL60" s="5">
        <f t="shared" si="5"/>
        <v>0</v>
      </c>
      <c r="AM60" s="6">
        <f t="shared" si="2"/>
        <v>220.5</v>
      </c>
    </row>
    <row r="61" spans="1:39" x14ac:dyDescent="0.25">
      <c r="A61" s="4" t="s">
        <v>93</v>
      </c>
      <c r="B61" s="4" t="s">
        <v>94</v>
      </c>
      <c r="C61" s="4" t="s">
        <v>6</v>
      </c>
      <c r="D61" s="5">
        <v>13.5</v>
      </c>
      <c r="E61" s="6">
        <v>18</v>
      </c>
      <c r="F61" s="6"/>
      <c r="G61" s="6"/>
      <c r="H61" s="6"/>
      <c r="I61" s="6"/>
      <c r="J61" s="6">
        <v>39</v>
      </c>
      <c r="K61" s="6">
        <v>45</v>
      </c>
      <c r="L61" s="6"/>
      <c r="M61" s="6">
        <v>51</v>
      </c>
      <c r="N61" s="6"/>
      <c r="O61" s="3"/>
      <c r="P61" s="3"/>
      <c r="Q61" s="3"/>
      <c r="R61" s="3"/>
      <c r="S61" s="6">
        <f t="shared" si="0"/>
        <v>166.5</v>
      </c>
      <c r="T61">
        <v>1</v>
      </c>
      <c r="U61" s="4" t="s">
        <v>93</v>
      </c>
      <c r="V61" s="4" t="s">
        <v>94</v>
      </c>
      <c r="W61" s="4" t="s">
        <v>6</v>
      </c>
      <c r="X61" s="5">
        <f t="shared" si="5"/>
        <v>0</v>
      </c>
      <c r="Y61" s="5">
        <f t="shared" si="5"/>
        <v>0</v>
      </c>
      <c r="Z61" s="5">
        <f t="shared" si="5"/>
        <v>0</v>
      </c>
      <c r="AA61" s="5">
        <f t="shared" si="5"/>
        <v>0</v>
      </c>
      <c r="AB61" s="5">
        <f t="shared" si="5"/>
        <v>0</v>
      </c>
      <c r="AC61" s="5">
        <f t="shared" si="5"/>
        <v>0</v>
      </c>
      <c r="AD61" s="5">
        <f t="shared" si="5"/>
        <v>87</v>
      </c>
      <c r="AE61" s="5">
        <f t="shared" si="5"/>
        <v>110</v>
      </c>
      <c r="AF61" s="5">
        <f t="shared" si="5"/>
        <v>0</v>
      </c>
      <c r="AG61" s="5">
        <f t="shared" si="5"/>
        <v>134</v>
      </c>
      <c r="AH61" s="5">
        <f t="shared" si="5"/>
        <v>0</v>
      </c>
      <c r="AI61" s="5">
        <f t="shared" si="5"/>
        <v>0</v>
      </c>
      <c r="AJ61" s="5">
        <f t="shared" si="5"/>
        <v>0</v>
      </c>
      <c r="AK61" s="5">
        <f t="shared" si="5"/>
        <v>0</v>
      </c>
      <c r="AL61" s="5">
        <f t="shared" si="5"/>
        <v>0</v>
      </c>
      <c r="AM61" s="6">
        <f t="shared" si="2"/>
        <v>331</v>
      </c>
    </row>
    <row r="62" spans="1:39" x14ac:dyDescent="0.25">
      <c r="A62" s="4" t="s">
        <v>95</v>
      </c>
      <c r="B62" s="4" t="s">
        <v>96</v>
      </c>
      <c r="C62" s="4" t="s">
        <v>6</v>
      </c>
      <c r="D62" s="5">
        <v>7.5</v>
      </c>
      <c r="E62" s="6"/>
      <c r="F62" s="6">
        <v>12</v>
      </c>
      <c r="G62" s="6">
        <v>22.5</v>
      </c>
      <c r="H62" s="6"/>
      <c r="I62" s="6"/>
      <c r="J62" s="6">
        <v>25.5</v>
      </c>
      <c r="K62" s="6">
        <v>34.5</v>
      </c>
      <c r="L62" s="6"/>
      <c r="M62" s="6"/>
      <c r="N62" s="6"/>
      <c r="O62" s="3"/>
      <c r="P62" s="3"/>
      <c r="Q62" s="3"/>
      <c r="R62" s="3"/>
      <c r="S62" s="6">
        <f t="shared" si="0"/>
        <v>102</v>
      </c>
      <c r="T62">
        <v>1</v>
      </c>
      <c r="U62" s="4" t="s">
        <v>95</v>
      </c>
      <c r="V62" s="4" t="s">
        <v>96</v>
      </c>
      <c r="W62" s="4" t="s">
        <v>6</v>
      </c>
      <c r="X62" s="5">
        <f t="shared" si="5"/>
        <v>0</v>
      </c>
      <c r="Y62" s="5">
        <f t="shared" si="5"/>
        <v>0</v>
      </c>
      <c r="Z62" s="5">
        <f t="shared" si="5"/>
        <v>0</v>
      </c>
      <c r="AA62" s="5">
        <f t="shared" si="5"/>
        <v>20</v>
      </c>
      <c r="AB62" s="5">
        <f t="shared" si="5"/>
        <v>0</v>
      </c>
      <c r="AC62" s="5">
        <f t="shared" si="5"/>
        <v>0</v>
      </c>
      <c r="AD62" s="5">
        <f t="shared" si="5"/>
        <v>40</v>
      </c>
      <c r="AE62" s="5">
        <f t="shared" si="5"/>
        <v>73.5</v>
      </c>
      <c r="AF62" s="5">
        <f t="shared" si="5"/>
        <v>0</v>
      </c>
      <c r="AG62" s="5">
        <f t="shared" si="5"/>
        <v>0</v>
      </c>
      <c r="AH62" s="5">
        <f t="shared" si="5"/>
        <v>0</v>
      </c>
      <c r="AI62" s="5">
        <f t="shared" si="5"/>
        <v>0</v>
      </c>
      <c r="AJ62" s="5">
        <f t="shared" si="5"/>
        <v>0</v>
      </c>
      <c r="AK62" s="5">
        <f t="shared" si="5"/>
        <v>0</v>
      </c>
      <c r="AL62" s="5">
        <f t="shared" si="5"/>
        <v>0</v>
      </c>
      <c r="AM62" s="6">
        <f t="shared" si="2"/>
        <v>133.5</v>
      </c>
    </row>
    <row r="63" spans="1:39" x14ac:dyDescent="0.25">
      <c r="A63" s="4" t="s">
        <v>97</v>
      </c>
      <c r="B63" s="4" t="s">
        <v>98</v>
      </c>
      <c r="C63" s="4" t="s">
        <v>6</v>
      </c>
      <c r="D63" s="5">
        <v>10.5</v>
      </c>
      <c r="E63" s="6">
        <v>9</v>
      </c>
      <c r="F63" s="6">
        <v>15</v>
      </c>
      <c r="G63" s="6"/>
      <c r="H63" s="6">
        <v>20.5</v>
      </c>
      <c r="I63" s="6"/>
      <c r="J63" s="6"/>
      <c r="K63" s="6"/>
      <c r="L63" s="6"/>
      <c r="M63" s="6"/>
      <c r="N63" s="6"/>
      <c r="O63" s="3"/>
      <c r="P63" s="3"/>
      <c r="Q63" s="3"/>
      <c r="R63" s="3"/>
      <c r="S63" s="6">
        <f t="shared" si="0"/>
        <v>55</v>
      </c>
      <c r="T63">
        <v>1</v>
      </c>
      <c r="U63" s="4" t="s">
        <v>97</v>
      </c>
      <c r="V63" s="4" t="s">
        <v>98</v>
      </c>
      <c r="W63" s="4" t="s">
        <v>6</v>
      </c>
      <c r="X63" s="5">
        <f t="shared" si="5"/>
        <v>0</v>
      </c>
      <c r="Y63" s="5">
        <f t="shared" si="5"/>
        <v>0</v>
      </c>
      <c r="Z63" s="5">
        <f t="shared" si="5"/>
        <v>0</v>
      </c>
      <c r="AA63" s="5">
        <f t="shared" si="5"/>
        <v>0</v>
      </c>
      <c r="AB63" s="5">
        <f t="shared" si="5"/>
        <v>20</v>
      </c>
      <c r="AC63" s="5">
        <f t="shared" si="5"/>
        <v>0</v>
      </c>
      <c r="AD63" s="5">
        <f t="shared" si="5"/>
        <v>0</v>
      </c>
      <c r="AE63" s="5">
        <f t="shared" si="5"/>
        <v>0</v>
      </c>
      <c r="AF63" s="5">
        <f t="shared" si="5"/>
        <v>0</v>
      </c>
      <c r="AG63" s="5">
        <f t="shared" si="5"/>
        <v>0</v>
      </c>
      <c r="AH63" s="5">
        <f t="shared" si="5"/>
        <v>0</v>
      </c>
      <c r="AI63" s="5">
        <f t="shared" si="5"/>
        <v>0</v>
      </c>
      <c r="AJ63" s="5">
        <f t="shared" si="5"/>
        <v>0</v>
      </c>
      <c r="AK63" s="5">
        <f t="shared" si="5"/>
        <v>0</v>
      </c>
      <c r="AL63" s="5">
        <f t="shared" si="5"/>
        <v>0</v>
      </c>
      <c r="AM63" s="6">
        <f t="shared" si="2"/>
        <v>20</v>
      </c>
    </row>
    <row r="64" spans="1:39" x14ac:dyDescent="0.25">
      <c r="A64" s="4" t="s">
        <v>99</v>
      </c>
      <c r="B64" s="4" t="s">
        <v>100</v>
      </c>
      <c r="C64" s="4" t="s">
        <v>6</v>
      </c>
      <c r="D64" s="5">
        <v>4.5</v>
      </c>
      <c r="E64" s="6">
        <v>10.5</v>
      </c>
      <c r="F64" s="6">
        <v>22.5</v>
      </c>
      <c r="G64" s="6"/>
      <c r="H64" s="6">
        <v>13</v>
      </c>
      <c r="I64" s="6"/>
      <c r="J64" s="6">
        <v>34.5</v>
      </c>
      <c r="K64" s="6">
        <v>40.5</v>
      </c>
      <c r="L64" s="6"/>
      <c r="M64" s="6"/>
      <c r="N64" s="6"/>
      <c r="O64" s="3"/>
      <c r="P64" s="3"/>
      <c r="Q64" s="3"/>
      <c r="R64" s="3"/>
      <c r="S64" s="6">
        <f t="shared" si="0"/>
        <v>125.5</v>
      </c>
      <c r="T64">
        <v>1</v>
      </c>
      <c r="U64" s="4" t="s">
        <v>99</v>
      </c>
      <c r="V64" s="4" t="s">
        <v>100</v>
      </c>
      <c r="W64" s="4" t="s">
        <v>6</v>
      </c>
      <c r="X64" s="5">
        <f t="shared" si="5"/>
        <v>0</v>
      </c>
      <c r="Y64" s="5">
        <f t="shared" si="5"/>
        <v>0</v>
      </c>
      <c r="Z64" s="5">
        <f t="shared" si="5"/>
        <v>20</v>
      </c>
      <c r="AA64" s="5">
        <f t="shared" si="5"/>
        <v>0</v>
      </c>
      <c r="AB64" s="5">
        <f t="shared" si="5"/>
        <v>0</v>
      </c>
      <c r="AC64" s="5">
        <f t="shared" si="5"/>
        <v>0</v>
      </c>
      <c r="AD64" s="5">
        <f t="shared" si="5"/>
        <v>73.5</v>
      </c>
      <c r="AE64" s="5">
        <f t="shared" si="5"/>
        <v>92</v>
      </c>
      <c r="AF64" s="5">
        <f t="shared" si="5"/>
        <v>0</v>
      </c>
      <c r="AG64" s="5">
        <f t="shared" si="5"/>
        <v>0</v>
      </c>
      <c r="AH64" s="5">
        <f t="shared" si="5"/>
        <v>0</v>
      </c>
      <c r="AI64" s="5">
        <f t="shared" si="5"/>
        <v>0</v>
      </c>
      <c r="AJ64" s="5">
        <f t="shared" si="5"/>
        <v>0</v>
      </c>
      <c r="AK64" s="5">
        <f t="shared" si="5"/>
        <v>0</v>
      </c>
      <c r="AL64" s="5">
        <f t="shared" si="5"/>
        <v>0</v>
      </c>
      <c r="AM64" s="6">
        <f t="shared" si="2"/>
        <v>185.5</v>
      </c>
    </row>
    <row r="65" spans="1:39" x14ac:dyDescent="0.25">
      <c r="A65" s="4" t="s">
        <v>101</v>
      </c>
      <c r="B65" s="4" t="s">
        <v>102</v>
      </c>
      <c r="C65" s="4" t="s">
        <v>6</v>
      </c>
      <c r="D65" s="5">
        <v>7.5</v>
      </c>
      <c r="E65" s="6">
        <v>6</v>
      </c>
      <c r="F65" s="6">
        <v>18</v>
      </c>
      <c r="G65" s="6">
        <v>33</v>
      </c>
      <c r="H65" s="6">
        <v>23</v>
      </c>
      <c r="I65" s="6">
        <v>22.5</v>
      </c>
      <c r="J65" s="6">
        <v>30</v>
      </c>
      <c r="K65" s="6">
        <v>33</v>
      </c>
      <c r="L65" s="6"/>
      <c r="M65" s="6">
        <v>37.5</v>
      </c>
      <c r="N65" s="6"/>
      <c r="O65" s="3"/>
      <c r="P65" s="3"/>
      <c r="Q65" s="3"/>
      <c r="R65" s="3"/>
      <c r="S65" s="6">
        <f t="shared" si="0"/>
        <v>210.5</v>
      </c>
      <c r="T65">
        <v>1</v>
      </c>
      <c r="U65" s="4" t="s">
        <v>101</v>
      </c>
      <c r="V65" s="4" t="s">
        <v>102</v>
      </c>
      <c r="W65" s="4" t="s">
        <v>6</v>
      </c>
      <c r="X65" s="5">
        <f t="shared" si="5"/>
        <v>0</v>
      </c>
      <c r="Y65" s="5">
        <f t="shared" si="5"/>
        <v>0</v>
      </c>
      <c r="Z65" s="5">
        <f t="shared" si="5"/>
        <v>0</v>
      </c>
      <c r="AA65" s="5">
        <f t="shared" si="5"/>
        <v>69</v>
      </c>
      <c r="AB65" s="5">
        <f t="shared" si="5"/>
        <v>20</v>
      </c>
      <c r="AC65" s="5">
        <f t="shared" si="5"/>
        <v>20</v>
      </c>
      <c r="AD65" s="5">
        <f t="shared" si="5"/>
        <v>60</v>
      </c>
      <c r="AE65" s="5">
        <f t="shared" si="5"/>
        <v>69</v>
      </c>
      <c r="AF65" s="5">
        <f t="shared" si="5"/>
        <v>0</v>
      </c>
      <c r="AG65" s="5">
        <f t="shared" si="5"/>
        <v>82.5</v>
      </c>
      <c r="AH65" s="5">
        <f t="shared" si="5"/>
        <v>0</v>
      </c>
      <c r="AI65" s="5">
        <f t="shared" si="5"/>
        <v>0</v>
      </c>
      <c r="AJ65" s="5">
        <f t="shared" si="5"/>
        <v>0</v>
      </c>
      <c r="AK65" s="5">
        <f t="shared" si="5"/>
        <v>0</v>
      </c>
      <c r="AL65" s="5">
        <f t="shared" si="5"/>
        <v>0</v>
      </c>
      <c r="AM65" s="6">
        <f t="shared" si="2"/>
        <v>320.5</v>
      </c>
    </row>
    <row r="66" spans="1:39" x14ac:dyDescent="0.25">
      <c r="A66" s="4" t="s">
        <v>103</v>
      </c>
      <c r="B66" s="4" t="s">
        <v>104</v>
      </c>
      <c r="C66" s="4" t="s">
        <v>6</v>
      </c>
      <c r="D66" s="5">
        <v>7.5</v>
      </c>
      <c r="E66" s="6">
        <v>10.5</v>
      </c>
      <c r="F66" s="6"/>
      <c r="G66" s="6"/>
      <c r="H66" s="6"/>
      <c r="I66" s="6"/>
      <c r="J66" s="6">
        <v>30</v>
      </c>
      <c r="K66" s="6">
        <v>37.5</v>
      </c>
      <c r="L66" s="6"/>
      <c r="M66" s="6"/>
      <c r="N66" s="6"/>
      <c r="O66" s="3"/>
      <c r="P66" s="3"/>
      <c r="Q66" s="3"/>
      <c r="R66" s="3"/>
      <c r="S66" s="6">
        <f t="shared" si="0"/>
        <v>85.5</v>
      </c>
      <c r="T66">
        <v>1</v>
      </c>
      <c r="U66" s="4" t="s">
        <v>103</v>
      </c>
      <c r="V66" s="4" t="s">
        <v>104</v>
      </c>
      <c r="W66" s="4" t="s">
        <v>6</v>
      </c>
      <c r="X66" s="5">
        <f t="shared" si="5"/>
        <v>0</v>
      </c>
      <c r="Y66" s="5">
        <f t="shared" si="5"/>
        <v>0</v>
      </c>
      <c r="Z66" s="5">
        <f t="shared" si="5"/>
        <v>0</v>
      </c>
      <c r="AA66" s="5">
        <f t="shared" si="5"/>
        <v>0</v>
      </c>
      <c r="AB66" s="5">
        <f t="shared" si="5"/>
        <v>0</v>
      </c>
      <c r="AC66" s="5">
        <f t="shared" si="5"/>
        <v>0</v>
      </c>
      <c r="AD66" s="5">
        <f t="shared" si="5"/>
        <v>60</v>
      </c>
      <c r="AE66" s="5">
        <f t="shared" si="5"/>
        <v>82.5</v>
      </c>
      <c r="AF66" s="5">
        <f t="shared" si="5"/>
        <v>0</v>
      </c>
      <c r="AG66" s="5">
        <f t="shared" si="5"/>
        <v>0</v>
      </c>
      <c r="AH66" s="5">
        <f t="shared" si="5"/>
        <v>0</v>
      </c>
      <c r="AI66" s="5">
        <f t="shared" si="5"/>
        <v>0</v>
      </c>
      <c r="AJ66" s="5">
        <f t="shared" si="5"/>
        <v>0</v>
      </c>
      <c r="AK66" s="5">
        <f t="shared" si="5"/>
        <v>0</v>
      </c>
      <c r="AL66" s="5">
        <f t="shared" si="5"/>
        <v>0</v>
      </c>
      <c r="AM66" s="6">
        <f t="shared" si="2"/>
        <v>142.5</v>
      </c>
    </row>
    <row r="67" spans="1:39" x14ac:dyDescent="0.25">
      <c r="A67" s="4" t="s">
        <v>105</v>
      </c>
      <c r="B67" s="4" t="s">
        <v>106</v>
      </c>
      <c r="C67" s="4" t="s">
        <v>6</v>
      </c>
      <c r="D67" s="5">
        <v>7.5</v>
      </c>
      <c r="E67" s="6">
        <v>4.5</v>
      </c>
      <c r="F67" s="6"/>
      <c r="G67" s="6">
        <v>27</v>
      </c>
      <c r="H67" s="6">
        <v>13.5</v>
      </c>
      <c r="I67" s="6">
        <v>22.5</v>
      </c>
      <c r="J67" s="6">
        <v>27</v>
      </c>
      <c r="K67" s="6">
        <v>30</v>
      </c>
      <c r="L67" s="6"/>
      <c r="M67" s="6"/>
      <c r="N67" s="6"/>
      <c r="O67" s="3"/>
      <c r="P67" s="3"/>
      <c r="Q67" s="3"/>
      <c r="R67" s="3"/>
      <c r="S67" s="6">
        <f t="shared" si="0"/>
        <v>132</v>
      </c>
      <c r="T67">
        <v>1</v>
      </c>
      <c r="U67" s="4" t="s">
        <v>105</v>
      </c>
      <c r="V67" s="4" t="s">
        <v>106</v>
      </c>
      <c r="W67" s="4" t="s">
        <v>6</v>
      </c>
      <c r="X67" s="5">
        <f t="shared" si="5"/>
        <v>0</v>
      </c>
      <c r="Y67" s="5">
        <f t="shared" si="5"/>
        <v>0</v>
      </c>
      <c r="Z67" s="5">
        <f t="shared" si="5"/>
        <v>0</v>
      </c>
      <c r="AA67" s="5">
        <f t="shared" si="5"/>
        <v>40</v>
      </c>
      <c r="AB67" s="5">
        <f t="shared" si="5"/>
        <v>0</v>
      </c>
      <c r="AC67" s="5">
        <f t="shared" si="5"/>
        <v>20</v>
      </c>
      <c r="AD67" s="5">
        <f t="shared" si="5"/>
        <v>40</v>
      </c>
      <c r="AE67" s="5">
        <f t="shared" si="5"/>
        <v>60</v>
      </c>
      <c r="AF67" s="5">
        <f t="shared" si="5"/>
        <v>0</v>
      </c>
      <c r="AG67" s="5">
        <f t="shared" si="5"/>
        <v>0</v>
      </c>
      <c r="AH67" s="5">
        <f t="shared" si="5"/>
        <v>0</v>
      </c>
      <c r="AI67" s="5">
        <f t="shared" si="5"/>
        <v>0</v>
      </c>
      <c r="AJ67" s="5">
        <f t="shared" si="5"/>
        <v>0</v>
      </c>
      <c r="AK67" s="5">
        <f t="shared" si="5"/>
        <v>0</v>
      </c>
      <c r="AL67" s="5">
        <f t="shared" si="5"/>
        <v>0</v>
      </c>
      <c r="AM67" s="6">
        <f t="shared" si="2"/>
        <v>160</v>
      </c>
    </row>
    <row r="68" spans="1:39" x14ac:dyDescent="0.25">
      <c r="A68" s="4" t="s">
        <v>497</v>
      </c>
      <c r="B68" s="4" t="s">
        <v>498</v>
      </c>
      <c r="C68" s="4" t="s">
        <v>6</v>
      </c>
      <c r="D68" s="5"/>
      <c r="E68" s="6"/>
      <c r="F68" s="6">
        <v>16.5</v>
      </c>
      <c r="G68" s="6">
        <v>24</v>
      </c>
      <c r="H68" s="6">
        <v>19</v>
      </c>
      <c r="I68" s="6">
        <v>21</v>
      </c>
      <c r="J68" s="6">
        <v>33</v>
      </c>
      <c r="K68" s="6">
        <v>37.5</v>
      </c>
      <c r="L68" s="6"/>
      <c r="M68" s="6">
        <v>40.5</v>
      </c>
      <c r="N68" s="6"/>
      <c r="O68" s="3"/>
      <c r="P68" s="3"/>
      <c r="Q68" s="3"/>
      <c r="R68" s="3"/>
      <c r="S68" s="6">
        <f t="shared" si="0"/>
        <v>191.5</v>
      </c>
      <c r="T68">
        <v>1</v>
      </c>
      <c r="U68" s="4" t="s">
        <v>497</v>
      </c>
      <c r="V68" s="4" t="s">
        <v>498</v>
      </c>
      <c r="W68" s="4" t="s">
        <v>6</v>
      </c>
      <c r="X68" s="5">
        <f t="shared" si="5"/>
        <v>0</v>
      </c>
      <c r="Y68" s="5">
        <f t="shared" si="5"/>
        <v>0</v>
      </c>
      <c r="Z68" s="5">
        <f t="shared" si="5"/>
        <v>0</v>
      </c>
      <c r="AA68" s="5">
        <f t="shared" si="5"/>
        <v>20</v>
      </c>
      <c r="AB68" s="5">
        <f t="shared" si="5"/>
        <v>0</v>
      </c>
      <c r="AC68" s="5">
        <f t="shared" si="5"/>
        <v>20</v>
      </c>
      <c r="AD68" s="5">
        <f t="shared" si="5"/>
        <v>69</v>
      </c>
      <c r="AE68" s="5">
        <f t="shared" si="5"/>
        <v>82.5</v>
      </c>
      <c r="AF68" s="5">
        <f t="shared" si="5"/>
        <v>0</v>
      </c>
      <c r="AG68" s="5">
        <f t="shared" si="5"/>
        <v>92</v>
      </c>
      <c r="AH68" s="5">
        <f t="shared" si="5"/>
        <v>0</v>
      </c>
      <c r="AI68" s="5">
        <f t="shared" si="5"/>
        <v>0</v>
      </c>
      <c r="AJ68" s="5">
        <f t="shared" si="5"/>
        <v>0</v>
      </c>
      <c r="AK68" s="5">
        <f t="shared" si="5"/>
        <v>0</v>
      </c>
      <c r="AL68" s="5">
        <f t="shared" si="5"/>
        <v>0</v>
      </c>
      <c r="AM68" s="6">
        <f t="shared" si="2"/>
        <v>283.5</v>
      </c>
    </row>
    <row r="69" spans="1:39" x14ac:dyDescent="0.25">
      <c r="A69" s="4" t="s">
        <v>107</v>
      </c>
      <c r="B69" s="4" t="s">
        <v>108</v>
      </c>
      <c r="C69" s="4" t="s">
        <v>6</v>
      </c>
      <c r="D69" s="5"/>
      <c r="E69" s="6"/>
      <c r="F69" s="6"/>
      <c r="G69" s="6"/>
      <c r="H69" s="6"/>
      <c r="I69" s="6">
        <v>12</v>
      </c>
      <c r="J69" s="6">
        <v>30</v>
      </c>
      <c r="K69" s="6"/>
      <c r="L69" s="6"/>
      <c r="M69" s="6"/>
      <c r="N69" s="6"/>
      <c r="O69" s="3"/>
      <c r="P69" s="3"/>
      <c r="Q69" s="3"/>
      <c r="R69" s="3"/>
      <c r="S69" s="6">
        <f t="shared" si="0"/>
        <v>42</v>
      </c>
      <c r="T69">
        <v>1</v>
      </c>
      <c r="U69" s="4" t="s">
        <v>107</v>
      </c>
      <c r="V69" s="4" t="s">
        <v>108</v>
      </c>
      <c r="W69" s="4" t="s">
        <v>6</v>
      </c>
      <c r="X69" s="5">
        <f t="shared" si="5"/>
        <v>0</v>
      </c>
      <c r="Y69" s="5">
        <f t="shared" si="5"/>
        <v>0</v>
      </c>
      <c r="Z69" s="5">
        <f t="shared" si="5"/>
        <v>0</v>
      </c>
      <c r="AA69" s="5">
        <f t="shared" si="5"/>
        <v>0</v>
      </c>
      <c r="AB69" s="5">
        <f t="shared" si="5"/>
        <v>0</v>
      </c>
      <c r="AC69" s="5">
        <f t="shared" si="5"/>
        <v>0</v>
      </c>
      <c r="AD69" s="5">
        <f t="shared" si="5"/>
        <v>60</v>
      </c>
      <c r="AE69" s="5">
        <f t="shared" si="5"/>
        <v>0</v>
      </c>
      <c r="AF69" s="5">
        <f t="shared" si="5"/>
        <v>0</v>
      </c>
      <c r="AG69" s="5">
        <f t="shared" si="5"/>
        <v>0</v>
      </c>
      <c r="AH69" s="5">
        <f t="shared" si="5"/>
        <v>0</v>
      </c>
      <c r="AI69" s="5">
        <f t="shared" si="5"/>
        <v>0</v>
      </c>
      <c r="AJ69" s="5">
        <f t="shared" si="5"/>
        <v>0</v>
      </c>
      <c r="AK69" s="5">
        <f t="shared" si="5"/>
        <v>0</v>
      </c>
      <c r="AL69" s="5">
        <f t="shared" si="5"/>
        <v>0</v>
      </c>
      <c r="AM69" s="6">
        <f t="shared" si="2"/>
        <v>60</v>
      </c>
    </row>
    <row r="70" spans="1:39" x14ac:dyDescent="0.25">
      <c r="A70" s="4" t="s">
        <v>109</v>
      </c>
      <c r="B70" s="4" t="s">
        <v>110</v>
      </c>
      <c r="C70" s="4" t="s">
        <v>6</v>
      </c>
      <c r="D70" s="5">
        <v>9</v>
      </c>
      <c r="E70" s="6">
        <v>15</v>
      </c>
      <c r="F70" s="6">
        <v>18</v>
      </c>
      <c r="G70" s="6"/>
      <c r="H70" s="6">
        <v>19.5</v>
      </c>
      <c r="I70" s="6"/>
      <c r="J70" s="6">
        <v>30</v>
      </c>
      <c r="K70" s="6">
        <v>33</v>
      </c>
      <c r="L70" s="6"/>
      <c r="M70" s="6"/>
      <c r="N70" s="6"/>
      <c r="O70" s="3"/>
      <c r="P70" s="3"/>
      <c r="Q70" s="3"/>
      <c r="R70" s="3"/>
      <c r="S70" s="6">
        <f t="shared" si="0"/>
        <v>124.5</v>
      </c>
      <c r="T70">
        <v>1</v>
      </c>
      <c r="U70" s="4" t="s">
        <v>109</v>
      </c>
      <c r="V70" s="4" t="s">
        <v>110</v>
      </c>
      <c r="W70" s="4" t="s">
        <v>6</v>
      </c>
      <c r="X70" s="5">
        <f t="shared" ref="X70:AL86" si="6">IF(D70&lt;20,0,IF(D70&lt;25,20,IF(D70&lt;30,40,IF(D70&lt;=40,60+(D70-30)*3,60+30+(D70-40)*4))))</f>
        <v>0</v>
      </c>
      <c r="Y70" s="5">
        <f t="shared" si="6"/>
        <v>0</v>
      </c>
      <c r="Z70" s="5">
        <f t="shared" si="6"/>
        <v>0</v>
      </c>
      <c r="AA70" s="5">
        <f t="shared" si="6"/>
        <v>0</v>
      </c>
      <c r="AB70" s="5">
        <f t="shared" si="6"/>
        <v>0</v>
      </c>
      <c r="AC70" s="5">
        <f t="shared" si="6"/>
        <v>0</v>
      </c>
      <c r="AD70" s="5">
        <f t="shared" si="6"/>
        <v>60</v>
      </c>
      <c r="AE70" s="5">
        <f t="shared" si="6"/>
        <v>69</v>
      </c>
      <c r="AF70" s="5">
        <f t="shared" si="6"/>
        <v>0</v>
      </c>
      <c r="AG70" s="5">
        <f t="shared" si="6"/>
        <v>0</v>
      </c>
      <c r="AH70" s="5">
        <f t="shared" si="6"/>
        <v>0</v>
      </c>
      <c r="AI70" s="5">
        <f t="shared" si="6"/>
        <v>0</v>
      </c>
      <c r="AJ70" s="5">
        <f t="shared" si="6"/>
        <v>0</v>
      </c>
      <c r="AK70" s="5">
        <f t="shared" si="6"/>
        <v>0</v>
      </c>
      <c r="AL70" s="5">
        <f t="shared" si="6"/>
        <v>0</v>
      </c>
      <c r="AM70" s="6">
        <f t="shared" si="2"/>
        <v>129</v>
      </c>
    </row>
    <row r="71" spans="1:39" x14ac:dyDescent="0.25">
      <c r="A71" s="4" t="s">
        <v>111</v>
      </c>
      <c r="B71" s="4" t="s">
        <v>112</v>
      </c>
      <c r="C71" s="4" t="s">
        <v>6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3"/>
      <c r="P71" s="3"/>
      <c r="Q71" s="3"/>
      <c r="R71" s="3"/>
      <c r="S71" s="6">
        <f t="shared" si="0"/>
        <v>0</v>
      </c>
      <c r="T71">
        <v>1</v>
      </c>
      <c r="U71" s="4" t="s">
        <v>111</v>
      </c>
      <c r="V71" s="4" t="s">
        <v>112</v>
      </c>
      <c r="W71" s="4" t="s">
        <v>6</v>
      </c>
      <c r="X71" s="5">
        <f t="shared" si="6"/>
        <v>0</v>
      </c>
      <c r="Y71" s="5">
        <f t="shared" si="6"/>
        <v>0</v>
      </c>
      <c r="Z71" s="5">
        <f t="shared" si="6"/>
        <v>0</v>
      </c>
      <c r="AA71" s="5">
        <f t="shared" si="6"/>
        <v>0</v>
      </c>
      <c r="AB71" s="5">
        <f t="shared" si="6"/>
        <v>0</v>
      </c>
      <c r="AC71" s="5">
        <f t="shared" si="6"/>
        <v>0</v>
      </c>
      <c r="AD71" s="5">
        <f t="shared" si="6"/>
        <v>0</v>
      </c>
      <c r="AE71" s="5">
        <f t="shared" si="6"/>
        <v>0</v>
      </c>
      <c r="AF71" s="5">
        <f t="shared" si="6"/>
        <v>0</v>
      </c>
      <c r="AG71" s="5">
        <f t="shared" si="6"/>
        <v>0</v>
      </c>
      <c r="AH71" s="5">
        <f t="shared" si="6"/>
        <v>0</v>
      </c>
      <c r="AI71" s="5">
        <f t="shared" si="6"/>
        <v>0</v>
      </c>
      <c r="AJ71" s="5">
        <f t="shared" si="6"/>
        <v>0</v>
      </c>
      <c r="AK71" s="5">
        <f t="shared" si="6"/>
        <v>0</v>
      </c>
      <c r="AL71" s="5">
        <f t="shared" si="6"/>
        <v>0</v>
      </c>
      <c r="AM71" s="6">
        <f t="shared" si="2"/>
        <v>0</v>
      </c>
    </row>
    <row r="72" spans="1:39" x14ac:dyDescent="0.25">
      <c r="A72" s="4" t="s">
        <v>113</v>
      </c>
      <c r="B72" s="4" t="s">
        <v>114</v>
      </c>
      <c r="C72" s="4" t="s">
        <v>6</v>
      </c>
      <c r="D72" s="5">
        <v>6</v>
      </c>
      <c r="E72" s="6">
        <v>9</v>
      </c>
      <c r="F72" s="6"/>
      <c r="G72" s="6"/>
      <c r="H72" s="6"/>
      <c r="I72" s="6">
        <v>21</v>
      </c>
      <c r="J72" s="6">
        <v>30</v>
      </c>
      <c r="K72" s="6">
        <v>30</v>
      </c>
      <c r="L72" s="6"/>
      <c r="M72" s="6">
        <v>37.5</v>
      </c>
      <c r="N72" s="6"/>
      <c r="O72" s="3"/>
      <c r="P72" s="3"/>
      <c r="Q72" s="3"/>
      <c r="R72" s="3"/>
      <c r="S72" s="6">
        <f t="shared" si="0"/>
        <v>133.5</v>
      </c>
      <c r="T72">
        <v>1</v>
      </c>
      <c r="U72" s="4" t="s">
        <v>113</v>
      </c>
      <c r="V72" s="4" t="s">
        <v>114</v>
      </c>
      <c r="W72" s="4" t="s">
        <v>6</v>
      </c>
      <c r="X72" s="5">
        <f t="shared" si="6"/>
        <v>0</v>
      </c>
      <c r="Y72" s="5">
        <f t="shared" si="6"/>
        <v>0</v>
      </c>
      <c r="Z72" s="5">
        <f t="shared" si="6"/>
        <v>0</v>
      </c>
      <c r="AA72" s="5">
        <f t="shared" si="6"/>
        <v>0</v>
      </c>
      <c r="AB72" s="5">
        <f t="shared" si="6"/>
        <v>0</v>
      </c>
      <c r="AC72" s="5">
        <f t="shared" si="6"/>
        <v>20</v>
      </c>
      <c r="AD72" s="5">
        <f t="shared" si="6"/>
        <v>60</v>
      </c>
      <c r="AE72" s="5">
        <f t="shared" si="6"/>
        <v>60</v>
      </c>
      <c r="AF72" s="5">
        <f t="shared" si="6"/>
        <v>0</v>
      </c>
      <c r="AG72" s="5">
        <f t="shared" si="6"/>
        <v>82.5</v>
      </c>
      <c r="AH72" s="5">
        <f t="shared" si="6"/>
        <v>0</v>
      </c>
      <c r="AI72" s="5">
        <f t="shared" si="6"/>
        <v>0</v>
      </c>
      <c r="AJ72" s="5">
        <f t="shared" si="6"/>
        <v>0</v>
      </c>
      <c r="AK72" s="5">
        <f t="shared" si="6"/>
        <v>0</v>
      </c>
      <c r="AL72" s="5">
        <f t="shared" si="6"/>
        <v>0</v>
      </c>
      <c r="AM72" s="6">
        <f t="shared" si="2"/>
        <v>222.5</v>
      </c>
    </row>
    <row r="73" spans="1:39" x14ac:dyDescent="0.25">
      <c r="A73" s="4" t="s">
        <v>115</v>
      </c>
      <c r="B73" s="4" t="s">
        <v>116</v>
      </c>
      <c r="C73" s="4" t="s">
        <v>6</v>
      </c>
      <c r="D73" s="5">
        <v>10.5</v>
      </c>
      <c r="E73" s="6">
        <v>9</v>
      </c>
      <c r="F73" s="6">
        <v>21</v>
      </c>
      <c r="G73" s="6"/>
      <c r="H73" s="6">
        <v>21</v>
      </c>
      <c r="I73" s="6"/>
      <c r="J73" s="6"/>
      <c r="K73" s="6">
        <v>36</v>
      </c>
      <c r="L73" s="6"/>
      <c r="M73" s="6"/>
      <c r="N73" s="6"/>
      <c r="O73" s="3"/>
      <c r="P73" s="3"/>
      <c r="Q73" s="3"/>
      <c r="R73" s="3"/>
      <c r="S73" s="6">
        <f t="shared" si="0"/>
        <v>97.5</v>
      </c>
      <c r="T73">
        <v>1</v>
      </c>
      <c r="U73" s="4" t="s">
        <v>115</v>
      </c>
      <c r="V73" s="4" t="s">
        <v>116</v>
      </c>
      <c r="W73" s="4" t="s">
        <v>6</v>
      </c>
      <c r="X73" s="5">
        <f t="shared" si="6"/>
        <v>0</v>
      </c>
      <c r="Y73" s="5">
        <f t="shared" si="6"/>
        <v>0</v>
      </c>
      <c r="Z73" s="5">
        <f t="shared" si="6"/>
        <v>20</v>
      </c>
      <c r="AA73" s="5">
        <f t="shared" si="6"/>
        <v>0</v>
      </c>
      <c r="AB73" s="5">
        <f t="shared" si="6"/>
        <v>20</v>
      </c>
      <c r="AC73" s="5">
        <f t="shared" si="6"/>
        <v>0</v>
      </c>
      <c r="AD73" s="5">
        <f t="shared" si="6"/>
        <v>0</v>
      </c>
      <c r="AE73" s="5">
        <f t="shared" si="6"/>
        <v>78</v>
      </c>
      <c r="AF73" s="5">
        <f t="shared" si="6"/>
        <v>0</v>
      </c>
      <c r="AG73" s="5">
        <f t="shared" si="6"/>
        <v>0</v>
      </c>
      <c r="AH73" s="5">
        <f t="shared" si="6"/>
        <v>0</v>
      </c>
      <c r="AI73" s="5">
        <f t="shared" si="6"/>
        <v>0</v>
      </c>
      <c r="AJ73" s="5">
        <f t="shared" si="6"/>
        <v>0</v>
      </c>
      <c r="AK73" s="5">
        <f t="shared" si="6"/>
        <v>0</v>
      </c>
      <c r="AL73" s="5">
        <f t="shared" si="6"/>
        <v>0</v>
      </c>
      <c r="AM73" s="6">
        <f t="shared" si="2"/>
        <v>118</v>
      </c>
    </row>
    <row r="74" spans="1:39" x14ac:dyDescent="0.25">
      <c r="A74" s="4" t="s">
        <v>117</v>
      </c>
      <c r="B74" s="4" t="s">
        <v>118</v>
      </c>
      <c r="C74" s="4" t="s">
        <v>6</v>
      </c>
      <c r="D74" s="5">
        <v>6</v>
      </c>
      <c r="E74" s="6"/>
      <c r="F74" s="6"/>
      <c r="G74" s="6"/>
      <c r="H74" s="6"/>
      <c r="I74" s="6"/>
      <c r="J74" s="6">
        <v>21</v>
      </c>
      <c r="K74" s="6">
        <v>24</v>
      </c>
      <c r="L74" s="6"/>
      <c r="M74" s="6"/>
      <c r="N74" s="6"/>
      <c r="O74" s="3"/>
      <c r="P74" s="3"/>
      <c r="Q74" s="3"/>
      <c r="R74" s="3"/>
      <c r="S74" s="6">
        <f t="shared" si="0"/>
        <v>51</v>
      </c>
      <c r="T74">
        <v>1</v>
      </c>
      <c r="U74" s="4" t="s">
        <v>117</v>
      </c>
      <c r="V74" s="4" t="s">
        <v>118</v>
      </c>
      <c r="W74" s="4" t="s">
        <v>6</v>
      </c>
      <c r="X74" s="5">
        <f t="shared" si="6"/>
        <v>0</v>
      </c>
      <c r="Y74" s="5">
        <f t="shared" si="6"/>
        <v>0</v>
      </c>
      <c r="Z74" s="5">
        <f t="shared" si="6"/>
        <v>0</v>
      </c>
      <c r="AA74" s="5">
        <f t="shared" si="6"/>
        <v>0</v>
      </c>
      <c r="AB74" s="5">
        <f t="shared" si="6"/>
        <v>0</v>
      </c>
      <c r="AC74" s="5">
        <f t="shared" si="6"/>
        <v>0</v>
      </c>
      <c r="AD74" s="5">
        <f t="shared" si="6"/>
        <v>20</v>
      </c>
      <c r="AE74" s="5">
        <f t="shared" si="6"/>
        <v>20</v>
      </c>
      <c r="AF74" s="5">
        <f t="shared" si="6"/>
        <v>0</v>
      </c>
      <c r="AG74" s="5">
        <f t="shared" si="6"/>
        <v>0</v>
      </c>
      <c r="AH74" s="5">
        <f t="shared" si="6"/>
        <v>0</v>
      </c>
      <c r="AI74" s="5">
        <f t="shared" si="6"/>
        <v>0</v>
      </c>
      <c r="AJ74" s="5">
        <f t="shared" si="6"/>
        <v>0</v>
      </c>
      <c r="AK74" s="5">
        <f t="shared" si="6"/>
        <v>0</v>
      </c>
      <c r="AL74" s="5">
        <f t="shared" si="6"/>
        <v>0</v>
      </c>
      <c r="AM74" s="6">
        <f t="shared" si="2"/>
        <v>40</v>
      </c>
    </row>
    <row r="75" spans="1:39" x14ac:dyDescent="0.25">
      <c r="A75" s="4" t="s">
        <v>119</v>
      </c>
      <c r="B75" s="4" t="s">
        <v>120</v>
      </c>
      <c r="C75" s="4" t="s">
        <v>6</v>
      </c>
      <c r="D75" s="5">
        <v>4.5</v>
      </c>
      <c r="E75" s="6"/>
      <c r="F75" s="6"/>
      <c r="G75" s="6"/>
      <c r="H75" s="6"/>
      <c r="I75" s="6"/>
      <c r="J75" s="6">
        <v>31.5</v>
      </c>
      <c r="K75" s="6">
        <v>33</v>
      </c>
      <c r="L75" s="6"/>
      <c r="M75" s="6">
        <v>42</v>
      </c>
      <c r="N75" s="6"/>
      <c r="O75" s="3"/>
      <c r="P75" s="3"/>
      <c r="Q75" s="3"/>
      <c r="R75" s="3"/>
      <c r="S75" s="6">
        <f t="shared" si="0"/>
        <v>111</v>
      </c>
      <c r="T75">
        <v>1</v>
      </c>
      <c r="U75" s="4" t="s">
        <v>119</v>
      </c>
      <c r="V75" s="4" t="s">
        <v>120</v>
      </c>
      <c r="W75" s="4" t="s">
        <v>6</v>
      </c>
      <c r="X75" s="5">
        <f t="shared" si="6"/>
        <v>0</v>
      </c>
      <c r="Y75" s="5">
        <f t="shared" si="6"/>
        <v>0</v>
      </c>
      <c r="Z75" s="5">
        <f t="shared" si="6"/>
        <v>0</v>
      </c>
      <c r="AA75" s="5">
        <f t="shared" si="6"/>
        <v>0</v>
      </c>
      <c r="AB75" s="5">
        <f t="shared" si="6"/>
        <v>0</v>
      </c>
      <c r="AC75" s="5">
        <f t="shared" si="6"/>
        <v>0</v>
      </c>
      <c r="AD75" s="5">
        <f t="shared" si="6"/>
        <v>64.5</v>
      </c>
      <c r="AE75" s="5">
        <f t="shared" si="6"/>
        <v>69</v>
      </c>
      <c r="AF75" s="5">
        <f t="shared" si="6"/>
        <v>0</v>
      </c>
      <c r="AG75" s="5">
        <f t="shared" si="6"/>
        <v>98</v>
      </c>
      <c r="AH75" s="5">
        <f t="shared" si="6"/>
        <v>0</v>
      </c>
      <c r="AI75" s="5">
        <f t="shared" si="6"/>
        <v>0</v>
      </c>
      <c r="AJ75" s="5">
        <f t="shared" si="6"/>
        <v>0</v>
      </c>
      <c r="AK75" s="5">
        <f t="shared" si="6"/>
        <v>0</v>
      </c>
      <c r="AL75" s="5">
        <f t="shared" si="6"/>
        <v>0</v>
      </c>
      <c r="AM75" s="6">
        <f t="shared" si="2"/>
        <v>231.5</v>
      </c>
    </row>
    <row r="76" spans="1:39" x14ac:dyDescent="0.25">
      <c r="A76" s="4" t="s">
        <v>121</v>
      </c>
      <c r="B76" s="4" t="s">
        <v>122</v>
      </c>
      <c r="C76" s="4" t="s">
        <v>6</v>
      </c>
      <c r="D76" s="5">
        <v>9</v>
      </c>
      <c r="E76" s="6">
        <v>6</v>
      </c>
      <c r="F76" s="6"/>
      <c r="G76" s="6"/>
      <c r="H76" s="6">
        <v>23.5</v>
      </c>
      <c r="I76" s="6"/>
      <c r="J76" s="6">
        <v>25.5</v>
      </c>
      <c r="K76" s="6">
        <v>25.5</v>
      </c>
      <c r="L76" s="6"/>
      <c r="M76" s="6"/>
      <c r="N76" s="6"/>
      <c r="O76" s="3"/>
      <c r="P76" s="3"/>
      <c r="Q76" s="3"/>
      <c r="R76" s="3"/>
      <c r="S76" s="6">
        <f t="shared" si="0"/>
        <v>89.5</v>
      </c>
      <c r="T76">
        <v>1</v>
      </c>
      <c r="U76" s="4" t="s">
        <v>121</v>
      </c>
      <c r="V76" s="4" t="s">
        <v>122</v>
      </c>
      <c r="W76" s="4" t="s">
        <v>6</v>
      </c>
      <c r="X76" s="5">
        <f t="shared" si="6"/>
        <v>0</v>
      </c>
      <c r="Y76" s="5">
        <f t="shared" si="6"/>
        <v>0</v>
      </c>
      <c r="Z76" s="5">
        <f t="shared" si="6"/>
        <v>0</v>
      </c>
      <c r="AA76" s="5">
        <f t="shared" si="6"/>
        <v>0</v>
      </c>
      <c r="AB76" s="5">
        <f t="shared" si="6"/>
        <v>20</v>
      </c>
      <c r="AC76" s="5">
        <f t="shared" si="6"/>
        <v>0</v>
      </c>
      <c r="AD76" s="5">
        <f t="shared" si="6"/>
        <v>40</v>
      </c>
      <c r="AE76" s="5">
        <f t="shared" si="6"/>
        <v>40</v>
      </c>
      <c r="AF76" s="5">
        <f t="shared" si="6"/>
        <v>0</v>
      </c>
      <c r="AG76" s="5">
        <f t="shared" si="6"/>
        <v>0</v>
      </c>
      <c r="AH76" s="5">
        <f t="shared" si="6"/>
        <v>0</v>
      </c>
      <c r="AI76" s="5">
        <f t="shared" si="6"/>
        <v>0</v>
      </c>
      <c r="AJ76" s="5">
        <f t="shared" si="6"/>
        <v>0</v>
      </c>
      <c r="AK76" s="5">
        <f t="shared" si="6"/>
        <v>0</v>
      </c>
      <c r="AL76" s="5">
        <f t="shared" si="6"/>
        <v>0</v>
      </c>
      <c r="AM76" s="6">
        <f t="shared" si="2"/>
        <v>100</v>
      </c>
    </row>
    <row r="77" spans="1:39" x14ac:dyDescent="0.25">
      <c r="A77" s="4" t="s">
        <v>123</v>
      </c>
      <c r="B77" s="4" t="s">
        <v>124</v>
      </c>
      <c r="C77" s="4" t="s">
        <v>6</v>
      </c>
      <c r="D77" s="5"/>
      <c r="E77" s="6"/>
      <c r="F77" s="6"/>
      <c r="G77" s="6"/>
      <c r="H77" s="6"/>
      <c r="I77" s="6">
        <v>21</v>
      </c>
      <c r="J77" s="6">
        <v>30</v>
      </c>
      <c r="K77" s="6">
        <v>34.5</v>
      </c>
      <c r="L77" s="6"/>
      <c r="M77" s="6">
        <v>36</v>
      </c>
      <c r="N77" s="6"/>
      <c r="O77" s="3"/>
      <c r="P77" s="3"/>
      <c r="Q77" s="3"/>
      <c r="R77" s="3"/>
      <c r="S77" s="6">
        <f t="shared" si="0"/>
        <v>121.5</v>
      </c>
      <c r="T77">
        <v>1</v>
      </c>
      <c r="U77" s="4" t="s">
        <v>123</v>
      </c>
      <c r="V77" s="4" t="s">
        <v>124</v>
      </c>
      <c r="W77" s="4" t="s">
        <v>6</v>
      </c>
      <c r="X77" s="5">
        <f t="shared" si="6"/>
        <v>0</v>
      </c>
      <c r="Y77" s="5">
        <f t="shared" si="6"/>
        <v>0</v>
      </c>
      <c r="Z77" s="5">
        <f t="shared" si="6"/>
        <v>0</v>
      </c>
      <c r="AA77" s="5">
        <f t="shared" si="6"/>
        <v>0</v>
      </c>
      <c r="AB77" s="5">
        <f t="shared" si="6"/>
        <v>0</v>
      </c>
      <c r="AC77" s="5">
        <f t="shared" si="6"/>
        <v>20</v>
      </c>
      <c r="AD77" s="5">
        <f t="shared" si="6"/>
        <v>60</v>
      </c>
      <c r="AE77" s="5">
        <f t="shared" si="6"/>
        <v>73.5</v>
      </c>
      <c r="AF77" s="5">
        <f t="shared" si="6"/>
        <v>0</v>
      </c>
      <c r="AG77" s="5">
        <f t="shared" si="6"/>
        <v>78</v>
      </c>
      <c r="AH77" s="5">
        <f t="shared" si="6"/>
        <v>0</v>
      </c>
      <c r="AI77" s="5">
        <f t="shared" si="6"/>
        <v>0</v>
      </c>
      <c r="AJ77" s="5">
        <f t="shared" si="6"/>
        <v>0</v>
      </c>
      <c r="AK77" s="5">
        <f t="shared" si="6"/>
        <v>0</v>
      </c>
      <c r="AL77" s="5">
        <f t="shared" si="6"/>
        <v>0</v>
      </c>
      <c r="AM77" s="6">
        <f t="shared" si="2"/>
        <v>231.5</v>
      </c>
    </row>
    <row r="78" spans="1:39" x14ac:dyDescent="0.25">
      <c r="A78" s="4" t="s">
        <v>379</v>
      </c>
      <c r="B78" s="4" t="s">
        <v>380</v>
      </c>
      <c r="C78" s="4" t="s">
        <v>6</v>
      </c>
      <c r="D78" s="5"/>
      <c r="E78" s="6"/>
      <c r="F78" s="6"/>
      <c r="G78" s="6">
        <v>15</v>
      </c>
      <c r="H78" s="6">
        <v>20</v>
      </c>
      <c r="I78" s="6"/>
      <c r="J78" s="6">
        <v>30</v>
      </c>
      <c r="K78" s="6">
        <v>31.5</v>
      </c>
      <c r="L78" s="6"/>
      <c r="M78" s="6"/>
      <c r="N78" s="6"/>
      <c r="O78" s="3"/>
      <c r="P78" s="3"/>
      <c r="Q78" s="3"/>
      <c r="R78" s="3"/>
      <c r="S78" s="6">
        <f t="shared" si="0"/>
        <v>96.5</v>
      </c>
      <c r="T78">
        <v>1</v>
      </c>
      <c r="U78" s="4" t="s">
        <v>379</v>
      </c>
      <c r="V78" s="4" t="s">
        <v>380</v>
      </c>
      <c r="W78" s="4" t="s">
        <v>6</v>
      </c>
      <c r="X78" s="5">
        <f t="shared" si="6"/>
        <v>0</v>
      </c>
      <c r="Y78" s="5">
        <f t="shared" si="6"/>
        <v>0</v>
      </c>
      <c r="Z78" s="5">
        <f t="shared" si="6"/>
        <v>0</v>
      </c>
      <c r="AA78" s="5">
        <f t="shared" si="6"/>
        <v>0</v>
      </c>
      <c r="AB78" s="5">
        <f t="shared" si="6"/>
        <v>20</v>
      </c>
      <c r="AC78" s="5">
        <f t="shared" si="6"/>
        <v>0</v>
      </c>
      <c r="AD78" s="5">
        <f t="shared" si="6"/>
        <v>60</v>
      </c>
      <c r="AE78" s="5">
        <f t="shared" si="6"/>
        <v>64.5</v>
      </c>
      <c r="AF78" s="5">
        <f t="shared" si="6"/>
        <v>0</v>
      </c>
      <c r="AG78" s="5">
        <f t="shared" si="6"/>
        <v>0</v>
      </c>
      <c r="AH78" s="5">
        <f t="shared" si="6"/>
        <v>0</v>
      </c>
      <c r="AI78" s="5">
        <f t="shared" si="6"/>
        <v>0</v>
      </c>
      <c r="AJ78" s="5">
        <f t="shared" si="6"/>
        <v>0</v>
      </c>
      <c r="AK78" s="5">
        <f t="shared" si="6"/>
        <v>0</v>
      </c>
      <c r="AL78" s="5">
        <f t="shared" si="6"/>
        <v>0</v>
      </c>
      <c r="AM78" s="6">
        <f t="shared" si="2"/>
        <v>144.5</v>
      </c>
    </row>
    <row r="79" spans="1:39" x14ac:dyDescent="0.25">
      <c r="A79" s="4" t="s">
        <v>125</v>
      </c>
      <c r="B79" s="4" t="s">
        <v>126</v>
      </c>
      <c r="C79" s="4" t="s">
        <v>6</v>
      </c>
      <c r="D79" s="5"/>
      <c r="E79" s="6"/>
      <c r="F79" s="6"/>
      <c r="G79" s="6">
        <v>15</v>
      </c>
      <c r="H79" s="6"/>
      <c r="I79" s="6"/>
      <c r="J79" s="6"/>
      <c r="K79" s="6"/>
      <c r="L79" s="6"/>
      <c r="M79" s="6"/>
      <c r="N79" s="6"/>
      <c r="O79" s="3"/>
      <c r="P79" s="3"/>
      <c r="Q79" s="3"/>
      <c r="R79" s="3"/>
      <c r="S79" s="6">
        <f t="shared" si="0"/>
        <v>15</v>
      </c>
      <c r="T79">
        <v>1</v>
      </c>
      <c r="U79" s="4" t="s">
        <v>125</v>
      </c>
      <c r="V79" s="4" t="s">
        <v>126</v>
      </c>
      <c r="W79" s="4" t="s">
        <v>6</v>
      </c>
      <c r="X79" s="5">
        <f t="shared" si="6"/>
        <v>0</v>
      </c>
      <c r="Y79" s="5">
        <f t="shared" si="6"/>
        <v>0</v>
      </c>
      <c r="Z79" s="5">
        <f t="shared" si="6"/>
        <v>0</v>
      </c>
      <c r="AA79" s="5">
        <f t="shared" si="6"/>
        <v>0</v>
      </c>
      <c r="AB79" s="5">
        <f t="shared" si="6"/>
        <v>0</v>
      </c>
      <c r="AC79" s="5">
        <f t="shared" si="6"/>
        <v>0</v>
      </c>
      <c r="AD79" s="5">
        <f t="shared" si="6"/>
        <v>0</v>
      </c>
      <c r="AE79" s="5">
        <f t="shared" si="6"/>
        <v>0</v>
      </c>
      <c r="AF79" s="5">
        <f t="shared" si="6"/>
        <v>0</v>
      </c>
      <c r="AG79" s="5">
        <f t="shared" si="6"/>
        <v>0</v>
      </c>
      <c r="AH79" s="5">
        <f t="shared" si="6"/>
        <v>0</v>
      </c>
      <c r="AI79" s="5">
        <f t="shared" si="6"/>
        <v>0</v>
      </c>
      <c r="AJ79" s="5">
        <f t="shared" si="6"/>
        <v>0</v>
      </c>
      <c r="AK79" s="5">
        <f t="shared" si="6"/>
        <v>0</v>
      </c>
      <c r="AL79" s="5">
        <f t="shared" si="6"/>
        <v>0</v>
      </c>
      <c r="AM79" s="6">
        <f t="shared" si="2"/>
        <v>0</v>
      </c>
    </row>
    <row r="80" spans="1:39" x14ac:dyDescent="0.25">
      <c r="A80" s="4" t="s">
        <v>127</v>
      </c>
      <c r="B80" s="4" t="s">
        <v>128</v>
      </c>
      <c r="C80" s="4" t="s">
        <v>6</v>
      </c>
      <c r="D80" s="5">
        <v>7.5</v>
      </c>
      <c r="E80" s="6">
        <v>7.5</v>
      </c>
      <c r="F80" s="6">
        <v>13.5</v>
      </c>
      <c r="G80" s="6">
        <v>24</v>
      </c>
      <c r="H80" s="6">
        <v>26.5</v>
      </c>
      <c r="I80" s="6"/>
      <c r="J80" s="6">
        <v>24</v>
      </c>
      <c r="K80" s="6">
        <v>30</v>
      </c>
      <c r="L80" s="6"/>
      <c r="M80" s="6">
        <v>31.5</v>
      </c>
      <c r="N80" s="6"/>
      <c r="O80" s="3"/>
      <c r="P80" s="3"/>
      <c r="Q80" s="3"/>
      <c r="R80" s="3"/>
      <c r="S80" s="6">
        <f t="shared" si="0"/>
        <v>164.5</v>
      </c>
      <c r="T80">
        <v>1</v>
      </c>
      <c r="U80" s="4" t="s">
        <v>127</v>
      </c>
      <c r="V80" s="4" t="s">
        <v>128</v>
      </c>
      <c r="W80" s="4" t="s">
        <v>6</v>
      </c>
      <c r="X80" s="5">
        <f t="shared" si="6"/>
        <v>0</v>
      </c>
      <c r="Y80" s="5">
        <f t="shared" si="6"/>
        <v>0</v>
      </c>
      <c r="Z80" s="5">
        <f t="shared" si="6"/>
        <v>0</v>
      </c>
      <c r="AA80" s="5">
        <f t="shared" si="6"/>
        <v>20</v>
      </c>
      <c r="AB80" s="5">
        <f t="shared" si="6"/>
        <v>40</v>
      </c>
      <c r="AC80" s="5">
        <f t="shared" si="6"/>
        <v>0</v>
      </c>
      <c r="AD80" s="5">
        <f t="shared" si="6"/>
        <v>20</v>
      </c>
      <c r="AE80" s="5">
        <f t="shared" si="6"/>
        <v>60</v>
      </c>
      <c r="AF80" s="5">
        <f t="shared" si="6"/>
        <v>0</v>
      </c>
      <c r="AG80" s="5">
        <f t="shared" si="6"/>
        <v>64.5</v>
      </c>
      <c r="AH80" s="5">
        <f t="shared" si="6"/>
        <v>0</v>
      </c>
      <c r="AI80" s="5">
        <f t="shared" si="6"/>
        <v>0</v>
      </c>
      <c r="AJ80" s="5">
        <f t="shared" si="6"/>
        <v>0</v>
      </c>
      <c r="AK80" s="5">
        <f t="shared" si="6"/>
        <v>0</v>
      </c>
      <c r="AL80" s="5">
        <f t="shared" si="6"/>
        <v>0</v>
      </c>
      <c r="AM80" s="6">
        <f t="shared" si="2"/>
        <v>204.5</v>
      </c>
    </row>
    <row r="81" spans="1:39" x14ac:dyDescent="0.25">
      <c r="A81" s="4" t="s">
        <v>505</v>
      </c>
      <c r="B81" s="4" t="s">
        <v>506</v>
      </c>
      <c r="C81" s="4" t="s">
        <v>6</v>
      </c>
      <c r="D81" s="5"/>
      <c r="E81" s="6"/>
      <c r="F81" s="6">
        <v>4.5</v>
      </c>
      <c r="G81" s="6"/>
      <c r="H81" s="6">
        <v>4.5</v>
      </c>
      <c r="I81" s="6"/>
      <c r="J81" s="6">
        <v>10.5</v>
      </c>
      <c r="K81" s="6"/>
      <c r="L81" s="6">
        <v>25.5</v>
      </c>
      <c r="M81" s="6">
        <v>22.5</v>
      </c>
      <c r="N81" s="6"/>
      <c r="O81" s="3"/>
      <c r="P81" s="3"/>
      <c r="Q81" s="3"/>
      <c r="R81" s="3"/>
      <c r="S81" s="6">
        <f t="shared" si="0"/>
        <v>67.5</v>
      </c>
      <c r="T81">
        <v>1</v>
      </c>
      <c r="U81" s="4" t="s">
        <v>505</v>
      </c>
      <c r="V81" s="4" t="s">
        <v>506</v>
      </c>
      <c r="W81" s="4" t="s">
        <v>6</v>
      </c>
      <c r="X81" s="5">
        <f t="shared" si="6"/>
        <v>0</v>
      </c>
      <c r="Y81" s="5">
        <f t="shared" si="6"/>
        <v>0</v>
      </c>
      <c r="Z81" s="5">
        <f t="shared" si="6"/>
        <v>0</v>
      </c>
      <c r="AA81" s="5">
        <f t="shared" si="6"/>
        <v>0</v>
      </c>
      <c r="AB81" s="5">
        <f t="shared" si="6"/>
        <v>0</v>
      </c>
      <c r="AC81" s="5">
        <f t="shared" si="6"/>
        <v>0</v>
      </c>
      <c r="AD81" s="5">
        <f t="shared" si="6"/>
        <v>0</v>
      </c>
      <c r="AE81" s="5">
        <f t="shared" si="6"/>
        <v>0</v>
      </c>
      <c r="AF81" s="5">
        <f t="shared" si="6"/>
        <v>40</v>
      </c>
      <c r="AG81" s="5">
        <f t="shared" si="6"/>
        <v>20</v>
      </c>
      <c r="AH81" s="5">
        <f t="shared" si="6"/>
        <v>0</v>
      </c>
      <c r="AI81" s="5">
        <f t="shared" si="6"/>
        <v>0</v>
      </c>
      <c r="AJ81" s="5">
        <f t="shared" si="6"/>
        <v>0</v>
      </c>
      <c r="AK81" s="5">
        <f t="shared" si="6"/>
        <v>0</v>
      </c>
      <c r="AL81" s="5">
        <f t="shared" si="6"/>
        <v>0</v>
      </c>
      <c r="AM81" s="6">
        <f t="shared" si="2"/>
        <v>60</v>
      </c>
    </row>
    <row r="82" spans="1:39" x14ac:dyDescent="0.25">
      <c r="A82" s="4" t="s">
        <v>391</v>
      </c>
      <c r="B82" s="4" t="s">
        <v>392</v>
      </c>
      <c r="C82" s="4" t="s">
        <v>6</v>
      </c>
      <c r="D82" s="5"/>
      <c r="E82" s="6"/>
      <c r="F82" s="6">
        <v>6</v>
      </c>
      <c r="G82" s="6">
        <v>7.5</v>
      </c>
      <c r="H82" s="6">
        <v>9</v>
      </c>
      <c r="I82" s="6">
        <v>15</v>
      </c>
      <c r="J82" s="6">
        <v>15</v>
      </c>
      <c r="K82" s="6">
        <v>16.5</v>
      </c>
      <c r="L82" s="6">
        <v>33</v>
      </c>
      <c r="M82" s="6">
        <v>24</v>
      </c>
      <c r="N82" s="6"/>
      <c r="O82" s="3"/>
      <c r="P82" s="3"/>
      <c r="Q82" s="3"/>
      <c r="R82" s="3"/>
      <c r="S82" s="6">
        <f t="shared" si="0"/>
        <v>126</v>
      </c>
      <c r="T82">
        <v>1</v>
      </c>
      <c r="U82" s="4" t="s">
        <v>391</v>
      </c>
      <c r="V82" s="4" t="s">
        <v>392</v>
      </c>
      <c r="W82" s="4" t="s">
        <v>6</v>
      </c>
      <c r="X82" s="5">
        <f t="shared" si="6"/>
        <v>0</v>
      </c>
      <c r="Y82" s="5">
        <f t="shared" si="6"/>
        <v>0</v>
      </c>
      <c r="Z82" s="5">
        <f t="shared" si="6"/>
        <v>0</v>
      </c>
      <c r="AA82" s="5">
        <f t="shared" si="6"/>
        <v>0</v>
      </c>
      <c r="AB82" s="5">
        <f t="shared" si="6"/>
        <v>0</v>
      </c>
      <c r="AC82" s="5">
        <f t="shared" si="6"/>
        <v>0</v>
      </c>
      <c r="AD82" s="5">
        <f t="shared" si="6"/>
        <v>0</v>
      </c>
      <c r="AE82" s="5">
        <f t="shared" si="6"/>
        <v>0</v>
      </c>
      <c r="AF82" s="5">
        <f t="shared" si="6"/>
        <v>69</v>
      </c>
      <c r="AG82" s="5">
        <f t="shared" si="6"/>
        <v>20</v>
      </c>
      <c r="AH82" s="5">
        <f t="shared" si="6"/>
        <v>0</v>
      </c>
      <c r="AI82" s="5">
        <f t="shared" si="6"/>
        <v>0</v>
      </c>
      <c r="AJ82" s="5">
        <f t="shared" si="6"/>
        <v>0</v>
      </c>
      <c r="AK82" s="5">
        <f t="shared" si="6"/>
        <v>0</v>
      </c>
      <c r="AL82" s="5">
        <f t="shared" si="6"/>
        <v>0</v>
      </c>
      <c r="AM82" s="6">
        <f t="shared" si="2"/>
        <v>89</v>
      </c>
    </row>
    <row r="83" spans="1:39" x14ac:dyDescent="0.25">
      <c r="A83" s="4" t="s">
        <v>489</v>
      </c>
      <c r="B83" s="4" t="s">
        <v>490</v>
      </c>
      <c r="C83" s="4" t="s">
        <v>6</v>
      </c>
      <c r="D83" s="5"/>
      <c r="E83" s="6"/>
      <c r="F83" s="6">
        <v>4.5</v>
      </c>
      <c r="G83" s="6">
        <v>4.5</v>
      </c>
      <c r="H83" s="6">
        <v>9</v>
      </c>
      <c r="I83" s="6"/>
      <c r="J83" s="6">
        <v>10.5</v>
      </c>
      <c r="K83" s="6">
        <v>16.5</v>
      </c>
      <c r="L83" s="6">
        <v>30</v>
      </c>
      <c r="M83" s="6">
        <v>31.5</v>
      </c>
      <c r="N83" s="6"/>
      <c r="O83" s="3"/>
      <c r="P83" s="3"/>
      <c r="Q83" s="3"/>
      <c r="R83" s="3"/>
      <c r="S83" s="6">
        <f t="shared" si="0"/>
        <v>106.5</v>
      </c>
      <c r="T83">
        <v>1</v>
      </c>
      <c r="U83" s="4" t="s">
        <v>489</v>
      </c>
      <c r="V83" s="4" t="s">
        <v>490</v>
      </c>
      <c r="W83" s="4" t="s">
        <v>6</v>
      </c>
      <c r="X83" s="5">
        <f t="shared" si="6"/>
        <v>0</v>
      </c>
      <c r="Y83" s="5">
        <f t="shared" si="6"/>
        <v>0</v>
      </c>
      <c r="Z83" s="5">
        <f t="shared" si="6"/>
        <v>0</v>
      </c>
      <c r="AA83" s="5">
        <f t="shared" si="6"/>
        <v>0</v>
      </c>
      <c r="AB83" s="5">
        <f t="shared" si="6"/>
        <v>0</v>
      </c>
      <c r="AC83" s="5">
        <f t="shared" si="6"/>
        <v>0</v>
      </c>
      <c r="AD83" s="5">
        <f t="shared" si="6"/>
        <v>0</v>
      </c>
      <c r="AE83" s="5">
        <f t="shared" si="6"/>
        <v>0</v>
      </c>
      <c r="AF83" s="5">
        <f t="shared" si="6"/>
        <v>60</v>
      </c>
      <c r="AG83" s="5">
        <f t="shared" si="6"/>
        <v>64.5</v>
      </c>
      <c r="AH83" s="5">
        <f t="shared" si="6"/>
        <v>0</v>
      </c>
      <c r="AI83" s="5">
        <f t="shared" si="6"/>
        <v>0</v>
      </c>
      <c r="AJ83" s="5">
        <f t="shared" si="6"/>
        <v>0</v>
      </c>
      <c r="AK83" s="5">
        <f t="shared" si="6"/>
        <v>0</v>
      </c>
      <c r="AL83" s="5">
        <f t="shared" si="6"/>
        <v>0</v>
      </c>
      <c r="AM83" s="6">
        <f t="shared" si="2"/>
        <v>124.5</v>
      </c>
    </row>
    <row r="84" spans="1:39" x14ac:dyDescent="0.25">
      <c r="A84" s="4" t="s">
        <v>437</v>
      </c>
      <c r="B84" s="4" t="s">
        <v>438</v>
      </c>
      <c r="C84" s="4" t="s">
        <v>6</v>
      </c>
      <c r="D84" s="5"/>
      <c r="E84" s="6">
        <v>4.5</v>
      </c>
      <c r="F84" s="6">
        <v>3</v>
      </c>
      <c r="G84" s="6">
        <v>3</v>
      </c>
      <c r="H84" s="6">
        <v>4.5</v>
      </c>
      <c r="I84" s="6">
        <v>9</v>
      </c>
      <c r="J84" s="6">
        <v>7.5</v>
      </c>
      <c r="K84" s="6"/>
      <c r="L84" s="6"/>
      <c r="M84" s="6"/>
      <c r="N84" s="6"/>
      <c r="O84" s="3"/>
      <c r="P84" s="3"/>
      <c r="Q84" s="3"/>
      <c r="R84" s="3"/>
      <c r="S84" s="6">
        <f t="shared" si="0"/>
        <v>31.5</v>
      </c>
      <c r="T84">
        <v>1</v>
      </c>
      <c r="U84" s="4" t="s">
        <v>437</v>
      </c>
      <c r="V84" s="4" t="s">
        <v>438</v>
      </c>
      <c r="W84" s="4" t="s">
        <v>6</v>
      </c>
      <c r="X84" s="5">
        <f t="shared" si="6"/>
        <v>0</v>
      </c>
      <c r="Y84" s="5">
        <f t="shared" si="6"/>
        <v>0</v>
      </c>
      <c r="Z84" s="5">
        <f t="shared" si="6"/>
        <v>0</v>
      </c>
      <c r="AA84" s="5">
        <f t="shared" si="6"/>
        <v>0</v>
      </c>
      <c r="AB84" s="5">
        <f t="shared" si="6"/>
        <v>0</v>
      </c>
      <c r="AC84" s="5">
        <f t="shared" si="6"/>
        <v>0</v>
      </c>
      <c r="AD84" s="5">
        <f t="shared" si="6"/>
        <v>0</v>
      </c>
      <c r="AE84" s="5">
        <f t="shared" si="6"/>
        <v>0</v>
      </c>
      <c r="AF84" s="5">
        <f t="shared" si="6"/>
        <v>0</v>
      </c>
      <c r="AG84" s="5">
        <f t="shared" si="6"/>
        <v>0</v>
      </c>
      <c r="AH84" s="5">
        <f t="shared" si="6"/>
        <v>0</v>
      </c>
      <c r="AI84" s="5">
        <f t="shared" si="6"/>
        <v>0</v>
      </c>
      <c r="AJ84" s="5">
        <f t="shared" si="6"/>
        <v>0</v>
      </c>
      <c r="AK84" s="5">
        <f t="shared" si="6"/>
        <v>0</v>
      </c>
      <c r="AL84" s="5">
        <f t="shared" si="6"/>
        <v>0</v>
      </c>
      <c r="AM84" s="6">
        <f t="shared" si="2"/>
        <v>0</v>
      </c>
    </row>
    <row r="85" spans="1:39" x14ac:dyDescent="0.25">
      <c r="A85" s="4" t="s">
        <v>553</v>
      </c>
      <c r="B85" s="4" t="s">
        <v>554</v>
      </c>
      <c r="C85" s="4" t="s">
        <v>6</v>
      </c>
      <c r="D85" s="5"/>
      <c r="E85" s="6"/>
      <c r="F85" s="6"/>
      <c r="G85" s="6"/>
      <c r="H85" s="6"/>
      <c r="I85" s="6"/>
      <c r="J85" s="6"/>
      <c r="K85" s="6"/>
      <c r="L85" s="6">
        <v>30</v>
      </c>
      <c r="M85" s="6">
        <v>19.5</v>
      </c>
      <c r="N85" s="6"/>
      <c r="O85" s="3"/>
      <c r="P85" s="3"/>
      <c r="Q85" s="3"/>
      <c r="R85" s="3"/>
      <c r="S85" s="6">
        <f t="shared" si="0"/>
        <v>49.5</v>
      </c>
      <c r="T85">
        <v>1</v>
      </c>
      <c r="U85" s="4" t="s">
        <v>553</v>
      </c>
      <c r="V85" s="4" t="s">
        <v>554</v>
      </c>
      <c r="W85" s="4" t="s">
        <v>6</v>
      </c>
      <c r="X85" s="5">
        <f t="shared" si="6"/>
        <v>0</v>
      </c>
      <c r="Y85" s="5">
        <f t="shared" si="6"/>
        <v>0</v>
      </c>
      <c r="Z85" s="5">
        <f t="shared" si="6"/>
        <v>0</v>
      </c>
      <c r="AA85" s="5">
        <f t="shared" si="6"/>
        <v>0</v>
      </c>
      <c r="AB85" s="5">
        <f t="shared" si="6"/>
        <v>0</v>
      </c>
      <c r="AC85" s="5">
        <f t="shared" si="6"/>
        <v>0</v>
      </c>
      <c r="AD85" s="5">
        <f t="shared" si="6"/>
        <v>0</v>
      </c>
      <c r="AE85" s="5">
        <f t="shared" si="6"/>
        <v>0</v>
      </c>
      <c r="AF85" s="5">
        <f t="shared" si="6"/>
        <v>60</v>
      </c>
      <c r="AG85" s="5">
        <f t="shared" si="6"/>
        <v>0</v>
      </c>
      <c r="AH85" s="5">
        <f t="shared" si="6"/>
        <v>0</v>
      </c>
      <c r="AI85" s="5">
        <f t="shared" si="6"/>
        <v>0</v>
      </c>
      <c r="AJ85" s="5">
        <f t="shared" si="6"/>
        <v>0</v>
      </c>
      <c r="AK85" s="5">
        <f t="shared" si="6"/>
        <v>0</v>
      </c>
      <c r="AL85" s="5">
        <f t="shared" si="6"/>
        <v>0</v>
      </c>
      <c r="AM85" s="6">
        <f t="shared" si="2"/>
        <v>60</v>
      </c>
    </row>
    <row r="86" spans="1:39" x14ac:dyDescent="0.25">
      <c r="A86" s="4" t="s">
        <v>541</v>
      </c>
      <c r="B86" s="4" t="s">
        <v>542</v>
      </c>
      <c r="C86" s="4" t="s">
        <v>6</v>
      </c>
      <c r="D86" s="5"/>
      <c r="E86" s="6"/>
      <c r="F86" s="6"/>
      <c r="G86" s="6"/>
      <c r="H86" s="6"/>
      <c r="I86" s="6"/>
      <c r="J86" s="6">
        <v>6</v>
      </c>
      <c r="K86" s="6"/>
      <c r="L86" s="6">
        <v>16.5</v>
      </c>
      <c r="M86" s="6"/>
      <c r="N86" s="6"/>
      <c r="O86" s="3"/>
      <c r="P86" s="3"/>
      <c r="Q86" s="3"/>
      <c r="R86" s="3"/>
      <c r="S86" s="6">
        <f t="shared" si="0"/>
        <v>22.5</v>
      </c>
      <c r="T86">
        <v>1</v>
      </c>
      <c r="U86" s="4" t="s">
        <v>541</v>
      </c>
      <c r="V86" s="4" t="s">
        <v>542</v>
      </c>
      <c r="W86" s="4" t="s">
        <v>6</v>
      </c>
      <c r="X86" s="5">
        <f t="shared" si="6"/>
        <v>0</v>
      </c>
      <c r="Y86" s="5">
        <f t="shared" si="6"/>
        <v>0</v>
      </c>
      <c r="Z86" s="5">
        <f t="shared" si="6"/>
        <v>0</v>
      </c>
      <c r="AA86" s="5">
        <f t="shared" si="6"/>
        <v>0</v>
      </c>
      <c r="AB86" s="5">
        <f t="shared" si="6"/>
        <v>0</v>
      </c>
      <c r="AC86" s="5">
        <f t="shared" si="6"/>
        <v>0</v>
      </c>
      <c r="AD86" s="5">
        <f t="shared" si="6"/>
        <v>0</v>
      </c>
      <c r="AE86" s="5">
        <f t="shared" si="6"/>
        <v>0</v>
      </c>
      <c r="AF86" s="5">
        <f t="shared" si="6"/>
        <v>0</v>
      </c>
      <c r="AG86" s="5">
        <f t="shared" si="6"/>
        <v>0</v>
      </c>
      <c r="AH86" s="5">
        <f t="shared" si="6"/>
        <v>0</v>
      </c>
      <c r="AI86" s="5">
        <f t="shared" si="6"/>
        <v>0</v>
      </c>
      <c r="AJ86" s="5">
        <f t="shared" si="6"/>
        <v>0</v>
      </c>
      <c r="AK86" s="5">
        <f t="shared" si="6"/>
        <v>0</v>
      </c>
      <c r="AL86" s="5">
        <f t="shared" si="6"/>
        <v>0</v>
      </c>
      <c r="AM86" s="6">
        <f t="shared" si="2"/>
        <v>0</v>
      </c>
    </row>
    <row r="87" spans="1:39" x14ac:dyDescent="0.25">
      <c r="A87" s="4" t="s">
        <v>493</v>
      </c>
      <c r="B87" s="4" t="s">
        <v>494</v>
      </c>
      <c r="C87" s="4" t="s">
        <v>6</v>
      </c>
      <c r="D87" s="5"/>
      <c r="E87" s="6"/>
      <c r="F87" s="6"/>
      <c r="G87" s="6">
        <v>6</v>
      </c>
      <c r="H87" s="6"/>
      <c r="I87" s="6"/>
      <c r="J87" s="6"/>
      <c r="K87" s="6"/>
      <c r="L87" s="6"/>
      <c r="M87" s="6"/>
      <c r="N87" s="6"/>
      <c r="O87" s="3"/>
      <c r="P87" s="3"/>
      <c r="Q87" s="3"/>
      <c r="R87" s="3"/>
      <c r="S87" s="6">
        <f t="shared" si="0"/>
        <v>6</v>
      </c>
      <c r="T87">
        <v>1</v>
      </c>
      <c r="U87" s="4" t="s">
        <v>493</v>
      </c>
      <c r="V87" s="4" t="s">
        <v>494</v>
      </c>
      <c r="W87" s="4" t="s">
        <v>6</v>
      </c>
      <c r="X87" s="5">
        <f t="shared" ref="X87:AL103" si="7">IF(D87&lt;20,0,IF(D87&lt;25,20,IF(D87&lt;30,40,IF(D87&lt;=40,60+(D87-30)*3,60+30+(D87-40)*4))))</f>
        <v>0</v>
      </c>
      <c r="Y87" s="5">
        <f t="shared" si="7"/>
        <v>0</v>
      </c>
      <c r="Z87" s="5">
        <f t="shared" si="7"/>
        <v>0</v>
      </c>
      <c r="AA87" s="5">
        <f t="shared" si="7"/>
        <v>0</v>
      </c>
      <c r="AB87" s="5">
        <f t="shared" si="7"/>
        <v>0</v>
      </c>
      <c r="AC87" s="5">
        <f t="shared" si="7"/>
        <v>0</v>
      </c>
      <c r="AD87" s="5">
        <f t="shared" si="7"/>
        <v>0</v>
      </c>
      <c r="AE87" s="5">
        <f t="shared" si="7"/>
        <v>0</v>
      </c>
      <c r="AF87" s="5">
        <f t="shared" si="7"/>
        <v>0</v>
      </c>
      <c r="AG87" s="5">
        <f t="shared" si="7"/>
        <v>0</v>
      </c>
      <c r="AH87" s="5">
        <f t="shared" si="7"/>
        <v>0</v>
      </c>
      <c r="AI87" s="5">
        <f t="shared" si="7"/>
        <v>0</v>
      </c>
      <c r="AJ87" s="5">
        <f t="shared" si="7"/>
        <v>0</v>
      </c>
      <c r="AK87" s="5">
        <f t="shared" si="7"/>
        <v>0</v>
      </c>
      <c r="AL87" s="5">
        <f t="shared" si="7"/>
        <v>0</v>
      </c>
      <c r="AM87" s="6">
        <f t="shared" si="2"/>
        <v>0</v>
      </c>
    </row>
    <row r="88" spans="1:39" x14ac:dyDescent="0.25">
      <c r="A88" s="4" t="s">
        <v>393</v>
      </c>
      <c r="B88" s="4" t="s">
        <v>394</v>
      </c>
      <c r="C88" s="4" t="s">
        <v>6</v>
      </c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3"/>
      <c r="P88" s="3"/>
      <c r="Q88" s="3"/>
      <c r="R88" s="3"/>
      <c r="S88" s="6">
        <f t="shared" si="0"/>
        <v>0</v>
      </c>
      <c r="T88">
        <v>1</v>
      </c>
      <c r="U88" s="4" t="s">
        <v>393</v>
      </c>
      <c r="V88" s="4" t="s">
        <v>394</v>
      </c>
      <c r="W88" s="4" t="s">
        <v>6</v>
      </c>
      <c r="X88" s="5">
        <f t="shared" si="7"/>
        <v>0</v>
      </c>
      <c r="Y88" s="5">
        <f t="shared" si="7"/>
        <v>0</v>
      </c>
      <c r="Z88" s="5">
        <f t="shared" si="7"/>
        <v>0</v>
      </c>
      <c r="AA88" s="5">
        <f t="shared" si="7"/>
        <v>0</v>
      </c>
      <c r="AB88" s="5">
        <f t="shared" si="7"/>
        <v>0</v>
      </c>
      <c r="AC88" s="5">
        <f t="shared" si="7"/>
        <v>0</v>
      </c>
      <c r="AD88" s="5">
        <f t="shared" si="7"/>
        <v>0</v>
      </c>
      <c r="AE88" s="5">
        <f t="shared" si="7"/>
        <v>0</v>
      </c>
      <c r="AF88" s="5">
        <f t="shared" si="7"/>
        <v>0</v>
      </c>
      <c r="AG88" s="5">
        <f t="shared" si="7"/>
        <v>0</v>
      </c>
      <c r="AH88" s="5">
        <f t="shared" si="7"/>
        <v>0</v>
      </c>
      <c r="AI88" s="5">
        <f t="shared" si="7"/>
        <v>0</v>
      </c>
      <c r="AJ88" s="5">
        <f t="shared" si="7"/>
        <v>0</v>
      </c>
      <c r="AK88" s="5">
        <f t="shared" si="7"/>
        <v>0</v>
      </c>
      <c r="AL88" s="5">
        <f t="shared" si="7"/>
        <v>0</v>
      </c>
      <c r="AM88" s="6">
        <f t="shared" si="2"/>
        <v>0</v>
      </c>
    </row>
    <row r="89" spans="1:39" x14ac:dyDescent="0.25">
      <c r="A89" s="4" t="s">
        <v>395</v>
      </c>
      <c r="B89" s="4" t="s">
        <v>396</v>
      </c>
      <c r="C89" s="4" t="s">
        <v>6</v>
      </c>
      <c r="D89" s="5"/>
      <c r="E89" s="6"/>
      <c r="F89" s="6"/>
      <c r="G89" s="6"/>
      <c r="H89" s="6"/>
      <c r="I89" s="6"/>
      <c r="J89" s="6"/>
      <c r="K89" s="6">
        <v>7.5</v>
      </c>
      <c r="L89" s="6"/>
      <c r="M89" s="6">
        <v>28.5</v>
      </c>
      <c r="N89" s="6"/>
      <c r="O89" s="3"/>
      <c r="P89" s="3"/>
      <c r="Q89" s="3"/>
      <c r="R89" s="3"/>
      <c r="S89" s="6">
        <f t="shared" si="0"/>
        <v>36</v>
      </c>
      <c r="T89">
        <v>1</v>
      </c>
      <c r="U89" s="4" t="s">
        <v>395</v>
      </c>
      <c r="V89" s="4" t="s">
        <v>396</v>
      </c>
      <c r="W89" s="4" t="s">
        <v>6</v>
      </c>
      <c r="X89" s="5">
        <f t="shared" si="7"/>
        <v>0</v>
      </c>
      <c r="Y89" s="5">
        <f t="shared" si="7"/>
        <v>0</v>
      </c>
      <c r="Z89" s="5">
        <f t="shared" si="7"/>
        <v>0</v>
      </c>
      <c r="AA89" s="5">
        <f t="shared" si="7"/>
        <v>0</v>
      </c>
      <c r="AB89" s="5">
        <f t="shared" si="7"/>
        <v>0</v>
      </c>
      <c r="AC89" s="5">
        <f t="shared" si="7"/>
        <v>0</v>
      </c>
      <c r="AD89" s="5">
        <f t="shared" si="7"/>
        <v>0</v>
      </c>
      <c r="AE89" s="5">
        <f t="shared" si="7"/>
        <v>0</v>
      </c>
      <c r="AF89" s="5">
        <f t="shared" si="7"/>
        <v>0</v>
      </c>
      <c r="AG89" s="5">
        <f t="shared" si="7"/>
        <v>40</v>
      </c>
      <c r="AH89" s="5">
        <f t="shared" si="7"/>
        <v>0</v>
      </c>
      <c r="AI89" s="5">
        <f t="shared" si="7"/>
        <v>0</v>
      </c>
      <c r="AJ89" s="5">
        <f t="shared" si="7"/>
        <v>0</v>
      </c>
      <c r="AK89" s="5">
        <f t="shared" si="7"/>
        <v>0</v>
      </c>
      <c r="AL89" s="5">
        <f t="shared" si="7"/>
        <v>0</v>
      </c>
      <c r="AM89" s="6">
        <f t="shared" si="2"/>
        <v>40</v>
      </c>
    </row>
    <row r="90" spans="1:39" x14ac:dyDescent="0.25">
      <c r="A90" s="4" t="s">
        <v>397</v>
      </c>
      <c r="B90" s="4" t="s">
        <v>398</v>
      </c>
      <c r="C90" s="4" t="s">
        <v>6</v>
      </c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3"/>
      <c r="P90" s="3"/>
      <c r="Q90" s="3"/>
      <c r="R90" s="3"/>
      <c r="S90" s="6">
        <f t="shared" si="0"/>
        <v>0</v>
      </c>
      <c r="T90">
        <v>1</v>
      </c>
      <c r="U90" s="4" t="s">
        <v>397</v>
      </c>
      <c r="V90" s="4" t="s">
        <v>398</v>
      </c>
      <c r="W90" s="4" t="s">
        <v>6</v>
      </c>
      <c r="X90" s="5">
        <f t="shared" si="7"/>
        <v>0</v>
      </c>
      <c r="Y90" s="5">
        <f t="shared" si="7"/>
        <v>0</v>
      </c>
      <c r="Z90" s="5">
        <f t="shared" si="7"/>
        <v>0</v>
      </c>
      <c r="AA90" s="5">
        <f t="shared" si="7"/>
        <v>0</v>
      </c>
      <c r="AB90" s="5">
        <f t="shared" si="7"/>
        <v>0</v>
      </c>
      <c r="AC90" s="5">
        <f t="shared" si="7"/>
        <v>0</v>
      </c>
      <c r="AD90" s="5">
        <f t="shared" si="7"/>
        <v>0</v>
      </c>
      <c r="AE90" s="5">
        <f t="shared" si="7"/>
        <v>0</v>
      </c>
      <c r="AF90" s="5">
        <f t="shared" si="7"/>
        <v>0</v>
      </c>
      <c r="AG90" s="5">
        <f t="shared" si="7"/>
        <v>0</v>
      </c>
      <c r="AH90" s="5">
        <f t="shared" si="7"/>
        <v>0</v>
      </c>
      <c r="AI90" s="5">
        <f t="shared" si="7"/>
        <v>0</v>
      </c>
      <c r="AJ90" s="5">
        <f t="shared" si="7"/>
        <v>0</v>
      </c>
      <c r="AK90" s="5">
        <f t="shared" si="7"/>
        <v>0</v>
      </c>
      <c r="AL90" s="5">
        <f t="shared" si="7"/>
        <v>0</v>
      </c>
      <c r="AM90" s="6">
        <f t="shared" si="2"/>
        <v>0</v>
      </c>
    </row>
    <row r="91" spans="1:39" x14ac:dyDescent="0.25">
      <c r="A91" s="4" t="s">
        <v>399</v>
      </c>
      <c r="B91" s="4" t="s">
        <v>400</v>
      </c>
      <c r="C91" s="4" t="s">
        <v>6</v>
      </c>
      <c r="D91" s="5"/>
      <c r="E91" s="6"/>
      <c r="F91" s="6"/>
      <c r="G91" s="6"/>
      <c r="H91" s="6"/>
      <c r="I91" s="6"/>
      <c r="J91" s="6"/>
      <c r="K91" s="6">
        <v>6</v>
      </c>
      <c r="L91" s="6">
        <v>19.5</v>
      </c>
      <c r="M91" s="6">
        <v>19.5</v>
      </c>
      <c r="N91" s="6"/>
      <c r="O91" s="3"/>
      <c r="P91" s="3"/>
      <c r="Q91" s="3"/>
      <c r="R91" s="3"/>
      <c r="S91" s="6">
        <f t="shared" si="0"/>
        <v>45</v>
      </c>
      <c r="T91">
        <v>1</v>
      </c>
      <c r="U91" s="4" t="s">
        <v>399</v>
      </c>
      <c r="V91" s="4" t="s">
        <v>400</v>
      </c>
      <c r="W91" s="4" t="s">
        <v>6</v>
      </c>
      <c r="X91" s="5">
        <f t="shared" si="7"/>
        <v>0</v>
      </c>
      <c r="Y91" s="5">
        <f t="shared" si="7"/>
        <v>0</v>
      </c>
      <c r="Z91" s="5">
        <f t="shared" si="7"/>
        <v>0</v>
      </c>
      <c r="AA91" s="5">
        <f t="shared" si="7"/>
        <v>0</v>
      </c>
      <c r="AB91" s="5">
        <f t="shared" si="7"/>
        <v>0</v>
      </c>
      <c r="AC91" s="5">
        <f t="shared" si="7"/>
        <v>0</v>
      </c>
      <c r="AD91" s="5">
        <f t="shared" si="7"/>
        <v>0</v>
      </c>
      <c r="AE91" s="5">
        <f t="shared" si="7"/>
        <v>0</v>
      </c>
      <c r="AF91" s="5">
        <f t="shared" si="7"/>
        <v>0</v>
      </c>
      <c r="AG91" s="5">
        <f t="shared" si="7"/>
        <v>0</v>
      </c>
      <c r="AH91" s="5">
        <f t="shared" si="7"/>
        <v>0</v>
      </c>
      <c r="AI91" s="5">
        <f t="shared" si="7"/>
        <v>0</v>
      </c>
      <c r="AJ91" s="5">
        <f t="shared" si="7"/>
        <v>0</v>
      </c>
      <c r="AK91" s="5">
        <f t="shared" si="7"/>
        <v>0</v>
      </c>
      <c r="AL91" s="5">
        <f t="shared" si="7"/>
        <v>0</v>
      </c>
      <c r="AM91" s="6">
        <f t="shared" si="2"/>
        <v>0</v>
      </c>
    </row>
    <row r="92" spans="1:39" x14ac:dyDescent="0.25">
      <c r="A92" s="4" t="s">
        <v>401</v>
      </c>
      <c r="B92" s="4" t="s">
        <v>402</v>
      </c>
      <c r="C92" s="4" t="s">
        <v>6</v>
      </c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3"/>
      <c r="P92" s="3"/>
      <c r="Q92" s="3"/>
      <c r="R92" s="3"/>
      <c r="S92" s="6">
        <f t="shared" si="0"/>
        <v>0</v>
      </c>
      <c r="T92">
        <v>1</v>
      </c>
      <c r="U92" s="4" t="s">
        <v>401</v>
      </c>
      <c r="V92" s="4" t="s">
        <v>402</v>
      </c>
      <c r="W92" s="4" t="s">
        <v>6</v>
      </c>
      <c r="X92" s="5">
        <f t="shared" si="7"/>
        <v>0</v>
      </c>
      <c r="Y92" s="5">
        <f t="shared" si="7"/>
        <v>0</v>
      </c>
      <c r="Z92" s="5">
        <f t="shared" si="7"/>
        <v>0</v>
      </c>
      <c r="AA92" s="5">
        <f t="shared" si="7"/>
        <v>0</v>
      </c>
      <c r="AB92" s="5">
        <f t="shared" si="7"/>
        <v>0</v>
      </c>
      <c r="AC92" s="5">
        <f t="shared" si="7"/>
        <v>0</v>
      </c>
      <c r="AD92" s="5">
        <f t="shared" si="7"/>
        <v>0</v>
      </c>
      <c r="AE92" s="5">
        <f t="shared" si="7"/>
        <v>0</v>
      </c>
      <c r="AF92" s="5">
        <f t="shared" si="7"/>
        <v>0</v>
      </c>
      <c r="AG92" s="5">
        <f t="shared" si="7"/>
        <v>0</v>
      </c>
      <c r="AH92" s="5">
        <f t="shared" si="7"/>
        <v>0</v>
      </c>
      <c r="AI92" s="5">
        <f t="shared" si="7"/>
        <v>0</v>
      </c>
      <c r="AJ92" s="5">
        <f t="shared" si="7"/>
        <v>0</v>
      </c>
      <c r="AK92" s="5">
        <f t="shared" si="7"/>
        <v>0</v>
      </c>
      <c r="AL92" s="5">
        <f t="shared" si="7"/>
        <v>0</v>
      </c>
      <c r="AM92" s="6">
        <f t="shared" si="2"/>
        <v>0</v>
      </c>
    </row>
    <row r="93" spans="1:39" x14ac:dyDescent="0.25">
      <c r="A93" s="4" t="s">
        <v>403</v>
      </c>
      <c r="B93" s="4" t="s">
        <v>404</v>
      </c>
      <c r="C93" s="4" t="s">
        <v>6</v>
      </c>
      <c r="D93" s="5"/>
      <c r="E93" s="6"/>
      <c r="F93" s="6"/>
      <c r="G93" s="6"/>
      <c r="H93" s="6"/>
      <c r="I93" s="6"/>
      <c r="J93" s="6"/>
      <c r="K93" s="6"/>
      <c r="L93" s="6">
        <v>43.5</v>
      </c>
      <c r="M93" s="6">
        <v>18</v>
      </c>
      <c r="N93" s="6"/>
      <c r="O93" s="3"/>
      <c r="P93" s="3"/>
      <c r="Q93" s="3"/>
      <c r="R93" s="3"/>
      <c r="S93" s="6">
        <f t="shared" ref="S93:S157" si="8">SUM(D93:R93)</f>
        <v>61.5</v>
      </c>
      <c r="T93">
        <v>1</v>
      </c>
      <c r="U93" s="4" t="s">
        <v>403</v>
      </c>
      <c r="V93" s="4" t="s">
        <v>404</v>
      </c>
      <c r="W93" s="4" t="s">
        <v>6</v>
      </c>
      <c r="X93" s="5">
        <f t="shared" si="7"/>
        <v>0</v>
      </c>
      <c r="Y93" s="5">
        <f t="shared" si="7"/>
        <v>0</v>
      </c>
      <c r="Z93" s="5">
        <f t="shared" si="7"/>
        <v>0</v>
      </c>
      <c r="AA93" s="5">
        <f t="shared" si="7"/>
        <v>0</v>
      </c>
      <c r="AB93" s="5">
        <f t="shared" si="7"/>
        <v>0</v>
      </c>
      <c r="AC93" s="5">
        <f t="shared" si="7"/>
        <v>0</v>
      </c>
      <c r="AD93" s="5">
        <f t="shared" si="7"/>
        <v>0</v>
      </c>
      <c r="AE93" s="5">
        <f t="shared" si="7"/>
        <v>0</v>
      </c>
      <c r="AF93" s="5">
        <f t="shared" si="7"/>
        <v>104</v>
      </c>
      <c r="AG93" s="5">
        <f t="shared" si="7"/>
        <v>0</v>
      </c>
      <c r="AH93" s="5">
        <f t="shared" si="7"/>
        <v>0</v>
      </c>
      <c r="AI93" s="5">
        <f t="shared" si="7"/>
        <v>0</v>
      </c>
      <c r="AJ93" s="5">
        <f t="shared" si="7"/>
        <v>0</v>
      </c>
      <c r="AK93" s="5">
        <f t="shared" si="7"/>
        <v>0</v>
      </c>
      <c r="AL93" s="5">
        <f t="shared" si="7"/>
        <v>0</v>
      </c>
      <c r="AM93" s="6">
        <f t="shared" ref="AM93:AM157" si="9">SUM(X93:AL93)</f>
        <v>104</v>
      </c>
    </row>
    <row r="94" spans="1:39" x14ac:dyDescent="0.25">
      <c r="A94" s="4" t="s">
        <v>405</v>
      </c>
      <c r="B94" s="4" t="s">
        <v>406</v>
      </c>
      <c r="C94" s="4" t="s">
        <v>6</v>
      </c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3"/>
      <c r="P94" s="3"/>
      <c r="Q94" s="3"/>
      <c r="R94" s="3"/>
      <c r="S94" s="6">
        <f t="shared" si="8"/>
        <v>0</v>
      </c>
      <c r="T94">
        <v>1</v>
      </c>
      <c r="U94" s="4" t="s">
        <v>405</v>
      </c>
      <c r="V94" s="4" t="s">
        <v>406</v>
      </c>
      <c r="W94" s="4" t="s">
        <v>6</v>
      </c>
      <c r="X94" s="5">
        <f t="shared" si="7"/>
        <v>0</v>
      </c>
      <c r="Y94" s="5">
        <f t="shared" si="7"/>
        <v>0</v>
      </c>
      <c r="Z94" s="5">
        <f t="shared" si="7"/>
        <v>0</v>
      </c>
      <c r="AA94" s="5">
        <f t="shared" si="7"/>
        <v>0</v>
      </c>
      <c r="AB94" s="5">
        <f t="shared" si="7"/>
        <v>0</v>
      </c>
      <c r="AC94" s="5">
        <f t="shared" si="7"/>
        <v>0</v>
      </c>
      <c r="AD94" s="5">
        <f t="shared" si="7"/>
        <v>0</v>
      </c>
      <c r="AE94" s="5">
        <f t="shared" si="7"/>
        <v>0</v>
      </c>
      <c r="AF94" s="5">
        <f t="shared" si="7"/>
        <v>0</v>
      </c>
      <c r="AG94" s="5">
        <f t="shared" si="7"/>
        <v>0</v>
      </c>
      <c r="AH94" s="5">
        <f t="shared" si="7"/>
        <v>0</v>
      </c>
      <c r="AI94" s="5">
        <f t="shared" si="7"/>
        <v>0</v>
      </c>
      <c r="AJ94" s="5">
        <f t="shared" si="7"/>
        <v>0</v>
      </c>
      <c r="AK94" s="5">
        <f t="shared" si="7"/>
        <v>0</v>
      </c>
      <c r="AL94" s="5">
        <f t="shared" si="7"/>
        <v>0</v>
      </c>
      <c r="AM94" s="6">
        <f t="shared" si="9"/>
        <v>0</v>
      </c>
    </row>
    <row r="95" spans="1:39" x14ac:dyDescent="0.25">
      <c r="A95" s="4" t="s">
        <v>407</v>
      </c>
      <c r="B95" s="4" t="s">
        <v>408</v>
      </c>
      <c r="C95" s="4" t="s">
        <v>6</v>
      </c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3"/>
      <c r="P95" s="3"/>
      <c r="Q95" s="3"/>
      <c r="R95" s="3"/>
      <c r="S95" s="6">
        <f t="shared" si="8"/>
        <v>0</v>
      </c>
      <c r="T95">
        <v>1</v>
      </c>
      <c r="U95" s="4" t="s">
        <v>407</v>
      </c>
      <c r="V95" s="4" t="s">
        <v>408</v>
      </c>
      <c r="W95" s="4" t="s">
        <v>6</v>
      </c>
      <c r="X95" s="5">
        <f t="shared" si="7"/>
        <v>0</v>
      </c>
      <c r="Y95" s="5">
        <f t="shared" si="7"/>
        <v>0</v>
      </c>
      <c r="Z95" s="5">
        <f t="shared" si="7"/>
        <v>0</v>
      </c>
      <c r="AA95" s="5">
        <f t="shared" si="7"/>
        <v>0</v>
      </c>
      <c r="AB95" s="5">
        <f t="shared" si="7"/>
        <v>0</v>
      </c>
      <c r="AC95" s="5">
        <f t="shared" si="7"/>
        <v>0</v>
      </c>
      <c r="AD95" s="5">
        <f t="shared" si="7"/>
        <v>0</v>
      </c>
      <c r="AE95" s="5">
        <f t="shared" si="7"/>
        <v>0</v>
      </c>
      <c r="AF95" s="5">
        <f t="shared" si="7"/>
        <v>0</v>
      </c>
      <c r="AG95" s="5">
        <f t="shared" si="7"/>
        <v>0</v>
      </c>
      <c r="AH95" s="5">
        <f t="shared" si="7"/>
        <v>0</v>
      </c>
      <c r="AI95" s="5">
        <f t="shared" si="7"/>
        <v>0</v>
      </c>
      <c r="AJ95" s="5">
        <f t="shared" si="7"/>
        <v>0</v>
      </c>
      <c r="AK95" s="5">
        <f t="shared" si="7"/>
        <v>0</v>
      </c>
      <c r="AL95" s="5">
        <f t="shared" si="7"/>
        <v>0</v>
      </c>
      <c r="AM95" s="6">
        <f t="shared" si="9"/>
        <v>0</v>
      </c>
    </row>
    <row r="96" spans="1:39" x14ac:dyDescent="0.25">
      <c r="A96" s="4" t="s">
        <v>409</v>
      </c>
      <c r="B96" s="4" t="s">
        <v>410</v>
      </c>
      <c r="C96" s="4" t="s">
        <v>6</v>
      </c>
      <c r="D96" s="5"/>
      <c r="E96" s="6"/>
      <c r="F96" s="6"/>
      <c r="G96" s="6"/>
      <c r="H96" s="6"/>
      <c r="I96" s="6"/>
      <c r="J96" s="6"/>
      <c r="K96" s="6"/>
      <c r="L96" s="6">
        <v>42</v>
      </c>
      <c r="M96" s="6">
        <v>28.5</v>
      </c>
      <c r="N96" s="6"/>
      <c r="O96" s="3"/>
      <c r="P96" s="3"/>
      <c r="Q96" s="3"/>
      <c r="R96" s="3"/>
      <c r="S96" s="6">
        <f t="shared" si="8"/>
        <v>70.5</v>
      </c>
      <c r="T96">
        <v>1</v>
      </c>
      <c r="U96" s="4" t="s">
        <v>409</v>
      </c>
      <c r="V96" s="4" t="s">
        <v>410</v>
      </c>
      <c r="W96" s="4" t="s">
        <v>6</v>
      </c>
      <c r="X96" s="5">
        <f t="shared" si="7"/>
        <v>0</v>
      </c>
      <c r="Y96" s="5">
        <f t="shared" si="7"/>
        <v>0</v>
      </c>
      <c r="Z96" s="5">
        <f t="shared" si="7"/>
        <v>0</v>
      </c>
      <c r="AA96" s="5">
        <f t="shared" si="7"/>
        <v>0</v>
      </c>
      <c r="AB96" s="5">
        <f t="shared" si="7"/>
        <v>0</v>
      </c>
      <c r="AC96" s="5">
        <f t="shared" si="7"/>
        <v>0</v>
      </c>
      <c r="AD96" s="5">
        <f t="shared" si="7"/>
        <v>0</v>
      </c>
      <c r="AE96" s="5">
        <f t="shared" si="7"/>
        <v>0</v>
      </c>
      <c r="AF96" s="5">
        <f t="shared" si="7"/>
        <v>98</v>
      </c>
      <c r="AG96" s="5">
        <f t="shared" si="7"/>
        <v>40</v>
      </c>
      <c r="AH96" s="5">
        <f t="shared" si="7"/>
        <v>0</v>
      </c>
      <c r="AI96" s="5">
        <f t="shared" si="7"/>
        <v>0</v>
      </c>
      <c r="AJ96" s="5">
        <f t="shared" si="7"/>
        <v>0</v>
      </c>
      <c r="AK96" s="5">
        <f t="shared" si="7"/>
        <v>0</v>
      </c>
      <c r="AL96" s="5">
        <f t="shared" si="7"/>
        <v>0</v>
      </c>
      <c r="AM96" s="6">
        <f t="shared" si="9"/>
        <v>138</v>
      </c>
    </row>
    <row r="97" spans="1:39" x14ac:dyDescent="0.25">
      <c r="A97" s="4" t="s">
        <v>411</v>
      </c>
      <c r="B97" s="4" t="s">
        <v>412</v>
      </c>
      <c r="C97" s="4" t="s">
        <v>6</v>
      </c>
      <c r="D97" s="5"/>
      <c r="E97" s="6"/>
      <c r="F97" s="6"/>
      <c r="G97" s="6"/>
      <c r="H97" s="6"/>
      <c r="I97" s="6"/>
      <c r="J97" s="6"/>
      <c r="K97" s="6"/>
      <c r="L97" s="6">
        <v>22.5</v>
      </c>
      <c r="M97" s="6"/>
      <c r="N97" s="6"/>
      <c r="O97" s="3"/>
      <c r="P97" s="3"/>
      <c r="Q97" s="3"/>
      <c r="R97" s="3"/>
      <c r="S97" s="6">
        <f t="shared" si="8"/>
        <v>22.5</v>
      </c>
      <c r="T97">
        <v>1</v>
      </c>
      <c r="U97" s="4" t="s">
        <v>411</v>
      </c>
      <c r="V97" s="4" t="s">
        <v>412</v>
      </c>
      <c r="W97" s="4" t="s">
        <v>6</v>
      </c>
      <c r="X97" s="5">
        <f t="shared" si="7"/>
        <v>0</v>
      </c>
      <c r="Y97" s="5">
        <f t="shared" si="7"/>
        <v>0</v>
      </c>
      <c r="Z97" s="5">
        <f t="shared" si="7"/>
        <v>0</v>
      </c>
      <c r="AA97" s="5">
        <f t="shared" si="7"/>
        <v>0</v>
      </c>
      <c r="AB97" s="5">
        <f t="shared" si="7"/>
        <v>0</v>
      </c>
      <c r="AC97" s="5">
        <f t="shared" si="7"/>
        <v>0</v>
      </c>
      <c r="AD97" s="5">
        <f t="shared" si="7"/>
        <v>0</v>
      </c>
      <c r="AE97" s="5">
        <f t="shared" si="7"/>
        <v>0</v>
      </c>
      <c r="AF97" s="5">
        <f t="shared" si="7"/>
        <v>20</v>
      </c>
      <c r="AG97" s="5">
        <f t="shared" si="7"/>
        <v>0</v>
      </c>
      <c r="AH97" s="5">
        <f t="shared" si="7"/>
        <v>0</v>
      </c>
      <c r="AI97" s="5">
        <f t="shared" si="7"/>
        <v>0</v>
      </c>
      <c r="AJ97" s="5">
        <f t="shared" si="7"/>
        <v>0</v>
      </c>
      <c r="AK97" s="5">
        <f t="shared" si="7"/>
        <v>0</v>
      </c>
      <c r="AL97" s="5">
        <f t="shared" si="7"/>
        <v>0</v>
      </c>
      <c r="AM97" s="6">
        <f t="shared" si="9"/>
        <v>20</v>
      </c>
    </row>
    <row r="98" spans="1:39" x14ac:dyDescent="0.25">
      <c r="A98" s="4" t="s">
        <v>413</v>
      </c>
      <c r="B98" s="4" t="s">
        <v>414</v>
      </c>
      <c r="C98" s="4" t="s">
        <v>6</v>
      </c>
      <c r="D98" s="5"/>
      <c r="E98" s="6"/>
      <c r="F98" s="6"/>
      <c r="G98" s="6"/>
      <c r="H98" s="6"/>
      <c r="I98" s="6"/>
      <c r="J98" s="6"/>
      <c r="K98" s="6"/>
      <c r="L98" s="6">
        <v>34.5</v>
      </c>
      <c r="M98" s="6">
        <v>21</v>
      </c>
      <c r="N98" s="6"/>
      <c r="O98" s="3"/>
      <c r="P98" s="3"/>
      <c r="Q98" s="3"/>
      <c r="R98" s="3"/>
      <c r="S98" s="6">
        <f t="shared" si="8"/>
        <v>55.5</v>
      </c>
      <c r="T98">
        <v>1</v>
      </c>
      <c r="U98" s="4" t="s">
        <v>413</v>
      </c>
      <c r="V98" s="4" t="s">
        <v>414</v>
      </c>
      <c r="W98" s="4" t="s">
        <v>6</v>
      </c>
      <c r="X98" s="5">
        <f t="shared" si="7"/>
        <v>0</v>
      </c>
      <c r="Y98" s="5">
        <f t="shared" si="7"/>
        <v>0</v>
      </c>
      <c r="Z98" s="5">
        <f t="shared" si="7"/>
        <v>0</v>
      </c>
      <c r="AA98" s="5">
        <f t="shared" si="7"/>
        <v>0</v>
      </c>
      <c r="AB98" s="5">
        <f t="shared" si="7"/>
        <v>0</v>
      </c>
      <c r="AC98" s="5">
        <f t="shared" si="7"/>
        <v>0</v>
      </c>
      <c r="AD98" s="5">
        <f t="shared" si="7"/>
        <v>0</v>
      </c>
      <c r="AE98" s="5">
        <f t="shared" si="7"/>
        <v>0</v>
      </c>
      <c r="AF98" s="5">
        <f t="shared" si="7"/>
        <v>73.5</v>
      </c>
      <c r="AG98" s="5">
        <f t="shared" si="7"/>
        <v>20</v>
      </c>
      <c r="AH98" s="5">
        <f t="shared" si="7"/>
        <v>0</v>
      </c>
      <c r="AI98" s="5">
        <f t="shared" si="7"/>
        <v>0</v>
      </c>
      <c r="AJ98" s="5">
        <f t="shared" si="7"/>
        <v>0</v>
      </c>
      <c r="AK98" s="5">
        <f t="shared" si="7"/>
        <v>0</v>
      </c>
      <c r="AL98" s="5">
        <f t="shared" si="7"/>
        <v>0</v>
      </c>
      <c r="AM98" s="6">
        <f t="shared" si="9"/>
        <v>93.5</v>
      </c>
    </row>
    <row r="99" spans="1:39" x14ac:dyDescent="0.25">
      <c r="A99" s="4" t="s">
        <v>415</v>
      </c>
      <c r="B99" s="4" t="s">
        <v>416</v>
      </c>
      <c r="C99" s="4" t="s">
        <v>6</v>
      </c>
      <c r="D99" s="5"/>
      <c r="E99" s="6"/>
      <c r="F99" s="6"/>
      <c r="G99" s="6"/>
      <c r="H99" s="6"/>
      <c r="I99" s="6"/>
      <c r="J99" s="6"/>
      <c r="K99" s="6"/>
      <c r="L99" s="6">
        <v>16.5</v>
      </c>
      <c r="M99" s="6"/>
      <c r="N99" s="6"/>
      <c r="O99" s="3"/>
      <c r="P99" s="3"/>
      <c r="Q99" s="3"/>
      <c r="R99" s="3"/>
      <c r="S99" s="6">
        <f t="shared" si="8"/>
        <v>16.5</v>
      </c>
      <c r="T99">
        <v>1</v>
      </c>
      <c r="U99" s="4" t="s">
        <v>415</v>
      </c>
      <c r="V99" s="4" t="s">
        <v>416</v>
      </c>
      <c r="W99" s="4" t="s">
        <v>6</v>
      </c>
      <c r="X99" s="5">
        <f t="shared" si="7"/>
        <v>0</v>
      </c>
      <c r="Y99" s="5">
        <f t="shared" si="7"/>
        <v>0</v>
      </c>
      <c r="Z99" s="5">
        <f t="shared" si="7"/>
        <v>0</v>
      </c>
      <c r="AA99" s="5">
        <f t="shared" si="7"/>
        <v>0</v>
      </c>
      <c r="AB99" s="5">
        <f t="shared" si="7"/>
        <v>0</v>
      </c>
      <c r="AC99" s="5">
        <f t="shared" si="7"/>
        <v>0</v>
      </c>
      <c r="AD99" s="5">
        <f t="shared" si="7"/>
        <v>0</v>
      </c>
      <c r="AE99" s="5">
        <f t="shared" si="7"/>
        <v>0</v>
      </c>
      <c r="AF99" s="5">
        <f t="shared" si="7"/>
        <v>0</v>
      </c>
      <c r="AG99" s="5">
        <f t="shared" si="7"/>
        <v>0</v>
      </c>
      <c r="AH99" s="5">
        <f t="shared" si="7"/>
        <v>0</v>
      </c>
      <c r="AI99" s="5">
        <f t="shared" si="7"/>
        <v>0</v>
      </c>
      <c r="AJ99" s="5">
        <f t="shared" si="7"/>
        <v>0</v>
      </c>
      <c r="AK99" s="5">
        <f t="shared" si="7"/>
        <v>0</v>
      </c>
      <c r="AL99" s="5">
        <f t="shared" si="7"/>
        <v>0</v>
      </c>
      <c r="AM99" s="6">
        <f t="shared" si="9"/>
        <v>0</v>
      </c>
    </row>
    <row r="100" spans="1:39" x14ac:dyDescent="0.25">
      <c r="A100" s="4" t="s">
        <v>417</v>
      </c>
      <c r="B100" s="4" t="s">
        <v>418</v>
      </c>
      <c r="C100" s="4" t="s">
        <v>6</v>
      </c>
      <c r="D100" s="5"/>
      <c r="E100" s="6"/>
      <c r="F100" s="6"/>
      <c r="G100" s="6"/>
      <c r="H100" s="6"/>
      <c r="I100" s="6">
        <v>9</v>
      </c>
      <c r="J100" s="6">
        <v>10.5</v>
      </c>
      <c r="K100" s="6">
        <v>16.5</v>
      </c>
      <c r="L100" s="6"/>
      <c r="M100" s="6">
        <v>25.5</v>
      </c>
      <c r="N100" s="6"/>
      <c r="O100" s="3"/>
      <c r="P100" s="3"/>
      <c r="Q100" s="3"/>
      <c r="R100" s="3"/>
      <c r="S100" s="6">
        <f t="shared" si="8"/>
        <v>61.5</v>
      </c>
      <c r="T100">
        <v>1</v>
      </c>
      <c r="U100" s="4" t="s">
        <v>417</v>
      </c>
      <c r="V100" s="4" t="s">
        <v>418</v>
      </c>
      <c r="W100" s="4" t="s">
        <v>6</v>
      </c>
      <c r="X100" s="5">
        <f t="shared" si="7"/>
        <v>0</v>
      </c>
      <c r="Y100" s="5">
        <f t="shared" si="7"/>
        <v>0</v>
      </c>
      <c r="Z100" s="5">
        <f t="shared" si="7"/>
        <v>0</v>
      </c>
      <c r="AA100" s="5">
        <f t="shared" si="7"/>
        <v>0</v>
      </c>
      <c r="AB100" s="5">
        <f t="shared" si="7"/>
        <v>0</v>
      </c>
      <c r="AC100" s="5">
        <f t="shared" si="7"/>
        <v>0</v>
      </c>
      <c r="AD100" s="5">
        <f t="shared" si="7"/>
        <v>0</v>
      </c>
      <c r="AE100" s="5">
        <f t="shared" si="7"/>
        <v>0</v>
      </c>
      <c r="AF100" s="5">
        <f t="shared" si="7"/>
        <v>0</v>
      </c>
      <c r="AG100" s="5">
        <f t="shared" si="7"/>
        <v>40</v>
      </c>
      <c r="AH100" s="5">
        <f t="shared" si="7"/>
        <v>0</v>
      </c>
      <c r="AI100" s="5">
        <f t="shared" si="7"/>
        <v>0</v>
      </c>
      <c r="AJ100" s="5">
        <f t="shared" si="7"/>
        <v>0</v>
      </c>
      <c r="AK100" s="5">
        <f t="shared" si="7"/>
        <v>0</v>
      </c>
      <c r="AL100" s="5">
        <f t="shared" si="7"/>
        <v>0</v>
      </c>
      <c r="AM100" s="6">
        <f t="shared" si="9"/>
        <v>40</v>
      </c>
    </row>
    <row r="101" spans="1:39" x14ac:dyDescent="0.25">
      <c r="A101" s="4" t="s">
        <v>419</v>
      </c>
      <c r="B101" s="4" t="s">
        <v>420</v>
      </c>
      <c r="C101" s="4" t="s">
        <v>6</v>
      </c>
      <c r="D101" s="5"/>
      <c r="E101" s="6"/>
      <c r="F101" s="6"/>
      <c r="G101" s="6"/>
      <c r="H101" s="6"/>
      <c r="I101" s="6"/>
      <c r="J101" s="6"/>
      <c r="K101" s="6"/>
      <c r="L101" s="6">
        <v>19.5</v>
      </c>
      <c r="M101" s="6">
        <v>24</v>
      </c>
      <c r="N101" s="6"/>
      <c r="O101" s="3"/>
      <c r="P101" s="3"/>
      <c r="Q101" s="3"/>
      <c r="R101" s="3"/>
      <c r="S101" s="6">
        <f t="shared" si="8"/>
        <v>43.5</v>
      </c>
      <c r="T101">
        <v>1</v>
      </c>
      <c r="U101" s="4" t="s">
        <v>419</v>
      </c>
      <c r="V101" s="4" t="s">
        <v>420</v>
      </c>
      <c r="W101" s="4" t="s">
        <v>6</v>
      </c>
      <c r="X101" s="5">
        <f t="shared" si="7"/>
        <v>0</v>
      </c>
      <c r="Y101" s="5">
        <f t="shared" si="7"/>
        <v>0</v>
      </c>
      <c r="Z101" s="5">
        <f t="shared" si="7"/>
        <v>0</v>
      </c>
      <c r="AA101" s="5">
        <f t="shared" si="7"/>
        <v>0</v>
      </c>
      <c r="AB101" s="5">
        <f t="shared" si="7"/>
        <v>0</v>
      </c>
      <c r="AC101" s="5">
        <f t="shared" si="7"/>
        <v>0</v>
      </c>
      <c r="AD101" s="5">
        <f t="shared" si="7"/>
        <v>0</v>
      </c>
      <c r="AE101" s="5">
        <f t="shared" si="7"/>
        <v>0</v>
      </c>
      <c r="AF101" s="5">
        <f t="shared" si="7"/>
        <v>0</v>
      </c>
      <c r="AG101" s="5">
        <f t="shared" si="7"/>
        <v>20</v>
      </c>
      <c r="AH101" s="5">
        <f t="shared" si="7"/>
        <v>0</v>
      </c>
      <c r="AI101" s="5">
        <f t="shared" si="7"/>
        <v>0</v>
      </c>
      <c r="AJ101" s="5">
        <f t="shared" si="7"/>
        <v>0</v>
      </c>
      <c r="AK101" s="5">
        <f t="shared" si="7"/>
        <v>0</v>
      </c>
      <c r="AL101" s="5">
        <f t="shared" si="7"/>
        <v>0</v>
      </c>
      <c r="AM101" s="6">
        <f t="shared" si="9"/>
        <v>20</v>
      </c>
    </row>
    <row r="102" spans="1:39" x14ac:dyDescent="0.25">
      <c r="A102" s="4" t="s">
        <v>421</v>
      </c>
      <c r="B102" s="4" t="s">
        <v>422</v>
      </c>
      <c r="C102" s="4" t="s">
        <v>6</v>
      </c>
      <c r="D102" s="5">
        <v>7.5</v>
      </c>
      <c r="E102" s="6">
        <v>4.5</v>
      </c>
      <c r="F102" s="6">
        <v>3</v>
      </c>
      <c r="G102" s="6">
        <v>6</v>
      </c>
      <c r="H102" s="6"/>
      <c r="I102" s="6">
        <v>15</v>
      </c>
      <c r="J102" s="6">
        <v>12</v>
      </c>
      <c r="K102" s="6">
        <v>18</v>
      </c>
      <c r="L102" s="6">
        <v>33</v>
      </c>
      <c r="M102" s="6">
        <v>21</v>
      </c>
      <c r="N102" s="6"/>
      <c r="O102" s="3"/>
      <c r="P102" s="3"/>
      <c r="Q102" s="3"/>
      <c r="R102" s="3"/>
      <c r="S102" s="6">
        <f t="shared" si="8"/>
        <v>120</v>
      </c>
      <c r="T102">
        <v>1</v>
      </c>
      <c r="U102" s="4" t="s">
        <v>421</v>
      </c>
      <c r="V102" s="4" t="s">
        <v>422</v>
      </c>
      <c r="W102" s="4" t="s">
        <v>6</v>
      </c>
      <c r="X102" s="5">
        <f t="shared" si="7"/>
        <v>0</v>
      </c>
      <c r="Y102" s="5">
        <f t="shared" si="7"/>
        <v>0</v>
      </c>
      <c r="Z102" s="5">
        <f t="shared" si="7"/>
        <v>0</v>
      </c>
      <c r="AA102" s="5">
        <f t="shared" si="7"/>
        <v>0</v>
      </c>
      <c r="AB102" s="5">
        <f t="shared" si="7"/>
        <v>0</v>
      </c>
      <c r="AC102" s="5">
        <f t="shared" si="7"/>
        <v>0</v>
      </c>
      <c r="AD102" s="5">
        <f t="shared" si="7"/>
        <v>0</v>
      </c>
      <c r="AE102" s="5">
        <f t="shared" si="7"/>
        <v>0</v>
      </c>
      <c r="AF102" s="5">
        <f t="shared" si="7"/>
        <v>69</v>
      </c>
      <c r="AG102" s="5">
        <f t="shared" si="7"/>
        <v>20</v>
      </c>
      <c r="AH102" s="5">
        <f t="shared" si="7"/>
        <v>0</v>
      </c>
      <c r="AI102" s="5">
        <f t="shared" si="7"/>
        <v>0</v>
      </c>
      <c r="AJ102" s="5">
        <f t="shared" si="7"/>
        <v>0</v>
      </c>
      <c r="AK102" s="5">
        <f t="shared" si="7"/>
        <v>0</v>
      </c>
      <c r="AL102" s="5">
        <f t="shared" si="7"/>
        <v>0</v>
      </c>
      <c r="AM102" s="6">
        <f t="shared" si="9"/>
        <v>89</v>
      </c>
    </row>
    <row r="103" spans="1:39" x14ac:dyDescent="0.25">
      <c r="A103" s="4" t="s">
        <v>423</v>
      </c>
      <c r="B103" s="4" t="s">
        <v>424</v>
      </c>
      <c r="C103" s="4" t="s">
        <v>6</v>
      </c>
      <c r="D103" s="5">
        <v>3</v>
      </c>
      <c r="E103" s="6">
        <v>6</v>
      </c>
      <c r="F103" s="6">
        <v>4.5</v>
      </c>
      <c r="G103" s="6">
        <v>6</v>
      </c>
      <c r="H103" s="6">
        <v>7.5</v>
      </c>
      <c r="I103" s="6">
        <v>7.5</v>
      </c>
      <c r="J103" s="6">
        <v>9</v>
      </c>
      <c r="K103" s="6"/>
      <c r="L103" s="6"/>
      <c r="M103" s="6">
        <v>24</v>
      </c>
      <c r="N103" s="6"/>
      <c r="O103" s="3"/>
      <c r="P103" s="3"/>
      <c r="Q103" s="3"/>
      <c r="R103" s="3"/>
      <c r="S103" s="6">
        <f t="shared" si="8"/>
        <v>67.5</v>
      </c>
      <c r="T103">
        <v>1</v>
      </c>
      <c r="U103" s="4" t="s">
        <v>423</v>
      </c>
      <c r="V103" s="4" t="s">
        <v>424</v>
      </c>
      <c r="W103" s="4" t="s">
        <v>6</v>
      </c>
      <c r="X103" s="5">
        <f t="shared" si="7"/>
        <v>0</v>
      </c>
      <c r="Y103" s="5">
        <f t="shared" si="7"/>
        <v>0</v>
      </c>
      <c r="Z103" s="5">
        <f t="shared" si="7"/>
        <v>0</v>
      </c>
      <c r="AA103" s="5">
        <f t="shared" si="7"/>
        <v>0</v>
      </c>
      <c r="AB103" s="5">
        <f t="shared" si="7"/>
        <v>0</v>
      </c>
      <c r="AC103" s="5">
        <f t="shared" si="7"/>
        <v>0</v>
      </c>
      <c r="AD103" s="5">
        <f t="shared" si="7"/>
        <v>0</v>
      </c>
      <c r="AE103" s="5">
        <f t="shared" si="7"/>
        <v>0</v>
      </c>
      <c r="AF103" s="5">
        <f t="shared" si="7"/>
        <v>0</v>
      </c>
      <c r="AG103" s="5">
        <f t="shared" si="7"/>
        <v>20</v>
      </c>
      <c r="AH103" s="5">
        <f t="shared" si="7"/>
        <v>0</v>
      </c>
      <c r="AI103" s="5">
        <f t="shared" si="7"/>
        <v>0</v>
      </c>
      <c r="AJ103" s="5">
        <f t="shared" si="7"/>
        <v>0</v>
      </c>
      <c r="AK103" s="5">
        <f t="shared" si="7"/>
        <v>0</v>
      </c>
      <c r="AL103" s="5">
        <f t="shared" si="7"/>
        <v>0</v>
      </c>
      <c r="AM103" s="6">
        <f t="shared" si="9"/>
        <v>20</v>
      </c>
    </row>
    <row r="104" spans="1:39" x14ac:dyDescent="0.25">
      <c r="A104" s="4" t="s">
        <v>425</v>
      </c>
      <c r="B104" s="4" t="s">
        <v>426</v>
      </c>
      <c r="C104" s="4" t="s">
        <v>6</v>
      </c>
      <c r="D104" s="5">
        <v>4.5</v>
      </c>
      <c r="E104" s="6">
        <v>4.5</v>
      </c>
      <c r="F104" s="6">
        <v>4.5</v>
      </c>
      <c r="G104" s="6">
        <v>4.5</v>
      </c>
      <c r="H104" s="6">
        <v>4.5</v>
      </c>
      <c r="I104" s="6">
        <v>6</v>
      </c>
      <c r="J104" s="6">
        <v>9</v>
      </c>
      <c r="K104" s="6"/>
      <c r="L104" s="6"/>
      <c r="M104" s="6">
        <v>19.5</v>
      </c>
      <c r="N104" s="6"/>
      <c r="O104" s="3"/>
      <c r="P104" s="3"/>
      <c r="Q104" s="3"/>
      <c r="R104" s="3"/>
      <c r="S104" s="6">
        <f t="shared" si="8"/>
        <v>57</v>
      </c>
      <c r="T104">
        <v>1</v>
      </c>
      <c r="U104" s="4" t="s">
        <v>425</v>
      </c>
      <c r="V104" s="4" t="s">
        <v>426</v>
      </c>
      <c r="W104" s="4" t="s">
        <v>6</v>
      </c>
      <c r="X104" s="5">
        <f t="shared" ref="X104:AL120" si="10">IF(D104&lt;20,0,IF(D104&lt;25,20,IF(D104&lt;30,40,IF(D104&lt;=40,60+(D104-30)*3,60+30+(D104-40)*4))))</f>
        <v>0</v>
      </c>
      <c r="Y104" s="5">
        <f t="shared" si="10"/>
        <v>0</v>
      </c>
      <c r="Z104" s="5">
        <f t="shared" si="10"/>
        <v>0</v>
      </c>
      <c r="AA104" s="5">
        <f t="shared" si="10"/>
        <v>0</v>
      </c>
      <c r="AB104" s="5">
        <f t="shared" si="10"/>
        <v>0</v>
      </c>
      <c r="AC104" s="5">
        <f t="shared" si="10"/>
        <v>0</v>
      </c>
      <c r="AD104" s="5">
        <f t="shared" si="10"/>
        <v>0</v>
      </c>
      <c r="AE104" s="5">
        <f t="shared" si="10"/>
        <v>0</v>
      </c>
      <c r="AF104" s="5">
        <f t="shared" si="10"/>
        <v>0</v>
      </c>
      <c r="AG104" s="5">
        <f t="shared" si="10"/>
        <v>0</v>
      </c>
      <c r="AH104" s="5">
        <f t="shared" si="10"/>
        <v>0</v>
      </c>
      <c r="AI104" s="5">
        <f t="shared" si="10"/>
        <v>0</v>
      </c>
      <c r="AJ104" s="5">
        <f t="shared" si="10"/>
        <v>0</v>
      </c>
      <c r="AK104" s="5">
        <f t="shared" si="10"/>
        <v>0</v>
      </c>
      <c r="AL104" s="5">
        <f t="shared" si="10"/>
        <v>0</v>
      </c>
      <c r="AM104" s="6">
        <f t="shared" si="9"/>
        <v>0</v>
      </c>
    </row>
    <row r="105" spans="1:39" x14ac:dyDescent="0.25">
      <c r="A105" s="4" t="s">
        <v>427</v>
      </c>
      <c r="B105" s="4" t="s">
        <v>428</v>
      </c>
      <c r="C105" s="4" t="s">
        <v>6</v>
      </c>
      <c r="D105" s="5">
        <v>6</v>
      </c>
      <c r="E105" s="6">
        <v>3</v>
      </c>
      <c r="F105" s="6">
        <v>3</v>
      </c>
      <c r="G105" s="6">
        <v>4.5</v>
      </c>
      <c r="H105" s="6">
        <v>4.5</v>
      </c>
      <c r="I105" s="6">
        <v>6</v>
      </c>
      <c r="J105" s="6">
        <v>6</v>
      </c>
      <c r="K105" s="6">
        <v>9</v>
      </c>
      <c r="L105" s="6">
        <v>16.5</v>
      </c>
      <c r="M105" s="6">
        <v>19.5</v>
      </c>
      <c r="N105" s="6"/>
      <c r="O105" s="3"/>
      <c r="P105" s="3"/>
      <c r="Q105" s="3"/>
      <c r="R105" s="3"/>
      <c r="S105" s="6">
        <f t="shared" si="8"/>
        <v>78</v>
      </c>
      <c r="T105">
        <v>1</v>
      </c>
      <c r="U105" s="4" t="s">
        <v>427</v>
      </c>
      <c r="V105" s="4" t="s">
        <v>428</v>
      </c>
      <c r="W105" s="4" t="s">
        <v>6</v>
      </c>
      <c r="X105" s="5">
        <f t="shared" si="10"/>
        <v>0</v>
      </c>
      <c r="Y105" s="5">
        <f t="shared" si="10"/>
        <v>0</v>
      </c>
      <c r="Z105" s="5">
        <f t="shared" si="10"/>
        <v>0</v>
      </c>
      <c r="AA105" s="5">
        <f t="shared" si="10"/>
        <v>0</v>
      </c>
      <c r="AB105" s="5">
        <f t="shared" si="10"/>
        <v>0</v>
      </c>
      <c r="AC105" s="5">
        <f t="shared" si="10"/>
        <v>0</v>
      </c>
      <c r="AD105" s="5">
        <f t="shared" si="10"/>
        <v>0</v>
      </c>
      <c r="AE105" s="5">
        <f t="shared" si="10"/>
        <v>0</v>
      </c>
      <c r="AF105" s="5">
        <f t="shared" si="10"/>
        <v>0</v>
      </c>
      <c r="AG105" s="5">
        <f t="shared" si="10"/>
        <v>0</v>
      </c>
      <c r="AH105" s="5">
        <f t="shared" si="10"/>
        <v>0</v>
      </c>
      <c r="AI105" s="5">
        <f t="shared" si="10"/>
        <v>0</v>
      </c>
      <c r="AJ105" s="5">
        <f t="shared" si="10"/>
        <v>0</v>
      </c>
      <c r="AK105" s="5">
        <f t="shared" si="10"/>
        <v>0</v>
      </c>
      <c r="AL105" s="5">
        <f t="shared" si="10"/>
        <v>0</v>
      </c>
      <c r="AM105" s="6">
        <f t="shared" si="9"/>
        <v>0</v>
      </c>
    </row>
    <row r="106" spans="1:39" x14ac:dyDescent="0.25">
      <c r="A106" s="4" t="s">
        <v>429</v>
      </c>
      <c r="B106" s="4" t="s">
        <v>430</v>
      </c>
      <c r="C106" s="4" t="s">
        <v>6</v>
      </c>
      <c r="D106" s="5">
        <v>7.5</v>
      </c>
      <c r="E106" s="6">
        <v>4.5</v>
      </c>
      <c r="F106" s="6">
        <v>4.5</v>
      </c>
      <c r="G106" s="6">
        <v>4.5</v>
      </c>
      <c r="H106" s="6">
        <v>6</v>
      </c>
      <c r="I106" s="6"/>
      <c r="J106" s="6">
        <v>15</v>
      </c>
      <c r="K106" s="6">
        <v>9</v>
      </c>
      <c r="L106" s="6">
        <v>28.5</v>
      </c>
      <c r="M106" s="6">
        <v>19.5</v>
      </c>
      <c r="N106" s="6"/>
      <c r="O106" s="3"/>
      <c r="P106" s="3"/>
      <c r="Q106" s="3"/>
      <c r="R106" s="3"/>
      <c r="S106" s="6">
        <f t="shared" si="8"/>
        <v>99</v>
      </c>
      <c r="T106">
        <v>1</v>
      </c>
      <c r="U106" s="4" t="s">
        <v>429</v>
      </c>
      <c r="V106" s="4" t="s">
        <v>430</v>
      </c>
      <c r="W106" s="4" t="s">
        <v>6</v>
      </c>
      <c r="X106" s="5">
        <f t="shared" si="10"/>
        <v>0</v>
      </c>
      <c r="Y106" s="5">
        <f t="shared" si="10"/>
        <v>0</v>
      </c>
      <c r="Z106" s="5">
        <f t="shared" si="10"/>
        <v>0</v>
      </c>
      <c r="AA106" s="5">
        <f t="shared" si="10"/>
        <v>0</v>
      </c>
      <c r="AB106" s="5">
        <f t="shared" si="10"/>
        <v>0</v>
      </c>
      <c r="AC106" s="5">
        <f t="shared" si="10"/>
        <v>0</v>
      </c>
      <c r="AD106" s="5">
        <f t="shared" si="10"/>
        <v>0</v>
      </c>
      <c r="AE106" s="5">
        <f t="shared" si="10"/>
        <v>0</v>
      </c>
      <c r="AF106" s="5">
        <f t="shared" si="10"/>
        <v>40</v>
      </c>
      <c r="AG106" s="5">
        <f t="shared" si="10"/>
        <v>0</v>
      </c>
      <c r="AH106" s="5">
        <f t="shared" si="10"/>
        <v>0</v>
      </c>
      <c r="AI106" s="5">
        <f t="shared" si="10"/>
        <v>0</v>
      </c>
      <c r="AJ106" s="5">
        <f t="shared" si="10"/>
        <v>0</v>
      </c>
      <c r="AK106" s="5">
        <f t="shared" si="10"/>
        <v>0</v>
      </c>
      <c r="AL106" s="5">
        <f t="shared" si="10"/>
        <v>0</v>
      </c>
      <c r="AM106" s="6">
        <f t="shared" si="9"/>
        <v>40</v>
      </c>
    </row>
    <row r="107" spans="1:39" x14ac:dyDescent="0.25">
      <c r="A107" s="4" t="s">
        <v>431</v>
      </c>
      <c r="B107" s="4" t="s">
        <v>432</v>
      </c>
      <c r="C107" s="4" t="s">
        <v>6</v>
      </c>
      <c r="D107" s="5">
        <v>6</v>
      </c>
      <c r="E107" s="6">
        <v>4.5</v>
      </c>
      <c r="F107" s="6">
        <v>6</v>
      </c>
      <c r="G107" s="6">
        <v>6</v>
      </c>
      <c r="H107" s="6">
        <v>10.5</v>
      </c>
      <c r="I107" s="6">
        <v>7.5</v>
      </c>
      <c r="J107" s="6">
        <v>9</v>
      </c>
      <c r="K107" s="6">
        <v>15</v>
      </c>
      <c r="L107" s="6">
        <v>30</v>
      </c>
      <c r="M107" s="6">
        <v>25.5</v>
      </c>
      <c r="N107" s="6"/>
      <c r="O107" s="3"/>
      <c r="P107" s="3"/>
      <c r="Q107" s="3"/>
      <c r="R107" s="3"/>
      <c r="S107" s="6">
        <f t="shared" si="8"/>
        <v>120</v>
      </c>
      <c r="T107">
        <v>1</v>
      </c>
      <c r="U107" s="4" t="s">
        <v>431</v>
      </c>
      <c r="V107" s="4" t="s">
        <v>432</v>
      </c>
      <c r="W107" s="4" t="s">
        <v>6</v>
      </c>
      <c r="X107" s="5">
        <f t="shared" si="10"/>
        <v>0</v>
      </c>
      <c r="Y107" s="5">
        <f t="shared" si="10"/>
        <v>0</v>
      </c>
      <c r="Z107" s="5">
        <f t="shared" si="10"/>
        <v>0</v>
      </c>
      <c r="AA107" s="5">
        <f t="shared" si="10"/>
        <v>0</v>
      </c>
      <c r="AB107" s="5">
        <f t="shared" si="10"/>
        <v>0</v>
      </c>
      <c r="AC107" s="5">
        <f t="shared" si="10"/>
        <v>0</v>
      </c>
      <c r="AD107" s="5">
        <f t="shared" si="10"/>
        <v>0</v>
      </c>
      <c r="AE107" s="5">
        <f t="shared" si="10"/>
        <v>0</v>
      </c>
      <c r="AF107" s="5">
        <f t="shared" si="10"/>
        <v>60</v>
      </c>
      <c r="AG107" s="5">
        <f t="shared" si="10"/>
        <v>40</v>
      </c>
      <c r="AH107" s="5">
        <f t="shared" si="10"/>
        <v>0</v>
      </c>
      <c r="AI107" s="5">
        <f t="shared" si="10"/>
        <v>0</v>
      </c>
      <c r="AJ107" s="5">
        <f t="shared" si="10"/>
        <v>0</v>
      </c>
      <c r="AK107" s="5">
        <f t="shared" si="10"/>
        <v>0</v>
      </c>
      <c r="AL107" s="5">
        <f t="shared" si="10"/>
        <v>0</v>
      </c>
      <c r="AM107" s="6">
        <f t="shared" si="9"/>
        <v>100</v>
      </c>
    </row>
    <row r="108" spans="1:39" x14ac:dyDescent="0.25">
      <c r="A108" s="4" t="s">
        <v>433</v>
      </c>
      <c r="B108" s="4" t="s">
        <v>434</v>
      </c>
      <c r="C108" s="4" t="s">
        <v>6</v>
      </c>
      <c r="D108" s="5">
        <v>6</v>
      </c>
      <c r="E108" s="6">
        <v>4.5</v>
      </c>
      <c r="F108" s="6">
        <v>3</v>
      </c>
      <c r="G108" s="6">
        <v>3</v>
      </c>
      <c r="H108" s="6">
        <v>7.5</v>
      </c>
      <c r="I108" s="6">
        <v>6</v>
      </c>
      <c r="J108" s="6">
        <v>7.5</v>
      </c>
      <c r="K108" s="6">
        <v>16.5</v>
      </c>
      <c r="L108" s="6">
        <v>7.5</v>
      </c>
      <c r="M108" s="6"/>
      <c r="N108" s="6"/>
      <c r="O108" s="3"/>
      <c r="P108" s="3"/>
      <c r="Q108" s="3"/>
      <c r="R108" s="3"/>
      <c r="S108" s="6">
        <f t="shared" si="8"/>
        <v>61.5</v>
      </c>
      <c r="T108">
        <v>1</v>
      </c>
      <c r="U108" s="4" t="s">
        <v>433</v>
      </c>
      <c r="V108" s="4" t="s">
        <v>434</v>
      </c>
      <c r="W108" s="4" t="s">
        <v>6</v>
      </c>
      <c r="X108" s="5">
        <f t="shared" si="10"/>
        <v>0</v>
      </c>
      <c r="Y108" s="5">
        <f t="shared" si="10"/>
        <v>0</v>
      </c>
      <c r="Z108" s="5">
        <f t="shared" si="10"/>
        <v>0</v>
      </c>
      <c r="AA108" s="5">
        <f t="shared" si="10"/>
        <v>0</v>
      </c>
      <c r="AB108" s="5">
        <f t="shared" si="10"/>
        <v>0</v>
      </c>
      <c r="AC108" s="5">
        <f t="shared" si="10"/>
        <v>0</v>
      </c>
      <c r="AD108" s="5">
        <f t="shared" si="10"/>
        <v>0</v>
      </c>
      <c r="AE108" s="5">
        <f t="shared" si="10"/>
        <v>0</v>
      </c>
      <c r="AF108" s="5">
        <f t="shared" si="10"/>
        <v>0</v>
      </c>
      <c r="AG108" s="5">
        <f t="shared" si="10"/>
        <v>0</v>
      </c>
      <c r="AH108" s="5">
        <f t="shared" si="10"/>
        <v>0</v>
      </c>
      <c r="AI108" s="5">
        <f t="shared" si="10"/>
        <v>0</v>
      </c>
      <c r="AJ108" s="5">
        <f t="shared" si="10"/>
        <v>0</v>
      </c>
      <c r="AK108" s="5">
        <f t="shared" si="10"/>
        <v>0</v>
      </c>
      <c r="AL108" s="5">
        <f t="shared" si="10"/>
        <v>0</v>
      </c>
      <c r="AM108" s="6">
        <f t="shared" si="9"/>
        <v>0</v>
      </c>
    </row>
    <row r="109" spans="1:39" x14ac:dyDescent="0.25">
      <c r="A109" s="4" t="s">
        <v>435</v>
      </c>
      <c r="B109" s="4" t="s">
        <v>436</v>
      </c>
      <c r="C109" s="4" t="s">
        <v>6</v>
      </c>
      <c r="D109" s="5"/>
      <c r="E109" s="6"/>
      <c r="F109" s="6"/>
      <c r="G109" s="6"/>
      <c r="H109" s="6"/>
      <c r="I109" s="6"/>
      <c r="J109" s="6"/>
      <c r="K109" s="6">
        <v>15</v>
      </c>
      <c r="L109" s="6"/>
      <c r="M109" s="6"/>
      <c r="N109" s="6"/>
      <c r="O109" s="3"/>
      <c r="P109" s="3"/>
      <c r="Q109" s="3"/>
      <c r="R109" s="3"/>
      <c r="S109" s="6">
        <f t="shared" si="8"/>
        <v>15</v>
      </c>
      <c r="T109">
        <v>1</v>
      </c>
      <c r="U109" s="4" t="s">
        <v>435</v>
      </c>
      <c r="V109" s="4" t="s">
        <v>436</v>
      </c>
      <c r="W109" s="4" t="s">
        <v>6</v>
      </c>
      <c r="X109" s="5">
        <f t="shared" si="10"/>
        <v>0</v>
      </c>
      <c r="Y109" s="5">
        <f t="shared" si="10"/>
        <v>0</v>
      </c>
      <c r="Z109" s="5">
        <f t="shared" si="10"/>
        <v>0</v>
      </c>
      <c r="AA109" s="5">
        <f t="shared" si="10"/>
        <v>0</v>
      </c>
      <c r="AB109" s="5">
        <f t="shared" si="10"/>
        <v>0</v>
      </c>
      <c r="AC109" s="5">
        <f t="shared" si="10"/>
        <v>0</v>
      </c>
      <c r="AD109" s="5">
        <f t="shared" si="10"/>
        <v>0</v>
      </c>
      <c r="AE109" s="5">
        <f t="shared" si="10"/>
        <v>0</v>
      </c>
      <c r="AF109" s="5">
        <f t="shared" si="10"/>
        <v>0</v>
      </c>
      <c r="AG109" s="5">
        <f t="shared" si="10"/>
        <v>0</v>
      </c>
      <c r="AH109" s="5">
        <f t="shared" si="10"/>
        <v>0</v>
      </c>
      <c r="AI109" s="5">
        <f t="shared" si="10"/>
        <v>0</v>
      </c>
      <c r="AJ109" s="5">
        <f t="shared" si="10"/>
        <v>0</v>
      </c>
      <c r="AK109" s="5">
        <f t="shared" si="10"/>
        <v>0</v>
      </c>
      <c r="AL109" s="5">
        <f t="shared" si="10"/>
        <v>0</v>
      </c>
      <c r="AM109" s="6">
        <f t="shared" si="9"/>
        <v>0</v>
      </c>
    </row>
    <row r="110" spans="1:39" x14ac:dyDescent="0.25">
      <c r="A110" s="4" t="s">
        <v>439</v>
      </c>
      <c r="B110" s="4" t="s">
        <v>440</v>
      </c>
      <c r="C110" s="4" t="s">
        <v>6</v>
      </c>
      <c r="D110" s="5">
        <v>6</v>
      </c>
      <c r="E110" s="6">
        <v>4.5</v>
      </c>
      <c r="F110" s="6">
        <v>4.5</v>
      </c>
      <c r="G110" s="6">
        <v>4.5</v>
      </c>
      <c r="H110" s="6">
        <v>6</v>
      </c>
      <c r="I110" s="6">
        <v>13.5</v>
      </c>
      <c r="J110" s="6">
        <v>12</v>
      </c>
      <c r="K110" s="6">
        <v>18</v>
      </c>
      <c r="L110" s="6">
        <v>30</v>
      </c>
      <c r="M110" s="6">
        <v>21</v>
      </c>
      <c r="N110" s="6"/>
      <c r="O110" s="3"/>
      <c r="P110" s="3"/>
      <c r="Q110" s="3"/>
      <c r="R110" s="3"/>
      <c r="S110" s="6">
        <f t="shared" si="8"/>
        <v>120</v>
      </c>
      <c r="T110">
        <v>1</v>
      </c>
      <c r="U110" s="4" t="s">
        <v>439</v>
      </c>
      <c r="V110" s="4" t="s">
        <v>440</v>
      </c>
      <c r="W110" s="4" t="s">
        <v>6</v>
      </c>
      <c r="X110" s="5">
        <f t="shared" si="10"/>
        <v>0</v>
      </c>
      <c r="Y110" s="5">
        <f t="shared" si="10"/>
        <v>0</v>
      </c>
      <c r="Z110" s="5">
        <f t="shared" si="10"/>
        <v>0</v>
      </c>
      <c r="AA110" s="5">
        <f t="shared" si="10"/>
        <v>0</v>
      </c>
      <c r="AB110" s="5">
        <f t="shared" si="10"/>
        <v>0</v>
      </c>
      <c r="AC110" s="5">
        <f t="shared" si="10"/>
        <v>0</v>
      </c>
      <c r="AD110" s="5">
        <f t="shared" si="10"/>
        <v>0</v>
      </c>
      <c r="AE110" s="5">
        <f t="shared" si="10"/>
        <v>0</v>
      </c>
      <c r="AF110" s="5">
        <f t="shared" si="10"/>
        <v>60</v>
      </c>
      <c r="AG110" s="5">
        <f t="shared" si="10"/>
        <v>20</v>
      </c>
      <c r="AH110" s="5">
        <f t="shared" si="10"/>
        <v>0</v>
      </c>
      <c r="AI110" s="5">
        <f t="shared" si="10"/>
        <v>0</v>
      </c>
      <c r="AJ110" s="5">
        <f t="shared" si="10"/>
        <v>0</v>
      </c>
      <c r="AK110" s="5">
        <f t="shared" si="10"/>
        <v>0</v>
      </c>
      <c r="AL110" s="5">
        <f t="shared" si="10"/>
        <v>0</v>
      </c>
      <c r="AM110" s="6">
        <f t="shared" si="9"/>
        <v>80</v>
      </c>
    </row>
    <row r="111" spans="1:39" x14ac:dyDescent="0.25">
      <c r="A111" s="4" t="s">
        <v>441</v>
      </c>
      <c r="B111" s="4" t="s">
        <v>442</v>
      </c>
      <c r="C111" s="4" t="s">
        <v>6</v>
      </c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3"/>
      <c r="P111" s="3"/>
      <c r="Q111" s="3"/>
      <c r="R111" s="3"/>
      <c r="S111" s="6">
        <f t="shared" si="8"/>
        <v>0</v>
      </c>
      <c r="T111">
        <v>1</v>
      </c>
      <c r="U111" s="4" t="s">
        <v>441</v>
      </c>
      <c r="V111" s="4" t="s">
        <v>442</v>
      </c>
      <c r="W111" s="4" t="s">
        <v>6</v>
      </c>
      <c r="X111" s="5">
        <f t="shared" si="10"/>
        <v>0</v>
      </c>
      <c r="Y111" s="5">
        <f t="shared" si="10"/>
        <v>0</v>
      </c>
      <c r="Z111" s="5">
        <f t="shared" si="10"/>
        <v>0</v>
      </c>
      <c r="AA111" s="5">
        <f t="shared" si="10"/>
        <v>0</v>
      </c>
      <c r="AB111" s="5">
        <f t="shared" si="10"/>
        <v>0</v>
      </c>
      <c r="AC111" s="5">
        <f t="shared" si="10"/>
        <v>0</v>
      </c>
      <c r="AD111" s="5">
        <f t="shared" si="10"/>
        <v>0</v>
      </c>
      <c r="AE111" s="5">
        <f t="shared" si="10"/>
        <v>0</v>
      </c>
      <c r="AF111" s="5">
        <f t="shared" si="10"/>
        <v>0</v>
      </c>
      <c r="AG111" s="5">
        <f t="shared" si="10"/>
        <v>0</v>
      </c>
      <c r="AH111" s="5">
        <f t="shared" si="10"/>
        <v>0</v>
      </c>
      <c r="AI111" s="5">
        <f t="shared" si="10"/>
        <v>0</v>
      </c>
      <c r="AJ111" s="5">
        <f t="shared" si="10"/>
        <v>0</v>
      </c>
      <c r="AK111" s="5">
        <f t="shared" si="10"/>
        <v>0</v>
      </c>
      <c r="AL111" s="5">
        <f t="shared" si="10"/>
        <v>0</v>
      </c>
      <c r="AM111" s="6">
        <f t="shared" si="9"/>
        <v>0</v>
      </c>
    </row>
    <row r="112" spans="1:39" x14ac:dyDescent="0.25">
      <c r="A112" s="4" t="s">
        <v>443</v>
      </c>
      <c r="B112" s="4" t="s">
        <v>444</v>
      </c>
      <c r="C112" s="4" t="s">
        <v>6</v>
      </c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3"/>
      <c r="P112" s="3"/>
      <c r="Q112" s="3"/>
      <c r="R112" s="3"/>
      <c r="S112" s="6">
        <f t="shared" si="8"/>
        <v>0</v>
      </c>
      <c r="T112">
        <v>1</v>
      </c>
      <c r="U112" s="4" t="s">
        <v>443</v>
      </c>
      <c r="V112" s="4" t="s">
        <v>444</v>
      </c>
      <c r="W112" s="4" t="s">
        <v>6</v>
      </c>
      <c r="X112" s="5">
        <f t="shared" si="10"/>
        <v>0</v>
      </c>
      <c r="Y112" s="5">
        <f t="shared" si="10"/>
        <v>0</v>
      </c>
      <c r="Z112" s="5">
        <f t="shared" si="10"/>
        <v>0</v>
      </c>
      <c r="AA112" s="5">
        <f t="shared" si="10"/>
        <v>0</v>
      </c>
      <c r="AB112" s="5">
        <f t="shared" si="10"/>
        <v>0</v>
      </c>
      <c r="AC112" s="5">
        <f t="shared" si="10"/>
        <v>0</v>
      </c>
      <c r="AD112" s="5">
        <f t="shared" si="10"/>
        <v>0</v>
      </c>
      <c r="AE112" s="5">
        <f t="shared" si="10"/>
        <v>0</v>
      </c>
      <c r="AF112" s="5">
        <f t="shared" si="10"/>
        <v>0</v>
      </c>
      <c r="AG112" s="5">
        <f t="shared" si="10"/>
        <v>0</v>
      </c>
      <c r="AH112" s="5">
        <f t="shared" si="10"/>
        <v>0</v>
      </c>
      <c r="AI112" s="5">
        <f t="shared" si="10"/>
        <v>0</v>
      </c>
      <c r="AJ112" s="5">
        <f t="shared" si="10"/>
        <v>0</v>
      </c>
      <c r="AK112" s="5">
        <f t="shared" si="10"/>
        <v>0</v>
      </c>
      <c r="AL112" s="5">
        <f t="shared" si="10"/>
        <v>0</v>
      </c>
      <c r="AM112" s="6">
        <f t="shared" si="9"/>
        <v>0</v>
      </c>
    </row>
    <row r="113" spans="1:39" x14ac:dyDescent="0.25">
      <c r="A113" s="4" t="s">
        <v>445</v>
      </c>
      <c r="B113" s="4" t="s">
        <v>446</v>
      </c>
      <c r="C113" s="4" t="s">
        <v>6</v>
      </c>
      <c r="D113" s="5"/>
      <c r="E113" s="6"/>
      <c r="F113" s="6">
        <v>4.5</v>
      </c>
      <c r="G113" s="6">
        <v>4.5</v>
      </c>
      <c r="H113" s="6">
        <v>3</v>
      </c>
      <c r="I113" s="6"/>
      <c r="J113" s="6">
        <v>6</v>
      </c>
      <c r="K113" s="6"/>
      <c r="L113" s="6">
        <v>19.5</v>
      </c>
      <c r="M113" s="6">
        <v>21</v>
      </c>
      <c r="N113" s="6"/>
      <c r="O113" s="3"/>
      <c r="P113" s="3"/>
      <c r="Q113" s="3"/>
      <c r="R113" s="3"/>
      <c r="S113" s="6">
        <f t="shared" si="8"/>
        <v>58.5</v>
      </c>
      <c r="T113">
        <v>1</v>
      </c>
      <c r="U113" s="4" t="s">
        <v>445</v>
      </c>
      <c r="V113" s="4" t="s">
        <v>446</v>
      </c>
      <c r="W113" s="4" t="s">
        <v>6</v>
      </c>
      <c r="X113" s="5">
        <f t="shared" si="10"/>
        <v>0</v>
      </c>
      <c r="Y113" s="5">
        <f t="shared" si="10"/>
        <v>0</v>
      </c>
      <c r="Z113" s="5">
        <f t="shared" si="10"/>
        <v>0</v>
      </c>
      <c r="AA113" s="5">
        <f t="shared" si="10"/>
        <v>0</v>
      </c>
      <c r="AB113" s="5">
        <f t="shared" si="10"/>
        <v>0</v>
      </c>
      <c r="AC113" s="5">
        <f t="shared" si="10"/>
        <v>0</v>
      </c>
      <c r="AD113" s="5">
        <f t="shared" si="10"/>
        <v>0</v>
      </c>
      <c r="AE113" s="5">
        <f t="shared" si="10"/>
        <v>0</v>
      </c>
      <c r="AF113" s="5">
        <f t="shared" si="10"/>
        <v>0</v>
      </c>
      <c r="AG113" s="5">
        <f t="shared" si="10"/>
        <v>20</v>
      </c>
      <c r="AH113" s="5">
        <f t="shared" si="10"/>
        <v>0</v>
      </c>
      <c r="AI113" s="5">
        <f t="shared" si="10"/>
        <v>0</v>
      </c>
      <c r="AJ113" s="5">
        <f t="shared" si="10"/>
        <v>0</v>
      </c>
      <c r="AK113" s="5">
        <f t="shared" si="10"/>
        <v>0</v>
      </c>
      <c r="AL113" s="5">
        <f t="shared" si="10"/>
        <v>0</v>
      </c>
      <c r="AM113" s="6">
        <f t="shared" si="9"/>
        <v>20</v>
      </c>
    </row>
    <row r="114" spans="1:39" x14ac:dyDescent="0.25">
      <c r="A114" s="4" t="s">
        <v>447</v>
      </c>
      <c r="B114" s="4" t="s">
        <v>448</v>
      </c>
      <c r="C114" s="4" t="s">
        <v>6</v>
      </c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3"/>
      <c r="P114" s="3"/>
      <c r="Q114" s="3"/>
      <c r="R114" s="3"/>
      <c r="S114" s="6">
        <f t="shared" si="8"/>
        <v>0</v>
      </c>
      <c r="T114">
        <v>1</v>
      </c>
      <c r="U114" s="4" t="s">
        <v>447</v>
      </c>
      <c r="V114" s="4" t="s">
        <v>448</v>
      </c>
      <c r="W114" s="4" t="s">
        <v>6</v>
      </c>
      <c r="X114" s="5">
        <f t="shared" si="10"/>
        <v>0</v>
      </c>
      <c r="Y114" s="5">
        <f t="shared" si="10"/>
        <v>0</v>
      </c>
      <c r="Z114" s="5">
        <f t="shared" si="10"/>
        <v>0</v>
      </c>
      <c r="AA114" s="5">
        <f t="shared" si="10"/>
        <v>0</v>
      </c>
      <c r="AB114" s="5">
        <f t="shared" si="10"/>
        <v>0</v>
      </c>
      <c r="AC114" s="5">
        <f t="shared" si="10"/>
        <v>0</v>
      </c>
      <c r="AD114" s="5">
        <f t="shared" si="10"/>
        <v>0</v>
      </c>
      <c r="AE114" s="5">
        <f t="shared" si="10"/>
        <v>0</v>
      </c>
      <c r="AF114" s="5">
        <f t="shared" si="10"/>
        <v>0</v>
      </c>
      <c r="AG114" s="5">
        <f t="shared" si="10"/>
        <v>0</v>
      </c>
      <c r="AH114" s="5">
        <f t="shared" si="10"/>
        <v>0</v>
      </c>
      <c r="AI114" s="5">
        <f t="shared" si="10"/>
        <v>0</v>
      </c>
      <c r="AJ114" s="5">
        <f t="shared" si="10"/>
        <v>0</v>
      </c>
      <c r="AK114" s="5">
        <f t="shared" si="10"/>
        <v>0</v>
      </c>
      <c r="AL114" s="5">
        <f t="shared" si="10"/>
        <v>0</v>
      </c>
      <c r="AM114" s="6">
        <f t="shared" si="9"/>
        <v>0</v>
      </c>
    </row>
    <row r="115" spans="1:39" x14ac:dyDescent="0.25">
      <c r="A115" s="4" t="s">
        <v>449</v>
      </c>
      <c r="B115" s="4" t="s">
        <v>450</v>
      </c>
      <c r="C115" s="4" t="s">
        <v>6</v>
      </c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3"/>
      <c r="P115" s="3"/>
      <c r="Q115" s="3"/>
      <c r="R115" s="3"/>
      <c r="S115" s="6">
        <f t="shared" si="8"/>
        <v>0</v>
      </c>
      <c r="T115">
        <v>1</v>
      </c>
      <c r="U115" s="4" t="s">
        <v>449</v>
      </c>
      <c r="V115" s="4" t="s">
        <v>450</v>
      </c>
      <c r="W115" s="4" t="s">
        <v>6</v>
      </c>
      <c r="X115" s="5">
        <f t="shared" si="10"/>
        <v>0</v>
      </c>
      <c r="Y115" s="5">
        <f t="shared" si="10"/>
        <v>0</v>
      </c>
      <c r="Z115" s="5">
        <f t="shared" si="10"/>
        <v>0</v>
      </c>
      <c r="AA115" s="5">
        <f t="shared" si="10"/>
        <v>0</v>
      </c>
      <c r="AB115" s="5">
        <f t="shared" si="10"/>
        <v>0</v>
      </c>
      <c r="AC115" s="5">
        <f t="shared" si="10"/>
        <v>0</v>
      </c>
      <c r="AD115" s="5">
        <f t="shared" si="10"/>
        <v>0</v>
      </c>
      <c r="AE115" s="5">
        <f t="shared" si="10"/>
        <v>0</v>
      </c>
      <c r="AF115" s="5">
        <f t="shared" si="10"/>
        <v>0</v>
      </c>
      <c r="AG115" s="5">
        <f t="shared" si="10"/>
        <v>0</v>
      </c>
      <c r="AH115" s="5">
        <f t="shared" si="10"/>
        <v>0</v>
      </c>
      <c r="AI115" s="5">
        <f t="shared" si="10"/>
        <v>0</v>
      </c>
      <c r="AJ115" s="5">
        <f t="shared" si="10"/>
        <v>0</v>
      </c>
      <c r="AK115" s="5">
        <f t="shared" si="10"/>
        <v>0</v>
      </c>
      <c r="AL115" s="5">
        <f t="shared" si="10"/>
        <v>0</v>
      </c>
      <c r="AM115" s="6">
        <f t="shared" si="9"/>
        <v>0</v>
      </c>
    </row>
    <row r="116" spans="1:39" x14ac:dyDescent="0.25">
      <c r="A116" s="4" t="s">
        <v>469</v>
      </c>
      <c r="B116" s="4" t="s">
        <v>470</v>
      </c>
      <c r="C116" s="4" t="s">
        <v>6</v>
      </c>
      <c r="D116" s="5"/>
      <c r="E116" s="6"/>
      <c r="F116" s="6"/>
      <c r="G116" s="6"/>
      <c r="H116" s="6"/>
      <c r="I116" s="6"/>
      <c r="J116" s="6"/>
      <c r="K116" s="6">
        <v>7.5</v>
      </c>
      <c r="L116" s="6">
        <v>31.5</v>
      </c>
      <c r="M116" s="6"/>
      <c r="N116" s="6"/>
      <c r="O116" s="3"/>
      <c r="P116" s="3"/>
      <c r="Q116" s="3"/>
      <c r="R116" s="3"/>
      <c r="S116" s="6">
        <f t="shared" si="8"/>
        <v>39</v>
      </c>
      <c r="T116">
        <v>1</v>
      </c>
      <c r="U116" s="4" t="s">
        <v>469</v>
      </c>
      <c r="V116" s="4" t="s">
        <v>470</v>
      </c>
      <c r="W116" s="4" t="s">
        <v>6</v>
      </c>
      <c r="X116" s="5">
        <f t="shared" si="10"/>
        <v>0</v>
      </c>
      <c r="Y116" s="5">
        <f t="shared" si="10"/>
        <v>0</v>
      </c>
      <c r="Z116" s="5">
        <f t="shared" si="10"/>
        <v>0</v>
      </c>
      <c r="AA116" s="5">
        <f t="shared" si="10"/>
        <v>0</v>
      </c>
      <c r="AB116" s="5">
        <f t="shared" si="10"/>
        <v>0</v>
      </c>
      <c r="AC116" s="5">
        <f t="shared" si="10"/>
        <v>0</v>
      </c>
      <c r="AD116" s="5">
        <f t="shared" si="10"/>
        <v>0</v>
      </c>
      <c r="AE116" s="5">
        <f t="shared" si="10"/>
        <v>0</v>
      </c>
      <c r="AF116" s="5">
        <f t="shared" si="10"/>
        <v>64.5</v>
      </c>
      <c r="AG116" s="5">
        <f t="shared" si="10"/>
        <v>0</v>
      </c>
      <c r="AH116" s="5">
        <f t="shared" si="10"/>
        <v>0</v>
      </c>
      <c r="AI116" s="5">
        <f t="shared" si="10"/>
        <v>0</v>
      </c>
      <c r="AJ116" s="5">
        <f t="shared" si="10"/>
        <v>0</v>
      </c>
      <c r="AK116" s="5">
        <f t="shared" si="10"/>
        <v>0</v>
      </c>
      <c r="AL116" s="5">
        <f t="shared" si="10"/>
        <v>0</v>
      </c>
      <c r="AM116" s="6">
        <f t="shared" si="9"/>
        <v>64.5</v>
      </c>
    </row>
    <row r="117" spans="1:39" x14ac:dyDescent="0.25">
      <c r="A117" s="4" t="s">
        <v>471</v>
      </c>
      <c r="B117" s="4" t="s">
        <v>472</v>
      </c>
      <c r="C117" s="4" t="s">
        <v>6</v>
      </c>
      <c r="D117" s="5"/>
      <c r="E117" s="6"/>
      <c r="F117" s="6"/>
      <c r="G117" s="6"/>
      <c r="H117" s="6"/>
      <c r="I117" s="6"/>
      <c r="J117" s="6"/>
      <c r="K117" s="6">
        <v>4.5</v>
      </c>
      <c r="L117" s="6">
        <v>21</v>
      </c>
      <c r="M117" s="6"/>
      <c r="N117" s="6"/>
      <c r="O117" s="3"/>
      <c r="P117" s="3"/>
      <c r="Q117" s="3"/>
      <c r="R117" s="3"/>
      <c r="S117" s="6">
        <f t="shared" si="8"/>
        <v>25.5</v>
      </c>
      <c r="U117" s="4" t="s">
        <v>471</v>
      </c>
      <c r="V117" s="4" t="s">
        <v>472</v>
      </c>
      <c r="W117" s="4" t="s">
        <v>6</v>
      </c>
      <c r="X117" s="5">
        <f t="shared" si="10"/>
        <v>0</v>
      </c>
      <c r="Y117" s="5">
        <f t="shared" si="10"/>
        <v>0</v>
      </c>
      <c r="Z117" s="5">
        <f t="shared" si="10"/>
        <v>0</v>
      </c>
      <c r="AA117" s="5">
        <f t="shared" si="10"/>
        <v>0</v>
      </c>
      <c r="AB117" s="5">
        <f t="shared" si="10"/>
        <v>0</v>
      </c>
      <c r="AC117" s="5">
        <f t="shared" si="10"/>
        <v>0</v>
      </c>
      <c r="AD117" s="5">
        <f t="shared" si="10"/>
        <v>0</v>
      </c>
      <c r="AE117" s="5">
        <f t="shared" si="10"/>
        <v>0</v>
      </c>
      <c r="AF117" s="5">
        <f t="shared" si="10"/>
        <v>20</v>
      </c>
      <c r="AG117" s="5">
        <f t="shared" si="10"/>
        <v>0</v>
      </c>
      <c r="AH117" s="5">
        <f t="shared" si="10"/>
        <v>0</v>
      </c>
      <c r="AI117" s="5">
        <f t="shared" si="10"/>
        <v>0</v>
      </c>
      <c r="AJ117" s="5">
        <f t="shared" si="10"/>
        <v>0</v>
      </c>
      <c r="AK117" s="5">
        <f t="shared" si="10"/>
        <v>0</v>
      </c>
      <c r="AL117" s="5">
        <f t="shared" si="10"/>
        <v>0</v>
      </c>
      <c r="AM117" s="6">
        <f t="shared" si="9"/>
        <v>20</v>
      </c>
    </row>
    <row r="118" spans="1:39" x14ac:dyDescent="0.25">
      <c r="A118" s="4" t="s">
        <v>473</v>
      </c>
      <c r="B118" s="4" t="s">
        <v>474</v>
      </c>
      <c r="C118" s="4" t="s">
        <v>6</v>
      </c>
      <c r="D118" s="5">
        <v>7.5</v>
      </c>
      <c r="E118" s="6">
        <v>4.5</v>
      </c>
      <c r="F118" s="6">
        <v>4.5</v>
      </c>
      <c r="G118" s="6">
        <v>1.5</v>
      </c>
      <c r="H118" s="6"/>
      <c r="I118" s="6"/>
      <c r="J118" s="6"/>
      <c r="K118" s="6"/>
      <c r="L118" s="6"/>
      <c r="M118" s="6">
        <v>24</v>
      </c>
      <c r="N118" s="6"/>
      <c r="O118" s="3"/>
      <c r="P118" s="3"/>
      <c r="Q118" s="3"/>
      <c r="R118" s="3"/>
      <c r="S118" s="6">
        <f t="shared" si="8"/>
        <v>42</v>
      </c>
      <c r="T118">
        <v>1</v>
      </c>
      <c r="U118" s="4" t="s">
        <v>473</v>
      </c>
      <c r="V118" s="4" t="s">
        <v>474</v>
      </c>
      <c r="W118" s="4" t="s">
        <v>6</v>
      </c>
      <c r="X118" s="5">
        <f t="shared" si="10"/>
        <v>0</v>
      </c>
      <c r="Y118" s="5">
        <f t="shared" si="10"/>
        <v>0</v>
      </c>
      <c r="Z118" s="5">
        <f t="shared" si="10"/>
        <v>0</v>
      </c>
      <c r="AA118" s="5">
        <f t="shared" si="10"/>
        <v>0</v>
      </c>
      <c r="AB118" s="5">
        <f t="shared" si="10"/>
        <v>0</v>
      </c>
      <c r="AC118" s="5">
        <f t="shared" si="10"/>
        <v>0</v>
      </c>
      <c r="AD118" s="5">
        <f t="shared" si="10"/>
        <v>0</v>
      </c>
      <c r="AE118" s="5">
        <f t="shared" si="10"/>
        <v>0</v>
      </c>
      <c r="AF118" s="5">
        <f t="shared" si="10"/>
        <v>0</v>
      </c>
      <c r="AG118" s="5">
        <f t="shared" si="10"/>
        <v>20</v>
      </c>
      <c r="AH118" s="5">
        <f t="shared" si="10"/>
        <v>0</v>
      </c>
      <c r="AI118" s="5">
        <f t="shared" si="10"/>
        <v>0</v>
      </c>
      <c r="AJ118" s="5">
        <f t="shared" si="10"/>
        <v>0</v>
      </c>
      <c r="AK118" s="5">
        <f t="shared" si="10"/>
        <v>0</v>
      </c>
      <c r="AL118" s="5">
        <f t="shared" si="10"/>
        <v>0</v>
      </c>
      <c r="AM118" s="6">
        <f t="shared" si="9"/>
        <v>20</v>
      </c>
    </row>
    <row r="119" spans="1:39" x14ac:dyDescent="0.25">
      <c r="A119" s="4" t="s">
        <v>475</v>
      </c>
      <c r="B119" s="4" t="s">
        <v>476</v>
      </c>
      <c r="C119" s="4" t="s">
        <v>6</v>
      </c>
      <c r="D119" s="5">
        <v>6</v>
      </c>
      <c r="E119" s="6">
        <v>4.5</v>
      </c>
      <c r="F119" s="6">
        <v>4.5</v>
      </c>
      <c r="G119" s="6">
        <v>4.5</v>
      </c>
      <c r="H119" s="6"/>
      <c r="I119" s="6"/>
      <c r="J119" s="6"/>
      <c r="K119" s="6"/>
      <c r="L119" s="6"/>
      <c r="M119" s="6">
        <v>24</v>
      </c>
      <c r="N119" s="6"/>
      <c r="O119" s="3"/>
      <c r="P119" s="3"/>
      <c r="Q119" s="3"/>
      <c r="R119" s="3"/>
      <c r="S119" s="6">
        <f t="shared" si="8"/>
        <v>43.5</v>
      </c>
      <c r="T119">
        <v>1</v>
      </c>
      <c r="U119" s="4" t="s">
        <v>475</v>
      </c>
      <c r="V119" s="4" t="s">
        <v>476</v>
      </c>
      <c r="W119" s="4" t="s">
        <v>6</v>
      </c>
      <c r="X119" s="5">
        <f t="shared" si="10"/>
        <v>0</v>
      </c>
      <c r="Y119" s="5">
        <f t="shared" si="10"/>
        <v>0</v>
      </c>
      <c r="Z119" s="5">
        <f t="shared" si="10"/>
        <v>0</v>
      </c>
      <c r="AA119" s="5">
        <f t="shared" si="10"/>
        <v>0</v>
      </c>
      <c r="AB119" s="5">
        <f t="shared" si="10"/>
        <v>0</v>
      </c>
      <c r="AC119" s="5">
        <f t="shared" si="10"/>
        <v>0</v>
      </c>
      <c r="AD119" s="5">
        <f t="shared" si="10"/>
        <v>0</v>
      </c>
      <c r="AE119" s="5">
        <f t="shared" si="10"/>
        <v>0</v>
      </c>
      <c r="AF119" s="5">
        <f t="shared" si="10"/>
        <v>0</v>
      </c>
      <c r="AG119" s="5">
        <f t="shared" si="10"/>
        <v>20</v>
      </c>
      <c r="AH119" s="5">
        <f t="shared" si="10"/>
        <v>0</v>
      </c>
      <c r="AI119" s="5">
        <f t="shared" si="10"/>
        <v>0</v>
      </c>
      <c r="AJ119" s="5">
        <f t="shared" si="10"/>
        <v>0</v>
      </c>
      <c r="AK119" s="5">
        <f t="shared" si="10"/>
        <v>0</v>
      </c>
      <c r="AL119" s="5">
        <f t="shared" si="10"/>
        <v>0</v>
      </c>
      <c r="AM119" s="6">
        <f t="shared" si="9"/>
        <v>20</v>
      </c>
    </row>
    <row r="120" spans="1:39" x14ac:dyDescent="0.25">
      <c r="A120" s="4" t="s">
        <v>477</v>
      </c>
      <c r="B120" s="4" t="s">
        <v>478</v>
      </c>
      <c r="C120" s="4" t="s">
        <v>6</v>
      </c>
      <c r="D120" s="5">
        <v>3</v>
      </c>
      <c r="E120" s="6">
        <v>4.5</v>
      </c>
      <c r="F120" s="6">
        <v>6</v>
      </c>
      <c r="G120" s="6"/>
      <c r="H120" s="6"/>
      <c r="I120" s="6">
        <v>9</v>
      </c>
      <c r="J120" s="6"/>
      <c r="K120" s="6"/>
      <c r="L120" s="6"/>
      <c r="M120" s="6"/>
      <c r="N120" s="6"/>
      <c r="O120" s="3"/>
      <c r="P120" s="3"/>
      <c r="Q120" s="3"/>
      <c r="R120" s="3"/>
      <c r="S120" s="6">
        <f t="shared" si="8"/>
        <v>22.5</v>
      </c>
      <c r="T120">
        <v>1</v>
      </c>
      <c r="U120" s="4" t="s">
        <v>477</v>
      </c>
      <c r="V120" s="4" t="s">
        <v>478</v>
      </c>
      <c r="W120" s="4" t="s">
        <v>6</v>
      </c>
      <c r="X120" s="5">
        <f t="shared" si="10"/>
        <v>0</v>
      </c>
      <c r="Y120" s="5">
        <f t="shared" si="10"/>
        <v>0</v>
      </c>
      <c r="Z120" s="5">
        <f t="shared" si="10"/>
        <v>0</v>
      </c>
      <c r="AA120" s="5">
        <f t="shared" si="10"/>
        <v>0</v>
      </c>
      <c r="AB120" s="5">
        <f t="shared" si="10"/>
        <v>0</v>
      </c>
      <c r="AC120" s="5">
        <f t="shared" si="10"/>
        <v>0</v>
      </c>
      <c r="AD120" s="5">
        <f t="shared" si="10"/>
        <v>0</v>
      </c>
      <c r="AE120" s="5">
        <f t="shared" si="10"/>
        <v>0</v>
      </c>
      <c r="AF120" s="5">
        <f t="shared" si="10"/>
        <v>0</v>
      </c>
      <c r="AG120" s="5">
        <f t="shared" si="10"/>
        <v>0</v>
      </c>
      <c r="AH120" s="5">
        <f t="shared" si="10"/>
        <v>0</v>
      </c>
      <c r="AI120" s="5">
        <f t="shared" si="10"/>
        <v>0</v>
      </c>
      <c r="AJ120" s="5">
        <f t="shared" si="10"/>
        <v>0</v>
      </c>
      <c r="AK120" s="5">
        <f t="shared" si="10"/>
        <v>0</v>
      </c>
      <c r="AL120" s="5">
        <f t="shared" si="10"/>
        <v>0</v>
      </c>
      <c r="AM120" s="6">
        <f t="shared" si="9"/>
        <v>0</v>
      </c>
    </row>
    <row r="121" spans="1:39" x14ac:dyDescent="0.25">
      <c r="A121" s="4" t="s">
        <v>479</v>
      </c>
      <c r="B121" s="4" t="s">
        <v>480</v>
      </c>
      <c r="C121" s="4" t="s">
        <v>6</v>
      </c>
      <c r="D121" s="5">
        <v>3</v>
      </c>
      <c r="E121" s="6">
        <v>4.5</v>
      </c>
      <c r="F121" s="6">
        <v>4.5</v>
      </c>
      <c r="G121" s="6">
        <v>6</v>
      </c>
      <c r="H121" s="6">
        <v>10.5</v>
      </c>
      <c r="I121" s="6">
        <v>7.5</v>
      </c>
      <c r="J121" s="6">
        <v>15</v>
      </c>
      <c r="K121" s="6"/>
      <c r="L121" s="6"/>
      <c r="M121" s="6"/>
      <c r="N121" s="6"/>
      <c r="O121" s="3"/>
      <c r="P121" s="3"/>
      <c r="Q121" s="3"/>
      <c r="R121" s="3"/>
      <c r="S121" s="6">
        <f t="shared" si="8"/>
        <v>51</v>
      </c>
      <c r="T121">
        <v>1</v>
      </c>
      <c r="U121" s="4" t="s">
        <v>479</v>
      </c>
      <c r="V121" s="4" t="s">
        <v>480</v>
      </c>
      <c r="W121" s="4" t="s">
        <v>6</v>
      </c>
      <c r="X121" s="5">
        <f t="shared" ref="X121:AL137" si="11">IF(D121&lt;20,0,IF(D121&lt;25,20,IF(D121&lt;30,40,IF(D121&lt;=40,60+(D121-30)*3,60+30+(D121-40)*4))))</f>
        <v>0</v>
      </c>
      <c r="Y121" s="5">
        <f t="shared" si="11"/>
        <v>0</v>
      </c>
      <c r="Z121" s="5">
        <f t="shared" si="11"/>
        <v>0</v>
      </c>
      <c r="AA121" s="5">
        <f t="shared" si="11"/>
        <v>0</v>
      </c>
      <c r="AB121" s="5">
        <f t="shared" si="11"/>
        <v>0</v>
      </c>
      <c r="AC121" s="5">
        <f t="shared" si="11"/>
        <v>0</v>
      </c>
      <c r="AD121" s="5">
        <f t="shared" si="11"/>
        <v>0</v>
      </c>
      <c r="AE121" s="5">
        <f t="shared" si="11"/>
        <v>0</v>
      </c>
      <c r="AF121" s="5">
        <f t="shared" si="11"/>
        <v>0</v>
      </c>
      <c r="AG121" s="5">
        <f t="shared" si="11"/>
        <v>0</v>
      </c>
      <c r="AH121" s="5">
        <f t="shared" si="11"/>
        <v>0</v>
      </c>
      <c r="AI121" s="5">
        <f t="shared" si="11"/>
        <v>0</v>
      </c>
      <c r="AJ121" s="5">
        <f t="shared" si="11"/>
        <v>0</v>
      </c>
      <c r="AK121" s="5">
        <f t="shared" si="11"/>
        <v>0</v>
      </c>
      <c r="AL121" s="5">
        <f t="shared" si="11"/>
        <v>0</v>
      </c>
      <c r="AM121" s="6">
        <f t="shared" si="9"/>
        <v>0</v>
      </c>
    </row>
    <row r="122" spans="1:39" x14ac:dyDescent="0.25">
      <c r="A122" s="4" t="s">
        <v>481</v>
      </c>
      <c r="B122" s="4" t="s">
        <v>482</v>
      </c>
      <c r="C122" s="4" t="s">
        <v>6</v>
      </c>
      <c r="D122" s="5">
        <v>6</v>
      </c>
      <c r="E122" s="6">
        <v>3</v>
      </c>
      <c r="F122" s="6">
        <v>4.5</v>
      </c>
      <c r="G122" s="6">
        <v>4.5</v>
      </c>
      <c r="H122" s="6">
        <v>3</v>
      </c>
      <c r="I122" s="6">
        <v>6</v>
      </c>
      <c r="J122" s="6">
        <v>15</v>
      </c>
      <c r="K122" s="6">
        <v>12</v>
      </c>
      <c r="L122" s="6">
        <v>27</v>
      </c>
      <c r="M122" s="6">
        <v>19.5</v>
      </c>
      <c r="N122" s="6"/>
      <c r="O122" s="3"/>
      <c r="P122" s="3"/>
      <c r="Q122" s="3"/>
      <c r="R122" s="3"/>
      <c r="S122" s="6">
        <f t="shared" si="8"/>
        <v>100.5</v>
      </c>
      <c r="T122">
        <v>1</v>
      </c>
      <c r="U122" s="4" t="s">
        <v>481</v>
      </c>
      <c r="V122" s="4" t="s">
        <v>482</v>
      </c>
      <c r="W122" s="4" t="s">
        <v>6</v>
      </c>
      <c r="X122" s="5">
        <f t="shared" si="11"/>
        <v>0</v>
      </c>
      <c r="Y122" s="5">
        <f t="shared" si="11"/>
        <v>0</v>
      </c>
      <c r="Z122" s="5">
        <f t="shared" si="11"/>
        <v>0</v>
      </c>
      <c r="AA122" s="5">
        <f t="shared" si="11"/>
        <v>0</v>
      </c>
      <c r="AB122" s="5">
        <f t="shared" si="11"/>
        <v>0</v>
      </c>
      <c r="AC122" s="5">
        <f t="shared" si="11"/>
        <v>0</v>
      </c>
      <c r="AD122" s="5">
        <f t="shared" si="11"/>
        <v>0</v>
      </c>
      <c r="AE122" s="5">
        <f t="shared" si="11"/>
        <v>0</v>
      </c>
      <c r="AF122" s="5">
        <f t="shared" si="11"/>
        <v>40</v>
      </c>
      <c r="AG122" s="5">
        <f t="shared" si="11"/>
        <v>0</v>
      </c>
      <c r="AH122" s="5">
        <f t="shared" si="11"/>
        <v>0</v>
      </c>
      <c r="AI122" s="5">
        <f t="shared" si="11"/>
        <v>0</v>
      </c>
      <c r="AJ122" s="5">
        <f t="shared" si="11"/>
        <v>0</v>
      </c>
      <c r="AK122" s="5">
        <f t="shared" si="11"/>
        <v>0</v>
      </c>
      <c r="AL122" s="5">
        <f t="shared" si="11"/>
        <v>0</v>
      </c>
      <c r="AM122" s="6">
        <f t="shared" si="9"/>
        <v>40</v>
      </c>
    </row>
    <row r="123" spans="1:39" x14ac:dyDescent="0.25">
      <c r="A123" s="4" t="s">
        <v>483</v>
      </c>
      <c r="B123" s="4" t="s">
        <v>484</v>
      </c>
      <c r="C123" s="4" t="s">
        <v>6</v>
      </c>
      <c r="D123" s="5"/>
      <c r="E123" s="6">
        <v>6</v>
      </c>
      <c r="F123" s="6">
        <v>6</v>
      </c>
      <c r="G123" s="6">
        <v>4.5</v>
      </c>
      <c r="H123" s="6">
        <v>7.5</v>
      </c>
      <c r="I123" s="6">
        <v>15</v>
      </c>
      <c r="J123" s="6">
        <v>16.5</v>
      </c>
      <c r="K123" s="6">
        <v>15</v>
      </c>
      <c r="L123" s="6">
        <v>43.5</v>
      </c>
      <c r="M123" s="6">
        <v>25.5</v>
      </c>
      <c r="N123" s="6"/>
      <c r="O123" s="3"/>
      <c r="P123" s="3"/>
      <c r="Q123" s="3"/>
      <c r="R123" s="3"/>
      <c r="S123" s="6">
        <f t="shared" si="8"/>
        <v>139.5</v>
      </c>
      <c r="T123">
        <v>1</v>
      </c>
      <c r="U123" s="4" t="s">
        <v>483</v>
      </c>
      <c r="V123" s="4" t="s">
        <v>484</v>
      </c>
      <c r="W123" s="4" t="s">
        <v>6</v>
      </c>
      <c r="X123" s="5">
        <f t="shared" si="11"/>
        <v>0</v>
      </c>
      <c r="Y123" s="5">
        <f t="shared" si="11"/>
        <v>0</v>
      </c>
      <c r="Z123" s="5">
        <f t="shared" si="11"/>
        <v>0</v>
      </c>
      <c r="AA123" s="5">
        <f t="shared" si="11"/>
        <v>0</v>
      </c>
      <c r="AB123" s="5">
        <f t="shared" si="11"/>
        <v>0</v>
      </c>
      <c r="AC123" s="5">
        <f t="shared" si="11"/>
        <v>0</v>
      </c>
      <c r="AD123" s="5">
        <f t="shared" si="11"/>
        <v>0</v>
      </c>
      <c r="AE123" s="5">
        <f t="shared" si="11"/>
        <v>0</v>
      </c>
      <c r="AF123" s="5">
        <f t="shared" si="11"/>
        <v>104</v>
      </c>
      <c r="AG123" s="5">
        <f t="shared" si="11"/>
        <v>40</v>
      </c>
      <c r="AH123" s="5">
        <f t="shared" si="11"/>
        <v>0</v>
      </c>
      <c r="AI123" s="5">
        <f t="shared" si="11"/>
        <v>0</v>
      </c>
      <c r="AJ123" s="5">
        <f t="shared" si="11"/>
        <v>0</v>
      </c>
      <c r="AK123" s="5">
        <f t="shared" si="11"/>
        <v>0</v>
      </c>
      <c r="AL123" s="5">
        <f t="shared" si="11"/>
        <v>0</v>
      </c>
      <c r="AM123" s="6">
        <f t="shared" si="9"/>
        <v>144</v>
      </c>
    </row>
    <row r="124" spans="1:39" x14ac:dyDescent="0.25">
      <c r="A124" s="4" t="s">
        <v>485</v>
      </c>
      <c r="B124" s="4" t="s">
        <v>486</v>
      </c>
      <c r="C124" s="4" t="s">
        <v>6</v>
      </c>
      <c r="D124" s="5"/>
      <c r="E124" s="6">
        <v>6</v>
      </c>
      <c r="F124" s="6">
        <v>6</v>
      </c>
      <c r="G124" s="6">
        <v>6</v>
      </c>
      <c r="H124" s="6">
        <v>4.5</v>
      </c>
      <c r="I124" s="6">
        <v>13.5</v>
      </c>
      <c r="J124" s="6">
        <v>12</v>
      </c>
      <c r="K124" s="6">
        <v>15</v>
      </c>
      <c r="L124" s="6">
        <v>34.5</v>
      </c>
      <c r="M124" s="6">
        <v>18</v>
      </c>
      <c r="N124" s="6"/>
      <c r="O124" s="3"/>
      <c r="P124" s="3"/>
      <c r="Q124" s="3"/>
      <c r="R124" s="3"/>
      <c r="S124" s="6">
        <f t="shared" si="8"/>
        <v>115.5</v>
      </c>
      <c r="T124">
        <v>1</v>
      </c>
      <c r="U124" s="4" t="s">
        <v>485</v>
      </c>
      <c r="V124" s="4" t="s">
        <v>486</v>
      </c>
      <c r="W124" s="4" t="s">
        <v>6</v>
      </c>
      <c r="X124" s="5">
        <f t="shared" si="11"/>
        <v>0</v>
      </c>
      <c r="Y124" s="5">
        <f t="shared" si="11"/>
        <v>0</v>
      </c>
      <c r="Z124" s="5">
        <f t="shared" si="11"/>
        <v>0</v>
      </c>
      <c r="AA124" s="5">
        <f t="shared" si="11"/>
        <v>0</v>
      </c>
      <c r="AB124" s="5">
        <f t="shared" si="11"/>
        <v>0</v>
      </c>
      <c r="AC124" s="5">
        <f t="shared" si="11"/>
        <v>0</v>
      </c>
      <c r="AD124" s="5">
        <f t="shared" si="11"/>
        <v>0</v>
      </c>
      <c r="AE124" s="5">
        <f t="shared" si="11"/>
        <v>0</v>
      </c>
      <c r="AF124" s="5">
        <f t="shared" si="11"/>
        <v>73.5</v>
      </c>
      <c r="AG124" s="5">
        <f t="shared" si="11"/>
        <v>0</v>
      </c>
      <c r="AH124" s="5">
        <f t="shared" si="11"/>
        <v>0</v>
      </c>
      <c r="AI124" s="5">
        <f t="shared" si="11"/>
        <v>0</v>
      </c>
      <c r="AJ124" s="5">
        <f t="shared" si="11"/>
        <v>0</v>
      </c>
      <c r="AK124" s="5">
        <f t="shared" si="11"/>
        <v>0</v>
      </c>
      <c r="AL124" s="5">
        <f t="shared" si="11"/>
        <v>0</v>
      </c>
      <c r="AM124" s="6">
        <f t="shared" si="9"/>
        <v>73.5</v>
      </c>
    </row>
    <row r="125" spans="1:39" x14ac:dyDescent="0.25">
      <c r="A125" s="4" t="s">
        <v>531</v>
      </c>
      <c r="B125" s="4" t="s">
        <v>532</v>
      </c>
      <c r="C125" s="4" t="s">
        <v>6</v>
      </c>
      <c r="D125" s="5"/>
      <c r="E125" s="6"/>
      <c r="F125" s="6"/>
      <c r="G125" s="6"/>
      <c r="H125" s="6"/>
      <c r="I125" s="6">
        <v>9</v>
      </c>
      <c r="J125" s="6">
        <v>9</v>
      </c>
      <c r="K125" s="6">
        <v>7.5</v>
      </c>
      <c r="L125" s="6">
        <v>19.5</v>
      </c>
      <c r="M125" s="6"/>
      <c r="N125" s="6"/>
      <c r="O125" s="3"/>
      <c r="P125" s="3"/>
      <c r="Q125" s="3"/>
      <c r="R125" s="3"/>
      <c r="S125" s="6">
        <f t="shared" si="8"/>
        <v>45</v>
      </c>
      <c r="T125">
        <v>1</v>
      </c>
      <c r="U125" s="4" t="s">
        <v>531</v>
      </c>
      <c r="V125" s="4" t="s">
        <v>532</v>
      </c>
      <c r="W125" s="4" t="s">
        <v>6</v>
      </c>
      <c r="X125" s="5">
        <f t="shared" si="11"/>
        <v>0</v>
      </c>
      <c r="Y125" s="5">
        <f t="shared" si="11"/>
        <v>0</v>
      </c>
      <c r="Z125" s="5">
        <f t="shared" si="11"/>
        <v>0</v>
      </c>
      <c r="AA125" s="5">
        <f t="shared" si="11"/>
        <v>0</v>
      </c>
      <c r="AB125" s="5">
        <f t="shared" si="11"/>
        <v>0</v>
      </c>
      <c r="AC125" s="5">
        <f t="shared" si="11"/>
        <v>0</v>
      </c>
      <c r="AD125" s="5">
        <f t="shared" si="11"/>
        <v>0</v>
      </c>
      <c r="AE125" s="5">
        <f t="shared" si="11"/>
        <v>0</v>
      </c>
      <c r="AF125" s="5">
        <f t="shared" si="11"/>
        <v>0</v>
      </c>
      <c r="AG125" s="5">
        <f t="shared" si="11"/>
        <v>0</v>
      </c>
      <c r="AH125" s="5">
        <f t="shared" si="11"/>
        <v>0</v>
      </c>
      <c r="AI125" s="5">
        <f t="shared" si="11"/>
        <v>0</v>
      </c>
      <c r="AJ125" s="5">
        <f t="shared" si="11"/>
        <v>0</v>
      </c>
      <c r="AK125" s="5">
        <f t="shared" si="11"/>
        <v>0</v>
      </c>
      <c r="AL125" s="5">
        <f t="shared" si="11"/>
        <v>0</v>
      </c>
      <c r="AM125" s="6">
        <f t="shared" si="9"/>
        <v>0</v>
      </c>
    </row>
    <row r="126" spans="1:39" x14ac:dyDescent="0.25">
      <c r="A126" s="4" t="s">
        <v>551</v>
      </c>
      <c r="B126" s="4" t="s">
        <v>552</v>
      </c>
      <c r="C126" s="4" t="s">
        <v>6</v>
      </c>
      <c r="D126" s="5"/>
      <c r="E126" s="6"/>
      <c r="F126" s="6"/>
      <c r="G126" s="6"/>
      <c r="H126" s="6"/>
      <c r="I126" s="6"/>
      <c r="J126" s="6"/>
      <c r="K126" s="6"/>
      <c r="L126" s="6">
        <v>25.5</v>
      </c>
      <c r="M126" s="6"/>
      <c r="N126" s="6"/>
      <c r="O126" s="3"/>
      <c r="P126" s="3"/>
      <c r="Q126" s="3"/>
      <c r="R126" s="3"/>
      <c r="S126" s="6">
        <f t="shared" si="8"/>
        <v>25.5</v>
      </c>
      <c r="T126">
        <v>1</v>
      </c>
      <c r="U126" s="4" t="s">
        <v>551</v>
      </c>
      <c r="V126" s="4" t="s">
        <v>552</v>
      </c>
      <c r="W126" s="4" t="s">
        <v>6</v>
      </c>
      <c r="X126" s="5">
        <f t="shared" si="11"/>
        <v>0</v>
      </c>
      <c r="Y126" s="5">
        <f t="shared" si="11"/>
        <v>0</v>
      </c>
      <c r="Z126" s="5">
        <f t="shared" si="11"/>
        <v>0</v>
      </c>
      <c r="AA126" s="5">
        <f t="shared" si="11"/>
        <v>0</v>
      </c>
      <c r="AB126" s="5">
        <f t="shared" si="11"/>
        <v>0</v>
      </c>
      <c r="AC126" s="5">
        <f t="shared" si="11"/>
        <v>0</v>
      </c>
      <c r="AD126" s="5">
        <f t="shared" si="11"/>
        <v>0</v>
      </c>
      <c r="AE126" s="5">
        <f t="shared" si="11"/>
        <v>0</v>
      </c>
      <c r="AF126" s="5">
        <f t="shared" si="11"/>
        <v>40</v>
      </c>
      <c r="AG126" s="5">
        <f t="shared" si="11"/>
        <v>0</v>
      </c>
      <c r="AH126" s="5">
        <f t="shared" si="11"/>
        <v>0</v>
      </c>
      <c r="AI126" s="5">
        <f t="shared" si="11"/>
        <v>0</v>
      </c>
      <c r="AJ126" s="5">
        <f t="shared" si="11"/>
        <v>0</v>
      </c>
      <c r="AK126" s="5">
        <f t="shared" si="11"/>
        <v>0</v>
      </c>
      <c r="AL126" s="5">
        <f t="shared" si="11"/>
        <v>0</v>
      </c>
      <c r="AM126" s="6">
        <f t="shared" si="9"/>
        <v>40</v>
      </c>
    </row>
    <row r="127" spans="1:39" x14ac:dyDescent="0.25">
      <c r="A127" s="4" t="s">
        <v>547</v>
      </c>
      <c r="B127" s="4" t="s">
        <v>548</v>
      </c>
      <c r="C127" s="4" t="s">
        <v>6</v>
      </c>
      <c r="D127" s="5"/>
      <c r="E127" s="6"/>
      <c r="F127" s="6"/>
      <c r="G127" s="6"/>
      <c r="H127" s="6"/>
      <c r="I127" s="6"/>
      <c r="J127" s="6"/>
      <c r="K127" s="6">
        <v>7.5</v>
      </c>
      <c r="L127" s="6">
        <v>24</v>
      </c>
      <c r="M127" s="6">
        <v>18</v>
      </c>
      <c r="N127" s="6"/>
      <c r="O127" s="3"/>
      <c r="P127" s="3"/>
      <c r="Q127" s="3"/>
      <c r="R127" s="3"/>
      <c r="S127" s="6">
        <f t="shared" si="8"/>
        <v>49.5</v>
      </c>
      <c r="T127">
        <v>1</v>
      </c>
      <c r="U127" s="4" t="s">
        <v>547</v>
      </c>
      <c r="V127" s="4" t="s">
        <v>548</v>
      </c>
      <c r="W127" s="4" t="s">
        <v>6</v>
      </c>
      <c r="X127" s="5">
        <f t="shared" si="11"/>
        <v>0</v>
      </c>
      <c r="Y127" s="5">
        <f t="shared" si="11"/>
        <v>0</v>
      </c>
      <c r="Z127" s="5">
        <f t="shared" si="11"/>
        <v>0</v>
      </c>
      <c r="AA127" s="5">
        <f t="shared" si="11"/>
        <v>0</v>
      </c>
      <c r="AB127" s="5">
        <f t="shared" si="11"/>
        <v>0</v>
      </c>
      <c r="AC127" s="5">
        <f t="shared" si="11"/>
        <v>0</v>
      </c>
      <c r="AD127" s="5">
        <f t="shared" si="11"/>
        <v>0</v>
      </c>
      <c r="AE127" s="5">
        <f t="shared" si="11"/>
        <v>0</v>
      </c>
      <c r="AF127" s="5">
        <f t="shared" si="11"/>
        <v>20</v>
      </c>
      <c r="AG127" s="5">
        <f t="shared" si="11"/>
        <v>0</v>
      </c>
      <c r="AH127" s="5">
        <f t="shared" si="11"/>
        <v>0</v>
      </c>
      <c r="AI127" s="5">
        <f t="shared" si="11"/>
        <v>0</v>
      </c>
      <c r="AJ127" s="5">
        <f t="shared" si="11"/>
        <v>0</v>
      </c>
      <c r="AK127" s="5">
        <f t="shared" si="11"/>
        <v>0</v>
      </c>
      <c r="AL127" s="5">
        <f t="shared" si="11"/>
        <v>0</v>
      </c>
      <c r="AM127" s="6">
        <f t="shared" si="9"/>
        <v>20</v>
      </c>
    </row>
    <row r="128" spans="1:39" x14ac:dyDescent="0.25">
      <c r="A128" s="4" t="s">
        <v>537</v>
      </c>
      <c r="B128" s="4" t="s">
        <v>538</v>
      </c>
      <c r="C128" s="4" t="s">
        <v>6</v>
      </c>
      <c r="D128" s="5"/>
      <c r="E128" s="6"/>
      <c r="F128" s="6"/>
      <c r="G128" s="6"/>
      <c r="H128" s="6"/>
      <c r="I128" s="6"/>
      <c r="J128" s="6">
        <v>6</v>
      </c>
      <c r="K128" s="6"/>
      <c r="L128" s="6">
        <v>24</v>
      </c>
      <c r="M128" s="6"/>
      <c r="N128" s="6"/>
      <c r="O128" s="3"/>
      <c r="P128" s="3"/>
      <c r="Q128" s="3"/>
      <c r="R128" s="3"/>
      <c r="S128" s="6">
        <f t="shared" si="8"/>
        <v>30</v>
      </c>
      <c r="T128">
        <v>1</v>
      </c>
      <c r="U128" s="4" t="s">
        <v>537</v>
      </c>
      <c r="V128" s="4" t="s">
        <v>538</v>
      </c>
      <c r="W128" s="4" t="s">
        <v>6</v>
      </c>
      <c r="X128" s="5">
        <f t="shared" si="11"/>
        <v>0</v>
      </c>
      <c r="Y128" s="5">
        <f t="shared" si="11"/>
        <v>0</v>
      </c>
      <c r="Z128" s="5">
        <f t="shared" si="11"/>
        <v>0</v>
      </c>
      <c r="AA128" s="5">
        <f t="shared" si="11"/>
        <v>0</v>
      </c>
      <c r="AB128" s="5">
        <f t="shared" si="11"/>
        <v>0</v>
      </c>
      <c r="AC128" s="5">
        <f t="shared" si="11"/>
        <v>0</v>
      </c>
      <c r="AD128" s="5">
        <f t="shared" si="11"/>
        <v>0</v>
      </c>
      <c r="AE128" s="5">
        <f t="shared" si="11"/>
        <v>0</v>
      </c>
      <c r="AF128" s="5">
        <f t="shared" si="11"/>
        <v>20</v>
      </c>
      <c r="AG128" s="5">
        <f t="shared" si="11"/>
        <v>0</v>
      </c>
      <c r="AH128" s="5">
        <f t="shared" si="11"/>
        <v>0</v>
      </c>
      <c r="AI128" s="5">
        <f t="shared" si="11"/>
        <v>0</v>
      </c>
      <c r="AJ128" s="5">
        <f t="shared" si="11"/>
        <v>0</v>
      </c>
      <c r="AK128" s="5">
        <f t="shared" si="11"/>
        <v>0</v>
      </c>
      <c r="AL128" s="5">
        <f t="shared" si="11"/>
        <v>0</v>
      </c>
      <c r="AM128" s="6">
        <f t="shared" si="9"/>
        <v>20</v>
      </c>
    </row>
    <row r="129" spans="1:39" x14ac:dyDescent="0.25">
      <c r="A129" s="4" t="s">
        <v>533</v>
      </c>
      <c r="B129" s="4" t="s">
        <v>534</v>
      </c>
      <c r="C129" s="4" t="s">
        <v>6</v>
      </c>
      <c r="D129" s="5"/>
      <c r="E129" s="6"/>
      <c r="F129" s="6"/>
      <c r="G129" s="6"/>
      <c r="H129" s="6"/>
      <c r="I129" s="6">
        <v>7.5</v>
      </c>
      <c r="J129" s="6">
        <v>9</v>
      </c>
      <c r="K129" s="6"/>
      <c r="L129" s="6">
        <v>21</v>
      </c>
      <c r="M129" s="6"/>
      <c r="N129" s="6"/>
      <c r="O129" s="3"/>
      <c r="P129" s="3"/>
      <c r="Q129" s="3"/>
      <c r="R129" s="3"/>
      <c r="S129" s="6">
        <f t="shared" si="8"/>
        <v>37.5</v>
      </c>
      <c r="T129">
        <v>1</v>
      </c>
      <c r="U129" s="4" t="s">
        <v>533</v>
      </c>
      <c r="V129" s="4" t="s">
        <v>534</v>
      </c>
      <c r="W129" s="4" t="s">
        <v>6</v>
      </c>
      <c r="X129" s="5">
        <f t="shared" si="11"/>
        <v>0</v>
      </c>
      <c r="Y129" s="5">
        <f t="shared" si="11"/>
        <v>0</v>
      </c>
      <c r="Z129" s="5">
        <f t="shared" si="11"/>
        <v>0</v>
      </c>
      <c r="AA129" s="5">
        <f t="shared" si="11"/>
        <v>0</v>
      </c>
      <c r="AB129" s="5">
        <f t="shared" si="11"/>
        <v>0</v>
      </c>
      <c r="AC129" s="5">
        <f t="shared" si="11"/>
        <v>0</v>
      </c>
      <c r="AD129" s="5">
        <f t="shared" si="11"/>
        <v>0</v>
      </c>
      <c r="AE129" s="5">
        <f t="shared" si="11"/>
        <v>0</v>
      </c>
      <c r="AF129" s="5">
        <f t="shared" si="11"/>
        <v>20</v>
      </c>
      <c r="AG129" s="5">
        <f t="shared" si="11"/>
        <v>0</v>
      </c>
      <c r="AH129" s="5">
        <f t="shared" si="11"/>
        <v>0</v>
      </c>
      <c r="AI129" s="5">
        <f t="shared" si="11"/>
        <v>0</v>
      </c>
      <c r="AJ129" s="5">
        <f t="shared" si="11"/>
        <v>0</v>
      </c>
      <c r="AK129" s="5">
        <f t="shared" si="11"/>
        <v>0</v>
      </c>
      <c r="AL129" s="5">
        <f t="shared" si="11"/>
        <v>0</v>
      </c>
      <c r="AM129" s="6">
        <f t="shared" si="9"/>
        <v>20</v>
      </c>
    </row>
    <row r="130" spans="1:39" x14ac:dyDescent="0.25">
      <c r="A130" s="4" t="s">
        <v>539</v>
      </c>
      <c r="B130" s="4" t="s">
        <v>540</v>
      </c>
      <c r="C130" s="4" t="s">
        <v>6</v>
      </c>
      <c r="D130" s="5"/>
      <c r="E130" s="6"/>
      <c r="F130" s="6"/>
      <c r="G130" s="6"/>
      <c r="H130" s="6"/>
      <c r="I130" s="6"/>
      <c r="J130" s="6">
        <v>16.5</v>
      </c>
      <c r="K130" s="6">
        <v>18</v>
      </c>
      <c r="L130" s="6">
        <v>33</v>
      </c>
      <c r="M130" s="6">
        <v>30</v>
      </c>
      <c r="N130" s="6"/>
      <c r="O130" s="3"/>
      <c r="P130" s="3"/>
      <c r="Q130" s="3"/>
      <c r="R130" s="3"/>
      <c r="S130" s="6">
        <f t="shared" si="8"/>
        <v>97.5</v>
      </c>
      <c r="T130">
        <v>1</v>
      </c>
      <c r="U130" s="4" t="s">
        <v>539</v>
      </c>
      <c r="V130" s="4" t="s">
        <v>540</v>
      </c>
      <c r="W130" s="4" t="s">
        <v>6</v>
      </c>
      <c r="X130" s="5">
        <f t="shared" si="11"/>
        <v>0</v>
      </c>
      <c r="Y130" s="5">
        <f t="shared" si="11"/>
        <v>0</v>
      </c>
      <c r="Z130" s="5">
        <f t="shared" si="11"/>
        <v>0</v>
      </c>
      <c r="AA130" s="5">
        <f t="shared" si="11"/>
        <v>0</v>
      </c>
      <c r="AB130" s="5">
        <f t="shared" si="11"/>
        <v>0</v>
      </c>
      <c r="AC130" s="5">
        <f t="shared" si="11"/>
        <v>0</v>
      </c>
      <c r="AD130" s="5">
        <f t="shared" si="11"/>
        <v>0</v>
      </c>
      <c r="AE130" s="5">
        <f t="shared" si="11"/>
        <v>0</v>
      </c>
      <c r="AF130" s="5">
        <f t="shared" si="11"/>
        <v>69</v>
      </c>
      <c r="AG130" s="5">
        <f t="shared" si="11"/>
        <v>60</v>
      </c>
      <c r="AH130" s="5">
        <f t="shared" si="11"/>
        <v>0</v>
      </c>
      <c r="AI130" s="5">
        <f t="shared" si="11"/>
        <v>0</v>
      </c>
      <c r="AJ130" s="5">
        <f t="shared" si="11"/>
        <v>0</v>
      </c>
      <c r="AK130" s="5">
        <f t="shared" si="11"/>
        <v>0</v>
      </c>
      <c r="AL130" s="5">
        <f t="shared" si="11"/>
        <v>0</v>
      </c>
      <c r="AM130" s="6">
        <f t="shared" si="9"/>
        <v>129</v>
      </c>
    </row>
    <row r="131" spans="1:39" x14ac:dyDescent="0.25">
      <c r="A131" s="4" t="s">
        <v>491</v>
      </c>
      <c r="B131" s="4" t="s">
        <v>492</v>
      </c>
      <c r="C131" s="4" t="s">
        <v>6</v>
      </c>
      <c r="D131" s="5"/>
      <c r="E131" s="6"/>
      <c r="F131" s="6">
        <v>4.5</v>
      </c>
      <c r="G131" s="6">
        <v>3</v>
      </c>
      <c r="H131" s="6">
        <v>4.5</v>
      </c>
      <c r="I131" s="6">
        <v>7.5</v>
      </c>
      <c r="J131" s="6">
        <v>10.5</v>
      </c>
      <c r="K131" s="6">
        <v>12</v>
      </c>
      <c r="L131" s="6">
        <v>25.5</v>
      </c>
      <c r="M131" s="6">
        <v>25.5</v>
      </c>
      <c r="N131" s="6"/>
      <c r="O131" s="3"/>
      <c r="P131" s="3"/>
      <c r="Q131" s="3"/>
      <c r="R131" s="3"/>
      <c r="S131" s="6">
        <f t="shared" si="8"/>
        <v>93</v>
      </c>
      <c r="T131">
        <v>1</v>
      </c>
      <c r="U131" s="4" t="s">
        <v>491</v>
      </c>
      <c r="V131" s="4" t="s">
        <v>492</v>
      </c>
      <c r="W131" s="4" t="s">
        <v>6</v>
      </c>
      <c r="X131" s="5">
        <f t="shared" si="11"/>
        <v>0</v>
      </c>
      <c r="Y131" s="5">
        <f t="shared" si="11"/>
        <v>0</v>
      </c>
      <c r="Z131" s="5">
        <f t="shared" si="11"/>
        <v>0</v>
      </c>
      <c r="AA131" s="5">
        <f t="shared" si="11"/>
        <v>0</v>
      </c>
      <c r="AB131" s="5">
        <f t="shared" si="11"/>
        <v>0</v>
      </c>
      <c r="AC131" s="5">
        <f t="shared" si="11"/>
        <v>0</v>
      </c>
      <c r="AD131" s="5">
        <f t="shared" si="11"/>
        <v>0</v>
      </c>
      <c r="AE131" s="5">
        <f t="shared" si="11"/>
        <v>0</v>
      </c>
      <c r="AF131" s="5">
        <f t="shared" si="11"/>
        <v>40</v>
      </c>
      <c r="AG131" s="5">
        <f t="shared" si="11"/>
        <v>40</v>
      </c>
      <c r="AH131" s="5">
        <f t="shared" si="11"/>
        <v>0</v>
      </c>
      <c r="AI131" s="5">
        <f t="shared" si="11"/>
        <v>0</v>
      </c>
      <c r="AJ131" s="5">
        <f t="shared" si="11"/>
        <v>0</v>
      </c>
      <c r="AK131" s="5">
        <f t="shared" si="11"/>
        <v>0</v>
      </c>
      <c r="AL131" s="5">
        <f t="shared" si="11"/>
        <v>0</v>
      </c>
      <c r="AM131" s="6">
        <f t="shared" si="9"/>
        <v>80</v>
      </c>
    </row>
    <row r="132" spans="1:39" x14ac:dyDescent="0.25">
      <c r="A132" s="4" t="s">
        <v>513</v>
      </c>
      <c r="B132" s="4" t="s">
        <v>514</v>
      </c>
      <c r="C132" s="4" t="s">
        <v>6</v>
      </c>
      <c r="D132" s="5"/>
      <c r="E132" s="6"/>
      <c r="F132" s="6"/>
      <c r="G132" s="6"/>
      <c r="H132" s="6">
        <v>3</v>
      </c>
      <c r="I132" s="6">
        <v>4.5</v>
      </c>
      <c r="J132" s="6">
        <v>10.5</v>
      </c>
      <c r="K132" s="6">
        <v>10.5</v>
      </c>
      <c r="L132" s="6">
        <v>16.5</v>
      </c>
      <c r="M132" s="6">
        <v>13.5</v>
      </c>
      <c r="N132" s="6"/>
      <c r="O132" s="3"/>
      <c r="P132" s="3"/>
      <c r="Q132" s="3"/>
      <c r="R132" s="3"/>
      <c r="S132" s="6">
        <f t="shared" si="8"/>
        <v>58.5</v>
      </c>
      <c r="T132">
        <v>1</v>
      </c>
      <c r="U132" s="4" t="s">
        <v>513</v>
      </c>
      <c r="V132" s="4" t="s">
        <v>514</v>
      </c>
      <c r="W132" s="4" t="s">
        <v>6</v>
      </c>
      <c r="X132" s="5">
        <f t="shared" si="11"/>
        <v>0</v>
      </c>
      <c r="Y132" s="5">
        <f t="shared" si="11"/>
        <v>0</v>
      </c>
      <c r="Z132" s="5">
        <f t="shared" si="11"/>
        <v>0</v>
      </c>
      <c r="AA132" s="5">
        <f t="shared" si="11"/>
        <v>0</v>
      </c>
      <c r="AB132" s="5">
        <f t="shared" si="11"/>
        <v>0</v>
      </c>
      <c r="AC132" s="5">
        <f t="shared" si="11"/>
        <v>0</v>
      </c>
      <c r="AD132" s="5">
        <f t="shared" si="11"/>
        <v>0</v>
      </c>
      <c r="AE132" s="5">
        <f t="shared" si="11"/>
        <v>0</v>
      </c>
      <c r="AF132" s="5">
        <f t="shared" si="11"/>
        <v>0</v>
      </c>
      <c r="AG132" s="5">
        <f t="shared" si="11"/>
        <v>0</v>
      </c>
      <c r="AH132" s="5">
        <f t="shared" si="11"/>
        <v>0</v>
      </c>
      <c r="AI132" s="5">
        <f t="shared" si="11"/>
        <v>0</v>
      </c>
      <c r="AJ132" s="5">
        <f t="shared" si="11"/>
        <v>0</v>
      </c>
      <c r="AK132" s="5">
        <f t="shared" si="11"/>
        <v>0</v>
      </c>
      <c r="AL132" s="5">
        <f t="shared" si="11"/>
        <v>0</v>
      </c>
      <c r="AM132" s="6">
        <f t="shared" si="9"/>
        <v>0</v>
      </c>
    </row>
    <row r="133" spans="1:39" x14ac:dyDescent="0.25">
      <c r="A133" s="4" t="s">
        <v>515</v>
      </c>
      <c r="B133" s="4" t="s">
        <v>516</v>
      </c>
      <c r="C133" s="4" t="s">
        <v>6</v>
      </c>
      <c r="D133" s="5"/>
      <c r="E133" s="6"/>
      <c r="F133" s="6"/>
      <c r="G133" s="6"/>
      <c r="H133" s="6">
        <v>3</v>
      </c>
      <c r="I133" s="6">
        <v>7.5</v>
      </c>
      <c r="J133" s="6">
        <v>9</v>
      </c>
      <c r="K133" s="6">
        <v>10.5</v>
      </c>
      <c r="L133" s="6">
        <v>30</v>
      </c>
      <c r="M133" s="6">
        <v>21</v>
      </c>
      <c r="N133" s="6"/>
      <c r="O133" s="3"/>
      <c r="P133" s="3"/>
      <c r="Q133" s="3"/>
      <c r="R133" s="3"/>
      <c r="S133" s="6">
        <f t="shared" si="8"/>
        <v>81</v>
      </c>
      <c r="T133">
        <v>1</v>
      </c>
      <c r="U133" s="4" t="s">
        <v>515</v>
      </c>
      <c r="V133" s="4" t="s">
        <v>516</v>
      </c>
      <c r="W133" s="4" t="s">
        <v>6</v>
      </c>
      <c r="X133" s="5">
        <f t="shared" si="11"/>
        <v>0</v>
      </c>
      <c r="Y133" s="5">
        <f t="shared" si="11"/>
        <v>0</v>
      </c>
      <c r="Z133" s="5">
        <f t="shared" si="11"/>
        <v>0</v>
      </c>
      <c r="AA133" s="5">
        <f t="shared" si="11"/>
        <v>0</v>
      </c>
      <c r="AB133" s="5">
        <f t="shared" si="11"/>
        <v>0</v>
      </c>
      <c r="AC133" s="5">
        <f t="shared" si="11"/>
        <v>0</v>
      </c>
      <c r="AD133" s="5">
        <f t="shared" si="11"/>
        <v>0</v>
      </c>
      <c r="AE133" s="5">
        <f t="shared" si="11"/>
        <v>0</v>
      </c>
      <c r="AF133" s="5">
        <f t="shared" si="11"/>
        <v>60</v>
      </c>
      <c r="AG133" s="5">
        <f t="shared" si="11"/>
        <v>20</v>
      </c>
      <c r="AH133" s="5">
        <f t="shared" si="11"/>
        <v>0</v>
      </c>
      <c r="AI133" s="5">
        <f t="shared" si="11"/>
        <v>0</v>
      </c>
      <c r="AJ133" s="5">
        <f t="shared" si="11"/>
        <v>0</v>
      </c>
      <c r="AK133" s="5">
        <f t="shared" si="11"/>
        <v>0</v>
      </c>
      <c r="AL133" s="5">
        <f t="shared" si="11"/>
        <v>0</v>
      </c>
      <c r="AM133" s="6">
        <f t="shared" si="9"/>
        <v>80</v>
      </c>
    </row>
    <row r="134" spans="1:39" x14ac:dyDescent="0.25">
      <c r="A134" s="4" t="s">
        <v>517</v>
      </c>
      <c r="B134" s="4" t="s">
        <v>518</v>
      </c>
      <c r="C134" s="4" t="s">
        <v>6</v>
      </c>
      <c r="D134" s="5"/>
      <c r="E134" s="6"/>
      <c r="F134" s="6"/>
      <c r="G134" s="6"/>
      <c r="H134" s="6">
        <v>4.5</v>
      </c>
      <c r="I134" s="6">
        <v>3</v>
      </c>
      <c r="J134" s="6">
        <v>7.5</v>
      </c>
      <c r="K134" s="6">
        <v>13.5</v>
      </c>
      <c r="L134" s="6">
        <v>28.5</v>
      </c>
      <c r="M134" s="6">
        <v>18</v>
      </c>
      <c r="N134" s="6"/>
      <c r="O134" s="3"/>
      <c r="P134" s="3"/>
      <c r="Q134" s="3"/>
      <c r="R134" s="3"/>
      <c r="S134" s="6">
        <f t="shared" si="8"/>
        <v>75</v>
      </c>
      <c r="T134">
        <v>1</v>
      </c>
      <c r="U134" s="4" t="s">
        <v>517</v>
      </c>
      <c r="V134" s="4" t="s">
        <v>518</v>
      </c>
      <c r="W134" s="4" t="s">
        <v>6</v>
      </c>
      <c r="X134" s="5">
        <f t="shared" si="11"/>
        <v>0</v>
      </c>
      <c r="Y134" s="5">
        <f t="shared" si="11"/>
        <v>0</v>
      </c>
      <c r="Z134" s="5">
        <f t="shared" si="11"/>
        <v>0</v>
      </c>
      <c r="AA134" s="5">
        <f t="shared" si="11"/>
        <v>0</v>
      </c>
      <c r="AB134" s="5">
        <f t="shared" si="11"/>
        <v>0</v>
      </c>
      <c r="AC134" s="5">
        <f t="shared" si="11"/>
        <v>0</v>
      </c>
      <c r="AD134" s="5">
        <f t="shared" si="11"/>
        <v>0</v>
      </c>
      <c r="AE134" s="5">
        <f t="shared" si="11"/>
        <v>0</v>
      </c>
      <c r="AF134" s="5">
        <f t="shared" si="11"/>
        <v>40</v>
      </c>
      <c r="AG134" s="5">
        <f t="shared" si="11"/>
        <v>0</v>
      </c>
      <c r="AH134" s="5">
        <f t="shared" si="11"/>
        <v>0</v>
      </c>
      <c r="AI134" s="5">
        <f t="shared" si="11"/>
        <v>0</v>
      </c>
      <c r="AJ134" s="5">
        <f t="shared" si="11"/>
        <v>0</v>
      </c>
      <c r="AK134" s="5">
        <f t="shared" si="11"/>
        <v>0</v>
      </c>
      <c r="AL134" s="5">
        <f t="shared" si="11"/>
        <v>0</v>
      </c>
      <c r="AM134" s="6">
        <f t="shared" si="9"/>
        <v>40</v>
      </c>
    </row>
    <row r="135" spans="1:39" x14ac:dyDescent="0.25">
      <c r="A135" s="4" t="s">
        <v>519</v>
      </c>
      <c r="B135" s="4" t="s">
        <v>520</v>
      </c>
      <c r="C135" s="4" t="s">
        <v>6</v>
      </c>
      <c r="D135" s="5"/>
      <c r="E135" s="6"/>
      <c r="F135" s="6"/>
      <c r="G135" s="6"/>
      <c r="H135" s="6">
        <v>4.5</v>
      </c>
      <c r="I135" s="6">
        <v>7.5</v>
      </c>
      <c r="J135" s="6">
        <v>9</v>
      </c>
      <c r="K135" s="6">
        <v>12</v>
      </c>
      <c r="L135" s="6">
        <v>27</v>
      </c>
      <c r="M135" s="6"/>
      <c r="N135" s="6"/>
      <c r="O135" s="3"/>
      <c r="P135" s="3"/>
      <c r="Q135" s="3"/>
      <c r="R135" s="3"/>
      <c r="S135" s="6">
        <f t="shared" si="8"/>
        <v>60</v>
      </c>
      <c r="T135">
        <v>1</v>
      </c>
      <c r="U135" s="4" t="s">
        <v>519</v>
      </c>
      <c r="V135" s="4" t="s">
        <v>520</v>
      </c>
      <c r="W135" s="4" t="s">
        <v>6</v>
      </c>
      <c r="X135" s="5">
        <f t="shared" si="11"/>
        <v>0</v>
      </c>
      <c r="Y135" s="5">
        <f t="shared" si="11"/>
        <v>0</v>
      </c>
      <c r="Z135" s="5">
        <f t="shared" si="11"/>
        <v>0</v>
      </c>
      <c r="AA135" s="5">
        <f t="shared" si="11"/>
        <v>0</v>
      </c>
      <c r="AB135" s="5">
        <f t="shared" si="11"/>
        <v>0</v>
      </c>
      <c r="AC135" s="5">
        <f t="shared" si="11"/>
        <v>0</v>
      </c>
      <c r="AD135" s="5">
        <f t="shared" si="11"/>
        <v>0</v>
      </c>
      <c r="AE135" s="5">
        <f t="shared" si="11"/>
        <v>0</v>
      </c>
      <c r="AF135" s="5">
        <f t="shared" si="11"/>
        <v>40</v>
      </c>
      <c r="AG135" s="5">
        <f t="shared" si="11"/>
        <v>0</v>
      </c>
      <c r="AH135" s="5">
        <f t="shared" si="11"/>
        <v>0</v>
      </c>
      <c r="AI135" s="5">
        <f t="shared" si="11"/>
        <v>0</v>
      </c>
      <c r="AJ135" s="5">
        <f t="shared" si="11"/>
        <v>0</v>
      </c>
      <c r="AK135" s="5">
        <f t="shared" si="11"/>
        <v>0</v>
      </c>
      <c r="AL135" s="5">
        <f t="shared" si="11"/>
        <v>0</v>
      </c>
      <c r="AM135" s="6">
        <f t="shared" si="9"/>
        <v>40</v>
      </c>
    </row>
    <row r="136" spans="1:39" x14ac:dyDescent="0.25">
      <c r="A136" s="4" t="s">
        <v>549</v>
      </c>
      <c r="B136" s="4" t="s">
        <v>550</v>
      </c>
      <c r="C136" s="4" t="s">
        <v>6</v>
      </c>
      <c r="D136" s="5"/>
      <c r="E136" s="6"/>
      <c r="F136" s="6"/>
      <c r="G136" s="6"/>
      <c r="H136" s="6"/>
      <c r="I136" s="6"/>
      <c r="J136" s="6"/>
      <c r="K136" s="6">
        <v>6</v>
      </c>
      <c r="L136" s="6">
        <v>19.5</v>
      </c>
      <c r="M136" s="6"/>
      <c r="N136" s="6"/>
      <c r="O136" s="3"/>
      <c r="P136" s="3"/>
      <c r="Q136" s="3"/>
      <c r="R136" s="3"/>
      <c r="S136" s="6">
        <f t="shared" si="8"/>
        <v>25.5</v>
      </c>
      <c r="T136">
        <v>1</v>
      </c>
      <c r="U136" s="4" t="s">
        <v>549</v>
      </c>
      <c r="V136" s="4" t="s">
        <v>550</v>
      </c>
      <c r="W136" s="4" t="s">
        <v>6</v>
      </c>
      <c r="X136" s="5">
        <f t="shared" si="11"/>
        <v>0</v>
      </c>
      <c r="Y136" s="5">
        <f t="shared" si="11"/>
        <v>0</v>
      </c>
      <c r="Z136" s="5">
        <f t="shared" si="11"/>
        <v>0</v>
      </c>
      <c r="AA136" s="5">
        <f t="shared" si="11"/>
        <v>0</v>
      </c>
      <c r="AB136" s="5">
        <f t="shared" si="11"/>
        <v>0</v>
      </c>
      <c r="AC136" s="5">
        <f t="shared" si="11"/>
        <v>0</v>
      </c>
      <c r="AD136" s="5">
        <f t="shared" si="11"/>
        <v>0</v>
      </c>
      <c r="AE136" s="5">
        <f t="shared" si="11"/>
        <v>0</v>
      </c>
      <c r="AF136" s="5">
        <f t="shared" si="11"/>
        <v>0</v>
      </c>
      <c r="AG136" s="5">
        <f t="shared" si="11"/>
        <v>0</v>
      </c>
      <c r="AH136" s="5">
        <f t="shared" si="11"/>
        <v>0</v>
      </c>
      <c r="AI136" s="5">
        <f t="shared" si="11"/>
        <v>0</v>
      </c>
      <c r="AJ136" s="5">
        <f t="shared" si="11"/>
        <v>0</v>
      </c>
      <c r="AK136" s="5">
        <f t="shared" si="11"/>
        <v>0</v>
      </c>
      <c r="AL136" s="5">
        <f t="shared" si="11"/>
        <v>0</v>
      </c>
      <c r="AM136" s="6">
        <f t="shared" si="9"/>
        <v>0</v>
      </c>
    </row>
    <row r="137" spans="1:39" x14ac:dyDescent="0.25">
      <c r="A137" s="4" t="s">
        <v>543</v>
      </c>
      <c r="B137" s="4" t="s">
        <v>544</v>
      </c>
      <c r="C137" s="4" t="s">
        <v>6</v>
      </c>
      <c r="D137" s="5"/>
      <c r="E137" s="6"/>
      <c r="F137" s="6"/>
      <c r="G137" s="6"/>
      <c r="H137" s="6"/>
      <c r="I137" s="6"/>
      <c r="J137" s="6">
        <v>6</v>
      </c>
      <c r="K137" s="6"/>
      <c r="L137" s="6">
        <v>22.5</v>
      </c>
      <c r="M137" s="6">
        <v>9</v>
      </c>
      <c r="N137" s="6"/>
      <c r="O137" s="3"/>
      <c r="P137" s="3"/>
      <c r="Q137" s="3"/>
      <c r="R137" s="3"/>
      <c r="S137" s="6">
        <f t="shared" si="8"/>
        <v>37.5</v>
      </c>
      <c r="T137">
        <v>1</v>
      </c>
      <c r="U137" s="4" t="s">
        <v>543</v>
      </c>
      <c r="V137" s="4" t="s">
        <v>544</v>
      </c>
      <c r="W137" s="4" t="s">
        <v>6</v>
      </c>
      <c r="X137" s="5">
        <f t="shared" si="11"/>
        <v>0</v>
      </c>
      <c r="Y137" s="5">
        <f t="shared" si="11"/>
        <v>0</v>
      </c>
      <c r="Z137" s="5">
        <f t="shared" si="11"/>
        <v>0</v>
      </c>
      <c r="AA137" s="5">
        <f t="shared" si="11"/>
        <v>0</v>
      </c>
      <c r="AB137" s="5">
        <f t="shared" si="11"/>
        <v>0</v>
      </c>
      <c r="AC137" s="5">
        <f t="shared" si="11"/>
        <v>0</v>
      </c>
      <c r="AD137" s="5">
        <f t="shared" si="11"/>
        <v>0</v>
      </c>
      <c r="AE137" s="5">
        <f t="shared" si="11"/>
        <v>0</v>
      </c>
      <c r="AF137" s="5">
        <f t="shared" si="11"/>
        <v>20</v>
      </c>
      <c r="AG137" s="5">
        <f t="shared" si="11"/>
        <v>0</v>
      </c>
      <c r="AH137" s="5">
        <f t="shared" si="11"/>
        <v>0</v>
      </c>
      <c r="AI137" s="5">
        <f t="shared" si="11"/>
        <v>0</v>
      </c>
      <c r="AJ137" s="5">
        <f t="shared" si="11"/>
        <v>0</v>
      </c>
      <c r="AK137" s="5">
        <f t="shared" si="11"/>
        <v>0</v>
      </c>
      <c r="AL137" s="5">
        <f t="shared" si="11"/>
        <v>0</v>
      </c>
      <c r="AM137" s="6">
        <f t="shared" si="9"/>
        <v>20</v>
      </c>
    </row>
    <row r="138" spans="1:39" x14ac:dyDescent="0.25">
      <c r="A138" s="4" t="s">
        <v>555</v>
      </c>
      <c r="B138" s="4" t="s">
        <v>556</v>
      </c>
      <c r="C138" s="4" t="s">
        <v>6</v>
      </c>
      <c r="D138" s="5"/>
      <c r="E138" s="6"/>
      <c r="F138" s="6"/>
      <c r="G138" s="6"/>
      <c r="H138" s="6"/>
      <c r="I138" s="6"/>
      <c r="J138" s="6"/>
      <c r="K138" s="6"/>
      <c r="L138" s="6">
        <v>15</v>
      </c>
      <c r="M138" s="6">
        <v>21</v>
      </c>
      <c r="N138" s="6"/>
      <c r="O138" s="3"/>
      <c r="P138" s="3"/>
      <c r="Q138" s="3"/>
      <c r="R138" s="3"/>
      <c r="S138" s="6">
        <f t="shared" si="8"/>
        <v>36</v>
      </c>
      <c r="T138">
        <v>1</v>
      </c>
      <c r="U138" s="4" t="s">
        <v>555</v>
      </c>
      <c r="V138" s="4" t="s">
        <v>556</v>
      </c>
      <c r="W138" s="4" t="s">
        <v>6</v>
      </c>
      <c r="X138" s="5">
        <f t="shared" ref="X138:AL154" si="12">IF(D138&lt;20,0,IF(D138&lt;25,20,IF(D138&lt;30,40,IF(D138&lt;=40,60+(D138-30)*3,60+30+(D138-40)*4))))</f>
        <v>0</v>
      </c>
      <c r="Y138" s="5">
        <f t="shared" si="12"/>
        <v>0</v>
      </c>
      <c r="Z138" s="5">
        <f t="shared" si="12"/>
        <v>0</v>
      </c>
      <c r="AA138" s="5">
        <f t="shared" si="12"/>
        <v>0</v>
      </c>
      <c r="AB138" s="5">
        <f t="shared" si="12"/>
        <v>0</v>
      </c>
      <c r="AC138" s="5">
        <f t="shared" si="12"/>
        <v>0</v>
      </c>
      <c r="AD138" s="5">
        <f t="shared" si="12"/>
        <v>0</v>
      </c>
      <c r="AE138" s="5">
        <f t="shared" si="12"/>
        <v>0</v>
      </c>
      <c r="AF138" s="5">
        <f t="shared" si="12"/>
        <v>0</v>
      </c>
      <c r="AG138" s="5">
        <f t="shared" si="12"/>
        <v>20</v>
      </c>
      <c r="AH138" s="5">
        <f t="shared" si="12"/>
        <v>0</v>
      </c>
      <c r="AI138" s="5">
        <f t="shared" si="12"/>
        <v>0</v>
      </c>
      <c r="AJ138" s="5">
        <f t="shared" si="12"/>
        <v>0</v>
      </c>
      <c r="AK138" s="5">
        <f t="shared" si="12"/>
        <v>0</v>
      </c>
      <c r="AL138" s="5">
        <f t="shared" si="12"/>
        <v>0</v>
      </c>
      <c r="AM138" s="6">
        <f t="shared" si="9"/>
        <v>20</v>
      </c>
    </row>
    <row r="139" spans="1:39" x14ac:dyDescent="0.25">
      <c r="A139" s="4" t="s">
        <v>557</v>
      </c>
      <c r="B139" s="4" t="s">
        <v>558</v>
      </c>
      <c r="C139" s="4" t="s">
        <v>6</v>
      </c>
      <c r="D139" s="5"/>
      <c r="E139" s="6"/>
      <c r="F139" s="6"/>
      <c r="G139" s="6"/>
      <c r="H139" s="6"/>
      <c r="I139" s="6"/>
      <c r="J139" s="6"/>
      <c r="K139" s="6"/>
      <c r="L139" s="6">
        <v>19.5</v>
      </c>
      <c r="M139" s="6"/>
      <c r="N139" s="6"/>
      <c r="O139" s="3"/>
      <c r="P139" s="3"/>
      <c r="Q139" s="3"/>
      <c r="R139" s="3"/>
      <c r="S139" s="6">
        <f t="shared" si="8"/>
        <v>19.5</v>
      </c>
      <c r="T139">
        <v>1</v>
      </c>
      <c r="U139" s="4" t="s">
        <v>557</v>
      </c>
      <c r="V139" s="4" t="s">
        <v>558</v>
      </c>
      <c r="W139" s="4" t="s">
        <v>6</v>
      </c>
      <c r="X139" s="5">
        <f t="shared" si="12"/>
        <v>0</v>
      </c>
      <c r="Y139" s="5">
        <f t="shared" si="12"/>
        <v>0</v>
      </c>
      <c r="Z139" s="5">
        <f t="shared" si="12"/>
        <v>0</v>
      </c>
      <c r="AA139" s="5">
        <f t="shared" si="12"/>
        <v>0</v>
      </c>
      <c r="AB139" s="5">
        <f t="shared" si="12"/>
        <v>0</v>
      </c>
      <c r="AC139" s="5">
        <f t="shared" si="12"/>
        <v>0</v>
      </c>
      <c r="AD139" s="5">
        <f t="shared" si="12"/>
        <v>0</v>
      </c>
      <c r="AE139" s="5">
        <f t="shared" si="12"/>
        <v>0</v>
      </c>
      <c r="AF139" s="5">
        <f t="shared" si="12"/>
        <v>0</v>
      </c>
      <c r="AG139" s="5">
        <f t="shared" si="12"/>
        <v>0</v>
      </c>
      <c r="AH139" s="5">
        <f t="shared" si="12"/>
        <v>0</v>
      </c>
      <c r="AI139" s="5">
        <f t="shared" si="12"/>
        <v>0</v>
      </c>
      <c r="AJ139" s="5">
        <f t="shared" si="12"/>
        <v>0</v>
      </c>
      <c r="AK139" s="5">
        <f t="shared" si="12"/>
        <v>0</v>
      </c>
      <c r="AL139" s="5">
        <f t="shared" si="12"/>
        <v>0</v>
      </c>
      <c r="AM139" s="6">
        <f t="shared" si="9"/>
        <v>0</v>
      </c>
    </row>
    <row r="140" spans="1:39" x14ac:dyDescent="0.25">
      <c r="A140" s="4" t="s">
        <v>561</v>
      </c>
      <c r="B140" s="4" t="s">
        <v>562</v>
      </c>
      <c r="C140" s="4" t="s">
        <v>6</v>
      </c>
      <c r="D140" s="5"/>
      <c r="E140" s="6"/>
      <c r="F140" s="6"/>
      <c r="G140" s="6"/>
      <c r="H140" s="6"/>
      <c r="I140" s="6"/>
      <c r="J140" s="6"/>
      <c r="K140" s="6"/>
      <c r="L140" s="6">
        <v>18</v>
      </c>
      <c r="M140" s="6"/>
      <c r="N140" s="6"/>
      <c r="O140" s="3"/>
      <c r="P140" s="3"/>
      <c r="Q140" s="3"/>
      <c r="R140" s="3"/>
      <c r="S140" s="6">
        <f t="shared" si="8"/>
        <v>18</v>
      </c>
      <c r="T140">
        <v>1</v>
      </c>
      <c r="U140" s="4" t="s">
        <v>561</v>
      </c>
      <c r="V140" s="4" t="s">
        <v>562</v>
      </c>
      <c r="W140" s="4" t="s">
        <v>6</v>
      </c>
      <c r="X140" s="5">
        <f t="shared" si="12"/>
        <v>0</v>
      </c>
      <c r="Y140" s="5">
        <f t="shared" si="12"/>
        <v>0</v>
      </c>
      <c r="Z140" s="5">
        <f t="shared" si="12"/>
        <v>0</v>
      </c>
      <c r="AA140" s="5">
        <f t="shared" si="12"/>
        <v>0</v>
      </c>
      <c r="AB140" s="5">
        <f t="shared" si="12"/>
        <v>0</v>
      </c>
      <c r="AC140" s="5">
        <f t="shared" si="12"/>
        <v>0</v>
      </c>
      <c r="AD140" s="5">
        <f t="shared" si="12"/>
        <v>0</v>
      </c>
      <c r="AE140" s="5">
        <f t="shared" si="12"/>
        <v>0</v>
      </c>
      <c r="AF140" s="5">
        <f t="shared" si="12"/>
        <v>0</v>
      </c>
      <c r="AG140" s="5">
        <f t="shared" si="12"/>
        <v>0</v>
      </c>
      <c r="AH140" s="5">
        <f t="shared" si="12"/>
        <v>0</v>
      </c>
      <c r="AI140" s="5">
        <f t="shared" si="12"/>
        <v>0</v>
      </c>
      <c r="AJ140" s="5">
        <f t="shared" si="12"/>
        <v>0</v>
      </c>
      <c r="AK140" s="5">
        <f t="shared" si="12"/>
        <v>0</v>
      </c>
      <c r="AL140" s="5">
        <f t="shared" si="12"/>
        <v>0</v>
      </c>
      <c r="AM140" s="6">
        <f t="shared" si="9"/>
        <v>0</v>
      </c>
    </row>
    <row r="141" spans="1:39" x14ac:dyDescent="0.25">
      <c r="A141" s="4" t="s">
        <v>563</v>
      </c>
      <c r="B141" s="4" t="s">
        <v>564</v>
      </c>
      <c r="C141" s="4" t="s">
        <v>6</v>
      </c>
      <c r="D141" s="5"/>
      <c r="E141" s="6"/>
      <c r="F141" s="6"/>
      <c r="G141" s="6"/>
      <c r="H141" s="6"/>
      <c r="I141" s="6"/>
      <c r="J141" s="6"/>
      <c r="K141" s="6"/>
      <c r="L141" s="6">
        <v>24</v>
      </c>
      <c r="M141" s="6">
        <v>30</v>
      </c>
      <c r="N141" s="6"/>
      <c r="O141" s="3"/>
      <c r="P141" s="3"/>
      <c r="Q141" s="3"/>
      <c r="R141" s="3"/>
      <c r="S141" s="6">
        <f t="shared" si="8"/>
        <v>54</v>
      </c>
      <c r="T141">
        <v>1</v>
      </c>
      <c r="U141" s="4" t="s">
        <v>563</v>
      </c>
      <c r="V141" s="4" t="s">
        <v>564</v>
      </c>
      <c r="W141" s="4" t="s">
        <v>6</v>
      </c>
      <c r="X141" s="5">
        <f t="shared" si="12"/>
        <v>0</v>
      </c>
      <c r="Y141" s="5">
        <f t="shared" si="12"/>
        <v>0</v>
      </c>
      <c r="Z141" s="5">
        <f t="shared" si="12"/>
        <v>0</v>
      </c>
      <c r="AA141" s="5">
        <f t="shared" si="12"/>
        <v>0</v>
      </c>
      <c r="AB141" s="5">
        <f t="shared" si="12"/>
        <v>0</v>
      </c>
      <c r="AC141" s="5">
        <f t="shared" si="12"/>
        <v>0</v>
      </c>
      <c r="AD141" s="5">
        <f t="shared" si="12"/>
        <v>0</v>
      </c>
      <c r="AE141" s="5">
        <f t="shared" si="12"/>
        <v>0</v>
      </c>
      <c r="AF141" s="5">
        <f t="shared" si="12"/>
        <v>20</v>
      </c>
      <c r="AG141" s="5">
        <f t="shared" si="12"/>
        <v>60</v>
      </c>
      <c r="AH141" s="5">
        <f t="shared" si="12"/>
        <v>0</v>
      </c>
      <c r="AI141" s="5">
        <f t="shared" si="12"/>
        <v>0</v>
      </c>
      <c r="AJ141" s="5">
        <f t="shared" si="12"/>
        <v>0</v>
      </c>
      <c r="AK141" s="5">
        <f t="shared" si="12"/>
        <v>0</v>
      </c>
      <c r="AL141" s="5">
        <f t="shared" si="12"/>
        <v>0</v>
      </c>
      <c r="AM141" s="6">
        <f t="shared" si="9"/>
        <v>80</v>
      </c>
    </row>
    <row r="142" spans="1:39" x14ac:dyDescent="0.25">
      <c r="A142" s="10" t="s">
        <v>573</v>
      </c>
      <c r="B142" s="10" t="s">
        <v>574</v>
      </c>
      <c r="C142" s="4" t="s">
        <v>6</v>
      </c>
      <c r="D142" s="5"/>
      <c r="E142" s="6"/>
      <c r="F142" s="6"/>
      <c r="G142" s="6"/>
      <c r="H142" s="6"/>
      <c r="I142" s="6"/>
      <c r="J142" s="6"/>
      <c r="K142" s="6"/>
      <c r="L142" s="6"/>
      <c r="M142" s="6">
        <v>16.5</v>
      </c>
      <c r="N142" s="6"/>
      <c r="O142" s="3"/>
      <c r="P142" s="3"/>
      <c r="Q142" s="3"/>
      <c r="R142" s="3"/>
      <c r="S142" s="6">
        <f t="shared" si="8"/>
        <v>16.5</v>
      </c>
      <c r="T142">
        <v>1</v>
      </c>
      <c r="U142" s="10" t="s">
        <v>573</v>
      </c>
      <c r="V142" s="10" t="s">
        <v>574</v>
      </c>
      <c r="W142" s="4" t="s">
        <v>6</v>
      </c>
      <c r="X142" s="5">
        <f t="shared" si="12"/>
        <v>0</v>
      </c>
      <c r="Y142" s="5">
        <f t="shared" si="12"/>
        <v>0</v>
      </c>
      <c r="Z142" s="5">
        <f t="shared" si="12"/>
        <v>0</v>
      </c>
      <c r="AA142" s="5">
        <f t="shared" si="12"/>
        <v>0</v>
      </c>
      <c r="AB142" s="5">
        <f t="shared" si="12"/>
        <v>0</v>
      </c>
      <c r="AC142" s="5">
        <f t="shared" si="12"/>
        <v>0</v>
      </c>
      <c r="AD142" s="5">
        <f t="shared" si="12"/>
        <v>0</v>
      </c>
      <c r="AE142" s="5">
        <f t="shared" si="12"/>
        <v>0</v>
      </c>
      <c r="AF142" s="5">
        <f t="shared" si="12"/>
        <v>0</v>
      </c>
      <c r="AG142" s="5">
        <f t="shared" si="12"/>
        <v>0</v>
      </c>
      <c r="AH142" s="5">
        <f t="shared" si="12"/>
        <v>0</v>
      </c>
      <c r="AI142" s="5">
        <f t="shared" si="12"/>
        <v>0</v>
      </c>
      <c r="AJ142" s="5">
        <f t="shared" si="12"/>
        <v>0</v>
      </c>
      <c r="AK142" s="5">
        <f t="shared" si="12"/>
        <v>0</v>
      </c>
      <c r="AL142" s="5">
        <f t="shared" si="12"/>
        <v>0</v>
      </c>
      <c r="AM142" s="6">
        <f t="shared" si="9"/>
        <v>0</v>
      </c>
    </row>
    <row r="143" spans="1:39" x14ac:dyDescent="0.25">
      <c r="A143" s="4" t="s">
        <v>137</v>
      </c>
      <c r="B143" s="4" t="s">
        <v>138</v>
      </c>
      <c r="C143" s="4" t="s">
        <v>6</v>
      </c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3"/>
      <c r="P143" s="3"/>
      <c r="Q143" s="3"/>
      <c r="R143" s="3"/>
      <c r="S143" s="6">
        <f t="shared" si="8"/>
        <v>0</v>
      </c>
      <c r="T143">
        <v>1</v>
      </c>
      <c r="U143" s="4" t="s">
        <v>137</v>
      </c>
      <c r="V143" s="4" t="s">
        <v>138</v>
      </c>
      <c r="W143" s="4" t="s">
        <v>6</v>
      </c>
      <c r="X143" s="5">
        <f t="shared" si="12"/>
        <v>0</v>
      </c>
      <c r="Y143" s="5">
        <f t="shared" si="12"/>
        <v>0</v>
      </c>
      <c r="Z143" s="5">
        <f t="shared" si="12"/>
        <v>0</v>
      </c>
      <c r="AA143" s="5">
        <f t="shared" si="12"/>
        <v>0</v>
      </c>
      <c r="AB143" s="5">
        <f t="shared" si="12"/>
        <v>0</v>
      </c>
      <c r="AC143" s="5">
        <f t="shared" si="12"/>
        <v>0</v>
      </c>
      <c r="AD143" s="5">
        <f t="shared" si="12"/>
        <v>0</v>
      </c>
      <c r="AE143" s="5">
        <f t="shared" si="12"/>
        <v>0</v>
      </c>
      <c r="AF143" s="5">
        <f t="shared" si="12"/>
        <v>0</v>
      </c>
      <c r="AG143" s="5">
        <f t="shared" si="12"/>
        <v>0</v>
      </c>
      <c r="AH143" s="5">
        <f t="shared" si="12"/>
        <v>0</v>
      </c>
      <c r="AI143" s="5">
        <f t="shared" si="12"/>
        <v>0</v>
      </c>
      <c r="AJ143" s="5">
        <f t="shared" si="12"/>
        <v>0</v>
      </c>
      <c r="AK143" s="5">
        <f t="shared" si="12"/>
        <v>0</v>
      </c>
      <c r="AL143" s="5">
        <f t="shared" si="12"/>
        <v>0</v>
      </c>
      <c r="AM143" s="6">
        <f t="shared" si="9"/>
        <v>0</v>
      </c>
    </row>
    <row r="144" spans="1:39" x14ac:dyDescent="0.25">
      <c r="A144" s="4" t="s">
        <v>139</v>
      </c>
      <c r="B144" s="4" t="s">
        <v>140</v>
      </c>
      <c r="C144" s="4" t="s">
        <v>6</v>
      </c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3"/>
      <c r="P144" s="3"/>
      <c r="Q144" s="3"/>
      <c r="R144" s="3"/>
      <c r="S144" s="6">
        <f t="shared" si="8"/>
        <v>0</v>
      </c>
      <c r="T144">
        <v>1</v>
      </c>
      <c r="U144" s="4" t="s">
        <v>139</v>
      </c>
      <c r="V144" s="4" t="s">
        <v>140</v>
      </c>
      <c r="W144" s="4" t="s">
        <v>6</v>
      </c>
      <c r="X144" s="5">
        <f t="shared" si="12"/>
        <v>0</v>
      </c>
      <c r="Y144" s="5">
        <f t="shared" si="12"/>
        <v>0</v>
      </c>
      <c r="Z144" s="5">
        <f t="shared" si="12"/>
        <v>0</v>
      </c>
      <c r="AA144" s="5">
        <f t="shared" si="12"/>
        <v>0</v>
      </c>
      <c r="AB144" s="5">
        <f t="shared" si="12"/>
        <v>0</v>
      </c>
      <c r="AC144" s="5">
        <f t="shared" si="12"/>
        <v>0</v>
      </c>
      <c r="AD144" s="5">
        <f t="shared" si="12"/>
        <v>0</v>
      </c>
      <c r="AE144" s="5">
        <f t="shared" si="12"/>
        <v>0</v>
      </c>
      <c r="AF144" s="5">
        <f t="shared" si="12"/>
        <v>0</v>
      </c>
      <c r="AG144" s="5">
        <f t="shared" si="12"/>
        <v>0</v>
      </c>
      <c r="AH144" s="5">
        <f t="shared" si="12"/>
        <v>0</v>
      </c>
      <c r="AI144" s="5">
        <f t="shared" si="12"/>
        <v>0</v>
      </c>
      <c r="AJ144" s="5">
        <f t="shared" si="12"/>
        <v>0</v>
      </c>
      <c r="AK144" s="5">
        <f t="shared" si="12"/>
        <v>0</v>
      </c>
      <c r="AL144" s="5">
        <f t="shared" si="12"/>
        <v>0</v>
      </c>
      <c r="AM144" s="6">
        <f t="shared" si="9"/>
        <v>0</v>
      </c>
    </row>
    <row r="145" spans="1:39" x14ac:dyDescent="0.25">
      <c r="A145" s="4" t="s">
        <v>141</v>
      </c>
      <c r="B145" s="4" t="s">
        <v>142</v>
      </c>
      <c r="C145" s="4" t="s">
        <v>6</v>
      </c>
      <c r="D145" s="5">
        <v>7.5</v>
      </c>
      <c r="E145" s="6">
        <v>6</v>
      </c>
      <c r="F145" s="6"/>
      <c r="G145" s="6">
        <v>12</v>
      </c>
      <c r="H145" s="6"/>
      <c r="I145" s="6">
        <v>10.5</v>
      </c>
      <c r="J145" s="6">
        <v>25.5</v>
      </c>
      <c r="K145" s="6">
        <v>21</v>
      </c>
      <c r="L145" s="6">
        <v>42</v>
      </c>
      <c r="M145" s="6">
        <v>36</v>
      </c>
      <c r="N145" s="6"/>
      <c r="O145" s="3"/>
      <c r="P145" s="3"/>
      <c r="Q145" s="3"/>
      <c r="R145" s="3"/>
      <c r="S145" s="6">
        <f t="shared" si="8"/>
        <v>160.5</v>
      </c>
      <c r="T145">
        <v>1</v>
      </c>
      <c r="U145" s="4" t="s">
        <v>141</v>
      </c>
      <c r="V145" s="4" t="s">
        <v>142</v>
      </c>
      <c r="W145" s="4" t="s">
        <v>6</v>
      </c>
      <c r="X145" s="5">
        <f t="shared" si="12"/>
        <v>0</v>
      </c>
      <c r="Y145" s="5">
        <f t="shared" si="12"/>
        <v>0</v>
      </c>
      <c r="Z145" s="5">
        <f t="shared" si="12"/>
        <v>0</v>
      </c>
      <c r="AA145" s="5">
        <f t="shared" si="12"/>
        <v>0</v>
      </c>
      <c r="AB145" s="5">
        <f t="shared" si="12"/>
        <v>0</v>
      </c>
      <c r="AC145" s="5">
        <f t="shared" si="12"/>
        <v>0</v>
      </c>
      <c r="AD145" s="5">
        <f t="shared" si="12"/>
        <v>40</v>
      </c>
      <c r="AE145" s="5">
        <f t="shared" si="12"/>
        <v>20</v>
      </c>
      <c r="AF145" s="5">
        <f t="shared" si="12"/>
        <v>98</v>
      </c>
      <c r="AG145" s="5">
        <f t="shared" si="12"/>
        <v>78</v>
      </c>
      <c r="AH145" s="5">
        <f t="shared" si="12"/>
        <v>0</v>
      </c>
      <c r="AI145" s="5">
        <f t="shared" si="12"/>
        <v>0</v>
      </c>
      <c r="AJ145" s="5">
        <f t="shared" si="12"/>
        <v>0</v>
      </c>
      <c r="AK145" s="5">
        <f t="shared" si="12"/>
        <v>0</v>
      </c>
      <c r="AL145" s="5">
        <f t="shared" si="12"/>
        <v>0</v>
      </c>
      <c r="AM145" s="6">
        <f t="shared" si="9"/>
        <v>236</v>
      </c>
    </row>
    <row r="146" spans="1:39" x14ac:dyDescent="0.25">
      <c r="A146" s="4" t="s">
        <v>143</v>
      </c>
      <c r="B146" s="4" t="s">
        <v>144</v>
      </c>
      <c r="C146" s="4" t="s">
        <v>6</v>
      </c>
      <c r="D146" s="5"/>
      <c r="E146" s="6"/>
      <c r="F146" s="6"/>
      <c r="G146" s="6">
        <v>12</v>
      </c>
      <c r="H146" s="6"/>
      <c r="I146" s="6"/>
      <c r="J146" s="6">
        <v>22.5</v>
      </c>
      <c r="K146" s="6">
        <v>22.5</v>
      </c>
      <c r="L146" s="6">
        <v>46.5</v>
      </c>
      <c r="M146" s="6">
        <v>33</v>
      </c>
      <c r="N146" s="6"/>
      <c r="O146" s="3"/>
      <c r="P146" s="3"/>
      <c r="Q146" s="3"/>
      <c r="R146" s="3"/>
      <c r="S146" s="6">
        <f t="shared" si="8"/>
        <v>136.5</v>
      </c>
      <c r="T146">
        <v>1</v>
      </c>
      <c r="U146" s="4" t="s">
        <v>143</v>
      </c>
      <c r="V146" s="4" t="s">
        <v>144</v>
      </c>
      <c r="W146" s="4" t="s">
        <v>6</v>
      </c>
      <c r="X146" s="5">
        <f t="shared" si="12"/>
        <v>0</v>
      </c>
      <c r="Y146" s="5">
        <f t="shared" si="12"/>
        <v>0</v>
      </c>
      <c r="Z146" s="5">
        <f t="shared" si="12"/>
        <v>0</v>
      </c>
      <c r="AA146" s="5">
        <f t="shared" si="12"/>
        <v>0</v>
      </c>
      <c r="AB146" s="5">
        <f t="shared" si="12"/>
        <v>0</v>
      </c>
      <c r="AC146" s="5">
        <f t="shared" si="12"/>
        <v>0</v>
      </c>
      <c r="AD146" s="5">
        <f t="shared" si="12"/>
        <v>20</v>
      </c>
      <c r="AE146" s="5">
        <f t="shared" si="12"/>
        <v>20</v>
      </c>
      <c r="AF146" s="5">
        <f t="shared" si="12"/>
        <v>116</v>
      </c>
      <c r="AG146" s="5">
        <f t="shared" si="12"/>
        <v>69</v>
      </c>
      <c r="AH146" s="5">
        <f t="shared" si="12"/>
        <v>0</v>
      </c>
      <c r="AI146" s="5">
        <f t="shared" si="12"/>
        <v>0</v>
      </c>
      <c r="AJ146" s="5">
        <f t="shared" si="12"/>
        <v>0</v>
      </c>
      <c r="AK146" s="5">
        <f t="shared" si="12"/>
        <v>0</v>
      </c>
      <c r="AL146" s="5">
        <f t="shared" si="12"/>
        <v>0</v>
      </c>
      <c r="AM146" s="6">
        <f t="shared" si="9"/>
        <v>225</v>
      </c>
    </row>
    <row r="147" spans="1:39" x14ac:dyDescent="0.25">
      <c r="A147" s="4" t="s">
        <v>145</v>
      </c>
      <c r="B147" s="4" t="s">
        <v>146</v>
      </c>
      <c r="C147" s="4" t="s">
        <v>6</v>
      </c>
      <c r="D147" s="5"/>
      <c r="E147" s="6">
        <v>6</v>
      </c>
      <c r="F147" s="6"/>
      <c r="G147" s="6">
        <v>12</v>
      </c>
      <c r="H147" s="6">
        <v>18.5</v>
      </c>
      <c r="I147" s="6">
        <v>9</v>
      </c>
      <c r="J147" s="6">
        <v>21</v>
      </c>
      <c r="K147" s="6">
        <v>25.5</v>
      </c>
      <c r="L147" s="6">
        <v>40.5</v>
      </c>
      <c r="M147" s="6">
        <v>34.5</v>
      </c>
      <c r="N147" s="6"/>
      <c r="O147" s="3"/>
      <c r="P147" s="3"/>
      <c r="Q147" s="3"/>
      <c r="R147" s="3"/>
      <c r="S147" s="6">
        <f t="shared" si="8"/>
        <v>167</v>
      </c>
      <c r="T147">
        <v>1</v>
      </c>
      <c r="U147" s="4" t="s">
        <v>145</v>
      </c>
      <c r="V147" s="4" t="s">
        <v>146</v>
      </c>
      <c r="W147" s="4" t="s">
        <v>6</v>
      </c>
      <c r="X147" s="5">
        <f t="shared" si="12"/>
        <v>0</v>
      </c>
      <c r="Y147" s="5">
        <f t="shared" si="12"/>
        <v>0</v>
      </c>
      <c r="Z147" s="5">
        <f t="shared" si="12"/>
        <v>0</v>
      </c>
      <c r="AA147" s="5">
        <f t="shared" si="12"/>
        <v>0</v>
      </c>
      <c r="AB147" s="5">
        <f t="shared" si="12"/>
        <v>0</v>
      </c>
      <c r="AC147" s="5">
        <f t="shared" si="12"/>
        <v>0</v>
      </c>
      <c r="AD147" s="5">
        <f t="shared" si="12"/>
        <v>20</v>
      </c>
      <c r="AE147" s="5">
        <f t="shared" si="12"/>
        <v>40</v>
      </c>
      <c r="AF147" s="5">
        <f t="shared" si="12"/>
        <v>92</v>
      </c>
      <c r="AG147" s="5">
        <f t="shared" si="12"/>
        <v>73.5</v>
      </c>
      <c r="AH147" s="5">
        <f t="shared" si="12"/>
        <v>0</v>
      </c>
      <c r="AI147" s="5">
        <f t="shared" si="12"/>
        <v>0</v>
      </c>
      <c r="AJ147" s="5">
        <f t="shared" si="12"/>
        <v>0</v>
      </c>
      <c r="AK147" s="5">
        <f t="shared" si="12"/>
        <v>0</v>
      </c>
      <c r="AL147" s="5">
        <f t="shared" si="12"/>
        <v>0</v>
      </c>
      <c r="AM147" s="6">
        <f t="shared" si="9"/>
        <v>225.5</v>
      </c>
    </row>
    <row r="148" spans="1:39" x14ac:dyDescent="0.25">
      <c r="A148" s="4" t="s">
        <v>147</v>
      </c>
      <c r="B148" s="4" t="s">
        <v>148</v>
      </c>
      <c r="C148" s="4" t="s">
        <v>6</v>
      </c>
      <c r="D148" s="5"/>
      <c r="E148" s="6">
        <v>6</v>
      </c>
      <c r="F148" s="6"/>
      <c r="G148" s="6">
        <v>10.5</v>
      </c>
      <c r="H148" s="6"/>
      <c r="I148" s="6">
        <v>10.5</v>
      </c>
      <c r="J148" s="6">
        <v>24</v>
      </c>
      <c r="K148" s="6">
        <v>25.5</v>
      </c>
      <c r="L148" s="6">
        <v>42</v>
      </c>
      <c r="M148" s="6">
        <v>37.5</v>
      </c>
      <c r="N148" s="6"/>
      <c r="O148" s="3"/>
      <c r="P148" s="3"/>
      <c r="Q148" s="3"/>
      <c r="R148" s="3"/>
      <c r="S148" s="6">
        <f t="shared" si="8"/>
        <v>156</v>
      </c>
      <c r="T148">
        <v>1</v>
      </c>
      <c r="U148" s="4" t="s">
        <v>147</v>
      </c>
      <c r="V148" s="4" t="s">
        <v>148</v>
      </c>
      <c r="W148" s="4" t="s">
        <v>6</v>
      </c>
      <c r="X148" s="5">
        <f t="shared" si="12"/>
        <v>0</v>
      </c>
      <c r="Y148" s="5">
        <f t="shared" si="12"/>
        <v>0</v>
      </c>
      <c r="Z148" s="5">
        <f t="shared" si="12"/>
        <v>0</v>
      </c>
      <c r="AA148" s="5">
        <f t="shared" si="12"/>
        <v>0</v>
      </c>
      <c r="AB148" s="5">
        <f t="shared" si="12"/>
        <v>0</v>
      </c>
      <c r="AC148" s="5">
        <f t="shared" si="12"/>
        <v>0</v>
      </c>
      <c r="AD148" s="5">
        <f t="shared" si="12"/>
        <v>20</v>
      </c>
      <c r="AE148" s="5">
        <f t="shared" si="12"/>
        <v>40</v>
      </c>
      <c r="AF148" s="5">
        <f t="shared" si="12"/>
        <v>98</v>
      </c>
      <c r="AG148" s="5">
        <f t="shared" si="12"/>
        <v>82.5</v>
      </c>
      <c r="AH148" s="5">
        <f t="shared" si="12"/>
        <v>0</v>
      </c>
      <c r="AI148" s="5">
        <f t="shared" si="12"/>
        <v>0</v>
      </c>
      <c r="AJ148" s="5">
        <f t="shared" si="12"/>
        <v>0</v>
      </c>
      <c r="AK148" s="5">
        <f t="shared" si="12"/>
        <v>0</v>
      </c>
      <c r="AL148" s="5">
        <f t="shared" si="12"/>
        <v>0</v>
      </c>
      <c r="AM148" s="6">
        <f t="shared" si="9"/>
        <v>240.5</v>
      </c>
    </row>
    <row r="149" spans="1:39" x14ac:dyDescent="0.25">
      <c r="A149" s="4" t="s">
        <v>149</v>
      </c>
      <c r="B149" s="4" t="s">
        <v>150</v>
      </c>
      <c r="C149" s="4" t="s">
        <v>6</v>
      </c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3"/>
      <c r="P149" s="3"/>
      <c r="Q149" s="3"/>
      <c r="R149" s="3"/>
      <c r="S149" s="6">
        <f t="shared" si="8"/>
        <v>0</v>
      </c>
      <c r="T149">
        <v>1</v>
      </c>
      <c r="U149" s="4" t="s">
        <v>149</v>
      </c>
      <c r="V149" s="4" t="s">
        <v>150</v>
      </c>
      <c r="W149" s="4" t="s">
        <v>6</v>
      </c>
      <c r="X149" s="5">
        <f t="shared" si="12"/>
        <v>0</v>
      </c>
      <c r="Y149" s="5">
        <f t="shared" si="12"/>
        <v>0</v>
      </c>
      <c r="Z149" s="5">
        <f t="shared" si="12"/>
        <v>0</v>
      </c>
      <c r="AA149" s="5">
        <f t="shared" si="12"/>
        <v>0</v>
      </c>
      <c r="AB149" s="5">
        <f t="shared" si="12"/>
        <v>0</v>
      </c>
      <c r="AC149" s="5">
        <f t="shared" si="12"/>
        <v>0</v>
      </c>
      <c r="AD149" s="5">
        <f t="shared" si="12"/>
        <v>0</v>
      </c>
      <c r="AE149" s="5">
        <f t="shared" si="12"/>
        <v>0</v>
      </c>
      <c r="AF149" s="5">
        <f t="shared" si="12"/>
        <v>0</v>
      </c>
      <c r="AG149" s="5">
        <f t="shared" si="12"/>
        <v>0</v>
      </c>
      <c r="AH149" s="5">
        <f t="shared" si="12"/>
        <v>0</v>
      </c>
      <c r="AI149" s="5">
        <f t="shared" si="12"/>
        <v>0</v>
      </c>
      <c r="AJ149" s="5">
        <f t="shared" si="12"/>
        <v>0</v>
      </c>
      <c r="AK149" s="5">
        <f t="shared" si="12"/>
        <v>0</v>
      </c>
      <c r="AL149" s="5">
        <f t="shared" si="12"/>
        <v>0</v>
      </c>
      <c r="AM149" s="6">
        <f t="shared" si="9"/>
        <v>0</v>
      </c>
    </row>
    <row r="150" spans="1:39" x14ac:dyDescent="0.25">
      <c r="A150" s="4" t="s">
        <v>151</v>
      </c>
      <c r="B150" s="4" t="s">
        <v>152</v>
      </c>
      <c r="C150" s="4" t="s">
        <v>6</v>
      </c>
      <c r="D150" s="5"/>
      <c r="E150" s="6">
        <v>4.5</v>
      </c>
      <c r="F150" s="6"/>
      <c r="G150" s="6">
        <v>13.5</v>
      </c>
      <c r="H150" s="6">
        <v>14.5</v>
      </c>
      <c r="I150" s="6">
        <v>10.5</v>
      </c>
      <c r="J150" s="6">
        <v>18</v>
      </c>
      <c r="K150" s="6">
        <v>25.5</v>
      </c>
      <c r="L150" s="6">
        <v>42</v>
      </c>
      <c r="M150" s="6">
        <v>34.5</v>
      </c>
      <c r="N150" s="6"/>
      <c r="O150" s="3"/>
      <c r="P150" s="3"/>
      <c r="Q150" s="3"/>
      <c r="R150" s="3"/>
      <c r="S150" s="6">
        <f t="shared" si="8"/>
        <v>163</v>
      </c>
      <c r="T150">
        <v>1</v>
      </c>
      <c r="U150" s="4" t="s">
        <v>151</v>
      </c>
      <c r="V150" s="4" t="s">
        <v>152</v>
      </c>
      <c r="W150" s="4" t="s">
        <v>6</v>
      </c>
      <c r="X150" s="5">
        <f t="shared" si="12"/>
        <v>0</v>
      </c>
      <c r="Y150" s="5">
        <f t="shared" si="12"/>
        <v>0</v>
      </c>
      <c r="Z150" s="5">
        <f t="shared" si="12"/>
        <v>0</v>
      </c>
      <c r="AA150" s="5">
        <f t="shared" si="12"/>
        <v>0</v>
      </c>
      <c r="AB150" s="5">
        <f t="shared" si="12"/>
        <v>0</v>
      </c>
      <c r="AC150" s="5">
        <f t="shared" si="12"/>
        <v>0</v>
      </c>
      <c r="AD150" s="5">
        <f t="shared" si="12"/>
        <v>0</v>
      </c>
      <c r="AE150" s="5">
        <f t="shared" si="12"/>
        <v>40</v>
      </c>
      <c r="AF150" s="5">
        <f t="shared" si="12"/>
        <v>98</v>
      </c>
      <c r="AG150" s="5">
        <f t="shared" si="12"/>
        <v>73.5</v>
      </c>
      <c r="AH150" s="5">
        <f t="shared" si="12"/>
        <v>0</v>
      </c>
      <c r="AI150" s="5">
        <f t="shared" si="12"/>
        <v>0</v>
      </c>
      <c r="AJ150" s="5">
        <f t="shared" si="12"/>
        <v>0</v>
      </c>
      <c r="AK150" s="5">
        <f t="shared" si="12"/>
        <v>0</v>
      </c>
      <c r="AL150" s="5">
        <f t="shared" si="12"/>
        <v>0</v>
      </c>
      <c r="AM150" s="6">
        <f t="shared" si="9"/>
        <v>211.5</v>
      </c>
    </row>
    <row r="151" spans="1:39" x14ac:dyDescent="0.25">
      <c r="A151" s="4" t="s">
        <v>153</v>
      </c>
      <c r="B151" s="4" t="s">
        <v>154</v>
      </c>
      <c r="C151" s="4" t="s">
        <v>6</v>
      </c>
      <c r="D151" s="5">
        <v>7.5</v>
      </c>
      <c r="E151" s="6">
        <v>4.5</v>
      </c>
      <c r="F151" s="6"/>
      <c r="G151" s="6">
        <v>13.5</v>
      </c>
      <c r="H151" s="6">
        <v>23.5</v>
      </c>
      <c r="I151" s="6">
        <v>12</v>
      </c>
      <c r="J151" s="6">
        <v>25.5</v>
      </c>
      <c r="K151" s="6">
        <v>21</v>
      </c>
      <c r="L151" s="6">
        <v>42</v>
      </c>
      <c r="M151" s="6">
        <v>36</v>
      </c>
      <c r="N151" s="6"/>
      <c r="O151" s="3"/>
      <c r="P151" s="3"/>
      <c r="Q151" s="3"/>
      <c r="R151" s="3"/>
      <c r="S151" s="6">
        <f t="shared" si="8"/>
        <v>185.5</v>
      </c>
      <c r="T151">
        <v>1</v>
      </c>
      <c r="U151" s="4" t="s">
        <v>153</v>
      </c>
      <c r="V151" s="4" t="s">
        <v>154</v>
      </c>
      <c r="W151" s="4" t="s">
        <v>6</v>
      </c>
      <c r="X151" s="5">
        <f t="shared" si="12"/>
        <v>0</v>
      </c>
      <c r="Y151" s="5">
        <f t="shared" si="12"/>
        <v>0</v>
      </c>
      <c r="Z151" s="5">
        <f t="shared" si="12"/>
        <v>0</v>
      </c>
      <c r="AA151" s="5">
        <f t="shared" si="12"/>
        <v>0</v>
      </c>
      <c r="AB151" s="5">
        <f t="shared" si="12"/>
        <v>20</v>
      </c>
      <c r="AC151" s="5">
        <f t="shared" si="12"/>
        <v>0</v>
      </c>
      <c r="AD151" s="5">
        <f t="shared" si="12"/>
        <v>40</v>
      </c>
      <c r="AE151" s="5">
        <f t="shared" si="12"/>
        <v>20</v>
      </c>
      <c r="AF151" s="5">
        <f t="shared" si="12"/>
        <v>98</v>
      </c>
      <c r="AG151" s="5">
        <f t="shared" si="12"/>
        <v>78</v>
      </c>
      <c r="AH151" s="5">
        <f t="shared" si="12"/>
        <v>0</v>
      </c>
      <c r="AI151" s="5">
        <f t="shared" si="12"/>
        <v>0</v>
      </c>
      <c r="AJ151" s="5">
        <f t="shared" si="12"/>
        <v>0</v>
      </c>
      <c r="AK151" s="5">
        <f t="shared" si="12"/>
        <v>0</v>
      </c>
      <c r="AL151" s="5">
        <f t="shared" si="12"/>
        <v>0</v>
      </c>
      <c r="AM151" s="6">
        <f t="shared" si="9"/>
        <v>256</v>
      </c>
    </row>
    <row r="152" spans="1:39" x14ac:dyDescent="0.25">
      <c r="A152" s="4" t="s">
        <v>155</v>
      </c>
      <c r="B152" s="4" t="s">
        <v>156</v>
      </c>
      <c r="C152" s="4" t="s">
        <v>6</v>
      </c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3"/>
      <c r="P152" s="3"/>
      <c r="Q152" s="3"/>
      <c r="R152" s="3"/>
      <c r="S152" s="6">
        <f t="shared" si="8"/>
        <v>0</v>
      </c>
      <c r="T152">
        <v>1</v>
      </c>
      <c r="U152" s="4" t="s">
        <v>155</v>
      </c>
      <c r="V152" s="4" t="s">
        <v>156</v>
      </c>
      <c r="W152" s="4" t="s">
        <v>6</v>
      </c>
      <c r="X152" s="5">
        <f t="shared" si="12"/>
        <v>0</v>
      </c>
      <c r="Y152" s="5">
        <f t="shared" si="12"/>
        <v>0</v>
      </c>
      <c r="Z152" s="5">
        <f t="shared" si="12"/>
        <v>0</v>
      </c>
      <c r="AA152" s="5">
        <f t="shared" si="12"/>
        <v>0</v>
      </c>
      <c r="AB152" s="5">
        <f t="shared" si="12"/>
        <v>0</v>
      </c>
      <c r="AC152" s="5">
        <f t="shared" si="12"/>
        <v>0</v>
      </c>
      <c r="AD152" s="5">
        <f t="shared" si="12"/>
        <v>0</v>
      </c>
      <c r="AE152" s="5">
        <f t="shared" si="12"/>
        <v>0</v>
      </c>
      <c r="AF152" s="5">
        <f t="shared" si="12"/>
        <v>0</v>
      </c>
      <c r="AG152" s="5">
        <f t="shared" si="12"/>
        <v>0</v>
      </c>
      <c r="AH152" s="5">
        <f t="shared" si="12"/>
        <v>0</v>
      </c>
      <c r="AI152" s="5">
        <f t="shared" si="12"/>
        <v>0</v>
      </c>
      <c r="AJ152" s="5">
        <f t="shared" si="12"/>
        <v>0</v>
      </c>
      <c r="AK152" s="5">
        <f t="shared" si="12"/>
        <v>0</v>
      </c>
      <c r="AL152" s="5">
        <f t="shared" si="12"/>
        <v>0</v>
      </c>
      <c r="AM152" s="6">
        <f t="shared" si="9"/>
        <v>0</v>
      </c>
    </row>
    <row r="153" spans="1:39" x14ac:dyDescent="0.25">
      <c r="A153" s="4" t="s">
        <v>521</v>
      </c>
      <c r="B153" s="4" t="s">
        <v>522</v>
      </c>
      <c r="C153" s="4" t="s">
        <v>6</v>
      </c>
      <c r="D153" s="5"/>
      <c r="E153" s="6"/>
      <c r="F153" s="6"/>
      <c r="G153" s="6"/>
      <c r="H153" s="6"/>
      <c r="I153" s="6">
        <v>1.5</v>
      </c>
      <c r="J153" s="6"/>
      <c r="K153" s="6"/>
      <c r="L153" s="6"/>
      <c r="M153" s="6"/>
      <c r="N153" s="6"/>
      <c r="O153" s="3"/>
      <c r="P153" s="3"/>
      <c r="Q153" s="3"/>
      <c r="R153" s="3"/>
      <c r="S153" s="6">
        <f t="shared" si="8"/>
        <v>1.5</v>
      </c>
      <c r="T153">
        <v>1</v>
      </c>
      <c r="U153" s="4" t="s">
        <v>521</v>
      </c>
      <c r="V153" s="4" t="s">
        <v>522</v>
      </c>
      <c r="W153" s="4" t="s">
        <v>6</v>
      </c>
      <c r="X153" s="5">
        <f t="shared" si="12"/>
        <v>0</v>
      </c>
      <c r="Y153" s="5">
        <f t="shared" si="12"/>
        <v>0</v>
      </c>
      <c r="Z153" s="5">
        <f t="shared" si="12"/>
        <v>0</v>
      </c>
      <c r="AA153" s="5">
        <f t="shared" si="12"/>
        <v>0</v>
      </c>
      <c r="AB153" s="5">
        <f t="shared" si="12"/>
        <v>0</v>
      </c>
      <c r="AC153" s="5">
        <f t="shared" si="12"/>
        <v>0</v>
      </c>
      <c r="AD153" s="5">
        <f t="shared" si="12"/>
        <v>0</v>
      </c>
      <c r="AE153" s="5">
        <f t="shared" si="12"/>
        <v>0</v>
      </c>
      <c r="AF153" s="5">
        <f t="shared" si="12"/>
        <v>0</v>
      </c>
      <c r="AG153" s="5">
        <f t="shared" si="12"/>
        <v>0</v>
      </c>
      <c r="AH153" s="5">
        <f t="shared" si="12"/>
        <v>0</v>
      </c>
      <c r="AI153" s="5">
        <f t="shared" si="12"/>
        <v>0</v>
      </c>
      <c r="AJ153" s="5">
        <f t="shared" si="12"/>
        <v>0</v>
      </c>
      <c r="AK153" s="5">
        <f t="shared" si="12"/>
        <v>0</v>
      </c>
      <c r="AL153" s="5">
        <f t="shared" si="12"/>
        <v>0</v>
      </c>
      <c r="AM153" s="6">
        <f t="shared" si="9"/>
        <v>0</v>
      </c>
    </row>
    <row r="154" spans="1:39" x14ac:dyDescent="0.25">
      <c r="A154" s="4" t="s">
        <v>535</v>
      </c>
      <c r="B154" s="4" t="s">
        <v>536</v>
      </c>
      <c r="C154" s="4" t="s">
        <v>6</v>
      </c>
      <c r="D154" s="5"/>
      <c r="E154" s="6"/>
      <c r="F154" s="6"/>
      <c r="G154" s="6"/>
      <c r="H154" s="6"/>
      <c r="I154" s="6">
        <v>4.5</v>
      </c>
      <c r="J154" s="6"/>
      <c r="K154" s="6"/>
      <c r="L154" s="6"/>
      <c r="M154" s="6"/>
      <c r="N154" s="6"/>
      <c r="O154" s="3"/>
      <c r="P154" s="3"/>
      <c r="Q154" s="3"/>
      <c r="R154" s="3"/>
      <c r="S154" s="6">
        <f t="shared" si="8"/>
        <v>4.5</v>
      </c>
      <c r="T154">
        <v>1</v>
      </c>
      <c r="U154" s="4" t="s">
        <v>535</v>
      </c>
      <c r="V154" s="4" t="s">
        <v>536</v>
      </c>
      <c r="W154" s="4" t="s">
        <v>6</v>
      </c>
      <c r="X154" s="5">
        <f t="shared" si="12"/>
        <v>0</v>
      </c>
      <c r="Y154" s="5">
        <f t="shared" si="12"/>
        <v>0</v>
      </c>
      <c r="Z154" s="5">
        <f t="shared" si="12"/>
        <v>0</v>
      </c>
      <c r="AA154" s="5">
        <f t="shared" si="12"/>
        <v>0</v>
      </c>
      <c r="AB154" s="5">
        <f t="shared" si="12"/>
        <v>0</v>
      </c>
      <c r="AC154" s="5">
        <f t="shared" si="12"/>
        <v>0</v>
      </c>
      <c r="AD154" s="5">
        <f t="shared" si="12"/>
        <v>0</v>
      </c>
      <c r="AE154" s="5">
        <f t="shared" si="12"/>
        <v>0</v>
      </c>
      <c r="AF154" s="5">
        <f t="shared" si="12"/>
        <v>0</v>
      </c>
      <c r="AG154" s="5">
        <f t="shared" si="12"/>
        <v>0</v>
      </c>
      <c r="AH154" s="5">
        <f t="shared" si="12"/>
        <v>0</v>
      </c>
      <c r="AI154" s="5">
        <f t="shared" si="12"/>
        <v>0</v>
      </c>
      <c r="AJ154" s="5">
        <f t="shared" si="12"/>
        <v>0</v>
      </c>
      <c r="AK154" s="5">
        <f t="shared" si="12"/>
        <v>0</v>
      </c>
      <c r="AL154" s="5">
        <f t="shared" si="12"/>
        <v>0</v>
      </c>
      <c r="AM154" s="6">
        <f t="shared" si="9"/>
        <v>0</v>
      </c>
    </row>
    <row r="155" spans="1:39" x14ac:dyDescent="0.25">
      <c r="A155" s="4" t="s">
        <v>157</v>
      </c>
      <c r="B155" s="4" t="s">
        <v>158</v>
      </c>
      <c r="C155" s="4" t="s">
        <v>6</v>
      </c>
      <c r="D155" s="5">
        <v>9</v>
      </c>
      <c r="E155" s="6">
        <v>4.5</v>
      </c>
      <c r="F155" s="6"/>
      <c r="G155" s="6">
        <v>10.5</v>
      </c>
      <c r="H155" s="6">
        <v>13</v>
      </c>
      <c r="I155" s="6">
        <v>9</v>
      </c>
      <c r="J155" s="6">
        <v>18</v>
      </c>
      <c r="K155" s="6"/>
      <c r="L155" s="6">
        <v>34.5</v>
      </c>
      <c r="M155" s="6">
        <v>31.5</v>
      </c>
      <c r="N155" s="6"/>
      <c r="O155" s="3"/>
      <c r="P155" s="3"/>
      <c r="Q155" s="3"/>
      <c r="R155" s="3"/>
      <c r="S155" s="6">
        <f t="shared" si="8"/>
        <v>130</v>
      </c>
      <c r="T155">
        <v>1</v>
      </c>
      <c r="U155" s="4" t="s">
        <v>157</v>
      </c>
      <c r="V155" s="4" t="s">
        <v>158</v>
      </c>
      <c r="W155" s="4" t="s">
        <v>6</v>
      </c>
      <c r="X155" s="5">
        <f t="shared" ref="X155:AL163" si="13">IF(D155&lt;20,0,IF(D155&lt;25,20,IF(D155&lt;30,40,IF(D155&lt;=40,60+(D155-30)*3,60+30+(D155-40)*4))))</f>
        <v>0</v>
      </c>
      <c r="Y155" s="5">
        <f t="shared" si="13"/>
        <v>0</v>
      </c>
      <c r="Z155" s="5">
        <f t="shared" si="13"/>
        <v>0</v>
      </c>
      <c r="AA155" s="5">
        <f t="shared" si="13"/>
        <v>0</v>
      </c>
      <c r="AB155" s="5">
        <f t="shared" si="13"/>
        <v>0</v>
      </c>
      <c r="AC155" s="5">
        <f t="shared" si="13"/>
        <v>0</v>
      </c>
      <c r="AD155" s="5">
        <f t="shared" si="13"/>
        <v>0</v>
      </c>
      <c r="AE155" s="5">
        <f t="shared" si="13"/>
        <v>0</v>
      </c>
      <c r="AF155" s="5">
        <f t="shared" si="13"/>
        <v>73.5</v>
      </c>
      <c r="AG155" s="5">
        <f t="shared" si="13"/>
        <v>64.5</v>
      </c>
      <c r="AH155" s="5">
        <f t="shared" si="13"/>
        <v>0</v>
      </c>
      <c r="AI155" s="5">
        <f t="shared" si="13"/>
        <v>0</v>
      </c>
      <c r="AJ155" s="5">
        <f t="shared" si="13"/>
        <v>0</v>
      </c>
      <c r="AK155" s="5">
        <f t="shared" si="13"/>
        <v>0</v>
      </c>
      <c r="AL155" s="5">
        <f t="shared" si="13"/>
        <v>0</v>
      </c>
      <c r="AM155" s="6">
        <f t="shared" si="9"/>
        <v>138</v>
      </c>
    </row>
    <row r="156" spans="1:39" x14ac:dyDescent="0.25">
      <c r="A156" s="4" t="s">
        <v>159</v>
      </c>
      <c r="B156" s="4" t="s">
        <v>160</v>
      </c>
      <c r="C156" s="4" t="s">
        <v>6</v>
      </c>
      <c r="D156" s="5">
        <v>6</v>
      </c>
      <c r="E156" s="6">
        <v>4.5</v>
      </c>
      <c r="F156" s="6"/>
      <c r="G156" s="6">
        <v>6</v>
      </c>
      <c r="H156" s="6">
        <v>11.5</v>
      </c>
      <c r="I156" s="6">
        <v>9</v>
      </c>
      <c r="J156" s="6">
        <v>9</v>
      </c>
      <c r="K156" s="6"/>
      <c r="L156" s="6"/>
      <c r="M156" s="6">
        <v>13.5</v>
      </c>
      <c r="N156" s="6"/>
      <c r="O156" s="3"/>
      <c r="P156" s="3"/>
      <c r="Q156" s="3"/>
      <c r="R156" s="3"/>
      <c r="S156" s="6">
        <f t="shared" si="8"/>
        <v>59.5</v>
      </c>
      <c r="T156">
        <v>1</v>
      </c>
      <c r="U156" s="4" t="s">
        <v>159</v>
      </c>
      <c r="V156" s="4" t="s">
        <v>160</v>
      </c>
      <c r="W156" s="4" t="s">
        <v>6</v>
      </c>
      <c r="X156" s="5">
        <f t="shared" si="13"/>
        <v>0</v>
      </c>
      <c r="Y156" s="5">
        <f t="shared" si="13"/>
        <v>0</v>
      </c>
      <c r="Z156" s="5">
        <f t="shared" si="13"/>
        <v>0</v>
      </c>
      <c r="AA156" s="5">
        <f t="shared" si="13"/>
        <v>0</v>
      </c>
      <c r="AB156" s="5">
        <f t="shared" si="13"/>
        <v>0</v>
      </c>
      <c r="AC156" s="5">
        <f t="shared" si="13"/>
        <v>0</v>
      </c>
      <c r="AD156" s="5">
        <f t="shared" si="13"/>
        <v>0</v>
      </c>
      <c r="AE156" s="5">
        <f t="shared" si="13"/>
        <v>0</v>
      </c>
      <c r="AF156" s="5">
        <f t="shared" si="13"/>
        <v>0</v>
      </c>
      <c r="AG156" s="5">
        <f t="shared" si="13"/>
        <v>0</v>
      </c>
      <c r="AH156" s="5">
        <f t="shared" si="13"/>
        <v>0</v>
      </c>
      <c r="AI156" s="5">
        <f t="shared" si="13"/>
        <v>0</v>
      </c>
      <c r="AJ156" s="5">
        <f t="shared" si="13"/>
        <v>0</v>
      </c>
      <c r="AK156" s="5">
        <f t="shared" si="13"/>
        <v>0</v>
      </c>
      <c r="AL156" s="5">
        <f t="shared" si="13"/>
        <v>0</v>
      </c>
      <c r="AM156" s="6">
        <f t="shared" si="9"/>
        <v>0</v>
      </c>
    </row>
    <row r="157" spans="1:39" x14ac:dyDescent="0.25">
      <c r="A157" s="4" t="s">
        <v>523</v>
      </c>
      <c r="B157" s="4" t="s">
        <v>524</v>
      </c>
      <c r="C157" s="4" t="s">
        <v>6</v>
      </c>
      <c r="D157" s="5"/>
      <c r="E157" s="6"/>
      <c r="F157" s="6"/>
      <c r="G157" s="6"/>
      <c r="H157" s="6"/>
      <c r="I157" s="6">
        <v>6</v>
      </c>
      <c r="J157" s="6"/>
      <c r="K157" s="6"/>
      <c r="L157" s="6"/>
      <c r="M157" s="6"/>
      <c r="N157" s="6"/>
      <c r="O157" s="3"/>
      <c r="P157" s="3"/>
      <c r="Q157" s="3"/>
      <c r="R157" s="3"/>
      <c r="S157" s="6">
        <f t="shared" si="8"/>
        <v>6</v>
      </c>
      <c r="T157">
        <v>1</v>
      </c>
      <c r="U157" s="4" t="s">
        <v>523</v>
      </c>
      <c r="V157" s="4" t="s">
        <v>524</v>
      </c>
      <c r="W157" s="4" t="s">
        <v>6</v>
      </c>
      <c r="X157" s="5">
        <f t="shared" si="13"/>
        <v>0</v>
      </c>
      <c r="Y157" s="5">
        <f t="shared" si="13"/>
        <v>0</v>
      </c>
      <c r="Z157" s="5">
        <f t="shared" si="13"/>
        <v>0</v>
      </c>
      <c r="AA157" s="5">
        <f t="shared" si="13"/>
        <v>0</v>
      </c>
      <c r="AB157" s="5">
        <f t="shared" si="13"/>
        <v>0</v>
      </c>
      <c r="AC157" s="5">
        <f t="shared" si="13"/>
        <v>0</v>
      </c>
      <c r="AD157" s="5">
        <f t="shared" si="13"/>
        <v>0</v>
      </c>
      <c r="AE157" s="5">
        <f t="shared" si="13"/>
        <v>0</v>
      </c>
      <c r="AF157" s="5">
        <f t="shared" si="13"/>
        <v>0</v>
      </c>
      <c r="AG157" s="5">
        <f t="shared" si="13"/>
        <v>0</v>
      </c>
      <c r="AH157" s="5">
        <f t="shared" si="13"/>
        <v>0</v>
      </c>
      <c r="AI157" s="5">
        <f t="shared" si="13"/>
        <v>0</v>
      </c>
      <c r="AJ157" s="5">
        <f t="shared" si="13"/>
        <v>0</v>
      </c>
      <c r="AK157" s="5">
        <f t="shared" si="13"/>
        <v>0</v>
      </c>
      <c r="AL157" s="5">
        <f t="shared" si="13"/>
        <v>0</v>
      </c>
      <c r="AM157" s="6">
        <f t="shared" si="9"/>
        <v>0</v>
      </c>
    </row>
    <row r="158" spans="1:39" x14ac:dyDescent="0.25">
      <c r="A158" s="4" t="s">
        <v>525</v>
      </c>
      <c r="B158" s="4" t="s">
        <v>526</v>
      </c>
      <c r="C158" s="4" t="s">
        <v>6</v>
      </c>
      <c r="D158" s="5"/>
      <c r="E158" s="6"/>
      <c r="F158" s="6"/>
      <c r="G158" s="6"/>
      <c r="H158" s="6"/>
      <c r="I158" s="6">
        <v>1.5</v>
      </c>
      <c r="J158" s="6"/>
      <c r="K158" s="6"/>
      <c r="L158" s="6"/>
      <c r="M158" s="6"/>
      <c r="N158" s="6"/>
      <c r="O158" s="3"/>
      <c r="P158" s="3"/>
      <c r="Q158" s="3"/>
      <c r="R158" s="3"/>
      <c r="S158" s="6">
        <f t="shared" ref="S158:S163" si="14">SUM(D158:R158)</f>
        <v>1.5</v>
      </c>
      <c r="T158">
        <v>1</v>
      </c>
      <c r="U158" s="4" t="s">
        <v>525</v>
      </c>
      <c r="V158" s="4" t="s">
        <v>526</v>
      </c>
      <c r="W158" s="4" t="s">
        <v>6</v>
      </c>
      <c r="X158" s="5">
        <f t="shared" si="13"/>
        <v>0</v>
      </c>
      <c r="Y158" s="5">
        <f t="shared" si="13"/>
        <v>0</v>
      </c>
      <c r="Z158" s="5">
        <f t="shared" si="13"/>
        <v>0</v>
      </c>
      <c r="AA158" s="5">
        <f t="shared" si="13"/>
        <v>0</v>
      </c>
      <c r="AB158" s="5">
        <f t="shared" si="13"/>
        <v>0</v>
      </c>
      <c r="AC158" s="5">
        <f t="shared" si="13"/>
        <v>0</v>
      </c>
      <c r="AD158" s="5">
        <f t="shared" si="13"/>
        <v>0</v>
      </c>
      <c r="AE158" s="5">
        <f t="shared" si="13"/>
        <v>0</v>
      </c>
      <c r="AF158" s="5">
        <f t="shared" si="13"/>
        <v>0</v>
      </c>
      <c r="AG158" s="5">
        <f t="shared" si="13"/>
        <v>0</v>
      </c>
      <c r="AH158" s="5">
        <f t="shared" si="13"/>
        <v>0</v>
      </c>
      <c r="AI158" s="5">
        <f t="shared" si="13"/>
        <v>0</v>
      </c>
      <c r="AJ158" s="5">
        <f t="shared" si="13"/>
        <v>0</v>
      </c>
      <c r="AK158" s="5">
        <f t="shared" si="13"/>
        <v>0</v>
      </c>
      <c r="AL158" s="5">
        <f t="shared" si="13"/>
        <v>0</v>
      </c>
      <c r="AM158" s="6">
        <f t="shared" ref="AM158:AM163" si="15">SUM(X158:AL158)</f>
        <v>0</v>
      </c>
    </row>
    <row r="159" spans="1:39" x14ac:dyDescent="0.25">
      <c r="A159" s="4" t="s">
        <v>527</v>
      </c>
      <c r="B159" s="4" t="s">
        <v>528</v>
      </c>
      <c r="C159" s="4" t="s">
        <v>6</v>
      </c>
      <c r="D159" s="5"/>
      <c r="E159" s="6"/>
      <c r="F159" s="6"/>
      <c r="G159" s="6"/>
      <c r="H159" s="6"/>
      <c r="I159" s="6">
        <v>3</v>
      </c>
      <c r="J159" s="6"/>
      <c r="K159" s="6"/>
      <c r="L159" s="6"/>
      <c r="M159" s="6"/>
      <c r="N159" s="6"/>
      <c r="O159" s="3"/>
      <c r="P159" s="3"/>
      <c r="Q159" s="3"/>
      <c r="R159" s="3"/>
      <c r="S159" s="6">
        <f t="shared" si="14"/>
        <v>3</v>
      </c>
      <c r="T159">
        <v>1</v>
      </c>
      <c r="U159" s="4" t="s">
        <v>527</v>
      </c>
      <c r="V159" s="4" t="s">
        <v>528</v>
      </c>
      <c r="W159" s="4" t="s">
        <v>6</v>
      </c>
      <c r="X159" s="5">
        <f t="shared" si="13"/>
        <v>0</v>
      </c>
      <c r="Y159" s="5">
        <f t="shared" si="13"/>
        <v>0</v>
      </c>
      <c r="Z159" s="5">
        <f t="shared" si="13"/>
        <v>0</v>
      </c>
      <c r="AA159" s="5">
        <f t="shared" si="13"/>
        <v>0</v>
      </c>
      <c r="AB159" s="5">
        <f t="shared" si="13"/>
        <v>0</v>
      </c>
      <c r="AC159" s="5">
        <f t="shared" si="13"/>
        <v>0</v>
      </c>
      <c r="AD159" s="5">
        <f t="shared" si="13"/>
        <v>0</v>
      </c>
      <c r="AE159" s="5">
        <f t="shared" si="13"/>
        <v>0</v>
      </c>
      <c r="AF159" s="5">
        <f t="shared" si="13"/>
        <v>0</v>
      </c>
      <c r="AG159" s="5">
        <f t="shared" si="13"/>
        <v>0</v>
      </c>
      <c r="AH159" s="5">
        <f t="shared" si="13"/>
        <v>0</v>
      </c>
      <c r="AI159" s="5">
        <f t="shared" si="13"/>
        <v>0</v>
      </c>
      <c r="AJ159" s="5">
        <f t="shared" si="13"/>
        <v>0</v>
      </c>
      <c r="AK159" s="5">
        <f t="shared" si="13"/>
        <v>0</v>
      </c>
      <c r="AL159" s="5">
        <f t="shared" si="13"/>
        <v>0</v>
      </c>
      <c r="AM159" s="6">
        <f t="shared" si="15"/>
        <v>0</v>
      </c>
    </row>
    <row r="160" spans="1:39" x14ac:dyDescent="0.25">
      <c r="A160" s="4" t="s">
        <v>161</v>
      </c>
      <c r="B160" s="4" t="s">
        <v>162</v>
      </c>
      <c r="C160" s="4" t="s">
        <v>6</v>
      </c>
      <c r="D160" s="5"/>
      <c r="E160" s="6">
        <v>4.5</v>
      </c>
      <c r="F160" s="6"/>
      <c r="G160" s="6">
        <v>15</v>
      </c>
      <c r="H160" s="6">
        <v>16</v>
      </c>
      <c r="I160" s="6">
        <v>10.5</v>
      </c>
      <c r="J160" s="6">
        <v>24</v>
      </c>
      <c r="K160" s="6"/>
      <c r="L160" s="6">
        <v>48</v>
      </c>
      <c r="M160" s="6">
        <v>34.5</v>
      </c>
      <c r="N160" s="6"/>
      <c r="O160" s="3"/>
      <c r="P160" s="3"/>
      <c r="Q160" s="3"/>
      <c r="R160" s="3"/>
      <c r="S160" s="6">
        <f t="shared" si="14"/>
        <v>152.5</v>
      </c>
      <c r="T160">
        <v>1</v>
      </c>
      <c r="U160" s="4" t="s">
        <v>161</v>
      </c>
      <c r="V160" s="4" t="s">
        <v>162</v>
      </c>
      <c r="W160" s="4" t="s">
        <v>6</v>
      </c>
      <c r="X160" s="5">
        <f t="shared" si="13"/>
        <v>0</v>
      </c>
      <c r="Y160" s="5">
        <f t="shared" si="13"/>
        <v>0</v>
      </c>
      <c r="Z160" s="5">
        <f t="shared" si="13"/>
        <v>0</v>
      </c>
      <c r="AA160" s="5">
        <f t="shared" si="13"/>
        <v>0</v>
      </c>
      <c r="AB160" s="5">
        <f t="shared" si="13"/>
        <v>0</v>
      </c>
      <c r="AC160" s="5">
        <f t="shared" si="13"/>
        <v>0</v>
      </c>
      <c r="AD160" s="5">
        <f t="shared" si="13"/>
        <v>20</v>
      </c>
      <c r="AE160" s="5">
        <f t="shared" si="13"/>
        <v>0</v>
      </c>
      <c r="AF160" s="5">
        <f t="shared" si="13"/>
        <v>122</v>
      </c>
      <c r="AG160" s="5">
        <f t="shared" si="13"/>
        <v>73.5</v>
      </c>
      <c r="AH160" s="5">
        <f t="shared" si="13"/>
        <v>0</v>
      </c>
      <c r="AI160" s="5">
        <f t="shared" si="13"/>
        <v>0</v>
      </c>
      <c r="AJ160" s="5">
        <f t="shared" si="13"/>
        <v>0</v>
      </c>
      <c r="AK160" s="5">
        <f t="shared" si="13"/>
        <v>0</v>
      </c>
      <c r="AL160" s="5">
        <f t="shared" si="13"/>
        <v>0</v>
      </c>
      <c r="AM160" s="6">
        <f t="shared" si="15"/>
        <v>215.5</v>
      </c>
    </row>
    <row r="161" spans="1:39" x14ac:dyDescent="0.25">
      <c r="A161" s="4" t="s">
        <v>163</v>
      </c>
      <c r="B161" s="4" t="s">
        <v>164</v>
      </c>
      <c r="C161" s="4" t="s">
        <v>6</v>
      </c>
      <c r="D161" s="5"/>
      <c r="E161" s="6">
        <v>3</v>
      </c>
      <c r="F161" s="6"/>
      <c r="G161" s="6">
        <v>12</v>
      </c>
      <c r="H161" s="6">
        <v>16</v>
      </c>
      <c r="I161" s="6">
        <v>9</v>
      </c>
      <c r="J161" s="6">
        <v>24</v>
      </c>
      <c r="K161" s="6">
        <v>15</v>
      </c>
      <c r="L161" s="6">
        <v>54</v>
      </c>
      <c r="M161" s="6">
        <v>34.5</v>
      </c>
      <c r="N161" s="6"/>
      <c r="O161" s="3"/>
      <c r="P161" s="3"/>
      <c r="Q161" s="3"/>
      <c r="R161" s="3"/>
      <c r="S161" s="6">
        <f t="shared" si="14"/>
        <v>167.5</v>
      </c>
      <c r="T161">
        <v>1</v>
      </c>
      <c r="U161" s="4" t="s">
        <v>163</v>
      </c>
      <c r="V161" s="4" t="s">
        <v>164</v>
      </c>
      <c r="W161" s="4" t="s">
        <v>6</v>
      </c>
      <c r="X161" s="5">
        <f t="shared" si="13"/>
        <v>0</v>
      </c>
      <c r="Y161" s="5">
        <f t="shared" si="13"/>
        <v>0</v>
      </c>
      <c r="Z161" s="5">
        <f t="shared" si="13"/>
        <v>0</v>
      </c>
      <c r="AA161" s="5">
        <f t="shared" si="13"/>
        <v>0</v>
      </c>
      <c r="AB161" s="5">
        <f t="shared" si="13"/>
        <v>0</v>
      </c>
      <c r="AC161" s="5">
        <f t="shared" si="13"/>
        <v>0</v>
      </c>
      <c r="AD161" s="5">
        <f t="shared" si="13"/>
        <v>20</v>
      </c>
      <c r="AE161" s="5">
        <f t="shared" si="13"/>
        <v>0</v>
      </c>
      <c r="AF161" s="5">
        <f t="shared" si="13"/>
        <v>146</v>
      </c>
      <c r="AG161" s="5">
        <f t="shared" si="13"/>
        <v>73.5</v>
      </c>
      <c r="AH161" s="5">
        <f t="shared" si="13"/>
        <v>0</v>
      </c>
      <c r="AI161" s="5">
        <f t="shared" si="13"/>
        <v>0</v>
      </c>
      <c r="AJ161" s="5">
        <f t="shared" si="13"/>
        <v>0</v>
      </c>
      <c r="AK161" s="5">
        <f t="shared" si="13"/>
        <v>0</v>
      </c>
      <c r="AL161" s="5">
        <f t="shared" si="13"/>
        <v>0</v>
      </c>
      <c r="AM161" s="6">
        <f t="shared" si="15"/>
        <v>239.5</v>
      </c>
    </row>
    <row r="162" spans="1:39" x14ac:dyDescent="0.25">
      <c r="A162" s="4" t="s">
        <v>338</v>
      </c>
      <c r="B162" s="4" t="s">
        <v>339</v>
      </c>
      <c r="C162" s="4" t="s">
        <v>6</v>
      </c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"/>
      <c r="P162" s="3"/>
      <c r="Q162" s="3"/>
      <c r="R162" s="3"/>
      <c r="S162" s="6">
        <f t="shared" si="14"/>
        <v>0</v>
      </c>
      <c r="T162">
        <v>1</v>
      </c>
      <c r="U162" s="4" t="s">
        <v>338</v>
      </c>
      <c r="V162" s="4" t="s">
        <v>339</v>
      </c>
      <c r="W162" s="4" t="s">
        <v>6</v>
      </c>
      <c r="X162" s="5">
        <f t="shared" si="13"/>
        <v>0</v>
      </c>
      <c r="Y162" s="5">
        <f t="shared" si="13"/>
        <v>0</v>
      </c>
      <c r="Z162" s="5">
        <f t="shared" si="13"/>
        <v>0</v>
      </c>
      <c r="AA162" s="5">
        <f t="shared" si="13"/>
        <v>0</v>
      </c>
      <c r="AB162" s="5">
        <f t="shared" si="13"/>
        <v>0</v>
      </c>
      <c r="AC162" s="5">
        <f t="shared" si="13"/>
        <v>0</v>
      </c>
      <c r="AD162" s="5">
        <f t="shared" si="13"/>
        <v>0</v>
      </c>
      <c r="AE162" s="5">
        <f t="shared" si="13"/>
        <v>0</v>
      </c>
      <c r="AF162" s="5">
        <f t="shared" si="13"/>
        <v>0</v>
      </c>
      <c r="AG162" s="5">
        <f t="shared" si="13"/>
        <v>0</v>
      </c>
      <c r="AH162" s="5">
        <f t="shared" si="13"/>
        <v>0</v>
      </c>
      <c r="AI162" s="5">
        <f t="shared" si="13"/>
        <v>0</v>
      </c>
      <c r="AJ162" s="5">
        <f t="shared" si="13"/>
        <v>0</v>
      </c>
      <c r="AK162" s="5">
        <f t="shared" si="13"/>
        <v>0</v>
      </c>
      <c r="AL162" s="5">
        <f t="shared" si="13"/>
        <v>0</v>
      </c>
      <c r="AM162" s="6">
        <f t="shared" si="15"/>
        <v>0</v>
      </c>
    </row>
    <row r="163" spans="1:39" x14ac:dyDescent="0.25">
      <c r="A163" s="4" t="s">
        <v>389</v>
      </c>
      <c r="B163" s="4" t="s">
        <v>390</v>
      </c>
      <c r="C163" s="4" t="s">
        <v>6</v>
      </c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3"/>
      <c r="P163" s="3"/>
      <c r="Q163" s="3"/>
      <c r="R163" s="3"/>
      <c r="S163" s="6">
        <f t="shared" si="14"/>
        <v>0</v>
      </c>
      <c r="T163">
        <v>1</v>
      </c>
      <c r="U163" s="4" t="s">
        <v>389</v>
      </c>
      <c r="V163" s="4" t="s">
        <v>390</v>
      </c>
      <c r="W163" s="4" t="s">
        <v>6</v>
      </c>
      <c r="X163" s="5">
        <f t="shared" si="13"/>
        <v>0</v>
      </c>
      <c r="Y163" s="5">
        <f t="shared" si="13"/>
        <v>0</v>
      </c>
      <c r="Z163" s="5">
        <f t="shared" si="13"/>
        <v>0</v>
      </c>
      <c r="AA163" s="5">
        <f t="shared" si="13"/>
        <v>0</v>
      </c>
      <c r="AB163" s="5">
        <f t="shared" si="13"/>
        <v>0</v>
      </c>
      <c r="AC163" s="5">
        <f t="shared" si="13"/>
        <v>0</v>
      </c>
      <c r="AD163" s="5">
        <f t="shared" si="13"/>
        <v>0</v>
      </c>
      <c r="AE163" s="5">
        <f t="shared" si="13"/>
        <v>0</v>
      </c>
      <c r="AF163" s="5">
        <f t="shared" si="13"/>
        <v>0</v>
      </c>
      <c r="AG163" s="5">
        <f t="shared" si="13"/>
        <v>0</v>
      </c>
      <c r="AH163" s="5">
        <f t="shared" si="13"/>
        <v>0</v>
      </c>
      <c r="AI163" s="5">
        <f t="shared" si="13"/>
        <v>0</v>
      </c>
      <c r="AJ163" s="5">
        <f t="shared" si="13"/>
        <v>0</v>
      </c>
      <c r="AK163" s="5">
        <f t="shared" si="13"/>
        <v>0</v>
      </c>
      <c r="AL163" s="5">
        <f t="shared" si="13"/>
        <v>0</v>
      </c>
      <c r="AM163" s="6">
        <f t="shared" si="15"/>
        <v>0</v>
      </c>
    </row>
    <row r="164" spans="1:39" x14ac:dyDescent="0.25">
      <c r="A164" s="14" t="s">
        <v>3</v>
      </c>
      <c r="B164" s="14"/>
      <c r="C164" s="14"/>
      <c r="D164" s="9">
        <f t="shared" ref="D164:S164" si="16">SUM(D2:D163)</f>
        <v>267</v>
      </c>
      <c r="E164" s="9">
        <f t="shared" si="16"/>
        <v>268.5</v>
      </c>
      <c r="F164" s="9">
        <f t="shared" si="16"/>
        <v>307.5</v>
      </c>
      <c r="G164" s="9">
        <f t="shared" si="16"/>
        <v>444</v>
      </c>
      <c r="H164" s="9">
        <f t="shared" si="16"/>
        <v>519</v>
      </c>
      <c r="I164" s="9">
        <f t="shared" si="16"/>
        <v>499.5</v>
      </c>
      <c r="J164" s="9">
        <f t="shared" si="16"/>
        <v>1213.5</v>
      </c>
      <c r="K164" s="9">
        <f t="shared" si="16"/>
        <v>1386</v>
      </c>
      <c r="L164" s="9">
        <f t="shared" si="16"/>
        <v>1717.5</v>
      </c>
      <c r="M164" s="9">
        <f t="shared" si="16"/>
        <v>1948.5</v>
      </c>
      <c r="N164" s="9">
        <f t="shared" si="16"/>
        <v>0</v>
      </c>
      <c r="O164" s="9">
        <f t="shared" si="16"/>
        <v>0</v>
      </c>
      <c r="P164" s="9">
        <f t="shared" si="16"/>
        <v>0</v>
      </c>
      <c r="Q164" s="9">
        <f t="shared" si="16"/>
        <v>0</v>
      </c>
      <c r="R164" s="9">
        <f t="shared" si="16"/>
        <v>0</v>
      </c>
      <c r="S164" s="9">
        <f t="shared" si="16"/>
        <v>8571</v>
      </c>
      <c r="U164" s="14" t="s">
        <v>3</v>
      </c>
      <c r="V164" s="14"/>
      <c r="W164" s="14"/>
      <c r="X164" s="9">
        <f t="shared" ref="X164:AM164" si="17">SUM(X2:X163)</f>
        <v>0</v>
      </c>
      <c r="Y164" s="9">
        <f t="shared" si="17"/>
        <v>0</v>
      </c>
      <c r="Z164" s="9">
        <f t="shared" si="17"/>
        <v>40</v>
      </c>
      <c r="AA164" s="9">
        <f t="shared" si="17"/>
        <v>189</v>
      </c>
      <c r="AB164" s="9">
        <f t="shared" si="17"/>
        <v>220</v>
      </c>
      <c r="AC164" s="9">
        <f t="shared" si="17"/>
        <v>160</v>
      </c>
      <c r="AD164" s="9">
        <f t="shared" si="17"/>
        <v>1474.5</v>
      </c>
      <c r="AE164" s="9">
        <f t="shared" si="17"/>
        <v>1994</v>
      </c>
      <c r="AF164" s="9">
        <f t="shared" si="17"/>
        <v>3078</v>
      </c>
      <c r="AG164" s="9">
        <f t="shared" si="17"/>
        <v>2999</v>
      </c>
      <c r="AH164" s="9">
        <f t="shared" si="17"/>
        <v>0</v>
      </c>
      <c r="AI164" s="9">
        <f t="shared" si="17"/>
        <v>0</v>
      </c>
      <c r="AJ164" s="9">
        <f t="shared" si="17"/>
        <v>0</v>
      </c>
      <c r="AK164" s="9">
        <f t="shared" si="17"/>
        <v>0</v>
      </c>
      <c r="AL164" s="9">
        <f t="shared" si="17"/>
        <v>0</v>
      </c>
      <c r="AM164" s="9">
        <f t="shared" si="17"/>
        <v>10154.5</v>
      </c>
    </row>
  </sheetData>
  <autoFilter ref="A1:S164" xr:uid="{B27CDB1C-A565-45CC-87B1-4B29D876C388}"/>
  <mergeCells count="2">
    <mergeCell ref="A164:C164"/>
    <mergeCell ref="U164:W164"/>
  </mergeCells>
  <conditionalFormatting sqref="A5:B5">
    <cfRule type="duplicateValues" dxfId="70" priority="7" stopIfTrue="1"/>
  </conditionalFormatting>
  <conditionalFormatting sqref="A96:B102">
    <cfRule type="duplicateValues" dxfId="69" priority="6" stopIfTrue="1"/>
  </conditionalFormatting>
  <conditionalFormatting sqref="A103:B161 A91:B95 A2:B4 A6:B8">
    <cfRule type="duplicateValues" dxfId="68" priority="9" stopIfTrue="1"/>
  </conditionalFormatting>
  <conditionalFormatting sqref="A103:B163 A2:B4 A6:B95">
    <cfRule type="duplicateValues" dxfId="67" priority="8"/>
    <cfRule type="duplicateValues" dxfId="66" priority="10" stopIfTrue="1"/>
  </conditionalFormatting>
  <conditionalFormatting sqref="U5:V5">
    <cfRule type="duplicateValues" dxfId="65" priority="2" stopIfTrue="1"/>
  </conditionalFormatting>
  <conditionalFormatting sqref="U96:V102">
    <cfRule type="duplicateValues" dxfId="64" priority="1" stopIfTrue="1"/>
  </conditionalFormatting>
  <conditionalFormatting sqref="U103:V161 U91:V95 U2:V4 U6:V8">
    <cfRule type="duplicateValues" dxfId="63" priority="4" stopIfTrue="1"/>
  </conditionalFormatting>
  <conditionalFormatting sqref="U103:V163 U2:V4 U6:V95">
    <cfRule type="duplicateValues" dxfId="62" priority="3"/>
    <cfRule type="duplicateValues" dxfId="61" priority="5" stopIfTrue="1"/>
  </conditionalFormatting>
  <pageMargins left="0.15748031496062992" right="0.15748031496062992" top="0.23" bottom="0.39370078740157483" header="0.17" footer="0.15748031496062992"/>
  <pageSetup paperSize="9" scale="9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7C47-625B-4864-A5C5-2B59F41843DA}">
  <sheetPr filterMode="1"/>
  <dimension ref="A1:AM143"/>
  <sheetViews>
    <sheetView topLeftCell="O66" workbookViewId="0">
      <selection activeCell="AG116" sqref="AG116"/>
    </sheetView>
  </sheetViews>
  <sheetFormatPr baseColWidth="10" defaultRowHeight="15" x14ac:dyDescent="0.25"/>
  <cols>
    <col min="2" max="2" width="27.28515625" bestFit="1" customWidth="1"/>
    <col min="4" max="5" width="6.5703125" customWidth="1"/>
    <col min="6" max="11" width="8.140625" customWidth="1"/>
    <col min="12" max="14" width="7.85546875" customWidth="1"/>
    <col min="15" max="18" width="6.5703125" customWidth="1"/>
    <col min="22" max="22" width="27.28515625" bestFit="1" customWidth="1"/>
    <col min="24" max="33" width="6.7109375" customWidth="1"/>
    <col min="34" max="38" width="5.85546875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>
        <v>16</v>
      </c>
      <c r="E1" s="2">
        <v>17</v>
      </c>
      <c r="F1" s="2">
        <v>18</v>
      </c>
      <c r="G1" s="2">
        <v>19</v>
      </c>
      <c r="H1" s="2">
        <v>20</v>
      </c>
      <c r="I1" s="2">
        <v>21</v>
      </c>
      <c r="J1" s="2">
        <v>22</v>
      </c>
      <c r="K1" s="2">
        <v>23</v>
      </c>
      <c r="L1" s="2">
        <v>24</v>
      </c>
      <c r="M1" s="2">
        <v>25</v>
      </c>
      <c r="N1" s="2">
        <v>26</v>
      </c>
      <c r="O1" s="2">
        <v>27</v>
      </c>
      <c r="P1" s="2">
        <v>28</v>
      </c>
      <c r="Q1" s="2">
        <v>29</v>
      </c>
      <c r="R1" s="2">
        <v>30</v>
      </c>
      <c r="S1" s="3" t="s">
        <v>3</v>
      </c>
      <c r="U1" s="2" t="s">
        <v>0</v>
      </c>
      <c r="V1" s="2" t="s">
        <v>1</v>
      </c>
      <c r="W1" s="2" t="s">
        <v>2</v>
      </c>
      <c r="X1" s="2">
        <v>16</v>
      </c>
      <c r="Y1" s="2">
        <v>17</v>
      </c>
      <c r="Z1" s="2">
        <v>18</v>
      </c>
      <c r="AA1" s="2">
        <v>19</v>
      </c>
      <c r="AB1" s="2">
        <v>20</v>
      </c>
      <c r="AC1" s="2">
        <v>21</v>
      </c>
      <c r="AD1" s="2">
        <v>22</v>
      </c>
      <c r="AE1" s="2">
        <v>23</v>
      </c>
      <c r="AF1" s="2">
        <v>24</v>
      </c>
      <c r="AG1" s="2">
        <v>25</v>
      </c>
      <c r="AH1" s="2">
        <v>26</v>
      </c>
      <c r="AI1" s="2">
        <v>27</v>
      </c>
      <c r="AJ1" s="2">
        <v>28</v>
      </c>
      <c r="AK1" s="2">
        <v>29</v>
      </c>
      <c r="AL1" s="2">
        <v>30</v>
      </c>
      <c r="AM1" s="3" t="s">
        <v>3</v>
      </c>
    </row>
    <row r="2" spans="1:39" hidden="1" x14ac:dyDescent="0.25">
      <c r="A2" s="4" t="s">
        <v>165</v>
      </c>
      <c r="B2" s="4" t="s">
        <v>166</v>
      </c>
      <c r="C2" s="4" t="s">
        <v>167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3"/>
      <c r="P2" s="3"/>
      <c r="Q2" s="3"/>
      <c r="R2" s="3"/>
      <c r="S2" s="6">
        <f t="shared" ref="S2:S65" si="0">SUM(D2:R2)</f>
        <v>0</v>
      </c>
      <c r="T2">
        <v>1</v>
      </c>
      <c r="U2" s="4" t="s">
        <v>165</v>
      </c>
      <c r="V2" s="4" t="s">
        <v>166</v>
      </c>
      <c r="W2" s="4" t="s">
        <v>167</v>
      </c>
      <c r="X2" s="5">
        <f>IF(D2&lt;=30,0,(D2-30)*2.5)</f>
        <v>0</v>
      </c>
      <c r="Y2" s="5">
        <f>IF(E2&lt;=25,0,(E2-25)*2.5)</f>
        <v>0</v>
      </c>
      <c r="Z2" s="5">
        <f>IF(F2&lt;=25,0,(F2-25)*2.5)</f>
        <v>0</v>
      </c>
      <c r="AA2" s="5">
        <f>IF(G2&lt;=25,0,(G2-25)*2.5)</f>
        <v>0</v>
      </c>
      <c r="AB2" s="5">
        <f>IF(H2&lt;=30,0,(H2-30)*2.5)</f>
        <v>0</v>
      </c>
      <c r="AC2" s="5">
        <f>IF(I2&lt;=30,0,(I2-30)*2.5)</f>
        <v>0</v>
      </c>
      <c r="AD2" s="5">
        <f>IF(J2&lt;=30,0,(J2-30)*2.5)</f>
        <v>0</v>
      </c>
      <c r="AE2" s="5">
        <f>IF(K2&lt;=25,0,(K2-25)*2.5)</f>
        <v>0</v>
      </c>
      <c r="AF2" s="5">
        <f>IF(L2&lt;=30,0,(L2-30)*2.5)</f>
        <v>0</v>
      </c>
      <c r="AG2" s="5">
        <f t="shared" ref="AG2:AL17" si="1">IF(M2&lt;=30,0,(M2-30)*2.5)</f>
        <v>0</v>
      </c>
      <c r="AH2" s="5">
        <f t="shared" si="1"/>
        <v>0</v>
      </c>
      <c r="AI2" s="5">
        <f t="shared" si="1"/>
        <v>0</v>
      </c>
      <c r="AJ2" s="5">
        <f t="shared" si="1"/>
        <v>0</v>
      </c>
      <c r="AK2" s="5">
        <f t="shared" si="1"/>
        <v>0</v>
      </c>
      <c r="AL2" s="5">
        <f t="shared" si="1"/>
        <v>0</v>
      </c>
      <c r="AM2" s="6">
        <f t="shared" ref="AM2:AM65" si="2">SUM(X2:AL2)</f>
        <v>0</v>
      </c>
    </row>
    <row r="3" spans="1:39" hidden="1" x14ac:dyDescent="0.25">
      <c r="A3" s="4" t="s">
        <v>168</v>
      </c>
      <c r="B3" s="4" t="s">
        <v>169</v>
      </c>
      <c r="C3" s="4" t="s">
        <v>167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3"/>
      <c r="P3" s="3"/>
      <c r="Q3" s="3"/>
      <c r="R3" s="3"/>
      <c r="S3" s="6">
        <f t="shared" si="0"/>
        <v>0</v>
      </c>
      <c r="T3">
        <v>1</v>
      </c>
      <c r="U3" s="4" t="s">
        <v>168</v>
      </c>
      <c r="V3" s="4" t="s">
        <v>169</v>
      </c>
      <c r="W3" s="4" t="s">
        <v>167</v>
      </c>
      <c r="X3" s="5">
        <f t="shared" ref="X3:X66" si="3">IF(D3&lt;=30,0,(D3-30)*2.5)</f>
        <v>0</v>
      </c>
      <c r="Y3" s="5">
        <f t="shared" ref="Y3:AA66" si="4">IF(E3&lt;=25,0,(E3-25)*2.5)</f>
        <v>0</v>
      </c>
      <c r="Z3" s="5">
        <f t="shared" si="4"/>
        <v>0</v>
      </c>
      <c r="AA3" s="5">
        <f t="shared" si="4"/>
        <v>0</v>
      </c>
      <c r="AB3" s="5">
        <f t="shared" ref="AB3:AG66" si="5">IF(H3&lt;=30,0,(H3-30)*2.5)</f>
        <v>0</v>
      </c>
      <c r="AC3" s="5">
        <f t="shared" si="5"/>
        <v>0</v>
      </c>
      <c r="AD3" s="5">
        <f t="shared" si="5"/>
        <v>0</v>
      </c>
      <c r="AE3" s="5">
        <f t="shared" ref="AE3:AE33" si="6">IF(K3&lt;=25,0,(K3-25)*2.5)</f>
        <v>0</v>
      </c>
      <c r="AF3" s="5">
        <f t="shared" ref="AF3:AL52" si="7">IF(L3&lt;=30,0,(L3-30)*2.5)</f>
        <v>0</v>
      </c>
      <c r="AG3" s="5">
        <f t="shared" si="1"/>
        <v>0</v>
      </c>
      <c r="AH3" s="5">
        <f t="shared" si="1"/>
        <v>0</v>
      </c>
      <c r="AI3" s="5">
        <f t="shared" si="1"/>
        <v>0</v>
      </c>
      <c r="AJ3" s="5">
        <f t="shared" si="1"/>
        <v>0</v>
      </c>
      <c r="AK3" s="5">
        <f t="shared" si="1"/>
        <v>0</v>
      </c>
      <c r="AL3" s="5">
        <f t="shared" si="1"/>
        <v>0</v>
      </c>
      <c r="AM3" s="6">
        <f t="shared" si="2"/>
        <v>0</v>
      </c>
    </row>
    <row r="4" spans="1:39" hidden="1" x14ac:dyDescent="0.25">
      <c r="A4" s="4" t="s">
        <v>170</v>
      </c>
      <c r="B4" s="4" t="s">
        <v>171</v>
      </c>
      <c r="C4" s="4" t="s">
        <v>167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6">
        <f t="shared" si="0"/>
        <v>0</v>
      </c>
      <c r="T4">
        <v>1</v>
      </c>
      <c r="U4" s="4" t="s">
        <v>170</v>
      </c>
      <c r="V4" s="4" t="s">
        <v>171</v>
      </c>
      <c r="W4" s="4" t="s">
        <v>167</v>
      </c>
      <c r="X4" s="5">
        <f t="shared" si="3"/>
        <v>0</v>
      </c>
      <c r="Y4" s="5">
        <f t="shared" si="4"/>
        <v>0</v>
      </c>
      <c r="Z4" s="5">
        <f t="shared" si="4"/>
        <v>0</v>
      </c>
      <c r="AA4" s="5">
        <f t="shared" si="4"/>
        <v>0</v>
      </c>
      <c r="AB4" s="5">
        <f t="shared" si="5"/>
        <v>0</v>
      </c>
      <c r="AC4" s="5">
        <f t="shared" si="5"/>
        <v>0</v>
      </c>
      <c r="AD4" s="5">
        <f t="shared" si="5"/>
        <v>0</v>
      </c>
      <c r="AE4" s="5">
        <f t="shared" si="6"/>
        <v>0</v>
      </c>
      <c r="AF4" s="5">
        <f t="shared" si="7"/>
        <v>0</v>
      </c>
      <c r="AG4" s="5">
        <f t="shared" si="1"/>
        <v>0</v>
      </c>
      <c r="AH4" s="5">
        <f t="shared" si="1"/>
        <v>0</v>
      </c>
      <c r="AI4" s="5">
        <f t="shared" si="1"/>
        <v>0</v>
      </c>
      <c r="AJ4" s="5">
        <f t="shared" si="1"/>
        <v>0</v>
      </c>
      <c r="AK4" s="5">
        <f t="shared" si="1"/>
        <v>0</v>
      </c>
      <c r="AL4" s="5">
        <f t="shared" si="1"/>
        <v>0</v>
      </c>
      <c r="AM4" s="6">
        <f t="shared" si="2"/>
        <v>0</v>
      </c>
    </row>
    <row r="5" spans="1:39" hidden="1" x14ac:dyDescent="0.25">
      <c r="A5" s="4" t="s">
        <v>172</v>
      </c>
      <c r="B5" s="4" t="s">
        <v>173</v>
      </c>
      <c r="C5" s="4" t="s">
        <v>167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3"/>
      <c r="Q5" s="3"/>
      <c r="R5" s="3"/>
      <c r="S5" s="6">
        <f t="shared" si="0"/>
        <v>0</v>
      </c>
      <c r="T5">
        <v>1</v>
      </c>
      <c r="U5" s="4" t="s">
        <v>172</v>
      </c>
      <c r="V5" s="4" t="s">
        <v>173</v>
      </c>
      <c r="W5" s="4" t="s">
        <v>167</v>
      </c>
      <c r="X5" s="5">
        <f t="shared" si="3"/>
        <v>0</v>
      </c>
      <c r="Y5" s="5">
        <f t="shared" si="4"/>
        <v>0</v>
      </c>
      <c r="Z5" s="5">
        <f t="shared" si="4"/>
        <v>0</v>
      </c>
      <c r="AA5" s="5">
        <f t="shared" si="4"/>
        <v>0</v>
      </c>
      <c r="AB5" s="5">
        <f t="shared" si="5"/>
        <v>0</v>
      </c>
      <c r="AC5" s="5">
        <f t="shared" si="5"/>
        <v>0</v>
      </c>
      <c r="AD5" s="5">
        <f t="shared" si="5"/>
        <v>0</v>
      </c>
      <c r="AE5" s="5">
        <f t="shared" si="6"/>
        <v>0</v>
      </c>
      <c r="AF5" s="5">
        <f t="shared" si="7"/>
        <v>0</v>
      </c>
      <c r="AG5" s="5">
        <f t="shared" si="1"/>
        <v>0</v>
      </c>
      <c r="AH5" s="5">
        <f t="shared" si="1"/>
        <v>0</v>
      </c>
      <c r="AI5" s="5">
        <f t="shared" si="1"/>
        <v>0</v>
      </c>
      <c r="AJ5" s="5">
        <f t="shared" si="1"/>
        <v>0</v>
      </c>
      <c r="AK5" s="5">
        <f t="shared" si="1"/>
        <v>0</v>
      </c>
      <c r="AL5" s="5">
        <f t="shared" si="1"/>
        <v>0</v>
      </c>
      <c r="AM5" s="6">
        <f t="shared" si="2"/>
        <v>0</v>
      </c>
    </row>
    <row r="6" spans="1:39" hidden="1" x14ac:dyDescent="0.25">
      <c r="A6" s="4" t="s">
        <v>174</v>
      </c>
      <c r="B6" s="4" t="s">
        <v>175</v>
      </c>
      <c r="C6" s="4" t="s">
        <v>167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  <c r="R6" s="3"/>
      <c r="S6" s="6">
        <f t="shared" si="0"/>
        <v>0</v>
      </c>
      <c r="T6">
        <v>1</v>
      </c>
      <c r="U6" s="4" t="s">
        <v>174</v>
      </c>
      <c r="V6" s="4" t="s">
        <v>175</v>
      </c>
      <c r="W6" s="4" t="s">
        <v>167</v>
      </c>
      <c r="X6" s="5">
        <f t="shared" si="3"/>
        <v>0</v>
      </c>
      <c r="Y6" s="5">
        <f t="shared" si="4"/>
        <v>0</v>
      </c>
      <c r="Z6" s="5">
        <f t="shared" si="4"/>
        <v>0</v>
      </c>
      <c r="AA6" s="5">
        <f t="shared" si="4"/>
        <v>0</v>
      </c>
      <c r="AB6" s="5">
        <f t="shared" si="5"/>
        <v>0</v>
      </c>
      <c r="AC6" s="5">
        <f t="shared" si="5"/>
        <v>0</v>
      </c>
      <c r="AD6" s="5">
        <f t="shared" si="5"/>
        <v>0</v>
      </c>
      <c r="AE6" s="5">
        <f t="shared" si="6"/>
        <v>0</v>
      </c>
      <c r="AF6" s="5">
        <f t="shared" si="7"/>
        <v>0</v>
      </c>
      <c r="AG6" s="5">
        <f t="shared" si="1"/>
        <v>0</v>
      </c>
      <c r="AH6" s="5">
        <f t="shared" si="1"/>
        <v>0</v>
      </c>
      <c r="AI6" s="5">
        <f t="shared" si="1"/>
        <v>0</v>
      </c>
      <c r="AJ6" s="5">
        <f t="shared" si="1"/>
        <v>0</v>
      </c>
      <c r="AK6" s="5">
        <f t="shared" si="1"/>
        <v>0</v>
      </c>
      <c r="AL6" s="5">
        <f t="shared" si="1"/>
        <v>0</v>
      </c>
      <c r="AM6" s="6">
        <f t="shared" si="2"/>
        <v>0</v>
      </c>
    </row>
    <row r="7" spans="1:39" hidden="1" x14ac:dyDescent="0.25">
      <c r="A7" s="4" t="s">
        <v>176</v>
      </c>
      <c r="B7" s="4" t="s">
        <v>177</v>
      </c>
      <c r="C7" s="4" t="s">
        <v>167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6">
        <f t="shared" si="0"/>
        <v>0</v>
      </c>
      <c r="T7">
        <v>1</v>
      </c>
      <c r="U7" s="4" t="s">
        <v>176</v>
      </c>
      <c r="V7" s="4" t="s">
        <v>177</v>
      </c>
      <c r="W7" s="4" t="s">
        <v>167</v>
      </c>
      <c r="X7" s="5">
        <f t="shared" si="3"/>
        <v>0</v>
      </c>
      <c r="Y7" s="5">
        <f t="shared" si="4"/>
        <v>0</v>
      </c>
      <c r="Z7" s="5">
        <f t="shared" si="4"/>
        <v>0</v>
      </c>
      <c r="AA7" s="5">
        <f t="shared" si="4"/>
        <v>0</v>
      </c>
      <c r="AB7" s="5">
        <f t="shared" si="5"/>
        <v>0</v>
      </c>
      <c r="AC7" s="5">
        <f t="shared" si="5"/>
        <v>0</v>
      </c>
      <c r="AD7" s="5">
        <f t="shared" si="5"/>
        <v>0</v>
      </c>
      <c r="AE7" s="5">
        <f t="shared" si="6"/>
        <v>0</v>
      </c>
      <c r="AF7" s="5">
        <f t="shared" si="7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6">
        <f t="shared" si="2"/>
        <v>0</v>
      </c>
    </row>
    <row r="8" spans="1:39" hidden="1" x14ac:dyDescent="0.25">
      <c r="A8" s="4" t="s">
        <v>178</v>
      </c>
      <c r="B8" s="4" t="s">
        <v>179</v>
      </c>
      <c r="C8" s="4" t="s">
        <v>167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3"/>
      <c r="R8" s="3"/>
      <c r="S8" s="6">
        <f t="shared" si="0"/>
        <v>0</v>
      </c>
      <c r="T8">
        <v>1</v>
      </c>
      <c r="U8" s="4" t="s">
        <v>178</v>
      </c>
      <c r="V8" s="4" t="s">
        <v>179</v>
      </c>
      <c r="W8" s="4" t="s">
        <v>167</v>
      </c>
      <c r="X8" s="5">
        <f t="shared" si="3"/>
        <v>0</v>
      </c>
      <c r="Y8" s="5">
        <f t="shared" si="4"/>
        <v>0</v>
      </c>
      <c r="Z8" s="5">
        <f t="shared" si="4"/>
        <v>0</v>
      </c>
      <c r="AA8" s="5">
        <f t="shared" si="4"/>
        <v>0</v>
      </c>
      <c r="AB8" s="5">
        <f t="shared" si="5"/>
        <v>0</v>
      </c>
      <c r="AC8" s="5">
        <f t="shared" si="5"/>
        <v>0</v>
      </c>
      <c r="AD8" s="5">
        <f t="shared" si="5"/>
        <v>0</v>
      </c>
      <c r="AE8" s="5">
        <f t="shared" si="6"/>
        <v>0</v>
      </c>
      <c r="AF8" s="5">
        <f t="shared" si="7"/>
        <v>0</v>
      </c>
      <c r="AG8" s="5">
        <f t="shared" si="1"/>
        <v>0</v>
      </c>
      <c r="AH8" s="5">
        <f t="shared" si="1"/>
        <v>0</v>
      </c>
      <c r="AI8" s="5">
        <f t="shared" si="1"/>
        <v>0</v>
      </c>
      <c r="AJ8" s="5">
        <f t="shared" si="1"/>
        <v>0</v>
      </c>
      <c r="AK8" s="5">
        <f t="shared" si="1"/>
        <v>0</v>
      </c>
      <c r="AL8" s="5">
        <f t="shared" si="1"/>
        <v>0</v>
      </c>
      <c r="AM8" s="6">
        <f t="shared" si="2"/>
        <v>0</v>
      </c>
    </row>
    <row r="9" spans="1:39" x14ac:dyDescent="0.25">
      <c r="A9" s="4" t="s">
        <v>180</v>
      </c>
      <c r="B9" s="4" t="s">
        <v>181</v>
      </c>
      <c r="C9" s="4" t="s">
        <v>167</v>
      </c>
      <c r="D9" s="5"/>
      <c r="E9" s="6"/>
      <c r="F9" s="6">
        <v>3</v>
      </c>
      <c r="G9" s="6">
        <v>10.5</v>
      </c>
      <c r="H9" s="6">
        <v>25.5</v>
      </c>
      <c r="I9" s="6">
        <v>33</v>
      </c>
      <c r="J9" s="6"/>
      <c r="K9" s="6"/>
      <c r="L9" s="6"/>
      <c r="M9" s="6"/>
      <c r="N9" s="6"/>
      <c r="O9" s="3"/>
      <c r="P9" s="3"/>
      <c r="Q9" s="3"/>
      <c r="R9" s="3"/>
      <c r="S9" s="6">
        <f t="shared" si="0"/>
        <v>72</v>
      </c>
      <c r="T9">
        <v>1</v>
      </c>
      <c r="U9" s="4" t="s">
        <v>180</v>
      </c>
      <c r="V9" s="4" t="s">
        <v>181</v>
      </c>
      <c r="W9" s="4" t="s">
        <v>167</v>
      </c>
      <c r="X9" s="5">
        <f t="shared" si="3"/>
        <v>0</v>
      </c>
      <c r="Y9" s="5">
        <f t="shared" si="4"/>
        <v>0</v>
      </c>
      <c r="Z9" s="5">
        <f t="shared" si="4"/>
        <v>0</v>
      </c>
      <c r="AA9" s="5">
        <f t="shared" si="4"/>
        <v>0</v>
      </c>
      <c r="AB9" s="5">
        <f t="shared" si="5"/>
        <v>0</v>
      </c>
      <c r="AC9" s="5">
        <f t="shared" si="5"/>
        <v>7.5</v>
      </c>
      <c r="AD9" s="5">
        <f t="shared" si="5"/>
        <v>0</v>
      </c>
      <c r="AE9" s="5">
        <f t="shared" si="6"/>
        <v>0</v>
      </c>
      <c r="AF9" s="5">
        <f t="shared" si="7"/>
        <v>0</v>
      </c>
      <c r="AG9" s="5">
        <f t="shared" si="1"/>
        <v>0</v>
      </c>
      <c r="AH9" s="5">
        <f t="shared" si="1"/>
        <v>0</v>
      </c>
      <c r="AI9" s="5">
        <f t="shared" si="1"/>
        <v>0</v>
      </c>
      <c r="AJ9" s="5">
        <f t="shared" si="1"/>
        <v>0</v>
      </c>
      <c r="AK9" s="5">
        <f t="shared" si="1"/>
        <v>0</v>
      </c>
      <c r="AL9" s="5">
        <f t="shared" si="1"/>
        <v>0</v>
      </c>
      <c r="AM9" s="6">
        <f t="shared" si="2"/>
        <v>7.5</v>
      </c>
    </row>
    <row r="10" spans="1:39" x14ac:dyDescent="0.25">
      <c r="A10" s="4" t="s">
        <v>182</v>
      </c>
      <c r="B10" s="4" t="s">
        <v>183</v>
      </c>
      <c r="C10" s="4" t="s">
        <v>167</v>
      </c>
      <c r="D10" s="5"/>
      <c r="E10" s="6"/>
      <c r="F10" s="6"/>
      <c r="G10" s="6"/>
      <c r="H10" s="6"/>
      <c r="I10" s="6"/>
      <c r="J10" s="6"/>
      <c r="K10" s="6"/>
      <c r="L10" s="6">
        <v>6</v>
      </c>
      <c r="M10" s="6">
        <v>15</v>
      </c>
      <c r="N10" s="6"/>
      <c r="O10" s="3"/>
      <c r="P10" s="3"/>
      <c r="Q10" s="3"/>
      <c r="R10" s="3"/>
      <c r="S10" s="6">
        <f t="shared" si="0"/>
        <v>21</v>
      </c>
      <c r="T10">
        <v>1</v>
      </c>
      <c r="U10" s="4" t="s">
        <v>182</v>
      </c>
      <c r="V10" s="4" t="s">
        <v>183</v>
      </c>
      <c r="W10" s="4" t="s">
        <v>167</v>
      </c>
      <c r="X10" s="5">
        <f t="shared" si="3"/>
        <v>0</v>
      </c>
      <c r="Y10" s="5">
        <f t="shared" si="4"/>
        <v>0</v>
      </c>
      <c r="Z10" s="5">
        <f t="shared" si="4"/>
        <v>0</v>
      </c>
      <c r="AA10" s="5">
        <f t="shared" si="4"/>
        <v>0</v>
      </c>
      <c r="AB10" s="5">
        <f t="shared" si="5"/>
        <v>0</v>
      </c>
      <c r="AC10" s="5">
        <f t="shared" si="5"/>
        <v>0</v>
      </c>
      <c r="AD10" s="5">
        <f t="shared" si="5"/>
        <v>0</v>
      </c>
      <c r="AE10" s="5">
        <f t="shared" si="6"/>
        <v>0</v>
      </c>
      <c r="AF10" s="5">
        <f t="shared" si="7"/>
        <v>0</v>
      </c>
      <c r="AG10" s="5">
        <f t="shared" si="1"/>
        <v>0</v>
      </c>
      <c r="AH10" s="5">
        <f t="shared" si="1"/>
        <v>0</v>
      </c>
      <c r="AI10" s="5">
        <f t="shared" si="1"/>
        <v>0</v>
      </c>
      <c r="AJ10" s="5">
        <f t="shared" si="1"/>
        <v>0</v>
      </c>
      <c r="AK10" s="5">
        <f t="shared" si="1"/>
        <v>0</v>
      </c>
      <c r="AL10" s="5">
        <f t="shared" si="1"/>
        <v>0</v>
      </c>
      <c r="AM10" s="6">
        <f t="shared" si="2"/>
        <v>0</v>
      </c>
    </row>
    <row r="11" spans="1:39" x14ac:dyDescent="0.25">
      <c r="A11" s="4" t="s">
        <v>184</v>
      </c>
      <c r="B11" s="4" t="s">
        <v>185</v>
      </c>
      <c r="C11" s="4" t="s">
        <v>167</v>
      </c>
      <c r="D11" s="5"/>
      <c r="E11" s="6">
        <v>26.400000000000002</v>
      </c>
      <c r="F11" s="6">
        <v>22.5</v>
      </c>
      <c r="G11" s="6"/>
      <c r="H11" s="6">
        <v>21</v>
      </c>
      <c r="I11" s="6">
        <v>42</v>
      </c>
      <c r="J11" s="6">
        <v>51</v>
      </c>
      <c r="K11" s="6">
        <v>22.5</v>
      </c>
      <c r="L11" s="6">
        <v>27</v>
      </c>
      <c r="M11" s="6">
        <v>18</v>
      </c>
      <c r="N11" s="6"/>
      <c r="O11" s="3"/>
      <c r="P11" s="3"/>
      <c r="Q11" s="3"/>
      <c r="R11" s="3"/>
      <c r="S11" s="6">
        <f t="shared" si="0"/>
        <v>230.4</v>
      </c>
      <c r="T11">
        <v>1</v>
      </c>
      <c r="U11" s="4" t="s">
        <v>184</v>
      </c>
      <c r="V11" s="4" t="s">
        <v>185</v>
      </c>
      <c r="W11" s="4" t="s">
        <v>167</v>
      </c>
      <c r="X11" s="5">
        <f t="shared" si="3"/>
        <v>0</v>
      </c>
      <c r="Y11" s="5">
        <f t="shared" si="4"/>
        <v>3.5000000000000053</v>
      </c>
      <c r="Z11" s="5">
        <f t="shared" si="4"/>
        <v>0</v>
      </c>
      <c r="AA11" s="5">
        <f t="shared" si="4"/>
        <v>0</v>
      </c>
      <c r="AB11" s="5">
        <f t="shared" si="5"/>
        <v>0</v>
      </c>
      <c r="AC11" s="5">
        <f t="shared" si="5"/>
        <v>30</v>
      </c>
      <c r="AD11" s="5">
        <f t="shared" si="5"/>
        <v>52.5</v>
      </c>
      <c r="AE11" s="5">
        <f t="shared" si="6"/>
        <v>0</v>
      </c>
      <c r="AF11" s="5">
        <f t="shared" si="7"/>
        <v>0</v>
      </c>
      <c r="AG11" s="5">
        <f t="shared" si="1"/>
        <v>0</v>
      </c>
      <c r="AH11" s="5">
        <f t="shared" si="1"/>
        <v>0</v>
      </c>
      <c r="AI11" s="5">
        <f t="shared" si="1"/>
        <v>0</v>
      </c>
      <c r="AJ11" s="5">
        <f t="shared" si="1"/>
        <v>0</v>
      </c>
      <c r="AK11" s="5">
        <f t="shared" si="1"/>
        <v>0</v>
      </c>
      <c r="AL11" s="5">
        <f t="shared" si="1"/>
        <v>0</v>
      </c>
      <c r="AM11" s="6">
        <f t="shared" si="2"/>
        <v>86</v>
      </c>
    </row>
    <row r="12" spans="1:39" x14ac:dyDescent="0.25">
      <c r="A12" s="4" t="s">
        <v>186</v>
      </c>
      <c r="B12" s="4" t="s">
        <v>187</v>
      </c>
      <c r="C12" s="4" t="s">
        <v>167</v>
      </c>
      <c r="D12" s="5">
        <v>21</v>
      </c>
      <c r="E12" s="6"/>
      <c r="F12" s="6">
        <v>25.5</v>
      </c>
      <c r="G12" s="6"/>
      <c r="H12" s="6">
        <v>9</v>
      </c>
      <c r="I12" s="6">
        <v>12</v>
      </c>
      <c r="J12" s="6">
        <v>42</v>
      </c>
      <c r="K12" s="6">
        <v>30</v>
      </c>
      <c r="L12" s="6">
        <v>27</v>
      </c>
      <c r="M12" s="6">
        <v>16.5</v>
      </c>
      <c r="N12" s="6"/>
      <c r="O12" s="3"/>
      <c r="P12" s="3"/>
      <c r="Q12" s="3"/>
      <c r="R12" s="3"/>
      <c r="S12" s="6">
        <f t="shared" si="0"/>
        <v>183</v>
      </c>
      <c r="T12">
        <v>1</v>
      </c>
      <c r="U12" s="4" t="s">
        <v>186</v>
      </c>
      <c r="V12" s="4" t="s">
        <v>187</v>
      </c>
      <c r="W12" s="4" t="s">
        <v>167</v>
      </c>
      <c r="X12" s="5">
        <f t="shared" si="3"/>
        <v>0</v>
      </c>
      <c r="Y12" s="5">
        <f t="shared" si="4"/>
        <v>0</v>
      </c>
      <c r="Z12" s="5">
        <f t="shared" si="4"/>
        <v>1.25</v>
      </c>
      <c r="AA12" s="5">
        <f t="shared" si="4"/>
        <v>0</v>
      </c>
      <c r="AB12" s="5">
        <f t="shared" si="5"/>
        <v>0</v>
      </c>
      <c r="AC12" s="5">
        <f t="shared" si="5"/>
        <v>0</v>
      </c>
      <c r="AD12" s="5">
        <f t="shared" si="5"/>
        <v>30</v>
      </c>
      <c r="AE12" s="5">
        <f t="shared" si="6"/>
        <v>12.5</v>
      </c>
      <c r="AF12" s="5">
        <f t="shared" si="7"/>
        <v>0</v>
      </c>
      <c r="AG12" s="5">
        <f t="shared" si="1"/>
        <v>0</v>
      </c>
      <c r="AH12" s="5">
        <f t="shared" si="1"/>
        <v>0</v>
      </c>
      <c r="AI12" s="5">
        <f t="shared" si="1"/>
        <v>0</v>
      </c>
      <c r="AJ12" s="5">
        <f t="shared" si="1"/>
        <v>0</v>
      </c>
      <c r="AK12" s="5">
        <f t="shared" si="1"/>
        <v>0</v>
      </c>
      <c r="AL12" s="5">
        <f t="shared" si="1"/>
        <v>0</v>
      </c>
      <c r="AM12" s="6">
        <f t="shared" si="2"/>
        <v>43.75</v>
      </c>
    </row>
    <row r="13" spans="1:39" x14ac:dyDescent="0.25">
      <c r="A13" s="4" t="s">
        <v>188</v>
      </c>
      <c r="B13" s="4" t="s">
        <v>189</v>
      </c>
      <c r="C13" s="4" t="s">
        <v>167</v>
      </c>
      <c r="D13" s="5"/>
      <c r="E13" s="6">
        <v>26.4</v>
      </c>
      <c r="F13" s="6"/>
      <c r="G13" s="6"/>
      <c r="H13" s="6">
        <v>25.5</v>
      </c>
      <c r="I13" s="6">
        <v>27</v>
      </c>
      <c r="J13" s="6"/>
      <c r="K13" s="6"/>
      <c r="L13" s="6">
        <v>30</v>
      </c>
      <c r="M13" s="6">
        <v>21</v>
      </c>
      <c r="N13" s="6"/>
      <c r="O13" s="3"/>
      <c r="P13" s="3"/>
      <c r="Q13" s="3"/>
      <c r="R13" s="3"/>
      <c r="S13" s="6">
        <f t="shared" si="0"/>
        <v>129.9</v>
      </c>
      <c r="T13">
        <v>1</v>
      </c>
      <c r="U13" s="4" t="s">
        <v>188</v>
      </c>
      <c r="V13" s="4" t="s">
        <v>189</v>
      </c>
      <c r="W13" s="4" t="s">
        <v>167</v>
      </c>
      <c r="X13" s="5">
        <f t="shared" si="3"/>
        <v>0</v>
      </c>
      <c r="Y13" s="5">
        <f t="shared" si="4"/>
        <v>3.4999999999999964</v>
      </c>
      <c r="Z13" s="5">
        <f t="shared" si="4"/>
        <v>0</v>
      </c>
      <c r="AA13" s="5">
        <f t="shared" si="4"/>
        <v>0</v>
      </c>
      <c r="AB13" s="5">
        <f t="shared" si="5"/>
        <v>0</v>
      </c>
      <c r="AC13" s="5">
        <f t="shared" si="5"/>
        <v>0</v>
      </c>
      <c r="AD13" s="5">
        <f t="shared" si="5"/>
        <v>0</v>
      </c>
      <c r="AE13" s="5">
        <f t="shared" si="6"/>
        <v>0</v>
      </c>
      <c r="AF13" s="5">
        <f t="shared" si="7"/>
        <v>0</v>
      </c>
      <c r="AG13" s="5">
        <f t="shared" si="1"/>
        <v>0</v>
      </c>
      <c r="AH13" s="5">
        <f t="shared" si="1"/>
        <v>0</v>
      </c>
      <c r="AI13" s="5">
        <f t="shared" si="1"/>
        <v>0</v>
      </c>
      <c r="AJ13" s="5">
        <f t="shared" si="1"/>
        <v>0</v>
      </c>
      <c r="AK13" s="5">
        <f t="shared" si="1"/>
        <v>0</v>
      </c>
      <c r="AL13" s="5">
        <f t="shared" si="1"/>
        <v>0</v>
      </c>
      <c r="AM13" s="6">
        <f t="shared" si="2"/>
        <v>3.4999999999999964</v>
      </c>
    </row>
    <row r="14" spans="1:39" x14ac:dyDescent="0.25">
      <c r="A14" s="4" t="s">
        <v>190</v>
      </c>
      <c r="B14" s="4" t="s">
        <v>191</v>
      </c>
      <c r="C14" s="4" t="s">
        <v>167</v>
      </c>
      <c r="D14" s="5">
        <v>15</v>
      </c>
      <c r="E14" s="6">
        <v>33</v>
      </c>
      <c r="F14" s="6">
        <v>24</v>
      </c>
      <c r="G14" s="6"/>
      <c r="H14" s="6">
        <v>22.5</v>
      </c>
      <c r="I14" s="6">
        <v>40.5</v>
      </c>
      <c r="J14" s="6"/>
      <c r="K14" s="6">
        <v>37.5</v>
      </c>
      <c r="L14" s="6">
        <v>33</v>
      </c>
      <c r="M14" s="6">
        <v>24</v>
      </c>
      <c r="N14" s="6"/>
      <c r="O14" s="3"/>
      <c r="P14" s="3"/>
      <c r="Q14" s="3"/>
      <c r="R14" s="3"/>
      <c r="S14" s="6">
        <f t="shared" si="0"/>
        <v>229.5</v>
      </c>
      <c r="T14">
        <v>1</v>
      </c>
      <c r="U14" s="4" t="s">
        <v>190</v>
      </c>
      <c r="V14" s="4" t="s">
        <v>191</v>
      </c>
      <c r="W14" s="4" t="s">
        <v>167</v>
      </c>
      <c r="X14" s="5">
        <f t="shared" si="3"/>
        <v>0</v>
      </c>
      <c r="Y14" s="5">
        <f t="shared" si="4"/>
        <v>20</v>
      </c>
      <c r="Z14" s="5">
        <f t="shared" si="4"/>
        <v>0</v>
      </c>
      <c r="AA14" s="5">
        <f t="shared" si="4"/>
        <v>0</v>
      </c>
      <c r="AB14" s="5">
        <f t="shared" si="5"/>
        <v>0</v>
      </c>
      <c r="AC14" s="5">
        <f t="shared" si="5"/>
        <v>26.25</v>
      </c>
      <c r="AD14" s="5">
        <f t="shared" si="5"/>
        <v>0</v>
      </c>
      <c r="AE14" s="5">
        <f t="shared" si="6"/>
        <v>31.25</v>
      </c>
      <c r="AF14" s="5">
        <f t="shared" si="7"/>
        <v>7.5</v>
      </c>
      <c r="AG14" s="5">
        <f t="shared" si="1"/>
        <v>0</v>
      </c>
      <c r="AH14" s="5">
        <f t="shared" si="1"/>
        <v>0</v>
      </c>
      <c r="AI14" s="5">
        <f t="shared" si="1"/>
        <v>0</v>
      </c>
      <c r="AJ14" s="5">
        <f t="shared" si="1"/>
        <v>0</v>
      </c>
      <c r="AK14" s="5">
        <f t="shared" si="1"/>
        <v>0</v>
      </c>
      <c r="AL14" s="5">
        <f t="shared" si="1"/>
        <v>0</v>
      </c>
      <c r="AM14" s="6">
        <f t="shared" si="2"/>
        <v>85</v>
      </c>
    </row>
    <row r="15" spans="1:39" hidden="1" x14ac:dyDescent="0.25">
      <c r="A15" s="4" t="s">
        <v>467</v>
      </c>
      <c r="B15" s="4" t="s">
        <v>468</v>
      </c>
      <c r="C15" s="4" t="s">
        <v>167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3"/>
      <c r="P15" s="3"/>
      <c r="Q15" s="3"/>
      <c r="R15" s="3"/>
      <c r="S15" s="6">
        <f t="shared" si="0"/>
        <v>0</v>
      </c>
      <c r="T15">
        <v>1</v>
      </c>
      <c r="U15" s="4" t="s">
        <v>467</v>
      </c>
      <c r="V15" s="4" t="s">
        <v>468</v>
      </c>
      <c r="W15" s="4" t="s">
        <v>167</v>
      </c>
      <c r="X15" s="5">
        <f t="shared" si="3"/>
        <v>0</v>
      </c>
      <c r="Y15" s="5">
        <f t="shared" si="4"/>
        <v>0</v>
      </c>
      <c r="Z15" s="5">
        <f t="shared" si="4"/>
        <v>0</v>
      </c>
      <c r="AA15" s="5">
        <f t="shared" si="4"/>
        <v>0</v>
      </c>
      <c r="AB15" s="5">
        <f t="shared" si="5"/>
        <v>0</v>
      </c>
      <c r="AC15" s="5">
        <f t="shared" si="5"/>
        <v>0</v>
      </c>
      <c r="AD15" s="5">
        <f t="shared" si="5"/>
        <v>0</v>
      </c>
      <c r="AE15" s="5">
        <f t="shared" si="6"/>
        <v>0</v>
      </c>
      <c r="AF15" s="5">
        <f t="shared" si="7"/>
        <v>0</v>
      </c>
      <c r="AG15" s="5">
        <f t="shared" si="1"/>
        <v>0</v>
      </c>
      <c r="AH15" s="5">
        <f t="shared" si="1"/>
        <v>0</v>
      </c>
      <c r="AI15" s="5">
        <f t="shared" si="1"/>
        <v>0</v>
      </c>
      <c r="AJ15" s="5">
        <f t="shared" si="1"/>
        <v>0</v>
      </c>
      <c r="AK15" s="5">
        <f t="shared" si="1"/>
        <v>0</v>
      </c>
      <c r="AL15" s="5">
        <f t="shared" si="1"/>
        <v>0</v>
      </c>
      <c r="AM15" s="6">
        <f t="shared" si="2"/>
        <v>0</v>
      </c>
    </row>
    <row r="16" spans="1:39" hidden="1" x14ac:dyDescent="0.25">
      <c r="A16" s="4" t="s">
        <v>387</v>
      </c>
      <c r="B16" s="4" t="s">
        <v>388</v>
      </c>
      <c r="C16" s="4" t="s">
        <v>167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5"/>
      <c r="Q16" s="3"/>
      <c r="R16" s="3"/>
      <c r="S16" s="6">
        <f t="shared" si="0"/>
        <v>0</v>
      </c>
      <c r="T16">
        <v>1</v>
      </c>
      <c r="U16" s="4" t="s">
        <v>387</v>
      </c>
      <c r="V16" s="4" t="s">
        <v>388</v>
      </c>
      <c r="W16" s="4" t="s">
        <v>167</v>
      </c>
      <c r="X16" s="5">
        <f t="shared" si="3"/>
        <v>0</v>
      </c>
      <c r="Y16" s="5">
        <f t="shared" si="4"/>
        <v>0</v>
      </c>
      <c r="Z16" s="5">
        <f t="shared" si="4"/>
        <v>0</v>
      </c>
      <c r="AA16" s="5">
        <f t="shared" si="4"/>
        <v>0</v>
      </c>
      <c r="AB16" s="5">
        <f t="shared" si="5"/>
        <v>0</v>
      </c>
      <c r="AC16" s="5">
        <f t="shared" si="5"/>
        <v>0</v>
      </c>
      <c r="AD16" s="5">
        <f t="shared" si="5"/>
        <v>0</v>
      </c>
      <c r="AE16" s="5">
        <f t="shared" si="6"/>
        <v>0</v>
      </c>
      <c r="AF16" s="5">
        <f t="shared" si="7"/>
        <v>0</v>
      </c>
      <c r="AG16" s="5">
        <f t="shared" si="1"/>
        <v>0</v>
      </c>
      <c r="AH16" s="5">
        <f t="shared" si="1"/>
        <v>0</v>
      </c>
      <c r="AI16" s="5">
        <f t="shared" si="1"/>
        <v>0</v>
      </c>
      <c r="AJ16" s="5">
        <f t="shared" si="1"/>
        <v>0</v>
      </c>
      <c r="AK16" s="5">
        <f t="shared" si="1"/>
        <v>0</v>
      </c>
      <c r="AL16" s="5">
        <f t="shared" si="1"/>
        <v>0</v>
      </c>
      <c r="AM16" s="6">
        <f t="shared" si="2"/>
        <v>0</v>
      </c>
    </row>
    <row r="17" spans="1:39" hidden="1" x14ac:dyDescent="0.25">
      <c r="A17" s="4" t="s">
        <v>465</v>
      </c>
      <c r="B17" s="4" t="s">
        <v>466</v>
      </c>
      <c r="C17" s="4" t="s">
        <v>167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3"/>
      <c r="R17" s="3"/>
      <c r="S17" s="6">
        <f t="shared" si="0"/>
        <v>0</v>
      </c>
      <c r="T17">
        <v>1</v>
      </c>
      <c r="U17" s="4" t="s">
        <v>465</v>
      </c>
      <c r="V17" s="4" t="s">
        <v>466</v>
      </c>
      <c r="W17" s="4" t="s">
        <v>167</v>
      </c>
      <c r="X17" s="5">
        <f t="shared" si="3"/>
        <v>0</v>
      </c>
      <c r="Y17" s="5">
        <f t="shared" si="4"/>
        <v>0</v>
      </c>
      <c r="Z17" s="5">
        <f t="shared" si="4"/>
        <v>0</v>
      </c>
      <c r="AA17" s="5">
        <f t="shared" si="4"/>
        <v>0</v>
      </c>
      <c r="AB17" s="5">
        <f t="shared" si="5"/>
        <v>0</v>
      </c>
      <c r="AC17" s="5">
        <f t="shared" si="5"/>
        <v>0</v>
      </c>
      <c r="AD17" s="5">
        <f t="shared" si="5"/>
        <v>0</v>
      </c>
      <c r="AE17" s="5">
        <f t="shared" si="6"/>
        <v>0</v>
      </c>
      <c r="AF17" s="5">
        <f t="shared" si="7"/>
        <v>0</v>
      </c>
      <c r="AG17" s="5">
        <f t="shared" si="1"/>
        <v>0</v>
      </c>
      <c r="AH17" s="5">
        <f t="shared" si="1"/>
        <v>0</v>
      </c>
      <c r="AI17" s="5">
        <f t="shared" si="1"/>
        <v>0</v>
      </c>
      <c r="AJ17" s="5">
        <f t="shared" si="1"/>
        <v>0</v>
      </c>
      <c r="AK17" s="5">
        <f t="shared" si="1"/>
        <v>0</v>
      </c>
      <c r="AL17" s="5">
        <f t="shared" si="1"/>
        <v>0</v>
      </c>
      <c r="AM17" s="6">
        <f t="shared" si="2"/>
        <v>0</v>
      </c>
    </row>
    <row r="18" spans="1:39" x14ac:dyDescent="0.25">
      <c r="A18" s="4" t="s">
        <v>192</v>
      </c>
      <c r="B18" s="4" t="s">
        <v>193</v>
      </c>
      <c r="C18" s="4" t="s">
        <v>167</v>
      </c>
      <c r="D18" s="5">
        <v>24</v>
      </c>
      <c r="E18" s="6">
        <v>39.6</v>
      </c>
      <c r="F18" s="6">
        <v>28.5</v>
      </c>
      <c r="G18" s="6"/>
      <c r="H18" s="6"/>
      <c r="I18" s="6">
        <v>48</v>
      </c>
      <c r="J18" s="6">
        <v>45</v>
      </c>
      <c r="K18" s="6"/>
      <c r="L18" s="6"/>
      <c r="M18" s="6"/>
      <c r="N18" s="6"/>
      <c r="O18" s="3"/>
      <c r="P18" s="3"/>
      <c r="Q18" s="3"/>
      <c r="R18" s="3"/>
      <c r="S18" s="6">
        <f t="shared" si="0"/>
        <v>185.1</v>
      </c>
      <c r="T18">
        <v>1</v>
      </c>
      <c r="U18" s="4" t="s">
        <v>192</v>
      </c>
      <c r="V18" s="4" t="s">
        <v>193</v>
      </c>
      <c r="W18" s="4" t="s">
        <v>167</v>
      </c>
      <c r="X18" s="5">
        <f t="shared" si="3"/>
        <v>0</v>
      </c>
      <c r="Y18" s="5">
        <f t="shared" si="4"/>
        <v>36.5</v>
      </c>
      <c r="Z18" s="5">
        <f t="shared" si="4"/>
        <v>8.75</v>
      </c>
      <c r="AA18" s="5">
        <f t="shared" si="4"/>
        <v>0</v>
      </c>
      <c r="AB18" s="5">
        <f t="shared" si="5"/>
        <v>0</v>
      </c>
      <c r="AC18" s="5">
        <f t="shared" si="5"/>
        <v>45</v>
      </c>
      <c r="AD18" s="5">
        <f t="shared" si="5"/>
        <v>37.5</v>
      </c>
      <c r="AE18" s="5">
        <f t="shared" si="6"/>
        <v>0</v>
      </c>
      <c r="AF18" s="5">
        <f t="shared" si="7"/>
        <v>0</v>
      </c>
      <c r="AG18" s="5">
        <f t="shared" si="7"/>
        <v>0</v>
      </c>
      <c r="AH18" s="5">
        <f t="shared" si="7"/>
        <v>0</v>
      </c>
      <c r="AI18" s="5">
        <f t="shared" si="7"/>
        <v>0</v>
      </c>
      <c r="AJ18" s="5">
        <f t="shared" si="7"/>
        <v>0</v>
      </c>
      <c r="AK18" s="5">
        <f t="shared" si="7"/>
        <v>0</v>
      </c>
      <c r="AL18" s="5">
        <f t="shared" si="7"/>
        <v>0</v>
      </c>
      <c r="AM18" s="6">
        <f t="shared" si="2"/>
        <v>127.75</v>
      </c>
    </row>
    <row r="19" spans="1:39" x14ac:dyDescent="0.25">
      <c r="A19" s="4" t="s">
        <v>194</v>
      </c>
      <c r="B19" s="4" t="s">
        <v>195</v>
      </c>
      <c r="C19" s="4" t="s">
        <v>167</v>
      </c>
      <c r="D19" s="5">
        <v>27</v>
      </c>
      <c r="E19" s="6">
        <v>35.200000000000003</v>
      </c>
      <c r="F19" s="6">
        <v>22.5</v>
      </c>
      <c r="G19" s="6">
        <v>21</v>
      </c>
      <c r="H19" s="6">
        <v>18</v>
      </c>
      <c r="I19" s="6">
        <v>49.5</v>
      </c>
      <c r="J19" s="6">
        <v>33</v>
      </c>
      <c r="K19" s="6">
        <v>30</v>
      </c>
      <c r="L19" s="6">
        <v>42</v>
      </c>
      <c r="M19" s="6">
        <v>30</v>
      </c>
      <c r="N19" s="6"/>
      <c r="O19" s="3"/>
      <c r="P19" s="3"/>
      <c r="Q19" s="3"/>
      <c r="R19" s="3"/>
      <c r="S19" s="6">
        <f t="shared" si="0"/>
        <v>308.2</v>
      </c>
      <c r="T19">
        <v>1</v>
      </c>
      <c r="U19" s="4" t="s">
        <v>194</v>
      </c>
      <c r="V19" s="4" t="s">
        <v>195</v>
      </c>
      <c r="W19" s="4" t="s">
        <v>167</v>
      </c>
      <c r="X19" s="5">
        <f t="shared" si="3"/>
        <v>0</v>
      </c>
      <c r="Y19" s="5">
        <f t="shared" si="4"/>
        <v>25.500000000000007</v>
      </c>
      <c r="Z19" s="5">
        <f t="shared" si="4"/>
        <v>0</v>
      </c>
      <c r="AA19" s="5">
        <f t="shared" si="4"/>
        <v>0</v>
      </c>
      <c r="AB19" s="5">
        <f t="shared" si="5"/>
        <v>0</v>
      </c>
      <c r="AC19" s="5">
        <f t="shared" si="5"/>
        <v>48.75</v>
      </c>
      <c r="AD19" s="5">
        <f t="shared" si="5"/>
        <v>7.5</v>
      </c>
      <c r="AE19" s="5">
        <f t="shared" si="6"/>
        <v>12.5</v>
      </c>
      <c r="AF19" s="5">
        <f t="shared" si="7"/>
        <v>30</v>
      </c>
      <c r="AG19" s="5">
        <f t="shared" si="7"/>
        <v>0</v>
      </c>
      <c r="AH19" s="5">
        <f t="shared" si="7"/>
        <v>0</v>
      </c>
      <c r="AI19" s="5">
        <f t="shared" si="7"/>
        <v>0</v>
      </c>
      <c r="AJ19" s="5">
        <f t="shared" si="7"/>
        <v>0</v>
      </c>
      <c r="AK19" s="5">
        <f t="shared" si="7"/>
        <v>0</v>
      </c>
      <c r="AL19" s="5">
        <f t="shared" si="7"/>
        <v>0</v>
      </c>
      <c r="AM19" s="6">
        <f t="shared" si="2"/>
        <v>124.25</v>
      </c>
    </row>
    <row r="20" spans="1:39" x14ac:dyDescent="0.25">
      <c r="A20" s="4" t="s">
        <v>196</v>
      </c>
      <c r="B20" s="4" t="s">
        <v>197</v>
      </c>
      <c r="C20" s="4" t="s">
        <v>167</v>
      </c>
      <c r="D20" s="5">
        <v>30</v>
      </c>
      <c r="E20" s="6">
        <v>37.400000000000006</v>
      </c>
      <c r="F20" s="6">
        <v>27</v>
      </c>
      <c r="G20" s="6"/>
      <c r="H20" s="6">
        <v>19.5</v>
      </c>
      <c r="I20" s="6">
        <v>42</v>
      </c>
      <c r="J20" s="6">
        <v>36</v>
      </c>
      <c r="K20" s="6">
        <v>37.5</v>
      </c>
      <c r="L20" s="6">
        <v>36</v>
      </c>
      <c r="M20" s="6">
        <v>34.5</v>
      </c>
      <c r="N20" s="6"/>
      <c r="O20" s="3"/>
      <c r="P20" s="3"/>
      <c r="Q20" s="3"/>
      <c r="R20" s="3"/>
      <c r="S20" s="6">
        <f t="shared" si="0"/>
        <v>299.89999999999998</v>
      </c>
      <c r="T20">
        <v>1</v>
      </c>
      <c r="U20" s="4" t="s">
        <v>196</v>
      </c>
      <c r="V20" s="4" t="s">
        <v>197</v>
      </c>
      <c r="W20" s="4" t="s">
        <v>167</v>
      </c>
      <c r="X20" s="5">
        <f t="shared" si="3"/>
        <v>0</v>
      </c>
      <c r="Y20" s="5">
        <f t="shared" si="4"/>
        <v>31.000000000000014</v>
      </c>
      <c r="Z20" s="5">
        <f t="shared" si="4"/>
        <v>5</v>
      </c>
      <c r="AA20" s="5">
        <f t="shared" si="4"/>
        <v>0</v>
      </c>
      <c r="AB20" s="5">
        <f t="shared" si="5"/>
        <v>0</v>
      </c>
      <c r="AC20" s="5">
        <f t="shared" si="5"/>
        <v>30</v>
      </c>
      <c r="AD20" s="5">
        <f t="shared" si="5"/>
        <v>15</v>
      </c>
      <c r="AE20" s="5">
        <f t="shared" si="6"/>
        <v>31.25</v>
      </c>
      <c r="AF20" s="5">
        <f t="shared" si="7"/>
        <v>15</v>
      </c>
      <c r="AG20" s="5">
        <f t="shared" si="7"/>
        <v>11.25</v>
      </c>
      <c r="AH20" s="5">
        <f t="shared" si="7"/>
        <v>0</v>
      </c>
      <c r="AI20" s="5">
        <f t="shared" si="7"/>
        <v>0</v>
      </c>
      <c r="AJ20" s="5">
        <f t="shared" si="7"/>
        <v>0</v>
      </c>
      <c r="AK20" s="5">
        <f t="shared" si="7"/>
        <v>0</v>
      </c>
      <c r="AL20" s="5">
        <f t="shared" si="7"/>
        <v>0</v>
      </c>
      <c r="AM20" s="6">
        <f t="shared" si="2"/>
        <v>138.5</v>
      </c>
    </row>
    <row r="21" spans="1:39" hidden="1" x14ac:dyDescent="0.25">
      <c r="A21" s="4" t="s">
        <v>198</v>
      </c>
      <c r="B21" s="4" t="s">
        <v>199</v>
      </c>
      <c r="C21" s="4" t="s">
        <v>167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6">
        <f t="shared" si="0"/>
        <v>0</v>
      </c>
      <c r="T21">
        <v>1</v>
      </c>
      <c r="U21" s="4" t="s">
        <v>198</v>
      </c>
      <c r="V21" s="4" t="s">
        <v>199</v>
      </c>
      <c r="W21" s="4" t="s">
        <v>167</v>
      </c>
      <c r="X21" s="5">
        <f t="shared" si="3"/>
        <v>0</v>
      </c>
      <c r="Y21" s="5">
        <f t="shared" si="4"/>
        <v>0</v>
      </c>
      <c r="Z21" s="5">
        <f t="shared" si="4"/>
        <v>0</v>
      </c>
      <c r="AA21" s="5">
        <f t="shared" si="4"/>
        <v>0</v>
      </c>
      <c r="AB21" s="5">
        <f t="shared" si="5"/>
        <v>0</v>
      </c>
      <c r="AC21" s="5">
        <f t="shared" si="5"/>
        <v>0</v>
      </c>
      <c r="AD21" s="5">
        <f t="shared" si="5"/>
        <v>0</v>
      </c>
      <c r="AE21" s="5">
        <f t="shared" si="6"/>
        <v>0</v>
      </c>
      <c r="AF21" s="5">
        <f t="shared" si="7"/>
        <v>0</v>
      </c>
      <c r="AG21" s="5">
        <f t="shared" si="7"/>
        <v>0</v>
      </c>
      <c r="AH21" s="5">
        <f t="shared" si="7"/>
        <v>0</v>
      </c>
      <c r="AI21" s="5">
        <f t="shared" si="7"/>
        <v>0</v>
      </c>
      <c r="AJ21" s="5">
        <f t="shared" si="7"/>
        <v>0</v>
      </c>
      <c r="AK21" s="5">
        <f t="shared" si="7"/>
        <v>0</v>
      </c>
      <c r="AL21" s="5">
        <f t="shared" si="7"/>
        <v>0</v>
      </c>
      <c r="AM21" s="6">
        <f t="shared" si="2"/>
        <v>0</v>
      </c>
    </row>
    <row r="22" spans="1:39" x14ac:dyDescent="0.25">
      <c r="A22" s="4" t="s">
        <v>200</v>
      </c>
      <c r="B22" s="4" t="s">
        <v>201</v>
      </c>
      <c r="C22" s="4" t="s">
        <v>167</v>
      </c>
      <c r="D22" s="5">
        <v>18</v>
      </c>
      <c r="E22" s="6"/>
      <c r="F22" s="6"/>
      <c r="G22" s="6"/>
      <c r="H22" s="6"/>
      <c r="I22" s="6">
        <v>21</v>
      </c>
      <c r="J22" s="6">
        <v>3</v>
      </c>
      <c r="K22" s="6"/>
      <c r="L22" s="6">
        <v>27</v>
      </c>
      <c r="M22" s="6"/>
      <c r="N22" s="6"/>
      <c r="O22" s="3"/>
      <c r="P22" s="3"/>
      <c r="Q22" s="3"/>
      <c r="R22" s="3"/>
      <c r="S22" s="6">
        <f t="shared" si="0"/>
        <v>69</v>
      </c>
      <c r="T22">
        <v>1</v>
      </c>
      <c r="U22" s="4" t="s">
        <v>200</v>
      </c>
      <c r="V22" s="4" t="s">
        <v>201</v>
      </c>
      <c r="W22" s="4" t="s">
        <v>167</v>
      </c>
      <c r="X22" s="5">
        <f t="shared" si="3"/>
        <v>0</v>
      </c>
      <c r="Y22" s="5">
        <f t="shared" si="4"/>
        <v>0</v>
      </c>
      <c r="Z22" s="5">
        <f t="shared" si="4"/>
        <v>0</v>
      </c>
      <c r="AA22" s="5">
        <f t="shared" si="4"/>
        <v>0</v>
      </c>
      <c r="AB22" s="5">
        <f t="shared" si="5"/>
        <v>0</v>
      </c>
      <c r="AC22" s="5">
        <f t="shared" si="5"/>
        <v>0</v>
      </c>
      <c r="AD22" s="5">
        <f t="shared" si="5"/>
        <v>0</v>
      </c>
      <c r="AE22" s="5">
        <f t="shared" si="6"/>
        <v>0</v>
      </c>
      <c r="AF22" s="5">
        <f t="shared" si="7"/>
        <v>0</v>
      </c>
      <c r="AG22" s="5">
        <f t="shared" si="7"/>
        <v>0</v>
      </c>
      <c r="AH22" s="5">
        <f t="shared" si="7"/>
        <v>0</v>
      </c>
      <c r="AI22" s="5">
        <f t="shared" si="7"/>
        <v>0</v>
      </c>
      <c r="AJ22" s="5">
        <f t="shared" si="7"/>
        <v>0</v>
      </c>
      <c r="AK22" s="5">
        <f t="shared" si="7"/>
        <v>0</v>
      </c>
      <c r="AL22" s="5">
        <f t="shared" si="7"/>
        <v>0</v>
      </c>
      <c r="AM22" s="6">
        <f t="shared" si="2"/>
        <v>0</v>
      </c>
    </row>
    <row r="23" spans="1:39" x14ac:dyDescent="0.25">
      <c r="A23" s="4" t="s">
        <v>202</v>
      </c>
      <c r="B23" s="4" t="s">
        <v>203</v>
      </c>
      <c r="C23" s="4" t="s">
        <v>167</v>
      </c>
      <c r="D23" s="5">
        <v>21</v>
      </c>
      <c r="E23" s="6">
        <v>46.2</v>
      </c>
      <c r="F23" s="6">
        <v>37.5</v>
      </c>
      <c r="G23" s="6">
        <v>30</v>
      </c>
      <c r="H23" s="6">
        <v>7.5</v>
      </c>
      <c r="I23" s="6">
        <v>45</v>
      </c>
      <c r="J23" s="6"/>
      <c r="K23" s="6"/>
      <c r="L23" s="6"/>
      <c r="M23" s="6"/>
      <c r="N23" s="6"/>
      <c r="O23" s="3"/>
      <c r="P23" s="3"/>
      <c r="Q23" s="3"/>
      <c r="R23" s="3"/>
      <c r="S23" s="6">
        <f t="shared" si="0"/>
        <v>187.2</v>
      </c>
      <c r="T23">
        <v>1</v>
      </c>
      <c r="U23" s="4" t="s">
        <v>202</v>
      </c>
      <c r="V23" s="4" t="s">
        <v>203</v>
      </c>
      <c r="W23" s="4" t="s">
        <v>167</v>
      </c>
      <c r="X23" s="5">
        <f t="shared" si="3"/>
        <v>0</v>
      </c>
      <c r="Y23" s="5">
        <f t="shared" si="4"/>
        <v>53.000000000000007</v>
      </c>
      <c r="Z23" s="5">
        <f t="shared" si="4"/>
        <v>31.25</v>
      </c>
      <c r="AA23" s="5">
        <f t="shared" si="4"/>
        <v>12.5</v>
      </c>
      <c r="AB23" s="5">
        <f t="shared" si="5"/>
        <v>0</v>
      </c>
      <c r="AC23" s="5">
        <f t="shared" si="5"/>
        <v>37.5</v>
      </c>
      <c r="AD23" s="5">
        <f t="shared" si="5"/>
        <v>0</v>
      </c>
      <c r="AE23" s="5">
        <f t="shared" si="6"/>
        <v>0</v>
      </c>
      <c r="AF23" s="5">
        <f t="shared" si="7"/>
        <v>0</v>
      </c>
      <c r="AG23" s="5">
        <f t="shared" si="7"/>
        <v>0</v>
      </c>
      <c r="AH23" s="5">
        <f t="shared" si="7"/>
        <v>0</v>
      </c>
      <c r="AI23" s="5">
        <f t="shared" si="7"/>
        <v>0</v>
      </c>
      <c r="AJ23" s="5">
        <f t="shared" si="7"/>
        <v>0</v>
      </c>
      <c r="AK23" s="5">
        <f t="shared" si="7"/>
        <v>0</v>
      </c>
      <c r="AL23" s="5">
        <f t="shared" si="7"/>
        <v>0</v>
      </c>
      <c r="AM23" s="6">
        <f t="shared" si="2"/>
        <v>134.25</v>
      </c>
    </row>
    <row r="24" spans="1:39" x14ac:dyDescent="0.25">
      <c r="A24" s="4" t="s">
        <v>204</v>
      </c>
      <c r="B24" s="4" t="s">
        <v>205</v>
      </c>
      <c r="C24" s="4" t="s">
        <v>167</v>
      </c>
      <c r="D24" s="5">
        <v>33</v>
      </c>
      <c r="E24" s="6"/>
      <c r="F24" s="6">
        <v>37.5</v>
      </c>
      <c r="G24" s="6">
        <v>31.5</v>
      </c>
      <c r="H24" s="6">
        <v>34.5</v>
      </c>
      <c r="I24" s="6">
        <v>49.5</v>
      </c>
      <c r="J24" s="6">
        <v>51</v>
      </c>
      <c r="K24" s="6">
        <v>45</v>
      </c>
      <c r="L24" s="6">
        <v>36</v>
      </c>
      <c r="M24" s="6">
        <v>34.5</v>
      </c>
      <c r="N24" s="6"/>
      <c r="O24" s="3"/>
      <c r="P24" s="3"/>
      <c r="Q24" s="3"/>
      <c r="R24" s="3"/>
      <c r="S24" s="6">
        <f t="shared" si="0"/>
        <v>352.5</v>
      </c>
      <c r="T24">
        <v>1</v>
      </c>
      <c r="U24" s="4" t="s">
        <v>204</v>
      </c>
      <c r="V24" s="4" t="s">
        <v>205</v>
      </c>
      <c r="W24" s="4" t="s">
        <v>167</v>
      </c>
      <c r="X24" s="5">
        <f t="shared" si="3"/>
        <v>7.5</v>
      </c>
      <c r="Y24" s="5">
        <f t="shared" si="4"/>
        <v>0</v>
      </c>
      <c r="Z24" s="5">
        <f t="shared" si="4"/>
        <v>31.25</v>
      </c>
      <c r="AA24" s="5">
        <f t="shared" si="4"/>
        <v>16.25</v>
      </c>
      <c r="AB24" s="5">
        <f t="shared" si="5"/>
        <v>11.25</v>
      </c>
      <c r="AC24" s="5">
        <f t="shared" si="5"/>
        <v>48.75</v>
      </c>
      <c r="AD24" s="5">
        <f t="shared" si="5"/>
        <v>52.5</v>
      </c>
      <c r="AE24" s="5">
        <f t="shared" si="6"/>
        <v>50</v>
      </c>
      <c r="AF24" s="5">
        <f t="shared" si="7"/>
        <v>15</v>
      </c>
      <c r="AG24" s="5">
        <f t="shared" si="7"/>
        <v>11.25</v>
      </c>
      <c r="AH24" s="5">
        <f t="shared" si="7"/>
        <v>0</v>
      </c>
      <c r="AI24" s="5">
        <f t="shared" si="7"/>
        <v>0</v>
      </c>
      <c r="AJ24" s="5">
        <f t="shared" si="7"/>
        <v>0</v>
      </c>
      <c r="AK24" s="5">
        <f t="shared" si="7"/>
        <v>0</v>
      </c>
      <c r="AL24" s="5">
        <f t="shared" si="7"/>
        <v>0</v>
      </c>
      <c r="AM24" s="6">
        <f t="shared" si="2"/>
        <v>243.75</v>
      </c>
    </row>
    <row r="25" spans="1:39" x14ac:dyDescent="0.25">
      <c r="A25" s="4" t="s">
        <v>206</v>
      </c>
      <c r="B25" s="4" t="s">
        <v>207</v>
      </c>
      <c r="C25" s="4" t="s">
        <v>167</v>
      </c>
      <c r="D25" s="5"/>
      <c r="E25" s="6">
        <v>39.6</v>
      </c>
      <c r="F25" s="6">
        <v>34.5</v>
      </c>
      <c r="G25" s="6">
        <v>27</v>
      </c>
      <c r="H25" s="6"/>
      <c r="I25" s="6"/>
      <c r="J25" s="6">
        <v>42</v>
      </c>
      <c r="K25" s="6"/>
      <c r="L25" s="6"/>
      <c r="M25" s="6"/>
      <c r="N25" s="6"/>
      <c r="O25" s="3"/>
      <c r="P25" s="3"/>
      <c r="Q25" s="3"/>
      <c r="R25" s="3"/>
      <c r="S25" s="6">
        <f t="shared" si="0"/>
        <v>143.1</v>
      </c>
      <c r="T25">
        <v>1</v>
      </c>
      <c r="U25" s="4" t="s">
        <v>206</v>
      </c>
      <c r="V25" s="4" t="s">
        <v>207</v>
      </c>
      <c r="W25" s="4" t="s">
        <v>167</v>
      </c>
      <c r="X25" s="5">
        <f t="shared" si="3"/>
        <v>0</v>
      </c>
      <c r="Y25" s="5">
        <f t="shared" si="4"/>
        <v>36.5</v>
      </c>
      <c r="Z25" s="5">
        <f t="shared" si="4"/>
        <v>23.75</v>
      </c>
      <c r="AA25" s="5">
        <f t="shared" si="4"/>
        <v>5</v>
      </c>
      <c r="AB25" s="5">
        <f t="shared" si="5"/>
        <v>0</v>
      </c>
      <c r="AC25" s="5">
        <f t="shared" si="5"/>
        <v>0</v>
      </c>
      <c r="AD25" s="5">
        <f t="shared" si="5"/>
        <v>30</v>
      </c>
      <c r="AE25" s="5">
        <f t="shared" si="6"/>
        <v>0</v>
      </c>
      <c r="AF25" s="5">
        <f t="shared" si="7"/>
        <v>0</v>
      </c>
      <c r="AG25" s="5">
        <f t="shared" si="7"/>
        <v>0</v>
      </c>
      <c r="AH25" s="5">
        <f t="shared" si="7"/>
        <v>0</v>
      </c>
      <c r="AI25" s="5">
        <f t="shared" si="7"/>
        <v>0</v>
      </c>
      <c r="AJ25" s="5">
        <f t="shared" si="7"/>
        <v>0</v>
      </c>
      <c r="AK25" s="5">
        <f t="shared" si="7"/>
        <v>0</v>
      </c>
      <c r="AL25" s="5">
        <f t="shared" si="7"/>
        <v>0</v>
      </c>
      <c r="AM25" s="6">
        <f t="shared" si="2"/>
        <v>95.25</v>
      </c>
    </row>
    <row r="26" spans="1:39" x14ac:dyDescent="0.25">
      <c r="A26" s="4" t="s">
        <v>208</v>
      </c>
      <c r="B26" s="4" t="s">
        <v>209</v>
      </c>
      <c r="C26" s="4" t="s">
        <v>167</v>
      </c>
      <c r="D26" s="5">
        <v>48</v>
      </c>
      <c r="E26" s="6">
        <v>19.800000000000004</v>
      </c>
      <c r="F26" s="6">
        <v>27</v>
      </c>
      <c r="G26" s="6"/>
      <c r="H26" s="6"/>
      <c r="I26" s="6"/>
      <c r="J26" s="6">
        <v>42</v>
      </c>
      <c r="K26" s="6">
        <v>45</v>
      </c>
      <c r="L26" s="6">
        <v>33</v>
      </c>
      <c r="M26" s="6">
        <v>39</v>
      </c>
      <c r="N26" s="6"/>
      <c r="O26" s="3"/>
      <c r="P26" s="3"/>
      <c r="Q26" s="3"/>
      <c r="R26" s="3"/>
      <c r="S26" s="6">
        <f t="shared" si="0"/>
        <v>253.8</v>
      </c>
      <c r="T26">
        <v>1</v>
      </c>
      <c r="U26" s="4" t="s">
        <v>208</v>
      </c>
      <c r="V26" s="4" t="s">
        <v>209</v>
      </c>
      <c r="W26" s="4" t="s">
        <v>167</v>
      </c>
      <c r="X26" s="5">
        <f t="shared" si="3"/>
        <v>45</v>
      </c>
      <c r="Y26" s="5">
        <f t="shared" si="4"/>
        <v>0</v>
      </c>
      <c r="Z26" s="5">
        <f t="shared" si="4"/>
        <v>5</v>
      </c>
      <c r="AA26" s="5">
        <f t="shared" si="4"/>
        <v>0</v>
      </c>
      <c r="AB26" s="5">
        <f t="shared" si="5"/>
        <v>0</v>
      </c>
      <c r="AC26" s="5">
        <f t="shared" si="5"/>
        <v>0</v>
      </c>
      <c r="AD26" s="5">
        <f t="shared" si="5"/>
        <v>30</v>
      </c>
      <c r="AE26" s="5">
        <f t="shared" si="6"/>
        <v>50</v>
      </c>
      <c r="AF26" s="5">
        <f t="shared" si="7"/>
        <v>7.5</v>
      </c>
      <c r="AG26" s="5">
        <f t="shared" si="7"/>
        <v>22.5</v>
      </c>
      <c r="AH26" s="5">
        <f t="shared" si="7"/>
        <v>0</v>
      </c>
      <c r="AI26" s="5">
        <f t="shared" si="7"/>
        <v>0</v>
      </c>
      <c r="AJ26" s="5">
        <f t="shared" si="7"/>
        <v>0</v>
      </c>
      <c r="AK26" s="5">
        <f t="shared" si="7"/>
        <v>0</v>
      </c>
      <c r="AL26" s="5">
        <f t="shared" si="7"/>
        <v>0</v>
      </c>
      <c r="AM26" s="6">
        <f t="shared" si="2"/>
        <v>160</v>
      </c>
    </row>
    <row r="27" spans="1:39" x14ac:dyDescent="0.25">
      <c r="A27" s="4" t="s">
        <v>210</v>
      </c>
      <c r="B27" s="4" t="s">
        <v>211</v>
      </c>
      <c r="C27" s="4" t="s">
        <v>167</v>
      </c>
      <c r="D27" s="5">
        <v>45</v>
      </c>
      <c r="E27" s="6">
        <v>30.800000000000004</v>
      </c>
      <c r="F27" s="6">
        <v>30</v>
      </c>
      <c r="G27" s="6">
        <v>28.5</v>
      </c>
      <c r="H27" s="6">
        <v>27</v>
      </c>
      <c r="I27" s="6">
        <v>37.5</v>
      </c>
      <c r="J27" s="6">
        <v>45</v>
      </c>
      <c r="K27" s="6">
        <v>37.5</v>
      </c>
      <c r="L27" s="6">
        <v>36</v>
      </c>
      <c r="M27" s="6">
        <v>31.5</v>
      </c>
      <c r="N27" s="6"/>
      <c r="O27" s="3"/>
      <c r="P27" s="3"/>
      <c r="Q27" s="3"/>
      <c r="R27" s="3"/>
      <c r="S27" s="6">
        <f t="shared" si="0"/>
        <v>348.8</v>
      </c>
      <c r="T27">
        <v>1</v>
      </c>
      <c r="U27" s="4" t="s">
        <v>210</v>
      </c>
      <c r="V27" s="4" t="s">
        <v>211</v>
      </c>
      <c r="W27" s="4" t="s">
        <v>167</v>
      </c>
      <c r="X27" s="5">
        <f t="shared" si="3"/>
        <v>37.5</v>
      </c>
      <c r="Y27" s="5">
        <f t="shared" si="4"/>
        <v>14.500000000000011</v>
      </c>
      <c r="Z27" s="5">
        <f t="shared" si="4"/>
        <v>12.5</v>
      </c>
      <c r="AA27" s="5">
        <f t="shared" si="4"/>
        <v>8.75</v>
      </c>
      <c r="AB27" s="5">
        <f t="shared" si="5"/>
        <v>0</v>
      </c>
      <c r="AC27" s="5">
        <f t="shared" si="5"/>
        <v>18.75</v>
      </c>
      <c r="AD27" s="5">
        <f t="shared" si="5"/>
        <v>37.5</v>
      </c>
      <c r="AE27" s="5">
        <f t="shared" si="6"/>
        <v>31.25</v>
      </c>
      <c r="AF27" s="5">
        <f t="shared" si="7"/>
        <v>15</v>
      </c>
      <c r="AG27" s="5">
        <f t="shared" si="7"/>
        <v>3.75</v>
      </c>
      <c r="AH27" s="5">
        <f t="shared" si="7"/>
        <v>0</v>
      </c>
      <c r="AI27" s="5">
        <f t="shared" si="7"/>
        <v>0</v>
      </c>
      <c r="AJ27" s="5">
        <f t="shared" si="7"/>
        <v>0</v>
      </c>
      <c r="AK27" s="5">
        <f t="shared" si="7"/>
        <v>0</v>
      </c>
      <c r="AL27" s="5">
        <f t="shared" si="7"/>
        <v>0</v>
      </c>
      <c r="AM27" s="6">
        <f t="shared" si="2"/>
        <v>179.5</v>
      </c>
    </row>
    <row r="28" spans="1:39" x14ac:dyDescent="0.25">
      <c r="A28" s="4" t="s">
        <v>212</v>
      </c>
      <c r="B28" s="4" t="s">
        <v>213</v>
      </c>
      <c r="C28" s="4" t="s">
        <v>167</v>
      </c>
      <c r="D28" s="5">
        <v>42</v>
      </c>
      <c r="E28" s="6">
        <v>37.400000000000006</v>
      </c>
      <c r="F28" s="6">
        <v>27</v>
      </c>
      <c r="G28" s="6">
        <v>33</v>
      </c>
      <c r="H28" s="6">
        <v>22.5</v>
      </c>
      <c r="I28" s="6">
        <v>49.5</v>
      </c>
      <c r="J28" s="6">
        <v>45</v>
      </c>
      <c r="K28" s="6"/>
      <c r="L28" s="6">
        <v>45</v>
      </c>
      <c r="M28" s="6">
        <v>48</v>
      </c>
      <c r="N28" s="6"/>
      <c r="O28" s="3"/>
      <c r="P28" s="3"/>
      <c r="Q28" s="3"/>
      <c r="R28" s="3"/>
      <c r="S28" s="6">
        <f t="shared" si="0"/>
        <v>349.4</v>
      </c>
      <c r="T28">
        <v>1</v>
      </c>
      <c r="U28" s="4" t="s">
        <v>212</v>
      </c>
      <c r="V28" s="4" t="s">
        <v>213</v>
      </c>
      <c r="W28" s="4" t="s">
        <v>167</v>
      </c>
      <c r="X28" s="5">
        <f t="shared" si="3"/>
        <v>30</v>
      </c>
      <c r="Y28" s="5">
        <f t="shared" si="4"/>
        <v>31.000000000000014</v>
      </c>
      <c r="Z28" s="5">
        <f t="shared" si="4"/>
        <v>5</v>
      </c>
      <c r="AA28" s="5">
        <f t="shared" si="4"/>
        <v>20</v>
      </c>
      <c r="AB28" s="5">
        <f t="shared" si="5"/>
        <v>0</v>
      </c>
      <c r="AC28" s="5">
        <f t="shared" si="5"/>
        <v>48.75</v>
      </c>
      <c r="AD28" s="5">
        <f t="shared" si="5"/>
        <v>37.5</v>
      </c>
      <c r="AE28" s="5">
        <f t="shared" si="6"/>
        <v>0</v>
      </c>
      <c r="AF28" s="5">
        <f t="shared" si="7"/>
        <v>37.5</v>
      </c>
      <c r="AG28" s="5">
        <f t="shared" si="7"/>
        <v>45</v>
      </c>
      <c r="AH28" s="5">
        <f t="shared" si="7"/>
        <v>0</v>
      </c>
      <c r="AI28" s="5">
        <f t="shared" si="7"/>
        <v>0</v>
      </c>
      <c r="AJ28" s="5">
        <f t="shared" si="7"/>
        <v>0</v>
      </c>
      <c r="AK28" s="5">
        <f t="shared" si="7"/>
        <v>0</v>
      </c>
      <c r="AL28" s="5">
        <f t="shared" si="7"/>
        <v>0</v>
      </c>
      <c r="AM28" s="6">
        <f t="shared" si="2"/>
        <v>254.75</v>
      </c>
    </row>
    <row r="29" spans="1:39" x14ac:dyDescent="0.25">
      <c r="A29" s="4" t="s">
        <v>214</v>
      </c>
      <c r="B29" s="4" t="s">
        <v>215</v>
      </c>
      <c r="C29" s="4" t="s">
        <v>167</v>
      </c>
      <c r="D29" s="5">
        <v>24</v>
      </c>
      <c r="E29" s="6">
        <v>15.400000000000002</v>
      </c>
      <c r="F29" s="6"/>
      <c r="G29" s="6"/>
      <c r="H29" s="6"/>
      <c r="I29" s="6">
        <v>22.5</v>
      </c>
      <c r="J29" s="6"/>
      <c r="K29" s="6"/>
      <c r="L29" s="6"/>
      <c r="M29" s="6"/>
      <c r="N29" s="6"/>
      <c r="O29" s="3"/>
      <c r="P29" s="3"/>
      <c r="Q29" s="3"/>
      <c r="R29" s="3"/>
      <c r="S29" s="6">
        <f t="shared" si="0"/>
        <v>61.900000000000006</v>
      </c>
      <c r="T29">
        <v>1</v>
      </c>
      <c r="U29" s="4" t="s">
        <v>214</v>
      </c>
      <c r="V29" s="4" t="s">
        <v>215</v>
      </c>
      <c r="W29" s="4" t="s">
        <v>167</v>
      </c>
      <c r="X29" s="5">
        <f t="shared" si="3"/>
        <v>0</v>
      </c>
      <c r="Y29" s="5">
        <f t="shared" si="4"/>
        <v>0</v>
      </c>
      <c r="Z29" s="5">
        <f t="shared" si="4"/>
        <v>0</v>
      </c>
      <c r="AA29" s="5">
        <f t="shared" si="4"/>
        <v>0</v>
      </c>
      <c r="AB29" s="5">
        <f t="shared" si="5"/>
        <v>0</v>
      </c>
      <c r="AC29" s="5">
        <f t="shared" si="5"/>
        <v>0</v>
      </c>
      <c r="AD29" s="5">
        <f t="shared" si="5"/>
        <v>0</v>
      </c>
      <c r="AE29" s="5">
        <f t="shared" si="6"/>
        <v>0</v>
      </c>
      <c r="AF29" s="5">
        <f t="shared" si="7"/>
        <v>0</v>
      </c>
      <c r="AG29" s="5">
        <f t="shared" si="7"/>
        <v>0</v>
      </c>
      <c r="AH29" s="5">
        <f t="shared" si="7"/>
        <v>0</v>
      </c>
      <c r="AI29" s="5">
        <f t="shared" si="7"/>
        <v>0</v>
      </c>
      <c r="AJ29" s="5">
        <f t="shared" si="7"/>
        <v>0</v>
      </c>
      <c r="AK29" s="5">
        <f t="shared" si="7"/>
        <v>0</v>
      </c>
      <c r="AL29" s="5">
        <f t="shared" si="7"/>
        <v>0</v>
      </c>
      <c r="AM29" s="6">
        <f t="shared" si="2"/>
        <v>0</v>
      </c>
    </row>
    <row r="30" spans="1:39" x14ac:dyDescent="0.25">
      <c r="A30" s="4" t="s">
        <v>216</v>
      </c>
      <c r="B30" s="4" t="s">
        <v>217</v>
      </c>
      <c r="C30" s="4" t="s">
        <v>167</v>
      </c>
      <c r="D30" s="5">
        <v>45</v>
      </c>
      <c r="E30" s="6">
        <v>52.8</v>
      </c>
      <c r="F30" s="6">
        <v>22.5</v>
      </c>
      <c r="G30" s="6"/>
      <c r="H30" s="6">
        <v>42</v>
      </c>
      <c r="I30" s="6">
        <v>4.5</v>
      </c>
      <c r="J30" s="6"/>
      <c r="K30" s="6"/>
      <c r="L30" s="6">
        <v>36</v>
      </c>
      <c r="M30" s="6">
        <v>42</v>
      </c>
      <c r="N30" s="6"/>
      <c r="O30" s="3"/>
      <c r="P30" s="3"/>
      <c r="Q30" s="3"/>
      <c r="R30" s="3"/>
      <c r="S30" s="6">
        <f t="shared" si="0"/>
        <v>244.8</v>
      </c>
      <c r="T30">
        <v>1</v>
      </c>
      <c r="U30" s="4" t="s">
        <v>216</v>
      </c>
      <c r="V30" s="4" t="s">
        <v>217</v>
      </c>
      <c r="W30" s="4" t="s">
        <v>167</v>
      </c>
      <c r="X30" s="5">
        <f t="shared" si="3"/>
        <v>37.5</v>
      </c>
      <c r="Y30" s="5">
        <f t="shared" si="4"/>
        <v>69.5</v>
      </c>
      <c r="Z30" s="5">
        <f t="shared" si="4"/>
        <v>0</v>
      </c>
      <c r="AA30" s="5">
        <f t="shared" si="4"/>
        <v>0</v>
      </c>
      <c r="AB30" s="5">
        <f t="shared" si="5"/>
        <v>30</v>
      </c>
      <c r="AC30" s="5">
        <f t="shared" si="5"/>
        <v>0</v>
      </c>
      <c r="AD30" s="5">
        <f t="shared" si="5"/>
        <v>0</v>
      </c>
      <c r="AE30" s="5">
        <f t="shared" si="6"/>
        <v>0</v>
      </c>
      <c r="AF30" s="5">
        <f t="shared" si="7"/>
        <v>15</v>
      </c>
      <c r="AG30" s="5">
        <f t="shared" si="7"/>
        <v>30</v>
      </c>
      <c r="AH30" s="5">
        <f t="shared" si="7"/>
        <v>0</v>
      </c>
      <c r="AI30" s="5">
        <f t="shared" si="7"/>
        <v>0</v>
      </c>
      <c r="AJ30" s="5">
        <f t="shared" si="7"/>
        <v>0</v>
      </c>
      <c r="AK30" s="5">
        <f t="shared" si="7"/>
        <v>0</v>
      </c>
      <c r="AL30" s="5">
        <f t="shared" si="7"/>
        <v>0</v>
      </c>
      <c r="AM30" s="6">
        <f t="shared" si="2"/>
        <v>182</v>
      </c>
    </row>
    <row r="31" spans="1:39" x14ac:dyDescent="0.25">
      <c r="A31" s="4" t="s">
        <v>507</v>
      </c>
      <c r="B31" s="4" t="s">
        <v>508</v>
      </c>
      <c r="C31" s="4" t="s">
        <v>167</v>
      </c>
      <c r="D31" s="5"/>
      <c r="E31" s="6"/>
      <c r="F31" s="6"/>
      <c r="G31" s="6"/>
      <c r="H31" s="6">
        <v>18</v>
      </c>
      <c r="I31" s="6">
        <v>31.5</v>
      </c>
      <c r="J31" s="6">
        <v>42</v>
      </c>
      <c r="K31" s="6">
        <v>22.5</v>
      </c>
      <c r="L31" s="6">
        <v>30</v>
      </c>
      <c r="M31" s="6">
        <v>34.5</v>
      </c>
      <c r="N31" s="6"/>
      <c r="O31" s="3"/>
      <c r="P31" s="3"/>
      <c r="Q31" s="3"/>
      <c r="R31" s="3"/>
      <c r="S31" s="6">
        <f t="shared" si="0"/>
        <v>178.5</v>
      </c>
      <c r="T31">
        <v>1</v>
      </c>
      <c r="U31" s="4" t="s">
        <v>507</v>
      </c>
      <c r="V31" s="4" t="s">
        <v>508</v>
      </c>
      <c r="W31" s="4" t="s">
        <v>167</v>
      </c>
      <c r="X31" s="5">
        <f t="shared" si="3"/>
        <v>0</v>
      </c>
      <c r="Y31" s="5">
        <f t="shared" si="4"/>
        <v>0</v>
      </c>
      <c r="Z31" s="5">
        <f t="shared" si="4"/>
        <v>0</v>
      </c>
      <c r="AA31" s="5">
        <f t="shared" si="4"/>
        <v>0</v>
      </c>
      <c r="AB31" s="5">
        <f t="shared" si="5"/>
        <v>0</v>
      </c>
      <c r="AC31" s="5">
        <f t="shared" si="5"/>
        <v>3.75</v>
      </c>
      <c r="AD31" s="5">
        <f t="shared" si="5"/>
        <v>30</v>
      </c>
      <c r="AE31" s="5">
        <f t="shared" si="6"/>
        <v>0</v>
      </c>
      <c r="AF31" s="5">
        <f t="shared" si="7"/>
        <v>0</v>
      </c>
      <c r="AG31" s="5">
        <f t="shared" si="7"/>
        <v>11.25</v>
      </c>
      <c r="AH31" s="5">
        <f t="shared" si="7"/>
        <v>0</v>
      </c>
      <c r="AI31" s="5">
        <f t="shared" si="7"/>
        <v>0</v>
      </c>
      <c r="AJ31" s="5">
        <f t="shared" si="7"/>
        <v>0</v>
      </c>
      <c r="AK31" s="5">
        <f t="shared" si="7"/>
        <v>0</v>
      </c>
      <c r="AL31" s="5">
        <f t="shared" si="7"/>
        <v>0</v>
      </c>
      <c r="AM31" s="6">
        <f t="shared" si="2"/>
        <v>45</v>
      </c>
    </row>
    <row r="32" spans="1:39" x14ac:dyDescent="0.25">
      <c r="A32" s="4" t="s">
        <v>501</v>
      </c>
      <c r="B32" s="4" t="s">
        <v>502</v>
      </c>
      <c r="C32" s="4" t="s">
        <v>167</v>
      </c>
      <c r="D32" s="5"/>
      <c r="E32" s="6"/>
      <c r="F32" s="6">
        <v>30</v>
      </c>
      <c r="G32" s="6"/>
      <c r="H32" s="6"/>
      <c r="I32" s="6"/>
      <c r="J32" s="6"/>
      <c r="K32" s="6"/>
      <c r="L32" s="6"/>
      <c r="M32" s="6"/>
      <c r="N32" s="6"/>
      <c r="O32" s="3"/>
      <c r="P32" s="3"/>
      <c r="Q32" s="3"/>
      <c r="R32" s="3"/>
      <c r="S32" s="6">
        <f t="shared" si="0"/>
        <v>30</v>
      </c>
      <c r="T32">
        <v>1</v>
      </c>
      <c r="U32" s="4" t="s">
        <v>501</v>
      </c>
      <c r="V32" s="4" t="s">
        <v>502</v>
      </c>
      <c r="W32" s="4" t="s">
        <v>167</v>
      </c>
      <c r="X32" s="5">
        <f t="shared" si="3"/>
        <v>0</v>
      </c>
      <c r="Y32" s="5">
        <f t="shared" si="4"/>
        <v>0</v>
      </c>
      <c r="Z32" s="5">
        <f t="shared" si="4"/>
        <v>12.5</v>
      </c>
      <c r="AA32" s="5">
        <f t="shared" si="4"/>
        <v>0</v>
      </c>
      <c r="AB32" s="5">
        <f t="shared" si="5"/>
        <v>0</v>
      </c>
      <c r="AC32" s="5">
        <f t="shared" si="5"/>
        <v>0</v>
      </c>
      <c r="AD32" s="5">
        <f t="shared" si="5"/>
        <v>0</v>
      </c>
      <c r="AE32" s="5">
        <f t="shared" si="6"/>
        <v>0</v>
      </c>
      <c r="AF32" s="5">
        <f t="shared" si="7"/>
        <v>0</v>
      </c>
      <c r="AG32" s="5">
        <f t="shared" si="7"/>
        <v>0</v>
      </c>
      <c r="AH32" s="5">
        <f t="shared" si="7"/>
        <v>0</v>
      </c>
      <c r="AI32" s="5">
        <f t="shared" si="7"/>
        <v>0</v>
      </c>
      <c r="AJ32" s="5">
        <f t="shared" si="7"/>
        <v>0</v>
      </c>
      <c r="AK32" s="5">
        <f t="shared" si="7"/>
        <v>0</v>
      </c>
      <c r="AL32" s="5">
        <f t="shared" si="7"/>
        <v>0</v>
      </c>
      <c r="AM32" s="6">
        <f t="shared" si="2"/>
        <v>12.5</v>
      </c>
    </row>
    <row r="33" spans="1:39" hidden="1" x14ac:dyDescent="0.25">
      <c r="A33" s="4" t="s">
        <v>218</v>
      </c>
      <c r="B33" s="4" t="s">
        <v>219</v>
      </c>
      <c r="C33" s="4" t="s">
        <v>167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3"/>
      <c r="P33" s="3"/>
      <c r="Q33" s="3"/>
      <c r="R33" s="3"/>
      <c r="S33" s="6">
        <f t="shared" si="0"/>
        <v>0</v>
      </c>
      <c r="T33">
        <v>1</v>
      </c>
      <c r="U33" s="4" t="s">
        <v>218</v>
      </c>
      <c r="V33" s="4" t="s">
        <v>219</v>
      </c>
      <c r="W33" s="4" t="s">
        <v>167</v>
      </c>
      <c r="X33" s="5">
        <f t="shared" si="3"/>
        <v>0</v>
      </c>
      <c r="Y33" s="5">
        <f t="shared" si="4"/>
        <v>0</v>
      </c>
      <c r="Z33" s="5">
        <f t="shared" si="4"/>
        <v>0</v>
      </c>
      <c r="AA33" s="5">
        <f t="shared" si="4"/>
        <v>0</v>
      </c>
      <c r="AB33" s="5">
        <f t="shared" si="5"/>
        <v>0</v>
      </c>
      <c r="AC33" s="5">
        <f t="shared" si="5"/>
        <v>0</v>
      </c>
      <c r="AD33" s="5">
        <f t="shared" si="5"/>
        <v>0</v>
      </c>
      <c r="AE33" s="5">
        <f t="shared" si="6"/>
        <v>0</v>
      </c>
      <c r="AF33" s="5">
        <f t="shared" si="7"/>
        <v>0</v>
      </c>
      <c r="AG33" s="5">
        <f t="shared" si="7"/>
        <v>0</v>
      </c>
      <c r="AH33" s="5">
        <f t="shared" si="7"/>
        <v>0</v>
      </c>
      <c r="AI33" s="5">
        <f t="shared" si="7"/>
        <v>0</v>
      </c>
      <c r="AJ33" s="5">
        <f t="shared" si="7"/>
        <v>0</v>
      </c>
      <c r="AK33" s="5">
        <f t="shared" si="7"/>
        <v>0</v>
      </c>
      <c r="AL33" s="5">
        <f t="shared" si="7"/>
        <v>0</v>
      </c>
      <c r="AM33" s="6">
        <f t="shared" si="2"/>
        <v>0</v>
      </c>
    </row>
    <row r="34" spans="1:39" hidden="1" x14ac:dyDescent="0.25">
      <c r="A34" s="4" t="s">
        <v>220</v>
      </c>
      <c r="B34" s="4" t="s">
        <v>221</v>
      </c>
      <c r="C34" s="4" t="s">
        <v>167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3"/>
      <c r="P34" s="3"/>
      <c r="Q34" s="3"/>
      <c r="R34" s="3"/>
      <c r="S34" s="6">
        <f t="shared" si="0"/>
        <v>0</v>
      </c>
      <c r="T34">
        <v>1</v>
      </c>
      <c r="U34" s="4" t="s">
        <v>220</v>
      </c>
      <c r="V34" s="4" t="s">
        <v>221</v>
      </c>
      <c r="W34" s="4" t="s">
        <v>167</v>
      </c>
      <c r="X34" s="5">
        <f t="shared" si="3"/>
        <v>0</v>
      </c>
      <c r="Y34" s="5">
        <f t="shared" si="4"/>
        <v>0</v>
      </c>
      <c r="Z34" s="5">
        <f t="shared" si="4"/>
        <v>0</v>
      </c>
      <c r="AA34" s="5">
        <f t="shared" si="4"/>
        <v>0</v>
      </c>
      <c r="AB34" s="5">
        <f t="shared" si="5"/>
        <v>0</v>
      </c>
      <c r="AC34" s="5">
        <f t="shared" si="5"/>
        <v>0</v>
      </c>
      <c r="AD34" s="5">
        <f t="shared" si="5"/>
        <v>0</v>
      </c>
      <c r="AE34" s="5">
        <f t="shared" si="5"/>
        <v>0</v>
      </c>
      <c r="AF34" s="5">
        <f t="shared" si="7"/>
        <v>0</v>
      </c>
      <c r="AG34" s="5">
        <f t="shared" si="7"/>
        <v>0</v>
      </c>
      <c r="AH34" s="5">
        <f t="shared" si="7"/>
        <v>0</v>
      </c>
      <c r="AI34" s="5">
        <f t="shared" si="7"/>
        <v>0</v>
      </c>
      <c r="AJ34" s="5">
        <f t="shared" si="7"/>
        <v>0</v>
      </c>
      <c r="AK34" s="5">
        <f t="shared" si="7"/>
        <v>0</v>
      </c>
      <c r="AL34" s="5">
        <f t="shared" si="7"/>
        <v>0</v>
      </c>
      <c r="AM34" s="6">
        <f t="shared" si="2"/>
        <v>0</v>
      </c>
    </row>
    <row r="35" spans="1:39" hidden="1" x14ac:dyDescent="0.25">
      <c r="A35" s="4" t="s">
        <v>222</v>
      </c>
      <c r="B35" s="4" t="s">
        <v>223</v>
      </c>
      <c r="C35" s="4" t="s">
        <v>167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3"/>
      <c r="P35" s="3"/>
      <c r="Q35" s="3"/>
      <c r="R35" s="3"/>
      <c r="S35" s="6">
        <f t="shared" si="0"/>
        <v>0</v>
      </c>
      <c r="T35">
        <v>1</v>
      </c>
      <c r="U35" s="4" t="s">
        <v>222</v>
      </c>
      <c r="V35" s="4" t="s">
        <v>223</v>
      </c>
      <c r="W35" s="4" t="s">
        <v>167</v>
      </c>
      <c r="X35" s="5">
        <f t="shared" si="3"/>
        <v>0</v>
      </c>
      <c r="Y35" s="5">
        <f t="shared" si="4"/>
        <v>0</v>
      </c>
      <c r="Z35" s="5">
        <f t="shared" si="4"/>
        <v>0</v>
      </c>
      <c r="AA35" s="5">
        <f t="shared" si="4"/>
        <v>0</v>
      </c>
      <c r="AB35" s="5">
        <f t="shared" si="5"/>
        <v>0</v>
      </c>
      <c r="AC35" s="5">
        <f t="shared" si="5"/>
        <v>0</v>
      </c>
      <c r="AD35" s="5">
        <f t="shared" si="5"/>
        <v>0</v>
      </c>
      <c r="AE35" s="5">
        <f t="shared" si="5"/>
        <v>0</v>
      </c>
      <c r="AF35" s="5">
        <f t="shared" si="7"/>
        <v>0</v>
      </c>
      <c r="AG35" s="5">
        <f t="shared" si="7"/>
        <v>0</v>
      </c>
      <c r="AH35" s="5">
        <f t="shared" si="7"/>
        <v>0</v>
      </c>
      <c r="AI35" s="5">
        <f t="shared" si="7"/>
        <v>0</v>
      </c>
      <c r="AJ35" s="5">
        <f t="shared" si="7"/>
        <v>0</v>
      </c>
      <c r="AK35" s="5">
        <f t="shared" si="7"/>
        <v>0</v>
      </c>
      <c r="AL35" s="5">
        <f t="shared" si="7"/>
        <v>0</v>
      </c>
      <c r="AM35" s="6">
        <f t="shared" si="2"/>
        <v>0</v>
      </c>
    </row>
    <row r="36" spans="1:39" hidden="1" x14ac:dyDescent="0.25">
      <c r="A36" s="4" t="s">
        <v>224</v>
      </c>
      <c r="B36" s="4" t="s">
        <v>225</v>
      </c>
      <c r="C36" s="4" t="s">
        <v>167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3"/>
      <c r="P36" s="3"/>
      <c r="Q36" s="3"/>
      <c r="R36" s="3"/>
      <c r="S36" s="6">
        <f t="shared" si="0"/>
        <v>0</v>
      </c>
      <c r="T36">
        <v>1</v>
      </c>
      <c r="U36" s="4" t="s">
        <v>224</v>
      </c>
      <c r="V36" s="4" t="s">
        <v>225</v>
      </c>
      <c r="W36" s="4" t="s">
        <v>167</v>
      </c>
      <c r="X36" s="5">
        <f t="shared" si="3"/>
        <v>0</v>
      </c>
      <c r="Y36" s="5">
        <f t="shared" si="4"/>
        <v>0</v>
      </c>
      <c r="Z36" s="5">
        <f t="shared" si="4"/>
        <v>0</v>
      </c>
      <c r="AA36" s="5">
        <f t="shared" si="4"/>
        <v>0</v>
      </c>
      <c r="AB36" s="5">
        <f t="shared" si="5"/>
        <v>0</v>
      </c>
      <c r="AC36" s="5">
        <f t="shared" si="5"/>
        <v>0</v>
      </c>
      <c r="AD36" s="5">
        <f t="shared" si="5"/>
        <v>0</v>
      </c>
      <c r="AE36" s="5">
        <f t="shared" si="5"/>
        <v>0</v>
      </c>
      <c r="AF36" s="5">
        <f t="shared" si="7"/>
        <v>0</v>
      </c>
      <c r="AG36" s="5">
        <f t="shared" si="7"/>
        <v>0</v>
      </c>
      <c r="AH36" s="5">
        <f t="shared" si="7"/>
        <v>0</v>
      </c>
      <c r="AI36" s="5">
        <f t="shared" si="7"/>
        <v>0</v>
      </c>
      <c r="AJ36" s="5">
        <f t="shared" si="7"/>
        <v>0</v>
      </c>
      <c r="AK36" s="5">
        <f t="shared" si="7"/>
        <v>0</v>
      </c>
      <c r="AL36" s="5">
        <f t="shared" si="7"/>
        <v>0</v>
      </c>
      <c r="AM36" s="6">
        <f t="shared" si="2"/>
        <v>0</v>
      </c>
    </row>
    <row r="37" spans="1:39" hidden="1" x14ac:dyDescent="0.25">
      <c r="A37" s="4" t="s">
        <v>226</v>
      </c>
      <c r="B37" s="4" t="s">
        <v>227</v>
      </c>
      <c r="C37" s="4" t="s">
        <v>167</v>
      </c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3"/>
      <c r="P37" s="3"/>
      <c r="Q37" s="3"/>
      <c r="R37" s="3"/>
      <c r="S37" s="6">
        <f t="shared" si="0"/>
        <v>0</v>
      </c>
      <c r="T37">
        <v>1</v>
      </c>
      <c r="U37" s="4" t="s">
        <v>226</v>
      </c>
      <c r="V37" s="4" t="s">
        <v>227</v>
      </c>
      <c r="W37" s="4" t="s">
        <v>167</v>
      </c>
      <c r="X37" s="5">
        <f t="shared" si="3"/>
        <v>0</v>
      </c>
      <c r="Y37" s="5">
        <f t="shared" si="4"/>
        <v>0</v>
      </c>
      <c r="Z37" s="5">
        <f t="shared" si="4"/>
        <v>0</v>
      </c>
      <c r="AA37" s="5">
        <f t="shared" si="4"/>
        <v>0</v>
      </c>
      <c r="AB37" s="5">
        <f t="shared" si="5"/>
        <v>0</v>
      </c>
      <c r="AC37" s="5">
        <f t="shared" si="5"/>
        <v>0</v>
      </c>
      <c r="AD37" s="5">
        <f t="shared" si="5"/>
        <v>0</v>
      </c>
      <c r="AE37" s="5">
        <f t="shared" si="5"/>
        <v>0</v>
      </c>
      <c r="AF37" s="5">
        <f t="shared" si="7"/>
        <v>0</v>
      </c>
      <c r="AG37" s="5">
        <f t="shared" si="7"/>
        <v>0</v>
      </c>
      <c r="AH37" s="5">
        <f t="shared" si="7"/>
        <v>0</v>
      </c>
      <c r="AI37" s="5">
        <f t="shared" si="7"/>
        <v>0</v>
      </c>
      <c r="AJ37" s="5">
        <f t="shared" si="7"/>
        <v>0</v>
      </c>
      <c r="AK37" s="5">
        <f t="shared" si="7"/>
        <v>0</v>
      </c>
      <c r="AL37" s="5">
        <f t="shared" si="7"/>
        <v>0</v>
      </c>
      <c r="AM37" s="6">
        <f t="shared" si="2"/>
        <v>0</v>
      </c>
    </row>
    <row r="38" spans="1:39" hidden="1" x14ac:dyDescent="0.25">
      <c r="A38" s="4" t="s">
        <v>228</v>
      </c>
      <c r="B38" s="4" t="s">
        <v>229</v>
      </c>
      <c r="C38" s="4" t="s">
        <v>167</v>
      </c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3"/>
      <c r="P38" s="3"/>
      <c r="Q38" s="3"/>
      <c r="R38" s="3"/>
      <c r="S38" s="6">
        <f t="shared" si="0"/>
        <v>0</v>
      </c>
      <c r="T38">
        <v>1</v>
      </c>
      <c r="U38" s="4" t="s">
        <v>228</v>
      </c>
      <c r="V38" s="4" t="s">
        <v>229</v>
      </c>
      <c r="W38" s="4" t="s">
        <v>167</v>
      </c>
      <c r="X38" s="5">
        <f t="shared" si="3"/>
        <v>0</v>
      </c>
      <c r="Y38" s="5">
        <f t="shared" si="4"/>
        <v>0</v>
      </c>
      <c r="Z38" s="5">
        <f t="shared" si="4"/>
        <v>0</v>
      </c>
      <c r="AA38" s="5">
        <f t="shared" si="4"/>
        <v>0</v>
      </c>
      <c r="AB38" s="5">
        <f t="shared" si="5"/>
        <v>0</v>
      </c>
      <c r="AC38" s="5">
        <f t="shared" si="5"/>
        <v>0</v>
      </c>
      <c r="AD38" s="5">
        <f t="shared" si="5"/>
        <v>0</v>
      </c>
      <c r="AE38" s="5">
        <f t="shared" si="5"/>
        <v>0</v>
      </c>
      <c r="AF38" s="5">
        <f t="shared" si="7"/>
        <v>0</v>
      </c>
      <c r="AG38" s="5">
        <f t="shared" si="7"/>
        <v>0</v>
      </c>
      <c r="AH38" s="5">
        <f t="shared" si="7"/>
        <v>0</v>
      </c>
      <c r="AI38" s="5">
        <f t="shared" si="7"/>
        <v>0</v>
      </c>
      <c r="AJ38" s="5">
        <f t="shared" si="7"/>
        <v>0</v>
      </c>
      <c r="AK38" s="5">
        <f t="shared" si="7"/>
        <v>0</v>
      </c>
      <c r="AL38" s="5">
        <f t="shared" si="7"/>
        <v>0</v>
      </c>
      <c r="AM38" s="6">
        <f t="shared" si="2"/>
        <v>0</v>
      </c>
    </row>
    <row r="39" spans="1:39" x14ac:dyDescent="0.25">
      <c r="A39" s="4" t="s">
        <v>569</v>
      </c>
      <c r="B39" s="4" t="s">
        <v>570</v>
      </c>
      <c r="C39" s="4" t="s">
        <v>167</v>
      </c>
      <c r="D39" s="5"/>
      <c r="E39" s="6"/>
      <c r="F39" s="6"/>
      <c r="G39" s="6"/>
      <c r="H39" s="6"/>
      <c r="I39" s="6"/>
      <c r="J39" s="6"/>
      <c r="K39" s="6"/>
      <c r="L39" s="6"/>
      <c r="M39" s="6">
        <v>27</v>
      </c>
      <c r="N39" s="6"/>
      <c r="O39" s="3"/>
      <c r="P39" s="3"/>
      <c r="Q39" s="3"/>
      <c r="R39" s="3"/>
      <c r="S39" s="6">
        <f t="shared" si="0"/>
        <v>27</v>
      </c>
      <c r="T39">
        <v>1</v>
      </c>
      <c r="U39" s="4" t="s">
        <v>569</v>
      </c>
      <c r="V39" s="4" t="s">
        <v>570</v>
      </c>
      <c r="W39" s="4" t="s">
        <v>167</v>
      </c>
      <c r="X39" s="5">
        <f t="shared" si="3"/>
        <v>0</v>
      </c>
      <c r="Y39" s="5">
        <f t="shared" si="4"/>
        <v>0</v>
      </c>
      <c r="Z39" s="5">
        <f t="shared" si="4"/>
        <v>0</v>
      </c>
      <c r="AA39" s="5">
        <f t="shared" si="4"/>
        <v>0</v>
      </c>
      <c r="AB39" s="5">
        <f t="shared" si="5"/>
        <v>0</v>
      </c>
      <c r="AC39" s="5">
        <f t="shared" si="5"/>
        <v>0</v>
      </c>
      <c r="AD39" s="5">
        <f t="shared" si="5"/>
        <v>0</v>
      </c>
      <c r="AE39" s="5">
        <f t="shared" si="5"/>
        <v>0</v>
      </c>
      <c r="AF39" s="5">
        <f t="shared" si="7"/>
        <v>0</v>
      </c>
      <c r="AG39" s="5">
        <f t="shared" si="7"/>
        <v>0</v>
      </c>
      <c r="AH39" s="5">
        <f t="shared" si="7"/>
        <v>0</v>
      </c>
      <c r="AI39" s="5">
        <f t="shared" si="7"/>
        <v>0</v>
      </c>
      <c r="AJ39" s="5">
        <f t="shared" si="7"/>
        <v>0</v>
      </c>
      <c r="AK39" s="5">
        <f t="shared" si="7"/>
        <v>0</v>
      </c>
      <c r="AL39" s="5">
        <f t="shared" si="7"/>
        <v>0</v>
      </c>
      <c r="AM39" s="6">
        <f t="shared" si="2"/>
        <v>0</v>
      </c>
    </row>
    <row r="40" spans="1:39" x14ac:dyDescent="0.25">
      <c r="A40" s="4" t="s">
        <v>565</v>
      </c>
      <c r="B40" s="4" t="s">
        <v>566</v>
      </c>
      <c r="C40" s="4" t="s">
        <v>167</v>
      </c>
      <c r="D40" s="5"/>
      <c r="E40" s="6"/>
      <c r="F40" s="6"/>
      <c r="G40" s="6"/>
      <c r="H40" s="6"/>
      <c r="I40" s="6"/>
      <c r="J40" s="6"/>
      <c r="K40" s="6"/>
      <c r="L40" s="6">
        <v>30</v>
      </c>
      <c r="M40" s="6">
        <v>28.5</v>
      </c>
      <c r="N40" s="6"/>
      <c r="O40" s="3"/>
      <c r="P40" s="3"/>
      <c r="Q40" s="3"/>
      <c r="R40" s="3"/>
      <c r="S40" s="6">
        <f t="shared" si="0"/>
        <v>58.5</v>
      </c>
      <c r="T40">
        <v>1</v>
      </c>
      <c r="U40" s="4" t="s">
        <v>565</v>
      </c>
      <c r="V40" s="4" t="s">
        <v>566</v>
      </c>
      <c r="W40" s="4" t="s">
        <v>167</v>
      </c>
      <c r="X40" s="5">
        <f t="shared" si="3"/>
        <v>0</v>
      </c>
      <c r="Y40" s="5">
        <f t="shared" si="4"/>
        <v>0</v>
      </c>
      <c r="Z40" s="5">
        <f t="shared" si="4"/>
        <v>0</v>
      </c>
      <c r="AA40" s="5">
        <f t="shared" si="4"/>
        <v>0</v>
      </c>
      <c r="AB40" s="5">
        <f t="shared" si="5"/>
        <v>0</v>
      </c>
      <c r="AC40" s="5">
        <f t="shared" si="5"/>
        <v>0</v>
      </c>
      <c r="AD40" s="5">
        <f t="shared" si="5"/>
        <v>0</v>
      </c>
      <c r="AE40" s="5">
        <f t="shared" si="5"/>
        <v>0</v>
      </c>
      <c r="AF40" s="5">
        <f t="shared" si="7"/>
        <v>0</v>
      </c>
      <c r="AG40" s="5">
        <f t="shared" si="7"/>
        <v>0</v>
      </c>
      <c r="AH40" s="5">
        <f t="shared" si="7"/>
        <v>0</v>
      </c>
      <c r="AI40" s="5">
        <f t="shared" si="7"/>
        <v>0</v>
      </c>
      <c r="AJ40" s="5">
        <f t="shared" si="7"/>
        <v>0</v>
      </c>
      <c r="AK40" s="5">
        <f t="shared" si="7"/>
        <v>0</v>
      </c>
      <c r="AL40" s="5">
        <f t="shared" si="7"/>
        <v>0</v>
      </c>
      <c r="AM40" s="6">
        <f t="shared" si="2"/>
        <v>0</v>
      </c>
    </row>
    <row r="41" spans="1:39" x14ac:dyDescent="0.25">
      <c r="A41" s="4" t="s">
        <v>567</v>
      </c>
      <c r="B41" s="4" t="s">
        <v>568</v>
      </c>
      <c r="C41" s="4" t="s">
        <v>167</v>
      </c>
      <c r="D41" s="5"/>
      <c r="E41" s="6"/>
      <c r="F41" s="6"/>
      <c r="G41" s="6"/>
      <c r="H41" s="6"/>
      <c r="I41" s="6"/>
      <c r="J41" s="6"/>
      <c r="K41" s="6"/>
      <c r="L41" s="6">
        <v>27</v>
      </c>
      <c r="M41" s="6">
        <v>31.5</v>
      </c>
      <c r="N41" s="6"/>
      <c r="O41" s="3"/>
      <c r="P41" s="3"/>
      <c r="Q41" s="3"/>
      <c r="R41" s="3"/>
      <c r="S41" s="6">
        <f t="shared" si="0"/>
        <v>58.5</v>
      </c>
      <c r="T41">
        <v>1</v>
      </c>
      <c r="U41" s="4" t="s">
        <v>567</v>
      </c>
      <c r="V41" s="4" t="s">
        <v>568</v>
      </c>
      <c r="W41" s="4" t="s">
        <v>167</v>
      </c>
      <c r="X41" s="5">
        <f t="shared" si="3"/>
        <v>0</v>
      </c>
      <c r="Y41" s="5">
        <f t="shared" si="4"/>
        <v>0</v>
      </c>
      <c r="Z41" s="5">
        <f t="shared" si="4"/>
        <v>0</v>
      </c>
      <c r="AA41" s="5">
        <f t="shared" si="4"/>
        <v>0</v>
      </c>
      <c r="AB41" s="5">
        <f t="shared" si="5"/>
        <v>0</v>
      </c>
      <c r="AC41" s="5">
        <f t="shared" si="5"/>
        <v>0</v>
      </c>
      <c r="AD41" s="5">
        <f t="shared" si="5"/>
        <v>0</v>
      </c>
      <c r="AE41" s="5">
        <f t="shared" si="5"/>
        <v>0</v>
      </c>
      <c r="AF41" s="5">
        <f t="shared" si="7"/>
        <v>0</v>
      </c>
      <c r="AG41" s="5">
        <f t="shared" si="7"/>
        <v>3.75</v>
      </c>
      <c r="AH41" s="5">
        <f t="shared" si="7"/>
        <v>0</v>
      </c>
      <c r="AI41" s="5">
        <f t="shared" si="7"/>
        <v>0</v>
      </c>
      <c r="AJ41" s="5">
        <f t="shared" si="7"/>
        <v>0</v>
      </c>
      <c r="AK41" s="5">
        <f t="shared" si="7"/>
        <v>0</v>
      </c>
      <c r="AL41" s="5">
        <f t="shared" si="7"/>
        <v>0</v>
      </c>
      <c r="AM41" s="6">
        <f t="shared" si="2"/>
        <v>3.75</v>
      </c>
    </row>
    <row r="42" spans="1:39" x14ac:dyDescent="0.25">
      <c r="A42" s="4" t="s">
        <v>230</v>
      </c>
      <c r="B42" s="4" t="s">
        <v>231</v>
      </c>
      <c r="C42" s="4" t="s">
        <v>167</v>
      </c>
      <c r="D42" s="5"/>
      <c r="E42" s="6"/>
      <c r="F42" s="6"/>
      <c r="G42" s="6"/>
      <c r="H42" s="6"/>
      <c r="I42" s="6"/>
      <c r="J42" s="6"/>
      <c r="K42" s="6"/>
      <c r="L42" s="6">
        <v>33</v>
      </c>
      <c r="M42" s="6">
        <v>27</v>
      </c>
      <c r="N42" s="6"/>
      <c r="O42" s="3"/>
      <c r="P42" s="3"/>
      <c r="Q42" s="3"/>
      <c r="R42" s="3"/>
      <c r="S42" s="6">
        <f t="shared" si="0"/>
        <v>60</v>
      </c>
      <c r="T42">
        <v>1</v>
      </c>
      <c r="U42" s="4" t="s">
        <v>230</v>
      </c>
      <c r="V42" s="4" t="s">
        <v>231</v>
      </c>
      <c r="W42" s="4" t="s">
        <v>167</v>
      </c>
      <c r="X42" s="5">
        <f t="shared" si="3"/>
        <v>0</v>
      </c>
      <c r="Y42" s="5">
        <f t="shared" si="4"/>
        <v>0</v>
      </c>
      <c r="Z42" s="5">
        <f t="shared" si="4"/>
        <v>0</v>
      </c>
      <c r="AA42" s="5">
        <f t="shared" si="4"/>
        <v>0</v>
      </c>
      <c r="AB42" s="5">
        <f t="shared" si="5"/>
        <v>0</v>
      </c>
      <c r="AC42" s="5">
        <f t="shared" si="5"/>
        <v>0</v>
      </c>
      <c r="AD42" s="5">
        <f t="shared" si="5"/>
        <v>0</v>
      </c>
      <c r="AE42" s="5">
        <f t="shared" si="5"/>
        <v>0</v>
      </c>
      <c r="AF42" s="5">
        <f t="shared" si="7"/>
        <v>7.5</v>
      </c>
      <c r="AG42" s="5">
        <f t="shared" si="7"/>
        <v>0</v>
      </c>
      <c r="AH42" s="5">
        <f t="shared" si="7"/>
        <v>0</v>
      </c>
      <c r="AI42" s="5">
        <f t="shared" si="7"/>
        <v>0</v>
      </c>
      <c r="AJ42" s="5">
        <f t="shared" si="7"/>
        <v>0</v>
      </c>
      <c r="AK42" s="5">
        <f t="shared" si="7"/>
        <v>0</v>
      </c>
      <c r="AL42" s="5">
        <f t="shared" si="7"/>
        <v>0</v>
      </c>
      <c r="AM42" s="6">
        <f t="shared" si="2"/>
        <v>7.5</v>
      </c>
    </row>
    <row r="43" spans="1:39" hidden="1" x14ac:dyDescent="0.25">
      <c r="A43" s="4" t="s">
        <v>232</v>
      </c>
      <c r="B43" s="4" t="s">
        <v>233</v>
      </c>
      <c r="C43" s="4" t="s">
        <v>167</v>
      </c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3"/>
      <c r="P43" s="3"/>
      <c r="Q43" s="3"/>
      <c r="R43" s="3"/>
      <c r="S43" s="6">
        <f t="shared" si="0"/>
        <v>0</v>
      </c>
      <c r="T43">
        <v>1</v>
      </c>
      <c r="U43" s="4" t="s">
        <v>232</v>
      </c>
      <c r="V43" s="4" t="s">
        <v>233</v>
      </c>
      <c r="W43" s="4" t="s">
        <v>167</v>
      </c>
      <c r="X43" s="5">
        <f t="shared" si="3"/>
        <v>0</v>
      </c>
      <c r="Y43" s="5">
        <f t="shared" si="4"/>
        <v>0</v>
      </c>
      <c r="Z43" s="5">
        <f t="shared" si="4"/>
        <v>0</v>
      </c>
      <c r="AA43" s="5">
        <f t="shared" si="4"/>
        <v>0</v>
      </c>
      <c r="AB43" s="5">
        <f t="shared" si="5"/>
        <v>0</v>
      </c>
      <c r="AC43" s="5">
        <f t="shared" si="5"/>
        <v>0</v>
      </c>
      <c r="AD43" s="5">
        <f t="shared" si="5"/>
        <v>0</v>
      </c>
      <c r="AE43" s="5">
        <f t="shared" si="5"/>
        <v>0</v>
      </c>
      <c r="AF43" s="5">
        <f t="shared" si="7"/>
        <v>0</v>
      </c>
      <c r="AG43" s="5">
        <f t="shared" si="7"/>
        <v>0</v>
      </c>
      <c r="AH43" s="5">
        <f t="shared" si="7"/>
        <v>0</v>
      </c>
      <c r="AI43" s="5">
        <f t="shared" si="7"/>
        <v>0</v>
      </c>
      <c r="AJ43" s="5">
        <f t="shared" si="7"/>
        <v>0</v>
      </c>
      <c r="AK43" s="5">
        <f t="shared" si="7"/>
        <v>0</v>
      </c>
      <c r="AL43" s="5">
        <f t="shared" si="7"/>
        <v>0</v>
      </c>
      <c r="AM43" s="6">
        <f t="shared" si="2"/>
        <v>0</v>
      </c>
    </row>
    <row r="44" spans="1:39" x14ac:dyDescent="0.25">
      <c r="A44" s="4" t="s">
        <v>234</v>
      </c>
      <c r="B44" s="4" t="s">
        <v>235</v>
      </c>
      <c r="C44" s="4" t="s">
        <v>167</v>
      </c>
      <c r="D44" s="5"/>
      <c r="E44" s="6"/>
      <c r="F44" s="6"/>
      <c r="G44" s="6"/>
      <c r="H44" s="6"/>
      <c r="I44" s="6"/>
      <c r="J44" s="6"/>
      <c r="K44" s="6"/>
      <c r="L44" s="6">
        <v>30</v>
      </c>
      <c r="M44" s="6">
        <v>27</v>
      </c>
      <c r="N44" s="6"/>
      <c r="O44" s="3"/>
      <c r="P44" s="3"/>
      <c r="Q44" s="3"/>
      <c r="R44" s="3"/>
      <c r="S44" s="6">
        <f t="shared" si="0"/>
        <v>57</v>
      </c>
      <c r="T44">
        <v>1</v>
      </c>
      <c r="U44" s="4" t="s">
        <v>234</v>
      </c>
      <c r="V44" s="4" t="s">
        <v>235</v>
      </c>
      <c r="W44" s="4" t="s">
        <v>167</v>
      </c>
      <c r="X44" s="5">
        <f t="shared" si="3"/>
        <v>0</v>
      </c>
      <c r="Y44" s="5">
        <f t="shared" si="4"/>
        <v>0</v>
      </c>
      <c r="Z44" s="5">
        <f t="shared" si="4"/>
        <v>0</v>
      </c>
      <c r="AA44" s="5">
        <f t="shared" si="4"/>
        <v>0</v>
      </c>
      <c r="AB44" s="5">
        <f t="shared" si="5"/>
        <v>0</v>
      </c>
      <c r="AC44" s="5">
        <f t="shared" si="5"/>
        <v>0</v>
      </c>
      <c r="AD44" s="5">
        <f t="shared" si="5"/>
        <v>0</v>
      </c>
      <c r="AE44" s="5">
        <f t="shared" si="5"/>
        <v>0</v>
      </c>
      <c r="AF44" s="5">
        <f t="shared" si="7"/>
        <v>0</v>
      </c>
      <c r="AG44" s="5">
        <f t="shared" si="7"/>
        <v>0</v>
      </c>
      <c r="AH44" s="5">
        <f t="shared" si="7"/>
        <v>0</v>
      </c>
      <c r="AI44" s="5">
        <f t="shared" si="7"/>
        <v>0</v>
      </c>
      <c r="AJ44" s="5">
        <f t="shared" si="7"/>
        <v>0</v>
      </c>
      <c r="AK44" s="5">
        <f t="shared" si="7"/>
        <v>0</v>
      </c>
      <c r="AL44" s="5">
        <f t="shared" si="7"/>
        <v>0</v>
      </c>
      <c r="AM44" s="6">
        <f t="shared" si="2"/>
        <v>0</v>
      </c>
    </row>
    <row r="45" spans="1:39" hidden="1" x14ac:dyDescent="0.25">
      <c r="A45" s="4" t="s">
        <v>236</v>
      </c>
      <c r="B45" s="4" t="s">
        <v>237</v>
      </c>
      <c r="C45" s="4" t="s">
        <v>167</v>
      </c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3"/>
      <c r="P45" s="3"/>
      <c r="Q45" s="3"/>
      <c r="R45" s="3"/>
      <c r="S45" s="6">
        <f t="shared" si="0"/>
        <v>0</v>
      </c>
      <c r="T45">
        <v>1</v>
      </c>
      <c r="U45" s="4" t="s">
        <v>236</v>
      </c>
      <c r="V45" s="4" t="s">
        <v>237</v>
      </c>
      <c r="W45" s="4" t="s">
        <v>167</v>
      </c>
      <c r="X45" s="5">
        <f t="shared" si="3"/>
        <v>0</v>
      </c>
      <c r="Y45" s="5">
        <f t="shared" si="4"/>
        <v>0</v>
      </c>
      <c r="Z45" s="5">
        <f t="shared" si="4"/>
        <v>0</v>
      </c>
      <c r="AA45" s="5">
        <f t="shared" si="4"/>
        <v>0</v>
      </c>
      <c r="AB45" s="5">
        <f t="shared" si="5"/>
        <v>0</v>
      </c>
      <c r="AC45" s="5">
        <f t="shared" si="5"/>
        <v>0</v>
      </c>
      <c r="AD45" s="5">
        <f t="shared" si="5"/>
        <v>0</v>
      </c>
      <c r="AE45" s="5">
        <f t="shared" si="5"/>
        <v>0</v>
      </c>
      <c r="AF45" s="5">
        <f t="shared" si="7"/>
        <v>0</v>
      </c>
      <c r="AG45" s="5">
        <f t="shared" si="7"/>
        <v>0</v>
      </c>
      <c r="AH45" s="5">
        <f t="shared" si="7"/>
        <v>0</v>
      </c>
      <c r="AI45" s="5">
        <f t="shared" si="7"/>
        <v>0</v>
      </c>
      <c r="AJ45" s="5">
        <f t="shared" si="7"/>
        <v>0</v>
      </c>
      <c r="AK45" s="5">
        <f t="shared" si="7"/>
        <v>0</v>
      </c>
      <c r="AL45" s="5">
        <f t="shared" si="7"/>
        <v>0</v>
      </c>
      <c r="AM45" s="6">
        <f t="shared" si="2"/>
        <v>0</v>
      </c>
    </row>
    <row r="46" spans="1:39" x14ac:dyDescent="0.25">
      <c r="A46" s="4" t="s">
        <v>238</v>
      </c>
      <c r="B46" s="4" t="s">
        <v>239</v>
      </c>
      <c r="C46" s="4" t="s">
        <v>167</v>
      </c>
      <c r="D46" s="5"/>
      <c r="E46" s="6"/>
      <c r="F46" s="6"/>
      <c r="G46" s="6"/>
      <c r="H46" s="6"/>
      <c r="I46" s="6"/>
      <c r="J46" s="6"/>
      <c r="K46" s="6"/>
      <c r="L46" s="6"/>
      <c r="M46" s="6">
        <v>36</v>
      </c>
      <c r="N46" s="6"/>
      <c r="O46" s="3"/>
      <c r="P46" s="3"/>
      <c r="Q46" s="3"/>
      <c r="R46" s="3"/>
      <c r="S46" s="6">
        <f t="shared" si="0"/>
        <v>36</v>
      </c>
      <c r="T46">
        <v>1</v>
      </c>
      <c r="U46" s="4" t="s">
        <v>238</v>
      </c>
      <c r="V46" s="4" t="s">
        <v>239</v>
      </c>
      <c r="W46" s="4" t="s">
        <v>167</v>
      </c>
      <c r="X46" s="5">
        <f t="shared" si="3"/>
        <v>0</v>
      </c>
      <c r="Y46" s="5">
        <f t="shared" si="4"/>
        <v>0</v>
      </c>
      <c r="Z46" s="5">
        <f t="shared" si="4"/>
        <v>0</v>
      </c>
      <c r="AA46" s="5">
        <f t="shared" si="4"/>
        <v>0</v>
      </c>
      <c r="AB46" s="5">
        <f t="shared" si="5"/>
        <v>0</v>
      </c>
      <c r="AC46" s="5">
        <f t="shared" si="5"/>
        <v>0</v>
      </c>
      <c r="AD46" s="5">
        <f t="shared" si="5"/>
        <v>0</v>
      </c>
      <c r="AE46" s="5">
        <f t="shared" si="5"/>
        <v>0</v>
      </c>
      <c r="AF46" s="5">
        <f t="shared" si="7"/>
        <v>0</v>
      </c>
      <c r="AG46" s="5">
        <f t="shared" si="7"/>
        <v>15</v>
      </c>
      <c r="AH46" s="5">
        <f t="shared" si="7"/>
        <v>0</v>
      </c>
      <c r="AI46" s="5">
        <f t="shared" si="7"/>
        <v>0</v>
      </c>
      <c r="AJ46" s="5">
        <f t="shared" si="7"/>
        <v>0</v>
      </c>
      <c r="AK46" s="5">
        <f t="shared" si="7"/>
        <v>0</v>
      </c>
      <c r="AL46" s="5">
        <f t="shared" si="7"/>
        <v>0</v>
      </c>
      <c r="AM46" s="6">
        <f t="shared" si="2"/>
        <v>15</v>
      </c>
    </row>
    <row r="47" spans="1:39" x14ac:dyDescent="0.25">
      <c r="A47" s="4" t="s">
        <v>240</v>
      </c>
      <c r="B47" s="4" t="s">
        <v>241</v>
      </c>
      <c r="C47" s="4" t="s">
        <v>167</v>
      </c>
      <c r="D47" s="5"/>
      <c r="E47" s="6"/>
      <c r="F47" s="6"/>
      <c r="G47" s="6"/>
      <c r="H47" s="6"/>
      <c r="I47" s="6"/>
      <c r="J47" s="6"/>
      <c r="K47" s="6"/>
      <c r="L47" s="6"/>
      <c r="M47" s="6">
        <v>28.5</v>
      </c>
      <c r="N47" s="6"/>
      <c r="O47" s="3"/>
      <c r="P47" s="3"/>
      <c r="Q47" s="3"/>
      <c r="R47" s="3"/>
      <c r="S47" s="6">
        <f t="shared" si="0"/>
        <v>28.5</v>
      </c>
      <c r="T47">
        <v>1</v>
      </c>
      <c r="U47" s="4" t="s">
        <v>240</v>
      </c>
      <c r="V47" s="4" t="s">
        <v>241</v>
      </c>
      <c r="W47" s="4" t="s">
        <v>167</v>
      </c>
      <c r="X47" s="5">
        <f t="shared" si="3"/>
        <v>0</v>
      </c>
      <c r="Y47" s="5">
        <f t="shared" si="4"/>
        <v>0</v>
      </c>
      <c r="Z47" s="5">
        <f t="shared" si="4"/>
        <v>0</v>
      </c>
      <c r="AA47" s="5">
        <f t="shared" si="4"/>
        <v>0</v>
      </c>
      <c r="AB47" s="5">
        <f t="shared" si="5"/>
        <v>0</v>
      </c>
      <c r="AC47" s="5">
        <f t="shared" si="5"/>
        <v>0</v>
      </c>
      <c r="AD47" s="5">
        <f t="shared" si="5"/>
        <v>0</v>
      </c>
      <c r="AE47" s="5">
        <f t="shared" si="5"/>
        <v>0</v>
      </c>
      <c r="AF47" s="5">
        <f t="shared" si="7"/>
        <v>0</v>
      </c>
      <c r="AG47" s="5">
        <f t="shared" si="7"/>
        <v>0</v>
      </c>
      <c r="AH47" s="5">
        <f t="shared" si="7"/>
        <v>0</v>
      </c>
      <c r="AI47" s="5">
        <f t="shared" si="7"/>
        <v>0</v>
      </c>
      <c r="AJ47" s="5">
        <f t="shared" si="7"/>
        <v>0</v>
      </c>
      <c r="AK47" s="5">
        <f t="shared" si="7"/>
        <v>0</v>
      </c>
      <c r="AL47" s="5">
        <f t="shared" si="7"/>
        <v>0</v>
      </c>
      <c r="AM47" s="6">
        <f t="shared" si="2"/>
        <v>0</v>
      </c>
    </row>
    <row r="48" spans="1:39" x14ac:dyDescent="0.25">
      <c r="A48" s="4" t="s">
        <v>242</v>
      </c>
      <c r="B48" s="4" t="s">
        <v>243</v>
      </c>
      <c r="C48" s="4" t="s">
        <v>167</v>
      </c>
      <c r="D48" s="5"/>
      <c r="E48" s="6"/>
      <c r="F48" s="6"/>
      <c r="G48" s="6"/>
      <c r="H48" s="6"/>
      <c r="I48" s="6"/>
      <c r="J48" s="6"/>
      <c r="K48" s="6"/>
      <c r="L48" s="6"/>
      <c r="M48" s="6">
        <v>19.5</v>
      </c>
      <c r="N48" s="6"/>
      <c r="O48" s="3"/>
      <c r="P48" s="3"/>
      <c r="Q48" s="3"/>
      <c r="R48" s="3"/>
      <c r="S48" s="6">
        <f t="shared" si="0"/>
        <v>19.5</v>
      </c>
      <c r="T48">
        <v>1</v>
      </c>
      <c r="U48" s="4" t="s">
        <v>242</v>
      </c>
      <c r="V48" s="4" t="s">
        <v>243</v>
      </c>
      <c r="W48" s="4" t="s">
        <v>167</v>
      </c>
      <c r="X48" s="5">
        <f t="shared" si="3"/>
        <v>0</v>
      </c>
      <c r="Y48" s="5">
        <f t="shared" si="4"/>
        <v>0</v>
      </c>
      <c r="Z48" s="5">
        <f t="shared" si="4"/>
        <v>0</v>
      </c>
      <c r="AA48" s="5">
        <f t="shared" si="4"/>
        <v>0</v>
      </c>
      <c r="AB48" s="5">
        <f t="shared" si="5"/>
        <v>0</v>
      </c>
      <c r="AC48" s="5">
        <f t="shared" si="5"/>
        <v>0</v>
      </c>
      <c r="AD48" s="5">
        <f t="shared" si="5"/>
        <v>0</v>
      </c>
      <c r="AE48" s="5">
        <f t="shared" si="5"/>
        <v>0</v>
      </c>
      <c r="AF48" s="5">
        <f t="shared" si="7"/>
        <v>0</v>
      </c>
      <c r="AG48" s="5">
        <f t="shared" si="7"/>
        <v>0</v>
      </c>
      <c r="AH48" s="5">
        <f t="shared" si="7"/>
        <v>0</v>
      </c>
      <c r="AI48" s="5">
        <f t="shared" si="7"/>
        <v>0</v>
      </c>
      <c r="AJ48" s="5">
        <f t="shared" si="7"/>
        <v>0</v>
      </c>
      <c r="AK48" s="5">
        <f t="shared" si="7"/>
        <v>0</v>
      </c>
      <c r="AL48" s="5">
        <f t="shared" si="7"/>
        <v>0</v>
      </c>
      <c r="AM48" s="6">
        <f t="shared" si="2"/>
        <v>0</v>
      </c>
    </row>
    <row r="49" spans="1:39" hidden="1" x14ac:dyDescent="0.25">
      <c r="A49" s="4" t="s">
        <v>244</v>
      </c>
      <c r="B49" s="4" t="s">
        <v>245</v>
      </c>
      <c r="C49" s="4" t="s">
        <v>167</v>
      </c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3"/>
      <c r="P49" s="3"/>
      <c r="Q49" s="3"/>
      <c r="R49" s="3"/>
      <c r="S49" s="6">
        <f t="shared" si="0"/>
        <v>0</v>
      </c>
      <c r="T49">
        <v>1</v>
      </c>
      <c r="U49" s="4" t="s">
        <v>244</v>
      </c>
      <c r="V49" s="4" t="s">
        <v>245</v>
      </c>
      <c r="W49" s="4" t="s">
        <v>167</v>
      </c>
      <c r="X49" s="5">
        <f t="shared" si="3"/>
        <v>0</v>
      </c>
      <c r="Y49" s="5">
        <f t="shared" si="4"/>
        <v>0</v>
      </c>
      <c r="Z49" s="5">
        <f t="shared" si="4"/>
        <v>0</v>
      </c>
      <c r="AA49" s="5">
        <f t="shared" si="4"/>
        <v>0</v>
      </c>
      <c r="AB49" s="5">
        <f t="shared" si="5"/>
        <v>0</v>
      </c>
      <c r="AC49" s="5">
        <f t="shared" si="5"/>
        <v>0</v>
      </c>
      <c r="AD49" s="5">
        <f t="shared" si="5"/>
        <v>0</v>
      </c>
      <c r="AE49" s="5">
        <f t="shared" si="5"/>
        <v>0</v>
      </c>
      <c r="AF49" s="5">
        <f t="shared" si="7"/>
        <v>0</v>
      </c>
      <c r="AG49" s="5">
        <f t="shared" si="7"/>
        <v>0</v>
      </c>
      <c r="AH49" s="5">
        <f t="shared" si="7"/>
        <v>0</v>
      </c>
      <c r="AI49" s="5">
        <f t="shared" si="7"/>
        <v>0</v>
      </c>
      <c r="AJ49" s="5">
        <f t="shared" si="7"/>
        <v>0</v>
      </c>
      <c r="AK49" s="5">
        <f t="shared" si="7"/>
        <v>0</v>
      </c>
      <c r="AL49" s="5">
        <f t="shared" si="7"/>
        <v>0</v>
      </c>
      <c r="AM49" s="6">
        <f t="shared" si="2"/>
        <v>0</v>
      </c>
    </row>
    <row r="50" spans="1:39" x14ac:dyDescent="0.25">
      <c r="A50" s="4" t="s">
        <v>246</v>
      </c>
      <c r="B50" s="4" t="s">
        <v>247</v>
      </c>
      <c r="C50" s="4" t="s">
        <v>167</v>
      </c>
      <c r="D50" s="5">
        <v>18</v>
      </c>
      <c r="E50" s="6"/>
      <c r="F50" s="6"/>
      <c r="G50" s="6"/>
      <c r="H50" s="6"/>
      <c r="I50" s="6"/>
      <c r="J50" s="6"/>
      <c r="K50" s="6"/>
      <c r="L50" s="6"/>
      <c r="M50" s="6">
        <v>1.5</v>
      </c>
      <c r="N50" s="6"/>
      <c r="O50" s="3"/>
      <c r="P50" s="3"/>
      <c r="Q50" s="3"/>
      <c r="R50" s="3"/>
      <c r="S50" s="6">
        <f t="shared" si="0"/>
        <v>19.5</v>
      </c>
      <c r="T50">
        <v>1</v>
      </c>
      <c r="U50" s="4" t="s">
        <v>246</v>
      </c>
      <c r="V50" s="4" t="s">
        <v>247</v>
      </c>
      <c r="W50" s="4" t="s">
        <v>167</v>
      </c>
      <c r="X50" s="5">
        <f t="shared" si="3"/>
        <v>0</v>
      </c>
      <c r="Y50" s="5">
        <f t="shared" si="4"/>
        <v>0</v>
      </c>
      <c r="Z50" s="5">
        <f t="shared" si="4"/>
        <v>0</v>
      </c>
      <c r="AA50" s="5">
        <f t="shared" si="4"/>
        <v>0</v>
      </c>
      <c r="AB50" s="5">
        <f t="shared" si="5"/>
        <v>0</v>
      </c>
      <c r="AC50" s="5">
        <f t="shared" si="5"/>
        <v>0</v>
      </c>
      <c r="AD50" s="5">
        <f t="shared" si="5"/>
        <v>0</v>
      </c>
      <c r="AE50" s="5">
        <f t="shared" si="5"/>
        <v>0</v>
      </c>
      <c r="AF50" s="5">
        <f t="shared" si="7"/>
        <v>0</v>
      </c>
      <c r="AG50" s="5">
        <f t="shared" si="7"/>
        <v>0</v>
      </c>
      <c r="AH50" s="5">
        <f t="shared" si="7"/>
        <v>0</v>
      </c>
      <c r="AI50" s="5">
        <f t="shared" si="7"/>
        <v>0</v>
      </c>
      <c r="AJ50" s="5">
        <f t="shared" si="7"/>
        <v>0</v>
      </c>
      <c r="AK50" s="5">
        <f t="shared" si="7"/>
        <v>0</v>
      </c>
      <c r="AL50" s="5">
        <f t="shared" si="7"/>
        <v>0</v>
      </c>
      <c r="AM50" s="6">
        <f t="shared" si="2"/>
        <v>0</v>
      </c>
    </row>
    <row r="51" spans="1:39" hidden="1" x14ac:dyDescent="0.25">
      <c r="A51" s="4" t="s">
        <v>248</v>
      </c>
      <c r="B51" s="4" t="s">
        <v>249</v>
      </c>
      <c r="C51" s="4" t="s">
        <v>167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3"/>
      <c r="P51" s="3"/>
      <c r="Q51" s="3"/>
      <c r="R51" s="3"/>
      <c r="S51" s="6">
        <f t="shared" si="0"/>
        <v>0</v>
      </c>
      <c r="T51">
        <v>1</v>
      </c>
      <c r="U51" s="4" t="s">
        <v>248</v>
      </c>
      <c r="V51" s="4" t="s">
        <v>249</v>
      </c>
      <c r="W51" s="4" t="s">
        <v>167</v>
      </c>
      <c r="X51" s="5">
        <f t="shared" si="3"/>
        <v>0</v>
      </c>
      <c r="Y51" s="5">
        <f t="shared" si="4"/>
        <v>0</v>
      </c>
      <c r="Z51" s="5">
        <f t="shared" si="4"/>
        <v>0</v>
      </c>
      <c r="AA51" s="5">
        <f t="shared" si="4"/>
        <v>0</v>
      </c>
      <c r="AB51" s="5">
        <f t="shared" si="5"/>
        <v>0</v>
      </c>
      <c r="AC51" s="5">
        <f t="shared" si="5"/>
        <v>0</v>
      </c>
      <c r="AD51" s="5">
        <f t="shared" si="5"/>
        <v>0</v>
      </c>
      <c r="AE51" s="5">
        <f t="shared" si="5"/>
        <v>0</v>
      </c>
      <c r="AF51" s="5">
        <f t="shared" si="7"/>
        <v>0</v>
      </c>
      <c r="AG51" s="5">
        <f t="shared" si="7"/>
        <v>0</v>
      </c>
      <c r="AH51" s="5">
        <f t="shared" si="7"/>
        <v>0</v>
      </c>
      <c r="AI51" s="5">
        <f t="shared" si="7"/>
        <v>0</v>
      </c>
      <c r="AJ51" s="5">
        <f t="shared" si="7"/>
        <v>0</v>
      </c>
      <c r="AK51" s="5">
        <f t="shared" si="7"/>
        <v>0</v>
      </c>
      <c r="AL51" s="5">
        <f t="shared" si="7"/>
        <v>0</v>
      </c>
      <c r="AM51" s="6">
        <f t="shared" si="2"/>
        <v>0</v>
      </c>
    </row>
    <row r="52" spans="1:39" x14ac:dyDescent="0.25">
      <c r="A52" s="4" t="s">
        <v>509</v>
      </c>
      <c r="B52" s="4" t="s">
        <v>510</v>
      </c>
      <c r="C52" s="4" t="s">
        <v>167</v>
      </c>
      <c r="D52" s="5"/>
      <c r="E52" s="6"/>
      <c r="F52" s="6"/>
      <c r="G52" s="6"/>
      <c r="H52" s="6"/>
      <c r="I52" s="6">
        <v>51</v>
      </c>
      <c r="J52" s="6">
        <v>42</v>
      </c>
      <c r="K52" s="6">
        <v>45</v>
      </c>
      <c r="L52" s="6"/>
      <c r="M52" s="6">
        <v>34.5</v>
      </c>
      <c r="N52" s="6"/>
      <c r="O52" s="3"/>
      <c r="P52" s="3"/>
      <c r="Q52" s="3"/>
      <c r="R52" s="3"/>
      <c r="S52" s="6">
        <f t="shared" si="0"/>
        <v>172.5</v>
      </c>
      <c r="T52">
        <v>1</v>
      </c>
      <c r="U52" s="4" t="s">
        <v>509</v>
      </c>
      <c r="V52" s="4" t="s">
        <v>510</v>
      </c>
      <c r="W52" s="4" t="s">
        <v>167</v>
      </c>
      <c r="X52" s="5">
        <f t="shared" si="3"/>
        <v>0</v>
      </c>
      <c r="Y52" s="5">
        <f t="shared" si="4"/>
        <v>0</v>
      </c>
      <c r="Z52" s="5">
        <f t="shared" si="4"/>
        <v>0</v>
      </c>
      <c r="AA52" s="5">
        <f t="shared" si="4"/>
        <v>0</v>
      </c>
      <c r="AB52" s="5">
        <f t="shared" si="5"/>
        <v>0</v>
      </c>
      <c r="AC52" s="5">
        <f t="shared" si="5"/>
        <v>52.5</v>
      </c>
      <c r="AD52" s="5">
        <f t="shared" si="5"/>
        <v>30</v>
      </c>
      <c r="AE52" s="5">
        <f t="shared" si="5"/>
        <v>37.5</v>
      </c>
      <c r="AF52" s="5">
        <f t="shared" si="7"/>
        <v>0</v>
      </c>
      <c r="AG52" s="5">
        <f t="shared" si="7"/>
        <v>11.25</v>
      </c>
      <c r="AH52" s="5">
        <f t="shared" ref="AH52:AL102" si="8">IF(N52&lt;=30,0,(N52-30)*2.5)</f>
        <v>0</v>
      </c>
      <c r="AI52" s="5">
        <f t="shared" si="8"/>
        <v>0</v>
      </c>
      <c r="AJ52" s="5">
        <f t="shared" si="8"/>
        <v>0</v>
      </c>
      <c r="AK52" s="5">
        <f t="shared" si="8"/>
        <v>0</v>
      </c>
      <c r="AL52" s="5">
        <f t="shared" si="8"/>
        <v>0</v>
      </c>
      <c r="AM52" s="6">
        <f t="shared" si="2"/>
        <v>131.25</v>
      </c>
    </row>
    <row r="53" spans="1:39" x14ac:dyDescent="0.25">
      <c r="A53" s="4" t="s">
        <v>250</v>
      </c>
      <c r="B53" s="4" t="s">
        <v>251</v>
      </c>
      <c r="C53" s="4" t="s">
        <v>167</v>
      </c>
      <c r="D53" s="5">
        <v>21</v>
      </c>
      <c r="E53" s="6">
        <v>26.400000000000002</v>
      </c>
      <c r="F53" s="6">
        <v>30</v>
      </c>
      <c r="G53" s="6">
        <v>13.5</v>
      </c>
      <c r="H53" s="6">
        <v>45</v>
      </c>
      <c r="I53" s="6"/>
      <c r="J53" s="6">
        <v>45</v>
      </c>
      <c r="K53" s="6">
        <v>37.5</v>
      </c>
      <c r="L53" s="6"/>
      <c r="M53" s="6">
        <v>31.5</v>
      </c>
      <c r="N53" s="6"/>
      <c r="O53" s="3"/>
      <c r="P53" s="3"/>
      <c r="Q53" s="3"/>
      <c r="R53" s="3"/>
      <c r="S53" s="6">
        <f t="shared" si="0"/>
        <v>249.9</v>
      </c>
      <c r="T53">
        <v>1</v>
      </c>
      <c r="U53" s="4" t="s">
        <v>250</v>
      </c>
      <c r="V53" s="4" t="s">
        <v>251</v>
      </c>
      <c r="W53" s="4" t="s">
        <v>167</v>
      </c>
      <c r="X53" s="5">
        <f t="shared" si="3"/>
        <v>0</v>
      </c>
      <c r="Y53" s="5">
        <f t="shared" si="4"/>
        <v>3.5000000000000053</v>
      </c>
      <c r="Z53" s="5">
        <f t="shared" si="4"/>
        <v>12.5</v>
      </c>
      <c r="AA53" s="5">
        <f t="shared" si="4"/>
        <v>0</v>
      </c>
      <c r="AB53" s="5">
        <f t="shared" si="5"/>
        <v>37.5</v>
      </c>
      <c r="AC53" s="5">
        <f t="shared" si="5"/>
        <v>0</v>
      </c>
      <c r="AD53" s="5">
        <f t="shared" si="5"/>
        <v>37.5</v>
      </c>
      <c r="AE53" s="5">
        <f t="shared" si="5"/>
        <v>18.75</v>
      </c>
      <c r="AF53" s="5">
        <f t="shared" si="5"/>
        <v>0</v>
      </c>
      <c r="AG53" s="5">
        <f t="shared" si="5"/>
        <v>3.75</v>
      </c>
      <c r="AH53" s="5">
        <f t="shared" si="8"/>
        <v>0</v>
      </c>
      <c r="AI53" s="5">
        <f t="shared" si="8"/>
        <v>0</v>
      </c>
      <c r="AJ53" s="5">
        <f t="shared" si="8"/>
        <v>0</v>
      </c>
      <c r="AK53" s="5">
        <f t="shared" si="8"/>
        <v>0</v>
      </c>
      <c r="AL53" s="5">
        <f t="shared" si="8"/>
        <v>0</v>
      </c>
      <c r="AM53" s="6">
        <f t="shared" si="2"/>
        <v>113.5</v>
      </c>
    </row>
    <row r="54" spans="1:39" x14ac:dyDescent="0.25">
      <c r="A54" s="4" t="s">
        <v>252</v>
      </c>
      <c r="B54" s="4" t="s">
        <v>253</v>
      </c>
      <c r="C54" s="4" t="s">
        <v>167</v>
      </c>
      <c r="D54" s="5">
        <v>21</v>
      </c>
      <c r="E54" s="6"/>
      <c r="F54" s="6">
        <v>3</v>
      </c>
      <c r="G54" s="6">
        <v>15</v>
      </c>
      <c r="H54" s="6">
        <v>46.5</v>
      </c>
      <c r="I54" s="6">
        <v>48</v>
      </c>
      <c r="J54" s="6">
        <v>42</v>
      </c>
      <c r="K54" s="6"/>
      <c r="L54" s="6"/>
      <c r="M54" s="6"/>
      <c r="N54" s="6"/>
      <c r="O54" s="3"/>
      <c r="P54" s="3"/>
      <c r="Q54" s="3"/>
      <c r="R54" s="3"/>
      <c r="S54" s="6">
        <f t="shared" si="0"/>
        <v>175.5</v>
      </c>
      <c r="T54">
        <v>1</v>
      </c>
      <c r="U54" s="4" t="s">
        <v>252</v>
      </c>
      <c r="V54" s="4" t="s">
        <v>253</v>
      </c>
      <c r="W54" s="4" t="s">
        <v>167</v>
      </c>
      <c r="X54" s="5">
        <f t="shared" si="3"/>
        <v>0</v>
      </c>
      <c r="Y54" s="5">
        <f t="shared" si="4"/>
        <v>0</v>
      </c>
      <c r="Z54" s="5">
        <f t="shared" si="4"/>
        <v>0</v>
      </c>
      <c r="AA54" s="5">
        <f t="shared" si="4"/>
        <v>0</v>
      </c>
      <c r="AB54" s="5">
        <f t="shared" si="5"/>
        <v>41.25</v>
      </c>
      <c r="AC54" s="5">
        <f t="shared" si="5"/>
        <v>45</v>
      </c>
      <c r="AD54" s="5">
        <f t="shared" si="5"/>
        <v>30</v>
      </c>
      <c r="AE54" s="5">
        <f t="shared" si="5"/>
        <v>0</v>
      </c>
      <c r="AF54" s="5">
        <f t="shared" si="5"/>
        <v>0</v>
      </c>
      <c r="AG54" s="5">
        <f t="shared" si="5"/>
        <v>0</v>
      </c>
      <c r="AH54" s="5">
        <f t="shared" si="8"/>
        <v>0</v>
      </c>
      <c r="AI54" s="5">
        <f t="shared" si="8"/>
        <v>0</v>
      </c>
      <c r="AJ54" s="5">
        <f t="shared" si="8"/>
        <v>0</v>
      </c>
      <c r="AK54" s="5">
        <f t="shared" si="8"/>
        <v>0</v>
      </c>
      <c r="AL54" s="5">
        <f t="shared" si="8"/>
        <v>0</v>
      </c>
      <c r="AM54" s="6">
        <f t="shared" si="2"/>
        <v>116.25</v>
      </c>
    </row>
    <row r="55" spans="1:39" x14ac:dyDescent="0.25">
      <c r="A55" s="4" t="s">
        <v>254</v>
      </c>
      <c r="B55" s="4" t="s">
        <v>255</v>
      </c>
      <c r="C55" s="4" t="s">
        <v>167</v>
      </c>
      <c r="D55" s="5"/>
      <c r="E55" s="6">
        <v>33</v>
      </c>
      <c r="F55" s="6">
        <v>21</v>
      </c>
      <c r="G55" s="6">
        <v>12</v>
      </c>
      <c r="H55" s="6">
        <v>46.5</v>
      </c>
      <c r="I55" s="6">
        <v>48</v>
      </c>
      <c r="J55" s="6">
        <v>45</v>
      </c>
      <c r="K55" s="6"/>
      <c r="L55" s="6"/>
      <c r="M55" s="6">
        <v>30</v>
      </c>
      <c r="N55" s="6"/>
      <c r="O55" s="3"/>
      <c r="P55" s="3"/>
      <c r="Q55" s="3"/>
      <c r="R55" s="3"/>
      <c r="S55" s="6">
        <f t="shared" si="0"/>
        <v>235.5</v>
      </c>
      <c r="T55">
        <v>1</v>
      </c>
      <c r="U55" s="4" t="s">
        <v>254</v>
      </c>
      <c r="V55" s="4" t="s">
        <v>255</v>
      </c>
      <c r="W55" s="4" t="s">
        <v>167</v>
      </c>
      <c r="X55" s="5">
        <f t="shared" si="3"/>
        <v>0</v>
      </c>
      <c r="Y55" s="5">
        <f t="shared" si="4"/>
        <v>20</v>
      </c>
      <c r="Z55" s="5">
        <f t="shared" si="4"/>
        <v>0</v>
      </c>
      <c r="AA55" s="5">
        <f t="shared" si="4"/>
        <v>0</v>
      </c>
      <c r="AB55" s="5">
        <f t="shared" si="5"/>
        <v>41.25</v>
      </c>
      <c r="AC55" s="5">
        <f t="shared" si="5"/>
        <v>45</v>
      </c>
      <c r="AD55" s="5">
        <f t="shared" si="5"/>
        <v>37.5</v>
      </c>
      <c r="AE55" s="5">
        <f t="shared" si="5"/>
        <v>0</v>
      </c>
      <c r="AF55" s="5">
        <f t="shared" si="5"/>
        <v>0</v>
      </c>
      <c r="AG55" s="5">
        <f t="shared" si="5"/>
        <v>0</v>
      </c>
      <c r="AH55" s="5">
        <f t="shared" si="8"/>
        <v>0</v>
      </c>
      <c r="AI55" s="5">
        <f t="shared" si="8"/>
        <v>0</v>
      </c>
      <c r="AJ55" s="5">
        <f t="shared" si="8"/>
        <v>0</v>
      </c>
      <c r="AK55" s="5">
        <f t="shared" si="8"/>
        <v>0</v>
      </c>
      <c r="AL55" s="5">
        <f t="shared" si="8"/>
        <v>0</v>
      </c>
      <c r="AM55" s="6">
        <f t="shared" si="2"/>
        <v>143.75</v>
      </c>
    </row>
    <row r="56" spans="1:39" x14ac:dyDescent="0.25">
      <c r="A56" s="4" t="s">
        <v>256</v>
      </c>
      <c r="B56" s="4" t="s">
        <v>257</v>
      </c>
      <c r="C56" s="4" t="s">
        <v>167</v>
      </c>
      <c r="D56" s="5">
        <v>30</v>
      </c>
      <c r="E56" s="6">
        <v>35.200000000000003</v>
      </c>
      <c r="F56" s="6">
        <v>39</v>
      </c>
      <c r="G56" s="6">
        <v>21</v>
      </c>
      <c r="H56" s="6">
        <v>28.5</v>
      </c>
      <c r="I56" s="6"/>
      <c r="J56" s="6"/>
      <c r="K56" s="6">
        <v>75</v>
      </c>
      <c r="L56" s="6"/>
      <c r="M56" s="6"/>
      <c r="N56" s="6"/>
      <c r="O56" s="3"/>
      <c r="P56" s="3"/>
      <c r="Q56" s="3"/>
      <c r="R56" s="3"/>
      <c r="S56" s="6">
        <f t="shared" si="0"/>
        <v>228.7</v>
      </c>
      <c r="T56">
        <v>1</v>
      </c>
      <c r="U56" s="4" t="s">
        <v>256</v>
      </c>
      <c r="V56" s="4" t="s">
        <v>257</v>
      </c>
      <c r="W56" s="4" t="s">
        <v>167</v>
      </c>
      <c r="X56" s="5">
        <f t="shared" si="3"/>
        <v>0</v>
      </c>
      <c r="Y56" s="5">
        <f t="shared" si="4"/>
        <v>25.500000000000007</v>
      </c>
      <c r="Z56" s="5">
        <f t="shared" si="4"/>
        <v>35</v>
      </c>
      <c r="AA56" s="5">
        <f t="shared" si="4"/>
        <v>0</v>
      </c>
      <c r="AB56" s="5">
        <f t="shared" si="5"/>
        <v>0</v>
      </c>
      <c r="AC56" s="5">
        <f t="shared" si="5"/>
        <v>0</v>
      </c>
      <c r="AD56" s="5">
        <f t="shared" si="5"/>
        <v>0</v>
      </c>
      <c r="AE56" s="5">
        <f t="shared" si="5"/>
        <v>112.5</v>
      </c>
      <c r="AF56" s="5">
        <f t="shared" si="5"/>
        <v>0</v>
      </c>
      <c r="AG56" s="5">
        <f t="shared" si="5"/>
        <v>0</v>
      </c>
      <c r="AH56" s="5">
        <f t="shared" si="8"/>
        <v>0</v>
      </c>
      <c r="AI56" s="5">
        <f t="shared" si="8"/>
        <v>0</v>
      </c>
      <c r="AJ56" s="5">
        <f t="shared" si="8"/>
        <v>0</v>
      </c>
      <c r="AK56" s="5">
        <f t="shared" si="8"/>
        <v>0</v>
      </c>
      <c r="AL56" s="5">
        <f t="shared" si="8"/>
        <v>0</v>
      </c>
      <c r="AM56" s="6">
        <f t="shared" si="2"/>
        <v>173</v>
      </c>
    </row>
    <row r="57" spans="1:39" x14ac:dyDescent="0.25">
      <c r="A57" s="4" t="s">
        <v>258</v>
      </c>
      <c r="B57" s="4" t="s">
        <v>259</v>
      </c>
      <c r="C57" s="4" t="s">
        <v>167</v>
      </c>
      <c r="D57" s="5">
        <v>30</v>
      </c>
      <c r="E57" s="6"/>
      <c r="F57" s="6">
        <v>34.5</v>
      </c>
      <c r="G57" s="6">
        <v>16.5</v>
      </c>
      <c r="H57" s="6">
        <v>43.5</v>
      </c>
      <c r="I57" s="6">
        <v>46.5</v>
      </c>
      <c r="J57" s="6">
        <v>51</v>
      </c>
      <c r="K57" s="6"/>
      <c r="L57" s="6"/>
      <c r="M57" s="6"/>
      <c r="N57" s="6"/>
      <c r="O57" s="3"/>
      <c r="P57" s="3"/>
      <c r="Q57" s="3"/>
      <c r="R57" s="3"/>
      <c r="S57" s="6">
        <f t="shared" si="0"/>
        <v>222</v>
      </c>
      <c r="T57">
        <v>1</v>
      </c>
      <c r="U57" s="4" t="s">
        <v>258</v>
      </c>
      <c r="V57" s="4" t="s">
        <v>259</v>
      </c>
      <c r="W57" s="4" t="s">
        <v>167</v>
      </c>
      <c r="X57" s="5">
        <f t="shared" si="3"/>
        <v>0</v>
      </c>
      <c r="Y57" s="5">
        <f t="shared" si="4"/>
        <v>0</v>
      </c>
      <c r="Z57" s="5">
        <f t="shared" si="4"/>
        <v>23.75</v>
      </c>
      <c r="AA57" s="5">
        <f t="shared" si="4"/>
        <v>0</v>
      </c>
      <c r="AB57" s="5">
        <f t="shared" si="5"/>
        <v>33.75</v>
      </c>
      <c r="AC57" s="5">
        <f t="shared" si="5"/>
        <v>41.25</v>
      </c>
      <c r="AD57" s="5">
        <f t="shared" si="5"/>
        <v>52.5</v>
      </c>
      <c r="AE57" s="5">
        <f t="shared" si="5"/>
        <v>0</v>
      </c>
      <c r="AF57" s="5">
        <f t="shared" si="5"/>
        <v>0</v>
      </c>
      <c r="AG57" s="5">
        <f t="shared" si="5"/>
        <v>0</v>
      </c>
      <c r="AH57" s="5">
        <f t="shared" si="8"/>
        <v>0</v>
      </c>
      <c r="AI57" s="5">
        <f t="shared" si="8"/>
        <v>0</v>
      </c>
      <c r="AJ57" s="5">
        <f t="shared" si="8"/>
        <v>0</v>
      </c>
      <c r="AK57" s="5">
        <f t="shared" si="8"/>
        <v>0</v>
      </c>
      <c r="AL57" s="5">
        <f t="shared" si="8"/>
        <v>0</v>
      </c>
      <c r="AM57" s="6">
        <f t="shared" si="2"/>
        <v>151.25</v>
      </c>
    </row>
    <row r="58" spans="1:39" hidden="1" x14ac:dyDescent="0.25">
      <c r="A58" s="4" t="s">
        <v>260</v>
      </c>
      <c r="B58" s="4" t="s">
        <v>261</v>
      </c>
      <c r="C58" s="4" t="s">
        <v>167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3"/>
      <c r="P58" s="3"/>
      <c r="Q58" s="3"/>
      <c r="R58" s="3"/>
      <c r="S58" s="6">
        <f t="shared" si="0"/>
        <v>0</v>
      </c>
      <c r="T58">
        <v>1</v>
      </c>
      <c r="U58" s="4" t="s">
        <v>260</v>
      </c>
      <c r="V58" s="4" t="s">
        <v>261</v>
      </c>
      <c r="W58" s="4" t="s">
        <v>167</v>
      </c>
      <c r="X58" s="5">
        <f t="shared" si="3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5"/>
        <v>0</v>
      </c>
      <c r="AC58" s="5">
        <f t="shared" si="5"/>
        <v>0</v>
      </c>
      <c r="AD58" s="5">
        <f t="shared" si="5"/>
        <v>0</v>
      </c>
      <c r="AE58" s="5">
        <f t="shared" si="5"/>
        <v>0</v>
      </c>
      <c r="AF58" s="5">
        <f t="shared" si="5"/>
        <v>0</v>
      </c>
      <c r="AG58" s="5">
        <f t="shared" si="5"/>
        <v>0</v>
      </c>
      <c r="AH58" s="5">
        <f t="shared" si="8"/>
        <v>0</v>
      </c>
      <c r="AI58" s="5">
        <f t="shared" si="8"/>
        <v>0</v>
      </c>
      <c r="AJ58" s="5">
        <f t="shared" si="8"/>
        <v>0</v>
      </c>
      <c r="AK58" s="5">
        <f t="shared" si="8"/>
        <v>0</v>
      </c>
      <c r="AL58" s="5">
        <f t="shared" si="8"/>
        <v>0</v>
      </c>
      <c r="AM58" s="6">
        <f t="shared" si="2"/>
        <v>0</v>
      </c>
    </row>
    <row r="59" spans="1:39" x14ac:dyDescent="0.25">
      <c r="A59" s="4" t="s">
        <v>262</v>
      </c>
      <c r="B59" s="4" t="s">
        <v>263</v>
      </c>
      <c r="C59" s="4" t="s">
        <v>167</v>
      </c>
      <c r="D59" s="5"/>
      <c r="E59" s="6">
        <v>30.8</v>
      </c>
      <c r="F59" s="6">
        <v>37.5</v>
      </c>
      <c r="G59" s="6">
        <v>16.5</v>
      </c>
      <c r="H59" s="6">
        <v>45</v>
      </c>
      <c r="I59" s="6">
        <v>52.5</v>
      </c>
      <c r="J59" s="6">
        <v>48</v>
      </c>
      <c r="K59" s="6">
        <v>45</v>
      </c>
      <c r="L59" s="6"/>
      <c r="M59" s="6">
        <v>42</v>
      </c>
      <c r="N59" s="6"/>
      <c r="O59" s="3"/>
      <c r="P59" s="3"/>
      <c r="Q59" s="3"/>
      <c r="R59" s="3"/>
      <c r="S59" s="6">
        <f t="shared" si="0"/>
        <v>317.3</v>
      </c>
      <c r="T59">
        <v>1</v>
      </c>
      <c r="U59" s="4" t="s">
        <v>262</v>
      </c>
      <c r="V59" s="4" t="s">
        <v>263</v>
      </c>
      <c r="W59" s="4" t="s">
        <v>167</v>
      </c>
      <c r="X59" s="5">
        <f t="shared" si="3"/>
        <v>0</v>
      </c>
      <c r="Y59" s="5">
        <f t="shared" si="4"/>
        <v>14.500000000000002</v>
      </c>
      <c r="Z59" s="5">
        <f t="shared" si="4"/>
        <v>31.25</v>
      </c>
      <c r="AA59" s="5">
        <f t="shared" si="4"/>
        <v>0</v>
      </c>
      <c r="AB59" s="5">
        <f t="shared" si="5"/>
        <v>37.5</v>
      </c>
      <c r="AC59" s="5">
        <f t="shared" si="5"/>
        <v>56.25</v>
      </c>
      <c r="AD59" s="5">
        <f t="shared" si="5"/>
        <v>45</v>
      </c>
      <c r="AE59" s="5">
        <f t="shared" si="5"/>
        <v>37.5</v>
      </c>
      <c r="AF59" s="5">
        <f t="shared" si="5"/>
        <v>0</v>
      </c>
      <c r="AG59" s="5">
        <f t="shared" si="5"/>
        <v>30</v>
      </c>
      <c r="AH59" s="5">
        <f t="shared" si="8"/>
        <v>0</v>
      </c>
      <c r="AI59" s="5">
        <f t="shared" si="8"/>
        <v>0</v>
      </c>
      <c r="AJ59" s="5">
        <f t="shared" si="8"/>
        <v>0</v>
      </c>
      <c r="AK59" s="5">
        <f t="shared" si="8"/>
        <v>0</v>
      </c>
      <c r="AL59" s="5">
        <f t="shared" si="8"/>
        <v>0</v>
      </c>
      <c r="AM59" s="6">
        <f t="shared" si="2"/>
        <v>252</v>
      </c>
    </row>
    <row r="60" spans="1:39" x14ac:dyDescent="0.25">
      <c r="A60" s="4" t="s">
        <v>264</v>
      </c>
      <c r="B60" s="4" t="s">
        <v>265</v>
      </c>
      <c r="C60" s="4" t="s">
        <v>167</v>
      </c>
      <c r="D60" s="5">
        <v>21</v>
      </c>
      <c r="E60" s="6">
        <v>26.400000000000002</v>
      </c>
      <c r="F60" s="6">
        <v>24</v>
      </c>
      <c r="G60" s="6">
        <v>18</v>
      </c>
      <c r="H60" s="6">
        <v>39</v>
      </c>
      <c r="I60" s="6"/>
      <c r="J60" s="6">
        <v>45</v>
      </c>
      <c r="K60" s="6">
        <v>37.5</v>
      </c>
      <c r="L60" s="6"/>
      <c r="M60" s="6">
        <v>36</v>
      </c>
      <c r="N60" s="6"/>
      <c r="O60" s="3"/>
      <c r="P60" s="3"/>
      <c r="Q60" s="3"/>
      <c r="R60" s="3"/>
      <c r="S60" s="6">
        <f t="shared" si="0"/>
        <v>246.9</v>
      </c>
      <c r="T60">
        <v>1</v>
      </c>
      <c r="U60" s="4" t="s">
        <v>264</v>
      </c>
      <c r="V60" s="4" t="s">
        <v>265</v>
      </c>
      <c r="W60" s="4" t="s">
        <v>167</v>
      </c>
      <c r="X60" s="5">
        <f t="shared" si="3"/>
        <v>0</v>
      </c>
      <c r="Y60" s="5">
        <f t="shared" si="4"/>
        <v>3.5000000000000053</v>
      </c>
      <c r="Z60" s="5">
        <f t="shared" si="4"/>
        <v>0</v>
      </c>
      <c r="AA60" s="5">
        <f t="shared" si="4"/>
        <v>0</v>
      </c>
      <c r="AB60" s="5">
        <f t="shared" si="5"/>
        <v>22.5</v>
      </c>
      <c r="AC60" s="5">
        <f t="shared" si="5"/>
        <v>0</v>
      </c>
      <c r="AD60" s="5">
        <f t="shared" si="5"/>
        <v>37.5</v>
      </c>
      <c r="AE60" s="5">
        <f t="shared" si="5"/>
        <v>18.75</v>
      </c>
      <c r="AF60" s="5">
        <f t="shared" si="5"/>
        <v>0</v>
      </c>
      <c r="AG60" s="5">
        <f t="shared" si="5"/>
        <v>15</v>
      </c>
      <c r="AH60" s="5">
        <f t="shared" si="8"/>
        <v>0</v>
      </c>
      <c r="AI60" s="5">
        <f t="shared" si="8"/>
        <v>0</v>
      </c>
      <c r="AJ60" s="5">
        <f t="shared" si="8"/>
        <v>0</v>
      </c>
      <c r="AK60" s="5">
        <f t="shared" si="8"/>
        <v>0</v>
      </c>
      <c r="AL60" s="5">
        <f t="shared" si="8"/>
        <v>0</v>
      </c>
      <c r="AM60" s="6">
        <f t="shared" si="2"/>
        <v>97.25</v>
      </c>
    </row>
    <row r="61" spans="1:39" hidden="1" x14ac:dyDescent="0.25">
      <c r="A61" s="4" t="s">
        <v>266</v>
      </c>
      <c r="B61" s="4" t="s">
        <v>267</v>
      </c>
      <c r="C61" s="4" t="s">
        <v>167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3"/>
      <c r="P61" s="3"/>
      <c r="Q61" s="3"/>
      <c r="R61" s="3"/>
      <c r="S61" s="6">
        <f t="shared" si="0"/>
        <v>0</v>
      </c>
      <c r="T61">
        <v>1</v>
      </c>
      <c r="U61" s="4" t="s">
        <v>266</v>
      </c>
      <c r="V61" s="4" t="s">
        <v>267</v>
      </c>
      <c r="W61" s="4" t="s">
        <v>167</v>
      </c>
      <c r="X61" s="5">
        <f t="shared" si="3"/>
        <v>0</v>
      </c>
      <c r="Y61" s="5">
        <f t="shared" si="4"/>
        <v>0</v>
      </c>
      <c r="Z61" s="5">
        <f t="shared" si="4"/>
        <v>0</v>
      </c>
      <c r="AA61" s="5">
        <f t="shared" si="4"/>
        <v>0</v>
      </c>
      <c r="AB61" s="5">
        <f t="shared" si="5"/>
        <v>0</v>
      </c>
      <c r="AC61" s="5">
        <f t="shared" si="5"/>
        <v>0</v>
      </c>
      <c r="AD61" s="5">
        <f t="shared" si="5"/>
        <v>0</v>
      </c>
      <c r="AE61" s="5">
        <f t="shared" si="5"/>
        <v>0</v>
      </c>
      <c r="AF61" s="5">
        <f t="shared" si="5"/>
        <v>0</v>
      </c>
      <c r="AG61" s="5">
        <f t="shared" si="5"/>
        <v>0</v>
      </c>
      <c r="AH61" s="5">
        <f t="shared" si="8"/>
        <v>0</v>
      </c>
      <c r="AI61" s="5">
        <f t="shared" si="8"/>
        <v>0</v>
      </c>
      <c r="AJ61" s="5">
        <f t="shared" si="8"/>
        <v>0</v>
      </c>
      <c r="AK61" s="5">
        <f t="shared" si="8"/>
        <v>0</v>
      </c>
      <c r="AL61" s="5">
        <f t="shared" si="8"/>
        <v>0</v>
      </c>
      <c r="AM61" s="6">
        <f t="shared" si="2"/>
        <v>0</v>
      </c>
    </row>
    <row r="62" spans="1:39" x14ac:dyDescent="0.25">
      <c r="A62" s="4" t="s">
        <v>268</v>
      </c>
      <c r="B62" s="4" t="s">
        <v>269</v>
      </c>
      <c r="C62" s="4" t="s">
        <v>167</v>
      </c>
      <c r="D62" s="5">
        <v>27</v>
      </c>
      <c r="E62" s="6">
        <v>24.200000000000003</v>
      </c>
      <c r="F62" s="6">
        <v>21</v>
      </c>
      <c r="G62" s="6">
        <v>15</v>
      </c>
      <c r="H62" s="6">
        <v>42</v>
      </c>
      <c r="I62" s="6">
        <v>52.5</v>
      </c>
      <c r="J62" s="6"/>
      <c r="K62" s="6">
        <v>52.5</v>
      </c>
      <c r="L62" s="6"/>
      <c r="M62" s="6">
        <v>39</v>
      </c>
      <c r="N62" s="6"/>
      <c r="O62" s="3"/>
      <c r="P62" s="3"/>
      <c r="Q62" s="3"/>
      <c r="R62" s="3"/>
      <c r="S62" s="6">
        <f t="shared" si="0"/>
        <v>273.2</v>
      </c>
      <c r="T62">
        <v>1</v>
      </c>
      <c r="U62" s="4" t="s">
        <v>268</v>
      </c>
      <c r="V62" s="4" t="s">
        <v>269</v>
      </c>
      <c r="W62" s="4" t="s">
        <v>167</v>
      </c>
      <c r="X62" s="5">
        <f t="shared" si="3"/>
        <v>0</v>
      </c>
      <c r="Y62" s="5">
        <f t="shared" si="4"/>
        <v>0</v>
      </c>
      <c r="Z62" s="5">
        <f t="shared" si="4"/>
        <v>0</v>
      </c>
      <c r="AA62" s="5">
        <f t="shared" si="4"/>
        <v>0</v>
      </c>
      <c r="AB62" s="5">
        <f t="shared" si="5"/>
        <v>30</v>
      </c>
      <c r="AC62" s="5">
        <f t="shared" si="5"/>
        <v>56.25</v>
      </c>
      <c r="AD62" s="5">
        <f t="shared" si="5"/>
        <v>0</v>
      </c>
      <c r="AE62" s="5">
        <f t="shared" si="5"/>
        <v>56.25</v>
      </c>
      <c r="AF62" s="5">
        <f t="shared" si="5"/>
        <v>0</v>
      </c>
      <c r="AG62" s="5">
        <f t="shared" si="5"/>
        <v>22.5</v>
      </c>
      <c r="AH62" s="5">
        <f t="shared" si="8"/>
        <v>0</v>
      </c>
      <c r="AI62" s="5">
        <f t="shared" si="8"/>
        <v>0</v>
      </c>
      <c r="AJ62" s="5">
        <f t="shared" si="8"/>
        <v>0</v>
      </c>
      <c r="AK62" s="5">
        <f t="shared" si="8"/>
        <v>0</v>
      </c>
      <c r="AL62" s="5">
        <f t="shared" si="8"/>
        <v>0</v>
      </c>
      <c r="AM62" s="6">
        <f t="shared" si="2"/>
        <v>165</v>
      </c>
    </row>
    <row r="63" spans="1:39" x14ac:dyDescent="0.25">
      <c r="A63" s="4" t="s">
        <v>270</v>
      </c>
      <c r="B63" s="4" t="s">
        <v>271</v>
      </c>
      <c r="C63" s="4" t="s">
        <v>167</v>
      </c>
      <c r="D63" s="5">
        <v>30</v>
      </c>
      <c r="E63" s="6">
        <v>37.400000000000006</v>
      </c>
      <c r="F63" s="6">
        <v>24</v>
      </c>
      <c r="G63" s="6">
        <v>13.5</v>
      </c>
      <c r="H63" s="6">
        <v>42</v>
      </c>
      <c r="I63" s="6">
        <v>55.5</v>
      </c>
      <c r="J63" s="6">
        <v>51</v>
      </c>
      <c r="K63" s="6">
        <v>37.5</v>
      </c>
      <c r="L63" s="6"/>
      <c r="M63" s="6">
        <v>28.5</v>
      </c>
      <c r="N63" s="6"/>
      <c r="O63" s="3"/>
      <c r="P63" s="3"/>
      <c r="Q63" s="3"/>
      <c r="R63" s="3"/>
      <c r="S63" s="6">
        <f t="shared" si="0"/>
        <v>319.39999999999998</v>
      </c>
      <c r="T63">
        <v>1</v>
      </c>
      <c r="U63" s="4" t="s">
        <v>270</v>
      </c>
      <c r="V63" s="4" t="s">
        <v>271</v>
      </c>
      <c r="W63" s="4" t="s">
        <v>167</v>
      </c>
      <c r="X63" s="5">
        <f t="shared" si="3"/>
        <v>0</v>
      </c>
      <c r="Y63" s="5">
        <f t="shared" si="4"/>
        <v>31.000000000000014</v>
      </c>
      <c r="Z63" s="5">
        <f t="shared" si="4"/>
        <v>0</v>
      </c>
      <c r="AA63" s="5">
        <f t="shared" si="4"/>
        <v>0</v>
      </c>
      <c r="AB63" s="5">
        <f t="shared" si="5"/>
        <v>30</v>
      </c>
      <c r="AC63" s="5">
        <f t="shared" si="5"/>
        <v>63.75</v>
      </c>
      <c r="AD63" s="5">
        <f t="shared" si="5"/>
        <v>52.5</v>
      </c>
      <c r="AE63" s="5">
        <f t="shared" si="5"/>
        <v>18.75</v>
      </c>
      <c r="AF63" s="5">
        <f t="shared" si="5"/>
        <v>0</v>
      </c>
      <c r="AG63" s="5">
        <f t="shared" si="5"/>
        <v>0</v>
      </c>
      <c r="AH63" s="5">
        <f t="shared" si="8"/>
        <v>0</v>
      </c>
      <c r="AI63" s="5">
        <f t="shared" si="8"/>
        <v>0</v>
      </c>
      <c r="AJ63" s="5">
        <f t="shared" si="8"/>
        <v>0</v>
      </c>
      <c r="AK63" s="5">
        <f t="shared" si="8"/>
        <v>0</v>
      </c>
      <c r="AL63" s="5">
        <f t="shared" si="8"/>
        <v>0</v>
      </c>
      <c r="AM63" s="6">
        <f t="shared" si="2"/>
        <v>196</v>
      </c>
    </row>
    <row r="64" spans="1:39" x14ac:dyDescent="0.25">
      <c r="A64" s="4" t="s">
        <v>272</v>
      </c>
      <c r="B64" s="4" t="s">
        <v>273</v>
      </c>
      <c r="C64" s="4" t="s">
        <v>167</v>
      </c>
      <c r="D64" s="5">
        <v>30</v>
      </c>
      <c r="E64" s="6">
        <v>35.200000000000003</v>
      </c>
      <c r="F64" s="6">
        <v>21</v>
      </c>
      <c r="G64" s="6">
        <v>15</v>
      </c>
      <c r="H64" s="6"/>
      <c r="I64" s="6"/>
      <c r="J64" s="6"/>
      <c r="K64" s="6">
        <v>45</v>
      </c>
      <c r="L64" s="6"/>
      <c r="M64" s="6">
        <v>3</v>
      </c>
      <c r="N64" s="6"/>
      <c r="O64" s="3"/>
      <c r="P64" s="3"/>
      <c r="Q64" s="3"/>
      <c r="R64" s="3"/>
      <c r="S64" s="6">
        <f t="shared" si="0"/>
        <v>149.19999999999999</v>
      </c>
      <c r="T64">
        <v>1</v>
      </c>
      <c r="U64" s="4" t="s">
        <v>272</v>
      </c>
      <c r="V64" s="4" t="s">
        <v>273</v>
      </c>
      <c r="W64" s="4" t="s">
        <v>167</v>
      </c>
      <c r="X64" s="5">
        <f t="shared" si="3"/>
        <v>0</v>
      </c>
      <c r="Y64" s="5">
        <f t="shared" si="4"/>
        <v>25.500000000000007</v>
      </c>
      <c r="Z64" s="5">
        <f t="shared" si="4"/>
        <v>0</v>
      </c>
      <c r="AA64" s="5">
        <f t="shared" si="4"/>
        <v>0</v>
      </c>
      <c r="AB64" s="5">
        <f t="shared" si="5"/>
        <v>0</v>
      </c>
      <c r="AC64" s="5">
        <f t="shared" si="5"/>
        <v>0</v>
      </c>
      <c r="AD64" s="5">
        <f t="shared" si="5"/>
        <v>0</v>
      </c>
      <c r="AE64" s="5">
        <f t="shared" si="5"/>
        <v>37.5</v>
      </c>
      <c r="AF64" s="5">
        <f t="shared" si="5"/>
        <v>0</v>
      </c>
      <c r="AG64" s="5">
        <f t="shared" si="5"/>
        <v>0</v>
      </c>
      <c r="AH64" s="5">
        <f t="shared" si="8"/>
        <v>0</v>
      </c>
      <c r="AI64" s="5">
        <f t="shared" si="8"/>
        <v>0</v>
      </c>
      <c r="AJ64" s="5">
        <f t="shared" si="8"/>
        <v>0</v>
      </c>
      <c r="AK64" s="5">
        <f t="shared" si="8"/>
        <v>0</v>
      </c>
      <c r="AL64" s="5">
        <f t="shared" si="8"/>
        <v>0</v>
      </c>
      <c r="AM64" s="6">
        <f t="shared" si="2"/>
        <v>63.000000000000007</v>
      </c>
    </row>
    <row r="65" spans="1:39" hidden="1" x14ac:dyDescent="0.25">
      <c r="A65" s="4" t="s">
        <v>274</v>
      </c>
      <c r="B65" s="4" t="s">
        <v>275</v>
      </c>
      <c r="C65" s="4" t="s">
        <v>167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6">
        <f t="shared" si="0"/>
        <v>0</v>
      </c>
      <c r="T65">
        <v>1</v>
      </c>
      <c r="U65" s="4" t="s">
        <v>274</v>
      </c>
      <c r="V65" s="4" t="s">
        <v>275</v>
      </c>
      <c r="W65" s="4" t="s">
        <v>167</v>
      </c>
      <c r="X65" s="5">
        <f t="shared" si="3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5"/>
        <v>0</v>
      </c>
      <c r="AC65" s="5">
        <f t="shared" si="5"/>
        <v>0</v>
      </c>
      <c r="AD65" s="5">
        <f t="shared" si="5"/>
        <v>0</v>
      </c>
      <c r="AE65" s="5">
        <f t="shared" si="5"/>
        <v>0</v>
      </c>
      <c r="AF65" s="5">
        <f t="shared" si="5"/>
        <v>0</v>
      </c>
      <c r="AG65" s="5">
        <f t="shared" si="5"/>
        <v>0</v>
      </c>
      <c r="AH65" s="5">
        <f t="shared" si="8"/>
        <v>0</v>
      </c>
      <c r="AI65" s="5">
        <f t="shared" si="8"/>
        <v>0</v>
      </c>
      <c r="AJ65" s="5">
        <f t="shared" si="8"/>
        <v>0</v>
      </c>
      <c r="AK65" s="5">
        <f t="shared" si="8"/>
        <v>0</v>
      </c>
      <c r="AL65" s="5">
        <f t="shared" si="8"/>
        <v>0</v>
      </c>
      <c r="AM65" s="6">
        <f t="shared" si="2"/>
        <v>0</v>
      </c>
    </row>
    <row r="66" spans="1:39" x14ac:dyDescent="0.25">
      <c r="A66" s="4" t="s">
        <v>276</v>
      </c>
      <c r="B66" s="4" t="s">
        <v>277</v>
      </c>
      <c r="C66" s="4" t="s">
        <v>167</v>
      </c>
      <c r="D66" s="5">
        <v>30</v>
      </c>
      <c r="E66" s="6">
        <v>30.800000000000004</v>
      </c>
      <c r="F66" s="6">
        <v>33</v>
      </c>
      <c r="G66" s="6">
        <v>27</v>
      </c>
      <c r="H66" s="6"/>
      <c r="I66" s="6">
        <v>43.5</v>
      </c>
      <c r="J66" s="6">
        <v>48</v>
      </c>
      <c r="K66" s="6">
        <v>67.5</v>
      </c>
      <c r="L66" s="6"/>
      <c r="M66" s="6">
        <v>37.5</v>
      </c>
      <c r="N66" s="6"/>
      <c r="O66" s="3"/>
      <c r="P66" s="3"/>
      <c r="Q66" s="3"/>
      <c r="R66" s="3"/>
      <c r="S66" s="6">
        <f t="shared" ref="S66:S130" si="9">SUM(D66:R66)</f>
        <v>317.3</v>
      </c>
      <c r="T66">
        <v>1</v>
      </c>
      <c r="U66" s="4" t="s">
        <v>276</v>
      </c>
      <c r="V66" s="4" t="s">
        <v>277</v>
      </c>
      <c r="W66" s="4" t="s">
        <v>167</v>
      </c>
      <c r="X66" s="5">
        <f t="shared" si="3"/>
        <v>0</v>
      </c>
      <c r="Y66" s="5">
        <f t="shared" si="4"/>
        <v>14.500000000000011</v>
      </c>
      <c r="Z66" s="5">
        <f t="shared" si="4"/>
        <v>20</v>
      </c>
      <c r="AA66" s="5">
        <f t="shared" si="4"/>
        <v>5</v>
      </c>
      <c r="AB66" s="5">
        <f t="shared" si="5"/>
        <v>0</v>
      </c>
      <c r="AC66" s="5">
        <f t="shared" si="5"/>
        <v>33.75</v>
      </c>
      <c r="AD66" s="5">
        <f t="shared" si="5"/>
        <v>45</v>
      </c>
      <c r="AE66" s="5">
        <f t="shared" si="5"/>
        <v>93.75</v>
      </c>
      <c r="AF66" s="5">
        <f t="shared" si="5"/>
        <v>0</v>
      </c>
      <c r="AG66" s="5">
        <f t="shared" si="5"/>
        <v>18.75</v>
      </c>
      <c r="AH66" s="5">
        <f t="shared" si="8"/>
        <v>0</v>
      </c>
      <c r="AI66" s="5">
        <f t="shared" si="8"/>
        <v>0</v>
      </c>
      <c r="AJ66" s="5">
        <f t="shared" si="8"/>
        <v>0</v>
      </c>
      <c r="AK66" s="5">
        <f t="shared" si="8"/>
        <v>0</v>
      </c>
      <c r="AL66" s="5">
        <f t="shared" si="8"/>
        <v>0</v>
      </c>
      <c r="AM66" s="6">
        <f t="shared" ref="AM66:AM130" si="10">SUM(X66:AL66)</f>
        <v>230.75</v>
      </c>
    </row>
    <row r="67" spans="1:39" x14ac:dyDescent="0.25">
      <c r="A67" s="4" t="s">
        <v>278</v>
      </c>
      <c r="B67" s="4" t="s">
        <v>279</v>
      </c>
      <c r="C67" s="4" t="s">
        <v>167</v>
      </c>
      <c r="D67" s="5"/>
      <c r="E67" s="6"/>
      <c r="F67" s="6">
        <v>25.5</v>
      </c>
      <c r="G67" s="6">
        <v>18</v>
      </c>
      <c r="H67" s="6">
        <v>39</v>
      </c>
      <c r="I67" s="6">
        <v>34.5</v>
      </c>
      <c r="J67" s="6">
        <v>3</v>
      </c>
      <c r="K67" s="6">
        <v>52.5</v>
      </c>
      <c r="L67" s="6"/>
      <c r="M67" s="6">
        <v>36</v>
      </c>
      <c r="N67" s="6"/>
      <c r="O67" s="3"/>
      <c r="P67" s="3"/>
      <c r="Q67" s="3"/>
      <c r="R67" s="3"/>
      <c r="S67" s="6">
        <f t="shared" si="9"/>
        <v>208.5</v>
      </c>
      <c r="T67">
        <v>1</v>
      </c>
      <c r="U67" s="4" t="s">
        <v>278</v>
      </c>
      <c r="V67" s="4" t="s">
        <v>279</v>
      </c>
      <c r="W67" s="4" t="s">
        <v>167</v>
      </c>
      <c r="X67" s="5">
        <f t="shared" ref="X67:X114" si="11">IF(D67&lt;=30,0,(D67-30)*2.5)</f>
        <v>0</v>
      </c>
      <c r="Y67" s="5">
        <f t="shared" ref="Y67:AA114" si="12">IF(E67&lt;=25,0,(E67-25)*2.5)</f>
        <v>0</v>
      </c>
      <c r="Z67" s="5">
        <f t="shared" si="12"/>
        <v>1.25</v>
      </c>
      <c r="AA67" s="5">
        <f t="shared" si="12"/>
        <v>0</v>
      </c>
      <c r="AB67" s="5">
        <f t="shared" ref="AB67:AL106" si="13">IF(H67&lt;=30,0,(H67-30)*2.5)</f>
        <v>22.5</v>
      </c>
      <c r="AC67" s="5">
        <f t="shared" si="13"/>
        <v>11.25</v>
      </c>
      <c r="AD67" s="5">
        <f t="shared" si="13"/>
        <v>0</v>
      </c>
      <c r="AE67" s="5">
        <f t="shared" si="13"/>
        <v>56.25</v>
      </c>
      <c r="AF67" s="5">
        <f t="shared" si="13"/>
        <v>0</v>
      </c>
      <c r="AG67" s="5">
        <f t="shared" si="13"/>
        <v>15</v>
      </c>
      <c r="AH67" s="5">
        <f t="shared" si="8"/>
        <v>0</v>
      </c>
      <c r="AI67" s="5">
        <f t="shared" si="8"/>
        <v>0</v>
      </c>
      <c r="AJ67" s="5">
        <f t="shared" si="8"/>
        <v>0</v>
      </c>
      <c r="AK67" s="5">
        <f t="shared" si="8"/>
        <v>0</v>
      </c>
      <c r="AL67" s="5">
        <f t="shared" si="8"/>
        <v>0</v>
      </c>
      <c r="AM67" s="6">
        <f t="shared" si="10"/>
        <v>106.25</v>
      </c>
    </row>
    <row r="68" spans="1:39" x14ac:dyDescent="0.25">
      <c r="A68" s="4" t="s">
        <v>280</v>
      </c>
      <c r="B68" s="4" t="s">
        <v>281</v>
      </c>
      <c r="C68" s="4" t="s">
        <v>167</v>
      </c>
      <c r="D68" s="5"/>
      <c r="E68" s="6">
        <v>30.8</v>
      </c>
      <c r="F68" s="6">
        <v>39</v>
      </c>
      <c r="G68" s="6">
        <v>13.5</v>
      </c>
      <c r="H68" s="6">
        <v>39</v>
      </c>
      <c r="I68" s="6">
        <v>57</v>
      </c>
      <c r="J68" s="6">
        <v>45</v>
      </c>
      <c r="K68" s="6"/>
      <c r="L68" s="6"/>
      <c r="M68" s="6">
        <v>37.5</v>
      </c>
      <c r="N68" s="6"/>
      <c r="O68" s="3"/>
      <c r="P68" s="3"/>
      <c r="Q68" s="3"/>
      <c r="R68" s="3"/>
      <c r="S68" s="6">
        <f t="shared" si="9"/>
        <v>261.8</v>
      </c>
      <c r="T68">
        <v>1</v>
      </c>
      <c r="U68" s="4" t="s">
        <v>280</v>
      </c>
      <c r="V68" s="4" t="s">
        <v>281</v>
      </c>
      <c r="W68" s="4" t="s">
        <v>167</v>
      </c>
      <c r="X68" s="5">
        <f t="shared" si="11"/>
        <v>0</v>
      </c>
      <c r="Y68" s="5">
        <f t="shared" si="12"/>
        <v>14.500000000000002</v>
      </c>
      <c r="Z68" s="5">
        <f t="shared" si="12"/>
        <v>35</v>
      </c>
      <c r="AA68" s="5">
        <f t="shared" si="12"/>
        <v>0</v>
      </c>
      <c r="AB68" s="5">
        <f t="shared" si="13"/>
        <v>22.5</v>
      </c>
      <c r="AC68" s="5">
        <f t="shared" si="13"/>
        <v>67.5</v>
      </c>
      <c r="AD68" s="5">
        <f t="shared" si="13"/>
        <v>37.5</v>
      </c>
      <c r="AE68" s="5">
        <f t="shared" si="13"/>
        <v>0</v>
      </c>
      <c r="AF68" s="5">
        <f t="shared" si="13"/>
        <v>0</v>
      </c>
      <c r="AG68" s="5">
        <f t="shared" si="13"/>
        <v>18.75</v>
      </c>
      <c r="AH68" s="5">
        <f t="shared" si="8"/>
        <v>0</v>
      </c>
      <c r="AI68" s="5">
        <f t="shared" si="8"/>
        <v>0</v>
      </c>
      <c r="AJ68" s="5">
        <f t="shared" si="8"/>
        <v>0</v>
      </c>
      <c r="AK68" s="5">
        <f t="shared" si="8"/>
        <v>0</v>
      </c>
      <c r="AL68" s="5">
        <f t="shared" si="8"/>
        <v>0</v>
      </c>
      <c r="AM68" s="6">
        <f t="shared" si="10"/>
        <v>195.75</v>
      </c>
    </row>
    <row r="69" spans="1:39" hidden="1" x14ac:dyDescent="0.25">
      <c r="A69" s="4" t="s">
        <v>282</v>
      </c>
      <c r="B69" s="4" t="s">
        <v>283</v>
      </c>
      <c r="C69" s="4" t="s">
        <v>167</v>
      </c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3"/>
      <c r="P69" s="3"/>
      <c r="Q69" s="3"/>
      <c r="R69" s="3"/>
      <c r="S69" s="6">
        <f t="shared" si="9"/>
        <v>0</v>
      </c>
      <c r="T69">
        <v>1</v>
      </c>
      <c r="U69" s="4" t="s">
        <v>282</v>
      </c>
      <c r="V69" s="4" t="s">
        <v>283</v>
      </c>
      <c r="W69" s="4" t="s">
        <v>167</v>
      </c>
      <c r="X69" s="5">
        <f t="shared" si="11"/>
        <v>0</v>
      </c>
      <c r="Y69" s="5">
        <f t="shared" si="12"/>
        <v>0</v>
      </c>
      <c r="Z69" s="5">
        <f t="shared" si="12"/>
        <v>0</v>
      </c>
      <c r="AA69" s="5">
        <f t="shared" si="12"/>
        <v>0</v>
      </c>
      <c r="AB69" s="5">
        <f t="shared" si="13"/>
        <v>0</v>
      </c>
      <c r="AC69" s="5">
        <f t="shared" si="13"/>
        <v>0</v>
      </c>
      <c r="AD69" s="5">
        <f t="shared" si="13"/>
        <v>0</v>
      </c>
      <c r="AE69" s="5">
        <f t="shared" si="13"/>
        <v>0</v>
      </c>
      <c r="AF69" s="5">
        <f t="shared" si="13"/>
        <v>0</v>
      </c>
      <c r="AG69" s="5">
        <f t="shared" si="13"/>
        <v>0</v>
      </c>
      <c r="AH69" s="5">
        <f t="shared" si="8"/>
        <v>0</v>
      </c>
      <c r="AI69" s="5">
        <f t="shared" si="8"/>
        <v>0</v>
      </c>
      <c r="AJ69" s="5">
        <f t="shared" si="8"/>
        <v>0</v>
      </c>
      <c r="AK69" s="5">
        <f t="shared" si="8"/>
        <v>0</v>
      </c>
      <c r="AL69" s="5">
        <f t="shared" si="8"/>
        <v>0</v>
      </c>
      <c r="AM69" s="6">
        <f t="shared" si="10"/>
        <v>0</v>
      </c>
    </row>
    <row r="70" spans="1:39" hidden="1" x14ac:dyDescent="0.25">
      <c r="A70" s="4" t="s">
        <v>284</v>
      </c>
      <c r="B70" s="4" t="s">
        <v>285</v>
      </c>
      <c r="C70" s="4" t="s">
        <v>167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3"/>
      <c r="P70" s="3"/>
      <c r="Q70" s="3"/>
      <c r="R70" s="3"/>
      <c r="S70" s="6">
        <f t="shared" si="9"/>
        <v>0</v>
      </c>
      <c r="T70">
        <v>1</v>
      </c>
      <c r="U70" s="4" t="s">
        <v>284</v>
      </c>
      <c r="V70" s="4" t="s">
        <v>285</v>
      </c>
      <c r="W70" s="4" t="s">
        <v>167</v>
      </c>
      <c r="X70" s="5">
        <f t="shared" si="11"/>
        <v>0</v>
      </c>
      <c r="Y70" s="5">
        <f t="shared" si="12"/>
        <v>0</v>
      </c>
      <c r="Z70" s="5">
        <f t="shared" si="12"/>
        <v>0</v>
      </c>
      <c r="AA70" s="5">
        <f t="shared" si="12"/>
        <v>0</v>
      </c>
      <c r="AB70" s="5">
        <f t="shared" si="13"/>
        <v>0</v>
      </c>
      <c r="AC70" s="5">
        <f t="shared" si="13"/>
        <v>0</v>
      </c>
      <c r="AD70" s="5">
        <f t="shared" si="13"/>
        <v>0</v>
      </c>
      <c r="AE70" s="5">
        <f t="shared" si="13"/>
        <v>0</v>
      </c>
      <c r="AF70" s="5">
        <f t="shared" si="13"/>
        <v>0</v>
      </c>
      <c r="AG70" s="5">
        <f t="shared" si="13"/>
        <v>0</v>
      </c>
      <c r="AH70" s="5">
        <f t="shared" si="8"/>
        <v>0</v>
      </c>
      <c r="AI70" s="5">
        <f t="shared" si="8"/>
        <v>0</v>
      </c>
      <c r="AJ70" s="5">
        <f t="shared" si="8"/>
        <v>0</v>
      </c>
      <c r="AK70" s="5">
        <f t="shared" si="8"/>
        <v>0</v>
      </c>
      <c r="AL70" s="5">
        <f t="shared" si="8"/>
        <v>0</v>
      </c>
      <c r="AM70" s="6">
        <f t="shared" si="10"/>
        <v>0</v>
      </c>
    </row>
    <row r="71" spans="1:39" hidden="1" x14ac:dyDescent="0.25">
      <c r="A71" s="4" t="s">
        <v>286</v>
      </c>
      <c r="B71" s="4" t="s">
        <v>287</v>
      </c>
      <c r="C71" s="4" t="s">
        <v>167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3"/>
      <c r="P71" s="3"/>
      <c r="Q71" s="3"/>
      <c r="R71" s="3"/>
      <c r="S71" s="6">
        <f t="shared" si="9"/>
        <v>0</v>
      </c>
      <c r="T71">
        <v>1</v>
      </c>
      <c r="U71" s="4" t="s">
        <v>286</v>
      </c>
      <c r="V71" s="4" t="s">
        <v>287</v>
      </c>
      <c r="W71" s="4" t="s">
        <v>167</v>
      </c>
      <c r="X71" s="5">
        <f t="shared" si="11"/>
        <v>0</v>
      </c>
      <c r="Y71" s="5">
        <f t="shared" si="12"/>
        <v>0</v>
      </c>
      <c r="Z71" s="5">
        <f t="shared" si="12"/>
        <v>0</v>
      </c>
      <c r="AA71" s="5">
        <f t="shared" si="12"/>
        <v>0</v>
      </c>
      <c r="AB71" s="5">
        <f t="shared" si="13"/>
        <v>0</v>
      </c>
      <c r="AC71" s="5">
        <f t="shared" si="13"/>
        <v>0</v>
      </c>
      <c r="AD71" s="5">
        <f t="shared" si="13"/>
        <v>0</v>
      </c>
      <c r="AE71" s="5">
        <f t="shared" si="13"/>
        <v>0</v>
      </c>
      <c r="AF71" s="5">
        <f t="shared" si="13"/>
        <v>0</v>
      </c>
      <c r="AG71" s="5">
        <f t="shared" si="13"/>
        <v>0</v>
      </c>
      <c r="AH71" s="5">
        <f t="shared" si="8"/>
        <v>0</v>
      </c>
      <c r="AI71" s="5">
        <f t="shared" si="8"/>
        <v>0</v>
      </c>
      <c r="AJ71" s="5">
        <f t="shared" si="8"/>
        <v>0</v>
      </c>
      <c r="AK71" s="5">
        <f t="shared" si="8"/>
        <v>0</v>
      </c>
      <c r="AL71" s="5">
        <f t="shared" si="8"/>
        <v>0</v>
      </c>
      <c r="AM71" s="6">
        <f t="shared" si="10"/>
        <v>0</v>
      </c>
    </row>
    <row r="72" spans="1:39" hidden="1" x14ac:dyDescent="0.25">
      <c r="A72" s="4" t="s">
        <v>288</v>
      </c>
      <c r="B72" s="4" t="s">
        <v>289</v>
      </c>
      <c r="C72" s="4" t="s">
        <v>167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3"/>
      <c r="P72" s="3"/>
      <c r="Q72" s="3"/>
      <c r="R72" s="3"/>
      <c r="S72" s="6">
        <f t="shared" si="9"/>
        <v>0</v>
      </c>
      <c r="T72">
        <v>1</v>
      </c>
      <c r="U72" s="4" t="s">
        <v>288</v>
      </c>
      <c r="V72" s="4" t="s">
        <v>289</v>
      </c>
      <c r="W72" s="4" t="s">
        <v>167</v>
      </c>
      <c r="X72" s="5">
        <f t="shared" si="11"/>
        <v>0</v>
      </c>
      <c r="Y72" s="5">
        <f t="shared" si="12"/>
        <v>0</v>
      </c>
      <c r="Z72" s="5">
        <f t="shared" si="12"/>
        <v>0</v>
      </c>
      <c r="AA72" s="5">
        <f t="shared" si="12"/>
        <v>0</v>
      </c>
      <c r="AB72" s="5">
        <f t="shared" si="13"/>
        <v>0</v>
      </c>
      <c r="AC72" s="5">
        <f t="shared" si="13"/>
        <v>0</v>
      </c>
      <c r="AD72" s="5">
        <f t="shared" si="13"/>
        <v>0</v>
      </c>
      <c r="AE72" s="5">
        <f t="shared" si="13"/>
        <v>0</v>
      </c>
      <c r="AF72" s="5">
        <f t="shared" si="13"/>
        <v>0</v>
      </c>
      <c r="AG72" s="5">
        <f t="shared" si="13"/>
        <v>0</v>
      </c>
      <c r="AH72" s="5">
        <f t="shared" si="8"/>
        <v>0</v>
      </c>
      <c r="AI72" s="5">
        <f t="shared" si="8"/>
        <v>0</v>
      </c>
      <c r="AJ72" s="5">
        <f t="shared" si="8"/>
        <v>0</v>
      </c>
      <c r="AK72" s="5">
        <f t="shared" si="8"/>
        <v>0</v>
      </c>
      <c r="AL72" s="5">
        <f t="shared" si="8"/>
        <v>0</v>
      </c>
      <c r="AM72" s="6">
        <f t="shared" si="10"/>
        <v>0</v>
      </c>
    </row>
    <row r="73" spans="1:39" hidden="1" x14ac:dyDescent="0.25">
      <c r="A73" s="4" t="s">
        <v>129</v>
      </c>
      <c r="B73" s="4" t="s">
        <v>130</v>
      </c>
      <c r="C73" s="4" t="s">
        <v>167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3"/>
      <c r="P73" s="3"/>
      <c r="Q73" s="3"/>
      <c r="R73" s="3"/>
      <c r="S73" s="6">
        <f t="shared" si="9"/>
        <v>0</v>
      </c>
      <c r="T73">
        <v>1</v>
      </c>
      <c r="U73" s="4" t="s">
        <v>129</v>
      </c>
      <c r="V73" s="4" t="s">
        <v>130</v>
      </c>
      <c r="W73" s="4" t="s">
        <v>167</v>
      </c>
      <c r="X73" s="5">
        <f t="shared" si="11"/>
        <v>0</v>
      </c>
      <c r="Y73" s="5">
        <f t="shared" si="12"/>
        <v>0</v>
      </c>
      <c r="Z73" s="5">
        <f t="shared" si="12"/>
        <v>0</v>
      </c>
      <c r="AA73" s="5">
        <f t="shared" si="12"/>
        <v>0</v>
      </c>
      <c r="AB73" s="5">
        <f t="shared" si="13"/>
        <v>0</v>
      </c>
      <c r="AC73" s="5">
        <f t="shared" si="13"/>
        <v>0</v>
      </c>
      <c r="AD73" s="5">
        <f t="shared" si="13"/>
        <v>0</v>
      </c>
      <c r="AE73" s="5">
        <f t="shared" si="13"/>
        <v>0</v>
      </c>
      <c r="AF73" s="5">
        <f t="shared" si="13"/>
        <v>0</v>
      </c>
      <c r="AG73" s="5">
        <f t="shared" si="13"/>
        <v>0</v>
      </c>
      <c r="AH73" s="5">
        <f t="shared" si="8"/>
        <v>0</v>
      </c>
      <c r="AI73" s="5">
        <f t="shared" si="8"/>
        <v>0</v>
      </c>
      <c r="AJ73" s="5">
        <f t="shared" si="8"/>
        <v>0</v>
      </c>
      <c r="AK73" s="5">
        <f t="shared" si="8"/>
        <v>0</v>
      </c>
      <c r="AL73" s="5">
        <f t="shared" si="8"/>
        <v>0</v>
      </c>
      <c r="AM73" s="6">
        <f t="shared" si="10"/>
        <v>0</v>
      </c>
    </row>
    <row r="74" spans="1:39" hidden="1" x14ac:dyDescent="0.25">
      <c r="A74" s="4" t="s">
        <v>290</v>
      </c>
      <c r="B74" s="4" t="s">
        <v>291</v>
      </c>
      <c r="C74" s="4" t="s">
        <v>167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3"/>
      <c r="P74" s="3"/>
      <c r="Q74" s="3"/>
      <c r="R74" s="3"/>
      <c r="S74" s="6">
        <f t="shared" si="9"/>
        <v>0</v>
      </c>
      <c r="T74">
        <v>1</v>
      </c>
      <c r="U74" s="4" t="s">
        <v>290</v>
      </c>
      <c r="V74" s="4" t="s">
        <v>291</v>
      </c>
      <c r="W74" s="4" t="s">
        <v>167</v>
      </c>
      <c r="X74" s="5">
        <f t="shared" si="11"/>
        <v>0</v>
      </c>
      <c r="Y74" s="5">
        <f t="shared" si="12"/>
        <v>0</v>
      </c>
      <c r="Z74" s="5">
        <f t="shared" si="12"/>
        <v>0</v>
      </c>
      <c r="AA74" s="5">
        <f t="shared" si="12"/>
        <v>0</v>
      </c>
      <c r="AB74" s="5">
        <f t="shared" si="13"/>
        <v>0</v>
      </c>
      <c r="AC74" s="5">
        <f t="shared" si="13"/>
        <v>0</v>
      </c>
      <c r="AD74" s="5">
        <f t="shared" si="13"/>
        <v>0</v>
      </c>
      <c r="AE74" s="5">
        <f t="shared" si="13"/>
        <v>0</v>
      </c>
      <c r="AF74" s="5">
        <f t="shared" si="13"/>
        <v>0</v>
      </c>
      <c r="AG74" s="5">
        <f t="shared" si="13"/>
        <v>0</v>
      </c>
      <c r="AH74" s="5">
        <f t="shared" si="8"/>
        <v>0</v>
      </c>
      <c r="AI74" s="5">
        <f t="shared" si="8"/>
        <v>0</v>
      </c>
      <c r="AJ74" s="5">
        <f t="shared" si="8"/>
        <v>0</v>
      </c>
      <c r="AK74" s="5">
        <f t="shared" si="8"/>
        <v>0</v>
      </c>
      <c r="AL74" s="5">
        <f t="shared" si="8"/>
        <v>0</v>
      </c>
      <c r="AM74" s="6">
        <f t="shared" si="10"/>
        <v>0</v>
      </c>
    </row>
    <row r="75" spans="1:39" hidden="1" x14ac:dyDescent="0.25">
      <c r="A75" s="4" t="s">
        <v>292</v>
      </c>
      <c r="B75" s="4" t="s">
        <v>293</v>
      </c>
      <c r="C75" s="4" t="s">
        <v>167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3"/>
      <c r="P75" s="3"/>
      <c r="Q75" s="3"/>
      <c r="R75" s="3"/>
      <c r="S75" s="6">
        <f t="shared" si="9"/>
        <v>0</v>
      </c>
      <c r="T75">
        <v>1</v>
      </c>
      <c r="U75" s="4" t="s">
        <v>292</v>
      </c>
      <c r="V75" s="4" t="s">
        <v>293</v>
      </c>
      <c r="W75" s="4" t="s">
        <v>167</v>
      </c>
      <c r="X75" s="5">
        <f t="shared" si="11"/>
        <v>0</v>
      </c>
      <c r="Y75" s="5">
        <f t="shared" si="12"/>
        <v>0</v>
      </c>
      <c r="Z75" s="5">
        <f t="shared" si="12"/>
        <v>0</v>
      </c>
      <c r="AA75" s="5">
        <f t="shared" si="12"/>
        <v>0</v>
      </c>
      <c r="AB75" s="5">
        <f t="shared" si="13"/>
        <v>0</v>
      </c>
      <c r="AC75" s="5">
        <f t="shared" si="13"/>
        <v>0</v>
      </c>
      <c r="AD75" s="5">
        <f t="shared" si="13"/>
        <v>0</v>
      </c>
      <c r="AE75" s="5">
        <f t="shared" si="13"/>
        <v>0</v>
      </c>
      <c r="AF75" s="5">
        <f t="shared" si="13"/>
        <v>0</v>
      </c>
      <c r="AG75" s="5">
        <f t="shared" si="13"/>
        <v>0</v>
      </c>
      <c r="AH75" s="5">
        <f t="shared" si="8"/>
        <v>0</v>
      </c>
      <c r="AI75" s="5">
        <f t="shared" si="8"/>
        <v>0</v>
      </c>
      <c r="AJ75" s="5">
        <f t="shared" si="8"/>
        <v>0</v>
      </c>
      <c r="AK75" s="5">
        <f t="shared" si="8"/>
        <v>0</v>
      </c>
      <c r="AL75" s="5">
        <f t="shared" si="8"/>
        <v>0</v>
      </c>
      <c r="AM75" s="6">
        <f t="shared" si="10"/>
        <v>0</v>
      </c>
    </row>
    <row r="76" spans="1:39" hidden="1" x14ac:dyDescent="0.25">
      <c r="A76" s="4" t="s">
        <v>294</v>
      </c>
      <c r="B76" s="4" t="s">
        <v>295</v>
      </c>
      <c r="C76" s="4" t="s">
        <v>167</v>
      </c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3"/>
      <c r="P76" s="3"/>
      <c r="Q76" s="3"/>
      <c r="R76" s="3"/>
      <c r="S76" s="6">
        <f t="shared" si="9"/>
        <v>0</v>
      </c>
      <c r="T76">
        <v>1</v>
      </c>
      <c r="U76" s="4" t="s">
        <v>294</v>
      </c>
      <c r="V76" s="4" t="s">
        <v>295</v>
      </c>
      <c r="W76" s="4" t="s">
        <v>167</v>
      </c>
      <c r="X76" s="5">
        <f t="shared" si="11"/>
        <v>0</v>
      </c>
      <c r="Y76" s="5">
        <f t="shared" si="12"/>
        <v>0</v>
      </c>
      <c r="Z76" s="5">
        <f t="shared" si="12"/>
        <v>0</v>
      </c>
      <c r="AA76" s="5">
        <f t="shared" si="12"/>
        <v>0</v>
      </c>
      <c r="AB76" s="5">
        <f t="shared" si="13"/>
        <v>0</v>
      </c>
      <c r="AC76" s="5">
        <f t="shared" si="13"/>
        <v>0</v>
      </c>
      <c r="AD76" s="5">
        <f t="shared" si="13"/>
        <v>0</v>
      </c>
      <c r="AE76" s="5">
        <f t="shared" si="13"/>
        <v>0</v>
      </c>
      <c r="AF76" s="5">
        <f t="shared" si="13"/>
        <v>0</v>
      </c>
      <c r="AG76" s="5">
        <f t="shared" si="13"/>
        <v>0</v>
      </c>
      <c r="AH76" s="5">
        <f t="shared" si="8"/>
        <v>0</v>
      </c>
      <c r="AI76" s="5">
        <f t="shared" si="8"/>
        <v>0</v>
      </c>
      <c r="AJ76" s="5">
        <f t="shared" si="8"/>
        <v>0</v>
      </c>
      <c r="AK76" s="5">
        <f t="shared" si="8"/>
        <v>0</v>
      </c>
      <c r="AL76" s="5">
        <f t="shared" si="8"/>
        <v>0</v>
      </c>
      <c r="AM76" s="6">
        <f t="shared" si="10"/>
        <v>0</v>
      </c>
    </row>
    <row r="77" spans="1:39" hidden="1" x14ac:dyDescent="0.25">
      <c r="A77" s="4" t="s">
        <v>296</v>
      </c>
      <c r="B77" s="4" t="s">
        <v>297</v>
      </c>
      <c r="C77" s="4" t="s">
        <v>167</v>
      </c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3"/>
      <c r="P77" s="3"/>
      <c r="Q77" s="3"/>
      <c r="R77" s="3"/>
      <c r="S77" s="6">
        <f t="shared" si="9"/>
        <v>0</v>
      </c>
      <c r="T77">
        <v>1</v>
      </c>
      <c r="U77" s="4" t="s">
        <v>296</v>
      </c>
      <c r="V77" s="4" t="s">
        <v>297</v>
      </c>
      <c r="W77" s="4" t="s">
        <v>167</v>
      </c>
      <c r="X77" s="5">
        <f t="shared" si="11"/>
        <v>0</v>
      </c>
      <c r="Y77" s="5">
        <f t="shared" si="12"/>
        <v>0</v>
      </c>
      <c r="Z77" s="5">
        <f t="shared" si="12"/>
        <v>0</v>
      </c>
      <c r="AA77" s="5">
        <f t="shared" si="12"/>
        <v>0</v>
      </c>
      <c r="AB77" s="5">
        <f t="shared" si="13"/>
        <v>0</v>
      </c>
      <c r="AC77" s="5">
        <f t="shared" si="13"/>
        <v>0</v>
      </c>
      <c r="AD77" s="5">
        <f t="shared" si="13"/>
        <v>0</v>
      </c>
      <c r="AE77" s="5">
        <f t="shared" si="13"/>
        <v>0</v>
      </c>
      <c r="AF77" s="5">
        <f t="shared" si="13"/>
        <v>0</v>
      </c>
      <c r="AG77" s="5">
        <f t="shared" si="13"/>
        <v>0</v>
      </c>
      <c r="AH77" s="5">
        <f t="shared" si="8"/>
        <v>0</v>
      </c>
      <c r="AI77" s="5">
        <f t="shared" si="8"/>
        <v>0</v>
      </c>
      <c r="AJ77" s="5">
        <f t="shared" si="8"/>
        <v>0</v>
      </c>
      <c r="AK77" s="5">
        <f t="shared" si="8"/>
        <v>0</v>
      </c>
      <c r="AL77" s="5">
        <f t="shared" si="8"/>
        <v>0</v>
      </c>
      <c r="AM77" s="6">
        <f t="shared" si="10"/>
        <v>0</v>
      </c>
    </row>
    <row r="78" spans="1:39" hidden="1" x14ac:dyDescent="0.25">
      <c r="A78" s="4" t="s">
        <v>298</v>
      </c>
      <c r="B78" s="4" t="s">
        <v>299</v>
      </c>
      <c r="C78" s="4" t="s">
        <v>167</v>
      </c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3"/>
      <c r="P78" s="3"/>
      <c r="Q78" s="3"/>
      <c r="R78" s="3"/>
      <c r="S78" s="6">
        <f t="shared" si="9"/>
        <v>0</v>
      </c>
      <c r="T78">
        <v>1</v>
      </c>
      <c r="U78" s="4" t="s">
        <v>298</v>
      </c>
      <c r="V78" s="4" t="s">
        <v>299</v>
      </c>
      <c r="W78" s="4" t="s">
        <v>167</v>
      </c>
      <c r="X78" s="5">
        <f t="shared" si="11"/>
        <v>0</v>
      </c>
      <c r="Y78" s="5">
        <f t="shared" si="12"/>
        <v>0</v>
      </c>
      <c r="Z78" s="5">
        <f t="shared" si="12"/>
        <v>0</v>
      </c>
      <c r="AA78" s="5">
        <f t="shared" si="12"/>
        <v>0</v>
      </c>
      <c r="AB78" s="5">
        <f t="shared" si="13"/>
        <v>0</v>
      </c>
      <c r="AC78" s="5">
        <f t="shared" si="13"/>
        <v>0</v>
      </c>
      <c r="AD78" s="5">
        <f t="shared" si="13"/>
        <v>0</v>
      </c>
      <c r="AE78" s="5">
        <f t="shared" si="13"/>
        <v>0</v>
      </c>
      <c r="AF78" s="5">
        <f t="shared" si="13"/>
        <v>0</v>
      </c>
      <c r="AG78" s="5">
        <f t="shared" si="13"/>
        <v>0</v>
      </c>
      <c r="AH78" s="5">
        <f t="shared" si="8"/>
        <v>0</v>
      </c>
      <c r="AI78" s="5">
        <f t="shared" si="8"/>
        <v>0</v>
      </c>
      <c r="AJ78" s="5">
        <f t="shared" si="8"/>
        <v>0</v>
      </c>
      <c r="AK78" s="5">
        <f t="shared" si="8"/>
        <v>0</v>
      </c>
      <c r="AL78" s="5">
        <f t="shared" si="8"/>
        <v>0</v>
      </c>
      <c r="AM78" s="6">
        <f t="shared" si="10"/>
        <v>0</v>
      </c>
    </row>
    <row r="79" spans="1:39" hidden="1" x14ac:dyDescent="0.25">
      <c r="A79" s="4" t="s">
        <v>300</v>
      </c>
      <c r="B79" s="4" t="s">
        <v>301</v>
      </c>
      <c r="C79" s="4" t="s">
        <v>167</v>
      </c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3"/>
      <c r="P79" s="3"/>
      <c r="Q79" s="3"/>
      <c r="R79" s="3"/>
      <c r="S79" s="6">
        <f t="shared" si="9"/>
        <v>0</v>
      </c>
      <c r="T79">
        <v>1</v>
      </c>
      <c r="U79" s="4" t="s">
        <v>300</v>
      </c>
      <c r="V79" s="4" t="s">
        <v>301</v>
      </c>
      <c r="W79" s="4" t="s">
        <v>167</v>
      </c>
      <c r="X79" s="5">
        <f t="shared" si="11"/>
        <v>0</v>
      </c>
      <c r="Y79" s="5">
        <f t="shared" si="12"/>
        <v>0</v>
      </c>
      <c r="Z79" s="5">
        <f t="shared" si="12"/>
        <v>0</v>
      </c>
      <c r="AA79" s="5">
        <f t="shared" si="12"/>
        <v>0</v>
      </c>
      <c r="AB79" s="5">
        <f t="shared" si="13"/>
        <v>0</v>
      </c>
      <c r="AC79" s="5">
        <f t="shared" si="13"/>
        <v>0</v>
      </c>
      <c r="AD79" s="5">
        <f t="shared" si="13"/>
        <v>0</v>
      </c>
      <c r="AE79" s="5">
        <f t="shared" si="13"/>
        <v>0</v>
      </c>
      <c r="AF79" s="5">
        <f t="shared" si="13"/>
        <v>0</v>
      </c>
      <c r="AG79" s="5">
        <f t="shared" si="13"/>
        <v>0</v>
      </c>
      <c r="AH79" s="5">
        <f t="shared" si="8"/>
        <v>0</v>
      </c>
      <c r="AI79" s="5">
        <f t="shared" si="8"/>
        <v>0</v>
      </c>
      <c r="AJ79" s="5">
        <f t="shared" si="8"/>
        <v>0</v>
      </c>
      <c r="AK79" s="5">
        <f t="shared" si="8"/>
        <v>0</v>
      </c>
      <c r="AL79" s="5">
        <f t="shared" si="8"/>
        <v>0</v>
      </c>
      <c r="AM79" s="6">
        <f t="shared" si="10"/>
        <v>0</v>
      </c>
    </row>
    <row r="80" spans="1:39" hidden="1" x14ac:dyDescent="0.25">
      <c r="A80" s="4" t="s">
        <v>131</v>
      </c>
      <c r="B80" s="4" t="s">
        <v>132</v>
      </c>
      <c r="C80" s="4" t="s">
        <v>167</v>
      </c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3"/>
      <c r="P80" s="3"/>
      <c r="Q80" s="3"/>
      <c r="R80" s="3"/>
      <c r="S80" s="6">
        <f t="shared" si="9"/>
        <v>0</v>
      </c>
      <c r="T80">
        <v>1</v>
      </c>
      <c r="U80" s="4" t="s">
        <v>131</v>
      </c>
      <c r="V80" s="4" t="s">
        <v>132</v>
      </c>
      <c r="W80" s="4" t="s">
        <v>167</v>
      </c>
      <c r="X80" s="5">
        <f t="shared" si="11"/>
        <v>0</v>
      </c>
      <c r="Y80" s="5">
        <f t="shared" si="12"/>
        <v>0</v>
      </c>
      <c r="Z80" s="5">
        <f t="shared" si="12"/>
        <v>0</v>
      </c>
      <c r="AA80" s="5">
        <f t="shared" si="12"/>
        <v>0</v>
      </c>
      <c r="AB80" s="5">
        <f t="shared" si="13"/>
        <v>0</v>
      </c>
      <c r="AC80" s="5">
        <f t="shared" si="13"/>
        <v>0</v>
      </c>
      <c r="AD80" s="5">
        <f t="shared" si="13"/>
        <v>0</v>
      </c>
      <c r="AE80" s="5">
        <f t="shared" si="13"/>
        <v>0</v>
      </c>
      <c r="AF80" s="5">
        <f t="shared" si="13"/>
        <v>0</v>
      </c>
      <c r="AG80" s="5">
        <f t="shared" si="13"/>
        <v>0</v>
      </c>
      <c r="AH80" s="5">
        <f t="shared" si="8"/>
        <v>0</v>
      </c>
      <c r="AI80" s="5">
        <f t="shared" si="8"/>
        <v>0</v>
      </c>
      <c r="AJ80" s="5">
        <f t="shared" si="8"/>
        <v>0</v>
      </c>
      <c r="AK80" s="5">
        <f t="shared" si="8"/>
        <v>0</v>
      </c>
      <c r="AL80" s="5">
        <f t="shared" si="8"/>
        <v>0</v>
      </c>
      <c r="AM80" s="6">
        <f t="shared" si="10"/>
        <v>0</v>
      </c>
    </row>
    <row r="81" spans="1:39" hidden="1" x14ac:dyDescent="0.25">
      <c r="A81" s="4" t="s">
        <v>302</v>
      </c>
      <c r="B81" s="4" t="s">
        <v>303</v>
      </c>
      <c r="C81" s="4" t="s">
        <v>167</v>
      </c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3"/>
      <c r="P81" s="3"/>
      <c r="Q81" s="3"/>
      <c r="R81" s="3"/>
      <c r="S81" s="6">
        <f t="shared" si="9"/>
        <v>0</v>
      </c>
      <c r="T81">
        <v>1</v>
      </c>
      <c r="U81" s="4" t="s">
        <v>302</v>
      </c>
      <c r="V81" s="4" t="s">
        <v>303</v>
      </c>
      <c r="W81" s="4" t="s">
        <v>167</v>
      </c>
      <c r="X81" s="5">
        <f t="shared" si="11"/>
        <v>0</v>
      </c>
      <c r="Y81" s="5">
        <f t="shared" si="12"/>
        <v>0</v>
      </c>
      <c r="Z81" s="5">
        <f t="shared" si="12"/>
        <v>0</v>
      </c>
      <c r="AA81" s="5">
        <f t="shared" si="12"/>
        <v>0</v>
      </c>
      <c r="AB81" s="5">
        <f t="shared" si="13"/>
        <v>0</v>
      </c>
      <c r="AC81" s="5">
        <f t="shared" si="13"/>
        <v>0</v>
      </c>
      <c r="AD81" s="5">
        <f t="shared" si="13"/>
        <v>0</v>
      </c>
      <c r="AE81" s="5">
        <f t="shared" si="13"/>
        <v>0</v>
      </c>
      <c r="AF81" s="5">
        <f t="shared" si="13"/>
        <v>0</v>
      </c>
      <c r="AG81" s="5">
        <f t="shared" si="13"/>
        <v>0</v>
      </c>
      <c r="AH81" s="5">
        <f t="shared" si="8"/>
        <v>0</v>
      </c>
      <c r="AI81" s="5">
        <f t="shared" si="8"/>
        <v>0</v>
      </c>
      <c r="AJ81" s="5">
        <f t="shared" si="8"/>
        <v>0</v>
      </c>
      <c r="AK81" s="5">
        <f t="shared" si="8"/>
        <v>0</v>
      </c>
      <c r="AL81" s="5">
        <f t="shared" si="8"/>
        <v>0</v>
      </c>
      <c r="AM81" s="6">
        <f t="shared" si="10"/>
        <v>0</v>
      </c>
    </row>
    <row r="82" spans="1:39" hidden="1" x14ac:dyDescent="0.25">
      <c r="A82" s="4" t="s">
        <v>304</v>
      </c>
      <c r="B82" s="4" t="s">
        <v>305</v>
      </c>
      <c r="C82" s="4" t="s">
        <v>167</v>
      </c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3"/>
      <c r="P82" s="3"/>
      <c r="Q82" s="3"/>
      <c r="R82" s="3"/>
      <c r="S82" s="6">
        <f t="shared" si="9"/>
        <v>0</v>
      </c>
      <c r="T82">
        <v>1</v>
      </c>
      <c r="U82" s="4" t="s">
        <v>304</v>
      </c>
      <c r="V82" s="4" t="s">
        <v>305</v>
      </c>
      <c r="W82" s="4" t="s">
        <v>167</v>
      </c>
      <c r="X82" s="5">
        <f t="shared" si="11"/>
        <v>0</v>
      </c>
      <c r="Y82" s="5">
        <f t="shared" si="12"/>
        <v>0</v>
      </c>
      <c r="Z82" s="5">
        <f t="shared" si="12"/>
        <v>0</v>
      </c>
      <c r="AA82" s="5">
        <f t="shared" si="12"/>
        <v>0</v>
      </c>
      <c r="AB82" s="5">
        <f t="shared" si="13"/>
        <v>0</v>
      </c>
      <c r="AC82" s="5">
        <f t="shared" si="13"/>
        <v>0</v>
      </c>
      <c r="AD82" s="5">
        <f t="shared" si="13"/>
        <v>0</v>
      </c>
      <c r="AE82" s="5">
        <f t="shared" si="13"/>
        <v>0</v>
      </c>
      <c r="AF82" s="5">
        <f t="shared" si="13"/>
        <v>0</v>
      </c>
      <c r="AG82" s="5">
        <f t="shared" si="13"/>
        <v>0</v>
      </c>
      <c r="AH82" s="5">
        <f t="shared" si="8"/>
        <v>0</v>
      </c>
      <c r="AI82" s="5">
        <f t="shared" si="8"/>
        <v>0</v>
      </c>
      <c r="AJ82" s="5">
        <f t="shared" si="8"/>
        <v>0</v>
      </c>
      <c r="AK82" s="5">
        <f t="shared" si="8"/>
        <v>0</v>
      </c>
      <c r="AL82" s="5">
        <f t="shared" si="8"/>
        <v>0</v>
      </c>
      <c r="AM82" s="6">
        <f t="shared" si="10"/>
        <v>0</v>
      </c>
    </row>
    <row r="83" spans="1:39" hidden="1" x14ac:dyDescent="0.25">
      <c r="A83" s="4" t="s">
        <v>133</v>
      </c>
      <c r="B83" s="4" t="s">
        <v>134</v>
      </c>
      <c r="C83" s="4" t="s">
        <v>167</v>
      </c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3"/>
      <c r="P83" s="3"/>
      <c r="Q83" s="3"/>
      <c r="R83" s="3"/>
      <c r="S83" s="6">
        <f t="shared" si="9"/>
        <v>0</v>
      </c>
      <c r="T83">
        <v>1</v>
      </c>
      <c r="U83" s="4" t="s">
        <v>133</v>
      </c>
      <c r="V83" s="4" t="s">
        <v>134</v>
      </c>
      <c r="W83" s="4" t="s">
        <v>167</v>
      </c>
      <c r="X83" s="5">
        <f t="shared" si="11"/>
        <v>0</v>
      </c>
      <c r="Y83" s="5">
        <f t="shared" si="12"/>
        <v>0</v>
      </c>
      <c r="Z83" s="5">
        <f t="shared" si="12"/>
        <v>0</v>
      </c>
      <c r="AA83" s="5">
        <f t="shared" si="12"/>
        <v>0</v>
      </c>
      <c r="AB83" s="5">
        <f t="shared" si="13"/>
        <v>0</v>
      </c>
      <c r="AC83" s="5">
        <f t="shared" si="13"/>
        <v>0</v>
      </c>
      <c r="AD83" s="5">
        <f t="shared" si="13"/>
        <v>0</v>
      </c>
      <c r="AE83" s="5">
        <f t="shared" si="13"/>
        <v>0</v>
      </c>
      <c r="AF83" s="5">
        <f t="shared" si="13"/>
        <v>0</v>
      </c>
      <c r="AG83" s="5">
        <f t="shared" si="13"/>
        <v>0</v>
      </c>
      <c r="AH83" s="5">
        <f t="shared" si="8"/>
        <v>0</v>
      </c>
      <c r="AI83" s="5">
        <f t="shared" si="8"/>
        <v>0</v>
      </c>
      <c r="AJ83" s="5">
        <f t="shared" si="8"/>
        <v>0</v>
      </c>
      <c r="AK83" s="5">
        <f t="shared" si="8"/>
        <v>0</v>
      </c>
      <c r="AL83" s="5">
        <f t="shared" si="8"/>
        <v>0</v>
      </c>
      <c r="AM83" s="6">
        <f t="shared" si="10"/>
        <v>0</v>
      </c>
    </row>
    <row r="84" spans="1:39" hidden="1" x14ac:dyDescent="0.25">
      <c r="A84" s="4" t="s">
        <v>135</v>
      </c>
      <c r="B84" s="4" t="s">
        <v>136</v>
      </c>
      <c r="C84" s="4" t="s">
        <v>167</v>
      </c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3"/>
      <c r="P84" s="3"/>
      <c r="Q84" s="3"/>
      <c r="R84" s="3"/>
      <c r="S84" s="6">
        <f t="shared" si="9"/>
        <v>0</v>
      </c>
      <c r="T84">
        <v>1</v>
      </c>
      <c r="U84" s="4" t="s">
        <v>135</v>
      </c>
      <c r="V84" s="4" t="s">
        <v>136</v>
      </c>
      <c r="W84" s="4" t="s">
        <v>167</v>
      </c>
      <c r="X84" s="5">
        <f t="shared" si="11"/>
        <v>0</v>
      </c>
      <c r="Y84" s="5">
        <f t="shared" si="12"/>
        <v>0</v>
      </c>
      <c r="Z84" s="5">
        <f t="shared" si="12"/>
        <v>0</v>
      </c>
      <c r="AA84" s="5">
        <f t="shared" si="12"/>
        <v>0</v>
      </c>
      <c r="AB84" s="5">
        <f t="shared" si="13"/>
        <v>0</v>
      </c>
      <c r="AC84" s="5">
        <f t="shared" si="13"/>
        <v>0</v>
      </c>
      <c r="AD84" s="5">
        <f t="shared" si="13"/>
        <v>0</v>
      </c>
      <c r="AE84" s="5">
        <f t="shared" si="13"/>
        <v>0</v>
      </c>
      <c r="AF84" s="5">
        <f t="shared" si="13"/>
        <v>0</v>
      </c>
      <c r="AG84" s="5">
        <f t="shared" si="13"/>
        <v>0</v>
      </c>
      <c r="AH84" s="5">
        <f t="shared" si="8"/>
        <v>0</v>
      </c>
      <c r="AI84" s="5">
        <f t="shared" si="8"/>
        <v>0</v>
      </c>
      <c r="AJ84" s="5">
        <f t="shared" si="8"/>
        <v>0</v>
      </c>
      <c r="AK84" s="5">
        <f t="shared" si="8"/>
        <v>0</v>
      </c>
      <c r="AL84" s="5">
        <f t="shared" si="8"/>
        <v>0</v>
      </c>
      <c r="AM84" s="6">
        <f t="shared" si="10"/>
        <v>0</v>
      </c>
    </row>
    <row r="85" spans="1:39" hidden="1" x14ac:dyDescent="0.25">
      <c r="A85" s="4" t="s">
        <v>306</v>
      </c>
      <c r="B85" s="4" t="s">
        <v>307</v>
      </c>
      <c r="C85" s="4" t="s">
        <v>167</v>
      </c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3"/>
      <c r="P85" s="3"/>
      <c r="Q85" s="3"/>
      <c r="R85" s="3"/>
      <c r="S85" s="6">
        <f t="shared" si="9"/>
        <v>0</v>
      </c>
      <c r="T85">
        <v>1</v>
      </c>
      <c r="U85" s="4" t="s">
        <v>306</v>
      </c>
      <c r="V85" s="4" t="s">
        <v>307</v>
      </c>
      <c r="W85" s="4" t="s">
        <v>167</v>
      </c>
      <c r="X85" s="5">
        <f t="shared" si="11"/>
        <v>0</v>
      </c>
      <c r="Y85" s="5">
        <f t="shared" si="12"/>
        <v>0</v>
      </c>
      <c r="Z85" s="5">
        <f t="shared" si="12"/>
        <v>0</v>
      </c>
      <c r="AA85" s="5">
        <f t="shared" si="12"/>
        <v>0</v>
      </c>
      <c r="AB85" s="5">
        <f t="shared" si="13"/>
        <v>0</v>
      </c>
      <c r="AC85" s="5">
        <f t="shared" si="13"/>
        <v>0</v>
      </c>
      <c r="AD85" s="5">
        <f t="shared" si="13"/>
        <v>0</v>
      </c>
      <c r="AE85" s="5">
        <f t="shared" si="13"/>
        <v>0</v>
      </c>
      <c r="AF85" s="5">
        <f t="shared" si="13"/>
        <v>0</v>
      </c>
      <c r="AG85" s="5">
        <f t="shared" si="13"/>
        <v>0</v>
      </c>
      <c r="AH85" s="5">
        <f t="shared" si="8"/>
        <v>0</v>
      </c>
      <c r="AI85" s="5">
        <f t="shared" si="8"/>
        <v>0</v>
      </c>
      <c r="AJ85" s="5">
        <f t="shared" si="8"/>
        <v>0</v>
      </c>
      <c r="AK85" s="5">
        <f t="shared" si="8"/>
        <v>0</v>
      </c>
      <c r="AL85" s="5">
        <f t="shared" si="8"/>
        <v>0</v>
      </c>
      <c r="AM85" s="6">
        <f t="shared" si="10"/>
        <v>0</v>
      </c>
    </row>
    <row r="86" spans="1:39" hidden="1" x14ac:dyDescent="0.25">
      <c r="A86" s="4" t="s">
        <v>308</v>
      </c>
      <c r="B86" s="4" t="s">
        <v>309</v>
      </c>
      <c r="C86" s="4" t="s">
        <v>167</v>
      </c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3"/>
      <c r="P86" s="3"/>
      <c r="Q86" s="3"/>
      <c r="R86" s="3"/>
      <c r="S86" s="6">
        <f t="shared" si="9"/>
        <v>0</v>
      </c>
      <c r="T86">
        <v>1</v>
      </c>
      <c r="U86" s="4" t="s">
        <v>308</v>
      </c>
      <c r="V86" s="4" t="s">
        <v>309</v>
      </c>
      <c r="W86" s="4" t="s">
        <v>167</v>
      </c>
      <c r="X86" s="5">
        <f t="shared" si="11"/>
        <v>0</v>
      </c>
      <c r="Y86" s="5">
        <f t="shared" si="12"/>
        <v>0</v>
      </c>
      <c r="Z86" s="5">
        <f t="shared" si="12"/>
        <v>0</v>
      </c>
      <c r="AA86" s="5">
        <f t="shared" si="12"/>
        <v>0</v>
      </c>
      <c r="AB86" s="5">
        <f t="shared" si="13"/>
        <v>0</v>
      </c>
      <c r="AC86" s="5">
        <f t="shared" si="13"/>
        <v>0</v>
      </c>
      <c r="AD86" s="5">
        <f t="shared" si="13"/>
        <v>0</v>
      </c>
      <c r="AE86" s="5">
        <f t="shared" si="13"/>
        <v>0</v>
      </c>
      <c r="AF86" s="5">
        <f t="shared" si="13"/>
        <v>0</v>
      </c>
      <c r="AG86" s="5">
        <f t="shared" si="13"/>
        <v>0</v>
      </c>
      <c r="AH86" s="5">
        <f t="shared" si="8"/>
        <v>0</v>
      </c>
      <c r="AI86" s="5">
        <f t="shared" si="8"/>
        <v>0</v>
      </c>
      <c r="AJ86" s="5">
        <f t="shared" si="8"/>
        <v>0</v>
      </c>
      <c r="AK86" s="5">
        <f t="shared" si="8"/>
        <v>0</v>
      </c>
      <c r="AL86" s="5">
        <f t="shared" si="8"/>
        <v>0</v>
      </c>
      <c r="AM86" s="6">
        <f t="shared" si="10"/>
        <v>0</v>
      </c>
    </row>
    <row r="87" spans="1:39" hidden="1" x14ac:dyDescent="0.25">
      <c r="A87" s="4" t="s">
        <v>310</v>
      </c>
      <c r="B87" s="4" t="s">
        <v>311</v>
      </c>
      <c r="C87" s="4" t="s">
        <v>167</v>
      </c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3"/>
      <c r="P87" s="3"/>
      <c r="Q87" s="3"/>
      <c r="R87" s="3"/>
      <c r="S87" s="6">
        <f t="shared" si="9"/>
        <v>0</v>
      </c>
      <c r="T87">
        <v>1</v>
      </c>
      <c r="U87" s="4" t="s">
        <v>310</v>
      </c>
      <c r="V87" s="4" t="s">
        <v>311</v>
      </c>
      <c r="W87" s="4" t="s">
        <v>167</v>
      </c>
      <c r="X87" s="5">
        <f t="shared" si="11"/>
        <v>0</v>
      </c>
      <c r="Y87" s="5">
        <f t="shared" si="12"/>
        <v>0</v>
      </c>
      <c r="Z87" s="5">
        <f t="shared" si="12"/>
        <v>0</v>
      </c>
      <c r="AA87" s="5">
        <f t="shared" si="12"/>
        <v>0</v>
      </c>
      <c r="AB87" s="5">
        <f t="shared" si="13"/>
        <v>0</v>
      </c>
      <c r="AC87" s="5">
        <f t="shared" si="13"/>
        <v>0</v>
      </c>
      <c r="AD87" s="5">
        <f t="shared" si="13"/>
        <v>0</v>
      </c>
      <c r="AE87" s="5">
        <f t="shared" si="13"/>
        <v>0</v>
      </c>
      <c r="AF87" s="5">
        <f t="shared" si="13"/>
        <v>0</v>
      </c>
      <c r="AG87" s="5">
        <f t="shared" si="13"/>
        <v>0</v>
      </c>
      <c r="AH87" s="5">
        <f t="shared" si="8"/>
        <v>0</v>
      </c>
      <c r="AI87" s="5">
        <f t="shared" si="8"/>
        <v>0</v>
      </c>
      <c r="AJ87" s="5">
        <f t="shared" si="8"/>
        <v>0</v>
      </c>
      <c r="AK87" s="5">
        <f t="shared" si="8"/>
        <v>0</v>
      </c>
      <c r="AL87" s="5">
        <f t="shared" si="8"/>
        <v>0</v>
      </c>
      <c r="AM87" s="6">
        <f t="shared" si="10"/>
        <v>0</v>
      </c>
    </row>
    <row r="88" spans="1:39" hidden="1" x14ac:dyDescent="0.25">
      <c r="A88" s="4" t="s">
        <v>312</v>
      </c>
      <c r="B88" s="4" t="s">
        <v>313</v>
      </c>
      <c r="C88" s="4" t="s">
        <v>167</v>
      </c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3"/>
      <c r="P88" s="3"/>
      <c r="Q88" s="3"/>
      <c r="R88" s="3"/>
      <c r="S88" s="6">
        <f t="shared" si="9"/>
        <v>0</v>
      </c>
      <c r="T88">
        <v>1</v>
      </c>
      <c r="U88" s="4" t="s">
        <v>312</v>
      </c>
      <c r="V88" s="4" t="s">
        <v>313</v>
      </c>
      <c r="W88" s="4" t="s">
        <v>167</v>
      </c>
      <c r="X88" s="5">
        <f t="shared" si="11"/>
        <v>0</v>
      </c>
      <c r="Y88" s="5">
        <f t="shared" si="12"/>
        <v>0</v>
      </c>
      <c r="Z88" s="5">
        <f t="shared" si="12"/>
        <v>0</v>
      </c>
      <c r="AA88" s="5">
        <f t="shared" si="12"/>
        <v>0</v>
      </c>
      <c r="AB88" s="5">
        <f t="shared" si="13"/>
        <v>0</v>
      </c>
      <c r="AC88" s="5">
        <f t="shared" si="13"/>
        <v>0</v>
      </c>
      <c r="AD88" s="5">
        <f t="shared" si="13"/>
        <v>0</v>
      </c>
      <c r="AE88" s="5">
        <f t="shared" si="13"/>
        <v>0</v>
      </c>
      <c r="AF88" s="5">
        <f t="shared" si="13"/>
        <v>0</v>
      </c>
      <c r="AG88" s="5">
        <f t="shared" si="13"/>
        <v>0</v>
      </c>
      <c r="AH88" s="5">
        <f t="shared" si="8"/>
        <v>0</v>
      </c>
      <c r="AI88" s="5">
        <f t="shared" si="8"/>
        <v>0</v>
      </c>
      <c r="AJ88" s="5">
        <f t="shared" si="8"/>
        <v>0</v>
      </c>
      <c r="AK88" s="5">
        <f t="shared" si="8"/>
        <v>0</v>
      </c>
      <c r="AL88" s="5">
        <f t="shared" si="8"/>
        <v>0</v>
      </c>
      <c r="AM88" s="6">
        <f t="shared" si="10"/>
        <v>0</v>
      </c>
    </row>
    <row r="89" spans="1:39" hidden="1" x14ac:dyDescent="0.25">
      <c r="A89" s="4" t="s">
        <v>314</v>
      </c>
      <c r="B89" s="4" t="s">
        <v>315</v>
      </c>
      <c r="C89" s="4" t="s">
        <v>167</v>
      </c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3"/>
      <c r="P89" s="3"/>
      <c r="Q89" s="3"/>
      <c r="R89" s="3"/>
      <c r="S89" s="6">
        <f t="shared" si="9"/>
        <v>0</v>
      </c>
      <c r="T89">
        <v>1</v>
      </c>
      <c r="U89" s="4" t="s">
        <v>314</v>
      </c>
      <c r="V89" s="4" t="s">
        <v>315</v>
      </c>
      <c r="W89" s="4" t="s">
        <v>167</v>
      </c>
      <c r="X89" s="5">
        <f t="shared" si="11"/>
        <v>0</v>
      </c>
      <c r="Y89" s="5">
        <f t="shared" si="12"/>
        <v>0</v>
      </c>
      <c r="Z89" s="5">
        <f t="shared" si="12"/>
        <v>0</v>
      </c>
      <c r="AA89" s="5">
        <f t="shared" si="12"/>
        <v>0</v>
      </c>
      <c r="AB89" s="5">
        <f t="shared" si="13"/>
        <v>0</v>
      </c>
      <c r="AC89" s="5">
        <f t="shared" si="13"/>
        <v>0</v>
      </c>
      <c r="AD89" s="5">
        <f t="shared" si="13"/>
        <v>0</v>
      </c>
      <c r="AE89" s="5">
        <f t="shared" si="13"/>
        <v>0</v>
      </c>
      <c r="AF89" s="5">
        <f t="shared" si="13"/>
        <v>0</v>
      </c>
      <c r="AG89" s="5">
        <f t="shared" si="13"/>
        <v>0</v>
      </c>
      <c r="AH89" s="5">
        <f t="shared" si="8"/>
        <v>0</v>
      </c>
      <c r="AI89" s="5">
        <f t="shared" si="8"/>
        <v>0</v>
      </c>
      <c r="AJ89" s="5">
        <f t="shared" si="8"/>
        <v>0</v>
      </c>
      <c r="AK89" s="5">
        <f t="shared" si="8"/>
        <v>0</v>
      </c>
      <c r="AL89" s="5">
        <f t="shared" si="8"/>
        <v>0</v>
      </c>
      <c r="AM89" s="6">
        <f t="shared" si="10"/>
        <v>0</v>
      </c>
    </row>
    <row r="90" spans="1:39" hidden="1" x14ac:dyDescent="0.25">
      <c r="A90" s="4" t="s">
        <v>316</v>
      </c>
      <c r="B90" s="4" t="s">
        <v>317</v>
      </c>
      <c r="C90" s="4" t="s">
        <v>167</v>
      </c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3"/>
      <c r="P90" s="3"/>
      <c r="Q90" s="3"/>
      <c r="R90" s="3"/>
      <c r="S90" s="6">
        <f t="shared" si="9"/>
        <v>0</v>
      </c>
      <c r="T90">
        <v>1</v>
      </c>
      <c r="U90" s="4" t="s">
        <v>316</v>
      </c>
      <c r="V90" s="4" t="s">
        <v>317</v>
      </c>
      <c r="W90" s="4" t="s">
        <v>167</v>
      </c>
      <c r="X90" s="5">
        <f t="shared" si="11"/>
        <v>0</v>
      </c>
      <c r="Y90" s="5">
        <f t="shared" si="12"/>
        <v>0</v>
      </c>
      <c r="Z90" s="5">
        <f t="shared" si="12"/>
        <v>0</v>
      </c>
      <c r="AA90" s="5">
        <f t="shared" si="12"/>
        <v>0</v>
      </c>
      <c r="AB90" s="5">
        <f t="shared" si="13"/>
        <v>0</v>
      </c>
      <c r="AC90" s="5">
        <f t="shared" si="13"/>
        <v>0</v>
      </c>
      <c r="AD90" s="5">
        <f t="shared" si="13"/>
        <v>0</v>
      </c>
      <c r="AE90" s="5">
        <f t="shared" si="13"/>
        <v>0</v>
      </c>
      <c r="AF90" s="5">
        <f t="shared" si="13"/>
        <v>0</v>
      </c>
      <c r="AG90" s="5">
        <f t="shared" si="13"/>
        <v>0</v>
      </c>
      <c r="AH90" s="5">
        <f t="shared" si="8"/>
        <v>0</v>
      </c>
      <c r="AI90" s="5">
        <f t="shared" si="8"/>
        <v>0</v>
      </c>
      <c r="AJ90" s="5">
        <f t="shared" si="8"/>
        <v>0</v>
      </c>
      <c r="AK90" s="5">
        <f t="shared" si="8"/>
        <v>0</v>
      </c>
      <c r="AL90" s="5">
        <f t="shared" si="8"/>
        <v>0</v>
      </c>
      <c r="AM90" s="6">
        <f t="shared" si="10"/>
        <v>0</v>
      </c>
    </row>
    <row r="91" spans="1:39" hidden="1" x14ac:dyDescent="0.25">
      <c r="A91" s="4" t="s">
        <v>318</v>
      </c>
      <c r="B91" s="4" t="s">
        <v>319</v>
      </c>
      <c r="C91" s="4" t="s">
        <v>167</v>
      </c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3"/>
      <c r="P91" s="3"/>
      <c r="Q91" s="3"/>
      <c r="R91" s="3"/>
      <c r="S91" s="6">
        <f t="shared" si="9"/>
        <v>0</v>
      </c>
      <c r="T91">
        <v>1</v>
      </c>
      <c r="U91" s="4" t="s">
        <v>318</v>
      </c>
      <c r="V91" s="4" t="s">
        <v>319</v>
      </c>
      <c r="W91" s="4" t="s">
        <v>167</v>
      </c>
      <c r="X91" s="5">
        <f t="shared" si="11"/>
        <v>0</v>
      </c>
      <c r="Y91" s="5">
        <f t="shared" si="12"/>
        <v>0</v>
      </c>
      <c r="Z91" s="5">
        <f t="shared" si="12"/>
        <v>0</v>
      </c>
      <c r="AA91" s="5">
        <f t="shared" si="12"/>
        <v>0</v>
      </c>
      <c r="AB91" s="5">
        <f t="shared" si="13"/>
        <v>0</v>
      </c>
      <c r="AC91" s="5">
        <f t="shared" si="13"/>
        <v>0</v>
      </c>
      <c r="AD91" s="5">
        <f t="shared" si="13"/>
        <v>0</v>
      </c>
      <c r="AE91" s="5">
        <f t="shared" si="13"/>
        <v>0</v>
      </c>
      <c r="AF91" s="5">
        <f t="shared" si="13"/>
        <v>0</v>
      </c>
      <c r="AG91" s="5">
        <f t="shared" si="13"/>
        <v>0</v>
      </c>
      <c r="AH91" s="5">
        <f t="shared" si="8"/>
        <v>0</v>
      </c>
      <c r="AI91" s="5">
        <f t="shared" si="8"/>
        <v>0</v>
      </c>
      <c r="AJ91" s="5">
        <f t="shared" si="8"/>
        <v>0</v>
      </c>
      <c r="AK91" s="5">
        <f t="shared" si="8"/>
        <v>0</v>
      </c>
      <c r="AL91" s="5">
        <f t="shared" si="8"/>
        <v>0</v>
      </c>
      <c r="AM91" s="6">
        <f t="shared" si="10"/>
        <v>0</v>
      </c>
    </row>
    <row r="92" spans="1:39" hidden="1" x14ac:dyDescent="0.25">
      <c r="A92" s="4" t="s">
        <v>320</v>
      </c>
      <c r="B92" s="4" t="s">
        <v>321</v>
      </c>
      <c r="C92" s="4" t="s">
        <v>167</v>
      </c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3"/>
      <c r="P92" s="3"/>
      <c r="Q92" s="3"/>
      <c r="R92" s="3"/>
      <c r="S92" s="6">
        <f t="shared" si="9"/>
        <v>0</v>
      </c>
      <c r="T92">
        <v>1</v>
      </c>
      <c r="U92" s="4" t="s">
        <v>320</v>
      </c>
      <c r="V92" s="4" t="s">
        <v>321</v>
      </c>
      <c r="W92" s="4" t="s">
        <v>167</v>
      </c>
      <c r="X92" s="5">
        <f t="shared" si="11"/>
        <v>0</v>
      </c>
      <c r="Y92" s="5">
        <f t="shared" si="12"/>
        <v>0</v>
      </c>
      <c r="Z92" s="5">
        <f t="shared" si="12"/>
        <v>0</v>
      </c>
      <c r="AA92" s="5">
        <f t="shared" si="12"/>
        <v>0</v>
      </c>
      <c r="AB92" s="5">
        <f t="shared" si="13"/>
        <v>0</v>
      </c>
      <c r="AC92" s="5">
        <f t="shared" si="13"/>
        <v>0</v>
      </c>
      <c r="AD92" s="5">
        <f t="shared" si="13"/>
        <v>0</v>
      </c>
      <c r="AE92" s="5">
        <f t="shared" si="13"/>
        <v>0</v>
      </c>
      <c r="AF92" s="5">
        <f t="shared" si="13"/>
        <v>0</v>
      </c>
      <c r="AG92" s="5">
        <f t="shared" si="13"/>
        <v>0</v>
      </c>
      <c r="AH92" s="5">
        <f t="shared" si="8"/>
        <v>0</v>
      </c>
      <c r="AI92" s="5">
        <f t="shared" si="8"/>
        <v>0</v>
      </c>
      <c r="AJ92" s="5">
        <f t="shared" si="8"/>
        <v>0</v>
      </c>
      <c r="AK92" s="5">
        <f t="shared" si="8"/>
        <v>0</v>
      </c>
      <c r="AL92" s="5">
        <f t="shared" si="8"/>
        <v>0</v>
      </c>
      <c r="AM92" s="6">
        <f t="shared" si="10"/>
        <v>0</v>
      </c>
    </row>
    <row r="93" spans="1:39" hidden="1" x14ac:dyDescent="0.25">
      <c r="A93" s="4" t="s">
        <v>322</v>
      </c>
      <c r="B93" s="4" t="s">
        <v>323</v>
      </c>
      <c r="C93" s="4" t="s">
        <v>167</v>
      </c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3"/>
      <c r="P93" s="3"/>
      <c r="Q93" s="3"/>
      <c r="R93" s="3"/>
      <c r="S93" s="6">
        <f t="shared" si="9"/>
        <v>0</v>
      </c>
      <c r="T93">
        <v>1</v>
      </c>
      <c r="U93" s="4" t="s">
        <v>322</v>
      </c>
      <c r="V93" s="4" t="s">
        <v>323</v>
      </c>
      <c r="W93" s="4" t="s">
        <v>167</v>
      </c>
      <c r="X93" s="5">
        <f t="shared" si="11"/>
        <v>0</v>
      </c>
      <c r="Y93" s="5">
        <f t="shared" si="12"/>
        <v>0</v>
      </c>
      <c r="Z93" s="5">
        <f t="shared" si="12"/>
        <v>0</v>
      </c>
      <c r="AA93" s="5">
        <f t="shared" si="12"/>
        <v>0</v>
      </c>
      <c r="AB93" s="5">
        <f t="shared" si="13"/>
        <v>0</v>
      </c>
      <c r="AC93" s="5">
        <f t="shared" si="13"/>
        <v>0</v>
      </c>
      <c r="AD93" s="5">
        <f t="shared" si="13"/>
        <v>0</v>
      </c>
      <c r="AE93" s="5">
        <f t="shared" si="13"/>
        <v>0</v>
      </c>
      <c r="AF93" s="5">
        <f t="shared" si="13"/>
        <v>0</v>
      </c>
      <c r="AG93" s="5">
        <f t="shared" si="13"/>
        <v>0</v>
      </c>
      <c r="AH93" s="5">
        <f t="shared" si="8"/>
        <v>0</v>
      </c>
      <c r="AI93" s="5">
        <f t="shared" si="8"/>
        <v>0</v>
      </c>
      <c r="AJ93" s="5">
        <f t="shared" si="8"/>
        <v>0</v>
      </c>
      <c r="AK93" s="5">
        <f t="shared" si="8"/>
        <v>0</v>
      </c>
      <c r="AL93" s="5">
        <f t="shared" si="8"/>
        <v>0</v>
      </c>
      <c r="AM93" s="6">
        <f t="shared" si="10"/>
        <v>0</v>
      </c>
    </row>
    <row r="94" spans="1:39" hidden="1" x14ac:dyDescent="0.25">
      <c r="A94" s="4" t="s">
        <v>324</v>
      </c>
      <c r="B94" s="4" t="s">
        <v>325</v>
      </c>
      <c r="C94" s="4" t="s">
        <v>167</v>
      </c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3"/>
      <c r="P94" s="3"/>
      <c r="Q94" s="3"/>
      <c r="R94" s="3"/>
      <c r="S94" s="6">
        <f t="shared" si="9"/>
        <v>0</v>
      </c>
      <c r="T94">
        <v>1</v>
      </c>
      <c r="U94" s="4" t="s">
        <v>324</v>
      </c>
      <c r="V94" s="4" t="s">
        <v>325</v>
      </c>
      <c r="W94" s="4" t="s">
        <v>167</v>
      </c>
      <c r="X94" s="5">
        <f t="shared" si="11"/>
        <v>0</v>
      </c>
      <c r="Y94" s="5">
        <f t="shared" si="12"/>
        <v>0</v>
      </c>
      <c r="Z94" s="5">
        <f t="shared" si="12"/>
        <v>0</v>
      </c>
      <c r="AA94" s="5">
        <f t="shared" si="12"/>
        <v>0</v>
      </c>
      <c r="AB94" s="5">
        <f t="shared" si="13"/>
        <v>0</v>
      </c>
      <c r="AC94" s="5">
        <f t="shared" si="13"/>
        <v>0</v>
      </c>
      <c r="AD94" s="5">
        <f t="shared" si="13"/>
        <v>0</v>
      </c>
      <c r="AE94" s="5">
        <f t="shared" si="13"/>
        <v>0</v>
      </c>
      <c r="AF94" s="5">
        <f t="shared" si="13"/>
        <v>0</v>
      </c>
      <c r="AG94" s="5">
        <f t="shared" si="13"/>
        <v>0</v>
      </c>
      <c r="AH94" s="5">
        <f t="shared" si="8"/>
        <v>0</v>
      </c>
      <c r="AI94" s="5">
        <f t="shared" si="8"/>
        <v>0</v>
      </c>
      <c r="AJ94" s="5">
        <f t="shared" si="8"/>
        <v>0</v>
      </c>
      <c r="AK94" s="5">
        <f t="shared" si="8"/>
        <v>0</v>
      </c>
      <c r="AL94" s="5">
        <f t="shared" si="8"/>
        <v>0</v>
      </c>
      <c r="AM94" s="6">
        <f t="shared" si="10"/>
        <v>0</v>
      </c>
    </row>
    <row r="95" spans="1:39" x14ac:dyDescent="0.25">
      <c r="A95" s="4" t="s">
        <v>330</v>
      </c>
      <c r="B95" s="4" t="s">
        <v>331</v>
      </c>
      <c r="C95" s="4" t="s">
        <v>167</v>
      </c>
      <c r="D95" s="5"/>
      <c r="E95" s="6"/>
      <c r="F95" s="6"/>
      <c r="G95" s="6">
        <v>27</v>
      </c>
      <c r="H95" s="6"/>
      <c r="I95" s="6"/>
      <c r="J95" s="6">
        <v>36</v>
      </c>
      <c r="K95" s="6"/>
      <c r="L95" s="6"/>
      <c r="M95" s="6"/>
      <c r="N95" s="6"/>
      <c r="O95" s="3"/>
      <c r="P95" s="3"/>
      <c r="Q95" s="3"/>
      <c r="R95" s="3"/>
      <c r="S95" s="6">
        <f t="shared" si="9"/>
        <v>63</v>
      </c>
      <c r="T95">
        <v>1</v>
      </c>
      <c r="U95" s="4" t="s">
        <v>330</v>
      </c>
      <c r="V95" s="4" t="s">
        <v>331</v>
      </c>
      <c r="W95" s="4" t="s">
        <v>167</v>
      </c>
      <c r="X95" s="5">
        <f t="shared" si="11"/>
        <v>0</v>
      </c>
      <c r="Y95" s="5">
        <f t="shared" si="12"/>
        <v>0</v>
      </c>
      <c r="Z95" s="5">
        <f t="shared" si="12"/>
        <v>0</v>
      </c>
      <c r="AA95" s="5">
        <f t="shared" si="12"/>
        <v>5</v>
      </c>
      <c r="AB95" s="5">
        <f t="shared" si="13"/>
        <v>0</v>
      </c>
      <c r="AC95" s="5">
        <f t="shared" si="13"/>
        <v>0</v>
      </c>
      <c r="AD95" s="5">
        <f t="shared" si="13"/>
        <v>15</v>
      </c>
      <c r="AE95" s="5">
        <f t="shared" si="13"/>
        <v>0</v>
      </c>
      <c r="AF95" s="5">
        <f t="shared" si="13"/>
        <v>0</v>
      </c>
      <c r="AG95" s="5">
        <f t="shared" si="13"/>
        <v>0</v>
      </c>
      <c r="AH95" s="5">
        <f t="shared" si="8"/>
        <v>0</v>
      </c>
      <c r="AI95" s="5">
        <f t="shared" si="8"/>
        <v>0</v>
      </c>
      <c r="AJ95" s="5">
        <f t="shared" si="8"/>
        <v>0</v>
      </c>
      <c r="AK95" s="5">
        <f t="shared" si="8"/>
        <v>0</v>
      </c>
      <c r="AL95" s="5">
        <f t="shared" si="8"/>
        <v>0</v>
      </c>
      <c r="AM95" s="6">
        <f t="shared" si="10"/>
        <v>20</v>
      </c>
    </row>
    <row r="96" spans="1:39" x14ac:dyDescent="0.25">
      <c r="A96" s="4" t="s">
        <v>332</v>
      </c>
      <c r="B96" s="4" t="s">
        <v>333</v>
      </c>
      <c r="C96" s="4" t="s">
        <v>167</v>
      </c>
      <c r="D96" s="5"/>
      <c r="E96" s="6"/>
      <c r="F96" s="6"/>
      <c r="G96" s="6">
        <v>31.5</v>
      </c>
      <c r="H96" s="6">
        <v>40.5</v>
      </c>
      <c r="I96" s="6">
        <v>40.5</v>
      </c>
      <c r="J96" s="6">
        <v>42</v>
      </c>
      <c r="K96" s="6"/>
      <c r="L96" s="6"/>
      <c r="M96" s="6">
        <v>36</v>
      </c>
      <c r="N96" s="6"/>
      <c r="O96" s="3"/>
      <c r="P96" s="3"/>
      <c r="Q96" s="3"/>
      <c r="R96" s="3"/>
      <c r="S96" s="6">
        <f t="shared" si="9"/>
        <v>190.5</v>
      </c>
      <c r="T96">
        <v>1</v>
      </c>
      <c r="U96" s="4" t="s">
        <v>332</v>
      </c>
      <c r="V96" s="4" t="s">
        <v>333</v>
      </c>
      <c r="W96" s="4" t="s">
        <v>167</v>
      </c>
      <c r="X96" s="5">
        <f t="shared" si="11"/>
        <v>0</v>
      </c>
      <c r="Y96" s="5">
        <f t="shared" si="12"/>
        <v>0</v>
      </c>
      <c r="Z96" s="5">
        <f t="shared" si="12"/>
        <v>0</v>
      </c>
      <c r="AA96" s="5">
        <f t="shared" si="12"/>
        <v>16.25</v>
      </c>
      <c r="AB96" s="5">
        <f t="shared" si="13"/>
        <v>26.25</v>
      </c>
      <c r="AC96" s="5">
        <f t="shared" si="13"/>
        <v>26.25</v>
      </c>
      <c r="AD96" s="5">
        <f t="shared" si="13"/>
        <v>30</v>
      </c>
      <c r="AE96" s="5">
        <f t="shared" si="13"/>
        <v>0</v>
      </c>
      <c r="AF96" s="5">
        <f t="shared" si="13"/>
        <v>0</v>
      </c>
      <c r="AG96" s="5">
        <f t="shared" si="13"/>
        <v>15</v>
      </c>
      <c r="AH96" s="5">
        <f t="shared" si="8"/>
        <v>0</v>
      </c>
      <c r="AI96" s="5">
        <f t="shared" si="8"/>
        <v>0</v>
      </c>
      <c r="AJ96" s="5">
        <f t="shared" si="8"/>
        <v>0</v>
      </c>
      <c r="AK96" s="5">
        <f t="shared" si="8"/>
        <v>0</v>
      </c>
      <c r="AL96" s="5">
        <f t="shared" si="8"/>
        <v>0</v>
      </c>
      <c r="AM96" s="6">
        <f t="shared" si="10"/>
        <v>113.75</v>
      </c>
    </row>
    <row r="97" spans="1:39" x14ac:dyDescent="0.25">
      <c r="A97" s="4" t="s">
        <v>334</v>
      </c>
      <c r="B97" s="4" t="s">
        <v>335</v>
      </c>
      <c r="C97" s="4" t="s">
        <v>167</v>
      </c>
      <c r="D97" s="5"/>
      <c r="E97" s="6"/>
      <c r="F97" s="6"/>
      <c r="G97" s="6"/>
      <c r="H97" s="6"/>
      <c r="I97" s="6"/>
      <c r="J97" s="6"/>
      <c r="K97" s="6"/>
      <c r="L97" s="6"/>
      <c r="M97" s="6">
        <v>24</v>
      </c>
      <c r="N97" s="6"/>
      <c r="O97" s="3"/>
      <c r="P97" s="3"/>
      <c r="Q97" s="3"/>
      <c r="R97" s="3"/>
      <c r="S97" s="6">
        <f t="shared" si="9"/>
        <v>24</v>
      </c>
      <c r="T97">
        <v>1</v>
      </c>
      <c r="U97" s="4" t="s">
        <v>334</v>
      </c>
      <c r="V97" s="4" t="s">
        <v>335</v>
      </c>
      <c r="W97" s="4" t="s">
        <v>167</v>
      </c>
      <c r="X97" s="5">
        <f t="shared" si="11"/>
        <v>0</v>
      </c>
      <c r="Y97" s="5">
        <f t="shared" si="12"/>
        <v>0</v>
      </c>
      <c r="Z97" s="5">
        <f t="shared" si="12"/>
        <v>0</v>
      </c>
      <c r="AA97" s="5">
        <f t="shared" si="12"/>
        <v>0</v>
      </c>
      <c r="AB97" s="5">
        <f t="shared" si="13"/>
        <v>0</v>
      </c>
      <c r="AC97" s="5">
        <f t="shared" si="13"/>
        <v>0</v>
      </c>
      <c r="AD97" s="5">
        <f t="shared" si="13"/>
        <v>0</v>
      </c>
      <c r="AE97" s="5">
        <f t="shared" si="13"/>
        <v>0</v>
      </c>
      <c r="AF97" s="5">
        <f t="shared" si="13"/>
        <v>0</v>
      </c>
      <c r="AG97" s="5">
        <f t="shared" si="13"/>
        <v>0</v>
      </c>
      <c r="AH97" s="5">
        <f t="shared" si="8"/>
        <v>0</v>
      </c>
      <c r="AI97" s="5">
        <f t="shared" si="8"/>
        <v>0</v>
      </c>
      <c r="AJ97" s="5">
        <f t="shared" si="8"/>
        <v>0</v>
      </c>
      <c r="AK97" s="5">
        <f t="shared" si="8"/>
        <v>0</v>
      </c>
      <c r="AL97" s="5">
        <f t="shared" si="8"/>
        <v>0</v>
      </c>
      <c r="AM97" s="6">
        <f t="shared" si="10"/>
        <v>0</v>
      </c>
    </row>
    <row r="98" spans="1:39" hidden="1" x14ac:dyDescent="0.25">
      <c r="A98" s="4" t="s">
        <v>336</v>
      </c>
      <c r="B98" s="4" t="s">
        <v>337</v>
      </c>
      <c r="C98" s="4" t="s">
        <v>167</v>
      </c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3"/>
      <c r="P98" s="3"/>
      <c r="Q98" s="3"/>
      <c r="R98" s="3"/>
      <c r="S98" s="6">
        <f t="shared" si="9"/>
        <v>0</v>
      </c>
      <c r="T98">
        <v>1</v>
      </c>
      <c r="U98" s="4" t="s">
        <v>336</v>
      </c>
      <c r="V98" s="4" t="s">
        <v>337</v>
      </c>
      <c r="W98" s="4" t="s">
        <v>167</v>
      </c>
      <c r="X98" s="5">
        <f t="shared" si="11"/>
        <v>0</v>
      </c>
      <c r="Y98" s="5">
        <f t="shared" si="12"/>
        <v>0</v>
      </c>
      <c r="Z98" s="5">
        <f t="shared" si="12"/>
        <v>0</v>
      </c>
      <c r="AA98" s="5">
        <f t="shared" si="12"/>
        <v>0</v>
      </c>
      <c r="AB98" s="5">
        <f t="shared" si="13"/>
        <v>0</v>
      </c>
      <c r="AC98" s="5">
        <f t="shared" si="13"/>
        <v>0</v>
      </c>
      <c r="AD98" s="5">
        <f t="shared" si="13"/>
        <v>0</v>
      </c>
      <c r="AE98" s="5">
        <f t="shared" si="13"/>
        <v>0</v>
      </c>
      <c r="AF98" s="5">
        <f t="shared" si="13"/>
        <v>0</v>
      </c>
      <c r="AG98" s="5">
        <f t="shared" si="13"/>
        <v>0</v>
      </c>
      <c r="AH98" s="5">
        <f t="shared" si="8"/>
        <v>0</v>
      </c>
      <c r="AI98" s="5">
        <f t="shared" si="8"/>
        <v>0</v>
      </c>
      <c r="AJ98" s="5">
        <f t="shared" si="8"/>
        <v>0</v>
      </c>
      <c r="AK98" s="5">
        <f t="shared" si="8"/>
        <v>0</v>
      </c>
      <c r="AL98" s="5">
        <f t="shared" si="8"/>
        <v>0</v>
      </c>
      <c r="AM98" s="6">
        <f t="shared" si="10"/>
        <v>0</v>
      </c>
    </row>
    <row r="99" spans="1:39" x14ac:dyDescent="0.25">
      <c r="A99" s="4" t="s">
        <v>511</v>
      </c>
      <c r="B99" s="4" t="s">
        <v>512</v>
      </c>
      <c r="C99" s="4" t="s">
        <v>167</v>
      </c>
      <c r="D99" s="5"/>
      <c r="E99" s="6"/>
      <c r="F99" s="6"/>
      <c r="G99" s="6"/>
      <c r="H99" s="6">
        <v>24</v>
      </c>
      <c r="I99" s="6">
        <v>36</v>
      </c>
      <c r="J99" s="6">
        <v>45</v>
      </c>
      <c r="K99" s="6"/>
      <c r="L99" s="6"/>
      <c r="M99" s="6"/>
      <c r="N99" s="6"/>
      <c r="O99" s="3"/>
      <c r="P99" s="3"/>
      <c r="Q99" s="3"/>
      <c r="R99" s="3"/>
      <c r="S99" s="6">
        <f t="shared" si="9"/>
        <v>105</v>
      </c>
      <c r="T99">
        <v>1</v>
      </c>
      <c r="U99" s="4" t="s">
        <v>511</v>
      </c>
      <c r="V99" s="4" t="s">
        <v>512</v>
      </c>
      <c r="W99" s="4" t="s">
        <v>167</v>
      </c>
      <c r="X99" s="5">
        <f t="shared" si="11"/>
        <v>0</v>
      </c>
      <c r="Y99" s="5">
        <f t="shared" si="12"/>
        <v>0</v>
      </c>
      <c r="Z99" s="5">
        <f t="shared" si="12"/>
        <v>0</v>
      </c>
      <c r="AA99" s="5">
        <f t="shared" si="12"/>
        <v>0</v>
      </c>
      <c r="AB99" s="5">
        <f t="shared" si="13"/>
        <v>0</v>
      </c>
      <c r="AC99" s="5">
        <f t="shared" si="13"/>
        <v>15</v>
      </c>
      <c r="AD99" s="5">
        <f t="shared" si="13"/>
        <v>37.5</v>
      </c>
      <c r="AE99" s="5">
        <f t="shared" si="13"/>
        <v>0</v>
      </c>
      <c r="AF99" s="5">
        <f t="shared" si="13"/>
        <v>0</v>
      </c>
      <c r="AG99" s="5">
        <f t="shared" si="13"/>
        <v>0</v>
      </c>
      <c r="AH99" s="5">
        <f t="shared" si="8"/>
        <v>0</v>
      </c>
      <c r="AI99" s="5">
        <f t="shared" si="8"/>
        <v>0</v>
      </c>
      <c r="AJ99" s="5">
        <f t="shared" si="8"/>
        <v>0</v>
      </c>
      <c r="AK99" s="5">
        <f t="shared" si="8"/>
        <v>0</v>
      </c>
      <c r="AL99" s="5">
        <f t="shared" si="8"/>
        <v>0</v>
      </c>
      <c r="AM99" s="6">
        <f t="shared" si="10"/>
        <v>52.5</v>
      </c>
    </row>
    <row r="100" spans="1:39" x14ac:dyDescent="0.25">
      <c r="A100" s="4" t="s">
        <v>487</v>
      </c>
      <c r="B100" s="4" t="s">
        <v>488</v>
      </c>
      <c r="C100" s="4" t="s">
        <v>167</v>
      </c>
      <c r="D100" s="5"/>
      <c r="E100" s="6"/>
      <c r="F100" s="6"/>
      <c r="G100" s="6">
        <v>28.5</v>
      </c>
      <c r="H100" s="6">
        <v>22.5</v>
      </c>
      <c r="I100" s="6">
        <v>36</v>
      </c>
      <c r="J100" s="6">
        <v>45</v>
      </c>
      <c r="K100" s="6"/>
      <c r="L100" s="6">
        <v>30</v>
      </c>
      <c r="M100" s="6">
        <v>27</v>
      </c>
      <c r="N100" s="6"/>
      <c r="O100" s="3"/>
      <c r="P100" s="3"/>
      <c r="Q100" s="3"/>
      <c r="R100" s="3"/>
      <c r="S100" s="6">
        <f t="shared" si="9"/>
        <v>189</v>
      </c>
      <c r="T100">
        <v>1</v>
      </c>
      <c r="U100" s="4" t="s">
        <v>487</v>
      </c>
      <c r="V100" s="4" t="s">
        <v>488</v>
      </c>
      <c r="W100" s="4" t="s">
        <v>167</v>
      </c>
      <c r="X100" s="5">
        <f t="shared" si="11"/>
        <v>0</v>
      </c>
      <c r="Y100" s="5">
        <f t="shared" si="12"/>
        <v>0</v>
      </c>
      <c r="Z100" s="5">
        <f t="shared" si="12"/>
        <v>0</v>
      </c>
      <c r="AA100" s="5">
        <f t="shared" si="12"/>
        <v>8.75</v>
      </c>
      <c r="AB100" s="5">
        <f t="shared" si="13"/>
        <v>0</v>
      </c>
      <c r="AC100" s="5">
        <f t="shared" si="13"/>
        <v>15</v>
      </c>
      <c r="AD100" s="5">
        <f t="shared" si="13"/>
        <v>37.5</v>
      </c>
      <c r="AE100" s="5">
        <f t="shared" si="13"/>
        <v>0</v>
      </c>
      <c r="AF100" s="5">
        <f t="shared" si="13"/>
        <v>0</v>
      </c>
      <c r="AG100" s="5">
        <f t="shared" si="13"/>
        <v>0</v>
      </c>
      <c r="AH100" s="5">
        <f t="shared" si="8"/>
        <v>0</v>
      </c>
      <c r="AI100" s="5">
        <f t="shared" si="8"/>
        <v>0</v>
      </c>
      <c r="AJ100" s="5">
        <f t="shared" si="8"/>
        <v>0</v>
      </c>
      <c r="AK100" s="5">
        <f t="shared" si="8"/>
        <v>0</v>
      </c>
      <c r="AL100" s="5">
        <f t="shared" si="8"/>
        <v>0</v>
      </c>
      <c r="AM100" s="6">
        <f t="shared" si="10"/>
        <v>61.25</v>
      </c>
    </row>
    <row r="101" spans="1:39" x14ac:dyDescent="0.25">
      <c r="A101" s="4" t="s">
        <v>338</v>
      </c>
      <c r="B101" s="4" t="s">
        <v>339</v>
      </c>
      <c r="C101" s="4" t="s">
        <v>167</v>
      </c>
      <c r="D101" s="5"/>
      <c r="E101" s="6"/>
      <c r="F101" s="6"/>
      <c r="G101" s="6">
        <v>34.5</v>
      </c>
      <c r="H101" s="6">
        <v>27</v>
      </c>
      <c r="I101" s="6">
        <v>43.5</v>
      </c>
      <c r="J101" s="6">
        <v>33</v>
      </c>
      <c r="K101" s="6"/>
      <c r="L101" s="6">
        <v>57</v>
      </c>
      <c r="M101" s="6">
        <v>37.5</v>
      </c>
      <c r="N101" s="6"/>
      <c r="O101" s="3"/>
      <c r="P101" s="3"/>
      <c r="Q101" s="3"/>
      <c r="R101" s="3"/>
      <c r="S101" s="6">
        <f t="shared" si="9"/>
        <v>232.5</v>
      </c>
      <c r="T101">
        <v>1</v>
      </c>
      <c r="U101" s="4" t="s">
        <v>338</v>
      </c>
      <c r="V101" s="4" t="s">
        <v>339</v>
      </c>
      <c r="W101" s="4" t="s">
        <v>167</v>
      </c>
      <c r="X101" s="5">
        <f t="shared" si="11"/>
        <v>0</v>
      </c>
      <c r="Y101" s="5">
        <f t="shared" si="12"/>
        <v>0</v>
      </c>
      <c r="Z101" s="5">
        <f t="shared" si="12"/>
        <v>0</v>
      </c>
      <c r="AA101" s="5">
        <f t="shared" si="12"/>
        <v>23.75</v>
      </c>
      <c r="AB101" s="5">
        <f t="shared" si="13"/>
        <v>0</v>
      </c>
      <c r="AC101" s="5">
        <f t="shared" si="13"/>
        <v>33.75</v>
      </c>
      <c r="AD101" s="5">
        <f t="shared" si="13"/>
        <v>7.5</v>
      </c>
      <c r="AE101" s="5">
        <f t="shared" si="13"/>
        <v>0</v>
      </c>
      <c r="AF101" s="5">
        <f t="shared" si="13"/>
        <v>67.5</v>
      </c>
      <c r="AG101" s="5">
        <f t="shared" si="13"/>
        <v>18.75</v>
      </c>
      <c r="AH101" s="5">
        <f t="shared" si="8"/>
        <v>0</v>
      </c>
      <c r="AI101" s="5">
        <f t="shared" si="8"/>
        <v>0</v>
      </c>
      <c r="AJ101" s="5">
        <f t="shared" si="8"/>
        <v>0</v>
      </c>
      <c r="AK101" s="5">
        <f t="shared" si="8"/>
        <v>0</v>
      </c>
      <c r="AL101" s="5">
        <f t="shared" si="8"/>
        <v>0</v>
      </c>
      <c r="AM101" s="6">
        <f t="shared" si="10"/>
        <v>151.25</v>
      </c>
    </row>
    <row r="102" spans="1:39" x14ac:dyDescent="0.25">
      <c r="A102" s="4" t="s">
        <v>340</v>
      </c>
      <c r="B102" s="4" t="s">
        <v>341</v>
      </c>
      <c r="C102" s="4" t="s">
        <v>167</v>
      </c>
      <c r="D102" s="5"/>
      <c r="E102" s="6"/>
      <c r="F102" s="6"/>
      <c r="G102" s="6">
        <v>39</v>
      </c>
      <c r="H102" s="6">
        <v>25.5</v>
      </c>
      <c r="I102" s="6">
        <v>46.5</v>
      </c>
      <c r="J102" s="6">
        <v>42</v>
      </c>
      <c r="K102" s="6"/>
      <c r="L102" s="6">
        <v>33</v>
      </c>
      <c r="M102" s="6">
        <v>36</v>
      </c>
      <c r="N102" s="6"/>
      <c r="O102" s="3"/>
      <c r="P102" s="3"/>
      <c r="Q102" s="3"/>
      <c r="R102" s="3"/>
      <c r="S102" s="6">
        <f t="shared" si="9"/>
        <v>222</v>
      </c>
      <c r="T102">
        <v>1</v>
      </c>
      <c r="U102" s="4" t="s">
        <v>340</v>
      </c>
      <c r="V102" s="4" t="s">
        <v>341</v>
      </c>
      <c r="W102" s="4" t="s">
        <v>167</v>
      </c>
      <c r="X102" s="5">
        <f t="shared" si="11"/>
        <v>0</v>
      </c>
      <c r="Y102" s="5">
        <f t="shared" si="12"/>
        <v>0</v>
      </c>
      <c r="Z102" s="5">
        <f t="shared" si="12"/>
        <v>0</v>
      </c>
      <c r="AA102" s="5">
        <f t="shared" si="12"/>
        <v>35</v>
      </c>
      <c r="AB102" s="5">
        <f t="shared" si="13"/>
        <v>0</v>
      </c>
      <c r="AC102" s="5">
        <f t="shared" si="13"/>
        <v>41.25</v>
      </c>
      <c r="AD102" s="5">
        <f t="shared" si="13"/>
        <v>30</v>
      </c>
      <c r="AE102" s="5">
        <f t="shared" si="13"/>
        <v>0</v>
      </c>
      <c r="AF102" s="5">
        <f t="shared" si="13"/>
        <v>7.5</v>
      </c>
      <c r="AG102" s="5">
        <f t="shared" si="13"/>
        <v>15</v>
      </c>
      <c r="AH102" s="5">
        <f t="shared" si="8"/>
        <v>0</v>
      </c>
      <c r="AI102" s="5">
        <f t="shared" si="8"/>
        <v>0</v>
      </c>
      <c r="AJ102" s="5">
        <f t="shared" si="8"/>
        <v>0</v>
      </c>
      <c r="AK102" s="5">
        <f t="shared" si="8"/>
        <v>0</v>
      </c>
      <c r="AL102" s="5">
        <f t="shared" si="8"/>
        <v>0</v>
      </c>
      <c r="AM102" s="6">
        <f t="shared" si="10"/>
        <v>128.75</v>
      </c>
    </row>
    <row r="103" spans="1:39" x14ac:dyDescent="0.25">
      <c r="A103" s="4" t="s">
        <v>342</v>
      </c>
      <c r="B103" s="4" t="s">
        <v>343</v>
      </c>
      <c r="C103" s="4" t="s">
        <v>167</v>
      </c>
      <c r="D103" s="5"/>
      <c r="E103" s="6"/>
      <c r="F103" s="6"/>
      <c r="G103" s="6">
        <v>25.5</v>
      </c>
      <c r="H103" s="6">
        <v>19.5</v>
      </c>
      <c r="I103" s="6">
        <v>36</v>
      </c>
      <c r="J103" s="6">
        <v>36</v>
      </c>
      <c r="K103" s="6"/>
      <c r="L103" s="6">
        <v>27</v>
      </c>
      <c r="M103" s="6">
        <v>33</v>
      </c>
      <c r="N103" s="6"/>
      <c r="O103" s="3"/>
      <c r="P103" s="3"/>
      <c r="Q103" s="3"/>
      <c r="R103" s="3"/>
      <c r="S103" s="6">
        <f t="shared" si="9"/>
        <v>177</v>
      </c>
      <c r="T103">
        <v>1</v>
      </c>
      <c r="U103" s="4" t="s">
        <v>342</v>
      </c>
      <c r="V103" s="4" t="s">
        <v>343</v>
      </c>
      <c r="W103" s="4" t="s">
        <v>167</v>
      </c>
      <c r="X103" s="5">
        <f t="shared" si="11"/>
        <v>0</v>
      </c>
      <c r="Y103" s="5">
        <f t="shared" si="12"/>
        <v>0</v>
      </c>
      <c r="Z103" s="5">
        <f t="shared" si="12"/>
        <v>0</v>
      </c>
      <c r="AA103" s="5">
        <f t="shared" si="12"/>
        <v>1.25</v>
      </c>
      <c r="AB103" s="5">
        <f t="shared" si="13"/>
        <v>0</v>
      </c>
      <c r="AC103" s="5">
        <f t="shared" si="13"/>
        <v>15</v>
      </c>
      <c r="AD103" s="5">
        <f t="shared" si="13"/>
        <v>15</v>
      </c>
      <c r="AE103" s="5">
        <f t="shared" si="13"/>
        <v>0</v>
      </c>
      <c r="AF103" s="5">
        <f t="shared" si="13"/>
        <v>0</v>
      </c>
      <c r="AG103" s="5">
        <f t="shared" si="13"/>
        <v>7.5</v>
      </c>
      <c r="AH103" s="5">
        <f t="shared" si="13"/>
        <v>0</v>
      </c>
      <c r="AI103" s="5">
        <f t="shared" si="13"/>
        <v>0</v>
      </c>
      <c r="AJ103" s="5">
        <f t="shared" si="13"/>
        <v>0</v>
      </c>
      <c r="AK103" s="5">
        <f t="shared" si="13"/>
        <v>0</v>
      </c>
      <c r="AL103" s="5">
        <f t="shared" si="13"/>
        <v>0</v>
      </c>
      <c r="AM103" s="6">
        <f t="shared" si="10"/>
        <v>38.75</v>
      </c>
    </row>
    <row r="104" spans="1:39" x14ac:dyDescent="0.25">
      <c r="A104" s="4" t="s">
        <v>344</v>
      </c>
      <c r="B104" s="4" t="s">
        <v>345</v>
      </c>
      <c r="C104" s="4" t="s">
        <v>167</v>
      </c>
      <c r="D104" s="5"/>
      <c r="E104" s="6"/>
      <c r="F104" s="6"/>
      <c r="G104" s="6"/>
      <c r="H104" s="6"/>
      <c r="I104" s="6"/>
      <c r="J104" s="6"/>
      <c r="K104" s="6"/>
      <c r="L104" s="6">
        <v>15</v>
      </c>
      <c r="M104" s="6"/>
      <c r="N104" s="6"/>
      <c r="O104" s="3"/>
      <c r="P104" s="3"/>
      <c r="Q104" s="3"/>
      <c r="R104" s="3"/>
      <c r="S104" s="6">
        <f t="shared" si="9"/>
        <v>15</v>
      </c>
      <c r="T104">
        <v>1</v>
      </c>
      <c r="U104" s="4" t="s">
        <v>344</v>
      </c>
      <c r="V104" s="4" t="s">
        <v>345</v>
      </c>
      <c r="W104" s="4" t="s">
        <v>167</v>
      </c>
      <c r="X104" s="5">
        <f t="shared" si="11"/>
        <v>0</v>
      </c>
      <c r="Y104" s="5">
        <f t="shared" si="12"/>
        <v>0</v>
      </c>
      <c r="Z104" s="5">
        <f t="shared" si="12"/>
        <v>0</v>
      </c>
      <c r="AA104" s="5">
        <f t="shared" si="12"/>
        <v>0</v>
      </c>
      <c r="AB104" s="5">
        <f t="shared" si="13"/>
        <v>0</v>
      </c>
      <c r="AC104" s="5">
        <f t="shared" si="13"/>
        <v>0</v>
      </c>
      <c r="AD104" s="5">
        <f t="shared" si="13"/>
        <v>0</v>
      </c>
      <c r="AE104" s="5">
        <f t="shared" si="13"/>
        <v>0</v>
      </c>
      <c r="AF104" s="5">
        <f t="shared" si="13"/>
        <v>0</v>
      </c>
      <c r="AG104" s="5">
        <f t="shared" si="13"/>
        <v>0</v>
      </c>
      <c r="AH104" s="5">
        <f t="shared" si="13"/>
        <v>0</v>
      </c>
      <c r="AI104" s="5">
        <f t="shared" si="13"/>
        <v>0</v>
      </c>
      <c r="AJ104" s="5">
        <f t="shared" si="13"/>
        <v>0</v>
      </c>
      <c r="AK104" s="5">
        <f t="shared" si="13"/>
        <v>0</v>
      </c>
      <c r="AL104" s="5">
        <f t="shared" si="13"/>
        <v>0</v>
      </c>
      <c r="AM104" s="6">
        <f t="shared" si="10"/>
        <v>0</v>
      </c>
    </row>
    <row r="105" spans="1:39" x14ac:dyDescent="0.25">
      <c r="A105" s="4" t="s">
        <v>346</v>
      </c>
      <c r="B105" s="4" t="s">
        <v>347</v>
      </c>
      <c r="C105" s="4" t="s">
        <v>167</v>
      </c>
      <c r="D105" s="5"/>
      <c r="E105" s="6"/>
      <c r="F105" s="6"/>
      <c r="G105" s="6"/>
      <c r="H105" s="6">
        <v>16.5</v>
      </c>
      <c r="I105" s="6">
        <v>37.5</v>
      </c>
      <c r="J105" s="6">
        <v>39</v>
      </c>
      <c r="K105" s="6"/>
      <c r="L105" s="6">
        <v>36</v>
      </c>
      <c r="M105" s="6">
        <v>31.5</v>
      </c>
      <c r="N105" s="6"/>
      <c r="O105" s="3"/>
      <c r="P105" s="3"/>
      <c r="Q105" s="3"/>
      <c r="R105" s="3"/>
      <c r="S105" s="6">
        <f t="shared" si="9"/>
        <v>160.5</v>
      </c>
      <c r="T105">
        <v>1</v>
      </c>
      <c r="U105" s="4" t="s">
        <v>346</v>
      </c>
      <c r="V105" s="4" t="s">
        <v>347</v>
      </c>
      <c r="W105" s="4" t="s">
        <v>167</v>
      </c>
      <c r="X105" s="5">
        <f t="shared" si="11"/>
        <v>0</v>
      </c>
      <c r="Y105" s="5">
        <f t="shared" si="12"/>
        <v>0</v>
      </c>
      <c r="Z105" s="5">
        <f t="shared" si="12"/>
        <v>0</v>
      </c>
      <c r="AA105" s="5">
        <f t="shared" si="12"/>
        <v>0</v>
      </c>
      <c r="AB105" s="5">
        <f t="shared" si="13"/>
        <v>0</v>
      </c>
      <c r="AC105" s="5">
        <f t="shared" si="13"/>
        <v>18.75</v>
      </c>
      <c r="AD105" s="5">
        <f t="shared" si="13"/>
        <v>22.5</v>
      </c>
      <c r="AE105" s="5">
        <f t="shared" si="13"/>
        <v>0</v>
      </c>
      <c r="AF105" s="5">
        <f t="shared" si="13"/>
        <v>15</v>
      </c>
      <c r="AG105" s="5">
        <f t="shared" si="13"/>
        <v>3.75</v>
      </c>
      <c r="AH105" s="5">
        <f t="shared" si="13"/>
        <v>0</v>
      </c>
      <c r="AI105" s="5">
        <f t="shared" si="13"/>
        <v>0</v>
      </c>
      <c r="AJ105" s="5">
        <f t="shared" si="13"/>
        <v>0</v>
      </c>
      <c r="AK105" s="5">
        <f t="shared" si="13"/>
        <v>0</v>
      </c>
      <c r="AL105" s="5">
        <f t="shared" si="13"/>
        <v>0</v>
      </c>
      <c r="AM105" s="6">
        <f t="shared" si="10"/>
        <v>60</v>
      </c>
    </row>
    <row r="106" spans="1:39" hidden="1" x14ac:dyDescent="0.25">
      <c r="A106" s="4" t="s">
        <v>348</v>
      </c>
      <c r="B106" s="4" t="s">
        <v>349</v>
      </c>
      <c r="C106" s="4" t="s">
        <v>167</v>
      </c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3"/>
      <c r="P106" s="3"/>
      <c r="Q106" s="3"/>
      <c r="R106" s="3"/>
      <c r="S106" s="6">
        <f t="shared" si="9"/>
        <v>0</v>
      </c>
      <c r="T106">
        <v>1</v>
      </c>
      <c r="U106" s="4" t="s">
        <v>348</v>
      </c>
      <c r="V106" s="4" t="s">
        <v>349</v>
      </c>
      <c r="W106" s="4" t="s">
        <v>167</v>
      </c>
      <c r="X106" s="5">
        <f t="shared" si="11"/>
        <v>0</v>
      </c>
      <c r="Y106" s="5">
        <f t="shared" si="12"/>
        <v>0</v>
      </c>
      <c r="Z106" s="5">
        <f t="shared" si="12"/>
        <v>0</v>
      </c>
      <c r="AA106" s="5">
        <f t="shared" si="12"/>
        <v>0</v>
      </c>
      <c r="AB106" s="5">
        <f t="shared" si="13"/>
        <v>0</v>
      </c>
      <c r="AC106" s="5">
        <f t="shared" si="13"/>
        <v>0</v>
      </c>
      <c r="AD106" s="5">
        <f t="shared" si="13"/>
        <v>0</v>
      </c>
      <c r="AE106" s="5">
        <f t="shared" si="13"/>
        <v>0</v>
      </c>
      <c r="AF106" s="5">
        <f t="shared" si="13"/>
        <v>0</v>
      </c>
      <c r="AG106" s="5">
        <f t="shared" si="13"/>
        <v>0</v>
      </c>
      <c r="AH106" s="5">
        <f t="shared" ref="AH106:AL114" si="14">IF(N106&lt;=30,0,(N106-30)*2.5)</f>
        <v>0</v>
      </c>
      <c r="AI106" s="5">
        <f t="shared" si="14"/>
        <v>0</v>
      </c>
      <c r="AJ106" s="5">
        <f t="shared" si="14"/>
        <v>0</v>
      </c>
      <c r="AK106" s="5">
        <f t="shared" si="14"/>
        <v>0</v>
      </c>
      <c r="AL106" s="5">
        <f t="shared" si="14"/>
        <v>0</v>
      </c>
      <c r="AM106" s="6">
        <f t="shared" si="10"/>
        <v>0</v>
      </c>
    </row>
    <row r="107" spans="1:39" x14ac:dyDescent="0.25">
      <c r="A107" s="4" t="s">
        <v>377</v>
      </c>
      <c r="B107" s="4" t="s">
        <v>378</v>
      </c>
      <c r="C107" s="4" t="s">
        <v>167</v>
      </c>
      <c r="D107" s="5"/>
      <c r="E107" s="6"/>
      <c r="F107" s="6"/>
      <c r="G107" s="6"/>
      <c r="H107" s="6">
        <v>45</v>
      </c>
      <c r="I107" s="6">
        <v>43.5</v>
      </c>
      <c r="J107" s="6"/>
      <c r="K107" s="6"/>
      <c r="L107" s="6"/>
      <c r="M107" s="6"/>
      <c r="N107" s="6"/>
      <c r="O107" s="3"/>
      <c r="P107" s="3"/>
      <c r="Q107" s="3"/>
      <c r="R107" s="3"/>
      <c r="S107" s="6">
        <f t="shared" si="9"/>
        <v>88.5</v>
      </c>
      <c r="T107">
        <v>1</v>
      </c>
      <c r="U107" s="4" t="s">
        <v>377</v>
      </c>
      <c r="V107" s="4" t="s">
        <v>378</v>
      </c>
      <c r="W107" s="4" t="s">
        <v>167</v>
      </c>
      <c r="X107" s="5">
        <f t="shared" si="11"/>
        <v>0</v>
      </c>
      <c r="Y107" s="5">
        <f t="shared" si="12"/>
        <v>0</v>
      </c>
      <c r="Z107" s="5">
        <f t="shared" si="12"/>
        <v>0</v>
      </c>
      <c r="AA107" s="5">
        <f t="shared" si="12"/>
        <v>0</v>
      </c>
      <c r="AB107" s="5">
        <f t="shared" ref="AB107:AG114" si="15">IF(H107&lt;=30,0,(H107-30)*2.5)</f>
        <v>37.5</v>
      </c>
      <c r="AC107" s="5">
        <f t="shared" si="15"/>
        <v>33.75</v>
      </c>
      <c r="AD107" s="5">
        <f t="shared" si="15"/>
        <v>0</v>
      </c>
      <c r="AE107" s="5">
        <f t="shared" si="15"/>
        <v>0</v>
      </c>
      <c r="AF107" s="5">
        <f t="shared" si="15"/>
        <v>0</v>
      </c>
      <c r="AG107" s="5">
        <f t="shared" si="15"/>
        <v>0</v>
      </c>
      <c r="AH107" s="5">
        <f t="shared" si="14"/>
        <v>0</v>
      </c>
      <c r="AI107" s="5">
        <f t="shared" si="14"/>
        <v>0</v>
      </c>
      <c r="AJ107" s="5">
        <f t="shared" si="14"/>
        <v>0</v>
      </c>
      <c r="AK107" s="5">
        <f t="shared" si="14"/>
        <v>0</v>
      </c>
      <c r="AL107" s="5">
        <f t="shared" si="14"/>
        <v>0</v>
      </c>
      <c r="AM107" s="6">
        <f t="shared" si="10"/>
        <v>71.25</v>
      </c>
    </row>
    <row r="108" spans="1:39" x14ac:dyDescent="0.25">
      <c r="A108" s="4" t="s">
        <v>381</v>
      </c>
      <c r="B108" s="4" t="s">
        <v>382</v>
      </c>
      <c r="C108" s="4" t="s">
        <v>167</v>
      </c>
      <c r="D108" s="5"/>
      <c r="E108" s="6"/>
      <c r="F108" s="6"/>
      <c r="G108" s="6">
        <v>3</v>
      </c>
      <c r="H108" s="6"/>
      <c r="I108" s="6"/>
      <c r="J108" s="6"/>
      <c r="K108" s="6"/>
      <c r="L108" s="6"/>
      <c r="M108" s="6"/>
      <c r="N108" s="6"/>
      <c r="O108" s="3"/>
      <c r="P108" s="3"/>
      <c r="Q108" s="3"/>
      <c r="R108" s="3"/>
      <c r="S108" s="6">
        <f t="shared" si="9"/>
        <v>3</v>
      </c>
      <c r="T108">
        <v>1</v>
      </c>
      <c r="U108" s="4" t="s">
        <v>381</v>
      </c>
      <c r="V108" s="4" t="s">
        <v>382</v>
      </c>
      <c r="W108" s="4" t="s">
        <v>167</v>
      </c>
      <c r="X108" s="5">
        <f t="shared" si="11"/>
        <v>0</v>
      </c>
      <c r="Y108" s="5">
        <f t="shared" si="12"/>
        <v>0</v>
      </c>
      <c r="Z108" s="5">
        <f t="shared" si="12"/>
        <v>0</v>
      </c>
      <c r="AA108" s="5">
        <f t="shared" si="12"/>
        <v>0</v>
      </c>
      <c r="AB108" s="5">
        <f t="shared" si="15"/>
        <v>0</v>
      </c>
      <c r="AC108" s="5">
        <f t="shared" si="15"/>
        <v>0</v>
      </c>
      <c r="AD108" s="5">
        <f t="shared" si="15"/>
        <v>0</v>
      </c>
      <c r="AE108" s="5">
        <f t="shared" si="15"/>
        <v>0</v>
      </c>
      <c r="AF108" s="5">
        <f t="shared" si="15"/>
        <v>0</v>
      </c>
      <c r="AG108" s="5">
        <f t="shared" si="15"/>
        <v>0</v>
      </c>
      <c r="AH108" s="5">
        <f t="shared" si="14"/>
        <v>0</v>
      </c>
      <c r="AI108" s="5">
        <f t="shared" si="14"/>
        <v>0</v>
      </c>
      <c r="AJ108" s="5">
        <f t="shared" si="14"/>
        <v>0</v>
      </c>
      <c r="AK108" s="5">
        <f t="shared" si="14"/>
        <v>0</v>
      </c>
      <c r="AL108" s="5">
        <f t="shared" si="14"/>
        <v>0</v>
      </c>
      <c r="AM108" s="6">
        <f t="shared" si="10"/>
        <v>0</v>
      </c>
    </row>
    <row r="109" spans="1:39" hidden="1" x14ac:dyDescent="0.25">
      <c r="A109" s="4" t="s">
        <v>350</v>
      </c>
      <c r="B109" s="4" t="s">
        <v>351</v>
      </c>
      <c r="C109" s="4" t="s">
        <v>167</v>
      </c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3"/>
      <c r="P109" s="3"/>
      <c r="Q109" s="3"/>
      <c r="R109" s="3"/>
      <c r="S109" s="6">
        <f t="shared" si="9"/>
        <v>0</v>
      </c>
      <c r="T109">
        <v>1</v>
      </c>
      <c r="U109" s="4" t="s">
        <v>350</v>
      </c>
      <c r="V109" s="4" t="s">
        <v>351</v>
      </c>
      <c r="W109" s="4" t="s">
        <v>167</v>
      </c>
      <c r="X109" s="5">
        <f t="shared" si="11"/>
        <v>0</v>
      </c>
      <c r="Y109" s="5">
        <f t="shared" si="12"/>
        <v>0</v>
      </c>
      <c r="Z109" s="5">
        <f t="shared" si="12"/>
        <v>0</v>
      </c>
      <c r="AA109" s="5">
        <f t="shared" si="12"/>
        <v>0</v>
      </c>
      <c r="AB109" s="5">
        <f t="shared" si="15"/>
        <v>0</v>
      </c>
      <c r="AC109" s="5">
        <f t="shared" si="15"/>
        <v>0</v>
      </c>
      <c r="AD109" s="5">
        <f t="shared" si="15"/>
        <v>0</v>
      </c>
      <c r="AE109" s="5">
        <f t="shared" si="15"/>
        <v>0</v>
      </c>
      <c r="AF109" s="5">
        <f t="shared" si="15"/>
        <v>0</v>
      </c>
      <c r="AG109" s="5">
        <f t="shared" si="15"/>
        <v>0</v>
      </c>
      <c r="AH109" s="5">
        <f t="shared" si="14"/>
        <v>0</v>
      </c>
      <c r="AI109" s="5">
        <f t="shared" si="14"/>
        <v>0</v>
      </c>
      <c r="AJ109" s="5">
        <f t="shared" si="14"/>
        <v>0</v>
      </c>
      <c r="AK109" s="5">
        <f t="shared" si="14"/>
        <v>0</v>
      </c>
      <c r="AL109" s="5">
        <f t="shared" si="14"/>
        <v>0</v>
      </c>
      <c r="AM109" s="6">
        <f t="shared" si="10"/>
        <v>0</v>
      </c>
    </row>
    <row r="110" spans="1:39" x14ac:dyDescent="0.25">
      <c r="A110" s="4" t="s">
        <v>352</v>
      </c>
      <c r="B110" s="4" t="s">
        <v>353</v>
      </c>
      <c r="C110" s="4" t="s">
        <v>167</v>
      </c>
      <c r="D110" s="5"/>
      <c r="E110" s="6"/>
      <c r="F110" s="6"/>
      <c r="G110" s="6">
        <v>31.5</v>
      </c>
      <c r="H110" s="6">
        <v>21</v>
      </c>
      <c r="I110" s="6">
        <v>43.5</v>
      </c>
      <c r="J110" s="6"/>
      <c r="K110" s="6"/>
      <c r="L110" s="6">
        <v>27</v>
      </c>
      <c r="M110" s="6">
        <v>21</v>
      </c>
      <c r="N110" s="6"/>
      <c r="O110" s="3"/>
      <c r="P110" s="3"/>
      <c r="Q110" s="3"/>
      <c r="R110" s="3"/>
      <c r="S110" s="6">
        <f t="shared" si="9"/>
        <v>144</v>
      </c>
      <c r="T110">
        <v>1</v>
      </c>
      <c r="U110" s="4" t="s">
        <v>352</v>
      </c>
      <c r="V110" s="4" t="s">
        <v>353</v>
      </c>
      <c r="W110" s="4" t="s">
        <v>167</v>
      </c>
      <c r="X110" s="5">
        <f t="shared" si="11"/>
        <v>0</v>
      </c>
      <c r="Y110" s="5">
        <f t="shared" si="12"/>
        <v>0</v>
      </c>
      <c r="Z110" s="5">
        <f t="shared" si="12"/>
        <v>0</v>
      </c>
      <c r="AA110" s="5">
        <f t="shared" si="12"/>
        <v>16.25</v>
      </c>
      <c r="AB110" s="5">
        <f t="shared" si="15"/>
        <v>0</v>
      </c>
      <c r="AC110" s="5">
        <f t="shared" si="15"/>
        <v>33.75</v>
      </c>
      <c r="AD110" s="5">
        <f t="shared" si="15"/>
        <v>0</v>
      </c>
      <c r="AE110" s="5">
        <f t="shared" si="15"/>
        <v>0</v>
      </c>
      <c r="AF110" s="5">
        <f t="shared" si="15"/>
        <v>0</v>
      </c>
      <c r="AG110" s="5">
        <f t="shared" si="15"/>
        <v>0</v>
      </c>
      <c r="AH110" s="5">
        <f t="shared" si="14"/>
        <v>0</v>
      </c>
      <c r="AI110" s="5">
        <f t="shared" si="14"/>
        <v>0</v>
      </c>
      <c r="AJ110" s="5">
        <f t="shared" si="14"/>
        <v>0</v>
      </c>
      <c r="AK110" s="5">
        <f t="shared" si="14"/>
        <v>0</v>
      </c>
      <c r="AL110" s="5">
        <f t="shared" si="14"/>
        <v>0</v>
      </c>
      <c r="AM110" s="6">
        <f t="shared" si="10"/>
        <v>50</v>
      </c>
    </row>
    <row r="111" spans="1:39" x14ac:dyDescent="0.25">
      <c r="A111" s="4" t="s">
        <v>389</v>
      </c>
      <c r="B111" s="4" t="s">
        <v>390</v>
      </c>
      <c r="C111" s="4" t="s">
        <v>167</v>
      </c>
      <c r="D111" s="5"/>
      <c r="E111" s="6"/>
      <c r="F111" s="6"/>
      <c r="G111" s="6">
        <v>3</v>
      </c>
      <c r="H111" s="6">
        <v>48</v>
      </c>
      <c r="I111" s="6">
        <v>39</v>
      </c>
      <c r="J111" s="6">
        <v>42</v>
      </c>
      <c r="K111" s="6"/>
      <c r="L111" s="6"/>
      <c r="M111" s="6"/>
      <c r="N111" s="6"/>
      <c r="O111" s="3"/>
      <c r="P111" s="3"/>
      <c r="Q111" s="3"/>
      <c r="R111" s="3"/>
      <c r="S111" s="6">
        <f t="shared" si="9"/>
        <v>132</v>
      </c>
      <c r="T111">
        <v>1</v>
      </c>
      <c r="U111" s="4" t="s">
        <v>389</v>
      </c>
      <c r="V111" s="4" t="s">
        <v>390</v>
      </c>
      <c r="W111" s="4" t="s">
        <v>167</v>
      </c>
      <c r="X111" s="5">
        <f t="shared" si="11"/>
        <v>0</v>
      </c>
      <c r="Y111" s="5">
        <f t="shared" si="12"/>
        <v>0</v>
      </c>
      <c r="Z111" s="5">
        <f t="shared" si="12"/>
        <v>0</v>
      </c>
      <c r="AA111" s="5">
        <f t="shared" si="12"/>
        <v>0</v>
      </c>
      <c r="AB111" s="5">
        <f t="shared" si="15"/>
        <v>45</v>
      </c>
      <c r="AC111" s="5">
        <f t="shared" si="15"/>
        <v>22.5</v>
      </c>
      <c r="AD111" s="5">
        <f t="shared" si="15"/>
        <v>30</v>
      </c>
      <c r="AE111" s="5">
        <f t="shared" si="15"/>
        <v>0</v>
      </c>
      <c r="AF111" s="5">
        <f t="shared" si="15"/>
        <v>0</v>
      </c>
      <c r="AG111" s="5">
        <f t="shared" si="15"/>
        <v>0</v>
      </c>
      <c r="AH111" s="5">
        <f t="shared" si="14"/>
        <v>0</v>
      </c>
      <c r="AI111" s="5">
        <f t="shared" si="14"/>
        <v>0</v>
      </c>
      <c r="AJ111" s="5">
        <f t="shared" si="14"/>
        <v>0</v>
      </c>
      <c r="AK111" s="5">
        <f t="shared" si="14"/>
        <v>0</v>
      </c>
      <c r="AL111" s="5">
        <f t="shared" si="14"/>
        <v>0</v>
      </c>
      <c r="AM111" s="6">
        <f t="shared" si="10"/>
        <v>97.5</v>
      </c>
    </row>
    <row r="112" spans="1:39" x14ac:dyDescent="0.25">
      <c r="A112" s="4" t="s">
        <v>354</v>
      </c>
      <c r="B112" s="4" t="s">
        <v>355</v>
      </c>
      <c r="C112" s="4" t="s">
        <v>167</v>
      </c>
      <c r="D112" s="5"/>
      <c r="E112" s="6"/>
      <c r="F112" s="6"/>
      <c r="G112" s="6">
        <v>24</v>
      </c>
      <c r="H112" s="6">
        <v>18</v>
      </c>
      <c r="I112" s="6">
        <v>45</v>
      </c>
      <c r="J112" s="6">
        <v>36</v>
      </c>
      <c r="K112" s="6"/>
      <c r="L112" s="6"/>
      <c r="M112" s="6"/>
      <c r="N112" s="6"/>
      <c r="O112" s="3"/>
      <c r="P112" s="3"/>
      <c r="Q112" s="3"/>
      <c r="R112" s="3"/>
      <c r="S112" s="6">
        <f t="shared" si="9"/>
        <v>123</v>
      </c>
      <c r="T112">
        <v>1</v>
      </c>
      <c r="U112" s="4" t="s">
        <v>354</v>
      </c>
      <c r="V112" s="4" t="s">
        <v>355</v>
      </c>
      <c r="W112" s="4" t="s">
        <v>167</v>
      </c>
      <c r="X112" s="5">
        <f t="shared" si="11"/>
        <v>0</v>
      </c>
      <c r="Y112" s="5">
        <f t="shared" si="12"/>
        <v>0</v>
      </c>
      <c r="Z112" s="5">
        <f t="shared" si="12"/>
        <v>0</v>
      </c>
      <c r="AA112" s="5">
        <f t="shared" si="12"/>
        <v>0</v>
      </c>
      <c r="AB112" s="5">
        <f t="shared" si="15"/>
        <v>0</v>
      </c>
      <c r="AC112" s="5">
        <f t="shared" si="15"/>
        <v>37.5</v>
      </c>
      <c r="AD112" s="5">
        <f t="shared" si="15"/>
        <v>15</v>
      </c>
      <c r="AE112" s="5">
        <f t="shared" si="15"/>
        <v>0</v>
      </c>
      <c r="AF112" s="5">
        <f t="shared" si="15"/>
        <v>0</v>
      </c>
      <c r="AG112" s="5">
        <f t="shared" si="15"/>
        <v>0</v>
      </c>
      <c r="AH112" s="5">
        <f t="shared" si="14"/>
        <v>0</v>
      </c>
      <c r="AI112" s="5">
        <f t="shared" si="14"/>
        <v>0</v>
      </c>
      <c r="AJ112" s="5">
        <f t="shared" si="14"/>
        <v>0</v>
      </c>
      <c r="AK112" s="5">
        <f t="shared" si="14"/>
        <v>0</v>
      </c>
      <c r="AL112" s="5">
        <f t="shared" si="14"/>
        <v>0</v>
      </c>
      <c r="AM112" s="6">
        <f t="shared" si="10"/>
        <v>52.5</v>
      </c>
    </row>
    <row r="113" spans="1:39" x14ac:dyDescent="0.25">
      <c r="A113" s="4" t="s">
        <v>356</v>
      </c>
      <c r="B113" s="4" t="s">
        <v>357</v>
      </c>
      <c r="C113" s="4" t="s">
        <v>167</v>
      </c>
      <c r="D113" s="5"/>
      <c r="E113" s="6"/>
      <c r="F113" s="6"/>
      <c r="G113" s="6"/>
      <c r="H113" s="6"/>
      <c r="I113" s="6"/>
      <c r="J113" s="6"/>
      <c r="K113" s="6"/>
      <c r="L113" s="6">
        <v>33</v>
      </c>
      <c r="M113" s="6"/>
      <c r="N113" s="6"/>
      <c r="O113" s="3"/>
      <c r="P113" s="3"/>
      <c r="Q113" s="3"/>
      <c r="R113" s="3"/>
      <c r="S113" s="6">
        <f t="shared" si="9"/>
        <v>33</v>
      </c>
      <c r="T113">
        <v>1</v>
      </c>
      <c r="U113" s="4" t="s">
        <v>356</v>
      </c>
      <c r="V113" s="4" t="s">
        <v>357</v>
      </c>
      <c r="W113" s="4" t="s">
        <v>167</v>
      </c>
      <c r="X113" s="5">
        <f t="shared" si="11"/>
        <v>0</v>
      </c>
      <c r="Y113" s="5">
        <f t="shared" si="12"/>
        <v>0</v>
      </c>
      <c r="Z113" s="5">
        <f t="shared" si="12"/>
        <v>0</v>
      </c>
      <c r="AA113" s="5">
        <f t="shared" si="12"/>
        <v>0</v>
      </c>
      <c r="AB113" s="5">
        <f t="shared" si="15"/>
        <v>0</v>
      </c>
      <c r="AC113" s="5">
        <f t="shared" si="15"/>
        <v>0</v>
      </c>
      <c r="AD113" s="5">
        <f t="shared" si="15"/>
        <v>0</v>
      </c>
      <c r="AE113" s="5">
        <f t="shared" si="15"/>
        <v>0</v>
      </c>
      <c r="AF113" s="5">
        <f t="shared" si="15"/>
        <v>7.5</v>
      </c>
      <c r="AG113" s="5">
        <f t="shared" si="15"/>
        <v>0</v>
      </c>
      <c r="AH113" s="5">
        <f t="shared" si="14"/>
        <v>0</v>
      </c>
      <c r="AI113" s="5">
        <f t="shared" si="14"/>
        <v>0</v>
      </c>
      <c r="AJ113" s="5">
        <f t="shared" si="14"/>
        <v>0</v>
      </c>
      <c r="AK113" s="5">
        <f t="shared" si="14"/>
        <v>0</v>
      </c>
      <c r="AL113" s="5">
        <f t="shared" si="14"/>
        <v>0</v>
      </c>
      <c r="AM113" s="6">
        <f t="shared" si="10"/>
        <v>7.5</v>
      </c>
    </row>
    <row r="114" spans="1:39" x14ac:dyDescent="0.25">
      <c r="A114" s="4" t="s">
        <v>358</v>
      </c>
      <c r="B114" s="4" t="s">
        <v>359</v>
      </c>
      <c r="C114" s="4" t="s">
        <v>167</v>
      </c>
      <c r="D114" s="5"/>
      <c r="E114" s="6"/>
      <c r="F114" s="6"/>
      <c r="G114" s="6"/>
      <c r="H114" s="6"/>
      <c r="I114" s="6"/>
      <c r="J114" s="6"/>
      <c r="K114" s="6"/>
      <c r="L114" s="6">
        <v>18</v>
      </c>
      <c r="M114" s="6"/>
      <c r="N114" s="6"/>
      <c r="O114" s="3"/>
      <c r="P114" s="3"/>
      <c r="Q114" s="3"/>
      <c r="R114" s="3"/>
      <c r="S114" s="6">
        <f t="shared" si="9"/>
        <v>18</v>
      </c>
      <c r="T114">
        <v>1</v>
      </c>
      <c r="U114" s="4" t="s">
        <v>358</v>
      </c>
      <c r="V114" s="4" t="s">
        <v>359</v>
      </c>
      <c r="W114" s="4" t="s">
        <v>167</v>
      </c>
      <c r="X114" s="5">
        <f t="shared" si="11"/>
        <v>0</v>
      </c>
      <c r="Y114" s="5">
        <f t="shared" si="12"/>
        <v>0</v>
      </c>
      <c r="Z114" s="5">
        <f t="shared" si="12"/>
        <v>0</v>
      </c>
      <c r="AA114" s="5">
        <f t="shared" si="12"/>
        <v>0</v>
      </c>
      <c r="AB114" s="5">
        <f t="shared" si="15"/>
        <v>0</v>
      </c>
      <c r="AC114" s="5">
        <f t="shared" si="15"/>
        <v>0</v>
      </c>
      <c r="AD114" s="5">
        <f t="shared" si="15"/>
        <v>0</v>
      </c>
      <c r="AE114" s="5">
        <f t="shared" si="15"/>
        <v>0</v>
      </c>
      <c r="AF114" s="5">
        <f t="shared" si="15"/>
        <v>0</v>
      </c>
      <c r="AG114" s="5">
        <f t="shared" si="15"/>
        <v>0</v>
      </c>
      <c r="AH114" s="5">
        <f t="shared" si="14"/>
        <v>0</v>
      </c>
      <c r="AI114" s="5">
        <f t="shared" si="14"/>
        <v>0</v>
      </c>
      <c r="AJ114" s="5">
        <f t="shared" si="14"/>
        <v>0</v>
      </c>
      <c r="AK114" s="5">
        <f t="shared" si="14"/>
        <v>0</v>
      </c>
      <c r="AL114" s="5">
        <f t="shared" si="14"/>
        <v>0</v>
      </c>
      <c r="AM114" s="6">
        <f t="shared" si="10"/>
        <v>0</v>
      </c>
    </row>
    <row r="115" spans="1:39" hidden="1" x14ac:dyDescent="0.25">
      <c r="A115" s="4" t="s">
        <v>250</v>
      </c>
      <c r="B115" s="4" t="s">
        <v>251</v>
      </c>
      <c r="C115" s="4" t="s">
        <v>362</v>
      </c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3"/>
      <c r="P115" s="3"/>
      <c r="Q115" s="3"/>
      <c r="R115" s="3"/>
      <c r="S115" s="6">
        <f t="shared" si="9"/>
        <v>0</v>
      </c>
      <c r="T115">
        <v>1</v>
      </c>
      <c r="U115" s="4" t="s">
        <v>250</v>
      </c>
      <c r="V115" s="4" t="s">
        <v>251</v>
      </c>
      <c r="W115" s="4" t="s">
        <v>362</v>
      </c>
      <c r="X115" s="5">
        <f t="shared" ref="X115:AL130" si="16">IF(D115&lt;20,0,IF(D115&lt;25,20,IF(D115&lt;30,40,IF(D115&lt;=40,60+(D115-30)*3,60+30+(D115-40)*4))))</f>
        <v>0</v>
      </c>
      <c r="Y115" s="5">
        <f t="shared" si="16"/>
        <v>0</v>
      </c>
      <c r="Z115" s="5">
        <f t="shared" si="16"/>
        <v>0</v>
      </c>
      <c r="AA115" s="5">
        <f t="shared" si="16"/>
        <v>0</v>
      </c>
      <c r="AB115" s="5">
        <f t="shared" si="16"/>
        <v>0</v>
      </c>
      <c r="AC115" s="5">
        <f t="shared" si="16"/>
        <v>0</v>
      </c>
      <c r="AD115" s="5">
        <f t="shared" si="16"/>
        <v>0</v>
      </c>
      <c r="AE115" s="5">
        <f t="shared" si="16"/>
        <v>0</v>
      </c>
      <c r="AF115" s="5">
        <f t="shared" si="16"/>
        <v>0</v>
      </c>
      <c r="AG115" s="5">
        <f t="shared" si="16"/>
        <v>0</v>
      </c>
      <c r="AH115" s="5">
        <f t="shared" si="16"/>
        <v>0</v>
      </c>
      <c r="AI115" s="5">
        <f t="shared" si="16"/>
        <v>0</v>
      </c>
      <c r="AJ115" s="5">
        <f t="shared" si="16"/>
        <v>0</v>
      </c>
      <c r="AK115" s="5">
        <f t="shared" si="16"/>
        <v>0</v>
      </c>
      <c r="AL115" s="5">
        <f t="shared" si="16"/>
        <v>0</v>
      </c>
      <c r="AM115" s="6">
        <f t="shared" si="10"/>
        <v>0</v>
      </c>
    </row>
    <row r="116" spans="1:39" x14ac:dyDescent="0.25">
      <c r="A116" s="4" t="s">
        <v>238</v>
      </c>
      <c r="B116" s="4" t="s">
        <v>239</v>
      </c>
      <c r="C116" s="4" t="s">
        <v>362</v>
      </c>
      <c r="D116" s="5"/>
      <c r="E116" s="6"/>
      <c r="F116" s="6"/>
      <c r="G116" s="6"/>
      <c r="H116" s="6"/>
      <c r="I116" s="6"/>
      <c r="J116" s="6"/>
      <c r="K116" s="6"/>
      <c r="L116" s="6">
        <v>28.5</v>
      </c>
      <c r="M116" s="6"/>
      <c r="N116" s="6"/>
      <c r="O116" s="3"/>
      <c r="P116" s="3"/>
      <c r="Q116" s="3"/>
      <c r="R116" s="3"/>
      <c r="S116" s="6">
        <f t="shared" si="9"/>
        <v>28.5</v>
      </c>
      <c r="T116">
        <v>1</v>
      </c>
      <c r="U116" s="4" t="s">
        <v>238</v>
      </c>
      <c r="V116" s="4" t="s">
        <v>239</v>
      </c>
      <c r="W116" s="4" t="s">
        <v>362</v>
      </c>
      <c r="X116" s="5">
        <f t="shared" si="16"/>
        <v>0</v>
      </c>
      <c r="Y116" s="5">
        <f t="shared" si="16"/>
        <v>0</v>
      </c>
      <c r="Z116" s="5">
        <f t="shared" si="16"/>
        <v>0</v>
      </c>
      <c r="AA116" s="5">
        <f t="shared" si="16"/>
        <v>0</v>
      </c>
      <c r="AB116" s="5">
        <f t="shared" si="16"/>
        <v>0</v>
      </c>
      <c r="AC116" s="5">
        <f t="shared" si="16"/>
        <v>0</v>
      </c>
      <c r="AD116" s="5">
        <f t="shared" si="16"/>
        <v>0</v>
      </c>
      <c r="AE116" s="5">
        <f t="shared" si="16"/>
        <v>0</v>
      </c>
      <c r="AF116" s="5">
        <f t="shared" si="16"/>
        <v>40</v>
      </c>
      <c r="AG116" s="5">
        <f t="shared" si="16"/>
        <v>0</v>
      </c>
      <c r="AH116" s="5">
        <f t="shared" si="16"/>
        <v>0</v>
      </c>
      <c r="AI116" s="5">
        <f t="shared" si="16"/>
        <v>0</v>
      </c>
      <c r="AJ116" s="5">
        <f t="shared" si="16"/>
        <v>0</v>
      </c>
      <c r="AK116" s="5">
        <f t="shared" si="16"/>
        <v>0</v>
      </c>
      <c r="AL116" s="5">
        <f t="shared" si="16"/>
        <v>0</v>
      </c>
      <c r="AM116" s="6">
        <f t="shared" si="10"/>
        <v>40</v>
      </c>
    </row>
    <row r="117" spans="1:39" x14ac:dyDescent="0.25">
      <c r="A117" s="4" t="s">
        <v>240</v>
      </c>
      <c r="B117" s="4" t="s">
        <v>241</v>
      </c>
      <c r="C117" s="4" t="s">
        <v>362</v>
      </c>
      <c r="D117" s="5"/>
      <c r="E117" s="6"/>
      <c r="F117" s="6"/>
      <c r="G117" s="6"/>
      <c r="H117" s="6"/>
      <c r="I117" s="6"/>
      <c r="J117" s="6"/>
      <c r="K117" s="6"/>
      <c r="L117" s="6">
        <v>27</v>
      </c>
      <c r="M117" s="6"/>
      <c r="N117" s="6"/>
      <c r="O117" s="3"/>
      <c r="P117" s="3"/>
      <c r="Q117" s="3"/>
      <c r="R117" s="3"/>
      <c r="S117" s="6">
        <f t="shared" si="9"/>
        <v>27</v>
      </c>
      <c r="T117">
        <v>1</v>
      </c>
      <c r="U117" s="4" t="s">
        <v>240</v>
      </c>
      <c r="V117" s="4" t="s">
        <v>241</v>
      </c>
      <c r="W117" s="4" t="s">
        <v>362</v>
      </c>
      <c r="X117" s="5">
        <f t="shared" si="16"/>
        <v>0</v>
      </c>
      <c r="Y117" s="5">
        <f t="shared" si="16"/>
        <v>0</v>
      </c>
      <c r="Z117" s="5">
        <f t="shared" si="16"/>
        <v>0</v>
      </c>
      <c r="AA117" s="5">
        <f t="shared" si="16"/>
        <v>0</v>
      </c>
      <c r="AB117" s="5">
        <f t="shared" si="16"/>
        <v>0</v>
      </c>
      <c r="AC117" s="5">
        <f t="shared" si="16"/>
        <v>0</v>
      </c>
      <c r="AD117" s="5">
        <f t="shared" si="16"/>
        <v>0</v>
      </c>
      <c r="AE117" s="5">
        <f t="shared" si="16"/>
        <v>0</v>
      </c>
      <c r="AF117" s="5">
        <f t="shared" si="16"/>
        <v>40</v>
      </c>
      <c r="AG117" s="5">
        <f t="shared" si="16"/>
        <v>0</v>
      </c>
      <c r="AH117" s="5">
        <f t="shared" si="16"/>
        <v>0</v>
      </c>
      <c r="AI117" s="5">
        <f t="shared" si="16"/>
        <v>0</v>
      </c>
      <c r="AJ117" s="5">
        <f t="shared" si="16"/>
        <v>0</v>
      </c>
      <c r="AK117" s="5">
        <f t="shared" si="16"/>
        <v>0</v>
      </c>
      <c r="AL117" s="5">
        <f t="shared" si="16"/>
        <v>0</v>
      </c>
      <c r="AM117" s="6">
        <f t="shared" si="10"/>
        <v>40</v>
      </c>
    </row>
    <row r="118" spans="1:39" x14ac:dyDescent="0.25">
      <c r="A118" s="4" t="s">
        <v>262</v>
      </c>
      <c r="B118" s="4" t="s">
        <v>263</v>
      </c>
      <c r="C118" s="4" t="s">
        <v>362</v>
      </c>
      <c r="D118" s="5">
        <v>21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3"/>
      <c r="P118" s="3"/>
      <c r="Q118" s="3"/>
      <c r="R118" s="3"/>
      <c r="S118" s="6">
        <f t="shared" si="9"/>
        <v>21</v>
      </c>
      <c r="T118">
        <v>1</v>
      </c>
      <c r="U118" s="4" t="s">
        <v>262</v>
      </c>
      <c r="V118" s="4" t="s">
        <v>263</v>
      </c>
      <c r="W118" s="4" t="s">
        <v>362</v>
      </c>
      <c r="X118" s="5">
        <f t="shared" si="16"/>
        <v>20</v>
      </c>
      <c r="Y118" s="5">
        <f t="shared" si="16"/>
        <v>0</v>
      </c>
      <c r="Z118" s="5">
        <f t="shared" si="16"/>
        <v>0</v>
      </c>
      <c r="AA118" s="5">
        <f t="shared" si="16"/>
        <v>0</v>
      </c>
      <c r="AB118" s="5">
        <f t="shared" si="16"/>
        <v>0</v>
      </c>
      <c r="AC118" s="5">
        <f t="shared" si="16"/>
        <v>0</v>
      </c>
      <c r="AD118" s="5">
        <f t="shared" si="16"/>
        <v>0</v>
      </c>
      <c r="AE118" s="5">
        <f t="shared" si="16"/>
        <v>0</v>
      </c>
      <c r="AF118" s="5">
        <f t="shared" si="16"/>
        <v>0</v>
      </c>
      <c r="AG118" s="5">
        <f t="shared" si="16"/>
        <v>0</v>
      </c>
      <c r="AH118" s="5">
        <f t="shared" si="16"/>
        <v>0</v>
      </c>
      <c r="AI118" s="5">
        <f t="shared" si="16"/>
        <v>0</v>
      </c>
      <c r="AJ118" s="5">
        <f t="shared" si="16"/>
        <v>0</v>
      </c>
      <c r="AK118" s="5">
        <f t="shared" si="16"/>
        <v>0</v>
      </c>
      <c r="AL118" s="5">
        <f t="shared" si="16"/>
        <v>0</v>
      </c>
      <c r="AM118" s="6">
        <f t="shared" si="10"/>
        <v>20</v>
      </c>
    </row>
    <row r="119" spans="1:39" hidden="1" x14ac:dyDescent="0.25">
      <c r="A119" s="4" t="s">
        <v>264</v>
      </c>
      <c r="B119" s="4" t="s">
        <v>265</v>
      </c>
      <c r="C119" s="4" t="s">
        <v>362</v>
      </c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3"/>
      <c r="P119" s="3"/>
      <c r="Q119" s="3"/>
      <c r="R119" s="3"/>
      <c r="S119" s="6">
        <f t="shared" si="9"/>
        <v>0</v>
      </c>
      <c r="T119">
        <v>1</v>
      </c>
      <c r="U119" s="4" t="s">
        <v>264</v>
      </c>
      <c r="V119" s="4" t="s">
        <v>265</v>
      </c>
      <c r="W119" s="4" t="s">
        <v>362</v>
      </c>
      <c r="X119" s="5">
        <f t="shared" si="16"/>
        <v>0</v>
      </c>
      <c r="Y119" s="5">
        <f t="shared" si="16"/>
        <v>0</v>
      </c>
      <c r="Z119" s="5">
        <f t="shared" si="16"/>
        <v>0</v>
      </c>
      <c r="AA119" s="5">
        <f t="shared" si="16"/>
        <v>0</v>
      </c>
      <c r="AB119" s="5">
        <f t="shared" si="16"/>
        <v>0</v>
      </c>
      <c r="AC119" s="5">
        <f t="shared" si="16"/>
        <v>0</v>
      </c>
      <c r="AD119" s="5">
        <f t="shared" si="16"/>
        <v>0</v>
      </c>
      <c r="AE119" s="5">
        <f t="shared" si="16"/>
        <v>0</v>
      </c>
      <c r="AF119" s="5">
        <f t="shared" si="16"/>
        <v>0</v>
      </c>
      <c r="AG119" s="5">
        <f t="shared" si="16"/>
        <v>0</v>
      </c>
      <c r="AH119" s="5">
        <f t="shared" si="16"/>
        <v>0</v>
      </c>
      <c r="AI119" s="5">
        <f t="shared" si="16"/>
        <v>0</v>
      </c>
      <c r="AJ119" s="5">
        <f t="shared" si="16"/>
        <v>0</v>
      </c>
      <c r="AK119" s="5">
        <f t="shared" si="16"/>
        <v>0</v>
      </c>
      <c r="AL119" s="5">
        <f t="shared" si="16"/>
        <v>0</v>
      </c>
      <c r="AM119" s="6">
        <f t="shared" si="10"/>
        <v>0</v>
      </c>
    </row>
    <row r="120" spans="1:39" x14ac:dyDescent="0.25">
      <c r="A120" s="4" t="s">
        <v>280</v>
      </c>
      <c r="B120" s="4" t="s">
        <v>281</v>
      </c>
      <c r="C120" s="4" t="s">
        <v>362</v>
      </c>
      <c r="D120" s="5">
        <v>21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3"/>
      <c r="P120" s="3"/>
      <c r="Q120" s="3"/>
      <c r="R120" s="3"/>
      <c r="S120" s="6">
        <f t="shared" si="9"/>
        <v>21</v>
      </c>
      <c r="T120">
        <v>1</v>
      </c>
      <c r="U120" s="4" t="s">
        <v>280</v>
      </c>
      <c r="V120" s="4" t="s">
        <v>281</v>
      </c>
      <c r="W120" s="4" t="s">
        <v>362</v>
      </c>
      <c r="X120" s="5">
        <f t="shared" si="16"/>
        <v>20</v>
      </c>
      <c r="Y120" s="5">
        <f t="shared" si="16"/>
        <v>0</v>
      </c>
      <c r="Z120" s="5">
        <f t="shared" si="16"/>
        <v>0</v>
      </c>
      <c r="AA120" s="5">
        <f t="shared" si="16"/>
        <v>0</v>
      </c>
      <c r="AB120" s="5">
        <f t="shared" si="16"/>
        <v>0</v>
      </c>
      <c r="AC120" s="5">
        <f t="shared" si="16"/>
        <v>0</v>
      </c>
      <c r="AD120" s="5">
        <f t="shared" si="16"/>
        <v>0</v>
      </c>
      <c r="AE120" s="5">
        <f t="shared" si="16"/>
        <v>0</v>
      </c>
      <c r="AF120" s="5">
        <f t="shared" si="16"/>
        <v>0</v>
      </c>
      <c r="AG120" s="5">
        <f t="shared" si="16"/>
        <v>0</v>
      </c>
      <c r="AH120" s="5">
        <f t="shared" si="16"/>
        <v>0</v>
      </c>
      <c r="AI120" s="5">
        <f t="shared" si="16"/>
        <v>0</v>
      </c>
      <c r="AJ120" s="5">
        <f t="shared" si="16"/>
        <v>0</v>
      </c>
      <c r="AK120" s="5">
        <f t="shared" si="16"/>
        <v>0</v>
      </c>
      <c r="AL120" s="5">
        <f t="shared" si="16"/>
        <v>0</v>
      </c>
      <c r="AM120" s="6">
        <f t="shared" si="10"/>
        <v>20</v>
      </c>
    </row>
    <row r="121" spans="1:39" x14ac:dyDescent="0.25">
      <c r="A121" s="4" t="s">
        <v>499</v>
      </c>
      <c r="B121" s="4" t="s">
        <v>500</v>
      </c>
      <c r="C121" s="4" t="s">
        <v>362</v>
      </c>
      <c r="D121" s="5"/>
      <c r="E121" s="6"/>
      <c r="F121" s="6"/>
      <c r="G121" s="6">
        <v>25.5</v>
      </c>
      <c r="H121" s="6"/>
      <c r="I121" s="6"/>
      <c r="J121" s="6"/>
      <c r="K121" s="6"/>
      <c r="L121" s="6"/>
      <c r="M121" s="6"/>
      <c r="N121" s="6"/>
      <c r="O121" s="3"/>
      <c r="P121" s="3"/>
      <c r="Q121" s="3"/>
      <c r="R121" s="3"/>
      <c r="S121" s="6">
        <f t="shared" si="9"/>
        <v>25.5</v>
      </c>
      <c r="T121">
        <v>1</v>
      </c>
      <c r="U121" s="4" t="s">
        <v>499</v>
      </c>
      <c r="V121" s="4" t="s">
        <v>500</v>
      </c>
      <c r="W121" s="4" t="s">
        <v>362</v>
      </c>
      <c r="X121" s="5">
        <f t="shared" si="16"/>
        <v>0</v>
      </c>
      <c r="Y121" s="5">
        <f t="shared" si="16"/>
        <v>0</v>
      </c>
      <c r="Z121" s="5">
        <f t="shared" si="16"/>
        <v>0</v>
      </c>
      <c r="AA121" s="5">
        <f t="shared" si="16"/>
        <v>40</v>
      </c>
      <c r="AB121" s="5">
        <f t="shared" si="16"/>
        <v>0</v>
      </c>
      <c r="AC121" s="5">
        <f t="shared" si="16"/>
        <v>0</v>
      </c>
      <c r="AD121" s="5">
        <f t="shared" si="16"/>
        <v>0</v>
      </c>
      <c r="AE121" s="5">
        <f t="shared" si="16"/>
        <v>0</v>
      </c>
      <c r="AF121" s="5">
        <f t="shared" si="16"/>
        <v>0</v>
      </c>
      <c r="AG121" s="5">
        <f t="shared" si="16"/>
        <v>0</v>
      </c>
      <c r="AH121" s="5">
        <f t="shared" si="16"/>
        <v>0</v>
      </c>
      <c r="AI121" s="5">
        <f t="shared" si="16"/>
        <v>0</v>
      </c>
      <c r="AJ121" s="5">
        <f t="shared" si="16"/>
        <v>0</v>
      </c>
      <c r="AK121" s="5">
        <f t="shared" si="16"/>
        <v>0</v>
      </c>
      <c r="AL121" s="5">
        <f t="shared" si="16"/>
        <v>0</v>
      </c>
      <c r="AM121" s="6">
        <f t="shared" si="10"/>
        <v>40</v>
      </c>
    </row>
    <row r="122" spans="1:39" x14ac:dyDescent="0.25">
      <c r="A122" s="4" t="s">
        <v>326</v>
      </c>
      <c r="B122" s="4" t="s">
        <v>327</v>
      </c>
      <c r="C122" s="4" t="s">
        <v>362</v>
      </c>
      <c r="D122" s="5">
        <v>13.5</v>
      </c>
      <c r="E122" s="6">
        <v>12</v>
      </c>
      <c r="F122" s="6">
        <v>15</v>
      </c>
      <c r="G122" s="6">
        <v>25.5</v>
      </c>
      <c r="H122" s="6">
        <v>27.5</v>
      </c>
      <c r="I122" s="6">
        <v>27</v>
      </c>
      <c r="J122" s="6">
        <v>34.5</v>
      </c>
      <c r="K122" s="6"/>
      <c r="L122" s="6">
        <v>40.5</v>
      </c>
      <c r="M122" s="6"/>
      <c r="N122" s="6"/>
      <c r="O122" s="3"/>
      <c r="P122" s="3"/>
      <c r="Q122" s="3"/>
      <c r="R122" s="3"/>
      <c r="S122" s="6">
        <f t="shared" si="9"/>
        <v>195.5</v>
      </c>
      <c r="T122">
        <v>1</v>
      </c>
      <c r="U122" s="4" t="s">
        <v>326</v>
      </c>
      <c r="V122" s="4" t="s">
        <v>327</v>
      </c>
      <c r="W122" s="4" t="s">
        <v>362</v>
      </c>
      <c r="X122" s="5">
        <f t="shared" si="16"/>
        <v>0</v>
      </c>
      <c r="Y122" s="5">
        <f t="shared" si="16"/>
        <v>0</v>
      </c>
      <c r="Z122" s="5">
        <f t="shared" si="16"/>
        <v>0</v>
      </c>
      <c r="AA122" s="5">
        <f t="shared" si="16"/>
        <v>40</v>
      </c>
      <c r="AB122" s="5">
        <f t="shared" si="16"/>
        <v>40</v>
      </c>
      <c r="AC122" s="5">
        <f t="shared" si="16"/>
        <v>40</v>
      </c>
      <c r="AD122" s="5">
        <f t="shared" si="16"/>
        <v>73.5</v>
      </c>
      <c r="AE122" s="5">
        <f t="shared" si="16"/>
        <v>0</v>
      </c>
      <c r="AF122" s="5">
        <f t="shared" si="16"/>
        <v>92</v>
      </c>
      <c r="AG122" s="5">
        <f t="shared" si="16"/>
        <v>0</v>
      </c>
      <c r="AH122" s="5">
        <f t="shared" si="16"/>
        <v>0</v>
      </c>
      <c r="AI122" s="5">
        <f t="shared" si="16"/>
        <v>0</v>
      </c>
      <c r="AJ122" s="5">
        <f t="shared" si="16"/>
        <v>0</v>
      </c>
      <c r="AK122" s="5">
        <f t="shared" si="16"/>
        <v>0</v>
      </c>
      <c r="AL122" s="5">
        <f t="shared" si="16"/>
        <v>0</v>
      </c>
      <c r="AM122" s="6">
        <f t="shared" si="10"/>
        <v>285.5</v>
      </c>
    </row>
    <row r="123" spans="1:39" x14ac:dyDescent="0.25">
      <c r="A123" s="4" t="s">
        <v>375</v>
      </c>
      <c r="B123" s="4" t="s">
        <v>376</v>
      </c>
      <c r="C123" s="4" t="s">
        <v>362</v>
      </c>
      <c r="D123" s="5">
        <v>22.5</v>
      </c>
      <c r="E123" s="6">
        <v>21</v>
      </c>
      <c r="F123" s="6">
        <v>16.5</v>
      </c>
      <c r="G123" s="6">
        <v>25.5</v>
      </c>
      <c r="H123" s="6">
        <v>29</v>
      </c>
      <c r="I123" s="6">
        <v>27</v>
      </c>
      <c r="J123" s="6">
        <v>36</v>
      </c>
      <c r="K123" s="6">
        <v>42</v>
      </c>
      <c r="L123" s="6">
        <v>39</v>
      </c>
      <c r="M123" s="6">
        <v>39</v>
      </c>
      <c r="N123" s="6"/>
      <c r="O123" s="3"/>
      <c r="P123" s="3"/>
      <c r="Q123" s="3"/>
      <c r="R123" s="3"/>
      <c r="S123" s="6">
        <f t="shared" si="9"/>
        <v>297.5</v>
      </c>
      <c r="T123">
        <v>1</v>
      </c>
      <c r="U123" s="4" t="s">
        <v>375</v>
      </c>
      <c r="V123" s="4" t="s">
        <v>376</v>
      </c>
      <c r="W123" s="4" t="s">
        <v>362</v>
      </c>
      <c r="X123" s="5">
        <f t="shared" si="16"/>
        <v>20</v>
      </c>
      <c r="Y123" s="5">
        <f t="shared" si="16"/>
        <v>20</v>
      </c>
      <c r="Z123" s="5">
        <f t="shared" si="16"/>
        <v>0</v>
      </c>
      <c r="AA123" s="5">
        <f t="shared" si="16"/>
        <v>40</v>
      </c>
      <c r="AB123" s="5">
        <f t="shared" si="16"/>
        <v>40</v>
      </c>
      <c r="AC123" s="5">
        <f t="shared" si="16"/>
        <v>40</v>
      </c>
      <c r="AD123" s="5">
        <f t="shared" si="16"/>
        <v>78</v>
      </c>
      <c r="AE123" s="5">
        <f t="shared" si="16"/>
        <v>98</v>
      </c>
      <c r="AF123" s="5">
        <f t="shared" si="16"/>
        <v>87</v>
      </c>
      <c r="AG123" s="5">
        <f t="shared" si="16"/>
        <v>87</v>
      </c>
      <c r="AH123" s="5">
        <f t="shared" si="16"/>
        <v>0</v>
      </c>
      <c r="AI123" s="5">
        <f t="shared" si="16"/>
        <v>0</v>
      </c>
      <c r="AJ123" s="5">
        <f t="shared" si="16"/>
        <v>0</v>
      </c>
      <c r="AK123" s="5">
        <f t="shared" si="16"/>
        <v>0</v>
      </c>
      <c r="AL123" s="5">
        <f t="shared" si="16"/>
        <v>0</v>
      </c>
      <c r="AM123" s="6">
        <f t="shared" si="10"/>
        <v>510</v>
      </c>
    </row>
    <row r="124" spans="1:39" x14ac:dyDescent="0.25">
      <c r="A124" s="4" t="s">
        <v>575</v>
      </c>
      <c r="B124" s="4" t="s">
        <v>576</v>
      </c>
      <c r="C124" s="4" t="s">
        <v>362</v>
      </c>
      <c r="D124" s="5"/>
      <c r="E124" s="6"/>
      <c r="F124" s="6"/>
      <c r="G124" s="6"/>
      <c r="H124" s="6"/>
      <c r="I124" s="6"/>
      <c r="J124" s="6"/>
      <c r="K124" s="6"/>
      <c r="L124" s="6"/>
      <c r="M124" s="6">
        <v>27</v>
      </c>
      <c r="N124" s="6"/>
      <c r="O124" s="3"/>
      <c r="P124" s="3"/>
      <c r="Q124" s="3"/>
      <c r="R124" s="3"/>
      <c r="S124" s="6">
        <f t="shared" si="9"/>
        <v>27</v>
      </c>
      <c r="T124">
        <v>1</v>
      </c>
      <c r="U124" s="4" t="s">
        <v>575</v>
      </c>
      <c r="V124" s="4" t="s">
        <v>576</v>
      </c>
      <c r="W124" s="4" t="s">
        <v>362</v>
      </c>
      <c r="X124" s="5">
        <f t="shared" si="16"/>
        <v>0</v>
      </c>
      <c r="Y124" s="5">
        <f t="shared" si="16"/>
        <v>0</v>
      </c>
      <c r="Z124" s="5">
        <f t="shared" si="16"/>
        <v>0</v>
      </c>
      <c r="AA124" s="5">
        <f t="shared" si="16"/>
        <v>0</v>
      </c>
      <c r="AB124" s="5">
        <f t="shared" si="16"/>
        <v>0</v>
      </c>
      <c r="AC124" s="5">
        <f t="shared" si="16"/>
        <v>0</v>
      </c>
      <c r="AD124" s="5">
        <f t="shared" si="16"/>
        <v>0</v>
      </c>
      <c r="AE124" s="5">
        <f t="shared" si="16"/>
        <v>0</v>
      </c>
      <c r="AF124" s="5">
        <f t="shared" si="16"/>
        <v>0</v>
      </c>
      <c r="AG124" s="5">
        <f t="shared" si="16"/>
        <v>40</v>
      </c>
      <c r="AH124" s="5">
        <f t="shared" si="16"/>
        <v>0</v>
      </c>
      <c r="AI124" s="5">
        <f t="shared" si="16"/>
        <v>0</v>
      </c>
      <c r="AJ124" s="5">
        <f t="shared" si="16"/>
        <v>0</v>
      </c>
      <c r="AK124" s="5">
        <f t="shared" si="16"/>
        <v>0</v>
      </c>
      <c r="AL124" s="5">
        <f t="shared" si="16"/>
        <v>0</v>
      </c>
      <c r="AM124" s="6">
        <f t="shared" si="10"/>
        <v>40</v>
      </c>
    </row>
    <row r="125" spans="1:39" x14ac:dyDescent="0.25">
      <c r="A125" s="4" t="s">
        <v>363</v>
      </c>
      <c r="B125" s="4" t="s">
        <v>364</v>
      </c>
      <c r="C125" s="4" t="s">
        <v>362</v>
      </c>
      <c r="D125" s="5"/>
      <c r="E125" s="6"/>
      <c r="F125" s="6">
        <v>16.5</v>
      </c>
      <c r="G125" s="6">
        <v>27</v>
      </c>
      <c r="H125" s="6">
        <v>27.5</v>
      </c>
      <c r="I125" s="6">
        <v>27</v>
      </c>
      <c r="J125" s="6">
        <v>36</v>
      </c>
      <c r="K125" s="6">
        <v>42</v>
      </c>
      <c r="L125" s="6">
        <v>37.5</v>
      </c>
      <c r="M125" s="6">
        <v>39</v>
      </c>
      <c r="N125" s="6"/>
      <c r="O125" s="3"/>
      <c r="P125" s="3"/>
      <c r="Q125" s="3"/>
      <c r="R125" s="3"/>
      <c r="S125" s="6">
        <f t="shared" si="9"/>
        <v>252.5</v>
      </c>
      <c r="T125">
        <v>1</v>
      </c>
      <c r="U125" s="4" t="s">
        <v>363</v>
      </c>
      <c r="V125" s="4" t="s">
        <v>364</v>
      </c>
      <c r="W125" s="4" t="s">
        <v>362</v>
      </c>
      <c r="X125" s="5">
        <f t="shared" si="16"/>
        <v>0</v>
      </c>
      <c r="Y125" s="5">
        <f t="shared" si="16"/>
        <v>0</v>
      </c>
      <c r="Z125" s="5">
        <f t="shared" si="16"/>
        <v>0</v>
      </c>
      <c r="AA125" s="5">
        <f t="shared" si="16"/>
        <v>40</v>
      </c>
      <c r="AB125" s="5">
        <f t="shared" si="16"/>
        <v>40</v>
      </c>
      <c r="AC125" s="5">
        <f t="shared" si="16"/>
        <v>40</v>
      </c>
      <c r="AD125" s="5">
        <f t="shared" si="16"/>
        <v>78</v>
      </c>
      <c r="AE125" s="5">
        <f t="shared" si="16"/>
        <v>98</v>
      </c>
      <c r="AF125" s="5">
        <f t="shared" si="16"/>
        <v>82.5</v>
      </c>
      <c r="AG125" s="5">
        <f t="shared" si="16"/>
        <v>87</v>
      </c>
      <c r="AH125" s="5">
        <f t="shared" si="16"/>
        <v>0</v>
      </c>
      <c r="AI125" s="5">
        <f t="shared" si="16"/>
        <v>0</v>
      </c>
      <c r="AJ125" s="5">
        <f t="shared" si="16"/>
        <v>0</v>
      </c>
      <c r="AK125" s="5">
        <f t="shared" si="16"/>
        <v>0</v>
      </c>
      <c r="AL125" s="5">
        <f t="shared" si="16"/>
        <v>0</v>
      </c>
      <c r="AM125" s="6">
        <f t="shared" si="10"/>
        <v>465.5</v>
      </c>
    </row>
    <row r="126" spans="1:39" x14ac:dyDescent="0.25">
      <c r="A126" s="4" t="s">
        <v>328</v>
      </c>
      <c r="B126" s="4" t="s">
        <v>329</v>
      </c>
      <c r="C126" s="4" t="s">
        <v>362</v>
      </c>
      <c r="D126" s="5">
        <v>13.5</v>
      </c>
      <c r="E126" s="6">
        <v>12</v>
      </c>
      <c r="F126" s="6">
        <v>15</v>
      </c>
      <c r="G126" s="6">
        <v>25.5</v>
      </c>
      <c r="H126" s="6">
        <v>23</v>
      </c>
      <c r="I126" s="6"/>
      <c r="J126" s="6">
        <v>36</v>
      </c>
      <c r="K126" s="6">
        <v>33</v>
      </c>
      <c r="L126" s="6"/>
      <c r="M126" s="6"/>
      <c r="N126" s="6"/>
      <c r="O126" s="3"/>
      <c r="P126" s="3"/>
      <c r="Q126" s="3"/>
      <c r="R126" s="3"/>
      <c r="S126" s="6">
        <f t="shared" si="9"/>
        <v>158</v>
      </c>
      <c r="T126">
        <v>1</v>
      </c>
      <c r="U126" s="4" t="s">
        <v>328</v>
      </c>
      <c r="V126" s="4" t="s">
        <v>329</v>
      </c>
      <c r="W126" s="4" t="s">
        <v>362</v>
      </c>
      <c r="X126" s="5">
        <f t="shared" si="16"/>
        <v>0</v>
      </c>
      <c r="Y126" s="5">
        <f t="shared" si="16"/>
        <v>0</v>
      </c>
      <c r="Z126" s="5">
        <f t="shared" si="16"/>
        <v>0</v>
      </c>
      <c r="AA126" s="5">
        <f t="shared" si="16"/>
        <v>40</v>
      </c>
      <c r="AB126" s="5">
        <f t="shared" si="16"/>
        <v>20</v>
      </c>
      <c r="AC126" s="5">
        <f t="shared" si="16"/>
        <v>0</v>
      </c>
      <c r="AD126" s="5">
        <f t="shared" si="16"/>
        <v>78</v>
      </c>
      <c r="AE126" s="5">
        <f t="shared" si="16"/>
        <v>69</v>
      </c>
      <c r="AF126" s="5">
        <f t="shared" si="16"/>
        <v>0</v>
      </c>
      <c r="AG126" s="5">
        <f t="shared" si="16"/>
        <v>0</v>
      </c>
      <c r="AH126" s="5">
        <f t="shared" si="16"/>
        <v>0</v>
      </c>
      <c r="AI126" s="5">
        <f t="shared" si="16"/>
        <v>0</v>
      </c>
      <c r="AJ126" s="5">
        <f t="shared" si="16"/>
        <v>0</v>
      </c>
      <c r="AK126" s="5">
        <f t="shared" si="16"/>
        <v>0</v>
      </c>
      <c r="AL126" s="5">
        <f t="shared" si="16"/>
        <v>0</v>
      </c>
      <c r="AM126" s="6">
        <f t="shared" si="10"/>
        <v>207</v>
      </c>
    </row>
    <row r="127" spans="1:39" x14ac:dyDescent="0.25">
      <c r="A127" s="4" t="s">
        <v>360</v>
      </c>
      <c r="B127" s="4" t="s">
        <v>361</v>
      </c>
      <c r="C127" s="4" t="s">
        <v>362</v>
      </c>
      <c r="D127" s="5">
        <v>19.5</v>
      </c>
      <c r="E127" s="6">
        <v>21</v>
      </c>
      <c r="F127" s="6">
        <v>16.5</v>
      </c>
      <c r="G127" s="6">
        <v>25.5</v>
      </c>
      <c r="H127" s="6">
        <v>26</v>
      </c>
      <c r="I127" s="6">
        <v>28.5</v>
      </c>
      <c r="J127" s="6">
        <v>34.5</v>
      </c>
      <c r="K127" s="6"/>
      <c r="L127" s="6">
        <v>42</v>
      </c>
      <c r="M127" s="6">
        <v>39</v>
      </c>
      <c r="N127" s="6"/>
      <c r="O127" s="3"/>
      <c r="P127" s="3"/>
      <c r="Q127" s="3"/>
      <c r="R127" s="3"/>
      <c r="S127" s="6">
        <f t="shared" si="9"/>
        <v>252.5</v>
      </c>
      <c r="T127">
        <v>1</v>
      </c>
      <c r="U127" s="4" t="s">
        <v>360</v>
      </c>
      <c r="V127" s="4" t="s">
        <v>361</v>
      </c>
      <c r="W127" s="4" t="s">
        <v>362</v>
      </c>
      <c r="X127" s="5">
        <f t="shared" si="16"/>
        <v>0</v>
      </c>
      <c r="Y127" s="5">
        <f t="shared" si="16"/>
        <v>20</v>
      </c>
      <c r="Z127" s="5">
        <f t="shared" si="16"/>
        <v>0</v>
      </c>
      <c r="AA127" s="5">
        <f t="shared" si="16"/>
        <v>40</v>
      </c>
      <c r="AB127" s="5">
        <f t="shared" si="16"/>
        <v>40</v>
      </c>
      <c r="AC127" s="5">
        <f t="shared" si="16"/>
        <v>40</v>
      </c>
      <c r="AD127" s="5">
        <f t="shared" si="16"/>
        <v>73.5</v>
      </c>
      <c r="AE127" s="5">
        <f t="shared" si="16"/>
        <v>0</v>
      </c>
      <c r="AF127" s="5">
        <f t="shared" si="16"/>
        <v>98</v>
      </c>
      <c r="AG127" s="5">
        <f t="shared" si="16"/>
        <v>87</v>
      </c>
      <c r="AH127" s="5">
        <f t="shared" si="16"/>
        <v>0</v>
      </c>
      <c r="AI127" s="5">
        <f t="shared" si="16"/>
        <v>0</v>
      </c>
      <c r="AJ127" s="5">
        <f t="shared" si="16"/>
        <v>0</v>
      </c>
      <c r="AK127" s="5">
        <f t="shared" si="16"/>
        <v>0</v>
      </c>
      <c r="AL127" s="5">
        <f t="shared" si="16"/>
        <v>0</v>
      </c>
      <c r="AM127" s="6">
        <f t="shared" si="10"/>
        <v>398.5</v>
      </c>
    </row>
    <row r="128" spans="1:39" x14ac:dyDescent="0.25">
      <c r="A128" s="4" t="s">
        <v>373</v>
      </c>
      <c r="B128" s="4" t="s">
        <v>374</v>
      </c>
      <c r="C128" s="4" t="s">
        <v>362</v>
      </c>
      <c r="D128" s="5"/>
      <c r="E128" s="6"/>
      <c r="F128" s="6">
        <v>16.5</v>
      </c>
      <c r="G128" s="6">
        <v>25.5</v>
      </c>
      <c r="H128" s="6">
        <v>27.5</v>
      </c>
      <c r="I128" s="6">
        <v>27</v>
      </c>
      <c r="J128" s="6">
        <v>36</v>
      </c>
      <c r="K128" s="6"/>
      <c r="L128" s="6">
        <v>33</v>
      </c>
      <c r="M128" s="6">
        <v>27</v>
      </c>
      <c r="N128" s="6"/>
      <c r="O128" s="3"/>
      <c r="P128" s="3"/>
      <c r="Q128" s="3"/>
      <c r="R128" s="3"/>
      <c r="S128" s="6">
        <f t="shared" si="9"/>
        <v>192.5</v>
      </c>
      <c r="T128">
        <v>1</v>
      </c>
      <c r="U128" s="4" t="s">
        <v>373</v>
      </c>
      <c r="V128" s="4" t="s">
        <v>374</v>
      </c>
      <c r="W128" s="4" t="s">
        <v>362</v>
      </c>
      <c r="X128" s="5">
        <f t="shared" si="16"/>
        <v>0</v>
      </c>
      <c r="Y128" s="5">
        <f t="shared" si="16"/>
        <v>0</v>
      </c>
      <c r="Z128" s="5">
        <f t="shared" si="16"/>
        <v>0</v>
      </c>
      <c r="AA128" s="5">
        <f t="shared" si="16"/>
        <v>40</v>
      </c>
      <c r="AB128" s="5">
        <f t="shared" si="16"/>
        <v>40</v>
      </c>
      <c r="AC128" s="5">
        <f t="shared" si="16"/>
        <v>40</v>
      </c>
      <c r="AD128" s="5">
        <f t="shared" si="16"/>
        <v>78</v>
      </c>
      <c r="AE128" s="5">
        <f t="shared" si="16"/>
        <v>0</v>
      </c>
      <c r="AF128" s="5">
        <f t="shared" si="16"/>
        <v>69</v>
      </c>
      <c r="AG128" s="5">
        <f t="shared" si="16"/>
        <v>40</v>
      </c>
      <c r="AH128" s="5">
        <f t="shared" si="16"/>
        <v>0</v>
      </c>
      <c r="AI128" s="5">
        <f t="shared" si="16"/>
        <v>0</v>
      </c>
      <c r="AJ128" s="5">
        <f t="shared" si="16"/>
        <v>0</v>
      </c>
      <c r="AK128" s="5">
        <f t="shared" si="16"/>
        <v>0</v>
      </c>
      <c r="AL128" s="5">
        <f t="shared" si="16"/>
        <v>0</v>
      </c>
      <c r="AM128" s="6">
        <f t="shared" si="10"/>
        <v>307</v>
      </c>
    </row>
    <row r="129" spans="1:39" x14ac:dyDescent="0.25">
      <c r="A129" s="4" t="s">
        <v>367</v>
      </c>
      <c r="B129" s="4" t="s">
        <v>368</v>
      </c>
      <c r="C129" s="4" t="s">
        <v>362</v>
      </c>
      <c r="D129" s="5">
        <v>21</v>
      </c>
      <c r="E129" s="6">
        <v>21</v>
      </c>
      <c r="F129" s="6">
        <v>16.5</v>
      </c>
      <c r="G129" s="6">
        <v>25.5</v>
      </c>
      <c r="H129" s="6">
        <v>27.5</v>
      </c>
      <c r="I129" s="6">
        <v>28.5</v>
      </c>
      <c r="J129" s="6">
        <v>34.5</v>
      </c>
      <c r="K129" s="6"/>
      <c r="L129" s="6">
        <v>40.5</v>
      </c>
      <c r="M129" s="6">
        <v>37.5</v>
      </c>
      <c r="N129" s="6"/>
      <c r="O129" s="3"/>
      <c r="P129" s="3"/>
      <c r="Q129" s="3"/>
      <c r="R129" s="3"/>
      <c r="S129" s="6">
        <f t="shared" si="9"/>
        <v>252.5</v>
      </c>
      <c r="T129">
        <v>1</v>
      </c>
      <c r="U129" s="4" t="s">
        <v>367</v>
      </c>
      <c r="V129" s="4" t="s">
        <v>368</v>
      </c>
      <c r="W129" s="4" t="s">
        <v>362</v>
      </c>
      <c r="X129" s="5">
        <f t="shared" si="16"/>
        <v>20</v>
      </c>
      <c r="Y129" s="5">
        <f t="shared" si="16"/>
        <v>20</v>
      </c>
      <c r="Z129" s="5">
        <f t="shared" si="16"/>
        <v>0</v>
      </c>
      <c r="AA129" s="5">
        <f t="shared" si="16"/>
        <v>40</v>
      </c>
      <c r="AB129" s="5">
        <f t="shared" si="16"/>
        <v>40</v>
      </c>
      <c r="AC129" s="5">
        <f t="shared" si="16"/>
        <v>40</v>
      </c>
      <c r="AD129" s="5">
        <f t="shared" si="16"/>
        <v>73.5</v>
      </c>
      <c r="AE129" s="5">
        <f t="shared" si="16"/>
        <v>0</v>
      </c>
      <c r="AF129" s="5">
        <f t="shared" si="16"/>
        <v>92</v>
      </c>
      <c r="AG129" s="5">
        <f t="shared" si="16"/>
        <v>82.5</v>
      </c>
      <c r="AH129" s="5">
        <f t="shared" si="16"/>
        <v>0</v>
      </c>
      <c r="AI129" s="5">
        <f t="shared" si="16"/>
        <v>0</v>
      </c>
      <c r="AJ129" s="5">
        <f t="shared" si="16"/>
        <v>0</v>
      </c>
      <c r="AK129" s="5">
        <f t="shared" si="16"/>
        <v>0</v>
      </c>
      <c r="AL129" s="5">
        <f t="shared" si="16"/>
        <v>0</v>
      </c>
      <c r="AM129" s="6">
        <f t="shared" si="10"/>
        <v>408</v>
      </c>
    </row>
    <row r="130" spans="1:39" x14ac:dyDescent="0.25">
      <c r="A130" s="4" t="s">
        <v>365</v>
      </c>
      <c r="B130" s="4" t="s">
        <v>366</v>
      </c>
      <c r="C130" s="4" t="s">
        <v>362</v>
      </c>
      <c r="D130" s="5">
        <v>21</v>
      </c>
      <c r="E130" s="6">
        <v>21</v>
      </c>
      <c r="F130" s="6">
        <v>16.5</v>
      </c>
      <c r="G130" s="6">
        <v>30</v>
      </c>
      <c r="H130" s="6">
        <v>29</v>
      </c>
      <c r="I130" s="6">
        <v>27</v>
      </c>
      <c r="J130" s="6">
        <v>34.5</v>
      </c>
      <c r="K130" s="6">
        <v>43.5</v>
      </c>
      <c r="L130" s="6">
        <v>39</v>
      </c>
      <c r="M130" s="6">
        <v>39</v>
      </c>
      <c r="N130" s="6"/>
      <c r="O130" s="3"/>
      <c r="P130" s="3"/>
      <c r="Q130" s="3"/>
      <c r="R130" s="3"/>
      <c r="S130" s="6">
        <f t="shared" si="9"/>
        <v>300.5</v>
      </c>
      <c r="T130">
        <v>1</v>
      </c>
      <c r="U130" s="4" t="s">
        <v>365</v>
      </c>
      <c r="V130" s="4" t="s">
        <v>366</v>
      </c>
      <c r="W130" s="4" t="s">
        <v>362</v>
      </c>
      <c r="X130" s="5">
        <f t="shared" si="16"/>
        <v>20</v>
      </c>
      <c r="Y130" s="5">
        <f t="shared" si="16"/>
        <v>20</v>
      </c>
      <c r="Z130" s="5">
        <f t="shared" si="16"/>
        <v>0</v>
      </c>
      <c r="AA130" s="5">
        <f t="shared" si="16"/>
        <v>60</v>
      </c>
      <c r="AB130" s="5">
        <f t="shared" si="16"/>
        <v>40</v>
      </c>
      <c r="AC130" s="5">
        <f t="shared" si="16"/>
        <v>40</v>
      </c>
      <c r="AD130" s="5">
        <f t="shared" si="16"/>
        <v>73.5</v>
      </c>
      <c r="AE130" s="5">
        <f t="shared" si="16"/>
        <v>104</v>
      </c>
      <c r="AF130" s="5">
        <f t="shared" si="16"/>
        <v>87</v>
      </c>
      <c r="AG130" s="5">
        <f t="shared" si="16"/>
        <v>87</v>
      </c>
      <c r="AH130" s="5">
        <f t="shared" si="16"/>
        <v>0</v>
      </c>
      <c r="AI130" s="5">
        <f t="shared" si="16"/>
        <v>0</v>
      </c>
      <c r="AJ130" s="5">
        <f t="shared" si="16"/>
        <v>0</v>
      </c>
      <c r="AK130" s="5">
        <f t="shared" si="16"/>
        <v>0</v>
      </c>
      <c r="AL130" s="5">
        <f t="shared" si="16"/>
        <v>0</v>
      </c>
      <c r="AM130" s="6">
        <f t="shared" si="10"/>
        <v>531.5</v>
      </c>
    </row>
    <row r="131" spans="1:39" x14ac:dyDescent="0.25">
      <c r="A131" s="4" t="s">
        <v>371</v>
      </c>
      <c r="B131" s="4" t="s">
        <v>372</v>
      </c>
      <c r="C131" s="4" t="s">
        <v>362</v>
      </c>
      <c r="D131" s="5">
        <v>21</v>
      </c>
      <c r="E131" s="6">
        <v>21</v>
      </c>
      <c r="F131" s="6">
        <v>16.5</v>
      </c>
      <c r="G131" s="6">
        <v>25.5</v>
      </c>
      <c r="H131" s="6">
        <v>30.5</v>
      </c>
      <c r="I131" s="6">
        <v>30</v>
      </c>
      <c r="J131" s="6">
        <v>34.5</v>
      </c>
      <c r="K131" s="6"/>
      <c r="L131" s="6">
        <v>43.5</v>
      </c>
      <c r="M131" s="6">
        <v>39</v>
      </c>
      <c r="N131" s="6"/>
      <c r="O131" s="3"/>
      <c r="P131" s="3"/>
      <c r="Q131" s="3"/>
      <c r="R131" s="3"/>
      <c r="S131" s="6">
        <f t="shared" ref="S131:S142" si="17">SUM(D131:R131)</f>
        <v>261.5</v>
      </c>
      <c r="T131">
        <v>1</v>
      </c>
      <c r="U131" s="4" t="s">
        <v>371</v>
      </c>
      <c r="V131" s="4" t="s">
        <v>372</v>
      </c>
      <c r="W131" s="4" t="s">
        <v>362</v>
      </c>
      <c r="X131" s="5">
        <f t="shared" ref="X131:AL142" si="18">IF(D131&lt;20,0,IF(D131&lt;25,20,IF(D131&lt;30,40,IF(D131&lt;=40,60+(D131-30)*3,60+30+(D131-40)*4))))</f>
        <v>20</v>
      </c>
      <c r="Y131" s="5">
        <f t="shared" si="18"/>
        <v>20</v>
      </c>
      <c r="Z131" s="5">
        <f t="shared" si="18"/>
        <v>0</v>
      </c>
      <c r="AA131" s="5">
        <f t="shared" si="18"/>
        <v>40</v>
      </c>
      <c r="AB131" s="5">
        <f t="shared" si="18"/>
        <v>61.5</v>
      </c>
      <c r="AC131" s="5">
        <f t="shared" si="18"/>
        <v>60</v>
      </c>
      <c r="AD131" s="5">
        <f t="shared" si="18"/>
        <v>73.5</v>
      </c>
      <c r="AE131" s="5">
        <f t="shared" si="18"/>
        <v>0</v>
      </c>
      <c r="AF131" s="5">
        <f t="shared" si="18"/>
        <v>104</v>
      </c>
      <c r="AG131" s="5">
        <f t="shared" si="18"/>
        <v>87</v>
      </c>
      <c r="AH131" s="5">
        <f t="shared" si="18"/>
        <v>0</v>
      </c>
      <c r="AI131" s="5">
        <f t="shared" si="18"/>
        <v>0</v>
      </c>
      <c r="AJ131" s="5">
        <f t="shared" si="18"/>
        <v>0</v>
      </c>
      <c r="AK131" s="5">
        <f t="shared" si="18"/>
        <v>0</v>
      </c>
      <c r="AL131" s="5">
        <f t="shared" si="18"/>
        <v>0</v>
      </c>
      <c r="AM131" s="6">
        <f t="shared" ref="AM131:AM142" si="19">SUM(X131:AL131)</f>
        <v>466</v>
      </c>
    </row>
    <row r="132" spans="1:39" x14ac:dyDescent="0.25">
      <c r="A132" s="4" t="s">
        <v>369</v>
      </c>
      <c r="B132" s="4" t="s">
        <v>370</v>
      </c>
      <c r="C132" s="4" t="s">
        <v>362</v>
      </c>
      <c r="D132" s="5"/>
      <c r="E132" s="6">
        <v>21</v>
      </c>
      <c r="F132" s="6">
        <v>16.5</v>
      </c>
      <c r="G132" s="6">
        <v>25.5</v>
      </c>
      <c r="H132" s="6">
        <v>26</v>
      </c>
      <c r="I132" s="6">
        <v>28.5</v>
      </c>
      <c r="J132" s="6">
        <v>36</v>
      </c>
      <c r="K132" s="6">
        <v>40.5</v>
      </c>
      <c r="L132" s="6">
        <v>42</v>
      </c>
      <c r="M132" s="6">
        <v>37.5</v>
      </c>
      <c r="N132" s="6"/>
      <c r="O132" s="3"/>
      <c r="P132" s="3"/>
      <c r="Q132" s="3"/>
      <c r="R132" s="3"/>
      <c r="S132" s="6">
        <f t="shared" si="17"/>
        <v>273.5</v>
      </c>
      <c r="T132">
        <v>1</v>
      </c>
      <c r="U132" s="4" t="s">
        <v>369</v>
      </c>
      <c r="V132" s="4" t="s">
        <v>370</v>
      </c>
      <c r="W132" s="4" t="s">
        <v>362</v>
      </c>
      <c r="X132" s="5">
        <f t="shared" si="18"/>
        <v>0</v>
      </c>
      <c r="Y132" s="5">
        <f t="shared" si="18"/>
        <v>20</v>
      </c>
      <c r="Z132" s="5">
        <f t="shared" si="18"/>
        <v>0</v>
      </c>
      <c r="AA132" s="5">
        <f t="shared" si="18"/>
        <v>40</v>
      </c>
      <c r="AB132" s="5">
        <f t="shared" si="18"/>
        <v>40</v>
      </c>
      <c r="AC132" s="5">
        <f t="shared" si="18"/>
        <v>40</v>
      </c>
      <c r="AD132" s="5">
        <f t="shared" si="18"/>
        <v>78</v>
      </c>
      <c r="AE132" s="5">
        <f t="shared" si="18"/>
        <v>92</v>
      </c>
      <c r="AF132" s="5">
        <f t="shared" si="18"/>
        <v>98</v>
      </c>
      <c r="AG132" s="5">
        <f t="shared" si="18"/>
        <v>82.5</v>
      </c>
      <c r="AH132" s="5">
        <f t="shared" si="18"/>
        <v>0</v>
      </c>
      <c r="AI132" s="5">
        <f t="shared" si="18"/>
        <v>0</v>
      </c>
      <c r="AJ132" s="5">
        <f t="shared" si="18"/>
        <v>0</v>
      </c>
      <c r="AK132" s="5">
        <f t="shared" si="18"/>
        <v>0</v>
      </c>
      <c r="AL132" s="5">
        <f t="shared" si="18"/>
        <v>0</v>
      </c>
      <c r="AM132" s="6">
        <f t="shared" si="19"/>
        <v>490.5</v>
      </c>
    </row>
    <row r="133" spans="1:39" x14ac:dyDescent="0.25">
      <c r="A133" s="4" t="s">
        <v>332</v>
      </c>
      <c r="B133" s="4" t="s">
        <v>333</v>
      </c>
      <c r="C133" s="4" t="s">
        <v>362</v>
      </c>
      <c r="D133" s="5"/>
      <c r="E133" s="6"/>
      <c r="F133" s="6"/>
      <c r="G133" s="6"/>
      <c r="H133" s="6"/>
      <c r="I133" s="6"/>
      <c r="J133" s="6"/>
      <c r="K133" s="6">
        <v>28.5</v>
      </c>
      <c r="L133" s="6"/>
      <c r="M133" s="6"/>
      <c r="N133" s="6"/>
      <c r="O133" s="3"/>
      <c r="P133" s="3"/>
      <c r="Q133" s="3"/>
      <c r="R133" s="3"/>
      <c r="S133" s="6">
        <f t="shared" si="17"/>
        <v>28.5</v>
      </c>
      <c r="T133">
        <v>1</v>
      </c>
      <c r="U133" s="4" t="s">
        <v>332</v>
      </c>
      <c r="V133" s="4" t="s">
        <v>333</v>
      </c>
      <c r="W133" s="4" t="s">
        <v>362</v>
      </c>
      <c r="X133" s="5">
        <f t="shared" si="18"/>
        <v>0</v>
      </c>
      <c r="Y133" s="5">
        <f t="shared" si="18"/>
        <v>0</v>
      </c>
      <c r="Z133" s="5">
        <f t="shared" si="18"/>
        <v>0</v>
      </c>
      <c r="AA133" s="5">
        <f t="shared" si="18"/>
        <v>0</v>
      </c>
      <c r="AB133" s="5">
        <f t="shared" si="18"/>
        <v>0</v>
      </c>
      <c r="AC133" s="5">
        <f t="shared" si="18"/>
        <v>0</v>
      </c>
      <c r="AD133" s="5">
        <f t="shared" si="18"/>
        <v>0</v>
      </c>
      <c r="AE133" s="5">
        <f t="shared" si="18"/>
        <v>40</v>
      </c>
      <c r="AF133" s="5">
        <f t="shared" si="18"/>
        <v>0</v>
      </c>
      <c r="AG133" s="5">
        <f t="shared" si="18"/>
        <v>0</v>
      </c>
      <c r="AH133" s="5">
        <f t="shared" si="18"/>
        <v>0</v>
      </c>
      <c r="AI133" s="5">
        <f t="shared" si="18"/>
        <v>0</v>
      </c>
      <c r="AJ133" s="5">
        <f t="shared" si="18"/>
        <v>0</v>
      </c>
      <c r="AK133" s="5">
        <f t="shared" si="18"/>
        <v>0</v>
      </c>
      <c r="AL133" s="5">
        <f t="shared" si="18"/>
        <v>0</v>
      </c>
      <c r="AM133" s="6">
        <f t="shared" si="19"/>
        <v>40</v>
      </c>
    </row>
    <row r="134" spans="1:39" x14ac:dyDescent="0.25">
      <c r="A134" s="4" t="s">
        <v>511</v>
      </c>
      <c r="B134" s="4" t="s">
        <v>512</v>
      </c>
      <c r="C134" s="4" t="s">
        <v>362</v>
      </c>
      <c r="D134" s="5"/>
      <c r="E134" s="6"/>
      <c r="F134" s="6"/>
      <c r="G134" s="6"/>
      <c r="H134" s="6"/>
      <c r="I134" s="6"/>
      <c r="J134" s="6"/>
      <c r="K134" s="6">
        <v>16.5</v>
      </c>
      <c r="L134" s="6"/>
      <c r="M134" s="6"/>
      <c r="N134" s="6"/>
      <c r="O134" s="3"/>
      <c r="P134" s="3"/>
      <c r="Q134" s="3"/>
      <c r="R134" s="3"/>
      <c r="S134" s="6">
        <f t="shared" si="17"/>
        <v>16.5</v>
      </c>
      <c r="T134">
        <v>1</v>
      </c>
      <c r="U134" s="4" t="s">
        <v>511</v>
      </c>
      <c r="V134" s="4" t="s">
        <v>512</v>
      </c>
      <c r="W134" s="4" t="s">
        <v>362</v>
      </c>
      <c r="X134" s="5">
        <f t="shared" si="18"/>
        <v>0</v>
      </c>
      <c r="Y134" s="5">
        <f t="shared" si="18"/>
        <v>0</v>
      </c>
      <c r="Z134" s="5">
        <f t="shared" si="18"/>
        <v>0</v>
      </c>
      <c r="AA134" s="5">
        <f t="shared" si="18"/>
        <v>0</v>
      </c>
      <c r="AB134" s="5">
        <f t="shared" si="18"/>
        <v>0</v>
      </c>
      <c r="AC134" s="5">
        <f t="shared" si="18"/>
        <v>0</v>
      </c>
      <c r="AD134" s="5">
        <f t="shared" si="18"/>
        <v>0</v>
      </c>
      <c r="AE134" s="5">
        <f t="shared" si="18"/>
        <v>0</v>
      </c>
      <c r="AF134" s="5">
        <f t="shared" si="18"/>
        <v>0</v>
      </c>
      <c r="AG134" s="5">
        <f t="shared" si="18"/>
        <v>0</v>
      </c>
      <c r="AH134" s="5">
        <f t="shared" si="18"/>
        <v>0</v>
      </c>
      <c r="AI134" s="5">
        <f t="shared" si="18"/>
        <v>0</v>
      </c>
      <c r="AJ134" s="5">
        <f t="shared" si="18"/>
        <v>0</v>
      </c>
      <c r="AK134" s="5">
        <f t="shared" si="18"/>
        <v>0</v>
      </c>
      <c r="AL134" s="5">
        <f t="shared" si="18"/>
        <v>0</v>
      </c>
      <c r="AM134" s="6">
        <f t="shared" si="19"/>
        <v>0</v>
      </c>
    </row>
    <row r="135" spans="1:39" x14ac:dyDescent="0.25">
      <c r="A135" s="4" t="s">
        <v>338</v>
      </c>
      <c r="B135" s="4" t="s">
        <v>339</v>
      </c>
      <c r="C135" s="4" t="s">
        <v>362</v>
      </c>
      <c r="D135" s="5"/>
      <c r="E135" s="6"/>
      <c r="F135" s="6"/>
      <c r="G135" s="6"/>
      <c r="H135" s="6"/>
      <c r="I135" s="6"/>
      <c r="J135" s="6"/>
      <c r="K135" s="6">
        <v>27</v>
      </c>
      <c r="L135" s="6"/>
      <c r="M135" s="6"/>
      <c r="N135" s="6"/>
      <c r="O135" s="3"/>
      <c r="P135" s="3"/>
      <c r="Q135" s="3"/>
      <c r="R135" s="3"/>
      <c r="S135" s="6">
        <f t="shared" si="17"/>
        <v>27</v>
      </c>
      <c r="T135">
        <v>1</v>
      </c>
      <c r="U135" s="4" t="s">
        <v>338</v>
      </c>
      <c r="V135" s="4" t="s">
        <v>339</v>
      </c>
      <c r="W135" s="4" t="s">
        <v>362</v>
      </c>
      <c r="X135" s="5">
        <f t="shared" si="18"/>
        <v>0</v>
      </c>
      <c r="Y135" s="5">
        <f t="shared" si="18"/>
        <v>0</v>
      </c>
      <c r="Z135" s="5">
        <f t="shared" si="18"/>
        <v>0</v>
      </c>
      <c r="AA135" s="5">
        <f t="shared" si="18"/>
        <v>0</v>
      </c>
      <c r="AB135" s="5">
        <f t="shared" si="18"/>
        <v>0</v>
      </c>
      <c r="AC135" s="5">
        <f t="shared" si="18"/>
        <v>0</v>
      </c>
      <c r="AD135" s="5">
        <f t="shared" si="18"/>
        <v>0</v>
      </c>
      <c r="AE135" s="5">
        <f t="shared" si="18"/>
        <v>40</v>
      </c>
      <c r="AF135" s="5">
        <f t="shared" si="18"/>
        <v>0</v>
      </c>
      <c r="AG135" s="5">
        <f t="shared" si="18"/>
        <v>0</v>
      </c>
      <c r="AH135" s="5">
        <f t="shared" si="18"/>
        <v>0</v>
      </c>
      <c r="AI135" s="5">
        <f t="shared" si="18"/>
        <v>0</v>
      </c>
      <c r="AJ135" s="5">
        <f t="shared" si="18"/>
        <v>0</v>
      </c>
      <c r="AK135" s="5">
        <f t="shared" si="18"/>
        <v>0</v>
      </c>
      <c r="AL135" s="5">
        <f t="shared" si="18"/>
        <v>0</v>
      </c>
      <c r="AM135" s="6">
        <f t="shared" si="19"/>
        <v>40</v>
      </c>
    </row>
    <row r="136" spans="1:39" x14ac:dyDescent="0.25">
      <c r="A136" s="4" t="s">
        <v>340</v>
      </c>
      <c r="B136" s="4" t="s">
        <v>341</v>
      </c>
      <c r="C136" s="4" t="s">
        <v>362</v>
      </c>
      <c r="D136" s="5"/>
      <c r="E136" s="6"/>
      <c r="F136" s="6"/>
      <c r="G136" s="6"/>
      <c r="H136" s="6"/>
      <c r="I136" s="6"/>
      <c r="J136" s="6"/>
      <c r="K136" s="6">
        <v>28.5</v>
      </c>
      <c r="L136" s="6"/>
      <c r="M136" s="6"/>
      <c r="N136" s="6"/>
      <c r="O136" s="3"/>
      <c r="P136" s="3"/>
      <c r="Q136" s="3"/>
      <c r="R136" s="3"/>
      <c r="S136" s="6">
        <f t="shared" si="17"/>
        <v>28.5</v>
      </c>
      <c r="T136">
        <v>1</v>
      </c>
      <c r="U136" s="4" t="s">
        <v>340</v>
      </c>
      <c r="V136" s="4" t="s">
        <v>341</v>
      </c>
      <c r="W136" s="4" t="s">
        <v>362</v>
      </c>
      <c r="X136" s="5">
        <f t="shared" si="18"/>
        <v>0</v>
      </c>
      <c r="Y136" s="5">
        <f t="shared" si="18"/>
        <v>0</v>
      </c>
      <c r="Z136" s="5">
        <f t="shared" si="18"/>
        <v>0</v>
      </c>
      <c r="AA136" s="5">
        <f t="shared" si="18"/>
        <v>0</v>
      </c>
      <c r="AB136" s="5">
        <f t="shared" si="18"/>
        <v>0</v>
      </c>
      <c r="AC136" s="5">
        <f t="shared" si="18"/>
        <v>0</v>
      </c>
      <c r="AD136" s="5">
        <f t="shared" si="18"/>
        <v>0</v>
      </c>
      <c r="AE136" s="5">
        <f t="shared" si="18"/>
        <v>40</v>
      </c>
      <c r="AF136" s="5">
        <f t="shared" si="18"/>
        <v>0</v>
      </c>
      <c r="AG136" s="5">
        <f t="shared" si="18"/>
        <v>0</v>
      </c>
      <c r="AH136" s="5">
        <f t="shared" si="18"/>
        <v>0</v>
      </c>
      <c r="AI136" s="5">
        <f t="shared" si="18"/>
        <v>0</v>
      </c>
      <c r="AJ136" s="5">
        <f t="shared" si="18"/>
        <v>0</v>
      </c>
      <c r="AK136" s="5">
        <f t="shared" si="18"/>
        <v>0</v>
      </c>
      <c r="AL136" s="5">
        <f t="shared" si="18"/>
        <v>0</v>
      </c>
      <c r="AM136" s="6">
        <f t="shared" si="19"/>
        <v>40</v>
      </c>
    </row>
    <row r="137" spans="1:39" x14ac:dyDescent="0.25">
      <c r="A137" s="4" t="s">
        <v>346</v>
      </c>
      <c r="B137" s="4" t="s">
        <v>347</v>
      </c>
      <c r="C137" s="4" t="s">
        <v>362</v>
      </c>
      <c r="D137" s="5"/>
      <c r="E137" s="6"/>
      <c r="F137" s="6"/>
      <c r="G137" s="6"/>
      <c r="H137" s="6"/>
      <c r="I137" s="6"/>
      <c r="J137" s="6"/>
      <c r="K137" s="6">
        <v>24</v>
      </c>
      <c r="L137" s="6"/>
      <c r="M137" s="6"/>
      <c r="N137" s="6"/>
      <c r="O137" s="3"/>
      <c r="P137" s="3"/>
      <c r="Q137" s="3"/>
      <c r="R137" s="3"/>
      <c r="S137" s="6">
        <f t="shared" si="17"/>
        <v>24</v>
      </c>
      <c r="T137">
        <v>1</v>
      </c>
      <c r="U137" s="4" t="s">
        <v>346</v>
      </c>
      <c r="V137" s="4" t="s">
        <v>347</v>
      </c>
      <c r="W137" s="4" t="s">
        <v>362</v>
      </c>
      <c r="X137" s="5">
        <f t="shared" si="18"/>
        <v>0</v>
      </c>
      <c r="Y137" s="5">
        <f t="shared" si="18"/>
        <v>0</v>
      </c>
      <c r="Z137" s="5">
        <f t="shared" si="18"/>
        <v>0</v>
      </c>
      <c r="AA137" s="5">
        <f t="shared" si="18"/>
        <v>0</v>
      </c>
      <c r="AB137" s="5">
        <f t="shared" si="18"/>
        <v>0</v>
      </c>
      <c r="AC137" s="5">
        <f t="shared" si="18"/>
        <v>0</v>
      </c>
      <c r="AD137" s="5">
        <f t="shared" si="18"/>
        <v>0</v>
      </c>
      <c r="AE137" s="5">
        <f t="shared" si="18"/>
        <v>20</v>
      </c>
      <c r="AF137" s="5">
        <f t="shared" si="18"/>
        <v>0</v>
      </c>
      <c r="AG137" s="5">
        <f t="shared" si="18"/>
        <v>0</v>
      </c>
      <c r="AH137" s="5">
        <f t="shared" si="18"/>
        <v>0</v>
      </c>
      <c r="AI137" s="5">
        <f t="shared" si="18"/>
        <v>0</v>
      </c>
      <c r="AJ137" s="5">
        <f t="shared" si="18"/>
        <v>0</v>
      </c>
      <c r="AK137" s="5">
        <f t="shared" si="18"/>
        <v>0</v>
      </c>
      <c r="AL137" s="5">
        <f t="shared" si="18"/>
        <v>0</v>
      </c>
      <c r="AM137" s="6">
        <f t="shared" si="19"/>
        <v>20</v>
      </c>
    </row>
    <row r="138" spans="1:39" x14ac:dyDescent="0.25">
      <c r="A138" s="4" t="s">
        <v>348</v>
      </c>
      <c r="B138" s="4" t="s">
        <v>349</v>
      </c>
      <c r="C138" s="4" t="s">
        <v>362</v>
      </c>
      <c r="D138" s="5"/>
      <c r="E138" s="6"/>
      <c r="F138" s="6"/>
      <c r="G138" s="6"/>
      <c r="H138" s="6"/>
      <c r="I138" s="6"/>
      <c r="J138" s="6"/>
      <c r="K138" s="6">
        <v>19.5</v>
      </c>
      <c r="L138" s="6"/>
      <c r="M138" s="6"/>
      <c r="N138" s="6"/>
      <c r="O138" s="3"/>
      <c r="P138" s="3"/>
      <c r="Q138" s="3"/>
      <c r="R138" s="3"/>
      <c r="S138" s="6">
        <f t="shared" si="17"/>
        <v>19.5</v>
      </c>
      <c r="T138">
        <v>1</v>
      </c>
      <c r="U138" s="4" t="s">
        <v>348</v>
      </c>
      <c r="V138" s="4" t="s">
        <v>349</v>
      </c>
      <c r="W138" s="4" t="s">
        <v>362</v>
      </c>
      <c r="X138" s="5">
        <f t="shared" si="18"/>
        <v>0</v>
      </c>
      <c r="Y138" s="5">
        <f t="shared" si="18"/>
        <v>0</v>
      </c>
      <c r="Z138" s="5">
        <f t="shared" si="18"/>
        <v>0</v>
      </c>
      <c r="AA138" s="5">
        <f t="shared" si="18"/>
        <v>0</v>
      </c>
      <c r="AB138" s="5">
        <f t="shared" si="18"/>
        <v>0</v>
      </c>
      <c r="AC138" s="5">
        <f t="shared" si="18"/>
        <v>0</v>
      </c>
      <c r="AD138" s="5">
        <f t="shared" si="18"/>
        <v>0</v>
      </c>
      <c r="AE138" s="5">
        <f t="shared" si="18"/>
        <v>0</v>
      </c>
      <c r="AF138" s="5">
        <f t="shared" si="18"/>
        <v>0</v>
      </c>
      <c r="AG138" s="5">
        <f t="shared" si="18"/>
        <v>0</v>
      </c>
      <c r="AH138" s="5">
        <f t="shared" si="18"/>
        <v>0</v>
      </c>
      <c r="AI138" s="5">
        <f t="shared" si="18"/>
        <v>0</v>
      </c>
      <c r="AJ138" s="5">
        <f t="shared" si="18"/>
        <v>0</v>
      </c>
      <c r="AK138" s="5">
        <f t="shared" si="18"/>
        <v>0</v>
      </c>
      <c r="AL138" s="5">
        <f t="shared" si="18"/>
        <v>0</v>
      </c>
      <c r="AM138" s="6">
        <f t="shared" si="19"/>
        <v>0</v>
      </c>
    </row>
    <row r="139" spans="1:39" x14ac:dyDescent="0.25">
      <c r="A139" s="4" t="s">
        <v>377</v>
      </c>
      <c r="B139" s="4" t="s">
        <v>378</v>
      </c>
      <c r="C139" s="4" t="s">
        <v>362</v>
      </c>
      <c r="D139" s="5"/>
      <c r="E139" s="6"/>
      <c r="F139" s="6"/>
      <c r="G139" s="6"/>
      <c r="H139" s="6"/>
      <c r="I139" s="6"/>
      <c r="J139" s="6"/>
      <c r="K139" s="6">
        <v>34.5</v>
      </c>
      <c r="L139" s="6">
        <v>39</v>
      </c>
      <c r="M139" s="6">
        <v>39</v>
      </c>
      <c r="N139" s="6"/>
      <c r="O139" s="3"/>
      <c r="P139" s="3"/>
      <c r="Q139" s="3"/>
      <c r="R139" s="3"/>
      <c r="S139" s="6">
        <f t="shared" si="17"/>
        <v>112.5</v>
      </c>
      <c r="T139">
        <v>1</v>
      </c>
      <c r="U139" s="4" t="s">
        <v>377</v>
      </c>
      <c r="V139" s="4" t="s">
        <v>378</v>
      </c>
      <c r="W139" s="4" t="s">
        <v>362</v>
      </c>
      <c r="X139" s="5">
        <f t="shared" si="18"/>
        <v>0</v>
      </c>
      <c r="Y139" s="5">
        <f t="shared" si="18"/>
        <v>0</v>
      </c>
      <c r="Z139" s="5">
        <f t="shared" si="18"/>
        <v>0</v>
      </c>
      <c r="AA139" s="5">
        <f t="shared" si="18"/>
        <v>0</v>
      </c>
      <c r="AB139" s="5">
        <f t="shared" si="18"/>
        <v>0</v>
      </c>
      <c r="AC139" s="5">
        <f t="shared" si="18"/>
        <v>0</v>
      </c>
      <c r="AD139" s="5">
        <f t="shared" si="18"/>
        <v>0</v>
      </c>
      <c r="AE139" s="5">
        <f t="shared" si="18"/>
        <v>73.5</v>
      </c>
      <c r="AF139" s="5">
        <f t="shared" si="18"/>
        <v>87</v>
      </c>
      <c r="AG139" s="5">
        <f t="shared" si="18"/>
        <v>87</v>
      </c>
      <c r="AH139" s="5">
        <f t="shared" si="18"/>
        <v>0</v>
      </c>
      <c r="AI139" s="5">
        <f t="shared" si="18"/>
        <v>0</v>
      </c>
      <c r="AJ139" s="5">
        <f t="shared" si="18"/>
        <v>0</v>
      </c>
      <c r="AK139" s="5">
        <f t="shared" si="18"/>
        <v>0</v>
      </c>
      <c r="AL139" s="5">
        <f t="shared" si="18"/>
        <v>0</v>
      </c>
      <c r="AM139" s="6">
        <f t="shared" si="19"/>
        <v>247.5</v>
      </c>
    </row>
    <row r="140" spans="1:39" x14ac:dyDescent="0.25">
      <c r="A140" s="4" t="s">
        <v>381</v>
      </c>
      <c r="B140" s="4" t="s">
        <v>382</v>
      </c>
      <c r="C140" s="4" t="s">
        <v>362</v>
      </c>
      <c r="D140" s="5"/>
      <c r="E140" s="6"/>
      <c r="F140" s="6"/>
      <c r="G140" s="6"/>
      <c r="H140" s="6"/>
      <c r="I140" s="6"/>
      <c r="J140" s="6"/>
      <c r="K140" s="6">
        <v>27</v>
      </c>
      <c r="L140" s="6">
        <v>36</v>
      </c>
      <c r="M140" s="6">
        <v>30</v>
      </c>
      <c r="N140" s="6"/>
      <c r="O140" s="3"/>
      <c r="P140" s="3"/>
      <c r="Q140" s="3"/>
      <c r="R140" s="3"/>
      <c r="S140" s="6">
        <f t="shared" si="17"/>
        <v>93</v>
      </c>
      <c r="T140">
        <v>1</v>
      </c>
      <c r="U140" s="4" t="s">
        <v>381</v>
      </c>
      <c r="V140" s="4" t="s">
        <v>382</v>
      </c>
      <c r="W140" s="4" t="s">
        <v>362</v>
      </c>
      <c r="X140" s="5">
        <f t="shared" si="18"/>
        <v>0</v>
      </c>
      <c r="Y140" s="5">
        <f t="shared" si="18"/>
        <v>0</v>
      </c>
      <c r="Z140" s="5">
        <f t="shared" si="18"/>
        <v>0</v>
      </c>
      <c r="AA140" s="5">
        <f t="shared" si="18"/>
        <v>0</v>
      </c>
      <c r="AB140" s="5">
        <f t="shared" si="18"/>
        <v>0</v>
      </c>
      <c r="AC140" s="5">
        <f t="shared" si="18"/>
        <v>0</v>
      </c>
      <c r="AD140" s="5">
        <f t="shared" si="18"/>
        <v>0</v>
      </c>
      <c r="AE140" s="5">
        <f t="shared" si="18"/>
        <v>40</v>
      </c>
      <c r="AF140" s="5">
        <f t="shared" si="18"/>
        <v>78</v>
      </c>
      <c r="AG140" s="5">
        <f t="shared" si="18"/>
        <v>60</v>
      </c>
      <c r="AH140" s="5">
        <f t="shared" si="18"/>
        <v>0</v>
      </c>
      <c r="AI140" s="5">
        <f t="shared" si="18"/>
        <v>0</v>
      </c>
      <c r="AJ140" s="5">
        <f t="shared" si="18"/>
        <v>0</v>
      </c>
      <c r="AK140" s="5">
        <f t="shared" si="18"/>
        <v>0</v>
      </c>
      <c r="AL140" s="5">
        <f t="shared" si="18"/>
        <v>0</v>
      </c>
      <c r="AM140" s="6">
        <f t="shared" si="19"/>
        <v>178</v>
      </c>
    </row>
    <row r="141" spans="1:39" x14ac:dyDescent="0.25">
      <c r="A141" s="4" t="s">
        <v>389</v>
      </c>
      <c r="B141" s="4" t="s">
        <v>390</v>
      </c>
      <c r="C141" s="4" t="s">
        <v>362</v>
      </c>
      <c r="D141" s="5"/>
      <c r="E141" s="6"/>
      <c r="F141" s="6"/>
      <c r="G141" s="6"/>
      <c r="H141" s="6"/>
      <c r="I141" s="6"/>
      <c r="J141" s="6"/>
      <c r="K141" s="6">
        <v>34.5</v>
      </c>
      <c r="L141" s="6">
        <v>36</v>
      </c>
      <c r="M141" s="6">
        <v>28.5</v>
      </c>
      <c r="N141" s="6"/>
      <c r="O141" s="3"/>
      <c r="P141" s="3"/>
      <c r="Q141" s="3"/>
      <c r="R141" s="3"/>
      <c r="S141" s="6">
        <f t="shared" si="17"/>
        <v>99</v>
      </c>
      <c r="T141">
        <v>1</v>
      </c>
      <c r="U141" s="4" t="s">
        <v>389</v>
      </c>
      <c r="V141" s="4" t="s">
        <v>390</v>
      </c>
      <c r="W141" s="4" t="s">
        <v>362</v>
      </c>
      <c r="X141" s="5">
        <f t="shared" si="18"/>
        <v>0</v>
      </c>
      <c r="Y141" s="5">
        <f t="shared" si="18"/>
        <v>0</v>
      </c>
      <c r="Z141" s="5">
        <f t="shared" si="18"/>
        <v>0</v>
      </c>
      <c r="AA141" s="5">
        <f t="shared" si="18"/>
        <v>0</v>
      </c>
      <c r="AB141" s="5">
        <f t="shared" si="18"/>
        <v>0</v>
      </c>
      <c r="AC141" s="5">
        <f t="shared" si="18"/>
        <v>0</v>
      </c>
      <c r="AD141" s="5">
        <f t="shared" si="18"/>
        <v>0</v>
      </c>
      <c r="AE141" s="5">
        <f t="shared" si="18"/>
        <v>73.5</v>
      </c>
      <c r="AF141" s="5">
        <f t="shared" si="18"/>
        <v>78</v>
      </c>
      <c r="AG141" s="5">
        <f t="shared" si="18"/>
        <v>40</v>
      </c>
      <c r="AH141" s="5">
        <f t="shared" si="18"/>
        <v>0</v>
      </c>
      <c r="AI141" s="5">
        <f t="shared" si="18"/>
        <v>0</v>
      </c>
      <c r="AJ141" s="5">
        <f t="shared" si="18"/>
        <v>0</v>
      </c>
      <c r="AK141" s="5">
        <f t="shared" si="18"/>
        <v>0</v>
      </c>
      <c r="AL141" s="5">
        <f t="shared" si="18"/>
        <v>0</v>
      </c>
      <c r="AM141" s="6">
        <f t="shared" si="19"/>
        <v>191.5</v>
      </c>
    </row>
    <row r="142" spans="1:39" x14ac:dyDescent="0.25">
      <c r="A142" s="4" t="s">
        <v>354</v>
      </c>
      <c r="B142" s="4" t="s">
        <v>355</v>
      </c>
      <c r="C142" s="4" t="s">
        <v>362</v>
      </c>
      <c r="D142" s="5"/>
      <c r="E142" s="6"/>
      <c r="F142" s="6"/>
      <c r="G142" s="6"/>
      <c r="H142" s="6"/>
      <c r="I142" s="6"/>
      <c r="J142" s="6"/>
      <c r="K142" s="6">
        <v>25.5</v>
      </c>
      <c r="L142" s="6">
        <v>37.5</v>
      </c>
      <c r="M142" s="6">
        <v>22.5</v>
      </c>
      <c r="N142" s="6"/>
      <c r="O142" s="3"/>
      <c r="P142" s="3"/>
      <c r="Q142" s="3"/>
      <c r="R142" s="3"/>
      <c r="S142" s="6">
        <f t="shared" si="17"/>
        <v>85.5</v>
      </c>
      <c r="T142">
        <v>1</v>
      </c>
      <c r="U142" s="4" t="s">
        <v>354</v>
      </c>
      <c r="V142" s="4" t="s">
        <v>355</v>
      </c>
      <c r="W142" s="4" t="s">
        <v>362</v>
      </c>
      <c r="X142" s="5">
        <f t="shared" si="18"/>
        <v>0</v>
      </c>
      <c r="Y142" s="5">
        <f t="shared" si="18"/>
        <v>0</v>
      </c>
      <c r="Z142" s="5">
        <f t="shared" si="18"/>
        <v>0</v>
      </c>
      <c r="AA142" s="5">
        <f t="shared" si="18"/>
        <v>0</v>
      </c>
      <c r="AB142" s="5">
        <f t="shared" si="18"/>
        <v>0</v>
      </c>
      <c r="AC142" s="5">
        <f t="shared" si="18"/>
        <v>0</v>
      </c>
      <c r="AD142" s="5">
        <f t="shared" si="18"/>
        <v>0</v>
      </c>
      <c r="AE142" s="5">
        <f t="shared" si="18"/>
        <v>40</v>
      </c>
      <c r="AF142" s="5">
        <f t="shared" si="18"/>
        <v>82.5</v>
      </c>
      <c r="AG142" s="5">
        <f t="shared" si="18"/>
        <v>20</v>
      </c>
      <c r="AH142" s="5">
        <f t="shared" si="18"/>
        <v>0</v>
      </c>
      <c r="AI142" s="5">
        <f t="shared" si="18"/>
        <v>0</v>
      </c>
      <c r="AJ142" s="5">
        <f t="shared" si="18"/>
        <v>0</v>
      </c>
      <c r="AK142" s="5">
        <f t="shared" si="18"/>
        <v>0</v>
      </c>
      <c r="AL142" s="5">
        <f t="shared" si="18"/>
        <v>0</v>
      </c>
      <c r="AM142" s="6">
        <f t="shared" si="19"/>
        <v>142.5</v>
      </c>
    </row>
    <row r="143" spans="1:39" x14ac:dyDescent="0.25">
      <c r="A143" s="14" t="s">
        <v>3</v>
      </c>
      <c r="B143" s="14"/>
      <c r="C143" s="14"/>
      <c r="D143" s="9">
        <f>SUM(D2:D142)</f>
        <v>825</v>
      </c>
      <c r="E143" s="9">
        <f t="shared" ref="E143:S143" si="20">SUM(E2:E142)</f>
        <v>900.19999999999993</v>
      </c>
      <c r="F143" s="9">
        <f t="shared" si="20"/>
        <v>913.5</v>
      </c>
      <c r="G143" s="9">
        <f t="shared" si="20"/>
        <v>930</v>
      </c>
      <c r="H143" s="9">
        <f t="shared" si="20"/>
        <v>1329.5</v>
      </c>
      <c r="I143" s="9">
        <f t="shared" si="20"/>
        <v>1741.5</v>
      </c>
      <c r="J143" s="9">
        <f t="shared" si="20"/>
        <v>1690.5</v>
      </c>
      <c r="K143" s="9">
        <f t="shared" si="20"/>
        <v>1269</v>
      </c>
      <c r="L143" s="9">
        <f t="shared" si="20"/>
        <v>1401</v>
      </c>
      <c r="M143" s="9">
        <f t="shared" si="20"/>
        <v>1660.5</v>
      </c>
      <c r="N143" s="9">
        <f t="shared" si="20"/>
        <v>0</v>
      </c>
      <c r="O143" s="9">
        <f t="shared" si="20"/>
        <v>0</v>
      </c>
      <c r="P143" s="9">
        <f t="shared" si="20"/>
        <v>0</v>
      </c>
      <c r="Q143" s="9">
        <f t="shared" si="20"/>
        <v>0</v>
      </c>
      <c r="R143" s="9">
        <f t="shared" si="20"/>
        <v>0</v>
      </c>
      <c r="S143" s="9">
        <f t="shared" si="20"/>
        <v>12660.699999999999</v>
      </c>
      <c r="U143" s="14" t="s">
        <v>3</v>
      </c>
      <c r="V143" s="14"/>
      <c r="W143" s="14"/>
      <c r="X143" s="9">
        <f>SUM(X2:X142)</f>
        <v>277.5</v>
      </c>
      <c r="Y143" s="9">
        <f t="shared" ref="Y143" si="21">SUM(Y2:Y142)</f>
        <v>597</v>
      </c>
      <c r="Z143" s="9">
        <f t="shared" ref="Z143" si="22">SUM(Z2:Z142)</f>
        <v>295</v>
      </c>
      <c r="AA143" s="9">
        <f t="shared" ref="AA143" si="23">SUM(AA2:AA142)</f>
        <v>633.75</v>
      </c>
      <c r="AB143" s="9">
        <f t="shared" ref="AB143" si="24">SUM(AB2:AB142)</f>
        <v>870.25</v>
      </c>
      <c r="AC143" s="9">
        <f t="shared" ref="AC143" si="25">SUM(AC2:AC142)</f>
        <v>1490</v>
      </c>
      <c r="AD143" s="9">
        <f t="shared" ref="AD143" si="26">SUM(AD2:AD142)</f>
        <v>1762.5</v>
      </c>
      <c r="AE143" s="9">
        <f t="shared" ref="AE143" si="27">SUM(AE2:AE142)</f>
        <v>1534.25</v>
      </c>
      <c r="AF143" s="9">
        <f t="shared" ref="AF143" si="28">SUM(AF2:AF142)</f>
        <v>1462.5</v>
      </c>
      <c r="AG143" s="9">
        <f t="shared" ref="AG143" si="29">SUM(AG2:AG142)</f>
        <v>1235.75</v>
      </c>
      <c r="AH143" s="9">
        <f t="shared" ref="AH143" si="30">SUM(AH2:AH142)</f>
        <v>0</v>
      </c>
      <c r="AI143" s="9">
        <f t="shared" ref="AI143" si="31">SUM(AI2:AI142)</f>
        <v>0</v>
      </c>
      <c r="AJ143" s="9">
        <f t="shared" ref="AJ143" si="32">SUM(AJ2:AJ142)</f>
        <v>0</v>
      </c>
      <c r="AK143" s="9">
        <f t="shared" ref="AK143" si="33">SUM(AK2:AK142)</f>
        <v>0</v>
      </c>
      <c r="AL143" s="9">
        <f t="shared" ref="AL143" si="34">SUM(AL2:AL142)</f>
        <v>0</v>
      </c>
      <c r="AM143" s="9">
        <f t="shared" ref="AM143" si="35">SUM(AM2:AM142)</f>
        <v>10158.5</v>
      </c>
    </row>
  </sheetData>
  <autoFilter ref="A1:S143" xr:uid="{28A47C47-625B-4864-A5C5-2B59F41843DA}">
    <filterColumn colId="18">
      <filters>
        <filter val="105.0"/>
        <filter val="112.5"/>
        <filter val="12 660.7"/>
        <filter val="123.0"/>
        <filter val="129.9"/>
        <filter val="132.0"/>
        <filter val="143.1"/>
        <filter val="144.0"/>
        <filter val="149.2"/>
        <filter val="15.0"/>
        <filter val="158.0"/>
        <filter val="16.5"/>
        <filter val="160.5"/>
        <filter val="172.5"/>
        <filter val="175.5"/>
        <filter val="177.0"/>
        <filter val="178.5"/>
        <filter val="18.0"/>
        <filter val="183.0"/>
        <filter val="185.1"/>
        <filter val="187.2"/>
        <filter val="189.0"/>
        <filter val="19.5"/>
        <filter val="190.5"/>
        <filter val="192.5"/>
        <filter val="195.5"/>
        <filter val="208.5"/>
        <filter val="21.0"/>
        <filter val="222.0"/>
        <filter val="228.7"/>
        <filter val="229.5"/>
        <filter val="230.4"/>
        <filter val="232.5"/>
        <filter val="235.5"/>
        <filter val="24.0"/>
        <filter val="244.8"/>
        <filter val="246.9"/>
        <filter val="249.9"/>
        <filter val="25.5"/>
        <filter val="252.5"/>
        <filter val="253.8"/>
        <filter val="261.5"/>
        <filter val="261.8"/>
        <filter val="27.0"/>
        <filter val="273.2"/>
        <filter val="273.5"/>
        <filter val="28.5"/>
        <filter val="297.5"/>
        <filter val="299.9"/>
        <filter val="3.0"/>
        <filter val="30.0"/>
        <filter val="300.5"/>
        <filter val="308.2"/>
        <filter val="317.3"/>
        <filter val="319.4"/>
        <filter val="33.0"/>
        <filter val="348.8"/>
        <filter val="349.4"/>
        <filter val="352.5"/>
        <filter val="36.0"/>
        <filter val="57.0"/>
        <filter val="58.5"/>
        <filter val="60.0"/>
        <filter val="61.9"/>
        <filter val="63.0"/>
        <filter val="69.0"/>
        <filter val="72.0"/>
        <filter val="85.5"/>
        <filter val="88.5"/>
        <filter val="93.0"/>
        <filter val="99.0"/>
      </filters>
    </filterColumn>
  </autoFilter>
  <mergeCells count="2">
    <mergeCell ref="A143:C143"/>
    <mergeCell ref="U143:W143"/>
  </mergeCells>
  <conditionalFormatting sqref="A23:B34">
    <cfRule type="duplicateValues" dxfId="60" priority="31" stopIfTrue="1"/>
  </conditionalFormatting>
  <conditionalFormatting sqref="A36:B66">
    <cfRule type="duplicateValues" dxfId="59" priority="30" stopIfTrue="1"/>
  </conditionalFormatting>
  <conditionalFormatting sqref="A82:B89">
    <cfRule type="duplicateValues" dxfId="58" priority="28" stopIfTrue="1"/>
  </conditionalFormatting>
  <conditionalFormatting sqref="A91:B98">
    <cfRule type="duplicateValues" dxfId="57" priority="29" stopIfTrue="1"/>
  </conditionalFormatting>
  <conditionalFormatting sqref="A99:B114 A90:B90 A67:B81 A2:B35">
    <cfRule type="duplicateValues" dxfId="56" priority="33"/>
  </conditionalFormatting>
  <conditionalFormatting sqref="A99:B119 A90:B90 A67:B81 A2:B35 A124:B125">
    <cfRule type="duplicateValues" dxfId="55" priority="37"/>
  </conditionalFormatting>
  <conditionalFormatting sqref="A115:B119 A124:B126">
    <cfRule type="duplicateValues" dxfId="54" priority="34"/>
  </conditionalFormatting>
  <conditionalFormatting sqref="A115:B119 A124:B128">
    <cfRule type="duplicateValues" dxfId="53" priority="35"/>
  </conditionalFormatting>
  <conditionalFormatting sqref="A120:B122">
    <cfRule type="duplicateValues" dxfId="52" priority="26" stopIfTrue="1"/>
  </conditionalFormatting>
  <conditionalFormatting sqref="A123:B123">
    <cfRule type="duplicateValues" dxfId="51" priority="25" stopIfTrue="1"/>
  </conditionalFormatting>
  <conditionalFormatting sqref="A127:B127">
    <cfRule type="duplicateValues" dxfId="50" priority="27" stopIfTrue="1"/>
  </conditionalFormatting>
  <conditionalFormatting sqref="A128:B128 A99:B119 A90:B90 A35:B35 A67:B81 A2:B22 A124:B125">
    <cfRule type="duplicateValues" dxfId="49" priority="32"/>
  </conditionalFormatting>
  <conditionalFormatting sqref="A129:B129 A142:B142">
    <cfRule type="duplicateValues" dxfId="48" priority="24" stopIfTrue="1"/>
  </conditionalFormatting>
  <conditionalFormatting sqref="A130:B132">
    <cfRule type="duplicateValues" dxfId="47" priority="23" stopIfTrue="1"/>
  </conditionalFormatting>
  <conditionalFormatting sqref="A133:B138">
    <cfRule type="duplicateValues" dxfId="46" priority="22" stopIfTrue="1"/>
  </conditionalFormatting>
  <conditionalFormatting sqref="A139:B139">
    <cfRule type="duplicateValues" dxfId="45" priority="21" stopIfTrue="1"/>
  </conditionalFormatting>
  <conditionalFormatting sqref="A140:B141">
    <cfRule type="duplicateValues" dxfId="44" priority="20" stopIfTrue="1"/>
  </conditionalFormatting>
  <conditionalFormatting sqref="A115:C115 A116:B119 A124:B125 C116:C142">
    <cfRule type="duplicateValues" dxfId="43" priority="36"/>
  </conditionalFormatting>
  <conditionalFormatting sqref="U23:V34">
    <cfRule type="duplicateValues" dxfId="42" priority="12" stopIfTrue="1"/>
  </conditionalFormatting>
  <conditionalFormatting sqref="U36:V66">
    <cfRule type="duplicateValues" dxfId="41" priority="11" stopIfTrue="1"/>
  </conditionalFormatting>
  <conditionalFormatting sqref="U82:V89">
    <cfRule type="duplicateValues" dxfId="40" priority="9" stopIfTrue="1"/>
  </conditionalFormatting>
  <conditionalFormatting sqref="U91:V98">
    <cfRule type="duplicateValues" dxfId="39" priority="10" stopIfTrue="1"/>
  </conditionalFormatting>
  <conditionalFormatting sqref="U99:V114 U90:V90 U67:V81 U2:V35">
    <cfRule type="duplicateValues" dxfId="38" priority="14"/>
  </conditionalFormatting>
  <conditionalFormatting sqref="U99:V119 U90:V90 U67:V81 U2:V35 U124:V125">
    <cfRule type="duplicateValues" dxfId="37" priority="18"/>
  </conditionalFormatting>
  <conditionalFormatting sqref="U115:V119 U124:V125">
    <cfRule type="duplicateValues" dxfId="36" priority="17"/>
  </conditionalFormatting>
  <conditionalFormatting sqref="U115:V119 U124:V126">
    <cfRule type="duplicateValues" dxfId="35" priority="15"/>
  </conditionalFormatting>
  <conditionalFormatting sqref="U115:V119 U124:V128">
    <cfRule type="duplicateValues" dxfId="34" priority="16"/>
  </conditionalFormatting>
  <conditionalFormatting sqref="U120:V122">
    <cfRule type="duplicateValues" dxfId="33" priority="7" stopIfTrue="1"/>
  </conditionalFormatting>
  <conditionalFormatting sqref="U123:V123">
    <cfRule type="duplicateValues" dxfId="32" priority="6" stopIfTrue="1"/>
  </conditionalFormatting>
  <conditionalFormatting sqref="U127:V127">
    <cfRule type="duplicateValues" dxfId="31" priority="8" stopIfTrue="1"/>
  </conditionalFormatting>
  <conditionalFormatting sqref="U128:V128 U99:V119 U90:V90 U35:V35 U67:V81 U2:V22 U124:V125">
    <cfRule type="duplicateValues" dxfId="30" priority="13"/>
  </conditionalFormatting>
  <conditionalFormatting sqref="U129:V129 U142:V142">
    <cfRule type="duplicateValues" dxfId="29" priority="5" stopIfTrue="1"/>
  </conditionalFormatting>
  <conditionalFormatting sqref="U130:V132">
    <cfRule type="duplicateValues" dxfId="28" priority="4" stopIfTrue="1"/>
  </conditionalFormatting>
  <conditionalFormatting sqref="U133:V138">
    <cfRule type="duplicateValues" dxfId="27" priority="3" stopIfTrue="1"/>
  </conditionalFormatting>
  <conditionalFormatting sqref="U139:V139">
    <cfRule type="duplicateValues" dxfId="26" priority="2" stopIfTrue="1"/>
  </conditionalFormatting>
  <conditionalFormatting sqref="U140:V141">
    <cfRule type="duplicateValues" dxfId="25" priority="1" stopIfTrue="1"/>
  </conditionalFormatting>
  <conditionalFormatting sqref="W115:W142">
    <cfRule type="duplicateValues" dxfId="24" priority="19"/>
  </conditionalFormatting>
  <pageMargins left="0.15748031496062992" right="0.15748031496062992" top="0.39370078740157483" bottom="0.35433070866141736" header="0.19685039370078741" footer="0.15748031496062992"/>
  <pageSetup paperSize="9" scale="9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1144-E8CC-4BD9-8623-DDBB6078D62E}">
  <dimension ref="A1:D142"/>
  <sheetViews>
    <sheetView tabSelected="1" workbookViewId="0">
      <selection activeCell="G19" sqref="G19"/>
    </sheetView>
  </sheetViews>
  <sheetFormatPr baseColWidth="10" defaultRowHeight="15" x14ac:dyDescent="0.25"/>
  <cols>
    <col min="2" max="2" width="34.7109375" customWidth="1"/>
    <col min="3" max="3" width="8.140625" customWidth="1"/>
  </cols>
  <sheetData>
    <row r="1" spans="1:4" ht="24.75" customHeight="1" x14ac:dyDescent="0.25">
      <c r="A1" s="25" t="s">
        <v>654</v>
      </c>
      <c r="B1" s="25" t="s">
        <v>655</v>
      </c>
      <c r="C1" s="25" t="s">
        <v>656</v>
      </c>
      <c r="D1" s="25" t="s">
        <v>657</v>
      </c>
    </row>
    <row r="2" spans="1:4" x14ac:dyDescent="0.25">
      <c r="A2" s="4" t="s">
        <v>180</v>
      </c>
      <c r="B2" s="4" t="s">
        <v>181</v>
      </c>
      <c r="C2" s="4">
        <f>VLOOKUP(A2,'f5'!$U$9:$AG$114,13,)</f>
        <v>0</v>
      </c>
      <c r="D2" s="24"/>
    </row>
    <row r="3" spans="1:4" x14ac:dyDescent="0.25">
      <c r="A3" s="4" t="s">
        <v>182</v>
      </c>
      <c r="B3" s="4" t="s">
        <v>183</v>
      </c>
      <c r="C3" s="4">
        <f>VLOOKUP(A3,'f5'!$U$9:$AG$114,13,)</f>
        <v>0</v>
      </c>
      <c r="D3" s="24" t="s">
        <v>616</v>
      </c>
    </row>
    <row r="4" spans="1:4" x14ac:dyDescent="0.25">
      <c r="A4" s="4" t="s">
        <v>184</v>
      </c>
      <c r="B4" s="4" t="s">
        <v>185</v>
      </c>
      <c r="C4" s="4">
        <f>VLOOKUP(A4,'f5'!$U$9:$AG$114,13,)</f>
        <v>0</v>
      </c>
      <c r="D4" s="24" t="s">
        <v>616</v>
      </c>
    </row>
    <row r="5" spans="1:4" x14ac:dyDescent="0.25">
      <c r="A5" s="4" t="s">
        <v>186</v>
      </c>
      <c r="B5" s="4" t="s">
        <v>187</v>
      </c>
      <c r="C5" s="4">
        <f>VLOOKUP(A5,'f5'!$U$9:$AG$114,13,)</f>
        <v>0</v>
      </c>
      <c r="D5" s="24" t="s">
        <v>616</v>
      </c>
    </row>
    <row r="6" spans="1:4" x14ac:dyDescent="0.25">
      <c r="A6" s="4" t="s">
        <v>188</v>
      </c>
      <c r="B6" s="4" t="s">
        <v>189</v>
      </c>
      <c r="C6" s="4">
        <f>VLOOKUP(A6,'f5'!$U$9:$AG$114,13,)</f>
        <v>0</v>
      </c>
      <c r="D6" s="24" t="s">
        <v>616</v>
      </c>
    </row>
    <row r="7" spans="1:4" x14ac:dyDescent="0.25">
      <c r="A7" s="4" t="s">
        <v>190</v>
      </c>
      <c r="B7" s="4" t="s">
        <v>191</v>
      </c>
      <c r="C7" s="4">
        <f>VLOOKUP(A7,'f5'!$U$9:$AG$114,13,)</f>
        <v>0</v>
      </c>
      <c r="D7" s="24" t="s">
        <v>616</v>
      </c>
    </row>
    <row r="8" spans="1:4" x14ac:dyDescent="0.25">
      <c r="A8" s="4" t="s">
        <v>192</v>
      </c>
      <c r="B8" s="4" t="s">
        <v>193</v>
      </c>
      <c r="C8" s="4">
        <f>VLOOKUP(A8,'f5'!$U$9:$AG$114,13,)</f>
        <v>0</v>
      </c>
      <c r="D8" s="24"/>
    </row>
    <row r="9" spans="1:4" x14ac:dyDescent="0.25">
      <c r="A9" s="4" t="s">
        <v>194</v>
      </c>
      <c r="B9" s="4" t="s">
        <v>195</v>
      </c>
      <c r="C9" s="4">
        <f>VLOOKUP(A9,'f5'!$U$9:$AG$114,13,)</f>
        <v>0</v>
      </c>
      <c r="D9" s="24" t="s">
        <v>612</v>
      </c>
    </row>
    <row r="10" spans="1:4" x14ac:dyDescent="0.25">
      <c r="A10" s="4" t="s">
        <v>196</v>
      </c>
      <c r="B10" s="4" t="s">
        <v>197</v>
      </c>
      <c r="C10" s="4">
        <f>VLOOKUP(A10,'f5'!$U$9:$AG$114,13,)</f>
        <v>11.25</v>
      </c>
      <c r="D10" s="24" t="s">
        <v>605</v>
      </c>
    </row>
    <row r="11" spans="1:4" x14ac:dyDescent="0.25">
      <c r="A11" s="4" t="s">
        <v>200</v>
      </c>
      <c r="B11" s="4" t="s">
        <v>201</v>
      </c>
      <c r="C11" s="4">
        <f>VLOOKUP(A11,'f5'!$U$9:$AG$114,13,)</f>
        <v>0</v>
      </c>
      <c r="D11" s="24"/>
    </row>
    <row r="12" spans="1:4" x14ac:dyDescent="0.25">
      <c r="A12" s="4" t="s">
        <v>202</v>
      </c>
      <c r="B12" s="4" t="s">
        <v>203</v>
      </c>
      <c r="C12" s="4">
        <f>VLOOKUP(A12,'f5'!$U$9:$AG$114,13,)</f>
        <v>0</v>
      </c>
      <c r="D12" s="24"/>
    </row>
    <row r="13" spans="1:4" x14ac:dyDescent="0.25">
      <c r="A13" s="4" t="s">
        <v>204</v>
      </c>
      <c r="B13" s="4" t="s">
        <v>205</v>
      </c>
      <c r="C13" s="4">
        <f>VLOOKUP(A13,'f5'!$U$9:$AG$114,13,)</f>
        <v>11.25</v>
      </c>
      <c r="D13" s="24" t="s">
        <v>605</v>
      </c>
    </row>
    <row r="14" spans="1:4" x14ac:dyDescent="0.25">
      <c r="A14" s="4" t="s">
        <v>206</v>
      </c>
      <c r="B14" s="4" t="s">
        <v>207</v>
      </c>
      <c r="C14" s="4">
        <f>VLOOKUP(A14,'f5'!$U$9:$AG$114,13,)</f>
        <v>0</v>
      </c>
      <c r="D14" s="24"/>
    </row>
    <row r="15" spans="1:4" x14ac:dyDescent="0.25">
      <c r="A15" s="4" t="s">
        <v>208</v>
      </c>
      <c r="B15" s="4" t="s">
        <v>209</v>
      </c>
      <c r="C15" s="4">
        <f>VLOOKUP(A15,'f5'!$U$9:$AG$114,13,)</f>
        <v>22.5</v>
      </c>
      <c r="D15" s="24" t="s">
        <v>597</v>
      </c>
    </row>
    <row r="16" spans="1:4" x14ac:dyDescent="0.25">
      <c r="A16" s="4" t="s">
        <v>210</v>
      </c>
      <c r="B16" s="4" t="s">
        <v>211</v>
      </c>
      <c r="C16" s="4">
        <f>VLOOKUP(A16,'f5'!$U$9:$AG$114,13,)</f>
        <v>3.75</v>
      </c>
      <c r="D16" s="24" t="s">
        <v>611</v>
      </c>
    </row>
    <row r="17" spans="1:4" x14ac:dyDescent="0.25">
      <c r="A17" s="4" t="s">
        <v>212</v>
      </c>
      <c r="B17" s="4" t="s">
        <v>213</v>
      </c>
      <c r="C17" s="4">
        <f>VLOOKUP(A17,'f5'!$U$9:$AG$114,13,)</f>
        <v>45</v>
      </c>
      <c r="D17" s="24" t="s">
        <v>588</v>
      </c>
    </row>
    <row r="18" spans="1:4" x14ac:dyDescent="0.25">
      <c r="A18" s="4" t="s">
        <v>214</v>
      </c>
      <c r="B18" s="4" t="s">
        <v>215</v>
      </c>
      <c r="C18" s="4">
        <f>VLOOKUP(A18,'f5'!$U$9:$AG$114,13,)</f>
        <v>0</v>
      </c>
      <c r="D18" s="24"/>
    </row>
    <row r="19" spans="1:4" x14ac:dyDescent="0.25">
      <c r="A19" s="4" t="s">
        <v>216</v>
      </c>
      <c r="B19" s="4" t="s">
        <v>217</v>
      </c>
      <c r="C19" s="4">
        <f>VLOOKUP(A19,'f5'!$U$9:$AG$114,13,)</f>
        <v>30</v>
      </c>
      <c r="D19" s="24" t="s">
        <v>591</v>
      </c>
    </row>
    <row r="20" spans="1:4" x14ac:dyDescent="0.25">
      <c r="A20" s="4" t="s">
        <v>507</v>
      </c>
      <c r="B20" s="4" t="s">
        <v>508</v>
      </c>
      <c r="C20" s="4">
        <f>VLOOKUP(A20,'f5'!$U$9:$AG$114,13,)</f>
        <v>11.25</v>
      </c>
      <c r="D20" s="24" t="s">
        <v>605</v>
      </c>
    </row>
    <row r="21" spans="1:4" x14ac:dyDescent="0.25">
      <c r="A21" s="4" t="s">
        <v>501</v>
      </c>
      <c r="B21" s="4" t="s">
        <v>502</v>
      </c>
      <c r="C21" s="4">
        <f>VLOOKUP(A21,'f5'!$U$9:$AG$114,13,)</f>
        <v>0</v>
      </c>
      <c r="D21" s="24"/>
    </row>
    <row r="22" spans="1:4" x14ac:dyDescent="0.25">
      <c r="A22" s="4" t="s">
        <v>569</v>
      </c>
      <c r="B22" s="4" t="s">
        <v>570</v>
      </c>
      <c r="C22" s="4">
        <f>VLOOKUP(A22,'f5'!$U$9:$AG$114,13,)</f>
        <v>0</v>
      </c>
      <c r="D22" s="24" t="s">
        <v>614</v>
      </c>
    </row>
    <row r="23" spans="1:4" x14ac:dyDescent="0.25">
      <c r="A23" s="4" t="s">
        <v>565</v>
      </c>
      <c r="B23" s="4" t="s">
        <v>566</v>
      </c>
      <c r="C23" s="4">
        <f>VLOOKUP(A23,'f5'!$U$9:$AG$114,13,)</f>
        <v>0</v>
      </c>
      <c r="D23" s="24" t="s">
        <v>613</v>
      </c>
    </row>
    <row r="24" spans="1:4" x14ac:dyDescent="0.25">
      <c r="A24" s="4" t="s">
        <v>567</v>
      </c>
      <c r="B24" s="4" t="s">
        <v>568</v>
      </c>
      <c r="C24" s="4">
        <f>VLOOKUP(A24,'f5'!$U$9:$AG$114,13,)</f>
        <v>3.75</v>
      </c>
      <c r="D24" s="24" t="s">
        <v>611</v>
      </c>
    </row>
    <row r="25" spans="1:4" x14ac:dyDescent="0.25">
      <c r="A25" s="4" t="s">
        <v>230</v>
      </c>
      <c r="B25" s="4" t="s">
        <v>231</v>
      </c>
      <c r="C25" s="4">
        <f>VLOOKUP(A25,'f5'!$U$9:$AG$114,13,)</f>
        <v>0</v>
      </c>
      <c r="D25" s="24" t="s">
        <v>614</v>
      </c>
    </row>
    <row r="26" spans="1:4" x14ac:dyDescent="0.25">
      <c r="A26" s="4" t="s">
        <v>234</v>
      </c>
      <c r="B26" s="4" t="s">
        <v>235</v>
      </c>
      <c r="C26" s="4">
        <f>VLOOKUP(A26,'f5'!$U$9:$AG$114,13,)</f>
        <v>0</v>
      </c>
      <c r="D26" s="24" t="s">
        <v>614</v>
      </c>
    </row>
    <row r="27" spans="1:4" x14ac:dyDescent="0.25">
      <c r="A27" s="4" t="s">
        <v>238</v>
      </c>
      <c r="B27" s="4" t="s">
        <v>239</v>
      </c>
      <c r="C27" s="4">
        <f>VLOOKUP(A27,'f5'!$U$9:$AG$114,13,)</f>
        <v>15</v>
      </c>
      <c r="D27" s="24" t="s">
        <v>603</v>
      </c>
    </row>
    <row r="28" spans="1:4" x14ac:dyDescent="0.25">
      <c r="A28" s="4" t="s">
        <v>240</v>
      </c>
      <c r="B28" s="4" t="s">
        <v>241</v>
      </c>
      <c r="C28" s="4">
        <f>VLOOKUP(A28,'f5'!$U$9:$AG$114,13,)</f>
        <v>0</v>
      </c>
      <c r="D28" s="24" t="s">
        <v>613</v>
      </c>
    </row>
    <row r="29" spans="1:4" x14ac:dyDescent="0.25">
      <c r="A29" s="4" t="s">
        <v>242</v>
      </c>
      <c r="B29" s="4" t="s">
        <v>243</v>
      </c>
      <c r="C29" s="4">
        <f>VLOOKUP(A29,'f5'!$U$9:$AG$114,13,)</f>
        <v>0</v>
      </c>
      <c r="D29" s="24" t="s">
        <v>616</v>
      </c>
    </row>
    <row r="30" spans="1:4" x14ac:dyDescent="0.25">
      <c r="A30" s="4" t="s">
        <v>246</v>
      </c>
      <c r="B30" s="4" t="s">
        <v>247</v>
      </c>
      <c r="C30" s="4">
        <f>VLOOKUP(A30,'f5'!$U$9:$AG$114,13,)</f>
        <v>0</v>
      </c>
      <c r="D30" s="24"/>
    </row>
    <row r="31" spans="1:4" x14ac:dyDescent="0.25">
      <c r="A31" s="4" t="s">
        <v>509</v>
      </c>
      <c r="B31" s="4" t="s">
        <v>510</v>
      </c>
      <c r="C31" s="4">
        <f>VLOOKUP(A31,'f5'!$U$9:$AG$114,13,)</f>
        <v>11.25</v>
      </c>
      <c r="D31" s="24" t="s">
        <v>605</v>
      </c>
    </row>
    <row r="32" spans="1:4" x14ac:dyDescent="0.25">
      <c r="A32" s="4" t="s">
        <v>250</v>
      </c>
      <c r="B32" s="4" t="s">
        <v>251</v>
      </c>
      <c r="C32" s="4">
        <f>VLOOKUP(A32,'f5'!$U$9:$AG$114,13,)</f>
        <v>3.75</v>
      </c>
      <c r="D32" s="24" t="s">
        <v>611</v>
      </c>
    </row>
    <row r="33" spans="1:4" x14ac:dyDescent="0.25">
      <c r="A33" s="4" t="s">
        <v>252</v>
      </c>
      <c r="B33" s="4" t="s">
        <v>253</v>
      </c>
      <c r="C33" s="4">
        <f>VLOOKUP(A33,'f5'!$U$9:$AG$114,13,)</f>
        <v>0</v>
      </c>
      <c r="D33" s="24"/>
    </row>
    <row r="34" spans="1:4" x14ac:dyDescent="0.25">
      <c r="A34" s="4" t="s">
        <v>254</v>
      </c>
      <c r="B34" s="4" t="s">
        <v>255</v>
      </c>
      <c r="C34" s="4">
        <f>VLOOKUP(A34,'f5'!$U$9:$AG$114,13,)</f>
        <v>0</v>
      </c>
      <c r="D34" s="24" t="s">
        <v>612</v>
      </c>
    </row>
    <row r="35" spans="1:4" x14ac:dyDescent="0.25">
      <c r="A35" s="4" t="s">
        <v>256</v>
      </c>
      <c r="B35" s="4" t="s">
        <v>257</v>
      </c>
      <c r="C35" s="4">
        <f>VLOOKUP(A35,'f5'!$U$9:$AG$114,13,)</f>
        <v>0</v>
      </c>
      <c r="D35" s="24" t="s">
        <v>616</v>
      </c>
    </row>
    <row r="36" spans="1:4" x14ac:dyDescent="0.25">
      <c r="A36" s="4" t="s">
        <v>258</v>
      </c>
      <c r="B36" s="4" t="s">
        <v>259</v>
      </c>
      <c r="C36" s="4">
        <f>VLOOKUP(A36,'f5'!$U$9:$AG$114,13,)</f>
        <v>0</v>
      </c>
      <c r="D36" s="24"/>
    </row>
    <row r="37" spans="1:4" x14ac:dyDescent="0.25">
      <c r="A37" s="4" t="s">
        <v>262</v>
      </c>
      <c r="B37" s="4" t="s">
        <v>263</v>
      </c>
      <c r="C37" s="4">
        <f>VLOOKUP(A37,'f5'!$U$9:$AG$114,13,)</f>
        <v>30</v>
      </c>
      <c r="D37" s="24" t="s">
        <v>591</v>
      </c>
    </row>
    <row r="38" spans="1:4" x14ac:dyDescent="0.25">
      <c r="A38" s="4" t="s">
        <v>264</v>
      </c>
      <c r="B38" s="4" t="s">
        <v>265</v>
      </c>
      <c r="C38" s="4">
        <f>VLOOKUP(A38,'f5'!$U$9:$AG$114,13,)</f>
        <v>15</v>
      </c>
      <c r="D38" s="24" t="s">
        <v>603</v>
      </c>
    </row>
    <row r="39" spans="1:4" x14ac:dyDescent="0.25">
      <c r="A39" s="4" t="s">
        <v>268</v>
      </c>
      <c r="B39" s="4" t="s">
        <v>269</v>
      </c>
      <c r="C39" s="4">
        <f>VLOOKUP(A39,'f5'!$U$9:$AG$114,13,)</f>
        <v>22.5</v>
      </c>
      <c r="D39" s="24" t="s">
        <v>597</v>
      </c>
    </row>
    <row r="40" spans="1:4" x14ac:dyDescent="0.25">
      <c r="A40" s="4" t="s">
        <v>270</v>
      </c>
      <c r="B40" s="4" t="s">
        <v>271</v>
      </c>
      <c r="C40" s="4">
        <f>VLOOKUP(A40,'f5'!$U$9:$AG$114,13,)</f>
        <v>0</v>
      </c>
      <c r="D40" s="24" t="s">
        <v>613</v>
      </c>
    </row>
    <row r="41" spans="1:4" x14ac:dyDescent="0.25">
      <c r="A41" s="4" t="s">
        <v>272</v>
      </c>
      <c r="B41" s="4" t="s">
        <v>273</v>
      </c>
      <c r="C41" s="4">
        <f>VLOOKUP(A41,'f5'!$U$9:$AG$114,13,)</f>
        <v>0</v>
      </c>
      <c r="D41" s="24"/>
    </row>
    <row r="42" spans="1:4" x14ac:dyDescent="0.25">
      <c r="A42" s="4" t="s">
        <v>276</v>
      </c>
      <c r="B42" s="4" t="s">
        <v>277</v>
      </c>
      <c r="C42" s="4">
        <f>VLOOKUP(A42,'f5'!$U$9:$AG$114,13,)</f>
        <v>18.75</v>
      </c>
      <c r="D42" s="24" t="s">
        <v>599</v>
      </c>
    </row>
    <row r="43" spans="1:4" x14ac:dyDescent="0.25">
      <c r="A43" s="4" t="s">
        <v>278</v>
      </c>
      <c r="B43" s="4" t="s">
        <v>279</v>
      </c>
      <c r="C43" s="4">
        <f>VLOOKUP(A43,'f5'!$U$9:$AG$114,13,)</f>
        <v>15</v>
      </c>
      <c r="D43" s="24" t="s">
        <v>603</v>
      </c>
    </row>
    <row r="44" spans="1:4" x14ac:dyDescent="0.25">
      <c r="A44" s="4" t="s">
        <v>280</v>
      </c>
      <c r="B44" s="4" t="s">
        <v>281</v>
      </c>
      <c r="C44" s="4">
        <f>VLOOKUP(A44,'f5'!$U$9:$AG$114,13,)</f>
        <v>18.75</v>
      </c>
      <c r="D44" s="24" t="s">
        <v>599</v>
      </c>
    </row>
    <row r="45" spans="1:4" x14ac:dyDescent="0.25">
      <c r="A45" s="4" t="s">
        <v>330</v>
      </c>
      <c r="B45" s="4" t="s">
        <v>331</v>
      </c>
      <c r="C45" s="4">
        <f>VLOOKUP(A45,'f5'!$U$9:$AG$114,13,)</f>
        <v>0</v>
      </c>
      <c r="D45" s="24"/>
    </row>
    <row r="46" spans="1:4" x14ac:dyDescent="0.25">
      <c r="A46" s="4" t="s">
        <v>332</v>
      </c>
      <c r="B46" s="4" t="s">
        <v>333</v>
      </c>
      <c r="C46" s="4">
        <f>VLOOKUP(A46,'f5'!$U$9:$AG$114,13,)</f>
        <v>15</v>
      </c>
      <c r="D46" s="24" t="s">
        <v>603</v>
      </c>
    </row>
    <row r="47" spans="1:4" x14ac:dyDescent="0.25">
      <c r="A47" s="4" t="s">
        <v>334</v>
      </c>
      <c r="B47" s="4" t="s">
        <v>335</v>
      </c>
      <c r="C47" s="4">
        <f>VLOOKUP(A47,'f5'!$U$9:$AG$114,13,)</f>
        <v>0</v>
      </c>
      <c r="D47" s="24" t="s">
        <v>616</v>
      </c>
    </row>
    <row r="48" spans="1:4" x14ac:dyDescent="0.25">
      <c r="A48" s="4" t="s">
        <v>511</v>
      </c>
      <c r="B48" s="4" t="s">
        <v>512</v>
      </c>
      <c r="C48" s="4">
        <f>VLOOKUP(A48,'f5'!$U$9:$AG$114,13,)</f>
        <v>0</v>
      </c>
      <c r="D48" s="24"/>
    </row>
    <row r="49" spans="1:4" x14ac:dyDescent="0.25">
      <c r="A49" s="4" t="s">
        <v>487</v>
      </c>
      <c r="B49" s="4" t="s">
        <v>488</v>
      </c>
      <c r="C49" s="4">
        <f>VLOOKUP(A49,'f5'!$U$9:$AG$114,13,)</f>
        <v>0</v>
      </c>
      <c r="D49" s="24" t="s">
        <v>614</v>
      </c>
    </row>
    <row r="50" spans="1:4" x14ac:dyDescent="0.25">
      <c r="A50" s="4" t="s">
        <v>338</v>
      </c>
      <c r="B50" s="4" t="s">
        <v>339</v>
      </c>
      <c r="C50" s="4">
        <f>VLOOKUP(A50,'f5'!$U$9:$AG$114,13,)</f>
        <v>18.75</v>
      </c>
      <c r="D50" s="24" t="s">
        <v>599</v>
      </c>
    </row>
    <row r="51" spans="1:4" x14ac:dyDescent="0.25">
      <c r="A51" s="4" t="s">
        <v>340</v>
      </c>
      <c r="B51" s="4" t="s">
        <v>341</v>
      </c>
      <c r="C51" s="4">
        <f>VLOOKUP(A51,'f5'!$U$9:$AG$114,13,)</f>
        <v>15</v>
      </c>
      <c r="D51" s="24" t="s">
        <v>603</v>
      </c>
    </row>
    <row r="52" spans="1:4" x14ac:dyDescent="0.25">
      <c r="A52" s="4" t="s">
        <v>342</v>
      </c>
      <c r="B52" s="4" t="s">
        <v>343</v>
      </c>
      <c r="C52" s="4">
        <f>VLOOKUP(A52,'f5'!$U$9:$AG$114,13,)</f>
        <v>7.5</v>
      </c>
      <c r="D52" s="24" t="s">
        <v>608</v>
      </c>
    </row>
    <row r="53" spans="1:4" x14ac:dyDescent="0.25">
      <c r="A53" s="4" t="s">
        <v>344</v>
      </c>
      <c r="B53" s="4" t="s">
        <v>345</v>
      </c>
      <c r="C53" s="4">
        <f>VLOOKUP(A53,'f5'!$U$9:$AG$114,13,)</f>
        <v>0</v>
      </c>
      <c r="D53" s="24"/>
    </row>
    <row r="54" spans="1:4" x14ac:dyDescent="0.25">
      <c r="A54" s="4" t="s">
        <v>346</v>
      </c>
      <c r="B54" s="4" t="s">
        <v>347</v>
      </c>
      <c r="C54" s="4">
        <f>VLOOKUP(A54,'f5'!$U$9:$AG$114,13,)</f>
        <v>3.75</v>
      </c>
      <c r="D54" s="24" t="s">
        <v>611</v>
      </c>
    </row>
    <row r="55" spans="1:4" x14ac:dyDescent="0.25">
      <c r="A55" s="4" t="s">
        <v>377</v>
      </c>
      <c r="B55" s="4" t="s">
        <v>378</v>
      </c>
      <c r="C55" s="4">
        <f>VLOOKUP(A55,'f5'!$U$9:$AG$114,13,)</f>
        <v>0</v>
      </c>
      <c r="D55" s="24" t="s">
        <v>579</v>
      </c>
    </row>
    <row r="56" spans="1:4" x14ac:dyDescent="0.25">
      <c r="A56" s="4" t="s">
        <v>381</v>
      </c>
      <c r="B56" s="4" t="s">
        <v>382</v>
      </c>
      <c r="C56" s="4">
        <f>VLOOKUP(A56,'f5'!$U$9:$AG$114,13,)</f>
        <v>0</v>
      </c>
      <c r="D56" s="24" t="s">
        <v>585</v>
      </c>
    </row>
    <row r="57" spans="1:4" x14ac:dyDescent="0.25">
      <c r="A57" s="4" t="s">
        <v>352</v>
      </c>
      <c r="B57" s="4" t="s">
        <v>353</v>
      </c>
      <c r="C57" s="4">
        <f>VLOOKUP(A57,'f5'!$U$9:$AG$114,13,)</f>
        <v>0</v>
      </c>
      <c r="D57" s="24" t="s">
        <v>616</v>
      </c>
    </row>
    <row r="58" spans="1:4" x14ac:dyDescent="0.25">
      <c r="A58" s="4" t="s">
        <v>389</v>
      </c>
      <c r="B58" s="4" t="s">
        <v>390</v>
      </c>
      <c r="C58" s="4">
        <f>VLOOKUP(A58,'f5'!$U$9:$AG$114,13,)</f>
        <v>0</v>
      </c>
      <c r="D58" s="24" t="s">
        <v>594</v>
      </c>
    </row>
    <row r="59" spans="1:4" x14ac:dyDescent="0.25">
      <c r="A59" s="4" t="s">
        <v>354</v>
      </c>
      <c r="B59" s="4" t="s">
        <v>355</v>
      </c>
      <c r="C59" s="4">
        <f>VLOOKUP(A59,'f5'!$U$9:$AG$114,13,)</f>
        <v>0</v>
      </c>
      <c r="D59" s="24" t="s">
        <v>608</v>
      </c>
    </row>
    <row r="60" spans="1:4" x14ac:dyDescent="0.25">
      <c r="A60" s="4" t="s">
        <v>356</v>
      </c>
      <c r="B60" s="4" t="s">
        <v>357</v>
      </c>
      <c r="C60" s="4">
        <f>VLOOKUP(A60,'f5'!$U$9:$AG$114,13,)</f>
        <v>0</v>
      </c>
      <c r="D60" s="24"/>
    </row>
    <row r="61" spans="1:4" x14ac:dyDescent="0.25">
      <c r="A61" s="4" t="s">
        <v>358</v>
      </c>
      <c r="B61" s="4" t="s">
        <v>359</v>
      </c>
      <c r="C61" s="4">
        <f>VLOOKUP(A61,'f5'!$U$9:$AG$114,13,)</f>
        <v>0</v>
      </c>
      <c r="D61" s="24"/>
    </row>
    <row r="62" spans="1:4" x14ac:dyDescent="0.25">
      <c r="A62" s="23"/>
      <c r="B62" s="23"/>
      <c r="C62" s="22"/>
    </row>
    <row r="63" spans="1:4" x14ac:dyDescent="0.25">
      <c r="A63" s="4"/>
      <c r="B63" s="4"/>
      <c r="C63" s="22"/>
    </row>
    <row r="64" spans="1:4" x14ac:dyDescent="0.25">
      <c r="A64" s="4"/>
      <c r="B64" s="4"/>
      <c r="C64" s="22"/>
    </row>
    <row r="65" spans="1:3" x14ac:dyDescent="0.25">
      <c r="A65" s="4"/>
      <c r="B65" s="4"/>
      <c r="C65" s="22"/>
    </row>
    <row r="66" spans="1:3" x14ac:dyDescent="0.25">
      <c r="A66" s="4"/>
      <c r="B66" s="4"/>
      <c r="C66" s="22"/>
    </row>
    <row r="67" spans="1:3" x14ac:dyDescent="0.25">
      <c r="A67" s="4"/>
      <c r="B67" s="4"/>
      <c r="C67" s="22"/>
    </row>
    <row r="68" spans="1:3" x14ac:dyDescent="0.25">
      <c r="A68" s="4"/>
      <c r="B68" s="4"/>
      <c r="C68" s="22"/>
    </row>
    <row r="69" spans="1:3" x14ac:dyDescent="0.25">
      <c r="A69" s="4"/>
      <c r="B69" s="4"/>
      <c r="C69" s="22"/>
    </row>
    <row r="70" spans="1:3" x14ac:dyDescent="0.25">
      <c r="A70" s="4"/>
      <c r="B70" s="4"/>
      <c r="C70" s="22"/>
    </row>
    <row r="71" spans="1:3" x14ac:dyDescent="0.25">
      <c r="A71" s="4"/>
      <c r="B71" s="4"/>
      <c r="C71" s="22"/>
    </row>
    <row r="72" spans="1:3" x14ac:dyDescent="0.25">
      <c r="A72" s="4"/>
      <c r="B72" s="4"/>
      <c r="C72" s="22"/>
    </row>
    <row r="73" spans="1:3" x14ac:dyDescent="0.25">
      <c r="A73" s="4"/>
      <c r="B73" s="4"/>
      <c r="C73" s="22"/>
    </row>
    <row r="74" spans="1:3" x14ac:dyDescent="0.25">
      <c r="A74" s="4"/>
      <c r="B74" s="4"/>
      <c r="C74" s="22"/>
    </row>
    <row r="75" spans="1:3" x14ac:dyDescent="0.25">
      <c r="A75" s="4"/>
      <c r="B75" s="4"/>
      <c r="C75" s="22"/>
    </row>
    <row r="76" spans="1:3" x14ac:dyDescent="0.25">
      <c r="A76" s="4"/>
      <c r="B76" s="4"/>
      <c r="C76" s="22"/>
    </row>
    <row r="77" spans="1:3" x14ac:dyDescent="0.25">
      <c r="A77" s="4"/>
      <c r="B77" s="4"/>
      <c r="C77" s="22"/>
    </row>
    <row r="78" spans="1:3" x14ac:dyDescent="0.25">
      <c r="A78" s="4"/>
      <c r="B78" s="4"/>
      <c r="C78" s="22"/>
    </row>
    <row r="79" spans="1:3" x14ac:dyDescent="0.25">
      <c r="A79" s="4"/>
      <c r="B79" s="4"/>
      <c r="C79" s="22"/>
    </row>
    <row r="80" spans="1:3" x14ac:dyDescent="0.25">
      <c r="A80" s="4"/>
      <c r="B80" s="4"/>
      <c r="C80" s="22"/>
    </row>
    <row r="81" spans="1:3" x14ac:dyDescent="0.25">
      <c r="A81" s="4"/>
      <c r="B81" s="4"/>
      <c r="C81" s="22"/>
    </row>
    <row r="82" spans="1:3" x14ac:dyDescent="0.25">
      <c r="A82" s="4"/>
      <c r="B82" s="4"/>
      <c r="C82" s="22"/>
    </row>
    <row r="83" spans="1:3" x14ac:dyDescent="0.25">
      <c r="A83" s="4"/>
      <c r="B83" s="4"/>
      <c r="C83" s="22"/>
    </row>
    <row r="84" spans="1:3" x14ac:dyDescent="0.25">
      <c r="A84" s="4"/>
      <c r="B84" s="4"/>
      <c r="C84" s="22"/>
    </row>
    <row r="85" spans="1:3" x14ac:dyDescent="0.25">
      <c r="A85" s="4"/>
      <c r="B85" s="4"/>
      <c r="C85" s="22"/>
    </row>
    <row r="86" spans="1:3" x14ac:dyDescent="0.25">
      <c r="A86" s="4"/>
      <c r="B86" s="4"/>
      <c r="C86" s="22"/>
    </row>
    <row r="87" spans="1:3" x14ac:dyDescent="0.25">
      <c r="A87" s="4"/>
      <c r="B87" s="4"/>
      <c r="C87" s="22"/>
    </row>
    <row r="88" spans="1:3" x14ac:dyDescent="0.25">
      <c r="A88" s="4"/>
      <c r="B88" s="4"/>
      <c r="C88" s="22"/>
    </row>
    <row r="89" spans="1:3" x14ac:dyDescent="0.25">
      <c r="A89" s="4"/>
      <c r="B89" s="4"/>
      <c r="C89" s="22"/>
    </row>
    <row r="90" spans="1:3" x14ac:dyDescent="0.25">
      <c r="A90" s="4"/>
      <c r="B90" s="4"/>
      <c r="C90" s="22"/>
    </row>
    <row r="91" spans="1:3" x14ac:dyDescent="0.25">
      <c r="A91" s="4"/>
      <c r="B91" s="4"/>
      <c r="C91" s="22"/>
    </row>
    <row r="92" spans="1:3" x14ac:dyDescent="0.25">
      <c r="A92" s="4"/>
      <c r="B92" s="4"/>
      <c r="C92" s="22"/>
    </row>
    <row r="93" spans="1:3" x14ac:dyDescent="0.25">
      <c r="A93" s="4"/>
      <c r="B93" s="4"/>
      <c r="C93" s="22"/>
    </row>
    <row r="94" spans="1:3" x14ac:dyDescent="0.25">
      <c r="A94" s="4"/>
      <c r="B94" s="4"/>
      <c r="C94" s="22"/>
    </row>
    <row r="95" spans="1:3" x14ac:dyDescent="0.25">
      <c r="A95" s="4"/>
      <c r="B95" s="4"/>
      <c r="C95" s="22"/>
    </row>
    <row r="96" spans="1:3" x14ac:dyDescent="0.25">
      <c r="A96" s="4"/>
      <c r="B96" s="4"/>
      <c r="C96" s="22"/>
    </row>
    <row r="97" spans="1:3" x14ac:dyDescent="0.25">
      <c r="A97" s="4"/>
      <c r="B97" s="4"/>
      <c r="C97" s="22"/>
    </row>
    <row r="98" spans="1:3" x14ac:dyDescent="0.25">
      <c r="A98" s="4"/>
      <c r="B98" s="4"/>
      <c r="C98" s="22"/>
    </row>
    <row r="99" spans="1:3" x14ac:dyDescent="0.25">
      <c r="A99" s="4"/>
      <c r="B99" s="4"/>
      <c r="C99" s="22"/>
    </row>
    <row r="100" spans="1:3" x14ac:dyDescent="0.25">
      <c r="A100" s="4"/>
      <c r="B100" s="4"/>
      <c r="C100" s="22"/>
    </row>
    <row r="101" spans="1:3" x14ac:dyDescent="0.25">
      <c r="A101" s="4"/>
      <c r="B101" s="4"/>
      <c r="C101" s="22"/>
    </row>
    <row r="102" spans="1:3" x14ac:dyDescent="0.25">
      <c r="A102" s="4"/>
      <c r="B102" s="4"/>
      <c r="C102" s="22"/>
    </row>
    <row r="103" spans="1:3" x14ac:dyDescent="0.25">
      <c r="A103" s="4"/>
      <c r="B103" s="4"/>
      <c r="C103" s="22"/>
    </row>
    <row r="104" spans="1:3" x14ac:dyDescent="0.25">
      <c r="A104" s="4"/>
      <c r="B104" s="4"/>
      <c r="C104" s="22"/>
    </row>
    <row r="105" spans="1:3" x14ac:dyDescent="0.25">
      <c r="A105" s="4"/>
      <c r="B105" s="4"/>
      <c r="C105" s="22"/>
    </row>
    <row r="106" spans="1:3" x14ac:dyDescent="0.25">
      <c r="A106" s="4"/>
      <c r="B106" s="4"/>
      <c r="C106" s="22"/>
    </row>
    <row r="107" spans="1:3" x14ac:dyDescent="0.25">
      <c r="A107" s="4"/>
      <c r="B107" s="4"/>
      <c r="C107" s="22"/>
    </row>
    <row r="108" spans="1:3" x14ac:dyDescent="0.25">
      <c r="A108" s="4"/>
      <c r="B108" s="4"/>
      <c r="C108" s="22"/>
    </row>
    <row r="109" spans="1:3" x14ac:dyDescent="0.25">
      <c r="A109" s="4"/>
      <c r="B109" s="4"/>
      <c r="C109" s="22"/>
    </row>
    <row r="110" spans="1:3" x14ac:dyDescent="0.25">
      <c r="A110" s="4"/>
      <c r="B110" s="4"/>
      <c r="C110" s="22"/>
    </row>
    <row r="111" spans="1:3" x14ac:dyDescent="0.25">
      <c r="A111" s="4"/>
      <c r="B111" s="4"/>
      <c r="C111" s="22"/>
    </row>
    <row r="112" spans="1:3" x14ac:dyDescent="0.25">
      <c r="A112" s="4"/>
      <c r="B112" s="4"/>
      <c r="C112" s="22"/>
    </row>
    <row r="113" spans="1:3" x14ac:dyDescent="0.25">
      <c r="A113" s="4"/>
      <c r="B113" s="4"/>
      <c r="C113" s="22"/>
    </row>
    <row r="114" spans="1:3" x14ac:dyDescent="0.25">
      <c r="A114" s="4"/>
      <c r="B114" s="4"/>
      <c r="C114" s="22"/>
    </row>
    <row r="115" spans="1:3" x14ac:dyDescent="0.25">
      <c r="A115" s="4"/>
      <c r="B115" s="4"/>
      <c r="C115" s="22"/>
    </row>
    <row r="116" spans="1:3" x14ac:dyDescent="0.25">
      <c r="A116" s="4"/>
      <c r="B116" s="4"/>
      <c r="C116" s="22"/>
    </row>
    <row r="117" spans="1:3" x14ac:dyDescent="0.25">
      <c r="A117" s="4"/>
      <c r="B117" s="4"/>
      <c r="C117" s="22"/>
    </row>
    <row r="118" spans="1:3" x14ac:dyDescent="0.25">
      <c r="A118" s="4"/>
      <c r="B118" s="4"/>
      <c r="C118" s="22"/>
    </row>
    <row r="119" spans="1:3" x14ac:dyDescent="0.25">
      <c r="A119" s="4"/>
      <c r="B119" s="4"/>
      <c r="C119" s="22"/>
    </row>
    <row r="120" spans="1:3" x14ac:dyDescent="0.25">
      <c r="A120" s="4"/>
      <c r="B120" s="4"/>
      <c r="C120" s="22"/>
    </row>
    <row r="121" spans="1:3" x14ac:dyDescent="0.25">
      <c r="A121" s="4"/>
      <c r="B121" s="4"/>
      <c r="C121" s="22"/>
    </row>
    <row r="122" spans="1:3" x14ac:dyDescent="0.25">
      <c r="A122" s="4"/>
      <c r="B122" s="4"/>
      <c r="C122" s="22"/>
    </row>
    <row r="123" spans="1:3" x14ac:dyDescent="0.25">
      <c r="A123" s="4"/>
      <c r="B123" s="4"/>
      <c r="C123" s="22"/>
    </row>
    <row r="124" spans="1:3" x14ac:dyDescent="0.25">
      <c r="A124" s="4"/>
      <c r="B124" s="4"/>
      <c r="C124" s="22"/>
    </row>
    <row r="125" spans="1:3" x14ac:dyDescent="0.25">
      <c r="A125" s="4"/>
      <c r="B125" s="4"/>
      <c r="C125" s="22"/>
    </row>
    <row r="126" spans="1:3" x14ac:dyDescent="0.25">
      <c r="A126" s="4"/>
      <c r="B126" s="4"/>
      <c r="C126" s="22"/>
    </row>
    <row r="127" spans="1:3" x14ac:dyDescent="0.25">
      <c r="A127" s="4"/>
      <c r="B127" s="4"/>
      <c r="C127" s="22"/>
    </row>
    <row r="128" spans="1:3" x14ac:dyDescent="0.25">
      <c r="A128" s="4"/>
      <c r="B128" s="4"/>
      <c r="C128" s="22"/>
    </row>
    <row r="129" spans="1:3" x14ac:dyDescent="0.25">
      <c r="A129" s="4"/>
      <c r="B129" s="4"/>
      <c r="C129" s="22"/>
    </row>
    <row r="130" spans="1:3" x14ac:dyDescent="0.25">
      <c r="A130" s="4"/>
      <c r="B130" s="4"/>
      <c r="C130" s="22"/>
    </row>
    <row r="131" spans="1:3" x14ac:dyDescent="0.25">
      <c r="A131" s="4"/>
      <c r="B131" s="4"/>
      <c r="C131" s="22"/>
    </row>
    <row r="132" spans="1:3" x14ac:dyDescent="0.25">
      <c r="A132" s="4"/>
      <c r="B132" s="4"/>
      <c r="C132" s="22"/>
    </row>
    <row r="133" spans="1:3" x14ac:dyDescent="0.25">
      <c r="A133" s="4"/>
      <c r="B133" s="4"/>
      <c r="C133" s="22"/>
    </row>
    <row r="134" spans="1:3" x14ac:dyDescent="0.25">
      <c r="A134" s="4"/>
      <c r="B134" s="4"/>
      <c r="C134" s="22"/>
    </row>
    <row r="135" spans="1:3" x14ac:dyDescent="0.25">
      <c r="A135" s="4"/>
      <c r="B135" s="4"/>
      <c r="C135" s="22"/>
    </row>
    <row r="136" spans="1:3" x14ac:dyDescent="0.25">
      <c r="A136" s="4"/>
      <c r="B136" s="4"/>
      <c r="C136" s="22"/>
    </row>
    <row r="137" spans="1:3" x14ac:dyDescent="0.25">
      <c r="A137" s="4"/>
      <c r="B137" s="4"/>
      <c r="C137" s="22"/>
    </row>
    <row r="138" spans="1:3" x14ac:dyDescent="0.25">
      <c r="A138" s="4"/>
      <c r="B138" s="4"/>
      <c r="C138" s="22"/>
    </row>
    <row r="139" spans="1:3" x14ac:dyDescent="0.25">
      <c r="A139" s="4"/>
      <c r="B139" s="4"/>
      <c r="C139" s="22"/>
    </row>
    <row r="140" spans="1:3" x14ac:dyDescent="0.25">
      <c r="A140" s="4"/>
      <c r="B140" s="4"/>
      <c r="C140" s="22"/>
    </row>
    <row r="141" spans="1:3" x14ac:dyDescent="0.25">
      <c r="A141" s="4"/>
      <c r="B141" s="4"/>
      <c r="C141" s="22"/>
    </row>
    <row r="142" spans="1:3" x14ac:dyDescent="0.25">
      <c r="A142" s="4"/>
      <c r="B142" s="4"/>
      <c r="C142" s="22"/>
    </row>
  </sheetData>
  <conditionalFormatting sqref="A62:C66">
    <cfRule type="duplicateValues" dxfId="22" priority="17" stopIfTrue="1"/>
  </conditionalFormatting>
  <conditionalFormatting sqref="A82:C89">
    <cfRule type="duplicateValues" dxfId="21" priority="15" stopIfTrue="1"/>
  </conditionalFormatting>
  <conditionalFormatting sqref="A91:C98">
    <cfRule type="duplicateValues" dxfId="20" priority="16" stopIfTrue="1"/>
  </conditionalFormatting>
  <conditionalFormatting sqref="A99:C114 A90:C90 A67:C81 C2:C61">
    <cfRule type="duplicateValues" dxfId="19" priority="20"/>
  </conditionalFormatting>
  <conditionalFormatting sqref="A99:C119 A90:C90 A67:C81 A124:C125 C2:C61">
    <cfRule type="duplicateValues" dxfId="18" priority="24"/>
  </conditionalFormatting>
  <conditionalFormatting sqref="A115:C119 A124:C125">
    <cfRule type="duplicateValues" dxfId="17" priority="23"/>
  </conditionalFormatting>
  <conditionalFormatting sqref="A115:C119 A124:C126">
    <cfRule type="duplicateValues" dxfId="16" priority="21"/>
  </conditionalFormatting>
  <conditionalFormatting sqref="A115:C119 A124:C128">
    <cfRule type="duplicateValues" dxfId="15" priority="22"/>
  </conditionalFormatting>
  <conditionalFormatting sqref="A120:C122">
    <cfRule type="duplicateValues" dxfId="14" priority="13" stopIfTrue="1"/>
  </conditionalFormatting>
  <conditionalFormatting sqref="A123:C123">
    <cfRule type="duplicateValues" dxfId="13" priority="12" stopIfTrue="1"/>
  </conditionalFormatting>
  <conditionalFormatting sqref="A127:C127">
    <cfRule type="duplicateValues" dxfId="12" priority="14" stopIfTrue="1"/>
  </conditionalFormatting>
  <conditionalFormatting sqref="A128:C128 A99:C119 A90:C90 A67:C81 A124:C125 C2:C61">
    <cfRule type="duplicateValues" dxfId="11" priority="19"/>
  </conditionalFormatting>
  <conditionalFormatting sqref="A129:C129 A142:C142">
    <cfRule type="duplicateValues" dxfId="10" priority="11" stopIfTrue="1"/>
  </conditionalFormatting>
  <conditionalFormatting sqref="A130:C132">
    <cfRule type="duplicateValues" dxfId="9" priority="10" stopIfTrue="1"/>
  </conditionalFormatting>
  <conditionalFormatting sqref="A133:C138">
    <cfRule type="duplicateValues" dxfId="8" priority="9" stopIfTrue="1"/>
  </conditionalFormatting>
  <conditionalFormatting sqref="A139:C139">
    <cfRule type="duplicateValues" dxfId="7" priority="8" stopIfTrue="1"/>
  </conditionalFormatting>
  <conditionalFormatting sqref="A140:C141">
    <cfRule type="duplicateValues" dxfId="6" priority="7" stopIfTrue="1"/>
  </conditionalFormatting>
  <conditionalFormatting sqref="A48:B61 A43:B44 A2:B21">
    <cfRule type="duplicateValues" dxfId="5" priority="5"/>
  </conditionalFormatting>
  <conditionalFormatting sqref="A48:B61 A43:B44 A2:B21">
    <cfRule type="duplicateValues" dxfId="4" priority="6"/>
  </conditionalFormatting>
  <conditionalFormatting sqref="A48:B61 A43:B44 A2:B11">
    <cfRule type="duplicateValues" dxfId="3" priority="4"/>
  </conditionalFormatting>
  <conditionalFormatting sqref="A12:B21">
    <cfRule type="duplicateValues" dxfId="2" priority="3" stopIfTrue="1"/>
  </conditionalFormatting>
  <conditionalFormatting sqref="A22:B42">
    <cfRule type="duplicateValues" dxfId="1" priority="2" stopIfTrue="1"/>
  </conditionalFormatting>
  <conditionalFormatting sqref="A45:B47">
    <cfRule type="duplicateValues" dxfId="0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8F77-44EF-4C32-A363-8BC7F72B9715}">
  <dimension ref="A2:E70"/>
  <sheetViews>
    <sheetView topLeftCell="A61" workbookViewId="0">
      <selection activeCell="E37" sqref="E37"/>
    </sheetView>
  </sheetViews>
  <sheetFormatPr baseColWidth="10" defaultRowHeight="15" x14ac:dyDescent="0.25"/>
  <cols>
    <col min="2" max="2" width="34.85546875" customWidth="1"/>
  </cols>
  <sheetData>
    <row r="2" spans="1:5" ht="39" thickBot="1" x14ac:dyDescent="0.3">
      <c r="A2" s="16" t="s">
        <v>365</v>
      </c>
      <c r="B2" s="17" t="s">
        <v>366</v>
      </c>
      <c r="C2" s="18" t="s">
        <v>577</v>
      </c>
      <c r="D2" s="19" t="s">
        <v>578</v>
      </c>
      <c r="E2" s="20" t="s">
        <v>579</v>
      </c>
    </row>
    <row r="3" spans="1:5" ht="39" thickBot="1" x14ac:dyDescent="0.3">
      <c r="A3" s="16" t="s">
        <v>360</v>
      </c>
      <c r="B3" s="17" t="s">
        <v>361</v>
      </c>
      <c r="C3" s="18" t="s">
        <v>577</v>
      </c>
      <c r="D3" s="19" t="s">
        <v>578</v>
      </c>
      <c r="E3" s="20" t="s">
        <v>579</v>
      </c>
    </row>
    <row r="4" spans="1:5" ht="39" thickBot="1" x14ac:dyDescent="0.3">
      <c r="A4" s="16" t="s">
        <v>375</v>
      </c>
      <c r="B4" s="17" t="s">
        <v>580</v>
      </c>
      <c r="C4" s="18" t="s">
        <v>577</v>
      </c>
      <c r="D4" s="19" t="s">
        <v>578</v>
      </c>
      <c r="E4" s="20" t="s">
        <v>579</v>
      </c>
    </row>
    <row r="5" spans="1:5" ht="39" thickBot="1" x14ac:dyDescent="0.3">
      <c r="A5" s="16" t="s">
        <v>377</v>
      </c>
      <c r="B5" s="17" t="s">
        <v>378</v>
      </c>
      <c r="C5" s="18" t="s">
        <v>581</v>
      </c>
      <c r="D5" s="19" t="s">
        <v>578</v>
      </c>
      <c r="E5" s="20" t="s">
        <v>579</v>
      </c>
    </row>
    <row r="6" spans="1:5" ht="26.25" thickBot="1" x14ac:dyDescent="0.3">
      <c r="A6" s="16" t="s">
        <v>371</v>
      </c>
      <c r="B6" s="17" t="s">
        <v>372</v>
      </c>
      <c r="C6" s="18" t="s">
        <v>577</v>
      </c>
      <c r="D6" s="19" t="s">
        <v>578</v>
      </c>
      <c r="E6" s="20" t="s">
        <v>579</v>
      </c>
    </row>
    <row r="7" spans="1:5" ht="26.25" thickBot="1" x14ac:dyDescent="0.3">
      <c r="A7" s="16" t="s">
        <v>363</v>
      </c>
      <c r="B7" s="17" t="s">
        <v>364</v>
      </c>
      <c r="C7" s="18" t="s">
        <v>577</v>
      </c>
      <c r="D7" s="19" t="s">
        <v>578</v>
      </c>
      <c r="E7" s="20" t="s">
        <v>579</v>
      </c>
    </row>
    <row r="8" spans="1:5" ht="26.25" thickBot="1" x14ac:dyDescent="0.3">
      <c r="A8" s="16" t="s">
        <v>367</v>
      </c>
      <c r="B8" s="17" t="s">
        <v>368</v>
      </c>
      <c r="C8" s="18" t="s">
        <v>577</v>
      </c>
      <c r="D8" s="19" t="s">
        <v>582</v>
      </c>
      <c r="E8" s="20" t="s">
        <v>583</v>
      </c>
    </row>
    <row r="9" spans="1:5" ht="26.25" thickBot="1" x14ac:dyDescent="0.3">
      <c r="A9" s="16" t="s">
        <v>369</v>
      </c>
      <c r="B9" s="17" t="s">
        <v>370</v>
      </c>
      <c r="C9" s="18" t="s">
        <v>577</v>
      </c>
      <c r="D9" s="19" t="s">
        <v>582</v>
      </c>
      <c r="E9" s="20" t="s">
        <v>583</v>
      </c>
    </row>
    <row r="10" spans="1:5" ht="39" thickBot="1" x14ac:dyDescent="0.3">
      <c r="A10" s="16" t="s">
        <v>381</v>
      </c>
      <c r="B10" s="17" t="s">
        <v>382</v>
      </c>
      <c r="C10" s="18" t="s">
        <v>581</v>
      </c>
      <c r="D10" s="19" t="s">
        <v>584</v>
      </c>
      <c r="E10" s="20" t="s">
        <v>585</v>
      </c>
    </row>
    <row r="11" spans="1:5" ht="26.25" thickBot="1" x14ac:dyDescent="0.3">
      <c r="A11" s="16" t="s">
        <v>212</v>
      </c>
      <c r="B11" s="17" t="s">
        <v>213</v>
      </c>
      <c r="C11" s="18" t="s">
        <v>586</v>
      </c>
      <c r="D11" s="19" t="s">
        <v>587</v>
      </c>
      <c r="E11" s="20" t="s">
        <v>588</v>
      </c>
    </row>
    <row r="12" spans="1:5" ht="26.25" thickBot="1" x14ac:dyDescent="0.3">
      <c r="A12" s="16" t="s">
        <v>262</v>
      </c>
      <c r="B12" s="17" t="s">
        <v>263</v>
      </c>
      <c r="C12" s="18" t="s">
        <v>589</v>
      </c>
      <c r="D12" s="19" t="s">
        <v>590</v>
      </c>
      <c r="E12" s="20" t="s">
        <v>591</v>
      </c>
    </row>
    <row r="13" spans="1:5" ht="26.25" thickBot="1" x14ac:dyDescent="0.3">
      <c r="A13" s="16" t="s">
        <v>216</v>
      </c>
      <c r="B13" s="17" t="s">
        <v>217</v>
      </c>
      <c r="C13" s="18" t="s">
        <v>586</v>
      </c>
      <c r="D13" s="19" t="s">
        <v>590</v>
      </c>
      <c r="E13" s="20" t="s">
        <v>591</v>
      </c>
    </row>
    <row r="14" spans="1:5" ht="26.25" thickBot="1" x14ac:dyDescent="0.3">
      <c r="A14" s="16" t="s">
        <v>575</v>
      </c>
      <c r="B14" s="17" t="s">
        <v>592</v>
      </c>
      <c r="C14" s="18" t="s">
        <v>577</v>
      </c>
      <c r="D14" s="19" t="s">
        <v>593</v>
      </c>
      <c r="E14" s="20" t="s">
        <v>594</v>
      </c>
    </row>
    <row r="15" spans="1:5" ht="26.25" thickBot="1" x14ac:dyDescent="0.3">
      <c r="A15" s="16" t="s">
        <v>389</v>
      </c>
      <c r="B15" s="17" t="s">
        <v>390</v>
      </c>
      <c r="C15" s="18" t="s">
        <v>581</v>
      </c>
      <c r="D15" s="19" t="s">
        <v>595</v>
      </c>
      <c r="E15" s="20" t="s">
        <v>594</v>
      </c>
    </row>
    <row r="16" spans="1:5" ht="26.25" thickBot="1" x14ac:dyDescent="0.3">
      <c r="A16" s="16" t="s">
        <v>373</v>
      </c>
      <c r="B16" s="17" t="s">
        <v>596</v>
      </c>
      <c r="C16" s="18" t="s">
        <v>577</v>
      </c>
      <c r="D16" s="19" t="s">
        <v>593</v>
      </c>
      <c r="E16" s="20" t="s">
        <v>594</v>
      </c>
    </row>
    <row r="17" spans="1:5" ht="26.25" thickBot="1" x14ac:dyDescent="0.3">
      <c r="A17" s="16" t="s">
        <v>208</v>
      </c>
      <c r="B17" s="17" t="s">
        <v>209</v>
      </c>
      <c r="C17" s="18" t="s">
        <v>586</v>
      </c>
      <c r="D17" s="19" t="s">
        <v>578</v>
      </c>
      <c r="E17" s="20" t="s">
        <v>597</v>
      </c>
    </row>
    <row r="18" spans="1:5" ht="39" thickBot="1" x14ac:dyDescent="0.3">
      <c r="A18" s="16" t="s">
        <v>268</v>
      </c>
      <c r="B18" s="17" t="s">
        <v>269</v>
      </c>
      <c r="C18" s="18" t="s">
        <v>589</v>
      </c>
      <c r="D18" s="19" t="s">
        <v>578</v>
      </c>
      <c r="E18" s="20" t="s">
        <v>597</v>
      </c>
    </row>
    <row r="19" spans="1:5" ht="26.25" thickBot="1" x14ac:dyDescent="0.3">
      <c r="A19" s="16" t="s">
        <v>280</v>
      </c>
      <c r="B19" s="17" t="s">
        <v>598</v>
      </c>
      <c r="C19" s="18" t="s">
        <v>589</v>
      </c>
      <c r="D19" s="19" t="s">
        <v>582</v>
      </c>
      <c r="E19" s="20" t="s">
        <v>599</v>
      </c>
    </row>
    <row r="20" spans="1:5" ht="39" thickBot="1" x14ac:dyDescent="0.3">
      <c r="A20" s="16" t="s">
        <v>276</v>
      </c>
      <c r="B20" s="17" t="s">
        <v>600</v>
      </c>
      <c r="C20" s="18" t="s">
        <v>589</v>
      </c>
      <c r="D20" s="19" t="s">
        <v>582</v>
      </c>
      <c r="E20" s="20" t="s">
        <v>599</v>
      </c>
    </row>
    <row r="21" spans="1:5" ht="39" thickBot="1" x14ac:dyDescent="0.3">
      <c r="A21" s="16" t="s">
        <v>338</v>
      </c>
      <c r="B21" s="17" t="s">
        <v>339</v>
      </c>
      <c r="C21" s="18" t="s">
        <v>581</v>
      </c>
      <c r="D21" s="19" t="s">
        <v>582</v>
      </c>
      <c r="E21" s="20" t="s">
        <v>599</v>
      </c>
    </row>
    <row r="22" spans="1:5" ht="26.25" thickBot="1" x14ac:dyDescent="0.3">
      <c r="A22" s="16" t="s">
        <v>238</v>
      </c>
      <c r="B22" s="17" t="s">
        <v>239</v>
      </c>
      <c r="C22" s="18" t="s">
        <v>601</v>
      </c>
      <c r="D22" s="19" t="s">
        <v>602</v>
      </c>
      <c r="E22" s="20" t="s">
        <v>603</v>
      </c>
    </row>
    <row r="23" spans="1:5" ht="39" thickBot="1" x14ac:dyDescent="0.3">
      <c r="A23" s="16" t="s">
        <v>332</v>
      </c>
      <c r="B23" s="17" t="s">
        <v>333</v>
      </c>
      <c r="C23" s="18" t="s">
        <v>581</v>
      </c>
      <c r="D23" s="19" t="s">
        <v>602</v>
      </c>
      <c r="E23" s="20" t="s">
        <v>603</v>
      </c>
    </row>
    <row r="24" spans="1:5" ht="26.25" thickBot="1" x14ac:dyDescent="0.3">
      <c r="A24" s="16" t="s">
        <v>340</v>
      </c>
      <c r="B24" s="17" t="s">
        <v>341</v>
      </c>
      <c r="C24" s="18" t="s">
        <v>581</v>
      </c>
      <c r="D24" s="19" t="s">
        <v>602</v>
      </c>
      <c r="E24" s="20" t="s">
        <v>603</v>
      </c>
    </row>
    <row r="25" spans="1:5" ht="26.25" thickBot="1" x14ac:dyDescent="0.3">
      <c r="A25" s="16" t="s">
        <v>264</v>
      </c>
      <c r="B25" s="17" t="s">
        <v>265</v>
      </c>
      <c r="C25" s="18" t="s">
        <v>589</v>
      </c>
      <c r="D25" s="19" t="s">
        <v>602</v>
      </c>
      <c r="E25" s="20" t="s">
        <v>603</v>
      </c>
    </row>
    <row r="26" spans="1:5" ht="39" thickBot="1" x14ac:dyDescent="0.3">
      <c r="A26" s="16" t="s">
        <v>278</v>
      </c>
      <c r="B26" s="17" t="s">
        <v>279</v>
      </c>
      <c r="C26" s="18" t="s">
        <v>589</v>
      </c>
      <c r="D26" s="19" t="s">
        <v>602</v>
      </c>
      <c r="E26" s="20" t="s">
        <v>603</v>
      </c>
    </row>
    <row r="27" spans="1:5" ht="26.25" thickBot="1" x14ac:dyDescent="0.3">
      <c r="A27" s="16" t="s">
        <v>204</v>
      </c>
      <c r="B27" s="17" t="s">
        <v>205</v>
      </c>
      <c r="C27" s="18" t="s">
        <v>586</v>
      </c>
      <c r="D27" s="19" t="s">
        <v>604</v>
      </c>
      <c r="E27" s="20" t="s">
        <v>605</v>
      </c>
    </row>
    <row r="28" spans="1:5" ht="26.25" thickBot="1" x14ac:dyDescent="0.3">
      <c r="A28" s="16" t="s">
        <v>196</v>
      </c>
      <c r="B28" s="17" t="s">
        <v>606</v>
      </c>
      <c r="C28" s="18" t="s">
        <v>586</v>
      </c>
      <c r="D28" s="19" t="s">
        <v>604</v>
      </c>
      <c r="E28" s="20" t="s">
        <v>605</v>
      </c>
    </row>
    <row r="29" spans="1:5" ht="26.25" thickBot="1" x14ac:dyDescent="0.3">
      <c r="A29" s="16" t="s">
        <v>509</v>
      </c>
      <c r="B29" s="17" t="s">
        <v>510</v>
      </c>
      <c r="C29" s="18" t="s">
        <v>589</v>
      </c>
      <c r="D29" s="19" t="s">
        <v>604</v>
      </c>
      <c r="E29" s="20" t="s">
        <v>605</v>
      </c>
    </row>
    <row r="30" spans="1:5" ht="26.25" thickBot="1" x14ac:dyDescent="0.3">
      <c r="A30" s="16" t="s">
        <v>507</v>
      </c>
      <c r="B30" s="17" t="s">
        <v>508</v>
      </c>
      <c r="C30" s="18" t="s">
        <v>586</v>
      </c>
      <c r="D30" s="19" t="s">
        <v>604</v>
      </c>
      <c r="E30" s="20" t="s">
        <v>605</v>
      </c>
    </row>
    <row r="31" spans="1:5" ht="51.75" thickBot="1" x14ac:dyDescent="0.3">
      <c r="A31" s="16" t="s">
        <v>354</v>
      </c>
      <c r="B31" s="17" t="s">
        <v>355</v>
      </c>
      <c r="C31" s="18" t="s">
        <v>581</v>
      </c>
      <c r="D31" s="19" t="s">
        <v>607</v>
      </c>
      <c r="E31" s="20" t="s">
        <v>608</v>
      </c>
    </row>
    <row r="32" spans="1:5" ht="26.25" thickBot="1" x14ac:dyDescent="0.3">
      <c r="A32" s="16" t="s">
        <v>342</v>
      </c>
      <c r="B32" s="17" t="s">
        <v>343</v>
      </c>
      <c r="C32" s="18" t="s">
        <v>581</v>
      </c>
      <c r="D32" s="19" t="s">
        <v>609</v>
      </c>
      <c r="E32" s="20" t="s">
        <v>608</v>
      </c>
    </row>
    <row r="33" spans="1:5" ht="26.25" thickBot="1" x14ac:dyDescent="0.3">
      <c r="A33" s="16" t="s">
        <v>210</v>
      </c>
      <c r="B33" s="17" t="s">
        <v>211</v>
      </c>
      <c r="C33" s="18" t="s">
        <v>586</v>
      </c>
      <c r="D33" s="19" t="s">
        <v>610</v>
      </c>
      <c r="E33" s="20" t="s">
        <v>611</v>
      </c>
    </row>
    <row r="34" spans="1:5" ht="39" thickBot="1" x14ac:dyDescent="0.3">
      <c r="A34" s="16" t="s">
        <v>346</v>
      </c>
      <c r="B34" s="17" t="s">
        <v>347</v>
      </c>
      <c r="C34" s="18" t="s">
        <v>581</v>
      </c>
      <c r="D34" s="19" t="s">
        <v>610</v>
      </c>
      <c r="E34" s="20" t="s">
        <v>611</v>
      </c>
    </row>
    <row r="35" spans="1:5" ht="39" thickBot="1" x14ac:dyDescent="0.3">
      <c r="A35" s="16" t="s">
        <v>250</v>
      </c>
      <c r="B35" s="17" t="s">
        <v>251</v>
      </c>
      <c r="C35" s="18" t="s">
        <v>589</v>
      </c>
      <c r="D35" s="19" t="s">
        <v>610</v>
      </c>
      <c r="E35" s="20" t="s">
        <v>611</v>
      </c>
    </row>
    <row r="36" spans="1:5" ht="26.25" thickBot="1" x14ac:dyDescent="0.3">
      <c r="A36" s="16" t="s">
        <v>567</v>
      </c>
      <c r="B36" s="17" t="s">
        <v>568</v>
      </c>
      <c r="C36" s="18" t="s">
        <v>601</v>
      </c>
      <c r="D36" s="19" t="s">
        <v>610</v>
      </c>
      <c r="E36" s="20" t="s">
        <v>611</v>
      </c>
    </row>
    <row r="37" spans="1:5" ht="39" thickBot="1" x14ac:dyDescent="0.3">
      <c r="A37" s="16" t="s">
        <v>194</v>
      </c>
      <c r="B37" s="17" t="s">
        <v>195</v>
      </c>
      <c r="C37" s="18" t="s">
        <v>586</v>
      </c>
      <c r="D37" s="19" t="s">
        <v>584</v>
      </c>
      <c r="E37" s="20" t="s">
        <v>612</v>
      </c>
    </row>
    <row r="38" spans="1:5" ht="51.75" thickBot="1" x14ac:dyDescent="0.3">
      <c r="A38" s="16" t="s">
        <v>254</v>
      </c>
      <c r="B38" s="17" t="s">
        <v>255</v>
      </c>
      <c r="C38" s="18" t="s">
        <v>589</v>
      </c>
      <c r="D38" s="19" t="s">
        <v>584</v>
      </c>
      <c r="E38" s="20" t="s">
        <v>612</v>
      </c>
    </row>
    <row r="39" spans="1:5" ht="26.25" thickBot="1" x14ac:dyDescent="0.3">
      <c r="A39" s="16" t="s">
        <v>565</v>
      </c>
      <c r="B39" s="17" t="s">
        <v>566</v>
      </c>
      <c r="C39" s="18" t="s">
        <v>601</v>
      </c>
      <c r="D39" s="19" t="s">
        <v>595</v>
      </c>
      <c r="E39" s="20" t="s">
        <v>613</v>
      </c>
    </row>
    <row r="40" spans="1:5" ht="39" thickBot="1" x14ac:dyDescent="0.3">
      <c r="A40" s="16" t="s">
        <v>240</v>
      </c>
      <c r="B40" s="17" t="s">
        <v>241</v>
      </c>
      <c r="C40" s="18" t="s">
        <v>601</v>
      </c>
      <c r="D40" s="19" t="s">
        <v>595</v>
      </c>
      <c r="E40" s="20" t="s">
        <v>613</v>
      </c>
    </row>
    <row r="41" spans="1:5" ht="26.25" thickBot="1" x14ac:dyDescent="0.3">
      <c r="A41" s="16" t="s">
        <v>270</v>
      </c>
      <c r="B41" s="17" t="s">
        <v>271</v>
      </c>
      <c r="C41" s="18" t="s">
        <v>589</v>
      </c>
      <c r="D41" s="19" t="s">
        <v>595</v>
      </c>
      <c r="E41" s="20" t="s">
        <v>613</v>
      </c>
    </row>
    <row r="42" spans="1:5" ht="51.75" thickBot="1" x14ac:dyDescent="0.3">
      <c r="A42" s="16" t="s">
        <v>234</v>
      </c>
      <c r="B42" s="17" t="s">
        <v>235</v>
      </c>
      <c r="C42" s="18" t="s">
        <v>601</v>
      </c>
      <c r="D42" s="19" t="s">
        <v>593</v>
      </c>
      <c r="E42" s="20" t="s">
        <v>614</v>
      </c>
    </row>
    <row r="43" spans="1:5" ht="39" thickBot="1" x14ac:dyDescent="0.3">
      <c r="A43" s="16" t="s">
        <v>569</v>
      </c>
      <c r="B43" s="17" t="s">
        <v>570</v>
      </c>
      <c r="C43" s="18" t="s">
        <v>601</v>
      </c>
      <c r="D43" s="19" t="s">
        <v>593</v>
      </c>
      <c r="E43" s="20" t="s">
        <v>614</v>
      </c>
    </row>
    <row r="44" spans="1:5" ht="39" thickBot="1" x14ac:dyDescent="0.3">
      <c r="A44" s="16" t="s">
        <v>487</v>
      </c>
      <c r="B44" s="17" t="s">
        <v>488</v>
      </c>
      <c r="C44" s="18" t="s">
        <v>581</v>
      </c>
      <c r="D44" s="19" t="s">
        <v>593</v>
      </c>
      <c r="E44" s="20" t="s">
        <v>614</v>
      </c>
    </row>
    <row r="45" spans="1:5" ht="51.75" thickBot="1" x14ac:dyDescent="0.3">
      <c r="A45" s="16" t="s">
        <v>230</v>
      </c>
      <c r="B45" s="17" t="s">
        <v>231</v>
      </c>
      <c r="C45" s="18" t="s">
        <v>601</v>
      </c>
      <c r="D45" s="19" t="s">
        <v>593</v>
      </c>
      <c r="E45" s="20" t="s">
        <v>614</v>
      </c>
    </row>
    <row r="46" spans="1:5" ht="51.75" thickBot="1" x14ac:dyDescent="0.3">
      <c r="A46" s="16" t="s">
        <v>242</v>
      </c>
      <c r="B46" s="17" t="s">
        <v>243</v>
      </c>
      <c r="C46" s="18" t="s">
        <v>601</v>
      </c>
      <c r="D46" s="19" t="s">
        <v>615</v>
      </c>
      <c r="E46" s="21" t="s">
        <v>616</v>
      </c>
    </row>
    <row r="47" spans="1:5" ht="26.25" thickBot="1" x14ac:dyDescent="0.3">
      <c r="A47" s="16" t="s">
        <v>617</v>
      </c>
      <c r="B47" s="17" t="s">
        <v>618</v>
      </c>
      <c r="C47" s="18" t="s">
        <v>589</v>
      </c>
      <c r="D47" s="19" t="s">
        <v>619</v>
      </c>
      <c r="E47" s="21" t="s">
        <v>616</v>
      </c>
    </row>
    <row r="48" spans="1:5" ht="26.25" thickBot="1" x14ac:dyDescent="0.3">
      <c r="A48" s="16" t="s">
        <v>620</v>
      </c>
      <c r="B48" s="17" t="s">
        <v>621</v>
      </c>
      <c r="C48" s="18" t="s">
        <v>586</v>
      </c>
      <c r="D48" s="19" t="s">
        <v>619</v>
      </c>
      <c r="E48" s="21" t="s">
        <v>616</v>
      </c>
    </row>
    <row r="49" spans="1:5" ht="39" thickBot="1" x14ac:dyDescent="0.3">
      <c r="A49" s="16" t="s">
        <v>622</v>
      </c>
      <c r="B49" s="17" t="s">
        <v>623</v>
      </c>
      <c r="C49" s="18" t="s">
        <v>589</v>
      </c>
      <c r="D49" s="19" t="s">
        <v>619</v>
      </c>
      <c r="E49" s="21" t="s">
        <v>616</v>
      </c>
    </row>
    <row r="50" spans="1:5" ht="26.25" thickBot="1" x14ac:dyDescent="0.3">
      <c r="A50" s="16" t="s">
        <v>188</v>
      </c>
      <c r="B50" s="17" t="s">
        <v>189</v>
      </c>
      <c r="C50" s="18" t="s">
        <v>586</v>
      </c>
      <c r="D50" s="19" t="s">
        <v>624</v>
      </c>
      <c r="E50" s="21" t="s">
        <v>616</v>
      </c>
    </row>
    <row r="51" spans="1:5" ht="26.25" thickBot="1" x14ac:dyDescent="0.3">
      <c r="A51" s="16" t="s">
        <v>352</v>
      </c>
      <c r="B51" s="17" t="s">
        <v>625</v>
      </c>
      <c r="C51" s="18" t="s">
        <v>581</v>
      </c>
      <c r="D51" s="19" t="s">
        <v>624</v>
      </c>
      <c r="E51" s="21" t="s">
        <v>616</v>
      </c>
    </row>
    <row r="52" spans="1:5" ht="26.25" thickBot="1" x14ac:dyDescent="0.3">
      <c r="A52" s="16">
        <v>1588</v>
      </c>
      <c r="B52" s="17" t="s">
        <v>626</v>
      </c>
      <c r="C52" s="18">
        <v>15</v>
      </c>
      <c r="D52" s="19" t="s">
        <v>619</v>
      </c>
      <c r="E52" s="21" t="s">
        <v>616</v>
      </c>
    </row>
    <row r="53" spans="1:5" ht="39" thickBot="1" x14ac:dyDescent="0.3">
      <c r="A53" s="16" t="s">
        <v>627</v>
      </c>
      <c r="B53" s="17" t="s">
        <v>628</v>
      </c>
      <c r="C53" s="18" t="s">
        <v>581</v>
      </c>
      <c r="D53" s="19" t="s">
        <v>619</v>
      </c>
      <c r="E53" s="21" t="s">
        <v>616</v>
      </c>
    </row>
    <row r="54" spans="1:5" ht="51.75" thickBot="1" x14ac:dyDescent="0.3">
      <c r="A54" s="16" t="s">
        <v>334</v>
      </c>
      <c r="B54" s="17" t="s">
        <v>335</v>
      </c>
      <c r="C54" s="18" t="s">
        <v>581</v>
      </c>
      <c r="D54" s="19" t="s">
        <v>629</v>
      </c>
      <c r="E54" s="21" t="s">
        <v>616</v>
      </c>
    </row>
    <row r="55" spans="1:5" ht="39" thickBot="1" x14ac:dyDescent="0.3">
      <c r="A55" s="16" t="s">
        <v>630</v>
      </c>
      <c r="B55" s="17" t="s">
        <v>631</v>
      </c>
      <c r="C55" s="18" t="s">
        <v>577</v>
      </c>
      <c r="D55" s="19" t="s">
        <v>619</v>
      </c>
      <c r="E55" s="21" t="s">
        <v>616</v>
      </c>
    </row>
    <row r="56" spans="1:5" ht="26.25" thickBot="1" x14ac:dyDescent="0.3">
      <c r="A56" s="16" t="s">
        <v>632</v>
      </c>
      <c r="B56" s="17" t="s">
        <v>633</v>
      </c>
      <c r="C56" s="18" t="s">
        <v>586</v>
      </c>
      <c r="D56" s="19" t="s">
        <v>619</v>
      </c>
      <c r="E56" s="21" t="s">
        <v>616</v>
      </c>
    </row>
    <row r="57" spans="1:5" ht="39" thickBot="1" x14ac:dyDescent="0.3">
      <c r="A57" s="16" t="s">
        <v>634</v>
      </c>
      <c r="B57" s="17" t="s">
        <v>635</v>
      </c>
      <c r="C57" s="18" t="s">
        <v>586</v>
      </c>
      <c r="D57" s="19" t="s">
        <v>619</v>
      </c>
      <c r="E57" s="21" t="s">
        <v>616</v>
      </c>
    </row>
    <row r="58" spans="1:5" ht="26.25" thickBot="1" x14ac:dyDescent="0.3">
      <c r="A58" s="16" t="s">
        <v>256</v>
      </c>
      <c r="B58" s="17" t="s">
        <v>257</v>
      </c>
      <c r="C58" s="18" t="s">
        <v>589</v>
      </c>
      <c r="D58" s="19" t="s">
        <v>619</v>
      </c>
      <c r="E58" s="21" t="s">
        <v>616</v>
      </c>
    </row>
    <row r="59" spans="1:5" ht="39" thickBot="1" x14ac:dyDescent="0.3">
      <c r="A59" s="16" t="s">
        <v>636</v>
      </c>
      <c r="B59" s="17" t="s">
        <v>637</v>
      </c>
      <c r="C59" s="18" t="s">
        <v>577</v>
      </c>
      <c r="D59" s="19" t="s">
        <v>619</v>
      </c>
      <c r="E59" s="21" t="s">
        <v>616</v>
      </c>
    </row>
    <row r="60" spans="1:5" ht="39" thickBot="1" x14ac:dyDescent="0.3">
      <c r="A60" s="16" t="s">
        <v>184</v>
      </c>
      <c r="B60" s="17" t="s">
        <v>185</v>
      </c>
      <c r="C60" s="18" t="s">
        <v>586</v>
      </c>
      <c r="D60" s="19" t="s">
        <v>638</v>
      </c>
      <c r="E60" s="21" t="s">
        <v>616</v>
      </c>
    </row>
    <row r="61" spans="1:5" ht="39" thickBot="1" x14ac:dyDescent="0.3">
      <c r="A61" s="16" t="s">
        <v>186</v>
      </c>
      <c r="B61" s="17" t="s">
        <v>187</v>
      </c>
      <c r="C61" s="18" t="s">
        <v>586</v>
      </c>
      <c r="D61" s="19" t="s">
        <v>639</v>
      </c>
      <c r="E61" s="21" t="s">
        <v>616</v>
      </c>
    </row>
    <row r="62" spans="1:5" ht="39" thickBot="1" x14ac:dyDescent="0.3">
      <c r="A62" s="16" t="s">
        <v>182</v>
      </c>
      <c r="B62" s="17" t="s">
        <v>183</v>
      </c>
      <c r="C62" s="18" t="s">
        <v>586</v>
      </c>
      <c r="D62" s="19" t="s">
        <v>640</v>
      </c>
      <c r="E62" s="21" t="s">
        <v>616</v>
      </c>
    </row>
    <row r="63" spans="1:5" ht="51.75" thickBot="1" x14ac:dyDescent="0.3">
      <c r="A63" s="16" t="s">
        <v>328</v>
      </c>
      <c r="B63" s="17" t="s">
        <v>641</v>
      </c>
      <c r="C63" s="18" t="s">
        <v>577</v>
      </c>
      <c r="D63" s="19" t="s">
        <v>619</v>
      </c>
      <c r="E63" s="21" t="s">
        <v>616</v>
      </c>
    </row>
    <row r="64" spans="1:5" ht="26.25" thickBot="1" x14ac:dyDescent="0.3">
      <c r="A64" s="16" t="s">
        <v>642</v>
      </c>
      <c r="B64" s="17" t="s">
        <v>643</v>
      </c>
      <c r="C64" s="18" t="s">
        <v>581</v>
      </c>
      <c r="D64" s="19" t="s">
        <v>619</v>
      </c>
      <c r="E64" s="21" t="s">
        <v>616</v>
      </c>
    </row>
    <row r="65" spans="1:5" ht="26.25" thickBot="1" x14ac:dyDescent="0.3">
      <c r="A65" s="16" t="s">
        <v>644</v>
      </c>
      <c r="B65" s="17" t="s">
        <v>645</v>
      </c>
      <c r="C65" s="18" t="s">
        <v>586</v>
      </c>
      <c r="D65" s="19" t="s">
        <v>619</v>
      </c>
      <c r="E65" s="21" t="s">
        <v>616</v>
      </c>
    </row>
    <row r="66" spans="1:5" ht="26.25" thickBot="1" x14ac:dyDescent="0.3">
      <c r="A66" s="16" t="s">
        <v>646</v>
      </c>
      <c r="B66" s="17" t="s">
        <v>647</v>
      </c>
      <c r="C66" s="18" t="s">
        <v>648</v>
      </c>
      <c r="D66" s="19" t="s">
        <v>619</v>
      </c>
      <c r="E66" s="21" t="s">
        <v>616</v>
      </c>
    </row>
    <row r="67" spans="1:5" ht="26.25" thickBot="1" x14ac:dyDescent="0.3">
      <c r="A67" s="16" t="s">
        <v>274</v>
      </c>
      <c r="B67" s="17" t="s">
        <v>275</v>
      </c>
      <c r="C67" s="18" t="s">
        <v>589</v>
      </c>
      <c r="D67" s="19" t="s">
        <v>619</v>
      </c>
      <c r="E67" s="21" t="s">
        <v>616</v>
      </c>
    </row>
    <row r="68" spans="1:5" ht="39" thickBot="1" x14ac:dyDescent="0.3">
      <c r="A68" s="16" t="s">
        <v>649</v>
      </c>
      <c r="B68" s="17" t="s">
        <v>650</v>
      </c>
      <c r="C68" s="18" t="s">
        <v>586</v>
      </c>
      <c r="D68" s="19" t="s">
        <v>619</v>
      </c>
      <c r="E68" s="21" t="s">
        <v>616</v>
      </c>
    </row>
    <row r="69" spans="1:5" ht="26.25" thickBot="1" x14ac:dyDescent="0.3">
      <c r="A69" s="16" t="s">
        <v>190</v>
      </c>
      <c r="B69" s="17" t="s">
        <v>651</v>
      </c>
      <c r="C69" s="18" t="s">
        <v>586</v>
      </c>
      <c r="D69" s="19" t="s">
        <v>629</v>
      </c>
      <c r="E69" s="21" t="s">
        <v>616</v>
      </c>
    </row>
    <row r="70" spans="1:5" ht="26.25" thickBot="1" x14ac:dyDescent="0.3">
      <c r="A70" s="16" t="s">
        <v>652</v>
      </c>
      <c r="B70" s="17" t="s">
        <v>653</v>
      </c>
      <c r="C70" s="18" t="s">
        <v>577</v>
      </c>
      <c r="D70" s="19" t="s">
        <v>619</v>
      </c>
      <c r="E7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Total</vt:lpstr>
      <vt:lpstr>F1</vt:lpstr>
      <vt:lpstr>f5</vt:lpstr>
      <vt:lpstr>comp .mer</vt:lpstr>
      <vt:lpstr>Feuil2</vt:lpstr>
      <vt:lpstr>'F1'!Impression_des_titres</vt:lpstr>
      <vt:lpstr>'f5'!Impression_des_titres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HAMZA ALLAOUI</cp:lastModifiedBy>
  <cp:lastPrinted>2026-04-25T15:26:48Z</cp:lastPrinted>
  <dcterms:created xsi:type="dcterms:W3CDTF">2015-06-05T18:19:34Z</dcterms:created>
  <dcterms:modified xsi:type="dcterms:W3CDTF">2026-04-26T12:24:11Z</dcterms:modified>
</cp:coreProperties>
</file>