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omarmaaouni/Desktop/berrygood-dashboard/"/>
    </mc:Choice>
  </mc:AlternateContent>
  <xr:revisionPtr revIDLastSave="0" documentId="8_{57AFC592-FE66-0B4A-A43C-8BF596C5BBAE}" xr6:coauthVersionLast="47" xr6:coauthVersionMax="47" xr10:uidLastSave="{00000000-0000-0000-0000-000000000000}"/>
  <bookViews>
    <workbookView xWindow="0" yWindow="760" windowWidth="29400" windowHeight="18360" activeTab="4" xr2:uid="{00000000-000D-0000-FFFF-FFFF00000000}"/>
  </bookViews>
  <sheets>
    <sheet name="MARAVILLA GREEN CANE" sheetId="1" r:id="rId1"/>
    <sheet name="MARAVILLA LONG CANE" sheetId="2" r:id="rId2"/>
    <sheet name="YASMIN CUT BACK" sheetId="3" r:id="rId3"/>
    <sheet name="CORINA" sheetId="4" r:id="rId4"/>
    <sheet name="BREEZE" sheetId="5" r:id="rId5"/>
    <sheet name="CASCA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C19" i="5" s="1"/>
  <c r="C17" i="5"/>
  <c r="C16" i="5"/>
  <c r="C15" i="5"/>
  <c r="C14" i="5"/>
  <c r="C13" i="5"/>
  <c r="C12" i="5"/>
  <c r="C11" i="5"/>
  <c r="C9" i="5"/>
  <c r="C8" i="5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B2" i="6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E19" i="2"/>
  <c r="E18" i="2"/>
  <c r="E17" i="2"/>
  <c r="E16" i="2"/>
  <c r="E15" i="2"/>
  <c r="E14" i="2"/>
  <c r="E13" i="2"/>
  <c r="E12" i="2"/>
  <c r="E11" i="2"/>
  <c r="E10" i="2"/>
  <c r="E9" i="2"/>
  <c r="E17" i="1"/>
  <c r="E16" i="1"/>
  <c r="E15" i="1"/>
  <c r="E14" i="1"/>
  <c r="E13" i="1"/>
  <c r="E12" i="1"/>
  <c r="E11" i="1"/>
  <c r="E10" i="1"/>
  <c r="E9" i="1"/>
  <c r="C10" i="5" l="1"/>
  <c r="C18" i="5"/>
</calcChain>
</file>

<file path=xl/sharedStrings.xml><?xml version="1.0" encoding="utf-8"?>
<sst xmlns="http://schemas.openxmlformats.org/spreadsheetml/2006/main" count="29" uniqueCount="10">
  <si>
    <t>BGF</t>
  </si>
  <si>
    <t>MARAVILLA GREEN CANE</t>
  </si>
  <si>
    <t xml:space="preserve">WEEK </t>
  </si>
  <si>
    <t>Répartition</t>
  </si>
  <si>
    <t>OBJECTIF BGF (Kg par Ha)</t>
  </si>
  <si>
    <t>Budget BGF (T par Ha)</t>
  </si>
  <si>
    <t>YASMIN CUT BACK</t>
  </si>
  <si>
    <t>CORINA</t>
  </si>
  <si>
    <t>BREEZE</t>
  </si>
  <si>
    <t>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</si>
</sst>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164" fontId="0" fillId="0" borderId="0" xfId="1" applyNumberFormat="1" applyFont="1"/>
    <xf numFmtId="3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18"/>
  <sheetViews>
    <sheetView topLeftCell="A3" zoomScale="136" workbookViewId="0">
      <selection activeCell="C21" sqref="C21"/>
    </sheetView>
  </sheetViews>
  <sheetFormatPr baseColWidth="10" defaultRowHeight="16" x14ac:dyDescent="0.2"/>
  <cols>
    <col min="5" max="5" width="20.33203125" customWidth="1"/>
  </cols>
  <sheetData>
    <row r="4" spans="3:5" x14ac:dyDescent="0.2">
      <c r="C4" t="s">
        <v>0</v>
      </c>
      <c r="D4">
        <v>13000</v>
      </c>
    </row>
    <row r="6" spans="3:5" x14ac:dyDescent="0.2">
      <c r="C6" t="s">
        <v>1</v>
      </c>
    </row>
    <row r="8" spans="3:5" x14ac:dyDescent="0.2">
      <c r="C8" t="s">
        <v>2</v>
      </c>
      <c r="D8" t="s">
        <v>3</v>
      </c>
      <c r="E8" t="s">
        <v>4</v>
      </c>
    </row>
    <row r="9" spans="3:5" x14ac:dyDescent="0.2">
      <c r="C9">
        <v>12</v>
      </c>
      <c r="D9">
        <v>0.11288783281070448</v>
      </c>
      <c r="E9">
        <f>D9*$D$4</f>
        <v>1467.5418265391584</v>
      </c>
    </row>
    <row r="10" spans="3:5" x14ac:dyDescent="0.2">
      <c r="C10">
        <v>13</v>
      </c>
      <c r="D10">
        <v>0.14220049471203475</v>
      </c>
      <c r="E10">
        <f t="shared" ref="E10:E17" si="0">D10*$D$4</f>
        <v>1848.6064312564517</v>
      </c>
    </row>
    <row r="11" spans="3:5" x14ac:dyDescent="0.2">
      <c r="C11">
        <v>14</v>
      </c>
      <c r="D11">
        <v>0.17051983717351929</v>
      </c>
      <c r="E11">
        <f t="shared" si="0"/>
        <v>2216.7578832557506</v>
      </c>
    </row>
    <row r="12" spans="3:5" x14ac:dyDescent="0.2">
      <c r="C12">
        <v>15</v>
      </c>
      <c r="D12">
        <v>0.19272344818183587</v>
      </c>
      <c r="E12">
        <f t="shared" si="0"/>
        <v>2505.4048263638665</v>
      </c>
    </row>
    <row r="13" spans="3:5" x14ac:dyDescent="0.2">
      <c r="C13">
        <v>16</v>
      </c>
      <c r="D13">
        <v>0.17359717975186489</v>
      </c>
      <c r="E13">
        <f t="shared" si="0"/>
        <v>2256.7633367742437</v>
      </c>
    </row>
    <row r="14" spans="3:5" x14ac:dyDescent="0.2">
      <c r="C14">
        <v>17</v>
      </c>
      <c r="D14">
        <v>0.11487447169039597</v>
      </c>
      <c r="E14">
        <f t="shared" si="0"/>
        <v>1493.3681319751477</v>
      </c>
    </row>
    <row r="15" spans="3:5" x14ac:dyDescent="0.2">
      <c r="C15">
        <v>18</v>
      </c>
      <c r="D15">
        <v>6.7311999688370372E-2</v>
      </c>
      <c r="E15">
        <f t="shared" si="0"/>
        <v>875.05599594881483</v>
      </c>
    </row>
    <row r="16" spans="3:5" x14ac:dyDescent="0.2">
      <c r="C16">
        <v>19</v>
      </c>
      <c r="D16">
        <v>2.4852462847905266E-2</v>
      </c>
      <c r="E16">
        <f t="shared" si="0"/>
        <v>323.08201702276847</v>
      </c>
    </row>
    <row r="17" spans="3:5" x14ac:dyDescent="0.2">
      <c r="C17">
        <v>20</v>
      </c>
      <c r="D17">
        <v>1.0322731433691059E-3</v>
      </c>
      <c r="E17">
        <f t="shared" si="0"/>
        <v>13.419550863798376</v>
      </c>
    </row>
    <row r="18" spans="3:5" x14ac:dyDescent="0.2">
      <c r="C18">
        <v>21</v>
      </c>
    </row>
  </sheetData>
  <pageMargins left="0.7" right="0.7" top="0.75" bottom="0.75" header="0.3" footer="0.3"/>
  <ignoredErrors>
    <ignoredError sqref="C3:E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E19"/>
  <sheetViews>
    <sheetView workbookViewId="0">
      <selection activeCell="D22" sqref="D22"/>
    </sheetView>
  </sheetViews>
  <sheetFormatPr baseColWidth="10" defaultRowHeight="16" x14ac:dyDescent="0.2"/>
  <cols>
    <col min="5" max="5" width="16.33203125" customWidth="1"/>
  </cols>
  <sheetData>
    <row r="6" spans="3:5" x14ac:dyDescent="0.2">
      <c r="C6" t="s">
        <v>0</v>
      </c>
      <c r="D6">
        <v>18000</v>
      </c>
    </row>
    <row r="8" spans="3:5" x14ac:dyDescent="0.2">
      <c r="C8" t="s">
        <v>2</v>
      </c>
      <c r="D8" t="s">
        <v>3</v>
      </c>
      <c r="E8" t="s">
        <v>5</v>
      </c>
    </row>
    <row r="9" spans="3:5" x14ac:dyDescent="0.2">
      <c r="C9">
        <v>14</v>
      </c>
      <c r="D9">
        <v>6.8327443879122006E-3</v>
      </c>
      <c r="E9">
        <f>D9*$D$6</f>
        <v>122.98939898241962</v>
      </c>
    </row>
    <row r="10" spans="3:5" x14ac:dyDescent="0.2">
      <c r="C10">
        <v>15</v>
      </c>
      <c r="D10">
        <v>2.2492338822011407E-2</v>
      </c>
      <c r="E10">
        <f t="shared" ref="E10:E19" si="0">D10*$D$6</f>
        <v>404.86209879620532</v>
      </c>
    </row>
    <row r="11" spans="3:5" x14ac:dyDescent="0.2">
      <c r="C11">
        <v>16</v>
      </c>
      <c r="D11">
        <v>6.3151566692570493E-2</v>
      </c>
      <c r="E11">
        <f t="shared" si="0"/>
        <v>1136.7282004662688</v>
      </c>
    </row>
    <row r="12" spans="3:5" x14ac:dyDescent="0.2">
      <c r="C12">
        <v>17</v>
      </c>
      <c r="D12">
        <v>9.2461987360889134E-2</v>
      </c>
      <c r="E12">
        <f t="shared" si="0"/>
        <v>1664.3157724960045</v>
      </c>
    </row>
    <row r="13" spans="3:5" x14ac:dyDescent="0.2">
      <c r="C13">
        <v>18</v>
      </c>
      <c r="D13">
        <v>0.16423512851717717</v>
      </c>
      <c r="E13">
        <f t="shared" si="0"/>
        <v>2956.2323133091891</v>
      </c>
    </row>
    <row r="14" spans="3:5" x14ac:dyDescent="0.2">
      <c r="C14">
        <v>19</v>
      </c>
      <c r="D14">
        <v>0.19646339496488321</v>
      </c>
      <c r="E14">
        <f t="shared" si="0"/>
        <v>3536.3411093678978</v>
      </c>
    </row>
    <row r="15" spans="3:5" x14ac:dyDescent="0.2">
      <c r="C15">
        <v>20</v>
      </c>
      <c r="D15">
        <v>0.19756308558525534</v>
      </c>
      <c r="E15">
        <f t="shared" si="0"/>
        <v>3556.1355405345962</v>
      </c>
    </row>
    <row r="16" spans="3:5" x14ac:dyDescent="0.2">
      <c r="C16">
        <v>21</v>
      </c>
      <c r="D16">
        <v>0.14295978064837758</v>
      </c>
      <c r="E16">
        <f t="shared" si="0"/>
        <v>2573.2760516707963</v>
      </c>
    </row>
    <row r="17" spans="3:5" x14ac:dyDescent="0.2">
      <c r="C17">
        <v>22</v>
      </c>
      <c r="D17">
        <v>7.3386020732833832E-2</v>
      </c>
      <c r="E17">
        <f t="shared" si="0"/>
        <v>1320.9483731910091</v>
      </c>
    </row>
    <row r="18" spans="3:5" x14ac:dyDescent="0.2">
      <c r="C18">
        <v>23</v>
      </c>
      <c r="D18">
        <v>3.1113913285728947E-2</v>
      </c>
      <c r="E18">
        <f t="shared" si="0"/>
        <v>560.05043914312103</v>
      </c>
    </row>
    <row r="19" spans="3:5" x14ac:dyDescent="0.2">
      <c r="C19">
        <v>24</v>
      </c>
      <c r="D19">
        <v>9.3400390023606686E-3</v>
      </c>
      <c r="E19">
        <f t="shared" si="0"/>
        <v>168.12070204249204</v>
      </c>
    </row>
  </sheetData>
  <pageMargins left="0.7" right="0.7" top="0.75" bottom="0.75" header="0.3" footer="0.3"/>
  <ignoredErrors>
    <ignoredError sqref="B6:G8 B20:G38 B9:D9 F9:G9 B10:D19 F10:G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8"/>
  <sheetViews>
    <sheetView topLeftCell="A2" zoomScale="125" workbookViewId="0">
      <selection activeCell="I11" sqref="I11"/>
    </sheetView>
  </sheetViews>
  <sheetFormatPr baseColWidth="10" defaultRowHeight="16" x14ac:dyDescent="0.2"/>
  <cols>
    <col min="1" max="1" width="10.83203125" customWidth="1"/>
    <col min="2" max="2" width="18.83203125" customWidth="1"/>
    <col min="3" max="3" width="25.83203125" customWidth="1"/>
  </cols>
  <sheetData>
    <row r="2" spans="1:3" x14ac:dyDescent="0.2">
      <c r="A2" t="s">
        <v>0</v>
      </c>
      <c r="B2">
        <v>10000</v>
      </c>
    </row>
    <row r="4" spans="1:3" x14ac:dyDescent="0.2">
      <c r="A4" t="s">
        <v>6</v>
      </c>
    </row>
    <row r="6" spans="1:3" x14ac:dyDescent="0.2">
      <c r="A6" t="s">
        <v>2</v>
      </c>
      <c r="B6" t="s">
        <v>3</v>
      </c>
      <c r="C6" t="s">
        <v>4</v>
      </c>
    </row>
    <row r="7" spans="1:3" x14ac:dyDescent="0.2">
      <c r="A7">
        <v>12</v>
      </c>
      <c r="B7">
        <v>0</v>
      </c>
      <c r="C7">
        <f>B7*$B$2</f>
        <v>0</v>
      </c>
    </row>
    <row r="8" spans="1:3" x14ac:dyDescent="0.2">
      <c r="A8">
        <v>13</v>
      </c>
      <c r="B8">
        <v>0</v>
      </c>
      <c r="C8">
        <f t="shared" ref="C8:C19" si="0">B8*$B$2</f>
        <v>0</v>
      </c>
    </row>
    <row r="9" spans="1:3" x14ac:dyDescent="0.2">
      <c r="A9">
        <v>14</v>
      </c>
      <c r="B9" s="3">
        <v>2.0069980854294581E-2</v>
      </c>
      <c r="C9">
        <f t="shared" si="0"/>
        <v>200.69980854294582</v>
      </c>
    </row>
    <row r="10" spans="1:3" x14ac:dyDescent="0.2">
      <c r="A10">
        <v>15</v>
      </c>
      <c r="B10" s="3">
        <v>4.4233181488083452E-2</v>
      </c>
      <c r="C10">
        <f t="shared" si="0"/>
        <v>442.33181488083454</v>
      </c>
    </row>
    <row r="11" spans="1:3" x14ac:dyDescent="0.2">
      <c r="A11">
        <v>16</v>
      </c>
      <c r="B11" s="3">
        <v>6.9056578860500428E-2</v>
      </c>
      <c r="C11">
        <f t="shared" si="0"/>
        <v>690.56578860500429</v>
      </c>
    </row>
    <row r="12" spans="1:3" x14ac:dyDescent="0.2">
      <c r="A12">
        <v>17</v>
      </c>
      <c r="B12" s="3">
        <v>0.11078101274179705</v>
      </c>
      <c r="C12">
        <f t="shared" si="0"/>
        <v>1107.8101274179705</v>
      </c>
    </row>
    <row r="13" spans="1:3" x14ac:dyDescent="0.2">
      <c r="A13">
        <v>18</v>
      </c>
      <c r="B13" s="3">
        <v>0.13428401663695783</v>
      </c>
      <c r="C13">
        <f t="shared" si="0"/>
        <v>1342.8401663695784</v>
      </c>
    </row>
    <row r="14" spans="1:3" x14ac:dyDescent="0.2">
      <c r="A14">
        <v>19</v>
      </c>
      <c r="B14" s="3">
        <v>0.15930547303096323</v>
      </c>
      <c r="C14">
        <f t="shared" si="0"/>
        <v>1593.0547303096323</v>
      </c>
    </row>
    <row r="15" spans="1:3" x14ac:dyDescent="0.2">
      <c r="A15">
        <v>20</v>
      </c>
      <c r="B15" s="3">
        <v>0.1519772892321912</v>
      </c>
      <c r="C15">
        <f t="shared" si="0"/>
        <v>1519.772892321912</v>
      </c>
    </row>
    <row r="16" spans="1:3" x14ac:dyDescent="0.2">
      <c r="A16">
        <v>21</v>
      </c>
      <c r="B16" s="3">
        <v>0.13177526903017098</v>
      </c>
      <c r="C16">
        <f t="shared" si="0"/>
        <v>1317.7526903017097</v>
      </c>
    </row>
    <row r="17" spans="1:3" x14ac:dyDescent="0.2">
      <c r="A17">
        <v>22</v>
      </c>
      <c r="B17" s="3">
        <v>9.2031425364758696E-2</v>
      </c>
      <c r="C17">
        <f t="shared" si="0"/>
        <v>920.31425364758695</v>
      </c>
    </row>
    <row r="18" spans="1:3" x14ac:dyDescent="0.2">
      <c r="A18">
        <v>23</v>
      </c>
      <c r="B18" s="3">
        <v>5.3343896481151384E-2</v>
      </c>
      <c r="C18">
        <f t="shared" si="0"/>
        <v>533.43896481151387</v>
      </c>
    </row>
    <row r="19" spans="1:3" x14ac:dyDescent="0.2">
      <c r="A19">
        <v>24</v>
      </c>
      <c r="B19" s="3">
        <v>3.3141876279131184E-2</v>
      </c>
      <c r="C19">
        <f t="shared" si="0"/>
        <v>331.41876279131185</v>
      </c>
    </row>
    <row r="28" spans="1:3" x14ac:dyDescent="0.2">
      <c r="B28" s="1"/>
      <c r="C28" s="2"/>
    </row>
    <row r="29" spans="1:3" x14ac:dyDescent="0.2">
      <c r="B29" s="1"/>
      <c r="C29" s="2"/>
    </row>
    <row r="30" spans="1:3" x14ac:dyDescent="0.2">
      <c r="B30" s="1"/>
      <c r="C30" s="2"/>
    </row>
    <row r="31" spans="1:3" x14ac:dyDescent="0.2">
      <c r="B31" s="1"/>
      <c r="C31" s="2"/>
    </row>
    <row r="32" spans="1:3" x14ac:dyDescent="0.2">
      <c r="B32" s="1"/>
      <c r="C32" s="2"/>
    </row>
    <row r="33" spans="2:3" x14ac:dyDescent="0.2">
      <c r="B33" s="1"/>
      <c r="C33" s="2"/>
    </row>
    <row r="34" spans="2:3" x14ac:dyDescent="0.2">
      <c r="B34" s="1"/>
      <c r="C34" s="2"/>
    </row>
    <row r="35" spans="2:3" x14ac:dyDescent="0.2">
      <c r="B35" s="1"/>
      <c r="C35" s="2"/>
    </row>
    <row r="36" spans="2:3" x14ac:dyDescent="0.2">
      <c r="B36" s="1"/>
      <c r="C36" s="2"/>
    </row>
    <row r="37" spans="2:3" x14ac:dyDescent="0.2">
      <c r="B37" s="1"/>
      <c r="C37" s="2"/>
    </row>
    <row r="38" spans="2:3" x14ac:dyDescent="0.2">
      <c r="B38" s="1"/>
      <c r="C38" s="2"/>
    </row>
  </sheetData>
  <pageMargins left="0.7" right="0.7" top="0.75" bottom="0.75" header="0.3" footer="0.3"/>
  <ignoredErrors>
    <ignoredError sqref="A3:C6 A9:A19 A2 C2 A8:B8 A7:B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22"/>
  <sheetViews>
    <sheetView zoomScale="142" workbookViewId="0">
      <selection activeCell="B2" sqref="B2"/>
    </sheetView>
  </sheetViews>
  <sheetFormatPr baseColWidth="10" defaultRowHeight="16" x14ac:dyDescent="0.2"/>
  <cols>
    <col min="1" max="1" width="10.83203125" customWidth="1"/>
    <col min="2" max="2" width="18.83203125" customWidth="1"/>
    <col min="3" max="3" width="25.83203125" customWidth="1"/>
  </cols>
  <sheetData>
    <row r="2" spans="1:3" x14ac:dyDescent="0.2">
      <c r="A2" t="s">
        <v>0</v>
      </c>
      <c r="B2">
        <v>13200</v>
      </c>
    </row>
    <row r="4" spans="1:3" x14ac:dyDescent="0.2">
      <c r="A4" t="s">
        <v>7</v>
      </c>
    </row>
    <row r="6" spans="1:3" x14ac:dyDescent="0.2">
      <c r="A6" t="s">
        <v>2</v>
      </c>
      <c r="B6" t="s">
        <v>3</v>
      </c>
      <c r="C6" t="s">
        <v>4</v>
      </c>
    </row>
    <row r="7" spans="1:3" x14ac:dyDescent="0.2">
      <c r="A7">
        <v>9</v>
      </c>
      <c r="B7" s="3">
        <v>1.2380871341048332E-2</v>
      </c>
      <c r="C7">
        <f>B7*$B$2</f>
        <v>163.42750170183797</v>
      </c>
    </row>
    <row r="8" spans="1:3" x14ac:dyDescent="0.2">
      <c r="A8">
        <v>10</v>
      </c>
      <c r="B8" s="3">
        <v>1.3274336283185841E-2</v>
      </c>
      <c r="C8">
        <f t="shared" ref="C8:C20" si="0">B8*$B$2</f>
        <v>175.22123893805309</v>
      </c>
    </row>
    <row r="9" spans="1:3" x14ac:dyDescent="0.2">
      <c r="A9">
        <v>11</v>
      </c>
      <c r="B9" s="3">
        <v>2.1443158611300205E-2</v>
      </c>
      <c r="C9">
        <f t="shared" si="0"/>
        <v>283.04969366916271</v>
      </c>
    </row>
    <row r="10" spans="1:3" x14ac:dyDescent="0.2">
      <c r="A10">
        <v>12</v>
      </c>
      <c r="B10" s="3">
        <v>1.944349897889721E-2</v>
      </c>
      <c r="C10">
        <f t="shared" si="0"/>
        <v>256.65418652144319</v>
      </c>
    </row>
    <row r="11" spans="1:3" x14ac:dyDescent="0.2">
      <c r="A11">
        <v>13</v>
      </c>
      <c r="B11" s="3">
        <v>5.126786929884275E-2</v>
      </c>
      <c r="C11">
        <f t="shared" si="0"/>
        <v>676.73587474472424</v>
      </c>
    </row>
    <row r="12" spans="1:3" x14ac:dyDescent="0.2">
      <c r="A12">
        <v>14</v>
      </c>
      <c r="B12" s="3">
        <v>0.13299863852961197</v>
      </c>
      <c r="C12">
        <f t="shared" si="0"/>
        <v>1755.5820285908781</v>
      </c>
    </row>
    <row r="13" spans="1:3" x14ac:dyDescent="0.2">
      <c r="A13">
        <v>15</v>
      </c>
      <c r="B13" s="3">
        <v>0.13806160653505786</v>
      </c>
      <c r="C13">
        <f t="shared" si="0"/>
        <v>1822.4132062627639</v>
      </c>
    </row>
    <row r="14" spans="1:3" x14ac:dyDescent="0.2">
      <c r="A14">
        <v>16</v>
      </c>
      <c r="B14" s="3">
        <v>0.16320626276378489</v>
      </c>
      <c r="C14">
        <f t="shared" si="0"/>
        <v>2154.3226684819606</v>
      </c>
    </row>
    <row r="15" spans="1:3" x14ac:dyDescent="0.2">
      <c r="A15">
        <v>17</v>
      </c>
      <c r="B15" s="3">
        <v>0.14703880190605853</v>
      </c>
      <c r="C15">
        <f t="shared" si="0"/>
        <v>1940.9121851599725</v>
      </c>
    </row>
    <row r="16" spans="1:3" x14ac:dyDescent="0.2">
      <c r="A16">
        <v>18</v>
      </c>
      <c r="B16" s="3">
        <v>0.10610959836623554</v>
      </c>
      <c r="C16">
        <f t="shared" si="0"/>
        <v>1400.6466984343092</v>
      </c>
    </row>
    <row r="17" spans="1:3" x14ac:dyDescent="0.2">
      <c r="A17">
        <v>19</v>
      </c>
      <c r="B17" s="3">
        <v>0.10623723621511232</v>
      </c>
      <c r="C17">
        <f t="shared" si="0"/>
        <v>1402.3315180394825</v>
      </c>
    </row>
    <row r="18" spans="1:3" x14ac:dyDescent="0.2">
      <c r="A18">
        <v>20</v>
      </c>
      <c r="B18" s="3">
        <v>4.7864193328795102E-2</v>
      </c>
      <c r="C18">
        <f t="shared" si="0"/>
        <v>631.80735194009537</v>
      </c>
    </row>
    <row r="19" spans="1:3" x14ac:dyDescent="0.2">
      <c r="A19">
        <v>21</v>
      </c>
      <c r="B19" s="3">
        <v>3.3143294758339006E-2</v>
      </c>
      <c r="C19">
        <f t="shared" si="0"/>
        <v>437.49149081007488</v>
      </c>
    </row>
    <row r="20" spans="1:3" x14ac:dyDescent="0.2">
      <c r="A20">
        <v>22</v>
      </c>
      <c r="B20" s="3">
        <v>7.530633083730429E-3</v>
      </c>
      <c r="C20">
        <f t="shared" si="0"/>
        <v>99.404356705241668</v>
      </c>
    </row>
    <row r="21" spans="1:3" x14ac:dyDescent="0.2">
      <c r="A21">
        <v>23</v>
      </c>
    </row>
    <row r="22" spans="1:3" x14ac:dyDescent="0.2">
      <c r="A22">
        <v>24</v>
      </c>
    </row>
  </sheetData>
  <pageMargins left="0.7" right="0.7" top="0.75" bottom="0.75" header="0.3" footer="0.3"/>
  <ignoredErrors>
    <ignoredError sqref="A3:C6 A2 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9"/>
  <sheetViews>
    <sheetView tabSelected="1" workbookViewId="0">
      <selection activeCell="F22" sqref="F22"/>
    </sheetView>
  </sheetViews>
  <sheetFormatPr baseColWidth="10" defaultRowHeight="16" x14ac:dyDescent="0.2"/>
  <cols>
    <col min="1" max="1" width="10.83203125" customWidth="1"/>
    <col min="2" max="2" width="18.83203125" customWidth="1"/>
    <col min="3" max="3" width="25.83203125" customWidth="1"/>
  </cols>
  <sheetData>
    <row r="2" spans="1:3" x14ac:dyDescent="0.2">
      <c r="A2" t="s">
        <v>0</v>
      </c>
      <c r="B2">
        <f>3375*4</f>
        <v>13500</v>
      </c>
    </row>
    <row r="4" spans="1:3" x14ac:dyDescent="0.2">
      <c r="A4" t="s">
        <v>8</v>
      </c>
    </row>
    <row r="6" spans="1:3" x14ac:dyDescent="0.2">
      <c r="A6" s="5" t="s">
        <v>2</v>
      </c>
      <c r="B6" s="5" t="s">
        <v>3</v>
      </c>
      <c r="C6" s="5" t="s">
        <v>4</v>
      </c>
    </row>
    <row r="7" spans="1:3" x14ac:dyDescent="0.2">
      <c r="A7">
        <v>12</v>
      </c>
      <c r="B7">
        <v>0</v>
      </c>
      <c r="C7">
        <v>0</v>
      </c>
    </row>
    <row r="8" spans="1:3" x14ac:dyDescent="0.2">
      <c r="A8">
        <v>13</v>
      </c>
      <c r="B8" s="3">
        <v>8.4326982175783646E-2</v>
      </c>
      <c r="C8">
        <f>B8*$B$2</f>
        <v>1138.4142593730792</v>
      </c>
    </row>
    <row r="9" spans="1:3" x14ac:dyDescent="0.2">
      <c r="A9">
        <v>14</v>
      </c>
      <c r="B9" s="3">
        <v>0.12489244007375538</v>
      </c>
      <c r="C9">
        <f t="shared" ref="C9:C19" si="0">B9*$B$2</f>
        <v>1686.0479409956977</v>
      </c>
    </row>
    <row r="10" spans="1:3" x14ac:dyDescent="0.2">
      <c r="A10">
        <v>15</v>
      </c>
      <c r="B10" s="3">
        <v>0.13300553165334972</v>
      </c>
      <c r="C10">
        <f t="shared" si="0"/>
        <v>1795.5746773202211</v>
      </c>
    </row>
    <row r="11" spans="1:3" x14ac:dyDescent="0.2">
      <c r="A11">
        <v>16</v>
      </c>
      <c r="B11" s="3">
        <v>0.13497234173325137</v>
      </c>
      <c r="C11">
        <f t="shared" si="0"/>
        <v>1822.1266133988936</v>
      </c>
    </row>
    <row r="12" spans="1:3" x14ac:dyDescent="0.2">
      <c r="A12">
        <v>17</v>
      </c>
      <c r="B12" s="3">
        <v>0.12329440688383528</v>
      </c>
      <c r="C12">
        <f t="shared" si="0"/>
        <v>1664.4744929317762</v>
      </c>
    </row>
    <row r="13" spans="1:3" x14ac:dyDescent="0.2">
      <c r="A13">
        <v>18</v>
      </c>
      <c r="B13" s="3">
        <v>0.11886908420405655</v>
      </c>
      <c r="C13">
        <f t="shared" si="0"/>
        <v>1604.7326367547635</v>
      </c>
    </row>
    <row r="14" spans="1:3" x14ac:dyDescent="0.2">
      <c r="A14">
        <v>19</v>
      </c>
      <c r="B14" s="3">
        <v>0.10829748002458513</v>
      </c>
      <c r="C14">
        <f t="shared" si="0"/>
        <v>1462.0159803318993</v>
      </c>
    </row>
    <row r="15" spans="1:3" x14ac:dyDescent="0.2">
      <c r="A15">
        <v>20</v>
      </c>
      <c r="B15" s="3">
        <v>8.3343577135832819E-2</v>
      </c>
      <c r="C15">
        <f t="shared" si="0"/>
        <v>1125.1382913337432</v>
      </c>
    </row>
    <row r="16" spans="1:3" x14ac:dyDescent="0.2">
      <c r="A16">
        <v>21</v>
      </c>
      <c r="B16" s="3">
        <v>6.3183773816840816E-2</v>
      </c>
      <c r="C16">
        <f t="shared" si="0"/>
        <v>852.98094652735097</v>
      </c>
    </row>
    <row r="17" spans="1:3" x14ac:dyDescent="0.2">
      <c r="A17">
        <v>22</v>
      </c>
      <c r="B17" s="3">
        <v>2.581438229870928E-2</v>
      </c>
      <c r="C17">
        <f t="shared" si="0"/>
        <v>348.49416103257528</v>
      </c>
    </row>
    <row r="18" spans="1:3" x14ac:dyDescent="0.2">
      <c r="A18">
        <v>23</v>
      </c>
      <c r="B18">
        <v>0</v>
      </c>
      <c r="C18">
        <f t="shared" si="0"/>
        <v>0</v>
      </c>
    </row>
    <row r="19" spans="1:3" x14ac:dyDescent="0.2">
      <c r="A19">
        <v>24</v>
      </c>
      <c r="B19">
        <v>0</v>
      </c>
      <c r="C19">
        <f t="shared" si="0"/>
        <v>0</v>
      </c>
    </row>
  </sheetData>
  <pageMargins left="0.7" right="0.7" top="0.75" bottom="0.75" header="0.3" footer="0.3"/>
  <ignoredErrors>
    <ignoredError sqref="A3:C7 A18:B19 A8:A17 A2 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30"/>
  <sheetViews>
    <sheetView zoomScale="117" workbookViewId="0">
      <selection activeCell="C25" sqref="C25"/>
    </sheetView>
  </sheetViews>
  <sheetFormatPr baseColWidth="10" defaultRowHeight="16" x14ac:dyDescent="0.2"/>
  <cols>
    <col min="1" max="1" width="10.83203125" customWidth="1"/>
    <col min="2" max="2" width="18.83203125" customWidth="1"/>
    <col min="3" max="3" width="25.83203125" customWidth="1"/>
  </cols>
  <sheetData>
    <row r="2" spans="1:3" x14ac:dyDescent="0.2">
      <c r="A2" t="s">
        <v>0</v>
      </c>
      <c r="B2">
        <f>5028*5/1.5</f>
        <v>16760</v>
      </c>
    </row>
    <row r="4" spans="1:3" x14ac:dyDescent="0.2">
      <c r="A4" t="s">
        <v>9</v>
      </c>
    </row>
    <row r="6" spans="1:3" x14ac:dyDescent="0.2">
      <c r="A6" t="s">
        <v>2</v>
      </c>
      <c r="B6" t="s">
        <v>3</v>
      </c>
      <c r="C6" t="s">
        <v>4</v>
      </c>
    </row>
    <row r="7" spans="1:3" x14ac:dyDescent="0.2">
      <c r="A7">
        <v>12</v>
      </c>
      <c r="B7" s="3">
        <v>3.4689429713040322E-2</v>
      </c>
      <c r="C7">
        <f>B7*$B$2</f>
        <v>581.39484199055585</v>
      </c>
    </row>
    <row r="8" spans="1:3" x14ac:dyDescent="0.2">
      <c r="A8">
        <v>13</v>
      </c>
      <c r="B8" s="3">
        <v>5.9329216612180651E-2</v>
      </c>
      <c r="C8">
        <f t="shared" ref="C8:C19" si="0">B8*$B$2</f>
        <v>994.35767042014766</v>
      </c>
    </row>
    <row r="9" spans="1:3" x14ac:dyDescent="0.2">
      <c r="A9">
        <v>14</v>
      </c>
      <c r="B9" s="3">
        <v>7.6159341324615576E-2</v>
      </c>
      <c r="C9">
        <f t="shared" si="0"/>
        <v>1276.4305606005571</v>
      </c>
    </row>
    <row r="10" spans="1:3" x14ac:dyDescent="0.2">
      <c r="A10">
        <v>15</v>
      </c>
      <c r="B10" s="3">
        <v>8.8448964765710139E-2</v>
      </c>
      <c r="C10">
        <f t="shared" si="0"/>
        <v>1482.404649473302</v>
      </c>
    </row>
    <row r="11" spans="1:3" x14ac:dyDescent="0.2">
      <c r="A11">
        <v>16</v>
      </c>
      <c r="B11" s="3">
        <v>9.8559147596561328E-2</v>
      </c>
      <c r="C11">
        <f t="shared" si="0"/>
        <v>1651.8513137183679</v>
      </c>
    </row>
    <row r="12" spans="1:3" x14ac:dyDescent="0.2">
      <c r="A12">
        <v>17</v>
      </c>
      <c r="B12" s="3">
        <v>0.11084877103765589</v>
      </c>
      <c r="C12">
        <f t="shared" si="0"/>
        <v>1857.8254025911128</v>
      </c>
    </row>
    <row r="13" spans="1:3" x14ac:dyDescent="0.2">
      <c r="A13">
        <v>18</v>
      </c>
      <c r="B13" s="3">
        <v>0.11756871291923962</v>
      </c>
      <c r="C13">
        <f t="shared" si="0"/>
        <v>1970.451628526456</v>
      </c>
    </row>
    <row r="14" spans="1:3" x14ac:dyDescent="0.2">
      <c r="A14">
        <v>19</v>
      </c>
      <c r="B14" s="3">
        <v>0.12543891512289623</v>
      </c>
      <c r="C14">
        <f t="shared" si="0"/>
        <v>2102.3562174597409</v>
      </c>
    </row>
    <row r="15" spans="1:3" x14ac:dyDescent="0.2">
      <c r="A15">
        <v>20</v>
      </c>
      <c r="B15" s="3">
        <v>0.12319893449570166</v>
      </c>
      <c r="C15">
        <f t="shared" si="0"/>
        <v>2064.81414214796</v>
      </c>
    </row>
    <row r="16" spans="1:3" x14ac:dyDescent="0.2">
      <c r="A16">
        <v>21</v>
      </c>
      <c r="B16" s="3">
        <v>9.1839205714977598E-2</v>
      </c>
      <c r="C16">
        <f t="shared" si="0"/>
        <v>1539.2250877830245</v>
      </c>
    </row>
    <row r="17" spans="1:10" x14ac:dyDescent="0.2">
      <c r="A17">
        <v>22</v>
      </c>
      <c r="B17" s="3">
        <v>7.3919360697420999E-2</v>
      </c>
      <c r="C17">
        <f t="shared" si="0"/>
        <v>1238.8884852887759</v>
      </c>
    </row>
    <row r="18" spans="1:10" x14ac:dyDescent="0.2">
      <c r="A18">
        <v>23</v>
      </c>
      <c r="B18">
        <v>0</v>
      </c>
      <c r="C18">
        <f t="shared" si="0"/>
        <v>0</v>
      </c>
    </row>
    <row r="19" spans="1:10" x14ac:dyDescent="0.2">
      <c r="A19">
        <v>24</v>
      </c>
      <c r="B19">
        <v>0</v>
      </c>
      <c r="C19">
        <f t="shared" si="0"/>
        <v>0</v>
      </c>
      <c r="I19" s="2"/>
    </row>
    <row r="20" spans="1:10" x14ac:dyDescent="0.2">
      <c r="I20" s="2"/>
    </row>
    <row r="21" spans="1:10" x14ac:dyDescent="0.2">
      <c r="I21" s="2"/>
    </row>
    <row r="22" spans="1:10" x14ac:dyDescent="0.2">
      <c r="I22" s="2"/>
    </row>
    <row r="23" spans="1:10" x14ac:dyDescent="0.2">
      <c r="I23" s="2"/>
    </row>
    <row r="24" spans="1:10" x14ac:dyDescent="0.2">
      <c r="I24" s="2"/>
    </row>
    <row r="25" spans="1:10" x14ac:dyDescent="0.2">
      <c r="I25" s="2"/>
    </row>
    <row r="26" spans="1:10" x14ac:dyDescent="0.2">
      <c r="I26" s="2"/>
    </row>
    <row r="27" spans="1:10" x14ac:dyDescent="0.2">
      <c r="I27" s="2"/>
    </row>
    <row r="28" spans="1:10" x14ac:dyDescent="0.2">
      <c r="I28" s="2"/>
    </row>
    <row r="29" spans="1:10" x14ac:dyDescent="0.2">
      <c r="I29" s="2"/>
    </row>
    <row r="30" spans="1:10" x14ac:dyDescent="0.2">
      <c r="I30" s="4"/>
      <c r="J30" s="3"/>
    </row>
  </sheetData>
  <pageMargins left="0.7" right="0.7" top="0.75" bottom="0.75" header="0.3" footer="0.3"/>
  <ignoredErrors>
    <ignoredError sqref="A3:C6 A18:B19 A7:A17 A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MARAVILLA GREEN CANE</vt:lpstr>
      <vt:lpstr>MARAVILLA LONG CANE</vt:lpstr>
      <vt:lpstr>YASMIN CUT BACK</vt:lpstr>
      <vt:lpstr>CORINA</vt:lpstr>
      <vt:lpstr>BREEZE</vt:lpstr>
      <vt:lpstr>CASCADE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Maaouni</dc:creator>
  <cp:lastModifiedBy>Omar Maaouni</cp:lastModifiedBy>
  <dcterms:created xsi:type="dcterms:W3CDTF">2026-03-29T17:17:42Z</dcterms:created>
  <dcterms:modified xsi:type="dcterms:W3CDTF">2026-03-29T23:02:07Z</dcterms:modified>
</cp:coreProperties>
</file>