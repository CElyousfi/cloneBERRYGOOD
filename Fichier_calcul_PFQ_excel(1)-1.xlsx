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omarmaaouni/Desktop/berrygood-dashboard/"/>
    </mc:Choice>
  </mc:AlternateContent>
  <xr:revisionPtr revIDLastSave="0" documentId="13_ncr:1_{B08AFD0D-1693-7146-84A9-1C99358D8D52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Feuil1" sheetId="1" r:id="rId1"/>
    <sheet name="Feuil2" sheetId="2" r:id="rId2"/>
    <sheet name="EC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E28" i="1"/>
  <c r="E16" i="1"/>
  <c r="T16" i="1"/>
  <c r="S16" i="1"/>
  <c r="R16" i="1"/>
  <c r="Q16" i="1"/>
  <c r="P16" i="1"/>
  <c r="O16" i="1"/>
  <c r="M16" i="1"/>
  <c r="L16" i="1"/>
  <c r="K16" i="1"/>
  <c r="J16" i="1"/>
  <c r="I16" i="1"/>
  <c r="H16" i="1"/>
  <c r="G16" i="1"/>
  <c r="T15" i="1"/>
  <c r="S15" i="1"/>
  <c r="R15" i="1"/>
  <c r="Q15" i="1"/>
  <c r="P15" i="1"/>
  <c r="O15" i="1"/>
  <c r="N15" i="1"/>
  <c r="N16" i="1" s="1"/>
  <c r="M15" i="1"/>
  <c r="L15" i="1"/>
  <c r="K15" i="1"/>
  <c r="J15" i="1"/>
  <c r="I15" i="1"/>
  <c r="H15" i="1"/>
  <c r="G15" i="1"/>
  <c r="E15" i="1"/>
  <c r="F15" i="1"/>
  <c r="F16" i="1" s="1"/>
  <c r="C14" i="1"/>
  <c r="C13" i="1"/>
  <c r="C12" i="1"/>
  <c r="C11" i="1"/>
  <c r="D15" i="1"/>
  <c r="C10" i="1"/>
  <c r="D12" i="3"/>
  <c r="F13" i="3"/>
  <c r="T11" i="3"/>
  <c r="Q11" i="3"/>
  <c r="P11" i="3"/>
  <c r="M11" i="3"/>
  <c r="L11" i="3"/>
  <c r="I11" i="3"/>
  <c r="H11" i="3"/>
  <c r="E11" i="3"/>
  <c r="D10" i="3"/>
  <c r="D8" i="3"/>
  <c r="G9" i="3"/>
  <c r="F11" i="3"/>
  <c r="J11" i="3"/>
  <c r="N11" i="3"/>
  <c r="R11" i="3"/>
  <c r="G11" i="3"/>
  <c r="K11" i="3"/>
  <c r="O11" i="3"/>
  <c r="S11" i="3"/>
  <c r="E13" i="3"/>
  <c r="U13" i="3"/>
  <c r="I13" i="3"/>
  <c r="T13" i="3"/>
  <c r="P13" i="3"/>
  <c r="L13" i="3"/>
  <c r="H13" i="3"/>
  <c r="Q13" i="3"/>
  <c r="M13" i="3"/>
  <c r="S13" i="3"/>
  <c r="O13" i="3"/>
  <c r="K13" i="3"/>
  <c r="G13" i="3"/>
  <c r="R13" i="3"/>
  <c r="N13" i="3"/>
  <c r="J13" i="3"/>
  <c r="T9" i="3"/>
  <c r="P9" i="3"/>
  <c r="L9" i="3"/>
  <c r="H9" i="3"/>
  <c r="R9" i="3"/>
  <c r="N9" i="3"/>
  <c r="J9" i="3"/>
  <c r="F9" i="3"/>
  <c r="E9" i="3"/>
  <c r="Q9" i="3"/>
  <c r="M9" i="3"/>
  <c r="I9" i="3"/>
  <c r="S9" i="3"/>
  <c r="O9" i="3"/>
  <c r="K9" i="3"/>
  <c r="U11" i="3"/>
  <c r="U9" i="3"/>
  <c r="M28" i="1" l="1"/>
</calcChain>
</file>

<file path=xl/sharedStrings.xml><?xml version="1.0" encoding="utf-8"?>
<sst xmlns="http://schemas.openxmlformats.org/spreadsheetml/2006/main" count="118" uniqueCount="66">
  <si>
    <t>Etat/conditions</t>
  </si>
  <si>
    <t>Calibre</t>
  </si>
  <si>
    <t>Barquette 1</t>
  </si>
  <si>
    <t>Barquette 2</t>
  </si>
  <si>
    <t>Barquette 3</t>
  </si>
  <si>
    <t>Barquette 4</t>
  </si>
  <si>
    <t>Barquette 5</t>
  </si>
  <si>
    <t>Echantillons</t>
  </si>
  <si>
    <t>Fruit trop mur (700)</t>
  </si>
  <si>
    <t>Fruit saignat (700)</t>
  </si>
  <si>
    <t>Fruit mou (700)</t>
  </si>
  <si>
    <t>Cladosporium (500)</t>
  </si>
  <si>
    <t>Rouille jaune (500)</t>
  </si>
  <si>
    <t>Apparence</t>
  </si>
  <si>
    <t>Dégats ravageurs (400)</t>
  </si>
  <si>
    <t>Dégats de vent et chaleur (400)</t>
  </si>
  <si>
    <t>Cellules blanches et seches (400)</t>
  </si>
  <si>
    <t>Immature (700)</t>
  </si>
  <si>
    <t>Cassé (400)</t>
  </si>
  <si>
    <t>&lt;3g (400)</t>
  </si>
  <si>
    <t>Déformation (400)</t>
  </si>
  <si>
    <t>Dégats du vent (400)</t>
  </si>
  <si>
    <t>avec pédoncule (400)</t>
  </si>
  <si>
    <t>Pourriture (100 000)</t>
  </si>
  <si>
    <t>Larves drosophile (100 000</t>
  </si>
  <si>
    <t xml:space="preserve">Date </t>
  </si>
  <si>
    <t>N° Voyage</t>
  </si>
  <si>
    <t>N bon d'apport</t>
  </si>
  <si>
    <t>Confection</t>
  </si>
  <si>
    <t>Bloc / Parcelle</t>
  </si>
  <si>
    <t>PFQ Etat</t>
  </si>
  <si>
    <t>PFQ Apparence</t>
  </si>
  <si>
    <t>PFQ Final</t>
  </si>
  <si>
    <t xml:space="preserve">Controleur Qualité:  </t>
  </si>
  <si>
    <t>Signature</t>
  </si>
  <si>
    <t>Nombre de fruit/Barquette</t>
  </si>
  <si>
    <t>Contrôle du poids (g)</t>
  </si>
  <si>
    <t xml:space="preserve">Pfq état </t>
  </si>
  <si>
    <t>pfq apparence</t>
  </si>
  <si>
    <t>Pfq finale</t>
  </si>
  <si>
    <t>Self assesment Ferme P02</t>
  </si>
  <si>
    <t>Self assesment Ferme P2</t>
  </si>
  <si>
    <t xml:space="preserve">Self assesment Ferme </t>
  </si>
  <si>
    <t>POITE</t>
  </si>
  <si>
    <t xml:space="preserve">Fruit saignat </t>
  </si>
  <si>
    <t xml:space="preserve">Fruit mou </t>
  </si>
  <si>
    <t xml:space="preserve">Cladosporium </t>
  </si>
  <si>
    <t xml:space="preserve">Rouille jaune </t>
  </si>
  <si>
    <t xml:space="preserve">Immature </t>
  </si>
  <si>
    <t xml:space="preserve">Cassé </t>
  </si>
  <si>
    <t xml:space="preserve">&lt;3g </t>
  </si>
  <si>
    <t xml:space="preserve">Déformation </t>
  </si>
  <si>
    <t xml:space="preserve">Dégats du vent </t>
  </si>
  <si>
    <t xml:space="preserve">Pourriture </t>
  </si>
  <si>
    <t xml:space="preserve">Larves drosophile </t>
  </si>
  <si>
    <t>POITE G</t>
  </si>
  <si>
    <t>%</t>
  </si>
  <si>
    <t>CERATITE</t>
  </si>
  <si>
    <t>BON ETAT</t>
  </si>
  <si>
    <t>SURMATURETE</t>
  </si>
  <si>
    <t xml:space="preserve">Dégats INSECTE </t>
  </si>
  <si>
    <t>FRUIT AVEC PEDONCULE</t>
  </si>
  <si>
    <t>CHANTIE 1</t>
  </si>
  <si>
    <t>CHANTIE 2</t>
  </si>
  <si>
    <t>CHANTIE 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</si>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</sst>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04">
    <xf numFmtId="0" fontId="0" fillId="0" borderId="0" xfId="0"/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0" fillId="0" borderId="17" xfId="0" applyBorder="1"/>
    <xf numFmtId="0" fontId="2" fillId="0" borderId="12" xfId="0" applyFont="1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7" fillId="0" borderId="0" xfId="0" applyFont="1"/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9" xfId="0" applyFont="1" applyBorder="1" applyAlignment="1">
      <alignment horizontal="center" vertical="center" textRotation="180"/>
    </xf>
    <xf numFmtId="0" fontId="3" fillId="0" borderId="10" xfId="0" applyFont="1" applyBorder="1" applyAlignment="1">
      <alignment horizontal="center" vertical="center" textRotation="180"/>
    </xf>
    <xf numFmtId="0" fontId="3" fillId="0" borderId="2" xfId="0" applyFont="1" applyBorder="1" applyAlignment="1">
      <alignment horizontal="center" vertical="center" textRotation="180"/>
    </xf>
    <xf numFmtId="0" fontId="3" fillId="0" borderId="11" xfId="0" applyFont="1" applyBorder="1" applyAlignment="1">
      <alignment horizontal="center" vertical="center" textRotation="180"/>
    </xf>
    <xf numFmtId="0" fontId="10" fillId="0" borderId="9" xfId="0" applyFont="1" applyBorder="1" applyAlignment="1">
      <alignment horizontal="center" vertical="center" textRotation="180"/>
    </xf>
    <xf numFmtId="0" fontId="10" fillId="0" borderId="10" xfId="0" applyFont="1" applyBorder="1" applyAlignment="1">
      <alignment horizontal="center" vertical="center" textRotation="180"/>
    </xf>
    <xf numFmtId="0" fontId="10" fillId="0" borderId="2" xfId="0" applyFont="1" applyBorder="1" applyAlignment="1">
      <alignment horizontal="center" vertical="center" textRotation="180"/>
    </xf>
    <xf numFmtId="0" fontId="10" fillId="0" borderId="11" xfId="0" applyFont="1" applyBorder="1" applyAlignment="1">
      <alignment horizontal="center" vertical="center" textRotation="180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Fill="1" applyBorder="1" applyAlignment="1">
      <alignment vertical="center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35"/>
  <sheetViews>
    <sheetView tabSelected="1" topLeftCell="C7" zoomScale="113" zoomScaleNormal="60" workbookViewId="0">
      <selection activeCell="D26" sqref="D26"/>
    </sheetView>
  </sheetViews>
  <sheetFormatPr baseColWidth="10" defaultColWidth="10.83203125" defaultRowHeight="15" x14ac:dyDescent="0.2"/>
  <cols>
    <col min="1" max="1" width="23.33203125" bestFit="1" customWidth="1"/>
    <col min="2" max="2" width="28" bestFit="1" customWidth="1"/>
    <col min="3" max="20" width="13.33203125" customWidth="1"/>
  </cols>
  <sheetData>
    <row r="2" spans="1:20" ht="16" thickBot="1" x14ac:dyDescent="0.25"/>
    <row r="3" spans="1:20" ht="24" x14ac:dyDescent="0.3">
      <c r="A3" s="10" t="s">
        <v>25</v>
      </c>
      <c r="E3" s="56" t="s">
        <v>40</v>
      </c>
      <c r="F3" s="57"/>
      <c r="G3" s="57"/>
      <c r="H3" s="57"/>
      <c r="I3" s="57"/>
      <c r="J3" s="57"/>
      <c r="K3" s="57"/>
      <c r="L3" s="57"/>
      <c r="M3" s="57"/>
      <c r="N3" s="57"/>
      <c r="O3" s="58"/>
    </row>
    <row r="4" spans="1:20" ht="24" x14ac:dyDescent="0.3">
      <c r="A4" s="10" t="s">
        <v>29</v>
      </c>
      <c r="E4" s="59"/>
      <c r="F4" s="60"/>
      <c r="G4" s="60"/>
      <c r="H4" s="60"/>
      <c r="I4" s="60"/>
      <c r="J4" s="60"/>
      <c r="K4" s="60"/>
      <c r="L4" s="60"/>
      <c r="M4" s="60"/>
      <c r="N4" s="60"/>
      <c r="O4" s="61"/>
    </row>
    <row r="5" spans="1:20" ht="25" thickBot="1" x14ac:dyDescent="0.35">
      <c r="A5" s="10" t="s">
        <v>26</v>
      </c>
      <c r="E5" s="62"/>
      <c r="F5" s="63"/>
      <c r="G5" s="63"/>
      <c r="H5" s="63"/>
      <c r="I5" s="63"/>
      <c r="J5" s="63"/>
      <c r="K5" s="63"/>
      <c r="L5" s="63"/>
      <c r="M5" s="63"/>
      <c r="N5" s="63"/>
      <c r="O5" s="64"/>
    </row>
    <row r="6" spans="1:20" ht="24" x14ac:dyDescent="0.3">
      <c r="A6" s="10" t="s">
        <v>27</v>
      </c>
    </row>
    <row r="7" spans="1:20" ht="25" thickBot="1" x14ac:dyDescent="0.35">
      <c r="A7" s="10" t="s">
        <v>28</v>
      </c>
    </row>
    <row r="8" spans="1:20" ht="20" thickBot="1" x14ac:dyDescent="0.25">
      <c r="E8" s="50" t="s">
        <v>0</v>
      </c>
      <c r="F8" s="51"/>
      <c r="G8" s="51"/>
      <c r="H8" s="51"/>
      <c r="I8" s="52"/>
      <c r="J8" s="53" t="s">
        <v>13</v>
      </c>
      <c r="K8" s="54"/>
      <c r="L8" s="54"/>
      <c r="M8" s="54"/>
      <c r="N8" s="54"/>
      <c r="O8" s="54"/>
      <c r="P8" s="54"/>
      <c r="Q8" s="54"/>
      <c r="R8" s="54"/>
      <c r="S8" s="54"/>
      <c r="T8" s="55"/>
    </row>
    <row r="9" spans="1:20" ht="188" thickBot="1" x14ac:dyDescent="0.25">
      <c r="A9" s="2" t="s">
        <v>7</v>
      </c>
      <c r="B9" s="3" t="s">
        <v>36</v>
      </c>
      <c r="C9" s="3" t="s">
        <v>1</v>
      </c>
      <c r="D9" s="23" t="s">
        <v>35</v>
      </c>
      <c r="E9" s="23" t="s">
        <v>8</v>
      </c>
      <c r="F9" s="24" t="s">
        <v>9</v>
      </c>
      <c r="G9" s="25" t="s">
        <v>10</v>
      </c>
      <c r="H9" s="26" t="s">
        <v>11</v>
      </c>
      <c r="I9" s="23" t="s">
        <v>12</v>
      </c>
      <c r="J9" s="23" t="s">
        <v>14</v>
      </c>
      <c r="K9" s="23" t="s">
        <v>15</v>
      </c>
      <c r="L9" s="23" t="s">
        <v>16</v>
      </c>
      <c r="M9" s="23" t="s">
        <v>17</v>
      </c>
      <c r="N9" s="23" t="s">
        <v>18</v>
      </c>
      <c r="O9" s="23" t="s">
        <v>19</v>
      </c>
      <c r="P9" s="23" t="s">
        <v>20</v>
      </c>
      <c r="Q9" s="23" t="s">
        <v>21</v>
      </c>
      <c r="R9" s="23" t="s">
        <v>22</v>
      </c>
      <c r="S9" s="24" t="s">
        <v>23</v>
      </c>
      <c r="T9" s="25" t="s">
        <v>24</v>
      </c>
    </row>
    <row r="10" spans="1:20" ht="20" thickBot="1" x14ac:dyDescent="0.25">
      <c r="A10" s="4" t="s">
        <v>2</v>
      </c>
      <c r="B10" s="11">
        <v>142</v>
      </c>
      <c r="C10" s="11">
        <f>(B10-7)/D10</f>
        <v>4.5</v>
      </c>
      <c r="D10" s="11">
        <v>30</v>
      </c>
      <c r="E10" s="11"/>
      <c r="F10" s="11">
        <v>2</v>
      </c>
      <c r="G10" s="11"/>
      <c r="H10" s="11"/>
      <c r="I10" s="11"/>
      <c r="J10" s="11"/>
      <c r="K10" s="11"/>
      <c r="L10" s="11"/>
      <c r="M10" s="11">
        <v>1</v>
      </c>
      <c r="N10" s="11">
        <v>5</v>
      </c>
      <c r="O10" s="11"/>
      <c r="P10" s="11"/>
      <c r="Q10" s="11"/>
      <c r="R10" s="11">
        <v>0</v>
      </c>
      <c r="S10" s="11">
        <v>0</v>
      </c>
      <c r="T10" s="14"/>
    </row>
    <row r="11" spans="1:20" ht="20" thickBot="1" x14ac:dyDescent="0.25">
      <c r="A11" s="5" t="s">
        <v>3</v>
      </c>
      <c r="B11" s="11">
        <v>650</v>
      </c>
      <c r="C11" s="11">
        <f t="shared" ref="C11:C14" si="0">(B11-7)/D11</f>
        <v>3.5722222222222224</v>
      </c>
      <c r="D11" s="11">
        <v>180</v>
      </c>
      <c r="E11" s="1">
        <v>1</v>
      </c>
      <c r="F11" s="1"/>
      <c r="G11" s="1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6"/>
    </row>
    <row r="12" spans="1:20" ht="20" thickBot="1" x14ac:dyDescent="0.25">
      <c r="A12" s="5" t="s">
        <v>4</v>
      </c>
      <c r="B12" s="11">
        <v>142</v>
      </c>
      <c r="C12" s="11">
        <f t="shared" si="0"/>
        <v>4.0909090909090908</v>
      </c>
      <c r="D12" s="11">
        <v>33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6"/>
    </row>
    <row r="13" spans="1:20" ht="20" thickBot="1" x14ac:dyDescent="0.25">
      <c r="A13" s="5" t="s">
        <v>5</v>
      </c>
      <c r="B13" s="11">
        <v>142</v>
      </c>
      <c r="C13" s="11">
        <f t="shared" si="0"/>
        <v>3.75</v>
      </c>
      <c r="D13" s="11">
        <v>36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6"/>
    </row>
    <row r="14" spans="1:20" ht="20" thickBot="1" x14ac:dyDescent="0.25">
      <c r="A14" s="7" t="s">
        <v>6</v>
      </c>
      <c r="B14" s="11">
        <v>142</v>
      </c>
      <c r="C14" s="11">
        <f t="shared" si="0"/>
        <v>4.354838709677419</v>
      </c>
      <c r="D14" s="11">
        <v>31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</row>
    <row r="15" spans="1:20" ht="16" x14ac:dyDescent="0.2">
      <c r="A15" s="102" t="s">
        <v>65</v>
      </c>
      <c r="D15">
        <f>SUM(D10:D14)</f>
        <v>310</v>
      </c>
      <c r="E15">
        <f>SUM(E10:E14)</f>
        <v>1</v>
      </c>
      <c r="F15">
        <f>SUM(F10:F14)</f>
        <v>2</v>
      </c>
      <c r="G15">
        <f>SUM(G10:G14)</f>
        <v>1</v>
      </c>
      <c r="H15">
        <f>SUM(H10:H14)</f>
        <v>0</v>
      </c>
      <c r="I15">
        <f>SUM(I10:I14)</f>
        <v>0</v>
      </c>
      <c r="J15">
        <f>SUM(J10:J14)</f>
        <v>0</v>
      </c>
      <c r="K15">
        <f>SUM(K10:K14)</f>
        <v>0</v>
      </c>
      <c r="L15">
        <f>SUM(L10:L14)</f>
        <v>0</v>
      </c>
      <c r="M15">
        <f>SUM(M10:M14)</f>
        <v>1</v>
      </c>
      <c r="N15">
        <f>SUM(N10:N14)</f>
        <v>5</v>
      </c>
      <c r="O15">
        <f>SUM(O10:O14)</f>
        <v>0</v>
      </c>
      <c r="P15">
        <f>SUM(P10:P14)</f>
        <v>0</v>
      </c>
      <c r="Q15">
        <f>SUM(Q10:Q14)</f>
        <v>0</v>
      </c>
      <c r="R15">
        <f>SUM(R10:R14)</f>
        <v>0</v>
      </c>
      <c r="S15">
        <f>SUM(S10:S14)</f>
        <v>0</v>
      </c>
      <c r="T15">
        <f>SUM(T10:T14)</f>
        <v>0</v>
      </c>
    </row>
    <row r="16" spans="1:20" x14ac:dyDescent="0.2">
      <c r="E16" s="103">
        <f>E15/$D$15</f>
        <v>3.2258064516129032E-3</v>
      </c>
      <c r="F16" s="103">
        <f>F15/$D$15</f>
        <v>6.4516129032258064E-3</v>
      </c>
      <c r="G16" s="103">
        <f>G15/$D$15</f>
        <v>3.2258064516129032E-3</v>
      </c>
      <c r="H16" s="103">
        <f>H15/$D$15</f>
        <v>0</v>
      </c>
      <c r="I16" s="103">
        <f>I15/$D$15</f>
        <v>0</v>
      </c>
      <c r="J16" s="103">
        <f>J15/$D$15</f>
        <v>0</v>
      </c>
      <c r="K16" s="103">
        <f>K15/$D$15</f>
        <v>0</v>
      </c>
      <c r="L16" s="103">
        <f>L15/$D$15</f>
        <v>0</v>
      </c>
      <c r="M16" s="103">
        <f>M15/$D$15</f>
        <v>3.2258064516129032E-3</v>
      </c>
      <c r="N16" s="103">
        <f>N15/$D$15</f>
        <v>1.6129032258064516E-2</v>
      </c>
      <c r="O16" s="103">
        <f>O15/$D$15</f>
        <v>0</v>
      </c>
      <c r="P16" s="103">
        <f t="shared" ref="P16:T16" si="1">P15/$D$15</f>
        <v>0</v>
      </c>
      <c r="Q16" s="103">
        <f t="shared" si="1"/>
        <v>0</v>
      </c>
      <c r="R16" s="103">
        <f t="shared" si="1"/>
        <v>0</v>
      </c>
      <c r="S16" s="103">
        <f t="shared" si="1"/>
        <v>0</v>
      </c>
      <c r="T16" s="103">
        <f t="shared" si="1"/>
        <v>0</v>
      </c>
    </row>
    <row r="26" spans="5:16" ht="16" thickBot="1" x14ac:dyDescent="0.25"/>
    <row r="27" spans="5:16" ht="20" thickBot="1" x14ac:dyDescent="0.25">
      <c r="E27" s="65" t="s">
        <v>30</v>
      </c>
      <c r="F27" s="66"/>
      <c r="G27" s="66"/>
      <c r="H27" s="67"/>
      <c r="I27" s="77" t="s">
        <v>31</v>
      </c>
      <c r="J27" s="78"/>
      <c r="K27" s="78"/>
      <c r="L27" s="79"/>
      <c r="M27" s="77" t="s">
        <v>32</v>
      </c>
      <c r="N27" s="78"/>
      <c r="O27" s="78"/>
      <c r="P27" s="79"/>
    </row>
    <row r="28" spans="5:16" x14ac:dyDescent="0.2">
      <c r="E28" s="68">
        <f>(100-(((G16*700)+(E16*700)+(F16*700)+(H16*500+I16*500))))/100*70</f>
        <v>63.677419354838712</v>
      </c>
      <c r="F28" s="69"/>
      <c r="G28" s="69"/>
      <c r="H28" s="70"/>
      <c r="I28" s="68">
        <f>(100-((O16*400)+(J16*400)+(K16*400)+(L16*400)+(M16*700)+(N16*400)+(P16*400)+(Q16*400)+(R16*400)+(S16*100000)+(T16*100000)))/100*20</f>
        <v>18.258064516129032</v>
      </c>
      <c r="J28" s="69"/>
      <c r="K28" s="69"/>
      <c r="L28" s="70"/>
      <c r="M28" s="68">
        <f>(E28+I28)</f>
        <v>81.935483870967744</v>
      </c>
      <c r="N28" s="80"/>
      <c r="O28" s="80"/>
      <c r="P28" s="81"/>
    </row>
    <row r="29" spans="5:16" x14ac:dyDescent="0.2">
      <c r="E29" s="71"/>
      <c r="F29" s="72"/>
      <c r="G29" s="72"/>
      <c r="H29" s="73"/>
      <c r="I29" s="71"/>
      <c r="J29" s="72"/>
      <c r="K29" s="72"/>
      <c r="L29" s="73"/>
      <c r="M29" s="82"/>
      <c r="N29" s="83"/>
      <c r="O29" s="83"/>
      <c r="P29" s="84"/>
    </row>
    <row r="30" spans="5:16" ht="16" thickBot="1" x14ac:dyDescent="0.25">
      <c r="E30" s="74"/>
      <c r="F30" s="75"/>
      <c r="G30" s="75"/>
      <c r="H30" s="76"/>
      <c r="I30" s="74"/>
      <c r="J30" s="75"/>
      <c r="K30" s="75"/>
      <c r="L30" s="76"/>
      <c r="M30" s="85"/>
      <c r="N30" s="86"/>
      <c r="O30" s="86"/>
      <c r="P30" s="87"/>
    </row>
    <row r="33" spans="2:15" ht="16" thickBot="1" x14ac:dyDescent="0.25"/>
    <row r="34" spans="2:15" x14ac:dyDescent="0.2">
      <c r="B34" s="43" t="s">
        <v>33</v>
      </c>
      <c r="C34" s="44"/>
      <c r="D34" s="44"/>
      <c r="E34" s="44"/>
      <c r="F34" s="44"/>
      <c r="G34" s="45"/>
      <c r="L34" s="49" t="s">
        <v>34</v>
      </c>
      <c r="M34" s="49"/>
      <c r="N34" s="49"/>
      <c r="O34" s="49"/>
    </row>
    <row r="35" spans="2:15" ht="16" thickBot="1" x14ac:dyDescent="0.25">
      <c r="B35" s="46"/>
      <c r="C35" s="47"/>
      <c r="D35" s="47"/>
      <c r="E35" s="47"/>
      <c r="F35" s="47"/>
      <c r="G35" s="48"/>
      <c r="L35" s="49"/>
      <c r="M35" s="49"/>
      <c r="N35" s="49"/>
      <c r="O35" s="49"/>
    </row>
  </sheetData>
  <mergeCells count="11">
    <mergeCell ref="B34:G35"/>
    <mergeCell ref="L34:O35"/>
    <mergeCell ref="E8:I8"/>
    <mergeCell ref="J8:T8"/>
    <mergeCell ref="E3:O5"/>
    <mergeCell ref="E27:H27"/>
    <mergeCell ref="E28:H30"/>
    <mergeCell ref="I27:L27"/>
    <mergeCell ref="I28:L30"/>
    <mergeCell ref="M27:P27"/>
    <mergeCell ref="M28:P30"/>
  </mergeCells>
  <pageMargins left="0.7" right="0.7" top="0.75" bottom="0.75" header="0.3" footer="0.3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T25"/>
  <sheetViews>
    <sheetView topLeftCell="A10" zoomScale="91" zoomScaleNormal="70" workbookViewId="0">
      <selection activeCell="E17" sqref="E17:F17"/>
    </sheetView>
  </sheetViews>
  <sheetFormatPr baseColWidth="10" defaultColWidth="10.83203125" defaultRowHeight="15" x14ac:dyDescent="0.2"/>
  <cols>
    <col min="1" max="1" width="21" customWidth="1"/>
    <col min="2" max="2" width="22.1640625" customWidth="1"/>
    <col min="4" max="4" width="17.6640625" customWidth="1"/>
    <col min="5" max="5" width="13.5" customWidth="1"/>
  </cols>
  <sheetData>
    <row r="2" spans="1:20" ht="28.5" customHeight="1" thickBot="1" x14ac:dyDescent="0.25"/>
    <row r="3" spans="1:20" ht="39.75" customHeight="1" x14ac:dyDescent="0.3">
      <c r="A3" s="10" t="s">
        <v>25</v>
      </c>
      <c r="E3" s="56" t="s">
        <v>41</v>
      </c>
      <c r="F3" s="57"/>
      <c r="G3" s="57"/>
      <c r="H3" s="57"/>
      <c r="I3" s="57"/>
      <c r="J3" s="57"/>
      <c r="K3" s="57"/>
      <c r="L3" s="57"/>
      <c r="M3" s="57"/>
      <c r="N3" s="57"/>
      <c r="O3" s="58"/>
    </row>
    <row r="4" spans="1:20" ht="31.5" customHeight="1" x14ac:dyDescent="0.3">
      <c r="A4" s="10" t="s">
        <v>29</v>
      </c>
      <c r="E4" s="59"/>
      <c r="F4" s="60"/>
      <c r="G4" s="60"/>
      <c r="H4" s="60"/>
      <c r="I4" s="60"/>
      <c r="J4" s="60"/>
      <c r="K4" s="60"/>
      <c r="L4" s="60"/>
      <c r="M4" s="60"/>
      <c r="N4" s="60"/>
      <c r="O4" s="61"/>
    </row>
    <row r="5" spans="1:20" ht="37.5" customHeight="1" thickBot="1" x14ac:dyDescent="0.35">
      <c r="A5" s="10" t="s">
        <v>26</v>
      </c>
      <c r="E5" s="62"/>
      <c r="F5" s="63"/>
      <c r="G5" s="63"/>
      <c r="H5" s="63"/>
      <c r="I5" s="63"/>
      <c r="J5" s="63"/>
      <c r="K5" s="63"/>
      <c r="L5" s="63"/>
      <c r="M5" s="63"/>
      <c r="N5" s="63"/>
      <c r="O5" s="64"/>
    </row>
    <row r="6" spans="1:20" ht="31.5" customHeight="1" x14ac:dyDescent="0.3">
      <c r="A6" s="10" t="s">
        <v>27</v>
      </c>
    </row>
    <row r="7" spans="1:20" ht="31.5" customHeight="1" thickBot="1" x14ac:dyDescent="0.35">
      <c r="A7" s="10" t="s">
        <v>28</v>
      </c>
    </row>
    <row r="8" spans="1:20" ht="44.25" customHeight="1" thickBot="1" x14ac:dyDescent="0.25">
      <c r="E8" s="50" t="s">
        <v>0</v>
      </c>
      <c r="F8" s="51"/>
      <c r="G8" s="51"/>
      <c r="H8" s="51"/>
      <c r="I8" s="52"/>
      <c r="J8" s="53" t="s">
        <v>13</v>
      </c>
      <c r="K8" s="54"/>
      <c r="L8" s="54"/>
      <c r="M8" s="54"/>
      <c r="N8" s="54"/>
      <c r="O8" s="54"/>
      <c r="P8" s="54"/>
      <c r="Q8" s="54"/>
      <c r="R8" s="54"/>
      <c r="S8" s="54"/>
      <c r="T8" s="55"/>
    </row>
    <row r="9" spans="1:20" ht="187.5" customHeight="1" thickBot="1" x14ac:dyDescent="0.25">
      <c r="A9" s="2" t="s">
        <v>7</v>
      </c>
      <c r="B9" s="3" t="s">
        <v>36</v>
      </c>
      <c r="C9" s="3" t="s">
        <v>1</v>
      </c>
      <c r="D9" s="19" t="s">
        <v>35</v>
      </c>
      <c r="E9" s="19" t="s">
        <v>8</v>
      </c>
      <c r="F9" s="20" t="s">
        <v>9</v>
      </c>
      <c r="G9" s="21" t="s">
        <v>10</v>
      </c>
      <c r="H9" s="22" t="s">
        <v>11</v>
      </c>
      <c r="I9" s="19" t="s">
        <v>12</v>
      </c>
      <c r="J9" s="19" t="s">
        <v>14</v>
      </c>
      <c r="K9" s="19" t="s">
        <v>15</v>
      </c>
      <c r="L9" s="19" t="s">
        <v>16</v>
      </c>
      <c r="M9" s="19" t="s">
        <v>17</v>
      </c>
      <c r="N9" s="19" t="s">
        <v>18</v>
      </c>
      <c r="O9" s="19" t="s">
        <v>19</v>
      </c>
      <c r="P9" s="19" t="s">
        <v>20</v>
      </c>
      <c r="Q9" s="19" t="s">
        <v>21</v>
      </c>
      <c r="R9" s="19" t="s">
        <v>22</v>
      </c>
      <c r="S9" s="20" t="s">
        <v>23</v>
      </c>
      <c r="T9" s="21" t="s">
        <v>24</v>
      </c>
    </row>
    <row r="10" spans="1:20" ht="57.75" customHeight="1" thickBot="1" x14ac:dyDescent="0.25">
      <c r="A10" s="4" t="s">
        <v>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4"/>
    </row>
    <row r="11" spans="1:20" ht="45.75" customHeight="1" thickBot="1" x14ac:dyDescent="0.25">
      <c r="A11" s="5" t="s">
        <v>3</v>
      </c>
      <c r="B11" s="12"/>
      <c r="C11" s="12"/>
      <c r="D11" s="1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6"/>
    </row>
    <row r="12" spans="1:20" ht="50.25" customHeight="1" thickBot="1" x14ac:dyDescent="0.25">
      <c r="A12" s="5" t="s">
        <v>4</v>
      </c>
      <c r="B12" s="12"/>
      <c r="C12" s="12"/>
      <c r="D12" s="1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6"/>
    </row>
    <row r="13" spans="1:20" ht="45" customHeight="1" thickBot="1" x14ac:dyDescent="0.25">
      <c r="A13" s="5" t="s">
        <v>5</v>
      </c>
      <c r="B13" s="12"/>
      <c r="C13" s="12"/>
      <c r="D13" s="1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6"/>
    </row>
    <row r="14" spans="1:20" ht="49.5" customHeight="1" thickBot="1" x14ac:dyDescent="0.25">
      <c r="A14" s="7" t="s">
        <v>6</v>
      </c>
      <c r="B14" s="13"/>
      <c r="C14" s="13"/>
      <c r="D14" s="11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</row>
    <row r="16" spans="1:20" ht="27" customHeight="1" x14ac:dyDescent="0.2">
      <c r="A16" s="18"/>
      <c r="B16" s="18" t="s">
        <v>37</v>
      </c>
      <c r="C16" s="96" t="s">
        <v>38</v>
      </c>
      <c r="D16" s="96"/>
      <c r="E16" s="96" t="s">
        <v>39</v>
      </c>
      <c r="F16" s="96"/>
    </row>
    <row r="17" spans="1:16" ht="35.25" customHeight="1" x14ac:dyDescent="0.2">
      <c r="A17" s="18" t="s">
        <v>2</v>
      </c>
      <c r="B17" s="18"/>
      <c r="C17" s="96"/>
      <c r="D17" s="96"/>
      <c r="E17" s="96"/>
      <c r="F17" s="96"/>
      <c r="G17" s="15"/>
      <c r="H17" s="15"/>
      <c r="I17" s="16"/>
      <c r="J17" s="16"/>
      <c r="K17" s="16"/>
      <c r="L17" s="16"/>
      <c r="M17" s="88"/>
      <c r="N17" s="88"/>
      <c r="O17" s="88"/>
      <c r="P17" s="88"/>
    </row>
    <row r="18" spans="1:16" ht="34.5" customHeight="1" x14ac:dyDescent="0.2">
      <c r="A18" s="18" t="s">
        <v>3</v>
      </c>
      <c r="B18" s="18"/>
      <c r="C18" s="96"/>
      <c r="D18" s="96"/>
      <c r="E18" s="97"/>
      <c r="F18" s="97"/>
      <c r="G18" s="17"/>
      <c r="H18" s="17"/>
      <c r="I18" s="17"/>
      <c r="J18" s="17"/>
      <c r="K18" s="17"/>
      <c r="L18" s="17"/>
      <c r="M18" s="83"/>
      <c r="N18" s="83"/>
      <c r="O18" s="83"/>
      <c r="P18" s="83"/>
    </row>
    <row r="19" spans="1:16" ht="37.5" customHeight="1" x14ac:dyDescent="0.2">
      <c r="A19" s="18" t="s">
        <v>4</v>
      </c>
      <c r="B19" s="18"/>
      <c r="C19" s="96"/>
      <c r="D19" s="96"/>
      <c r="E19" s="97"/>
      <c r="F19" s="97"/>
      <c r="G19" s="17"/>
      <c r="H19" s="17"/>
      <c r="I19" s="17"/>
      <c r="J19" s="17"/>
      <c r="K19" s="17"/>
      <c r="L19" s="17"/>
      <c r="M19" s="83"/>
      <c r="N19" s="83"/>
      <c r="O19" s="83"/>
      <c r="P19" s="83"/>
    </row>
    <row r="20" spans="1:16" ht="33" customHeight="1" x14ac:dyDescent="0.2">
      <c r="A20" s="18" t="s">
        <v>5</v>
      </c>
      <c r="B20" s="18"/>
      <c r="C20" s="96"/>
      <c r="D20" s="96"/>
      <c r="E20" s="97"/>
      <c r="F20" s="97"/>
      <c r="G20" s="17"/>
      <c r="H20" s="17"/>
      <c r="I20" s="17"/>
      <c r="J20" s="17"/>
      <c r="K20" s="17"/>
      <c r="L20" s="17"/>
      <c r="M20" s="83"/>
      <c r="N20" s="83"/>
      <c r="O20" s="83"/>
      <c r="P20" s="83"/>
    </row>
    <row r="21" spans="1:16" ht="33.75" customHeight="1" x14ac:dyDescent="0.2">
      <c r="A21" s="18" t="s">
        <v>6</v>
      </c>
      <c r="B21" s="18"/>
      <c r="C21" s="96"/>
      <c r="D21" s="96"/>
      <c r="E21" s="96"/>
      <c r="F21" s="96"/>
    </row>
    <row r="23" spans="1:16" ht="16" thickBot="1" x14ac:dyDescent="0.25"/>
    <row r="24" spans="1:16" x14ac:dyDescent="0.2">
      <c r="B24" s="89" t="s">
        <v>33</v>
      </c>
      <c r="C24" s="90"/>
      <c r="D24" s="90"/>
      <c r="E24" s="90"/>
      <c r="F24" s="90"/>
      <c r="G24" s="91"/>
      <c r="L24" s="95" t="s">
        <v>34</v>
      </c>
      <c r="M24" s="95"/>
      <c r="N24" s="95"/>
      <c r="O24" s="95"/>
    </row>
    <row r="25" spans="1:16" ht="16" thickBot="1" x14ac:dyDescent="0.25">
      <c r="B25" s="92"/>
      <c r="C25" s="93"/>
      <c r="D25" s="93"/>
      <c r="E25" s="93"/>
      <c r="F25" s="93"/>
      <c r="G25" s="94"/>
      <c r="L25" s="95"/>
      <c r="M25" s="95"/>
      <c r="N25" s="95"/>
      <c r="O25" s="95"/>
    </row>
  </sheetData>
  <mergeCells count="19">
    <mergeCell ref="B24:G25"/>
    <mergeCell ref="L24:O25"/>
    <mergeCell ref="C16:D16"/>
    <mergeCell ref="E16:F16"/>
    <mergeCell ref="E17:F17"/>
    <mergeCell ref="E18:F18"/>
    <mergeCell ref="E19:F19"/>
    <mergeCell ref="E20:F20"/>
    <mergeCell ref="E21:F21"/>
    <mergeCell ref="C17:D17"/>
    <mergeCell ref="C18:D18"/>
    <mergeCell ref="C19:D19"/>
    <mergeCell ref="C20:D20"/>
    <mergeCell ref="C21:D21"/>
    <mergeCell ref="E3:O5"/>
    <mergeCell ref="E8:I8"/>
    <mergeCell ref="J8:T8"/>
    <mergeCell ref="M17:P17"/>
    <mergeCell ref="M18:P20"/>
  </mergeCells>
  <pageMargins left="0.7" right="0.7" top="0.75" bottom="0.75" header="0.3" footer="0.3"/>
  <pageSetup paperSize="9" scale="51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6CBC-F0CC-414F-8E72-C4674CFA3103}">
  <dimension ref="A2:U17"/>
  <sheetViews>
    <sheetView workbookViewId="0">
      <selection activeCell="D12" sqref="D12"/>
    </sheetView>
  </sheetViews>
  <sheetFormatPr baseColWidth="10" defaultColWidth="8.6640625" defaultRowHeight="15" x14ac:dyDescent="0.2"/>
  <sheetData>
    <row r="2" spans="1:21" ht="16" thickBot="1" x14ac:dyDescent="0.25"/>
    <row r="3" spans="1:21" ht="24" x14ac:dyDescent="0.3">
      <c r="A3" s="10" t="s">
        <v>25</v>
      </c>
      <c r="E3" s="56" t="s">
        <v>42</v>
      </c>
      <c r="F3" s="57"/>
      <c r="G3" s="57"/>
      <c r="H3" s="57"/>
      <c r="I3" s="57"/>
      <c r="J3" s="57"/>
      <c r="K3" s="57"/>
      <c r="L3" s="57"/>
      <c r="M3" s="57"/>
      <c r="N3" s="57"/>
      <c r="O3" s="58"/>
    </row>
    <row r="4" spans="1:21" ht="24" x14ac:dyDescent="0.3">
      <c r="A4" s="10" t="s">
        <v>29</v>
      </c>
      <c r="E4" s="59"/>
      <c r="F4" s="60"/>
      <c r="G4" s="60"/>
      <c r="H4" s="60"/>
      <c r="I4" s="60"/>
      <c r="J4" s="60"/>
      <c r="K4" s="60"/>
      <c r="L4" s="60"/>
      <c r="M4" s="60"/>
      <c r="N4" s="60"/>
      <c r="O4" s="61"/>
    </row>
    <row r="5" spans="1:21" ht="25" thickBot="1" x14ac:dyDescent="0.35">
      <c r="A5" s="10"/>
      <c r="E5" s="62"/>
      <c r="F5" s="63"/>
      <c r="G5" s="63"/>
      <c r="H5" s="63"/>
      <c r="I5" s="63"/>
      <c r="J5" s="63"/>
      <c r="K5" s="63"/>
      <c r="L5" s="63"/>
      <c r="M5" s="63"/>
      <c r="N5" s="63"/>
      <c r="O5" s="64"/>
    </row>
    <row r="6" spans="1:21" ht="20" thickBot="1" x14ac:dyDescent="0.25">
      <c r="E6" s="50" t="s">
        <v>0</v>
      </c>
      <c r="F6" s="51"/>
      <c r="G6" s="51"/>
      <c r="H6" s="51"/>
      <c r="I6" s="52"/>
      <c r="J6" s="53" t="s">
        <v>13</v>
      </c>
      <c r="K6" s="54"/>
      <c r="L6" s="54"/>
      <c r="M6" s="54"/>
      <c r="N6" s="54"/>
      <c r="O6" s="54"/>
      <c r="P6" s="54"/>
      <c r="Q6" s="54"/>
      <c r="R6" s="54"/>
      <c r="S6" s="54"/>
      <c r="T6" s="55"/>
    </row>
    <row r="7" spans="1:21" s="29" customFormat="1" ht="69" thickBot="1" x14ac:dyDescent="0.25">
      <c r="A7" s="27" t="s">
        <v>7</v>
      </c>
      <c r="B7" s="28" t="s">
        <v>36</v>
      </c>
      <c r="C7" s="28"/>
      <c r="D7" s="30" t="s">
        <v>43</v>
      </c>
      <c r="E7" s="31" t="s">
        <v>57</v>
      </c>
      <c r="F7" s="32" t="s">
        <v>44</v>
      </c>
      <c r="G7" s="33" t="s">
        <v>45</v>
      </c>
      <c r="H7" s="34" t="s">
        <v>46</v>
      </c>
      <c r="I7" s="31" t="s">
        <v>47</v>
      </c>
      <c r="J7" s="31" t="s">
        <v>60</v>
      </c>
      <c r="K7" s="31" t="s">
        <v>61</v>
      </c>
      <c r="L7" s="31" t="s">
        <v>58</v>
      </c>
      <c r="M7" s="31" t="s">
        <v>48</v>
      </c>
      <c r="N7" s="31" t="s">
        <v>49</v>
      </c>
      <c r="O7" s="31" t="s">
        <v>50</v>
      </c>
      <c r="P7" s="31" t="s">
        <v>51</v>
      </c>
      <c r="Q7" s="31" t="s">
        <v>52</v>
      </c>
      <c r="R7" s="31" t="s">
        <v>59</v>
      </c>
      <c r="S7" s="32" t="s">
        <v>53</v>
      </c>
      <c r="T7" s="33" t="s">
        <v>54</v>
      </c>
      <c r="U7" s="11" t="s">
        <v>56</v>
      </c>
    </row>
    <row r="8" spans="1:21" s="29" customFormat="1" ht="25.5" customHeight="1" thickBot="1" x14ac:dyDescent="0.25">
      <c r="A8" s="98" t="s">
        <v>62</v>
      </c>
      <c r="B8" s="99"/>
      <c r="C8" s="35" t="s">
        <v>55</v>
      </c>
      <c r="D8" s="36">
        <f>SUM(E8:T8)</f>
        <v>278</v>
      </c>
      <c r="E8" s="37">
        <v>31</v>
      </c>
      <c r="F8" s="38">
        <v>48</v>
      </c>
      <c r="G8" s="39">
        <v>40</v>
      </c>
      <c r="H8" s="40"/>
      <c r="I8" s="37"/>
      <c r="J8" s="37">
        <v>8</v>
      </c>
      <c r="K8" s="37">
        <v>6</v>
      </c>
      <c r="L8" s="37">
        <v>70</v>
      </c>
      <c r="M8" s="37"/>
      <c r="N8" s="37"/>
      <c r="O8" s="37"/>
      <c r="P8" s="37">
        <v>51</v>
      </c>
      <c r="Q8" s="37"/>
      <c r="R8" s="37">
        <v>21</v>
      </c>
      <c r="S8" s="38">
        <v>3</v>
      </c>
      <c r="T8" s="41"/>
    </row>
    <row r="9" spans="1:21" ht="20" thickBot="1" x14ac:dyDescent="0.25">
      <c r="A9" s="100"/>
      <c r="B9" s="101"/>
      <c r="C9" s="11" t="s">
        <v>56</v>
      </c>
      <c r="D9" s="11"/>
      <c r="E9" s="11">
        <f>(E8*100)/$D$8</f>
        <v>11.151079136690647</v>
      </c>
      <c r="F9" s="11">
        <f t="shared" ref="F9:T9" si="0">(F8*100)/$D$8</f>
        <v>17.266187050359711</v>
      </c>
      <c r="G9" s="11">
        <f t="shared" si="0"/>
        <v>14.388489208633093</v>
      </c>
      <c r="H9" s="11">
        <f t="shared" si="0"/>
        <v>0</v>
      </c>
      <c r="I9" s="11">
        <f t="shared" si="0"/>
        <v>0</v>
      </c>
      <c r="J9" s="11">
        <f t="shared" si="0"/>
        <v>2.8776978417266186</v>
      </c>
      <c r="K9" s="11">
        <f t="shared" si="0"/>
        <v>2.1582733812949639</v>
      </c>
      <c r="L9" s="11">
        <f t="shared" si="0"/>
        <v>25.179856115107913</v>
      </c>
      <c r="M9" s="11">
        <f t="shared" si="0"/>
        <v>0</v>
      </c>
      <c r="N9" s="11">
        <f t="shared" si="0"/>
        <v>0</v>
      </c>
      <c r="O9" s="11">
        <f t="shared" si="0"/>
        <v>0</v>
      </c>
      <c r="P9" s="11">
        <f t="shared" si="0"/>
        <v>18.345323741007196</v>
      </c>
      <c r="Q9" s="11">
        <f t="shared" si="0"/>
        <v>0</v>
      </c>
      <c r="R9" s="11">
        <f t="shared" si="0"/>
        <v>7.5539568345323742</v>
      </c>
      <c r="S9" s="11">
        <f t="shared" si="0"/>
        <v>1.079136690647482</v>
      </c>
      <c r="T9" s="11">
        <f t="shared" si="0"/>
        <v>0</v>
      </c>
      <c r="U9" s="42">
        <f>SUM(E9:T9)</f>
        <v>99.999999999999986</v>
      </c>
    </row>
    <row r="10" spans="1:21" ht="20" thickBot="1" x14ac:dyDescent="0.25">
      <c r="A10" s="98" t="s">
        <v>63</v>
      </c>
      <c r="B10" s="99"/>
      <c r="C10" s="35" t="s">
        <v>55</v>
      </c>
      <c r="D10" s="36">
        <f>SUM(E10:T10)</f>
        <v>0</v>
      </c>
      <c r="E10" s="37"/>
      <c r="F10" s="38"/>
      <c r="G10" s="39"/>
      <c r="H10" s="40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8"/>
      <c r="T10" s="41"/>
    </row>
    <row r="11" spans="1:21" ht="20" thickBot="1" x14ac:dyDescent="0.25">
      <c r="A11" s="100"/>
      <c r="B11" s="101"/>
      <c r="C11" s="11" t="s">
        <v>56</v>
      </c>
      <c r="D11" s="11"/>
      <c r="E11" s="11">
        <f>(E10*100)/$D$8</f>
        <v>0</v>
      </c>
      <c r="F11" s="11">
        <f t="shared" ref="F11" si="1">(F10*100)/$D$8</f>
        <v>0</v>
      </c>
      <c r="G11" s="11">
        <f t="shared" ref="G11" si="2">(G10*100)/$D$8</f>
        <v>0</v>
      </c>
      <c r="H11" s="11">
        <f t="shared" ref="H11" si="3">(H10*100)/$D$8</f>
        <v>0</v>
      </c>
      <c r="I11" s="11">
        <f t="shared" ref="I11" si="4">(I10*100)/$D$8</f>
        <v>0</v>
      </c>
      <c r="J11" s="11">
        <f t="shared" ref="J11" si="5">(J10*100)/$D$8</f>
        <v>0</v>
      </c>
      <c r="K11" s="11">
        <f t="shared" ref="K11" si="6">(K10*100)/$D$8</f>
        <v>0</v>
      </c>
      <c r="L11" s="11">
        <f t="shared" ref="L11" si="7">(L10*100)/$D$8</f>
        <v>0</v>
      </c>
      <c r="M11" s="11">
        <f t="shared" ref="M11" si="8">(M10*100)/$D$8</f>
        <v>0</v>
      </c>
      <c r="N11" s="11">
        <f t="shared" ref="N11" si="9">(N10*100)/$D$8</f>
        <v>0</v>
      </c>
      <c r="O11" s="11">
        <f t="shared" ref="O11" si="10">(O10*100)/$D$8</f>
        <v>0</v>
      </c>
      <c r="P11" s="11">
        <f t="shared" ref="P11" si="11">(P10*100)/$D$8</f>
        <v>0</v>
      </c>
      <c r="Q11" s="11">
        <f t="shared" ref="Q11" si="12">(Q10*100)/$D$8</f>
        <v>0</v>
      </c>
      <c r="R11" s="11">
        <f t="shared" ref="R11" si="13">(R10*100)/$D$8</f>
        <v>0</v>
      </c>
      <c r="S11" s="11">
        <f t="shared" ref="S11" si="14">(S10*100)/$D$8</f>
        <v>0</v>
      </c>
      <c r="T11" s="11">
        <f t="shared" ref="T11" si="15">(T10*100)/$D$8</f>
        <v>0</v>
      </c>
      <c r="U11" s="42">
        <f>SUM(E11:T11)</f>
        <v>0</v>
      </c>
    </row>
    <row r="12" spans="1:21" ht="20" thickBot="1" x14ac:dyDescent="0.25">
      <c r="A12" s="98" t="s">
        <v>64</v>
      </c>
      <c r="B12" s="99"/>
      <c r="C12" s="35" t="s">
        <v>55</v>
      </c>
      <c r="D12" s="36">
        <f>SUM(E12:T12)</f>
        <v>0</v>
      </c>
      <c r="E12" s="37"/>
      <c r="F12" s="38"/>
      <c r="G12" s="39"/>
      <c r="H12" s="40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8"/>
      <c r="T12" s="41"/>
    </row>
    <row r="13" spans="1:21" ht="19" x14ac:dyDescent="0.2">
      <c r="A13" s="100"/>
      <c r="B13" s="101"/>
      <c r="C13" s="11" t="s">
        <v>56</v>
      </c>
      <c r="D13" s="11"/>
      <c r="E13" s="11" t="e">
        <f>(E12*100)/$D$12</f>
        <v>#DIV/0!</v>
      </c>
      <c r="F13" s="11" t="e">
        <f t="shared" ref="F13:T13" si="16">(F12*100)/$D$12</f>
        <v>#DIV/0!</v>
      </c>
      <c r="G13" s="11" t="e">
        <f t="shared" si="16"/>
        <v>#DIV/0!</v>
      </c>
      <c r="H13" s="11" t="e">
        <f t="shared" si="16"/>
        <v>#DIV/0!</v>
      </c>
      <c r="I13" s="11" t="e">
        <f t="shared" si="16"/>
        <v>#DIV/0!</v>
      </c>
      <c r="J13" s="11" t="e">
        <f t="shared" si="16"/>
        <v>#DIV/0!</v>
      </c>
      <c r="K13" s="11" t="e">
        <f t="shared" si="16"/>
        <v>#DIV/0!</v>
      </c>
      <c r="L13" s="11" t="e">
        <f t="shared" si="16"/>
        <v>#DIV/0!</v>
      </c>
      <c r="M13" s="11" t="e">
        <f t="shared" si="16"/>
        <v>#DIV/0!</v>
      </c>
      <c r="N13" s="11" t="e">
        <f t="shared" si="16"/>
        <v>#DIV/0!</v>
      </c>
      <c r="O13" s="11" t="e">
        <f t="shared" si="16"/>
        <v>#DIV/0!</v>
      </c>
      <c r="P13" s="11" t="e">
        <f t="shared" si="16"/>
        <v>#DIV/0!</v>
      </c>
      <c r="Q13" s="11" t="e">
        <f t="shared" si="16"/>
        <v>#DIV/0!</v>
      </c>
      <c r="R13" s="11" t="e">
        <f t="shared" si="16"/>
        <v>#DIV/0!</v>
      </c>
      <c r="S13" s="11" t="e">
        <f t="shared" si="16"/>
        <v>#DIV/0!</v>
      </c>
      <c r="T13" s="11" t="e">
        <f t="shared" si="16"/>
        <v>#DIV/0!</v>
      </c>
      <c r="U13" s="42" t="e">
        <f>SUM(E13:T13)</f>
        <v>#DIV/0!</v>
      </c>
    </row>
    <row r="15" spans="1:21" ht="16" thickBot="1" x14ac:dyDescent="0.25"/>
    <row r="16" spans="1:21" x14ac:dyDescent="0.2">
      <c r="B16" s="89" t="s">
        <v>33</v>
      </c>
      <c r="C16" s="90"/>
      <c r="D16" s="90"/>
      <c r="E16" s="90"/>
      <c r="F16" s="90"/>
      <c r="G16" s="91"/>
      <c r="L16" s="95" t="s">
        <v>34</v>
      </c>
      <c r="M16" s="95"/>
      <c r="N16" s="95"/>
      <c r="O16" s="95"/>
    </row>
    <row r="17" spans="2:15" ht="16" thickBot="1" x14ac:dyDescent="0.25">
      <c r="B17" s="92"/>
      <c r="C17" s="93"/>
      <c r="D17" s="93"/>
      <c r="E17" s="93"/>
      <c r="F17" s="93"/>
      <c r="G17" s="94"/>
      <c r="L17" s="95"/>
      <c r="M17" s="95"/>
      <c r="N17" s="95"/>
      <c r="O17" s="95"/>
    </row>
  </sheetData>
  <mergeCells count="8">
    <mergeCell ref="E3:O5"/>
    <mergeCell ref="E6:I6"/>
    <mergeCell ref="J6:T6"/>
    <mergeCell ref="B16:G17"/>
    <mergeCell ref="L16:O17"/>
    <mergeCell ref="A8:B9"/>
    <mergeCell ref="A10:B11"/>
    <mergeCell ref="A12:B13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ECART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Omar Maaouni</cp:lastModifiedBy>
  <cp:lastPrinted>2019-10-12T11:18:33Z</cp:lastPrinted>
  <dcterms:created xsi:type="dcterms:W3CDTF">2019-10-09T20:16:12Z</dcterms:created>
  <dcterms:modified xsi:type="dcterms:W3CDTF">2026-03-19T23:44:41Z</dcterms:modified>
</cp:coreProperties>
</file>