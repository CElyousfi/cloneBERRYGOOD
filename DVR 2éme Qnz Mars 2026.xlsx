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D8E29D7F-9F6C-4858-A826-0FBA05D56DA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V19" i="1" l="1"/>
  <c r="W19" i="1" s="1"/>
  <c r="V18" i="1"/>
  <c r="W18" i="1" s="1"/>
  <c r="W17" i="1"/>
  <c r="V17" i="1"/>
  <c r="V16" i="1"/>
  <c r="W16" i="1" s="1"/>
  <c r="V15" i="1"/>
  <c r="W15" i="1" s="1"/>
  <c r="V14" i="1"/>
  <c r="W14" i="1" s="1"/>
  <c r="W13" i="1"/>
  <c r="V13" i="1"/>
  <c r="V12" i="1"/>
  <c r="W12" i="1" s="1"/>
  <c r="V11" i="1"/>
  <c r="W11" i="1" s="1"/>
  <c r="V10" i="1"/>
  <c r="W10" i="1" s="1"/>
  <c r="W9" i="1"/>
  <c r="V9" i="1"/>
  <c r="W20" i="1" l="1"/>
</calcChain>
</file>

<file path=xl/sharedStrings.xml><?xml version="1.0" encoding="utf-8"?>
<sst xmlns="http://schemas.openxmlformats.org/spreadsheetml/2006/main" count="57" uniqueCount="38">
  <si>
    <t>2éme QNZ Mars   /2026</t>
  </si>
  <si>
    <t>Bénéficiaire</t>
  </si>
  <si>
    <t>Fonction</t>
  </si>
  <si>
    <t>tache</t>
  </si>
  <si>
    <t>prix unitaire</t>
  </si>
  <si>
    <t>unité</t>
  </si>
  <si>
    <t>Quantité par période</t>
  </si>
  <si>
    <t>Montant Total</t>
  </si>
  <si>
    <t>Total</t>
  </si>
  <si>
    <t>KADOUR  DEBAZ TRAC</t>
  </si>
  <si>
    <t>TRACTEUR</t>
  </si>
  <si>
    <t>NETTYAGE F5</t>
  </si>
  <si>
    <t>JOUR</t>
  </si>
  <si>
    <t>REFISSA TRAC</t>
  </si>
  <si>
    <t>Traitement Avocat</t>
  </si>
  <si>
    <t>EL MESBAHI AHMED</t>
  </si>
  <si>
    <t>TRS</t>
  </si>
  <si>
    <t>TRS OUVRIRE F6</t>
  </si>
  <si>
    <t>MOHAMED JCB</t>
  </si>
  <si>
    <t>JCB</t>
  </si>
  <si>
    <t>CHAREGEMENT</t>
  </si>
  <si>
    <t>HEURE</t>
  </si>
  <si>
    <t>EL MAJDOUBI MUSTAPHA</t>
  </si>
  <si>
    <t>VOYAGES</t>
  </si>
  <si>
    <t>RAGRAGUI BRAHIM</t>
  </si>
  <si>
    <t xml:space="preserve">TRS </t>
  </si>
  <si>
    <t>TRS D'emballage F1</t>
  </si>
  <si>
    <t>HAMANOU HAMZA</t>
  </si>
  <si>
    <t>Réparation de la route F1</t>
  </si>
  <si>
    <t>KRIDECHE MOHAMED</t>
  </si>
  <si>
    <t>TRS D'emballage F5</t>
  </si>
  <si>
    <t>EL SEGHIRE BACHIR</t>
  </si>
  <si>
    <t xml:space="preserve">TRS D'emballage </t>
  </si>
  <si>
    <t>TRS FRUITS</t>
  </si>
  <si>
    <t>Total en Dirham</t>
  </si>
  <si>
    <t>ELINAK ACHRAF</t>
  </si>
  <si>
    <t>HAMZA ALLAOUI</t>
  </si>
  <si>
    <t>BOUCHERA  HABCHANE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</si>
</sst>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#,##0.00\ &quot;DH&quot;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theme="1"/>
      <name val="Arial"/>
      <family val="2"/>
    </font>
    <font>
      <b/>
      <sz val="10"/>
      <color theme="1"/>
      <name val="Arial"/>
      <family val="2"/>
    </font>
    <font>
      <b/>
      <sz val="9"/>
      <color theme="1"/>
      <name val="Calibri"/>
      <family val="2"/>
      <scheme val="minor"/>
    </font>
    <font>
      <sz val="10"/>
      <name val="Arial"/>
      <family val="2"/>
    </font>
    <font>
      <b/>
      <sz val="14"/>
      <color theme="1"/>
      <name val="Calibri"/>
      <family val="2"/>
    </font>
    <font>
      <b/>
      <sz val="16"/>
      <color theme="1"/>
      <name val="Calibri"/>
      <family val="2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92D050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/>
  </cellStyleXfs>
  <cellXfs count="22">
    <xf numFmtId="0" fontId="0" fillId="0" borderId="0" xfId="0"/>
    <xf numFmtId="0" fontId="2" fillId="0" borderId="0" xfId="0" applyFont="1" applyAlignment="1">
      <alignment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/>
    </xf>
    <xf numFmtId="4" fontId="2" fillId="3" borderId="1" xfId="0" applyNumberFormat="1" applyFont="1" applyFill="1" applyBorder="1" applyAlignment="1">
      <alignment horizontal="right" vertical="center"/>
    </xf>
    <xf numFmtId="164" fontId="2" fillId="3" borderId="1" xfId="0" applyNumberFormat="1" applyFont="1" applyFill="1" applyBorder="1" applyAlignment="1">
      <alignment horizontal="right" vertical="center"/>
    </xf>
    <xf numFmtId="4" fontId="2" fillId="3" borderId="1" xfId="0" applyNumberFormat="1" applyFont="1" applyFill="1" applyBorder="1" applyAlignment="1">
      <alignment horizontal="center" vertical="center" wrapText="1"/>
    </xf>
    <xf numFmtId="165" fontId="4" fillId="4" borderId="1" xfId="0" applyNumberFormat="1" applyFont="1" applyFill="1" applyBorder="1"/>
    <xf numFmtId="0" fontId="5" fillId="3" borderId="1" xfId="0" applyFont="1" applyFill="1" applyBorder="1" applyAlignment="1">
      <alignment horizontal="left"/>
    </xf>
    <xf numFmtId="0" fontId="1" fillId="3" borderId="1" xfId="1" applyFont="1" applyFill="1" applyBorder="1" applyAlignment="1">
      <alignment horizontal="left" vertical="center"/>
    </xf>
    <xf numFmtId="0" fontId="1" fillId="0" borderId="0" xfId="0" applyFont="1"/>
    <xf numFmtId="0" fontId="7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 wrapText="1"/>
    </xf>
    <xf numFmtId="0" fontId="8" fillId="0" borderId="0" xfId="0" applyFont="1" applyAlignment="1">
      <alignment horizontal="left" vertical="center"/>
    </xf>
    <xf numFmtId="0" fontId="8" fillId="0" borderId="0" xfId="0" applyFont="1"/>
    <xf numFmtId="0" fontId="9" fillId="0" borderId="0" xfId="0" applyFont="1" applyAlignment="1">
      <alignment horizontal="center"/>
    </xf>
  </cellXfs>
  <cellStyles count="2">
    <cellStyle name="NiveauLigne_4" xfId="1" builtinId="1" iLevel="3"/>
    <cellStyle name="Normal" xfId="0" builtinId="0"/>
  </cellStyles>
  <dxfs count="2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W22"/>
  <sheetViews>
    <sheetView tabSelected="1" workbookViewId="0">
      <selection sqref="A1:XFD1048576"/>
    </sheetView>
  </sheetViews>
  <sheetFormatPr baseColWidth="10" defaultRowHeight="15" outlineLevelCol="1" x14ac:dyDescent="0.25"/>
  <cols>
    <col min="1" max="1" width="22.7109375" bestFit="1" customWidth="1" outlineLevel="1"/>
    <col min="2" max="2" width="17.5703125" customWidth="1"/>
    <col min="3" max="3" width="27.7109375" customWidth="1"/>
    <col min="4" max="4" width="10.5703125" customWidth="1"/>
    <col min="5" max="5" width="9.5703125" bestFit="1" customWidth="1"/>
    <col min="6" max="7" width="4" customWidth="1"/>
    <col min="8" max="8" width="3.7109375" customWidth="1"/>
    <col min="9" max="10" width="3.85546875" customWidth="1"/>
    <col min="11" max="11" width="4.140625" customWidth="1"/>
    <col min="12" max="12" width="4.42578125" customWidth="1"/>
    <col min="13" max="14" width="4.5703125" customWidth="1"/>
    <col min="15" max="18" width="4" customWidth="1"/>
    <col min="19" max="21" width="4.5703125" customWidth="1"/>
    <col min="22" max="22" width="9.140625" customWidth="1"/>
    <col min="23" max="23" width="14" customWidth="1"/>
  </cols>
  <sheetData>
    <row r="4" spans="1:23" x14ac:dyDescent="0.25">
      <c r="H4" s="1" t="s">
        <v>0</v>
      </c>
      <c r="I4" s="1"/>
    </row>
    <row r="7" spans="1:23" ht="15" customHeight="1" x14ac:dyDescent="0.25">
      <c r="A7" s="2" t="s">
        <v>1</v>
      </c>
      <c r="B7" s="2" t="s">
        <v>2</v>
      </c>
      <c r="C7" s="2" t="s">
        <v>3</v>
      </c>
      <c r="D7" s="2" t="s">
        <v>4</v>
      </c>
      <c r="E7" s="2" t="s">
        <v>5</v>
      </c>
      <c r="F7" s="3" t="s">
        <v>6</v>
      </c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5"/>
      <c r="W7" s="2" t="s">
        <v>7</v>
      </c>
    </row>
    <row r="8" spans="1:23" ht="23.25" customHeight="1" x14ac:dyDescent="0.25">
      <c r="A8" s="2"/>
      <c r="B8" s="2"/>
      <c r="C8" s="2"/>
      <c r="D8" s="2"/>
      <c r="E8" s="2"/>
      <c r="F8" s="6">
        <v>16</v>
      </c>
      <c r="G8" s="6">
        <v>17</v>
      </c>
      <c r="H8" s="6">
        <v>18</v>
      </c>
      <c r="I8" s="6">
        <v>19</v>
      </c>
      <c r="J8" s="6">
        <v>20</v>
      </c>
      <c r="K8" s="6">
        <v>21</v>
      </c>
      <c r="L8" s="6">
        <v>22</v>
      </c>
      <c r="M8" s="6">
        <v>23</v>
      </c>
      <c r="N8" s="6">
        <v>24</v>
      </c>
      <c r="O8" s="6">
        <v>25</v>
      </c>
      <c r="P8" s="6">
        <v>26</v>
      </c>
      <c r="Q8" s="6">
        <v>27</v>
      </c>
      <c r="R8" s="6">
        <v>28</v>
      </c>
      <c r="S8" s="6">
        <v>29</v>
      </c>
      <c r="T8" s="6">
        <v>30</v>
      </c>
      <c r="U8" s="6">
        <v>31</v>
      </c>
      <c r="V8" s="6" t="s">
        <v>8</v>
      </c>
      <c r="W8" s="2"/>
    </row>
    <row r="9" spans="1:23" x14ac:dyDescent="0.25">
      <c r="A9" s="7" t="s">
        <v>9</v>
      </c>
      <c r="B9" s="7" t="s">
        <v>10</v>
      </c>
      <c r="C9" s="7" t="s">
        <v>11</v>
      </c>
      <c r="D9" s="8">
        <v>450</v>
      </c>
      <c r="E9" s="7" t="s">
        <v>12</v>
      </c>
      <c r="F9" s="9">
        <v>1</v>
      </c>
      <c r="G9" s="9">
        <v>1</v>
      </c>
      <c r="H9" s="9">
        <v>1</v>
      </c>
      <c r="I9" s="9"/>
      <c r="J9" s="9"/>
      <c r="K9" s="9"/>
      <c r="L9" s="9"/>
      <c r="M9" s="9"/>
      <c r="N9" s="9"/>
      <c r="O9" s="9">
        <v>1</v>
      </c>
      <c r="P9" s="9"/>
      <c r="Q9" s="9">
        <v>1</v>
      </c>
      <c r="R9" s="9">
        <v>1</v>
      </c>
      <c r="S9" s="9">
        <v>2</v>
      </c>
      <c r="T9" s="9">
        <v>2</v>
      </c>
      <c r="U9" s="9">
        <v>2</v>
      </c>
      <c r="V9" s="10">
        <f>SUM(F9:U9)</f>
        <v>12</v>
      </c>
      <c r="W9" s="11">
        <f>(V9*D9)</f>
        <v>5400</v>
      </c>
    </row>
    <row r="10" spans="1:23" x14ac:dyDescent="0.25">
      <c r="A10" s="7" t="s">
        <v>13</v>
      </c>
      <c r="B10" s="7" t="s">
        <v>10</v>
      </c>
      <c r="C10" s="7" t="s">
        <v>14</v>
      </c>
      <c r="D10" s="8">
        <v>450</v>
      </c>
      <c r="E10" s="7" t="s">
        <v>12</v>
      </c>
      <c r="F10" s="9">
        <v>1</v>
      </c>
      <c r="G10" s="9">
        <v>1</v>
      </c>
      <c r="H10" s="9">
        <v>1</v>
      </c>
      <c r="I10" s="9">
        <v>1</v>
      </c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10">
        <f t="shared" ref="V10:V19" si="0">SUM(F10:U10)</f>
        <v>4</v>
      </c>
      <c r="W10" s="11">
        <f t="shared" ref="W10:W19" si="1">(V10*D10)</f>
        <v>1800</v>
      </c>
    </row>
    <row r="11" spans="1:23" x14ac:dyDescent="0.25">
      <c r="A11" s="12" t="s">
        <v>15</v>
      </c>
      <c r="B11" s="7" t="s">
        <v>16</v>
      </c>
      <c r="C11" s="7" t="s">
        <v>17</v>
      </c>
      <c r="D11" s="8">
        <v>400</v>
      </c>
      <c r="E11" s="7" t="s">
        <v>12</v>
      </c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>
        <v>1</v>
      </c>
      <c r="S11" s="9">
        <v>1</v>
      </c>
      <c r="T11" s="9">
        <v>1</v>
      </c>
      <c r="U11" s="9">
        <v>1</v>
      </c>
      <c r="V11" s="10">
        <f t="shared" si="0"/>
        <v>4</v>
      </c>
      <c r="W11" s="11">
        <f t="shared" si="1"/>
        <v>1600</v>
      </c>
    </row>
    <row r="12" spans="1:23" x14ac:dyDescent="0.25">
      <c r="A12" s="7" t="s">
        <v>18</v>
      </c>
      <c r="B12" s="7" t="s">
        <v>19</v>
      </c>
      <c r="C12" s="7" t="s">
        <v>20</v>
      </c>
      <c r="D12" s="8">
        <v>250</v>
      </c>
      <c r="E12" s="7" t="s">
        <v>21</v>
      </c>
      <c r="F12" s="9">
        <v>6.5</v>
      </c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>
        <v>7</v>
      </c>
      <c r="T12" s="9">
        <v>7</v>
      </c>
      <c r="U12" s="9">
        <v>9</v>
      </c>
      <c r="V12" s="10">
        <f t="shared" si="0"/>
        <v>29.5</v>
      </c>
      <c r="W12" s="11">
        <f t="shared" si="1"/>
        <v>7375</v>
      </c>
    </row>
    <row r="13" spans="1:23" x14ac:dyDescent="0.25">
      <c r="A13" s="7" t="s">
        <v>22</v>
      </c>
      <c r="B13" s="7" t="s">
        <v>10</v>
      </c>
      <c r="C13" s="7" t="s">
        <v>11</v>
      </c>
      <c r="D13" s="8">
        <v>450</v>
      </c>
      <c r="E13" s="7" t="s">
        <v>23</v>
      </c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>
        <v>1</v>
      </c>
      <c r="T13" s="9"/>
      <c r="U13" s="9"/>
      <c r="V13" s="10">
        <f t="shared" si="0"/>
        <v>1</v>
      </c>
      <c r="W13" s="11">
        <f t="shared" si="1"/>
        <v>450</v>
      </c>
    </row>
    <row r="14" spans="1:23" x14ac:dyDescent="0.25">
      <c r="A14" s="13" t="s">
        <v>24</v>
      </c>
      <c r="B14" s="7" t="s">
        <v>25</v>
      </c>
      <c r="C14" s="7" t="s">
        <v>26</v>
      </c>
      <c r="D14" s="8">
        <v>100</v>
      </c>
      <c r="E14" s="7" t="s">
        <v>23</v>
      </c>
      <c r="F14" s="9">
        <v>2</v>
      </c>
      <c r="G14" s="9">
        <v>2</v>
      </c>
      <c r="H14" s="9">
        <v>2</v>
      </c>
      <c r="I14" s="9">
        <v>3</v>
      </c>
      <c r="J14" s="9"/>
      <c r="K14" s="9"/>
      <c r="L14" s="9"/>
      <c r="M14" s="9">
        <v>1</v>
      </c>
      <c r="N14" s="9">
        <v>1</v>
      </c>
      <c r="O14" s="9">
        <v>2</v>
      </c>
      <c r="P14" s="9"/>
      <c r="Q14" s="9">
        <v>1</v>
      </c>
      <c r="R14" s="9">
        <v>2</v>
      </c>
      <c r="S14" s="9"/>
      <c r="T14" s="9"/>
      <c r="U14" s="9">
        <v>1</v>
      </c>
      <c r="V14" s="10">
        <f t="shared" si="0"/>
        <v>17</v>
      </c>
      <c r="W14" s="11">
        <f t="shared" si="1"/>
        <v>1700</v>
      </c>
    </row>
    <row r="15" spans="1:23" x14ac:dyDescent="0.25">
      <c r="A15" s="13" t="s">
        <v>27</v>
      </c>
      <c r="B15" s="7" t="s">
        <v>10</v>
      </c>
      <c r="C15" s="14" t="s">
        <v>28</v>
      </c>
      <c r="D15" s="8">
        <v>400</v>
      </c>
      <c r="E15" s="7" t="s">
        <v>12</v>
      </c>
      <c r="F15" s="9">
        <v>1</v>
      </c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10">
        <f t="shared" si="0"/>
        <v>1</v>
      </c>
      <c r="W15" s="11">
        <f t="shared" si="1"/>
        <v>400</v>
      </c>
    </row>
    <row r="16" spans="1:23" x14ac:dyDescent="0.25">
      <c r="A16" s="7" t="s">
        <v>29</v>
      </c>
      <c r="B16" s="7" t="s">
        <v>25</v>
      </c>
      <c r="C16" s="7" t="s">
        <v>30</v>
      </c>
      <c r="D16" s="8">
        <v>200</v>
      </c>
      <c r="E16" s="7" t="s">
        <v>23</v>
      </c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>
        <v>1</v>
      </c>
      <c r="U16" s="9"/>
      <c r="V16" s="10">
        <f t="shared" si="0"/>
        <v>1</v>
      </c>
      <c r="W16" s="11">
        <f t="shared" si="1"/>
        <v>200</v>
      </c>
    </row>
    <row r="17" spans="1:23" x14ac:dyDescent="0.25">
      <c r="A17" s="13" t="s">
        <v>24</v>
      </c>
      <c r="B17" s="7" t="s">
        <v>25</v>
      </c>
      <c r="C17" s="7" t="s">
        <v>30</v>
      </c>
      <c r="D17" s="8">
        <v>100</v>
      </c>
      <c r="E17" s="7" t="s">
        <v>23</v>
      </c>
      <c r="F17" s="9"/>
      <c r="G17" s="9"/>
      <c r="H17" s="9"/>
      <c r="I17" s="9">
        <v>1</v>
      </c>
      <c r="J17" s="9"/>
      <c r="K17" s="9"/>
      <c r="L17" s="9"/>
      <c r="M17" s="9"/>
      <c r="N17" s="9"/>
      <c r="O17" s="9">
        <v>1</v>
      </c>
      <c r="P17" s="9"/>
      <c r="Q17" s="9"/>
      <c r="R17" s="9"/>
      <c r="S17" s="9"/>
      <c r="T17" s="9"/>
      <c r="U17" s="9"/>
      <c r="V17" s="10">
        <f t="shared" si="0"/>
        <v>2</v>
      </c>
      <c r="W17" s="11">
        <f t="shared" si="1"/>
        <v>200</v>
      </c>
    </row>
    <row r="18" spans="1:23" x14ac:dyDescent="0.25">
      <c r="A18" s="7" t="s">
        <v>31</v>
      </c>
      <c r="B18" s="7" t="s">
        <v>32</v>
      </c>
      <c r="C18" s="7" t="s">
        <v>30</v>
      </c>
      <c r="D18" s="8">
        <v>150</v>
      </c>
      <c r="E18" s="7" t="s">
        <v>23</v>
      </c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>
        <v>1</v>
      </c>
      <c r="S18" s="9"/>
      <c r="T18" s="9"/>
      <c r="U18" s="9">
        <v>1</v>
      </c>
      <c r="V18" s="10">
        <f t="shared" si="0"/>
        <v>2</v>
      </c>
      <c r="W18" s="11">
        <f t="shared" si="1"/>
        <v>300</v>
      </c>
    </row>
    <row r="19" spans="1:23" x14ac:dyDescent="0.25">
      <c r="A19" s="7" t="s">
        <v>29</v>
      </c>
      <c r="B19" s="7" t="s">
        <v>33</v>
      </c>
      <c r="C19" s="7" t="s">
        <v>33</v>
      </c>
      <c r="D19" s="8">
        <v>500</v>
      </c>
      <c r="E19" s="7" t="s">
        <v>23</v>
      </c>
      <c r="F19" s="9">
        <v>2</v>
      </c>
      <c r="G19" s="9">
        <v>2</v>
      </c>
      <c r="H19" s="9">
        <v>2</v>
      </c>
      <c r="I19" s="9">
        <v>2</v>
      </c>
      <c r="J19" s="9">
        <v>1</v>
      </c>
      <c r="K19" s="9">
        <v>1</v>
      </c>
      <c r="L19" s="9">
        <v>2</v>
      </c>
      <c r="M19" s="9">
        <v>3</v>
      </c>
      <c r="N19" s="9">
        <v>3</v>
      </c>
      <c r="O19" s="9">
        <v>3</v>
      </c>
      <c r="P19" s="9">
        <v>2</v>
      </c>
      <c r="Q19" s="9">
        <v>2</v>
      </c>
      <c r="R19" s="9">
        <v>3</v>
      </c>
      <c r="S19" s="9">
        <v>2</v>
      </c>
      <c r="T19" s="9">
        <v>2</v>
      </c>
      <c r="U19" s="9">
        <v>2</v>
      </c>
      <c r="V19" s="10">
        <f t="shared" si="0"/>
        <v>34</v>
      </c>
      <c r="W19" s="11">
        <f t="shared" si="1"/>
        <v>17000</v>
      </c>
    </row>
    <row r="20" spans="1:23" ht="18.75" x14ac:dyDescent="0.25">
      <c r="A20" s="15" t="s">
        <v>34</v>
      </c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7"/>
      <c r="W20" s="18">
        <f>SUM(W9:W19)</f>
        <v>36425</v>
      </c>
    </row>
    <row r="22" spans="1:23" ht="21" x14ac:dyDescent="0.35">
      <c r="A22" s="19" t="s">
        <v>35</v>
      </c>
      <c r="C22" s="19" t="s">
        <v>36</v>
      </c>
      <c r="M22" s="20" t="s">
        <v>37</v>
      </c>
      <c r="T22" s="21"/>
    </row>
  </sheetData>
  <mergeCells count="8">
    <mergeCell ref="W7:W8"/>
    <mergeCell ref="A20:V20"/>
    <mergeCell ref="A7:A8"/>
    <mergeCell ref="B7:B8"/>
    <mergeCell ref="C7:C8"/>
    <mergeCell ref="D7:D8"/>
    <mergeCell ref="E7:E8"/>
    <mergeCell ref="F7:V7"/>
  </mergeCells>
  <conditionalFormatting sqref="A14:A15">
    <cfRule type="duplicateValues" dxfId="23" priority="13"/>
    <cfRule type="duplicateValues" dxfId="22" priority="14"/>
    <cfRule type="duplicateValues" dxfId="21" priority="15"/>
    <cfRule type="duplicateValues" dxfId="20" priority="16"/>
    <cfRule type="duplicateValues" dxfId="19" priority="17"/>
    <cfRule type="duplicateValues" dxfId="18" priority="18"/>
  </conditionalFormatting>
  <conditionalFormatting sqref="A17">
    <cfRule type="duplicateValues" dxfId="17" priority="19"/>
    <cfRule type="duplicateValues" dxfId="16" priority="20"/>
    <cfRule type="duplicateValues" dxfId="15" priority="21"/>
    <cfRule type="duplicateValues" dxfId="14" priority="22"/>
    <cfRule type="duplicateValues" dxfId="13" priority="23"/>
    <cfRule type="duplicateValues" dxfId="12" priority="24"/>
  </conditionalFormatting>
  <conditionalFormatting sqref="A11">
    <cfRule type="duplicateValues" dxfId="11" priority="6"/>
  </conditionalFormatting>
  <conditionalFormatting sqref="A11">
    <cfRule type="duplicateValues" dxfId="10" priority="3"/>
    <cfRule type="duplicateValues" dxfId="9" priority="4"/>
    <cfRule type="duplicateValues" dxfId="8" priority="5"/>
  </conditionalFormatting>
  <conditionalFormatting sqref="A11">
    <cfRule type="duplicateValues" dxfId="7" priority="9"/>
    <cfRule type="duplicateValues" dxfId="6" priority="10"/>
    <cfRule type="duplicateValues" dxfId="5" priority="11"/>
  </conditionalFormatting>
  <conditionalFormatting sqref="A11">
    <cfRule type="duplicateValues" dxfId="4" priority="12"/>
  </conditionalFormatting>
  <conditionalFormatting sqref="A11">
    <cfRule type="duplicateValues" dxfId="3" priority="1"/>
  </conditionalFormatting>
  <conditionalFormatting sqref="A11">
    <cfRule type="duplicateValues" dxfId="2" priority="2"/>
  </conditionalFormatting>
  <conditionalFormatting sqref="A11">
    <cfRule type="duplicateValues" dxfId="1" priority="7"/>
  </conditionalFormatting>
  <conditionalFormatting sqref="A11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HAMZA ALLAOUI</cp:lastModifiedBy>
  <dcterms:created xsi:type="dcterms:W3CDTF">2015-06-05T18:19:34Z</dcterms:created>
  <dcterms:modified xsi:type="dcterms:W3CDTF">2026-04-03T14:31:30Z</dcterms:modified>
</cp:coreProperties>
</file>