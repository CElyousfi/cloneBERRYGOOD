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RAF\OneDrive\Bureau\BAHIA\"/>
    </mc:Choice>
  </mc:AlternateContent>
  <bookViews>
    <workbookView xWindow="0" yWindow="0" windowWidth="20490" windowHeight="9915" tabRatio="588" activeTab="2"/>
  </bookViews>
  <sheets>
    <sheet name="Alim D M Omar" sheetId="9" r:id="rId1"/>
    <sheet name="La Balance " sheetId="8" r:id="rId2"/>
    <sheet name="Les dépenses" sheetId="3" r:id="rId3"/>
    <sheet name="M.O CONSTRICTION STATION IRRIGA" sheetId="7" r:id="rId4"/>
    <sheet name="LA BASE " sheetId="6" r:id="rId5"/>
    <sheet name="Formulaire" sheetId="1" r:id="rId6"/>
    <sheet name="Données" sheetId="2" r:id="rId7"/>
    <sheet name="Données Dynamiques" sheetId="5" r:id="rId8"/>
  </sheets>
  <externalReferences>
    <externalReference r:id="rId9"/>
  </externalReferences>
  <definedNames>
    <definedName name="_xlnm._FilterDatabase" localSheetId="1" hidden="1">'La Balance '!$A$6:$L$6</definedName>
    <definedName name="_xlnm._FilterDatabase" localSheetId="2" hidden="1">'Les dépenses'!$A$8:$N$465</definedName>
    <definedName name="Bassin">Données!$E$2:$E$4</definedName>
    <definedName name="Brises_Vent">Données!$L$2:$L$7</definedName>
    <definedName name="Brumisation">Données!$H$2:$H$5</definedName>
    <definedName name="Cloture">Données!$M$2:$M$4</definedName>
    <definedName name="Dettes">Données!$J$2:$J$7</definedName>
    <definedName name="Electrification">Données!$G$2:$G$4</definedName>
    <definedName name="Etudes">Données!$C$2:$C$4</definedName>
    <definedName name="Exploitation_Ferme">Données!$B$2:$B$9</definedName>
    <definedName name="Forage">Données!$D$2:$D$5</definedName>
    <definedName name="Irrigation">Données!$F$2:$F$7</definedName>
    <definedName name="ListeCategories">Données!$A$2:$A$13</definedName>
    <definedName name="PLANTATION">Données!$K$2:$K$5</definedName>
    <definedName name="Préparation">Données!$I$2:$I$6</definedName>
    <definedName name="_xlnm.Print_Area" localSheetId="1">'La Balance '!$A$6:$G$83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4" i="8" l="1"/>
  <c r="I84" i="8" l="1"/>
  <c r="C5" i="3" l="1"/>
  <c r="D20" i="9" l="1"/>
  <c r="C20" i="9" l="1"/>
  <c r="E20" i="9"/>
  <c r="H9" i="3" l="1"/>
  <c r="K3" i="8" l="1"/>
  <c r="C6" i="3"/>
  <c r="H10" i="3" l="1"/>
  <c r="H11" i="3" s="1"/>
  <c r="M2" i="5" l="1" a="1"/>
  <c r="M2" i="5" s="1"/>
  <c r="L2" i="5" a="1"/>
  <c r="L2" i="5" s="1"/>
  <c r="K2" i="5" a="1"/>
  <c r="K2" i="5" s="1"/>
  <c r="J2" i="5" a="1"/>
  <c r="J2" i="5" s="1"/>
  <c r="I2" i="5" a="1"/>
  <c r="I2" i="5" s="1"/>
  <c r="H2" i="5" a="1"/>
  <c r="H2" i="5" s="1"/>
  <c r="G2" i="5" a="1"/>
  <c r="G2" i="5" s="1"/>
  <c r="F2" i="5" a="1"/>
  <c r="F2" i="5" s="1"/>
  <c r="E2" i="5" a="1"/>
  <c r="E2" i="5" s="1"/>
  <c r="D2" i="5" a="1"/>
  <c r="D2" i="5" s="1"/>
  <c r="C2" i="5" a="1"/>
  <c r="C2" i="5" s="1"/>
  <c r="B2" i="5" a="1"/>
  <c r="B2" i="5" s="1"/>
  <c r="C7" i="3" l="1"/>
  <c r="A2" i="5" a="1"/>
  <c r="A2" i="5" s="1"/>
  <c r="M4" i="5"/>
  <c r="M3" i="5"/>
  <c r="L7" i="5"/>
  <c r="L6" i="5"/>
  <c r="L5" i="5"/>
  <c r="L4" i="5"/>
  <c r="L3" i="5"/>
  <c r="K5" i="5"/>
  <c r="K4" i="5"/>
  <c r="K3" i="5"/>
  <c r="J7" i="5"/>
  <c r="J6" i="5"/>
  <c r="J5" i="5"/>
  <c r="J4" i="5"/>
  <c r="J3" i="5"/>
  <c r="I6" i="5"/>
  <c r="I5" i="5"/>
  <c r="I4" i="5"/>
  <c r="I3" i="5"/>
  <c r="H5" i="5"/>
  <c r="H4" i="5"/>
  <c r="H3" i="5"/>
  <c r="G4" i="5"/>
  <c r="G3" i="5"/>
  <c r="F7" i="5"/>
  <c r="F6" i="5"/>
  <c r="F5" i="5"/>
  <c r="F4" i="5"/>
  <c r="F3" i="5"/>
  <c r="E4" i="5"/>
  <c r="E3" i="5"/>
  <c r="D5" i="5"/>
  <c r="D4" i="5"/>
  <c r="D3" i="5"/>
  <c r="C4" i="5"/>
  <c r="C3" i="5"/>
  <c r="B9" i="5"/>
  <c r="B8" i="5"/>
  <c r="B7" i="5"/>
  <c r="B6" i="5"/>
  <c r="B5" i="5"/>
  <c r="B4" i="5"/>
  <c r="B3" i="5"/>
  <c r="A5" i="5" l="1"/>
  <c r="A9" i="5"/>
  <c r="A13" i="5"/>
  <c r="A6" i="5"/>
  <c r="A10" i="5"/>
  <c r="A3" i="5"/>
  <c r="A7" i="5"/>
  <c r="A11" i="5"/>
  <c r="A4" i="5"/>
  <c r="A8" i="5"/>
  <c r="A12" i="5"/>
  <c r="H12" i="3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H266" i="3" s="1"/>
  <c r="H267" i="3" s="1"/>
  <c r="H268" i="3" s="1"/>
  <c r="H269" i="3" s="1"/>
  <c r="H270" i="3" s="1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H281" i="3" s="1"/>
  <c r="H282" i="3" s="1"/>
  <c r="H283" i="3" s="1"/>
  <c r="H284" i="3" s="1"/>
  <c r="H285" i="3" s="1"/>
  <c r="H286" i="3" s="1"/>
  <c r="H287" i="3" s="1"/>
  <c r="H288" i="3" s="1"/>
  <c r="H289" i="3" s="1"/>
  <c r="H290" i="3" s="1"/>
  <c r="H291" i="3" s="1"/>
  <c r="H292" i="3" s="1"/>
  <c r="H293" i="3" s="1"/>
  <c r="H294" i="3" s="1"/>
  <c r="H295" i="3" s="1"/>
  <c r="H296" i="3" s="1"/>
  <c r="H297" i="3" s="1"/>
  <c r="H298" i="3" s="1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H313" i="3" s="1"/>
  <c r="H314" i="3" s="1"/>
  <c r="H315" i="3" s="1"/>
  <c r="H316" i="3" s="1"/>
  <c r="H317" i="3" s="1"/>
  <c r="H318" i="3" s="1"/>
  <c r="H319" i="3" s="1"/>
  <c r="H320" i="3" s="1"/>
  <c r="H321" i="3" s="1"/>
  <c r="H322" i="3" s="1"/>
  <c r="H323" i="3" s="1"/>
  <c r="H324" i="3" s="1"/>
  <c r="H325" i="3" s="1"/>
  <c r="H326" i="3" s="1"/>
  <c r="H327" i="3" s="1"/>
  <c r="H328" i="3" s="1"/>
  <c r="H329" i="3" s="1"/>
  <c r="H330" i="3" s="1"/>
  <c r="H331" i="3" s="1"/>
  <c r="H332" i="3" s="1"/>
  <c r="H333" i="3" s="1"/>
  <c r="H334" i="3" s="1"/>
  <c r="H335" i="3" s="1"/>
  <c r="H336" i="3" s="1"/>
  <c r="H337" i="3" s="1"/>
  <c r="H338" i="3" s="1"/>
  <c r="H339" i="3" s="1"/>
  <c r="H340" i="3" s="1"/>
  <c r="H341" i="3" s="1"/>
  <c r="H342" i="3" s="1"/>
  <c r="H343" i="3" s="1"/>
  <c r="H344" i="3" s="1"/>
  <c r="H345" i="3" s="1"/>
  <c r="H346" i="3" s="1"/>
  <c r="H347" i="3" s="1"/>
  <c r="H348" i="3" s="1"/>
  <c r="H349" i="3" s="1"/>
  <c r="H350" i="3" s="1"/>
  <c r="H351" i="3" s="1"/>
  <c r="H352" i="3" s="1"/>
  <c r="H353" i="3" s="1"/>
  <c r="H354" i="3" s="1"/>
  <c r="H355" i="3" s="1"/>
  <c r="H356" i="3" s="1"/>
  <c r="H357" i="3" s="1"/>
  <c r="H358" i="3" s="1"/>
  <c r="H359" i="3" s="1"/>
  <c r="H360" i="3" s="1"/>
  <c r="H361" i="3" s="1"/>
  <c r="H362" i="3" s="1"/>
  <c r="H363" i="3" s="1"/>
  <c r="H364" i="3" s="1"/>
  <c r="H365" i="3" s="1"/>
  <c r="H366" i="3" s="1"/>
  <c r="H367" i="3" s="1"/>
  <c r="H368" i="3" s="1"/>
  <c r="H369" i="3" s="1"/>
  <c r="H370" i="3" s="1"/>
  <c r="H371" i="3" s="1"/>
  <c r="H372" i="3" l="1"/>
  <c r="H373" i="3"/>
  <c r="H374" i="3" s="1"/>
  <c r="H375" i="3" s="1"/>
  <c r="H376" i="3" s="1"/>
  <c r="H377" i="3" s="1"/>
  <c r="H378" i="3" s="1"/>
  <c r="H380" i="3" l="1"/>
  <c r="H379" i="3"/>
  <c r="H381" i="3" l="1"/>
  <c r="H382" i="3"/>
  <c r="H383" i="3" s="1"/>
  <c r="H384" i="3" s="1"/>
  <c r="H385" i="3" s="1"/>
  <c r="H386" i="3" s="1"/>
  <c r="H387" i="3" s="1"/>
  <c r="H388" i="3" s="1"/>
  <c r="H389" i="3" s="1"/>
  <c r="H390" i="3" l="1"/>
  <c r="H391" i="3"/>
  <c r="H392" i="3" s="1"/>
  <c r="H393" i="3" s="1"/>
  <c r="H394" i="3" s="1"/>
  <c r="H395" i="3" s="1"/>
  <c r="H396" i="3" s="1"/>
  <c r="H397" i="3" s="1"/>
  <c r="H398" i="3" s="1"/>
  <c r="H399" i="3" s="1"/>
  <c r="H400" i="3" s="1"/>
  <c r="H401" i="3" s="1"/>
  <c r="H402" i="3" s="1"/>
  <c r="H403" i="3" s="1"/>
  <c r="H404" i="3" s="1"/>
  <c r="H405" i="3" s="1"/>
  <c r="H406" i="3" s="1"/>
  <c r="H407" i="3" s="1"/>
  <c r="H408" i="3" l="1"/>
  <c r="H409" i="3"/>
  <c r="H410" i="3" s="1"/>
  <c r="H411" i="3" s="1"/>
  <c r="H412" i="3" s="1"/>
  <c r="H413" i="3" s="1"/>
  <c r="H414" i="3" s="1"/>
  <c r="H415" i="3" s="1"/>
  <c r="H416" i="3" s="1"/>
  <c r="H417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H433" i="3" s="1"/>
  <c r="H434" i="3" s="1"/>
  <c r="H435" i="3" s="1"/>
  <c r="H436" i="3" s="1"/>
  <c r="H437" i="3" s="1"/>
  <c r="H438" i="3" s="1"/>
  <c r="H439" i="3" s="1"/>
  <c r="H440" i="3" s="1"/>
  <c r="H441" i="3" s="1"/>
  <c r="H442" i="3" l="1"/>
  <c r="H443" i="3" s="1"/>
  <c r="H444" i="3" s="1"/>
  <c r="H445" i="3" s="1"/>
  <c r="H446" i="3" s="1"/>
  <c r="H447" i="3" s="1"/>
  <c r="H448" i="3" s="1"/>
  <c r="H449" i="3" s="1"/>
  <c r="H450" i="3" s="1"/>
  <c r="H451" i="3" s="1"/>
  <c r="H452" i="3" s="1"/>
  <c r="H453" i="3" s="1"/>
  <c r="H454" i="3" s="1"/>
  <c r="H455" i="3" s="1"/>
  <c r="H456" i="3" s="1"/>
  <c r="H457" i="3" s="1"/>
  <c r="H458" i="3" s="1"/>
  <c r="H459" i="3" s="1"/>
  <c r="H460" i="3" s="1"/>
  <c r="H461" i="3" s="1"/>
  <c r="H462" i="3" s="1"/>
  <c r="H418" i="3"/>
  <c r="H463" i="3" l="1"/>
  <c r="H464" i="3" s="1"/>
  <c r="H465" i="3" s="1"/>
  <c r="H466" i="3" s="1"/>
  <c r="H467" i="3" s="1"/>
  <c r="H468" i="3" s="1"/>
  <c r="H469" i="3" s="1"/>
  <c r="H470" i="3" s="1"/>
  <c r="H471" i="3" s="1"/>
  <c r="H472" i="3" s="1"/>
  <c r="H473" i="3" s="1"/>
  <c r="H474" i="3" s="1"/>
  <c r="H475" i="3" s="1"/>
  <c r="H476" i="3" s="1"/>
  <c r="H477" i="3" s="1"/>
  <c r="H478" i="3" s="1"/>
  <c r="H479" i="3" s="1"/>
  <c r="H480" i="3" s="1"/>
  <c r="H481" i="3" s="1"/>
</calcChain>
</file>

<file path=xl/comments1.xml><?xml version="1.0" encoding="utf-8"?>
<comments xmlns="http://schemas.openxmlformats.org/spreadsheetml/2006/main">
  <authors>
    <author>ACHRAF</author>
  </authors>
  <commentList>
    <comment ref="D56" authorId="0" shapeId="0">
      <text>
        <r>
          <rPr>
            <b/>
            <sz val="9"/>
            <color indexed="81"/>
            <rFont val="Tahoma"/>
            <family val="2"/>
          </rPr>
          <t>ACHRAF:</t>
        </r>
        <r>
          <rPr>
            <sz val="9"/>
            <color indexed="81"/>
            <rFont val="Tahoma"/>
            <family val="2"/>
          </rPr>
          <t xml:space="preserve">
100000 / 60000BGF
40000 BAHIA 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<sst xmlns="http://schemas.openxmlformats.org/spreadsheetml/2006/main" count="2981" uniqueCount="502">
  <si>
    <t>Catégorie principale</t>
  </si>
  <si>
    <t>Poste</t>
  </si>
  <si>
    <t>Catégories</t>
  </si>
  <si>
    <t>Exploitation Ferme</t>
  </si>
  <si>
    <t>Etudes</t>
  </si>
  <si>
    <t>Forage</t>
  </si>
  <si>
    <t>Bassin</t>
  </si>
  <si>
    <t>Irrigation</t>
  </si>
  <si>
    <t>Electrification</t>
  </si>
  <si>
    <t>Brumisation</t>
  </si>
  <si>
    <t>Préparation</t>
  </si>
  <si>
    <t>Dettes</t>
  </si>
  <si>
    <t>PLANTATION</t>
  </si>
  <si>
    <t>Brises Vent</t>
  </si>
  <si>
    <t>Cloture</t>
  </si>
  <si>
    <t>Gasoil</t>
  </si>
  <si>
    <t>Topographe</t>
  </si>
  <si>
    <t>PVC</t>
  </si>
  <si>
    <t>Creusement</t>
  </si>
  <si>
    <t>Station de Tête - GO</t>
  </si>
  <si>
    <t>Travaux Electrification Moyenne Tension</t>
  </si>
  <si>
    <t>Brumisation - Asperseurs</t>
  </si>
  <si>
    <t>Arrache des Arbres</t>
  </si>
  <si>
    <t>ADA</t>
  </si>
  <si>
    <t>Piquetage &amp; Plantation</t>
  </si>
  <si>
    <t>Poteaux</t>
  </si>
  <si>
    <t>Filao - Achat</t>
  </si>
  <si>
    <t>Personnel</t>
  </si>
  <si>
    <t xml:space="preserve">Consultant </t>
  </si>
  <si>
    <t>Creusement (M.O)</t>
  </si>
  <si>
    <t>Geomembrane</t>
  </si>
  <si>
    <t>Station de Tête - Equipement &amp; Installation</t>
  </si>
  <si>
    <t xml:space="preserve">Peines &amp; Soins </t>
  </si>
  <si>
    <t>Brumisation - Tubing</t>
  </si>
  <si>
    <t>Sous Solage</t>
  </si>
  <si>
    <t>CNSS</t>
  </si>
  <si>
    <t>Plants</t>
  </si>
  <si>
    <t>Fil de Fer</t>
  </si>
  <si>
    <t>Filao - Plantation</t>
  </si>
  <si>
    <t>Réparation</t>
  </si>
  <si>
    <t>BET Irrigation</t>
  </si>
  <si>
    <t>Pompe et Accessoires</t>
  </si>
  <si>
    <t>Pose</t>
  </si>
  <si>
    <t xml:space="preserve">Tranchées </t>
  </si>
  <si>
    <t>Travaux Basse Tension</t>
  </si>
  <si>
    <t>Brumisation - Pose</t>
  </si>
  <si>
    <t>Labour Cover Crop</t>
  </si>
  <si>
    <t>ORMVA</t>
  </si>
  <si>
    <t>Tuteurs Arbre</t>
  </si>
  <si>
    <t>Brise Vent</t>
  </si>
  <si>
    <t>Rénovation</t>
  </si>
  <si>
    <t>ORMVAL</t>
  </si>
  <si>
    <t>Montage (M.O)</t>
  </si>
  <si>
    <t>PVC &amp; Accessoires- Fourniture</t>
  </si>
  <si>
    <t>Brumisation - Fil de Fer</t>
  </si>
  <si>
    <t>Drainage</t>
  </si>
  <si>
    <t>Fournisseurs</t>
  </si>
  <si>
    <t xml:space="preserve">Couvre Sol </t>
  </si>
  <si>
    <t>Grillage</t>
  </si>
  <si>
    <t>PVC &amp; Accessoires- Pose</t>
  </si>
  <si>
    <t xml:space="preserve">Ados </t>
  </si>
  <si>
    <t>Cash Out</t>
  </si>
  <si>
    <t>Main d'Œuvre</t>
  </si>
  <si>
    <t>Engrais</t>
  </si>
  <si>
    <t>Goutte à goutte</t>
  </si>
  <si>
    <t>BAHIA</t>
  </si>
  <si>
    <t>Sable &amp; Ciment</t>
  </si>
  <si>
    <t>Phytosanitaires</t>
  </si>
  <si>
    <t>Solde Initial :</t>
  </si>
  <si>
    <t xml:space="preserve">SITUATION DE LA CAISSES DES DEPENSES FERME BAHIA AGRICOLE SARL </t>
  </si>
  <si>
    <t>Total Débit  :</t>
  </si>
  <si>
    <t>Total Crédit :</t>
  </si>
  <si>
    <t>Solde Final :</t>
  </si>
  <si>
    <t>VARIété</t>
  </si>
  <si>
    <t>Date</t>
  </si>
  <si>
    <t>Désignation</t>
  </si>
  <si>
    <t>Montant
 Débit</t>
  </si>
  <si>
    <t>Montant
 Crédit</t>
  </si>
  <si>
    <t>Solde</t>
  </si>
  <si>
    <t>Fournisseur/Beneficiaire</t>
  </si>
  <si>
    <t>N° de 
Piéce</t>
  </si>
  <si>
    <t>N° de la 
Facture</t>
  </si>
  <si>
    <t>Remarque</t>
  </si>
  <si>
    <t xml:space="preserve">18 Bouteille de Gaz  </t>
  </si>
  <si>
    <t>9 kg la graisse</t>
  </si>
  <si>
    <t xml:space="preserve">Droguerie LAOUMRA </t>
  </si>
  <si>
    <t>63 M PVC Et 3kg COLLE et fils d'attache 70m</t>
  </si>
  <si>
    <t xml:space="preserve">Sté oum jihad </t>
  </si>
  <si>
    <t xml:space="preserve">100m Teyau et Batterie </t>
  </si>
  <si>
    <t xml:space="preserve">Réparation contacte de Tracteur </t>
  </si>
  <si>
    <t xml:space="preserve">Réparation Eléctricité Autos </t>
  </si>
  <si>
    <t xml:space="preserve">Achat filtre de gasoil et filtre oil </t>
  </si>
  <si>
    <t xml:space="preserve">Piéce Auto Agricole </t>
  </si>
  <si>
    <t xml:space="preserve">M.O vidange Tracteur </t>
  </si>
  <si>
    <t xml:space="preserve">sté oum jihad </t>
  </si>
  <si>
    <t xml:space="preserve">40L GASOIL </t>
  </si>
  <si>
    <t>CODE ANALYTIQUE 1</t>
  </si>
  <si>
    <t>CODE ANALYTIQUE 2</t>
  </si>
  <si>
    <t>Gaz</t>
  </si>
  <si>
    <t>200 Jenction "20"</t>
  </si>
  <si>
    <t>Achat matiriél d'irrigation ''TABA"</t>
  </si>
  <si>
    <t>Achat matériél d'irriagtion  "forage deux puits "</t>
  </si>
  <si>
    <t>Droguerie KHALIL</t>
  </si>
  <si>
    <t>MAHDI ZAKNANA</t>
  </si>
  <si>
    <t xml:space="preserve">Réparation radiatour de Tracteur </t>
  </si>
  <si>
    <t xml:space="preserve">Achat les jonction </t>
  </si>
  <si>
    <t>YASSIN EL AOUFI</t>
  </si>
  <si>
    <t xml:space="preserve">AHMED EL MODEN </t>
  </si>
  <si>
    <t xml:space="preserve">DROGUERIE LOUKOUS </t>
  </si>
  <si>
    <t xml:space="preserve">Paiement Tractouriste nettoyage dégagemnts déchet </t>
  </si>
  <si>
    <t>Paiement M.O 3 GARDIEN ET TRACTOURISTE  1ér QNZ AVRIL</t>
  </si>
  <si>
    <t xml:space="preserve">BERRY GOOD FARMS </t>
  </si>
  <si>
    <t>Paiement M.O 3 GARDIEN ET TRACTOURISTE  2éme  QNZ AVRIL</t>
  </si>
  <si>
    <t>-</t>
  </si>
  <si>
    <t>Avance M.O FORAGE "5 PUITS "</t>
  </si>
  <si>
    <t xml:space="preserve">N° PIECE </t>
  </si>
  <si>
    <t xml:space="preserve">Transport kenitra à larache "Matériél d'irriagtion''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</si>
  <si>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COMMANDE des Engrais   </t>
    </r>
    <r>
      <rPr>
        <b/>
        <sz val="11"/>
        <color rgb="FFFF0000"/>
        <rFont val="Cambria"/>
        <family val="1"/>
        <scheme val="major"/>
      </rPr>
      <t>BGF</t>
    </r>
    <r>
      <rPr>
        <b/>
        <sz val="11"/>
        <color theme="1"/>
        <rFont val="Cambria"/>
        <family val="1"/>
        <scheme val="major"/>
      </rPr>
      <t xml:space="preserve"> " OPAL / RHIZO FER "</t>
    </r>
  </si>
  <si>
    <t xml:space="preserve">Achat 3  hachettes </t>
  </si>
  <si>
    <t>Nettoyage</t>
  </si>
  <si>
    <t>Désherbage</t>
  </si>
  <si>
    <t xml:space="preserve">LES AGRUMES </t>
  </si>
  <si>
    <t xml:space="preserve">AVOCAT </t>
  </si>
  <si>
    <t xml:space="preserve">B6 -61Ha </t>
  </si>
  <si>
    <t xml:space="preserve">B7-36Ha  </t>
  </si>
  <si>
    <t xml:space="preserve">FERME </t>
  </si>
  <si>
    <t>97HA</t>
  </si>
  <si>
    <t xml:space="preserve">Ferme / Ha </t>
  </si>
  <si>
    <t xml:space="preserve">forage deux puits </t>
  </si>
  <si>
    <t>Achat matériél d'irriagtion pour les agrumes</t>
  </si>
  <si>
    <t xml:space="preserve">Achat 80 unité jonction </t>
  </si>
  <si>
    <t xml:space="preserve">Achat 15L l'eau radiatour Tracteur </t>
  </si>
  <si>
    <t xml:space="preserve">Achat 2 chambreir Tracteur </t>
  </si>
  <si>
    <t>Achat 5kg fils d'attache 5 les Tenailles</t>
  </si>
  <si>
    <r>
      <t xml:space="preserve">TOTAL AL BOUSTANE / </t>
    </r>
    <r>
      <rPr>
        <b/>
        <sz val="11"/>
        <color rgb="FFFF0000"/>
        <rFont val="Cambria"/>
        <family val="1"/>
        <scheme val="major"/>
      </rPr>
      <t>BGF</t>
    </r>
  </si>
  <si>
    <t>ORDRE DE DEPENSES</t>
  </si>
  <si>
    <t xml:space="preserve">Location moteur electricité </t>
  </si>
  <si>
    <t xml:space="preserve">Achat matiriél d'irrigation </t>
  </si>
  <si>
    <t xml:space="preserve">Réparation pompe Tracteur </t>
  </si>
  <si>
    <t xml:space="preserve">Réparation Automiseur </t>
  </si>
  <si>
    <t xml:space="preserve">M.O Réparation pompe Tracteur </t>
  </si>
  <si>
    <t xml:space="preserve">Avance sur salaire M.O constriction station irrigation </t>
  </si>
  <si>
    <t xml:space="preserve">Achat Matiriél pour constriction station irrigation </t>
  </si>
  <si>
    <t>ABDEL RAHMAN KHADRI</t>
  </si>
  <si>
    <t xml:space="preserve">Sté agri harouache </t>
  </si>
  <si>
    <t xml:space="preserve">Achat 200kg ammonitarate et 250 kg sulfate mag </t>
  </si>
  <si>
    <t xml:space="preserve">Réparation piéce agri culture </t>
  </si>
  <si>
    <t xml:space="preserve">Achat matiére d'iirigation pour réparation pompe </t>
  </si>
  <si>
    <t xml:space="preserve">Réparation pompe vertical </t>
  </si>
  <si>
    <t>Paiement M.O 3 GARDIEN ET TRACTOURISTE  1ér QNZ MAI</t>
  </si>
  <si>
    <t xml:space="preserve">paiement hamza bahia et nourrdine bahia AVRIL </t>
  </si>
  <si>
    <t xml:space="preserve">paiement hamza bahia et nourrdine bahia MAI </t>
  </si>
  <si>
    <r>
      <rPr>
        <b/>
        <sz val="11"/>
        <color theme="1"/>
        <rFont val="Cambria"/>
        <family val="1"/>
        <scheme val="major"/>
      </rPr>
      <t>Achat immergée 5ch</t>
    </r>
    <r>
      <rPr>
        <b/>
        <sz val="11"/>
        <color rgb="FFFF0000"/>
        <rFont val="Cambria"/>
        <family val="1"/>
        <scheme val="major"/>
      </rPr>
      <t xml:space="preserve"> </t>
    </r>
  </si>
  <si>
    <t xml:space="preserve"> réparation automiseur tracteur -5000dh / BAHIA -</t>
  </si>
  <si>
    <t xml:space="preserve">Réparation pneu  tracteur gauche </t>
  </si>
  <si>
    <t xml:space="preserve">Réparation pneu  tracteur droit </t>
  </si>
  <si>
    <t xml:space="preserve">Paiement M.O 3 GARDIEN ET TRACTOURISTE  2éme QNZ MAI </t>
  </si>
  <si>
    <t>droguerie abd khalil zizouni</t>
  </si>
  <si>
    <t>Achat 50kg urée 46%</t>
  </si>
  <si>
    <t xml:space="preserve">Achat 2 pulvérisateur pour traitement </t>
  </si>
  <si>
    <t xml:space="preserve">Achat 4 jonction </t>
  </si>
  <si>
    <t xml:space="preserve">Ets hajaj matacon </t>
  </si>
  <si>
    <t xml:space="preserve">Achat piéce tracteur </t>
  </si>
  <si>
    <t>Produits agricole laaouina</t>
  </si>
  <si>
    <t xml:space="preserve">Ibrahim LMKAAB </t>
  </si>
  <si>
    <t xml:space="preserve">Achat 6 boji Moteur d'irriagtion </t>
  </si>
  <si>
    <t xml:space="preserve">Achat matiriél constriction station irrigation F5 6M SABLE </t>
  </si>
  <si>
    <t>Paiement M.O réparation tracteur</t>
  </si>
  <si>
    <t xml:space="preserve">sté hajaja matcon </t>
  </si>
  <si>
    <t>STE SALAH DISTRIBUTION GAZ S.A.R.L</t>
  </si>
  <si>
    <t xml:space="preserve">Achat 1kg fils d'attache </t>
  </si>
  <si>
    <t xml:space="preserve">Achat 139 bouteille de gaz </t>
  </si>
  <si>
    <t>CMGB</t>
  </si>
  <si>
    <t>Achat vanne dn 140</t>
  </si>
  <si>
    <t xml:space="preserve">transport kenitra à larache "Matériél d'irriagtion''        3Voyage et MO.                                                                                                                                                                                                    </t>
  </si>
  <si>
    <t xml:space="preserve">Paiement M.O 3 GARDIEN ET TRACTOURISTE  1ér QNZ juin </t>
  </si>
  <si>
    <t xml:space="preserve">Achat 4kg fil's d'attache </t>
  </si>
  <si>
    <t xml:space="preserve">Forage PVC LE PONT TGV </t>
  </si>
  <si>
    <t xml:space="preserve">Achat TUYAU POLYETHLENE  </t>
  </si>
  <si>
    <t xml:space="preserve">Location moteur constriction DALA </t>
  </si>
  <si>
    <t>Achat 4 pojet</t>
  </si>
  <si>
    <t xml:space="preserve">Transport et 3kg fil's d'attache </t>
  </si>
  <si>
    <t>HAJAJA</t>
  </si>
  <si>
    <t xml:space="preserve">Achat 2 kg fil's d'attache etb 2kg les clous </t>
  </si>
  <si>
    <t xml:space="preserve">Achat 2 pneu tracteur et réparation et transport </t>
  </si>
  <si>
    <t>Anouar kanana</t>
  </si>
  <si>
    <t xml:space="preserve">Réparation moteur d'irrigation </t>
  </si>
  <si>
    <t xml:space="preserve">Achat 3 hache </t>
  </si>
  <si>
    <t xml:space="preserve">Paiement M.O 3 GARDIEN ET TRACTOURISTE  2éme  QNZ juin </t>
  </si>
  <si>
    <t xml:space="preserve">Porboir pour forage des puits </t>
  </si>
  <si>
    <t>piéce Auto el boukhari</t>
  </si>
  <si>
    <t xml:space="preserve">paiement Mécanique réparation moteur </t>
  </si>
  <si>
    <t xml:space="preserve">Achat matériél d'irrigation </t>
  </si>
  <si>
    <t xml:space="preserve">Achat matériél d'irrigation  VANNE </t>
  </si>
  <si>
    <t>Achat matérail motour irrigation</t>
  </si>
  <si>
    <t xml:space="preserve">LAVAGE TRACTEUR </t>
  </si>
  <si>
    <t>Achat matérail  irrigation (sontofir)</t>
  </si>
  <si>
    <t>Achat matérail reparation tracteur</t>
  </si>
  <si>
    <t>Réparation pneu tracteur</t>
  </si>
  <si>
    <t>Achat matérail irrigation BAHIA</t>
  </si>
  <si>
    <t>Vidange tracteur bahia</t>
  </si>
  <si>
    <t>ACHAT 5 litres d’huile pour motour irrigation</t>
  </si>
  <si>
    <t xml:space="preserve">SOUDEUR CHARIOTAGE </t>
  </si>
  <si>
    <t xml:space="preserve">Piéce voiture laoumra </t>
  </si>
  <si>
    <t>bojet   motour irrigation bahia</t>
  </si>
  <si>
    <t>ACHAT 3 Scie BAHIA</t>
  </si>
  <si>
    <t>Réparation  Tracteur BAHIA</t>
  </si>
  <si>
    <t xml:space="preserve">AZIZ EL FAKIR </t>
  </si>
  <si>
    <t xml:space="preserve">Abdraahim EL MAHROUFI </t>
  </si>
  <si>
    <t>Achat matériel  Réparation motor irrigation BAHIA</t>
  </si>
  <si>
    <t xml:space="preserve">MUSTAPHA HAMIDI </t>
  </si>
  <si>
    <t>Réparation Tracteur BAHIA</t>
  </si>
  <si>
    <t>ACHAT 3 Disques Tracteur BAHIA</t>
  </si>
  <si>
    <t>Piéce Au BAKKALI</t>
  </si>
  <si>
    <t>Réparation tracteur BAHIA</t>
  </si>
  <si>
    <t xml:space="preserve">ACHAT Matérail Tracteur </t>
  </si>
  <si>
    <t xml:space="preserve">Agriaouamra </t>
  </si>
  <si>
    <t xml:space="preserve">Sté BACHIR -TRA-TRAVAUX DIVERS </t>
  </si>
  <si>
    <t>Avance Sté BACHIR -TRA-TRAVAUX DIVERS  GASOIL</t>
  </si>
  <si>
    <t>DARBOURI ALLAL</t>
  </si>
  <si>
    <t xml:space="preserve">Réparation pneu tracteur </t>
  </si>
  <si>
    <t>CMI</t>
  </si>
  <si>
    <t xml:space="preserve">Location  JCB 2jours BAHIA </t>
  </si>
  <si>
    <t xml:space="preserve">Paiement M.O 3 GARDIEN ET TRACTOURISTE  1ér QNZ juillet </t>
  </si>
  <si>
    <t xml:space="preserve">Paiement M.O 3 GARDIEN ET TRACTOURISTE  2éme QNZ juillet </t>
  </si>
  <si>
    <t xml:space="preserve">PORBOIRE NOURDDINE BAHIA Déplacement kénitra </t>
  </si>
  <si>
    <t xml:space="preserve">PORBOIRE NOURDDINE BAHIA Déplacement TANGER </t>
  </si>
  <si>
    <t xml:space="preserve">80L GASOIL </t>
  </si>
  <si>
    <t xml:space="preserve">50L GASOIL </t>
  </si>
  <si>
    <t xml:space="preserve">88,65L GASOIL </t>
  </si>
  <si>
    <t xml:space="preserve">97,52L GASOIL </t>
  </si>
  <si>
    <t xml:space="preserve">45,22L GASOIL </t>
  </si>
  <si>
    <t xml:space="preserve">35,46L GASOIL </t>
  </si>
  <si>
    <t xml:space="preserve">Achat 15R PVC  110 et transport </t>
  </si>
  <si>
    <t xml:space="preserve">4 voyage matiére organique </t>
  </si>
  <si>
    <t xml:space="preserve">Alimentaion de caisse </t>
  </si>
  <si>
    <t>VIR</t>
  </si>
  <si>
    <t xml:space="preserve">La paie </t>
  </si>
  <si>
    <t xml:space="preserve">AYOUB TITI </t>
  </si>
  <si>
    <t>BOUCHTA CHOUIKH</t>
  </si>
  <si>
    <t>ABD EL KADER EL OUDINY</t>
  </si>
  <si>
    <t xml:space="preserve">NOURDDINE BAHIA </t>
  </si>
  <si>
    <t xml:space="preserve">SITUTAION M.O CONSTRICTION BAHIA </t>
  </si>
  <si>
    <t>Opération</t>
  </si>
  <si>
    <t xml:space="preserve">STATION IRRIGATION /  FERTILISATION </t>
  </si>
  <si>
    <t>TABLE LES CITERNE STATION  / L'ESCALIERS /2 TABLE EXCT STATION  / TABLE BASSIN MOTEUR / TROU  DEGAGEMENT DECHET  ENGRAIS ET LES ACIDES</t>
  </si>
  <si>
    <t>TABLE LES CITERNE ENGRAIS STATION  / L'ESCALIERS /2 TABLE EXCT STATION  / TABLE BASSIN MOTEUR / TROU  DEGAGEMENT DECHET  ENGRAIS ET LES ACIDES</t>
  </si>
  <si>
    <t>2 kg la graisse</t>
  </si>
  <si>
    <t>Réparation  Tracteur</t>
  </si>
  <si>
    <t>ABD EL RAZAK MATRIZ</t>
  </si>
  <si>
    <t>LARACLEF S.A.R.L</t>
  </si>
  <si>
    <t xml:space="preserve">Alimentation de caisse </t>
  </si>
  <si>
    <t>Réparation MOTOUR IRRIGATION BAHIA</t>
  </si>
  <si>
    <t>MOHAMED BRIKI</t>
  </si>
  <si>
    <t xml:space="preserve">Achat 20L oil N90 TRACTEUR </t>
  </si>
  <si>
    <t>Achat pompe immergée</t>
  </si>
  <si>
    <t xml:space="preserve">Avance sur salaire M.O piquetage </t>
  </si>
  <si>
    <t>BRAHIM RIOUAA</t>
  </si>
  <si>
    <t xml:space="preserve">Paiement M.O 3 GARDIEN ET TRACTOURISTE  1ér QNZ aout </t>
  </si>
  <si>
    <t xml:space="preserve">Achat matier d'irrigation </t>
  </si>
  <si>
    <t xml:space="preserve">Droguerie Igandi  </t>
  </si>
  <si>
    <t xml:space="preserve">VIDANGE VOITURE NOURDDINE BAHIA DUSTER </t>
  </si>
  <si>
    <t xml:space="preserve">STATION AFRIQUIA </t>
  </si>
  <si>
    <t xml:space="preserve">M.O Réparation Voiture Mr NOURDDINE BAHIA DUSTER </t>
  </si>
  <si>
    <t xml:space="preserve">SERVICE PNEUMATIQUE </t>
  </si>
  <si>
    <t xml:space="preserve">Réparation Voiture Mr NOURDDINE BAHIA DUSTER </t>
  </si>
  <si>
    <t xml:space="preserve">Sté HIBA INDUSTRIELLE </t>
  </si>
  <si>
    <t>LAHMIDI</t>
  </si>
  <si>
    <t xml:space="preserve">RESTE </t>
  </si>
  <si>
    <t xml:space="preserve">ENCAISSEMENTS </t>
  </si>
  <si>
    <t xml:space="preserve">DATE </t>
  </si>
  <si>
    <t xml:space="preserve">RECETTE VTE </t>
  </si>
  <si>
    <t xml:space="preserve">Dépôt Mr omar </t>
  </si>
  <si>
    <t xml:space="preserve">Dépense </t>
  </si>
  <si>
    <t xml:space="preserve">versé à Mr omar </t>
  </si>
  <si>
    <t xml:space="preserve">paie QNZ </t>
  </si>
  <si>
    <t xml:space="preserve">TOTAL </t>
  </si>
  <si>
    <t>Réparation  Pneu Tracteur</t>
  </si>
  <si>
    <t>****</t>
  </si>
  <si>
    <t xml:space="preserve">Achat 19 bouteille de gaz 52DH unité </t>
  </si>
  <si>
    <t xml:space="preserve">Paiement M.O 3 GARDIEN ET TRACTOURISTE et M.O Nettoyage   1ér QNZ aout </t>
  </si>
  <si>
    <t xml:space="preserve">Location group electrogéne 160 KV </t>
  </si>
  <si>
    <t>LOCATION TRANSPORT " GROUP ELEC"</t>
  </si>
  <si>
    <t xml:space="preserve">11/09/2025 Date entré </t>
  </si>
  <si>
    <t xml:space="preserve">MUSTAPHA LEMIESSER </t>
  </si>
  <si>
    <t xml:space="preserve">MOHAMED LOURIZ </t>
  </si>
  <si>
    <t>Achat 2Kg la graisse</t>
  </si>
  <si>
    <t xml:space="preserve">Achat filter de Oil de Moteur Irrigation </t>
  </si>
  <si>
    <t>TOTAL AL BOUSTANE</t>
  </si>
  <si>
    <t xml:space="preserve">gasoil group Electrogéne + Tracteur </t>
  </si>
  <si>
    <t xml:space="preserve">déchargement camion humocal </t>
  </si>
  <si>
    <t xml:space="preserve">Achat matiriél de construction </t>
  </si>
  <si>
    <t xml:space="preserve">Achat matiriél de construction  TOILETTE </t>
  </si>
  <si>
    <t>construction RAHBI</t>
  </si>
  <si>
    <t xml:space="preserve">Achat 4 bolon </t>
  </si>
  <si>
    <t xml:space="preserve">Achat pompe immergée 15 HP </t>
  </si>
  <si>
    <t>gasoil group Electrogéne</t>
  </si>
  <si>
    <t xml:space="preserve">Gasoil duster </t>
  </si>
  <si>
    <t xml:space="preserve">Réparation matiriél agricole </t>
  </si>
  <si>
    <t xml:space="preserve">M.O pour instalation  pompe immergeé </t>
  </si>
  <si>
    <t xml:space="preserve">Achat matiriél pour instalation pompe immergeé </t>
  </si>
  <si>
    <t>Achat matiriél pour instalation pompe immergeé ELEC</t>
  </si>
  <si>
    <t xml:space="preserve">Location group Electrogéne 160 KV </t>
  </si>
  <si>
    <t xml:space="preserve">gasoil tracteur </t>
  </si>
  <si>
    <t xml:space="preserve">C.M.A </t>
  </si>
  <si>
    <t xml:space="preserve">KABLOC ELEC </t>
  </si>
  <si>
    <t xml:space="preserve">STE SUD </t>
  </si>
  <si>
    <t>Location group Electrogéne 80KV</t>
  </si>
  <si>
    <t xml:space="preserve">Paiement M.O 3 GARDIEN ET TRACTOURISTE et M.O Nettoyage   1ér QNZ SEPTEMBRE </t>
  </si>
  <si>
    <t xml:space="preserve">Achat Bois 9280kg * 1,2 + Chargement 700 dh + camion 2000 dh + 60 frais carde foristier et pesage </t>
  </si>
  <si>
    <t xml:space="preserve">Réparation pneu remorque </t>
  </si>
  <si>
    <t xml:space="preserve">Achat 1L huil </t>
  </si>
  <si>
    <t xml:space="preserve">Réparation 2 pneu Automiseur </t>
  </si>
  <si>
    <t>gasoil group Electrogéne 27/09</t>
  </si>
  <si>
    <t>gasoil group Electrogéne 28/09</t>
  </si>
  <si>
    <t xml:space="preserve">Achat 3kg Aliette </t>
  </si>
  <si>
    <t>gasoil group Electrogéne 29/09</t>
  </si>
  <si>
    <t xml:space="preserve">Achat Bois 8860 kg * 1,2 + Chargement 700 dh + camion 2000 dh + 60 frais carde foristier et pesage </t>
  </si>
  <si>
    <t xml:space="preserve">Piaemet 2 camion 'bois' Chargement 700 dh + camion 2000 dh + 60 frais </t>
  </si>
  <si>
    <t xml:space="preserve">Paiement 4 camion la plants AVOCAT 30/09-01/10 2 camion par jours </t>
  </si>
  <si>
    <t>gasoil group Electrogéne 30/09</t>
  </si>
  <si>
    <t xml:space="preserve">AXA </t>
  </si>
  <si>
    <t xml:space="preserve">Paiement assurence tracteur et duster </t>
  </si>
  <si>
    <t>ABD EL RAHMAN KHADRI</t>
  </si>
  <si>
    <t xml:space="preserve">Voyage Gravier sonda </t>
  </si>
  <si>
    <t>gasoil group Electrogéne 01/10</t>
  </si>
  <si>
    <t>gasoil group Electrogéne 02/10</t>
  </si>
  <si>
    <t xml:space="preserve">Matiriél d'irrigation </t>
  </si>
  <si>
    <t xml:space="preserve">Achat la ficielle blanc RAVIA </t>
  </si>
  <si>
    <t xml:space="preserve">Achat oil et essence moteur essence Trasage des plants </t>
  </si>
  <si>
    <t xml:space="preserve">Café Restaurant Tolin </t>
  </si>
  <si>
    <t>Piéce Autos NASR</t>
  </si>
  <si>
    <t xml:space="preserve">Achat filtre gasoil </t>
  </si>
  <si>
    <t>Deujeneur ouvrier planatation  3JR ( 500dh + 630 dh + 630 dh )</t>
  </si>
  <si>
    <t>ZAKARIA PLANTS</t>
  </si>
  <si>
    <t>BOIS</t>
  </si>
  <si>
    <t xml:space="preserve">Achat Matiriél d'irrigation </t>
  </si>
  <si>
    <t>droguerie Abd khalil zizouni</t>
  </si>
  <si>
    <t>JCP</t>
  </si>
  <si>
    <t xml:space="preserve">Location JCP pour l'instalation PVC Entre Puits  et Bassin </t>
  </si>
  <si>
    <t xml:space="preserve">Linstalation PVC entre puits et Bassin "PORBOIR" </t>
  </si>
  <si>
    <t xml:space="preserve">Achat grand moteur et 1L oil </t>
  </si>
  <si>
    <t xml:space="preserve">Achat petit  moteur et 1L oil </t>
  </si>
  <si>
    <t xml:space="preserve">Achta demareur moteur </t>
  </si>
  <si>
    <t>Achat 3 pojet moteur</t>
  </si>
  <si>
    <t xml:space="preserve">essence moteur et 1L oil moteur </t>
  </si>
  <si>
    <t xml:space="preserve">Achat 1 pojet et polon </t>
  </si>
  <si>
    <t xml:space="preserve">Achat 2 code  110 </t>
  </si>
  <si>
    <t xml:space="preserve">Achat 3 les réductions </t>
  </si>
  <si>
    <t xml:space="preserve">Paiement M.O 3 GARDIEN ET TRACTOURISTE et M.O Nettoyage   2éme QNZ SEPTEMBRE </t>
  </si>
  <si>
    <t xml:space="preserve">50,54L GASOIL </t>
  </si>
  <si>
    <t xml:space="preserve">39,75L GASOIL </t>
  </si>
  <si>
    <t xml:space="preserve">49,72L GASOIL </t>
  </si>
  <si>
    <t xml:space="preserve">53,67L GASOIL </t>
  </si>
  <si>
    <t>50,99L GASOIL</t>
  </si>
  <si>
    <t xml:space="preserve">35,02 GASOIL </t>
  </si>
  <si>
    <t>91,91L GASOIL</t>
  </si>
  <si>
    <t>250,31L GASOIL</t>
  </si>
  <si>
    <t>49,18L GASOIL</t>
  </si>
  <si>
    <t>36,76L GASOIL</t>
  </si>
  <si>
    <t>229,78L GASOIL</t>
  </si>
  <si>
    <t xml:space="preserve">STATION AL BOUSTANE </t>
  </si>
  <si>
    <t xml:space="preserve">Achat grand moteur </t>
  </si>
  <si>
    <t>TOUR SOUDEUR</t>
  </si>
  <si>
    <t xml:space="preserve">Paiement 4 camion la plants AVOCAT 02/10  03/10 4/10 3 camion </t>
  </si>
  <si>
    <t xml:space="preserve">Piaemet 4 camion 'bois' Chargement 2800 dh + camion 8000 dh + 240 frais </t>
  </si>
  <si>
    <t xml:space="preserve">Paiement 4 camion la plants AVOCAT 07/08/9/10 2CAMION PAR JOURS  </t>
  </si>
  <si>
    <t>Paiment 4 voyage tuteurs 02-10/05-10</t>
  </si>
  <si>
    <t>Paiment 2 voyage tuteurs 14/10/</t>
  </si>
  <si>
    <t xml:space="preserve">MARJANE </t>
  </si>
  <si>
    <t xml:space="preserve">Achat sucre et THE  et chaise et table </t>
  </si>
  <si>
    <t xml:space="preserve">Achat Patisserie </t>
  </si>
  <si>
    <t>BOULANGERIE PATISSERIE</t>
  </si>
  <si>
    <t xml:space="preserve">Avance Porte station </t>
  </si>
  <si>
    <t xml:space="preserve">ITKAN LAOUMRA </t>
  </si>
  <si>
    <t xml:space="preserve">PV DE LA CAISSE BERRY GOOD FARMS </t>
  </si>
  <si>
    <t xml:space="preserve">Décaissements </t>
  </si>
  <si>
    <t xml:space="preserve">BAHIA </t>
  </si>
  <si>
    <t>SOLDE INITIAL</t>
  </si>
  <si>
    <t>Mode</t>
  </si>
  <si>
    <t>montant</t>
  </si>
  <si>
    <t>BGF</t>
  </si>
  <si>
    <t>Bahia</t>
  </si>
  <si>
    <t>ESP</t>
  </si>
  <si>
    <t>AffecTation</t>
  </si>
  <si>
    <t>PORBOIR GENDAREM TRACTEUR SAMIR</t>
  </si>
  <si>
    <t xml:space="preserve">Paiement 3 camion les plants </t>
  </si>
  <si>
    <t>SAMADI PIECE AUTO</t>
  </si>
  <si>
    <t xml:space="preserve">VIDANGE VOITURE NOURDDINE BAHIA DUSTER FOLTRE GASOIL ET AIR </t>
  </si>
  <si>
    <t xml:space="preserve">Achat 200 jenction </t>
  </si>
  <si>
    <t xml:space="preserve">STATION TOTAL LAOUMRA </t>
  </si>
  <si>
    <t xml:space="preserve">Achat RAVIA </t>
  </si>
  <si>
    <t xml:space="preserve">Droguerie MABROUKA </t>
  </si>
  <si>
    <t xml:space="preserve">Oil de moteur pour Tirage DUSTER BAHIA </t>
  </si>
  <si>
    <t>Droguerie MRABET</t>
  </si>
  <si>
    <t xml:space="preserve">Location Electric drill pour l'instalation des cameras </t>
  </si>
  <si>
    <t>Achat deux automiseurs traitement</t>
  </si>
  <si>
    <t>Vente de matiriél Agricole</t>
  </si>
  <si>
    <t xml:space="preserve">Achat 50 uréé et cuivre 2kg </t>
  </si>
  <si>
    <t xml:space="preserve">Achat 20kg mastic avocat </t>
  </si>
  <si>
    <t xml:space="preserve">PESAGE 2 CAMION BOIS </t>
  </si>
  <si>
    <t>Paiement M.O 3 GARDIEN ET TRACTOURISTE et M.O Nettoyage   1ér QNZ MOIS OCTOBRE</t>
  </si>
  <si>
    <t xml:space="preserve">AVANCE BOIS RESTE 50548 DH </t>
  </si>
  <si>
    <t xml:space="preserve">Achat 2PVC POLYETHYLENE </t>
  </si>
  <si>
    <t>Réparation pneu Tracateur</t>
  </si>
  <si>
    <t>Achat oil du moteur</t>
  </si>
  <si>
    <t xml:space="preserve">Location chinioeur </t>
  </si>
  <si>
    <t xml:space="preserve">Droguerie MARABET </t>
  </si>
  <si>
    <t xml:space="preserve">Sté Sud </t>
  </si>
  <si>
    <t>Achat 100 kg uréé</t>
  </si>
  <si>
    <t xml:space="preserve">Sté agri Harouache </t>
  </si>
  <si>
    <t>Droguerie ELEC</t>
  </si>
  <si>
    <t xml:space="preserve">Achat batterie duster </t>
  </si>
  <si>
    <t xml:space="preserve">Achat matier d'irrigation et DELTA </t>
  </si>
  <si>
    <t xml:space="preserve">FRAIS TRANSPORT PLASTIQUE BLANC CASA à Lrache </t>
  </si>
  <si>
    <t>Paiement M.O 3 GARDIEN ET TRACTOURISTE et M.O Nettoyage   2éme QNZ MOIS OCTOBRE</t>
  </si>
  <si>
    <t>STC EL MORABIT MOHAMED</t>
  </si>
  <si>
    <t>OIL DE MOTEUR DUSTER</t>
  </si>
  <si>
    <t>Achat 1KG pesticides de souris</t>
  </si>
  <si>
    <t>VIDANGE DUSTER</t>
  </si>
  <si>
    <t>STATION SERVICE</t>
  </si>
  <si>
    <t xml:space="preserve">Achat Grava </t>
  </si>
  <si>
    <t>Achat le  serrure</t>
  </si>
  <si>
    <t xml:space="preserve">Mme Meryam </t>
  </si>
  <si>
    <t xml:space="preserve">Payé Mr omar </t>
  </si>
  <si>
    <t xml:space="preserve">MUSTAPHA </t>
  </si>
  <si>
    <t xml:space="preserve">VIR </t>
  </si>
  <si>
    <t>Alimentation de caisse BGF</t>
  </si>
  <si>
    <t xml:space="preserve">Achat cuivre </t>
  </si>
  <si>
    <t xml:space="preserve">Ste agri harouache </t>
  </si>
  <si>
    <t xml:space="preserve">réparation pneu </t>
  </si>
  <si>
    <t>Achat filtre de gasoil DUSTER</t>
  </si>
  <si>
    <t>Piéce ABD SALAM</t>
  </si>
  <si>
    <t>KASR AL BARAKA</t>
  </si>
  <si>
    <t xml:space="preserve">VIDANGE DUSTER </t>
  </si>
  <si>
    <t xml:space="preserve">Achat teinture </t>
  </si>
  <si>
    <t xml:space="preserve">Réparation pneu remarque </t>
  </si>
  <si>
    <t>Achat BOOM hyrbicide</t>
  </si>
  <si>
    <t>Achat Grava et balance 40kg</t>
  </si>
  <si>
    <t>Droguerie SALAM</t>
  </si>
  <si>
    <t>Paiement M.O 3 GARDIEN ET TRACTOURISTE et M.O   1ér QNZ MOIS NOVEMBRE</t>
  </si>
  <si>
    <t>Paiement M.O 3 GARDIEN ET TRACTOURISTE et M.O   2 éme QNZ MOIS NOVEMBRE</t>
  </si>
  <si>
    <t>Drguerie MABROUKA</t>
  </si>
  <si>
    <t xml:space="preserve">10 Kg ciment </t>
  </si>
  <si>
    <t>229,78GASOIL</t>
  </si>
  <si>
    <t>40 L GASOIL</t>
  </si>
  <si>
    <t>43,37L GASOIL</t>
  </si>
  <si>
    <t>54,76L GASOIL</t>
  </si>
  <si>
    <t>51,02 GASOIL</t>
  </si>
  <si>
    <t>54,27 L GASOIL</t>
  </si>
  <si>
    <t xml:space="preserve">37,94 L GASOIL </t>
  </si>
  <si>
    <t>50,09L GASOIL</t>
  </si>
  <si>
    <t>49,82 L GASOIL</t>
  </si>
  <si>
    <t>43,48 L GASOIL</t>
  </si>
  <si>
    <t>Piéce Autos samadi</t>
  </si>
  <si>
    <t>mecanicien reparateur</t>
  </si>
  <si>
    <t>MOHAMED IRAQUI /BFG</t>
  </si>
  <si>
    <t xml:space="preserve">MOHAMED IRAQUI/BGF </t>
  </si>
  <si>
    <t xml:space="preserve">Achat 20 kg Cuivre </t>
  </si>
  <si>
    <t>Paiement M.O 3 GARDIEN ET TRACTOURISTE et M.O   1ér QNZ MOIS DECEMBRE</t>
  </si>
  <si>
    <t xml:space="preserve">réparation pneu tracteur </t>
  </si>
  <si>
    <t xml:space="preserve">Achat 4 secateur </t>
  </si>
  <si>
    <t xml:space="preserve">Paiement M.O 3 GARDIEN ET TRACTOURISTE et M.O   2 éme QNZ MOIS DECEMBRE </t>
  </si>
  <si>
    <t xml:space="preserve">OIL DE MOTEUR DUSTER 4L </t>
  </si>
  <si>
    <t>52,54L GASOIL</t>
  </si>
  <si>
    <t>48,76L GASOIL</t>
  </si>
  <si>
    <t>54,36L GASOIL</t>
  </si>
  <si>
    <t>51,45L GASOIL</t>
  </si>
  <si>
    <t>46,1L GAOSIL</t>
  </si>
  <si>
    <t>52,07L GASOIL</t>
  </si>
  <si>
    <t xml:space="preserve">Achat la  graisse de tracteur </t>
  </si>
  <si>
    <t xml:space="preserve">Frais transport BIOACTYLE </t>
  </si>
  <si>
    <t xml:space="preserve">Paiement M.O 3 GARDIEN ET TRACTOURISTE et M.O   1ér QNZ MOIS JANVIER </t>
  </si>
  <si>
    <t xml:space="preserve">TAXE Spéciale Annuelle </t>
  </si>
  <si>
    <t>TAXE Spéciale Annuelle sur véhicule DUSTER</t>
  </si>
  <si>
    <t xml:space="preserve">Réparation voiture et achat pneu duter </t>
  </si>
  <si>
    <t xml:space="preserve">Paiement M.O 3 GARDIEN ET TRACTOURISTE et M.O   2éme  QNZ MOIS JANVIER </t>
  </si>
  <si>
    <t xml:space="preserve">Soudeur reparation automisseurs </t>
  </si>
  <si>
    <t xml:space="preserve">MOHAMED ZIZOUNI </t>
  </si>
  <si>
    <t xml:space="preserve">Avance Achat </t>
  </si>
  <si>
    <t>VENTE AVOCAT AMIN /BGF</t>
  </si>
  <si>
    <t>MUSTAPHA CHAFIK / BGF</t>
  </si>
  <si>
    <t xml:space="preserve">VENTE PLASTIQUE / BGF </t>
  </si>
  <si>
    <t xml:space="preserve">Abderrahim EL MAHROUFI </t>
  </si>
  <si>
    <t xml:space="preserve">Paiement M.O 3 GARDIEN ET TRACTOURISTE et M.O   1ér QNZ fevriére </t>
  </si>
  <si>
    <t xml:space="preserve">Paiement M.O 3 GARDIEN ET TRACTOURISTE et M.O   2éme QNZ fevriére </t>
  </si>
  <si>
    <t xml:space="preserve">VIR BNQ BGF </t>
  </si>
  <si>
    <t xml:space="preserve">Autres / BFG </t>
  </si>
  <si>
    <t>Achat 6Kg la graisse et 2L oil de tracteur</t>
  </si>
  <si>
    <t>Paiement M.O 3 GARDIEN ET TRACTOURISTE et M.O   1ér QNE MARS</t>
  </si>
  <si>
    <t>Achat oil de voiture duster</t>
  </si>
  <si>
    <t xml:space="preserve">Frais Amana expres </t>
  </si>
  <si>
    <t>amana national</t>
  </si>
  <si>
    <t>SOUDER AUTOMISEUR</t>
  </si>
  <si>
    <t>MAHDI MAZYAN</t>
  </si>
  <si>
    <t xml:space="preserve">Achat automiseur </t>
  </si>
  <si>
    <t>ADIL BELEL</t>
  </si>
  <si>
    <t xml:space="preserve">Vidange voiture Mr nourdiine bahia </t>
  </si>
  <si>
    <t>Relaix lixus</t>
  </si>
  <si>
    <t xml:space="preserve">Achat 3 automiseur </t>
  </si>
  <si>
    <t>Droguerie Abd khlil zizouni</t>
  </si>
  <si>
    <t>Paiement M.O 3 GARDIEN ET TRACTOURISTE et M.O   2éme QNE MARS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</si>
</sst>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-* #,##0.00\ _€_-;\-* #,##0.00\ _€_-;_-* &quot;-&quot;??\ _€_-;_-@_-"/>
    <numFmt numFmtId="164" formatCode="#,##0.00\ &quot;DH&quot;"/>
    <numFmt numFmtId="165" formatCode="#,##0.00&quot;DH&quot;"/>
  </numFmts>
  <fonts count="20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sz val="11"/>
      <color rgb="FF34A853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11"/>
      <name val="Cambria"/>
      <family val="1"/>
      <scheme val="major"/>
    </font>
    <font>
      <sz val="28"/>
      <color theme="1"/>
      <name val="Algerian"/>
      <family val="5"/>
    </font>
    <font>
      <b/>
      <u/>
      <sz val="24"/>
      <color theme="1"/>
      <name val="Algerian"/>
      <family val="5"/>
    </font>
    <font>
      <b/>
      <sz val="11"/>
      <color theme="1"/>
      <name val="Algerian"/>
      <family val="5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Algerian"/>
      <family val="5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Algerian"/>
      <family val="5"/>
    </font>
    <font>
      <b/>
      <u/>
      <sz val="11"/>
      <color rgb="FFFF0000"/>
      <name val="Algerian"/>
      <family val="5"/>
    </font>
  </fonts>
  <fills count="19">
    <fill>
      <patternFill patternType="none"/>
    </fill>
    <fill>
      <patternFill patternType="gray125"/>
    </fill>
    <fill>
      <patternFill patternType="solid">
        <fgColor theme="6" tint="0.79998168889431442"/>
        <bgColor rgb="FFD9D9D9"/>
      </patternFill>
    </fill>
    <fill>
      <patternFill patternType="solid">
        <fgColor theme="6" tint="0.79998168889431442"/>
        <bgColor rgb="FFEFEFEF"/>
      </patternFill>
    </fill>
    <fill>
      <patternFill patternType="solid">
        <fgColor theme="8" tint="0.59999389629810485"/>
        <bgColor rgb="FFCFE2F3"/>
      </patternFill>
    </fill>
    <fill>
      <patternFill patternType="solid">
        <fgColor theme="7" tint="0.79998168889431442"/>
        <bgColor rgb="FFCFE2F3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4" fillId="0" borderId="0" applyFont="0" applyFill="0" applyBorder="0" applyAlignment="0" applyProtection="0"/>
  </cellStyleXfs>
  <cellXfs count="29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5" fillId="3" borderId="0" xfId="0" applyNumberFormat="1" applyFont="1" applyFill="1" applyAlignment="1">
      <alignment horizontal="center" vertical="center"/>
    </xf>
    <xf numFmtId="0" fontId="4" fillId="0" borderId="0" xfId="0" applyFont="1"/>
    <xf numFmtId="0" fontId="4" fillId="3" borderId="0" xfId="0" applyFont="1" applyFill="1" applyAlignment="1">
      <alignment horizontal="center" vertical="center"/>
    </xf>
    <xf numFmtId="164" fontId="4" fillId="3" borderId="0" xfId="0" applyNumberFormat="1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7" borderId="10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14" fontId="4" fillId="7" borderId="11" xfId="0" applyNumberFormat="1" applyFont="1" applyFill="1" applyBorder="1" applyAlignment="1">
      <alignment horizontal="center" vertical="center"/>
    </xf>
    <xf numFmtId="164" fontId="6" fillId="7" borderId="11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horizontal="center" vertical="center"/>
    </xf>
    <xf numFmtId="164" fontId="4" fillId="7" borderId="12" xfId="0" applyNumberFormat="1" applyFont="1" applyFill="1" applyBorder="1" applyAlignment="1">
      <alignment horizontal="center" vertical="center"/>
    </xf>
    <xf numFmtId="0" fontId="4" fillId="7" borderId="0" xfId="0" applyFont="1" applyFill="1"/>
    <xf numFmtId="0" fontId="3" fillId="7" borderId="0" xfId="0" applyFont="1" applyFill="1"/>
    <xf numFmtId="164" fontId="6" fillId="7" borderId="17" xfId="0" applyNumberFormat="1" applyFont="1" applyFill="1" applyBorder="1" applyAlignment="1">
      <alignment horizontal="center" vertical="center"/>
    </xf>
    <xf numFmtId="20" fontId="4" fillId="0" borderId="0" xfId="0" applyNumberFormat="1" applyFont="1" applyAlignment="1">
      <alignment horizontal="center" vertical="center"/>
    </xf>
    <xf numFmtId="164" fontId="6" fillId="7" borderId="12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5" fillId="3" borderId="0" xfId="0" applyNumberFormat="1" applyFont="1" applyFill="1" applyAlignment="1">
      <alignment horizontal="center" vertical="center"/>
    </xf>
    <xf numFmtId="0" fontId="4" fillId="3" borderId="0" xfId="0" applyNumberFormat="1" applyFont="1" applyFill="1" applyAlignment="1">
      <alignment horizontal="center" vertical="center"/>
    </xf>
    <xf numFmtId="0" fontId="4" fillId="7" borderId="11" xfId="0" applyNumberFormat="1" applyFont="1" applyFill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5" borderId="24" xfId="0" applyFont="1" applyFill="1" applyBorder="1" applyAlignment="1">
      <alignment horizontal="center" vertical="center" wrapText="1"/>
    </xf>
    <xf numFmtId="0" fontId="4" fillId="5" borderId="25" xfId="0" applyFont="1" applyFill="1" applyBorder="1" applyAlignment="1">
      <alignment horizontal="center" vertical="center" wrapText="1"/>
    </xf>
    <xf numFmtId="0" fontId="4" fillId="5" borderId="25" xfId="0" applyNumberFormat="1" applyFont="1" applyFill="1" applyBorder="1" applyAlignment="1">
      <alignment horizontal="center" vertical="center" wrapText="1"/>
    </xf>
    <xf numFmtId="0" fontId="4" fillId="5" borderId="26" xfId="0" applyFont="1" applyFill="1" applyBorder="1" applyAlignment="1">
      <alignment horizontal="center" vertical="center" wrapText="1"/>
    </xf>
    <xf numFmtId="164" fontId="7" fillId="7" borderId="11" xfId="0" applyNumberFormat="1" applyFont="1" applyFill="1" applyBorder="1" applyAlignment="1">
      <alignment horizontal="center" vertical="center"/>
    </xf>
    <xf numFmtId="4" fontId="7" fillId="8" borderId="11" xfId="0" applyNumberFormat="1" applyFont="1" applyFill="1" applyBorder="1" applyAlignment="1">
      <alignment horizontal="center" vertical="center"/>
    </xf>
    <xf numFmtId="0" fontId="4" fillId="7" borderId="0" xfId="0" applyFont="1" applyFill="1" applyBorder="1" applyAlignment="1">
      <alignment vertical="center"/>
    </xf>
    <xf numFmtId="14" fontId="7" fillId="7" borderId="11" xfId="0" applyNumberFormat="1" applyFont="1" applyFill="1" applyBorder="1" applyAlignment="1">
      <alignment horizontal="center" vertical="center"/>
    </xf>
    <xf numFmtId="0" fontId="7" fillId="7" borderId="11" xfId="0" applyNumberFormat="1" applyFont="1" applyFill="1" applyBorder="1" applyAlignment="1">
      <alignment horizontal="center" vertical="center"/>
    </xf>
    <xf numFmtId="0" fontId="6" fillId="7" borderId="10" xfId="0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/>
    </xf>
    <xf numFmtId="14" fontId="6" fillId="7" borderId="11" xfId="0" applyNumberFormat="1" applyFont="1" applyFill="1" applyBorder="1" applyAlignment="1">
      <alignment horizontal="center" vertical="center"/>
    </xf>
    <xf numFmtId="0" fontId="6" fillId="7" borderId="11" xfId="0" applyNumberFormat="1" applyFont="1" applyFill="1" applyBorder="1" applyAlignment="1">
      <alignment horizontal="center" vertical="center"/>
    </xf>
    <xf numFmtId="0" fontId="6" fillId="0" borderId="0" xfId="0" applyFont="1"/>
    <xf numFmtId="0" fontId="4" fillId="7" borderId="15" xfId="0" applyFont="1" applyFill="1" applyBorder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14" fontId="4" fillId="7" borderId="13" xfId="0" applyNumberFormat="1" applyFont="1" applyFill="1" applyBorder="1" applyAlignment="1">
      <alignment horizontal="center" vertical="center"/>
    </xf>
    <xf numFmtId="0" fontId="4" fillId="7" borderId="13" xfId="0" applyNumberFormat="1" applyFont="1" applyFill="1" applyBorder="1" applyAlignment="1">
      <alignment horizontal="center" vertical="center"/>
    </xf>
    <xf numFmtId="164" fontId="4" fillId="7" borderId="13" xfId="0" applyNumberFormat="1" applyFont="1" applyFill="1" applyBorder="1" applyAlignment="1">
      <alignment horizontal="center" vertical="center"/>
    </xf>
    <xf numFmtId="164" fontId="4" fillId="7" borderId="14" xfId="0" applyNumberFormat="1" applyFont="1" applyFill="1" applyBorder="1" applyAlignment="1">
      <alignment horizontal="center" vertical="center"/>
    </xf>
    <xf numFmtId="164" fontId="6" fillId="7" borderId="13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164" fontId="7" fillId="7" borderId="13" xfId="0" applyNumberFormat="1" applyFont="1" applyFill="1" applyBorder="1" applyAlignment="1">
      <alignment horizontal="center" vertical="center"/>
    </xf>
    <xf numFmtId="0" fontId="4" fillId="7" borderId="27" xfId="0" applyFont="1" applyFill="1" applyBorder="1" applyAlignment="1">
      <alignment horizontal="center" vertical="center"/>
    </xf>
    <xf numFmtId="0" fontId="4" fillId="7" borderId="22" xfId="0" applyFont="1" applyFill="1" applyBorder="1" applyAlignment="1">
      <alignment horizontal="center" vertical="center"/>
    </xf>
    <xf numFmtId="14" fontId="4" fillId="7" borderId="22" xfId="0" applyNumberFormat="1" applyFont="1" applyFill="1" applyBorder="1" applyAlignment="1">
      <alignment horizontal="center" vertical="center"/>
    </xf>
    <xf numFmtId="0" fontId="4" fillId="7" borderId="22" xfId="0" applyNumberFormat="1" applyFont="1" applyFill="1" applyBorder="1" applyAlignment="1">
      <alignment horizontal="center" vertical="center"/>
    </xf>
    <xf numFmtId="164" fontId="7" fillId="7" borderId="22" xfId="0" applyNumberFormat="1" applyFont="1" applyFill="1" applyBorder="1" applyAlignment="1">
      <alignment horizontal="center" vertical="center"/>
    </xf>
    <xf numFmtId="164" fontId="4" fillId="7" borderId="22" xfId="0" applyNumberFormat="1" applyFont="1" applyFill="1" applyBorder="1" applyAlignment="1">
      <alignment horizontal="center" vertical="center"/>
    </xf>
    <xf numFmtId="164" fontId="4" fillId="7" borderId="23" xfId="0" applyNumberFormat="1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6" fillId="7" borderId="20" xfId="0" applyFont="1" applyFill="1" applyBorder="1" applyAlignment="1">
      <alignment horizontal="center" vertical="center"/>
    </xf>
    <xf numFmtId="14" fontId="6" fillId="7" borderId="20" xfId="0" applyNumberFormat="1" applyFont="1" applyFill="1" applyBorder="1" applyAlignment="1">
      <alignment horizontal="center" vertical="center"/>
    </xf>
    <xf numFmtId="0" fontId="6" fillId="7" borderId="20" xfId="0" applyNumberFormat="1" applyFont="1" applyFill="1" applyBorder="1" applyAlignment="1">
      <alignment horizontal="center" vertical="center"/>
    </xf>
    <xf numFmtId="164" fontId="6" fillId="7" borderId="20" xfId="0" applyNumberFormat="1" applyFont="1" applyFill="1" applyBorder="1" applyAlignment="1">
      <alignment horizontal="center" vertical="center"/>
    </xf>
    <xf numFmtId="164" fontId="6" fillId="7" borderId="21" xfId="0" applyNumberFormat="1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center" vertical="center"/>
    </xf>
    <xf numFmtId="14" fontId="6" fillId="7" borderId="17" xfId="0" applyNumberFormat="1" applyFont="1" applyFill="1" applyBorder="1" applyAlignment="1">
      <alignment horizontal="center" vertical="center"/>
    </xf>
    <xf numFmtId="0" fontId="6" fillId="7" borderId="17" xfId="0" applyNumberFormat="1" applyFont="1" applyFill="1" applyBorder="1" applyAlignment="1">
      <alignment horizontal="center" vertical="center"/>
    </xf>
    <xf numFmtId="164" fontId="6" fillId="7" borderId="18" xfId="0" applyNumberFormat="1" applyFont="1" applyFill="1" applyBorder="1" applyAlignment="1">
      <alignment horizontal="center" vertical="center"/>
    </xf>
    <xf numFmtId="0" fontId="6" fillId="7" borderId="11" xfId="0" applyFont="1" applyFill="1" applyBorder="1" applyAlignment="1">
      <alignment horizontal="center" vertical="center" wrapText="1"/>
    </xf>
    <xf numFmtId="0" fontId="6" fillId="7" borderId="17" xfId="0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  <xf numFmtId="0" fontId="6" fillId="7" borderId="0" xfId="0" applyFont="1" applyFill="1" applyAlignment="1">
      <alignment horizontal="center"/>
    </xf>
    <xf numFmtId="0" fontId="4" fillId="7" borderId="30" xfId="0" applyFont="1" applyFill="1" applyBorder="1" applyAlignment="1">
      <alignment horizontal="center" vertical="center"/>
    </xf>
    <xf numFmtId="14" fontId="4" fillId="7" borderId="31" xfId="0" applyNumberFormat="1" applyFont="1" applyFill="1" applyBorder="1" applyAlignment="1">
      <alignment horizontal="center" vertical="center"/>
    </xf>
    <xf numFmtId="0" fontId="4" fillId="7" borderId="31" xfId="0" applyNumberFormat="1" applyFont="1" applyFill="1" applyBorder="1" applyAlignment="1">
      <alignment horizontal="center" vertical="center"/>
    </xf>
    <xf numFmtId="164" fontId="7" fillId="7" borderId="31" xfId="0" applyNumberFormat="1" applyFont="1" applyFill="1" applyBorder="1" applyAlignment="1">
      <alignment horizontal="center" vertical="center"/>
    </xf>
    <xf numFmtId="164" fontId="4" fillId="7" borderId="31" xfId="0" applyNumberFormat="1" applyFont="1" applyFill="1" applyBorder="1" applyAlignment="1">
      <alignment horizontal="center" vertical="center"/>
    </xf>
    <xf numFmtId="164" fontId="4" fillId="7" borderId="32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 vertical="center"/>
    </xf>
    <xf numFmtId="0" fontId="10" fillId="10" borderId="33" xfId="0" applyFont="1" applyFill="1" applyBorder="1" applyAlignment="1">
      <alignment horizontal="center"/>
    </xf>
    <xf numFmtId="165" fontId="11" fillId="11" borderId="33" xfId="0" applyNumberFormat="1" applyFont="1" applyFill="1" applyBorder="1" applyAlignment="1">
      <alignment horizontal="center" vertical="center"/>
    </xf>
    <xf numFmtId="0" fontId="10" fillId="11" borderId="33" xfId="0" applyFont="1" applyFill="1" applyBorder="1" applyAlignment="1">
      <alignment horizontal="center" vertical="center"/>
    </xf>
    <xf numFmtId="165" fontId="11" fillId="10" borderId="33" xfId="0" applyNumberFormat="1" applyFont="1" applyFill="1" applyBorder="1" applyAlignment="1">
      <alignment horizontal="center" vertical="center"/>
    </xf>
    <xf numFmtId="0" fontId="11" fillId="15" borderId="36" xfId="0" applyFont="1" applyFill="1" applyBorder="1" applyAlignment="1">
      <alignment horizontal="center" vertical="center"/>
    </xf>
    <xf numFmtId="14" fontId="2" fillId="15" borderId="37" xfId="0" applyNumberFormat="1" applyFont="1" applyFill="1" applyBorder="1" applyAlignment="1">
      <alignment horizontal="center"/>
    </xf>
    <xf numFmtId="14" fontId="2" fillId="15" borderId="38" xfId="0" applyNumberFormat="1" applyFont="1" applyFill="1" applyBorder="1" applyAlignment="1">
      <alignment horizontal="center"/>
    </xf>
    <xf numFmtId="165" fontId="2" fillId="0" borderId="39" xfId="0" applyNumberFormat="1" applyFont="1" applyBorder="1" applyAlignment="1">
      <alignment horizontal="center"/>
    </xf>
    <xf numFmtId="165" fontId="2" fillId="0" borderId="11" xfId="0" applyNumberFormat="1" applyFont="1" applyBorder="1" applyAlignment="1">
      <alignment horizontal="center"/>
    </xf>
    <xf numFmtId="165" fontId="2" fillId="0" borderId="40" xfId="0" applyNumberFormat="1" applyFont="1" applyBorder="1" applyAlignment="1">
      <alignment horizontal="center"/>
    </xf>
    <xf numFmtId="14" fontId="2" fillId="15" borderId="41" xfId="0" applyNumberFormat="1" applyFont="1" applyFill="1" applyBorder="1" applyAlignment="1">
      <alignment horizontal="center"/>
    </xf>
    <xf numFmtId="165" fontId="2" fillId="0" borderId="10" xfId="0" applyNumberFormat="1" applyFont="1" applyBorder="1" applyAlignment="1">
      <alignment horizontal="center" vertical="center"/>
    </xf>
    <xf numFmtId="165" fontId="2" fillId="0" borderId="11" xfId="0" applyNumberFormat="1" applyFont="1" applyBorder="1" applyAlignment="1">
      <alignment horizontal="center" vertical="center"/>
    </xf>
    <xf numFmtId="165" fontId="2" fillId="0" borderId="43" xfId="0" applyNumberFormat="1" applyFont="1" applyBorder="1" applyAlignment="1">
      <alignment horizontal="center"/>
    </xf>
    <xf numFmtId="165" fontId="2" fillId="0" borderId="17" xfId="0" applyNumberFormat="1" applyFont="1" applyBorder="1" applyAlignment="1">
      <alignment horizontal="center"/>
    </xf>
    <xf numFmtId="165" fontId="2" fillId="0" borderId="44" xfId="0" applyNumberFormat="1" applyFont="1" applyBorder="1" applyAlignment="1">
      <alignment horizontal="center"/>
    </xf>
    <xf numFmtId="165" fontId="2" fillId="0" borderId="16" xfId="0" applyNumberFormat="1" applyFont="1" applyBorder="1" applyAlignment="1">
      <alignment horizontal="center" vertical="center"/>
    </xf>
    <xf numFmtId="165" fontId="2" fillId="0" borderId="17" xfId="0" applyNumberFormat="1" applyFont="1" applyBorder="1" applyAlignment="1">
      <alignment horizontal="center" vertical="center"/>
    </xf>
    <xf numFmtId="0" fontId="13" fillId="15" borderId="46" xfId="0" applyFont="1" applyFill="1" applyBorder="1" applyAlignment="1">
      <alignment horizontal="center"/>
    </xf>
    <xf numFmtId="0" fontId="7" fillId="7" borderId="11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/>
    </xf>
    <xf numFmtId="0" fontId="7" fillId="7" borderId="11" xfId="0" applyFont="1" applyFill="1" applyBorder="1" applyAlignment="1">
      <alignment horizontal="left"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7" borderId="11" xfId="0" applyFont="1" applyFill="1" applyBorder="1" applyAlignment="1">
      <alignment vertical="center" wrapText="1"/>
    </xf>
    <xf numFmtId="0" fontId="6" fillId="7" borderId="11" xfId="0" applyFont="1" applyFill="1" applyBorder="1" applyAlignment="1">
      <alignment horizontal="left" vertical="center" wrapText="1"/>
    </xf>
    <xf numFmtId="0" fontId="4" fillId="7" borderId="13" xfId="0" applyFont="1" applyFill="1" applyBorder="1" applyAlignment="1">
      <alignment vertical="center" wrapText="1"/>
    </xf>
    <xf numFmtId="0" fontId="4" fillId="7" borderId="22" xfId="0" applyFont="1" applyFill="1" applyBorder="1" applyAlignment="1">
      <alignment vertical="center" wrapText="1"/>
    </xf>
    <xf numFmtId="0" fontId="7" fillId="7" borderId="11" xfId="0" applyFont="1" applyFill="1" applyBorder="1" applyAlignment="1">
      <alignment vertical="center" wrapText="1"/>
    </xf>
    <xf numFmtId="0" fontId="4" fillId="7" borderId="11" xfId="0" applyFont="1" applyFill="1" applyBorder="1" applyAlignment="1">
      <alignment horizontal="left" vertical="center" wrapText="1"/>
    </xf>
    <xf numFmtId="0" fontId="7" fillId="7" borderId="13" xfId="0" applyFont="1" applyFill="1" applyBorder="1" applyAlignment="1">
      <alignment horizontal="left" vertical="center" wrapText="1"/>
    </xf>
    <xf numFmtId="165" fontId="11" fillId="15" borderId="36" xfId="0" applyNumberFormat="1" applyFont="1" applyFill="1" applyBorder="1" applyAlignment="1">
      <alignment horizontal="center" vertical="center"/>
    </xf>
    <xf numFmtId="165" fontId="11" fillId="15" borderId="1" xfId="0" applyNumberFormat="1" applyFont="1" applyFill="1" applyBorder="1" applyAlignment="1">
      <alignment horizontal="center"/>
    </xf>
    <xf numFmtId="165" fontId="2" fillId="0" borderId="20" xfId="0" applyNumberFormat="1" applyFont="1" applyBorder="1" applyAlignment="1">
      <alignment horizontal="center" vertical="center"/>
    </xf>
    <xf numFmtId="165" fontId="2" fillId="16" borderId="41" xfId="0" applyNumberFormat="1" applyFont="1" applyFill="1" applyBorder="1" applyAlignment="1">
      <alignment horizontal="center"/>
    </xf>
    <xf numFmtId="165" fontId="2" fillId="16" borderId="48" xfId="0" applyNumberFormat="1" applyFont="1" applyFill="1" applyBorder="1" applyAlignment="1">
      <alignment horizontal="center"/>
    </xf>
    <xf numFmtId="165" fontId="2" fillId="0" borderId="12" xfId="0" applyNumberFormat="1" applyFont="1" applyBorder="1" applyAlignment="1">
      <alignment horizontal="center" vertical="center"/>
    </xf>
    <xf numFmtId="164" fontId="15" fillId="16" borderId="48" xfId="0" applyNumberFormat="1" applyFont="1" applyFill="1" applyBorder="1" applyAlignment="1">
      <alignment horizontal="center"/>
    </xf>
    <xf numFmtId="164" fontId="2" fillId="16" borderId="48" xfId="0" applyNumberFormat="1" applyFont="1" applyFill="1" applyBorder="1" applyAlignment="1">
      <alignment horizontal="center"/>
    </xf>
    <xf numFmtId="164" fontId="2" fillId="16" borderId="48" xfId="0" applyNumberFormat="1" applyFont="1" applyFill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/>
    </xf>
    <xf numFmtId="165" fontId="2" fillId="0" borderId="50" xfId="0" applyNumberFormat="1" applyFont="1" applyBorder="1" applyAlignment="1">
      <alignment horizontal="center"/>
    </xf>
    <xf numFmtId="165" fontId="2" fillId="16" borderId="51" xfId="0" applyNumberFormat="1" applyFont="1" applyFill="1" applyBorder="1" applyAlignment="1">
      <alignment horizontal="center"/>
    </xf>
    <xf numFmtId="165" fontId="2" fillId="16" borderId="49" xfId="0" applyNumberFormat="1" applyFont="1" applyFill="1" applyBorder="1" applyAlignment="1">
      <alignment horizontal="center"/>
    </xf>
    <xf numFmtId="164" fontId="2" fillId="16" borderId="51" xfId="0" applyNumberFormat="1" applyFont="1" applyFill="1" applyBorder="1" applyAlignment="1">
      <alignment horizontal="center"/>
    </xf>
    <xf numFmtId="165" fontId="2" fillId="16" borderId="45" xfId="0" applyNumberFormat="1" applyFont="1" applyFill="1" applyBorder="1" applyAlignment="1">
      <alignment horizontal="center"/>
    </xf>
    <xf numFmtId="165" fontId="2" fillId="16" borderId="52" xfId="0" applyNumberFormat="1" applyFont="1" applyFill="1" applyBorder="1" applyAlignment="1">
      <alignment horizontal="center"/>
    </xf>
    <xf numFmtId="0" fontId="13" fillId="15" borderId="6" xfId="0" applyFont="1" applyFill="1" applyBorder="1" applyAlignment="1">
      <alignment horizontal="center"/>
    </xf>
    <xf numFmtId="165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5" fontId="2" fillId="0" borderId="22" xfId="0" applyNumberFormat="1" applyFont="1" applyBorder="1" applyAlignment="1">
      <alignment horizontal="center"/>
    </xf>
    <xf numFmtId="0" fontId="2" fillId="0" borderId="54" xfId="0" applyFont="1" applyBorder="1" applyAlignment="1">
      <alignment horizontal="center"/>
    </xf>
    <xf numFmtId="165" fontId="2" fillId="16" borderId="53" xfId="0" applyNumberFormat="1" applyFont="1" applyFill="1" applyBorder="1" applyAlignment="1">
      <alignment horizontal="center"/>
    </xf>
    <xf numFmtId="0" fontId="2" fillId="15" borderId="53" xfId="0" applyFont="1" applyFill="1" applyBorder="1" applyAlignment="1">
      <alignment horizontal="center"/>
    </xf>
    <xf numFmtId="165" fontId="2" fillId="16" borderId="55" xfId="0" applyNumberFormat="1" applyFont="1" applyFill="1" applyBorder="1" applyAlignment="1">
      <alignment horizontal="center"/>
    </xf>
    <xf numFmtId="0" fontId="11" fillId="14" borderId="33" xfId="0" applyFont="1" applyFill="1" applyBorder="1" applyAlignment="1">
      <alignment horizontal="center"/>
    </xf>
    <xf numFmtId="0" fontId="11" fillId="15" borderId="35" xfId="0" applyFont="1" applyFill="1" applyBorder="1" applyAlignment="1">
      <alignment horizontal="center"/>
    </xf>
    <xf numFmtId="0" fontId="11" fillId="15" borderId="33" xfId="0" applyFont="1" applyFill="1" applyBorder="1" applyAlignment="1">
      <alignment horizontal="center"/>
    </xf>
    <xf numFmtId="165" fontId="2" fillId="0" borderId="19" xfId="0" applyNumberFormat="1" applyFont="1" applyBorder="1" applyAlignment="1">
      <alignment horizontal="center" vertical="center"/>
    </xf>
    <xf numFmtId="165" fontId="2" fillId="0" borderId="21" xfId="0" applyNumberFormat="1" applyFont="1" applyBorder="1" applyAlignment="1">
      <alignment horizontal="center" vertical="center"/>
    </xf>
    <xf numFmtId="165" fontId="2" fillId="0" borderId="18" xfId="0" applyNumberFormat="1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165" fontId="2" fillId="7" borderId="22" xfId="0" applyNumberFormat="1" applyFont="1" applyFill="1" applyBorder="1" applyAlignment="1">
      <alignment horizontal="center"/>
    </xf>
    <xf numFmtId="165" fontId="2" fillId="7" borderId="11" xfId="0" applyNumberFormat="1" applyFont="1" applyFill="1" applyBorder="1" applyAlignment="1">
      <alignment horizontal="center"/>
    </xf>
    <xf numFmtId="165" fontId="2" fillId="7" borderId="13" xfId="0" applyNumberFormat="1" applyFont="1" applyFill="1" applyBorder="1" applyAlignment="1">
      <alignment horizontal="center"/>
    </xf>
    <xf numFmtId="165" fontId="2" fillId="7" borderId="17" xfId="0" applyNumberFormat="1" applyFont="1" applyFill="1" applyBorder="1" applyAlignment="1">
      <alignment horizontal="center"/>
    </xf>
    <xf numFmtId="165" fontId="12" fillId="0" borderId="56" xfId="0" applyNumberFormat="1" applyFont="1" applyBorder="1" applyAlignment="1">
      <alignment horizontal="center"/>
    </xf>
    <xf numFmtId="165" fontId="2" fillId="0" borderId="57" xfId="0" applyNumberFormat="1" applyFont="1" applyBorder="1" applyAlignment="1">
      <alignment horizontal="center"/>
    </xf>
    <xf numFmtId="14" fontId="2" fillId="15" borderId="38" xfId="0" applyNumberFormat="1" applyFont="1" applyFill="1" applyBorder="1" applyAlignment="1">
      <alignment horizontal="center" vertical="center"/>
    </xf>
    <xf numFmtId="0" fontId="2" fillId="15" borderId="42" xfId="0" applyFont="1" applyFill="1" applyBorder="1" applyAlignment="1">
      <alignment horizontal="center"/>
    </xf>
    <xf numFmtId="0" fontId="0" fillId="0" borderId="0" xfId="0" applyAlignment="1">
      <alignment horizontal="center"/>
    </xf>
    <xf numFmtId="43" fontId="0" fillId="9" borderId="11" xfId="1" applyFont="1" applyFill="1" applyBorder="1" applyAlignment="1">
      <alignment horizontal="center"/>
    </xf>
    <xf numFmtId="43" fontId="0" fillId="9" borderId="12" xfId="1" applyFont="1" applyFill="1" applyBorder="1" applyAlignment="1">
      <alignment horizontal="center"/>
    </xf>
    <xf numFmtId="14" fontId="0" fillId="9" borderId="10" xfId="0" applyNumberFormat="1" applyFont="1" applyFill="1" applyBorder="1" applyAlignment="1">
      <alignment horizontal="center"/>
    </xf>
    <xf numFmtId="0" fontId="0" fillId="9" borderId="11" xfId="0" applyFont="1" applyFill="1" applyBorder="1" applyAlignment="1">
      <alignment horizontal="center"/>
    </xf>
    <xf numFmtId="0" fontId="18" fillId="0" borderId="0" xfId="0" applyFont="1"/>
    <xf numFmtId="165" fontId="2" fillId="11" borderId="11" xfId="0" applyNumberFormat="1" applyFont="1" applyFill="1" applyBorder="1" applyAlignment="1">
      <alignment horizontal="center"/>
    </xf>
    <xf numFmtId="165" fontId="2" fillId="11" borderId="13" xfId="0" applyNumberFormat="1" applyFont="1" applyFill="1" applyBorder="1" applyAlignment="1">
      <alignment horizontal="center"/>
    </xf>
    <xf numFmtId="164" fontId="2" fillId="0" borderId="10" xfId="0" applyNumberFormat="1" applyFont="1" applyBorder="1" applyAlignment="1">
      <alignment horizontal="center" vertical="center"/>
    </xf>
    <xf numFmtId="165" fontId="2" fillId="17" borderId="59" xfId="0" applyNumberFormat="1" applyFont="1" applyFill="1" applyBorder="1" applyAlignment="1">
      <alignment horizontal="center"/>
    </xf>
    <xf numFmtId="165" fontId="2" fillId="17" borderId="60" xfId="0" applyNumberFormat="1" applyFont="1" applyFill="1" applyBorder="1" applyAlignment="1">
      <alignment horizontal="center"/>
    </xf>
    <xf numFmtId="14" fontId="0" fillId="9" borderId="19" xfId="0" applyNumberFormat="1" applyFont="1" applyFill="1" applyBorder="1" applyAlignment="1">
      <alignment horizontal="center"/>
    </xf>
    <xf numFmtId="0" fontId="0" fillId="9" borderId="20" xfId="0" applyFont="1" applyFill="1" applyBorder="1" applyAlignment="1">
      <alignment horizontal="center"/>
    </xf>
    <xf numFmtId="43" fontId="0" fillId="9" borderId="20" xfId="1" applyFont="1" applyFill="1" applyBorder="1" applyAlignment="1">
      <alignment horizontal="center"/>
    </xf>
    <xf numFmtId="43" fontId="0" fillId="9" borderId="21" xfId="1" applyFont="1" applyFill="1" applyBorder="1" applyAlignment="1">
      <alignment horizontal="center"/>
    </xf>
    <xf numFmtId="14" fontId="0" fillId="9" borderId="16" xfId="0" applyNumberFormat="1" applyFont="1" applyFill="1" applyBorder="1" applyAlignment="1">
      <alignment horizontal="center"/>
    </xf>
    <xf numFmtId="0" fontId="0" fillId="9" borderId="17" xfId="0" applyFont="1" applyFill="1" applyBorder="1" applyAlignment="1">
      <alignment horizontal="center"/>
    </xf>
    <xf numFmtId="43" fontId="0" fillId="9" borderId="17" xfId="1" applyFont="1" applyFill="1" applyBorder="1" applyAlignment="1">
      <alignment horizontal="center"/>
    </xf>
    <xf numFmtId="43" fontId="0" fillId="9" borderId="18" xfId="1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164" fontId="4" fillId="7" borderId="11" xfId="0" applyNumberFormat="1" applyFont="1" applyFill="1" applyBorder="1" applyAlignment="1">
      <alignment horizontal="left" vertical="center"/>
    </xf>
    <xf numFmtId="164" fontId="6" fillId="7" borderId="11" xfId="0" applyNumberFormat="1" applyFont="1" applyFill="1" applyBorder="1" applyAlignment="1">
      <alignment horizontal="left" vertical="center"/>
    </xf>
    <xf numFmtId="164" fontId="4" fillId="7" borderId="13" xfId="0" applyNumberFormat="1" applyFont="1" applyFill="1" applyBorder="1" applyAlignment="1">
      <alignment horizontal="left" vertical="center"/>
    </xf>
    <xf numFmtId="164" fontId="4" fillId="7" borderId="22" xfId="0" applyNumberFormat="1" applyFont="1" applyFill="1" applyBorder="1" applyAlignment="1">
      <alignment horizontal="left" vertical="center"/>
    </xf>
    <xf numFmtId="164" fontId="7" fillId="7" borderId="11" xfId="0" applyNumberFormat="1" applyFont="1" applyFill="1" applyBorder="1" applyAlignment="1">
      <alignment horizontal="left" vertical="center"/>
    </xf>
    <xf numFmtId="0" fontId="7" fillId="18" borderId="11" xfId="0" applyFont="1" applyFill="1" applyBorder="1" applyAlignment="1">
      <alignment horizontal="center" vertical="center"/>
    </xf>
    <xf numFmtId="14" fontId="7" fillId="18" borderId="11" xfId="0" applyNumberFormat="1" applyFont="1" applyFill="1" applyBorder="1" applyAlignment="1">
      <alignment horizontal="center" vertical="center"/>
    </xf>
    <xf numFmtId="0" fontId="7" fillId="18" borderId="11" xfId="0" applyNumberFormat="1" applyFont="1" applyFill="1" applyBorder="1" applyAlignment="1">
      <alignment horizontal="center" vertical="center"/>
    </xf>
    <xf numFmtId="0" fontId="7" fillId="18" borderId="11" xfId="0" applyFont="1" applyFill="1" applyBorder="1" applyAlignment="1">
      <alignment horizontal="left" vertical="center" wrapText="1"/>
    </xf>
    <xf numFmtId="164" fontId="7" fillId="18" borderId="11" xfId="0" applyNumberFormat="1" applyFont="1" applyFill="1" applyBorder="1" applyAlignment="1">
      <alignment horizontal="center" vertical="center"/>
    </xf>
    <xf numFmtId="164" fontId="4" fillId="18" borderId="11" xfId="0" applyNumberFormat="1" applyFont="1" applyFill="1" applyBorder="1" applyAlignment="1">
      <alignment horizontal="center" vertical="center"/>
    </xf>
    <xf numFmtId="164" fontId="6" fillId="18" borderId="11" xfId="0" applyNumberFormat="1" applyFont="1" applyFill="1" applyBorder="1" applyAlignment="1">
      <alignment horizontal="center" vertical="center"/>
    </xf>
    <xf numFmtId="164" fontId="4" fillId="18" borderId="11" xfId="0" applyNumberFormat="1" applyFont="1" applyFill="1" applyBorder="1" applyAlignment="1">
      <alignment horizontal="left" vertical="center"/>
    </xf>
    <xf numFmtId="0" fontId="19" fillId="7" borderId="0" xfId="0" applyFont="1" applyFill="1" applyAlignment="1">
      <alignment horizontal="center"/>
    </xf>
    <xf numFmtId="0" fontId="11" fillId="14" borderId="36" xfId="0" applyFont="1" applyFill="1" applyBorder="1" applyAlignment="1">
      <alignment horizontal="center"/>
    </xf>
    <xf numFmtId="0" fontId="2" fillId="15" borderId="38" xfId="0" applyFont="1" applyFill="1" applyBorder="1" applyAlignment="1">
      <alignment horizontal="center"/>
    </xf>
    <xf numFmtId="14" fontId="0" fillId="9" borderId="15" xfId="0" applyNumberFormat="1" applyFont="1" applyFill="1" applyBorder="1" applyAlignment="1">
      <alignment horizontal="center"/>
    </xf>
    <xf numFmtId="0" fontId="0" fillId="9" borderId="13" xfId="0" applyFont="1" applyFill="1" applyBorder="1" applyAlignment="1">
      <alignment horizontal="center"/>
    </xf>
    <xf numFmtId="43" fontId="0" fillId="9" borderId="13" xfId="1" applyFont="1" applyFill="1" applyBorder="1" applyAlignment="1">
      <alignment horizontal="center"/>
    </xf>
    <xf numFmtId="43" fontId="0" fillId="9" borderId="14" xfId="1" applyFont="1" applyFill="1" applyBorder="1" applyAlignment="1">
      <alignment horizontal="center"/>
    </xf>
    <xf numFmtId="0" fontId="10" fillId="10" borderId="13" xfId="0" applyFont="1" applyFill="1" applyBorder="1" applyAlignment="1">
      <alignment horizontal="center"/>
    </xf>
    <xf numFmtId="0" fontId="10" fillId="10" borderId="14" xfId="0" applyFont="1" applyFill="1" applyBorder="1" applyAlignment="1">
      <alignment horizontal="center"/>
    </xf>
    <xf numFmtId="0" fontId="4" fillId="7" borderId="24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7" borderId="25" xfId="0" applyFont="1" applyFill="1" applyBorder="1" applyAlignment="1">
      <alignment horizontal="center" vertical="center"/>
    </xf>
    <xf numFmtId="0" fontId="4" fillId="7" borderId="31" xfId="0" applyFont="1" applyFill="1" applyBorder="1" applyAlignment="1">
      <alignment horizontal="center" vertical="center"/>
    </xf>
    <xf numFmtId="14" fontId="4" fillId="10" borderId="11" xfId="0" applyNumberFormat="1" applyFont="1" applyFill="1" applyBorder="1" applyAlignment="1">
      <alignment horizontal="center" vertical="center"/>
    </xf>
    <xf numFmtId="14" fontId="4" fillId="7" borderId="25" xfId="0" applyNumberFormat="1" applyFont="1" applyFill="1" applyBorder="1" applyAlignment="1">
      <alignment horizontal="center" vertical="center"/>
    </xf>
    <xf numFmtId="14" fontId="7" fillId="7" borderId="13" xfId="0" applyNumberFormat="1" applyFont="1" applyFill="1" applyBorder="1" applyAlignment="1">
      <alignment horizontal="center" vertical="center"/>
    </xf>
    <xf numFmtId="14" fontId="7" fillId="7" borderId="22" xfId="0" applyNumberFormat="1" applyFont="1" applyFill="1" applyBorder="1" applyAlignment="1">
      <alignment horizontal="center" vertical="center"/>
    </xf>
    <xf numFmtId="14" fontId="7" fillId="7" borderId="25" xfId="0" applyNumberFormat="1" applyFont="1" applyFill="1" applyBorder="1" applyAlignment="1">
      <alignment horizontal="center" vertical="center"/>
    </xf>
    <xf numFmtId="0" fontId="4" fillId="10" borderId="11" xfId="0" applyNumberFormat="1" applyFont="1" applyFill="1" applyBorder="1" applyAlignment="1">
      <alignment horizontal="center" vertical="center"/>
    </xf>
    <xf numFmtId="0" fontId="7" fillId="7" borderId="25" xfId="0" applyNumberFormat="1" applyFont="1" applyFill="1" applyBorder="1" applyAlignment="1">
      <alignment horizontal="center" vertical="center"/>
    </xf>
    <xf numFmtId="0" fontId="4" fillId="7" borderId="25" xfId="0" applyNumberFormat="1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 wrapText="1"/>
    </xf>
    <xf numFmtId="0" fontId="4" fillId="7" borderId="25" xfId="0" applyFont="1" applyFill="1" applyBorder="1" applyAlignment="1">
      <alignment vertical="center" wrapText="1"/>
    </xf>
    <xf numFmtId="0" fontId="4" fillId="7" borderId="31" xfId="0" applyFont="1" applyFill="1" applyBorder="1" applyAlignment="1">
      <alignment vertical="center" wrapText="1"/>
    </xf>
    <xf numFmtId="164" fontId="7" fillId="10" borderId="11" xfId="0" applyNumberFormat="1" applyFont="1" applyFill="1" applyBorder="1" applyAlignment="1">
      <alignment horizontal="center" vertical="center"/>
    </xf>
    <xf numFmtId="164" fontId="7" fillId="7" borderId="25" xfId="0" applyNumberFormat="1" applyFont="1" applyFill="1" applyBorder="1" applyAlignment="1">
      <alignment horizontal="center" vertical="center"/>
    </xf>
    <xf numFmtId="164" fontId="4" fillId="7" borderId="25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164" fontId="7" fillId="7" borderId="0" xfId="0" applyNumberFormat="1" applyFont="1" applyFill="1" applyBorder="1" applyAlignment="1">
      <alignment horizontal="center" vertical="center"/>
    </xf>
    <xf numFmtId="164" fontId="4" fillId="10" borderId="11" xfId="0" applyNumberFormat="1" applyFont="1" applyFill="1" applyBorder="1" applyAlignment="1">
      <alignment horizontal="center" vertical="center"/>
    </xf>
    <xf numFmtId="164" fontId="6" fillId="7" borderId="25" xfId="0" applyNumberFormat="1" applyFont="1" applyFill="1" applyBorder="1" applyAlignment="1">
      <alignment horizontal="center" vertical="center"/>
    </xf>
    <xf numFmtId="164" fontId="4" fillId="10" borderId="11" xfId="0" applyNumberFormat="1" applyFont="1" applyFill="1" applyBorder="1" applyAlignment="1">
      <alignment horizontal="left" vertical="center"/>
    </xf>
    <xf numFmtId="164" fontId="4" fillId="7" borderId="25" xfId="0" applyNumberFormat="1" applyFont="1" applyFill="1" applyBorder="1" applyAlignment="1">
      <alignment horizontal="left" vertical="center"/>
    </xf>
    <xf numFmtId="164" fontId="4" fillId="7" borderId="26" xfId="0" applyNumberFormat="1" applyFont="1" applyFill="1" applyBorder="1" applyAlignment="1">
      <alignment horizontal="center" vertical="center"/>
    </xf>
    <xf numFmtId="0" fontId="7" fillId="7" borderId="13" xfId="0" applyNumberFormat="1" applyFont="1" applyFill="1" applyBorder="1" applyAlignment="1">
      <alignment horizontal="center" vertical="center"/>
    </xf>
    <xf numFmtId="4" fontId="7" fillId="8" borderId="13" xfId="0" applyNumberFormat="1" applyFont="1" applyFill="1" applyBorder="1" applyAlignment="1">
      <alignment horizontal="center" vertical="center"/>
    </xf>
    <xf numFmtId="4" fontId="7" fillId="8" borderId="22" xfId="0" applyNumberFormat="1" applyFont="1" applyFill="1" applyBorder="1" applyAlignment="1">
      <alignment horizontal="center" vertical="center"/>
    </xf>
    <xf numFmtId="4" fontId="7" fillId="8" borderId="31" xfId="0" applyNumberFormat="1" applyFont="1" applyFill="1" applyBorder="1" applyAlignment="1">
      <alignment horizontal="center" vertical="center"/>
    </xf>
    <xf numFmtId="164" fontId="4" fillId="7" borderId="31" xfId="0" applyNumberFormat="1" applyFont="1" applyFill="1" applyBorder="1" applyAlignment="1">
      <alignment horizontal="left" vertical="center"/>
    </xf>
    <xf numFmtId="14" fontId="4" fillId="7" borderId="59" xfId="0" applyNumberFormat="1" applyFont="1" applyFill="1" applyBorder="1" applyAlignment="1">
      <alignment horizontal="center" vertical="center"/>
    </xf>
    <xf numFmtId="0" fontId="4" fillId="7" borderId="59" xfId="0" applyNumberFormat="1" applyFont="1" applyFill="1" applyBorder="1" applyAlignment="1">
      <alignment horizontal="center" vertical="center"/>
    </xf>
    <xf numFmtId="0" fontId="4" fillId="7" borderId="59" xfId="0" applyFont="1" applyFill="1" applyBorder="1" applyAlignment="1">
      <alignment vertical="center" wrapText="1"/>
    </xf>
    <xf numFmtId="164" fontId="7" fillId="7" borderId="59" xfId="0" applyNumberFormat="1" applyFont="1" applyFill="1" applyBorder="1" applyAlignment="1">
      <alignment horizontal="center" vertical="center"/>
    </xf>
    <xf numFmtId="164" fontId="4" fillId="7" borderId="59" xfId="0" applyNumberFormat="1" applyFont="1" applyFill="1" applyBorder="1" applyAlignment="1">
      <alignment horizontal="center" vertical="center"/>
    </xf>
    <xf numFmtId="164" fontId="4" fillId="7" borderId="59" xfId="0" applyNumberFormat="1" applyFont="1" applyFill="1" applyBorder="1" applyAlignment="1">
      <alignment horizontal="left" vertical="center"/>
    </xf>
    <xf numFmtId="164" fontId="4" fillId="7" borderId="60" xfId="0" applyNumberFormat="1" applyFont="1" applyFill="1" applyBorder="1" applyAlignment="1">
      <alignment horizontal="center" vertical="center"/>
    </xf>
    <xf numFmtId="14" fontId="7" fillId="7" borderId="31" xfId="0" applyNumberFormat="1" applyFont="1" applyFill="1" applyBorder="1" applyAlignment="1">
      <alignment horizontal="center" vertical="center"/>
    </xf>
    <xf numFmtId="0" fontId="7" fillId="7" borderId="31" xfId="0" applyNumberFormat="1" applyFont="1" applyFill="1" applyBorder="1" applyAlignment="1">
      <alignment horizontal="center" vertical="center"/>
    </xf>
    <xf numFmtId="164" fontId="6" fillId="7" borderId="31" xfId="0" applyNumberFormat="1" applyFont="1" applyFill="1" applyBorder="1" applyAlignment="1">
      <alignment horizontal="center" vertical="center"/>
    </xf>
    <xf numFmtId="0" fontId="7" fillId="7" borderId="22" xfId="0" applyNumberFormat="1" applyFont="1" applyFill="1" applyBorder="1" applyAlignment="1">
      <alignment horizontal="center" vertical="center"/>
    </xf>
    <xf numFmtId="164" fontId="6" fillId="7" borderId="22" xfId="0" applyNumberFormat="1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left" vertical="center" wrapText="1"/>
    </xf>
    <xf numFmtId="0" fontId="7" fillId="7" borderId="31" xfId="0" applyFont="1" applyFill="1" applyBorder="1" applyAlignment="1">
      <alignment horizontal="left" vertical="center" wrapText="1"/>
    </xf>
    <xf numFmtId="0" fontId="4" fillId="0" borderId="11" xfId="0" applyFont="1" applyBorder="1" applyAlignment="1">
      <alignment wrapText="1"/>
    </xf>
    <xf numFmtId="165" fontId="7" fillId="7" borderId="11" xfId="0" applyNumberFormat="1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vertical="center"/>
    </xf>
    <xf numFmtId="0" fontId="4" fillId="7" borderId="58" xfId="0" applyFont="1" applyFill="1" applyBorder="1" applyAlignment="1">
      <alignment horizontal="center" vertical="center"/>
    </xf>
    <xf numFmtId="0" fontId="4" fillId="7" borderId="59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 wrapText="1"/>
    </xf>
    <xf numFmtId="0" fontId="4" fillId="5" borderId="8" xfId="0" applyFont="1" applyFill="1" applyBorder="1" applyAlignment="1">
      <alignment horizontal="center" vertical="center" wrapText="1"/>
    </xf>
    <xf numFmtId="0" fontId="4" fillId="5" borderId="8" xfId="0" applyNumberFormat="1" applyFont="1" applyFill="1" applyBorder="1" applyAlignment="1">
      <alignment horizontal="center" vertical="center" wrapText="1"/>
    </xf>
    <xf numFmtId="49" fontId="4" fillId="6" borderId="8" xfId="0" applyNumberFormat="1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center" vertical="center" wrapText="1"/>
    </xf>
    <xf numFmtId="14" fontId="2" fillId="15" borderId="61" xfId="0" applyNumberFormat="1" applyFont="1" applyFill="1" applyBorder="1" applyAlignment="1">
      <alignment horizontal="center"/>
    </xf>
    <xf numFmtId="165" fontId="2" fillId="0" borderId="15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165" fontId="2" fillId="0" borderId="14" xfId="0" applyNumberFormat="1" applyFont="1" applyBorder="1" applyAlignment="1">
      <alignment horizontal="center" vertical="center"/>
    </xf>
    <xf numFmtId="14" fontId="4" fillId="0" borderId="11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2" fillId="17" borderId="58" xfId="0" applyFont="1" applyFill="1" applyBorder="1" applyAlignment="1">
      <alignment horizontal="center"/>
    </xf>
    <xf numFmtId="0" fontId="2" fillId="17" borderId="59" xfId="0" applyFont="1" applyFill="1" applyBorder="1" applyAlignment="1">
      <alignment horizontal="center"/>
    </xf>
    <xf numFmtId="0" fontId="10" fillId="10" borderId="20" xfId="0" applyFont="1" applyFill="1" applyBorder="1" applyAlignment="1">
      <alignment horizontal="center"/>
    </xf>
    <xf numFmtId="0" fontId="10" fillId="10" borderId="21" xfId="0" applyFont="1" applyFill="1" applyBorder="1" applyAlignment="1">
      <alignment horizontal="center"/>
    </xf>
    <xf numFmtId="0" fontId="10" fillId="10" borderId="24" xfId="0" applyFont="1" applyFill="1" applyBorder="1" applyAlignment="1">
      <alignment horizontal="center" vertical="center"/>
    </xf>
    <xf numFmtId="0" fontId="10" fillId="10" borderId="30" xfId="0" applyFont="1" applyFill="1" applyBorder="1" applyAlignment="1">
      <alignment horizontal="center" vertical="center"/>
    </xf>
    <xf numFmtId="0" fontId="10" fillId="10" borderId="25" xfId="0" applyFont="1" applyFill="1" applyBorder="1" applyAlignment="1">
      <alignment horizontal="center" vertical="center"/>
    </xf>
    <xf numFmtId="0" fontId="10" fillId="10" borderId="31" xfId="0" applyFont="1" applyFill="1" applyBorder="1" applyAlignment="1">
      <alignment horizontal="center" vertical="center"/>
    </xf>
    <xf numFmtId="165" fontId="1" fillId="10" borderId="4" xfId="0" applyNumberFormat="1" applyFont="1" applyFill="1" applyBorder="1" applyAlignment="1">
      <alignment horizontal="center"/>
    </xf>
    <xf numFmtId="165" fontId="1" fillId="10" borderId="5" xfId="0" applyNumberFormat="1" applyFont="1" applyFill="1" applyBorder="1" applyAlignment="1">
      <alignment horizontal="center"/>
    </xf>
    <xf numFmtId="165" fontId="1" fillId="10" borderId="6" xfId="0" applyNumberFormat="1" applyFont="1" applyFill="1" applyBorder="1" applyAlignment="1">
      <alignment horizontal="center"/>
    </xf>
    <xf numFmtId="0" fontId="9" fillId="10" borderId="47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/>
    </xf>
    <xf numFmtId="0" fontId="9" fillId="10" borderId="35" xfId="0" applyFont="1" applyFill="1" applyBorder="1" applyAlignment="1">
      <alignment horizontal="center"/>
    </xf>
    <xf numFmtId="0" fontId="10" fillId="12" borderId="47" xfId="0" applyFont="1" applyFill="1" applyBorder="1" applyAlignment="1">
      <alignment horizontal="center"/>
    </xf>
    <xf numFmtId="0" fontId="10" fillId="12" borderId="34" xfId="0" applyFont="1" applyFill="1" applyBorder="1" applyAlignment="1">
      <alignment horizontal="center"/>
    </xf>
    <xf numFmtId="0" fontId="10" fillId="12" borderId="35" xfId="0" applyFont="1" applyFill="1" applyBorder="1" applyAlignment="1">
      <alignment horizontal="center"/>
    </xf>
    <xf numFmtId="0" fontId="10" fillId="13" borderId="34" xfId="0" applyFont="1" applyFill="1" applyBorder="1" applyAlignment="1">
      <alignment horizontal="center"/>
    </xf>
    <xf numFmtId="0" fontId="10" fillId="13" borderId="35" xfId="0" applyFont="1" applyFill="1" applyBorder="1" applyAlignment="1">
      <alignment horizontal="center"/>
    </xf>
    <xf numFmtId="0" fontId="11" fillId="14" borderId="7" xfId="0" applyFont="1" applyFill="1" applyBorder="1" applyAlignment="1">
      <alignment horizontal="center"/>
    </xf>
    <xf numFmtId="0" fontId="11" fillId="14" borderId="9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10" borderId="2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29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14" fontId="6" fillId="0" borderId="11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 vertical="center"/>
    </xf>
    <xf numFmtId="4" fontId="6" fillId="8" borderId="11" xfId="0" applyNumberFormat="1" applyFont="1" applyFill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</cellXfs>
  <cellStyles count="2">
    <cellStyle name="Milliers" xfId="1" builtinId="3"/>
    <cellStyle name="Normal" xfId="0" builtinId="0"/>
  </cellStyles>
  <dxfs count="10"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  <dxf>
      <font>
        <color rgb="FFFF0000"/>
      </font>
      <fill>
        <patternFill patternType="solid">
          <fgColor rgb="FFFCE5CD"/>
          <bgColor rgb="FFFCE5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CHRAF/OneDrive/Bureau/La%20caisses%20des%20depenses%20BAHI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s dépenses"/>
      <sheetName val="LA BASE "/>
      <sheetName val="Gasoil "/>
      <sheetName val="Formulaire"/>
      <sheetName val="Données"/>
      <sheetName val="Données Dynamiques"/>
    </sheetNames>
    <sheetDataSet>
      <sheetData sheetId="0" refreshError="1"/>
      <sheetData sheetId="1"/>
      <sheetData sheetId="2" refreshError="1"/>
      <sheetData sheetId="3" refreshError="1"/>
      <sheetData sheetId="4">
        <row r="2">
          <cell r="A2" t="str">
            <v>Exploitation Ferme</v>
          </cell>
        </row>
      </sheetData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0"/>
  <sheetViews>
    <sheetView workbookViewId="0">
      <selection activeCell="B10" sqref="B10"/>
    </sheetView>
  </sheetViews>
  <sheetFormatPr baseColWidth="10" defaultRowHeight="15" x14ac:dyDescent="0.25"/>
  <cols>
    <col min="1" max="5" width="16.7109375" style="154" customWidth="1"/>
  </cols>
  <sheetData>
    <row r="1" spans="1:5" ht="15.75" thickBot="1" x14ac:dyDescent="0.3"/>
    <row r="2" spans="1:5" s="159" customFormat="1" ht="15.75" x14ac:dyDescent="0.25">
      <c r="A2" s="262" t="s">
        <v>74</v>
      </c>
      <c r="B2" s="264" t="s">
        <v>379</v>
      </c>
      <c r="C2" s="264" t="s">
        <v>380</v>
      </c>
      <c r="D2" s="260" t="s">
        <v>384</v>
      </c>
      <c r="E2" s="261"/>
    </row>
    <row r="3" spans="1:5" s="159" customFormat="1" ht="16.5" thickBot="1" x14ac:dyDescent="0.3">
      <c r="A3" s="263"/>
      <c r="B3" s="265"/>
      <c r="C3" s="265"/>
      <c r="D3" s="195" t="s">
        <v>381</v>
      </c>
      <c r="E3" s="196" t="s">
        <v>382</v>
      </c>
    </row>
    <row r="4" spans="1:5" x14ac:dyDescent="0.25">
      <c r="A4" s="165">
        <v>45909</v>
      </c>
      <c r="B4" s="166" t="s">
        <v>383</v>
      </c>
      <c r="C4" s="167">
        <v>25000</v>
      </c>
      <c r="D4" s="167">
        <v>25000</v>
      </c>
      <c r="E4" s="168">
        <v>0</v>
      </c>
    </row>
    <row r="5" spans="1:5" x14ac:dyDescent="0.25">
      <c r="A5" s="157">
        <v>45915</v>
      </c>
      <c r="B5" s="158" t="s">
        <v>236</v>
      </c>
      <c r="C5" s="155">
        <v>15000</v>
      </c>
      <c r="D5" s="155">
        <v>0</v>
      </c>
      <c r="E5" s="156">
        <v>15000</v>
      </c>
    </row>
    <row r="6" spans="1:5" x14ac:dyDescent="0.25">
      <c r="A6" s="157">
        <v>45919</v>
      </c>
      <c r="B6" s="158" t="s">
        <v>236</v>
      </c>
      <c r="C6" s="155">
        <v>10000</v>
      </c>
      <c r="D6" s="155">
        <v>0</v>
      </c>
      <c r="E6" s="156">
        <v>10000</v>
      </c>
    </row>
    <row r="7" spans="1:5" x14ac:dyDescent="0.25">
      <c r="A7" s="157">
        <v>45919</v>
      </c>
      <c r="B7" s="158" t="s">
        <v>236</v>
      </c>
      <c r="C7" s="155">
        <v>5000</v>
      </c>
      <c r="D7" s="155">
        <v>0</v>
      </c>
      <c r="E7" s="156">
        <v>5000</v>
      </c>
    </row>
    <row r="8" spans="1:5" x14ac:dyDescent="0.25">
      <c r="A8" s="157">
        <v>45923</v>
      </c>
      <c r="B8" s="158" t="s">
        <v>236</v>
      </c>
      <c r="C8" s="155">
        <v>10000</v>
      </c>
      <c r="D8" s="155">
        <v>0</v>
      </c>
      <c r="E8" s="156">
        <v>10000</v>
      </c>
    </row>
    <row r="9" spans="1:5" x14ac:dyDescent="0.25">
      <c r="A9" s="157">
        <v>45924</v>
      </c>
      <c r="B9" s="158" t="s">
        <v>383</v>
      </c>
      <c r="C9" s="155">
        <v>200000</v>
      </c>
      <c r="D9" s="155">
        <v>200000</v>
      </c>
      <c r="E9" s="156">
        <v>0</v>
      </c>
    </row>
    <row r="10" spans="1:5" x14ac:dyDescent="0.25">
      <c r="A10" s="157">
        <v>45927</v>
      </c>
      <c r="B10" s="158" t="s">
        <v>383</v>
      </c>
      <c r="C10" s="155">
        <v>80000</v>
      </c>
      <c r="D10" s="155">
        <v>0</v>
      </c>
      <c r="E10" s="156">
        <v>80000</v>
      </c>
    </row>
    <row r="11" spans="1:5" x14ac:dyDescent="0.25">
      <c r="A11" s="157">
        <v>45930</v>
      </c>
      <c r="B11" s="158" t="s">
        <v>383</v>
      </c>
      <c r="C11" s="155">
        <v>20000</v>
      </c>
      <c r="D11" s="155">
        <v>0</v>
      </c>
      <c r="E11" s="156">
        <v>20000</v>
      </c>
    </row>
    <row r="12" spans="1:5" x14ac:dyDescent="0.25">
      <c r="A12" s="157">
        <v>45932</v>
      </c>
      <c r="B12" s="158" t="s">
        <v>236</v>
      </c>
      <c r="C12" s="155">
        <v>60000</v>
      </c>
      <c r="D12" s="155">
        <v>0</v>
      </c>
      <c r="E12" s="156">
        <v>60000</v>
      </c>
    </row>
    <row r="13" spans="1:5" x14ac:dyDescent="0.25">
      <c r="A13" s="157">
        <v>45939</v>
      </c>
      <c r="B13" s="158" t="s">
        <v>383</v>
      </c>
      <c r="C13" s="155">
        <v>100000</v>
      </c>
      <c r="D13" s="155">
        <v>60000</v>
      </c>
      <c r="E13" s="156">
        <v>40000</v>
      </c>
    </row>
    <row r="14" spans="1:5" x14ac:dyDescent="0.25">
      <c r="A14" s="157">
        <v>45946</v>
      </c>
      <c r="B14" s="158" t="s">
        <v>383</v>
      </c>
      <c r="C14" s="155">
        <v>20000</v>
      </c>
      <c r="D14" s="155">
        <v>0</v>
      </c>
      <c r="E14" s="156">
        <v>20000</v>
      </c>
    </row>
    <row r="15" spans="1:5" x14ac:dyDescent="0.25">
      <c r="A15" s="157">
        <v>45950</v>
      </c>
      <c r="B15" s="158" t="s">
        <v>236</v>
      </c>
      <c r="C15" s="155">
        <v>10000</v>
      </c>
      <c r="D15" s="155"/>
      <c r="E15" s="156">
        <v>10000</v>
      </c>
    </row>
    <row r="16" spans="1:5" x14ac:dyDescent="0.25">
      <c r="A16" s="157">
        <v>45959</v>
      </c>
      <c r="B16" s="158" t="s">
        <v>383</v>
      </c>
      <c r="C16" s="155">
        <v>10000</v>
      </c>
      <c r="D16" s="155"/>
      <c r="E16" s="156">
        <v>10000</v>
      </c>
    </row>
    <row r="17" spans="1:5" x14ac:dyDescent="0.25">
      <c r="A17" s="157">
        <v>45961</v>
      </c>
      <c r="B17" s="158" t="s">
        <v>383</v>
      </c>
      <c r="C17" s="155">
        <v>20000</v>
      </c>
      <c r="D17" s="155"/>
      <c r="E17" s="156">
        <v>20000</v>
      </c>
    </row>
    <row r="18" spans="1:5" x14ac:dyDescent="0.25">
      <c r="A18" s="191">
        <v>45981</v>
      </c>
      <c r="B18" s="192" t="s">
        <v>383</v>
      </c>
      <c r="C18" s="193">
        <v>80000</v>
      </c>
      <c r="D18" s="193">
        <v>80000</v>
      </c>
      <c r="E18" s="194"/>
    </row>
    <row r="19" spans="1:5" ht="15.75" thickBot="1" x14ac:dyDescent="0.3">
      <c r="A19" s="169">
        <v>45993</v>
      </c>
      <c r="B19" s="170" t="s">
        <v>426</v>
      </c>
      <c r="C19" s="171">
        <v>14000</v>
      </c>
      <c r="D19" s="171"/>
      <c r="E19" s="172">
        <v>14000</v>
      </c>
    </row>
    <row r="20" spans="1:5" ht="15.75" thickBot="1" x14ac:dyDescent="0.3">
      <c r="A20" s="258" t="s">
        <v>276</v>
      </c>
      <c r="B20" s="259"/>
      <c r="C20" s="163">
        <f>+SUM(C4:C19)</f>
        <v>679000</v>
      </c>
      <c r="D20" s="163">
        <f>+SUM(D4:D19)</f>
        <v>365000</v>
      </c>
      <c r="E20" s="164">
        <f>+SUM(E4:E19)</f>
        <v>314000</v>
      </c>
    </row>
  </sheetData>
  <sortState ref="A4:E14">
    <sortCondition ref="A4:A14"/>
  </sortState>
  <mergeCells count="5">
    <mergeCell ref="A20:B20"/>
    <mergeCell ref="D2:E2"/>
    <mergeCell ref="A2:A3"/>
    <mergeCell ref="B2:B3"/>
    <mergeCell ref="C2:C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86"/>
  <sheetViews>
    <sheetView topLeftCell="F1" workbookViewId="0">
      <selection activeCell="J73" sqref="J73"/>
    </sheetView>
  </sheetViews>
  <sheetFormatPr baseColWidth="10" defaultColWidth="9.140625" defaultRowHeight="15" x14ac:dyDescent="0.25"/>
  <cols>
    <col min="1" max="1" width="11.7109375" style="80" bestFit="1" customWidth="1"/>
    <col min="2" max="2" width="35.85546875" style="80" bestFit="1" customWidth="1"/>
    <col min="3" max="3" width="17" style="80" bestFit="1" customWidth="1"/>
    <col min="4" max="4" width="19.42578125" style="145" bestFit="1" customWidth="1"/>
    <col min="5" max="5" width="14.7109375" style="80" customWidth="1"/>
    <col min="6" max="7" width="33.85546875" style="80" customWidth="1"/>
    <col min="8" max="8" width="12" style="80" bestFit="1" customWidth="1"/>
    <col min="9" max="9" width="34.5703125" style="83" customWidth="1"/>
    <col min="10" max="10" width="37.7109375" style="81" bestFit="1" customWidth="1"/>
    <col min="11" max="11" width="14.7109375" style="82" bestFit="1" customWidth="1"/>
    <col min="12" max="12" width="14.140625" style="80" bestFit="1" customWidth="1"/>
    <col min="13" max="16384" width="9.140625" style="80"/>
  </cols>
  <sheetData>
    <row r="1" spans="1:12" ht="35.25" thickBot="1" x14ac:dyDescent="0.6">
      <c r="A1" s="269" t="s">
        <v>375</v>
      </c>
      <c r="B1" s="270"/>
      <c r="C1" s="270"/>
      <c r="D1" s="270"/>
      <c r="E1" s="270"/>
      <c r="F1" s="270"/>
      <c r="G1" s="270"/>
      <c r="H1" s="270"/>
      <c r="I1" s="270"/>
      <c r="J1" s="270"/>
      <c r="K1" s="270"/>
      <c r="L1" s="271"/>
    </row>
    <row r="2" spans="1:12" ht="15.75" thickBot="1" x14ac:dyDescent="0.3"/>
    <row r="3" spans="1:12" ht="16.5" thickBot="1" x14ac:dyDescent="0.3">
      <c r="B3" s="84" t="s">
        <v>378</v>
      </c>
      <c r="C3" s="85">
        <v>0</v>
      </c>
      <c r="J3" s="86" t="s">
        <v>268</v>
      </c>
      <c r="K3" s="87">
        <f>C3+B84-I84</f>
        <v>-2473.7299999999814</v>
      </c>
    </row>
    <row r="4" spans="1:12" ht="15.75" thickBot="1" x14ac:dyDescent="0.3"/>
    <row r="5" spans="1:12" ht="16.5" thickBot="1" x14ac:dyDescent="0.3">
      <c r="A5" s="272" t="s">
        <v>269</v>
      </c>
      <c r="B5" s="273"/>
      <c r="C5" s="273"/>
      <c r="D5" s="273"/>
      <c r="E5" s="273"/>
      <c r="F5" s="273"/>
      <c r="G5" s="274"/>
      <c r="H5" s="275" t="s">
        <v>376</v>
      </c>
      <c r="I5" s="275"/>
      <c r="J5" s="275"/>
      <c r="K5" s="275"/>
      <c r="L5" s="276"/>
    </row>
    <row r="6" spans="1:12" ht="15.75" thickBot="1" x14ac:dyDescent="0.3">
      <c r="A6" s="189" t="s">
        <v>270</v>
      </c>
      <c r="B6" s="139" t="s">
        <v>486</v>
      </c>
      <c r="C6" s="139" t="s">
        <v>271</v>
      </c>
      <c r="D6" s="139" t="s">
        <v>272</v>
      </c>
      <c r="E6" s="277" t="s">
        <v>487</v>
      </c>
      <c r="F6" s="278"/>
      <c r="G6" s="139" t="s">
        <v>377</v>
      </c>
      <c r="H6" s="140" t="s">
        <v>270</v>
      </c>
      <c r="I6" s="115" t="s">
        <v>273</v>
      </c>
      <c r="J6" s="88" t="s">
        <v>274</v>
      </c>
      <c r="K6" s="116" t="s">
        <v>275</v>
      </c>
      <c r="L6" s="141" t="s">
        <v>381</v>
      </c>
    </row>
    <row r="7" spans="1:12" x14ac:dyDescent="0.25">
      <c r="A7" s="89">
        <v>45814</v>
      </c>
      <c r="B7" s="150"/>
      <c r="C7" s="134"/>
      <c r="D7" s="146"/>
      <c r="E7" s="134"/>
      <c r="F7" s="135"/>
      <c r="G7" s="136">
        <v>11000</v>
      </c>
      <c r="H7" s="137"/>
      <c r="I7" s="142"/>
      <c r="J7" s="117"/>
      <c r="K7" s="143"/>
      <c r="L7" s="138"/>
    </row>
    <row r="8" spans="1:12" x14ac:dyDescent="0.25">
      <c r="A8" s="90"/>
      <c r="B8" s="91"/>
      <c r="C8" s="92"/>
      <c r="D8" s="147"/>
      <c r="E8" s="92"/>
      <c r="F8" s="93"/>
      <c r="G8" s="118"/>
      <c r="H8" s="94"/>
      <c r="I8" s="95"/>
      <c r="J8" s="96"/>
      <c r="K8" s="120"/>
      <c r="L8" s="119"/>
    </row>
    <row r="9" spans="1:12" x14ac:dyDescent="0.25">
      <c r="A9" s="90"/>
      <c r="B9" s="91"/>
      <c r="C9" s="92"/>
      <c r="D9" s="147"/>
      <c r="E9" s="92"/>
      <c r="F9" s="93"/>
      <c r="G9" s="118"/>
      <c r="H9" s="94"/>
      <c r="I9" s="95"/>
      <c r="J9" s="96"/>
      <c r="K9" s="120"/>
      <c r="L9" s="119"/>
    </row>
    <row r="10" spans="1:12" x14ac:dyDescent="0.25">
      <c r="A10" s="90">
        <v>45827</v>
      </c>
      <c r="B10" s="91"/>
      <c r="C10" s="92"/>
      <c r="D10" s="147"/>
      <c r="E10" s="92"/>
      <c r="F10" s="93"/>
      <c r="G10" s="118">
        <v>25000</v>
      </c>
      <c r="H10" s="94"/>
      <c r="I10" s="95"/>
      <c r="J10" s="96"/>
      <c r="K10" s="120"/>
      <c r="L10" s="119"/>
    </row>
    <row r="11" spans="1:12" x14ac:dyDescent="0.25">
      <c r="A11" s="90"/>
      <c r="B11" s="91"/>
      <c r="C11" s="92"/>
      <c r="D11" s="147"/>
      <c r="E11" s="92"/>
      <c r="F11" s="93"/>
      <c r="G11" s="118"/>
      <c r="H11" s="94"/>
      <c r="I11" s="95"/>
      <c r="J11" s="96"/>
      <c r="K11" s="120"/>
      <c r="L11" s="119"/>
    </row>
    <row r="12" spans="1:12" x14ac:dyDescent="0.25">
      <c r="A12" s="90"/>
      <c r="B12" s="91"/>
      <c r="C12" s="92"/>
      <c r="D12" s="147"/>
      <c r="E12" s="92"/>
      <c r="F12" s="93"/>
      <c r="G12" s="118"/>
      <c r="H12" s="94"/>
      <c r="I12" s="95"/>
      <c r="J12" s="96"/>
      <c r="K12" s="120"/>
      <c r="L12" s="119"/>
    </row>
    <row r="13" spans="1:12" x14ac:dyDescent="0.25">
      <c r="A13" s="90"/>
      <c r="B13" s="91"/>
      <c r="C13" s="92"/>
      <c r="D13" s="147"/>
      <c r="E13" s="92"/>
      <c r="F13" s="93"/>
      <c r="G13" s="118"/>
      <c r="H13" s="94"/>
      <c r="I13" s="95"/>
      <c r="J13" s="96"/>
      <c r="K13" s="120"/>
      <c r="L13" s="119"/>
    </row>
    <row r="14" spans="1:12" x14ac:dyDescent="0.25">
      <c r="A14" s="90">
        <v>45834</v>
      </c>
      <c r="B14" s="91"/>
      <c r="C14" s="92"/>
      <c r="D14" s="147"/>
      <c r="E14" s="92"/>
      <c r="F14" s="93"/>
      <c r="G14" s="118">
        <v>11000</v>
      </c>
      <c r="H14" s="94"/>
      <c r="I14" s="95"/>
      <c r="J14" s="96"/>
      <c r="K14" s="120"/>
      <c r="L14" s="121"/>
    </row>
    <row r="15" spans="1:12" x14ac:dyDescent="0.25">
      <c r="A15" s="90"/>
      <c r="B15" s="91"/>
      <c r="C15" s="92"/>
      <c r="D15" s="147"/>
      <c r="E15" s="92"/>
      <c r="F15" s="93"/>
      <c r="G15" s="118"/>
      <c r="H15" s="94"/>
      <c r="I15" s="95"/>
      <c r="J15" s="96"/>
      <c r="K15" s="120"/>
      <c r="L15" s="119"/>
    </row>
    <row r="16" spans="1:12" x14ac:dyDescent="0.25">
      <c r="A16" s="90">
        <v>45847</v>
      </c>
      <c r="B16" s="91"/>
      <c r="C16" s="92"/>
      <c r="D16" s="147"/>
      <c r="E16" s="92"/>
      <c r="F16" s="93"/>
      <c r="G16" s="118">
        <v>15000</v>
      </c>
      <c r="H16" s="94"/>
      <c r="I16" s="95"/>
      <c r="J16" s="96"/>
      <c r="K16" s="120"/>
      <c r="L16" s="119"/>
    </row>
    <row r="17" spans="1:12" x14ac:dyDescent="0.25">
      <c r="A17" s="90">
        <v>45849</v>
      </c>
      <c r="B17" s="91"/>
      <c r="C17" s="92"/>
      <c r="D17" s="147"/>
      <c r="E17" s="92"/>
      <c r="F17" s="93"/>
      <c r="G17" s="118">
        <v>6000</v>
      </c>
      <c r="H17" s="94"/>
      <c r="I17" s="95"/>
      <c r="J17" s="96"/>
      <c r="K17" s="120"/>
      <c r="L17" s="119"/>
    </row>
    <row r="18" spans="1:12" x14ac:dyDescent="0.25">
      <c r="A18" s="90"/>
      <c r="B18" s="91"/>
      <c r="C18" s="92"/>
      <c r="D18" s="147"/>
      <c r="E18" s="92"/>
      <c r="F18" s="93"/>
      <c r="G18" s="118"/>
      <c r="H18" s="94"/>
      <c r="I18" s="95"/>
      <c r="J18" s="96"/>
      <c r="K18" s="120"/>
      <c r="L18" s="119"/>
    </row>
    <row r="19" spans="1:12" x14ac:dyDescent="0.25">
      <c r="A19" s="90"/>
      <c r="B19" s="91"/>
      <c r="C19" s="92"/>
      <c r="D19" s="147"/>
      <c r="E19" s="92"/>
      <c r="F19" s="93"/>
      <c r="G19" s="118"/>
      <c r="H19" s="94"/>
      <c r="I19" s="95"/>
      <c r="J19" s="96"/>
      <c r="K19" s="120"/>
      <c r="L19" s="119"/>
    </row>
    <row r="20" spans="1:12" x14ac:dyDescent="0.25">
      <c r="A20" s="90"/>
      <c r="B20" s="91"/>
      <c r="C20" s="92"/>
      <c r="D20" s="147"/>
      <c r="E20" s="92"/>
      <c r="F20" s="93"/>
      <c r="G20" s="118"/>
      <c r="H20" s="94"/>
      <c r="I20" s="95"/>
      <c r="J20" s="96"/>
      <c r="K20" s="120"/>
      <c r="L20" s="119"/>
    </row>
    <row r="21" spans="1:12" x14ac:dyDescent="0.25">
      <c r="A21" s="90">
        <v>45859</v>
      </c>
      <c r="B21" s="91">
        <v>10000</v>
      </c>
      <c r="C21" s="92"/>
      <c r="D21" s="147"/>
      <c r="E21" s="92"/>
      <c r="F21" s="93"/>
      <c r="G21" s="118"/>
      <c r="H21" s="94"/>
      <c r="I21" s="95"/>
      <c r="J21" s="96"/>
      <c r="K21" s="120"/>
      <c r="L21" s="119"/>
    </row>
    <row r="22" spans="1:12" x14ac:dyDescent="0.25">
      <c r="A22" s="90"/>
      <c r="B22" s="91"/>
      <c r="C22" s="92"/>
      <c r="D22" s="147"/>
      <c r="E22" s="92"/>
      <c r="F22" s="93"/>
      <c r="G22" s="118"/>
      <c r="H22" s="94"/>
      <c r="I22" s="95"/>
      <c r="J22" s="96"/>
      <c r="K22" s="120"/>
      <c r="L22" s="119"/>
    </row>
    <row r="23" spans="1:12" x14ac:dyDescent="0.25">
      <c r="A23" s="90"/>
      <c r="B23" s="91"/>
      <c r="C23" s="92"/>
      <c r="D23" s="147"/>
      <c r="E23" s="92"/>
      <c r="F23" s="93"/>
      <c r="G23" s="118"/>
      <c r="H23" s="94"/>
      <c r="I23" s="95"/>
      <c r="J23" s="96"/>
      <c r="K23" s="120"/>
      <c r="L23" s="119"/>
    </row>
    <row r="24" spans="1:12" x14ac:dyDescent="0.25">
      <c r="A24" s="90">
        <v>45866</v>
      </c>
      <c r="B24" s="91">
        <v>7500</v>
      </c>
      <c r="C24" s="92"/>
      <c r="D24" s="147"/>
      <c r="E24" s="92"/>
      <c r="F24" s="93"/>
      <c r="G24" s="118"/>
      <c r="H24" s="94"/>
      <c r="I24" s="95"/>
      <c r="J24" s="96"/>
      <c r="K24" s="120"/>
      <c r="L24" s="122"/>
    </row>
    <row r="25" spans="1:12" x14ac:dyDescent="0.25">
      <c r="A25" s="90"/>
      <c r="B25" s="91"/>
      <c r="C25" s="92"/>
      <c r="D25" s="147"/>
      <c r="E25" s="92"/>
      <c r="F25" s="93"/>
      <c r="G25" s="118"/>
      <c r="H25" s="94"/>
      <c r="I25" s="95"/>
      <c r="J25" s="96"/>
      <c r="K25" s="120"/>
      <c r="L25" s="119"/>
    </row>
    <row r="26" spans="1:12" x14ac:dyDescent="0.25">
      <c r="A26" s="90">
        <v>45870</v>
      </c>
      <c r="B26" s="91">
        <v>20000</v>
      </c>
      <c r="C26" s="92"/>
      <c r="D26" s="147"/>
      <c r="E26" s="92"/>
      <c r="F26" s="93"/>
      <c r="G26" s="118"/>
      <c r="H26" s="94"/>
      <c r="I26" s="95"/>
      <c r="J26" s="96"/>
      <c r="K26" s="120"/>
      <c r="L26" s="119"/>
    </row>
    <row r="27" spans="1:12" x14ac:dyDescent="0.25">
      <c r="A27" s="90"/>
      <c r="B27" s="91"/>
      <c r="C27" s="92"/>
      <c r="D27" s="147"/>
      <c r="E27" s="92"/>
      <c r="F27" s="93"/>
      <c r="G27" s="118"/>
      <c r="H27" s="94"/>
      <c r="I27" s="95"/>
      <c r="J27" s="96"/>
      <c r="K27" s="120"/>
      <c r="L27" s="119"/>
    </row>
    <row r="28" spans="1:12" x14ac:dyDescent="0.25">
      <c r="A28" s="90">
        <v>45876</v>
      </c>
      <c r="B28" s="91">
        <v>34000</v>
      </c>
      <c r="C28" s="92"/>
      <c r="D28" s="147"/>
      <c r="E28" s="92"/>
      <c r="F28" s="93"/>
      <c r="G28" s="118"/>
      <c r="H28" s="94"/>
      <c r="I28" s="95"/>
      <c r="J28" s="96"/>
      <c r="K28" s="120"/>
      <c r="L28" s="119"/>
    </row>
    <row r="29" spans="1:12" x14ac:dyDescent="0.25">
      <c r="A29" s="90"/>
      <c r="B29" s="91"/>
      <c r="C29" s="92"/>
      <c r="D29" s="147"/>
      <c r="E29" s="92"/>
      <c r="F29" s="93"/>
      <c r="G29" s="118"/>
      <c r="H29" s="94"/>
      <c r="I29" s="95"/>
      <c r="J29" s="96"/>
      <c r="K29" s="120"/>
      <c r="L29" s="119"/>
    </row>
    <row r="30" spans="1:12" x14ac:dyDescent="0.25">
      <c r="A30" s="90">
        <v>45881</v>
      </c>
      <c r="B30" s="91">
        <v>11000</v>
      </c>
      <c r="C30" s="92"/>
      <c r="D30" s="147"/>
      <c r="E30" s="92"/>
      <c r="F30" s="93"/>
      <c r="G30" s="118"/>
      <c r="H30" s="94"/>
      <c r="I30" s="95"/>
      <c r="J30" s="96"/>
      <c r="K30" s="120"/>
      <c r="L30" s="119"/>
    </row>
    <row r="31" spans="1:12" x14ac:dyDescent="0.25">
      <c r="A31" s="90">
        <v>45891</v>
      </c>
      <c r="B31" s="91"/>
      <c r="C31" s="92"/>
      <c r="D31" s="147"/>
      <c r="E31" s="92"/>
      <c r="F31" s="93"/>
      <c r="G31" s="118">
        <v>52000</v>
      </c>
      <c r="H31" s="94"/>
      <c r="I31" s="95"/>
      <c r="J31" s="96"/>
      <c r="K31" s="120"/>
      <c r="L31" s="119"/>
    </row>
    <row r="32" spans="1:12" x14ac:dyDescent="0.25">
      <c r="A32" s="90">
        <v>45895</v>
      </c>
      <c r="B32" s="91"/>
      <c r="C32" s="92"/>
      <c r="D32" s="147"/>
      <c r="E32" s="92"/>
      <c r="F32" s="93"/>
      <c r="G32" s="118">
        <v>71000</v>
      </c>
      <c r="H32" s="94"/>
      <c r="I32" s="95"/>
      <c r="J32" s="96"/>
      <c r="K32" s="120"/>
      <c r="L32" s="119"/>
    </row>
    <row r="33" spans="1:12" x14ac:dyDescent="0.25">
      <c r="A33" s="90">
        <v>45901</v>
      </c>
      <c r="B33" s="91"/>
      <c r="C33" s="92"/>
      <c r="D33" s="147"/>
      <c r="E33" s="92"/>
      <c r="F33" s="93"/>
      <c r="G33" s="118">
        <v>27000</v>
      </c>
      <c r="H33" s="94"/>
      <c r="I33" s="95"/>
      <c r="J33" s="96"/>
      <c r="K33" s="120"/>
      <c r="L33" s="119"/>
    </row>
    <row r="34" spans="1:12" x14ac:dyDescent="0.25">
      <c r="A34" s="90"/>
      <c r="B34" s="91"/>
      <c r="C34" s="92"/>
      <c r="D34" s="147"/>
      <c r="E34" s="92"/>
      <c r="F34" s="93"/>
      <c r="G34" s="118"/>
      <c r="H34" s="94"/>
      <c r="I34" s="95"/>
      <c r="J34" s="96"/>
      <c r="K34" s="120"/>
      <c r="L34" s="119"/>
    </row>
    <row r="35" spans="1:12" x14ac:dyDescent="0.25">
      <c r="A35" s="90"/>
      <c r="B35" s="91"/>
      <c r="C35" s="92"/>
      <c r="D35" s="147"/>
      <c r="E35" s="92"/>
      <c r="F35" s="93"/>
      <c r="G35" s="118"/>
      <c r="H35" s="94"/>
      <c r="I35" s="95"/>
      <c r="J35" s="96"/>
      <c r="K35" s="120"/>
      <c r="L35" s="119"/>
    </row>
    <row r="36" spans="1:12" x14ac:dyDescent="0.25">
      <c r="A36" s="90">
        <v>45909</v>
      </c>
      <c r="B36" s="91"/>
      <c r="C36" s="92"/>
      <c r="D36" s="147"/>
      <c r="E36" s="92"/>
      <c r="F36" s="93"/>
      <c r="G36" s="118"/>
      <c r="H36" s="94"/>
      <c r="I36" s="95"/>
      <c r="J36" s="96"/>
      <c r="K36" s="120"/>
      <c r="L36" s="119"/>
    </row>
    <row r="37" spans="1:12" x14ac:dyDescent="0.25">
      <c r="A37" s="152"/>
      <c r="B37" s="91"/>
      <c r="C37" s="92"/>
      <c r="D37" s="147"/>
      <c r="E37" s="92"/>
      <c r="F37" s="93"/>
      <c r="G37" s="118"/>
      <c r="H37" s="94"/>
      <c r="I37" s="95"/>
      <c r="J37" s="96"/>
      <c r="K37" s="120"/>
      <c r="L37" s="119"/>
    </row>
    <row r="38" spans="1:12" x14ac:dyDescent="0.25">
      <c r="A38" s="90"/>
      <c r="B38" s="91"/>
      <c r="C38" s="92"/>
      <c r="D38" s="147"/>
      <c r="E38" s="92"/>
      <c r="F38" s="93"/>
      <c r="G38" s="118"/>
      <c r="H38" s="94"/>
      <c r="I38" s="95"/>
      <c r="J38" s="96"/>
      <c r="K38" s="120"/>
      <c r="L38" s="119"/>
    </row>
    <row r="39" spans="1:12" x14ac:dyDescent="0.25">
      <c r="A39" s="90">
        <v>45915</v>
      </c>
      <c r="C39" s="92"/>
      <c r="D39" s="160">
        <v>15000</v>
      </c>
      <c r="E39" s="92"/>
      <c r="F39" s="93"/>
      <c r="G39" s="118"/>
      <c r="H39" s="94"/>
      <c r="I39" s="95"/>
      <c r="J39" s="96"/>
      <c r="K39" s="120"/>
      <c r="L39" s="119"/>
    </row>
    <row r="40" spans="1:12" x14ac:dyDescent="0.25">
      <c r="A40" s="90">
        <v>45917</v>
      </c>
      <c r="B40" s="91"/>
      <c r="C40" s="92"/>
      <c r="D40" s="147"/>
      <c r="E40" s="92"/>
      <c r="F40" s="93"/>
      <c r="G40" s="118">
        <v>30000</v>
      </c>
      <c r="H40" s="94"/>
      <c r="I40" s="95"/>
      <c r="J40" s="96"/>
      <c r="K40" s="120"/>
      <c r="L40" s="119"/>
    </row>
    <row r="41" spans="1:12" x14ac:dyDescent="0.25">
      <c r="A41" s="90"/>
      <c r="B41" s="91"/>
      <c r="C41" s="92"/>
      <c r="D41" s="147"/>
      <c r="E41" s="92"/>
      <c r="F41" s="93"/>
      <c r="G41" s="118"/>
      <c r="H41" s="94"/>
      <c r="I41" s="95"/>
      <c r="J41" s="96"/>
      <c r="K41" s="120"/>
      <c r="L41" s="123"/>
    </row>
    <row r="42" spans="1:12" x14ac:dyDescent="0.25">
      <c r="A42" s="90">
        <v>45919</v>
      </c>
      <c r="B42" s="91"/>
      <c r="C42" s="92"/>
      <c r="D42" s="160">
        <v>10000</v>
      </c>
      <c r="E42" s="92"/>
      <c r="F42" s="93"/>
      <c r="G42" s="118"/>
      <c r="H42" s="94"/>
      <c r="I42" s="95"/>
      <c r="J42" s="96"/>
      <c r="K42" s="120"/>
      <c r="L42" s="126"/>
    </row>
    <row r="43" spans="1:12" x14ac:dyDescent="0.25">
      <c r="A43" s="90">
        <v>45919</v>
      </c>
      <c r="B43" s="91"/>
      <c r="C43" s="92"/>
      <c r="D43" s="160">
        <v>5000</v>
      </c>
      <c r="E43" s="92"/>
      <c r="F43" s="93"/>
      <c r="G43" s="118"/>
      <c r="H43" s="94"/>
      <c r="I43" s="95"/>
      <c r="J43" s="96"/>
      <c r="K43" s="120"/>
      <c r="L43" s="126"/>
    </row>
    <row r="44" spans="1:12" x14ac:dyDescent="0.25">
      <c r="A44" s="90"/>
      <c r="B44" s="91"/>
      <c r="C44" s="92"/>
      <c r="D44" s="147"/>
      <c r="E44" s="92"/>
      <c r="F44" s="93"/>
      <c r="G44" s="118"/>
      <c r="H44" s="94"/>
      <c r="I44" s="95"/>
      <c r="J44" s="96"/>
      <c r="K44" s="120"/>
      <c r="L44" s="126"/>
    </row>
    <row r="45" spans="1:12" x14ac:dyDescent="0.25">
      <c r="A45" s="90">
        <v>45922</v>
      </c>
      <c r="B45" s="91"/>
      <c r="C45" s="124"/>
      <c r="D45" s="148"/>
      <c r="E45" s="92"/>
      <c r="F45" s="93"/>
      <c r="G45" s="127">
        <v>10000</v>
      </c>
      <c r="H45" s="94"/>
      <c r="I45" s="95"/>
      <c r="J45" s="96"/>
      <c r="K45" s="120"/>
      <c r="L45" s="126"/>
    </row>
    <row r="46" spans="1:12" x14ac:dyDescent="0.25">
      <c r="A46" s="90">
        <v>45923</v>
      </c>
      <c r="B46" s="91"/>
      <c r="C46" s="124"/>
      <c r="D46" s="161">
        <v>10000</v>
      </c>
      <c r="E46" s="92"/>
      <c r="F46" s="93"/>
      <c r="G46" s="127">
        <v>20000</v>
      </c>
      <c r="H46" s="94"/>
      <c r="I46" s="95"/>
      <c r="J46" s="96"/>
      <c r="K46" s="120"/>
      <c r="L46" s="126"/>
    </row>
    <row r="47" spans="1:12" x14ac:dyDescent="0.25">
      <c r="A47" s="90">
        <v>45924</v>
      </c>
      <c r="B47" s="91"/>
      <c r="C47" s="124"/>
      <c r="D47" s="148"/>
      <c r="E47" s="92"/>
      <c r="F47" s="93"/>
      <c r="G47" s="127"/>
      <c r="H47" s="94"/>
      <c r="I47" s="95"/>
      <c r="J47" s="96"/>
      <c r="K47" s="120"/>
      <c r="L47" s="126"/>
    </row>
    <row r="48" spans="1:12" x14ac:dyDescent="0.25">
      <c r="A48" s="190"/>
      <c r="B48" s="91"/>
      <c r="C48" s="124"/>
      <c r="D48" s="148"/>
      <c r="E48" s="92"/>
      <c r="F48" s="93"/>
      <c r="G48" s="127"/>
      <c r="H48" s="94"/>
      <c r="I48" s="95"/>
      <c r="J48" s="96"/>
      <c r="K48" s="120"/>
      <c r="L48" s="126"/>
    </row>
    <row r="49" spans="1:12" x14ac:dyDescent="0.25">
      <c r="A49" s="90">
        <v>45927</v>
      </c>
      <c r="B49" s="91"/>
      <c r="C49" s="124"/>
      <c r="D49" s="161">
        <v>80000</v>
      </c>
      <c r="E49" s="92"/>
      <c r="F49" s="93"/>
      <c r="G49" s="127">
        <v>12000</v>
      </c>
      <c r="H49" s="94"/>
      <c r="I49" s="95"/>
      <c r="J49" s="96"/>
      <c r="K49" s="120"/>
      <c r="L49" s="126"/>
    </row>
    <row r="50" spans="1:12" x14ac:dyDescent="0.25">
      <c r="A50" s="90">
        <v>45929</v>
      </c>
      <c r="B50" s="91"/>
      <c r="C50" s="124"/>
      <c r="D50" s="148"/>
      <c r="E50" s="92"/>
      <c r="F50" s="93"/>
      <c r="G50" s="127"/>
      <c r="H50" s="94"/>
      <c r="I50" s="95"/>
      <c r="J50" s="96"/>
      <c r="K50" s="120"/>
      <c r="L50" s="126"/>
    </row>
    <row r="51" spans="1:12" ht="14.25" customHeight="1" x14ac:dyDescent="0.25">
      <c r="A51" s="90">
        <v>45930</v>
      </c>
      <c r="B51" s="91"/>
      <c r="C51" s="124"/>
      <c r="D51" s="161">
        <v>20000</v>
      </c>
      <c r="E51" s="92"/>
      <c r="F51" s="93"/>
      <c r="G51" s="127">
        <v>5000</v>
      </c>
      <c r="H51" s="94"/>
      <c r="I51" s="95"/>
      <c r="J51" s="96"/>
      <c r="K51" s="120"/>
      <c r="L51" s="126"/>
    </row>
    <row r="52" spans="1:12" x14ac:dyDescent="0.25">
      <c r="A52" s="90">
        <v>45932</v>
      </c>
      <c r="B52" s="91"/>
      <c r="C52" s="124"/>
      <c r="D52" s="161">
        <v>60000</v>
      </c>
      <c r="E52" s="92"/>
      <c r="F52" s="93"/>
      <c r="G52" s="127"/>
      <c r="H52" s="94"/>
      <c r="I52" s="95"/>
      <c r="J52" s="96"/>
      <c r="K52" s="120"/>
      <c r="L52" s="126"/>
    </row>
    <row r="53" spans="1:12" x14ac:dyDescent="0.25">
      <c r="A53" s="190"/>
      <c r="B53" s="91"/>
      <c r="C53" s="124"/>
      <c r="D53" s="148"/>
      <c r="E53" s="92"/>
      <c r="F53" s="93"/>
      <c r="G53" s="127"/>
      <c r="H53" s="94"/>
      <c r="I53" s="95"/>
      <c r="J53" s="96"/>
      <c r="K53" s="120"/>
      <c r="L53" s="126"/>
    </row>
    <row r="54" spans="1:12" x14ac:dyDescent="0.25">
      <c r="A54" s="90"/>
      <c r="B54" s="91"/>
      <c r="C54" s="124"/>
      <c r="D54" s="148"/>
      <c r="E54" s="92"/>
      <c r="F54" s="93"/>
      <c r="G54" s="127"/>
      <c r="H54" s="94"/>
      <c r="I54" s="95"/>
      <c r="J54" s="96"/>
      <c r="K54" s="120"/>
      <c r="L54" s="126"/>
    </row>
    <row r="55" spans="1:12" x14ac:dyDescent="0.25">
      <c r="A55" s="90"/>
      <c r="B55" s="91"/>
      <c r="C55" s="124"/>
      <c r="D55" s="148"/>
      <c r="E55" s="92"/>
      <c r="F55" s="93"/>
      <c r="G55" s="127"/>
      <c r="H55" s="94"/>
      <c r="I55" s="95"/>
      <c r="J55" s="96"/>
      <c r="K55" s="120"/>
      <c r="L55" s="126"/>
    </row>
    <row r="56" spans="1:12" x14ac:dyDescent="0.25">
      <c r="A56" s="90">
        <v>45939</v>
      </c>
      <c r="B56" s="91"/>
      <c r="C56" s="124"/>
      <c r="D56" s="161">
        <v>40000</v>
      </c>
      <c r="E56" s="92"/>
      <c r="F56" s="93"/>
      <c r="G56" s="127">
        <v>9000</v>
      </c>
      <c r="H56" s="94"/>
      <c r="I56" s="95"/>
      <c r="J56" s="96"/>
      <c r="K56" s="120"/>
      <c r="L56" s="126"/>
    </row>
    <row r="57" spans="1:12" x14ac:dyDescent="0.25">
      <c r="A57" s="90">
        <v>45943</v>
      </c>
      <c r="B57" s="91"/>
      <c r="C57" s="124"/>
      <c r="D57" s="148"/>
      <c r="E57" s="92"/>
      <c r="F57" s="93"/>
      <c r="G57" s="127">
        <v>50000</v>
      </c>
      <c r="H57" s="94"/>
      <c r="I57" s="95"/>
      <c r="J57" s="96"/>
      <c r="K57" s="120"/>
      <c r="L57" s="126"/>
    </row>
    <row r="58" spans="1:12" x14ac:dyDescent="0.25">
      <c r="A58" s="90">
        <v>45946</v>
      </c>
      <c r="B58" s="91"/>
      <c r="C58" s="124"/>
      <c r="D58" s="161">
        <v>20000</v>
      </c>
      <c r="E58" s="92"/>
      <c r="F58" s="93"/>
      <c r="G58" s="127"/>
      <c r="H58" s="94"/>
      <c r="I58" s="95"/>
      <c r="J58" s="96"/>
      <c r="K58" s="120"/>
      <c r="L58" s="126"/>
    </row>
    <row r="59" spans="1:12" x14ac:dyDescent="0.25">
      <c r="A59" s="90">
        <v>45950</v>
      </c>
      <c r="B59" s="151">
        <v>10000</v>
      </c>
      <c r="C59" s="124"/>
      <c r="D59" s="161">
        <v>10000</v>
      </c>
      <c r="E59" s="92"/>
      <c r="F59" s="93"/>
      <c r="G59" s="127"/>
      <c r="H59" s="94"/>
      <c r="I59" s="95"/>
      <c r="J59" s="96"/>
      <c r="K59" s="120"/>
      <c r="L59" s="126"/>
    </row>
    <row r="60" spans="1:12" x14ac:dyDescent="0.25">
      <c r="A60" s="90">
        <v>45958</v>
      </c>
      <c r="B60" s="151"/>
      <c r="C60" s="124"/>
      <c r="D60" s="148"/>
      <c r="E60" s="92">
        <v>40000</v>
      </c>
      <c r="F60" s="93" t="s">
        <v>381</v>
      </c>
      <c r="G60" s="127"/>
      <c r="H60" s="94"/>
      <c r="I60" s="95"/>
      <c r="J60" s="96"/>
      <c r="K60" s="120"/>
      <c r="L60" s="126"/>
    </row>
    <row r="61" spans="1:12" x14ac:dyDescent="0.25">
      <c r="A61" s="90">
        <v>45960</v>
      </c>
      <c r="B61" s="151"/>
      <c r="C61" s="124"/>
      <c r="D61" s="161">
        <v>10000</v>
      </c>
      <c r="E61" s="92"/>
      <c r="F61" s="93"/>
      <c r="G61" s="127"/>
      <c r="H61" s="94"/>
      <c r="I61" s="95"/>
      <c r="J61" s="96"/>
      <c r="K61" s="120"/>
      <c r="L61" s="128"/>
    </row>
    <row r="62" spans="1:12" x14ac:dyDescent="0.25">
      <c r="A62" s="90">
        <v>45961</v>
      </c>
      <c r="B62" s="151"/>
      <c r="C62" s="124"/>
      <c r="D62" s="161">
        <v>20000</v>
      </c>
      <c r="E62" s="92"/>
      <c r="F62" s="93"/>
      <c r="G62" s="127"/>
      <c r="H62" s="94">
        <v>45946</v>
      </c>
      <c r="I62" s="95"/>
      <c r="J62" s="96"/>
      <c r="K62" s="120"/>
      <c r="L62" s="126">
        <v>172051.5</v>
      </c>
    </row>
    <row r="63" spans="1:12" x14ac:dyDescent="0.25">
      <c r="A63" s="90">
        <v>45973</v>
      </c>
      <c r="B63" s="151"/>
      <c r="C63" s="124"/>
      <c r="D63" s="161">
        <v>27000</v>
      </c>
      <c r="E63" s="92"/>
      <c r="F63" s="93"/>
      <c r="G63" s="127"/>
      <c r="H63" s="94"/>
      <c r="I63" s="95"/>
      <c r="J63" s="96"/>
      <c r="K63" s="120"/>
      <c r="L63" s="126"/>
    </row>
    <row r="64" spans="1:12" x14ac:dyDescent="0.25">
      <c r="A64" s="90"/>
      <c r="B64" s="151"/>
      <c r="C64" s="124"/>
      <c r="D64" s="161">
        <v>600</v>
      </c>
      <c r="E64" s="92"/>
      <c r="F64" s="93" t="s">
        <v>241</v>
      </c>
      <c r="G64" s="127"/>
      <c r="H64" s="94"/>
      <c r="I64" s="95"/>
      <c r="J64" s="96"/>
      <c r="K64" s="120"/>
      <c r="L64" s="126"/>
    </row>
    <row r="65" spans="1:12" x14ac:dyDescent="0.25">
      <c r="A65" s="90">
        <v>45985</v>
      </c>
      <c r="B65" s="151"/>
      <c r="C65" s="124"/>
      <c r="D65" s="161">
        <v>14000</v>
      </c>
      <c r="E65" s="92"/>
      <c r="F65" s="93" t="s">
        <v>423</v>
      </c>
      <c r="G65" s="127"/>
      <c r="H65" s="94"/>
      <c r="I65" s="95"/>
      <c r="J65" s="96"/>
      <c r="K65" s="120"/>
      <c r="L65" s="126"/>
    </row>
    <row r="66" spans="1:12" x14ac:dyDescent="0.25">
      <c r="A66" s="90">
        <v>45992</v>
      </c>
      <c r="B66" s="151"/>
      <c r="C66" s="124"/>
      <c r="D66" s="148"/>
      <c r="E66" s="92"/>
      <c r="F66" s="93"/>
      <c r="G66" s="127">
        <v>1000</v>
      </c>
      <c r="H66" s="94"/>
      <c r="I66" s="95"/>
      <c r="J66" s="96"/>
      <c r="K66" s="120"/>
      <c r="L66" s="126"/>
    </row>
    <row r="67" spans="1:12" x14ac:dyDescent="0.25">
      <c r="A67" s="90">
        <v>46001</v>
      </c>
      <c r="B67" s="151">
        <v>28200</v>
      </c>
      <c r="C67" s="124"/>
      <c r="D67" s="148"/>
      <c r="E67" s="92"/>
      <c r="F67" s="93"/>
      <c r="G67" s="127"/>
      <c r="H67" s="94"/>
      <c r="I67" s="95"/>
      <c r="J67" s="96"/>
      <c r="K67" s="120"/>
      <c r="L67" s="126"/>
    </row>
    <row r="68" spans="1:12" x14ac:dyDescent="0.25">
      <c r="A68" s="90">
        <v>46006</v>
      </c>
      <c r="B68" s="151"/>
      <c r="C68" s="124"/>
      <c r="D68" s="124"/>
      <c r="E68" s="124">
        <v>2266</v>
      </c>
      <c r="F68" s="125" t="s">
        <v>456</v>
      </c>
      <c r="G68" s="127"/>
      <c r="H68" s="94">
        <v>44990</v>
      </c>
      <c r="I68" s="162">
        <v>763643.23</v>
      </c>
      <c r="J68" s="96"/>
      <c r="K68" s="120"/>
      <c r="L68" s="126"/>
    </row>
    <row r="69" spans="1:12" x14ac:dyDescent="0.25">
      <c r="A69" s="90">
        <v>46007</v>
      </c>
      <c r="B69" s="151"/>
      <c r="C69" s="124"/>
      <c r="D69" s="124"/>
      <c r="E69" s="124">
        <v>4485</v>
      </c>
      <c r="F69" s="125" t="s">
        <v>457</v>
      </c>
      <c r="G69" s="127"/>
      <c r="H69" s="94"/>
      <c r="I69" s="95"/>
      <c r="J69" s="96"/>
      <c r="K69" s="120"/>
      <c r="L69" s="126"/>
    </row>
    <row r="70" spans="1:12" x14ac:dyDescent="0.25">
      <c r="A70" s="190"/>
      <c r="B70" s="151"/>
      <c r="C70" s="124"/>
      <c r="D70" s="148"/>
      <c r="E70" s="92">
        <v>25000</v>
      </c>
      <c r="F70" s="93" t="s">
        <v>480</v>
      </c>
      <c r="G70" s="127"/>
      <c r="H70" s="94"/>
      <c r="I70" s="95"/>
      <c r="J70" s="96"/>
      <c r="K70" s="120"/>
      <c r="L70" s="126"/>
    </row>
    <row r="71" spans="1:12" x14ac:dyDescent="0.25">
      <c r="A71" s="90">
        <v>46058</v>
      </c>
      <c r="B71" s="151"/>
      <c r="C71" s="124"/>
      <c r="D71" s="148"/>
      <c r="E71" s="92">
        <v>7600</v>
      </c>
      <c r="F71" s="93" t="s">
        <v>481</v>
      </c>
      <c r="G71" s="127"/>
      <c r="H71" s="94"/>
      <c r="I71" s="95"/>
      <c r="J71" s="96"/>
      <c r="K71" s="120"/>
      <c r="L71" s="126"/>
    </row>
    <row r="72" spans="1:12" x14ac:dyDescent="0.25">
      <c r="A72" s="90">
        <v>46077</v>
      </c>
      <c r="B72" s="151"/>
      <c r="C72" s="124"/>
      <c r="D72" s="148"/>
      <c r="E72" s="124"/>
      <c r="F72" s="125"/>
      <c r="G72" s="127">
        <v>2000</v>
      </c>
      <c r="H72" s="94"/>
      <c r="I72" s="95"/>
      <c r="J72" s="96"/>
      <c r="K72" s="120"/>
      <c r="L72" s="126"/>
    </row>
    <row r="73" spans="1:12" x14ac:dyDescent="0.25">
      <c r="A73" s="252">
        <v>46077</v>
      </c>
      <c r="B73" s="151"/>
      <c r="C73" s="124"/>
      <c r="D73" s="148"/>
      <c r="E73" s="124">
        <v>7570</v>
      </c>
      <c r="F73" s="125" t="s">
        <v>482</v>
      </c>
      <c r="G73" s="127"/>
      <c r="H73" s="94"/>
      <c r="I73" s="253"/>
      <c r="J73" s="254"/>
      <c r="K73" s="255"/>
      <c r="L73" s="126"/>
    </row>
    <row r="74" spans="1:12" x14ac:dyDescent="0.25">
      <c r="A74" s="252">
        <v>46080</v>
      </c>
      <c r="B74" s="151"/>
      <c r="C74" s="124"/>
      <c r="D74" s="148"/>
      <c r="E74" s="124"/>
      <c r="F74" s="125"/>
      <c r="G74" s="127">
        <v>5500</v>
      </c>
      <c r="H74" s="94"/>
      <c r="I74" s="253"/>
      <c r="J74" s="254"/>
      <c r="K74" s="255"/>
      <c r="L74" s="126"/>
    </row>
    <row r="75" spans="1:12" x14ac:dyDescent="0.25">
      <c r="A75" s="252">
        <v>46094</v>
      </c>
      <c r="B75" s="151"/>
      <c r="C75" s="124"/>
      <c r="D75" s="161">
        <v>10000</v>
      </c>
      <c r="E75" s="124"/>
      <c r="F75" s="125"/>
      <c r="G75" s="127"/>
      <c r="H75" s="94"/>
      <c r="I75" s="253"/>
      <c r="J75" s="254"/>
      <c r="K75" s="255"/>
      <c r="L75" s="126"/>
    </row>
    <row r="76" spans="1:12" x14ac:dyDescent="0.25">
      <c r="A76" s="252">
        <v>46105</v>
      </c>
      <c r="B76" s="151"/>
      <c r="C76" s="124"/>
      <c r="D76" s="124"/>
      <c r="E76" s="124"/>
      <c r="F76" s="125"/>
      <c r="G76" s="127">
        <v>11500</v>
      </c>
      <c r="H76" s="94"/>
      <c r="I76" s="253"/>
      <c r="J76" s="254"/>
      <c r="K76" s="255"/>
      <c r="L76" s="126"/>
    </row>
    <row r="77" spans="1:12" x14ac:dyDescent="0.25">
      <c r="A77" s="252"/>
      <c r="B77" s="151"/>
      <c r="C77" s="124"/>
      <c r="D77" s="124"/>
      <c r="E77" s="124"/>
      <c r="F77" s="125"/>
      <c r="G77" s="127"/>
      <c r="H77" s="94"/>
      <c r="I77" s="253"/>
      <c r="J77" s="254"/>
      <c r="K77" s="255"/>
      <c r="L77" s="126"/>
    </row>
    <row r="78" spans="1:12" x14ac:dyDescent="0.25">
      <c r="A78" s="252"/>
      <c r="B78" s="151"/>
      <c r="C78" s="124"/>
      <c r="D78" s="124"/>
      <c r="E78" s="124"/>
      <c r="F78" s="125"/>
      <c r="G78" s="127"/>
      <c r="H78" s="94"/>
      <c r="I78" s="253"/>
      <c r="J78" s="254"/>
      <c r="K78" s="255"/>
      <c r="L78" s="126"/>
    </row>
    <row r="79" spans="1:12" x14ac:dyDescent="0.25">
      <c r="A79" s="252"/>
      <c r="B79" s="151"/>
      <c r="C79" s="124"/>
      <c r="D79" s="124"/>
      <c r="E79" s="124"/>
      <c r="F79" s="125"/>
      <c r="G79" s="127"/>
      <c r="H79" s="94"/>
      <c r="I79" s="253"/>
      <c r="J79" s="254"/>
      <c r="K79" s="255"/>
      <c r="L79" s="126"/>
    </row>
    <row r="80" spans="1:12" x14ac:dyDescent="0.25">
      <c r="A80" s="252"/>
      <c r="B80" s="151"/>
      <c r="C80" s="124"/>
      <c r="D80" s="124"/>
      <c r="E80" s="124"/>
      <c r="F80" s="125"/>
      <c r="G80" s="127"/>
      <c r="H80" s="94"/>
      <c r="I80" s="253"/>
      <c r="J80" s="254"/>
      <c r="K80" s="255"/>
      <c r="L80" s="126"/>
    </row>
    <row r="81" spans="1:12" x14ac:dyDescent="0.25">
      <c r="A81" s="252"/>
      <c r="B81" s="151"/>
      <c r="C81" s="124"/>
      <c r="D81" s="124"/>
      <c r="E81" s="124"/>
      <c r="F81" s="125"/>
      <c r="G81" s="127"/>
      <c r="H81" s="94"/>
      <c r="I81" s="253"/>
      <c r="J81" s="254"/>
      <c r="K81" s="255"/>
      <c r="L81" s="126"/>
    </row>
    <row r="82" spans="1:12" x14ac:dyDescent="0.25">
      <c r="A82" s="252"/>
      <c r="B82" s="151"/>
      <c r="C82" s="124"/>
      <c r="D82" s="124"/>
      <c r="E82" s="124"/>
      <c r="F82" s="125"/>
      <c r="G82" s="127"/>
      <c r="H82" s="94"/>
      <c r="I82" s="253"/>
      <c r="J82" s="254"/>
      <c r="K82" s="255"/>
      <c r="L82" s="126"/>
    </row>
    <row r="83" spans="1:12" ht="15.75" thickBot="1" x14ac:dyDescent="0.3">
      <c r="A83" s="153"/>
      <c r="B83" s="97"/>
      <c r="C83" s="98"/>
      <c r="D83" s="149"/>
      <c r="E83" s="98"/>
      <c r="F83" s="99"/>
      <c r="G83" s="129"/>
      <c r="H83" s="94"/>
      <c r="I83" s="100"/>
      <c r="J83" s="101"/>
      <c r="K83" s="144"/>
      <c r="L83" s="130"/>
    </row>
    <row r="84" spans="1:12" ht="19.5" thickBot="1" x14ac:dyDescent="0.35">
      <c r="A84" s="102" t="s">
        <v>276</v>
      </c>
      <c r="B84" s="266">
        <f>SUM(B7:G83)</f>
        <v>933221</v>
      </c>
      <c r="C84" s="267"/>
      <c r="D84" s="267"/>
      <c r="E84" s="267"/>
      <c r="F84" s="267"/>
      <c r="G84" s="268"/>
      <c r="H84" s="131" t="s">
        <v>276</v>
      </c>
      <c r="I84" s="266">
        <f>SUM(I7:L83)</f>
        <v>935694.73</v>
      </c>
      <c r="J84" s="267"/>
      <c r="K84" s="267"/>
      <c r="L84" s="268"/>
    </row>
    <row r="86" spans="1:12" x14ac:dyDescent="0.25">
      <c r="I86" s="132"/>
      <c r="J86" s="133"/>
    </row>
  </sheetData>
  <autoFilter ref="A6:L6">
    <filterColumn colId="4" showButton="0"/>
  </autoFilter>
  <mergeCells count="6">
    <mergeCell ref="B84:G84"/>
    <mergeCell ref="I84:L84"/>
    <mergeCell ref="A1:L1"/>
    <mergeCell ref="A5:G5"/>
    <mergeCell ref="H5:L5"/>
    <mergeCell ref="E6:F6"/>
  </mergeCells>
  <pageMargins left="0.17" right="0.21" top="0.74803149606299213" bottom="0.17" header="0.31496062992125984" footer="0.31496062992125984"/>
  <pageSetup paperSize="9" scale="55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AB1440"/>
  <sheetViews>
    <sheetView showGridLines="0" tabSelected="1" topLeftCell="A457" zoomScale="96" zoomScaleNormal="96" workbookViewId="0">
      <selection activeCell="A480" sqref="A480:XFD481"/>
    </sheetView>
  </sheetViews>
  <sheetFormatPr baseColWidth="10" defaultColWidth="12.42578125" defaultRowHeight="14.25" x14ac:dyDescent="0.2"/>
  <cols>
    <col min="1" max="1" width="15.7109375" style="2" bestFit="1" customWidth="1"/>
    <col min="2" max="3" width="16.85546875" style="2" bestFit="1" customWidth="1"/>
    <col min="4" max="4" width="14.42578125" style="23" bestFit="1" customWidth="1"/>
    <col min="5" max="5" width="80.42578125" style="106" bestFit="1" customWidth="1"/>
    <col min="6" max="6" width="14" style="2" customWidth="1"/>
    <col min="7" max="7" width="14.7109375" style="2" bestFit="1" customWidth="1"/>
    <col min="8" max="8" width="13.140625" style="2" bestFit="1" customWidth="1"/>
    <col min="9" max="9" width="39.5703125" style="2" bestFit="1" customWidth="1"/>
    <col min="10" max="10" width="11.140625" style="2" bestFit="1" customWidth="1"/>
    <col min="11" max="11" width="13.28515625" style="2" bestFit="1" customWidth="1"/>
    <col min="12" max="12" width="20.42578125" style="173" bestFit="1" customWidth="1"/>
    <col min="13" max="13" width="32" style="173" bestFit="1" customWidth="1"/>
    <col min="14" max="14" width="24" style="2" bestFit="1" customWidth="1"/>
    <col min="15" max="15" width="19.42578125" style="3" bestFit="1" customWidth="1"/>
    <col min="16" max="16384" width="12.42578125" style="3"/>
  </cols>
  <sheetData>
    <row r="3" spans="1:28" ht="15" thickBot="1" x14ac:dyDescent="0.25"/>
    <row r="4" spans="1:28" ht="18" customHeight="1" x14ac:dyDescent="0.2">
      <c r="A4" s="4"/>
      <c r="B4" s="5" t="s">
        <v>68</v>
      </c>
      <c r="C4" s="6">
        <v>0</v>
      </c>
      <c r="D4" s="24"/>
      <c r="E4" s="279" t="s">
        <v>69</v>
      </c>
      <c r="F4" s="280"/>
      <c r="G4" s="280"/>
      <c r="H4" s="280"/>
      <c r="I4" s="280"/>
      <c r="J4" s="280"/>
      <c r="K4" s="280"/>
      <c r="L4" s="280"/>
      <c r="M4" s="280"/>
      <c r="N4" s="281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</row>
    <row r="5" spans="1:28" ht="18.75" customHeight="1" thickBot="1" x14ac:dyDescent="0.25">
      <c r="A5" s="4"/>
      <c r="B5" s="8" t="s">
        <v>70</v>
      </c>
      <c r="C5" s="9">
        <f>SUM(F9:F463)</f>
        <v>863251</v>
      </c>
      <c r="D5" s="25"/>
      <c r="E5" s="282"/>
      <c r="F5" s="283"/>
      <c r="G5" s="283"/>
      <c r="H5" s="283"/>
      <c r="I5" s="283"/>
      <c r="J5" s="283"/>
      <c r="K5" s="283"/>
      <c r="L5" s="283"/>
      <c r="M5" s="283"/>
      <c r="N5" s="284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</row>
    <row r="6" spans="1:28" x14ac:dyDescent="0.2">
      <c r="A6" s="4"/>
      <c r="B6" s="5" t="s">
        <v>71</v>
      </c>
      <c r="C6" s="9">
        <f>SUM(G9:G463)</f>
        <v>988585.28000000061</v>
      </c>
      <c r="D6" s="25"/>
      <c r="E6" s="107"/>
      <c r="F6" s="4"/>
      <c r="G6" s="4"/>
      <c r="H6" s="4"/>
      <c r="I6" s="4"/>
      <c r="J6" s="4"/>
      <c r="K6" s="4"/>
      <c r="L6" s="174"/>
      <c r="M6" s="174"/>
      <c r="N6" s="4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</row>
    <row r="7" spans="1:28" ht="15" thickBot="1" x14ac:dyDescent="0.25">
      <c r="A7" s="4"/>
      <c r="B7" s="8" t="s">
        <v>72</v>
      </c>
      <c r="C7" s="6">
        <f>C4+C5-C6</f>
        <v>-125334.28000000061</v>
      </c>
      <c r="D7" s="24"/>
      <c r="E7" s="107"/>
      <c r="F7" s="4"/>
      <c r="G7" s="4"/>
      <c r="H7" s="4"/>
      <c r="I7" s="4"/>
      <c r="J7" s="4"/>
      <c r="K7" s="4"/>
      <c r="L7" s="174"/>
      <c r="M7" s="174"/>
      <c r="N7" s="4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</row>
    <row r="8" spans="1:28" s="11" customFormat="1" ht="42.75" customHeight="1" thickBot="1" x14ac:dyDescent="0.25">
      <c r="A8" s="246" t="s">
        <v>73</v>
      </c>
      <c r="B8" s="247" t="s">
        <v>127</v>
      </c>
      <c r="C8" s="247" t="s">
        <v>74</v>
      </c>
      <c r="D8" s="248" t="s">
        <v>115</v>
      </c>
      <c r="E8" s="247" t="s">
        <v>75</v>
      </c>
      <c r="F8" s="247" t="s">
        <v>76</v>
      </c>
      <c r="G8" s="247" t="s">
        <v>77</v>
      </c>
      <c r="H8" s="247" t="s">
        <v>78</v>
      </c>
      <c r="I8" s="247" t="s">
        <v>79</v>
      </c>
      <c r="J8" s="249" t="s">
        <v>80</v>
      </c>
      <c r="K8" s="247" t="s">
        <v>81</v>
      </c>
      <c r="L8" s="250" t="s">
        <v>96</v>
      </c>
      <c r="M8" s="250" t="s">
        <v>97</v>
      </c>
      <c r="N8" s="251" t="s">
        <v>82</v>
      </c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28" s="19" customFormat="1" ht="15" customHeight="1" x14ac:dyDescent="0.2">
      <c r="A9" s="52" t="s">
        <v>122</v>
      </c>
      <c r="B9" s="52" t="s">
        <v>124</v>
      </c>
      <c r="C9" s="53">
        <v>45752</v>
      </c>
      <c r="D9" s="54">
        <v>1</v>
      </c>
      <c r="E9" s="111" t="s">
        <v>84</v>
      </c>
      <c r="F9" s="55">
        <v>0</v>
      </c>
      <c r="G9" s="55">
        <v>165</v>
      </c>
      <c r="H9" s="224">
        <f>C5+F9-G9</f>
        <v>863086</v>
      </c>
      <c r="I9" s="56" t="s">
        <v>85</v>
      </c>
      <c r="J9" s="56"/>
      <c r="K9" s="56"/>
      <c r="L9" s="178" t="s">
        <v>10</v>
      </c>
      <c r="M9" s="178" t="s">
        <v>46</v>
      </c>
      <c r="N9" s="56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</row>
    <row r="10" spans="1:28" x14ac:dyDescent="0.2">
      <c r="A10" s="13" t="s">
        <v>122</v>
      </c>
      <c r="B10" s="13" t="s">
        <v>123</v>
      </c>
      <c r="C10" s="14">
        <v>45752</v>
      </c>
      <c r="D10" s="26">
        <v>2</v>
      </c>
      <c r="E10" s="108" t="s">
        <v>86</v>
      </c>
      <c r="F10" s="32">
        <v>0</v>
      </c>
      <c r="G10" s="32">
        <v>11370</v>
      </c>
      <c r="H10" s="33">
        <f t="shared" ref="H10:H73" si="0">H9+F10-G10</f>
        <v>851716</v>
      </c>
      <c r="I10" s="16" t="s">
        <v>87</v>
      </c>
      <c r="J10" s="16"/>
      <c r="K10" s="16"/>
      <c r="L10" s="175" t="s">
        <v>5</v>
      </c>
      <c r="M10" s="175" t="s">
        <v>17</v>
      </c>
      <c r="N10" s="16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</row>
    <row r="11" spans="1:28" s="19" customFormat="1" ht="15" customHeight="1" x14ac:dyDescent="0.2">
      <c r="A11" s="13" t="s">
        <v>122</v>
      </c>
      <c r="B11" s="13" t="s">
        <v>123</v>
      </c>
      <c r="C11" s="14">
        <v>45752</v>
      </c>
      <c r="D11" s="26">
        <v>3</v>
      </c>
      <c r="E11" s="108" t="s">
        <v>83</v>
      </c>
      <c r="F11" s="32">
        <v>0</v>
      </c>
      <c r="G11" s="32">
        <v>891</v>
      </c>
      <c r="H11" s="33">
        <f t="shared" si="0"/>
        <v>850825</v>
      </c>
      <c r="I11" s="16" t="s">
        <v>169</v>
      </c>
      <c r="J11" s="16"/>
      <c r="K11" s="16"/>
      <c r="L11" s="175" t="s">
        <v>3</v>
      </c>
      <c r="M11" s="175" t="s">
        <v>98</v>
      </c>
      <c r="N11" s="16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</row>
    <row r="12" spans="1:28" ht="13.5" customHeight="1" x14ac:dyDescent="0.2">
      <c r="A12" s="51" t="s">
        <v>122</v>
      </c>
      <c r="B12" s="52" t="s">
        <v>124</v>
      </c>
      <c r="C12" s="53">
        <v>45752</v>
      </c>
      <c r="D12" s="54">
        <v>33</v>
      </c>
      <c r="E12" s="111" t="s">
        <v>95</v>
      </c>
      <c r="F12" s="55">
        <v>0</v>
      </c>
      <c r="G12" s="55">
        <v>442</v>
      </c>
      <c r="H12" s="224">
        <f t="shared" si="0"/>
        <v>850383</v>
      </c>
      <c r="I12" s="55" t="s">
        <v>134</v>
      </c>
      <c r="J12" s="56"/>
      <c r="K12" s="56"/>
      <c r="L12" s="178" t="s">
        <v>3</v>
      </c>
      <c r="M12" s="178" t="s">
        <v>15</v>
      </c>
      <c r="N12" s="5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</row>
    <row r="13" spans="1:28" ht="13.5" customHeight="1" x14ac:dyDescent="0.2">
      <c r="A13" s="12" t="s">
        <v>122</v>
      </c>
      <c r="B13" s="13" t="s">
        <v>124</v>
      </c>
      <c r="C13" s="14">
        <v>45754</v>
      </c>
      <c r="D13" s="26">
        <v>33</v>
      </c>
      <c r="E13" s="108" t="s">
        <v>95</v>
      </c>
      <c r="F13" s="32">
        <v>0</v>
      </c>
      <c r="G13" s="32">
        <v>442</v>
      </c>
      <c r="H13" s="33">
        <f t="shared" si="0"/>
        <v>849941</v>
      </c>
      <c r="I13" s="50" t="s">
        <v>134</v>
      </c>
      <c r="J13" s="16"/>
      <c r="K13" s="16"/>
      <c r="L13" s="175" t="s">
        <v>3</v>
      </c>
      <c r="M13" s="175" t="s">
        <v>15</v>
      </c>
      <c r="N13" s="1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</row>
    <row r="14" spans="1:28" ht="13.5" customHeight="1" x14ac:dyDescent="0.2">
      <c r="A14" s="12" t="s">
        <v>122</v>
      </c>
      <c r="B14" s="13" t="s">
        <v>124</v>
      </c>
      <c r="C14" s="14">
        <v>45755</v>
      </c>
      <c r="D14" s="26">
        <v>33</v>
      </c>
      <c r="E14" s="108" t="s">
        <v>95</v>
      </c>
      <c r="F14" s="32">
        <v>0</v>
      </c>
      <c r="G14" s="32">
        <v>442</v>
      </c>
      <c r="H14" s="33">
        <f t="shared" si="0"/>
        <v>849499</v>
      </c>
      <c r="I14" s="32" t="s">
        <v>134</v>
      </c>
      <c r="J14" s="16"/>
      <c r="K14" s="16"/>
      <c r="L14" s="175" t="s">
        <v>3</v>
      </c>
      <c r="M14" s="175" t="s">
        <v>15</v>
      </c>
      <c r="N14" s="1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</row>
    <row r="15" spans="1:28" ht="13.5" customHeight="1" x14ac:dyDescent="0.2">
      <c r="A15" s="12" t="s">
        <v>122</v>
      </c>
      <c r="B15" s="13" t="s">
        <v>124</v>
      </c>
      <c r="C15" s="14">
        <v>45756</v>
      </c>
      <c r="D15" s="26">
        <v>33</v>
      </c>
      <c r="E15" s="108" t="s">
        <v>95</v>
      </c>
      <c r="F15" s="32">
        <v>0</v>
      </c>
      <c r="G15" s="32">
        <v>442</v>
      </c>
      <c r="H15" s="33">
        <f t="shared" si="0"/>
        <v>849057</v>
      </c>
      <c r="I15" s="32" t="s">
        <v>134</v>
      </c>
      <c r="J15" s="16"/>
      <c r="K15" s="16"/>
      <c r="L15" s="175" t="s">
        <v>3</v>
      </c>
      <c r="M15" s="175" t="s">
        <v>15</v>
      </c>
      <c r="N15" s="1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</row>
    <row r="16" spans="1:28" ht="13.5" customHeight="1" x14ac:dyDescent="0.2">
      <c r="A16" s="12" t="s">
        <v>122</v>
      </c>
      <c r="B16" s="13" t="s">
        <v>124</v>
      </c>
      <c r="C16" s="14">
        <v>45757</v>
      </c>
      <c r="D16" s="26">
        <v>33</v>
      </c>
      <c r="E16" s="108" t="s">
        <v>95</v>
      </c>
      <c r="F16" s="32">
        <v>0</v>
      </c>
      <c r="G16" s="32">
        <v>442</v>
      </c>
      <c r="H16" s="33">
        <f t="shared" si="0"/>
        <v>848615</v>
      </c>
      <c r="I16" s="32" t="s">
        <v>134</v>
      </c>
      <c r="J16" s="16"/>
      <c r="K16" s="16"/>
      <c r="L16" s="175" t="s">
        <v>3</v>
      </c>
      <c r="M16" s="175" t="s">
        <v>15</v>
      </c>
      <c r="N16" s="1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</row>
    <row r="17" spans="1:28" s="19" customFormat="1" ht="15" customHeight="1" x14ac:dyDescent="0.2">
      <c r="A17" s="42" t="s">
        <v>121</v>
      </c>
      <c r="B17" s="43" t="s">
        <v>123</v>
      </c>
      <c r="C17" s="44">
        <v>45758</v>
      </c>
      <c r="D17" s="45">
        <v>33</v>
      </c>
      <c r="E17" s="110" t="s">
        <v>95</v>
      </c>
      <c r="F17" s="50">
        <v>0</v>
      </c>
      <c r="G17" s="50">
        <v>442</v>
      </c>
      <c r="H17" s="223">
        <f t="shared" si="0"/>
        <v>848173</v>
      </c>
      <c r="I17" s="50" t="s">
        <v>134</v>
      </c>
      <c r="J17" s="46"/>
      <c r="K17" s="46"/>
      <c r="L17" s="177" t="s">
        <v>3</v>
      </c>
      <c r="M17" s="177" t="s">
        <v>15</v>
      </c>
      <c r="N17" s="47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</row>
    <row r="18" spans="1:28" s="19" customFormat="1" ht="15" customHeight="1" x14ac:dyDescent="0.2">
      <c r="A18" s="13" t="s">
        <v>122</v>
      </c>
      <c r="B18" s="13" t="s">
        <v>123</v>
      </c>
      <c r="C18" s="14">
        <v>45759</v>
      </c>
      <c r="D18" s="26">
        <v>4</v>
      </c>
      <c r="E18" s="108" t="s">
        <v>88</v>
      </c>
      <c r="F18" s="32">
        <v>0</v>
      </c>
      <c r="G18" s="32">
        <v>1490</v>
      </c>
      <c r="H18" s="33">
        <f t="shared" si="0"/>
        <v>846683</v>
      </c>
      <c r="I18" s="16" t="s">
        <v>85</v>
      </c>
      <c r="J18" s="16"/>
      <c r="K18" s="16"/>
      <c r="L18" s="175" t="s">
        <v>5</v>
      </c>
      <c r="M18" s="175" t="s">
        <v>41</v>
      </c>
      <c r="N18" s="16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</row>
    <row r="19" spans="1:28" ht="13.5" customHeight="1" x14ac:dyDescent="0.2">
      <c r="A19" s="74" t="s">
        <v>121</v>
      </c>
      <c r="B19" s="200" t="s">
        <v>123</v>
      </c>
      <c r="C19" s="75">
        <v>45760</v>
      </c>
      <c r="D19" s="76">
        <v>33</v>
      </c>
      <c r="E19" s="211" t="s">
        <v>95</v>
      </c>
      <c r="F19" s="77">
        <v>0</v>
      </c>
      <c r="G19" s="77">
        <v>442</v>
      </c>
      <c r="H19" s="225">
        <f t="shared" si="0"/>
        <v>846241</v>
      </c>
      <c r="I19" s="77" t="s">
        <v>134</v>
      </c>
      <c r="J19" s="78"/>
      <c r="K19" s="78"/>
      <c r="L19" s="226" t="s">
        <v>3</v>
      </c>
      <c r="M19" s="226" t="s">
        <v>15</v>
      </c>
      <c r="N19" s="79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</row>
    <row r="20" spans="1:28" ht="13.5" customHeight="1" x14ac:dyDescent="0.2">
      <c r="A20" s="13" t="s">
        <v>125</v>
      </c>
      <c r="B20" s="13" t="s">
        <v>126</v>
      </c>
      <c r="C20" s="14">
        <v>45761</v>
      </c>
      <c r="D20" s="26">
        <v>5</v>
      </c>
      <c r="E20" s="108" t="s">
        <v>93</v>
      </c>
      <c r="F20" s="32">
        <v>0</v>
      </c>
      <c r="G20" s="32">
        <v>50</v>
      </c>
      <c r="H20" s="33">
        <f t="shared" si="0"/>
        <v>846191</v>
      </c>
      <c r="I20" s="16" t="s">
        <v>208</v>
      </c>
      <c r="J20" s="16"/>
      <c r="K20" s="16"/>
      <c r="L20" s="175" t="s">
        <v>3</v>
      </c>
      <c r="M20" s="175" t="s">
        <v>39</v>
      </c>
      <c r="N20" s="16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</row>
    <row r="21" spans="1:28" s="19" customFormat="1" ht="15" customHeight="1" x14ac:dyDescent="0.2">
      <c r="A21" s="13" t="s">
        <v>125</v>
      </c>
      <c r="B21" s="13" t="s">
        <v>126</v>
      </c>
      <c r="C21" s="14">
        <v>45761</v>
      </c>
      <c r="D21" s="26">
        <v>6</v>
      </c>
      <c r="E21" s="108" t="s">
        <v>91</v>
      </c>
      <c r="F21" s="32">
        <v>0</v>
      </c>
      <c r="G21" s="32">
        <v>750</v>
      </c>
      <c r="H21" s="33">
        <f t="shared" si="0"/>
        <v>845441</v>
      </c>
      <c r="I21" s="16" t="s">
        <v>92</v>
      </c>
      <c r="J21" s="16"/>
      <c r="K21" s="16"/>
      <c r="L21" s="175" t="s">
        <v>3</v>
      </c>
      <c r="M21" s="175" t="s">
        <v>39</v>
      </c>
      <c r="N21" s="16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</row>
    <row r="22" spans="1:28" ht="13.5" customHeight="1" x14ac:dyDescent="0.2">
      <c r="A22" s="13" t="s">
        <v>125</v>
      </c>
      <c r="B22" s="13" t="s">
        <v>126</v>
      </c>
      <c r="C22" s="14">
        <v>45761</v>
      </c>
      <c r="D22" s="26">
        <v>7</v>
      </c>
      <c r="E22" s="108" t="s">
        <v>89</v>
      </c>
      <c r="F22" s="32">
        <v>0</v>
      </c>
      <c r="G22" s="32">
        <v>170</v>
      </c>
      <c r="H22" s="33">
        <f t="shared" si="0"/>
        <v>845271</v>
      </c>
      <c r="I22" s="16" t="s">
        <v>90</v>
      </c>
      <c r="J22" s="16"/>
      <c r="K22" s="16"/>
      <c r="L22" s="175" t="s">
        <v>3</v>
      </c>
      <c r="M22" s="175" t="s">
        <v>39</v>
      </c>
      <c r="N22" s="16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</row>
    <row r="23" spans="1:28" s="19" customFormat="1" ht="15" customHeight="1" x14ac:dyDescent="0.2">
      <c r="A23" s="74" t="s">
        <v>122</v>
      </c>
      <c r="B23" s="200" t="s">
        <v>123</v>
      </c>
      <c r="C23" s="75">
        <v>45762</v>
      </c>
      <c r="D23" s="76">
        <v>33</v>
      </c>
      <c r="E23" s="211" t="s">
        <v>95</v>
      </c>
      <c r="F23" s="77">
        <v>0</v>
      </c>
      <c r="G23" s="77">
        <v>442</v>
      </c>
      <c r="H23" s="225">
        <f t="shared" si="0"/>
        <v>844829</v>
      </c>
      <c r="I23" s="77" t="s">
        <v>134</v>
      </c>
      <c r="J23" s="78"/>
      <c r="K23" s="78"/>
      <c r="L23" s="226" t="s">
        <v>3</v>
      </c>
      <c r="M23" s="226" t="s">
        <v>15</v>
      </c>
      <c r="N23" s="79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</row>
    <row r="24" spans="1:28" s="19" customFormat="1" ht="15" customHeight="1" x14ac:dyDescent="0.2">
      <c r="A24" s="13" t="s">
        <v>122</v>
      </c>
      <c r="B24" s="13" t="s">
        <v>124</v>
      </c>
      <c r="C24" s="14">
        <v>45763</v>
      </c>
      <c r="D24" s="26">
        <v>8</v>
      </c>
      <c r="E24" s="108" t="s">
        <v>84</v>
      </c>
      <c r="F24" s="32">
        <v>0</v>
      </c>
      <c r="G24" s="32">
        <v>165</v>
      </c>
      <c r="H24" s="33">
        <f t="shared" si="0"/>
        <v>844664</v>
      </c>
      <c r="I24" s="16" t="s">
        <v>85</v>
      </c>
      <c r="J24" s="16"/>
      <c r="K24" s="16"/>
      <c r="L24" s="175" t="s">
        <v>10</v>
      </c>
      <c r="M24" s="175" t="s">
        <v>46</v>
      </c>
      <c r="N24" s="16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</row>
    <row r="25" spans="1:28" s="19" customFormat="1" ht="15" customHeight="1" x14ac:dyDescent="0.2">
      <c r="A25" s="51" t="s">
        <v>122</v>
      </c>
      <c r="B25" s="52" t="s">
        <v>123</v>
      </c>
      <c r="C25" s="53">
        <v>45763</v>
      </c>
      <c r="D25" s="54">
        <v>33</v>
      </c>
      <c r="E25" s="111" t="s">
        <v>95</v>
      </c>
      <c r="F25" s="55">
        <v>0</v>
      </c>
      <c r="G25" s="55">
        <v>442</v>
      </c>
      <c r="H25" s="224">
        <f t="shared" si="0"/>
        <v>844222</v>
      </c>
      <c r="I25" s="55" t="s">
        <v>134</v>
      </c>
      <c r="J25" s="56"/>
      <c r="K25" s="56"/>
      <c r="L25" s="178" t="s">
        <v>3</v>
      </c>
      <c r="M25" s="178" t="s">
        <v>15</v>
      </c>
      <c r="N25" s="57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</row>
    <row r="26" spans="1:28" s="19" customFormat="1" ht="15" customHeight="1" x14ac:dyDescent="0.2">
      <c r="A26" s="12" t="s">
        <v>122</v>
      </c>
      <c r="B26" s="13" t="s">
        <v>123</v>
      </c>
      <c r="C26" s="14">
        <v>45765</v>
      </c>
      <c r="D26" s="26">
        <v>33</v>
      </c>
      <c r="E26" s="108" t="s">
        <v>95</v>
      </c>
      <c r="F26" s="32">
        <v>0</v>
      </c>
      <c r="G26" s="32">
        <v>434</v>
      </c>
      <c r="H26" s="33">
        <f t="shared" si="0"/>
        <v>843788</v>
      </c>
      <c r="I26" s="32" t="s">
        <v>134</v>
      </c>
      <c r="J26" s="16"/>
      <c r="K26" s="16"/>
      <c r="L26" s="175" t="s">
        <v>3</v>
      </c>
      <c r="M26" s="175" t="s">
        <v>15</v>
      </c>
      <c r="N26" s="17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</row>
    <row r="27" spans="1:28" s="19" customFormat="1" ht="15" customHeight="1" x14ac:dyDescent="0.2">
      <c r="A27" s="42" t="s">
        <v>122</v>
      </c>
      <c r="B27" s="43" t="s">
        <v>123</v>
      </c>
      <c r="C27" s="44">
        <v>45766</v>
      </c>
      <c r="D27" s="45">
        <v>33</v>
      </c>
      <c r="E27" s="110" t="s">
        <v>95</v>
      </c>
      <c r="F27" s="50">
        <v>0</v>
      </c>
      <c r="G27" s="50">
        <v>434</v>
      </c>
      <c r="H27" s="223">
        <f t="shared" si="0"/>
        <v>843354</v>
      </c>
      <c r="I27" s="50" t="s">
        <v>134</v>
      </c>
      <c r="J27" s="46"/>
      <c r="K27" s="46"/>
      <c r="L27" s="177" t="s">
        <v>3</v>
      </c>
      <c r="M27" s="177" t="s">
        <v>15</v>
      </c>
      <c r="N27" s="47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</row>
    <row r="28" spans="1:28" s="19" customFormat="1" ht="15" customHeight="1" x14ac:dyDescent="0.2">
      <c r="A28" s="13" t="s">
        <v>121</v>
      </c>
      <c r="B28" s="13" t="s">
        <v>123</v>
      </c>
      <c r="C28" s="14">
        <v>45767</v>
      </c>
      <c r="D28" s="26">
        <v>9</v>
      </c>
      <c r="E28" s="108" t="s">
        <v>99</v>
      </c>
      <c r="F28" s="32">
        <v>0</v>
      </c>
      <c r="G28" s="32">
        <v>200</v>
      </c>
      <c r="H28" s="33">
        <f t="shared" si="0"/>
        <v>843154</v>
      </c>
      <c r="I28" s="16" t="s">
        <v>85</v>
      </c>
      <c r="J28" s="16"/>
      <c r="K28" s="16"/>
      <c r="L28" s="175" t="s">
        <v>7</v>
      </c>
      <c r="M28" s="175" t="s">
        <v>64</v>
      </c>
      <c r="N28" s="16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</row>
    <row r="29" spans="1:28" s="19" customFormat="1" ht="15" customHeight="1" x14ac:dyDescent="0.2">
      <c r="A29" s="74" t="s">
        <v>122</v>
      </c>
      <c r="B29" s="200" t="s">
        <v>123</v>
      </c>
      <c r="C29" s="75">
        <v>45767</v>
      </c>
      <c r="D29" s="76">
        <v>33</v>
      </c>
      <c r="E29" s="211" t="s">
        <v>95</v>
      </c>
      <c r="F29" s="77">
        <v>0</v>
      </c>
      <c r="G29" s="77">
        <v>434</v>
      </c>
      <c r="H29" s="225">
        <f t="shared" si="0"/>
        <v>842720</v>
      </c>
      <c r="I29" s="77" t="s">
        <v>134</v>
      </c>
      <c r="J29" s="78"/>
      <c r="K29" s="78"/>
      <c r="L29" s="226" t="s">
        <v>3</v>
      </c>
      <c r="M29" s="226" t="s">
        <v>15</v>
      </c>
      <c r="N29" s="79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</row>
    <row r="30" spans="1:28" s="19" customFormat="1" ht="15" customHeight="1" x14ac:dyDescent="0.2">
      <c r="A30" s="13" t="s">
        <v>121</v>
      </c>
      <c r="B30" s="13" t="s">
        <v>123</v>
      </c>
      <c r="C30" s="14">
        <v>45768</v>
      </c>
      <c r="D30" s="26">
        <v>10</v>
      </c>
      <c r="E30" s="108" t="s">
        <v>84</v>
      </c>
      <c r="F30" s="32">
        <v>0</v>
      </c>
      <c r="G30" s="32">
        <v>150</v>
      </c>
      <c r="H30" s="33">
        <f t="shared" si="0"/>
        <v>842570</v>
      </c>
      <c r="I30" s="16" t="s">
        <v>85</v>
      </c>
      <c r="J30" s="16"/>
      <c r="K30" s="16"/>
      <c r="L30" s="175" t="s">
        <v>10</v>
      </c>
      <c r="M30" s="175" t="s">
        <v>46</v>
      </c>
      <c r="N30" s="16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</row>
    <row r="31" spans="1:28" s="19" customFormat="1" ht="15" customHeight="1" x14ac:dyDescent="0.2">
      <c r="A31" s="51" t="s">
        <v>122</v>
      </c>
      <c r="B31" s="52" t="s">
        <v>124</v>
      </c>
      <c r="C31" s="53">
        <v>45768</v>
      </c>
      <c r="D31" s="54">
        <v>33</v>
      </c>
      <c r="E31" s="111" t="s">
        <v>95</v>
      </c>
      <c r="F31" s="55">
        <v>0</v>
      </c>
      <c r="G31" s="55">
        <v>434</v>
      </c>
      <c r="H31" s="224">
        <f t="shared" si="0"/>
        <v>842136</v>
      </c>
      <c r="I31" s="55" t="s">
        <v>134</v>
      </c>
      <c r="J31" s="56"/>
      <c r="K31" s="56"/>
      <c r="L31" s="178" t="s">
        <v>3</v>
      </c>
      <c r="M31" s="178" t="s">
        <v>15</v>
      </c>
      <c r="N31" s="57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</row>
    <row r="32" spans="1:28" ht="13.5" customHeight="1" x14ac:dyDescent="0.2">
      <c r="A32" s="42" t="s">
        <v>122</v>
      </c>
      <c r="B32" s="43" t="s">
        <v>124</v>
      </c>
      <c r="C32" s="44">
        <v>45769</v>
      </c>
      <c r="D32" s="45">
        <v>33</v>
      </c>
      <c r="E32" s="110" t="s">
        <v>95</v>
      </c>
      <c r="F32" s="50">
        <v>0</v>
      </c>
      <c r="G32" s="50">
        <v>434</v>
      </c>
      <c r="H32" s="223">
        <f t="shared" si="0"/>
        <v>841702</v>
      </c>
      <c r="I32" s="50" t="s">
        <v>134</v>
      </c>
      <c r="J32" s="46"/>
      <c r="K32" s="46"/>
      <c r="L32" s="177" t="s">
        <v>3</v>
      </c>
      <c r="M32" s="177" t="s">
        <v>15</v>
      </c>
      <c r="N32" s="4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</row>
    <row r="33" spans="1:28" ht="13.5" customHeight="1" x14ac:dyDescent="0.2">
      <c r="A33" s="13" t="s">
        <v>121</v>
      </c>
      <c r="B33" s="13" t="s">
        <v>123</v>
      </c>
      <c r="C33" s="14">
        <v>45771</v>
      </c>
      <c r="D33" s="26">
        <v>11</v>
      </c>
      <c r="E33" s="108" t="s">
        <v>129</v>
      </c>
      <c r="F33" s="32">
        <v>0</v>
      </c>
      <c r="G33" s="32">
        <v>13500</v>
      </c>
      <c r="H33" s="33">
        <f t="shared" si="0"/>
        <v>828202</v>
      </c>
      <c r="I33" s="16" t="s">
        <v>94</v>
      </c>
      <c r="J33" s="16"/>
      <c r="K33" s="16"/>
      <c r="L33" s="175" t="s">
        <v>7</v>
      </c>
      <c r="M33" s="175" t="s">
        <v>64</v>
      </c>
      <c r="N33" s="16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</row>
    <row r="34" spans="1:28" s="19" customFormat="1" ht="15" customHeight="1" x14ac:dyDescent="0.2">
      <c r="A34" s="13" t="s">
        <v>122</v>
      </c>
      <c r="B34" s="13" t="s">
        <v>123</v>
      </c>
      <c r="C34" s="14">
        <v>45771</v>
      </c>
      <c r="D34" s="26">
        <v>11</v>
      </c>
      <c r="E34" s="108" t="s">
        <v>128</v>
      </c>
      <c r="F34" s="32">
        <v>0</v>
      </c>
      <c r="G34" s="32">
        <v>22500</v>
      </c>
      <c r="H34" s="33">
        <f t="shared" si="0"/>
        <v>805702</v>
      </c>
      <c r="I34" s="16" t="s">
        <v>94</v>
      </c>
      <c r="J34" s="16"/>
      <c r="K34" s="16"/>
      <c r="L34" s="175" t="s">
        <v>5</v>
      </c>
      <c r="M34" s="175" t="s">
        <v>17</v>
      </c>
      <c r="N34" s="16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</row>
    <row r="35" spans="1:28" s="19" customFormat="1" ht="15" customHeight="1" x14ac:dyDescent="0.2">
      <c r="A35" s="13" t="s">
        <v>121</v>
      </c>
      <c r="B35" s="13" t="s">
        <v>123</v>
      </c>
      <c r="C35" s="14">
        <v>45772</v>
      </c>
      <c r="D35" s="26">
        <v>12</v>
      </c>
      <c r="E35" s="108" t="s">
        <v>99</v>
      </c>
      <c r="F35" s="32">
        <v>0</v>
      </c>
      <c r="G35" s="32">
        <v>200</v>
      </c>
      <c r="H35" s="33">
        <f t="shared" si="0"/>
        <v>805502</v>
      </c>
      <c r="I35" s="16" t="s">
        <v>85</v>
      </c>
      <c r="J35" s="16"/>
      <c r="K35" s="16"/>
      <c r="L35" s="175" t="s">
        <v>7</v>
      </c>
      <c r="M35" s="175" t="s">
        <v>64</v>
      </c>
      <c r="N35" s="16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</row>
    <row r="36" spans="1:28" ht="13.5" customHeight="1" x14ac:dyDescent="0.2">
      <c r="A36" s="13" t="s">
        <v>121</v>
      </c>
      <c r="B36" s="13" t="s">
        <v>123</v>
      </c>
      <c r="C36" s="14">
        <v>45772</v>
      </c>
      <c r="D36" s="26">
        <v>13</v>
      </c>
      <c r="E36" s="108" t="s">
        <v>116</v>
      </c>
      <c r="F36" s="32">
        <v>0</v>
      </c>
      <c r="G36" s="32">
        <v>1200</v>
      </c>
      <c r="H36" s="33">
        <f t="shared" si="0"/>
        <v>804302</v>
      </c>
      <c r="I36" s="16" t="s">
        <v>94</v>
      </c>
      <c r="J36" s="16"/>
      <c r="K36" s="16"/>
      <c r="L36" s="175" t="s">
        <v>5</v>
      </c>
      <c r="M36" s="175" t="s">
        <v>17</v>
      </c>
      <c r="N36" s="16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</row>
    <row r="37" spans="1:28" s="19" customFormat="1" ht="15" customHeight="1" x14ac:dyDescent="0.2">
      <c r="A37" s="13" t="s">
        <v>121</v>
      </c>
      <c r="B37" s="13" t="s">
        <v>123</v>
      </c>
      <c r="C37" s="14">
        <v>45772</v>
      </c>
      <c r="D37" s="26">
        <v>14</v>
      </c>
      <c r="E37" s="108" t="s">
        <v>118</v>
      </c>
      <c r="F37" s="32">
        <v>0</v>
      </c>
      <c r="G37" s="32">
        <v>210</v>
      </c>
      <c r="H37" s="33">
        <f t="shared" si="0"/>
        <v>804092</v>
      </c>
      <c r="I37" s="16" t="s">
        <v>85</v>
      </c>
      <c r="J37" s="16"/>
      <c r="K37" s="16"/>
      <c r="L37" s="175" t="s">
        <v>10</v>
      </c>
      <c r="M37" s="175" t="s">
        <v>119</v>
      </c>
      <c r="N37" s="16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</row>
    <row r="38" spans="1:28" ht="13.5" customHeight="1" x14ac:dyDescent="0.2">
      <c r="A38" s="13" t="s">
        <v>121</v>
      </c>
      <c r="B38" s="13" t="s">
        <v>123</v>
      </c>
      <c r="C38" s="14">
        <v>45773</v>
      </c>
      <c r="D38" s="26">
        <v>15</v>
      </c>
      <c r="E38" s="108" t="s">
        <v>100</v>
      </c>
      <c r="F38" s="32">
        <v>0</v>
      </c>
      <c r="G38" s="32">
        <v>170</v>
      </c>
      <c r="H38" s="33">
        <f t="shared" si="0"/>
        <v>803922</v>
      </c>
      <c r="I38" s="16" t="s">
        <v>85</v>
      </c>
      <c r="J38" s="16"/>
      <c r="K38" s="16"/>
      <c r="L38" s="175" t="s">
        <v>7</v>
      </c>
      <c r="M38" s="175" t="s">
        <v>64</v>
      </c>
      <c r="N38" s="16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x14ac:dyDescent="0.2">
      <c r="A39" s="13" t="s">
        <v>122</v>
      </c>
      <c r="B39" s="13" t="s">
        <v>123</v>
      </c>
      <c r="C39" s="14">
        <v>45773</v>
      </c>
      <c r="D39" s="26">
        <v>16</v>
      </c>
      <c r="E39" s="108" t="s">
        <v>101</v>
      </c>
      <c r="F39" s="32">
        <v>0</v>
      </c>
      <c r="G39" s="32">
        <v>22500</v>
      </c>
      <c r="H39" s="33">
        <f t="shared" si="0"/>
        <v>781422</v>
      </c>
      <c r="I39" s="16" t="s">
        <v>87</v>
      </c>
      <c r="J39" s="16"/>
      <c r="K39" s="16"/>
      <c r="L39" s="175" t="s">
        <v>5</v>
      </c>
      <c r="M39" s="175" t="s">
        <v>17</v>
      </c>
      <c r="N39" s="16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</row>
    <row r="40" spans="1:28" ht="13.5" customHeight="1" x14ac:dyDescent="0.2">
      <c r="A40" s="13" t="s">
        <v>125</v>
      </c>
      <c r="B40" s="13" t="s">
        <v>126</v>
      </c>
      <c r="C40" s="14">
        <v>45773</v>
      </c>
      <c r="D40" s="26">
        <v>17</v>
      </c>
      <c r="E40" s="108" t="s">
        <v>131</v>
      </c>
      <c r="F40" s="32">
        <v>0</v>
      </c>
      <c r="G40" s="32">
        <v>75</v>
      </c>
      <c r="H40" s="33">
        <f t="shared" si="0"/>
        <v>781347</v>
      </c>
      <c r="I40" s="16" t="s">
        <v>102</v>
      </c>
      <c r="J40" s="16"/>
      <c r="K40" s="16"/>
      <c r="L40" s="175" t="s">
        <v>3</v>
      </c>
      <c r="M40" s="175" t="s">
        <v>39</v>
      </c>
      <c r="N40" s="16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</row>
    <row r="41" spans="1:28" ht="13.5" customHeight="1" x14ac:dyDescent="0.2">
      <c r="A41" s="13" t="s">
        <v>125</v>
      </c>
      <c r="B41" s="13" t="s">
        <v>126</v>
      </c>
      <c r="C41" s="14">
        <v>45773</v>
      </c>
      <c r="D41" s="26">
        <v>18</v>
      </c>
      <c r="E41" s="108" t="s">
        <v>132</v>
      </c>
      <c r="F41" s="32">
        <v>0</v>
      </c>
      <c r="G41" s="32">
        <v>800</v>
      </c>
      <c r="H41" s="33">
        <f t="shared" si="0"/>
        <v>780547</v>
      </c>
      <c r="I41" s="16" t="s">
        <v>103</v>
      </c>
      <c r="J41" s="16"/>
      <c r="K41" s="16"/>
      <c r="L41" s="175" t="s">
        <v>3</v>
      </c>
      <c r="M41" s="175" t="s">
        <v>39</v>
      </c>
      <c r="N41" s="16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</row>
    <row r="42" spans="1:28" ht="13.5" customHeight="1" x14ac:dyDescent="0.2">
      <c r="A42" s="13" t="s">
        <v>125</v>
      </c>
      <c r="B42" s="13" t="s">
        <v>126</v>
      </c>
      <c r="C42" s="14">
        <v>45773</v>
      </c>
      <c r="D42" s="26">
        <v>19</v>
      </c>
      <c r="E42" s="108" t="s">
        <v>104</v>
      </c>
      <c r="F42" s="32">
        <v>0</v>
      </c>
      <c r="G42" s="32">
        <v>270</v>
      </c>
      <c r="H42" s="33">
        <f t="shared" si="0"/>
        <v>780277</v>
      </c>
      <c r="I42" s="16" t="s">
        <v>208</v>
      </c>
      <c r="J42" s="16"/>
      <c r="K42" s="16"/>
      <c r="L42" s="175" t="s">
        <v>3</v>
      </c>
      <c r="M42" s="175" t="s">
        <v>39</v>
      </c>
      <c r="N42" s="16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</row>
    <row r="43" spans="1:28" ht="13.5" customHeight="1" x14ac:dyDescent="0.2">
      <c r="A43" s="13" t="s">
        <v>121</v>
      </c>
      <c r="B43" s="13" t="s">
        <v>123</v>
      </c>
      <c r="C43" s="14">
        <v>45774</v>
      </c>
      <c r="D43" s="26">
        <v>20</v>
      </c>
      <c r="E43" s="108" t="s">
        <v>133</v>
      </c>
      <c r="F43" s="32">
        <v>0</v>
      </c>
      <c r="G43" s="32">
        <v>150</v>
      </c>
      <c r="H43" s="33">
        <f t="shared" si="0"/>
        <v>780127</v>
      </c>
      <c r="I43" s="16" t="s">
        <v>107</v>
      </c>
      <c r="J43" s="16"/>
      <c r="K43" s="16"/>
      <c r="L43" s="175" t="s">
        <v>7</v>
      </c>
      <c r="M43" s="175" t="s">
        <v>64</v>
      </c>
      <c r="N43" s="16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</row>
    <row r="44" spans="1:28" ht="13.5" customHeight="1" x14ac:dyDescent="0.2">
      <c r="A44" s="13" t="s">
        <v>122</v>
      </c>
      <c r="B44" s="13" t="s">
        <v>123</v>
      </c>
      <c r="C44" s="14">
        <v>45774</v>
      </c>
      <c r="D44" s="26">
        <v>21</v>
      </c>
      <c r="E44" s="108" t="s">
        <v>105</v>
      </c>
      <c r="F44" s="32">
        <v>0</v>
      </c>
      <c r="G44" s="32">
        <v>75</v>
      </c>
      <c r="H44" s="33">
        <f t="shared" si="0"/>
        <v>780052</v>
      </c>
      <c r="I44" s="16" t="s">
        <v>106</v>
      </c>
      <c r="J44" s="16"/>
      <c r="K44" s="16"/>
      <c r="L44" s="175" t="s">
        <v>7</v>
      </c>
      <c r="M44" s="175" t="s">
        <v>64</v>
      </c>
      <c r="N44" s="16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</row>
    <row r="45" spans="1:28" ht="13.5" customHeight="1" x14ac:dyDescent="0.2">
      <c r="A45" s="74" t="s">
        <v>122</v>
      </c>
      <c r="B45" s="200" t="s">
        <v>124</v>
      </c>
      <c r="C45" s="75">
        <v>45782</v>
      </c>
      <c r="D45" s="76">
        <v>33</v>
      </c>
      <c r="E45" s="211" t="s">
        <v>95</v>
      </c>
      <c r="F45" s="77">
        <v>0</v>
      </c>
      <c r="G45" s="77">
        <v>426</v>
      </c>
      <c r="H45" s="225">
        <f t="shared" si="0"/>
        <v>779626</v>
      </c>
      <c r="I45" s="77" t="s">
        <v>134</v>
      </c>
      <c r="J45" s="78"/>
      <c r="K45" s="78"/>
      <c r="L45" s="226" t="s">
        <v>3</v>
      </c>
      <c r="M45" s="226" t="s">
        <v>15</v>
      </c>
      <c r="N45" s="79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</row>
    <row r="46" spans="1:28" ht="13.5" customHeight="1" x14ac:dyDescent="0.2">
      <c r="A46" s="13" t="s">
        <v>121</v>
      </c>
      <c r="B46" s="13" t="s">
        <v>123</v>
      </c>
      <c r="C46" s="14">
        <v>45787</v>
      </c>
      <c r="D46" s="26">
        <v>24</v>
      </c>
      <c r="E46" s="108" t="s">
        <v>130</v>
      </c>
      <c r="F46" s="32">
        <v>0</v>
      </c>
      <c r="G46" s="32">
        <v>180</v>
      </c>
      <c r="H46" s="33">
        <f t="shared" si="0"/>
        <v>779446</v>
      </c>
      <c r="I46" s="16" t="s">
        <v>108</v>
      </c>
      <c r="J46" s="16"/>
      <c r="K46" s="16"/>
      <c r="L46" s="175" t="s">
        <v>7</v>
      </c>
      <c r="M46" s="175" t="s">
        <v>64</v>
      </c>
      <c r="N46" s="16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</row>
    <row r="47" spans="1:28" ht="13.5" customHeight="1" x14ac:dyDescent="0.2">
      <c r="A47" s="13" t="s">
        <v>125</v>
      </c>
      <c r="B47" s="13" t="s">
        <v>126</v>
      </c>
      <c r="C47" s="14">
        <v>45787</v>
      </c>
      <c r="D47" s="26">
        <v>25</v>
      </c>
      <c r="E47" s="108" t="s">
        <v>110</v>
      </c>
      <c r="F47" s="32">
        <v>0</v>
      </c>
      <c r="G47" s="32">
        <v>5618</v>
      </c>
      <c r="H47" s="33">
        <f t="shared" si="0"/>
        <v>773828</v>
      </c>
      <c r="I47" s="16" t="s">
        <v>237</v>
      </c>
      <c r="J47" s="16"/>
      <c r="K47" s="16"/>
      <c r="L47" s="175" t="s">
        <v>3</v>
      </c>
      <c r="M47" s="175" t="s">
        <v>27</v>
      </c>
      <c r="N47" s="16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</row>
    <row r="48" spans="1:28" ht="13.5" customHeight="1" x14ac:dyDescent="0.2">
      <c r="A48" s="13" t="s">
        <v>122</v>
      </c>
      <c r="B48" s="13" t="s">
        <v>123</v>
      </c>
      <c r="C48" s="14">
        <v>45787</v>
      </c>
      <c r="D48" s="26">
        <v>26</v>
      </c>
      <c r="E48" s="108" t="s">
        <v>109</v>
      </c>
      <c r="F48" s="32">
        <v>0</v>
      </c>
      <c r="G48" s="32">
        <v>16700</v>
      </c>
      <c r="H48" s="33">
        <f t="shared" si="0"/>
        <v>757128</v>
      </c>
      <c r="I48" s="16" t="s">
        <v>237</v>
      </c>
      <c r="J48" s="16"/>
      <c r="K48" s="16"/>
      <c r="L48" s="175" t="s">
        <v>10</v>
      </c>
      <c r="M48" s="175" t="s">
        <v>22</v>
      </c>
      <c r="N48" s="16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</row>
    <row r="49" spans="1:28" ht="13.5" customHeight="1" x14ac:dyDescent="0.2">
      <c r="A49" s="13" t="s">
        <v>122</v>
      </c>
      <c r="B49" s="13" t="s">
        <v>123</v>
      </c>
      <c r="C49" s="14">
        <v>45787</v>
      </c>
      <c r="D49" s="26">
        <v>27</v>
      </c>
      <c r="E49" s="109" t="s">
        <v>152</v>
      </c>
      <c r="F49" s="32">
        <v>0</v>
      </c>
      <c r="G49" s="32">
        <v>4000</v>
      </c>
      <c r="H49" s="33">
        <f t="shared" si="0"/>
        <v>753128</v>
      </c>
      <c r="I49" s="15" t="s">
        <v>111</v>
      </c>
      <c r="J49" s="15"/>
      <c r="K49" s="15"/>
      <c r="L49" s="175" t="s">
        <v>5</v>
      </c>
      <c r="M49" s="175" t="s">
        <v>41</v>
      </c>
      <c r="N49" s="15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</row>
    <row r="50" spans="1:28" ht="13.5" customHeight="1" x14ac:dyDescent="0.2">
      <c r="A50" s="13" t="s">
        <v>125</v>
      </c>
      <c r="B50" s="13" t="s">
        <v>123</v>
      </c>
      <c r="C50" s="14">
        <v>45787</v>
      </c>
      <c r="D50" s="26">
        <v>28</v>
      </c>
      <c r="E50" s="108" t="s">
        <v>112</v>
      </c>
      <c r="F50" s="32">
        <v>0</v>
      </c>
      <c r="G50" s="32">
        <v>5443</v>
      </c>
      <c r="H50" s="33">
        <f t="shared" si="0"/>
        <v>747685</v>
      </c>
      <c r="I50" s="16" t="s">
        <v>237</v>
      </c>
      <c r="J50" s="16"/>
      <c r="K50" s="16"/>
      <c r="L50" s="175" t="s">
        <v>3</v>
      </c>
      <c r="M50" s="175" t="s">
        <v>27</v>
      </c>
      <c r="N50" s="16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</row>
    <row r="51" spans="1:28" ht="13.5" customHeight="1" x14ac:dyDescent="0.2">
      <c r="A51" s="13" t="s">
        <v>125</v>
      </c>
      <c r="B51" s="13" t="s">
        <v>126</v>
      </c>
      <c r="C51" s="14">
        <v>45787</v>
      </c>
      <c r="D51" s="26">
        <v>29</v>
      </c>
      <c r="E51" s="108" t="s">
        <v>153</v>
      </c>
      <c r="F51" s="32">
        <v>0</v>
      </c>
      <c r="G51" s="32">
        <v>1000</v>
      </c>
      <c r="H51" s="33">
        <f t="shared" si="0"/>
        <v>746685</v>
      </c>
      <c r="I51" s="16" t="s">
        <v>113</v>
      </c>
      <c r="J51" s="16"/>
      <c r="K51" s="16"/>
      <c r="L51" s="175" t="s">
        <v>3</v>
      </c>
      <c r="M51" s="175" t="s">
        <v>39</v>
      </c>
      <c r="N51" s="16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</row>
    <row r="52" spans="1:28" ht="13.5" customHeight="1" x14ac:dyDescent="0.2">
      <c r="A52" s="38" t="s">
        <v>122</v>
      </c>
      <c r="B52" s="38" t="s">
        <v>123</v>
      </c>
      <c r="C52" s="39">
        <v>45787</v>
      </c>
      <c r="D52" s="40">
        <v>30</v>
      </c>
      <c r="E52" s="69" t="s">
        <v>114</v>
      </c>
      <c r="F52" s="15">
        <v>0</v>
      </c>
      <c r="G52" s="15">
        <v>20000</v>
      </c>
      <c r="H52" s="33">
        <f t="shared" si="0"/>
        <v>726685</v>
      </c>
      <c r="I52" s="15" t="s">
        <v>135</v>
      </c>
      <c r="J52" s="15"/>
      <c r="K52" s="15"/>
      <c r="L52" s="176" t="s">
        <v>5</v>
      </c>
      <c r="M52" s="176" t="s">
        <v>52</v>
      </c>
      <c r="N52" s="15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</row>
    <row r="53" spans="1:28" ht="13.5" customHeight="1" x14ac:dyDescent="0.2">
      <c r="A53" s="13" t="s">
        <v>121</v>
      </c>
      <c r="B53" s="13" t="s">
        <v>123</v>
      </c>
      <c r="C53" s="14">
        <v>45787</v>
      </c>
      <c r="D53" s="26">
        <v>32</v>
      </c>
      <c r="E53" s="108" t="s">
        <v>117</v>
      </c>
      <c r="F53" s="32">
        <v>0</v>
      </c>
      <c r="G53" s="32">
        <v>4518.6000000000004</v>
      </c>
      <c r="H53" s="33">
        <f t="shared" si="0"/>
        <v>722166.4</v>
      </c>
      <c r="I53" s="15" t="s">
        <v>111</v>
      </c>
      <c r="J53" s="16"/>
      <c r="K53" s="16"/>
      <c r="L53" s="175" t="s">
        <v>3</v>
      </c>
      <c r="M53" s="175" t="s">
        <v>63</v>
      </c>
      <c r="N53" s="16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</row>
    <row r="54" spans="1:28" ht="13.5" customHeight="1" x14ac:dyDescent="0.2">
      <c r="A54" s="74" t="s">
        <v>122</v>
      </c>
      <c r="B54" s="200" t="s">
        <v>123</v>
      </c>
      <c r="C54" s="75">
        <v>45792</v>
      </c>
      <c r="D54" s="76">
        <v>111</v>
      </c>
      <c r="E54" s="211" t="s">
        <v>95</v>
      </c>
      <c r="F54" s="77">
        <v>0</v>
      </c>
      <c r="G54" s="77">
        <v>426</v>
      </c>
      <c r="H54" s="225">
        <f t="shared" si="0"/>
        <v>721740.4</v>
      </c>
      <c r="I54" s="77" t="s">
        <v>134</v>
      </c>
      <c r="J54" s="78"/>
      <c r="K54" s="78"/>
      <c r="L54" s="226" t="s">
        <v>3</v>
      </c>
      <c r="M54" s="226" t="s">
        <v>15</v>
      </c>
      <c r="N54" s="79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</row>
    <row r="55" spans="1:28" ht="13.5" customHeight="1" x14ac:dyDescent="0.2">
      <c r="A55" s="13" t="s">
        <v>122</v>
      </c>
      <c r="B55" s="13" t="s">
        <v>123</v>
      </c>
      <c r="C55" s="14">
        <v>45796</v>
      </c>
      <c r="D55" s="26">
        <v>34</v>
      </c>
      <c r="E55" s="108" t="s">
        <v>136</v>
      </c>
      <c r="F55" s="32">
        <v>0</v>
      </c>
      <c r="G55" s="32">
        <v>5950</v>
      </c>
      <c r="H55" s="33">
        <f t="shared" si="0"/>
        <v>715790.4</v>
      </c>
      <c r="I55" s="16" t="s">
        <v>238</v>
      </c>
      <c r="J55" s="16"/>
      <c r="K55" s="16"/>
      <c r="L55" s="175" t="s">
        <v>5</v>
      </c>
      <c r="M55" s="175" t="s">
        <v>41</v>
      </c>
      <c r="N55" s="16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</row>
    <row r="56" spans="1:28" ht="13.5" customHeight="1" x14ac:dyDescent="0.2">
      <c r="A56" s="74" t="s">
        <v>122</v>
      </c>
      <c r="B56" s="200" t="s">
        <v>123</v>
      </c>
      <c r="C56" s="75">
        <v>45797</v>
      </c>
      <c r="D56" s="76">
        <v>111</v>
      </c>
      <c r="E56" s="211" t="s">
        <v>95</v>
      </c>
      <c r="F56" s="77">
        <v>0</v>
      </c>
      <c r="G56" s="77">
        <v>421.2</v>
      </c>
      <c r="H56" s="225">
        <f t="shared" si="0"/>
        <v>715369.20000000007</v>
      </c>
      <c r="I56" s="77" t="s">
        <v>134</v>
      </c>
      <c r="J56" s="78"/>
      <c r="K56" s="78"/>
      <c r="L56" s="226" t="s">
        <v>3</v>
      </c>
      <c r="M56" s="226" t="s">
        <v>15</v>
      </c>
      <c r="N56" s="79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</row>
    <row r="57" spans="1:28" ht="13.5" customHeight="1" x14ac:dyDescent="0.2">
      <c r="A57" s="13" t="s">
        <v>122</v>
      </c>
      <c r="B57" s="13" t="s">
        <v>123</v>
      </c>
      <c r="C57" s="14">
        <v>45797</v>
      </c>
      <c r="D57" s="26">
        <v>35</v>
      </c>
      <c r="E57" s="108" t="s">
        <v>150</v>
      </c>
      <c r="F57" s="32">
        <v>0</v>
      </c>
      <c r="G57" s="16">
        <v>5000</v>
      </c>
      <c r="H57" s="33">
        <f t="shared" si="0"/>
        <v>710369.20000000007</v>
      </c>
      <c r="I57" s="16" t="s">
        <v>237</v>
      </c>
      <c r="J57" s="16"/>
      <c r="K57" s="16"/>
      <c r="L57" s="175" t="s">
        <v>3</v>
      </c>
      <c r="M57" s="175" t="s">
        <v>27</v>
      </c>
      <c r="N57" s="16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</row>
    <row r="58" spans="1:28" ht="13.5" customHeight="1" x14ac:dyDescent="0.2">
      <c r="A58" s="51" t="s">
        <v>122</v>
      </c>
      <c r="B58" s="52" t="s">
        <v>123</v>
      </c>
      <c r="C58" s="53">
        <v>45799</v>
      </c>
      <c r="D58" s="54">
        <v>111</v>
      </c>
      <c r="E58" s="111" t="s">
        <v>95</v>
      </c>
      <c r="F58" s="55">
        <v>0</v>
      </c>
      <c r="G58" s="55">
        <v>421.2</v>
      </c>
      <c r="H58" s="224">
        <f t="shared" si="0"/>
        <v>709948.00000000012</v>
      </c>
      <c r="I58" s="55" t="s">
        <v>134</v>
      </c>
      <c r="J58" s="56"/>
      <c r="K58" s="56"/>
      <c r="L58" s="178" t="s">
        <v>3</v>
      </c>
      <c r="M58" s="178" t="s">
        <v>15</v>
      </c>
      <c r="N58" s="5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</row>
    <row r="59" spans="1:28" ht="13.5" customHeight="1" x14ac:dyDescent="0.2">
      <c r="A59" s="42" t="s">
        <v>122</v>
      </c>
      <c r="B59" s="43" t="s">
        <v>123</v>
      </c>
      <c r="C59" s="44">
        <v>45801</v>
      </c>
      <c r="D59" s="45">
        <v>111</v>
      </c>
      <c r="E59" s="110" t="s">
        <v>95</v>
      </c>
      <c r="F59" s="50">
        <v>0</v>
      </c>
      <c r="G59" s="50">
        <v>421.2</v>
      </c>
      <c r="H59" s="223">
        <f t="shared" si="0"/>
        <v>709526.80000000016</v>
      </c>
      <c r="I59" s="50" t="s">
        <v>134</v>
      </c>
      <c r="J59" s="46"/>
      <c r="K59" s="46"/>
      <c r="L59" s="177" t="s">
        <v>3</v>
      </c>
      <c r="M59" s="177" t="s">
        <v>15</v>
      </c>
      <c r="N59" s="4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</row>
    <row r="60" spans="1:28" ht="13.5" customHeight="1" x14ac:dyDescent="0.2">
      <c r="A60" s="13" t="s">
        <v>125</v>
      </c>
      <c r="B60" s="13" t="s">
        <v>126</v>
      </c>
      <c r="C60" s="14">
        <v>45801</v>
      </c>
      <c r="D60" s="26">
        <v>36</v>
      </c>
      <c r="E60" s="108" t="s">
        <v>149</v>
      </c>
      <c r="F60" s="32">
        <v>0</v>
      </c>
      <c r="G60" s="32">
        <v>5553</v>
      </c>
      <c r="H60" s="33">
        <f t="shared" si="0"/>
        <v>703973.80000000016</v>
      </c>
      <c r="I60" s="16" t="s">
        <v>237</v>
      </c>
      <c r="J60" s="16"/>
      <c r="K60" s="16"/>
      <c r="L60" s="175" t="s">
        <v>3</v>
      </c>
      <c r="M60" s="175" t="s">
        <v>27</v>
      </c>
      <c r="N60" s="16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</row>
    <row r="61" spans="1:28" ht="13.5" customHeight="1" x14ac:dyDescent="0.2">
      <c r="A61" s="103" t="s">
        <v>125</v>
      </c>
      <c r="B61" s="13" t="s">
        <v>126</v>
      </c>
      <c r="C61" s="35">
        <v>45802</v>
      </c>
      <c r="D61" s="26">
        <v>37</v>
      </c>
      <c r="E61" s="112" t="s">
        <v>139</v>
      </c>
      <c r="F61" s="32">
        <v>0</v>
      </c>
      <c r="G61" s="32">
        <v>230</v>
      </c>
      <c r="H61" s="33">
        <f t="shared" si="0"/>
        <v>703743.80000000016</v>
      </c>
      <c r="I61" s="32" t="s">
        <v>92</v>
      </c>
      <c r="J61" s="32"/>
      <c r="K61" s="32"/>
      <c r="L61" s="175" t="s">
        <v>3</v>
      </c>
      <c r="M61" s="175" t="s">
        <v>39</v>
      </c>
      <c r="N61" s="32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</row>
    <row r="62" spans="1:28" s="11" customFormat="1" ht="13.5" customHeight="1" x14ac:dyDescent="0.2">
      <c r="A62" s="103" t="s">
        <v>125</v>
      </c>
      <c r="B62" s="13" t="s">
        <v>126</v>
      </c>
      <c r="C62" s="35">
        <v>45803</v>
      </c>
      <c r="D62" s="26">
        <v>38</v>
      </c>
      <c r="E62" s="112" t="s">
        <v>138</v>
      </c>
      <c r="F62" s="32">
        <v>0</v>
      </c>
      <c r="G62" s="32">
        <v>1000</v>
      </c>
      <c r="H62" s="33">
        <f t="shared" si="0"/>
        <v>702743.80000000016</v>
      </c>
      <c r="I62" s="16" t="s">
        <v>208</v>
      </c>
      <c r="J62" s="32"/>
      <c r="K62" s="32"/>
      <c r="L62" s="175" t="s">
        <v>3</v>
      </c>
      <c r="M62" s="175" t="s">
        <v>39</v>
      </c>
      <c r="N62" s="32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</row>
    <row r="63" spans="1:28" ht="13.5" customHeight="1" x14ac:dyDescent="0.2">
      <c r="A63" s="103" t="s">
        <v>125</v>
      </c>
      <c r="B63" s="13" t="s">
        <v>126</v>
      </c>
      <c r="C63" s="35">
        <v>45803</v>
      </c>
      <c r="D63" s="26">
        <v>39</v>
      </c>
      <c r="E63" s="112" t="s">
        <v>140</v>
      </c>
      <c r="F63" s="32">
        <v>0</v>
      </c>
      <c r="G63" s="32">
        <v>600</v>
      </c>
      <c r="H63" s="33">
        <f t="shared" si="0"/>
        <v>702143.80000000016</v>
      </c>
      <c r="I63" s="16"/>
      <c r="J63" s="32"/>
      <c r="K63" s="32"/>
      <c r="L63" s="175" t="s">
        <v>3</v>
      </c>
      <c r="M63" s="175" t="s">
        <v>39</v>
      </c>
      <c r="N63" s="3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</row>
    <row r="64" spans="1:28" ht="13.5" customHeight="1" x14ac:dyDescent="0.2">
      <c r="A64" s="74" t="s">
        <v>122</v>
      </c>
      <c r="B64" s="200" t="s">
        <v>123</v>
      </c>
      <c r="C64" s="75">
        <v>45805</v>
      </c>
      <c r="D64" s="76">
        <v>111</v>
      </c>
      <c r="E64" s="211" t="s">
        <v>95</v>
      </c>
      <c r="F64" s="77">
        <v>0</v>
      </c>
      <c r="G64" s="77">
        <v>421.2</v>
      </c>
      <c r="H64" s="225">
        <f t="shared" si="0"/>
        <v>701722.60000000021</v>
      </c>
      <c r="I64" s="77" t="s">
        <v>134</v>
      </c>
      <c r="J64" s="78"/>
      <c r="K64" s="78"/>
      <c r="L64" s="226" t="s">
        <v>3</v>
      </c>
      <c r="M64" s="226" t="s">
        <v>15</v>
      </c>
      <c r="N64" s="79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</row>
    <row r="65" spans="1:28" s="11" customFormat="1" ht="13.5" customHeight="1" x14ac:dyDescent="0.2">
      <c r="A65" s="103" t="s">
        <v>121</v>
      </c>
      <c r="B65" s="13" t="s">
        <v>123</v>
      </c>
      <c r="C65" s="35">
        <v>45806</v>
      </c>
      <c r="D65" s="36">
        <v>40</v>
      </c>
      <c r="E65" s="112" t="s">
        <v>137</v>
      </c>
      <c r="F65" s="32">
        <v>0</v>
      </c>
      <c r="G65" s="32">
        <v>1139.5</v>
      </c>
      <c r="H65" s="33">
        <f t="shared" si="0"/>
        <v>700583.10000000021</v>
      </c>
      <c r="I65" s="16" t="s">
        <v>85</v>
      </c>
      <c r="J65" s="32"/>
      <c r="K65" s="32"/>
      <c r="L65" s="179" t="s">
        <v>7</v>
      </c>
      <c r="M65" s="179" t="s">
        <v>64</v>
      </c>
      <c r="N65" s="32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</row>
    <row r="66" spans="1:28" s="11" customFormat="1" ht="13.5" customHeight="1" thickBot="1" x14ac:dyDescent="0.25">
      <c r="A66" s="244" t="s">
        <v>122</v>
      </c>
      <c r="B66" s="245" t="s">
        <v>123</v>
      </c>
      <c r="C66" s="227">
        <v>45807</v>
      </c>
      <c r="D66" s="228">
        <v>111</v>
      </c>
      <c r="E66" s="229" t="s">
        <v>95</v>
      </c>
      <c r="F66" s="230">
        <v>0</v>
      </c>
      <c r="G66" s="230">
        <v>421.2</v>
      </c>
      <c r="H66" s="224">
        <f t="shared" si="0"/>
        <v>700161.90000000026</v>
      </c>
      <c r="I66" s="230" t="s">
        <v>134</v>
      </c>
      <c r="J66" s="231"/>
      <c r="K66" s="231"/>
      <c r="L66" s="232" t="s">
        <v>3</v>
      </c>
      <c r="M66" s="232" t="s">
        <v>15</v>
      </c>
      <c r="N66" s="233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</row>
    <row r="67" spans="1:28" s="11" customFormat="1" ht="13.5" customHeight="1" x14ac:dyDescent="0.2">
      <c r="A67" s="197" t="s">
        <v>122</v>
      </c>
      <c r="B67" s="199" t="s">
        <v>123</v>
      </c>
      <c r="C67" s="202">
        <v>45810</v>
      </c>
      <c r="D67" s="208">
        <v>111</v>
      </c>
      <c r="E67" s="210" t="s">
        <v>95</v>
      </c>
      <c r="F67" s="213">
        <v>0</v>
      </c>
      <c r="G67" s="213">
        <v>426</v>
      </c>
      <c r="H67" s="223">
        <f t="shared" si="0"/>
        <v>699735.90000000026</v>
      </c>
      <c r="I67" s="213" t="s">
        <v>134</v>
      </c>
      <c r="J67" s="214"/>
      <c r="K67" s="214"/>
      <c r="L67" s="220" t="s">
        <v>3</v>
      </c>
      <c r="M67" s="220" t="s">
        <v>15</v>
      </c>
      <c r="N67" s="221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</row>
    <row r="68" spans="1:28" s="11" customFormat="1" ht="13.5" customHeight="1" x14ac:dyDescent="0.2">
      <c r="A68" s="38" t="s">
        <v>122</v>
      </c>
      <c r="B68" s="38" t="s">
        <v>123</v>
      </c>
      <c r="C68" s="39">
        <v>45811</v>
      </c>
      <c r="D68" s="40">
        <v>41</v>
      </c>
      <c r="E68" s="69" t="s">
        <v>141</v>
      </c>
      <c r="F68" s="15">
        <v>0</v>
      </c>
      <c r="G68" s="15">
        <v>2000</v>
      </c>
      <c r="H68" s="33">
        <f t="shared" si="0"/>
        <v>697735.90000000026</v>
      </c>
      <c r="I68" s="15" t="s">
        <v>239</v>
      </c>
      <c r="J68" s="15"/>
      <c r="K68" s="15"/>
      <c r="L68" s="176" t="s">
        <v>3</v>
      </c>
      <c r="M68" s="176" t="s">
        <v>27</v>
      </c>
      <c r="N68" s="15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</row>
    <row r="69" spans="1:28" ht="13.5" customHeight="1" x14ac:dyDescent="0.2">
      <c r="A69" s="74" t="s">
        <v>122</v>
      </c>
      <c r="B69" s="200" t="s">
        <v>123</v>
      </c>
      <c r="C69" s="75">
        <v>45812</v>
      </c>
      <c r="D69" s="76">
        <v>111</v>
      </c>
      <c r="E69" s="211" t="s">
        <v>95</v>
      </c>
      <c r="F69" s="77">
        <v>0</v>
      </c>
      <c r="G69" s="77">
        <v>426</v>
      </c>
      <c r="H69" s="225">
        <f t="shared" si="0"/>
        <v>697309.90000000026</v>
      </c>
      <c r="I69" s="77" t="s">
        <v>134</v>
      </c>
      <c r="J69" s="78"/>
      <c r="K69" s="78"/>
      <c r="L69" s="226" t="s">
        <v>3</v>
      </c>
      <c r="M69" s="226" t="s">
        <v>15</v>
      </c>
      <c r="N69" s="79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</row>
    <row r="70" spans="1:28" ht="13.5" customHeight="1" x14ac:dyDescent="0.2">
      <c r="A70" s="103" t="s">
        <v>122</v>
      </c>
      <c r="B70" s="13" t="s">
        <v>123</v>
      </c>
      <c r="C70" s="35">
        <v>45812</v>
      </c>
      <c r="D70" s="36">
        <v>42</v>
      </c>
      <c r="E70" s="112" t="s">
        <v>142</v>
      </c>
      <c r="F70" s="32">
        <v>0</v>
      </c>
      <c r="G70" s="32">
        <v>5000</v>
      </c>
      <c r="H70" s="33">
        <f t="shared" si="0"/>
        <v>692309.90000000026</v>
      </c>
      <c r="I70" s="32" t="s">
        <v>143</v>
      </c>
      <c r="J70" s="32"/>
      <c r="K70" s="32"/>
      <c r="L70" s="179" t="s">
        <v>3</v>
      </c>
      <c r="M70" s="179" t="s">
        <v>27</v>
      </c>
      <c r="N70" s="32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</row>
    <row r="71" spans="1:28" ht="13.5" customHeight="1" x14ac:dyDescent="0.2">
      <c r="A71" s="103" t="s">
        <v>121</v>
      </c>
      <c r="B71" s="13" t="s">
        <v>123</v>
      </c>
      <c r="C71" s="35">
        <v>45813</v>
      </c>
      <c r="D71" s="36">
        <v>43</v>
      </c>
      <c r="E71" s="112" t="s">
        <v>145</v>
      </c>
      <c r="F71" s="32">
        <v>0</v>
      </c>
      <c r="G71" s="32">
        <v>1400</v>
      </c>
      <c r="H71" s="33">
        <f t="shared" si="0"/>
        <v>690909.90000000026</v>
      </c>
      <c r="I71" s="32" t="s">
        <v>144</v>
      </c>
      <c r="J71" s="32"/>
      <c r="K71" s="32"/>
      <c r="L71" s="179" t="s">
        <v>3</v>
      </c>
      <c r="M71" s="179" t="s">
        <v>63</v>
      </c>
      <c r="N71" s="3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</row>
    <row r="72" spans="1:28" ht="13.5" customHeight="1" x14ac:dyDescent="0.2">
      <c r="A72" s="198" t="s">
        <v>125</v>
      </c>
      <c r="B72" s="198" t="s">
        <v>126</v>
      </c>
      <c r="C72" s="201">
        <v>45814</v>
      </c>
      <c r="D72" s="206">
        <v>1</v>
      </c>
      <c r="E72" s="209" t="s">
        <v>235</v>
      </c>
      <c r="F72" s="212">
        <v>11000</v>
      </c>
      <c r="G72" s="212">
        <v>0</v>
      </c>
      <c r="H72" s="33">
        <f t="shared" si="0"/>
        <v>701909.90000000026</v>
      </c>
      <c r="I72" s="212" t="s">
        <v>236</v>
      </c>
      <c r="J72" s="217"/>
      <c r="K72" s="217"/>
      <c r="L72" s="219"/>
      <c r="M72" s="219"/>
      <c r="N72" s="21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</row>
    <row r="73" spans="1:28" ht="13.5" customHeight="1" x14ac:dyDescent="0.2">
      <c r="A73" s="103" t="s">
        <v>121</v>
      </c>
      <c r="B73" s="13" t="s">
        <v>123</v>
      </c>
      <c r="C73" s="35">
        <v>45814</v>
      </c>
      <c r="D73" s="36">
        <v>44</v>
      </c>
      <c r="E73" s="112" t="s">
        <v>147</v>
      </c>
      <c r="F73" s="32">
        <v>0</v>
      </c>
      <c r="G73" s="32">
        <v>2303</v>
      </c>
      <c r="H73" s="33">
        <f t="shared" si="0"/>
        <v>699606.90000000026</v>
      </c>
      <c r="I73" s="32" t="s">
        <v>146</v>
      </c>
      <c r="J73" s="32"/>
      <c r="K73" s="32"/>
      <c r="L73" s="179" t="s">
        <v>7</v>
      </c>
      <c r="M73" s="179" t="s">
        <v>53</v>
      </c>
      <c r="N73" s="32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</row>
    <row r="74" spans="1:28" s="11" customFormat="1" ht="13.5" customHeight="1" x14ac:dyDescent="0.2">
      <c r="A74" s="103" t="s">
        <v>121</v>
      </c>
      <c r="B74" s="13" t="s">
        <v>123</v>
      </c>
      <c r="C74" s="35">
        <v>45814</v>
      </c>
      <c r="D74" s="36">
        <v>45</v>
      </c>
      <c r="E74" s="112" t="s">
        <v>148</v>
      </c>
      <c r="F74" s="32">
        <v>0</v>
      </c>
      <c r="G74" s="32">
        <v>2500</v>
      </c>
      <c r="H74" s="33">
        <f t="shared" ref="H74:H137" si="1">H73+F74-G74</f>
        <v>697106.90000000026</v>
      </c>
      <c r="I74" s="32" t="s">
        <v>135</v>
      </c>
      <c r="J74" s="32"/>
      <c r="K74" s="32"/>
      <c r="L74" s="179" t="s">
        <v>7</v>
      </c>
      <c r="M74" s="179" t="s">
        <v>53</v>
      </c>
      <c r="N74" s="32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</row>
    <row r="75" spans="1:28" ht="13.5" customHeight="1" x14ac:dyDescent="0.2">
      <c r="A75" s="103" t="s">
        <v>125</v>
      </c>
      <c r="B75" s="13" t="s">
        <v>126</v>
      </c>
      <c r="C75" s="35">
        <v>45814</v>
      </c>
      <c r="D75" s="36">
        <v>46</v>
      </c>
      <c r="E75" s="108" t="s">
        <v>156</v>
      </c>
      <c r="F75" s="32">
        <v>0</v>
      </c>
      <c r="G75" s="32">
        <v>5704</v>
      </c>
      <c r="H75" s="33">
        <f t="shared" si="1"/>
        <v>691402.90000000026</v>
      </c>
      <c r="I75" s="16" t="s">
        <v>237</v>
      </c>
      <c r="J75" s="32"/>
      <c r="K75" s="32"/>
      <c r="L75" s="179" t="s">
        <v>3</v>
      </c>
      <c r="M75" s="179" t="s">
        <v>27</v>
      </c>
      <c r="N75" s="32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</row>
    <row r="76" spans="1:28" ht="13.5" customHeight="1" x14ac:dyDescent="0.2">
      <c r="A76" s="103" t="s">
        <v>125</v>
      </c>
      <c r="B76" s="13" t="s">
        <v>126</v>
      </c>
      <c r="C76" s="35">
        <v>45814</v>
      </c>
      <c r="D76" s="36">
        <v>47</v>
      </c>
      <c r="E76" s="108" t="s">
        <v>151</v>
      </c>
      <c r="F76" s="32">
        <v>0</v>
      </c>
      <c r="G76" s="32">
        <v>5000</v>
      </c>
      <c r="H76" s="33">
        <f t="shared" si="1"/>
        <v>686402.90000000026</v>
      </c>
      <c r="I76" s="16" t="s">
        <v>237</v>
      </c>
      <c r="J76" s="32"/>
      <c r="K76" s="32"/>
      <c r="L76" s="179" t="s">
        <v>3</v>
      </c>
      <c r="M76" s="179" t="s">
        <v>27</v>
      </c>
      <c r="N76" s="32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</row>
    <row r="77" spans="1:28" ht="13.5" customHeight="1" x14ac:dyDescent="0.2">
      <c r="A77" s="38" t="s">
        <v>122</v>
      </c>
      <c r="B77" s="38" t="s">
        <v>123</v>
      </c>
      <c r="C77" s="39">
        <v>45814</v>
      </c>
      <c r="D77" s="40">
        <v>48</v>
      </c>
      <c r="E77" s="69" t="s">
        <v>141</v>
      </c>
      <c r="F77" s="15">
        <v>0</v>
      </c>
      <c r="G77" s="15">
        <v>2500</v>
      </c>
      <c r="H77" s="33">
        <f t="shared" si="1"/>
        <v>683902.90000000026</v>
      </c>
      <c r="I77" s="15" t="s">
        <v>239</v>
      </c>
      <c r="J77" s="15"/>
      <c r="K77" s="15"/>
      <c r="L77" s="176" t="s">
        <v>3</v>
      </c>
      <c r="M77" s="176" t="s">
        <v>27</v>
      </c>
      <c r="N77" s="15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</row>
    <row r="78" spans="1:28" ht="13.5" customHeight="1" x14ac:dyDescent="0.2">
      <c r="A78" s="13" t="s">
        <v>125</v>
      </c>
      <c r="B78" s="13" t="s">
        <v>126</v>
      </c>
      <c r="C78" s="14">
        <v>45814</v>
      </c>
      <c r="D78" s="36">
        <v>49</v>
      </c>
      <c r="E78" s="113" t="s">
        <v>154</v>
      </c>
      <c r="F78" s="16">
        <v>0</v>
      </c>
      <c r="G78" s="16">
        <v>100</v>
      </c>
      <c r="H78" s="33">
        <f t="shared" si="1"/>
        <v>683802.90000000026</v>
      </c>
      <c r="I78" s="16" t="s">
        <v>103</v>
      </c>
      <c r="J78" s="16"/>
      <c r="K78" s="16"/>
      <c r="L78" s="175" t="s">
        <v>3</v>
      </c>
      <c r="M78" s="175" t="s">
        <v>39</v>
      </c>
      <c r="N78" s="16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</row>
    <row r="79" spans="1:28" ht="13.5" customHeight="1" x14ac:dyDescent="0.2">
      <c r="A79" s="13" t="s">
        <v>125</v>
      </c>
      <c r="B79" s="13" t="s">
        <v>126</v>
      </c>
      <c r="C79" s="14">
        <v>45814</v>
      </c>
      <c r="D79" s="36">
        <v>50</v>
      </c>
      <c r="E79" s="113" t="s">
        <v>155</v>
      </c>
      <c r="F79" s="16">
        <v>0</v>
      </c>
      <c r="G79" s="16">
        <v>80</v>
      </c>
      <c r="H79" s="33">
        <f t="shared" si="1"/>
        <v>683722.90000000026</v>
      </c>
      <c r="I79" s="16" t="s">
        <v>103</v>
      </c>
      <c r="J79" s="16"/>
      <c r="K79" s="16"/>
      <c r="L79" s="175" t="s">
        <v>3</v>
      </c>
      <c r="M79" s="175" t="s">
        <v>39</v>
      </c>
      <c r="N79" s="16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</row>
    <row r="80" spans="1:28" ht="13.5" customHeight="1" x14ac:dyDescent="0.2">
      <c r="A80" s="51" t="s">
        <v>122</v>
      </c>
      <c r="B80" s="52" t="s">
        <v>123</v>
      </c>
      <c r="C80" s="53">
        <v>45818</v>
      </c>
      <c r="D80" s="54">
        <v>111</v>
      </c>
      <c r="E80" s="111" t="s">
        <v>95</v>
      </c>
      <c r="F80" s="55">
        <v>0</v>
      </c>
      <c r="G80" s="55">
        <v>426</v>
      </c>
      <c r="H80" s="224">
        <f t="shared" si="1"/>
        <v>683296.90000000026</v>
      </c>
      <c r="I80" s="55" t="s">
        <v>134</v>
      </c>
      <c r="J80" s="56"/>
      <c r="K80" s="56"/>
      <c r="L80" s="178" t="s">
        <v>3</v>
      </c>
      <c r="M80" s="178" t="s">
        <v>15</v>
      </c>
      <c r="N80" s="5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</row>
    <row r="81" spans="1:28" ht="13.5" customHeight="1" x14ac:dyDescent="0.2">
      <c r="A81" s="42" t="s">
        <v>122</v>
      </c>
      <c r="B81" s="43" t="s">
        <v>123</v>
      </c>
      <c r="C81" s="44">
        <v>45824</v>
      </c>
      <c r="D81" s="45">
        <v>111</v>
      </c>
      <c r="E81" s="110" t="s">
        <v>95</v>
      </c>
      <c r="F81" s="50">
        <v>0</v>
      </c>
      <c r="G81" s="50">
        <v>426</v>
      </c>
      <c r="H81" s="223">
        <f t="shared" si="1"/>
        <v>682870.90000000026</v>
      </c>
      <c r="I81" s="50" t="s">
        <v>134</v>
      </c>
      <c r="J81" s="46"/>
      <c r="K81" s="46"/>
      <c r="L81" s="177" t="s">
        <v>3</v>
      </c>
      <c r="M81" s="177" t="s">
        <v>15</v>
      </c>
      <c r="N81" s="4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</row>
    <row r="82" spans="1:28" ht="13.5" customHeight="1" x14ac:dyDescent="0.2">
      <c r="A82" s="13" t="s">
        <v>121</v>
      </c>
      <c r="B82" s="13" t="s">
        <v>123</v>
      </c>
      <c r="C82" s="14">
        <v>45824</v>
      </c>
      <c r="D82" s="36">
        <v>51</v>
      </c>
      <c r="E82" s="113" t="s">
        <v>158</v>
      </c>
      <c r="F82" s="16">
        <v>0</v>
      </c>
      <c r="G82" s="16">
        <v>265</v>
      </c>
      <c r="H82" s="33">
        <f t="shared" si="1"/>
        <v>682605.90000000026</v>
      </c>
      <c r="I82" s="32" t="s">
        <v>144</v>
      </c>
      <c r="J82" s="16"/>
      <c r="K82" s="16"/>
      <c r="L82" s="179" t="s">
        <v>3</v>
      </c>
      <c r="M82" s="179" t="s">
        <v>63</v>
      </c>
      <c r="N82" s="16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</row>
    <row r="83" spans="1:28" s="11" customFormat="1" ht="13.5" customHeight="1" x14ac:dyDescent="0.2">
      <c r="A83" s="13" t="s">
        <v>121</v>
      </c>
      <c r="B83" s="13" t="s">
        <v>123</v>
      </c>
      <c r="C83" s="14">
        <v>45824</v>
      </c>
      <c r="D83" s="36">
        <v>52</v>
      </c>
      <c r="E83" s="113" t="s">
        <v>159</v>
      </c>
      <c r="F83" s="16">
        <v>0</v>
      </c>
      <c r="G83" s="16">
        <v>320</v>
      </c>
      <c r="H83" s="33">
        <f t="shared" si="1"/>
        <v>682285.90000000026</v>
      </c>
      <c r="I83" s="16" t="s">
        <v>157</v>
      </c>
      <c r="J83" s="16"/>
      <c r="K83" s="16"/>
      <c r="L83" s="175" t="s">
        <v>3</v>
      </c>
      <c r="M83" s="175" t="s">
        <v>67</v>
      </c>
      <c r="N83" s="16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</row>
    <row r="84" spans="1:28" ht="13.5" customHeight="1" x14ac:dyDescent="0.2">
      <c r="A84" s="13" t="s">
        <v>121</v>
      </c>
      <c r="B84" s="13" t="s">
        <v>123</v>
      </c>
      <c r="C84" s="14">
        <v>45824</v>
      </c>
      <c r="D84" s="36">
        <v>53</v>
      </c>
      <c r="E84" s="113" t="s">
        <v>160</v>
      </c>
      <c r="F84" s="16">
        <v>0</v>
      </c>
      <c r="G84" s="16">
        <v>8</v>
      </c>
      <c r="H84" s="33">
        <f t="shared" si="1"/>
        <v>682277.90000000026</v>
      </c>
      <c r="I84" s="16" t="s">
        <v>85</v>
      </c>
      <c r="J84" s="16"/>
      <c r="K84" s="16"/>
      <c r="L84" s="175" t="s">
        <v>7</v>
      </c>
      <c r="M84" s="175" t="s">
        <v>64</v>
      </c>
      <c r="N84" s="16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</row>
    <row r="85" spans="1:28" ht="13.5" customHeight="1" x14ac:dyDescent="0.2">
      <c r="A85" s="13" t="s">
        <v>122</v>
      </c>
      <c r="B85" s="13" t="s">
        <v>123</v>
      </c>
      <c r="C85" s="14">
        <v>45824</v>
      </c>
      <c r="D85" s="36">
        <v>54</v>
      </c>
      <c r="E85" s="113" t="s">
        <v>166</v>
      </c>
      <c r="F85" s="16">
        <v>0</v>
      </c>
      <c r="G85" s="16">
        <v>1550</v>
      </c>
      <c r="H85" s="33">
        <f t="shared" si="1"/>
        <v>680727.90000000026</v>
      </c>
      <c r="I85" s="16" t="s">
        <v>161</v>
      </c>
      <c r="J85" s="16"/>
      <c r="K85" s="16"/>
      <c r="L85" s="175" t="s">
        <v>3</v>
      </c>
      <c r="M85" s="175" t="s">
        <v>39</v>
      </c>
      <c r="N85" s="16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</row>
    <row r="86" spans="1:28" ht="13.5" customHeight="1" x14ac:dyDescent="0.2">
      <c r="A86" s="13" t="s">
        <v>125</v>
      </c>
      <c r="B86" s="13" t="s">
        <v>126</v>
      </c>
      <c r="C86" s="14">
        <v>45824</v>
      </c>
      <c r="D86" s="36">
        <v>55</v>
      </c>
      <c r="E86" s="113" t="s">
        <v>162</v>
      </c>
      <c r="F86" s="16">
        <v>0</v>
      </c>
      <c r="G86" s="16">
        <v>80</v>
      </c>
      <c r="H86" s="33">
        <f t="shared" si="1"/>
        <v>680647.90000000026</v>
      </c>
      <c r="I86" s="16" t="s">
        <v>92</v>
      </c>
      <c r="J86" s="16"/>
      <c r="K86" s="16"/>
      <c r="L86" s="175" t="s">
        <v>3</v>
      </c>
      <c r="M86" s="175" t="s">
        <v>39</v>
      </c>
      <c r="N86" s="16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</row>
    <row r="87" spans="1:28" ht="13.5" customHeight="1" x14ac:dyDescent="0.2">
      <c r="A87" s="13" t="s">
        <v>121</v>
      </c>
      <c r="B87" s="13" t="s">
        <v>123</v>
      </c>
      <c r="C87" s="14">
        <v>45824</v>
      </c>
      <c r="D87" s="36">
        <v>56</v>
      </c>
      <c r="E87" s="113" t="s">
        <v>165</v>
      </c>
      <c r="F87" s="16">
        <v>0</v>
      </c>
      <c r="G87" s="16">
        <v>132</v>
      </c>
      <c r="H87" s="33">
        <f t="shared" si="1"/>
        <v>680515.90000000026</v>
      </c>
      <c r="I87" s="16" t="s">
        <v>163</v>
      </c>
      <c r="J87" s="16"/>
      <c r="K87" s="16"/>
      <c r="L87" s="175" t="s">
        <v>3</v>
      </c>
      <c r="M87" s="175" t="s">
        <v>39</v>
      </c>
      <c r="N87" s="16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</row>
    <row r="88" spans="1:28" ht="13.5" customHeight="1" x14ac:dyDescent="0.2">
      <c r="A88" s="13" t="s">
        <v>121</v>
      </c>
      <c r="B88" s="13" t="s">
        <v>123</v>
      </c>
      <c r="C88" s="14">
        <v>45824</v>
      </c>
      <c r="D88" s="36">
        <v>57</v>
      </c>
      <c r="E88" s="113" t="s">
        <v>167</v>
      </c>
      <c r="F88" s="16">
        <v>0</v>
      </c>
      <c r="G88" s="16">
        <v>100</v>
      </c>
      <c r="H88" s="33">
        <f t="shared" si="1"/>
        <v>680415.90000000026</v>
      </c>
      <c r="I88" s="16" t="s">
        <v>164</v>
      </c>
      <c r="J88" s="16"/>
      <c r="K88" s="16"/>
      <c r="L88" s="175" t="s">
        <v>3</v>
      </c>
      <c r="M88" s="175" t="s">
        <v>39</v>
      </c>
      <c r="N88" s="16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</row>
    <row r="89" spans="1:28" s="11" customFormat="1" ht="13.5" customHeight="1" x14ac:dyDescent="0.2">
      <c r="A89" s="198" t="s">
        <v>125</v>
      </c>
      <c r="B89" s="198" t="s">
        <v>126</v>
      </c>
      <c r="C89" s="201">
        <v>45827</v>
      </c>
      <c r="D89" s="206">
        <v>2</v>
      </c>
      <c r="E89" s="209" t="s">
        <v>235</v>
      </c>
      <c r="F89" s="212">
        <v>25000</v>
      </c>
      <c r="G89" s="212">
        <v>0</v>
      </c>
      <c r="H89" s="33">
        <f t="shared" si="1"/>
        <v>705415.90000000026</v>
      </c>
      <c r="I89" s="212" t="s">
        <v>236</v>
      </c>
      <c r="J89" s="217"/>
      <c r="K89" s="217"/>
      <c r="L89" s="219"/>
      <c r="M89" s="219"/>
      <c r="N89" s="217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</row>
    <row r="90" spans="1:28" ht="13.5" customHeight="1" x14ac:dyDescent="0.2">
      <c r="A90" s="38" t="s">
        <v>122</v>
      </c>
      <c r="B90" s="38" t="s">
        <v>123</v>
      </c>
      <c r="C90" s="39">
        <v>45828</v>
      </c>
      <c r="D90" s="40">
        <v>58</v>
      </c>
      <c r="E90" s="69" t="s">
        <v>141</v>
      </c>
      <c r="F90" s="15">
        <v>0</v>
      </c>
      <c r="G90" s="15">
        <v>5500</v>
      </c>
      <c r="H90" s="33">
        <f t="shared" si="1"/>
        <v>699915.90000000026</v>
      </c>
      <c r="I90" s="15" t="s">
        <v>239</v>
      </c>
      <c r="J90" s="15"/>
      <c r="K90" s="15"/>
      <c r="L90" s="176" t="s">
        <v>3</v>
      </c>
      <c r="M90" s="176" t="s">
        <v>39</v>
      </c>
      <c r="N90" s="16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</row>
    <row r="91" spans="1:28" ht="13.5" customHeight="1" x14ac:dyDescent="0.2">
      <c r="A91" s="13" t="s">
        <v>122</v>
      </c>
      <c r="B91" s="13" t="s">
        <v>123</v>
      </c>
      <c r="C91" s="14">
        <v>45828</v>
      </c>
      <c r="D91" s="36">
        <v>59</v>
      </c>
      <c r="E91" s="113" t="s">
        <v>170</v>
      </c>
      <c r="F91" s="16">
        <v>0</v>
      </c>
      <c r="G91" s="16">
        <v>20</v>
      </c>
      <c r="H91" s="33">
        <f t="shared" si="1"/>
        <v>699895.90000000026</v>
      </c>
      <c r="I91" s="16" t="s">
        <v>168</v>
      </c>
      <c r="J91" s="16"/>
      <c r="K91" s="16"/>
      <c r="L91" s="175" t="s">
        <v>3</v>
      </c>
      <c r="M91" s="175" t="s">
        <v>39</v>
      </c>
      <c r="N91" s="16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</row>
    <row r="92" spans="1:28" ht="13.5" customHeight="1" x14ac:dyDescent="0.2">
      <c r="A92" s="13" t="s">
        <v>121</v>
      </c>
      <c r="B92" s="13" t="s">
        <v>123</v>
      </c>
      <c r="C92" s="14">
        <v>45828</v>
      </c>
      <c r="D92" s="36">
        <v>60</v>
      </c>
      <c r="E92" s="113" t="s">
        <v>171</v>
      </c>
      <c r="F92" s="16">
        <v>0</v>
      </c>
      <c r="G92" s="16">
        <v>6880.5</v>
      </c>
      <c r="H92" s="33">
        <f t="shared" si="1"/>
        <v>693015.40000000026</v>
      </c>
      <c r="I92" s="16" t="s">
        <v>169</v>
      </c>
      <c r="J92" s="16"/>
      <c r="K92" s="16"/>
      <c r="L92" s="175" t="s">
        <v>3</v>
      </c>
      <c r="M92" s="175" t="s">
        <v>98</v>
      </c>
      <c r="N92" s="16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</row>
    <row r="93" spans="1:28" ht="13.5" customHeight="1" x14ac:dyDescent="0.2">
      <c r="A93" s="13" t="s">
        <v>121</v>
      </c>
      <c r="B93" s="13" t="s">
        <v>123</v>
      </c>
      <c r="C93" s="14">
        <v>45829</v>
      </c>
      <c r="D93" s="36">
        <v>61</v>
      </c>
      <c r="E93" s="113" t="s">
        <v>173</v>
      </c>
      <c r="F93" s="16">
        <v>0</v>
      </c>
      <c r="G93" s="16">
        <v>1367</v>
      </c>
      <c r="H93" s="33">
        <f t="shared" si="1"/>
        <v>691648.40000000026</v>
      </c>
      <c r="I93" s="16" t="s">
        <v>172</v>
      </c>
      <c r="J93" s="16"/>
      <c r="K93" s="16"/>
      <c r="L93" s="175" t="s">
        <v>7</v>
      </c>
      <c r="M93" s="175" t="s">
        <v>64</v>
      </c>
      <c r="N93" s="16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</row>
    <row r="94" spans="1:28" s="11" customFormat="1" ht="13.5" customHeight="1" x14ac:dyDescent="0.2">
      <c r="A94" s="13" t="s">
        <v>125</v>
      </c>
      <c r="B94" s="13" t="s">
        <v>126</v>
      </c>
      <c r="C94" s="14">
        <v>45829</v>
      </c>
      <c r="D94" s="36">
        <v>62</v>
      </c>
      <c r="E94" s="113" t="s">
        <v>154</v>
      </c>
      <c r="F94" s="16">
        <v>0</v>
      </c>
      <c r="G94" s="16">
        <v>70</v>
      </c>
      <c r="H94" s="33">
        <f t="shared" si="1"/>
        <v>691578.40000000026</v>
      </c>
      <c r="I94" s="16" t="s">
        <v>103</v>
      </c>
      <c r="J94" s="16"/>
      <c r="K94" s="16"/>
      <c r="L94" s="175" t="s">
        <v>3</v>
      </c>
      <c r="M94" s="175" t="s">
        <v>39</v>
      </c>
      <c r="N94" s="16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</row>
    <row r="95" spans="1:28" ht="13.5" customHeight="1" x14ac:dyDescent="0.2">
      <c r="A95" s="38" t="s">
        <v>122</v>
      </c>
      <c r="B95" s="38" t="s">
        <v>123</v>
      </c>
      <c r="C95" s="39">
        <v>45829</v>
      </c>
      <c r="D95" s="40">
        <v>63</v>
      </c>
      <c r="E95" s="69" t="s">
        <v>114</v>
      </c>
      <c r="F95" s="15">
        <v>0</v>
      </c>
      <c r="G95" s="15">
        <v>15000</v>
      </c>
      <c r="H95" s="33">
        <f t="shared" si="1"/>
        <v>676578.40000000026</v>
      </c>
      <c r="I95" s="15" t="s">
        <v>135</v>
      </c>
      <c r="J95" s="15"/>
      <c r="K95" s="15"/>
      <c r="L95" s="176" t="s">
        <v>5</v>
      </c>
      <c r="M95" s="176" t="s">
        <v>52</v>
      </c>
      <c r="N95" s="15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</row>
    <row r="96" spans="1:28" ht="13.5" customHeight="1" x14ac:dyDescent="0.2">
      <c r="A96" s="13" t="s">
        <v>122</v>
      </c>
      <c r="B96" s="13" t="s">
        <v>123</v>
      </c>
      <c r="C96" s="14">
        <v>45829</v>
      </c>
      <c r="D96" s="36">
        <v>64</v>
      </c>
      <c r="E96" s="113" t="s">
        <v>174</v>
      </c>
      <c r="F96" s="16">
        <v>0</v>
      </c>
      <c r="G96" s="16">
        <v>1870</v>
      </c>
      <c r="H96" s="33">
        <f t="shared" si="1"/>
        <v>674708.40000000026</v>
      </c>
      <c r="I96" s="16" t="s">
        <v>87</v>
      </c>
      <c r="J96" s="16"/>
      <c r="K96" s="16"/>
      <c r="L96" s="175" t="s">
        <v>5</v>
      </c>
      <c r="M96" s="175" t="s">
        <v>17</v>
      </c>
      <c r="N96" s="16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</row>
    <row r="97" spans="1:28" ht="13.5" customHeight="1" x14ac:dyDescent="0.2">
      <c r="A97" s="198" t="s">
        <v>125</v>
      </c>
      <c r="B97" s="198" t="s">
        <v>126</v>
      </c>
      <c r="C97" s="201">
        <v>45834</v>
      </c>
      <c r="D97" s="206">
        <v>3</v>
      </c>
      <c r="E97" s="209" t="s">
        <v>235</v>
      </c>
      <c r="F97" s="212">
        <v>11000</v>
      </c>
      <c r="G97" s="212">
        <v>0</v>
      </c>
      <c r="H97" s="33">
        <f t="shared" si="1"/>
        <v>685708.40000000026</v>
      </c>
      <c r="I97" s="212" t="s">
        <v>236</v>
      </c>
      <c r="J97" s="217"/>
      <c r="K97" s="217"/>
      <c r="L97" s="219"/>
      <c r="M97" s="219"/>
      <c r="N97" s="21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</row>
    <row r="98" spans="1:28" ht="13.5" customHeight="1" x14ac:dyDescent="0.2">
      <c r="A98" s="13" t="s">
        <v>125</v>
      </c>
      <c r="B98" s="13" t="s">
        <v>126</v>
      </c>
      <c r="C98" s="14">
        <v>45834</v>
      </c>
      <c r="D98" s="26">
        <v>65</v>
      </c>
      <c r="E98" s="108" t="s">
        <v>175</v>
      </c>
      <c r="F98" s="16">
        <v>0</v>
      </c>
      <c r="G98" s="16">
        <v>5044</v>
      </c>
      <c r="H98" s="33">
        <f t="shared" si="1"/>
        <v>680664.40000000026</v>
      </c>
      <c r="I98" s="16" t="s">
        <v>237</v>
      </c>
      <c r="J98" s="16"/>
      <c r="K98" s="16"/>
      <c r="L98" s="179" t="s">
        <v>3</v>
      </c>
      <c r="M98" s="179" t="s">
        <v>27</v>
      </c>
      <c r="N98" s="16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</row>
    <row r="99" spans="1:28" ht="13.5" customHeight="1" x14ac:dyDescent="0.2">
      <c r="A99" s="38" t="s">
        <v>122</v>
      </c>
      <c r="B99" s="38" t="s">
        <v>123</v>
      </c>
      <c r="C99" s="39">
        <v>45834</v>
      </c>
      <c r="D99" s="40">
        <v>66</v>
      </c>
      <c r="E99" s="69" t="s">
        <v>141</v>
      </c>
      <c r="F99" s="15">
        <v>0</v>
      </c>
      <c r="G99" s="15">
        <v>3000</v>
      </c>
      <c r="H99" s="33">
        <f t="shared" si="1"/>
        <v>677664.40000000026</v>
      </c>
      <c r="I99" s="15" t="s">
        <v>239</v>
      </c>
      <c r="J99" s="15"/>
      <c r="K99" s="15"/>
      <c r="L99" s="176" t="s">
        <v>3</v>
      </c>
      <c r="M99" s="176" t="s">
        <v>39</v>
      </c>
      <c r="N99" s="15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</row>
    <row r="100" spans="1:28" ht="13.5" customHeight="1" x14ac:dyDescent="0.2">
      <c r="A100" s="13" t="s">
        <v>121</v>
      </c>
      <c r="B100" s="13" t="s">
        <v>123</v>
      </c>
      <c r="C100" s="14">
        <v>45834</v>
      </c>
      <c r="D100" s="26">
        <v>67</v>
      </c>
      <c r="E100" s="108" t="s">
        <v>176</v>
      </c>
      <c r="F100" s="16">
        <v>0</v>
      </c>
      <c r="G100" s="16">
        <v>68</v>
      </c>
      <c r="H100" s="33">
        <f t="shared" si="1"/>
        <v>677596.40000000026</v>
      </c>
      <c r="I100" s="16" t="s">
        <v>85</v>
      </c>
      <c r="J100" s="16"/>
      <c r="K100" s="16"/>
      <c r="L100" s="179" t="s">
        <v>7</v>
      </c>
      <c r="M100" s="179" t="s">
        <v>64</v>
      </c>
      <c r="N100" s="16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</row>
    <row r="101" spans="1:28" ht="13.5" customHeight="1" x14ac:dyDescent="0.2">
      <c r="A101" s="13" t="s">
        <v>122</v>
      </c>
      <c r="B101" s="13" t="s">
        <v>123</v>
      </c>
      <c r="C101" s="14">
        <v>45843</v>
      </c>
      <c r="D101" s="26">
        <v>68</v>
      </c>
      <c r="E101" s="108" t="s">
        <v>177</v>
      </c>
      <c r="F101" s="16">
        <v>0</v>
      </c>
      <c r="G101" s="16">
        <v>300</v>
      </c>
      <c r="H101" s="33">
        <f t="shared" si="1"/>
        <v>677296.40000000026</v>
      </c>
      <c r="I101" s="16" t="s">
        <v>135</v>
      </c>
      <c r="J101" s="16"/>
      <c r="K101" s="16"/>
      <c r="L101" s="179" t="s">
        <v>4</v>
      </c>
      <c r="M101" s="179" t="s">
        <v>40</v>
      </c>
      <c r="N101" s="16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</row>
    <row r="102" spans="1:28" ht="13.5" customHeight="1" x14ac:dyDescent="0.2">
      <c r="A102" s="13" t="s">
        <v>121</v>
      </c>
      <c r="B102" s="13" t="s">
        <v>123</v>
      </c>
      <c r="C102" s="14">
        <v>45843</v>
      </c>
      <c r="D102" s="26">
        <v>69</v>
      </c>
      <c r="E102" s="108" t="s">
        <v>178</v>
      </c>
      <c r="F102" s="16">
        <v>0</v>
      </c>
      <c r="G102" s="16">
        <v>770</v>
      </c>
      <c r="H102" s="33">
        <f t="shared" si="1"/>
        <v>676526.40000000026</v>
      </c>
      <c r="I102" s="16" t="s">
        <v>85</v>
      </c>
      <c r="J102" s="16"/>
      <c r="K102" s="16"/>
      <c r="L102" s="179" t="s">
        <v>7</v>
      </c>
      <c r="M102" s="179" t="s">
        <v>53</v>
      </c>
      <c r="N102" s="16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</row>
    <row r="103" spans="1:28" ht="13.5" customHeight="1" x14ac:dyDescent="0.2">
      <c r="A103" s="198" t="s">
        <v>125</v>
      </c>
      <c r="B103" s="198" t="s">
        <v>126</v>
      </c>
      <c r="C103" s="201">
        <v>45847</v>
      </c>
      <c r="D103" s="206">
        <v>4</v>
      </c>
      <c r="E103" s="209" t="s">
        <v>235</v>
      </c>
      <c r="F103" s="212">
        <v>15000</v>
      </c>
      <c r="G103" s="212">
        <v>0</v>
      </c>
      <c r="H103" s="33">
        <f t="shared" si="1"/>
        <v>691526.40000000026</v>
      </c>
      <c r="I103" s="212" t="s">
        <v>236</v>
      </c>
      <c r="J103" s="217"/>
      <c r="K103" s="217"/>
      <c r="L103" s="219"/>
      <c r="M103" s="219"/>
      <c r="N103" s="21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</row>
    <row r="104" spans="1:28" ht="13.5" customHeight="1" x14ac:dyDescent="0.2">
      <c r="A104" s="38" t="s">
        <v>122</v>
      </c>
      <c r="B104" s="38" t="s">
        <v>123</v>
      </c>
      <c r="C104" s="39">
        <v>45848</v>
      </c>
      <c r="D104" s="40">
        <v>70</v>
      </c>
      <c r="E104" s="69" t="s">
        <v>141</v>
      </c>
      <c r="F104" s="15">
        <v>0</v>
      </c>
      <c r="G104" s="15">
        <v>5400</v>
      </c>
      <c r="H104" s="33">
        <f t="shared" si="1"/>
        <v>686126.40000000026</v>
      </c>
      <c r="I104" s="15" t="s">
        <v>239</v>
      </c>
      <c r="J104" s="15"/>
      <c r="K104" s="15"/>
      <c r="L104" s="176" t="s">
        <v>3</v>
      </c>
      <c r="M104" s="176" t="s">
        <v>39</v>
      </c>
      <c r="N104" s="15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</row>
    <row r="105" spans="1:28" ht="13.5" customHeight="1" x14ac:dyDescent="0.2">
      <c r="A105" s="13" t="s">
        <v>122</v>
      </c>
      <c r="B105" s="13" t="s">
        <v>123</v>
      </c>
      <c r="C105" s="14">
        <v>45848</v>
      </c>
      <c r="D105" s="26">
        <v>71</v>
      </c>
      <c r="E105" s="108" t="s">
        <v>179</v>
      </c>
      <c r="F105" s="16">
        <v>0</v>
      </c>
      <c r="G105" s="16">
        <v>1100</v>
      </c>
      <c r="H105" s="33">
        <f t="shared" si="1"/>
        <v>685026.40000000026</v>
      </c>
      <c r="I105" s="16" t="s">
        <v>135</v>
      </c>
      <c r="J105" s="16"/>
      <c r="K105" s="16"/>
      <c r="L105" s="179" t="s">
        <v>3</v>
      </c>
      <c r="M105" s="179" t="s">
        <v>39</v>
      </c>
      <c r="N105" s="16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</row>
    <row r="106" spans="1:28" ht="13.5" customHeight="1" x14ac:dyDescent="0.2">
      <c r="A106" s="13" t="s">
        <v>121</v>
      </c>
      <c r="B106" s="13" t="s">
        <v>123</v>
      </c>
      <c r="C106" s="14">
        <v>45848</v>
      </c>
      <c r="D106" s="26">
        <v>72</v>
      </c>
      <c r="E106" s="108" t="s">
        <v>180</v>
      </c>
      <c r="F106" s="16">
        <v>0</v>
      </c>
      <c r="G106" s="16">
        <v>125</v>
      </c>
      <c r="H106" s="33">
        <f t="shared" si="1"/>
        <v>684901.40000000026</v>
      </c>
      <c r="I106" s="16" t="s">
        <v>163</v>
      </c>
      <c r="J106" s="16"/>
      <c r="K106" s="16"/>
      <c r="L106" s="179" t="s">
        <v>7</v>
      </c>
      <c r="M106" s="179" t="s">
        <v>64</v>
      </c>
      <c r="N106" s="16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</row>
    <row r="107" spans="1:28" ht="13.5" customHeight="1" x14ac:dyDescent="0.2">
      <c r="A107" s="13" t="s">
        <v>122</v>
      </c>
      <c r="B107" s="13" t="s">
        <v>123</v>
      </c>
      <c r="C107" s="14">
        <v>45848</v>
      </c>
      <c r="D107" s="26">
        <v>73</v>
      </c>
      <c r="E107" s="108" t="s">
        <v>181</v>
      </c>
      <c r="F107" s="16">
        <v>0</v>
      </c>
      <c r="G107" s="16">
        <v>351</v>
      </c>
      <c r="H107" s="33">
        <f t="shared" si="1"/>
        <v>684550.40000000026</v>
      </c>
      <c r="I107" s="16" t="s">
        <v>182</v>
      </c>
      <c r="J107" s="16"/>
      <c r="K107" s="16"/>
      <c r="L107" s="179" t="s">
        <v>3</v>
      </c>
      <c r="M107" s="179" t="s">
        <v>39</v>
      </c>
      <c r="N107" s="16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</row>
    <row r="108" spans="1:28" ht="13.5" customHeight="1" x14ac:dyDescent="0.2">
      <c r="A108" s="13" t="s">
        <v>122</v>
      </c>
      <c r="B108" s="13" t="s">
        <v>123</v>
      </c>
      <c r="C108" s="14">
        <v>45848</v>
      </c>
      <c r="D108" s="26">
        <v>74</v>
      </c>
      <c r="E108" s="108" t="s">
        <v>183</v>
      </c>
      <c r="F108" s="16">
        <v>0</v>
      </c>
      <c r="G108" s="16">
        <v>68</v>
      </c>
      <c r="H108" s="33">
        <f t="shared" si="1"/>
        <v>684482.40000000026</v>
      </c>
      <c r="I108" s="16" t="s">
        <v>182</v>
      </c>
      <c r="J108" s="16"/>
      <c r="K108" s="16"/>
      <c r="L108" s="179" t="s">
        <v>3</v>
      </c>
      <c r="M108" s="179" t="s">
        <v>39</v>
      </c>
      <c r="N108" s="16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</row>
    <row r="109" spans="1:28" ht="13.5" customHeight="1" x14ac:dyDescent="0.2">
      <c r="A109" s="13" t="s">
        <v>125</v>
      </c>
      <c r="B109" s="13" t="s">
        <v>126</v>
      </c>
      <c r="C109" s="14">
        <v>45848</v>
      </c>
      <c r="D109" s="26">
        <v>75</v>
      </c>
      <c r="E109" s="108" t="s">
        <v>184</v>
      </c>
      <c r="F109" s="16">
        <v>0</v>
      </c>
      <c r="G109" s="16">
        <v>3320</v>
      </c>
      <c r="H109" s="33">
        <f t="shared" si="1"/>
        <v>681162.40000000026</v>
      </c>
      <c r="I109" s="16" t="s">
        <v>185</v>
      </c>
      <c r="J109" s="16"/>
      <c r="K109" s="16"/>
      <c r="L109" s="175" t="s">
        <v>3</v>
      </c>
      <c r="M109" s="175" t="s">
        <v>39</v>
      </c>
      <c r="N109" s="16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</row>
    <row r="110" spans="1:28" ht="13.5" customHeight="1" x14ac:dyDescent="0.2">
      <c r="A110" s="198" t="s">
        <v>125</v>
      </c>
      <c r="B110" s="198" t="s">
        <v>126</v>
      </c>
      <c r="C110" s="201">
        <v>45849</v>
      </c>
      <c r="D110" s="206">
        <v>5</v>
      </c>
      <c r="E110" s="209" t="s">
        <v>235</v>
      </c>
      <c r="F110" s="212">
        <v>6000</v>
      </c>
      <c r="G110" s="212">
        <v>0</v>
      </c>
      <c r="H110" s="33">
        <f t="shared" si="1"/>
        <v>687162.40000000026</v>
      </c>
      <c r="I110" s="212" t="s">
        <v>236</v>
      </c>
      <c r="J110" s="217"/>
      <c r="K110" s="217"/>
      <c r="L110" s="219"/>
      <c r="M110" s="219"/>
      <c r="N110" s="21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</row>
    <row r="111" spans="1:28" ht="13.5" customHeight="1" x14ac:dyDescent="0.2">
      <c r="A111" s="74" t="s">
        <v>122</v>
      </c>
      <c r="B111" s="200" t="s">
        <v>123</v>
      </c>
      <c r="C111" s="75">
        <v>45850</v>
      </c>
      <c r="D111" s="76">
        <v>111</v>
      </c>
      <c r="E111" s="211" t="s">
        <v>95</v>
      </c>
      <c r="F111" s="77">
        <v>0</v>
      </c>
      <c r="G111" s="77">
        <v>443.2</v>
      </c>
      <c r="H111" s="225">
        <f t="shared" si="1"/>
        <v>686719.2000000003</v>
      </c>
      <c r="I111" s="77" t="s">
        <v>134</v>
      </c>
      <c r="J111" s="78"/>
      <c r="K111" s="78"/>
      <c r="L111" s="226" t="s">
        <v>3</v>
      </c>
      <c r="M111" s="226" t="s">
        <v>15</v>
      </c>
      <c r="N111" s="79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</row>
    <row r="112" spans="1:28" ht="13.5" customHeight="1" x14ac:dyDescent="0.2">
      <c r="A112" s="13" t="s">
        <v>121</v>
      </c>
      <c r="B112" s="13" t="s">
        <v>123</v>
      </c>
      <c r="C112" s="14">
        <v>45850</v>
      </c>
      <c r="D112" s="26">
        <v>76</v>
      </c>
      <c r="E112" s="108" t="s">
        <v>186</v>
      </c>
      <c r="F112" s="16">
        <v>0</v>
      </c>
      <c r="G112" s="16">
        <v>1750</v>
      </c>
      <c r="H112" s="33">
        <f t="shared" si="1"/>
        <v>684969.2000000003</v>
      </c>
      <c r="I112" s="16" t="s">
        <v>135</v>
      </c>
      <c r="J112" s="16"/>
      <c r="K112" s="16"/>
      <c r="L112" s="175" t="s">
        <v>3</v>
      </c>
      <c r="M112" s="175" t="s">
        <v>39</v>
      </c>
      <c r="N112" s="16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</row>
    <row r="113" spans="1:28" ht="13.5" customHeight="1" x14ac:dyDescent="0.2">
      <c r="A113" s="13" t="s">
        <v>122</v>
      </c>
      <c r="B113" s="13" t="s">
        <v>123</v>
      </c>
      <c r="C113" s="14">
        <v>45850</v>
      </c>
      <c r="D113" s="26">
        <v>77</v>
      </c>
      <c r="E113" s="108" t="s">
        <v>187</v>
      </c>
      <c r="F113" s="16">
        <v>0</v>
      </c>
      <c r="G113" s="16">
        <v>270</v>
      </c>
      <c r="H113" s="33">
        <f t="shared" si="1"/>
        <v>684699.2000000003</v>
      </c>
      <c r="I113" s="16" t="s">
        <v>85</v>
      </c>
      <c r="J113" s="16"/>
      <c r="K113" s="16"/>
      <c r="L113" s="175" t="s">
        <v>3</v>
      </c>
      <c r="M113" s="175" t="s">
        <v>39</v>
      </c>
      <c r="N113" s="16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</row>
    <row r="114" spans="1:28" ht="13.5" customHeight="1" x14ac:dyDescent="0.2">
      <c r="A114" s="13" t="s">
        <v>125</v>
      </c>
      <c r="B114" s="13" t="s">
        <v>126</v>
      </c>
      <c r="C114" s="14">
        <v>45850</v>
      </c>
      <c r="D114" s="26">
        <v>78</v>
      </c>
      <c r="E114" s="108" t="s">
        <v>188</v>
      </c>
      <c r="F114" s="16">
        <v>0</v>
      </c>
      <c r="G114" s="16">
        <v>5704</v>
      </c>
      <c r="H114" s="33">
        <f t="shared" si="1"/>
        <v>678995.2000000003</v>
      </c>
      <c r="I114" s="16" t="s">
        <v>237</v>
      </c>
      <c r="J114" s="16"/>
      <c r="K114" s="16"/>
      <c r="L114" s="179" t="s">
        <v>3</v>
      </c>
      <c r="M114" s="179" t="s">
        <v>27</v>
      </c>
      <c r="N114" s="16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</row>
    <row r="115" spans="1:28" ht="13.5" customHeight="1" x14ac:dyDescent="0.2">
      <c r="A115" s="13" t="s">
        <v>125</v>
      </c>
      <c r="B115" s="13" t="s">
        <v>126</v>
      </c>
      <c r="C115" s="14">
        <v>45850</v>
      </c>
      <c r="D115" s="26">
        <v>79</v>
      </c>
      <c r="E115" s="108" t="s">
        <v>189</v>
      </c>
      <c r="F115" s="16">
        <v>0</v>
      </c>
      <c r="G115" s="16">
        <v>900</v>
      </c>
      <c r="H115" s="33">
        <f t="shared" si="1"/>
        <v>678095.2000000003</v>
      </c>
      <c r="I115" s="16" t="s">
        <v>135</v>
      </c>
      <c r="J115" s="16"/>
      <c r="K115" s="16"/>
      <c r="L115" s="175" t="s">
        <v>3</v>
      </c>
      <c r="M115" s="175" t="s">
        <v>39</v>
      </c>
      <c r="N115" s="16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</row>
    <row r="116" spans="1:28" ht="13.5" customHeight="1" x14ac:dyDescent="0.2">
      <c r="A116" s="13" t="s">
        <v>121</v>
      </c>
      <c r="B116" s="13" t="s">
        <v>123</v>
      </c>
      <c r="C116" s="14">
        <v>45850</v>
      </c>
      <c r="D116" s="26">
        <v>80</v>
      </c>
      <c r="E116" s="108" t="s">
        <v>192</v>
      </c>
      <c r="F116" s="16">
        <v>0</v>
      </c>
      <c r="G116" s="16">
        <v>130</v>
      </c>
      <c r="H116" s="33">
        <f t="shared" si="1"/>
        <v>677965.2000000003</v>
      </c>
      <c r="I116" s="16" t="s">
        <v>85</v>
      </c>
      <c r="J116" s="16"/>
      <c r="K116" s="16"/>
      <c r="L116" s="179" t="s">
        <v>7</v>
      </c>
      <c r="M116" s="179" t="s">
        <v>64</v>
      </c>
      <c r="N116" s="16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</row>
    <row r="117" spans="1:28" ht="13.5" customHeight="1" x14ac:dyDescent="0.2">
      <c r="A117" s="13" t="s">
        <v>121</v>
      </c>
      <c r="B117" s="13" t="s">
        <v>123</v>
      </c>
      <c r="C117" s="14">
        <v>45850</v>
      </c>
      <c r="D117" s="26">
        <v>81</v>
      </c>
      <c r="E117" s="108" t="s">
        <v>191</v>
      </c>
      <c r="F117" s="16">
        <v>0</v>
      </c>
      <c r="G117" s="16">
        <v>100</v>
      </c>
      <c r="H117" s="33">
        <f t="shared" si="1"/>
        <v>677865.2000000003</v>
      </c>
      <c r="I117" s="16" t="s">
        <v>190</v>
      </c>
      <c r="J117" s="16"/>
      <c r="K117" s="16"/>
      <c r="L117" s="175" t="s">
        <v>3</v>
      </c>
      <c r="M117" s="175" t="s">
        <v>39</v>
      </c>
      <c r="N117" s="16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</row>
    <row r="118" spans="1:28" ht="13.5" customHeight="1" x14ac:dyDescent="0.2">
      <c r="A118" s="13" t="s">
        <v>121</v>
      </c>
      <c r="B118" s="13" t="s">
        <v>123</v>
      </c>
      <c r="C118" s="14">
        <v>45850</v>
      </c>
      <c r="D118" s="26">
        <v>82</v>
      </c>
      <c r="E118" s="108" t="s">
        <v>193</v>
      </c>
      <c r="F118" s="16">
        <v>0</v>
      </c>
      <c r="G118" s="16">
        <v>580</v>
      </c>
      <c r="H118" s="33">
        <f t="shared" si="1"/>
        <v>677285.2000000003</v>
      </c>
      <c r="I118" s="16" t="s">
        <v>85</v>
      </c>
      <c r="J118" s="16"/>
      <c r="K118" s="16"/>
      <c r="L118" s="179" t="s">
        <v>7</v>
      </c>
      <c r="M118" s="179" t="s">
        <v>64</v>
      </c>
      <c r="N118" s="16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</row>
    <row r="119" spans="1:28" ht="13.5" customHeight="1" x14ac:dyDescent="0.2">
      <c r="A119" s="13" t="s">
        <v>121</v>
      </c>
      <c r="B119" s="13" t="s">
        <v>123</v>
      </c>
      <c r="C119" s="14">
        <v>45850</v>
      </c>
      <c r="D119" s="26">
        <v>83</v>
      </c>
      <c r="E119" s="108" t="s">
        <v>252</v>
      </c>
      <c r="F119" s="16">
        <v>0</v>
      </c>
      <c r="G119" s="16">
        <v>500</v>
      </c>
      <c r="H119" s="33">
        <f t="shared" si="1"/>
        <v>676785.2000000003</v>
      </c>
      <c r="I119" s="16" t="s">
        <v>190</v>
      </c>
      <c r="J119" s="16"/>
      <c r="K119" s="16"/>
      <c r="L119" s="179" t="s">
        <v>7</v>
      </c>
      <c r="M119" s="179" t="s">
        <v>64</v>
      </c>
      <c r="N119" s="16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</row>
    <row r="120" spans="1:28" ht="13.5" customHeight="1" x14ac:dyDescent="0.2">
      <c r="A120" s="51" t="s">
        <v>122</v>
      </c>
      <c r="B120" s="52" t="s">
        <v>123</v>
      </c>
      <c r="C120" s="53">
        <v>45852</v>
      </c>
      <c r="D120" s="54">
        <v>111</v>
      </c>
      <c r="E120" s="111" t="s">
        <v>95</v>
      </c>
      <c r="F120" s="55">
        <v>0</v>
      </c>
      <c r="G120" s="55">
        <v>443.2</v>
      </c>
      <c r="H120" s="224">
        <f t="shared" si="1"/>
        <v>676342.00000000035</v>
      </c>
      <c r="I120" s="55" t="s">
        <v>134</v>
      </c>
      <c r="J120" s="56"/>
      <c r="K120" s="56"/>
      <c r="L120" s="178" t="s">
        <v>3</v>
      </c>
      <c r="M120" s="178" t="s">
        <v>15</v>
      </c>
      <c r="N120" s="5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</row>
    <row r="121" spans="1:28" ht="13.5" customHeight="1" x14ac:dyDescent="0.2">
      <c r="A121" s="42" t="s">
        <v>122</v>
      </c>
      <c r="B121" s="43" t="s">
        <v>123</v>
      </c>
      <c r="C121" s="44">
        <v>45854</v>
      </c>
      <c r="D121" s="45">
        <v>111</v>
      </c>
      <c r="E121" s="110" t="s">
        <v>95</v>
      </c>
      <c r="F121" s="50">
        <v>0</v>
      </c>
      <c r="G121" s="50">
        <v>451.2</v>
      </c>
      <c r="H121" s="223">
        <f t="shared" si="1"/>
        <v>675890.8000000004</v>
      </c>
      <c r="I121" s="50" t="s">
        <v>134</v>
      </c>
      <c r="J121" s="46"/>
      <c r="K121" s="46"/>
      <c r="L121" s="177" t="s">
        <v>3</v>
      </c>
      <c r="M121" s="177" t="s">
        <v>15</v>
      </c>
      <c r="N121" s="4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</row>
    <row r="122" spans="1:28" ht="13.5" customHeight="1" x14ac:dyDescent="0.2">
      <c r="A122" s="13" t="s">
        <v>121</v>
      </c>
      <c r="B122" s="13" t="s">
        <v>123</v>
      </c>
      <c r="C122" s="14">
        <v>45854</v>
      </c>
      <c r="D122" s="26">
        <v>84</v>
      </c>
      <c r="E122" s="108" t="s">
        <v>194</v>
      </c>
      <c r="F122" s="16">
        <v>0</v>
      </c>
      <c r="G122" s="16">
        <v>150</v>
      </c>
      <c r="H122" s="33">
        <f t="shared" si="1"/>
        <v>675740.8000000004</v>
      </c>
      <c r="I122" s="16" t="s">
        <v>202</v>
      </c>
      <c r="J122" s="16"/>
      <c r="K122" s="16"/>
      <c r="L122" s="179" t="s">
        <v>7</v>
      </c>
      <c r="M122" s="179" t="s">
        <v>64</v>
      </c>
      <c r="N122" s="16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</row>
    <row r="123" spans="1:28" ht="13.5" customHeight="1" x14ac:dyDescent="0.2">
      <c r="A123" s="13" t="s">
        <v>125</v>
      </c>
      <c r="B123" s="13" t="s">
        <v>126</v>
      </c>
      <c r="C123" s="14">
        <v>45855</v>
      </c>
      <c r="D123" s="26">
        <v>85</v>
      </c>
      <c r="E123" s="108" t="s">
        <v>200</v>
      </c>
      <c r="F123" s="16">
        <v>0</v>
      </c>
      <c r="G123" s="16">
        <v>475</v>
      </c>
      <c r="H123" s="33">
        <f t="shared" si="1"/>
        <v>675265.8000000004</v>
      </c>
      <c r="I123" s="16" t="s">
        <v>203</v>
      </c>
      <c r="J123" s="16"/>
      <c r="K123" s="16"/>
      <c r="L123" s="175" t="s">
        <v>3</v>
      </c>
      <c r="M123" s="175" t="s">
        <v>39</v>
      </c>
      <c r="N123" s="16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</row>
    <row r="124" spans="1:28" ht="13.5" customHeight="1" x14ac:dyDescent="0.2">
      <c r="A124" s="13" t="s">
        <v>121</v>
      </c>
      <c r="B124" s="13" t="s">
        <v>123</v>
      </c>
      <c r="C124" s="14">
        <v>45855</v>
      </c>
      <c r="D124" s="26">
        <v>86</v>
      </c>
      <c r="E124" s="108" t="s">
        <v>204</v>
      </c>
      <c r="F124" s="16">
        <v>0</v>
      </c>
      <c r="G124" s="16">
        <v>120</v>
      </c>
      <c r="H124" s="33">
        <f t="shared" si="1"/>
        <v>675145.8000000004</v>
      </c>
      <c r="I124" s="16" t="s">
        <v>85</v>
      </c>
      <c r="J124" s="16"/>
      <c r="K124" s="16"/>
      <c r="L124" s="179" t="s">
        <v>7</v>
      </c>
      <c r="M124" s="179" t="s">
        <v>64</v>
      </c>
      <c r="N124" s="16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</row>
    <row r="125" spans="1:28" ht="13.5" customHeight="1" thickBot="1" x14ac:dyDescent="0.25">
      <c r="A125" s="51" t="s">
        <v>122</v>
      </c>
      <c r="B125" s="52" t="s">
        <v>123</v>
      </c>
      <c r="C125" s="75">
        <v>45856</v>
      </c>
      <c r="D125" s="76">
        <v>111</v>
      </c>
      <c r="E125" s="211" t="s">
        <v>95</v>
      </c>
      <c r="F125" s="55">
        <v>0</v>
      </c>
      <c r="G125" s="77">
        <v>451.2</v>
      </c>
      <c r="H125" s="224">
        <f t="shared" si="1"/>
        <v>674694.60000000044</v>
      </c>
      <c r="I125" s="55" t="s">
        <v>134</v>
      </c>
      <c r="J125" s="78"/>
      <c r="K125" s="78"/>
      <c r="L125" s="226" t="s">
        <v>3</v>
      </c>
      <c r="M125" s="226" t="s">
        <v>15</v>
      </c>
      <c r="N125" s="79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</row>
    <row r="126" spans="1:28" s="11" customFormat="1" ht="13.5" customHeight="1" x14ac:dyDescent="0.2">
      <c r="A126" s="197" t="s">
        <v>122</v>
      </c>
      <c r="B126" s="199" t="s">
        <v>123</v>
      </c>
      <c r="C126" s="202">
        <v>45857</v>
      </c>
      <c r="D126" s="208">
        <v>111</v>
      </c>
      <c r="E126" s="210" t="s">
        <v>95</v>
      </c>
      <c r="F126" s="213">
        <v>0</v>
      </c>
      <c r="G126" s="213">
        <v>451.2</v>
      </c>
      <c r="H126" s="223">
        <f t="shared" si="1"/>
        <v>674243.40000000049</v>
      </c>
      <c r="I126" s="213" t="s">
        <v>134</v>
      </c>
      <c r="J126" s="214"/>
      <c r="K126" s="214"/>
      <c r="L126" s="220" t="s">
        <v>3</v>
      </c>
      <c r="M126" s="220" t="s">
        <v>15</v>
      </c>
      <c r="N126" s="221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</row>
    <row r="127" spans="1:28" ht="13.5" customHeight="1" x14ac:dyDescent="0.2">
      <c r="A127" s="13" t="s">
        <v>122</v>
      </c>
      <c r="B127" s="13" t="s">
        <v>123</v>
      </c>
      <c r="C127" s="14">
        <v>45857</v>
      </c>
      <c r="D127" s="26">
        <v>87</v>
      </c>
      <c r="E127" s="108" t="s">
        <v>205</v>
      </c>
      <c r="F127" s="16">
        <v>0</v>
      </c>
      <c r="G127" s="16">
        <v>180</v>
      </c>
      <c r="H127" s="33">
        <f t="shared" si="1"/>
        <v>674063.40000000049</v>
      </c>
      <c r="I127" s="16" t="s">
        <v>85</v>
      </c>
      <c r="J127" s="16"/>
      <c r="K127" s="16"/>
      <c r="L127" s="175" t="s">
        <v>3</v>
      </c>
      <c r="M127" s="175" t="s">
        <v>39</v>
      </c>
      <c r="N127" s="16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</row>
    <row r="128" spans="1:28" ht="13.5" customHeight="1" x14ac:dyDescent="0.2">
      <c r="A128" s="13" t="s">
        <v>125</v>
      </c>
      <c r="B128" s="13" t="s">
        <v>126</v>
      </c>
      <c r="C128" s="14">
        <v>45858</v>
      </c>
      <c r="D128" s="26">
        <v>88</v>
      </c>
      <c r="E128" s="108" t="s">
        <v>206</v>
      </c>
      <c r="F128" s="16">
        <v>0</v>
      </c>
      <c r="G128" s="16">
        <v>150</v>
      </c>
      <c r="H128" s="33">
        <f t="shared" si="1"/>
        <v>673913.40000000049</v>
      </c>
      <c r="I128" s="16" t="s">
        <v>207</v>
      </c>
      <c r="J128" s="16"/>
      <c r="K128" s="16"/>
      <c r="L128" s="175" t="s">
        <v>3</v>
      </c>
      <c r="M128" s="175" t="s">
        <v>39</v>
      </c>
      <c r="N128" s="16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</row>
    <row r="129" spans="1:28" ht="13.5" customHeight="1" x14ac:dyDescent="0.2">
      <c r="A129" s="198" t="s">
        <v>125</v>
      </c>
      <c r="B129" s="198" t="s">
        <v>126</v>
      </c>
      <c r="C129" s="201">
        <v>45859</v>
      </c>
      <c r="D129" s="206">
        <v>6</v>
      </c>
      <c r="E129" s="209" t="s">
        <v>235</v>
      </c>
      <c r="F129" s="212">
        <v>10000</v>
      </c>
      <c r="G129" s="212">
        <v>0</v>
      </c>
      <c r="H129" s="33">
        <f t="shared" si="1"/>
        <v>683913.40000000049</v>
      </c>
      <c r="I129" s="212" t="s">
        <v>236</v>
      </c>
      <c r="J129" s="217"/>
      <c r="K129" s="217"/>
      <c r="L129" s="219"/>
      <c r="M129" s="219"/>
      <c r="N129" s="21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</row>
    <row r="130" spans="1:28" ht="13.5" customHeight="1" x14ac:dyDescent="0.2">
      <c r="A130" s="13" t="s">
        <v>125</v>
      </c>
      <c r="B130" s="13" t="s">
        <v>126</v>
      </c>
      <c r="C130" s="14">
        <v>45860</v>
      </c>
      <c r="D130" s="26">
        <v>89</v>
      </c>
      <c r="E130" s="108" t="s">
        <v>195</v>
      </c>
      <c r="F130" s="16">
        <v>0</v>
      </c>
      <c r="G130" s="16">
        <v>80</v>
      </c>
      <c r="H130" s="33">
        <f t="shared" si="1"/>
        <v>683833.40000000049</v>
      </c>
      <c r="I130" s="16" t="s">
        <v>208</v>
      </c>
      <c r="J130" s="16"/>
      <c r="K130" s="16"/>
      <c r="L130" s="175" t="s">
        <v>3</v>
      </c>
      <c r="M130" s="175" t="s">
        <v>39</v>
      </c>
      <c r="N130" s="16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</row>
    <row r="131" spans="1:28" ht="13.5" customHeight="1" x14ac:dyDescent="0.2">
      <c r="A131" s="13" t="s">
        <v>121</v>
      </c>
      <c r="B131" s="13" t="s">
        <v>123</v>
      </c>
      <c r="C131" s="14">
        <v>45860</v>
      </c>
      <c r="D131" s="26">
        <v>90</v>
      </c>
      <c r="E131" s="108" t="s">
        <v>209</v>
      </c>
      <c r="F131" s="16">
        <v>0</v>
      </c>
      <c r="G131" s="16">
        <v>1300</v>
      </c>
      <c r="H131" s="33">
        <f t="shared" si="1"/>
        <v>682533.40000000049</v>
      </c>
      <c r="I131" s="16" t="s">
        <v>208</v>
      </c>
      <c r="J131" s="16"/>
      <c r="K131" s="16"/>
      <c r="L131" s="179" t="s">
        <v>7</v>
      </c>
      <c r="M131" s="179" t="s">
        <v>64</v>
      </c>
      <c r="N131" s="16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</row>
    <row r="132" spans="1:28" ht="13.5" customHeight="1" x14ac:dyDescent="0.2">
      <c r="A132" s="13" t="s">
        <v>125</v>
      </c>
      <c r="B132" s="13" t="s">
        <v>126</v>
      </c>
      <c r="C132" s="14">
        <v>45860</v>
      </c>
      <c r="D132" s="26">
        <v>91</v>
      </c>
      <c r="E132" s="108" t="s">
        <v>211</v>
      </c>
      <c r="F132" s="16">
        <v>0</v>
      </c>
      <c r="G132" s="16">
        <v>150</v>
      </c>
      <c r="H132" s="33">
        <f t="shared" si="1"/>
        <v>682383.40000000049</v>
      </c>
      <c r="I132" s="16" t="s">
        <v>210</v>
      </c>
      <c r="J132" s="16"/>
      <c r="K132" s="16"/>
      <c r="L132" s="175" t="s">
        <v>3</v>
      </c>
      <c r="M132" s="175" t="s">
        <v>39</v>
      </c>
      <c r="N132" s="16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</row>
    <row r="133" spans="1:28" ht="13.5" customHeight="1" x14ac:dyDescent="0.2">
      <c r="A133" s="74" t="s">
        <v>122</v>
      </c>
      <c r="B133" s="200" t="s">
        <v>123</v>
      </c>
      <c r="C133" s="75">
        <v>45861</v>
      </c>
      <c r="D133" s="76">
        <v>111</v>
      </c>
      <c r="E133" s="211" t="s">
        <v>95</v>
      </c>
      <c r="F133" s="77">
        <v>0</v>
      </c>
      <c r="G133" s="77">
        <v>451.2</v>
      </c>
      <c r="H133" s="225">
        <f t="shared" si="1"/>
        <v>681932.20000000054</v>
      </c>
      <c r="I133" s="77" t="s">
        <v>134</v>
      </c>
      <c r="J133" s="78"/>
      <c r="K133" s="78"/>
      <c r="L133" s="226" t="s">
        <v>3</v>
      </c>
      <c r="M133" s="226" t="s">
        <v>15</v>
      </c>
      <c r="N133" s="79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</row>
    <row r="134" spans="1:28" ht="13.5" customHeight="1" x14ac:dyDescent="0.2">
      <c r="A134" s="13" t="s">
        <v>125</v>
      </c>
      <c r="B134" s="13" t="s">
        <v>126</v>
      </c>
      <c r="C134" s="14">
        <v>45861</v>
      </c>
      <c r="D134" s="26">
        <v>92</v>
      </c>
      <c r="E134" s="108" t="s">
        <v>212</v>
      </c>
      <c r="F134" s="16">
        <v>0</v>
      </c>
      <c r="G134" s="16">
        <v>1400</v>
      </c>
      <c r="H134" s="33">
        <f t="shared" si="1"/>
        <v>680532.20000000054</v>
      </c>
      <c r="I134" s="16" t="s">
        <v>213</v>
      </c>
      <c r="J134" s="16"/>
      <c r="K134" s="16"/>
      <c r="L134" s="175" t="s">
        <v>3</v>
      </c>
      <c r="M134" s="175" t="s">
        <v>39</v>
      </c>
      <c r="N134" s="16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</row>
    <row r="135" spans="1:28" ht="13.5" customHeight="1" x14ac:dyDescent="0.2">
      <c r="A135" s="51" t="s">
        <v>122</v>
      </c>
      <c r="B135" s="52" t="s">
        <v>123</v>
      </c>
      <c r="C135" s="53">
        <v>45862</v>
      </c>
      <c r="D135" s="54">
        <v>111</v>
      </c>
      <c r="E135" s="111" t="s">
        <v>227</v>
      </c>
      <c r="F135" s="55">
        <v>0</v>
      </c>
      <c r="G135" s="55">
        <v>902.4</v>
      </c>
      <c r="H135" s="224">
        <f t="shared" si="1"/>
        <v>679629.80000000051</v>
      </c>
      <c r="I135" s="55" t="s">
        <v>134</v>
      </c>
      <c r="J135" s="56"/>
      <c r="K135" s="56"/>
      <c r="L135" s="178" t="s">
        <v>3</v>
      </c>
      <c r="M135" s="178" t="s">
        <v>15</v>
      </c>
      <c r="N135" s="5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</row>
    <row r="136" spans="1:28" ht="13.5" customHeight="1" x14ac:dyDescent="0.2">
      <c r="A136" s="42" t="s">
        <v>122</v>
      </c>
      <c r="B136" s="43" t="s">
        <v>123</v>
      </c>
      <c r="C136" s="44">
        <v>45862</v>
      </c>
      <c r="D136" s="45">
        <v>111</v>
      </c>
      <c r="E136" s="110" t="s">
        <v>227</v>
      </c>
      <c r="F136" s="50">
        <v>0</v>
      </c>
      <c r="G136" s="50">
        <v>902.4</v>
      </c>
      <c r="H136" s="223">
        <f t="shared" si="1"/>
        <v>678727.40000000049</v>
      </c>
      <c r="I136" s="50" t="s">
        <v>134</v>
      </c>
      <c r="J136" s="46"/>
      <c r="K136" s="46"/>
      <c r="L136" s="177" t="s">
        <v>3</v>
      </c>
      <c r="M136" s="177" t="s">
        <v>15</v>
      </c>
      <c r="N136" s="4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</row>
    <row r="137" spans="1:28" ht="13.5" customHeight="1" x14ac:dyDescent="0.2">
      <c r="A137" s="13" t="s">
        <v>121</v>
      </c>
      <c r="B137" s="13" t="s">
        <v>123</v>
      </c>
      <c r="C137" s="14">
        <v>45862</v>
      </c>
      <c r="D137" s="26">
        <v>93</v>
      </c>
      <c r="E137" s="108" t="s">
        <v>196</v>
      </c>
      <c r="F137" s="16">
        <v>0</v>
      </c>
      <c r="G137" s="16">
        <v>25</v>
      </c>
      <c r="H137" s="33">
        <f t="shared" si="1"/>
        <v>678702.40000000049</v>
      </c>
      <c r="I137" s="16" t="s">
        <v>182</v>
      </c>
      <c r="J137" s="16"/>
      <c r="K137" s="16"/>
      <c r="L137" s="179" t="s">
        <v>7</v>
      </c>
      <c r="M137" s="179" t="s">
        <v>64</v>
      </c>
      <c r="N137" s="16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</row>
    <row r="138" spans="1:28" ht="13.5" customHeight="1" x14ac:dyDescent="0.2">
      <c r="A138" s="13" t="s">
        <v>125</v>
      </c>
      <c r="B138" s="13" t="s">
        <v>126</v>
      </c>
      <c r="C138" s="14">
        <v>45862</v>
      </c>
      <c r="D138" s="26">
        <v>94</v>
      </c>
      <c r="E138" s="108" t="s">
        <v>214</v>
      </c>
      <c r="F138" s="16">
        <v>0</v>
      </c>
      <c r="G138" s="16">
        <v>1310</v>
      </c>
      <c r="H138" s="33">
        <f t="shared" ref="H138:H201" si="2">H137+F138-G138</f>
        <v>677392.40000000049</v>
      </c>
      <c r="I138" s="16" t="s">
        <v>202</v>
      </c>
      <c r="J138" s="16"/>
      <c r="K138" s="16"/>
      <c r="L138" s="175" t="s">
        <v>3</v>
      </c>
      <c r="M138" s="175" t="s">
        <v>39</v>
      </c>
      <c r="N138" s="16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</row>
    <row r="139" spans="1:28" ht="13.5" customHeight="1" x14ac:dyDescent="0.2">
      <c r="A139" s="13" t="s">
        <v>125</v>
      </c>
      <c r="B139" s="13" t="s">
        <v>126</v>
      </c>
      <c r="C139" s="14">
        <v>45863</v>
      </c>
      <c r="D139" s="26">
        <v>95</v>
      </c>
      <c r="E139" s="108" t="s">
        <v>223</v>
      </c>
      <c r="F139" s="16">
        <v>0</v>
      </c>
      <c r="G139" s="16">
        <v>7452</v>
      </c>
      <c r="H139" s="33">
        <f t="shared" si="2"/>
        <v>669940.40000000049</v>
      </c>
      <c r="I139" s="16" t="s">
        <v>237</v>
      </c>
      <c r="J139" s="16"/>
      <c r="K139" s="16"/>
      <c r="L139" s="179" t="s">
        <v>3</v>
      </c>
      <c r="M139" s="179" t="s">
        <v>27</v>
      </c>
      <c r="N139" s="16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</row>
    <row r="140" spans="1:28" ht="13.5" customHeight="1" x14ac:dyDescent="0.2">
      <c r="A140" s="51" t="s">
        <v>122</v>
      </c>
      <c r="B140" s="52" t="s">
        <v>123</v>
      </c>
      <c r="C140" s="53">
        <v>45864</v>
      </c>
      <c r="D140" s="54">
        <v>111</v>
      </c>
      <c r="E140" s="111" t="s">
        <v>95</v>
      </c>
      <c r="F140" s="55">
        <v>0</v>
      </c>
      <c r="G140" s="55">
        <v>451.2</v>
      </c>
      <c r="H140" s="224">
        <f t="shared" si="2"/>
        <v>669489.20000000054</v>
      </c>
      <c r="I140" s="55" t="s">
        <v>134</v>
      </c>
      <c r="J140" s="56"/>
      <c r="K140" s="56"/>
      <c r="L140" s="178" t="s">
        <v>3</v>
      </c>
      <c r="M140" s="178" t="s">
        <v>15</v>
      </c>
      <c r="N140" s="5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</row>
    <row r="141" spans="1:28" ht="13.5" customHeight="1" x14ac:dyDescent="0.2">
      <c r="A141" s="12" t="s">
        <v>122</v>
      </c>
      <c r="B141" s="13" t="s">
        <v>123</v>
      </c>
      <c r="C141" s="14">
        <v>45864</v>
      </c>
      <c r="D141" s="26">
        <v>111</v>
      </c>
      <c r="E141" s="108" t="s">
        <v>95</v>
      </c>
      <c r="F141" s="32">
        <v>0</v>
      </c>
      <c r="G141" s="32">
        <v>451.2</v>
      </c>
      <c r="H141" s="33">
        <f t="shared" si="2"/>
        <v>669038.00000000058</v>
      </c>
      <c r="I141" s="32" t="s">
        <v>134</v>
      </c>
      <c r="J141" s="16"/>
      <c r="K141" s="16"/>
      <c r="L141" s="175" t="s">
        <v>3</v>
      </c>
      <c r="M141" s="175" t="s">
        <v>15</v>
      </c>
      <c r="N141" s="1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</row>
    <row r="142" spans="1:28" s="7" customFormat="1" x14ac:dyDescent="0.2">
      <c r="A142" s="12" t="s">
        <v>122</v>
      </c>
      <c r="B142" s="13" t="s">
        <v>123</v>
      </c>
      <c r="C142" s="14">
        <v>45865</v>
      </c>
      <c r="D142" s="26">
        <v>111</v>
      </c>
      <c r="E142" s="108" t="s">
        <v>95</v>
      </c>
      <c r="F142" s="32">
        <v>0</v>
      </c>
      <c r="G142" s="32">
        <v>451.2</v>
      </c>
      <c r="H142" s="33">
        <f t="shared" si="2"/>
        <v>668586.80000000063</v>
      </c>
      <c r="I142" s="32" t="s">
        <v>134</v>
      </c>
      <c r="J142" s="16"/>
      <c r="K142" s="16"/>
      <c r="L142" s="175" t="s">
        <v>3</v>
      </c>
      <c r="M142" s="175" t="s">
        <v>15</v>
      </c>
      <c r="N142" s="17"/>
    </row>
    <row r="143" spans="1:28" s="7" customFormat="1" ht="13.5" customHeight="1" x14ac:dyDescent="0.2">
      <c r="A143" s="12" t="s">
        <v>122</v>
      </c>
      <c r="B143" s="13" t="s">
        <v>123</v>
      </c>
      <c r="C143" s="14">
        <v>45865</v>
      </c>
      <c r="D143" s="26">
        <v>111</v>
      </c>
      <c r="E143" s="108" t="s">
        <v>228</v>
      </c>
      <c r="F143" s="32">
        <v>0</v>
      </c>
      <c r="G143" s="32">
        <v>564</v>
      </c>
      <c r="H143" s="33">
        <f t="shared" si="2"/>
        <v>668022.80000000063</v>
      </c>
      <c r="I143" s="32" t="s">
        <v>134</v>
      </c>
      <c r="J143" s="16"/>
      <c r="K143" s="16"/>
      <c r="L143" s="175" t="s">
        <v>3</v>
      </c>
      <c r="M143" s="175" t="s">
        <v>15</v>
      </c>
      <c r="N143" s="17"/>
    </row>
    <row r="144" spans="1:28" s="7" customFormat="1" ht="13.5" customHeight="1" x14ac:dyDescent="0.2">
      <c r="A144" s="42" t="s">
        <v>122</v>
      </c>
      <c r="B144" s="43" t="s">
        <v>123</v>
      </c>
      <c r="C144" s="44">
        <v>45866</v>
      </c>
      <c r="D144" s="45">
        <v>111</v>
      </c>
      <c r="E144" s="110" t="s">
        <v>227</v>
      </c>
      <c r="F144" s="50">
        <v>0</v>
      </c>
      <c r="G144" s="50">
        <v>902.4</v>
      </c>
      <c r="H144" s="223">
        <f t="shared" si="2"/>
        <v>667120.40000000061</v>
      </c>
      <c r="I144" s="50" t="s">
        <v>134</v>
      </c>
      <c r="J144" s="46"/>
      <c r="K144" s="46"/>
      <c r="L144" s="177" t="s">
        <v>3</v>
      </c>
      <c r="M144" s="177" t="s">
        <v>15</v>
      </c>
      <c r="N144" s="47"/>
    </row>
    <row r="145" spans="1:14" s="7" customFormat="1" ht="13.5" customHeight="1" x14ac:dyDescent="0.2">
      <c r="A145" s="198" t="s">
        <v>125</v>
      </c>
      <c r="B145" s="198" t="s">
        <v>126</v>
      </c>
      <c r="C145" s="201">
        <v>45866</v>
      </c>
      <c r="D145" s="206">
        <v>7</v>
      </c>
      <c r="E145" s="209" t="s">
        <v>235</v>
      </c>
      <c r="F145" s="212">
        <v>7500</v>
      </c>
      <c r="G145" s="212">
        <v>0</v>
      </c>
      <c r="H145" s="33">
        <f t="shared" si="2"/>
        <v>674620.40000000061</v>
      </c>
      <c r="I145" s="212" t="s">
        <v>236</v>
      </c>
      <c r="J145" s="217"/>
      <c r="K145" s="217"/>
      <c r="L145" s="219"/>
      <c r="M145" s="219"/>
      <c r="N145" s="217"/>
    </row>
    <row r="146" spans="1:14" s="7" customFormat="1" ht="13.5" customHeight="1" x14ac:dyDescent="0.2">
      <c r="A146" s="13" t="s">
        <v>125</v>
      </c>
      <c r="B146" s="13" t="s">
        <v>126</v>
      </c>
      <c r="C146" s="14">
        <v>45866</v>
      </c>
      <c r="D146" s="26">
        <v>96</v>
      </c>
      <c r="E146" s="108" t="s">
        <v>215</v>
      </c>
      <c r="F146" s="16">
        <v>0</v>
      </c>
      <c r="G146" s="16">
        <v>300</v>
      </c>
      <c r="H146" s="33">
        <f t="shared" si="2"/>
        <v>674320.40000000061</v>
      </c>
      <c r="I146" s="16" t="s">
        <v>157</v>
      </c>
      <c r="J146" s="16"/>
      <c r="K146" s="16"/>
      <c r="L146" s="175" t="s">
        <v>3</v>
      </c>
      <c r="M146" s="175" t="s">
        <v>39</v>
      </c>
      <c r="N146" s="16"/>
    </row>
    <row r="147" spans="1:14" s="7" customFormat="1" ht="13.5" customHeight="1" x14ac:dyDescent="0.2">
      <c r="A147" s="13" t="s">
        <v>125</v>
      </c>
      <c r="B147" s="13" t="s">
        <v>126</v>
      </c>
      <c r="C147" s="14">
        <v>45866</v>
      </c>
      <c r="D147" s="26">
        <v>97</v>
      </c>
      <c r="E147" s="108" t="s">
        <v>197</v>
      </c>
      <c r="F147" s="16">
        <v>0</v>
      </c>
      <c r="G147" s="16">
        <v>200</v>
      </c>
      <c r="H147" s="33">
        <f t="shared" si="2"/>
        <v>674120.40000000061</v>
      </c>
      <c r="I147" s="16" t="s">
        <v>216</v>
      </c>
      <c r="J147" s="16"/>
      <c r="K147" s="16"/>
      <c r="L147" s="175" t="s">
        <v>3</v>
      </c>
      <c r="M147" s="175" t="s">
        <v>39</v>
      </c>
      <c r="N147" s="16"/>
    </row>
    <row r="148" spans="1:14" s="7" customFormat="1" ht="15" customHeight="1" x14ac:dyDescent="0.2">
      <c r="A148" s="38" t="s">
        <v>122</v>
      </c>
      <c r="B148" s="38" t="s">
        <v>123</v>
      </c>
      <c r="C148" s="39">
        <v>45866</v>
      </c>
      <c r="D148" s="40">
        <v>98</v>
      </c>
      <c r="E148" s="69" t="s">
        <v>141</v>
      </c>
      <c r="F148" s="15">
        <v>0</v>
      </c>
      <c r="G148" s="15">
        <v>8000</v>
      </c>
      <c r="H148" s="33">
        <f t="shared" si="2"/>
        <v>666120.40000000061</v>
      </c>
      <c r="I148" s="15" t="s">
        <v>239</v>
      </c>
      <c r="J148" s="15"/>
      <c r="K148" s="15"/>
      <c r="L148" s="176" t="s">
        <v>3</v>
      </c>
      <c r="M148" s="176" t="s">
        <v>39</v>
      </c>
      <c r="N148" s="15"/>
    </row>
    <row r="149" spans="1:14" s="7" customFormat="1" ht="13.5" customHeight="1" x14ac:dyDescent="0.2">
      <c r="A149" s="51" t="s">
        <v>122</v>
      </c>
      <c r="B149" s="52" t="s">
        <v>123</v>
      </c>
      <c r="C149" s="53">
        <v>45867</v>
      </c>
      <c r="D149" s="54">
        <v>111</v>
      </c>
      <c r="E149" s="111" t="s">
        <v>227</v>
      </c>
      <c r="F149" s="55">
        <v>0</v>
      </c>
      <c r="G149" s="55">
        <v>902.4</v>
      </c>
      <c r="H149" s="224">
        <f t="shared" si="2"/>
        <v>665218.00000000058</v>
      </c>
      <c r="I149" s="55" t="s">
        <v>134</v>
      </c>
      <c r="J149" s="56"/>
      <c r="K149" s="56"/>
      <c r="L149" s="178" t="s">
        <v>3</v>
      </c>
      <c r="M149" s="178" t="s">
        <v>15</v>
      </c>
      <c r="N149" s="57"/>
    </row>
    <row r="150" spans="1:14" s="7" customFormat="1" ht="13.5" customHeight="1" x14ac:dyDescent="0.2">
      <c r="A150" s="12" t="s">
        <v>122</v>
      </c>
      <c r="B150" s="13" t="s">
        <v>123</v>
      </c>
      <c r="C150" s="14">
        <v>45868</v>
      </c>
      <c r="D150" s="26">
        <v>111</v>
      </c>
      <c r="E150" s="108" t="s">
        <v>227</v>
      </c>
      <c r="F150" s="32">
        <v>0</v>
      </c>
      <c r="G150" s="32">
        <v>902.4</v>
      </c>
      <c r="H150" s="33">
        <f t="shared" si="2"/>
        <v>664315.60000000056</v>
      </c>
      <c r="I150" s="32" t="s">
        <v>134</v>
      </c>
      <c r="J150" s="16"/>
      <c r="K150" s="16"/>
      <c r="L150" s="175" t="s">
        <v>3</v>
      </c>
      <c r="M150" s="175" t="s">
        <v>15</v>
      </c>
      <c r="N150" s="17"/>
    </row>
    <row r="151" spans="1:14" s="7" customFormat="1" ht="13.5" customHeight="1" x14ac:dyDescent="0.2">
      <c r="A151" s="12" t="s">
        <v>122</v>
      </c>
      <c r="B151" s="13" t="s">
        <v>123</v>
      </c>
      <c r="C151" s="14">
        <v>45868</v>
      </c>
      <c r="D151" s="26">
        <v>111</v>
      </c>
      <c r="E151" s="108" t="s">
        <v>230</v>
      </c>
      <c r="F151" s="32">
        <v>0</v>
      </c>
      <c r="G151" s="32">
        <v>1100</v>
      </c>
      <c r="H151" s="33">
        <f t="shared" si="2"/>
        <v>663215.60000000056</v>
      </c>
      <c r="I151" s="32" t="s">
        <v>134</v>
      </c>
      <c r="J151" s="16"/>
      <c r="K151" s="16"/>
      <c r="L151" s="175" t="s">
        <v>3</v>
      </c>
      <c r="M151" s="175" t="s">
        <v>15</v>
      </c>
      <c r="N151" s="17"/>
    </row>
    <row r="152" spans="1:14" s="7" customFormat="1" ht="13.5" customHeight="1" x14ac:dyDescent="0.2">
      <c r="A152" s="12" t="s">
        <v>122</v>
      </c>
      <c r="B152" s="13" t="s">
        <v>123</v>
      </c>
      <c r="C152" s="14">
        <v>45869</v>
      </c>
      <c r="D152" s="26">
        <v>111</v>
      </c>
      <c r="E152" s="108" t="s">
        <v>227</v>
      </c>
      <c r="F152" s="32">
        <v>0</v>
      </c>
      <c r="G152" s="32">
        <v>902.4</v>
      </c>
      <c r="H152" s="33">
        <f t="shared" si="2"/>
        <v>662313.20000000054</v>
      </c>
      <c r="I152" s="32" t="s">
        <v>134</v>
      </c>
      <c r="J152" s="16"/>
      <c r="K152" s="16"/>
      <c r="L152" s="175" t="s">
        <v>3</v>
      </c>
      <c r="M152" s="175" t="s">
        <v>15</v>
      </c>
      <c r="N152" s="17"/>
    </row>
    <row r="153" spans="1:14" s="7" customFormat="1" ht="13.5" customHeight="1" x14ac:dyDescent="0.2">
      <c r="A153" s="42" t="s">
        <v>122</v>
      </c>
      <c r="B153" s="43" t="s">
        <v>123</v>
      </c>
      <c r="C153" s="44">
        <v>45869</v>
      </c>
      <c r="D153" s="45">
        <v>111</v>
      </c>
      <c r="E153" s="110" t="s">
        <v>229</v>
      </c>
      <c r="F153" s="50">
        <v>0</v>
      </c>
      <c r="G153" s="50">
        <v>1000</v>
      </c>
      <c r="H153" s="223">
        <f t="shared" si="2"/>
        <v>661313.20000000054</v>
      </c>
      <c r="I153" s="50" t="s">
        <v>134</v>
      </c>
      <c r="J153" s="46"/>
      <c r="K153" s="46"/>
      <c r="L153" s="177" t="s">
        <v>3</v>
      </c>
      <c r="M153" s="177" t="s">
        <v>15</v>
      </c>
      <c r="N153" s="47"/>
    </row>
    <row r="154" spans="1:14" s="7" customFormat="1" ht="13.5" customHeight="1" x14ac:dyDescent="0.2">
      <c r="A154" s="198" t="s">
        <v>125</v>
      </c>
      <c r="B154" s="198" t="s">
        <v>126</v>
      </c>
      <c r="C154" s="201">
        <v>45870</v>
      </c>
      <c r="D154" s="206">
        <v>8</v>
      </c>
      <c r="E154" s="209" t="s">
        <v>235</v>
      </c>
      <c r="F154" s="212">
        <v>20000</v>
      </c>
      <c r="G154" s="212">
        <v>0</v>
      </c>
      <c r="H154" s="33">
        <f t="shared" si="2"/>
        <v>681313.20000000054</v>
      </c>
      <c r="I154" s="212" t="s">
        <v>236</v>
      </c>
      <c r="J154" s="217"/>
      <c r="K154" s="217"/>
      <c r="L154" s="219"/>
      <c r="M154" s="219"/>
      <c r="N154" s="217"/>
    </row>
    <row r="155" spans="1:14" s="7" customFormat="1" ht="13.5" customHeight="1" x14ac:dyDescent="0.2">
      <c r="A155" s="38" t="s">
        <v>122</v>
      </c>
      <c r="B155" s="38" t="s">
        <v>123</v>
      </c>
      <c r="C155" s="39">
        <v>45870</v>
      </c>
      <c r="D155" s="40">
        <v>99</v>
      </c>
      <c r="E155" s="69" t="s">
        <v>218</v>
      </c>
      <c r="F155" s="15">
        <v>0</v>
      </c>
      <c r="G155" s="15">
        <v>3500</v>
      </c>
      <c r="H155" s="33">
        <f t="shared" si="2"/>
        <v>677813.20000000054</v>
      </c>
      <c r="I155" s="15" t="s">
        <v>217</v>
      </c>
      <c r="J155" s="15"/>
      <c r="K155" s="15"/>
      <c r="L155" s="176" t="s">
        <v>3</v>
      </c>
      <c r="M155" s="176" t="s">
        <v>39</v>
      </c>
      <c r="N155" s="15"/>
    </row>
    <row r="156" spans="1:14" s="41" customFormat="1" ht="13.5" customHeight="1" x14ac:dyDescent="0.2">
      <c r="A156" s="38" t="s">
        <v>122</v>
      </c>
      <c r="B156" s="38" t="s">
        <v>123</v>
      </c>
      <c r="C156" s="39">
        <v>45870</v>
      </c>
      <c r="D156" s="40">
        <v>100</v>
      </c>
      <c r="E156" s="69" t="s">
        <v>218</v>
      </c>
      <c r="F156" s="15">
        <v>0</v>
      </c>
      <c r="G156" s="15">
        <v>3500</v>
      </c>
      <c r="H156" s="33">
        <f t="shared" si="2"/>
        <v>674313.20000000054</v>
      </c>
      <c r="I156" s="15" t="s">
        <v>217</v>
      </c>
      <c r="J156" s="15"/>
      <c r="K156" s="15"/>
      <c r="L156" s="176" t="s">
        <v>3</v>
      </c>
      <c r="M156" s="176" t="s">
        <v>39</v>
      </c>
      <c r="N156" s="15"/>
    </row>
    <row r="157" spans="1:14" s="7" customFormat="1" ht="13.5" customHeight="1" x14ac:dyDescent="0.2">
      <c r="A157" s="13" t="s">
        <v>125</v>
      </c>
      <c r="B157" s="13" t="s">
        <v>126</v>
      </c>
      <c r="C157" s="14">
        <v>45871</v>
      </c>
      <c r="D157" s="26">
        <v>101</v>
      </c>
      <c r="E157" s="108" t="s">
        <v>198</v>
      </c>
      <c r="F157" s="16">
        <v>0</v>
      </c>
      <c r="G157" s="16">
        <v>100</v>
      </c>
      <c r="H157" s="33">
        <f t="shared" si="2"/>
        <v>674213.20000000054</v>
      </c>
      <c r="I157" s="16" t="s">
        <v>219</v>
      </c>
      <c r="J157" s="16"/>
      <c r="K157" s="16"/>
      <c r="L157" s="175" t="s">
        <v>3</v>
      </c>
      <c r="M157" s="175" t="s">
        <v>39</v>
      </c>
      <c r="N157" s="16"/>
    </row>
    <row r="158" spans="1:14" s="7" customFormat="1" ht="13.5" customHeight="1" x14ac:dyDescent="0.2">
      <c r="A158" s="74" t="s">
        <v>122</v>
      </c>
      <c r="B158" s="200" t="s">
        <v>123</v>
      </c>
      <c r="C158" s="75">
        <v>45872</v>
      </c>
      <c r="D158" s="76">
        <v>111</v>
      </c>
      <c r="E158" s="211" t="s">
        <v>227</v>
      </c>
      <c r="F158" s="77">
        <v>0</v>
      </c>
      <c r="G158" s="77">
        <v>902.4</v>
      </c>
      <c r="H158" s="225">
        <f t="shared" si="2"/>
        <v>673310.80000000051</v>
      </c>
      <c r="I158" s="77" t="s">
        <v>134</v>
      </c>
      <c r="J158" s="78"/>
      <c r="K158" s="78"/>
      <c r="L158" s="226" t="s">
        <v>3</v>
      </c>
      <c r="M158" s="226" t="s">
        <v>15</v>
      </c>
      <c r="N158" s="79"/>
    </row>
    <row r="159" spans="1:14" s="41" customFormat="1" ht="13.5" customHeight="1" x14ac:dyDescent="0.2">
      <c r="A159" s="13" t="s">
        <v>121</v>
      </c>
      <c r="B159" s="13" t="s">
        <v>123</v>
      </c>
      <c r="C159" s="14">
        <v>45872</v>
      </c>
      <c r="D159" s="26">
        <v>102</v>
      </c>
      <c r="E159" s="108" t="s">
        <v>199</v>
      </c>
      <c r="F159" s="16">
        <v>0</v>
      </c>
      <c r="G159" s="16">
        <v>250</v>
      </c>
      <c r="H159" s="33">
        <f t="shared" si="2"/>
        <v>673060.80000000051</v>
      </c>
      <c r="I159" s="16" t="s">
        <v>157</v>
      </c>
      <c r="J159" s="16"/>
      <c r="K159" s="16"/>
      <c r="L159" s="179" t="s">
        <v>7</v>
      </c>
      <c r="M159" s="179" t="s">
        <v>64</v>
      </c>
      <c r="N159" s="16"/>
    </row>
    <row r="160" spans="1:14" s="7" customFormat="1" ht="13.5" customHeight="1" x14ac:dyDescent="0.2">
      <c r="A160" s="13" t="s">
        <v>125</v>
      </c>
      <c r="B160" s="13" t="s">
        <v>126</v>
      </c>
      <c r="C160" s="14">
        <v>45872</v>
      </c>
      <c r="D160" s="26">
        <v>103</v>
      </c>
      <c r="E160" s="108" t="s">
        <v>220</v>
      </c>
      <c r="F160" s="16">
        <v>0</v>
      </c>
      <c r="G160" s="16">
        <v>750</v>
      </c>
      <c r="H160" s="33">
        <f t="shared" si="2"/>
        <v>672310.80000000051</v>
      </c>
      <c r="I160" s="16" t="s">
        <v>103</v>
      </c>
      <c r="J160" s="16"/>
      <c r="K160" s="16"/>
      <c r="L160" s="175" t="s">
        <v>3</v>
      </c>
      <c r="M160" s="175" t="s">
        <v>39</v>
      </c>
      <c r="N160" s="16"/>
    </row>
    <row r="161" spans="1:14" s="7" customFormat="1" ht="13.5" customHeight="1" x14ac:dyDescent="0.2">
      <c r="A161" s="74" t="s">
        <v>122</v>
      </c>
      <c r="B161" s="200" t="s">
        <v>123</v>
      </c>
      <c r="C161" s="75">
        <v>45874</v>
      </c>
      <c r="D161" s="76">
        <v>111</v>
      </c>
      <c r="E161" s="211" t="s">
        <v>95</v>
      </c>
      <c r="F161" s="77">
        <v>0</v>
      </c>
      <c r="G161" s="77">
        <v>451.2</v>
      </c>
      <c r="H161" s="225">
        <f t="shared" si="2"/>
        <v>671859.60000000056</v>
      </c>
      <c r="I161" s="77" t="s">
        <v>134</v>
      </c>
      <c r="J161" s="78"/>
      <c r="K161" s="78"/>
      <c r="L161" s="226" t="s">
        <v>3</v>
      </c>
      <c r="M161" s="226" t="s">
        <v>15</v>
      </c>
      <c r="N161" s="79"/>
    </row>
    <row r="162" spans="1:14" s="7" customFormat="1" ht="13.5" customHeight="1" x14ac:dyDescent="0.2">
      <c r="A162" s="13" t="s">
        <v>125</v>
      </c>
      <c r="B162" s="13" t="s">
        <v>126</v>
      </c>
      <c r="C162" s="14">
        <v>45874</v>
      </c>
      <c r="D162" s="26">
        <v>104</v>
      </c>
      <c r="E162" s="108" t="s">
        <v>201</v>
      </c>
      <c r="F162" s="16">
        <v>0</v>
      </c>
      <c r="G162" s="16">
        <v>230</v>
      </c>
      <c r="H162" s="33">
        <f t="shared" si="2"/>
        <v>671629.60000000056</v>
      </c>
      <c r="I162" s="16" t="s">
        <v>221</v>
      </c>
      <c r="J162" s="16"/>
      <c r="K162" s="16"/>
      <c r="L162" s="175" t="s">
        <v>3</v>
      </c>
      <c r="M162" s="175" t="s">
        <v>39</v>
      </c>
      <c r="N162" s="16"/>
    </row>
    <row r="163" spans="1:14" s="41" customFormat="1" ht="13.5" customHeight="1" x14ac:dyDescent="0.2">
      <c r="A163" s="51" t="s">
        <v>122</v>
      </c>
      <c r="B163" s="52" t="s">
        <v>123</v>
      </c>
      <c r="C163" s="75">
        <v>45875</v>
      </c>
      <c r="D163" s="76">
        <v>111</v>
      </c>
      <c r="E163" s="111" t="s">
        <v>231</v>
      </c>
      <c r="F163" s="77">
        <v>0</v>
      </c>
      <c r="G163" s="77">
        <v>510.08</v>
      </c>
      <c r="H163" s="224">
        <f t="shared" si="2"/>
        <v>671119.5200000006</v>
      </c>
      <c r="I163" s="55" t="s">
        <v>134</v>
      </c>
      <c r="J163" s="78"/>
      <c r="K163" s="78"/>
      <c r="L163" s="178" t="s">
        <v>3</v>
      </c>
      <c r="M163" s="178" t="s">
        <v>15</v>
      </c>
      <c r="N163" s="79"/>
    </row>
    <row r="164" spans="1:14" s="7" customFormat="1" ht="13.5" customHeight="1" x14ac:dyDescent="0.2">
      <c r="A164" s="42" t="s">
        <v>122</v>
      </c>
      <c r="B164" s="43" t="s">
        <v>123</v>
      </c>
      <c r="C164" s="44">
        <v>45875</v>
      </c>
      <c r="D164" s="45">
        <v>111</v>
      </c>
      <c r="E164" s="110" t="s">
        <v>95</v>
      </c>
      <c r="F164" s="50">
        <v>0</v>
      </c>
      <c r="G164" s="50">
        <v>451.2</v>
      </c>
      <c r="H164" s="223">
        <f t="shared" si="2"/>
        <v>670668.32000000065</v>
      </c>
      <c r="I164" s="50" t="s">
        <v>134</v>
      </c>
      <c r="J164" s="46"/>
      <c r="K164" s="46"/>
      <c r="L164" s="177" t="s">
        <v>3</v>
      </c>
      <c r="M164" s="177" t="s">
        <v>15</v>
      </c>
      <c r="N164" s="47"/>
    </row>
    <row r="165" spans="1:14" s="7" customFormat="1" ht="13.5" customHeight="1" x14ac:dyDescent="0.2">
      <c r="A165" s="13" t="s">
        <v>125</v>
      </c>
      <c r="B165" s="13" t="s">
        <v>126</v>
      </c>
      <c r="C165" s="14">
        <v>45875</v>
      </c>
      <c r="D165" s="26">
        <v>105</v>
      </c>
      <c r="E165" s="108" t="s">
        <v>226</v>
      </c>
      <c r="F165" s="16">
        <v>0</v>
      </c>
      <c r="G165" s="16">
        <v>200</v>
      </c>
      <c r="H165" s="33">
        <f t="shared" si="2"/>
        <v>670468.32000000065</v>
      </c>
      <c r="I165" s="16" t="s">
        <v>241</v>
      </c>
      <c r="J165" s="16"/>
      <c r="K165" s="16"/>
      <c r="L165" s="175" t="s">
        <v>3</v>
      </c>
      <c r="M165" s="175" t="s">
        <v>27</v>
      </c>
      <c r="N165" s="16"/>
    </row>
    <row r="166" spans="1:14" s="7" customFormat="1" ht="13.5" customHeight="1" x14ac:dyDescent="0.2">
      <c r="A166" s="13" t="s">
        <v>122</v>
      </c>
      <c r="B166" s="13" t="s">
        <v>123</v>
      </c>
      <c r="C166" s="14">
        <v>45875</v>
      </c>
      <c r="D166" s="26">
        <v>106</v>
      </c>
      <c r="E166" s="108" t="s">
        <v>222</v>
      </c>
      <c r="F166" s="16">
        <v>0</v>
      </c>
      <c r="G166" s="16">
        <v>2000</v>
      </c>
      <c r="H166" s="33">
        <f t="shared" si="2"/>
        <v>668468.32000000065</v>
      </c>
      <c r="I166" s="16" t="s">
        <v>135</v>
      </c>
      <c r="J166" s="16"/>
      <c r="K166" s="16"/>
      <c r="L166" s="175" t="s">
        <v>3</v>
      </c>
      <c r="M166" s="175" t="s">
        <v>39</v>
      </c>
      <c r="N166" s="16"/>
    </row>
    <row r="167" spans="1:14" s="7" customFormat="1" ht="13.5" customHeight="1" x14ac:dyDescent="0.2">
      <c r="A167" s="13" t="s">
        <v>125</v>
      </c>
      <c r="B167" s="13" t="s">
        <v>126</v>
      </c>
      <c r="C167" s="14">
        <v>45875</v>
      </c>
      <c r="D167" s="26">
        <v>107</v>
      </c>
      <c r="E167" s="108" t="s">
        <v>224</v>
      </c>
      <c r="F167" s="16">
        <v>0</v>
      </c>
      <c r="G167" s="16">
        <v>31724</v>
      </c>
      <c r="H167" s="33">
        <f t="shared" si="2"/>
        <v>636744.32000000065</v>
      </c>
      <c r="I167" s="16" t="s">
        <v>237</v>
      </c>
      <c r="J167" s="16"/>
      <c r="K167" s="16"/>
      <c r="L167" s="179" t="s">
        <v>3</v>
      </c>
      <c r="M167" s="179" t="s">
        <v>27</v>
      </c>
      <c r="N167" s="16"/>
    </row>
    <row r="168" spans="1:14" s="7" customFormat="1" ht="13.5" customHeight="1" x14ac:dyDescent="0.2">
      <c r="A168" s="38" t="s">
        <v>122</v>
      </c>
      <c r="B168" s="38" t="s">
        <v>123</v>
      </c>
      <c r="C168" s="39">
        <v>45875</v>
      </c>
      <c r="D168" s="40">
        <v>108</v>
      </c>
      <c r="E168" s="69" t="s">
        <v>141</v>
      </c>
      <c r="F168" s="15">
        <v>0</v>
      </c>
      <c r="G168" s="15">
        <v>4000</v>
      </c>
      <c r="H168" s="33">
        <f t="shared" si="2"/>
        <v>632744.32000000065</v>
      </c>
      <c r="I168" s="15" t="s">
        <v>239</v>
      </c>
      <c r="J168" s="15"/>
      <c r="K168" s="15"/>
      <c r="L168" s="176" t="s">
        <v>3</v>
      </c>
      <c r="M168" s="176" t="s">
        <v>39</v>
      </c>
      <c r="N168" s="15"/>
    </row>
    <row r="169" spans="1:14" s="7" customFormat="1" ht="13.5" customHeight="1" x14ac:dyDescent="0.2">
      <c r="A169" s="13" t="s">
        <v>125</v>
      </c>
      <c r="B169" s="13" t="s">
        <v>126</v>
      </c>
      <c r="C169" s="14">
        <v>45875</v>
      </c>
      <c r="D169" s="26">
        <v>109</v>
      </c>
      <c r="E169" s="108" t="s">
        <v>225</v>
      </c>
      <c r="F169" s="16">
        <v>0</v>
      </c>
      <c r="G169" s="16">
        <v>100</v>
      </c>
      <c r="H169" s="33">
        <f t="shared" si="2"/>
        <v>632644.32000000065</v>
      </c>
      <c r="I169" s="16" t="s">
        <v>241</v>
      </c>
      <c r="J169" s="16"/>
      <c r="K169" s="16"/>
      <c r="L169" s="179" t="s">
        <v>3</v>
      </c>
      <c r="M169" s="179" t="s">
        <v>27</v>
      </c>
      <c r="N169" s="16"/>
    </row>
    <row r="170" spans="1:14" s="7" customFormat="1" ht="13.5" customHeight="1" x14ac:dyDescent="0.2">
      <c r="A170" s="198" t="s">
        <v>125</v>
      </c>
      <c r="B170" s="198" t="s">
        <v>126</v>
      </c>
      <c r="C170" s="201">
        <v>45876</v>
      </c>
      <c r="D170" s="206">
        <v>9</v>
      </c>
      <c r="E170" s="209" t="s">
        <v>235</v>
      </c>
      <c r="F170" s="212">
        <v>34000</v>
      </c>
      <c r="G170" s="212">
        <v>0</v>
      </c>
      <c r="H170" s="33">
        <f t="shared" si="2"/>
        <v>666644.32000000065</v>
      </c>
      <c r="I170" s="212" t="s">
        <v>236</v>
      </c>
      <c r="J170" s="217"/>
      <c r="K170" s="217"/>
      <c r="L170" s="219"/>
      <c r="M170" s="219"/>
      <c r="N170" s="217"/>
    </row>
    <row r="171" spans="1:14" s="7" customFormat="1" ht="13.5" customHeight="1" x14ac:dyDescent="0.2">
      <c r="A171" s="74" t="s">
        <v>122</v>
      </c>
      <c r="B171" s="52" t="s">
        <v>123</v>
      </c>
      <c r="C171" s="75">
        <v>45877</v>
      </c>
      <c r="D171" s="76">
        <v>111</v>
      </c>
      <c r="E171" s="111" t="s">
        <v>232</v>
      </c>
      <c r="F171" s="77">
        <v>0</v>
      </c>
      <c r="G171" s="77">
        <v>400</v>
      </c>
      <c r="H171" s="224">
        <f t="shared" si="2"/>
        <v>666244.32000000065</v>
      </c>
      <c r="I171" s="55" t="s">
        <v>134</v>
      </c>
      <c r="J171" s="78"/>
      <c r="K171" s="78"/>
      <c r="L171" s="178" t="s">
        <v>3</v>
      </c>
      <c r="M171" s="178" t="s">
        <v>15</v>
      </c>
      <c r="N171" s="79"/>
    </row>
    <row r="172" spans="1:14" s="7" customFormat="1" ht="13.5" customHeight="1" x14ac:dyDescent="0.2">
      <c r="A172" s="42" t="s">
        <v>122</v>
      </c>
      <c r="B172" s="13" t="s">
        <v>123</v>
      </c>
      <c r="C172" s="44">
        <v>45877</v>
      </c>
      <c r="D172" s="45">
        <v>111</v>
      </c>
      <c r="E172" s="110" t="s">
        <v>95</v>
      </c>
      <c r="F172" s="50">
        <v>0</v>
      </c>
      <c r="G172" s="50">
        <v>451.2</v>
      </c>
      <c r="H172" s="33">
        <f t="shared" si="2"/>
        <v>665793.12000000069</v>
      </c>
      <c r="I172" s="32" t="s">
        <v>134</v>
      </c>
      <c r="J172" s="46"/>
      <c r="K172" s="46"/>
      <c r="L172" s="175" t="s">
        <v>3</v>
      </c>
      <c r="M172" s="175" t="s">
        <v>15</v>
      </c>
      <c r="N172" s="47"/>
    </row>
    <row r="173" spans="1:14" s="7" customFormat="1" ht="13.5" customHeight="1" x14ac:dyDescent="0.2">
      <c r="A173" s="42" t="s">
        <v>122</v>
      </c>
      <c r="B173" s="13" t="s">
        <v>123</v>
      </c>
      <c r="C173" s="44">
        <v>45878</v>
      </c>
      <c r="D173" s="45">
        <v>111</v>
      </c>
      <c r="E173" s="110" t="s">
        <v>95</v>
      </c>
      <c r="F173" s="50">
        <v>0</v>
      </c>
      <c r="G173" s="50">
        <v>451.2</v>
      </c>
      <c r="H173" s="33">
        <f t="shared" si="2"/>
        <v>665341.92000000074</v>
      </c>
      <c r="I173" s="32" t="s">
        <v>134</v>
      </c>
      <c r="J173" s="46"/>
      <c r="K173" s="46"/>
      <c r="L173" s="177" t="s">
        <v>3</v>
      </c>
      <c r="M173" s="177" t="s">
        <v>15</v>
      </c>
      <c r="N173" s="47"/>
    </row>
    <row r="174" spans="1:14" s="7" customFormat="1" ht="13.5" customHeight="1" x14ac:dyDescent="0.2">
      <c r="A174" s="42" t="s">
        <v>122</v>
      </c>
      <c r="B174" s="13" t="s">
        <v>123</v>
      </c>
      <c r="C174" s="44">
        <v>45878</v>
      </c>
      <c r="D174" s="45">
        <v>111</v>
      </c>
      <c r="E174" s="110" t="s">
        <v>95</v>
      </c>
      <c r="F174" s="50">
        <v>0</v>
      </c>
      <c r="G174" s="50">
        <v>451.2</v>
      </c>
      <c r="H174" s="33">
        <f t="shared" si="2"/>
        <v>664890.72000000079</v>
      </c>
      <c r="I174" s="50" t="s">
        <v>134</v>
      </c>
      <c r="J174" s="46"/>
      <c r="K174" s="46"/>
      <c r="L174" s="175" t="s">
        <v>3</v>
      </c>
      <c r="M174" s="175" t="s">
        <v>15</v>
      </c>
      <c r="N174" s="47"/>
    </row>
    <row r="175" spans="1:14" s="7" customFormat="1" ht="13.5" customHeight="1" x14ac:dyDescent="0.2">
      <c r="A175" s="42" t="s">
        <v>122</v>
      </c>
      <c r="B175" s="43" t="s">
        <v>123</v>
      </c>
      <c r="C175" s="44">
        <v>45880</v>
      </c>
      <c r="D175" s="45">
        <v>111</v>
      </c>
      <c r="E175" s="110" t="s">
        <v>227</v>
      </c>
      <c r="F175" s="50">
        <v>0</v>
      </c>
      <c r="G175" s="50">
        <v>902.4</v>
      </c>
      <c r="H175" s="223">
        <f t="shared" si="2"/>
        <v>663988.32000000076</v>
      </c>
      <c r="I175" s="50" t="s">
        <v>134</v>
      </c>
      <c r="J175" s="46"/>
      <c r="K175" s="46"/>
      <c r="L175" s="177" t="s">
        <v>3</v>
      </c>
      <c r="M175" s="177" t="s">
        <v>15</v>
      </c>
      <c r="N175" s="47"/>
    </row>
    <row r="176" spans="1:14" s="7" customFormat="1" ht="13.5" customHeight="1" x14ac:dyDescent="0.2">
      <c r="A176" s="198" t="s">
        <v>125</v>
      </c>
      <c r="B176" s="198" t="s">
        <v>126</v>
      </c>
      <c r="C176" s="201">
        <v>45881</v>
      </c>
      <c r="D176" s="206">
        <v>10</v>
      </c>
      <c r="E176" s="209" t="s">
        <v>235</v>
      </c>
      <c r="F176" s="212">
        <v>11000</v>
      </c>
      <c r="G176" s="212">
        <v>0</v>
      </c>
      <c r="H176" s="33">
        <f t="shared" si="2"/>
        <v>674988.32000000076</v>
      </c>
      <c r="I176" s="212" t="s">
        <v>236</v>
      </c>
      <c r="J176" s="217"/>
      <c r="K176" s="217"/>
      <c r="L176" s="219"/>
      <c r="M176" s="219"/>
      <c r="N176" s="217"/>
    </row>
    <row r="177" spans="1:14" s="7" customFormat="1" ht="13.5" customHeight="1" x14ac:dyDescent="0.2">
      <c r="A177" s="13" t="s">
        <v>125</v>
      </c>
      <c r="B177" s="13" t="s">
        <v>126</v>
      </c>
      <c r="C177" s="14">
        <v>45881</v>
      </c>
      <c r="D177" s="26">
        <v>110</v>
      </c>
      <c r="E177" s="241" t="s">
        <v>200</v>
      </c>
      <c r="F177" s="16">
        <v>0</v>
      </c>
      <c r="G177" s="16">
        <v>570</v>
      </c>
      <c r="H177" s="33">
        <f t="shared" si="2"/>
        <v>674418.32000000076</v>
      </c>
      <c r="I177" s="16" t="s">
        <v>135</v>
      </c>
      <c r="J177" s="16"/>
      <c r="K177" s="16"/>
      <c r="L177" s="175" t="s">
        <v>3</v>
      </c>
      <c r="M177" s="175" t="s">
        <v>39</v>
      </c>
      <c r="N177" s="16"/>
    </row>
    <row r="178" spans="1:14" s="7" customFormat="1" ht="13.5" customHeight="1" x14ac:dyDescent="0.2">
      <c r="A178" s="13" t="s">
        <v>121</v>
      </c>
      <c r="B178" s="13" t="s">
        <v>123</v>
      </c>
      <c r="C178" s="14">
        <v>45881</v>
      </c>
      <c r="D178" s="26">
        <v>111</v>
      </c>
      <c r="E178" s="108" t="s">
        <v>233</v>
      </c>
      <c r="F178" s="16">
        <v>0</v>
      </c>
      <c r="G178" s="16">
        <v>3080</v>
      </c>
      <c r="H178" s="33">
        <f t="shared" si="2"/>
        <v>671338.32000000076</v>
      </c>
      <c r="I178" s="16" t="s">
        <v>85</v>
      </c>
      <c r="J178" s="16"/>
      <c r="K178" s="16"/>
      <c r="L178" s="179" t="s">
        <v>7</v>
      </c>
      <c r="M178" s="179" t="s">
        <v>64</v>
      </c>
      <c r="N178" s="16"/>
    </row>
    <row r="179" spans="1:14" s="7" customFormat="1" ht="13.5" customHeight="1" x14ac:dyDescent="0.2">
      <c r="A179" s="74" t="s">
        <v>122</v>
      </c>
      <c r="B179" s="200" t="s">
        <v>123</v>
      </c>
      <c r="C179" s="75">
        <v>45883</v>
      </c>
      <c r="D179" s="76">
        <v>111</v>
      </c>
      <c r="E179" s="211" t="s">
        <v>350</v>
      </c>
      <c r="F179" s="77">
        <v>0</v>
      </c>
      <c r="G179" s="77">
        <v>570.09</v>
      </c>
      <c r="H179" s="225">
        <f t="shared" si="2"/>
        <v>670768.2300000008</v>
      </c>
      <c r="I179" s="77" t="s">
        <v>134</v>
      </c>
      <c r="J179" s="78"/>
      <c r="K179" s="78"/>
      <c r="L179" s="226" t="s">
        <v>3</v>
      </c>
      <c r="M179" s="226" t="s">
        <v>15</v>
      </c>
      <c r="N179" s="79"/>
    </row>
    <row r="180" spans="1:14" s="7" customFormat="1" ht="13.5" customHeight="1" x14ac:dyDescent="0.2">
      <c r="A180" s="13" t="s">
        <v>122</v>
      </c>
      <c r="B180" s="13" t="s">
        <v>123</v>
      </c>
      <c r="C180" s="14">
        <v>45883</v>
      </c>
      <c r="D180" s="26">
        <v>112</v>
      </c>
      <c r="E180" s="108" t="s">
        <v>234</v>
      </c>
      <c r="F180" s="16">
        <v>0</v>
      </c>
      <c r="G180" s="16">
        <v>6000</v>
      </c>
      <c r="H180" s="33">
        <f t="shared" si="2"/>
        <v>664768.2300000008</v>
      </c>
      <c r="I180" s="16" t="s">
        <v>240</v>
      </c>
      <c r="J180" s="16"/>
      <c r="K180" s="16"/>
      <c r="L180" s="179" t="s">
        <v>3</v>
      </c>
      <c r="M180" s="179" t="s">
        <v>63</v>
      </c>
      <c r="N180" s="16"/>
    </row>
    <row r="181" spans="1:14" s="7" customFormat="1" ht="13.5" customHeight="1" x14ac:dyDescent="0.2">
      <c r="A181" s="74" t="s">
        <v>122</v>
      </c>
      <c r="B181" s="52" t="s">
        <v>123</v>
      </c>
      <c r="C181" s="75">
        <v>45885</v>
      </c>
      <c r="D181" s="76">
        <v>111</v>
      </c>
      <c r="E181" s="211" t="s">
        <v>95</v>
      </c>
      <c r="F181" s="77">
        <v>0</v>
      </c>
      <c r="G181" s="77">
        <v>451.2</v>
      </c>
      <c r="H181" s="224">
        <f t="shared" si="2"/>
        <v>664317.03000000084</v>
      </c>
      <c r="I181" s="77" t="s">
        <v>134</v>
      </c>
      <c r="J181" s="78"/>
      <c r="K181" s="78"/>
      <c r="L181" s="226" t="s">
        <v>3</v>
      </c>
      <c r="M181" s="226" t="s">
        <v>15</v>
      </c>
      <c r="N181" s="79"/>
    </row>
    <row r="182" spans="1:14" s="7" customFormat="1" ht="13.5" customHeight="1" x14ac:dyDescent="0.2">
      <c r="A182" s="42" t="s">
        <v>122</v>
      </c>
      <c r="B182" s="13" t="s">
        <v>123</v>
      </c>
      <c r="C182" s="44">
        <v>45886</v>
      </c>
      <c r="D182" s="45">
        <v>111</v>
      </c>
      <c r="E182" s="110" t="s">
        <v>351</v>
      </c>
      <c r="F182" s="50">
        <v>0</v>
      </c>
      <c r="G182" s="50">
        <v>448.38</v>
      </c>
      <c r="H182" s="33">
        <f t="shared" si="2"/>
        <v>663868.65000000084</v>
      </c>
      <c r="I182" s="50" t="s">
        <v>134</v>
      </c>
      <c r="J182" s="46"/>
      <c r="K182" s="46"/>
      <c r="L182" s="177" t="s">
        <v>3</v>
      </c>
      <c r="M182" s="177" t="s">
        <v>15</v>
      </c>
      <c r="N182" s="47"/>
    </row>
    <row r="183" spans="1:14" s="7" customFormat="1" ht="13.5" customHeight="1" x14ac:dyDescent="0.2">
      <c r="A183" s="42" t="s">
        <v>122</v>
      </c>
      <c r="B183" s="13" t="s">
        <v>123</v>
      </c>
      <c r="C183" s="44">
        <v>45887</v>
      </c>
      <c r="D183" s="45">
        <v>111</v>
      </c>
      <c r="E183" s="110" t="s">
        <v>95</v>
      </c>
      <c r="F183" s="50">
        <v>0</v>
      </c>
      <c r="G183" s="50">
        <v>451.2</v>
      </c>
      <c r="H183" s="33">
        <f t="shared" si="2"/>
        <v>663417.45000000088</v>
      </c>
      <c r="I183" s="50" t="s">
        <v>134</v>
      </c>
      <c r="J183" s="46"/>
      <c r="K183" s="46"/>
      <c r="L183" s="177" t="s">
        <v>3</v>
      </c>
      <c r="M183" s="177" t="s">
        <v>15</v>
      </c>
      <c r="N183" s="47"/>
    </row>
    <row r="184" spans="1:14" s="7" customFormat="1" ht="13.5" customHeight="1" x14ac:dyDescent="0.2">
      <c r="A184" s="42" t="s">
        <v>122</v>
      </c>
      <c r="B184" s="13" t="s">
        <v>123</v>
      </c>
      <c r="C184" s="44">
        <v>45888</v>
      </c>
      <c r="D184" s="45">
        <v>111</v>
      </c>
      <c r="E184" s="110" t="s">
        <v>352</v>
      </c>
      <c r="F184" s="50">
        <v>0</v>
      </c>
      <c r="G184" s="50">
        <v>560.84</v>
      </c>
      <c r="H184" s="33">
        <f t="shared" si="2"/>
        <v>662856.61000000092</v>
      </c>
      <c r="I184" s="50" t="s">
        <v>134</v>
      </c>
      <c r="J184" s="46"/>
      <c r="K184" s="46"/>
      <c r="L184" s="177" t="s">
        <v>3</v>
      </c>
      <c r="M184" s="177" t="s">
        <v>15</v>
      </c>
      <c r="N184" s="47"/>
    </row>
    <row r="185" spans="1:14" s="7" customFormat="1" ht="13.5" customHeight="1" x14ac:dyDescent="0.2">
      <c r="A185" s="42" t="s">
        <v>122</v>
      </c>
      <c r="B185" s="13" t="s">
        <v>123</v>
      </c>
      <c r="C185" s="44">
        <v>45888</v>
      </c>
      <c r="D185" s="45">
        <v>111</v>
      </c>
      <c r="E185" s="110" t="s">
        <v>95</v>
      </c>
      <c r="F185" s="50">
        <v>0</v>
      </c>
      <c r="G185" s="50">
        <v>451.2</v>
      </c>
      <c r="H185" s="33">
        <f t="shared" si="2"/>
        <v>662405.41000000096</v>
      </c>
      <c r="I185" s="50" t="s">
        <v>134</v>
      </c>
      <c r="J185" s="46"/>
      <c r="K185" s="46"/>
      <c r="L185" s="177" t="s">
        <v>3</v>
      </c>
      <c r="M185" s="177" t="s">
        <v>15</v>
      </c>
      <c r="N185" s="47"/>
    </row>
    <row r="186" spans="1:14" s="7" customFormat="1" ht="13.5" customHeight="1" x14ac:dyDescent="0.2">
      <c r="A186" s="42" t="s">
        <v>122</v>
      </c>
      <c r="B186" s="13" t="s">
        <v>123</v>
      </c>
      <c r="C186" s="44">
        <v>45889</v>
      </c>
      <c r="D186" s="45">
        <v>111</v>
      </c>
      <c r="E186" s="110" t="s">
        <v>95</v>
      </c>
      <c r="F186" s="50">
        <v>0</v>
      </c>
      <c r="G186" s="50">
        <v>451.2</v>
      </c>
      <c r="H186" s="33">
        <f t="shared" si="2"/>
        <v>661954.21000000101</v>
      </c>
      <c r="I186" s="50" t="s">
        <v>134</v>
      </c>
      <c r="J186" s="46"/>
      <c r="K186" s="46"/>
      <c r="L186" s="177" t="s">
        <v>3</v>
      </c>
      <c r="M186" s="177" t="s">
        <v>15</v>
      </c>
      <c r="N186" s="47"/>
    </row>
    <row r="187" spans="1:14" s="7" customFormat="1" ht="13.5" customHeight="1" x14ac:dyDescent="0.2">
      <c r="A187" s="42" t="s">
        <v>122</v>
      </c>
      <c r="B187" s="43" t="s">
        <v>123</v>
      </c>
      <c r="C187" s="44">
        <v>45890</v>
      </c>
      <c r="D187" s="45">
        <v>111</v>
      </c>
      <c r="E187" s="110" t="s">
        <v>95</v>
      </c>
      <c r="F187" s="50">
        <v>0</v>
      </c>
      <c r="G187" s="50">
        <v>451.2</v>
      </c>
      <c r="H187" s="223">
        <f t="shared" si="2"/>
        <v>661503.01000000106</v>
      </c>
      <c r="I187" s="50" t="s">
        <v>134</v>
      </c>
      <c r="J187" s="46"/>
      <c r="K187" s="46"/>
      <c r="L187" s="177" t="s">
        <v>3</v>
      </c>
      <c r="M187" s="177" t="s">
        <v>15</v>
      </c>
      <c r="N187" s="47"/>
    </row>
    <row r="188" spans="1:14" s="7" customFormat="1" ht="13.5" customHeight="1" x14ac:dyDescent="0.2">
      <c r="A188" s="13" t="s">
        <v>125</v>
      </c>
      <c r="B188" s="13" t="s">
        <v>126</v>
      </c>
      <c r="C188" s="14">
        <v>45890</v>
      </c>
      <c r="D188" s="26">
        <v>113</v>
      </c>
      <c r="E188" s="113" t="s">
        <v>139</v>
      </c>
      <c r="F188" s="32">
        <v>0</v>
      </c>
      <c r="G188" s="32">
        <v>1900</v>
      </c>
      <c r="H188" s="33">
        <f t="shared" si="2"/>
        <v>659603.01000000106</v>
      </c>
      <c r="I188" s="32" t="s">
        <v>249</v>
      </c>
      <c r="J188" s="16"/>
      <c r="K188" s="16"/>
      <c r="L188" s="175" t="s">
        <v>3</v>
      </c>
      <c r="M188" s="175" t="s">
        <v>39</v>
      </c>
      <c r="N188" s="16"/>
    </row>
    <row r="189" spans="1:14" s="7" customFormat="1" ht="13.5" customHeight="1" x14ac:dyDescent="0.2">
      <c r="A189" s="74" t="s">
        <v>122</v>
      </c>
      <c r="B189" s="200" t="s">
        <v>123</v>
      </c>
      <c r="C189" s="75">
        <v>45891</v>
      </c>
      <c r="D189" s="76">
        <v>111</v>
      </c>
      <c r="E189" s="211" t="s">
        <v>95</v>
      </c>
      <c r="F189" s="77">
        <v>0</v>
      </c>
      <c r="G189" s="77">
        <v>451.2</v>
      </c>
      <c r="H189" s="225">
        <f t="shared" si="2"/>
        <v>659151.8100000011</v>
      </c>
      <c r="I189" s="77" t="s">
        <v>134</v>
      </c>
      <c r="J189" s="78"/>
      <c r="K189" s="78"/>
      <c r="L189" s="226" t="s">
        <v>3</v>
      </c>
      <c r="M189" s="226" t="s">
        <v>15</v>
      </c>
      <c r="N189" s="79"/>
    </row>
    <row r="190" spans="1:14" s="7" customFormat="1" ht="13.5" customHeight="1" x14ac:dyDescent="0.2">
      <c r="A190" s="198" t="s">
        <v>125</v>
      </c>
      <c r="B190" s="198" t="s">
        <v>126</v>
      </c>
      <c r="C190" s="201">
        <v>45891</v>
      </c>
      <c r="D190" s="206">
        <v>11</v>
      </c>
      <c r="E190" s="209" t="s">
        <v>251</v>
      </c>
      <c r="F190" s="212">
        <v>52000</v>
      </c>
      <c r="G190" s="212">
        <v>0</v>
      </c>
      <c r="H190" s="33">
        <f t="shared" si="2"/>
        <v>711151.8100000011</v>
      </c>
      <c r="I190" s="212" t="s">
        <v>236</v>
      </c>
      <c r="J190" s="217"/>
      <c r="K190" s="217"/>
      <c r="L190" s="219"/>
      <c r="M190" s="219"/>
      <c r="N190" s="217"/>
    </row>
    <row r="191" spans="1:14" s="7" customFormat="1" ht="13.5" customHeight="1" x14ac:dyDescent="0.2">
      <c r="A191" s="198" t="s">
        <v>125</v>
      </c>
      <c r="B191" s="198" t="s">
        <v>126</v>
      </c>
      <c r="C191" s="201">
        <v>45891</v>
      </c>
      <c r="D191" s="206">
        <v>12</v>
      </c>
      <c r="E191" s="209" t="s">
        <v>251</v>
      </c>
      <c r="F191" s="212">
        <v>71000</v>
      </c>
      <c r="G191" s="212">
        <v>0</v>
      </c>
      <c r="H191" s="33">
        <f t="shared" si="2"/>
        <v>782151.8100000011</v>
      </c>
      <c r="I191" s="212" t="s">
        <v>236</v>
      </c>
      <c r="J191" s="217"/>
      <c r="K191" s="217"/>
      <c r="L191" s="219"/>
      <c r="M191" s="219"/>
      <c r="N191" s="217"/>
    </row>
    <row r="192" spans="1:14" s="49" customFormat="1" ht="13.5" customHeight="1" x14ac:dyDescent="0.2">
      <c r="A192" s="74" t="s">
        <v>122</v>
      </c>
      <c r="B192" s="200" t="s">
        <v>123</v>
      </c>
      <c r="C192" s="75">
        <v>45892</v>
      </c>
      <c r="D192" s="76">
        <v>111</v>
      </c>
      <c r="E192" s="211" t="s">
        <v>95</v>
      </c>
      <c r="F192" s="77">
        <v>0</v>
      </c>
      <c r="G192" s="77">
        <v>447.2</v>
      </c>
      <c r="H192" s="225">
        <f t="shared" si="2"/>
        <v>781704.61000000115</v>
      </c>
      <c r="I192" s="77" t="s">
        <v>134</v>
      </c>
      <c r="J192" s="78"/>
      <c r="K192" s="78"/>
      <c r="L192" s="226" t="s">
        <v>3</v>
      </c>
      <c r="M192" s="226" t="s">
        <v>15</v>
      </c>
      <c r="N192" s="79"/>
    </row>
    <row r="193" spans="1:28" s="49" customFormat="1" ht="13.5" customHeight="1" x14ac:dyDescent="0.2">
      <c r="A193" s="13" t="s">
        <v>125</v>
      </c>
      <c r="B193" s="13" t="s">
        <v>126</v>
      </c>
      <c r="C193" s="14">
        <v>45893</v>
      </c>
      <c r="D193" s="26">
        <v>114</v>
      </c>
      <c r="E193" s="108" t="s">
        <v>247</v>
      </c>
      <c r="F193" s="32">
        <v>0</v>
      </c>
      <c r="G193" s="32">
        <v>140</v>
      </c>
      <c r="H193" s="33">
        <f t="shared" si="2"/>
        <v>781564.61000000115</v>
      </c>
      <c r="I193" s="32" t="s">
        <v>107</v>
      </c>
      <c r="J193" s="16"/>
      <c r="K193" s="16"/>
      <c r="L193" s="175" t="s">
        <v>3</v>
      </c>
      <c r="M193" s="175" t="s">
        <v>39</v>
      </c>
      <c r="N193" s="16"/>
    </row>
    <row r="194" spans="1:28" s="7" customFormat="1" ht="13.5" customHeight="1" x14ac:dyDescent="0.2">
      <c r="A194" s="13" t="s">
        <v>125</v>
      </c>
      <c r="B194" s="13" t="s">
        <v>126</v>
      </c>
      <c r="C194" s="14">
        <v>45893</v>
      </c>
      <c r="D194" s="26">
        <v>115</v>
      </c>
      <c r="E194" s="108" t="s">
        <v>248</v>
      </c>
      <c r="F194" s="32">
        <v>0</v>
      </c>
      <c r="G194" s="32">
        <v>80</v>
      </c>
      <c r="H194" s="33">
        <f t="shared" si="2"/>
        <v>781484.61000000115</v>
      </c>
      <c r="I194" s="32" t="s">
        <v>250</v>
      </c>
      <c r="J194" s="16"/>
      <c r="K194" s="16"/>
      <c r="L194" s="175" t="s">
        <v>3</v>
      </c>
      <c r="M194" s="175" t="s">
        <v>39</v>
      </c>
      <c r="N194" s="16"/>
    </row>
    <row r="195" spans="1:28" s="7" customFormat="1" ht="13.5" customHeight="1" x14ac:dyDescent="0.2">
      <c r="A195" s="38" t="s">
        <v>122</v>
      </c>
      <c r="B195" s="38" t="s">
        <v>123</v>
      </c>
      <c r="C195" s="39">
        <v>45894</v>
      </c>
      <c r="D195" s="40">
        <v>116</v>
      </c>
      <c r="E195" s="69" t="s">
        <v>141</v>
      </c>
      <c r="F195" s="15">
        <v>0</v>
      </c>
      <c r="G195" s="15">
        <v>6000</v>
      </c>
      <c r="H195" s="33">
        <f t="shared" si="2"/>
        <v>775484.61000000115</v>
      </c>
      <c r="I195" s="15" t="s">
        <v>239</v>
      </c>
      <c r="J195" s="15"/>
      <c r="K195" s="15"/>
      <c r="L195" s="176" t="s">
        <v>3</v>
      </c>
      <c r="M195" s="176" t="s">
        <v>39</v>
      </c>
      <c r="N195" s="15"/>
    </row>
    <row r="196" spans="1:28" s="7" customFormat="1" ht="13.5" customHeight="1" x14ac:dyDescent="0.2">
      <c r="A196" s="74" t="s">
        <v>122</v>
      </c>
      <c r="B196" s="52" t="s">
        <v>123</v>
      </c>
      <c r="C196" s="75">
        <v>45895</v>
      </c>
      <c r="D196" s="76">
        <v>111</v>
      </c>
      <c r="E196" s="211" t="s">
        <v>353</v>
      </c>
      <c r="F196" s="77">
        <v>0</v>
      </c>
      <c r="G196" s="77">
        <v>600.03</v>
      </c>
      <c r="H196" s="224">
        <f t="shared" si="2"/>
        <v>774884.58000000112</v>
      </c>
      <c r="I196" s="77" t="s">
        <v>134</v>
      </c>
      <c r="J196" s="78"/>
      <c r="K196" s="78"/>
      <c r="L196" s="226" t="s">
        <v>3</v>
      </c>
      <c r="M196" s="226" t="s">
        <v>15</v>
      </c>
      <c r="N196" s="79"/>
    </row>
    <row r="197" spans="1:28" s="7" customFormat="1" ht="13.5" customHeight="1" x14ac:dyDescent="0.2">
      <c r="A197" s="42" t="s">
        <v>122</v>
      </c>
      <c r="B197" s="13" t="s">
        <v>123</v>
      </c>
      <c r="C197" s="44">
        <v>45896</v>
      </c>
      <c r="D197" s="45">
        <v>111</v>
      </c>
      <c r="E197" s="110" t="s">
        <v>95</v>
      </c>
      <c r="F197" s="50">
        <v>0</v>
      </c>
      <c r="G197" s="50">
        <v>447.2</v>
      </c>
      <c r="H197" s="33">
        <f t="shared" si="2"/>
        <v>774437.38000000117</v>
      </c>
      <c r="I197" s="50" t="s">
        <v>134</v>
      </c>
      <c r="J197" s="46"/>
      <c r="K197" s="46"/>
      <c r="L197" s="177" t="s">
        <v>3</v>
      </c>
      <c r="M197" s="177" t="s">
        <v>15</v>
      </c>
      <c r="N197" s="47"/>
    </row>
    <row r="198" spans="1:28" s="7" customFormat="1" ht="13.5" customHeight="1" x14ac:dyDescent="0.2">
      <c r="A198" s="42" t="s">
        <v>122</v>
      </c>
      <c r="B198" s="43" t="s">
        <v>123</v>
      </c>
      <c r="C198" s="44">
        <v>45898</v>
      </c>
      <c r="D198" s="45">
        <v>111</v>
      </c>
      <c r="E198" s="110" t="s">
        <v>95</v>
      </c>
      <c r="F198" s="50">
        <v>0</v>
      </c>
      <c r="G198" s="50">
        <v>447.2</v>
      </c>
      <c r="H198" s="223">
        <f t="shared" si="2"/>
        <v>773990.18000000122</v>
      </c>
      <c r="I198" s="50" t="s">
        <v>134</v>
      </c>
      <c r="J198" s="46"/>
      <c r="K198" s="46"/>
      <c r="L198" s="177" t="s">
        <v>3</v>
      </c>
      <c r="M198" s="177" t="s">
        <v>15</v>
      </c>
      <c r="N198" s="47"/>
    </row>
    <row r="199" spans="1:28" s="7" customFormat="1" ht="13.5" customHeight="1" x14ac:dyDescent="0.2">
      <c r="A199" s="38" t="s">
        <v>122</v>
      </c>
      <c r="B199" s="38" t="s">
        <v>123</v>
      </c>
      <c r="C199" s="39">
        <v>45898</v>
      </c>
      <c r="D199" s="40">
        <v>117</v>
      </c>
      <c r="E199" s="69" t="s">
        <v>218</v>
      </c>
      <c r="F199" s="15">
        <v>0</v>
      </c>
      <c r="G199" s="15">
        <v>10000</v>
      </c>
      <c r="H199" s="33">
        <f t="shared" si="2"/>
        <v>763990.18000000122</v>
      </c>
      <c r="I199" s="15" t="s">
        <v>217</v>
      </c>
      <c r="J199" s="15"/>
      <c r="K199" s="15"/>
      <c r="L199" s="176" t="s">
        <v>3</v>
      </c>
      <c r="M199" s="176" t="s">
        <v>39</v>
      </c>
      <c r="N199" s="15"/>
    </row>
    <row r="200" spans="1:28" s="7" customFormat="1" ht="13.5" customHeight="1" x14ac:dyDescent="0.2">
      <c r="A200" s="13" t="s">
        <v>121</v>
      </c>
      <c r="B200" s="13" t="s">
        <v>123</v>
      </c>
      <c r="C200" s="35">
        <v>45898</v>
      </c>
      <c r="D200" s="36">
        <v>118</v>
      </c>
      <c r="E200" s="105" t="s">
        <v>186</v>
      </c>
      <c r="F200" s="32">
        <v>0</v>
      </c>
      <c r="G200" s="32">
        <v>288</v>
      </c>
      <c r="H200" s="33">
        <f t="shared" si="2"/>
        <v>763702.18000000122</v>
      </c>
      <c r="I200" s="32" t="s">
        <v>253</v>
      </c>
      <c r="J200" s="15"/>
      <c r="K200" s="15"/>
      <c r="L200" s="179" t="s">
        <v>7</v>
      </c>
      <c r="M200" s="179" t="s">
        <v>64</v>
      </c>
      <c r="N200" s="15"/>
    </row>
    <row r="201" spans="1:28" s="41" customFormat="1" ht="13.5" customHeight="1" x14ac:dyDescent="0.2">
      <c r="A201" s="13" t="s">
        <v>125</v>
      </c>
      <c r="B201" s="13" t="s">
        <v>126</v>
      </c>
      <c r="C201" s="35">
        <v>45898</v>
      </c>
      <c r="D201" s="36">
        <v>119</v>
      </c>
      <c r="E201" s="108" t="s">
        <v>248</v>
      </c>
      <c r="F201" s="32">
        <v>0</v>
      </c>
      <c r="G201" s="32">
        <v>530</v>
      </c>
      <c r="H201" s="33">
        <f t="shared" si="2"/>
        <v>763172.18000000122</v>
      </c>
      <c r="I201" s="32" t="s">
        <v>202</v>
      </c>
      <c r="J201" s="16"/>
      <c r="K201" s="16"/>
      <c r="L201" s="175" t="s">
        <v>3</v>
      </c>
      <c r="M201" s="175" t="s">
        <v>39</v>
      </c>
      <c r="N201" s="16"/>
    </row>
    <row r="202" spans="1:28" s="7" customFormat="1" ht="13.5" customHeight="1" x14ac:dyDescent="0.2">
      <c r="A202" s="13" t="s">
        <v>122</v>
      </c>
      <c r="B202" s="13" t="s">
        <v>123</v>
      </c>
      <c r="C202" s="35">
        <v>45898</v>
      </c>
      <c r="D202" s="36">
        <v>120</v>
      </c>
      <c r="E202" s="113" t="s">
        <v>255</v>
      </c>
      <c r="F202" s="32">
        <v>0</v>
      </c>
      <c r="G202" s="32">
        <v>1790</v>
      </c>
      <c r="H202" s="33">
        <f t="shared" ref="H202:H265" si="3">H201+F202-G202</f>
        <v>761382.18000000122</v>
      </c>
      <c r="I202" s="16" t="s">
        <v>85</v>
      </c>
      <c r="J202" s="16"/>
      <c r="K202" s="16"/>
      <c r="L202" s="179" t="s">
        <v>7</v>
      </c>
      <c r="M202" s="179" t="s">
        <v>53</v>
      </c>
      <c r="N202" s="16"/>
    </row>
    <row r="203" spans="1:28" s="7" customFormat="1" ht="13.5" customHeight="1" x14ac:dyDescent="0.2">
      <c r="A203" s="13" t="s">
        <v>125</v>
      </c>
      <c r="B203" s="13" t="s">
        <v>126</v>
      </c>
      <c r="C203" s="35">
        <v>45898</v>
      </c>
      <c r="D203" s="36">
        <v>121</v>
      </c>
      <c r="E203" s="113" t="s">
        <v>254</v>
      </c>
      <c r="F203" s="32">
        <v>0</v>
      </c>
      <c r="G203" s="32">
        <v>600</v>
      </c>
      <c r="H203" s="33">
        <f t="shared" si="3"/>
        <v>760782.18000000122</v>
      </c>
      <c r="I203" s="16" t="s">
        <v>85</v>
      </c>
      <c r="J203" s="16"/>
      <c r="K203" s="16"/>
      <c r="L203" s="175" t="s">
        <v>3</v>
      </c>
      <c r="M203" s="175" t="s">
        <v>39</v>
      </c>
      <c r="N203" s="16"/>
    </row>
    <row r="204" spans="1:28" s="7" customFormat="1" ht="13.5" customHeight="1" x14ac:dyDescent="0.2">
      <c r="A204" s="74" t="s">
        <v>122</v>
      </c>
      <c r="B204" s="52" t="s">
        <v>123</v>
      </c>
      <c r="C204" s="75">
        <v>45899</v>
      </c>
      <c r="D204" s="54">
        <v>111</v>
      </c>
      <c r="E204" s="111" t="s">
        <v>354</v>
      </c>
      <c r="F204" s="55">
        <v>0</v>
      </c>
      <c r="G204" s="55">
        <v>570.07000000000005</v>
      </c>
      <c r="H204" s="224">
        <f t="shared" si="3"/>
        <v>760212.11000000127</v>
      </c>
      <c r="I204" s="55" t="s">
        <v>134</v>
      </c>
      <c r="J204" s="78"/>
      <c r="K204" s="78"/>
      <c r="L204" s="226" t="s">
        <v>3</v>
      </c>
      <c r="M204" s="226" t="s">
        <v>15</v>
      </c>
      <c r="N204" s="79"/>
    </row>
    <row r="205" spans="1:28" s="7" customFormat="1" ht="13.5" customHeight="1" x14ac:dyDescent="0.2">
      <c r="A205" s="42" t="s">
        <v>122</v>
      </c>
      <c r="B205" s="43" t="s">
        <v>123</v>
      </c>
      <c r="C205" s="44">
        <v>45899</v>
      </c>
      <c r="D205" s="45">
        <v>111</v>
      </c>
      <c r="E205" s="110" t="s">
        <v>95</v>
      </c>
      <c r="F205" s="50">
        <v>0</v>
      </c>
      <c r="G205" s="50">
        <v>447.2</v>
      </c>
      <c r="H205" s="223">
        <f t="shared" si="3"/>
        <v>759764.91000000131</v>
      </c>
      <c r="I205" s="50" t="s">
        <v>134</v>
      </c>
      <c r="J205" s="46"/>
      <c r="K205" s="46"/>
      <c r="L205" s="177" t="s">
        <v>3</v>
      </c>
      <c r="M205" s="177" t="s">
        <v>15</v>
      </c>
      <c r="N205" s="47"/>
    </row>
    <row r="206" spans="1:28" s="11" customFormat="1" ht="13.5" customHeight="1" x14ac:dyDescent="0.2">
      <c r="A206" s="38" t="s">
        <v>122</v>
      </c>
      <c r="B206" s="38" t="s">
        <v>123</v>
      </c>
      <c r="C206" s="39">
        <v>45899</v>
      </c>
      <c r="D206" s="40">
        <v>122</v>
      </c>
      <c r="E206" s="69" t="s">
        <v>256</v>
      </c>
      <c r="F206" s="15">
        <v>0</v>
      </c>
      <c r="G206" s="15">
        <v>10000</v>
      </c>
      <c r="H206" s="33">
        <f t="shared" si="3"/>
        <v>749764.91000000131</v>
      </c>
      <c r="I206" s="15" t="s">
        <v>257</v>
      </c>
      <c r="J206" s="15"/>
      <c r="K206" s="15"/>
      <c r="L206" s="176" t="s">
        <v>3</v>
      </c>
      <c r="M206" s="176" t="s">
        <v>39</v>
      </c>
      <c r="N206" s="16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</row>
    <row r="207" spans="1:28" s="72" customFormat="1" ht="13.5" customHeight="1" x14ac:dyDescent="0.2">
      <c r="A207" s="13" t="s">
        <v>122</v>
      </c>
      <c r="B207" s="13" t="s">
        <v>123</v>
      </c>
      <c r="C207" s="14">
        <v>45899</v>
      </c>
      <c r="D207" s="26">
        <v>123</v>
      </c>
      <c r="E207" s="108" t="s">
        <v>258</v>
      </c>
      <c r="F207" s="32">
        <v>0</v>
      </c>
      <c r="G207" s="242">
        <v>15553</v>
      </c>
      <c r="H207" s="33">
        <f t="shared" si="3"/>
        <v>734211.91000000131</v>
      </c>
      <c r="I207" s="16" t="s">
        <v>237</v>
      </c>
      <c r="J207" s="16"/>
      <c r="K207" s="16"/>
      <c r="L207" s="179" t="s">
        <v>3</v>
      </c>
      <c r="M207" s="179" t="s">
        <v>27</v>
      </c>
      <c r="N207" s="16"/>
      <c r="O207" s="71"/>
      <c r="P207" s="71"/>
      <c r="Q207" s="71"/>
      <c r="R207" s="71"/>
      <c r="S207" s="71"/>
      <c r="T207" s="71"/>
      <c r="U207" s="71"/>
      <c r="V207" s="71"/>
      <c r="W207" s="71"/>
      <c r="X207" s="71"/>
      <c r="Y207" s="71"/>
      <c r="Z207" s="71"/>
      <c r="AA207" s="71"/>
      <c r="AB207" s="71"/>
    </row>
    <row r="208" spans="1:28" s="72" customFormat="1" ht="13.5" customHeight="1" x14ac:dyDescent="0.2">
      <c r="A208" s="198" t="s">
        <v>125</v>
      </c>
      <c r="B208" s="198" t="s">
        <v>126</v>
      </c>
      <c r="C208" s="201">
        <v>45901</v>
      </c>
      <c r="D208" s="206">
        <v>13</v>
      </c>
      <c r="E208" s="209" t="s">
        <v>251</v>
      </c>
      <c r="F208" s="212">
        <v>27000</v>
      </c>
      <c r="G208" s="212">
        <v>0</v>
      </c>
      <c r="H208" s="33">
        <f t="shared" si="3"/>
        <v>761211.91000000131</v>
      </c>
      <c r="I208" s="212" t="s">
        <v>236</v>
      </c>
      <c r="J208" s="217"/>
      <c r="K208" s="217"/>
      <c r="L208" s="219"/>
      <c r="M208" s="219"/>
      <c r="N208" s="217"/>
      <c r="O208" s="71"/>
      <c r="P208" s="71"/>
      <c r="Q208" s="71"/>
      <c r="R208" s="71"/>
      <c r="S208" s="71"/>
      <c r="T208" s="71"/>
      <c r="U208" s="71"/>
      <c r="V208" s="71"/>
      <c r="W208" s="71"/>
      <c r="X208" s="71"/>
      <c r="Y208" s="71"/>
      <c r="Z208" s="71"/>
      <c r="AA208" s="71"/>
      <c r="AB208" s="71"/>
    </row>
    <row r="209" spans="1:28" s="72" customFormat="1" ht="13.5" customHeight="1" x14ac:dyDescent="0.2">
      <c r="A209" s="13" t="s">
        <v>121</v>
      </c>
      <c r="B209" s="13" t="s">
        <v>123</v>
      </c>
      <c r="C209" s="14">
        <v>45902</v>
      </c>
      <c r="D209" s="26">
        <v>124</v>
      </c>
      <c r="E209" s="113" t="s">
        <v>259</v>
      </c>
      <c r="F209" s="32">
        <v>0</v>
      </c>
      <c r="G209" s="32">
        <v>72</v>
      </c>
      <c r="H209" s="33">
        <f t="shared" si="3"/>
        <v>761139.91000000131</v>
      </c>
      <c r="I209" s="32" t="s">
        <v>260</v>
      </c>
      <c r="J209" s="16"/>
      <c r="K209" s="16"/>
      <c r="L209" s="175" t="s">
        <v>7</v>
      </c>
      <c r="M209" s="175" t="s">
        <v>64</v>
      </c>
      <c r="N209" s="16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</row>
    <row r="210" spans="1:28" s="73" customFormat="1" ht="13.5" customHeight="1" x14ac:dyDescent="0.2">
      <c r="A210" s="13" t="s">
        <v>121</v>
      </c>
      <c r="B210" s="13" t="s">
        <v>123</v>
      </c>
      <c r="C210" s="14">
        <v>45902</v>
      </c>
      <c r="D210" s="26">
        <v>125</v>
      </c>
      <c r="E210" s="113" t="s">
        <v>259</v>
      </c>
      <c r="F210" s="32">
        <v>0</v>
      </c>
      <c r="G210" s="32">
        <v>30</v>
      </c>
      <c r="H210" s="33">
        <f t="shared" si="3"/>
        <v>761109.91000000131</v>
      </c>
      <c r="I210" s="32" t="s">
        <v>106</v>
      </c>
      <c r="J210" s="16"/>
      <c r="K210" s="16"/>
      <c r="L210" s="175" t="s">
        <v>7</v>
      </c>
      <c r="M210" s="175" t="s">
        <v>64</v>
      </c>
      <c r="N210" s="16"/>
    </row>
    <row r="211" spans="1:28" s="11" customFormat="1" ht="13.5" customHeight="1" x14ac:dyDescent="0.2">
      <c r="A211" s="13" t="s">
        <v>125</v>
      </c>
      <c r="B211" s="13" t="s">
        <v>126</v>
      </c>
      <c r="C211" s="14">
        <v>45902</v>
      </c>
      <c r="D211" s="26">
        <v>126</v>
      </c>
      <c r="E211" s="113" t="s">
        <v>261</v>
      </c>
      <c r="F211" s="32">
        <v>0</v>
      </c>
      <c r="G211" s="32">
        <v>380</v>
      </c>
      <c r="H211" s="33">
        <f t="shared" si="3"/>
        <v>760729.91000000131</v>
      </c>
      <c r="I211" s="32" t="s">
        <v>262</v>
      </c>
      <c r="J211" s="16"/>
      <c r="K211" s="16"/>
      <c r="L211" s="175" t="s">
        <v>3</v>
      </c>
      <c r="M211" s="175" t="s">
        <v>39</v>
      </c>
      <c r="N211" s="16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</row>
    <row r="212" spans="1:28" s="73" customFormat="1" ht="13.5" customHeight="1" x14ac:dyDescent="0.2">
      <c r="A212" s="13" t="s">
        <v>125</v>
      </c>
      <c r="B212" s="13" t="s">
        <v>126</v>
      </c>
      <c r="C212" s="14">
        <v>45902</v>
      </c>
      <c r="D212" s="26">
        <v>127</v>
      </c>
      <c r="E212" s="113" t="s">
        <v>263</v>
      </c>
      <c r="F212" s="32">
        <v>0</v>
      </c>
      <c r="G212" s="32">
        <v>150</v>
      </c>
      <c r="H212" s="33">
        <f t="shared" si="3"/>
        <v>760579.91000000131</v>
      </c>
      <c r="I212" s="32" t="s">
        <v>264</v>
      </c>
      <c r="J212" s="16"/>
      <c r="K212" s="16"/>
      <c r="L212" s="175" t="s">
        <v>3</v>
      </c>
      <c r="M212" s="175" t="s">
        <v>39</v>
      </c>
      <c r="N212" s="16"/>
    </row>
    <row r="213" spans="1:28" s="73" customFormat="1" ht="13.5" customHeight="1" x14ac:dyDescent="0.2">
      <c r="A213" s="13" t="s">
        <v>125</v>
      </c>
      <c r="B213" s="13" t="s">
        <v>126</v>
      </c>
      <c r="C213" s="14">
        <v>45902</v>
      </c>
      <c r="D213" s="26">
        <v>128</v>
      </c>
      <c r="E213" s="113" t="s">
        <v>265</v>
      </c>
      <c r="F213" s="32">
        <v>0</v>
      </c>
      <c r="G213" s="32">
        <v>50</v>
      </c>
      <c r="H213" s="33">
        <f t="shared" si="3"/>
        <v>760529.91000000131</v>
      </c>
      <c r="I213" s="32" t="s">
        <v>266</v>
      </c>
      <c r="J213" s="16"/>
      <c r="K213" s="16"/>
      <c r="L213" s="175" t="s">
        <v>3</v>
      </c>
      <c r="M213" s="175" t="s">
        <v>39</v>
      </c>
      <c r="N213" s="16"/>
    </row>
    <row r="214" spans="1:28" s="72" customFormat="1" ht="13.5" customHeight="1" x14ac:dyDescent="0.2">
      <c r="A214" s="13" t="s">
        <v>125</v>
      </c>
      <c r="B214" s="13" t="s">
        <v>126</v>
      </c>
      <c r="C214" s="14">
        <v>45902</v>
      </c>
      <c r="D214" s="26">
        <v>129</v>
      </c>
      <c r="E214" s="113" t="s">
        <v>265</v>
      </c>
      <c r="F214" s="32">
        <v>0</v>
      </c>
      <c r="G214" s="32">
        <v>240</v>
      </c>
      <c r="H214" s="33">
        <f t="shared" si="3"/>
        <v>760289.91000000131</v>
      </c>
      <c r="I214" s="32" t="s">
        <v>267</v>
      </c>
      <c r="J214" s="16"/>
      <c r="K214" s="16"/>
      <c r="L214" s="175" t="s">
        <v>3</v>
      </c>
      <c r="M214" s="175" t="s">
        <v>39</v>
      </c>
      <c r="N214" s="16"/>
      <c r="O214" s="71"/>
      <c r="P214" s="71"/>
      <c r="Q214" s="71"/>
      <c r="R214" s="71"/>
      <c r="S214" s="71"/>
      <c r="T214" s="71"/>
      <c r="U214" s="71"/>
      <c r="V214" s="71"/>
      <c r="W214" s="71"/>
      <c r="X214" s="71"/>
      <c r="Y214" s="71"/>
      <c r="Z214" s="71"/>
      <c r="AA214" s="71"/>
      <c r="AB214" s="71"/>
    </row>
    <row r="215" spans="1:28" s="72" customFormat="1" ht="13.5" customHeight="1" x14ac:dyDescent="0.2">
      <c r="A215" s="38" t="s">
        <v>122</v>
      </c>
      <c r="B215" s="38" t="s">
        <v>123</v>
      </c>
      <c r="C215" s="39">
        <v>45902</v>
      </c>
      <c r="D215" s="40">
        <v>130</v>
      </c>
      <c r="E215" s="69" t="s">
        <v>141</v>
      </c>
      <c r="F215" s="15">
        <v>0</v>
      </c>
      <c r="G215" s="15">
        <v>1000</v>
      </c>
      <c r="H215" s="33">
        <f t="shared" si="3"/>
        <v>759289.91000000131</v>
      </c>
      <c r="I215" s="15" t="s">
        <v>239</v>
      </c>
      <c r="J215" s="15"/>
      <c r="K215" s="15"/>
      <c r="L215" s="176" t="s">
        <v>3</v>
      </c>
      <c r="M215" s="176" t="s">
        <v>39</v>
      </c>
      <c r="N215" s="15"/>
      <c r="O215" s="71"/>
      <c r="P215" s="71"/>
      <c r="Q215" s="71"/>
      <c r="R215" s="71"/>
      <c r="S215" s="71"/>
      <c r="T215" s="71"/>
      <c r="U215" s="71"/>
      <c r="V215" s="71"/>
      <c r="W215" s="71"/>
      <c r="X215" s="71"/>
      <c r="Y215" s="71"/>
      <c r="Z215" s="71"/>
      <c r="AA215" s="71"/>
      <c r="AB215" s="71"/>
    </row>
    <row r="216" spans="1:28" s="72" customFormat="1" ht="13.5" customHeight="1" x14ac:dyDescent="0.2">
      <c r="A216" s="74" t="s">
        <v>122</v>
      </c>
      <c r="B216" s="52" t="s">
        <v>123</v>
      </c>
      <c r="C216" s="53">
        <v>45906</v>
      </c>
      <c r="D216" s="54">
        <v>111</v>
      </c>
      <c r="E216" s="111" t="s">
        <v>355</v>
      </c>
      <c r="F216" s="55">
        <v>0</v>
      </c>
      <c r="G216" s="55">
        <v>395</v>
      </c>
      <c r="H216" s="224">
        <f t="shared" si="3"/>
        <v>758894.91000000131</v>
      </c>
      <c r="I216" s="55" t="s">
        <v>134</v>
      </c>
      <c r="J216" s="56"/>
      <c r="K216" s="56"/>
      <c r="L216" s="226" t="s">
        <v>3</v>
      </c>
      <c r="M216" s="226" t="s">
        <v>15</v>
      </c>
      <c r="N216" s="57"/>
      <c r="O216" s="71"/>
      <c r="P216" s="71"/>
      <c r="Q216" s="71"/>
      <c r="R216" s="71"/>
      <c r="S216" s="71"/>
      <c r="T216" s="71"/>
      <c r="U216" s="71"/>
      <c r="V216" s="71"/>
      <c r="W216" s="71"/>
      <c r="X216" s="71"/>
      <c r="Y216" s="71"/>
      <c r="Z216" s="71"/>
      <c r="AA216" s="71"/>
      <c r="AB216" s="71"/>
    </row>
    <row r="217" spans="1:28" s="72" customFormat="1" ht="13.5" customHeight="1" x14ac:dyDescent="0.2">
      <c r="A217" s="42" t="s">
        <v>122</v>
      </c>
      <c r="B217" s="43" t="s">
        <v>123</v>
      </c>
      <c r="C217" s="14">
        <v>45908</v>
      </c>
      <c r="D217" s="26">
        <v>111</v>
      </c>
      <c r="E217" s="108" t="s">
        <v>95</v>
      </c>
      <c r="F217" s="32">
        <v>0</v>
      </c>
      <c r="G217" s="32">
        <v>447.2</v>
      </c>
      <c r="H217" s="33">
        <f t="shared" si="3"/>
        <v>758447.71000000136</v>
      </c>
      <c r="I217" s="32" t="s">
        <v>134</v>
      </c>
      <c r="J217" s="16"/>
      <c r="K217" s="16"/>
      <c r="L217" s="177" t="s">
        <v>3</v>
      </c>
      <c r="M217" s="177" t="s">
        <v>15</v>
      </c>
      <c r="N217" s="17"/>
      <c r="O217" s="71"/>
      <c r="P217" s="71"/>
      <c r="Q217" s="71"/>
      <c r="R217" s="71"/>
      <c r="S217" s="71"/>
      <c r="T217" s="71"/>
      <c r="U217" s="71"/>
      <c r="V217" s="71"/>
      <c r="W217" s="71"/>
      <c r="X217" s="71"/>
      <c r="Y217" s="71"/>
      <c r="Z217" s="71"/>
      <c r="AA217" s="71"/>
      <c r="AB217" s="71"/>
    </row>
    <row r="218" spans="1:28" s="72" customFormat="1" ht="13.5" customHeight="1" x14ac:dyDescent="0.2">
      <c r="A218" s="42" t="s">
        <v>122</v>
      </c>
      <c r="B218" s="43" t="s">
        <v>123</v>
      </c>
      <c r="C218" s="44">
        <v>45910</v>
      </c>
      <c r="D218" s="45">
        <v>111</v>
      </c>
      <c r="E218" s="110" t="s">
        <v>95</v>
      </c>
      <c r="F218" s="50">
        <v>0</v>
      </c>
      <c r="G218" s="50">
        <v>435.2</v>
      </c>
      <c r="H218" s="223">
        <f t="shared" si="3"/>
        <v>758012.51000000141</v>
      </c>
      <c r="I218" s="50" t="s">
        <v>134</v>
      </c>
      <c r="J218" s="46"/>
      <c r="K218" s="46"/>
      <c r="L218" s="177" t="s">
        <v>3</v>
      </c>
      <c r="M218" s="177" t="s">
        <v>15</v>
      </c>
      <c r="N218" s="47"/>
      <c r="O218" s="71"/>
      <c r="P218" s="71"/>
      <c r="Q218" s="71"/>
      <c r="R218" s="71"/>
      <c r="S218" s="71"/>
      <c r="T218" s="71"/>
      <c r="U218" s="71"/>
      <c r="V218" s="71"/>
      <c r="W218" s="71"/>
      <c r="X218" s="71"/>
      <c r="Y218" s="71"/>
      <c r="Z218" s="71"/>
      <c r="AA218" s="71"/>
      <c r="AB218" s="71"/>
    </row>
    <row r="219" spans="1:28" s="11" customFormat="1" ht="13.5" customHeight="1" x14ac:dyDescent="0.2">
      <c r="A219" s="13" t="s">
        <v>125</v>
      </c>
      <c r="B219" s="13" t="s">
        <v>126</v>
      </c>
      <c r="C219" s="14">
        <v>45910</v>
      </c>
      <c r="D219" s="36">
        <v>131</v>
      </c>
      <c r="E219" s="108" t="s">
        <v>248</v>
      </c>
      <c r="F219" s="32">
        <v>0</v>
      </c>
      <c r="G219" s="32">
        <v>85</v>
      </c>
      <c r="H219" s="33">
        <f t="shared" si="3"/>
        <v>757927.51000000141</v>
      </c>
      <c r="I219" s="32" t="s">
        <v>253</v>
      </c>
      <c r="J219" s="16"/>
      <c r="K219" s="16"/>
      <c r="L219" s="175" t="s">
        <v>3</v>
      </c>
      <c r="M219" s="175" t="s">
        <v>39</v>
      </c>
      <c r="N219" s="16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</row>
    <row r="220" spans="1:28" s="72" customFormat="1" ht="13.5" customHeight="1" x14ac:dyDescent="0.2">
      <c r="A220" s="13" t="s">
        <v>125</v>
      </c>
      <c r="B220" s="13" t="s">
        <v>126</v>
      </c>
      <c r="C220" s="14">
        <v>45910</v>
      </c>
      <c r="D220" s="36">
        <v>132</v>
      </c>
      <c r="E220" s="108" t="s">
        <v>277</v>
      </c>
      <c r="F220" s="32">
        <v>0</v>
      </c>
      <c r="G220" s="32">
        <v>70</v>
      </c>
      <c r="H220" s="33">
        <f t="shared" si="3"/>
        <v>757857.51000000141</v>
      </c>
      <c r="I220" s="32" t="s">
        <v>103</v>
      </c>
      <c r="J220" s="16"/>
      <c r="K220" s="16"/>
      <c r="L220" s="175" t="s">
        <v>3</v>
      </c>
      <c r="M220" s="175" t="s">
        <v>39</v>
      </c>
      <c r="N220" s="16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</row>
    <row r="221" spans="1:28" s="72" customFormat="1" ht="13.5" customHeight="1" x14ac:dyDescent="0.2">
      <c r="A221" s="13" t="s">
        <v>121</v>
      </c>
      <c r="B221" s="13" t="s">
        <v>123</v>
      </c>
      <c r="C221" s="14">
        <v>45910</v>
      </c>
      <c r="D221" s="36">
        <v>133</v>
      </c>
      <c r="E221" s="113" t="s">
        <v>279</v>
      </c>
      <c r="F221" s="32">
        <v>0</v>
      </c>
      <c r="G221" s="32">
        <v>988</v>
      </c>
      <c r="H221" s="33">
        <f t="shared" si="3"/>
        <v>756869.51000000141</v>
      </c>
      <c r="I221" s="32" t="s">
        <v>278</v>
      </c>
      <c r="J221" s="16"/>
      <c r="K221" s="16"/>
      <c r="L221" s="175" t="s">
        <v>7</v>
      </c>
      <c r="M221" s="175" t="s">
        <v>64</v>
      </c>
      <c r="N221" s="16"/>
      <c r="O221" s="71"/>
      <c r="P221" s="71"/>
      <c r="Q221" s="71"/>
      <c r="R221" s="71"/>
      <c r="S221" s="71"/>
      <c r="T221" s="71"/>
      <c r="U221" s="71"/>
      <c r="V221" s="71"/>
      <c r="W221" s="71"/>
      <c r="X221" s="71"/>
      <c r="Y221" s="71"/>
      <c r="Z221" s="71"/>
      <c r="AA221" s="71"/>
      <c r="AB221" s="71"/>
    </row>
    <row r="222" spans="1:28" s="72" customFormat="1" ht="13.5" customHeight="1" x14ac:dyDescent="0.2">
      <c r="A222" s="13" t="s">
        <v>122</v>
      </c>
      <c r="B222" s="13" t="s">
        <v>123</v>
      </c>
      <c r="C222" s="14">
        <v>45910</v>
      </c>
      <c r="D222" s="36">
        <v>134</v>
      </c>
      <c r="E222" s="108" t="s">
        <v>280</v>
      </c>
      <c r="F222" s="32">
        <v>0</v>
      </c>
      <c r="G222" s="32">
        <v>18751.560000000001</v>
      </c>
      <c r="H222" s="33">
        <f t="shared" si="3"/>
        <v>738117.95000000135</v>
      </c>
      <c r="I222" s="16" t="s">
        <v>237</v>
      </c>
      <c r="J222" s="16"/>
      <c r="K222" s="16"/>
      <c r="L222" s="179" t="s">
        <v>3</v>
      </c>
      <c r="M222" s="179" t="s">
        <v>27</v>
      </c>
      <c r="N222" s="16"/>
      <c r="O222" s="71"/>
      <c r="P222" s="71"/>
      <c r="Q222" s="71"/>
      <c r="R222" s="71"/>
      <c r="S222" s="71"/>
      <c r="T222" s="71"/>
      <c r="U222" s="71"/>
      <c r="V222" s="71"/>
      <c r="W222" s="71"/>
      <c r="X222" s="71"/>
      <c r="Y222" s="71"/>
      <c r="Z222" s="71"/>
      <c r="AA222" s="71"/>
      <c r="AB222" s="71"/>
    </row>
    <row r="223" spans="1:28" s="72" customFormat="1" ht="13.5" customHeight="1" x14ac:dyDescent="0.2">
      <c r="A223" s="38" t="s">
        <v>122</v>
      </c>
      <c r="B223" s="38" t="s">
        <v>123</v>
      </c>
      <c r="C223" s="39">
        <v>45910</v>
      </c>
      <c r="D223" s="40">
        <v>135</v>
      </c>
      <c r="E223" s="69" t="s">
        <v>281</v>
      </c>
      <c r="F223" s="15">
        <v>0</v>
      </c>
      <c r="G223" s="15">
        <v>3000</v>
      </c>
      <c r="H223" s="33">
        <f t="shared" si="3"/>
        <v>735117.95000000135</v>
      </c>
      <c r="I223" s="15" t="s">
        <v>284</v>
      </c>
      <c r="J223" s="15"/>
      <c r="K223" s="15"/>
      <c r="L223" s="176" t="s">
        <v>7</v>
      </c>
      <c r="M223" s="176" t="s">
        <v>64</v>
      </c>
      <c r="N223" s="15" t="s">
        <v>283</v>
      </c>
      <c r="O223" s="71"/>
      <c r="P223" s="71"/>
      <c r="Q223" s="71"/>
      <c r="R223" s="71"/>
      <c r="S223" s="71"/>
      <c r="T223" s="71"/>
      <c r="U223" s="71"/>
      <c r="V223" s="71"/>
      <c r="W223" s="71"/>
      <c r="X223" s="71"/>
      <c r="Y223" s="71"/>
      <c r="Z223" s="71"/>
      <c r="AA223" s="71"/>
      <c r="AB223" s="71"/>
    </row>
    <row r="224" spans="1:28" s="72" customFormat="1" ht="13.5" customHeight="1" x14ac:dyDescent="0.2">
      <c r="A224" s="13" t="s">
        <v>122</v>
      </c>
      <c r="B224" s="13" t="s">
        <v>123</v>
      </c>
      <c r="C224" s="14">
        <v>45910</v>
      </c>
      <c r="D224" s="36">
        <v>136</v>
      </c>
      <c r="E224" s="113" t="s">
        <v>282</v>
      </c>
      <c r="F224" s="32">
        <v>0</v>
      </c>
      <c r="G224" s="32">
        <v>1500</v>
      </c>
      <c r="H224" s="33">
        <f t="shared" si="3"/>
        <v>733617.95000000135</v>
      </c>
      <c r="I224" s="215" t="s">
        <v>285</v>
      </c>
      <c r="J224" s="16"/>
      <c r="K224" s="16"/>
      <c r="L224" s="175" t="s">
        <v>7</v>
      </c>
      <c r="M224" s="175" t="s">
        <v>64</v>
      </c>
      <c r="N224" s="16"/>
      <c r="O224" s="71"/>
      <c r="P224" s="71"/>
      <c r="Q224" s="71"/>
      <c r="R224" s="71"/>
      <c r="S224" s="71"/>
      <c r="T224" s="71"/>
      <c r="U224" s="71"/>
      <c r="V224" s="71"/>
      <c r="W224" s="71"/>
      <c r="X224" s="71"/>
      <c r="Y224" s="71"/>
      <c r="Z224" s="71"/>
      <c r="AA224" s="71"/>
      <c r="AB224" s="71"/>
    </row>
    <row r="225" spans="1:28" s="72" customFormat="1" ht="13.5" customHeight="1" x14ac:dyDescent="0.2">
      <c r="A225" s="74" t="s">
        <v>122</v>
      </c>
      <c r="B225" s="52" t="s">
        <v>123</v>
      </c>
      <c r="C225" s="53">
        <v>45911</v>
      </c>
      <c r="D225" s="54">
        <v>111</v>
      </c>
      <c r="E225" s="111" t="s">
        <v>356</v>
      </c>
      <c r="F225" s="55">
        <v>0</v>
      </c>
      <c r="G225" s="55">
        <v>1000</v>
      </c>
      <c r="H225" s="224">
        <f t="shared" si="3"/>
        <v>732617.95000000135</v>
      </c>
      <c r="I225" s="55" t="s">
        <v>134</v>
      </c>
      <c r="J225" s="56"/>
      <c r="K225" s="56"/>
      <c r="L225" s="226" t="s">
        <v>3</v>
      </c>
      <c r="M225" s="226" t="s">
        <v>15</v>
      </c>
      <c r="N225" s="57"/>
      <c r="O225" s="71"/>
      <c r="P225" s="71"/>
      <c r="Q225" s="71"/>
      <c r="R225" s="71"/>
      <c r="S225" s="71"/>
      <c r="T225" s="71"/>
      <c r="U225" s="71"/>
      <c r="V225" s="71"/>
      <c r="W225" s="71"/>
      <c r="X225" s="71"/>
      <c r="Y225" s="71"/>
      <c r="Z225" s="71"/>
      <c r="AA225" s="71"/>
      <c r="AB225" s="71"/>
    </row>
    <row r="226" spans="1:28" s="73" customFormat="1" ht="13.5" customHeight="1" x14ac:dyDescent="0.2">
      <c r="A226" s="42" t="s">
        <v>122</v>
      </c>
      <c r="B226" s="43" t="s">
        <v>123</v>
      </c>
      <c r="C226" s="44">
        <v>45911</v>
      </c>
      <c r="D226" s="45">
        <v>111</v>
      </c>
      <c r="E226" s="110" t="s">
        <v>357</v>
      </c>
      <c r="F226" s="50">
        <v>0</v>
      </c>
      <c r="G226" s="50">
        <v>2723.37</v>
      </c>
      <c r="H226" s="223">
        <f t="shared" si="3"/>
        <v>729894.58000000136</v>
      </c>
      <c r="I226" s="50" t="s">
        <v>134</v>
      </c>
      <c r="J226" s="46"/>
      <c r="K226" s="46"/>
      <c r="L226" s="177" t="s">
        <v>3</v>
      </c>
      <c r="M226" s="177" t="s">
        <v>15</v>
      </c>
      <c r="N226" s="47"/>
    </row>
    <row r="227" spans="1:28" s="72" customFormat="1" ht="13.5" customHeight="1" x14ac:dyDescent="0.2">
      <c r="A227" s="38" t="s">
        <v>122</v>
      </c>
      <c r="B227" s="38" t="s">
        <v>123</v>
      </c>
      <c r="C227" s="39">
        <v>45911</v>
      </c>
      <c r="D227" s="40">
        <v>137</v>
      </c>
      <c r="E227" s="69" t="s">
        <v>141</v>
      </c>
      <c r="F227" s="15">
        <v>0</v>
      </c>
      <c r="G227" s="15">
        <v>1000</v>
      </c>
      <c r="H227" s="33">
        <f t="shared" si="3"/>
        <v>728894.58000000136</v>
      </c>
      <c r="I227" s="15" t="s">
        <v>239</v>
      </c>
      <c r="J227" s="15"/>
      <c r="K227" s="15"/>
      <c r="L227" s="176" t="s">
        <v>3</v>
      </c>
      <c r="M227" s="176" t="s">
        <v>39</v>
      </c>
      <c r="N227" s="16"/>
      <c r="O227" s="71"/>
      <c r="P227" s="71"/>
      <c r="Q227" s="71"/>
      <c r="R227" s="71"/>
      <c r="S227" s="71"/>
      <c r="T227" s="71"/>
      <c r="U227" s="71"/>
      <c r="V227" s="71"/>
      <c r="W227" s="71"/>
      <c r="X227" s="71"/>
      <c r="Y227" s="71"/>
      <c r="Z227" s="71"/>
      <c r="AA227" s="71"/>
      <c r="AB227" s="71"/>
    </row>
    <row r="228" spans="1:28" s="72" customFormat="1" ht="13.5" customHeight="1" x14ac:dyDescent="0.2">
      <c r="A228" s="13" t="s">
        <v>122</v>
      </c>
      <c r="B228" s="13" t="s">
        <v>123</v>
      </c>
      <c r="C228" s="14">
        <v>45911</v>
      </c>
      <c r="D228" s="36">
        <v>138</v>
      </c>
      <c r="E228" s="113" t="s">
        <v>287</v>
      </c>
      <c r="F228" s="32">
        <v>0</v>
      </c>
      <c r="G228" s="32">
        <v>45</v>
      </c>
      <c r="H228" s="33">
        <f t="shared" si="3"/>
        <v>728849.58000000136</v>
      </c>
      <c r="I228" s="16" t="s">
        <v>85</v>
      </c>
      <c r="J228" s="16"/>
      <c r="K228" s="16"/>
      <c r="L228" s="175" t="s">
        <v>3</v>
      </c>
      <c r="M228" s="175" t="s">
        <v>39</v>
      </c>
      <c r="N228" s="16"/>
      <c r="O228" s="71"/>
      <c r="P228" s="71"/>
      <c r="Q228" s="71"/>
      <c r="R228" s="71"/>
      <c r="S228" s="71"/>
      <c r="T228" s="71"/>
      <c r="U228" s="71"/>
      <c r="V228" s="71"/>
      <c r="W228" s="71"/>
      <c r="X228" s="71"/>
      <c r="Y228" s="71"/>
      <c r="Z228" s="71"/>
      <c r="AA228" s="71"/>
      <c r="AB228" s="71"/>
    </row>
    <row r="229" spans="1:28" s="72" customFormat="1" ht="13.5" customHeight="1" x14ac:dyDescent="0.2">
      <c r="A229" s="13" t="s">
        <v>122</v>
      </c>
      <c r="B229" s="13" t="s">
        <v>123</v>
      </c>
      <c r="C229" s="14">
        <v>45911</v>
      </c>
      <c r="D229" s="36">
        <v>139</v>
      </c>
      <c r="E229" s="113" t="s">
        <v>286</v>
      </c>
      <c r="F229" s="32">
        <v>0</v>
      </c>
      <c r="G229" s="32">
        <v>130</v>
      </c>
      <c r="H229" s="33">
        <f t="shared" si="3"/>
        <v>728719.58000000136</v>
      </c>
      <c r="I229" s="16" t="s">
        <v>85</v>
      </c>
      <c r="J229" s="16"/>
      <c r="K229" s="16"/>
      <c r="L229" s="175" t="s">
        <v>3</v>
      </c>
      <c r="M229" s="175" t="s">
        <v>39</v>
      </c>
      <c r="N229" s="16"/>
      <c r="O229" s="71"/>
      <c r="P229" s="71"/>
      <c r="Q229" s="71"/>
      <c r="R229" s="71"/>
      <c r="S229" s="71"/>
      <c r="T229" s="71"/>
      <c r="U229" s="71"/>
      <c r="V229" s="71"/>
      <c r="W229" s="71"/>
      <c r="X229" s="71"/>
      <c r="Y229" s="71"/>
      <c r="Z229" s="71"/>
      <c r="AA229" s="71"/>
      <c r="AB229" s="71"/>
    </row>
    <row r="230" spans="1:28" s="72" customFormat="1" ht="13.5" customHeight="1" x14ac:dyDescent="0.2">
      <c r="A230" s="51" t="s">
        <v>122</v>
      </c>
      <c r="B230" s="52" t="s">
        <v>123</v>
      </c>
      <c r="C230" s="53">
        <v>45913</v>
      </c>
      <c r="D230" s="54">
        <v>111</v>
      </c>
      <c r="E230" s="111" t="s">
        <v>95</v>
      </c>
      <c r="F230" s="55">
        <v>0</v>
      </c>
      <c r="G230" s="55">
        <v>435.2</v>
      </c>
      <c r="H230" s="224">
        <f t="shared" si="3"/>
        <v>728284.3800000014</v>
      </c>
      <c r="I230" s="55" t="s">
        <v>134</v>
      </c>
      <c r="J230" s="56"/>
      <c r="K230" s="56"/>
      <c r="L230" s="226" t="s">
        <v>3</v>
      </c>
      <c r="M230" s="226" t="s">
        <v>15</v>
      </c>
      <c r="N230" s="57"/>
      <c r="O230" s="71"/>
      <c r="P230" s="71"/>
      <c r="Q230" s="71"/>
      <c r="R230" s="71"/>
      <c r="S230" s="71"/>
      <c r="T230" s="71"/>
      <c r="U230" s="71"/>
      <c r="V230" s="71"/>
      <c r="W230" s="71"/>
      <c r="X230" s="71"/>
      <c r="Y230" s="71"/>
      <c r="Z230" s="71"/>
      <c r="AA230" s="71"/>
      <c r="AB230" s="71"/>
    </row>
    <row r="231" spans="1:28" s="73" customFormat="1" ht="13.5" customHeight="1" x14ac:dyDescent="0.2">
      <c r="A231" s="12" t="s">
        <v>122</v>
      </c>
      <c r="B231" s="13" t="s">
        <v>123</v>
      </c>
      <c r="C231" s="14">
        <v>45913</v>
      </c>
      <c r="D231" s="26">
        <v>111</v>
      </c>
      <c r="E231" s="108" t="s">
        <v>358</v>
      </c>
      <c r="F231" s="32">
        <v>0</v>
      </c>
      <c r="G231" s="32">
        <v>535.08000000000004</v>
      </c>
      <c r="H231" s="33">
        <f t="shared" si="3"/>
        <v>727749.30000000144</v>
      </c>
      <c r="I231" s="32" t="s">
        <v>134</v>
      </c>
      <c r="J231" s="16"/>
      <c r="K231" s="16"/>
      <c r="L231" s="177" t="s">
        <v>3</v>
      </c>
      <c r="M231" s="177" t="s">
        <v>15</v>
      </c>
      <c r="N231" s="17"/>
    </row>
    <row r="232" spans="1:28" s="72" customFormat="1" ht="13.5" customHeight="1" x14ac:dyDescent="0.2">
      <c r="A232" s="12" t="s">
        <v>122</v>
      </c>
      <c r="B232" s="13" t="s">
        <v>123</v>
      </c>
      <c r="C232" s="14">
        <v>45914</v>
      </c>
      <c r="D232" s="26">
        <v>111</v>
      </c>
      <c r="E232" s="108" t="s">
        <v>356</v>
      </c>
      <c r="F232" s="32">
        <v>0</v>
      </c>
      <c r="G232" s="32">
        <v>1000</v>
      </c>
      <c r="H232" s="33">
        <f t="shared" si="3"/>
        <v>726749.30000000144</v>
      </c>
      <c r="I232" s="216" t="s">
        <v>134</v>
      </c>
      <c r="J232" s="16"/>
      <c r="K232" s="16"/>
      <c r="L232" s="177" t="s">
        <v>3</v>
      </c>
      <c r="M232" s="177" t="s">
        <v>15</v>
      </c>
      <c r="N232" s="17"/>
      <c r="O232" s="71"/>
      <c r="P232" s="71"/>
      <c r="Q232" s="71"/>
      <c r="R232" s="71"/>
      <c r="S232" s="71"/>
      <c r="T232" s="71"/>
      <c r="U232" s="71"/>
      <c r="V232" s="71"/>
      <c r="W232" s="71"/>
      <c r="X232" s="71"/>
      <c r="Y232" s="71"/>
      <c r="Z232" s="71"/>
      <c r="AA232" s="71"/>
      <c r="AB232" s="71"/>
    </row>
    <row r="233" spans="1:28" s="72" customFormat="1" ht="13.5" customHeight="1" x14ac:dyDescent="0.2">
      <c r="A233" s="12" t="s">
        <v>122</v>
      </c>
      <c r="B233" s="13" t="s">
        <v>123</v>
      </c>
      <c r="C233" s="14">
        <v>45914</v>
      </c>
      <c r="D233" s="26">
        <v>111</v>
      </c>
      <c r="E233" s="108" t="s">
        <v>359</v>
      </c>
      <c r="F233" s="32">
        <v>0</v>
      </c>
      <c r="G233" s="32">
        <v>400</v>
      </c>
      <c r="H233" s="33">
        <f t="shared" si="3"/>
        <v>726349.30000000144</v>
      </c>
      <c r="I233" s="32" t="s">
        <v>134</v>
      </c>
      <c r="J233" s="16"/>
      <c r="K233" s="16"/>
      <c r="L233" s="177" t="s">
        <v>3</v>
      </c>
      <c r="M233" s="177" t="s">
        <v>15</v>
      </c>
      <c r="N233" s="17"/>
      <c r="O233" s="71"/>
      <c r="P233" s="71"/>
      <c r="Q233" s="71"/>
      <c r="R233" s="71"/>
      <c r="S233" s="71"/>
      <c r="T233" s="71"/>
      <c r="U233" s="71"/>
      <c r="V233" s="71"/>
      <c r="W233" s="71"/>
      <c r="X233" s="71"/>
      <c r="Y233" s="71"/>
      <c r="Z233" s="71"/>
      <c r="AA233" s="71"/>
      <c r="AB233" s="71"/>
    </row>
    <row r="234" spans="1:28" s="72" customFormat="1" ht="13.5" customHeight="1" x14ac:dyDescent="0.2">
      <c r="A234" s="12" t="s">
        <v>122</v>
      </c>
      <c r="B234" s="13" t="s">
        <v>123</v>
      </c>
      <c r="C234" s="14">
        <v>45915</v>
      </c>
      <c r="D234" s="26">
        <v>111</v>
      </c>
      <c r="E234" s="108" t="s">
        <v>360</v>
      </c>
      <c r="F234" s="32">
        <v>0</v>
      </c>
      <c r="G234" s="32">
        <v>2500</v>
      </c>
      <c r="H234" s="33">
        <f t="shared" si="3"/>
        <v>723849.30000000144</v>
      </c>
      <c r="I234" s="32" t="s">
        <v>134</v>
      </c>
      <c r="J234" s="16"/>
      <c r="K234" s="16"/>
      <c r="L234" s="177" t="s">
        <v>3</v>
      </c>
      <c r="M234" s="177" t="s">
        <v>15</v>
      </c>
      <c r="N234" s="17"/>
      <c r="O234" s="71"/>
      <c r="P234" s="71"/>
      <c r="Q234" s="71"/>
      <c r="R234" s="71"/>
      <c r="S234" s="71"/>
      <c r="T234" s="71"/>
      <c r="U234" s="71"/>
      <c r="V234" s="71"/>
      <c r="W234" s="71"/>
      <c r="X234" s="71"/>
      <c r="Y234" s="71"/>
      <c r="Z234" s="71"/>
      <c r="AA234" s="71"/>
      <c r="AB234" s="71"/>
    </row>
    <row r="235" spans="1:28" s="72" customFormat="1" ht="13.5" customHeight="1" x14ac:dyDescent="0.2">
      <c r="A235" s="42" t="s">
        <v>122</v>
      </c>
      <c r="B235" s="43" t="s">
        <v>123</v>
      </c>
      <c r="C235" s="44">
        <v>45915</v>
      </c>
      <c r="D235" s="45">
        <v>111</v>
      </c>
      <c r="E235" s="110" t="s">
        <v>95</v>
      </c>
      <c r="F235" s="50">
        <v>0</v>
      </c>
      <c r="G235" s="50">
        <v>435.2</v>
      </c>
      <c r="H235" s="223">
        <f t="shared" si="3"/>
        <v>723414.10000000149</v>
      </c>
      <c r="I235" s="50" t="s">
        <v>134</v>
      </c>
      <c r="J235" s="46"/>
      <c r="K235" s="46"/>
      <c r="L235" s="177" t="s">
        <v>3</v>
      </c>
      <c r="M235" s="177" t="s">
        <v>15</v>
      </c>
      <c r="N235" s="47"/>
      <c r="O235" s="71"/>
      <c r="P235" s="71"/>
      <c r="Q235" s="71"/>
      <c r="R235" s="71"/>
      <c r="S235" s="71"/>
      <c r="T235" s="71"/>
      <c r="U235" s="71"/>
      <c r="V235" s="71"/>
      <c r="W235" s="71"/>
      <c r="X235" s="71"/>
      <c r="Y235" s="71"/>
      <c r="Z235" s="71"/>
      <c r="AA235" s="71"/>
      <c r="AB235" s="71"/>
    </row>
    <row r="236" spans="1:28" s="11" customFormat="1" ht="13.5" customHeight="1" x14ac:dyDescent="0.2">
      <c r="A236" s="198" t="s">
        <v>125</v>
      </c>
      <c r="B236" s="198" t="s">
        <v>126</v>
      </c>
      <c r="C236" s="201">
        <v>45915</v>
      </c>
      <c r="D236" s="206">
        <v>14</v>
      </c>
      <c r="E236" s="209" t="s">
        <v>251</v>
      </c>
      <c r="F236" s="212">
        <v>15000</v>
      </c>
      <c r="G236" s="212">
        <v>0</v>
      </c>
      <c r="H236" s="33">
        <f t="shared" si="3"/>
        <v>738414.10000000149</v>
      </c>
      <c r="I236" s="212" t="s">
        <v>236</v>
      </c>
      <c r="J236" s="217"/>
      <c r="K236" s="217"/>
      <c r="L236" s="219"/>
      <c r="M236" s="219"/>
      <c r="N236" s="217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</row>
    <row r="237" spans="1:28" s="11" customFormat="1" ht="13.5" customHeight="1" x14ac:dyDescent="0.2">
      <c r="A237" s="198" t="s">
        <v>125</v>
      </c>
      <c r="B237" s="198" t="s">
        <v>126</v>
      </c>
      <c r="C237" s="201">
        <v>45917</v>
      </c>
      <c r="D237" s="206">
        <v>15</v>
      </c>
      <c r="E237" s="209" t="s">
        <v>251</v>
      </c>
      <c r="F237" s="212">
        <v>30000</v>
      </c>
      <c r="G237" s="212">
        <v>0</v>
      </c>
      <c r="H237" s="33">
        <f t="shared" si="3"/>
        <v>768414.10000000149</v>
      </c>
      <c r="I237" s="212" t="s">
        <v>236</v>
      </c>
      <c r="J237" s="217"/>
      <c r="K237" s="217"/>
      <c r="L237" s="219"/>
      <c r="M237" s="219"/>
      <c r="N237" s="217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</row>
    <row r="238" spans="1:28" s="72" customFormat="1" ht="13.5" customHeight="1" x14ac:dyDescent="0.2">
      <c r="A238" s="13" t="s">
        <v>122</v>
      </c>
      <c r="B238" s="13" t="s">
        <v>123</v>
      </c>
      <c r="C238" s="14">
        <v>45917</v>
      </c>
      <c r="D238" s="36">
        <v>140</v>
      </c>
      <c r="E238" s="113" t="s">
        <v>289</v>
      </c>
      <c r="F238" s="32">
        <v>0</v>
      </c>
      <c r="G238" s="32">
        <v>2935</v>
      </c>
      <c r="H238" s="33">
        <f t="shared" si="3"/>
        <v>765479.10000000149</v>
      </c>
      <c r="I238" s="32" t="s">
        <v>288</v>
      </c>
      <c r="J238" s="16"/>
      <c r="K238" s="16"/>
      <c r="L238" s="175" t="s">
        <v>3</v>
      </c>
      <c r="M238" s="175" t="s">
        <v>15</v>
      </c>
      <c r="N238" s="16"/>
      <c r="O238" s="71"/>
      <c r="P238" s="71"/>
      <c r="Q238" s="71"/>
      <c r="R238" s="71"/>
      <c r="S238" s="71"/>
      <c r="T238" s="71"/>
      <c r="U238" s="71"/>
      <c r="V238" s="71"/>
      <c r="W238" s="71"/>
      <c r="X238" s="71"/>
      <c r="Y238" s="71"/>
      <c r="Z238" s="71"/>
      <c r="AA238" s="71"/>
      <c r="AB238" s="71"/>
    </row>
    <row r="239" spans="1:28" s="72" customFormat="1" ht="13.5" customHeight="1" x14ac:dyDescent="0.2">
      <c r="A239" s="13" t="s">
        <v>125</v>
      </c>
      <c r="B239" s="13" t="s">
        <v>126</v>
      </c>
      <c r="C239" s="14">
        <v>45918</v>
      </c>
      <c r="D239" s="36">
        <v>141</v>
      </c>
      <c r="E239" s="113" t="s">
        <v>290</v>
      </c>
      <c r="F239" s="32">
        <v>0</v>
      </c>
      <c r="G239" s="32">
        <v>1080</v>
      </c>
      <c r="H239" s="33">
        <f t="shared" si="3"/>
        <v>764399.10000000149</v>
      </c>
      <c r="I239" s="32" t="s">
        <v>135</v>
      </c>
      <c r="J239" s="16"/>
      <c r="K239" s="16"/>
      <c r="L239" s="179" t="s">
        <v>3</v>
      </c>
      <c r="M239" s="179" t="s">
        <v>63</v>
      </c>
      <c r="N239" s="16"/>
      <c r="O239" s="71"/>
      <c r="P239" s="71"/>
      <c r="Q239" s="71"/>
      <c r="R239" s="71"/>
      <c r="S239" s="71"/>
      <c r="T239" s="71"/>
      <c r="U239" s="71"/>
      <c r="V239" s="71"/>
      <c r="W239" s="71"/>
      <c r="X239" s="71"/>
      <c r="Y239" s="71"/>
      <c r="Z239" s="71"/>
      <c r="AA239" s="71"/>
      <c r="AB239" s="71"/>
    </row>
    <row r="240" spans="1:28" s="72" customFormat="1" ht="13.5" customHeight="1" x14ac:dyDescent="0.2">
      <c r="A240" s="13" t="s">
        <v>122</v>
      </c>
      <c r="B240" s="13" t="s">
        <v>123</v>
      </c>
      <c r="C240" s="14">
        <v>45918</v>
      </c>
      <c r="D240" s="36">
        <v>142</v>
      </c>
      <c r="E240" s="113" t="s">
        <v>291</v>
      </c>
      <c r="F240" s="32">
        <v>0</v>
      </c>
      <c r="G240" s="32">
        <v>9650</v>
      </c>
      <c r="H240" s="33">
        <f t="shared" si="3"/>
        <v>754749.10000000149</v>
      </c>
      <c r="I240" s="32" t="s">
        <v>161</v>
      </c>
      <c r="J240" s="16"/>
      <c r="K240" s="16"/>
      <c r="L240" s="175" t="s">
        <v>3</v>
      </c>
      <c r="M240" s="175" t="s">
        <v>39</v>
      </c>
      <c r="N240" s="16"/>
      <c r="O240" s="71"/>
      <c r="P240" s="71"/>
      <c r="Q240" s="71"/>
      <c r="R240" s="71"/>
      <c r="S240" s="71"/>
      <c r="T240" s="71"/>
      <c r="U240" s="71"/>
      <c r="V240" s="71"/>
      <c r="W240" s="71"/>
      <c r="X240" s="71"/>
      <c r="Y240" s="71"/>
      <c r="Z240" s="71"/>
      <c r="AA240" s="71"/>
      <c r="AB240" s="71"/>
    </row>
    <row r="241" spans="1:28" s="72" customFormat="1" ht="13.5" customHeight="1" x14ac:dyDescent="0.2">
      <c r="A241" s="13" t="s">
        <v>122</v>
      </c>
      <c r="B241" s="13" t="s">
        <v>123</v>
      </c>
      <c r="C241" s="14">
        <v>45918</v>
      </c>
      <c r="D241" s="36">
        <v>143</v>
      </c>
      <c r="E241" s="113" t="s">
        <v>292</v>
      </c>
      <c r="F241" s="32">
        <v>0</v>
      </c>
      <c r="G241" s="32">
        <v>30</v>
      </c>
      <c r="H241" s="33">
        <f t="shared" si="3"/>
        <v>754719.10000000149</v>
      </c>
      <c r="I241" s="32" t="s">
        <v>293</v>
      </c>
      <c r="J241" s="16"/>
      <c r="K241" s="16"/>
      <c r="L241" s="175" t="s">
        <v>3</v>
      </c>
      <c r="M241" s="175" t="s">
        <v>39</v>
      </c>
      <c r="N241" s="16"/>
      <c r="O241" s="71"/>
      <c r="P241" s="71"/>
      <c r="Q241" s="71"/>
      <c r="R241" s="71"/>
      <c r="S241" s="71"/>
      <c r="T241" s="71"/>
      <c r="U241" s="71"/>
      <c r="V241" s="71"/>
      <c r="W241" s="71"/>
      <c r="X241" s="71"/>
      <c r="Y241" s="71"/>
      <c r="Z241" s="71"/>
      <c r="AA241" s="71"/>
      <c r="AB241" s="71"/>
    </row>
    <row r="242" spans="1:28" s="72" customFormat="1" ht="13.5" customHeight="1" x14ac:dyDescent="0.2">
      <c r="A242" s="13" t="s">
        <v>122</v>
      </c>
      <c r="B242" s="13" t="s">
        <v>123</v>
      </c>
      <c r="C242" s="14">
        <v>45918</v>
      </c>
      <c r="D242" s="36">
        <v>144</v>
      </c>
      <c r="E242" s="113" t="s">
        <v>294</v>
      </c>
      <c r="F242" s="32">
        <v>0</v>
      </c>
      <c r="G242" s="32">
        <v>56</v>
      </c>
      <c r="H242" s="33">
        <f t="shared" si="3"/>
        <v>754663.10000000149</v>
      </c>
      <c r="I242" s="32" t="s">
        <v>260</v>
      </c>
      <c r="J242" s="16"/>
      <c r="K242" s="16"/>
      <c r="L242" s="175" t="s">
        <v>7</v>
      </c>
      <c r="M242" s="175" t="s">
        <v>64</v>
      </c>
      <c r="N242" s="16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</row>
    <row r="243" spans="1:28" s="11" customFormat="1" ht="13.5" customHeight="1" x14ac:dyDescent="0.2">
      <c r="A243" s="198" t="s">
        <v>125</v>
      </c>
      <c r="B243" s="198" t="s">
        <v>126</v>
      </c>
      <c r="C243" s="201">
        <v>45919</v>
      </c>
      <c r="D243" s="206">
        <v>16</v>
      </c>
      <c r="E243" s="209" t="s">
        <v>251</v>
      </c>
      <c r="F243" s="212">
        <v>10000</v>
      </c>
      <c r="G243" s="212">
        <v>0</v>
      </c>
      <c r="H243" s="33">
        <f t="shared" si="3"/>
        <v>764663.10000000149</v>
      </c>
      <c r="I243" s="212" t="s">
        <v>236</v>
      </c>
      <c r="J243" s="217"/>
      <c r="K243" s="217"/>
      <c r="L243" s="219"/>
      <c r="M243" s="219"/>
      <c r="N243" s="217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</row>
    <row r="244" spans="1:28" s="11" customFormat="1" ht="13.5" customHeight="1" x14ac:dyDescent="0.2">
      <c r="A244" s="198" t="s">
        <v>125</v>
      </c>
      <c r="B244" s="198" t="s">
        <v>126</v>
      </c>
      <c r="C244" s="201">
        <v>45919</v>
      </c>
      <c r="D244" s="206">
        <v>17</v>
      </c>
      <c r="E244" s="209" t="s">
        <v>251</v>
      </c>
      <c r="F244" s="212">
        <v>5000</v>
      </c>
      <c r="G244" s="212">
        <v>0</v>
      </c>
      <c r="H244" s="33">
        <f t="shared" si="3"/>
        <v>769663.10000000149</v>
      </c>
      <c r="I244" s="212" t="s">
        <v>236</v>
      </c>
      <c r="J244" s="217"/>
      <c r="K244" s="217"/>
      <c r="L244" s="219"/>
      <c r="M244" s="219"/>
      <c r="N244" s="217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</row>
    <row r="245" spans="1:28" s="73" customFormat="1" ht="13.5" customHeight="1" x14ac:dyDescent="0.2">
      <c r="A245" s="38" t="s">
        <v>122</v>
      </c>
      <c r="B245" s="38" t="s">
        <v>123</v>
      </c>
      <c r="C245" s="39">
        <v>45919</v>
      </c>
      <c r="D245" s="40">
        <v>145</v>
      </c>
      <c r="E245" s="69" t="s">
        <v>302</v>
      </c>
      <c r="F245" s="15">
        <v>0</v>
      </c>
      <c r="G245" s="15">
        <v>3000</v>
      </c>
      <c r="H245" s="33">
        <f t="shared" si="3"/>
        <v>766663.10000000149</v>
      </c>
      <c r="I245" s="15" t="s">
        <v>284</v>
      </c>
      <c r="J245" s="15"/>
      <c r="K245" s="15"/>
      <c r="L245" s="176" t="s">
        <v>7</v>
      </c>
      <c r="M245" s="176" t="s">
        <v>64</v>
      </c>
      <c r="N245" s="15" t="s">
        <v>283</v>
      </c>
    </row>
    <row r="246" spans="1:28" s="72" customFormat="1" ht="13.5" customHeight="1" x14ac:dyDescent="0.2">
      <c r="A246" s="13" t="s">
        <v>122</v>
      </c>
      <c r="B246" s="13" t="s">
        <v>123</v>
      </c>
      <c r="C246" s="14">
        <v>45919</v>
      </c>
      <c r="D246" s="36">
        <v>146</v>
      </c>
      <c r="E246" s="113" t="s">
        <v>282</v>
      </c>
      <c r="F246" s="32">
        <v>0</v>
      </c>
      <c r="G246" s="32">
        <v>1500</v>
      </c>
      <c r="H246" s="33">
        <f t="shared" si="3"/>
        <v>765163.10000000149</v>
      </c>
      <c r="I246" s="215" t="s">
        <v>285</v>
      </c>
      <c r="J246" s="16"/>
      <c r="K246" s="16"/>
      <c r="L246" s="175" t="s">
        <v>7</v>
      </c>
      <c r="M246" s="175" t="s">
        <v>64</v>
      </c>
      <c r="N246" s="16"/>
      <c r="O246" s="71"/>
      <c r="P246" s="71"/>
      <c r="Q246" s="71"/>
      <c r="R246" s="71"/>
      <c r="S246" s="71"/>
      <c r="T246" s="71"/>
      <c r="U246" s="71"/>
      <c r="V246" s="71"/>
      <c r="W246" s="71"/>
      <c r="X246" s="71"/>
      <c r="Y246" s="71"/>
      <c r="Z246" s="71"/>
      <c r="AA246" s="71"/>
      <c r="AB246" s="71"/>
    </row>
    <row r="247" spans="1:28" s="72" customFormat="1" ht="13.5" customHeight="1" x14ac:dyDescent="0.2">
      <c r="A247" s="13" t="s">
        <v>121</v>
      </c>
      <c r="B247" s="13" t="s">
        <v>123</v>
      </c>
      <c r="C247" s="14">
        <v>45919</v>
      </c>
      <c r="D247" s="36">
        <v>147</v>
      </c>
      <c r="E247" s="105" t="s">
        <v>186</v>
      </c>
      <c r="F247" s="32">
        <v>0</v>
      </c>
      <c r="G247" s="32">
        <v>2625</v>
      </c>
      <c r="H247" s="33">
        <f t="shared" si="3"/>
        <v>762538.10000000149</v>
      </c>
      <c r="I247" s="32" t="s">
        <v>253</v>
      </c>
      <c r="J247" s="16"/>
      <c r="K247" s="16"/>
      <c r="L247" s="175" t="s">
        <v>3</v>
      </c>
      <c r="M247" s="175" t="s">
        <v>39</v>
      </c>
      <c r="N247" s="16"/>
      <c r="O247" s="71"/>
      <c r="P247" s="71"/>
      <c r="Q247" s="71"/>
      <c r="R247" s="71"/>
      <c r="S247" s="71"/>
      <c r="T247" s="71"/>
      <c r="U247" s="71"/>
      <c r="V247" s="71"/>
      <c r="W247" s="71"/>
      <c r="X247" s="71"/>
      <c r="Y247" s="71"/>
      <c r="Z247" s="71"/>
      <c r="AA247" s="71"/>
      <c r="AB247" s="71"/>
    </row>
    <row r="248" spans="1:28" s="72" customFormat="1" ht="13.5" customHeight="1" x14ac:dyDescent="0.2">
      <c r="A248" s="38" t="s">
        <v>122</v>
      </c>
      <c r="B248" s="38" t="s">
        <v>123</v>
      </c>
      <c r="C248" s="39">
        <v>45919</v>
      </c>
      <c r="D248" s="40">
        <v>148</v>
      </c>
      <c r="E248" s="69" t="s">
        <v>141</v>
      </c>
      <c r="F248" s="15">
        <v>0</v>
      </c>
      <c r="G248" s="15">
        <v>3000</v>
      </c>
      <c r="H248" s="33">
        <f t="shared" si="3"/>
        <v>759538.10000000149</v>
      </c>
      <c r="I248" s="15" t="s">
        <v>239</v>
      </c>
      <c r="J248" s="15"/>
      <c r="K248" s="15"/>
      <c r="L248" s="176" t="s">
        <v>3</v>
      </c>
      <c r="M248" s="176" t="s">
        <v>39</v>
      </c>
      <c r="N248" s="16"/>
      <c r="O248" s="71"/>
      <c r="P248" s="71"/>
      <c r="Q248" s="71"/>
      <c r="R248" s="71"/>
      <c r="S248" s="71"/>
      <c r="T248" s="71"/>
      <c r="U248" s="71"/>
      <c r="V248" s="71"/>
      <c r="W248" s="71"/>
      <c r="X248" s="71"/>
      <c r="Y248" s="71"/>
      <c r="Z248" s="71"/>
      <c r="AA248" s="71"/>
      <c r="AB248" s="71"/>
    </row>
    <row r="249" spans="1:28" s="104" customFormat="1" ht="13.5" customHeight="1" x14ac:dyDescent="0.2">
      <c r="A249" s="103" t="s">
        <v>125</v>
      </c>
      <c r="B249" s="103" t="s">
        <v>126</v>
      </c>
      <c r="C249" s="35">
        <v>45919</v>
      </c>
      <c r="D249" s="36">
        <v>149</v>
      </c>
      <c r="E249" s="105" t="s">
        <v>297</v>
      </c>
      <c r="F249" s="32">
        <v>0</v>
      </c>
      <c r="G249" s="32">
        <v>100</v>
      </c>
      <c r="H249" s="33">
        <f t="shared" si="3"/>
        <v>759438.10000000149</v>
      </c>
      <c r="I249" s="32" t="s">
        <v>288</v>
      </c>
      <c r="J249" s="32"/>
      <c r="K249" s="32"/>
      <c r="L249" s="175" t="s">
        <v>3</v>
      </c>
      <c r="M249" s="175" t="s">
        <v>15</v>
      </c>
      <c r="N249" s="32"/>
    </row>
    <row r="250" spans="1:28" s="104" customFormat="1" ht="13.5" customHeight="1" x14ac:dyDescent="0.2">
      <c r="A250" s="13" t="s">
        <v>122</v>
      </c>
      <c r="B250" s="13" t="s">
        <v>123</v>
      </c>
      <c r="C250" s="35">
        <v>45919</v>
      </c>
      <c r="D250" s="36">
        <v>150</v>
      </c>
      <c r="E250" s="105" t="s">
        <v>296</v>
      </c>
      <c r="F250" s="32">
        <v>0</v>
      </c>
      <c r="G250" s="32">
        <v>2500</v>
      </c>
      <c r="H250" s="33">
        <f t="shared" si="3"/>
        <v>756938.10000000149</v>
      </c>
      <c r="I250" s="32" t="s">
        <v>288</v>
      </c>
      <c r="J250" s="32"/>
      <c r="K250" s="32"/>
      <c r="L250" s="175" t="s">
        <v>3</v>
      </c>
      <c r="M250" s="175" t="s">
        <v>15</v>
      </c>
      <c r="N250" s="32"/>
    </row>
    <row r="251" spans="1:28" s="104" customFormat="1" ht="13.5" customHeight="1" x14ac:dyDescent="0.2">
      <c r="A251" s="103" t="s">
        <v>122</v>
      </c>
      <c r="B251" s="103" t="s">
        <v>123</v>
      </c>
      <c r="C251" s="35">
        <v>45919</v>
      </c>
      <c r="D251" s="36">
        <v>151</v>
      </c>
      <c r="E251" s="105" t="s">
        <v>295</v>
      </c>
      <c r="F251" s="32">
        <v>0</v>
      </c>
      <c r="G251" s="32">
        <v>6500</v>
      </c>
      <c r="H251" s="33">
        <f t="shared" si="3"/>
        <v>750438.10000000149</v>
      </c>
      <c r="I251" s="32" t="s">
        <v>298</v>
      </c>
      <c r="J251" s="32"/>
      <c r="K251" s="32"/>
      <c r="L251" s="179" t="s">
        <v>7</v>
      </c>
      <c r="M251" s="179" t="s">
        <v>64</v>
      </c>
      <c r="N251" s="32"/>
    </row>
    <row r="252" spans="1:28" s="73" customFormat="1" ht="13.5" customHeight="1" x14ac:dyDescent="0.2">
      <c r="A252" s="38" t="s">
        <v>122</v>
      </c>
      <c r="B252" s="38" t="s">
        <v>123</v>
      </c>
      <c r="C252" s="39">
        <v>45919</v>
      </c>
      <c r="D252" s="40">
        <v>152</v>
      </c>
      <c r="E252" s="69" t="s">
        <v>256</v>
      </c>
      <c r="F252" s="15">
        <v>0</v>
      </c>
      <c r="G252" s="15">
        <v>10000</v>
      </c>
      <c r="H252" s="33">
        <f t="shared" si="3"/>
        <v>740438.10000000149</v>
      </c>
      <c r="I252" s="15" t="s">
        <v>257</v>
      </c>
      <c r="J252" s="15"/>
      <c r="K252" s="15"/>
      <c r="L252" s="176" t="s">
        <v>3</v>
      </c>
      <c r="M252" s="176" t="s">
        <v>39</v>
      </c>
      <c r="N252" s="15"/>
    </row>
    <row r="253" spans="1:28" s="104" customFormat="1" ht="13.5" customHeight="1" x14ac:dyDescent="0.2">
      <c r="A253" s="13" t="s">
        <v>122</v>
      </c>
      <c r="B253" s="13" t="s">
        <v>123</v>
      </c>
      <c r="C253" s="35">
        <v>45919</v>
      </c>
      <c r="D253" s="36">
        <v>153</v>
      </c>
      <c r="E253" s="105" t="s">
        <v>296</v>
      </c>
      <c r="F253" s="32">
        <v>0</v>
      </c>
      <c r="G253" s="32">
        <v>1000</v>
      </c>
      <c r="H253" s="33">
        <f t="shared" si="3"/>
        <v>739438.10000000149</v>
      </c>
      <c r="I253" s="32" t="s">
        <v>288</v>
      </c>
      <c r="J253" s="32"/>
      <c r="K253" s="32"/>
      <c r="L253" s="175" t="s">
        <v>3</v>
      </c>
      <c r="M253" s="175" t="s">
        <v>15</v>
      </c>
      <c r="N253" s="32"/>
    </row>
    <row r="254" spans="1:28" s="104" customFormat="1" ht="13.5" customHeight="1" x14ac:dyDescent="0.2">
      <c r="A254" s="103" t="s">
        <v>125</v>
      </c>
      <c r="B254" s="103" t="s">
        <v>126</v>
      </c>
      <c r="C254" s="35">
        <v>45919</v>
      </c>
      <c r="D254" s="36">
        <v>154</v>
      </c>
      <c r="E254" s="105" t="s">
        <v>297</v>
      </c>
      <c r="F254" s="32">
        <v>0</v>
      </c>
      <c r="G254" s="32">
        <v>300</v>
      </c>
      <c r="H254" s="33">
        <f t="shared" si="3"/>
        <v>739138.10000000149</v>
      </c>
      <c r="I254" s="32" t="s">
        <v>288</v>
      </c>
      <c r="J254" s="32"/>
      <c r="K254" s="32"/>
      <c r="L254" s="175" t="s">
        <v>3</v>
      </c>
      <c r="M254" s="175" t="s">
        <v>15</v>
      </c>
      <c r="N254" s="32"/>
    </row>
    <row r="255" spans="1:28" s="104" customFormat="1" ht="13.5" customHeight="1" x14ac:dyDescent="0.2">
      <c r="A255" s="13" t="s">
        <v>122</v>
      </c>
      <c r="B255" s="13" t="s">
        <v>123</v>
      </c>
      <c r="C255" s="35">
        <v>45919</v>
      </c>
      <c r="D255" s="36">
        <v>155</v>
      </c>
      <c r="E255" s="105" t="s">
        <v>296</v>
      </c>
      <c r="F255" s="32">
        <v>0</v>
      </c>
      <c r="G255" s="32">
        <v>2000</v>
      </c>
      <c r="H255" s="33">
        <f t="shared" si="3"/>
        <v>737138.10000000149</v>
      </c>
      <c r="I255" s="32" t="s">
        <v>288</v>
      </c>
      <c r="J255" s="32"/>
      <c r="K255" s="32"/>
      <c r="L255" s="175" t="s">
        <v>3</v>
      </c>
      <c r="M255" s="175" t="s">
        <v>15</v>
      </c>
      <c r="N255" s="32"/>
    </row>
    <row r="256" spans="1:28" s="104" customFormat="1" ht="13.5" customHeight="1" x14ac:dyDescent="0.2">
      <c r="A256" s="103" t="s">
        <v>122</v>
      </c>
      <c r="B256" s="13" t="s">
        <v>123</v>
      </c>
      <c r="C256" s="35">
        <v>45919</v>
      </c>
      <c r="D256" s="36">
        <v>156</v>
      </c>
      <c r="E256" s="113" t="s">
        <v>290</v>
      </c>
      <c r="F256" s="32">
        <v>0</v>
      </c>
      <c r="G256" s="32">
        <v>420</v>
      </c>
      <c r="H256" s="33">
        <f t="shared" si="3"/>
        <v>736718.10000000149</v>
      </c>
      <c r="I256" s="32" t="s">
        <v>135</v>
      </c>
      <c r="J256" s="32"/>
      <c r="K256" s="32"/>
      <c r="L256" s="179" t="s">
        <v>3</v>
      </c>
      <c r="M256" s="179" t="s">
        <v>63</v>
      </c>
      <c r="N256" s="32"/>
    </row>
    <row r="257" spans="1:28" s="104" customFormat="1" ht="13.5" customHeight="1" x14ac:dyDescent="0.2">
      <c r="A257" s="103" t="s">
        <v>122</v>
      </c>
      <c r="B257" s="103" t="s">
        <v>123</v>
      </c>
      <c r="C257" s="35">
        <v>45920</v>
      </c>
      <c r="D257" s="36">
        <v>157</v>
      </c>
      <c r="E257" s="105" t="s">
        <v>300</v>
      </c>
      <c r="F257" s="32">
        <v>0</v>
      </c>
      <c r="G257" s="32">
        <v>2050</v>
      </c>
      <c r="H257" s="33">
        <f t="shared" si="3"/>
        <v>734668.10000000149</v>
      </c>
      <c r="I257" s="32" t="s">
        <v>304</v>
      </c>
      <c r="J257" s="32"/>
      <c r="K257" s="32"/>
      <c r="L257" s="179" t="s">
        <v>7</v>
      </c>
      <c r="M257" s="179" t="s">
        <v>64</v>
      </c>
      <c r="N257" s="32"/>
    </row>
    <row r="258" spans="1:28" s="72" customFormat="1" x14ac:dyDescent="0.2">
      <c r="A258" s="103" t="s">
        <v>122</v>
      </c>
      <c r="B258" s="103" t="s">
        <v>123</v>
      </c>
      <c r="C258" s="35">
        <v>45921</v>
      </c>
      <c r="D258" s="36">
        <v>158</v>
      </c>
      <c r="E258" s="105" t="s">
        <v>301</v>
      </c>
      <c r="F258" s="32">
        <v>0</v>
      </c>
      <c r="G258" s="32">
        <v>7125</v>
      </c>
      <c r="H258" s="33">
        <f t="shared" si="3"/>
        <v>727543.10000000149</v>
      </c>
      <c r="I258" s="32" t="s">
        <v>305</v>
      </c>
      <c r="J258" s="15"/>
      <c r="K258" s="15"/>
      <c r="L258" s="179" t="s">
        <v>7</v>
      </c>
      <c r="M258" s="179" t="s">
        <v>64</v>
      </c>
      <c r="N258" s="16"/>
      <c r="O258" s="71"/>
      <c r="P258" s="71"/>
      <c r="Q258" s="71"/>
      <c r="R258" s="71"/>
      <c r="S258" s="71"/>
      <c r="T258" s="71"/>
      <c r="U258" s="71"/>
      <c r="V258" s="71"/>
      <c r="W258" s="71"/>
      <c r="X258" s="71"/>
      <c r="Y258" s="71"/>
      <c r="Z258" s="71"/>
      <c r="AA258" s="71"/>
      <c r="AB258" s="71"/>
    </row>
    <row r="259" spans="1:28" s="72" customFormat="1" x14ac:dyDescent="0.2">
      <c r="A259" s="103" t="s">
        <v>122</v>
      </c>
      <c r="B259" s="103" t="s">
        <v>123</v>
      </c>
      <c r="C259" s="35">
        <v>45921</v>
      </c>
      <c r="D259" s="36">
        <v>159</v>
      </c>
      <c r="E259" s="105" t="s">
        <v>299</v>
      </c>
      <c r="F259" s="32">
        <v>0</v>
      </c>
      <c r="G259" s="32">
        <v>650</v>
      </c>
      <c r="H259" s="33">
        <f t="shared" si="3"/>
        <v>726893.10000000149</v>
      </c>
      <c r="I259" s="32" t="s">
        <v>305</v>
      </c>
      <c r="J259" s="15"/>
      <c r="K259" s="15"/>
      <c r="L259" s="179" t="s">
        <v>7</v>
      </c>
      <c r="M259" s="179" t="s">
        <v>64</v>
      </c>
      <c r="N259" s="16"/>
      <c r="O259" s="71"/>
      <c r="P259" s="71"/>
      <c r="Q259" s="71"/>
      <c r="R259" s="71"/>
      <c r="S259" s="71"/>
      <c r="T259" s="71"/>
      <c r="U259" s="71"/>
      <c r="V259" s="71"/>
      <c r="W259" s="71"/>
      <c r="X259" s="71"/>
      <c r="Y259" s="71"/>
      <c r="Z259" s="71"/>
      <c r="AA259" s="71"/>
      <c r="AB259" s="71"/>
    </row>
    <row r="260" spans="1:28" s="72" customFormat="1" x14ac:dyDescent="0.2">
      <c r="A260" s="103" t="s">
        <v>122</v>
      </c>
      <c r="B260" s="103" t="s">
        <v>123</v>
      </c>
      <c r="C260" s="35">
        <v>45921</v>
      </c>
      <c r="D260" s="36">
        <v>160</v>
      </c>
      <c r="E260" s="105" t="s">
        <v>296</v>
      </c>
      <c r="F260" s="32">
        <v>0</v>
      </c>
      <c r="G260" s="32">
        <v>1000</v>
      </c>
      <c r="H260" s="33">
        <f t="shared" si="3"/>
        <v>725893.10000000149</v>
      </c>
      <c r="I260" s="32" t="s">
        <v>288</v>
      </c>
      <c r="J260" s="15"/>
      <c r="K260" s="15"/>
      <c r="L260" s="175" t="s">
        <v>3</v>
      </c>
      <c r="M260" s="175" t="s">
        <v>15</v>
      </c>
      <c r="N260" s="16"/>
      <c r="O260" s="71"/>
      <c r="P260" s="71"/>
      <c r="Q260" s="71"/>
      <c r="R260" s="71"/>
      <c r="S260" s="71"/>
      <c r="T260" s="71"/>
      <c r="U260" s="71"/>
      <c r="V260" s="71"/>
      <c r="W260" s="71"/>
      <c r="X260" s="71"/>
      <c r="Y260" s="71"/>
      <c r="Z260" s="71"/>
      <c r="AA260" s="71"/>
      <c r="AB260" s="71"/>
    </row>
    <row r="261" spans="1:28" s="72" customFormat="1" x14ac:dyDescent="0.2">
      <c r="A261" s="103" t="s">
        <v>122</v>
      </c>
      <c r="B261" s="103" t="s">
        <v>123</v>
      </c>
      <c r="C261" s="35">
        <v>45921</v>
      </c>
      <c r="D261" s="36">
        <v>161</v>
      </c>
      <c r="E261" s="105" t="s">
        <v>296</v>
      </c>
      <c r="F261" s="32">
        <v>0</v>
      </c>
      <c r="G261" s="32">
        <v>1000</v>
      </c>
      <c r="H261" s="33">
        <f t="shared" si="3"/>
        <v>724893.10000000149</v>
      </c>
      <c r="I261" s="32" t="s">
        <v>288</v>
      </c>
      <c r="J261" s="15"/>
      <c r="K261" s="15"/>
      <c r="L261" s="175" t="s">
        <v>3</v>
      </c>
      <c r="M261" s="175" t="s">
        <v>15</v>
      </c>
      <c r="N261" s="16"/>
      <c r="O261" s="71"/>
      <c r="P261" s="71"/>
      <c r="Q261" s="71"/>
      <c r="R261" s="71"/>
      <c r="S261" s="71"/>
      <c r="T261" s="71"/>
      <c r="U261" s="71"/>
      <c r="V261" s="71"/>
      <c r="W261" s="71"/>
      <c r="X261" s="71"/>
      <c r="Y261" s="71"/>
      <c r="Z261" s="71"/>
      <c r="AA261" s="71"/>
      <c r="AB261" s="71"/>
    </row>
    <row r="262" spans="1:28" s="11" customFormat="1" ht="13.5" customHeight="1" x14ac:dyDescent="0.2">
      <c r="A262" s="198" t="s">
        <v>125</v>
      </c>
      <c r="B262" s="198" t="s">
        <v>126</v>
      </c>
      <c r="C262" s="201">
        <v>45922</v>
      </c>
      <c r="D262" s="206">
        <v>18</v>
      </c>
      <c r="E262" s="209" t="s">
        <v>251</v>
      </c>
      <c r="F262" s="212">
        <v>10000</v>
      </c>
      <c r="G262" s="212">
        <v>0</v>
      </c>
      <c r="H262" s="33">
        <f t="shared" si="3"/>
        <v>734893.10000000149</v>
      </c>
      <c r="I262" s="212" t="s">
        <v>236</v>
      </c>
      <c r="J262" s="217"/>
      <c r="K262" s="217"/>
      <c r="L262" s="219"/>
      <c r="M262" s="219"/>
      <c r="N262" s="217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</row>
    <row r="263" spans="1:28" s="72" customFormat="1" x14ac:dyDescent="0.2">
      <c r="A263" s="103" t="s">
        <v>122</v>
      </c>
      <c r="B263" s="103" t="s">
        <v>123</v>
      </c>
      <c r="C263" s="35">
        <v>45922</v>
      </c>
      <c r="D263" s="36">
        <v>162</v>
      </c>
      <c r="E263" s="105" t="s">
        <v>296</v>
      </c>
      <c r="F263" s="32">
        <v>0</v>
      </c>
      <c r="G263" s="32">
        <v>1000</v>
      </c>
      <c r="H263" s="33">
        <f t="shared" si="3"/>
        <v>733893.10000000149</v>
      </c>
      <c r="I263" s="32" t="s">
        <v>288</v>
      </c>
      <c r="J263" s="15"/>
      <c r="K263" s="15"/>
      <c r="L263" s="175" t="s">
        <v>3</v>
      </c>
      <c r="M263" s="175" t="s">
        <v>15</v>
      </c>
      <c r="N263" s="16"/>
      <c r="O263" s="71"/>
      <c r="P263" s="71"/>
      <c r="Q263" s="71"/>
      <c r="R263" s="71"/>
      <c r="S263" s="71"/>
      <c r="T263" s="71"/>
      <c r="U263" s="71"/>
      <c r="V263" s="71"/>
      <c r="W263" s="71"/>
      <c r="X263" s="71"/>
      <c r="Y263" s="71"/>
      <c r="Z263" s="71"/>
      <c r="AA263" s="71"/>
      <c r="AB263" s="71"/>
    </row>
    <row r="264" spans="1:28" s="72" customFormat="1" x14ac:dyDescent="0.2">
      <c r="A264" s="103" t="s">
        <v>122</v>
      </c>
      <c r="B264" s="103" t="s">
        <v>123</v>
      </c>
      <c r="C264" s="35">
        <v>45922</v>
      </c>
      <c r="D264" s="36">
        <v>163</v>
      </c>
      <c r="E264" s="105" t="s">
        <v>296</v>
      </c>
      <c r="F264" s="32">
        <v>0</v>
      </c>
      <c r="G264" s="32">
        <v>1420</v>
      </c>
      <c r="H264" s="33">
        <f t="shared" si="3"/>
        <v>732473.10000000149</v>
      </c>
      <c r="I264" s="32" t="s">
        <v>288</v>
      </c>
      <c r="J264" s="15"/>
      <c r="K264" s="15"/>
      <c r="L264" s="175" t="s">
        <v>3</v>
      </c>
      <c r="M264" s="175" t="s">
        <v>15</v>
      </c>
      <c r="N264" s="16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</row>
    <row r="265" spans="1:28" s="11" customFormat="1" ht="13.5" customHeight="1" x14ac:dyDescent="0.2">
      <c r="A265" s="198" t="s">
        <v>125</v>
      </c>
      <c r="B265" s="198" t="s">
        <v>126</v>
      </c>
      <c r="C265" s="201">
        <v>45923</v>
      </c>
      <c r="D265" s="206">
        <v>19</v>
      </c>
      <c r="E265" s="209" t="s">
        <v>251</v>
      </c>
      <c r="F265" s="212">
        <v>20000</v>
      </c>
      <c r="G265" s="212">
        <v>0</v>
      </c>
      <c r="H265" s="33">
        <f t="shared" si="3"/>
        <v>752473.10000000149</v>
      </c>
      <c r="I265" s="212" t="s">
        <v>236</v>
      </c>
      <c r="J265" s="217"/>
      <c r="K265" s="217"/>
      <c r="L265" s="219"/>
      <c r="M265" s="219"/>
      <c r="N265" s="217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</row>
    <row r="266" spans="1:28" s="11" customFormat="1" ht="13.5" customHeight="1" x14ac:dyDescent="0.2">
      <c r="A266" s="198" t="s">
        <v>125</v>
      </c>
      <c r="B266" s="198" t="s">
        <v>126</v>
      </c>
      <c r="C266" s="201">
        <v>45923</v>
      </c>
      <c r="D266" s="206">
        <v>20</v>
      </c>
      <c r="E266" s="209" t="s">
        <v>251</v>
      </c>
      <c r="F266" s="212">
        <v>10000</v>
      </c>
      <c r="G266" s="212">
        <v>0</v>
      </c>
      <c r="H266" s="33">
        <f t="shared" ref="H266:H329" si="4">H265+F266-G266</f>
        <v>762473.10000000149</v>
      </c>
      <c r="I266" s="212" t="s">
        <v>236</v>
      </c>
      <c r="J266" s="217"/>
      <c r="K266" s="217"/>
      <c r="L266" s="219"/>
      <c r="M266" s="219"/>
      <c r="N266" s="217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</row>
    <row r="267" spans="1:28" s="72" customFormat="1" x14ac:dyDescent="0.2">
      <c r="A267" s="103" t="s">
        <v>122</v>
      </c>
      <c r="B267" s="103" t="s">
        <v>123</v>
      </c>
      <c r="C267" s="35">
        <v>45923</v>
      </c>
      <c r="D267" s="36">
        <v>164</v>
      </c>
      <c r="E267" s="105" t="s">
        <v>303</v>
      </c>
      <c r="F267" s="32">
        <v>0</v>
      </c>
      <c r="G267" s="32">
        <v>435.2</v>
      </c>
      <c r="H267" s="33">
        <f t="shared" si="4"/>
        <v>762037.90000000154</v>
      </c>
      <c r="I267" s="32" t="s">
        <v>288</v>
      </c>
      <c r="J267" s="15"/>
      <c r="K267" s="15"/>
      <c r="L267" s="175" t="s">
        <v>3</v>
      </c>
      <c r="M267" s="175" t="s">
        <v>15</v>
      </c>
      <c r="N267" s="16"/>
      <c r="O267" s="71"/>
      <c r="P267" s="71"/>
      <c r="Q267" s="71"/>
      <c r="R267" s="71"/>
      <c r="S267" s="71"/>
      <c r="T267" s="71"/>
      <c r="U267" s="71"/>
      <c r="V267" s="71"/>
      <c r="W267" s="71"/>
      <c r="X267" s="71"/>
      <c r="Y267" s="71"/>
      <c r="Z267" s="71"/>
      <c r="AA267" s="71"/>
      <c r="AB267" s="71"/>
    </row>
    <row r="268" spans="1:28" s="72" customFormat="1" x14ac:dyDescent="0.2">
      <c r="A268" s="103" t="s">
        <v>122</v>
      </c>
      <c r="B268" s="103" t="s">
        <v>123</v>
      </c>
      <c r="C268" s="35">
        <v>45923</v>
      </c>
      <c r="D268" s="36">
        <v>165</v>
      </c>
      <c r="E268" s="105" t="s">
        <v>296</v>
      </c>
      <c r="F268" s="32">
        <v>0</v>
      </c>
      <c r="G268" s="32">
        <v>1400</v>
      </c>
      <c r="H268" s="33">
        <f t="shared" si="4"/>
        <v>760637.90000000154</v>
      </c>
      <c r="I268" s="32" t="s">
        <v>288</v>
      </c>
      <c r="J268" s="15"/>
      <c r="K268" s="15"/>
      <c r="L268" s="175" t="s">
        <v>3</v>
      </c>
      <c r="M268" s="175" t="s">
        <v>15</v>
      </c>
      <c r="N268" s="16"/>
      <c r="O268" s="71"/>
      <c r="P268" s="71"/>
      <c r="Q268" s="71"/>
      <c r="R268" s="71"/>
      <c r="S268" s="71"/>
      <c r="T268" s="71"/>
      <c r="U268" s="71"/>
      <c r="V268" s="71"/>
      <c r="W268" s="71"/>
      <c r="X268" s="71"/>
      <c r="Y268" s="71"/>
      <c r="Z268" s="71"/>
      <c r="AA268" s="71"/>
      <c r="AB268" s="71"/>
    </row>
    <row r="269" spans="1:28" s="72" customFormat="1" x14ac:dyDescent="0.2">
      <c r="A269" s="103" t="s">
        <v>122</v>
      </c>
      <c r="B269" s="103" t="s">
        <v>123</v>
      </c>
      <c r="C269" s="35">
        <v>45923</v>
      </c>
      <c r="D269" s="36">
        <v>166</v>
      </c>
      <c r="E269" s="105" t="s">
        <v>296</v>
      </c>
      <c r="F269" s="32">
        <v>0</v>
      </c>
      <c r="G269" s="32">
        <v>2000</v>
      </c>
      <c r="H269" s="33">
        <f t="shared" si="4"/>
        <v>758637.90000000154</v>
      </c>
      <c r="I269" s="32" t="s">
        <v>288</v>
      </c>
      <c r="J269" s="15"/>
      <c r="K269" s="15"/>
      <c r="L269" s="175" t="s">
        <v>3</v>
      </c>
      <c r="M269" s="175" t="s">
        <v>15</v>
      </c>
      <c r="N269" s="16"/>
      <c r="O269" s="71"/>
      <c r="P269" s="71"/>
      <c r="Q269" s="71"/>
      <c r="R269" s="71"/>
      <c r="S269" s="71"/>
      <c r="T269" s="71"/>
      <c r="U269" s="71"/>
      <c r="V269" s="71"/>
      <c r="W269" s="71"/>
      <c r="X269" s="71"/>
      <c r="Y269" s="71"/>
      <c r="Z269" s="71"/>
      <c r="AA269" s="71"/>
      <c r="AB269" s="71"/>
    </row>
    <row r="270" spans="1:28" s="72" customFormat="1" x14ac:dyDescent="0.2">
      <c r="A270" s="103" t="s">
        <v>122</v>
      </c>
      <c r="B270" s="103" t="s">
        <v>123</v>
      </c>
      <c r="C270" s="35">
        <v>45925</v>
      </c>
      <c r="D270" s="36">
        <v>167</v>
      </c>
      <c r="E270" s="105" t="s">
        <v>137</v>
      </c>
      <c r="F270" s="32">
        <v>0</v>
      </c>
      <c r="G270" s="32">
        <v>40</v>
      </c>
      <c r="H270" s="33">
        <f t="shared" si="4"/>
        <v>758597.90000000154</v>
      </c>
      <c r="I270" s="32" t="s">
        <v>306</v>
      </c>
      <c r="J270" s="15"/>
      <c r="K270" s="15"/>
      <c r="L270" s="179" t="s">
        <v>7</v>
      </c>
      <c r="M270" s="179" t="s">
        <v>64</v>
      </c>
      <c r="N270" s="16"/>
      <c r="O270" s="71"/>
      <c r="P270" s="71"/>
      <c r="Q270" s="71"/>
      <c r="R270" s="71"/>
      <c r="S270" s="71"/>
      <c r="T270" s="71"/>
      <c r="U270" s="71"/>
      <c r="V270" s="71"/>
      <c r="W270" s="71"/>
      <c r="X270" s="71"/>
      <c r="Y270" s="71"/>
      <c r="Z270" s="71"/>
      <c r="AA270" s="71"/>
      <c r="AB270" s="71"/>
    </row>
    <row r="271" spans="1:28" s="72" customFormat="1" x14ac:dyDescent="0.2">
      <c r="A271" s="103" t="s">
        <v>122</v>
      </c>
      <c r="B271" s="103" t="s">
        <v>123</v>
      </c>
      <c r="C271" s="35">
        <v>45926</v>
      </c>
      <c r="D271" s="36">
        <v>168</v>
      </c>
      <c r="E271" s="105" t="s">
        <v>296</v>
      </c>
      <c r="F271" s="32">
        <v>0</v>
      </c>
      <c r="G271" s="32">
        <v>2500</v>
      </c>
      <c r="H271" s="33">
        <f t="shared" si="4"/>
        <v>756097.90000000154</v>
      </c>
      <c r="I271" s="32" t="s">
        <v>288</v>
      </c>
      <c r="J271" s="15"/>
      <c r="K271" s="15"/>
      <c r="L271" s="175" t="s">
        <v>3</v>
      </c>
      <c r="M271" s="175" t="s">
        <v>15</v>
      </c>
      <c r="N271" s="16"/>
      <c r="O271" s="71"/>
      <c r="P271" s="71"/>
      <c r="Q271" s="71"/>
      <c r="R271" s="71"/>
      <c r="S271" s="71"/>
      <c r="T271" s="71"/>
      <c r="U271" s="71"/>
      <c r="V271" s="71"/>
      <c r="W271" s="71"/>
      <c r="X271" s="71"/>
      <c r="Y271" s="71"/>
      <c r="Z271" s="71"/>
      <c r="AA271" s="71"/>
      <c r="AB271" s="71"/>
    </row>
    <row r="272" spans="1:28" s="72" customFormat="1" x14ac:dyDescent="0.2">
      <c r="A272" s="103" t="s">
        <v>122</v>
      </c>
      <c r="B272" s="103" t="s">
        <v>123</v>
      </c>
      <c r="C272" s="35">
        <v>45926</v>
      </c>
      <c r="D272" s="36">
        <v>169</v>
      </c>
      <c r="E272" s="105" t="s">
        <v>296</v>
      </c>
      <c r="F272" s="32">
        <v>0</v>
      </c>
      <c r="G272" s="32">
        <v>2000</v>
      </c>
      <c r="H272" s="33">
        <f t="shared" si="4"/>
        <v>754097.90000000154</v>
      </c>
      <c r="I272" s="32" t="s">
        <v>288</v>
      </c>
      <c r="J272" s="15"/>
      <c r="K272" s="15"/>
      <c r="L272" s="175" t="s">
        <v>3</v>
      </c>
      <c r="M272" s="175" t="s">
        <v>15</v>
      </c>
      <c r="N272" s="16"/>
      <c r="O272" s="71"/>
      <c r="P272" s="71"/>
      <c r="Q272" s="71"/>
      <c r="R272" s="71"/>
      <c r="S272" s="71"/>
      <c r="T272" s="71"/>
      <c r="U272" s="71"/>
      <c r="V272" s="71"/>
      <c r="W272" s="71"/>
      <c r="X272" s="71"/>
      <c r="Y272" s="71"/>
      <c r="Z272" s="71"/>
      <c r="AA272" s="71"/>
      <c r="AB272" s="71"/>
    </row>
    <row r="273" spans="1:28" s="72" customFormat="1" x14ac:dyDescent="0.2">
      <c r="A273" s="103" t="s">
        <v>122</v>
      </c>
      <c r="B273" s="103" t="s">
        <v>123</v>
      </c>
      <c r="C273" s="35">
        <v>45926</v>
      </c>
      <c r="D273" s="36">
        <v>170</v>
      </c>
      <c r="E273" s="105" t="s">
        <v>303</v>
      </c>
      <c r="F273" s="32">
        <v>0</v>
      </c>
      <c r="G273" s="32">
        <v>500</v>
      </c>
      <c r="H273" s="33">
        <f t="shared" si="4"/>
        <v>753597.90000000154</v>
      </c>
      <c r="I273" s="32" t="s">
        <v>288</v>
      </c>
      <c r="J273" s="15"/>
      <c r="K273" s="15"/>
      <c r="L273" s="175" t="s">
        <v>3</v>
      </c>
      <c r="M273" s="175" t="s">
        <v>15</v>
      </c>
      <c r="N273" s="16"/>
      <c r="O273" s="71"/>
      <c r="P273" s="71"/>
      <c r="Q273" s="71"/>
      <c r="R273" s="71"/>
      <c r="S273" s="71"/>
      <c r="T273" s="71"/>
      <c r="U273" s="71"/>
      <c r="V273" s="71"/>
      <c r="W273" s="71"/>
      <c r="X273" s="71"/>
      <c r="Y273" s="71"/>
      <c r="Z273" s="71"/>
      <c r="AA273" s="71"/>
      <c r="AB273" s="71"/>
    </row>
    <row r="274" spans="1:28" s="72" customFormat="1" x14ac:dyDescent="0.2">
      <c r="A274" s="103" t="s">
        <v>122</v>
      </c>
      <c r="B274" s="103" t="s">
        <v>123</v>
      </c>
      <c r="C274" s="35">
        <v>45926</v>
      </c>
      <c r="D274" s="36">
        <v>171</v>
      </c>
      <c r="E274" s="105" t="s">
        <v>297</v>
      </c>
      <c r="F274" s="32">
        <v>0</v>
      </c>
      <c r="G274" s="32">
        <v>500</v>
      </c>
      <c r="H274" s="33">
        <f t="shared" si="4"/>
        <v>753097.90000000154</v>
      </c>
      <c r="I274" s="32" t="s">
        <v>288</v>
      </c>
      <c r="J274" s="15"/>
      <c r="K274" s="15"/>
      <c r="L274" s="175" t="s">
        <v>3</v>
      </c>
      <c r="M274" s="175" t="s">
        <v>15</v>
      </c>
      <c r="N274" s="16"/>
      <c r="O274" s="71"/>
      <c r="P274" s="71"/>
      <c r="Q274" s="71"/>
      <c r="R274" s="71"/>
      <c r="S274" s="71"/>
      <c r="T274" s="71"/>
      <c r="U274" s="71"/>
      <c r="V274" s="71"/>
      <c r="W274" s="71"/>
      <c r="X274" s="71"/>
      <c r="Y274" s="71"/>
      <c r="Z274" s="71"/>
      <c r="AA274" s="71"/>
      <c r="AB274" s="71"/>
    </row>
    <row r="275" spans="1:28" s="72" customFormat="1" x14ac:dyDescent="0.2">
      <c r="A275" s="103" t="s">
        <v>122</v>
      </c>
      <c r="B275" s="103" t="s">
        <v>123</v>
      </c>
      <c r="C275" s="35">
        <v>45926</v>
      </c>
      <c r="D275" s="36">
        <v>172</v>
      </c>
      <c r="E275" s="69" t="s">
        <v>307</v>
      </c>
      <c r="F275" s="32">
        <v>0</v>
      </c>
      <c r="G275" s="32">
        <v>3000</v>
      </c>
      <c r="H275" s="33">
        <f t="shared" si="4"/>
        <v>750097.90000000154</v>
      </c>
      <c r="I275" s="15" t="s">
        <v>284</v>
      </c>
      <c r="J275" s="15"/>
      <c r="K275" s="15"/>
      <c r="L275" s="176" t="s">
        <v>7</v>
      </c>
      <c r="M275" s="176" t="s">
        <v>64</v>
      </c>
      <c r="N275" s="16"/>
      <c r="O275" s="71"/>
      <c r="P275" s="71"/>
      <c r="Q275" s="71"/>
      <c r="R275" s="71"/>
      <c r="S275" s="71"/>
      <c r="T275" s="71"/>
      <c r="U275" s="71"/>
      <c r="V275" s="71"/>
      <c r="W275" s="71"/>
      <c r="X275" s="71"/>
      <c r="Y275" s="71"/>
      <c r="Z275" s="71"/>
      <c r="AA275" s="71"/>
      <c r="AB275" s="71"/>
    </row>
    <row r="276" spans="1:28" s="11" customFormat="1" ht="13.5" customHeight="1" x14ac:dyDescent="0.2">
      <c r="A276" s="198" t="s">
        <v>125</v>
      </c>
      <c r="B276" s="198" t="s">
        <v>126</v>
      </c>
      <c r="C276" s="201">
        <v>45927</v>
      </c>
      <c r="D276" s="206">
        <v>21</v>
      </c>
      <c r="E276" s="209" t="s">
        <v>251</v>
      </c>
      <c r="F276" s="212">
        <v>80000</v>
      </c>
      <c r="G276" s="212">
        <v>0</v>
      </c>
      <c r="H276" s="33">
        <f t="shared" si="4"/>
        <v>830097.90000000154</v>
      </c>
      <c r="I276" s="212" t="s">
        <v>236</v>
      </c>
      <c r="J276" s="217"/>
      <c r="K276" s="217"/>
      <c r="L276" s="219"/>
      <c r="M276" s="219"/>
      <c r="N276" s="217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</row>
    <row r="277" spans="1:28" s="11" customFormat="1" ht="13.5" customHeight="1" x14ac:dyDescent="0.2">
      <c r="A277" s="198" t="s">
        <v>125</v>
      </c>
      <c r="B277" s="198" t="s">
        <v>126</v>
      </c>
      <c r="C277" s="201">
        <v>45927</v>
      </c>
      <c r="D277" s="206">
        <v>22</v>
      </c>
      <c r="E277" s="209" t="s">
        <v>251</v>
      </c>
      <c r="F277" s="212">
        <v>12000</v>
      </c>
      <c r="G277" s="212">
        <v>0</v>
      </c>
      <c r="H277" s="33">
        <f t="shared" si="4"/>
        <v>842097.90000000154</v>
      </c>
      <c r="I277" s="212" t="s">
        <v>236</v>
      </c>
      <c r="J277" s="217"/>
      <c r="K277" s="217"/>
      <c r="L277" s="219"/>
      <c r="M277" s="219"/>
      <c r="N277" s="217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</row>
    <row r="278" spans="1:28" s="72" customFormat="1" ht="28.5" x14ac:dyDescent="0.2">
      <c r="A278" s="103" t="s">
        <v>122</v>
      </c>
      <c r="B278" s="103" t="s">
        <v>123</v>
      </c>
      <c r="C278" s="35">
        <v>45928</v>
      </c>
      <c r="D278" s="36">
        <v>173</v>
      </c>
      <c r="E278" s="105" t="s">
        <v>309</v>
      </c>
      <c r="F278" s="32">
        <v>0</v>
      </c>
      <c r="G278" s="32">
        <v>13896</v>
      </c>
      <c r="H278" s="33">
        <f t="shared" si="4"/>
        <v>828201.90000000154</v>
      </c>
      <c r="I278" s="32" t="s">
        <v>335</v>
      </c>
      <c r="J278" s="15"/>
      <c r="K278" s="15"/>
      <c r="L278" s="175" t="s">
        <v>3</v>
      </c>
      <c r="M278" s="175" t="s">
        <v>39</v>
      </c>
      <c r="N278" s="16"/>
      <c r="O278" s="71"/>
      <c r="P278" s="71"/>
      <c r="Q278" s="71"/>
      <c r="R278" s="71"/>
      <c r="S278" s="71"/>
      <c r="T278" s="71"/>
      <c r="U278" s="71"/>
      <c r="V278" s="71"/>
      <c r="W278" s="71"/>
      <c r="X278" s="71"/>
      <c r="Y278" s="71"/>
      <c r="Z278" s="71"/>
      <c r="AA278" s="71"/>
      <c r="AB278" s="71"/>
    </row>
    <row r="279" spans="1:28" s="72" customFormat="1" ht="28.5" x14ac:dyDescent="0.2">
      <c r="A279" s="103" t="s">
        <v>125</v>
      </c>
      <c r="B279" s="103" t="s">
        <v>126</v>
      </c>
      <c r="C279" s="35">
        <v>45928</v>
      </c>
      <c r="D279" s="36">
        <v>174</v>
      </c>
      <c r="E279" s="108" t="s">
        <v>308</v>
      </c>
      <c r="F279" s="32">
        <v>0</v>
      </c>
      <c r="G279" s="32">
        <v>11915</v>
      </c>
      <c r="H279" s="33">
        <f t="shared" si="4"/>
        <v>816286.90000000154</v>
      </c>
      <c r="I279" s="32" t="s">
        <v>237</v>
      </c>
      <c r="J279" s="15"/>
      <c r="K279" s="15"/>
      <c r="L279" s="179" t="s">
        <v>3</v>
      </c>
      <c r="M279" s="179" t="s">
        <v>27</v>
      </c>
      <c r="N279" s="16"/>
      <c r="O279" s="71"/>
      <c r="P279" s="71"/>
      <c r="Q279" s="71"/>
      <c r="R279" s="71"/>
      <c r="S279" s="71"/>
      <c r="T279" s="71"/>
      <c r="U279" s="71"/>
      <c r="V279" s="71"/>
      <c r="W279" s="71"/>
      <c r="X279" s="71"/>
      <c r="Y279" s="71"/>
      <c r="Z279" s="71"/>
      <c r="AA279" s="71"/>
      <c r="AB279" s="71"/>
    </row>
    <row r="280" spans="1:28" s="72" customFormat="1" x14ac:dyDescent="0.2">
      <c r="A280" s="103" t="s">
        <v>122</v>
      </c>
      <c r="B280" s="103" t="s">
        <v>123</v>
      </c>
      <c r="C280" s="35">
        <v>45928</v>
      </c>
      <c r="D280" s="36">
        <v>175</v>
      </c>
      <c r="E280" s="105" t="s">
        <v>310</v>
      </c>
      <c r="F280" s="32">
        <v>0</v>
      </c>
      <c r="G280" s="32">
        <v>30</v>
      </c>
      <c r="H280" s="33">
        <f t="shared" si="4"/>
        <v>816256.90000000154</v>
      </c>
      <c r="I280" s="32" t="s">
        <v>103</v>
      </c>
      <c r="J280" s="15"/>
      <c r="K280" s="15"/>
      <c r="L280" s="175" t="s">
        <v>3</v>
      </c>
      <c r="M280" s="175" t="s">
        <v>39</v>
      </c>
      <c r="N280" s="16"/>
      <c r="O280" s="71"/>
      <c r="P280" s="71"/>
      <c r="Q280" s="71"/>
      <c r="R280" s="71"/>
      <c r="S280" s="71"/>
      <c r="T280" s="71"/>
      <c r="U280" s="71"/>
      <c r="V280" s="71"/>
      <c r="W280" s="71"/>
      <c r="X280" s="71"/>
      <c r="Y280" s="71"/>
      <c r="Z280" s="71"/>
      <c r="AA280" s="71"/>
      <c r="AB280" s="71"/>
    </row>
    <row r="281" spans="1:28" s="72" customFormat="1" x14ac:dyDescent="0.2">
      <c r="A281" s="103" t="s">
        <v>122</v>
      </c>
      <c r="B281" s="103" t="s">
        <v>123</v>
      </c>
      <c r="C281" s="35">
        <v>45928</v>
      </c>
      <c r="D281" s="36">
        <v>176</v>
      </c>
      <c r="E281" s="105" t="s">
        <v>311</v>
      </c>
      <c r="F281" s="32">
        <v>0</v>
      </c>
      <c r="G281" s="32">
        <v>45</v>
      </c>
      <c r="H281" s="33">
        <f t="shared" si="4"/>
        <v>816211.90000000154</v>
      </c>
      <c r="I281" s="16" t="s">
        <v>85</v>
      </c>
      <c r="J281" s="15"/>
      <c r="K281" s="15"/>
      <c r="L281" s="175" t="s">
        <v>3</v>
      </c>
      <c r="M281" s="175" t="s">
        <v>39</v>
      </c>
      <c r="N281" s="16"/>
      <c r="O281" s="71"/>
      <c r="P281" s="71"/>
      <c r="Q281" s="71"/>
      <c r="R281" s="71"/>
      <c r="S281" s="71"/>
      <c r="T281" s="71"/>
      <c r="U281" s="71"/>
      <c r="V281" s="71"/>
      <c r="W281" s="71"/>
      <c r="X281" s="71"/>
      <c r="Y281" s="71"/>
      <c r="Z281" s="71"/>
      <c r="AA281" s="71"/>
      <c r="AB281" s="71"/>
    </row>
    <row r="282" spans="1:28" s="72" customFormat="1" x14ac:dyDescent="0.2">
      <c r="A282" s="103" t="s">
        <v>122</v>
      </c>
      <c r="B282" s="103" t="s">
        <v>123</v>
      </c>
      <c r="C282" s="35">
        <v>45928</v>
      </c>
      <c r="D282" s="36">
        <v>177</v>
      </c>
      <c r="E282" s="105" t="s">
        <v>312</v>
      </c>
      <c r="F282" s="32">
        <v>0</v>
      </c>
      <c r="G282" s="32">
        <v>40</v>
      </c>
      <c r="H282" s="33">
        <f t="shared" si="4"/>
        <v>816171.90000000154</v>
      </c>
      <c r="I282" s="32" t="s">
        <v>103</v>
      </c>
      <c r="J282" s="15"/>
      <c r="K282" s="15"/>
      <c r="L282" s="175" t="s">
        <v>3</v>
      </c>
      <c r="M282" s="175" t="s">
        <v>39</v>
      </c>
      <c r="N282" s="16"/>
      <c r="O282" s="71"/>
      <c r="P282" s="71"/>
      <c r="Q282" s="71"/>
      <c r="R282" s="71"/>
      <c r="S282" s="71"/>
      <c r="T282" s="71"/>
      <c r="U282" s="71"/>
      <c r="V282" s="71"/>
      <c r="W282" s="71"/>
      <c r="X282" s="71"/>
      <c r="Y282" s="71"/>
      <c r="Z282" s="71"/>
      <c r="AA282" s="71"/>
      <c r="AB282" s="71"/>
    </row>
    <row r="283" spans="1:28" s="72" customFormat="1" x14ac:dyDescent="0.2">
      <c r="A283" s="103" t="s">
        <v>122</v>
      </c>
      <c r="B283" s="103" t="s">
        <v>123</v>
      </c>
      <c r="C283" s="35">
        <v>45928</v>
      </c>
      <c r="D283" s="36">
        <v>178</v>
      </c>
      <c r="E283" s="105" t="s">
        <v>313</v>
      </c>
      <c r="F283" s="32">
        <v>0</v>
      </c>
      <c r="G283" s="32">
        <v>2500</v>
      </c>
      <c r="H283" s="33">
        <f t="shared" si="4"/>
        <v>813671.90000000154</v>
      </c>
      <c r="I283" s="32" t="s">
        <v>288</v>
      </c>
      <c r="J283" s="15"/>
      <c r="K283" s="15"/>
      <c r="L283" s="175" t="s">
        <v>3</v>
      </c>
      <c r="M283" s="175" t="s">
        <v>15</v>
      </c>
      <c r="N283" s="16"/>
      <c r="O283" s="71"/>
      <c r="P283" s="71"/>
      <c r="Q283" s="71"/>
      <c r="R283" s="71"/>
      <c r="S283" s="71"/>
      <c r="T283" s="71"/>
      <c r="U283" s="71"/>
      <c r="V283" s="71"/>
      <c r="W283" s="71"/>
      <c r="X283" s="71"/>
      <c r="Y283" s="71"/>
      <c r="Z283" s="71"/>
      <c r="AA283" s="71"/>
      <c r="AB283" s="71"/>
    </row>
    <row r="284" spans="1:28" s="72" customFormat="1" x14ac:dyDescent="0.2">
      <c r="A284" s="103" t="s">
        <v>122</v>
      </c>
      <c r="B284" s="103" t="s">
        <v>123</v>
      </c>
      <c r="C284" s="35">
        <v>45928</v>
      </c>
      <c r="D284" s="36">
        <v>179</v>
      </c>
      <c r="E284" s="105" t="s">
        <v>303</v>
      </c>
      <c r="F284" s="32">
        <v>0</v>
      </c>
      <c r="G284" s="32">
        <v>500</v>
      </c>
      <c r="H284" s="33">
        <f t="shared" si="4"/>
        <v>813171.90000000154</v>
      </c>
      <c r="I284" s="32" t="s">
        <v>288</v>
      </c>
      <c r="J284" s="15"/>
      <c r="K284" s="15"/>
      <c r="L284" s="175" t="s">
        <v>3</v>
      </c>
      <c r="M284" s="175" t="s">
        <v>15</v>
      </c>
      <c r="N284" s="16"/>
      <c r="O284" s="71"/>
      <c r="P284" s="71"/>
      <c r="Q284" s="71"/>
      <c r="R284" s="71"/>
      <c r="S284" s="71"/>
      <c r="T284" s="71"/>
      <c r="U284" s="71"/>
      <c r="V284" s="71"/>
      <c r="W284" s="71"/>
      <c r="X284" s="71"/>
      <c r="Y284" s="71"/>
      <c r="Z284" s="71"/>
      <c r="AA284" s="71"/>
      <c r="AB284" s="71"/>
    </row>
    <row r="285" spans="1:28" s="72" customFormat="1" x14ac:dyDescent="0.2">
      <c r="A285" s="103" t="s">
        <v>122</v>
      </c>
      <c r="B285" s="103" t="s">
        <v>123</v>
      </c>
      <c r="C285" s="35">
        <v>45928</v>
      </c>
      <c r="D285" s="36">
        <v>180</v>
      </c>
      <c r="E285" s="105" t="s">
        <v>314</v>
      </c>
      <c r="F285" s="32">
        <v>0</v>
      </c>
      <c r="G285" s="32">
        <v>2500</v>
      </c>
      <c r="H285" s="33">
        <f t="shared" si="4"/>
        <v>810671.90000000154</v>
      </c>
      <c r="I285" s="32" t="s">
        <v>288</v>
      </c>
      <c r="J285" s="15"/>
      <c r="K285" s="15"/>
      <c r="L285" s="175" t="s">
        <v>3</v>
      </c>
      <c r="M285" s="175" t="s">
        <v>15</v>
      </c>
      <c r="N285" s="16"/>
      <c r="O285" s="71"/>
      <c r="P285" s="71"/>
      <c r="Q285" s="71"/>
      <c r="R285" s="71"/>
      <c r="S285" s="71"/>
      <c r="T285" s="71"/>
      <c r="U285" s="71"/>
      <c r="V285" s="71"/>
      <c r="W285" s="71"/>
      <c r="X285" s="71"/>
      <c r="Y285" s="71"/>
      <c r="Z285" s="71"/>
      <c r="AA285" s="71"/>
      <c r="AB285" s="71"/>
    </row>
    <row r="286" spans="1:28" s="72" customFormat="1" x14ac:dyDescent="0.2">
      <c r="A286" s="103" t="s">
        <v>122</v>
      </c>
      <c r="B286" s="103" t="s">
        <v>123</v>
      </c>
      <c r="C286" s="35">
        <v>45929</v>
      </c>
      <c r="D286" s="36">
        <v>181</v>
      </c>
      <c r="E286" s="105" t="s">
        <v>315</v>
      </c>
      <c r="F286" s="32">
        <v>0</v>
      </c>
      <c r="G286" s="32">
        <v>540</v>
      </c>
      <c r="H286" s="33">
        <f t="shared" si="4"/>
        <v>810131.90000000154</v>
      </c>
      <c r="I286" s="32" t="s">
        <v>288</v>
      </c>
      <c r="J286" s="15"/>
      <c r="K286" s="15"/>
      <c r="L286" s="175" t="s">
        <v>3</v>
      </c>
      <c r="M286" s="175" t="s">
        <v>15</v>
      </c>
      <c r="N286" s="16"/>
      <c r="O286" s="71"/>
      <c r="P286" s="71"/>
      <c r="Q286" s="71"/>
      <c r="R286" s="71"/>
      <c r="S286" s="71"/>
      <c r="T286" s="71"/>
      <c r="U286" s="71"/>
      <c r="V286" s="71"/>
      <c r="W286" s="71"/>
      <c r="X286" s="71"/>
      <c r="Y286" s="71"/>
      <c r="Z286" s="71"/>
      <c r="AA286" s="71"/>
      <c r="AB286" s="71"/>
    </row>
    <row r="287" spans="1:28" s="72" customFormat="1" x14ac:dyDescent="0.2">
      <c r="A287" s="103" t="s">
        <v>122</v>
      </c>
      <c r="B287" s="103" t="s">
        <v>123</v>
      </c>
      <c r="C287" s="35">
        <v>45929</v>
      </c>
      <c r="D287" s="36">
        <v>182</v>
      </c>
      <c r="E287" s="105" t="s">
        <v>316</v>
      </c>
      <c r="F287" s="32">
        <v>0</v>
      </c>
      <c r="G287" s="32">
        <v>2500</v>
      </c>
      <c r="H287" s="33">
        <f t="shared" si="4"/>
        <v>807631.90000000154</v>
      </c>
      <c r="I287" s="32" t="s">
        <v>288</v>
      </c>
      <c r="J287" s="15"/>
      <c r="K287" s="15"/>
      <c r="L287" s="175" t="s">
        <v>3</v>
      </c>
      <c r="M287" s="175" t="s">
        <v>15</v>
      </c>
      <c r="N287" s="16"/>
      <c r="O287" s="71"/>
      <c r="P287" s="71"/>
      <c r="Q287" s="71"/>
      <c r="R287" s="71"/>
      <c r="S287" s="71"/>
      <c r="T287" s="71"/>
      <c r="U287" s="71"/>
      <c r="V287" s="71"/>
      <c r="W287" s="71"/>
      <c r="X287" s="71"/>
      <c r="Y287" s="71"/>
      <c r="Z287" s="71"/>
      <c r="AA287" s="71"/>
      <c r="AB287" s="71"/>
    </row>
    <row r="288" spans="1:28" s="72" customFormat="1" ht="28.5" x14ac:dyDescent="0.2">
      <c r="A288" s="103" t="s">
        <v>122</v>
      </c>
      <c r="B288" s="103" t="s">
        <v>123</v>
      </c>
      <c r="C288" s="35">
        <v>45929</v>
      </c>
      <c r="D288" s="36">
        <v>183</v>
      </c>
      <c r="E288" s="105" t="s">
        <v>317</v>
      </c>
      <c r="F288" s="32">
        <v>0</v>
      </c>
      <c r="G288" s="32">
        <v>13392</v>
      </c>
      <c r="H288" s="33">
        <f t="shared" si="4"/>
        <v>794239.90000000154</v>
      </c>
      <c r="I288" s="32" t="s">
        <v>335</v>
      </c>
      <c r="J288" s="15"/>
      <c r="K288" s="15"/>
      <c r="L288" s="175" t="s">
        <v>12</v>
      </c>
      <c r="M288" s="175" t="s">
        <v>48</v>
      </c>
      <c r="N288" s="16"/>
      <c r="O288" s="71"/>
      <c r="P288" s="71"/>
      <c r="Q288" s="71"/>
      <c r="R288" s="71"/>
      <c r="S288" s="71"/>
      <c r="T288" s="71"/>
      <c r="U288" s="71"/>
      <c r="V288" s="71"/>
      <c r="W288" s="71"/>
      <c r="X288" s="71"/>
      <c r="Y288" s="71"/>
      <c r="Z288" s="71"/>
      <c r="AA288" s="71"/>
      <c r="AB288" s="71"/>
    </row>
    <row r="289" spans="1:28" s="11" customFormat="1" ht="13.5" customHeight="1" x14ac:dyDescent="0.2">
      <c r="A289" s="198" t="s">
        <v>125</v>
      </c>
      <c r="B289" s="198" t="s">
        <v>126</v>
      </c>
      <c r="C289" s="201">
        <v>45930</v>
      </c>
      <c r="D289" s="206">
        <v>23</v>
      </c>
      <c r="E289" s="209" t="s">
        <v>251</v>
      </c>
      <c r="F289" s="212">
        <v>20000</v>
      </c>
      <c r="G289" s="212">
        <v>0</v>
      </c>
      <c r="H289" s="33">
        <f t="shared" si="4"/>
        <v>814239.90000000154</v>
      </c>
      <c r="I289" s="212" t="s">
        <v>236</v>
      </c>
      <c r="J289" s="217"/>
      <c r="K289" s="217"/>
      <c r="L289" s="219"/>
      <c r="M289" s="219"/>
      <c r="N289" s="217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</row>
    <row r="290" spans="1:28" s="11" customFormat="1" ht="13.5" customHeight="1" x14ac:dyDescent="0.2">
      <c r="A290" s="198" t="s">
        <v>125</v>
      </c>
      <c r="B290" s="198" t="s">
        <v>126</v>
      </c>
      <c r="C290" s="201">
        <v>45930</v>
      </c>
      <c r="D290" s="206">
        <v>24</v>
      </c>
      <c r="E290" s="209" t="s">
        <v>251</v>
      </c>
      <c r="F290" s="212">
        <v>5000</v>
      </c>
      <c r="G290" s="212">
        <v>0</v>
      </c>
      <c r="H290" s="33">
        <f t="shared" si="4"/>
        <v>819239.90000000154</v>
      </c>
      <c r="I290" s="212" t="s">
        <v>236</v>
      </c>
      <c r="J290" s="217"/>
      <c r="K290" s="217"/>
      <c r="L290" s="219"/>
      <c r="M290" s="219"/>
      <c r="N290" s="217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</row>
    <row r="291" spans="1:28" s="72" customFormat="1" x14ac:dyDescent="0.2">
      <c r="A291" s="103" t="s">
        <v>122</v>
      </c>
      <c r="B291" s="103" t="s">
        <v>123</v>
      </c>
      <c r="C291" s="35">
        <v>45930</v>
      </c>
      <c r="D291" s="36">
        <v>184</v>
      </c>
      <c r="E291" s="105" t="s">
        <v>320</v>
      </c>
      <c r="F291" s="32">
        <v>0</v>
      </c>
      <c r="G291" s="32">
        <v>2500</v>
      </c>
      <c r="H291" s="33">
        <f t="shared" si="4"/>
        <v>816739.90000000154</v>
      </c>
      <c r="I291" s="32" t="s">
        <v>288</v>
      </c>
      <c r="J291" s="15"/>
      <c r="K291" s="15"/>
      <c r="L291" s="175" t="s">
        <v>3</v>
      </c>
      <c r="M291" s="175" t="s">
        <v>15</v>
      </c>
      <c r="N291" s="16"/>
      <c r="O291" s="71"/>
      <c r="P291" s="71"/>
      <c r="Q291" s="71"/>
      <c r="R291" s="71"/>
      <c r="S291" s="71"/>
      <c r="T291" s="71"/>
      <c r="U291" s="71"/>
      <c r="V291" s="71"/>
      <c r="W291" s="71"/>
      <c r="X291" s="71"/>
      <c r="Y291" s="71"/>
      <c r="Z291" s="71"/>
      <c r="AA291" s="71"/>
      <c r="AB291" s="71"/>
    </row>
    <row r="292" spans="1:28" s="72" customFormat="1" x14ac:dyDescent="0.2">
      <c r="A292" s="103" t="s">
        <v>122</v>
      </c>
      <c r="B292" s="103" t="s">
        <v>123</v>
      </c>
      <c r="C292" s="35">
        <v>45931</v>
      </c>
      <c r="D292" s="36">
        <v>185</v>
      </c>
      <c r="E292" s="105" t="s">
        <v>318</v>
      </c>
      <c r="F292" s="32">
        <v>0</v>
      </c>
      <c r="G292" s="32">
        <v>27792</v>
      </c>
      <c r="H292" s="33">
        <f t="shared" si="4"/>
        <v>788947.90000000154</v>
      </c>
      <c r="I292" s="32" t="s">
        <v>335</v>
      </c>
      <c r="J292" s="15"/>
      <c r="K292" s="15"/>
      <c r="L292" s="175" t="s">
        <v>12</v>
      </c>
      <c r="M292" s="175" t="s">
        <v>48</v>
      </c>
      <c r="N292" s="16"/>
      <c r="O292" s="71"/>
      <c r="P292" s="71"/>
      <c r="Q292" s="71"/>
      <c r="R292" s="71"/>
      <c r="S292" s="71"/>
      <c r="T292" s="71"/>
      <c r="U292" s="71"/>
      <c r="V292" s="71"/>
      <c r="W292" s="71"/>
      <c r="X292" s="71"/>
      <c r="Y292" s="71"/>
      <c r="Z292" s="71"/>
      <c r="AA292" s="71"/>
      <c r="AB292" s="71"/>
    </row>
    <row r="293" spans="1:28" s="72" customFormat="1" x14ac:dyDescent="0.2">
      <c r="A293" s="103" t="s">
        <v>122</v>
      </c>
      <c r="B293" s="103" t="s">
        <v>123</v>
      </c>
      <c r="C293" s="35">
        <v>45931</v>
      </c>
      <c r="D293" s="36">
        <v>186</v>
      </c>
      <c r="E293" s="105" t="s">
        <v>319</v>
      </c>
      <c r="F293" s="32">
        <v>0</v>
      </c>
      <c r="G293" s="32">
        <v>6800</v>
      </c>
      <c r="H293" s="33">
        <f t="shared" si="4"/>
        <v>782147.90000000154</v>
      </c>
      <c r="I293" s="32" t="s">
        <v>334</v>
      </c>
      <c r="J293" s="15"/>
      <c r="K293" s="15"/>
      <c r="L293" s="175" t="s">
        <v>12</v>
      </c>
      <c r="M293" s="175" t="s">
        <v>36</v>
      </c>
      <c r="N293" s="16"/>
      <c r="O293" s="71"/>
      <c r="P293" s="71"/>
      <c r="Q293" s="71"/>
      <c r="R293" s="71"/>
      <c r="S293" s="71"/>
      <c r="T293" s="71"/>
      <c r="U293" s="71"/>
      <c r="V293" s="71"/>
      <c r="W293" s="71"/>
      <c r="X293" s="71"/>
      <c r="Y293" s="71"/>
      <c r="Z293" s="71"/>
      <c r="AA293" s="71"/>
      <c r="AB293" s="71"/>
    </row>
    <row r="294" spans="1:28" s="72" customFormat="1" x14ac:dyDescent="0.2">
      <c r="A294" s="103" t="s">
        <v>125</v>
      </c>
      <c r="B294" s="103" t="s">
        <v>126</v>
      </c>
      <c r="C294" s="35">
        <v>45931</v>
      </c>
      <c r="D294" s="36">
        <v>187</v>
      </c>
      <c r="E294" s="105" t="s">
        <v>322</v>
      </c>
      <c r="F294" s="32">
        <v>0</v>
      </c>
      <c r="G294" s="32">
        <v>4900</v>
      </c>
      <c r="H294" s="33">
        <f t="shared" si="4"/>
        <v>777247.90000000154</v>
      </c>
      <c r="I294" s="32" t="s">
        <v>321</v>
      </c>
      <c r="J294" s="15"/>
      <c r="K294" s="15"/>
      <c r="L294" s="175" t="s">
        <v>3</v>
      </c>
      <c r="M294" s="175" t="s">
        <v>39</v>
      </c>
      <c r="N294" s="16"/>
      <c r="O294" s="71"/>
      <c r="P294" s="71"/>
      <c r="Q294" s="71"/>
      <c r="R294" s="71"/>
      <c r="S294" s="71"/>
      <c r="T294" s="71"/>
      <c r="U294" s="71"/>
      <c r="V294" s="71"/>
      <c r="W294" s="71"/>
      <c r="X294" s="71"/>
      <c r="Y294" s="71"/>
      <c r="Z294" s="71"/>
      <c r="AA294" s="71"/>
      <c r="AB294" s="71"/>
    </row>
    <row r="295" spans="1:28" s="72" customFormat="1" x14ac:dyDescent="0.2">
      <c r="A295" s="103" t="s">
        <v>122</v>
      </c>
      <c r="B295" s="103" t="s">
        <v>123</v>
      </c>
      <c r="C295" s="35">
        <v>45931</v>
      </c>
      <c r="D295" s="36">
        <v>188</v>
      </c>
      <c r="E295" s="105" t="s">
        <v>325</v>
      </c>
      <c r="F295" s="32">
        <v>0</v>
      </c>
      <c r="G295" s="32">
        <v>2500</v>
      </c>
      <c r="H295" s="33">
        <f t="shared" si="4"/>
        <v>774747.90000000154</v>
      </c>
      <c r="I295" s="32" t="s">
        <v>288</v>
      </c>
      <c r="J295" s="15"/>
      <c r="K295" s="15"/>
      <c r="L295" s="175" t="s">
        <v>3</v>
      </c>
      <c r="M295" s="175" t="s">
        <v>15</v>
      </c>
      <c r="N295" s="16"/>
      <c r="O295" s="71"/>
      <c r="P295" s="71"/>
      <c r="Q295" s="71"/>
      <c r="R295" s="71"/>
      <c r="S295" s="71"/>
      <c r="T295" s="71"/>
      <c r="U295" s="71"/>
      <c r="V295" s="71"/>
      <c r="W295" s="71"/>
      <c r="X295" s="71"/>
      <c r="Y295" s="71"/>
      <c r="Z295" s="71"/>
      <c r="AA295" s="71"/>
      <c r="AB295" s="71"/>
    </row>
    <row r="296" spans="1:28" s="72" customFormat="1" x14ac:dyDescent="0.2">
      <c r="A296" s="103" t="s">
        <v>122</v>
      </c>
      <c r="B296" s="103" t="s">
        <v>123</v>
      </c>
      <c r="C296" s="35">
        <v>45931</v>
      </c>
      <c r="D296" s="36">
        <v>189</v>
      </c>
      <c r="E296" s="105" t="s">
        <v>328</v>
      </c>
      <c r="F296" s="32">
        <v>0</v>
      </c>
      <c r="G296" s="32">
        <v>93</v>
      </c>
      <c r="H296" s="33">
        <f t="shared" si="4"/>
        <v>774654.90000000154</v>
      </c>
      <c r="I296" s="16" t="s">
        <v>85</v>
      </c>
      <c r="J296" s="15"/>
      <c r="K296" s="15"/>
      <c r="L296" s="175" t="s">
        <v>12</v>
      </c>
      <c r="M296" s="175" t="s">
        <v>24</v>
      </c>
      <c r="N296" s="16"/>
      <c r="O296" s="71"/>
      <c r="P296" s="71"/>
      <c r="Q296" s="71"/>
      <c r="R296" s="71"/>
      <c r="S296" s="71"/>
      <c r="T296" s="71"/>
      <c r="U296" s="71"/>
      <c r="V296" s="71"/>
      <c r="W296" s="71"/>
      <c r="X296" s="71"/>
      <c r="Y296" s="71"/>
      <c r="Z296" s="71"/>
      <c r="AA296" s="71"/>
      <c r="AB296" s="71"/>
    </row>
    <row r="297" spans="1:28" s="72" customFormat="1" x14ac:dyDescent="0.2">
      <c r="A297" s="103" t="s">
        <v>122</v>
      </c>
      <c r="B297" s="103" t="s">
        <v>123</v>
      </c>
      <c r="C297" s="35">
        <v>45931</v>
      </c>
      <c r="D297" s="36">
        <v>190</v>
      </c>
      <c r="E297" s="105" t="s">
        <v>303</v>
      </c>
      <c r="F297" s="32">
        <v>0</v>
      </c>
      <c r="G297" s="32">
        <v>500</v>
      </c>
      <c r="H297" s="33">
        <f t="shared" si="4"/>
        <v>774154.90000000154</v>
      </c>
      <c r="I297" s="32" t="s">
        <v>288</v>
      </c>
      <c r="J297" s="15"/>
      <c r="K297" s="15"/>
      <c r="L297" s="175" t="s">
        <v>3</v>
      </c>
      <c r="M297" s="175" t="s">
        <v>15</v>
      </c>
      <c r="N297" s="16"/>
      <c r="O297" s="71"/>
      <c r="P297" s="71"/>
      <c r="Q297" s="71"/>
      <c r="R297" s="71"/>
      <c r="S297" s="71"/>
      <c r="T297" s="71"/>
      <c r="U297" s="71"/>
      <c r="V297" s="71"/>
      <c r="W297" s="71"/>
      <c r="X297" s="71"/>
      <c r="Y297" s="71"/>
      <c r="Z297" s="71"/>
      <c r="AA297" s="71"/>
      <c r="AB297" s="71"/>
    </row>
    <row r="298" spans="1:28" s="72" customFormat="1" x14ac:dyDescent="0.2">
      <c r="A298" s="103" t="s">
        <v>122</v>
      </c>
      <c r="B298" s="103" t="s">
        <v>123</v>
      </c>
      <c r="C298" s="35">
        <v>45931</v>
      </c>
      <c r="D298" s="36">
        <v>191</v>
      </c>
      <c r="E298" s="105" t="s">
        <v>297</v>
      </c>
      <c r="F298" s="32">
        <v>0</v>
      </c>
      <c r="G298" s="32">
        <v>550</v>
      </c>
      <c r="H298" s="33">
        <f t="shared" si="4"/>
        <v>773604.90000000154</v>
      </c>
      <c r="I298" s="32" t="s">
        <v>288</v>
      </c>
      <c r="J298" s="15"/>
      <c r="K298" s="15"/>
      <c r="L298" s="175" t="s">
        <v>3</v>
      </c>
      <c r="M298" s="175" t="s">
        <v>15</v>
      </c>
      <c r="N298" s="16"/>
      <c r="O298" s="71"/>
      <c r="P298" s="71"/>
      <c r="Q298" s="71"/>
      <c r="R298" s="71"/>
      <c r="S298" s="71"/>
      <c r="T298" s="71"/>
      <c r="U298" s="71"/>
      <c r="V298" s="71"/>
      <c r="W298" s="71"/>
      <c r="X298" s="71"/>
      <c r="Y298" s="71"/>
      <c r="Z298" s="71"/>
      <c r="AA298" s="71"/>
      <c r="AB298" s="71"/>
    </row>
    <row r="299" spans="1:28" s="72" customFormat="1" x14ac:dyDescent="0.2">
      <c r="A299" s="103" t="s">
        <v>122</v>
      </c>
      <c r="B299" s="103" t="s">
        <v>123</v>
      </c>
      <c r="C299" s="35">
        <v>45931</v>
      </c>
      <c r="D299" s="36">
        <v>192</v>
      </c>
      <c r="E299" s="105" t="s">
        <v>329</v>
      </c>
      <c r="F299" s="32">
        <v>0</v>
      </c>
      <c r="G299" s="32">
        <v>310</v>
      </c>
      <c r="H299" s="33">
        <f t="shared" si="4"/>
        <v>773294.90000000154</v>
      </c>
      <c r="I299" s="32" t="s">
        <v>262</v>
      </c>
      <c r="J299" s="15"/>
      <c r="K299" s="15"/>
      <c r="L299" s="175" t="s">
        <v>3</v>
      </c>
      <c r="M299" s="175" t="s">
        <v>15</v>
      </c>
      <c r="N299" s="16"/>
      <c r="O299" s="71"/>
      <c r="P299" s="71"/>
      <c r="Q299" s="71"/>
      <c r="R299" s="71"/>
      <c r="S299" s="71"/>
      <c r="T299" s="71"/>
      <c r="U299" s="71"/>
      <c r="V299" s="71"/>
      <c r="W299" s="71"/>
      <c r="X299" s="71"/>
      <c r="Y299" s="71"/>
      <c r="Z299" s="71"/>
      <c r="AA299" s="71"/>
      <c r="AB299" s="71"/>
    </row>
    <row r="300" spans="1:28" s="11" customFormat="1" ht="13.5" customHeight="1" x14ac:dyDescent="0.2">
      <c r="A300" s="198" t="s">
        <v>125</v>
      </c>
      <c r="B300" s="198" t="s">
        <v>126</v>
      </c>
      <c r="C300" s="201">
        <v>45932</v>
      </c>
      <c r="D300" s="206">
        <v>25</v>
      </c>
      <c r="E300" s="209" t="s">
        <v>251</v>
      </c>
      <c r="F300" s="212">
        <v>60000</v>
      </c>
      <c r="G300" s="212">
        <v>0</v>
      </c>
      <c r="H300" s="33">
        <f t="shared" si="4"/>
        <v>833294.90000000154</v>
      </c>
      <c r="I300" s="212" t="s">
        <v>236</v>
      </c>
      <c r="J300" s="217"/>
      <c r="K300" s="217"/>
      <c r="L300" s="219"/>
      <c r="M300" s="219"/>
      <c r="N300" s="217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</row>
    <row r="301" spans="1:28" s="72" customFormat="1" x14ac:dyDescent="0.2">
      <c r="A301" s="103" t="s">
        <v>122</v>
      </c>
      <c r="B301" s="103" t="s">
        <v>123</v>
      </c>
      <c r="C301" s="35">
        <v>45932</v>
      </c>
      <c r="D301" s="36">
        <v>193</v>
      </c>
      <c r="E301" s="105" t="s">
        <v>326</v>
      </c>
      <c r="F301" s="32">
        <v>0</v>
      </c>
      <c r="G301" s="32">
        <v>2500</v>
      </c>
      <c r="H301" s="33">
        <f t="shared" si="4"/>
        <v>830794.90000000154</v>
      </c>
      <c r="I301" s="32" t="s">
        <v>288</v>
      </c>
      <c r="J301" s="15"/>
      <c r="K301" s="15"/>
      <c r="L301" s="175" t="s">
        <v>3</v>
      </c>
      <c r="M301" s="175" t="s">
        <v>15</v>
      </c>
      <c r="N301" s="16"/>
      <c r="O301" s="71"/>
      <c r="P301" s="71"/>
      <c r="Q301" s="71"/>
      <c r="R301" s="71"/>
      <c r="S301" s="71"/>
      <c r="T301" s="71"/>
      <c r="U301" s="71"/>
      <c r="V301" s="71"/>
      <c r="W301" s="71"/>
      <c r="X301" s="71"/>
      <c r="Y301" s="71"/>
      <c r="Z301" s="71"/>
      <c r="AA301" s="71"/>
      <c r="AB301" s="71"/>
    </row>
    <row r="302" spans="1:28" s="72" customFormat="1" x14ac:dyDescent="0.2">
      <c r="A302" s="103" t="s">
        <v>122</v>
      </c>
      <c r="B302" s="103" t="s">
        <v>123</v>
      </c>
      <c r="C302" s="35">
        <v>45932</v>
      </c>
      <c r="D302" s="36">
        <v>194</v>
      </c>
      <c r="E302" s="105" t="s">
        <v>318</v>
      </c>
      <c r="F302" s="32">
        <v>0</v>
      </c>
      <c r="G302" s="32">
        <v>5520</v>
      </c>
      <c r="H302" s="33">
        <f t="shared" si="4"/>
        <v>825274.90000000154</v>
      </c>
      <c r="I302" s="32" t="s">
        <v>335</v>
      </c>
      <c r="J302" s="15"/>
      <c r="K302" s="15"/>
      <c r="L302" s="175" t="s">
        <v>12</v>
      </c>
      <c r="M302" s="175" t="s">
        <v>48</v>
      </c>
      <c r="N302" s="16"/>
      <c r="O302" s="71"/>
      <c r="P302" s="71"/>
      <c r="Q302" s="71"/>
      <c r="R302" s="71"/>
      <c r="S302" s="71"/>
      <c r="T302" s="71"/>
      <c r="U302" s="71"/>
      <c r="V302" s="71"/>
      <c r="W302" s="71"/>
      <c r="X302" s="71"/>
      <c r="Y302" s="71"/>
      <c r="Z302" s="71"/>
      <c r="AA302" s="71"/>
      <c r="AB302" s="71"/>
    </row>
    <row r="303" spans="1:28" s="72" customFormat="1" x14ac:dyDescent="0.2">
      <c r="A303" s="103" t="s">
        <v>122</v>
      </c>
      <c r="B303" s="103" t="s">
        <v>123</v>
      </c>
      <c r="C303" s="35">
        <v>45932</v>
      </c>
      <c r="D303" s="36">
        <v>195</v>
      </c>
      <c r="E303" s="105" t="s">
        <v>324</v>
      </c>
      <c r="F303" s="32">
        <v>0</v>
      </c>
      <c r="G303" s="32">
        <v>900</v>
      </c>
      <c r="H303" s="33">
        <f t="shared" si="4"/>
        <v>824374.90000000154</v>
      </c>
      <c r="I303" s="32" t="s">
        <v>323</v>
      </c>
      <c r="J303" s="15"/>
      <c r="K303" s="15"/>
      <c r="L303" s="175" t="s">
        <v>3</v>
      </c>
      <c r="M303" s="175" t="s">
        <v>39</v>
      </c>
      <c r="N303" s="16"/>
      <c r="O303" s="71"/>
      <c r="P303" s="71"/>
      <c r="Q303" s="71"/>
      <c r="R303" s="71"/>
      <c r="S303" s="71"/>
      <c r="T303" s="71"/>
      <c r="U303" s="71"/>
      <c r="V303" s="71"/>
      <c r="W303" s="71"/>
      <c r="X303" s="71"/>
      <c r="Y303" s="71"/>
      <c r="Z303" s="71"/>
      <c r="AA303" s="71"/>
      <c r="AB303" s="71"/>
    </row>
    <row r="304" spans="1:28" s="72" customFormat="1" x14ac:dyDescent="0.2">
      <c r="A304" s="103" t="s">
        <v>122</v>
      </c>
      <c r="B304" s="103" t="s">
        <v>123</v>
      </c>
      <c r="C304" s="35">
        <v>45932</v>
      </c>
      <c r="D304" s="36">
        <v>196</v>
      </c>
      <c r="E304" s="105" t="s">
        <v>327</v>
      </c>
      <c r="F304" s="32">
        <v>0</v>
      </c>
      <c r="G304" s="32">
        <v>198</v>
      </c>
      <c r="H304" s="33">
        <f t="shared" si="4"/>
        <v>824176.90000000154</v>
      </c>
      <c r="I304" s="16" t="s">
        <v>337</v>
      </c>
      <c r="J304" s="15"/>
      <c r="K304" s="15"/>
      <c r="L304" s="175" t="s">
        <v>7</v>
      </c>
      <c r="M304" s="175" t="s">
        <v>53</v>
      </c>
      <c r="N304" s="16"/>
      <c r="O304" s="71"/>
      <c r="P304" s="71"/>
      <c r="Q304" s="71"/>
      <c r="R304" s="71"/>
      <c r="S304" s="71"/>
      <c r="T304" s="71"/>
      <c r="U304" s="71"/>
      <c r="V304" s="71"/>
      <c r="W304" s="71"/>
      <c r="X304" s="71"/>
      <c r="Y304" s="71"/>
      <c r="Z304" s="71"/>
      <c r="AA304" s="71"/>
      <c r="AB304" s="71"/>
    </row>
    <row r="305" spans="1:28" s="72" customFormat="1" x14ac:dyDescent="0.2">
      <c r="A305" s="103" t="s">
        <v>122</v>
      </c>
      <c r="B305" s="103" t="s">
        <v>123</v>
      </c>
      <c r="C305" s="35">
        <v>45933</v>
      </c>
      <c r="D305" s="36">
        <v>197</v>
      </c>
      <c r="E305" s="105" t="s">
        <v>326</v>
      </c>
      <c r="F305" s="32">
        <v>0</v>
      </c>
      <c r="G305" s="32">
        <v>2500</v>
      </c>
      <c r="H305" s="33">
        <f t="shared" si="4"/>
        <v>821676.90000000154</v>
      </c>
      <c r="I305" s="32" t="s">
        <v>288</v>
      </c>
      <c r="J305" s="15"/>
      <c r="K305" s="15"/>
      <c r="L305" s="175" t="s">
        <v>3</v>
      </c>
      <c r="M305" s="175" t="s">
        <v>15</v>
      </c>
      <c r="N305" s="16"/>
      <c r="O305" s="71"/>
      <c r="P305" s="71"/>
      <c r="Q305" s="71"/>
      <c r="R305" s="71"/>
      <c r="S305" s="71"/>
      <c r="T305" s="71"/>
      <c r="U305" s="71"/>
      <c r="V305" s="71"/>
      <c r="W305" s="71"/>
      <c r="X305" s="71"/>
      <c r="Y305" s="71"/>
      <c r="Z305" s="71"/>
      <c r="AA305" s="71"/>
      <c r="AB305" s="71"/>
    </row>
    <row r="306" spans="1:28" s="72" customFormat="1" x14ac:dyDescent="0.2">
      <c r="A306" s="103" t="s">
        <v>122</v>
      </c>
      <c r="B306" s="103" t="s">
        <v>123</v>
      </c>
      <c r="C306" s="35">
        <v>45933</v>
      </c>
      <c r="D306" s="36">
        <v>198</v>
      </c>
      <c r="E306" s="105" t="s">
        <v>333</v>
      </c>
      <c r="F306" s="32">
        <v>0</v>
      </c>
      <c r="G306" s="32">
        <v>1760</v>
      </c>
      <c r="H306" s="33">
        <f t="shared" si="4"/>
        <v>819916.90000000154</v>
      </c>
      <c r="I306" s="32" t="s">
        <v>330</v>
      </c>
      <c r="J306" s="15"/>
      <c r="K306" s="15"/>
      <c r="L306" s="175" t="s">
        <v>3</v>
      </c>
      <c r="M306" s="175" t="s">
        <v>27</v>
      </c>
      <c r="N306" s="16"/>
      <c r="O306" s="71"/>
      <c r="P306" s="71"/>
      <c r="Q306" s="71"/>
      <c r="R306" s="71"/>
      <c r="S306" s="71"/>
      <c r="T306" s="71"/>
      <c r="U306" s="71"/>
      <c r="V306" s="71"/>
      <c r="W306" s="71"/>
      <c r="X306" s="71"/>
      <c r="Y306" s="71"/>
      <c r="Z306" s="71"/>
      <c r="AA306" s="71"/>
      <c r="AB306" s="71"/>
    </row>
    <row r="307" spans="1:28" s="72" customFormat="1" x14ac:dyDescent="0.2">
      <c r="A307" s="103" t="s">
        <v>122</v>
      </c>
      <c r="B307" s="103" t="s">
        <v>123</v>
      </c>
      <c r="C307" s="35">
        <v>45933</v>
      </c>
      <c r="D307" s="36">
        <v>199</v>
      </c>
      <c r="E307" s="105" t="s">
        <v>332</v>
      </c>
      <c r="F307" s="32">
        <v>0</v>
      </c>
      <c r="G307" s="32">
        <v>50</v>
      </c>
      <c r="H307" s="33">
        <f t="shared" si="4"/>
        <v>819866.90000000154</v>
      </c>
      <c r="I307" s="32" t="s">
        <v>331</v>
      </c>
      <c r="J307" s="15"/>
      <c r="K307" s="15"/>
      <c r="L307" s="175" t="s">
        <v>7</v>
      </c>
      <c r="M307" s="175" t="s">
        <v>64</v>
      </c>
      <c r="N307" s="16"/>
      <c r="O307" s="71"/>
      <c r="P307" s="71"/>
      <c r="Q307" s="71"/>
      <c r="R307" s="71"/>
      <c r="S307" s="71"/>
      <c r="T307" s="71"/>
      <c r="U307" s="71"/>
      <c r="V307" s="71"/>
      <c r="W307" s="71"/>
      <c r="X307" s="71"/>
      <c r="Y307" s="71"/>
      <c r="Z307" s="71"/>
      <c r="AA307" s="71"/>
      <c r="AB307" s="71"/>
    </row>
    <row r="308" spans="1:28" s="72" customFormat="1" x14ac:dyDescent="0.2">
      <c r="A308" s="103" t="s">
        <v>122</v>
      </c>
      <c r="B308" s="103" t="s">
        <v>123</v>
      </c>
      <c r="C308" s="35">
        <v>45933</v>
      </c>
      <c r="D308" s="36">
        <v>200</v>
      </c>
      <c r="E308" s="105" t="s">
        <v>364</v>
      </c>
      <c r="F308" s="32">
        <v>0</v>
      </c>
      <c r="G308" s="32">
        <v>11900</v>
      </c>
      <c r="H308" s="33">
        <f t="shared" si="4"/>
        <v>807966.90000000154</v>
      </c>
      <c r="I308" s="32" t="s">
        <v>334</v>
      </c>
      <c r="J308" s="15"/>
      <c r="K308" s="15"/>
      <c r="L308" s="175" t="s">
        <v>12</v>
      </c>
      <c r="M308" s="175" t="s">
        <v>36</v>
      </c>
      <c r="N308" s="16"/>
      <c r="O308" s="71"/>
      <c r="P308" s="71"/>
      <c r="Q308" s="71"/>
      <c r="R308" s="71"/>
      <c r="S308" s="71"/>
      <c r="T308" s="71"/>
      <c r="U308" s="71"/>
      <c r="V308" s="71"/>
      <c r="W308" s="71"/>
      <c r="X308" s="71"/>
      <c r="Y308" s="71"/>
      <c r="Z308" s="71"/>
      <c r="AA308" s="71"/>
      <c r="AB308" s="71"/>
    </row>
    <row r="309" spans="1:28" s="73" customFormat="1" x14ac:dyDescent="0.2">
      <c r="A309" s="38" t="s">
        <v>122</v>
      </c>
      <c r="B309" s="38" t="s">
        <v>123</v>
      </c>
      <c r="C309" s="39">
        <v>45933</v>
      </c>
      <c r="D309" s="40">
        <v>201</v>
      </c>
      <c r="E309" s="69" t="s">
        <v>141</v>
      </c>
      <c r="F309" s="15">
        <v>0</v>
      </c>
      <c r="G309" s="15">
        <v>1000</v>
      </c>
      <c r="H309" s="33">
        <f t="shared" si="4"/>
        <v>806966.90000000154</v>
      </c>
      <c r="I309" s="15" t="s">
        <v>239</v>
      </c>
      <c r="J309" s="15"/>
      <c r="K309" s="15"/>
      <c r="L309" s="176" t="s">
        <v>3</v>
      </c>
      <c r="M309" s="176" t="s">
        <v>39</v>
      </c>
      <c r="N309" s="15"/>
    </row>
    <row r="310" spans="1:28" s="72" customFormat="1" x14ac:dyDescent="0.2">
      <c r="A310" s="74" t="s">
        <v>122</v>
      </c>
      <c r="B310" s="200" t="s">
        <v>123</v>
      </c>
      <c r="C310" s="234">
        <v>45934</v>
      </c>
      <c r="D310" s="235">
        <v>111</v>
      </c>
      <c r="E310" s="211" t="s">
        <v>444</v>
      </c>
      <c r="F310" s="77">
        <v>0</v>
      </c>
      <c r="G310" s="77">
        <v>2500</v>
      </c>
      <c r="H310" s="225">
        <f t="shared" si="4"/>
        <v>804466.90000000154</v>
      </c>
      <c r="I310" s="77" t="s">
        <v>134</v>
      </c>
      <c r="J310" s="236"/>
      <c r="K310" s="236"/>
      <c r="L310" s="226" t="s">
        <v>3</v>
      </c>
      <c r="M310" s="226" t="s">
        <v>15</v>
      </c>
      <c r="N310" s="79"/>
      <c r="O310" s="71"/>
      <c r="P310" s="71"/>
      <c r="Q310" s="71"/>
      <c r="R310" s="71"/>
      <c r="S310" s="71"/>
      <c r="T310" s="71"/>
      <c r="U310" s="71"/>
      <c r="V310" s="71"/>
      <c r="W310" s="71"/>
      <c r="X310" s="71"/>
      <c r="Y310" s="71"/>
      <c r="Z310" s="71"/>
      <c r="AA310" s="71"/>
      <c r="AB310" s="71"/>
    </row>
    <row r="311" spans="1:28" s="72" customFormat="1" x14ac:dyDescent="0.2">
      <c r="A311" s="103" t="s">
        <v>122</v>
      </c>
      <c r="B311" s="103" t="s">
        <v>123</v>
      </c>
      <c r="C311" s="35">
        <v>45936</v>
      </c>
      <c r="D311" s="36">
        <v>202</v>
      </c>
      <c r="E311" s="105" t="s">
        <v>336</v>
      </c>
      <c r="F311" s="32">
        <v>0</v>
      </c>
      <c r="G311" s="32">
        <v>5156</v>
      </c>
      <c r="H311" s="33">
        <f t="shared" si="4"/>
        <v>799310.90000000154</v>
      </c>
      <c r="I311" s="32" t="s">
        <v>106</v>
      </c>
      <c r="J311" s="15"/>
      <c r="K311" s="15"/>
      <c r="L311" s="175" t="s">
        <v>7</v>
      </c>
      <c r="M311" s="175" t="s">
        <v>53</v>
      </c>
      <c r="N311" s="16"/>
      <c r="O311" s="71"/>
      <c r="P311" s="71"/>
      <c r="Q311" s="71"/>
      <c r="R311" s="71"/>
      <c r="S311" s="71"/>
      <c r="T311" s="71"/>
      <c r="U311" s="71"/>
      <c r="V311" s="71"/>
      <c r="W311" s="71"/>
      <c r="X311" s="71"/>
      <c r="Y311" s="71"/>
      <c r="Z311" s="71"/>
      <c r="AA311" s="71"/>
      <c r="AB311" s="71"/>
    </row>
    <row r="312" spans="1:28" s="72" customFormat="1" x14ac:dyDescent="0.2">
      <c r="A312" s="103" t="s">
        <v>122</v>
      </c>
      <c r="B312" s="103" t="s">
        <v>123</v>
      </c>
      <c r="C312" s="35">
        <v>45936</v>
      </c>
      <c r="D312" s="36">
        <v>203</v>
      </c>
      <c r="E312" s="105" t="s">
        <v>340</v>
      </c>
      <c r="F312" s="32">
        <v>0</v>
      </c>
      <c r="G312" s="32">
        <v>100</v>
      </c>
      <c r="H312" s="33">
        <f t="shared" si="4"/>
        <v>799210.90000000154</v>
      </c>
      <c r="I312" s="32" t="s">
        <v>135</v>
      </c>
      <c r="J312" s="15"/>
      <c r="K312" s="15"/>
      <c r="L312" s="175" t="s">
        <v>3</v>
      </c>
      <c r="M312" s="175" t="s">
        <v>39</v>
      </c>
      <c r="N312" s="16"/>
      <c r="O312" s="71"/>
      <c r="P312" s="71"/>
      <c r="Q312" s="71"/>
      <c r="R312" s="71"/>
      <c r="S312" s="71"/>
      <c r="T312" s="71"/>
      <c r="U312" s="71"/>
      <c r="V312" s="71"/>
      <c r="W312" s="71"/>
      <c r="X312" s="71"/>
      <c r="Y312" s="71"/>
      <c r="Z312" s="71"/>
      <c r="AA312" s="71"/>
      <c r="AB312" s="71"/>
    </row>
    <row r="313" spans="1:28" s="72" customFormat="1" x14ac:dyDescent="0.2">
      <c r="A313" s="103" t="s">
        <v>122</v>
      </c>
      <c r="B313" s="103" t="s">
        <v>123</v>
      </c>
      <c r="C313" s="35">
        <v>45936</v>
      </c>
      <c r="D313" s="36">
        <v>204</v>
      </c>
      <c r="E313" s="105" t="s">
        <v>339</v>
      </c>
      <c r="F313" s="32">
        <v>0</v>
      </c>
      <c r="G313" s="32">
        <v>500</v>
      </c>
      <c r="H313" s="33">
        <f t="shared" si="4"/>
        <v>798710.90000000154</v>
      </c>
      <c r="I313" s="32" t="s">
        <v>338</v>
      </c>
      <c r="J313" s="15"/>
      <c r="K313" s="15"/>
      <c r="L313" s="175" t="s">
        <v>3</v>
      </c>
      <c r="M313" s="175" t="s">
        <v>39</v>
      </c>
      <c r="N313" s="16"/>
      <c r="O313" s="71"/>
      <c r="P313" s="71"/>
      <c r="Q313" s="71"/>
      <c r="R313" s="71"/>
      <c r="S313" s="71"/>
      <c r="T313" s="71"/>
      <c r="U313" s="71"/>
      <c r="V313" s="71"/>
      <c r="W313" s="71"/>
      <c r="X313" s="71"/>
      <c r="Y313" s="71"/>
      <c r="Z313" s="71"/>
      <c r="AA313" s="71"/>
      <c r="AB313" s="71"/>
    </row>
    <row r="314" spans="1:28" s="72" customFormat="1" x14ac:dyDescent="0.2">
      <c r="A314" s="103" t="s">
        <v>122</v>
      </c>
      <c r="B314" s="103" t="s">
        <v>123</v>
      </c>
      <c r="C314" s="35">
        <v>45937</v>
      </c>
      <c r="D314" s="36">
        <v>205</v>
      </c>
      <c r="E314" s="105" t="s">
        <v>385</v>
      </c>
      <c r="F314" s="32">
        <v>0</v>
      </c>
      <c r="G314" s="32">
        <v>200</v>
      </c>
      <c r="H314" s="33">
        <f t="shared" si="4"/>
        <v>798510.90000000154</v>
      </c>
      <c r="I314" s="32" t="s">
        <v>135</v>
      </c>
      <c r="J314" s="15"/>
      <c r="K314" s="15"/>
      <c r="L314" s="175" t="s">
        <v>3</v>
      </c>
      <c r="M314" s="175" t="s">
        <v>27</v>
      </c>
      <c r="N314" s="16"/>
      <c r="O314" s="71"/>
      <c r="P314" s="71"/>
      <c r="Q314" s="71"/>
      <c r="R314" s="71"/>
      <c r="S314" s="71"/>
      <c r="T314" s="71"/>
      <c r="U314" s="71"/>
      <c r="V314" s="71"/>
      <c r="W314" s="71"/>
      <c r="X314" s="71"/>
      <c r="Y314" s="71"/>
      <c r="Z314" s="71"/>
      <c r="AA314" s="71"/>
      <c r="AB314" s="71"/>
    </row>
    <row r="315" spans="1:28" s="72" customFormat="1" x14ac:dyDescent="0.2">
      <c r="A315" s="103" t="s">
        <v>122</v>
      </c>
      <c r="B315" s="103" t="s">
        <v>123</v>
      </c>
      <c r="C315" s="35">
        <v>45937</v>
      </c>
      <c r="D315" s="36">
        <v>206</v>
      </c>
      <c r="E315" s="105" t="s">
        <v>341</v>
      </c>
      <c r="F315" s="32">
        <v>0</v>
      </c>
      <c r="G315" s="32">
        <v>2470</v>
      </c>
      <c r="H315" s="33">
        <f t="shared" si="4"/>
        <v>796040.90000000154</v>
      </c>
      <c r="I315" s="32" t="s">
        <v>298</v>
      </c>
      <c r="J315" s="15"/>
      <c r="K315" s="15"/>
      <c r="L315" s="175" t="s">
        <v>12</v>
      </c>
      <c r="M315" s="175" t="s">
        <v>24</v>
      </c>
      <c r="N315" s="16"/>
      <c r="O315" s="71"/>
      <c r="P315" s="71"/>
      <c r="Q315" s="71"/>
      <c r="R315" s="71"/>
      <c r="S315" s="71"/>
      <c r="T315" s="71"/>
      <c r="U315" s="71"/>
      <c r="V315" s="71"/>
      <c r="W315" s="71"/>
      <c r="X315" s="71"/>
      <c r="Y315" s="71"/>
      <c r="Z315" s="71"/>
      <c r="AA315" s="71"/>
      <c r="AB315" s="71"/>
    </row>
    <row r="316" spans="1:28" s="72" customFormat="1" x14ac:dyDescent="0.2">
      <c r="A316" s="103" t="s">
        <v>122</v>
      </c>
      <c r="B316" s="103" t="s">
        <v>123</v>
      </c>
      <c r="C316" s="35">
        <v>45937</v>
      </c>
      <c r="D316" s="36">
        <v>207</v>
      </c>
      <c r="E316" s="105" t="s">
        <v>342</v>
      </c>
      <c r="F316" s="32">
        <v>0</v>
      </c>
      <c r="G316" s="32">
        <v>1600</v>
      </c>
      <c r="H316" s="33">
        <f t="shared" si="4"/>
        <v>794440.90000000154</v>
      </c>
      <c r="I316" s="32" t="s">
        <v>298</v>
      </c>
      <c r="J316" s="15"/>
      <c r="K316" s="15"/>
      <c r="L316" s="175" t="s">
        <v>12</v>
      </c>
      <c r="M316" s="175" t="s">
        <v>24</v>
      </c>
      <c r="N316" s="16"/>
      <c r="O316" s="71"/>
      <c r="P316" s="71"/>
      <c r="Q316" s="71"/>
      <c r="R316" s="71"/>
      <c r="S316" s="71"/>
      <c r="T316" s="71"/>
      <c r="U316" s="71"/>
      <c r="V316" s="71"/>
      <c r="W316" s="71"/>
      <c r="X316" s="71"/>
      <c r="Y316" s="71"/>
      <c r="Z316" s="71"/>
      <c r="AA316" s="71"/>
      <c r="AB316" s="71"/>
    </row>
    <row r="317" spans="1:28" s="72" customFormat="1" x14ac:dyDescent="0.2">
      <c r="A317" s="103" t="s">
        <v>122</v>
      </c>
      <c r="B317" s="103" t="s">
        <v>123</v>
      </c>
      <c r="C317" s="35">
        <v>45937</v>
      </c>
      <c r="D317" s="36">
        <v>208</v>
      </c>
      <c r="E317" s="105" t="s">
        <v>343</v>
      </c>
      <c r="F317" s="32">
        <v>0</v>
      </c>
      <c r="G317" s="32">
        <v>90</v>
      </c>
      <c r="H317" s="33">
        <f t="shared" si="4"/>
        <v>794350.90000000154</v>
      </c>
      <c r="I317" s="32" t="s">
        <v>106</v>
      </c>
      <c r="J317" s="15"/>
      <c r="K317" s="15"/>
      <c r="L317" s="175" t="s">
        <v>12</v>
      </c>
      <c r="M317" s="175" t="s">
        <v>36</v>
      </c>
      <c r="N317" s="16"/>
      <c r="O317" s="71"/>
      <c r="P317" s="71"/>
      <c r="Q317" s="71"/>
      <c r="R317" s="71"/>
      <c r="S317" s="71"/>
      <c r="T317" s="71"/>
      <c r="U317" s="71"/>
      <c r="V317" s="71"/>
      <c r="W317" s="71"/>
      <c r="X317" s="71"/>
      <c r="Y317" s="71"/>
      <c r="Z317" s="71"/>
      <c r="AA317" s="71"/>
      <c r="AB317" s="71"/>
    </row>
    <row r="318" spans="1:28" s="72" customFormat="1" x14ac:dyDescent="0.2">
      <c r="A318" s="103" t="s">
        <v>122</v>
      </c>
      <c r="B318" s="103" t="s">
        <v>123</v>
      </c>
      <c r="C318" s="35">
        <v>45937</v>
      </c>
      <c r="D318" s="36">
        <v>209</v>
      </c>
      <c r="E318" s="105" t="s">
        <v>344</v>
      </c>
      <c r="F318" s="32">
        <v>0</v>
      </c>
      <c r="G318" s="32">
        <v>45</v>
      </c>
      <c r="H318" s="33">
        <f t="shared" si="4"/>
        <v>794305.90000000154</v>
      </c>
      <c r="I318" s="32" t="s">
        <v>298</v>
      </c>
      <c r="J318" s="15"/>
      <c r="K318" s="15"/>
      <c r="L318" s="175" t="s">
        <v>12</v>
      </c>
      <c r="M318" s="175" t="s">
        <v>36</v>
      </c>
      <c r="N318" s="16"/>
      <c r="O318" s="71"/>
      <c r="P318" s="71"/>
      <c r="Q318" s="71"/>
      <c r="R318" s="71"/>
      <c r="S318" s="71"/>
      <c r="T318" s="71"/>
      <c r="U318" s="71"/>
      <c r="V318" s="71"/>
      <c r="W318" s="71"/>
      <c r="X318" s="71"/>
      <c r="Y318" s="71"/>
      <c r="Z318" s="71"/>
      <c r="AA318" s="71"/>
      <c r="AB318" s="71"/>
    </row>
    <row r="319" spans="1:28" s="72" customFormat="1" x14ac:dyDescent="0.2">
      <c r="A319" s="103" t="s">
        <v>122</v>
      </c>
      <c r="B319" s="103" t="s">
        <v>123</v>
      </c>
      <c r="C319" s="35">
        <v>45937</v>
      </c>
      <c r="D319" s="36">
        <v>210</v>
      </c>
      <c r="E319" s="105" t="s">
        <v>345</v>
      </c>
      <c r="F319" s="32">
        <v>0</v>
      </c>
      <c r="G319" s="32">
        <v>314</v>
      </c>
      <c r="H319" s="33">
        <f t="shared" si="4"/>
        <v>793991.90000000154</v>
      </c>
      <c r="I319" s="32" t="s">
        <v>288</v>
      </c>
      <c r="J319" s="15"/>
      <c r="K319" s="15"/>
      <c r="L319" s="175" t="s">
        <v>3</v>
      </c>
      <c r="M319" s="175" t="s">
        <v>15</v>
      </c>
      <c r="N319" s="16"/>
      <c r="O319" s="71"/>
      <c r="P319" s="71"/>
      <c r="Q319" s="71"/>
      <c r="R319" s="71"/>
      <c r="S319" s="71"/>
      <c r="T319" s="71"/>
      <c r="U319" s="71"/>
      <c r="V319" s="71"/>
      <c r="W319" s="71"/>
      <c r="X319" s="71"/>
      <c r="Y319" s="71"/>
      <c r="Z319" s="71"/>
      <c r="AA319" s="71"/>
      <c r="AB319" s="71"/>
    </row>
    <row r="320" spans="1:28" s="72" customFormat="1" x14ac:dyDescent="0.2">
      <c r="A320" s="103" t="s">
        <v>122</v>
      </c>
      <c r="B320" s="103" t="s">
        <v>123</v>
      </c>
      <c r="C320" s="35">
        <v>45937</v>
      </c>
      <c r="D320" s="36">
        <v>211</v>
      </c>
      <c r="E320" s="105" t="s">
        <v>346</v>
      </c>
      <c r="F320" s="32">
        <v>0</v>
      </c>
      <c r="G320" s="32">
        <v>62</v>
      </c>
      <c r="H320" s="33">
        <f t="shared" si="4"/>
        <v>793929.90000000154</v>
      </c>
      <c r="I320" s="32" t="s">
        <v>216</v>
      </c>
      <c r="J320" s="15"/>
      <c r="K320" s="15"/>
      <c r="L320" s="175" t="s">
        <v>12</v>
      </c>
      <c r="M320" s="175" t="s">
        <v>36</v>
      </c>
      <c r="N320" s="16"/>
      <c r="O320" s="71"/>
      <c r="P320" s="71"/>
      <c r="Q320" s="71"/>
      <c r="R320" s="71"/>
      <c r="S320" s="71"/>
      <c r="T320" s="71"/>
      <c r="U320" s="71"/>
      <c r="V320" s="71"/>
      <c r="W320" s="71"/>
      <c r="X320" s="71"/>
      <c r="Y320" s="71"/>
      <c r="Z320" s="71"/>
      <c r="AA320" s="71"/>
      <c r="AB320" s="71"/>
    </row>
    <row r="321" spans="1:28" s="72" customFormat="1" x14ac:dyDescent="0.2">
      <c r="A321" s="103" t="s">
        <v>122</v>
      </c>
      <c r="B321" s="103" t="s">
        <v>123</v>
      </c>
      <c r="C321" s="35">
        <v>45937</v>
      </c>
      <c r="D321" s="36">
        <v>212</v>
      </c>
      <c r="E321" s="105" t="s">
        <v>347</v>
      </c>
      <c r="F321" s="32">
        <v>0</v>
      </c>
      <c r="G321" s="32">
        <v>120</v>
      </c>
      <c r="H321" s="33">
        <f t="shared" si="4"/>
        <v>793809.90000000154</v>
      </c>
      <c r="I321" s="32" t="s">
        <v>106</v>
      </c>
      <c r="J321" s="15"/>
      <c r="K321" s="15"/>
      <c r="L321" s="175" t="s">
        <v>7</v>
      </c>
      <c r="M321" s="175" t="s">
        <v>53</v>
      </c>
      <c r="N321" s="16"/>
      <c r="O321" s="71"/>
      <c r="P321" s="71"/>
      <c r="Q321" s="71"/>
      <c r="R321" s="71"/>
      <c r="S321" s="71"/>
      <c r="T321" s="71"/>
      <c r="U321" s="71"/>
      <c r="V321" s="71"/>
      <c r="W321" s="71"/>
      <c r="X321" s="71"/>
      <c r="Y321" s="71"/>
      <c r="Z321" s="71"/>
      <c r="AA321" s="71"/>
      <c r="AB321" s="71"/>
    </row>
    <row r="322" spans="1:28" s="72" customFormat="1" x14ac:dyDescent="0.2">
      <c r="A322" s="103" t="s">
        <v>122</v>
      </c>
      <c r="B322" s="103" t="s">
        <v>123</v>
      </c>
      <c r="C322" s="35">
        <v>45937</v>
      </c>
      <c r="D322" s="36">
        <v>213</v>
      </c>
      <c r="E322" s="105" t="s">
        <v>348</v>
      </c>
      <c r="F322" s="32">
        <v>0</v>
      </c>
      <c r="G322" s="32">
        <v>150</v>
      </c>
      <c r="H322" s="33">
        <f t="shared" si="4"/>
        <v>793659.90000000154</v>
      </c>
      <c r="I322" s="32" t="s">
        <v>106</v>
      </c>
      <c r="J322" s="15"/>
      <c r="K322" s="15"/>
      <c r="L322" s="175" t="s">
        <v>7</v>
      </c>
      <c r="M322" s="175" t="s">
        <v>53</v>
      </c>
      <c r="N322" s="16"/>
      <c r="O322" s="71"/>
      <c r="P322" s="71"/>
      <c r="Q322" s="71"/>
      <c r="R322" s="71"/>
      <c r="S322" s="71"/>
      <c r="T322" s="71"/>
      <c r="U322" s="71"/>
      <c r="V322" s="71"/>
      <c r="W322" s="71"/>
      <c r="X322" s="71"/>
      <c r="Y322" s="71"/>
      <c r="Z322" s="71"/>
      <c r="AA322" s="71"/>
      <c r="AB322" s="71"/>
    </row>
    <row r="323" spans="1:28" s="11" customFormat="1" ht="13.5" customHeight="1" x14ac:dyDescent="0.2">
      <c r="A323" s="103" t="s">
        <v>122</v>
      </c>
      <c r="B323" s="103" t="s">
        <v>123</v>
      </c>
      <c r="C323" s="35">
        <v>45937</v>
      </c>
      <c r="D323" s="36">
        <v>214</v>
      </c>
      <c r="E323" s="105" t="s">
        <v>345</v>
      </c>
      <c r="F323" s="32">
        <v>0</v>
      </c>
      <c r="G323" s="32">
        <v>315</v>
      </c>
      <c r="H323" s="33">
        <f t="shared" si="4"/>
        <v>793344.90000000154</v>
      </c>
      <c r="I323" s="32" t="s">
        <v>288</v>
      </c>
      <c r="J323" s="15"/>
      <c r="K323" s="15"/>
      <c r="L323" s="175" t="s">
        <v>3</v>
      </c>
      <c r="M323" s="175" t="s">
        <v>15</v>
      </c>
      <c r="N323" s="16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</row>
    <row r="324" spans="1:28" s="11" customFormat="1" ht="13.5" customHeight="1" x14ac:dyDescent="0.2">
      <c r="A324" s="198" t="s">
        <v>125</v>
      </c>
      <c r="B324" s="198" t="s">
        <v>126</v>
      </c>
      <c r="C324" s="201">
        <v>45939</v>
      </c>
      <c r="D324" s="206">
        <v>26</v>
      </c>
      <c r="E324" s="209" t="s">
        <v>251</v>
      </c>
      <c r="F324" s="212">
        <v>40000</v>
      </c>
      <c r="G324" s="212">
        <v>0</v>
      </c>
      <c r="H324" s="33">
        <f t="shared" si="4"/>
        <v>833344.90000000154</v>
      </c>
      <c r="I324" s="212" t="s">
        <v>236</v>
      </c>
      <c r="J324" s="217"/>
      <c r="K324" s="217"/>
      <c r="L324" s="219"/>
      <c r="M324" s="219"/>
      <c r="N324" s="217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</row>
    <row r="325" spans="1:28" s="72" customFormat="1" x14ac:dyDescent="0.2">
      <c r="A325" s="198" t="s">
        <v>125</v>
      </c>
      <c r="B325" s="198" t="s">
        <v>126</v>
      </c>
      <c r="C325" s="201">
        <v>45939</v>
      </c>
      <c r="D325" s="206">
        <v>27</v>
      </c>
      <c r="E325" s="209" t="s">
        <v>251</v>
      </c>
      <c r="F325" s="212">
        <v>9000</v>
      </c>
      <c r="G325" s="212">
        <v>0</v>
      </c>
      <c r="H325" s="33">
        <f t="shared" si="4"/>
        <v>842344.90000000154</v>
      </c>
      <c r="I325" s="212" t="s">
        <v>236</v>
      </c>
      <c r="J325" s="217"/>
      <c r="K325" s="217"/>
      <c r="L325" s="219"/>
      <c r="M325" s="219"/>
      <c r="N325" s="217"/>
      <c r="O325" s="71"/>
      <c r="P325" s="71"/>
      <c r="Q325" s="71"/>
      <c r="R325" s="71"/>
      <c r="S325" s="71"/>
      <c r="T325" s="71"/>
      <c r="U325" s="71"/>
      <c r="V325" s="71"/>
      <c r="W325" s="71"/>
      <c r="X325" s="71"/>
      <c r="Y325" s="71"/>
      <c r="Z325" s="71"/>
      <c r="AA325" s="71"/>
      <c r="AB325" s="71"/>
    </row>
    <row r="326" spans="1:28" s="73" customFormat="1" ht="28.5" x14ac:dyDescent="0.2">
      <c r="A326" s="103" t="s">
        <v>122</v>
      </c>
      <c r="B326" s="103" t="s">
        <v>123</v>
      </c>
      <c r="C326" s="35">
        <v>45939</v>
      </c>
      <c r="D326" s="36">
        <v>214</v>
      </c>
      <c r="E326" s="108" t="s">
        <v>349</v>
      </c>
      <c r="F326" s="32">
        <v>0</v>
      </c>
      <c r="G326" s="32">
        <v>8714</v>
      </c>
      <c r="H326" s="33">
        <f t="shared" si="4"/>
        <v>833630.90000000154</v>
      </c>
      <c r="I326" s="32" t="s">
        <v>237</v>
      </c>
      <c r="J326" s="15"/>
      <c r="K326" s="15"/>
      <c r="L326" s="179" t="s">
        <v>3</v>
      </c>
      <c r="M326" s="179" t="s">
        <v>27</v>
      </c>
      <c r="N326" s="16"/>
    </row>
    <row r="327" spans="1:28" s="72" customFormat="1" x14ac:dyDescent="0.2">
      <c r="A327" s="38" t="s">
        <v>122</v>
      </c>
      <c r="B327" s="38" t="s">
        <v>123</v>
      </c>
      <c r="C327" s="39">
        <v>45939</v>
      </c>
      <c r="D327" s="40">
        <v>215</v>
      </c>
      <c r="E327" s="69" t="s">
        <v>141</v>
      </c>
      <c r="F327" s="15">
        <v>0</v>
      </c>
      <c r="G327" s="15">
        <v>4000</v>
      </c>
      <c r="H327" s="33">
        <f t="shared" si="4"/>
        <v>829630.90000000154</v>
      </c>
      <c r="I327" s="15" t="s">
        <v>239</v>
      </c>
      <c r="J327" s="15"/>
      <c r="K327" s="15"/>
      <c r="L327" s="176" t="s">
        <v>3</v>
      </c>
      <c r="M327" s="176" t="s">
        <v>39</v>
      </c>
      <c r="N327" s="15"/>
      <c r="O327" s="71"/>
      <c r="P327" s="71"/>
      <c r="Q327" s="71"/>
      <c r="R327" s="71"/>
      <c r="S327" s="71"/>
      <c r="T327" s="71"/>
      <c r="U327" s="71"/>
      <c r="V327" s="71"/>
      <c r="W327" s="71"/>
      <c r="X327" s="71"/>
      <c r="Y327" s="71"/>
      <c r="Z327" s="71"/>
      <c r="AA327" s="71"/>
      <c r="AB327" s="71"/>
    </row>
    <row r="328" spans="1:28" s="72" customFormat="1" x14ac:dyDescent="0.2">
      <c r="A328" s="103" t="s">
        <v>122</v>
      </c>
      <c r="B328" s="103" t="s">
        <v>123</v>
      </c>
      <c r="C328" s="35">
        <v>45939</v>
      </c>
      <c r="D328" s="36">
        <v>216</v>
      </c>
      <c r="E328" s="105" t="s">
        <v>214</v>
      </c>
      <c r="F328" s="32">
        <v>0</v>
      </c>
      <c r="G328" s="32">
        <v>4190</v>
      </c>
      <c r="H328" s="33">
        <f t="shared" si="4"/>
        <v>825440.90000000154</v>
      </c>
      <c r="I328" s="32"/>
      <c r="J328" s="15"/>
      <c r="K328" s="15"/>
      <c r="L328" s="175" t="s">
        <v>3</v>
      </c>
      <c r="M328" s="175" t="s">
        <v>39</v>
      </c>
      <c r="N328" s="16"/>
      <c r="O328" s="71"/>
      <c r="P328" s="71"/>
      <c r="Q328" s="71"/>
      <c r="R328" s="71"/>
      <c r="S328" s="71"/>
      <c r="T328" s="71"/>
      <c r="U328" s="71"/>
      <c r="V328" s="71"/>
      <c r="W328" s="71"/>
      <c r="X328" s="71"/>
      <c r="Y328" s="71"/>
      <c r="Z328" s="71"/>
      <c r="AA328" s="71"/>
      <c r="AB328" s="71"/>
    </row>
    <row r="329" spans="1:28" s="72" customFormat="1" x14ac:dyDescent="0.2">
      <c r="A329" s="74" t="s">
        <v>122</v>
      </c>
      <c r="B329" s="200" t="s">
        <v>123</v>
      </c>
      <c r="C329" s="234">
        <v>45939</v>
      </c>
      <c r="D329" s="235">
        <v>111</v>
      </c>
      <c r="E329" s="211" t="s">
        <v>444</v>
      </c>
      <c r="F329" s="77">
        <v>0</v>
      </c>
      <c r="G329" s="77">
        <v>2500</v>
      </c>
      <c r="H329" s="225">
        <f t="shared" si="4"/>
        <v>822940.90000000154</v>
      </c>
      <c r="I329" s="77" t="s">
        <v>134</v>
      </c>
      <c r="J329" s="236"/>
      <c r="K329" s="236"/>
      <c r="L329" s="226" t="s">
        <v>3</v>
      </c>
      <c r="M329" s="226" t="s">
        <v>15</v>
      </c>
      <c r="N329" s="79"/>
      <c r="O329" s="71"/>
      <c r="P329" s="71"/>
      <c r="Q329" s="71"/>
      <c r="R329" s="71"/>
      <c r="S329" s="71"/>
      <c r="T329" s="71"/>
      <c r="U329" s="71"/>
      <c r="V329" s="71"/>
      <c r="W329" s="71"/>
      <c r="X329" s="71"/>
      <c r="Y329" s="71"/>
      <c r="Z329" s="71"/>
      <c r="AA329" s="71"/>
      <c r="AB329" s="71"/>
    </row>
    <row r="330" spans="1:28" s="72" customFormat="1" x14ac:dyDescent="0.2">
      <c r="A330" s="103" t="s">
        <v>122</v>
      </c>
      <c r="B330" s="103" t="s">
        <v>123</v>
      </c>
      <c r="C330" s="35">
        <v>45940</v>
      </c>
      <c r="D330" s="36">
        <v>217</v>
      </c>
      <c r="E330" s="105" t="s">
        <v>345</v>
      </c>
      <c r="F330" s="32">
        <v>0</v>
      </c>
      <c r="G330" s="32">
        <v>315</v>
      </c>
      <c r="H330" s="33">
        <f t="shared" ref="H330:H372" si="5">H329+F330-G330</f>
        <v>822625.90000000154</v>
      </c>
      <c r="I330" s="32" t="s">
        <v>361</v>
      </c>
      <c r="J330" s="15"/>
      <c r="K330" s="15"/>
      <c r="L330" s="175" t="s">
        <v>3</v>
      </c>
      <c r="M330" s="175" t="s">
        <v>15</v>
      </c>
      <c r="N330" s="16"/>
      <c r="O330" s="71"/>
      <c r="P330" s="71"/>
      <c r="Q330" s="71"/>
      <c r="R330" s="71"/>
      <c r="S330" s="71"/>
      <c r="T330" s="71"/>
      <c r="U330" s="71"/>
      <c r="V330" s="71"/>
      <c r="W330" s="71"/>
      <c r="X330" s="71"/>
      <c r="Y330" s="71"/>
      <c r="Z330" s="71"/>
      <c r="AA330" s="71"/>
      <c r="AB330" s="71"/>
    </row>
    <row r="331" spans="1:28" s="72" customFormat="1" x14ac:dyDescent="0.2">
      <c r="A331" s="103" t="s">
        <v>122</v>
      </c>
      <c r="B331" s="103" t="s">
        <v>123</v>
      </c>
      <c r="C331" s="35">
        <v>45940</v>
      </c>
      <c r="D331" s="36">
        <v>218</v>
      </c>
      <c r="E331" s="105" t="s">
        <v>328</v>
      </c>
      <c r="F331" s="32">
        <v>0</v>
      </c>
      <c r="G331" s="32">
        <v>168</v>
      </c>
      <c r="H331" s="33">
        <f t="shared" si="5"/>
        <v>822457.90000000154</v>
      </c>
      <c r="I331" s="16" t="s">
        <v>85</v>
      </c>
      <c r="J331" s="15"/>
      <c r="K331" s="15"/>
      <c r="L331" s="175" t="s">
        <v>12</v>
      </c>
      <c r="M331" s="175" t="s">
        <v>24</v>
      </c>
      <c r="N331" s="16"/>
      <c r="O331" s="71"/>
      <c r="P331" s="71"/>
      <c r="Q331" s="71"/>
      <c r="R331" s="71"/>
      <c r="S331" s="71"/>
      <c r="T331" s="71"/>
      <c r="U331" s="71"/>
      <c r="V331" s="71"/>
      <c r="W331" s="71"/>
      <c r="X331" s="71"/>
      <c r="Y331" s="71"/>
      <c r="Z331" s="71"/>
      <c r="AA331" s="71"/>
      <c r="AB331" s="71"/>
    </row>
    <row r="332" spans="1:28" s="72" customFormat="1" x14ac:dyDescent="0.2">
      <c r="A332" s="103" t="s">
        <v>122</v>
      </c>
      <c r="B332" s="103" t="s">
        <v>123</v>
      </c>
      <c r="C332" s="35">
        <v>45940</v>
      </c>
      <c r="D332" s="36">
        <v>219</v>
      </c>
      <c r="E332" s="105" t="s">
        <v>362</v>
      </c>
      <c r="F332" s="32">
        <v>0</v>
      </c>
      <c r="G332" s="32">
        <v>2400</v>
      </c>
      <c r="H332" s="33">
        <f t="shared" si="5"/>
        <v>820057.90000000154</v>
      </c>
      <c r="I332" s="32" t="s">
        <v>298</v>
      </c>
      <c r="J332" s="15"/>
      <c r="K332" s="15"/>
      <c r="L332" s="175" t="s">
        <v>12</v>
      </c>
      <c r="M332" s="175" t="s">
        <v>24</v>
      </c>
      <c r="N332" s="16"/>
      <c r="O332" s="71"/>
      <c r="P332" s="71"/>
      <c r="Q332" s="71"/>
      <c r="R332" s="71"/>
      <c r="S332" s="71"/>
      <c r="T332" s="71"/>
      <c r="U332" s="71"/>
      <c r="V332" s="71"/>
      <c r="W332" s="71"/>
      <c r="X332" s="71"/>
      <c r="Y332" s="71"/>
      <c r="Z332" s="71"/>
      <c r="AA332" s="71"/>
      <c r="AB332" s="71"/>
    </row>
    <row r="333" spans="1:28" s="11" customFormat="1" ht="13.5" customHeight="1" x14ac:dyDescent="0.2">
      <c r="A333" s="103" t="s">
        <v>122</v>
      </c>
      <c r="B333" s="103" t="s">
        <v>123</v>
      </c>
      <c r="C333" s="35">
        <v>45940</v>
      </c>
      <c r="D333" s="36">
        <v>220</v>
      </c>
      <c r="E333" s="105" t="s">
        <v>139</v>
      </c>
      <c r="F333" s="32">
        <v>0</v>
      </c>
      <c r="G333" s="32">
        <v>200</v>
      </c>
      <c r="H333" s="33">
        <f t="shared" si="5"/>
        <v>819857.90000000154</v>
      </c>
      <c r="I333" s="32" t="s">
        <v>363</v>
      </c>
      <c r="J333" s="15"/>
      <c r="K333" s="15"/>
      <c r="L333" s="175" t="s">
        <v>3</v>
      </c>
      <c r="M333" s="175" t="s">
        <v>39</v>
      </c>
      <c r="N333" s="16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</row>
    <row r="334" spans="1:28" s="72" customFormat="1" x14ac:dyDescent="0.2">
      <c r="A334" s="103" t="s">
        <v>122</v>
      </c>
      <c r="B334" s="103" t="s">
        <v>123</v>
      </c>
      <c r="C334" s="35">
        <v>45940</v>
      </c>
      <c r="D334" s="36">
        <v>221</v>
      </c>
      <c r="E334" s="105" t="s">
        <v>365</v>
      </c>
      <c r="F334" s="32">
        <v>0</v>
      </c>
      <c r="G334" s="32">
        <v>11040</v>
      </c>
      <c r="H334" s="33">
        <f t="shared" si="5"/>
        <v>808817.90000000154</v>
      </c>
      <c r="I334" s="32" t="s">
        <v>335</v>
      </c>
      <c r="J334" s="15"/>
      <c r="K334" s="15"/>
      <c r="L334" s="175" t="s">
        <v>12</v>
      </c>
      <c r="M334" s="175" t="s">
        <v>48</v>
      </c>
      <c r="N334" s="16"/>
      <c r="O334" s="71"/>
      <c r="P334" s="71"/>
      <c r="Q334" s="71"/>
      <c r="R334" s="71"/>
      <c r="S334" s="71"/>
      <c r="T334" s="71"/>
      <c r="U334" s="71"/>
      <c r="V334" s="71"/>
      <c r="W334" s="71"/>
      <c r="X334" s="71"/>
      <c r="Y334" s="71"/>
      <c r="Z334" s="71"/>
      <c r="AA334" s="71"/>
      <c r="AB334" s="71"/>
    </row>
    <row r="335" spans="1:28" s="72" customFormat="1" x14ac:dyDescent="0.2">
      <c r="A335" s="51" t="s">
        <v>122</v>
      </c>
      <c r="B335" s="52" t="s">
        <v>123</v>
      </c>
      <c r="C335" s="204">
        <v>45940</v>
      </c>
      <c r="D335" s="237">
        <v>111</v>
      </c>
      <c r="E335" s="111" t="s">
        <v>444</v>
      </c>
      <c r="F335" s="55">
        <v>0</v>
      </c>
      <c r="G335" s="55">
        <v>2500</v>
      </c>
      <c r="H335" s="224">
        <f t="shared" si="5"/>
        <v>806317.90000000154</v>
      </c>
      <c r="I335" s="55" t="s">
        <v>134</v>
      </c>
      <c r="J335" s="238"/>
      <c r="K335" s="238"/>
      <c r="L335" s="226" t="s">
        <v>3</v>
      </c>
      <c r="M335" s="226" t="s">
        <v>15</v>
      </c>
      <c r="N335" s="57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</row>
    <row r="336" spans="1:28" s="72" customFormat="1" x14ac:dyDescent="0.2">
      <c r="A336" s="42" t="s">
        <v>122</v>
      </c>
      <c r="B336" s="43" t="s">
        <v>123</v>
      </c>
      <c r="C336" s="203">
        <v>45942</v>
      </c>
      <c r="D336" s="222">
        <v>111</v>
      </c>
      <c r="E336" s="110" t="s">
        <v>444</v>
      </c>
      <c r="F336" s="50">
        <v>0</v>
      </c>
      <c r="G336" s="50">
        <v>2500</v>
      </c>
      <c r="H336" s="223">
        <f t="shared" si="5"/>
        <v>803817.90000000154</v>
      </c>
      <c r="I336" s="50" t="s">
        <v>134</v>
      </c>
      <c r="J336" s="48"/>
      <c r="K336" s="48"/>
      <c r="L336" s="177" t="s">
        <v>3</v>
      </c>
      <c r="M336" s="177" t="s">
        <v>15</v>
      </c>
      <c r="N336" s="47"/>
      <c r="O336" s="71"/>
      <c r="P336" s="71"/>
      <c r="Q336" s="71"/>
      <c r="R336" s="71"/>
      <c r="S336" s="71"/>
      <c r="T336" s="71"/>
      <c r="U336" s="71"/>
      <c r="V336" s="71"/>
      <c r="W336" s="71"/>
      <c r="X336" s="71"/>
      <c r="Y336" s="71"/>
      <c r="Z336" s="71"/>
      <c r="AA336" s="71"/>
      <c r="AB336" s="71"/>
    </row>
    <row r="337" spans="1:28" s="72" customFormat="1" x14ac:dyDescent="0.2">
      <c r="A337" s="198" t="s">
        <v>125</v>
      </c>
      <c r="B337" s="198" t="s">
        <v>126</v>
      </c>
      <c r="C337" s="201">
        <v>45943</v>
      </c>
      <c r="D337" s="206">
        <v>28</v>
      </c>
      <c r="E337" s="209" t="s">
        <v>251</v>
      </c>
      <c r="F337" s="212">
        <v>50000</v>
      </c>
      <c r="G337" s="212">
        <v>0</v>
      </c>
      <c r="H337" s="33">
        <f t="shared" si="5"/>
        <v>853817.90000000154</v>
      </c>
      <c r="I337" s="212" t="s">
        <v>236</v>
      </c>
      <c r="J337" s="217"/>
      <c r="K337" s="217"/>
      <c r="L337" s="219"/>
      <c r="M337" s="219"/>
      <c r="N337" s="217"/>
      <c r="O337" s="71"/>
      <c r="P337" s="71"/>
      <c r="Q337" s="71"/>
      <c r="R337" s="71"/>
      <c r="S337" s="71"/>
      <c r="T337" s="71"/>
      <c r="U337" s="71"/>
      <c r="V337" s="71"/>
      <c r="W337" s="71"/>
      <c r="X337" s="71"/>
      <c r="Y337" s="71"/>
      <c r="Z337" s="71"/>
      <c r="AA337" s="71"/>
      <c r="AB337" s="71"/>
    </row>
    <row r="338" spans="1:28" s="72" customFormat="1" x14ac:dyDescent="0.2">
      <c r="A338" s="103" t="s">
        <v>122</v>
      </c>
      <c r="B338" s="103" t="s">
        <v>123</v>
      </c>
      <c r="C338" s="35">
        <v>45943</v>
      </c>
      <c r="D338" s="36">
        <v>222</v>
      </c>
      <c r="E338" s="105" t="s">
        <v>367</v>
      </c>
      <c r="F338" s="32">
        <v>0</v>
      </c>
      <c r="G338" s="32">
        <v>39700</v>
      </c>
      <c r="H338" s="33">
        <f t="shared" si="5"/>
        <v>814117.90000000154</v>
      </c>
      <c r="I338" s="32" t="s">
        <v>335</v>
      </c>
      <c r="J338" s="15"/>
      <c r="K338" s="15"/>
      <c r="L338" s="175" t="s">
        <v>12</v>
      </c>
      <c r="M338" s="175" t="s">
        <v>48</v>
      </c>
      <c r="N338" s="16"/>
      <c r="O338" s="71"/>
      <c r="P338" s="71"/>
      <c r="Q338" s="71"/>
      <c r="R338" s="71"/>
      <c r="S338" s="71"/>
      <c r="T338" s="71"/>
      <c r="U338" s="71"/>
      <c r="V338" s="71"/>
      <c r="W338" s="71"/>
      <c r="X338" s="71"/>
      <c r="Y338" s="71"/>
      <c r="Z338" s="71"/>
      <c r="AA338" s="71"/>
      <c r="AB338" s="71"/>
    </row>
    <row r="339" spans="1:28" s="104" customFormat="1" x14ac:dyDescent="0.2">
      <c r="A339" s="103" t="s">
        <v>122</v>
      </c>
      <c r="B339" s="103" t="s">
        <v>123</v>
      </c>
      <c r="C339" s="35">
        <v>45943</v>
      </c>
      <c r="D339" s="36">
        <v>223</v>
      </c>
      <c r="E339" s="105" t="s">
        <v>366</v>
      </c>
      <c r="F339" s="32">
        <v>0</v>
      </c>
      <c r="G339" s="32">
        <v>13600</v>
      </c>
      <c r="H339" s="33">
        <f t="shared" si="5"/>
        <v>800517.90000000154</v>
      </c>
      <c r="I339" s="32" t="s">
        <v>334</v>
      </c>
      <c r="J339" s="15"/>
      <c r="K339" s="15"/>
      <c r="L339" s="175" t="s">
        <v>12</v>
      </c>
      <c r="M339" s="175" t="s">
        <v>36</v>
      </c>
      <c r="N339" s="16"/>
    </row>
    <row r="340" spans="1:28" s="72" customFormat="1" x14ac:dyDescent="0.2">
      <c r="A340" s="103" t="s">
        <v>122</v>
      </c>
      <c r="B340" s="103" t="s">
        <v>123</v>
      </c>
      <c r="C340" s="35">
        <v>45943</v>
      </c>
      <c r="D340" s="36">
        <v>224</v>
      </c>
      <c r="E340" s="105" t="s">
        <v>345</v>
      </c>
      <c r="F340" s="32">
        <v>0</v>
      </c>
      <c r="G340" s="32">
        <v>315</v>
      </c>
      <c r="H340" s="33">
        <f t="shared" si="5"/>
        <v>800202.90000000154</v>
      </c>
      <c r="I340" s="32" t="s">
        <v>361</v>
      </c>
      <c r="J340" s="15"/>
      <c r="K340" s="15"/>
      <c r="L340" s="175" t="s">
        <v>3</v>
      </c>
      <c r="M340" s="175" t="s">
        <v>15</v>
      </c>
      <c r="N340" s="16"/>
      <c r="O340" s="71"/>
      <c r="P340" s="71"/>
      <c r="Q340" s="71"/>
      <c r="R340" s="71"/>
      <c r="S340" s="71"/>
      <c r="T340" s="71"/>
      <c r="U340" s="71"/>
      <c r="V340" s="71"/>
      <c r="W340" s="71"/>
      <c r="X340" s="71"/>
      <c r="Y340" s="71"/>
      <c r="Z340" s="71"/>
      <c r="AA340" s="71"/>
      <c r="AB340" s="71"/>
    </row>
    <row r="341" spans="1:28" s="72" customFormat="1" x14ac:dyDescent="0.2">
      <c r="A341" s="74" t="s">
        <v>122</v>
      </c>
      <c r="B341" s="200" t="s">
        <v>123</v>
      </c>
      <c r="C341" s="234">
        <v>45943</v>
      </c>
      <c r="D341" s="235">
        <v>111</v>
      </c>
      <c r="E341" s="211" t="s">
        <v>444</v>
      </c>
      <c r="F341" s="77">
        <v>0</v>
      </c>
      <c r="G341" s="77">
        <v>2500</v>
      </c>
      <c r="H341" s="225">
        <f t="shared" si="5"/>
        <v>797702.90000000154</v>
      </c>
      <c r="I341" s="77" t="s">
        <v>134</v>
      </c>
      <c r="J341" s="236"/>
      <c r="K341" s="236"/>
      <c r="L341" s="226" t="s">
        <v>3</v>
      </c>
      <c r="M341" s="226" t="s">
        <v>15</v>
      </c>
      <c r="N341" s="79"/>
      <c r="O341" s="71"/>
      <c r="P341" s="71"/>
      <c r="Q341" s="71"/>
      <c r="R341" s="71"/>
      <c r="S341" s="71"/>
      <c r="T341" s="71"/>
      <c r="U341" s="71"/>
      <c r="V341" s="71"/>
      <c r="W341" s="71"/>
      <c r="X341" s="71"/>
      <c r="Y341" s="71"/>
      <c r="Z341" s="71"/>
      <c r="AA341" s="71"/>
      <c r="AB341" s="71"/>
    </row>
    <row r="342" spans="1:28" s="72" customFormat="1" x14ac:dyDescent="0.2">
      <c r="A342" s="103" t="s">
        <v>122</v>
      </c>
      <c r="B342" s="103" t="s">
        <v>123</v>
      </c>
      <c r="C342" s="35">
        <v>45944</v>
      </c>
      <c r="D342" s="36">
        <v>225</v>
      </c>
      <c r="E342" s="105" t="s">
        <v>368</v>
      </c>
      <c r="F342" s="32">
        <v>0</v>
      </c>
      <c r="G342" s="32">
        <v>5520</v>
      </c>
      <c r="H342" s="33">
        <f t="shared" si="5"/>
        <v>792182.90000000154</v>
      </c>
      <c r="I342" s="32" t="s">
        <v>335</v>
      </c>
      <c r="J342" s="15"/>
      <c r="K342" s="15"/>
      <c r="L342" s="175" t="s">
        <v>12</v>
      </c>
      <c r="M342" s="175" t="s">
        <v>48</v>
      </c>
      <c r="N342" s="16"/>
      <c r="O342" s="71"/>
      <c r="P342" s="71"/>
      <c r="Q342" s="71"/>
      <c r="R342" s="71"/>
      <c r="S342" s="71"/>
      <c r="T342" s="71"/>
      <c r="U342" s="71"/>
      <c r="V342" s="71"/>
      <c r="W342" s="71"/>
      <c r="X342" s="71"/>
      <c r="Y342" s="71"/>
      <c r="Z342" s="71"/>
      <c r="AA342" s="71"/>
      <c r="AB342" s="71"/>
    </row>
    <row r="343" spans="1:28" s="11" customFormat="1" ht="13.5" customHeight="1" x14ac:dyDescent="0.2">
      <c r="A343" s="103" t="s">
        <v>122</v>
      </c>
      <c r="B343" s="103" t="s">
        <v>123</v>
      </c>
      <c r="C343" s="35">
        <v>45944</v>
      </c>
      <c r="D343" s="36">
        <v>226</v>
      </c>
      <c r="E343" s="105" t="s">
        <v>345</v>
      </c>
      <c r="F343" s="32">
        <v>0</v>
      </c>
      <c r="G343" s="32">
        <v>315</v>
      </c>
      <c r="H343" s="33">
        <f t="shared" si="5"/>
        <v>791867.90000000154</v>
      </c>
      <c r="I343" s="32" t="s">
        <v>361</v>
      </c>
      <c r="J343" s="15"/>
      <c r="K343" s="15"/>
      <c r="L343" s="175" t="s">
        <v>3</v>
      </c>
      <c r="M343" s="175" t="s">
        <v>15</v>
      </c>
      <c r="N343" s="16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</row>
    <row r="344" spans="1:28" s="72" customFormat="1" x14ac:dyDescent="0.2">
      <c r="A344" s="103" t="s">
        <v>122</v>
      </c>
      <c r="B344" s="103" t="s">
        <v>123</v>
      </c>
      <c r="C344" s="35">
        <v>45944</v>
      </c>
      <c r="D344" s="36">
        <v>227</v>
      </c>
      <c r="E344" s="105" t="s">
        <v>373</v>
      </c>
      <c r="F344" s="32">
        <v>0</v>
      </c>
      <c r="G344" s="32">
        <v>2000</v>
      </c>
      <c r="H344" s="33">
        <f t="shared" si="5"/>
        <v>789867.90000000154</v>
      </c>
      <c r="I344" s="32" t="s">
        <v>374</v>
      </c>
      <c r="J344" s="32"/>
      <c r="K344" s="32"/>
      <c r="L344" s="179" t="s">
        <v>3</v>
      </c>
      <c r="M344" s="179" t="s">
        <v>39</v>
      </c>
      <c r="N344" s="32"/>
      <c r="O344" s="71"/>
      <c r="P344" s="71"/>
      <c r="Q344" s="71"/>
      <c r="R344" s="71"/>
      <c r="S344" s="71"/>
      <c r="T344" s="71"/>
      <c r="U344" s="71"/>
      <c r="V344" s="71"/>
      <c r="W344" s="71"/>
      <c r="X344" s="71"/>
      <c r="Y344" s="71"/>
      <c r="Z344" s="71"/>
      <c r="AA344" s="71"/>
      <c r="AB344" s="71"/>
    </row>
    <row r="345" spans="1:28" s="72" customFormat="1" x14ac:dyDescent="0.2">
      <c r="A345" s="74" t="s">
        <v>122</v>
      </c>
      <c r="B345" s="200" t="s">
        <v>123</v>
      </c>
      <c r="C345" s="234">
        <v>45944</v>
      </c>
      <c r="D345" s="235">
        <v>111</v>
      </c>
      <c r="E345" s="211" t="s">
        <v>444</v>
      </c>
      <c r="F345" s="77">
        <v>0</v>
      </c>
      <c r="G345" s="77">
        <v>2500</v>
      </c>
      <c r="H345" s="225">
        <f t="shared" si="5"/>
        <v>787367.90000000154</v>
      </c>
      <c r="I345" s="77" t="s">
        <v>134</v>
      </c>
      <c r="J345" s="236"/>
      <c r="K345" s="236"/>
      <c r="L345" s="226" t="s">
        <v>3</v>
      </c>
      <c r="M345" s="226" t="s">
        <v>15</v>
      </c>
      <c r="N345" s="79"/>
      <c r="O345" s="71"/>
      <c r="P345" s="71"/>
      <c r="Q345" s="71"/>
      <c r="R345" s="71"/>
      <c r="S345" s="71"/>
      <c r="T345" s="71"/>
      <c r="U345" s="71"/>
      <c r="V345" s="71"/>
      <c r="W345" s="71"/>
      <c r="X345" s="71"/>
      <c r="Y345" s="71"/>
      <c r="Z345" s="71"/>
      <c r="AA345" s="71"/>
      <c r="AB345" s="71"/>
    </row>
    <row r="346" spans="1:28" s="72" customFormat="1" x14ac:dyDescent="0.2">
      <c r="A346" s="103" t="s">
        <v>122</v>
      </c>
      <c r="B346" s="103" t="s">
        <v>123</v>
      </c>
      <c r="C346" s="35">
        <v>45945</v>
      </c>
      <c r="D346" s="36">
        <v>228</v>
      </c>
      <c r="E346" s="105" t="s">
        <v>328</v>
      </c>
      <c r="F346" s="32">
        <v>0</v>
      </c>
      <c r="G346" s="32">
        <v>134</v>
      </c>
      <c r="H346" s="33">
        <f t="shared" si="5"/>
        <v>787233.90000000154</v>
      </c>
      <c r="I346" s="16" t="s">
        <v>85</v>
      </c>
      <c r="J346" s="15"/>
      <c r="K346" s="15"/>
      <c r="L346" s="175" t="s">
        <v>12</v>
      </c>
      <c r="M346" s="175" t="s">
        <v>24</v>
      </c>
      <c r="N346" s="16"/>
      <c r="O346" s="71"/>
      <c r="P346" s="71"/>
      <c r="Q346" s="71"/>
      <c r="R346" s="71"/>
      <c r="S346" s="71"/>
      <c r="T346" s="71"/>
      <c r="U346" s="71"/>
      <c r="V346" s="71"/>
      <c r="W346" s="71"/>
      <c r="X346" s="71"/>
      <c r="Y346" s="71"/>
      <c r="Z346" s="71"/>
      <c r="AA346" s="71"/>
      <c r="AB346" s="71"/>
    </row>
    <row r="347" spans="1:28" s="72" customFormat="1" x14ac:dyDescent="0.2">
      <c r="A347" s="103" t="s">
        <v>122</v>
      </c>
      <c r="B347" s="103" t="s">
        <v>123</v>
      </c>
      <c r="C347" s="35">
        <v>45945</v>
      </c>
      <c r="D347" s="36">
        <v>229</v>
      </c>
      <c r="E347" s="105" t="s">
        <v>371</v>
      </c>
      <c r="F347" s="32">
        <v>0</v>
      </c>
      <c r="G347" s="32">
        <v>130</v>
      </c>
      <c r="H347" s="33">
        <f t="shared" si="5"/>
        <v>787103.90000000154</v>
      </c>
      <c r="I347" s="32" t="s">
        <v>372</v>
      </c>
      <c r="J347" s="15"/>
      <c r="K347" s="15"/>
      <c r="L347" s="175" t="s">
        <v>3</v>
      </c>
      <c r="M347" s="175" t="s">
        <v>39</v>
      </c>
      <c r="N347" s="16"/>
      <c r="O347" s="71"/>
      <c r="P347" s="71"/>
      <c r="Q347" s="71"/>
      <c r="R347" s="71"/>
      <c r="S347" s="71"/>
      <c r="T347" s="71"/>
      <c r="U347" s="71"/>
      <c r="V347" s="71"/>
      <c r="W347" s="71"/>
      <c r="X347" s="71"/>
      <c r="Y347" s="71"/>
      <c r="Z347" s="71"/>
      <c r="AA347" s="71"/>
      <c r="AB347" s="71"/>
    </row>
    <row r="348" spans="1:28" s="72" customFormat="1" x14ac:dyDescent="0.2">
      <c r="A348" s="103" t="s">
        <v>122</v>
      </c>
      <c r="B348" s="103" t="s">
        <v>123</v>
      </c>
      <c r="C348" s="35">
        <v>45945</v>
      </c>
      <c r="D348" s="36">
        <v>230</v>
      </c>
      <c r="E348" s="105" t="s">
        <v>370</v>
      </c>
      <c r="F348" s="32">
        <v>0</v>
      </c>
      <c r="G348" s="32">
        <v>764</v>
      </c>
      <c r="H348" s="33">
        <f t="shared" si="5"/>
        <v>786339.90000000154</v>
      </c>
      <c r="I348" s="32" t="s">
        <v>369</v>
      </c>
      <c r="J348" s="15"/>
      <c r="K348" s="15"/>
      <c r="L348" s="175" t="s">
        <v>3</v>
      </c>
      <c r="M348" s="175" t="s">
        <v>39</v>
      </c>
      <c r="N348" s="16"/>
      <c r="O348" s="71"/>
      <c r="P348" s="71"/>
      <c r="Q348" s="71"/>
      <c r="R348" s="71"/>
      <c r="S348" s="71"/>
      <c r="T348" s="71"/>
      <c r="U348" s="71"/>
      <c r="V348" s="71"/>
      <c r="W348" s="71"/>
      <c r="X348" s="71"/>
      <c r="Y348" s="71"/>
      <c r="Z348" s="71"/>
      <c r="AA348" s="71"/>
      <c r="AB348" s="71"/>
    </row>
    <row r="349" spans="1:28" s="72" customFormat="1" x14ac:dyDescent="0.2">
      <c r="A349" s="198" t="s">
        <v>125</v>
      </c>
      <c r="B349" s="198" t="s">
        <v>126</v>
      </c>
      <c r="C349" s="201">
        <v>45946</v>
      </c>
      <c r="D349" s="206">
        <v>29</v>
      </c>
      <c r="E349" s="209" t="s">
        <v>251</v>
      </c>
      <c r="F349" s="212">
        <v>20000</v>
      </c>
      <c r="G349" s="212">
        <v>0</v>
      </c>
      <c r="H349" s="33">
        <f t="shared" si="5"/>
        <v>806339.90000000154</v>
      </c>
      <c r="I349" s="212" t="s">
        <v>236</v>
      </c>
      <c r="J349" s="217"/>
      <c r="K349" s="217"/>
      <c r="L349" s="219"/>
      <c r="M349" s="219"/>
      <c r="N349" s="217"/>
      <c r="O349" s="71"/>
      <c r="P349" s="71"/>
      <c r="Q349" s="71"/>
      <c r="R349" s="71"/>
      <c r="S349" s="71"/>
      <c r="T349" s="71"/>
      <c r="U349" s="71"/>
      <c r="V349" s="71"/>
      <c r="W349" s="71"/>
      <c r="X349" s="71"/>
      <c r="Y349" s="71"/>
      <c r="Z349" s="71"/>
      <c r="AA349" s="71"/>
      <c r="AB349" s="71"/>
    </row>
    <row r="350" spans="1:28" s="72" customFormat="1" x14ac:dyDescent="0.2">
      <c r="A350" s="51" t="s">
        <v>122</v>
      </c>
      <c r="B350" s="52" t="s">
        <v>123</v>
      </c>
      <c r="C350" s="204">
        <v>45946</v>
      </c>
      <c r="D350" s="237">
        <v>111</v>
      </c>
      <c r="E350" s="111" t="s">
        <v>445</v>
      </c>
      <c r="F350" s="55">
        <v>0</v>
      </c>
      <c r="G350" s="55">
        <v>435.2</v>
      </c>
      <c r="H350" s="224">
        <f t="shared" si="5"/>
        <v>805904.70000000158</v>
      </c>
      <c r="I350" s="55" t="s">
        <v>134</v>
      </c>
      <c r="J350" s="238"/>
      <c r="K350" s="238"/>
      <c r="L350" s="226" t="s">
        <v>3</v>
      </c>
      <c r="M350" s="226" t="s">
        <v>15</v>
      </c>
      <c r="N350" s="57"/>
      <c r="O350" s="71"/>
      <c r="P350" s="71"/>
      <c r="Q350" s="71"/>
      <c r="R350" s="71"/>
      <c r="S350" s="71"/>
      <c r="T350" s="71"/>
      <c r="U350" s="71"/>
      <c r="V350" s="71"/>
      <c r="W350" s="71"/>
      <c r="X350" s="71"/>
      <c r="Y350" s="71"/>
      <c r="Z350" s="71"/>
      <c r="AA350" s="71"/>
      <c r="AB350" s="71"/>
    </row>
    <row r="351" spans="1:28" s="72" customFormat="1" ht="15" thickBot="1" x14ac:dyDescent="0.25">
      <c r="A351" s="12" t="s">
        <v>122</v>
      </c>
      <c r="B351" s="13" t="s">
        <v>123</v>
      </c>
      <c r="C351" s="35">
        <v>45946</v>
      </c>
      <c r="D351" s="36">
        <v>111</v>
      </c>
      <c r="E351" s="108" t="s">
        <v>444</v>
      </c>
      <c r="F351" s="32">
        <v>0</v>
      </c>
      <c r="G351" s="32">
        <v>2500</v>
      </c>
      <c r="H351" s="33">
        <f t="shared" si="5"/>
        <v>803404.70000000158</v>
      </c>
      <c r="I351" s="32" t="s">
        <v>134</v>
      </c>
      <c r="J351" s="15"/>
      <c r="K351" s="15"/>
      <c r="L351" s="177" t="s">
        <v>3</v>
      </c>
      <c r="M351" s="177" t="s">
        <v>15</v>
      </c>
      <c r="N351" s="17"/>
      <c r="O351" s="71"/>
      <c r="P351" s="71"/>
      <c r="Q351" s="71"/>
      <c r="R351" s="71"/>
      <c r="S351" s="71"/>
      <c r="T351" s="71"/>
      <c r="U351" s="71"/>
      <c r="V351" s="71"/>
      <c r="W351" s="71"/>
      <c r="X351" s="71"/>
      <c r="Y351" s="71"/>
      <c r="Z351" s="71"/>
      <c r="AA351" s="71"/>
      <c r="AB351" s="71"/>
    </row>
    <row r="352" spans="1:28" s="11" customFormat="1" ht="13.5" customHeight="1" x14ac:dyDescent="0.2">
      <c r="A352" s="197" t="s">
        <v>122</v>
      </c>
      <c r="B352" s="199" t="s">
        <v>123</v>
      </c>
      <c r="C352" s="205">
        <v>45946</v>
      </c>
      <c r="D352" s="207">
        <v>111</v>
      </c>
      <c r="E352" s="210" t="s">
        <v>446</v>
      </c>
      <c r="F352" s="213">
        <v>0</v>
      </c>
      <c r="G352" s="213">
        <v>471.9</v>
      </c>
      <c r="H352" s="223">
        <f t="shared" si="5"/>
        <v>802932.80000000156</v>
      </c>
      <c r="I352" s="213" t="s">
        <v>134</v>
      </c>
      <c r="J352" s="218"/>
      <c r="K352" s="218"/>
      <c r="L352" s="177" t="s">
        <v>3</v>
      </c>
      <c r="M352" s="177" t="s">
        <v>15</v>
      </c>
      <c r="N352" s="221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  <c r="AA352" s="10"/>
      <c r="AB352" s="10"/>
    </row>
    <row r="353" spans="1:28" s="72" customFormat="1" x14ac:dyDescent="0.2">
      <c r="A353" s="103" t="s">
        <v>122</v>
      </c>
      <c r="B353" s="103" t="s">
        <v>123</v>
      </c>
      <c r="C353" s="35">
        <v>45947</v>
      </c>
      <c r="D353" s="36">
        <v>231</v>
      </c>
      <c r="E353" s="105" t="s">
        <v>386</v>
      </c>
      <c r="F353" s="32">
        <v>0</v>
      </c>
      <c r="G353" s="32">
        <v>10200</v>
      </c>
      <c r="H353" s="33">
        <f t="shared" si="5"/>
        <v>792732.80000000156</v>
      </c>
      <c r="I353" s="32" t="s">
        <v>334</v>
      </c>
      <c r="J353" s="15"/>
      <c r="K353" s="15"/>
      <c r="L353" s="175" t="s">
        <v>12</v>
      </c>
      <c r="M353" s="175" t="s">
        <v>36</v>
      </c>
      <c r="N353" s="16"/>
      <c r="O353" s="71"/>
      <c r="P353" s="71"/>
      <c r="Q353" s="71"/>
      <c r="R353" s="71"/>
      <c r="S353" s="71"/>
      <c r="T353" s="71"/>
      <c r="U353" s="71"/>
      <c r="V353" s="71"/>
      <c r="W353" s="71"/>
      <c r="X353" s="71"/>
      <c r="Y353" s="71"/>
      <c r="Z353" s="71"/>
      <c r="AA353" s="71"/>
      <c r="AB353" s="71"/>
    </row>
    <row r="354" spans="1:28" s="72" customFormat="1" x14ac:dyDescent="0.2">
      <c r="A354" s="103" t="s">
        <v>122</v>
      </c>
      <c r="B354" s="103" t="s">
        <v>123</v>
      </c>
      <c r="C354" s="35">
        <v>45948</v>
      </c>
      <c r="D354" s="36">
        <v>232</v>
      </c>
      <c r="E354" s="105" t="s">
        <v>386</v>
      </c>
      <c r="F354" s="32">
        <v>0</v>
      </c>
      <c r="G354" s="32">
        <v>10200</v>
      </c>
      <c r="H354" s="33">
        <f t="shared" si="5"/>
        <v>782532.80000000156</v>
      </c>
      <c r="I354" s="32" t="s">
        <v>334</v>
      </c>
      <c r="J354" s="15"/>
      <c r="K354" s="15"/>
      <c r="L354" s="175" t="s">
        <v>12</v>
      </c>
      <c r="M354" s="175" t="s">
        <v>36</v>
      </c>
      <c r="N354" s="16"/>
      <c r="O354" s="71"/>
      <c r="P354" s="71"/>
      <c r="Q354" s="71"/>
      <c r="R354" s="71"/>
      <c r="S354" s="71"/>
      <c r="T354" s="71"/>
      <c r="U354" s="71"/>
      <c r="V354" s="71"/>
      <c r="W354" s="71"/>
      <c r="X354" s="71"/>
      <c r="Y354" s="71"/>
      <c r="Z354" s="71"/>
      <c r="AA354" s="71"/>
      <c r="AB354" s="71"/>
    </row>
    <row r="355" spans="1:28" s="72" customFormat="1" x14ac:dyDescent="0.2">
      <c r="A355" s="103" t="s">
        <v>122</v>
      </c>
      <c r="B355" s="103" t="s">
        <v>123</v>
      </c>
      <c r="C355" s="35">
        <v>45948</v>
      </c>
      <c r="D355" s="36">
        <v>233</v>
      </c>
      <c r="E355" s="105" t="s">
        <v>261</v>
      </c>
      <c r="F355" s="32">
        <v>0</v>
      </c>
      <c r="G355" s="32">
        <v>457</v>
      </c>
      <c r="H355" s="33">
        <f t="shared" si="5"/>
        <v>782075.80000000156</v>
      </c>
      <c r="I355" s="32" t="s">
        <v>361</v>
      </c>
      <c r="J355" s="15"/>
      <c r="K355" s="15"/>
      <c r="L355" s="175" t="s">
        <v>3</v>
      </c>
      <c r="M355" s="175" t="s">
        <v>39</v>
      </c>
      <c r="N355" s="16"/>
      <c r="O355" s="71"/>
      <c r="P355" s="71"/>
      <c r="Q355" s="71"/>
      <c r="R355" s="71"/>
      <c r="S355" s="71"/>
      <c r="T355" s="71"/>
      <c r="U355" s="71"/>
      <c r="V355" s="71"/>
      <c r="W355" s="71"/>
      <c r="X355" s="71"/>
      <c r="Y355" s="71"/>
      <c r="Z355" s="71"/>
      <c r="AA355" s="71"/>
      <c r="AB355" s="71"/>
    </row>
    <row r="356" spans="1:28" s="104" customFormat="1" x14ac:dyDescent="0.2">
      <c r="A356" s="103" t="s">
        <v>122</v>
      </c>
      <c r="B356" s="103" t="s">
        <v>123</v>
      </c>
      <c r="C356" s="35">
        <v>45948</v>
      </c>
      <c r="D356" s="36">
        <v>233</v>
      </c>
      <c r="E356" s="105" t="s">
        <v>393</v>
      </c>
      <c r="F356" s="32">
        <v>0</v>
      </c>
      <c r="G356" s="32">
        <v>35</v>
      </c>
      <c r="H356" s="33">
        <f t="shared" si="5"/>
        <v>782040.80000000156</v>
      </c>
      <c r="I356" s="32" t="s">
        <v>361</v>
      </c>
      <c r="J356" s="15"/>
      <c r="K356" s="15"/>
      <c r="L356" s="175" t="s">
        <v>3</v>
      </c>
      <c r="M356" s="175" t="s">
        <v>39</v>
      </c>
      <c r="N356" s="16"/>
    </row>
    <row r="357" spans="1:28" s="72" customFormat="1" x14ac:dyDescent="0.2">
      <c r="A357" s="103" t="s">
        <v>122</v>
      </c>
      <c r="B357" s="103" t="s">
        <v>123</v>
      </c>
      <c r="C357" s="35">
        <v>45948</v>
      </c>
      <c r="D357" s="36">
        <v>234</v>
      </c>
      <c r="E357" s="105" t="s">
        <v>388</v>
      </c>
      <c r="F357" s="32">
        <v>0</v>
      </c>
      <c r="G357" s="32">
        <v>290</v>
      </c>
      <c r="H357" s="33">
        <f t="shared" si="5"/>
        <v>781750.80000000156</v>
      </c>
      <c r="I357" s="32" t="s">
        <v>387</v>
      </c>
      <c r="J357" s="15"/>
      <c r="K357" s="15"/>
      <c r="L357" s="175" t="s">
        <v>3</v>
      </c>
      <c r="M357" s="175" t="s">
        <v>39</v>
      </c>
      <c r="N357" s="16"/>
      <c r="O357" s="71"/>
      <c r="P357" s="71"/>
      <c r="Q357" s="71"/>
      <c r="R357" s="71"/>
      <c r="S357" s="71"/>
      <c r="T357" s="71"/>
      <c r="U357" s="71"/>
      <c r="V357" s="71"/>
      <c r="W357" s="71"/>
      <c r="X357" s="71"/>
      <c r="Y357" s="71"/>
      <c r="Z357" s="71"/>
      <c r="AA357" s="71"/>
      <c r="AB357" s="71"/>
    </row>
    <row r="358" spans="1:28" s="72" customFormat="1" x14ac:dyDescent="0.2">
      <c r="A358" s="103" t="s">
        <v>122</v>
      </c>
      <c r="B358" s="103" t="s">
        <v>123</v>
      </c>
      <c r="C358" s="35">
        <v>45948</v>
      </c>
      <c r="D358" s="36">
        <v>235</v>
      </c>
      <c r="E358" s="105" t="s">
        <v>389</v>
      </c>
      <c r="F358" s="32">
        <v>0</v>
      </c>
      <c r="G358" s="32">
        <v>200</v>
      </c>
      <c r="H358" s="33">
        <f t="shared" si="5"/>
        <v>781550.80000000156</v>
      </c>
      <c r="I358" s="16" t="s">
        <v>85</v>
      </c>
      <c r="J358" s="15"/>
      <c r="K358" s="15"/>
      <c r="L358" s="175" t="s">
        <v>7</v>
      </c>
      <c r="M358" s="175" t="s">
        <v>64</v>
      </c>
      <c r="N358" s="16"/>
      <c r="O358" s="71"/>
      <c r="P358" s="71"/>
      <c r="Q358" s="71"/>
      <c r="R358" s="71"/>
      <c r="S358" s="71"/>
      <c r="T358" s="71"/>
      <c r="U358" s="71"/>
      <c r="V358" s="71"/>
      <c r="W358" s="71"/>
      <c r="X358" s="71"/>
      <c r="Y358" s="71"/>
      <c r="Z358" s="71"/>
      <c r="AA358" s="71"/>
      <c r="AB358" s="71"/>
    </row>
    <row r="359" spans="1:28" s="72" customFormat="1" x14ac:dyDescent="0.2">
      <c r="A359" s="103" t="s">
        <v>122</v>
      </c>
      <c r="B359" s="103" t="s">
        <v>123</v>
      </c>
      <c r="C359" s="35">
        <v>45948</v>
      </c>
      <c r="D359" s="36">
        <v>236</v>
      </c>
      <c r="E359" s="105" t="s">
        <v>345</v>
      </c>
      <c r="F359" s="32">
        <v>0</v>
      </c>
      <c r="G359" s="32">
        <v>307</v>
      </c>
      <c r="H359" s="33">
        <f t="shared" si="5"/>
        <v>781243.80000000156</v>
      </c>
      <c r="I359" s="32" t="s">
        <v>390</v>
      </c>
      <c r="J359" s="15"/>
      <c r="K359" s="15"/>
      <c r="L359" s="175" t="s">
        <v>3</v>
      </c>
      <c r="M359" s="175" t="s">
        <v>15</v>
      </c>
      <c r="N359" s="16"/>
      <c r="O359" s="71"/>
      <c r="P359" s="71"/>
      <c r="Q359" s="71"/>
      <c r="R359" s="71"/>
      <c r="S359" s="71"/>
      <c r="T359" s="71"/>
      <c r="U359" s="71"/>
      <c r="V359" s="71"/>
      <c r="W359" s="71"/>
      <c r="X359" s="71"/>
      <c r="Y359" s="71"/>
      <c r="Z359" s="71"/>
      <c r="AA359" s="71"/>
      <c r="AB359" s="71"/>
    </row>
    <row r="360" spans="1:28" s="72" customFormat="1" x14ac:dyDescent="0.2">
      <c r="A360" s="103" t="s">
        <v>122</v>
      </c>
      <c r="B360" s="103" t="s">
        <v>123</v>
      </c>
      <c r="C360" s="35">
        <v>45948</v>
      </c>
      <c r="D360" s="36">
        <v>237</v>
      </c>
      <c r="E360" s="105" t="s">
        <v>391</v>
      </c>
      <c r="F360" s="32">
        <v>0</v>
      </c>
      <c r="G360" s="32">
        <v>129</v>
      </c>
      <c r="H360" s="33">
        <f t="shared" si="5"/>
        <v>781114.80000000156</v>
      </c>
      <c r="I360" s="32" t="s">
        <v>392</v>
      </c>
      <c r="J360" s="15"/>
      <c r="K360" s="15"/>
      <c r="L360" s="175" t="s">
        <v>12</v>
      </c>
      <c r="M360" s="175" t="s">
        <v>24</v>
      </c>
      <c r="N360" s="16"/>
      <c r="O360" s="71"/>
      <c r="P360" s="71"/>
      <c r="Q360" s="71"/>
      <c r="R360" s="71"/>
      <c r="S360" s="71"/>
      <c r="T360" s="71"/>
      <c r="U360" s="71"/>
      <c r="V360" s="71"/>
      <c r="W360" s="71"/>
      <c r="X360" s="71"/>
      <c r="Y360" s="71"/>
      <c r="Z360" s="71"/>
      <c r="AA360" s="71"/>
      <c r="AB360" s="71"/>
    </row>
    <row r="361" spans="1:28" s="72" customFormat="1" x14ac:dyDescent="0.2">
      <c r="A361" s="198" t="s">
        <v>125</v>
      </c>
      <c r="B361" s="198" t="s">
        <v>126</v>
      </c>
      <c r="C361" s="201">
        <v>45950</v>
      </c>
      <c r="D361" s="206">
        <v>30</v>
      </c>
      <c r="E361" s="209" t="s">
        <v>251</v>
      </c>
      <c r="F361" s="212">
        <v>20000</v>
      </c>
      <c r="G361" s="212">
        <v>0</v>
      </c>
      <c r="H361" s="33">
        <f t="shared" si="5"/>
        <v>801114.80000000156</v>
      </c>
      <c r="I361" s="212" t="s">
        <v>236</v>
      </c>
      <c r="J361" s="217"/>
      <c r="K361" s="217"/>
      <c r="L361" s="219"/>
      <c r="M361" s="219"/>
      <c r="N361" s="217"/>
      <c r="O361" s="71"/>
      <c r="P361" s="71"/>
      <c r="Q361" s="71"/>
      <c r="R361" s="71"/>
      <c r="S361" s="71"/>
      <c r="T361" s="71"/>
      <c r="U361" s="71"/>
      <c r="V361" s="71"/>
      <c r="W361" s="71"/>
      <c r="X361" s="71"/>
      <c r="Y361" s="71"/>
      <c r="Z361" s="71"/>
      <c r="AA361" s="71"/>
      <c r="AB361" s="71"/>
    </row>
    <row r="362" spans="1:28" s="11" customFormat="1" ht="13.5" customHeight="1" x14ac:dyDescent="0.2">
      <c r="A362" s="103" t="s">
        <v>122</v>
      </c>
      <c r="B362" s="103" t="s">
        <v>123</v>
      </c>
      <c r="C362" s="35">
        <v>45950</v>
      </c>
      <c r="D362" s="36">
        <v>238</v>
      </c>
      <c r="E362" s="105" t="s">
        <v>345</v>
      </c>
      <c r="F362" s="32">
        <v>0</v>
      </c>
      <c r="G362" s="32">
        <v>307</v>
      </c>
      <c r="H362" s="33">
        <f t="shared" si="5"/>
        <v>800807.80000000156</v>
      </c>
      <c r="I362" s="32" t="s">
        <v>390</v>
      </c>
      <c r="J362" s="15"/>
      <c r="K362" s="15"/>
      <c r="L362" s="175" t="s">
        <v>3</v>
      </c>
      <c r="M362" s="175" t="s">
        <v>15</v>
      </c>
      <c r="N362" s="16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  <c r="AA362" s="10"/>
      <c r="AB362" s="10"/>
    </row>
    <row r="363" spans="1:28" s="72" customFormat="1" x14ac:dyDescent="0.2">
      <c r="A363" s="103" t="s">
        <v>122</v>
      </c>
      <c r="B363" s="103" t="s">
        <v>123</v>
      </c>
      <c r="C363" s="35">
        <v>45950</v>
      </c>
      <c r="D363" s="36">
        <v>239</v>
      </c>
      <c r="E363" s="105" t="s">
        <v>391</v>
      </c>
      <c r="F363" s="32">
        <v>0</v>
      </c>
      <c r="G363" s="32">
        <v>140</v>
      </c>
      <c r="H363" s="33">
        <f t="shared" si="5"/>
        <v>800667.80000000156</v>
      </c>
      <c r="I363" s="32" t="s">
        <v>392</v>
      </c>
      <c r="J363" s="15"/>
      <c r="K363" s="15"/>
      <c r="L363" s="175" t="s">
        <v>12</v>
      </c>
      <c r="M363" s="175" t="s">
        <v>24</v>
      </c>
      <c r="N363" s="16"/>
      <c r="O363" s="71"/>
      <c r="P363" s="71"/>
      <c r="Q363" s="71"/>
      <c r="R363" s="71"/>
      <c r="S363" s="71"/>
      <c r="T363" s="71"/>
      <c r="U363" s="71"/>
      <c r="V363" s="71"/>
      <c r="W363" s="71"/>
      <c r="X363" s="71"/>
      <c r="Y363" s="71"/>
      <c r="Z363" s="71"/>
      <c r="AA363" s="71"/>
      <c r="AB363" s="71"/>
    </row>
    <row r="364" spans="1:28" s="72" customFormat="1" x14ac:dyDescent="0.2">
      <c r="A364" s="103" t="s">
        <v>122</v>
      </c>
      <c r="B364" s="103" t="s">
        <v>123</v>
      </c>
      <c r="C364" s="35">
        <v>45952</v>
      </c>
      <c r="D364" s="36">
        <v>240</v>
      </c>
      <c r="E364" s="105" t="s">
        <v>391</v>
      </c>
      <c r="F364" s="32">
        <v>0</v>
      </c>
      <c r="G364" s="32">
        <v>128</v>
      </c>
      <c r="H364" s="33">
        <f t="shared" si="5"/>
        <v>800539.80000000156</v>
      </c>
      <c r="I364" s="32" t="s">
        <v>392</v>
      </c>
      <c r="J364" s="15"/>
      <c r="K364" s="15"/>
      <c r="L364" s="175" t="s">
        <v>12</v>
      </c>
      <c r="M364" s="175" t="s">
        <v>24</v>
      </c>
      <c r="N364" s="16"/>
      <c r="O364" s="71"/>
      <c r="P364" s="71"/>
      <c r="Q364" s="71"/>
      <c r="R364" s="71"/>
      <c r="S364" s="71"/>
      <c r="T364" s="71"/>
      <c r="U364" s="71"/>
      <c r="V364" s="71"/>
      <c r="W364" s="71"/>
      <c r="X364" s="71"/>
      <c r="Y364" s="71"/>
      <c r="Z364" s="71"/>
      <c r="AA364" s="71"/>
      <c r="AB364" s="71"/>
    </row>
    <row r="365" spans="1:28" s="73" customFormat="1" x14ac:dyDescent="0.2">
      <c r="A365" s="103" t="s">
        <v>122</v>
      </c>
      <c r="B365" s="103" t="s">
        <v>123</v>
      </c>
      <c r="C365" s="35">
        <v>45953</v>
      </c>
      <c r="D365" s="36">
        <v>241</v>
      </c>
      <c r="E365" s="105" t="s">
        <v>373</v>
      </c>
      <c r="F365" s="32">
        <v>0</v>
      </c>
      <c r="G365" s="32">
        <v>3000</v>
      </c>
      <c r="H365" s="33">
        <f t="shared" si="5"/>
        <v>797539.80000000156</v>
      </c>
      <c r="I365" s="32" t="s">
        <v>374</v>
      </c>
      <c r="J365" s="32"/>
      <c r="K365" s="32"/>
      <c r="L365" s="179" t="s">
        <v>3</v>
      </c>
      <c r="M365" s="179" t="s">
        <v>39</v>
      </c>
      <c r="N365" s="32"/>
    </row>
    <row r="366" spans="1:28" s="72" customFormat="1" x14ac:dyDescent="0.2">
      <c r="A366" s="103" t="s">
        <v>122</v>
      </c>
      <c r="B366" s="103" t="s">
        <v>123</v>
      </c>
      <c r="C366" s="35">
        <v>45953</v>
      </c>
      <c r="D366" s="36">
        <v>242</v>
      </c>
      <c r="E366" s="105" t="s">
        <v>395</v>
      </c>
      <c r="F366" s="32">
        <v>0</v>
      </c>
      <c r="G366" s="32">
        <v>37</v>
      </c>
      <c r="H366" s="33">
        <f t="shared" si="5"/>
        <v>797502.80000000156</v>
      </c>
      <c r="I366" s="32" t="s">
        <v>394</v>
      </c>
      <c r="J366" s="15"/>
      <c r="K366" s="15"/>
      <c r="L366" s="175" t="s">
        <v>3</v>
      </c>
      <c r="M366" s="175" t="s">
        <v>39</v>
      </c>
      <c r="N366" s="16"/>
      <c r="O366" s="71"/>
      <c r="P366" s="71"/>
      <c r="Q366" s="71"/>
      <c r="R366" s="71"/>
      <c r="S366" s="71"/>
      <c r="T366" s="71"/>
      <c r="U366" s="71"/>
      <c r="V366" s="71"/>
      <c r="W366" s="71"/>
      <c r="X366" s="71"/>
      <c r="Y366" s="71"/>
      <c r="Z366" s="71"/>
      <c r="AA366" s="71"/>
      <c r="AB366" s="71"/>
    </row>
    <row r="367" spans="1:28" s="73" customFormat="1" x14ac:dyDescent="0.2">
      <c r="A367" s="74" t="s">
        <v>122</v>
      </c>
      <c r="B367" s="200" t="s">
        <v>123</v>
      </c>
      <c r="C367" s="234">
        <v>45953</v>
      </c>
      <c r="D367" s="235">
        <v>111</v>
      </c>
      <c r="E367" s="211" t="s">
        <v>447</v>
      </c>
      <c r="F367" s="77">
        <v>0</v>
      </c>
      <c r="G367" s="77">
        <v>590.30999999999995</v>
      </c>
      <c r="H367" s="225">
        <f t="shared" si="5"/>
        <v>796912.4900000015</v>
      </c>
      <c r="I367" s="77" t="s">
        <v>134</v>
      </c>
      <c r="J367" s="236"/>
      <c r="K367" s="236"/>
      <c r="L367" s="226" t="s">
        <v>3</v>
      </c>
      <c r="M367" s="226" t="s">
        <v>15</v>
      </c>
      <c r="N367" s="79"/>
    </row>
    <row r="368" spans="1:28" s="73" customFormat="1" x14ac:dyDescent="0.2">
      <c r="A368" s="103" t="s">
        <v>122</v>
      </c>
      <c r="B368" s="103" t="s">
        <v>123</v>
      </c>
      <c r="C368" s="35">
        <v>45957</v>
      </c>
      <c r="D368" s="36">
        <v>243</v>
      </c>
      <c r="E368" s="105" t="s">
        <v>396</v>
      </c>
      <c r="F368" s="32">
        <v>0</v>
      </c>
      <c r="G368" s="32">
        <v>360</v>
      </c>
      <c r="H368" s="33">
        <f t="shared" si="5"/>
        <v>796552.4900000015</v>
      </c>
      <c r="I368" s="16" t="s">
        <v>85</v>
      </c>
      <c r="J368" s="15"/>
      <c r="K368" s="15"/>
      <c r="L368" s="175" t="s">
        <v>3</v>
      </c>
      <c r="M368" s="175" t="s">
        <v>39</v>
      </c>
      <c r="N368" s="16"/>
    </row>
    <row r="369" spans="1:28" s="11" customFormat="1" ht="13.5" customHeight="1" x14ac:dyDescent="0.2">
      <c r="A369" s="103" t="s">
        <v>122</v>
      </c>
      <c r="B369" s="103" t="s">
        <v>123</v>
      </c>
      <c r="C369" s="35">
        <v>45957</v>
      </c>
      <c r="D369" s="36">
        <v>244</v>
      </c>
      <c r="E369" s="105" t="s">
        <v>398</v>
      </c>
      <c r="F369" s="32">
        <v>0</v>
      </c>
      <c r="G369" s="32">
        <v>530</v>
      </c>
      <c r="H369" s="33">
        <f t="shared" si="5"/>
        <v>796022.4900000015</v>
      </c>
      <c r="I369" s="32" t="s">
        <v>397</v>
      </c>
      <c r="J369" s="15"/>
      <c r="K369" s="15"/>
      <c r="L369" s="175" t="s">
        <v>3</v>
      </c>
      <c r="M369" s="175" t="s">
        <v>63</v>
      </c>
      <c r="N369" s="16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  <c r="AA369" s="10"/>
      <c r="AB369" s="10"/>
    </row>
    <row r="370" spans="1:28" s="72" customFormat="1" x14ac:dyDescent="0.2">
      <c r="A370" s="103" t="s">
        <v>122</v>
      </c>
      <c r="B370" s="103" t="s">
        <v>123</v>
      </c>
      <c r="C370" s="35">
        <v>45957</v>
      </c>
      <c r="D370" s="36">
        <v>245</v>
      </c>
      <c r="E370" s="105" t="s">
        <v>399</v>
      </c>
      <c r="F370" s="32">
        <v>0</v>
      </c>
      <c r="G370" s="32">
        <v>420</v>
      </c>
      <c r="H370" s="33">
        <f t="shared" si="5"/>
        <v>795602.4900000015</v>
      </c>
      <c r="I370" s="16" t="s">
        <v>85</v>
      </c>
      <c r="J370" s="15"/>
      <c r="K370" s="15"/>
      <c r="L370" s="175" t="s">
        <v>3</v>
      </c>
      <c r="M370" s="175" t="s">
        <v>39</v>
      </c>
      <c r="N370" s="16"/>
      <c r="O370" s="71"/>
      <c r="P370" s="71"/>
      <c r="Q370" s="71"/>
      <c r="R370" s="71"/>
      <c r="S370" s="71"/>
      <c r="T370" s="71"/>
      <c r="U370" s="71"/>
      <c r="V370" s="71"/>
      <c r="W370" s="71"/>
      <c r="X370" s="71"/>
      <c r="Y370" s="71"/>
      <c r="Z370" s="71"/>
      <c r="AA370" s="71"/>
      <c r="AB370" s="71"/>
    </row>
    <row r="371" spans="1:28" s="11" customFormat="1" ht="13.5" customHeight="1" x14ac:dyDescent="0.2">
      <c r="A371" s="103" t="s">
        <v>122</v>
      </c>
      <c r="B371" s="103" t="s">
        <v>123</v>
      </c>
      <c r="C371" s="35">
        <v>45957</v>
      </c>
      <c r="D371" s="36">
        <v>246</v>
      </c>
      <c r="E371" s="105" t="s">
        <v>297</v>
      </c>
      <c r="F371" s="32">
        <v>0</v>
      </c>
      <c r="G371" s="32">
        <v>470</v>
      </c>
      <c r="H371" s="33">
        <f t="shared" si="5"/>
        <v>795132.4900000015</v>
      </c>
      <c r="I371" s="32" t="s">
        <v>288</v>
      </c>
      <c r="J371" s="15"/>
      <c r="K371" s="15"/>
      <c r="L371" s="175" t="s">
        <v>3</v>
      </c>
      <c r="M371" s="175" t="s">
        <v>15</v>
      </c>
      <c r="N371" s="16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  <c r="AA371" s="10"/>
      <c r="AB371" s="10"/>
    </row>
    <row r="372" spans="1:28" s="72" customFormat="1" x14ac:dyDescent="0.2">
      <c r="A372" s="198" t="s">
        <v>125</v>
      </c>
      <c r="B372" s="198" t="s">
        <v>126</v>
      </c>
      <c r="C372" s="201">
        <v>45958</v>
      </c>
      <c r="D372" s="206">
        <v>31</v>
      </c>
      <c r="E372" s="209" t="s">
        <v>427</v>
      </c>
      <c r="F372" s="212">
        <v>40000</v>
      </c>
      <c r="G372" s="212">
        <v>0</v>
      </c>
      <c r="H372" s="33">
        <f t="shared" si="5"/>
        <v>835132.4900000015</v>
      </c>
      <c r="I372" s="212" t="s">
        <v>383</v>
      </c>
      <c r="J372" s="217"/>
      <c r="K372" s="217"/>
      <c r="L372" s="219"/>
      <c r="M372" s="219"/>
      <c r="N372" s="217"/>
      <c r="O372" s="71"/>
      <c r="P372" s="71"/>
      <c r="Q372" s="71"/>
      <c r="R372" s="71"/>
      <c r="S372" s="71"/>
      <c r="T372" s="71"/>
      <c r="U372" s="71"/>
      <c r="V372" s="71"/>
      <c r="W372" s="71"/>
      <c r="X372" s="71"/>
      <c r="Y372" s="71"/>
      <c r="Z372" s="71"/>
      <c r="AA372" s="71"/>
      <c r="AB372" s="71"/>
    </row>
    <row r="373" spans="1:28" s="72" customFormat="1" x14ac:dyDescent="0.2">
      <c r="A373" s="103" t="s">
        <v>122</v>
      </c>
      <c r="B373" s="103" t="s">
        <v>123</v>
      </c>
      <c r="C373" s="35">
        <v>45958</v>
      </c>
      <c r="D373" s="36">
        <v>247</v>
      </c>
      <c r="E373" s="105" t="s">
        <v>400</v>
      </c>
      <c r="F373" s="32">
        <v>0</v>
      </c>
      <c r="G373" s="32">
        <v>40</v>
      </c>
      <c r="H373" s="33">
        <f>H371+F373-G373</f>
        <v>795092.4900000015</v>
      </c>
      <c r="I373" s="32" t="s">
        <v>361</v>
      </c>
      <c r="J373" s="15"/>
      <c r="K373" s="15"/>
      <c r="L373" s="175" t="s">
        <v>12</v>
      </c>
      <c r="M373" s="175" t="s">
        <v>36</v>
      </c>
      <c r="N373" s="16"/>
      <c r="O373" s="71"/>
      <c r="P373" s="71"/>
      <c r="Q373" s="71"/>
      <c r="R373" s="71"/>
      <c r="S373" s="71"/>
      <c r="T373" s="71"/>
      <c r="U373" s="71"/>
      <c r="V373" s="71"/>
      <c r="W373" s="71"/>
      <c r="X373" s="71"/>
      <c r="Y373" s="71"/>
      <c r="Z373" s="71"/>
      <c r="AA373" s="71"/>
      <c r="AB373" s="71"/>
    </row>
    <row r="374" spans="1:28" s="72" customFormat="1" ht="28.5" x14ac:dyDescent="0.2">
      <c r="A374" s="103" t="s">
        <v>122</v>
      </c>
      <c r="B374" s="103" t="s">
        <v>123</v>
      </c>
      <c r="C374" s="35">
        <v>45958</v>
      </c>
      <c r="D374" s="36">
        <v>248</v>
      </c>
      <c r="E374" s="108" t="s">
        <v>401</v>
      </c>
      <c r="F374" s="32">
        <v>0</v>
      </c>
      <c r="G374" s="32">
        <v>44485.13</v>
      </c>
      <c r="H374" s="33">
        <f t="shared" ref="H374:H379" si="6">H373+F374-G374</f>
        <v>750607.3600000015</v>
      </c>
      <c r="I374" s="32" t="s">
        <v>237</v>
      </c>
      <c r="J374" s="15"/>
      <c r="K374" s="15"/>
      <c r="L374" s="179" t="s">
        <v>3</v>
      </c>
      <c r="M374" s="179" t="s">
        <v>27</v>
      </c>
      <c r="N374" s="16"/>
      <c r="O374" s="71"/>
      <c r="P374" s="71"/>
      <c r="Q374" s="71"/>
      <c r="R374" s="71"/>
      <c r="S374" s="71"/>
      <c r="T374" s="71"/>
      <c r="U374" s="71"/>
      <c r="V374" s="71"/>
      <c r="W374" s="71"/>
      <c r="X374" s="71"/>
      <c r="Y374" s="71"/>
      <c r="Z374" s="71"/>
      <c r="AA374" s="71"/>
      <c r="AB374" s="71"/>
    </row>
    <row r="375" spans="1:28" s="72" customFormat="1" x14ac:dyDescent="0.2">
      <c r="A375" s="38" t="s">
        <v>122</v>
      </c>
      <c r="B375" s="38" t="s">
        <v>123</v>
      </c>
      <c r="C375" s="39">
        <v>45958</v>
      </c>
      <c r="D375" s="40">
        <v>249</v>
      </c>
      <c r="E375" s="69" t="s">
        <v>141</v>
      </c>
      <c r="F375" s="15">
        <v>0</v>
      </c>
      <c r="G375" s="15">
        <v>500</v>
      </c>
      <c r="H375" s="33">
        <f t="shared" si="6"/>
        <v>750107.3600000015</v>
      </c>
      <c r="I375" s="15" t="s">
        <v>239</v>
      </c>
      <c r="J375" s="15"/>
      <c r="K375" s="15"/>
      <c r="L375" s="176" t="s">
        <v>3</v>
      </c>
      <c r="M375" s="176" t="s">
        <v>39</v>
      </c>
      <c r="N375" s="15"/>
      <c r="O375" s="71"/>
      <c r="P375" s="71"/>
      <c r="Q375" s="71"/>
      <c r="R375" s="71"/>
      <c r="S375" s="71"/>
      <c r="T375" s="71"/>
      <c r="U375" s="71"/>
      <c r="V375" s="71"/>
      <c r="W375" s="71"/>
      <c r="X375" s="71"/>
      <c r="Y375" s="71"/>
      <c r="Z375" s="71"/>
      <c r="AA375" s="71"/>
      <c r="AB375" s="71"/>
    </row>
    <row r="376" spans="1:28" s="11" customFormat="1" ht="13.5" customHeight="1" x14ac:dyDescent="0.2">
      <c r="A376" s="103" t="s">
        <v>122</v>
      </c>
      <c r="B376" s="103" t="s">
        <v>123</v>
      </c>
      <c r="C376" s="35">
        <v>45958</v>
      </c>
      <c r="D376" s="36">
        <v>250</v>
      </c>
      <c r="E376" s="105" t="s">
        <v>404</v>
      </c>
      <c r="F376" s="32">
        <v>0</v>
      </c>
      <c r="G376" s="32">
        <v>80</v>
      </c>
      <c r="H376" s="33">
        <f t="shared" si="6"/>
        <v>750027.3600000015</v>
      </c>
      <c r="I376" s="32" t="s">
        <v>103</v>
      </c>
      <c r="J376" s="15"/>
      <c r="K376" s="15"/>
      <c r="L376" s="175" t="s">
        <v>3</v>
      </c>
      <c r="M376" s="175" t="s">
        <v>39</v>
      </c>
      <c r="N376" s="16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  <c r="AA376" s="10"/>
      <c r="AB376" s="10"/>
    </row>
    <row r="377" spans="1:28" s="72" customFormat="1" x14ac:dyDescent="0.2">
      <c r="A377" s="38" t="s">
        <v>122</v>
      </c>
      <c r="B377" s="38" t="s">
        <v>123</v>
      </c>
      <c r="C377" s="39">
        <v>45959</v>
      </c>
      <c r="D377" s="40">
        <v>251</v>
      </c>
      <c r="E377" s="69" t="s">
        <v>141</v>
      </c>
      <c r="F377" s="15">
        <v>0</v>
      </c>
      <c r="G377" s="15">
        <v>500</v>
      </c>
      <c r="H377" s="33">
        <f t="shared" si="6"/>
        <v>749527.3600000015</v>
      </c>
      <c r="I377" s="15" t="s">
        <v>239</v>
      </c>
      <c r="J377" s="15"/>
      <c r="K377" s="15"/>
      <c r="L377" s="176" t="s">
        <v>3</v>
      </c>
      <c r="M377" s="176" t="s">
        <v>39</v>
      </c>
      <c r="N377" s="15"/>
      <c r="O377" s="71"/>
      <c r="P377" s="71"/>
      <c r="Q377" s="71"/>
      <c r="R377" s="71"/>
      <c r="S377" s="71"/>
      <c r="T377" s="71"/>
      <c r="U377" s="71"/>
      <c r="V377" s="71"/>
      <c r="W377" s="71"/>
      <c r="X377" s="71"/>
      <c r="Y377" s="71"/>
      <c r="Z377" s="71"/>
      <c r="AA377" s="71"/>
      <c r="AB377" s="71"/>
    </row>
    <row r="378" spans="1:28" s="72" customFormat="1" ht="15.75" x14ac:dyDescent="0.25">
      <c r="A378" s="38" t="s">
        <v>122</v>
      </c>
      <c r="B378" s="38" t="s">
        <v>123</v>
      </c>
      <c r="C378" s="39">
        <v>45960</v>
      </c>
      <c r="D378" s="40">
        <v>252</v>
      </c>
      <c r="E378" s="69" t="s">
        <v>402</v>
      </c>
      <c r="F378" s="15">
        <v>0</v>
      </c>
      <c r="G378" s="15">
        <v>20000</v>
      </c>
      <c r="H378" s="33">
        <f t="shared" si="6"/>
        <v>729527.3600000015</v>
      </c>
      <c r="I378" s="15" t="s">
        <v>335</v>
      </c>
      <c r="J378" s="15"/>
      <c r="K378" s="15"/>
      <c r="L378" s="176" t="s">
        <v>12</v>
      </c>
      <c r="M378" s="176" t="s">
        <v>48</v>
      </c>
      <c r="N378" s="15"/>
      <c r="O378" s="188" t="s">
        <v>424</v>
      </c>
      <c r="P378" s="71"/>
      <c r="Q378" s="71"/>
      <c r="R378" s="71"/>
      <c r="S378" s="71"/>
      <c r="T378" s="71"/>
      <c r="U378" s="71"/>
      <c r="V378" s="71"/>
      <c r="W378" s="71"/>
      <c r="X378" s="71"/>
      <c r="Y378" s="71"/>
      <c r="Z378" s="71"/>
      <c r="AA378" s="71"/>
      <c r="AB378" s="71"/>
    </row>
    <row r="379" spans="1:28" s="72" customFormat="1" ht="15.75" x14ac:dyDescent="0.25">
      <c r="A379" s="198" t="s">
        <v>125</v>
      </c>
      <c r="B379" s="198" t="s">
        <v>126</v>
      </c>
      <c r="C379" s="201">
        <v>45960</v>
      </c>
      <c r="D379" s="206">
        <v>32</v>
      </c>
      <c r="E379" s="209" t="s">
        <v>251</v>
      </c>
      <c r="F379" s="212">
        <v>10000</v>
      </c>
      <c r="G379" s="212">
        <v>0</v>
      </c>
      <c r="H379" s="33">
        <f t="shared" si="6"/>
        <v>739527.3600000015</v>
      </c>
      <c r="I379" s="212" t="s">
        <v>236</v>
      </c>
      <c r="J379" s="217"/>
      <c r="K379" s="217"/>
      <c r="L379" s="219"/>
      <c r="M379" s="219"/>
      <c r="N379" s="217"/>
      <c r="O379" s="188" t="s">
        <v>424</v>
      </c>
      <c r="P379" s="71"/>
      <c r="Q379" s="71"/>
      <c r="R379" s="71"/>
      <c r="S379" s="71"/>
      <c r="T379" s="71"/>
      <c r="U379" s="71"/>
      <c r="V379" s="71"/>
      <c r="W379" s="71"/>
      <c r="X379" s="71"/>
      <c r="Y379" s="71"/>
      <c r="Z379" s="71"/>
      <c r="AA379" s="71"/>
      <c r="AB379" s="71"/>
    </row>
    <row r="380" spans="1:28" s="72" customFormat="1" x14ac:dyDescent="0.2">
      <c r="A380" s="103" t="s">
        <v>122</v>
      </c>
      <c r="B380" s="103" t="s">
        <v>123</v>
      </c>
      <c r="C380" s="35">
        <v>45961</v>
      </c>
      <c r="D380" s="36">
        <v>253</v>
      </c>
      <c r="E380" s="105" t="s">
        <v>403</v>
      </c>
      <c r="F380" s="32">
        <v>0</v>
      </c>
      <c r="G380" s="32">
        <v>5000</v>
      </c>
      <c r="H380" s="33">
        <f>H378+F380-G380</f>
        <v>724527.3600000015</v>
      </c>
      <c r="I380" s="32" t="s">
        <v>217</v>
      </c>
      <c r="J380" s="15"/>
      <c r="K380" s="15"/>
      <c r="L380" s="175" t="s">
        <v>3</v>
      </c>
      <c r="M380" s="175" t="s">
        <v>39</v>
      </c>
      <c r="N380" s="16"/>
      <c r="O380" s="71"/>
      <c r="P380" s="71"/>
      <c r="Q380" s="71"/>
      <c r="R380" s="71"/>
      <c r="S380" s="71"/>
      <c r="T380" s="71"/>
      <c r="U380" s="71"/>
      <c r="V380" s="71"/>
      <c r="W380" s="71"/>
      <c r="X380" s="71"/>
      <c r="Y380" s="71"/>
      <c r="Z380" s="71"/>
      <c r="AA380" s="71"/>
      <c r="AB380" s="71"/>
    </row>
    <row r="381" spans="1:28" s="72" customFormat="1" x14ac:dyDescent="0.2">
      <c r="A381" s="198" t="s">
        <v>125</v>
      </c>
      <c r="B381" s="198" t="s">
        <v>126</v>
      </c>
      <c r="C381" s="201">
        <v>45961</v>
      </c>
      <c r="D381" s="206">
        <v>33</v>
      </c>
      <c r="E381" s="209" t="s">
        <v>251</v>
      </c>
      <c r="F381" s="212">
        <v>20000</v>
      </c>
      <c r="G381" s="212">
        <v>0</v>
      </c>
      <c r="H381" s="33">
        <f>H380+F381-G381</f>
        <v>744527.3600000015</v>
      </c>
      <c r="I381" s="212" t="s">
        <v>236</v>
      </c>
      <c r="J381" s="217"/>
      <c r="K381" s="217"/>
      <c r="L381" s="219"/>
      <c r="M381" s="219"/>
      <c r="N381" s="217"/>
      <c r="O381" s="71"/>
      <c r="P381" s="71"/>
      <c r="Q381" s="71"/>
      <c r="R381" s="71"/>
      <c r="S381" s="71"/>
      <c r="T381" s="71"/>
      <c r="U381" s="71"/>
      <c r="V381" s="71"/>
      <c r="W381" s="71"/>
      <c r="X381" s="71"/>
      <c r="Y381" s="71"/>
      <c r="Z381" s="71"/>
      <c r="AA381" s="71"/>
      <c r="AB381" s="71"/>
    </row>
    <row r="382" spans="1:28" s="72" customFormat="1" x14ac:dyDescent="0.2">
      <c r="A382" s="103" t="s">
        <v>122</v>
      </c>
      <c r="B382" s="103" t="s">
        <v>123</v>
      </c>
      <c r="C382" s="35">
        <v>45964</v>
      </c>
      <c r="D382" s="36">
        <v>254</v>
      </c>
      <c r="E382" s="105" t="s">
        <v>405</v>
      </c>
      <c r="F382" s="32">
        <v>0</v>
      </c>
      <c r="G382" s="32">
        <v>49</v>
      </c>
      <c r="H382" s="33">
        <f>H380+F382-G382</f>
        <v>724478.3600000015</v>
      </c>
      <c r="I382" s="32" t="s">
        <v>361</v>
      </c>
      <c r="J382" s="15"/>
      <c r="K382" s="15"/>
      <c r="L382" s="175" t="s">
        <v>3</v>
      </c>
      <c r="M382" s="175" t="s">
        <v>15</v>
      </c>
      <c r="N382" s="16"/>
      <c r="O382" s="71"/>
      <c r="P382" s="71"/>
      <c r="Q382" s="71"/>
      <c r="R382" s="71"/>
      <c r="S382" s="71"/>
      <c r="T382" s="71"/>
      <c r="U382" s="71"/>
      <c r="V382" s="71"/>
      <c r="W382" s="71"/>
      <c r="X382" s="71"/>
      <c r="Y382" s="71"/>
      <c r="Z382" s="71"/>
      <c r="AA382" s="71"/>
      <c r="AB382" s="71"/>
    </row>
    <row r="383" spans="1:28" s="72" customFormat="1" x14ac:dyDescent="0.2">
      <c r="A383" s="51" t="s">
        <v>122</v>
      </c>
      <c r="B383" s="52" t="s">
        <v>123</v>
      </c>
      <c r="C383" s="204">
        <v>45964</v>
      </c>
      <c r="D383" s="237">
        <v>111</v>
      </c>
      <c r="E383" s="111" t="s">
        <v>448</v>
      </c>
      <c r="F383" s="55">
        <v>0</v>
      </c>
      <c r="G383" s="55">
        <v>550</v>
      </c>
      <c r="H383" s="224">
        <f t="shared" ref="H383:H390" si="7">H382+F383-G383</f>
        <v>723928.3600000015</v>
      </c>
      <c r="I383" s="55" t="s">
        <v>134</v>
      </c>
      <c r="J383" s="238"/>
      <c r="K383" s="238"/>
      <c r="L383" s="226" t="s">
        <v>3</v>
      </c>
      <c r="M383" s="226" t="s">
        <v>15</v>
      </c>
      <c r="N383" s="57"/>
      <c r="O383" s="71"/>
      <c r="P383" s="71"/>
      <c r="Q383" s="71"/>
      <c r="R383" s="71"/>
      <c r="S383" s="71"/>
      <c r="T383" s="71"/>
      <c r="U383" s="71"/>
      <c r="V383" s="71"/>
      <c r="W383" s="71"/>
      <c r="X383" s="71"/>
      <c r="Y383" s="71"/>
      <c r="Z383" s="71"/>
      <c r="AA383" s="71"/>
      <c r="AB383" s="71"/>
    </row>
    <row r="384" spans="1:28" s="72" customFormat="1" x14ac:dyDescent="0.2">
      <c r="A384" s="12" t="s">
        <v>122</v>
      </c>
      <c r="B384" s="13" t="s">
        <v>123</v>
      </c>
      <c r="C384" s="35">
        <v>45968</v>
      </c>
      <c r="D384" s="36">
        <v>111</v>
      </c>
      <c r="E384" s="108" t="s">
        <v>445</v>
      </c>
      <c r="F384" s="32">
        <v>0</v>
      </c>
      <c r="G384" s="32">
        <v>431.2</v>
      </c>
      <c r="H384" s="33">
        <f t="shared" si="7"/>
        <v>723497.16000000155</v>
      </c>
      <c r="I384" s="32" t="s">
        <v>134</v>
      </c>
      <c r="J384" s="15"/>
      <c r="K384" s="15"/>
      <c r="L384" s="177" t="s">
        <v>3</v>
      </c>
      <c r="M384" s="177" t="s">
        <v>15</v>
      </c>
      <c r="N384" s="17"/>
      <c r="O384" s="71"/>
      <c r="P384" s="71"/>
      <c r="Q384" s="71"/>
      <c r="R384" s="71"/>
      <c r="S384" s="71"/>
      <c r="T384" s="71"/>
      <c r="U384" s="71"/>
      <c r="V384" s="71"/>
      <c r="W384" s="71"/>
      <c r="X384" s="71"/>
      <c r="Y384" s="71"/>
      <c r="Z384" s="71"/>
      <c r="AA384" s="71"/>
      <c r="AB384" s="71"/>
    </row>
    <row r="385" spans="1:28" s="72" customFormat="1" x14ac:dyDescent="0.2">
      <c r="A385" s="42" t="s">
        <v>122</v>
      </c>
      <c r="B385" s="43" t="s">
        <v>123</v>
      </c>
      <c r="C385" s="203">
        <v>45968</v>
      </c>
      <c r="D385" s="222">
        <v>111</v>
      </c>
      <c r="E385" s="110" t="s">
        <v>449</v>
      </c>
      <c r="F385" s="50">
        <v>0</v>
      </c>
      <c r="G385" s="50">
        <v>585</v>
      </c>
      <c r="H385" s="223">
        <f t="shared" si="7"/>
        <v>722912.16000000155</v>
      </c>
      <c r="I385" s="50" t="s">
        <v>134</v>
      </c>
      <c r="J385" s="48"/>
      <c r="K385" s="48"/>
      <c r="L385" s="177" t="s">
        <v>3</v>
      </c>
      <c r="M385" s="177" t="s">
        <v>15</v>
      </c>
      <c r="N385" s="47"/>
      <c r="O385" s="71"/>
      <c r="P385" s="71"/>
      <c r="Q385" s="71"/>
      <c r="R385" s="71"/>
      <c r="S385" s="71"/>
      <c r="T385" s="71"/>
      <c r="U385" s="71"/>
      <c r="V385" s="71"/>
      <c r="W385" s="71"/>
      <c r="X385" s="71"/>
      <c r="Y385" s="71"/>
      <c r="Z385" s="71"/>
      <c r="AA385" s="71"/>
      <c r="AB385" s="71"/>
    </row>
    <row r="386" spans="1:28" s="72" customFormat="1" x14ac:dyDescent="0.2">
      <c r="A386" s="103" t="s">
        <v>122</v>
      </c>
      <c r="B386" s="103" t="s">
        <v>123</v>
      </c>
      <c r="C386" s="35">
        <v>45969</v>
      </c>
      <c r="D386" s="36">
        <v>255</v>
      </c>
      <c r="E386" s="105" t="s">
        <v>406</v>
      </c>
      <c r="F386" s="32">
        <v>0</v>
      </c>
      <c r="G386" s="32">
        <v>30</v>
      </c>
      <c r="H386" s="33">
        <f t="shared" si="7"/>
        <v>722882.16000000155</v>
      </c>
      <c r="I386" s="32" t="s">
        <v>407</v>
      </c>
      <c r="J386" s="15"/>
      <c r="K386" s="15"/>
      <c r="L386" s="175" t="s">
        <v>3</v>
      </c>
      <c r="M386" s="175" t="s">
        <v>39</v>
      </c>
      <c r="N386" s="16"/>
      <c r="O386" s="71"/>
      <c r="P386" s="71"/>
      <c r="Q386" s="71"/>
      <c r="R386" s="71"/>
      <c r="S386" s="71"/>
      <c r="T386" s="71"/>
      <c r="U386" s="71"/>
      <c r="V386" s="71"/>
      <c r="W386" s="71"/>
      <c r="X386" s="71"/>
      <c r="Y386" s="71"/>
      <c r="Z386" s="71"/>
      <c r="AA386" s="71"/>
      <c r="AB386" s="71"/>
    </row>
    <row r="387" spans="1:28" s="72" customFormat="1" x14ac:dyDescent="0.2">
      <c r="A387" s="103" t="s">
        <v>122</v>
      </c>
      <c r="B387" s="103" t="s">
        <v>123</v>
      </c>
      <c r="C387" s="35">
        <v>45972</v>
      </c>
      <c r="D387" s="36">
        <v>256</v>
      </c>
      <c r="E387" s="105" t="s">
        <v>336</v>
      </c>
      <c r="F387" s="32">
        <v>0</v>
      </c>
      <c r="G387" s="32">
        <v>50</v>
      </c>
      <c r="H387" s="33">
        <f t="shared" si="7"/>
        <v>722832.16000000155</v>
      </c>
      <c r="I387" s="32" t="s">
        <v>408</v>
      </c>
      <c r="J387" s="15"/>
      <c r="K387" s="15"/>
      <c r="L387" s="175" t="s">
        <v>7</v>
      </c>
      <c r="M387" s="175" t="s">
        <v>64</v>
      </c>
      <c r="N387" s="16"/>
      <c r="O387" s="71"/>
      <c r="P387" s="71"/>
      <c r="Q387" s="71"/>
      <c r="R387" s="71"/>
      <c r="S387" s="71"/>
      <c r="T387" s="71"/>
      <c r="U387" s="71"/>
      <c r="V387" s="71"/>
      <c r="W387" s="71"/>
      <c r="X387" s="71"/>
      <c r="Y387" s="71"/>
      <c r="Z387" s="71"/>
      <c r="AA387" s="71"/>
      <c r="AB387" s="71"/>
    </row>
    <row r="388" spans="1:28" s="72" customFormat="1" x14ac:dyDescent="0.2">
      <c r="A388" s="103" t="s">
        <v>122</v>
      </c>
      <c r="B388" s="103" t="s">
        <v>123</v>
      </c>
      <c r="C388" s="35">
        <v>45973</v>
      </c>
      <c r="D388" s="36">
        <v>257</v>
      </c>
      <c r="E388" s="105" t="s">
        <v>409</v>
      </c>
      <c r="F388" s="32">
        <v>0</v>
      </c>
      <c r="G388" s="32">
        <v>560</v>
      </c>
      <c r="H388" s="33">
        <f t="shared" si="7"/>
        <v>722272.16000000155</v>
      </c>
      <c r="I388" s="32" t="s">
        <v>410</v>
      </c>
      <c r="J388" s="15"/>
      <c r="K388" s="15"/>
      <c r="L388" s="175" t="s">
        <v>3</v>
      </c>
      <c r="M388" s="175" t="s">
        <v>63</v>
      </c>
      <c r="N388" s="16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</row>
    <row r="389" spans="1:28" s="72" customFormat="1" x14ac:dyDescent="0.2">
      <c r="A389" s="198" t="s">
        <v>125</v>
      </c>
      <c r="B389" s="198" t="s">
        <v>126</v>
      </c>
      <c r="C389" s="201">
        <v>45973</v>
      </c>
      <c r="D389" s="206">
        <v>34</v>
      </c>
      <c r="E389" s="209" t="s">
        <v>251</v>
      </c>
      <c r="F389" s="212">
        <v>27000</v>
      </c>
      <c r="G389" s="212">
        <v>0</v>
      </c>
      <c r="H389" s="33">
        <f t="shared" si="7"/>
        <v>749272.16000000155</v>
      </c>
      <c r="I389" s="212" t="s">
        <v>236</v>
      </c>
      <c r="J389" s="217"/>
      <c r="K389" s="217"/>
      <c r="L389" s="219"/>
      <c r="M389" s="219"/>
      <c r="N389" s="217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1"/>
    </row>
    <row r="390" spans="1:28" s="72" customFormat="1" x14ac:dyDescent="0.2">
      <c r="A390" s="74" t="s">
        <v>122</v>
      </c>
      <c r="B390" s="200" t="s">
        <v>123</v>
      </c>
      <c r="C390" s="234">
        <v>45973</v>
      </c>
      <c r="D390" s="235">
        <v>111</v>
      </c>
      <c r="E390" s="211" t="s">
        <v>450</v>
      </c>
      <c r="F390" s="77">
        <v>0</v>
      </c>
      <c r="G390" s="77">
        <v>428</v>
      </c>
      <c r="H390" s="225">
        <f t="shared" si="7"/>
        <v>748844.16000000155</v>
      </c>
      <c r="I390" s="77" t="s">
        <v>134</v>
      </c>
      <c r="J390" s="236"/>
      <c r="K390" s="236"/>
      <c r="L390" s="226" t="s">
        <v>3</v>
      </c>
      <c r="M390" s="226" t="s">
        <v>15</v>
      </c>
      <c r="N390" s="79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</row>
    <row r="391" spans="1:28" s="11" customFormat="1" ht="13.5" customHeight="1" x14ac:dyDescent="0.2">
      <c r="A391" s="103" t="s">
        <v>122</v>
      </c>
      <c r="B391" s="103" t="s">
        <v>123</v>
      </c>
      <c r="C391" s="35">
        <v>45974</v>
      </c>
      <c r="D391" s="36">
        <v>258</v>
      </c>
      <c r="E391" s="105" t="s">
        <v>412</v>
      </c>
      <c r="F391" s="32">
        <v>0</v>
      </c>
      <c r="G391" s="32">
        <v>470</v>
      </c>
      <c r="H391" s="33">
        <f>H389+F391-G391</f>
        <v>748802.16000000155</v>
      </c>
      <c r="I391" s="32" t="s">
        <v>411</v>
      </c>
      <c r="J391" s="15"/>
      <c r="K391" s="15"/>
      <c r="L391" s="175" t="s">
        <v>3</v>
      </c>
      <c r="M391" s="175" t="s">
        <v>39</v>
      </c>
      <c r="N391" s="16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  <c r="AA391" s="10"/>
      <c r="AB391" s="10"/>
    </row>
    <row r="392" spans="1:28" s="72" customFormat="1" x14ac:dyDescent="0.2">
      <c r="A392" s="180" t="s">
        <v>122</v>
      </c>
      <c r="B392" s="180" t="s">
        <v>123</v>
      </c>
      <c r="C392" s="181">
        <v>45974</v>
      </c>
      <c r="D392" s="182">
        <v>259</v>
      </c>
      <c r="E392" s="183" t="s">
        <v>413</v>
      </c>
      <c r="F392" s="184">
        <v>0</v>
      </c>
      <c r="G392" s="184">
        <v>45</v>
      </c>
      <c r="H392" s="33">
        <f t="shared" ref="H392:H408" si="8">H391+F392-G392</f>
        <v>748757.16000000155</v>
      </c>
      <c r="I392" s="185" t="s">
        <v>85</v>
      </c>
      <c r="J392" s="186"/>
      <c r="K392" s="186"/>
      <c r="L392" s="187" t="s">
        <v>3</v>
      </c>
      <c r="M392" s="187" t="s">
        <v>39</v>
      </c>
      <c r="N392" s="185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</row>
    <row r="393" spans="1:28" s="72" customFormat="1" x14ac:dyDescent="0.2">
      <c r="A393" s="180" t="s">
        <v>122</v>
      </c>
      <c r="B393" s="180" t="s">
        <v>123</v>
      </c>
      <c r="C393" s="181">
        <v>45974</v>
      </c>
      <c r="D393" s="182">
        <v>260</v>
      </c>
      <c r="E393" s="183" t="s">
        <v>413</v>
      </c>
      <c r="F393" s="184">
        <v>0</v>
      </c>
      <c r="G393" s="184">
        <v>538</v>
      </c>
      <c r="H393" s="33">
        <f t="shared" si="8"/>
        <v>748219.16000000155</v>
      </c>
      <c r="I393" s="184" t="s">
        <v>106</v>
      </c>
      <c r="J393" s="186"/>
      <c r="K393" s="186"/>
      <c r="L393" s="187" t="s">
        <v>3</v>
      </c>
      <c r="M393" s="187" t="s">
        <v>39</v>
      </c>
      <c r="N393" s="185"/>
      <c r="O393" s="71"/>
      <c r="P393" s="71"/>
      <c r="Q393" s="71"/>
      <c r="R393" s="71"/>
      <c r="S393" s="71"/>
      <c r="T393" s="71"/>
      <c r="U393" s="71"/>
      <c r="V393" s="71"/>
      <c r="W393" s="71"/>
      <c r="X393" s="71"/>
      <c r="Y393" s="71"/>
      <c r="Z393" s="71"/>
      <c r="AA393" s="71"/>
      <c r="AB393" s="71"/>
    </row>
    <row r="394" spans="1:28" s="72" customFormat="1" ht="15" thickBot="1" x14ac:dyDescent="0.25">
      <c r="A394" s="51" t="s">
        <v>122</v>
      </c>
      <c r="B394" s="52" t="s">
        <v>123</v>
      </c>
      <c r="C394" s="204">
        <v>45974</v>
      </c>
      <c r="D394" s="237">
        <v>111</v>
      </c>
      <c r="E394" s="111" t="s">
        <v>451</v>
      </c>
      <c r="F394" s="55">
        <v>0</v>
      </c>
      <c r="G394" s="55">
        <v>50.09</v>
      </c>
      <c r="H394" s="224">
        <f t="shared" si="8"/>
        <v>748169.07000000158</v>
      </c>
      <c r="I394" s="55" t="s">
        <v>134</v>
      </c>
      <c r="J394" s="238"/>
      <c r="K394" s="238"/>
      <c r="L394" s="226" t="s">
        <v>3</v>
      </c>
      <c r="M394" s="226" t="s">
        <v>15</v>
      </c>
      <c r="N394" s="57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</row>
    <row r="395" spans="1:28" s="11" customFormat="1" ht="13.5" customHeight="1" x14ac:dyDescent="0.2">
      <c r="A395" s="197" t="s">
        <v>122</v>
      </c>
      <c r="B395" s="199" t="s">
        <v>123</v>
      </c>
      <c r="C395" s="205">
        <v>45979</v>
      </c>
      <c r="D395" s="207">
        <v>111</v>
      </c>
      <c r="E395" s="210" t="s">
        <v>445</v>
      </c>
      <c r="F395" s="213">
        <v>0</v>
      </c>
      <c r="G395" s="213">
        <v>441.6</v>
      </c>
      <c r="H395" s="33">
        <f t="shared" si="8"/>
        <v>747727.4700000016</v>
      </c>
      <c r="I395" s="213" t="s">
        <v>134</v>
      </c>
      <c r="J395" s="218"/>
      <c r="K395" s="218"/>
      <c r="L395" s="177" t="s">
        <v>3</v>
      </c>
      <c r="M395" s="177" t="s">
        <v>15</v>
      </c>
      <c r="N395" s="221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  <c r="AA395" s="10"/>
      <c r="AB395" s="10"/>
    </row>
    <row r="396" spans="1:28" s="72" customFormat="1" x14ac:dyDescent="0.2">
      <c r="A396" s="42" t="s">
        <v>122</v>
      </c>
      <c r="B396" s="43" t="s">
        <v>123</v>
      </c>
      <c r="C396" s="203">
        <v>45980</v>
      </c>
      <c r="D396" s="222">
        <v>111</v>
      </c>
      <c r="E396" s="110" t="s">
        <v>452</v>
      </c>
      <c r="F396" s="50">
        <v>0</v>
      </c>
      <c r="G396" s="50">
        <v>550.01</v>
      </c>
      <c r="H396" s="223">
        <f t="shared" si="8"/>
        <v>747177.46000000159</v>
      </c>
      <c r="I396" s="50" t="s">
        <v>134</v>
      </c>
      <c r="J396" s="48"/>
      <c r="K396" s="48"/>
      <c r="L396" s="177" t="s">
        <v>3</v>
      </c>
      <c r="M396" s="177" t="s">
        <v>15</v>
      </c>
      <c r="N396" s="47"/>
      <c r="O396" s="71"/>
      <c r="P396" s="71"/>
      <c r="Q396" s="71"/>
      <c r="R396" s="71"/>
      <c r="S396" s="71"/>
      <c r="T396" s="71"/>
      <c r="U396" s="71"/>
      <c r="V396" s="71"/>
      <c r="W396" s="71"/>
      <c r="X396" s="71"/>
      <c r="Y396" s="71"/>
      <c r="Z396" s="71"/>
      <c r="AA396" s="71"/>
      <c r="AB396" s="71"/>
    </row>
    <row r="397" spans="1:28" s="11" customFormat="1" ht="13.5" customHeight="1" x14ac:dyDescent="0.2">
      <c r="A397" s="103" t="s">
        <v>122</v>
      </c>
      <c r="B397" s="103" t="s">
        <v>123</v>
      </c>
      <c r="C397" s="35">
        <v>45981</v>
      </c>
      <c r="D397" s="36">
        <v>261</v>
      </c>
      <c r="E397" s="108" t="s">
        <v>415</v>
      </c>
      <c r="F397" s="32">
        <v>0</v>
      </c>
      <c r="G397" s="32">
        <v>26941.599999999999</v>
      </c>
      <c r="H397" s="33">
        <f t="shared" si="8"/>
        <v>720235.86000000162</v>
      </c>
      <c r="I397" s="32" t="s">
        <v>237</v>
      </c>
      <c r="J397" s="15"/>
      <c r="K397" s="15"/>
      <c r="L397" s="179" t="s">
        <v>3</v>
      </c>
      <c r="M397" s="179" t="s">
        <v>27</v>
      </c>
      <c r="N397" s="16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  <c r="AA397" s="10"/>
      <c r="AB397" s="10"/>
    </row>
    <row r="398" spans="1:28" s="72" customFormat="1" x14ac:dyDescent="0.2">
      <c r="A398" s="103" t="s">
        <v>122</v>
      </c>
      <c r="B398" s="103" t="s">
        <v>123</v>
      </c>
      <c r="C398" s="35">
        <v>45981</v>
      </c>
      <c r="D398" s="36">
        <v>262</v>
      </c>
      <c r="E398" s="105" t="s">
        <v>414</v>
      </c>
      <c r="F398" s="32">
        <v>0</v>
      </c>
      <c r="G398" s="32">
        <v>3000</v>
      </c>
      <c r="H398" s="33">
        <f t="shared" si="8"/>
        <v>717235.86000000162</v>
      </c>
      <c r="I398" s="32" t="s">
        <v>135</v>
      </c>
      <c r="J398" s="15"/>
      <c r="K398" s="15"/>
      <c r="L398" s="175" t="s">
        <v>13</v>
      </c>
      <c r="M398" s="175" t="s">
        <v>49</v>
      </c>
      <c r="N398" s="16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</row>
    <row r="399" spans="1:28" s="72" customFormat="1" ht="28.5" x14ac:dyDescent="0.2">
      <c r="A399" s="103" t="s">
        <v>122</v>
      </c>
      <c r="B399" s="103" t="s">
        <v>123</v>
      </c>
      <c r="C399" s="35">
        <v>45982</v>
      </c>
      <c r="D399" s="36">
        <v>263</v>
      </c>
      <c r="E399" s="108" t="s">
        <v>440</v>
      </c>
      <c r="F399" s="32">
        <v>0</v>
      </c>
      <c r="G399" s="32">
        <v>13125.36</v>
      </c>
      <c r="H399" s="33">
        <f t="shared" si="8"/>
        <v>704110.50000000163</v>
      </c>
      <c r="I399" s="32" t="s">
        <v>237</v>
      </c>
      <c r="J399" s="15"/>
      <c r="K399" s="15"/>
      <c r="L399" s="179" t="s">
        <v>3</v>
      </c>
      <c r="M399" s="179" t="s">
        <v>27</v>
      </c>
      <c r="N399" s="16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</row>
    <row r="400" spans="1:28" s="72" customFormat="1" x14ac:dyDescent="0.2">
      <c r="A400" s="103" t="s">
        <v>122</v>
      </c>
      <c r="B400" s="103" t="s">
        <v>123</v>
      </c>
      <c r="C400" s="35">
        <v>45982</v>
      </c>
      <c r="D400" s="36">
        <v>264</v>
      </c>
      <c r="E400" s="105" t="s">
        <v>416</v>
      </c>
      <c r="F400" s="32">
        <v>0</v>
      </c>
      <c r="G400" s="32">
        <v>800</v>
      </c>
      <c r="H400" s="33">
        <f t="shared" si="8"/>
        <v>703310.50000000163</v>
      </c>
      <c r="I400" s="32" t="s">
        <v>237</v>
      </c>
      <c r="J400" s="15"/>
      <c r="K400" s="15"/>
      <c r="L400" s="179" t="s">
        <v>3</v>
      </c>
      <c r="M400" s="179" t="s">
        <v>27</v>
      </c>
      <c r="N400" s="16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</row>
    <row r="401" spans="1:28" s="72" customFormat="1" x14ac:dyDescent="0.2">
      <c r="A401" s="103" t="s">
        <v>122</v>
      </c>
      <c r="B401" s="103" t="s">
        <v>123</v>
      </c>
      <c r="C401" s="35">
        <v>45982</v>
      </c>
      <c r="D401" s="36">
        <v>265</v>
      </c>
      <c r="E401" s="105" t="s">
        <v>417</v>
      </c>
      <c r="F401" s="32">
        <v>0</v>
      </c>
      <c r="G401" s="32">
        <v>49</v>
      </c>
      <c r="H401" s="33">
        <f t="shared" si="8"/>
        <v>703261.50000000163</v>
      </c>
      <c r="I401" s="32" t="s">
        <v>361</v>
      </c>
      <c r="J401" s="15"/>
      <c r="K401" s="15"/>
      <c r="L401" s="175" t="s">
        <v>3</v>
      </c>
      <c r="M401" s="175" t="s">
        <v>15</v>
      </c>
      <c r="N401" s="16"/>
      <c r="O401" s="71"/>
      <c r="P401" s="71"/>
      <c r="Q401" s="71"/>
      <c r="R401" s="71"/>
      <c r="S401" s="71"/>
      <c r="T401" s="71"/>
      <c r="U401" s="71"/>
      <c r="V401" s="71"/>
      <c r="W401" s="71"/>
      <c r="X401" s="71"/>
      <c r="Y401" s="71"/>
      <c r="Z401" s="71"/>
      <c r="AA401" s="71"/>
      <c r="AB401" s="71"/>
    </row>
    <row r="402" spans="1:28" s="72" customFormat="1" x14ac:dyDescent="0.2">
      <c r="A402" s="103" t="s">
        <v>122</v>
      </c>
      <c r="B402" s="103" t="s">
        <v>123</v>
      </c>
      <c r="C402" s="35">
        <v>45982</v>
      </c>
      <c r="D402" s="36">
        <v>266</v>
      </c>
      <c r="E402" s="105" t="s">
        <v>417</v>
      </c>
      <c r="F402" s="32">
        <v>0</v>
      </c>
      <c r="G402" s="32">
        <v>49</v>
      </c>
      <c r="H402" s="33">
        <f t="shared" si="8"/>
        <v>703212.50000000163</v>
      </c>
      <c r="I402" s="32" t="s">
        <v>361</v>
      </c>
      <c r="J402" s="15"/>
      <c r="K402" s="15"/>
      <c r="L402" s="175" t="s">
        <v>3</v>
      </c>
      <c r="M402" s="175" t="s">
        <v>15</v>
      </c>
      <c r="N402" s="16"/>
      <c r="O402" s="71"/>
      <c r="P402" s="71"/>
      <c r="Q402" s="71"/>
      <c r="R402" s="71"/>
      <c r="S402" s="71"/>
      <c r="T402" s="71"/>
      <c r="U402" s="71"/>
      <c r="V402" s="71"/>
      <c r="W402" s="71"/>
      <c r="X402" s="71"/>
      <c r="Y402" s="71"/>
      <c r="Z402" s="71"/>
      <c r="AA402" s="71"/>
      <c r="AB402" s="71"/>
    </row>
    <row r="403" spans="1:28" s="72" customFormat="1" x14ac:dyDescent="0.2">
      <c r="A403" s="103" t="s">
        <v>122</v>
      </c>
      <c r="B403" s="103" t="s">
        <v>123</v>
      </c>
      <c r="C403" s="35">
        <v>45982</v>
      </c>
      <c r="D403" s="36">
        <v>267</v>
      </c>
      <c r="E403" s="105" t="s">
        <v>418</v>
      </c>
      <c r="F403" s="32">
        <v>0</v>
      </c>
      <c r="G403" s="32">
        <v>100</v>
      </c>
      <c r="H403" s="33">
        <f t="shared" si="8"/>
        <v>703112.50000000163</v>
      </c>
      <c r="I403" s="32" t="s">
        <v>392</v>
      </c>
      <c r="J403" s="15"/>
      <c r="K403" s="15"/>
      <c r="L403" s="175" t="s">
        <v>3</v>
      </c>
      <c r="M403" s="175" t="s">
        <v>39</v>
      </c>
      <c r="N403" s="16"/>
      <c r="O403" s="71"/>
      <c r="P403" s="71"/>
      <c r="Q403" s="71"/>
      <c r="R403" s="71"/>
      <c r="S403" s="71"/>
      <c r="T403" s="71"/>
      <c r="U403" s="71"/>
      <c r="V403" s="71"/>
      <c r="W403" s="71"/>
      <c r="X403" s="71"/>
      <c r="Y403" s="71"/>
      <c r="Z403" s="71"/>
      <c r="AA403" s="71"/>
      <c r="AB403" s="71"/>
    </row>
    <row r="404" spans="1:28" s="72" customFormat="1" x14ac:dyDescent="0.2">
      <c r="A404" s="103" t="s">
        <v>122</v>
      </c>
      <c r="B404" s="103" t="s">
        <v>123</v>
      </c>
      <c r="C404" s="35">
        <v>45982</v>
      </c>
      <c r="D404" s="36">
        <v>268</v>
      </c>
      <c r="E404" s="105" t="s">
        <v>419</v>
      </c>
      <c r="F404" s="32">
        <v>0</v>
      </c>
      <c r="G404" s="32">
        <v>643</v>
      </c>
      <c r="H404" s="33">
        <f t="shared" si="8"/>
        <v>702469.50000000163</v>
      </c>
      <c r="I404" s="32" t="s">
        <v>361</v>
      </c>
      <c r="J404" s="15"/>
      <c r="K404" s="15"/>
      <c r="L404" s="175" t="s">
        <v>3</v>
      </c>
      <c r="M404" s="175" t="s">
        <v>15</v>
      </c>
      <c r="N404" s="16"/>
      <c r="O404" s="71"/>
      <c r="P404" s="71"/>
      <c r="Q404" s="71"/>
      <c r="R404" s="71"/>
      <c r="S404" s="71"/>
      <c r="T404" s="71"/>
      <c r="U404" s="71"/>
      <c r="V404" s="71"/>
      <c r="W404" s="71"/>
      <c r="X404" s="71"/>
      <c r="Y404" s="71"/>
      <c r="Z404" s="71"/>
      <c r="AA404" s="71"/>
      <c r="AB404" s="71"/>
    </row>
    <row r="405" spans="1:28" s="72" customFormat="1" x14ac:dyDescent="0.2">
      <c r="A405" s="103" t="s">
        <v>122</v>
      </c>
      <c r="B405" s="103" t="s">
        <v>123</v>
      </c>
      <c r="C405" s="35">
        <v>45983</v>
      </c>
      <c r="D405" s="36">
        <v>269</v>
      </c>
      <c r="E405" s="105" t="s">
        <v>417</v>
      </c>
      <c r="F405" s="32">
        <v>0</v>
      </c>
      <c r="G405" s="32">
        <v>90</v>
      </c>
      <c r="H405" s="33">
        <f t="shared" si="8"/>
        <v>702379.50000000163</v>
      </c>
      <c r="I405" s="32" t="s">
        <v>420</v>
      </c>
      <c r="J405" s="15"/>
      <c r="K405" s="15"/>
      <c r="L405" s="175" t="s">
        <v>3</v>
      </c>
      <c r="M405" s="175" t="s">
        <v>15</v>
      </c>
      <c r="N405" s="16"/>
      <c r="O405" s="71"/>
      <c r="P405" s="71"/>
      <c r="Q405" s="71"/>
      <c r="R405" s="71"/>
      <c r="S405" s="71"/>
      <c r="T405" s="71"/>
      <c r="U405" s="71"/>
      <c r="V405" s="71"/>
      <c r="W405" s="71"/>
      <c r="X405" s="71"/>
      <c r="Y405" s="71"/>
      <c r="Z405" s="71"/>
      <c r="AA405" s="71"/>
      <c r="AB405" s="71"/>
    </row>
    <row r="406" spans="1:28" s="72" customFormat="1" x14ac:dyDescent="0.2">
      <c r="A406" s="103" t="s">
        <v>122</v>
      </c>
      <c r="B406" s="103" t="s">
        <v>123</v>
      </c>
      <c r="C406" s="35">
        <v>45983</v>
      </c>
      <c r="D406" s="36">
        <v>270</v>
      </c>
      <c r="E406" s="105" t="s">
        <v>421</v>
      </c>
      <c r="F406" s="32">
        <v>0</v>
      </c>
      <c r="G406" s="32">
        <v>115</v>
      </c>
      <c r="H406" s="33">
        <f t="shared" si="8"/>
        <v>702264.50000000163</v>
      </c>
      <c r="I406" s="16" t="s">
        <v>85</v>
      </c>
      <c r="J406" s="15"/>
      <c r="K406" s="15"/>
      <c r="L406" s="175" t="s">
        <v>3</v>
      </c>
      <c r="M406" s="175" t="s">
        <v>39</v>
      </c>
      <c r="N406" s="16"/>
      <c r="O406" s="71"/>
      <c r="P406" s="71"/>
      <c r="Q406" s="71"/>
      <c r="R406" s="71"/>
      <c r="S406" s="71"/>
      <c r="T406" s="71"/>
      <c r="U406" s="71"/>
      <c r="V406" s="71"/>
      <c r="W406" s="71"/>
      <c r="X406" s="71"/>
      <c r="Y406" s="71"/>
      <c r="Z406" s="71"/>
      <c r="AA406" s="71"/>
      <c r="AB406" s="71"/>
    </row>
    <row r="407" spans="1:28" s="72" customFormat="1" x14ac:dyDescent="0.2">
      <c r="A407" s="103" t="s">
        <v>122</v>
      </c>
      <c r="B407" s="103" t="s">
        <v>123</v>
      </c>
      <c r="C407" s="35">
        <v>45983</v>
      </c>
      <c r="D407" s="36">
        <v>271</v>
      </c>
      <c r="E407" s="105" t="s">
        <v>422</v>
      </c>
      <c r="F407" s="32">
        <v>0</v>
      </c>
      <c r="G407" s="32">
        <v>60</v>
      </c>
      <c r="H407" s="33">
        <f t="shared" si="8"/>
        <v>702204.50000000163</v>
      </c>
      <c r="I407" s="32" t="s">
        <v>392</v>
      </c>
      <c r="J407" s="15"/>
      <c r="K407" s="15"/>
      <c r="L407" s="175" t="s">
        <v>3</v>
      </c>
      <c r="M407" s="175" t="s">
        <v>39</v>
      </c>
      <c r="N407" s="16"/>
      <c r="O407" s="71"/>
      <c r="P407" s="71"/>
      <c r="Q407" s="71"/>
      <c r="R407" s="71"/>
      <c r="S407" s="71"/>
      <c r="T407" s="71"/>
      <c r="U407" s="71"/>
      <c r="V407" s="71"/>
      <c r="W407" s="71"/>
      <c r="X407" s="71"/>
      <c r="Y407" s="71"/>
      <c r="Z407" s="71"/>
      <c r="AA407" s="71"/>
      <c r="AB407" s="71"/>
    </row>
    <row r="408" spans="1:28" s="72" customFormat="1" x14ac:dyDescent="0.2">
      <c r="A408" s="198" t="s">
        <v>125</v>
      </c>
      <c r="B408" s="198" t="s">
        <v>126</v>
      </c>
      <c r="C408" s="201">
        <v>45985</v>
      </c>
      <c r="D408" s="206">
        <v>35</v>
      </c>
      <c r="E408" s="209" t="s">
        <v>251</v>
      </c>
      <c r="F408" s="212">
        <v>14000</v>
      </c>
      <c r="G408" s="212">
        <v>0</v>
      </c>
      <c r="H408" s="33">
        <f t="shared" si="8"/>
        <v>716204.50000000163</v>
      </c>
      <c r="I408" s="212" t="s">
        <v>236</v>
      </c>
      <c r="J408" s="217"/>
      <c r="K408" s="217"/>
      <c r="L408" s="219"/>
      <c r="M408" s="219"/>
      <c r="N408" s="217"/>
      <c r="O408" s="71"/>
      <c r="P408" s="71"/>
      <c r="Q408" s="71"/>
      <c r="R408" s="71"/>
      <c r="S408" s="71"/>
      <c r="T408" s="71"/>
      <c r="U408" s="71"/>
      <c r="V408" s="71"/>
      <c r="W408" s="71"/>
      <c r="X408" s="71"/>
      <c r="Y408" s="71"/>
      <c r="Z408" s="71"/>
      <c r="AA408" s="71"/>
      <c r="AB408" s="71"/>
    </row>
    <row r="409" spans="1:28" s="72" customFormat="1" x14ac:dyDescent="0.2">
      <c r="A409" s="103" t="s">
        <v>122</v>
      </c>
      <c r="B409" s="103" t="s">
        <v>123</v>
      </c>
      <c r="C409" s="35">
        <v>45986</v>
      </c>
      <c r="D409" s="36">
        <v>272</v>
      </c>
      <c r="E409" s="105" t="s">
        <v>421</v>
      </c>
      <c r="F409" s="32">
        <v>0</v>
      </c>
      <c r="G409" s="32">
        <v>390</v>
      </c>
      <c r="H409" s="33">
        <f>H407+F409-G409</f>
        <v>701814.50000000163</v>
      </c>
      <c r="I409" s="32" t="s">
        <v>425</v>
      </c>
      <c r="J409" s="15"/>
      <c r="K409" s="15"/>
      <c r="L409" s="175" t="s">
        <v>3</v>
      </c>
      <c r="M409" s="175" t="s">
        <v>39</v>
      </c>
      <c r="N409" s="16"/>
      <c r="O409" s="71"/>
      <c r="P409" s="71"/>
      <c r="Q409" s="71"/>
      <c r="R409" s="71"/>
      <c r="S409" s="71"/>
      <c r="T409" s="71"/>
      <c r="U409" s="71"/>
      <c r="V409" s="71"/>
      <c r="W409" s="71"/>
      <c r="X409" s="71"/>
      <c r="Y409" s="71"/>
      <c r="Z409" s="71"/>
      <c r="AA409" s="71"/>
      <c r="AB409" s="71"/>
    </row>
    <row r="410" spans="1:28" s="72" customFormat="1" x14ac:dyDescent="0.2">
      <c r="A410" s="74" t="s">
        <v>122</v>
      </c>
      <c r="B410" s="200" t="s">
        <v>123</v>
      </c>
      <c r="C410" s="234">
        <v>45986</v>
      </c>
      <c r="D410" s="235">
        <v>111</v>
      </c>
      <c r="E410" s="211" t="s">
        <v>453</v>
      </c>
      <c r="F410" s="77">
        <v>0</v>
      </c>
      <c r="G410" s="77">
        <v>480.02</v>
      </c>
      <c r="H410" s="225">
        <f t="shared" ref="H410:H418" si="9">H409+F410-G410</f>
        <v>701334.48000000161</v>
      </c>
      <c r="I410" s="77" t="s">
        <v>134</v>
      </c>
      <c r="J410" s="236"/>
      <c r="K410" s="236"/>
      <c r="L410" s="226" t="s">
        <v>3</v>
      </c>
      <c r="M410" s="226" t="s">
        <v>15</v>
      </c>
      <c r="N410" s="79"/>
      <c r="O410" s="71"/>
      <c r="P410" s="71"/>
      <c r="Q410" s="71"/>
      <c r="R410" s="71"/>
      <c r="S410" s="71"/>
      <c r="T410" s="71"/>
      <c r="U410" s="71"/>
      <c r="V410" s="71"/>
      <c r="W410" s="71"/>
      <c r="X410" s="71"/>
      <c r="Y410" s="71"/>
      <c r="Z410" s="71"/>
      <c r="AA410" s="71"/>
      <c r="AB410" s="71"/>
    </row>
    <row r="411" spans="1:28" s="72" customFormat="1" x14ac:dyDescent="0.2">
      <c r="A411" s="103" t="s">
        <v>122</v>
      </c>
      <c r="B411" s="103" t="s">
        <v>123</v>
      </c>
      <c r="C411" s="35">
        <v>45988</v>
      </c>
      <c r="D411" s="36">
        <v>273</v>
      </c>
      <c r="E411" s="105" t="s">
        <v>421</v>
      </c>
      <c r="F411" s="32">
        <v>0</v>
      </c>
      <c r="G411" s="32">
        <v>395</v>
      </c>
      <c r="H411" s="33">
        <f t="shared" si="9"/>
        <v>700939.48000000161</v>
      </c>
      <c r="I411" s="16" t="s">
        <v>85</v>
      </c>
      <c r="J411" s="15"/>
      <c r="K411" s="15"/>
      <c r="L411" s="175" t="s">
        <v>3</v>
      </c>
      <c r="M411" s="175" t="s">
        <v>39</v>
      </c>
      <c r="N411" s="16"/>
      <c r="O411" s="71"/>
      <c r="P411" s="71"/>
      <c r="Q411" s="71"/>
      <c r="R411" s="71"/>
      <c r="S411" s="71"/>
      <c r="T411" s="71"/>
      <c r="U411" s="71"/>
      <c r="V411" s="71"/>
      <c r="W411" s="71"/>
      <c r="X411" s="71"/>
      <c r="Y411" s="71"/>
      <c r="Z411" s="71"/>
      <c r="AA411" s="71"/>
      <c r="AB411" s="71"/>
    </row>
    <row r="412" spans="1:28" s="72" customFormat="1" x14ac:dyDescent="0.2">
      <c r="A412" s="103" t="s">
        <v>122</v>
      </c>
      <c r="B412" s="103" t="s">
        <v>123</v>
      </c>
      <c r="C412" s="35">
        <v>45989</v>
      </c>
      <c r="D412" s="36">
        <v>274</v>
      </c>
      <c r="E412" s="105" t="s">
        <v>421</v>
      </c>
      <c r="F412" s="32">
        <v>0</v>
      </c>
      <c r="G412" s="32">
        <v>360</v>
      </c>
      <c r="H412" s="33">
        <f t="shared" si="9"/>
        <v>700579.48000000161</v>
      </c>
      <c r="I412" s="16" t="s">
        <v>85</v>
      </c>
      <c r="J412" s="15"/>
      <c r="K412" s="15"/>
      <c r="L412" s="175" t="s">
        <v>3</v>
      </c>
      <c r="M412" s="175" t="s">
        <v>39</v>
      </c>
      <c r="N412" s="16"/>
      <c r="O412" s="71"/>
      <c r="P412" s="71"/>
      <c r="Q412" s="71"/>
      <c r="R412" s="71"/>
      <c r="S412" s="71"/>
      <c r="T412" s="71"/>
      <c r="U412" s="71"/>
      <c r="V412" s="71"/>
      <c r="W412" s="71"/>
      <c r="X412" s="71"/>
      <c r="Y412" s="71"/>
      <c r="Z412" s="71"/>
      <c r="AA412" s="71"/>
      <c r="AB412" s="71"/>
    </row>
    <row r="413" spans="1:28" s="72" customFormat="1" x14ac:dyDescent="0.2">
      <c r="A413" s="74" t="s">
        <v>122</v>
      </c>
      <c r="B413" s="200" t="s">
        <v>123</v>
      </c>
      <c r="C413" s="75">
        <v>45989</v>
      </c>
      <c r="D413" s="235">
        <v>111</v>
      </c>
      <c r="E413" s="211" t="s">
        <v>445</v>
      </c>
      <c r="F413" s="77">
        <v>0</v>
      </c>
      <c r="G413" s="77">
        <v>441.6</v>
      </c>
      <c r="H413" s="225">
        <f t="shared" si="9"/>
        <v>700137.88000000163</v>
      </c>
      <c r="I413" s="77" t="s">
        <v>134</v>
      </c>
      <c r="J413" s="78"/>
      <c r="K413" s="78"/>
      <c r="L413" s="226" t="s">
        <v>3</v>
      </c>
      <c r="M413" s="226" t="s">
        <v>15</v>
      </c>
      <c r="N413" s="79"/>
      <c r="O413" s="71"/>
      <c r="P413" s="71"/>
      <c r="Q413" s="71"/>
      <c r="R413" s="71"/>
      <c r="S413" s="71"/>
      <c r="T413" s="71"/>
      <c r="U413" s="71"/>
      <c r="V413" s="71"/>
      <c r="W413" s="71"/>
      <c r="X413" s="71"/>
      <c r="Y413" s="71"/>
      <c r="Z413" s="71"/>
      <c r="AA413" s="71"/>
      <c r="AB413" s="71"/>
    </row>
    <row r="414" spans="1:28" s="72" customFormat="1" x14ac:dyDescent="0.2">
      <c r="A414" s="198" t="s">
        <v>125</v>
      </c>
      <c r="B414" s="198" t="s">
        <v>126</v>
      </c>
      <c r="C414" s="201">
        <v>45992</v>
      </c>
      <c r="D414" s="206">
        <v>36</v>
      </c>
      <c r="E414" s="209" t="s">
        <v>251</v>
      </c>
      <c r="F414" s="212">
        <v>1000</v>
      </c>
      <c r="G414" s="212">
        <v>0</v>
      </c>
      <c r="H414" s="33">
        <f t="shared" si="9"/>
        <v>701137.88000000163</v>
      </c>
      <c r="I414" s="212" t="s">
        <v>236</v>
      </c>
      <c r="J414" s="217"/>
      <c r="K414" s="217"/>
      <c r="L414" s="219"/>
      <c r="M414" s="219"/>
      <c r="N414" s="217"/>
      <c r="O414" s="71"/>
      <c r="P414" s="71"/>
      <c r="Q414" s="71"/>
      <c r="R414" s="71"/>
      <c r="S414" s="71"/>
      <c r="T414" s="71"/>
      <c r="U414" s="71"/>
      <c r="V414" s="71"/>
      <c r="W414" s="71"/>
      <c r="X414" s="71"/>
      <c r="Y414" s="71"/>
      <c r="Z414" s="71"/>
      <c r="AA414" s="71"/>
      <c r="AB414" s="71"/>
    </row>
    <row r="415" spans="1:28" s="72" customFormat="1" x14ac:dyDescent="0.2">
      <c r="A415" s="103" t="s">
        <v>122</v>
      </c>
      <c r="B415" s="103" t="s">
        <v>123</v>
      </c>
      <c r="C415" s="35">
        <v>45995</v>
      </c>
      <c r="D415" s="36">
        <v>275</v>
      </c>
      <c r="E415" s="105" t="s">
        <v>428</v>
      </c>
      <c r="F415" s="32">
        <v>0</v>
      </c>
      <c r="G415" s="32">
        <v>232.5</v>
      </c>
      <c r="H415" s="33">
        <f t="shared" si="9"/>
        <v>700905.38000000163</v>
      </c>
      <c r="I415" s="32" t="s">
        <v>429</v>
      </c>
      <c r="J415" s="15"/>
      <c r="K415" s="15"/>
      <c r="L415" s="175" t="s">
        <v>3</v>
      </c>
      <c r="M415" s="175" t="s">
        <v>63</v>
      </c>
      <c r="N415" s="16"/>
      <c r="O415" s="71"/>
      <c r="P415" s="71"/>
      <c r="Q415" s="71"/>
      <c r="R415" s="71"/>
      <c r="S415" s="71"/>
      <c r="T415" s="71"/>
      <c r="U415" s="71"/>
      <c r="V415" s="71"/>
      <c r="W415" s="71"/>
      <c r="X415" s="71"/>
      <c r="Y415" s="71"/>
      <c r="Z415" s="71"/>
      <c r="AA415" s="71"/>
      <c r="AB415" s="71"/>
    </row>
    <row r="416" spans="1:28" s="72" customFormat="1" x14ac:dyDescent="0.2">
      <c r="A416" s="51" t="s">
        <v>122</v>
      </c>
      <c r="B416" s="52" t="s">
        <v>123</v>
      </c>
      <c r="C416" s="204">
        <v>45995</v>
      </c>
      <c r="D416" s="237">
        <v>111</v>
      </c>
      <c r="E416" s="239" t="s">
        <v>464</v>
      </c>
      <c r="F416" s="55">
        <v>0</v>
      </c>
      <c r="G416" s="55">
        <v>580.04</v>
      </c>
      <c r="H416" s="224">
        <f t="shared" si="9"/>
        <v>700325.3400000016</v>
      </c>
      <c r="I416" s="55" t="s">
        <v>134</v>
      </c>
      <c r="J416" s="238"/>
      <c r="K416" s="238"/>
      <c r="L416" s="178" t="s">
        <v>3</v>
      </c>
      <c r="M416" s="178" t="s">
        <v>15</v>
      </c>
      <c r="N416" s="57"/>
      <c r="O416" s="71"/>
      <c r="P416" s="71"/>
      <c r="Q416" s="71"/>
      <c r="R416" s="71"/>
      <c r="S416" s="71"/>
      <c r="T416" s="71"/>
      <c r="U416" s="71"/>
      <c r="V416" s="71"/>
      <c r="W416" s="71"/>
      <c r="X416" s="71"/>
      <c r="Y416" s="71"/>
      <c r="Z416" s="71"/>
      <c r="AA416" s="71"/>
      <c r="AB416" s="71"/>
    </row>
    <row r="417" spans="1:28" s="72" customFormat="1" x14ac:dyDescent="0.2">
      <c r="A417" s="42" t="s">
        <v>122</v>
      </c>
      <c r="B417" s="43" t="s">
        <v>123</v>
      </c>
      <c r="C417" s="203">
        <v>45998</v>
      </c>
      <c r="D417" s="222">
        <v>111</v>
      </c>
      <c r="E417" s="110" t="s">
        <v>445</v>
      </c>
      <c r="F417" s="50">
        <v>0</v>
      </c>
      <c r="G417" s="50">
        <v>441.6</v>
      </c>
      <c r="H417" s="223">
        <f t="shared" si="9"/>
        <v>699883.74000000162</v>
      </c>
      <c r="I417" s="50" t="s">
        <v>134</v>
      </c>
      <c r="J417" s="48"/>
      <c r="K417" s="48"/>
      <c r="L417" s="177" t="s">
        <v>3</v>
      </c>
      <c r="M417" s="177" t="s">
        <v>15</v>
      </c>
      <c r="N417" s="47"/>
      <c r="O417" s="71"/>
      <c r="P417" s="71"/>
      <c r="Q417" s="71"/>
      <c r="R417" s="71"/>
      <c r="S417" s="71"/>
      <c r="T417" s="71"/>
      <c r="U417" s="71"/>
      <c r="V417" s="71"/>
      <c r="W417" s="71"/>
      <c r="X417" s="71"/>
      <c r="Y417" s="71"/>
      <c r="Z417" s="71"/>
      <c r="AA417" s="71"/>
      <c r="AB417" s="71"/>
    </row>
    <row r="418" spans="1:28" s="72" customFormat="1" x14ac:dyDescent="0.2">
      <c r="A418" s="198" t="s">
        <v>125</v>
      </c>
      <c r="B418" s="198" t="s">
        <v>126</v>
      </c>
      <c r="C418" s="201">
        <v>46001</v>
      </c>
      <c r="D418" s="206">
        <v>36</v>
      </c>
      <c r="E418" s="209" t="s">
        <v>251</v>
      </c>
      <c r="F418" s="212">
        <v>28000</v>
      </c>
      <c r="G418" s="212">
        <v>0</v>
      </c>
      <c r="H418" s="33">
        <f t="shared" si="9"/>
        <v>727883.74000000162</v>
      </c>
      <c r="I418" s="212" t="s">
        <v>236</v>
      </c>
      <c r="J418" s="217"/>
      <c r="K418" s="217"/>
      <c r="L418" s="219"/>
      <c r="M418" s="219"/>
      <c r="N418" s="217"/>
      <c r="O418" s="71"/>
      <c r="P418" s="71"/>
      <c r="Q418" s="71"/>
      <c r="R418" s="71"/>
      <c r="S418" s="71"/>
      <c r="T418" s="71"/>
      <c r="U418" s="71"/>
      <c r="V418" s="71"/>
      <c r="W418" s="71"/>
      <c r="X418" s="71"/>
      <c r="Y418" s="71"/>
      <c r="Z418" s="71"/>
      <c r="AA418" s="71"/>
      <c r="AB418" s="71"/>
    </row>
    <row r="419" spans="1:28" s="72" customFormat="1" x14ac:dyDescent="0.2">
      <c r="A419" s="103" t="s">
        <v>122</v>
      </c>
      <c r="B419" s="103" t="s">
        <v>123</v>
      </c>
      <c r="C419" s="35">
        <v>46001</v>
      </c>
      <c r="D419" s="36">
        <v>276</v>
      </c>
      <c r="E419" s="105" t="s">
        <v>430</v>
      </c>
      <c r="F419" s="32">
        <v>0</v>
      </c>
      <c r="G419" s="32">
        <v>80</v>
      </c>
      <c r="H419" s="33">
        <f>H417+F419-G419</f>
        <v>699803.74000000162</v>
      </c>
      <c r="I419" s="32" t="s">
        <v>103</v>
      </c>
      <c r="J419" s="15"/>
      <c r="K419" s="15"/>
      <c r="L419" s="175" t="s">
        <v>3</v>
      </c>
      <c r="M419" s="175" t="s">
        <v>39</v>
      </c>
      <c r="N419" s="16"/>
      <c r="O419" s="71"/>
      <c r="P419" s="71"/>
      <c r="Q419" s="71"/>
      <c r="R419" s="71"/>
      <c r="S419" s="71"/>
      <c r="T419" s="71"/>
      <c r="U419" s="71"/>
      <c r="V419" s="71"/>
      <c r="W419" s="71"/>
      <c r="X419" s="71"/>
      <c r="Y419" s="71"/>
      <c r="Z419" s="71"/>
      <c r="AA419" s="71"/>
      <c r="AB419" s="71"/>
    </row>
    <row r="420" spans="1:28" s="72" customFormat="1" x14ac:dyDescent="0.2">
      <c r="A420" s="103" t="s">
        <v>122</v>
      </c>
      <c r="B420" s="103" t="s">
        <v>123</v>
      </c>
      <c r="C420" s="35">
        <v>46001</v>
      </c>
      <c r="D420" s="36">
        <v>277</v>
      </c>
      <c r="E420" s="105" t="s">
        <v>421</v>
      </c>
      <c r="F420" s="32">
        <v>0</v>
      </c>
      <c r="G420" s="32">
        <v>385</v>
      </c>
      <c r="H420" s="33">
        <f t="shared" ref="H420:H480" si="10">H419+F420-G420</f>
        <v>699418.74000000162</v>
      </c>
      <c r="I420" s="32" t="s">
        <v>250</v>
      </c>
      <c r="J420" s="15"/>
      <c r="K420" s="15"/>
      <c r="L420" s="175" t="s">
        <v>3</v>
      </c>
      <c r="M420" s="175" t="s">
        <v>39</v>
      </c>
      <c r="N420" s="16"/>
      <c r="O420" s="71"/>
      <c r="P420" s="71"/>
      <c r="Q420" s="71"/>
      <c r="R420" s="71"/>
      <c r="S420" s="71"/>
      <c r="T420" s="71"/>
      <c r="U420" s="71"/>
      <c r="V420" s="71"/>
      <c r="W420" s="71"/>
      <c r="X420" s="71"/>
      <c r="Y420" s="71"/>
      <c r="Z420" s="71"/>
      <c r="AA420" s="71"/>
      <c r="AB420" s="71"/>
    </row>
    <row r="421" spans="1:28" s="72" customFormat="1" x14ac:dyDescent="0.2">
      <c r="A421" s="103" t="s">
        <v>122</v>
      </c>
      <c r="B421" s="103" t="s">
        <v>123</v>
      </c>
      <c r="C421" s="35">
        <v>46001</v>
      </c>
      <c r="D421" s="36">
        <v>278</v>
      </c>
      <c r="E421" s="105" t="s">
        <v>431</v>
      </c>
      <c r="F421" s="32">
        <v>0</v>
      </c>
      <c r="G421" s="32">
        <v>140</v>
      </c>
      <c r="H421" s="33">
        <f t="shared" si="10"/>
        <v>699278.74000000162</v>
      </c>
      <c r="I421" s="32" t="s">
        <v>432</v>
      </c>
      <c r="J421" s="15"/>
      <c r="K421" s="15"/>
      <c r="L421" s="175" t="s">
        <v>3</v>
      </c>
      <c r="M421" s="175" t="s">
        <v>15</v>
      </c>
      <c r="N421" s="16"/>
      <c r="O421" s="71"/>
      <c r="P421" s="71"/>
      <c r="Q421" s="71"/>
      <c r="R421" s="71"/>
      <c r="S421" s="71"/>
      <c r="T421" s="71"/>
      <c r="U421" s="71"/>
      <c r="V421" s="71"/>
      <c r="W421" s="71"/>
      <c r="X421" s="71"/>
      <c r="Y421" s="71"/>
      <c r="Z421" s="71"/>
      <c r="AA421" s="71"/>
      <c r="AB421" s="71"/>
    </row>
    <row r="422" spans="1:28" s="72" customFormat="1" x14ac:dyDescent="0.2">
      <c r="A422" s="103" t="s">
        <v>122</v>
      </c>
      <c r="B422" s="103" t="s">
        <v>123</v>
      </c>
      <c r="C422" s="35">
        <v>46001</v>
      </c>
      <c r="D422" s="36">
        <v>279</v>
      </c>
      <c r="E422" s="105" t="s">
        <v>434</v>
      </c>
      <c r="F422" s="32">
        <v>0</v>
      </c>
      <c r="G422" s="32">
        <v>380</v>
      </c>
      <c r="H422" s="33">
        <f t="shared" si="10"/>
        <v>698898.74000000162</v>
      </c>
      <c r="I422" s="32" t="s">
        <v>433</v>
      </c>
      <c r="J422" s="15"/>
      <c r="K422" s="15"/>
      <c r="L422" s="175" t="s">
        <v>3</v>
      </c>
      <c r="M422" s="175" t="s">
        <v>15</v>
      </c>
      <c r="N422" s="16"/>
      <c r="O422" s="71"/>
      <c r="P422" s="71"/>
      <c r="Q422" s="71"/>
      <c r="R422" s="71"/>
      <c r="S422" s="71"/>
      <c r="T422" s="71"/>
      <c r="U422" s="71"/>
      <c r="V422" s="71"/>
      <c r="W422" s="71"/>
      <c r="X422" s="71"/>
      <c r="Y422" s="71"/>
      <c r="Z422" s="71"/>
      <c r="AA422" s="71"/>
      <c r="AB422" s="71"/>
    </row>
    <row r="423" spans="1:28" s="72" customFormat="1" x14ac:dyDescent="0.2">
      <c r="A423" s="103" t="s">
        <v>122</v>
      </c>
      <c r="B423" s="103" t="s">
        <v>123</v>
      </c>
      <c r="C423" s="35">
        <v>46001</v>
      </c>
      <c r="D423" s="36">
        <v>280</v>
      </c>
      <c r="E423" s="105" t="s">
        <v>435</v>
      </c>
      <c r="F423" s="32">
        <v>0</v>
      </c>
      <c r="G423" s="32">
        <v>60</v>
      </c>
      <c r="H423" s="33">
        <f t="shared" si="10"/>
        <v>698838.74000000162</v>
      </c>
      <c r="I423" s="32" t="s">
        <v>102</v>
      </c>
      <c r="J423" s="15"/>
      <c r="K423" s="15"/>
      <c r="L423" s="175" t="s">
        <v>3</v>
      </c>
      <c r="M423" s="175" t="s">
        <v>39</v>
      </c>
      <c r="N423" s="16"/>
      <c r="O423" s="71"/>
      <c r="P423" s="71"/>
      <c r="Q423" s="71"/>
      <c r="R423" s="71"/>
      <c r="S423" s="71"/>
      <c r="T423" s="71"/>
      <c r="U423" s="71"/>
      <c r="V423" s="71"/>
      <c r="W423" s="71"/>
      <c r="X423" s="71"/>
      <c r="Y423" s="71"/>
      <c r="Z423" s="71"/>
      <c r="AA423" s="71"/>
      <c r="AB423" s="71"/>
    </row>
    <row r="424" spans="1:28" s="72" customFormat="1" x14ac:dyDescent="0.2">
      <c r="A424" s="103" t="s">
        <v>122</v>
      </c>
      <c r="B424" s="103" t="s">
        <v>123</v>
      </c>
      <c r="C424" s="35">
        <v>46001</v>
      </c>
      <c r="D424" s="36">
        <v>281</v>
      </c>
      <c r="E424" s="105" t="s">
        <v>436</v>
      </c>
      <c r="F424" s="32">
        <v>0</v>
      </c>
      <c r="G424" s="32">
        <v>60</v>
      </c>
      <c r="H424" s="33">
        <f t="shared" si="10"/>
        <v>698778.74000000162</v>
      </c>
      <c r="I424" s="32" t="s">
        <v>103</v>
      </c>
      <c r="J424" s="15"/>
      <c r="K424" s="15"/>
      <c r="L424" s="175" t="s">
        <v>3</v>
      </c>
      <c r="M424" s="175" t="s">
        <v>39</v>
      </c>
      <c r="N424" s="16"/>
      <c r="O424" s="71"/>
      <c r="P424" s="71"/>
      <c r="Q424" s="71"/>
      <c r="R424" s="71"/>
      <c r="S424" s="71"/>
      <c r="T424" s="71"/>
      <c r="U424" s="71"/>
      <c r="V424" s="71"/>
      <c r="W424" s="71"/>
      <c r="X424" s="71"/>
      <c r="Y424" s="71"/>
      <c r="Z424" s="71"/>
      <c r="AA424" s="71"/>
      <c r="AB424" s="71"/>
    </row>
    <row r="425" spans="1:28" s="72" customFormat="1" x14ac:dyDescent="0.2">
      <c r="A425" s="103" t="s">
        <v>122</v>
      </c>
      <c r="B425" s="103" t="s">
        <v>123</v>
      </c>
      <c r="C425" s="35">
        <v>46001</v>
      </c>
      <c r="D425" s="36">
        <v>282</v>
      </c>
      <c r="E425" s="105" t="s">
        <v>437</v>
      </c>
      <c r="F425" s="32">
        <v>0</v>
      </c>
      <c r="G425" s="32">
        <v>960</v>
      </c>
      <c r="H425" s="33">
        <f t="shared" si="10"/>
        <v>697818.74000000162</v>
      </c>
      <c r="I425" s="32" t="s">
        <v>410</v>
      </c>
      <c r="J425" s="15"/>
      <c r="K425" s="15"/>
      <c r="L425" s="175" t="s">
        <v>3</v>
      </c>
      <c r="M425" s="175" t="s">
        <v>67</v>
      </c>
      <c r="N425" s="16"/>
      <c r="O425" s="71"/>
      <c r="P425" s="71"/>
      <c r="Q425" s="71"/>
      <c r="R425" s="71"/>
      <c r="S425" s="71"/>
      <c r="T425" s="71"/>
      <c r="U425" s="71"/>
      <c r="V425" s="71"/>
      <c r="W425" s="71"/>
      <c r="X425" s="71"/>
      <c r="Y425" s="71"/>
      <c r="Z425" s="71"/>
      <c r="AA425" s="71"/>
      <c r="AB425" s="71"/>
    </row>
    <row r="426" spans="1:28" s="72" customFormat="1" x14ac:dyDescent="0.2">
      <c r="A426" s="103" t="s">
        <v>122</v>
      </c>
      <c r="B426" s="103" t="s">
        <v>123</v>
      </c>
      <c r="C426" s="35">
        <v>46001</v>
      </c>
      <c r="D426" s="36">
        <v>283</v>
      </c>
      <c r="E426" s="105" t="s">
        <v>438</v>
      </c>
      <c r="F426" s="32">
        <v>0</v>
      </c>
      <c r="G426" s="32">
        <v>440</v>
      </c>
      <c r="H426" s="33">
        <f t="shared" si="10"/>
        <v>697378.74000000162</v>
      </c>
      <c r="I426" s="32" t="s">
        <v>439</v>
      </c>
      <c r="J426" s="15"/>
      <c r="K426" s="15"/>
      <c r="L426" s="175" t="s">
        <v>3</v>
      </c>
      <c r="M426" s="175" t="s">
        <v>39</v>
      </c>
      <c r="N426" s="16"/>
      <c r="O426" s="71"/>
      <c r="P426" s="71"/>
      <c r="Q426" s="71"/>
      <c r="R426" s="71"/>
      <c r="S426" s="71"/>
      <c r="T426" s="71"/>
      <c r="U426" s="71"/>
      <c r="V426" s="71"/>
      <c r="W426" s="71"/>
      <c r="X426" s="71"/>
      <c r="Y426" s="71"/>
      <c r="Z426" s="71"/>
      <c r="AA426" s="71"/>
      <c r="AB426" s="71"/>
    </row>
    <row r="427" spans="1:28" s="72" customFormat="1" ht="28.5" x14ac:dyDescent="0.2">
      <c r="A427" s="103" t="s">
        <v>122</v>
      </c>
      <c r="B427" s="103" t="s">
        <v>123</v>
      </c>
      <c r="C427" s="35">
        <v>46001</v>
      </c>
      <c r="D427" s="36">
        <v>284</v>
      </c>
      <c r="E427" s="108" t="s">
        <v>441</v>
      </c>
      <c r="F427" s="32">
        <v>0</v>
      </c>
      <c r="G427" s="32">
        <v>28223</v>
      </c>
      <c r="H427" s="33">
        <f t="shared" si="10"/>
        <v>669155.74000000162</v>
      </c>
      <c r="I427" s="32" t="s">
        <v>237</v>
      </c>
      <c r="J427" s="15"/>
      <c r="K427" s="15"/>
      <c r="L427" s="179" t="s">
        <v>3</v>
      </c>
      <c r="M427" s="179" t="s">
        <v>27</v>
      </c>
      <c r="N427" s="16"/>
      <c r="O427" s="71"/>
      <c r="P427" s="71"/>
      <c r="Q427" s="71"/>
      <c r="R427" s="71"/>
      <c r="S427" s="71"/>
      <c r="T427" s="71"/>
      <c r="U427" s="71"/>
      <c r="V427" s="71"/>
      <c r="W427" s="71"/>
      <c r="X427" s="71"/>
      <c r="Y427" s="71"/>
      <c r="Z427" s="71"/>
      <c r="AA427" s="71"/>
      <c r="AB427" s="71"/>
    </row>
    <row r="428" spans="1:28" s="72" customFormat="1" x14ac:dyDescent="0.2">
      <c r="A428" s="103" t="s">
        <v>122</v>
      </c>
      <c r="B428" s="103" t="s">
        <v>123</v>
      </c>
      <c r="C428" s="35">
        <v>46001</v>
      </c>
      <c r="D428" s="36">
        <v>285</v>
      </c>
      <c r="E428" s="108" t="s">
        <v>443</v>
      </c>
      <c r="F428" s="32">
        <v>0</v>
      </c>
      <c r="G428" s="32">
        <v>20</v>
      </c>
      <c r="H428" s="33">
        <f t="shared" si="10"/>
        <v>669135.74000000162</v>
      </c>
      <c r="I428" s="32" t="s">
        <v>442</v>
      </c>
      <c r="J428" s="15"/>
      <c r="K428" s="15"/>
      <c r="L428" s="175" t="s">
        <v>3</v>
      </c>
      <c r="M428" s="175" t="s">
        <v>39</v>
      </c>
      <c r="N428" s="16"/>
      <c r="O428" s="71"/>
      <c r="P428" s="71"/>
      <c r="Q428" s="71"/>
      <c r="R428" s="71"/>
      <c r="S428" s="71"/>
      <c r="T428" s="71"/>
      <c r="U428" s="71"/>
      <c r="V428" s="71"/>
      <c r="W428" s="71"/>
      <c r="X428" s="71"/>
      <c r="Y428" s="71"/>
      <c r="Z428" s="71"/>
      <c r="AA428" s="71"/>
      <c r="AB428" s="71"/>
    </row>
    <row r="429" spans="1:28" s="72" customFormat="1" x14ac:dyDescent="0.2">
      <c r="A429" s="103" t="s">
        <v>122</v>
      </c>
      <c r="B429" s="103" t="s">
        <v>123</v>
      </c>
      <c r="C429" s="35">
        <v>46001</v>
      </c>
      <c r="D429" s="36">
        <v>286</v>
      </c>
      <c r="E429" s="105" t="s">
        <v>421</v>
      </c>
      <c r="F429" s="32">
        <v>0</v>
      </c>
      <c r="G429" s="32">
        <v>90</v>
      </c>
      <c r="H429" s="33">
        <f t="shared" si="10"/>
        <v>669045.74000000162</v>
      </c>
      <c r="I429" s="16" t="s">
        <v>85</v>
      </c>
      <c r="J429" s="15"/>
      <c r="K429" s="15"/>
      <c r="L429" s="175" t="s">
        <v>3</v>
      </c>
      <c r="M429" s="175" t="s">
        <v>39</v>
      </c>
      <c r="N429" s="16"/>
      <c r="O429" s="71"/>
      <c r="P429" s="71"/>
      <c r="Q429" s="71"/>
      <c r="R429" s="71"/>
      <c r="S429" s="71"/>
      <c r="T429" s="71"/>
      <c r="U429" s="71"/>
      <c r="V429" s="71"/>
      <c r="W429" s="71"/>
      <c r="X429" s="71"/>
      <c r="Y429" s="71"/>
      <c r="Z429" s="71"/>
      <c r="AA429" s="71"/>
      <c r="AB429" s="71"/>
    </row>
    <row r="430" spans="1:28" s="72" customFormat="1" ht="13.5" customHeight="1" x14ac:dyDescent="0.2">
      <c r="A430" s="103" t="s">
        <v>122</v>
      </c>
      <c r="B430" s="103" t="s">
        <v>123</v>
      </c>
      <c r="C430" s="35">
        <v>46001</v>
      </c>
      <c r="D430" s="36">
        <v>287</v>
      </c>
      <c r="E430" s="105" t="s">
        <v>421</v>
      </c>
      <c r="F430" s="32">
        <v>0</v>
      </c>
      <c r="G430" s="32">
        <v>150</v>
      </c>
      <c r="H430" s="33">
        <f t="shared" si="10"/>
        <v>668895.74000000162</v>
      </c>
      <c r="I430" s="16" t="s">
        <v>85</v>
      </c>
      <c r="J430" s="15"/>
      <c r="K430" s="15"/>
      <c r="L430" s="175" t="s">
        <v>3</v>
      </c>
      <c r="M430" s="175" t="s">
        <v>39</v>
      </c>
      <c r="N430" s="16"/>
      <c r="O430" s="71"/>
      <c r="P430" s="71"/>
      <c r="Q430" s="71"/>
      <c r="R430" s="71"/>
      <c r="S430" s="71"/>
      <c r="T430" s="71"/>
      <c r="U430" s="71"/>
      <c r="V430" s="71"/>
      <c r="W430" s="71"/>
      <c r="X430" s="71"/>
      <c r="Y430" s="71"/>
      <c r="Z430" s="71"/>
      <c r="AA430" s="71"/>
      <c r="AB430" s="71"/>
    </row>
    <row r="431" spans="1:28" s="72" customFormat="1" ht="13.5" customHeight="1" x14ac:dyDescent="0.2">
      <c r="A431" s="103" t="s">
        <v>122</v>
      </c>
      <c r="B431" s="103" t="s">
        <v>123</v>
      </c>
      <c r="C431" s="35">
        <v>46001</v>
      </c>
      <c r="D431" s="36">
        <v>288</v>
      </c>
      <c r="E431" s="105" t="s">
        <v>421</v>
      </c>
      <c r="F431" s="32">
        <v>0</v>
      </c>
      <c r="G431" s="32">
        <v>200</v>
      </c>
      <c r="H431" s="33">
        <f t="shared" si="10"/>
        <v>668695.74000000162</v>
      </c>
      <c r="I431" s="16" t="s">
        <v>85</v>
      </c>
      <c r="J431" s="15"/>
      <c r="K431" s="15"/>
      <c r="L431" s="175" t="s">
        <v>3</v>
      </c>
      <c r="M431" s="175" t="s">
        <v>39</v>
      </c>
      <c r="N431" s="16"/>
      <c r="O431" s="71"/>
      <c r="P431" s="71"/>
      <c r="Q431" s="71"/>
      <c r="R431" s="71"/>
      <c r="S431" s="71"/>
      <c r="T431" s="71"/>
      <c r="U431" s="71"/>
      <c r="V431" s="71"/>
      <c r="W431" s="71"/>
      <c r="X431" s="71"/>
      <c r="Y431" s="71"/>
      <c r="Z431" s="71"/>
      <c r="AA431" s="71"/>
      <c r="AB431" s="71"/>
    </row>
    <row r="432" spans="1:28" s="72" customFormat="1" ht="13.5" customHeight="1" x14ac:dyDescent="0.2">
      <c r="A432" s="103" t="s">
        <v>122</v>
      </c>
      <c r="B432" s="103" t="s">
        <v>123</v>
      </c>
      <c r="C432" s="35">
        <v>46001</v>
      </c>
      <c r="D432" s="36">
        <v>289</v>
      </c>
      <c r="E432" s="105" t="s">
        <v>421</v>
      </c>
      <c r="F432" s="32">
        <v>0</v>
      </c>
      <c r="G432" s="32">
        <v>150</v>
      </c>
      <c r="H432" s="33">
        <f t="shared" si="10"/>
        <v>668545.74000000162</v>
      </c>
      <c r="I432" s="16" t="s">
        <v>85</v>
      </c>
      <c r="J432" s="15"/>
      <c r="K432" s="15"/>
      <c r="L432" s="175" t="s">
        <v>3</v>
      </c>
      <c r="M432" s="175" t="s">
        <v>39</v>
      </c>
      <c r="N432" s="16"/>
      <c r="O432" s="71"/>
      <c r="P432" s="71"/>
      <c r="Q432" s="71"/>
      <c r="R432" s="71"/>
      <c r="S432" s="71"/>
      <c r="T432" s="71"/>
      <c r="U432" s="71"/>
      <c r="V432" s="71"/>
      <c r="W432" s="71"/>
      <c r="X432" s="71"/>
      <c r="Y432" s="71"/>
      <c r="Z432" s="71"/>
      <c r="AA432" s="71"/>
      <c r="AB432" s="71"/>
    </row>
    <row r="433" spans="1:28" s="72" customFormat="1" ht="13.5" customHeight="1" x14ac:dyDescent="0.2">
      <c r="A433" s="74" t="s">
        <v>122</v>
      </c>
      <c r="B433" s="200" t="s">
        <v>123</v>
      </c>
      <c r="C433" s="234">
        <v>46002</v>
      </c>
      <c r="D433" s="235">
        <v>111</v>
      </c>
      <c r="E433" s="240" t="s">
        <v>465</v>
      </c>
      <c r="F433" s="77">
        <v>0</v>
      </c>
      <c r="G433" s="77">
        <v>550</v>
      </c>
      <c r="H433" s="225">
        <f t="shared" si="10"/>
        <v>667995.74000000162</v>
      </c>
      <c r="I433" s="77" t="s">
        <v>134</v>
      </c>
      <c r="J433" s="236"/>
      <c r="K433" s="236"/>
      <c r="L433" s="226" t="s">
        <v>3</v>
      </c>
      <c r="M433" s="226" t="s">
        <v>15</v>
      </c>
      <c r="N433" s="79"/>
      <c r="O433" s="71"/>
      <c r="P433" s="71"/>
      <c r="Q433" s="71"/>
      <c r="R433" s="71"/>
      <c r="S433" s="71"/>
      <c r="T433" s="71"/>
      <c r="U433" s="71"/>
      <c r="V433" s="71"/>
      <c r="W433" s="71"/>
      <c r="X433" s="71"/>
      <c r="Y433" s="71"/>
      <c r="Z433" s="71"/>
      <c r="AA433" s="71"/>
      <c r="AB433" s="71"/>
    </row>
    <row r="434" spans="1:28" s="72" customFormat="1" x14ac:dyDescent="0.2">
      <c r="A434" s="103" t="s">
        <v>122</v>
      </c>
      <c r="B434" s="103" t="s">
        <v>123</v>
      </c>
      <c r="C434" s="35">
        <v>46008</v>
      </c>
      <c r="D434" s="36">
        <v>290</v>
      </c>
      <c r="E434" s="105" t="s">
        <v>265</v>
      </c>
      <c r="F434" s="32">
        <v>0</v>
      </c>
      <c r="G434" s="32">
        <v>200</v>
      </c>
      <c r="H434" s="33">
        <f t="shared" si="10"/>
        <v>667795.74000000162</v>
      </c>
      <c r="I434" s="16" t="s">
        <v>454</v>
      </c>
      <c r="J434" s="15"/>
      <c r="K434" s="15"/>
      <c r="L434" s="175" t="s">
        <v>3</v>
      </c>
      <c r="M434" s="175" t="s">
        <v>39</v>
      </c>
      <c r="N434" s="16"/>
      <c r="O434" s="71"/>
      <c r="P434" s="71"/>
      <c r="Q434" s="71"/>
      <c r="R434" s="71"/>
      <c r="S434" s="71"/>
      <c r="T434" s="71"/>
      <c r="U434" s="71"/>
      <c r="V434" s="71"/>
      <c r="W434" s="71"/>
      <c r="X434" s="71"/>
      <c r="Y434" s="71"/>
      <c r="Z434" s="71"/>
      <c r="AA434" s="71"/>
      <c r="AB434" s="71"/>
    </row>
    <row r="435" spans="1:28" s="72" customFormat="1" ht="13.5" customHeight="1" x14ac:dyDescent="0.2">
      <c r="A435" s="103" t="s">
        <v>122</v>
      </c>
      <c r="B435" s="103" t="s">
        <v>123</v>
      </c>
      <c r="C435" s="35">
        <v>46008</v>
      </c>
      <c r="D435" s="36">
        <v>291</v>
      </c>
      <c r="E435" s="105" t="s">
        <v>265</v>
      </c>
      <c r="F435" s="32">
        <v>0</v>
      </c>
      <c r="G435" s="32">
        <v>1200</v>
      </c>
      <c r="H435" s="33">
        <f t="shared" si="10"/>
        <v>666595.74000000162</v>
      </c>
      <c r="I435" s="16" t="s">
        <v>455</v>
      </c>
      <c r="J435" s="15"/>
      <c r="K435" s="15"/>
      <c r="L435" s="175" t="s">
        <v>3</v>
      </c>
      <c r="M435" s="175" t="s">
        <v>39</v>
      </c>
      <c r="N435" s="16"/>
      <c r="O435" s="71"/>
      <c r="P435" s="71"/>
      <c r="Q435" s="71"/>
      <c r="R435" s="71"/>
      <c r="S435" s="71"/>
      <c r="T435" s="71"/>
      <c r="U435" s="71"/>
      <c r="V435" s="71"/>
      <c r="W435" s="71"/>
      <c r="X435" s="71"/>
      <c r="Y435" s="71"/>
      <c r="Z435" s="71"/>
      <c r="AA435" s="71"/>
      <c r="AB435" s="71"/>
    </row>
    <row r="436" spans="1:28" s="72" customFormat="1" ht="13.5" customHeight="1" x14ac:dyDescent="0.2">
      <c r="A436" s="103" t="s">
        <v>122</v>
      </c>
      <c r="B436" s="103" t="s">
        <v>123</v>
      </c>
      <c r="C436" s="35">
        <v>46008</v>
      </c>
      <c r="D436" s="36">
        <v>292</v>
      </c>
      <c r="E436" s="105" t="s">
        <v>265</v>
      </c>
      <c r="F436" s="32">
        <v>0</v>
      </c>
      <c r="G436" s="32">
        <v>1350</v>
      </c>
      <c r="H436" s="33">
        <f t="shared" si="10"/>
        <v>665245.74000000162</v>
      </c>
      <c r="I436" s="16" t="s">
        <v>455</v>
      </c>
      <c r="J436" s="15"/>
      <c r="K436" s="15"/>
      <c r="L436" s="175" t="s">
        <v>3</v>
      </c>
      <c r="M436" s="175" t="s">
        <v>39</v>
      </c>
      <c r="N436" s="16"/>
      <c r="O436" s="71"/>
      <c r="P436" s="71"/>
      <c r="Q436" s="71"/>
      <c r="R436" s="71"/>
      <c r="S436" s="71"/>
      <c r="T436" s="71"/>
      <c r="U436" s="71"/>
      <c r="V436" s="71"/>
      <c r="W436" s="71"/>
      <c r="X436" s="71"/>
      <c r="Y436" s="71"/>
      <c r="Z436" s="71"/>
      <c r="AA436" s="71"/>
      <c r="AB436" s="71"/>
    </row>
    <row r="437" spans="1:28" s="72" customFormat="1" ht="13.5" customHeight="1" x14ac:dyDescent="0.2">
      <c r="A437" s="198" t="s">
        <v>125</v>
      </c>
      <c r="B437" s="198" t="s">
        <v>126</v>
      </c>
      <c r="C437" s="201">
        <v>46008</v>
      </c>
      <c r="D437" s="206">
        <v>37</v>
      </c>
      <c r="E437" s="209" t="s">
        <v>427</v>
      </c>
      <c r="F437" s="212">
        <v>6751</v>
      </c>
      <c r="G437" s="212">
        <v>0</v>
      </c>
      <c r="H437" s="33">
        <f t="shared" si="10"/>
        <v>671996.74000000162</v>
      </c>
      <c r="I437" s="212" t="s">
        <v>383</v>
      </c>
      <c r="J437" s="217"/>
      <c r="K437" s="217"/>
      <c r="L437" s="219"/>
      <c r="M437" s="219"/>
      <c r="N437" s="217"/>
      <c r="O437" s="71"/>
      <c r="P437" s="71"/>
      <c r="Q437" s="71"/>
      <c r="R437" s="71"/>
      <c r="S437" s="71"/>
      <c r="T437" s="71"/>
      <c r="U437" s="71"/>
      <c r="V437" s="71"/>
      <c r="W437" s="71"/>
      <c r="X437" s="71"/>
      <c r="Y437" s="71"/>
      <c r="Z437" s="71"/>
      <c r="AA437" s="71"/>
      <c r="AB437" s="71"/>
    </row>
    <row r="438" spans="1:28" s="72" customFormat="1" ht="13.5" customHeight="1" x14ac:dyDescent="0.2">
      <c r="A438" s="103" t="s">
        <v>122</v>
      </c>
      <c r="B438" s="103" t="s">
        <v>123</v>
      </c>
      <c r="C438" s="35">
        <v>46011</v>
      </c>
      <c r="D438" s="36">
        <v>293</v>
      </c>
      <c r="E438" s="105" t="s">
        <v>265</v>
      </c>
      <c r="F438" s="32">
        <v>0</v>
      </c>
      <c r="G438" s="32">
        <v>490</v>
      </c>
      <c r="H438" s="33">
        <f t="shared" si="10"/>
        <v>671506.74000000162</v>
      </c>
      <c r="I438" s="16" t="s">
        <v>387</v>
      </c>
      <c r="J438" s="15"/>
      <c r="K438" s="15"/>
      <c r="L438" s="175" t="s">
        <v>3</v>
      </c>
      <c r="M438" s="175" t="s">
        <v>39</v>
      </c>
      <c r="N438" s="16"/>
      <c r="O438" s="71"/>
      <c r="P438" s="71"/>
      <c r="Q438" s="71"/>
      <c r="R438" s="71"/>
      <c r="S438" s="71"/>
      <c r="T438" s="71"/>
      <c r="U438" s="71"/>
      <c r="V438" s="71"/>
      <c r="W438" s="71"/>
      <c r="X438" s="71"/>
      <c r="Y438" s="71"/>
      <c r="Z438" s="71"/>
      <c r="AA438" s="71"/>
      <c r="AB438" s="71"/>
    </row>
    <row r="439" spans="1:28" s="72" customFormat="1" ht="13.5" customHeight="1" x14ac:dyDescent="0.2">
      <c r="A439" s="103" t="s">
        <v>122</v>
      </c>
      <c r="B439" s="103" t="s">
        <v>123</v>
      </c>
      <c r="C439" s="35">
        <v>46011</v>
      </c>
      <c r="D439" s="36">
        <v>293</v>
      </c>
      <c r="E439" s="105" t="s">
        <v>458</v>
      </c>
      <c r="F439" s="32">
        <v>0</v>
      </c>
      <c r="G439" s="32">
        <v>2000</v>
      </c>
      <c r="H439" s="33">
        <f t="shared" si="10"/>
        <v>669506.74000000162</v>
      </c>
      <c r="I439" s="16" t="s">
        <v>87</v>
      </c>
      <c r="J439" s="15"/>
      <c r="K439" s="15"/>
      <c r="L439" s="175" t="s">
        <v>3</v>
      </c>
      <c r="M439" s="175" t="s">
        <v>63</v>
      </c>
      <c r="N439" s="16"/>
      <c r="O439" s="71"/>
      <c r="P439" s="71"/>
      <c r="Q439" s="71"/>
      <c r="R439" s="71"/>
      <c r="S439" s="71"/>
      <c r="T439" s="71"/>
      <c r="U439" s="71"/>
      <c r="V439" s="71"/>
      <c r="W439" s="71"/>
      <c r="X439" s="71"/>
      <c r="Y439" s="71"/>
      <c r="Z439" s="71"/>
      <c r="AA439" s="71"/>
      <c r="AB439" s="71"/>
    </row>
    <row r="440" spans="1:28" s="72" customFormat="1" ht="13.5" customHeight="1" x14ac:dyDescent="0.2">
      <c r="A440" s="103" t="s">
        <v>122</v>
      </c>
      <c r="B440" s="103" t="s">
        <v>123</v>
      </c>
      <c r="C440" s="35">
        <v>46016</v>
      </c>
      <c r="D440" s="36">
        <v>294</v>
      </c>
      <c r="E440" s="243" t="s">
        <v>459</v>
      </c>
      <c r="F440" s="32">
        <v>0</v>
      </c>
      <c r="G440" s="32">
        <v>11142</v>
      </c>
      <c r="H440" s="33">
        <f t="shared" si="10"/>
        <v>658364.74000000162</v>
      </c>
      <c r="I440" s="16" t="s">
        <v>237</v>
      </c>
      <c r="J440" s="15"/>
      <c r="K440" s="15"/>
      <c r="L440" s="179" t="s">
        <v>3</v>
      </c>
      <c r="M440" s="179" t="s">
        <v>27</v>
      </c>
      <c r="N440" s="16"/>
      <c r="O440" s="71"/>
      <c r="P440" s="71"/>
      <c r="Q440" s="71"/>
      <c r="R440" s="71"/>
      <c r="S440" s="71"/>
      <c r="T440" s="71"/>
      <c r="U440" s="71"/>
      <c r="V440" s="71"/>
      <c r="W440" s="71"/>
      <c r="X440" s="71"/>
      <c r="Y440" s="71"/>
      <c r="Z440" s="71"/>
      <c r="AA440" s="71"/>
      <c r="AB440" s="71"/>
    </row>
    <row r="441" spans="1:28" s="72" customFormat="1" ht="13.5" customHeight="1" x14ac:dyDescent="0.2">
      <c r="A441" s="103" t="s">
        <v>122</v>
      </c>
      <c r="B441" s="103" t="s">
        <v>123</v>
      </c>
      <c r="C441" s="35">
        <v>46016</v>
      </c>
      <c r="D441" s="36">
        <v>295</v>
      </c>
      <c r="E441" s="105" t="s">
        <v>460</v>
      </c>
      <c r="F441" s="32">
        <v>0</v>
      </c>
      <c r="G441" s="32">
        <v>100</v>
      </c>
      <c r="H441" s="33">
        <f t="shared" si="10"/>
        <v>658264.74000000162</v>
      </c>
      <c r="I441" s="16" t="s">
        <v>103</v>
      </c>
      <c r="J441" s="15"/>
      <c r="K441" s="15"/>
      <c r="L441" s="175" t="s">
        <v>3</v>
      </c>
      <c r="M441" s="175" t="s">
        <v>39</v>
      </c>
      <c r="N441" s="16"/>
      <c r="O441" s="71"/>
      <c r="P441" s="71"/>
      <c r="Q441" s="71"/>
      <c r="R441" s="71"/>
      <c r="S441" s="71"/>
      <c r="T441" s="71"/>
      <c r="U441" s="71"/>
      <c r="V441" s="71"/>
      <c r="W441" s="71"/>
      <c r="X441" s="71"/>
      <c r="Y441" s="71"/>
      <c r="Z441" s="71"/>
      <c r="AA441" s="71"/>
      <c r="AB441" s="71"/>
    </row>
    <row r="442" spans="1:28" s="72" customFormat="1" ht="13.5" customHeight="1" x14ac:dyDescent="0.2">
      <c r="A442" s="103" t="s">
        <v>122</v>
      </c>
      <c r="B442" s="103" t="s">
        <v>123</v>
      </c>
      <c r="C442" s="35">
        <v>46016</v>
      </c>
      <c r="D442" s="36">
        <v>296</v>
      </c>
      <c r="E442" s="105" t="s">
        <v>421</v>
      </c>
      <c r="F442" s="32">
        <v>0</v>
      </c>
      <c r="G442" s="32">
        <v>175</v>
      </c>
      <c r="H442" s="33">
        <f t="shared" si="10"/>
        <v>658089.74000000162</v>
      </c>
      <c r="I442" s="16" t="s">
        <v>85</v>
      </c>
      <c r="J442" s="15"/>
      <c r="K442" s="15"/>
      <c r="L442" s="175" t="s">
        <v>3</v>
      </c>
      <c r="M442" s="175" t="s">
        <v>39</v>
      </c>
      <c r="N442" s="16"/>
      <c r="O442" s="71"/>
      <c r="P442" s="71"/>
      <c r="Q442" s="71"/>
      <c r="R442" s="71"/>
      <c r="S442" s="71"/>
      <c r="T442" s="71"/>
      <c r="U442" s="71"/>
      <c r="V442" s="71"/>
      <c r="W442" s="71"/>
      <c r="X442" s="71"/>
      <c r="Y442" s="71"/>
      <c r="Z442" s="71"/>
      <c r="AA442" s="71"/>
      <c r="AB442" s="71"/>
    </row>
    <row r="443" spans="1:28" s="72" customFormat="1" ht="13.5" customHeight="1" x14ac:dyDescent="0.2">
      <c r="A443" s="103" t="s">
        <v>122</v>
      </c>
      <c r="B443" s="103" t="s">
        <v>123</v>
      </c>
      <c r="C443" s="35">
        <v>46016</v>
      </c>
      <c r="D443" s="36">
        <v>297</v>
      </c>
      <c r="E443" s="105" t="s">
        <v>461</v>
      </c>
      <c r="F443" s="32">
        <v>0</v>
      </c>
      <c r="G443" s="32">
        <v>320</v>
      </c>
      <c r="H443" s="33">
        <f t="shared" si="10"/>
        <v>657769.74000000162</v>
      </c>
      <c r="I443" s="16" t="s">
        <v>85</v>
      </c>
      <c r="J443" s="15"/>
      <c r="K443" s="15"/>
      <c r="L443" s="175" t="s">
        <v>3</v>
      </c>
      <c r="M443" s="175" t="s">
        <v>39</v>
      </c>
      <c r="N443" s="16"/>
      <c r="O443" s="71"/>
      <c r="P443" s="71"/>
      <c r="Q443" s="71"/>
      <c r="R443" s="71"/>
      <c r="S443" s="71"/>
      <c r="T443" s="71"/>
      <c r="U443" s="71"/>
      <c r="V443" s="71"/>
      <c r="W443" s="71"/>
      <c r="X443" s="71"/>
      <c r="Y443" s="71"/>
      <c r="Z443" s="71"/>
      <c r="AA443" s="71"/>
      <c r="AB443" s="71"/>
    </row>
    <row r="444" spans="1:28" s="72" customFormat="1" ht="13.5" customHeight="1" x14ac:dyDescent="0.2">
      <c r="A444" s="51" t="s">
        <v>122</v>
      </c>
      <c r="B444" s="52" t="s">
        <v>123</v>
      </c>
      <c r="C444" s="234">
        <v>46024</v>
      </c>
      <c r="D444" s="235">
        <v>111</v>
      </c>
      <c r="E444" s="111" t="s">
        <v>445</v>
      </c>
      <c r="F444" s="77">
        <v>0</v>
      </c>
      <c r="G444" s="77">
        <v>427.6</v>
      </c>
      <c r="H444" s="224">
        <f t="shared" si="10"/>
        <v>657342.14000000164</v>
      </c>
      <c r="I444" s="55" t="s">
        <v>134</v>
      </c>
      <c r="J444" s="236"/>
      <c r="K444" s="236"/>
      <c r="L444" s="226" t="s">
        <v>3</v>
      </c>
      <c r="M444" s="226" t="s">
        <v>15</v>
      </c>
      <c r="N444" s="79"/>
      <c r="O444" s="71"/>
      <c r="P444" s="71"/>
      <c r="Q444" s="71"/>
      <c r="R444" s="71"/>
      <c r="S444" s="71"/>
      <c r="T444" s="71"/>
      <c r="U444" s="71"/>
      <c r="V444" s="71"/>
      <c r="W444" s="71"/>
      <c r="X444" s="71"/>
      <c r="Y444" s="71"/>
      <c r="Z444" s="71"/>
      <c r="AA444" s="71"/>
      <c r="AB444" s="71"/>
    </row>
    <row r="445" spans="1:28" s="72" customFormat="1" ht="13.5" customHeight="1" x14ac:dyDescent="0.2">
      <c r="A445" s="12" t="s">
        <v>122</v>
      </c>
      <c r="B445" s="13" t="s">
        <v>123</v>
      </c>
      <c r="C445" s="203">
        <v>46026</v>
      </c>
      <c r="D445" s="222">
        <v>111</v>
      </c>
      <c r="E445" s="114" t="s">
        <v>468</v>
      </c>
      <c r="F445" s="50">
        <v>0</v>
      </c>
      <c r="G445" s="50">
        <v>520</v>
      </c>
      <c r="H445" s="33">
        <f t="shared" si="10"/>
        <v>656822.14000000164</v>
      </c>
      <c r="I445" s="32" t="s">
        <v>134</v>
      </c>
      <c r="J445" s="48"/>
      <c r="K445" s="48"/>
      <c r="L445" s="177" t="s">
        <v>3</v>
      </c>
      <c r="M445" s="177" t="s">
        <v>15</v>
      </c>
      <c r="N445" s="47"/>
      <c r="O445" s="71"/>
      <c r="P445" s="71"/>
      <c r="Q445" s="71"/>
      <c r="R445" s="71"/>
      <c r="S445" s="71"/>
      <c r="T445" s="71"/>
      <c r="U445" s="71"/>
      <c r="V445" s="71"/>
      <c r="W445" s="71"/>
      <c r="X445" s="71"/>
      <c r="Y445" s="71"/>
      <c r="Z445" s="71"/>
      <c r="AA445" s="71"/>
      <c r="AB445" s="71"/>
    </row>
    <row r="446" spans="1:28" s="72" customFormat="1" ht="13.5" customHeight="1" x14ac:dyDescent="0.2">
      <c r="A446" s="42" t="s">
        <v>122</v>
      </c>
      <c r="B446" s="43" t="s">
        <v>123</v>
      </c>
      <c r="C446" s="203">
        <v>46030</v>
      </c>
      <c r="D446" s="222">
        <v>111</v>
      </c>
      <c r="E446" s="110" t="s">
        <v>445</v>
      </c>
      <c r="F446" s="50">
        <v>0</v>
      </c>
      <c r="G446" s="50">
        <v>402</v>
      </c>
      <c r="H446" s="223">
        <f t="shared" si="10"/>
        <v>656420.14000000164</v>
      </c>
      <c r="I446" s="50" t="s">
        <v>134</v>
      </c>
      <c r="J446" s="48"/>
      <c r="K446" s="48"/>
      <c r="L446" s="177" t="s">
        <v>3</v>
      </c>
      <c r="M446" s="177" t="s">
        <v>15</v>
      </c>
      <c r="N446" s="47"/>
      <c r="O446" s="71"/>
      <c r="P446" s="71"/>
      <c r="Q446" s="71"/>
      <c r="R446" s="71"/>
      <c r="S446" s="71"/>
      <c r="T446" s="71"/>
      <c r="U446" s="71"/>
      <c r="V446" s="71"/>
      <c r="W446" s="71"/>
      <c r="X446" s="71"/>
      <c r="Y446" s="71"/>
      <c r="Z446" s="71"/>
      <c r="AA446" s="71"/>
      <c r="AB446" s="71"/>
    </row>
    <row r="447" spans="1:28" s="72" customFormat="1" ht="13.5" customHeight="1" x14ac:dyDescent="0.2">
      <c r="A447" s="103" t="s">
        <v>122</v>
      </c>
      <c r="B447" s="103" t="s">
        <v>123</v>
      </c>
      <c r="C447" s="35">
        <v>46032</v>
      </c>
      <c r="D447" s="36">
        <v>298</v>
      </c>
      <c r="E447" s="108" t="s">
        <v>462</v>
      </c>
      <c r="F447" s="32">
        <v>0</v>
      </c>
      <c r="G447" s="32">
        <v>7253</v>
      </c>
      <c r="H447" s="33">
        <f t="shared" si="10"/>
        <v>649167.14000000164</v>
      </c>
      <c r="I447" s="16" t="s">
        <v>237</v>
      </c>
      <c r="J447" s="15"/>
      <c r="K447" s="15"/>
      <c r="L447" s="179" t="s">
        <v>3</v>
      </c>
      <c r="M447" s="179" t="s">
        <v>27</v>
      </c>
      <c r="N447" s="16"/>
      <c r="O447" s="71"/>
      <c r="P447" s="71"/>
      <c r="Q447" s="71"/>
      <c r="R447" s="71"/>
      <c r="S447" s="71"/>
      <c r="T447" s="71"/>
      <c r="U447" s="71"/>
      <c r="V447" s="71"/>
      <c r="W447" s="71"/>
      <c r="X447" s="71"/>
      <c r="Y447" s="71"/>
      <c r="Z447" s="71"/>
      <c r="AA447" s="71"/>
      <c r="AB447" s="71"/>
    </row>
    <row r="448" spans="1:28" s="72" customFormat="1" ht="13.5" customHeight="1" x14ac:dyDescent="0.2">
      <c r="A448" s="103" t="s">
        <v>122</v>
      </c>
      <c r="B448" s="103" t="s">
        <v>123</v>
      </c>
      <c r="C448" s="35">
        <v>46032</v>
      </c>
      <c r="D448" s="36">
        <v>299</v>
      </c>
      <c r="E448" s="105" t="s">
        <v>463</v>
      </c>
      <c r="F448" s="32">
        <v>0</v>
      </c>
      <c r="G448" s="32">
        <v>216</v>
      </c>
      <c r="H448" s="33">
        <f t="shared" si="10"/>
        <v>648951.14000000164</v>
      </c>
      <c r="I448" s="16" t="s">
        <v>262</v>
      </c>
      <c r="J448" s="15"/>
      <c r="K448" s="15"/>
      <c r="L448" s="175" t="s">
        <v>3</v>
      </c>
      <c r="M448" s="175" t="s">
        <v>39</v>
      </c>
      <c r="N448" s="16"/>
      <c r="O448" s="71"/>
      <c r="P448" s="71"/>
      <c r="Q448" s="71"/>
      <c r="R448" s="71"/>
      <c r="S448" s="71"/>
      <c r="T448" s="71"/>
      <c r="U448" s="71"/>
      <c r="V448" s="71"/>
      <c r="W448" s="71"/>
      <c r="X448" s="71"/>
      <c r="Y448" s="71"/>
      <c r="Z448" s="71"/>
      <c r="AA448" s="71"/>
      <c r="AB448" s="71"/>
    </row>
    <row r="449" spans="1:28" s="72" customFormat="1" ht="13.5" customHeight="1" x14ac:dyDescent="0.2">
      <c r="A449" s="51" t="s">
        <v>122</v>
      </c>
      <c r="B449" s="52" t="s">
        <v>123</v>
      </c>
      <c r="C449" s="234">
        <v>46032</v>
      </c>
      <c r="D449" s="235">
        <v>111</v>
      </c>
      <c r="E449" s="211" t="s">
        <v>445</v>
      </c>
      <c r="F449" s="77">
        <v>0</v>
      </c>
      <c r="G449" s="77">
        <v>399.39</v>
      </c>
      <c r="H449" s="224">
        <f t="shared" si="10"/>
        <v>648551.75000000163</v>
      </c>
      <c r="I449" s="55" t="s">
        <v>134</v>
      </c>
      <c r="J449" s="236"/>
      <c r="K449" s="236"/>
      <c r="L449" s="226" t="s">
        <v>3</v>
      </c>
      <c r="M449" s="226" t="s">
        <v>15</v>
      </c>
      <c r="N449" s="79"/>
      <c r="O449" s="71"/>
      <c r="P449" s="71"/>
      <c r="Q449" s="71"/>
      <c r="R449" s="71"/>
      <c r="S449" s="71"/>
      <c r="T449" s="71"/>
      <c r="U449" s="71"/>
      <c r="V449" s="71"/>
      <c r="W449" s="71"/>
      <c r="X449" s="71"/>
      <c r="Y449" s="71"/>
      <c r="Z449" s="71"/>
      <c r="AA449" s="71"/>
      <c r="AB449" s="71"/>
    </row>
    <row r="450" spans="1:28" s="72" customFormat="1" ht="13.5" customHeight="1" x14ac:dyDescent="0.2">
      <c r="A450" s="12" t="s">
        <v>122</v>
      </c>
      <c r="B450" s="13" t="s">
        <v>123</v>
      </c>
      <c r="C450" s="203">
        <v>46032</v>
      </c>
      <c r="D450" s="222">
        <v>111</v>
      </c>
      <c r="E450" s="105" t="s">
        <v>469</v>
      </c>
      <c r="F450" s="50">
        <v>0</v>
      </c>
      <c r="G450" s="50">
        <v>523.29999999999995</v>
      </c>
      <c r="H450" s="33">
        <f t="shared" si="10"/>
        <v>648028.45000000158</v>
      </c>
      <c r="I450" s="32" t="s">
        <v>134</v>
      </c>
      <c r="J450" s="48"/>
      <c r="K450" s="48"/>
      <c r="L450" s="177" t="s">
        <v>3</v>
      </c>
      <c r="M450" s="177" t="s">
        <v>15</v>
      </c>
      <c r="N450" s="47"/>
      <c r="O450" s="71"/>
      <c r="P450" s="71"/>
      <c r="Q450" s="71"/>
      <c r="R450" s="71"/>
      <c r="S450" s="71"/>
      <c r="T450" s="71"/>
      <c r="U450" s="71"/>
      <c r="V450" s="71"/>
      <c r="W450" s="71"/>
      <c r="X450" s="71"/>
      <c r="Y450" s="71"/>
      <c r="Z450" s="71"/>
      <c r="AA450" s="71"/>
      <c r="AB450" s="71"/>
    </row>
    <row r="451" spans="1:28" s="72" customFormat="1" ht="13.5" customHeight="1" x14ac:dyDescent="0.2">
      <c r="A451" s="12" t="s">
        <v>122</v>
      </c>
      <c r="B451" s="13" t="s">
        <v>123</v>
      </c>
      <c r="C451" s="203">
        <v>46035</v>
      </c>
      <c r="D451" s="222">
        <v>111</v>
      </c>
      <c r="E451" s="108" t="s">
        <v>445</v>
      </c>
      <c r="F451" s="50">
        <v>0</v>
      </c>
      <c r="G451" s="50">
        <v>402</v>
      </c>
      <c r="H451" s="33">
        <f t="shared" si="10"/>
        <v>647626.45000000158</v>
      </c>
      <c r="I451" s="32" t="s">
        <v>134</v>
      </c>
      <c r="J451" s="48"/>
      <c r="K451" s="48"/>
      <c r="L451" s="177" t="s">
        <v>3</v>
      </c>
      <c r="M451" s="177" t="s">
        <v>15</v>
      </c>
      <c r="N451" s="47"/>
      <c r="O451" s="71"/>
      <c r="P451" s="71"/>
      <c r="Q451" s="71"/>
      <c r="R451" s="71"/>
      <c r="S451" s="71"/>
      <c r="T451" s="71"/>
      <c r="U451" s="71"/>
      <c r="V451" s="71"/>
      <c r="W451" s="71"/>
      <c r="X451" s="71"/>
      <c r="Y451" s="71"/>
      <c r="Z451" s="71"/>
      <c r="AA451" s="71"/>
      <c r="AB451" s="71"/>
    </row>
    <row r="452" spans="1:28" s="72" customFormat="1" ht="13.5" customHeight="1" x14ac:dyDescent="0.2">
      <c r="A452" s="12" t="s">
        <v>122</v>
      </c>
      <c r="B452" s="13" t="s">
        <v>123</v>
      </c>
      <c r="C452" s="203">
        <v>46036</v>
      </c>
      <c r="D452" s="222">
        <v>111</v>
      </c>
      <c r="E452" s="110" t="s">
        <v>445</v>
      </c>
      <c r="F452" s="50">
        <v>0</v>
      </c>
      <c r="G452" s="50">
        <v>402</v>
      </c>
      <c r="H452" s="33">
        <f t="shared" si="10"/>
        <v>647224.45000000158</v>
      </c>
      <c r="I452" s="32" t="s">
        <v>134</v>
      </c>
      <c r="J452" s="48"/>
      <c r="K452" s="48"/>
      <c r="L452" s="177" t="s">
        <v>3</v>
      </c>
      <c r="M452" s="177" t="s">
        <v>15</v>
      </c>
      <c r="N452" s="47"/>
      <c r="O452" s="71"/>
      <c r="P452" s="71"/>
      <c r="Q452" s="71"/>
      <c r="R452" s="71"/>
      <c r="S452" s="71"/>
      <c r="T452" s="71"/>
      <c r="U452" s="71"/>
      <c r="V452" s="71"/>
      <c r="W452" s="71"/>
      <c r="X452" s="71"/>
      <c r="Y452" s="71"/>
      <c r="Z452" s="71"/>
      <c r="AA452" s="71"/>
      <c r="AB452" s="71"/>
    </row>
    <row r="453" spans="1:28" s="72" customFormat="1" ht="13.5" customHeight="1" x14ac:dyDescent="0.2">
      <c r="A453" s="12" t="s">
        <v>122</v>
      </c>
      <c r="B453" s="13" t="s">
        <v>123</v>
      </c>
      <c r="C453" s="203">
        <v>46036</v>
      </c>
      <c r="D453" s="222">
        <v>111</v>
      </c>
      <c r="E453" s="108" t="s">
        <v>445</v>
      </c>
      <c r="F453" s="50">
        <v>0</v>
      </c>
      <c r="G453" s="50">
        <v>402</v>
      </c>
      <c r="H453" s="33">
        <f t="shared" si="10"/>
        <v>646822.45000000158</v>
      </c>
      <c r="I453" s="32" t="s">
        <v>134</v>
      </c>
      <c r="J453" s="48"/>
      <c r="K453" s="48"/>
      <c r="L453" s="177" t="s">
        <v>3</v>
      </c>
      <c r="M453" s="177" t="s">
        <v>15</v>
      </c>
      <c r="N453" s="47"/>
      <c r="O453" s="71"/>
      <c r="P453" s="71"/>
      <c r="Q453" s="71"/>
      <c r="R453" s="71"/>
      <c r="S453" s="71"/>
      <c r="T453" s="71"/>
      <c r="U453" s="71"/>
      <c r="V453" s="71"/>
      <c r="W453" s="71"/>
      <c r="X453" s="71"/>
      <c r="Y453" s="71"/>
      <c r="Z453" s="71"/>
      <c r="AA453" s="71"/>
      <c r="AB453" s="71"/>
    </row>
    <row r="454" spans="1:28" s="72" customFormat="1" ht="13.5" customHeight="1" x14ac:dyDescent="0.2">
      <c r="A454" s="12" t="s">
        <v>122</v>
      </c>
      <c r="B454" s="13" t="s">
        <v>123</v>
      </c>
      <c r="C454" s="203">
        <v>46375</v>
      </c>
      <c r="D454" s="222">
        <v>111</v>
      </c>
      <c r="E454" s="105" t="s">
        <v>466</v>
      </c>
      <c r="F454" s="50">
        <v>0</v>
      </c>
      <c r="G454" s="50">
        <v>600.13</v>
      </c>
      <c r="H454" s="33">
        <f t="shared" si="10"/>
        <v>646222.32000000158</v>
      </c>
      <c r="I454" s="32" t="s">
        <v>134</v>
      </c>
      <c r="J454" s="48"/>
      <c r="K454" s="48"/>
      <c r="L454" s="177" t="s">
        <v>3</v>
      </c>
      <c r="M454" s="177" t="s">
        <v>15</v>
      </c>
      <c r="N454" s="47"/>
      <c r="O454" s="71"/>
      <c r="P454" s="71"/>
      <c r="Q454" s="71"/>
      <c r="R454" s="71"/>
      <c r="S454" s="71"/>
      <c r="T454" s="71"/>
      <c r="U454" s="71"/>
      <c r="V454" s="71"/>
      <c r="W454" s="71"/>
      <c r="X454" s="71"/>
      <c r="Y454" s="71"/>
      <c r="Z454" s="71"/>
      <c r="AA454" s="71"/>
      <c r="AB454" s="71"/>
    </row>
    <row r="455" spans="1:28" s="72" customFormat="1" ht="13.5" customHeight="1" x14ac:dyDescent="0.2">
      <c r="A455" s="42" t="s">
        <v>122</v>
      </c>
      <c r="B455" s="43" t="s">
        <v>123</v>
      </c>
      <c r="C455" s="203">
        <v>46382</v>
      </c>
      <c r="D455" s="222">
        <v>111</v>
      </c>
      <c r="E455" s="114" t="s">
        <v>467</v>
      </c>
      <c r="F455" s="50">
        <v>0</v>
      </c>
      <c r="G455" s="50">
        <v>550</v>
      </c>
      <c r="H455" s="223">
        <f t="shared" si="10"/>
        <v>645672.32000000158</v>
      </c>
      <c r="I455" s="50" t="s">
        <v>134</v>
      </c>
      <c r="J455" s="48"/>
      <c r="K455" s="48"/>
      <c r="L455" s="177" t="s">
        <v>3</v>
      </c>
      <c r="M455" s="177" t="s">
        <v>15</v>
      </c>
      <c r="N455" s="47"/>
      <c r="O455" s="71"/>
      <c r="P455" s="71"/>
      <c r="Q455" s="71"/>
      <c r="R455" s="71"/>
      <c r="S455" s="71"/>
      <c r="T455" s="71"/>
      <c r="U455" s="71"/>
      <c r="V455" s="71"/>
      <c r="W455" s="71"/>
      <c r="X455" s="71"/>
      <c r="Y455" s="71"/>
      <c r="Z455" s="71"/>
      <c r="AA455" s="71"/>
      <c r="AB455" s="71"/>
    </row>
    <row r="456" spans="1:28" s="72" customFormat="1" ht="13.5" customHeight="1" x14ac:dyDescent="0.2">
      <c r="A456" s="103" t="s">
        <v>122</v>
      </c>
      <c r="B456" s="103" t="s">
        <v>123</v>
      </c>
      <c r="C456" s="35">
        <v>46037</v>
      </c>
      <c r="D456" s="36">
        <v>300</v>
      </c>
      <c r="E456" s="105" t="s">
        <v>470</v>
      </c>
      <c r="F456" s="32">
        <v>0</v>
      </c>
      <c r="G456" s="32">
        <v>75</v>
      </c>
      <c r="H456" s="33">
        <f t="shared" si="10"/>
        <v>645597.32000000158</v>
      </c>
      <c r="I456" s="16" t="s">
        <v>102</v>
      </c>
      <c r="J456" s="15"/>
      <c r="K456" s="15"/>
      <c r="L456" s="175" t="s">
        <v>3</v>
      </c>
      <c r="M456" s="175" t="s">
        <v>39</v>
      </c>
      <c r="N456" s="16"/>
      <c r="O456" s="71"/>
      <c r="P456" s="71"/>
      <c r="Q456" s="71"/>
      <c r="R456" s="71"/>
      <c r="S456" s="71"/>
      <c r="T456" s="71"/>
      <c r="U456" s="71"/>
      <c r="V456" s="71"/>
      <c r="W456" s="71"/>
      <c r="X456" s="71"/>
      <c r="Y456" s="71"/>
      <c r="Z456" s="71"/>
      <c r="AA456" s="71"/>
      <c r="AB456" s="71"/>
    </row>
    <row r="457" spans="1:28" s="72" customFormat="1" ht="13.5" customHeight="1" x14ac:dyDescent="0.2">
      <c r="A457" s="103" t="s">
        <v>122</v>
      </c>
      <c r="B457" s="103" t="s">
        <v>123</v>
      </c>
      <c r="C457" s="35">
        <v>46048</v>
      </c>
      <c r="D457" s="36">
        <v>301</v>
      </c>
      <c r="E457" s="105" t="s">
        <v>471</v>
      </c>
      <c r="F457" s="32">
        <v>0</v>
      </c>
      <c r="G457" s="32">
        <v>130</v>
      </c>
      <c r="H457" s="33">
        <f t="shared" si="10"/>
        <v>645467.32000000158</v>
      </c>
      <c r="I457" s="16"/>
      <c r="J457" s="15"/>
      <c r="K457" s="15"/>
      <c r="L457" s="175" t="s">
        <v>3</v>
      </c>
      <c r="M457" s="175" t="s">
        <v>63</v>
      </c>
      <c r="N457" s="16"/>
      <c r="O457" s="71"/>
      <c r="P457" s="71"/>
      <c r="Q457" s="71"/>
      <c r="R457" s="71"/>
      <c r="S457" s="71"/>
      <c r="T457" s="71"/>
      <c r="U457" s="71"/>
      <c r="V457" s="71"/>
      <c r="W457" s="71"/>
      <c r="X457" s="71"/>
      <c r="Y457" s="71"/>
      <c r="Z457" s="71"/>
      <c r="AA457" s="71"/>
      <c r="AB457" s="71"/>
    </row>
    <row r="458" spans="1:28" s="72" customFormat="1" ht="13.5" customHeight="1" x14ac:dyDescent="0.2">
      <c r="A458" s="103" t="s">
        <v>122</v>
      </c>
      <c r="B458" s="103" t="s">
        <v>123</v>
      </c>
      <c r="C458" s="35">
        <v>46048</v>
      </c>
      <c r="D458" s="36">
        <v>302</v>
      </c>
      <c r="E458" s="105" t="s">
        <v>463</v>
      </c>
      <c r="F458" s="32">
        <v>0</v>
      </c>
      <c r="G458" s="32">
        <v>204</v>
      </c>
      <c r="H458" s="33">
        <f t="shared" si="10"/>
        <v>645263.32000000158</v>
      </c>
      <c r="I458" s="16" t="s">
        <v>433</v>
      </c>
      <c r="J458" s="15"/>
      <c r="K458" s="15"/>
      <c r="L458" s="175" t="s">
        <v>3</v>
      </c>
      <c r="M458" s="175" t="s">
        <v>39</v>
      </c>
      <c r="N458" s="16"/>
      <c r="O458" s="71"/>
      <c r="P458" s="71"/>
      <c r="Q458" s="71"/>
      <c r="R458" s="71"/>
      <c r="S458" s="71"/>
      <c r="T458" s="71"/>
      <c r="U458" s="71"/>
      <c r="V458" s="71"/>
      <c r="W458" s="71"/>
      <c r="X458" s="71"/>
      <c r="Y458" s="71"/>
      <c r="Z458" s="71"/>
      <c r="AA458" s="71"/>
      <c r="AB458" s="71"/>
    </row>
    <row r="459" spans="1:28" s="72" customFormat="1" ht="13.5" customHeight="1" x14ac:dyDescent="0.2">
      <c r="A459" s="103" t="s">
        <v>122</v>
      </c>
      <c r="B459" s="103" t="s">
        <v>123</v>
      </c>
      <c r="C459" s="35">
        <v>46050</v>
      </c>
      <c r="D459" s="36">
        <v>303</v>
      </c>
      <c r="E459" s="108" t="s">
        <v>472</v>
      </c>
      <c r="F459" s="32">
        <v>0</v>
      </c>
      <c r="G459" s="32">
        <v>9041</v>
      </c>
      <c r="H459" s="33">
        <f t="shared" si="10"/>
        <v>636222.32000000158</v>
      </c>
      <c r="I459" s="16" t="s">
        <v>237</v>
      </c>
      <c r="J459" s="15"/>
      <c r="K459" s="15"/>
      <c r="L459" s="179" t="s">
        <v>3</v>
      </c>
      <c r="M459" s="179" t="s">
        <v>27</v>
      </c>
      <c r="N459" s="16"/>
      <c r="O459" s="71"/>
      <c r="P459" s="71"/>
      <c r="Q459" s="71"/>
      <c r="R459" s="71"/>
      <c r="S459" s="71"/>
      <c r="T459" s="71"/>
      <c r="U459" s="71"/>
      <c r="V459" s="71"/>
      <c r="W459" s="71"/>
      <c r="X459" s="71"/>
      <c r="Y459" s="71"/>
      <c r="Z459" s="71"/>
      <c r="AA459" s="71"/>
      <c r="AB459" s="71"/>
    </row>
    <row r="460" spans="1:28" s="72" customFormat="1" ht="13.5" customHeight="1" x14ac:dyDescent="0.2">
      <c r="A460" s="103" t="s">
        <v>122</v>
      </c>
      <c r="B460" s="103" t="s">
        <v>123</v>
      </c>
      <c r="C460" s="35">
        <v>46055</v>
      </c>
      <c r="D460" s="36">
        <v>304</v>
      </c>
      <c r="E460" s="175" t="s">
        <v>474</v>
      </c>
      <c r="F460" s="32">
        <v>0</v>
      </c>
      <c r="G460" s="32">
        <v>823</v>
      </c>
      <c r="H460" s="33">
        <f t="shared" si="10"/>
        <v>635399.32000000158</v>
      </c>
      <c r="I460" s="16" t="s">
        <v>473</v>
      </c>
      <c r="J460" s="15"/>
      <c r="K460" s="15"/>
      <c r="L460" s="175" t="s">
        <v>3</v>
      </c>
      <c r="M460" s="175" t="s">
        <v>39</v>
      </c>
      <c r="N460" s="16"/>
      <c r="O460" s="71"/>
      <c r="P460" s="71"/>
      <c r="Q460" s="71"/>
      <c r="R460" s="71"/>
      <c r="S460" s="71"/>
      <c r="T460" s="71"/>
      <c r="U460" s="71"/>
      <c r="V460" s="71"/>
      <c r="W460" s="71"/>
      <c r="X460" s="71"/>
      <c r="Y460" s="71"/>
      <c r="Z460" s="71"/>
      <c r="AA460" s="71"/>
      <c r="AB460" s="71"/>
    </row>
    <row r="461" spans="1:28" s="72" customFormat="1" ht="13.5" customHeight="1" x14ac:dyDescent="0.2">
      <c r="A461" s="103" t="s">
        <v>122</v>
      </c>
      <c r="B461" s="103" t="s">
        <v>123</v>
      </c>
      <c r="C461" s="35">
        <v>46062</v>
      </c>
      <c r="D461" s="36">
        <v>305</v>
      </c>
      <c r="E461" s="105" t="s">
        <v>475</v>
      </c>
      <c r="F461" s="32">
        <v>0</v>
      </c>
      <c r="G461" s="32">
        <v>1070</v>
      </c>
      <c r="H461" s="33">
        <f t="shared" si="10"/>
        <v>634329.32000000158</v>
      </c>
      <c r="I461" s="16" t="s">
        <v>387</v>
      </c>
      <c r="J461" s="15"/>
      <c r="K461" s="15"/>
      <c r="L461" s="175" t="s">
        <v>3</v>
      </c>
      <c r="M461" s="175" t="s">
        <v>39</v>
      </c>
      <c r="N461" s="16"/>
      <c r="O461" s="71"/>
      <c r="P461" s="71"/>
      <c r="Q461" s="71"/>
      <c r="R461" s="71"/>
      <c r="S461" s="71"/>
      <c r="T461" s="71"/>
      <c r="U461" s="71"/>
      <c r="V461" s="71"/>
      <c r="W461" s="71"/>
      <c r="X461" s="71"/>
      <c r="Y461" s="71"/>
      <c r="Z461" s="71"/>
      <c r="AA461" s="71"/>
      <c r="AB461" s="71"/>
    </row>
    <row r="462" spans="1:28" s="72" customFormat="1" ht="13.5" customHeight="1" x14ac:dyDescent="0.2">
      <c r="A462" s="103" t="s">
        <v>122</v>
      </c>
      <c r="B462" s="103" t="s">
        <v>123</v>
      </c>
      <c r="C462" s="35">
        <v>46063</v>
      </c>
      <c r="D462" s="36">
        <v>306</v>
      </c>
      <c r="E462" s="108" t="s">
        <v>476</v>
      </c>
      <c r="F462" s="32">
        <v>0</v>
      </c>
      <c r="G462" s="32">
        <v>7484.6</v>
      </c>
      <c r="H462" s="33">
        <f t="shared" si="10"/>
        <v>626844.7200000016</v>
      </c>
      <c r="I462" s="16" t="s">
        <v>237</v>
      </c>
      <c r="J462" s="15"/>
      <c r="K462" s="15"/>
      <c r="L462" s="179" t="s">
        <v>3</v>
      </c>
      <c r="M462" s="179" t="s">
        <v>27</v>
      </c>
      <c r="N462" s="16"/>
      <c r="O462" s="71"/>
      <c r="P462" s="71"/>
      <c r="Q462" s="71"/>
      <c r="R462" s="71"/>
      <c r="S462" s="71"/>
      <c r="T462" s="71"/>
      <c r="U462" s="71"/>
      <c r="V462" s="71"/>
      <c r="W462" s="71"/>
      <c r="X462" s="71"/>
      <c r="Y462" s="71"/>
      <c r="Z462" s="71"/>
      <c r="AA462" s="71"/>
      <c r="AB462" s="71"/>
    </row>
    <row r="463" spans="1:28" x14ac:dyDescent="0.2">
      <c r="A463" s="103" t="s">
        <v>122</v>
      </c>
      <c r="B463" s="103" t="s">
        <v>123</v>
      </c>
      <c r="C463" s="14">
        <v>46073</v>
      </c>
      <c r="D463" s="26">
        <v>307</v>
      </c>
      <c r="E463" s="108" t="s">
        <v>477</v>
      </c>
      <c r="F463" s="32">
        <v>0</v>
      </c>
      <c r="G463" s="32">
        <v>500</v>
      </c>
      <c r="H463" s="33">
        <f t="shared" si="10"/>
        <v>626344.7200000016</v>
      </c>
      <c r="I463" s="16" t="s">
        <v>478</v>
      </c>
      <c r="J463" s="16"/>
      <c r="K463" s="16"/>
      <c r="L463" s="175" t="s">
        <v>3</v>
      </c>
      <c r="M463" s="175" t="s">
        <v>39</v>
      </c>
      <c r="N463" s="16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</row>
    <row r="464" spans="1:28" x14ac:dyDescent="0.2">
      <c r="A464" s="38" t="s">
        <v>122</v>
      </c>
      <c r="B464" s="38" t="s">
        <v>123</v>
      </c>
      <c r="C464" s="39">
        <v>46077</v>
      </c>
      <c r="D464" s="26">
        <v>308</v>
      </c>
      <c r="E464" s="69" t="s">
        <v>479</v>
      </c>
      <c r="F464" s="15">
        <v>0</v>
      </c>
      <c r="G464" s="15">
        <v>300</v>
      </c>
      <c r="H464" s="33">
        <f t="shared" si="10"/>
        <v>626044.7200000016</v>
      </c>
      <c r="I464" s="15"/>
      <c r="J464" s="15"/>
      <c r="K464" s="15"/>
      <c r="L464" s="15"/>
      <c r="M464" s="15"/>
      <c r="N464" s="15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</row>
    <row r="465" spans="1:28" x14ac:dyDescent="0.2">
      <c r="A465" s="103" t="s">
        <v>122</v>
      </c>
      <c r="B465" s="103" t="s">
        <v>123</v>
      </c>
      <c r="C465" s="14">
        <v>46078</v>
      </c>
      <c r="D465" s="26">
        <v>309</v>
      </c>
      <c r="E465" s="108" t="s">
        <v>214</v>
      </c>
      <c r="F465" s="32">
        <v>0</v>
      </c>
      <c r="G465" s="32">
        <v>2000</v>
      </c>
      <c r="H465" s="33">
        <f>H464+F465-G465</f>
        <v>624044.7200000016</v>
      </c>
      <c r="I465" s="16" t="s">
        <v>483</v>
      </c>
      <c r="J465" s="16"/>
      <c r="K465" s="16"/>
      <c r="L465" s="175" t="s">
        <v>3</v>
      </c>
      <c r="M465" s="175" t="s">
        <v>39</v>
      </c>
      <c r="N465" s="16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</row>
    <row r="466" spans="1:28" x14ac:dyDescent="0.2">
      <c r="A466" s="103" t="s">
        <v>122</v>
      </c>
      <c r="B466" s="103" t="s">
        <v>123</v>
      </c>
      <c r="C466" s="14">
        <v>46079</v>
      </c>
      <c r="D466" s="26">
        <v>310</v>
      </c>
      <c r="E466" s="108" t="s">
        <v>484</v>
      </c>
      <c r="F466" s="32">
        <v>0</v>
      </c>
      <c r="G466" s="32">
        <v>5812</v>
      </c>
      <c r="H466" s="33">
        <f t="shared" si="10"/>
        <v>618232.7200000016</v>
      </c>
      <c r="I466" s="16" t="s">
        <v>237</v>
      </c>
      <c r="J466" s="16"/>
      <c r="K466" s="16"/>
      <c r="L466" s="179" t="s">
        <v>3</v>
      </c>
      <c r="M466" s="179" t="s">
        <v>27</v>
      </c>
      <c r="N466" s="16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</row>
    <row r="467" spans="1:28" x14ac:dyDescent="0.2">
      <c r="A467" s="103" t="s">
        <v>122</v>
      </c>
      <c r="B467" s="103" t="s">
        <v>123</v>
      </c>
      <c r="C467" s="14">
        <v>46091</v>
      </c>
      <c r="D467" s="26">
        <v>311</v>
      </c>
      <c r="E467" s="108" t="s">
        <v>485</v>
      </c>
      <c r="F467" s="32">
        <v>0</v>
      </c>
      <c r="G467" s="32">
        <v>8905.68</v>
      </c>
      <c r="H467" s="33">
        <f t="shared" si="10"/>
        <v>609327.04000000155</v>
      </c>
      <c r="I467" s="16" t="s">
        <v>237</v>
      </c>
      <c r="J467" s="16"/>
      <c r="K467" s="16"/>
      <c r="L467" s="179" t="s">
        <v>3</v>
      </c>
      <c r="M467" s="179" t="s">
        <v>27</v>
      </c>
      <c r="N467" s="16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</row>
    <row r="468" spans="1:28" x14ac:dyDescent="0.2">
      <c r="A468" s="103" t="s">
        <v>122</v>
      </c>
      <c r="B468" s="103" t="s">
        <v>123</v>
      </c>
      <c r="C468" s="14">
        <v>46091</v>
      </c>
      <c r="D468" s="26">
        <v>312</v>
      </c>
      <c r="E468" s="108" t="s">
        <v>214</v>
      </c>
      <c r="F468" s="32">
        <v>0</v>
      </c>
      <c r="G468" s="32">
        <v>3000</v>
      </c>
      <c r="H468" s="33">
        <f t="shared" si="10"/>
        <v>606327.04000000155</v>
      </c>
      <c r="I468" s="16" t="s">
        <v>483</v>
      </c>
      <c r="J468" s="16"/>
      <c r="K468" s="16"/>
      <c r="L468" s="175" t="s">
        <v>3</v>
      </c>
      <c r="M468" s="175" t="s">
        <v>39</v>
      </c>
      <c r="N468" s="16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</row>
    <row r="469" spans="1:28" x14ac:dyDescent="0.2">
      <c r="A469" s="103" t="s">
        <v>122</v>
      </c>
      <c r="B469" s="103" t="s">
        <v>123</v>
      </c>
      <c r="C469" s="14">
        <v>46092</v>
      </c>
      <c r="D469" s="26">
        <v>313</v>
      </c>
      <c r="E469" s="108" t="s">
        <v>488</v>
      </c>
      <c r="F469" s="32">
        <v>0</v>
      </c>
      <c r="G469" s="32">
        <v>250</v>
      </c>
      <c r="H469" s="33">
        <f t="shared" si="10"/>
        <v>606077.04000000155</v>
      </c>
      <c r="I469" s="16" t="s">
        <v>397</v>
      </c>
      <c r="J469" s="16"/>
      <c r="K469" s="16"/>
      <c r="L469" s="175" t="s">
        <v>3</v>
      </c>
      <c r="M469" s="175" t="s">
        <v>39</v>
      </c>
      <c r="N469" s="16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</row>
    <row r="470" spans="1:28" x14ac:dyDescent="0.2">
      <c r="A470" s="103" t="s">
        <v>122</v>
      </c>
      <c r="B470" s="103" t="s">
        <v>123</v>
      </c>
      <c r="C470" s="14">
        <v>46093</v>
      </c>
      <c r="D470" s="26">
        <v>314</v>
      </c>
      <c r="E470" s="108" t="s">
        <v>489</v>
      </c>
      <c r="F470" s="32">
        <v>0</v>
      </c>
      <c r="G470" s="32">
        <v>11448</v>
      </c>
      <c r="H470" s="33">
        <f t="shared" si="10"/>
        <v>594629.04000000155</v>
      </c>
      <c r="I470" s="16" t="s">
        <v>237</v>
      </c>
      <c r="J470" s="16"/>
      <c r="K470" s="16"/>
      <c r="L470" s="179" t="s">
        <v>3</v>
      </c>
      <c r="M470" s="179" t="s">
        <v>27</v>
      </c>
      <c r="N470" s="16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</row>
    <row r="471" spans="1:28" x14ac:dyDescent="0.2">
      <c r="A471" s="103" t="s">
        <v>122</v>
      </c>
      <c r="B471" s="103" t="s">
        <v>123</v>
      </c>
      <c r="C471" s="14">
        <v>46094</v>
      </c>
      <c r="D471" s="26">
        <v>315</v>
      </c>
      <c r="E471" s="108" t="s">
        <v>490</v>
      </c>
      <c r="F471" s="32">
        <v>0</v>
      </c>
      <c r="G471" s="32">
        <v>52</v>
      </c>
      <c r="H471" s="33">
        <f t="shared" si="10"/>
        <v>594577.04000000155</v>
      </c>
      <c r="I471" s="16" t="s">
        <v>361</v>
      </c>
      <c r="J471" s="16"/>
      <c r="K471" s="16"/>
      <c r="L471" s="175" t="s">
        <v>3</v>
      </c>
      <c r="M471" s="175" t="s">
        <v>39</v>
      </c>
      <c r="N471" s="16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</row>
    <row r="472" spans="1:28" x14ac:dyDescent="0.2">
      <c r="A472" s="103" t="s">
        <v>122</v>
      </c>
      <c r="B472" s="103" t="s">
        <v>123</v>
      </c>
      <c r="C472" s="14">
        <v>46095</v>
      </c>
      <c r="D472" s="26">
        <v>316</v>
      </c>
      <c r="E472" s="108" t="s">
        <v>491</v>
      </c>
      <c r="F472" s="32">
        <v>0</v>
      </c>
      <c r="G472" s="32">
        <v>58</v>
      </c>
      <c r="H472" s="33">
        <f t="shared" si="10"/>
        <v>594519.04000000155</v>
      </c>
      <c r="I472" s="16" t="s">
        <v>492</v>
      </c>
      <c r="J472" s="16"/>
      <c r="K472" s="16"/>
      <c r="L472" s="175" t="s">
        <v>3</v>
      </c>
      <c r="M472" s="175" t="s">
        <v>27</v>
      </c>
      <c r="N472" s="16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</row>
    <row r="473" spans="1:28" x14ac:dyDescent="0.2">
      <c r="A473" s="103" t="s">
        <v>122</v>
      </c>
      <c r="B473" s="103" t="s">
        <v>123</v>
      </c>
      <c r="C473" s="14">
        <v>46107</v>
      </c>
      <c r="D473" s="26">
        <v>317</v>
      </c>
      <c r="E473" s="108" t="s">
        <v>493</v>
      </c>
      <c r="F473" s="32">
        <v>0</v>
      </c>
      <c r="G473" s="32">
        <v>150</v>
      </c>
      <c r="H473" s="33">
        <f t="shared" si="10"/>
        <v>594369.04000000155</v>
      </c>
      <c r="I473" s="16"/>
      <c r="J473" s="16"/>
      <c r="K473" s="16"/>
      <c r="L473" s="175" t="s">
        <v>3</v>
      </c>
      <c r="M473" s="175" t="s">
        <v>39</v>
      </c>
      <c r="N473" s="16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</row>
    <row r="474" spans="1:28" x14ac:dyDescent="0.2">
      <c r="A474" s="103" t="s">
        <v>122</v>
      </c>
      <c r="B474" s="103" t="s">
        <v>123</v>
      </c>
      <c r="C474" s="14">
        <v>46108</v>
      </c>
      <c r="D474" s="26">
        <v>318</v>
      </c>
      <c r="E474" s="108" t="s">
        <v>460</v>
      </c>
      <c r="F474" s="32">
        <v>0</v>
      </c>
      <c r="G474" s="32">
        <v>150</v>
      </c>
      <c r="H474" s="33">
        <f t="shared" si="10"/>
        <v>594219.04000000155</v>
      </c>
      <c r="I474" s="16" t="s">
        <v>103</v>
      </c>
      <c r="J474" s="16"/>
      <c r="K474" s="16"/>
      <c r="L474" s="175" t="s">
        <v>3</v>
      </c>
      <c r="M474" s="175" t="s">
        <v>39</v>
      </c>
      <c r="N474" s="16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</row>
    <row r="475" spans="1:28" x14ac:dyDescent="0.2">
      <c r="A475" s="103" t="s">
        <v>122</v>
      </c>
      <c r="B475" s="103" t="s">
        <v>123</v>
      </c>
      <c r="C475" s="14">
        <v>46109</v>
      </c>
      <c r="D475" s="26">
        <v>319</v>
      </c>
      <c r="E475" s="108" t="s">
        <v>460</v>
      </c>
      <c r="F475" s="32">
        <v>0</v>
      </c>
      <c r="G475" s="32">
        <v>40</v>
      </c>
      <c r="H475" s="33">
        <f t="shared" si="10"/>
        <v>594179.04000000155</v>
      </c>
      <c r="I475" s="16" t="s">
        <v>494</v>
      </c>
      <c r="J475" s="16"/>
      <c r="K475" s="16"/>
      <c r="L475" s="175" t="s">
        <v>3</v>
      </c>
      <c r="M475" s="175" t="s">
        <v>39</v>
      </c>
      <c r="N475" s="16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</row>
    <row r="476" spans="1:28" x14ac:dyDescent="0.2">
      <c r="A476" s="103" t="s">
        <v>122</v>
      </c>
      <c r="B476" s="103" t="s">
        <v>123</v>
      </c>
      <c r="C476" s="14">
        <v>46110</v>
      </c>
      <c r="D476" s="26">
        <v>320</v>
      </c>
      <c r="E476" s="108" t="s">
        <v>495</v>
      </c>
      <c r="F476" s="32">
        <v>0</v>
      </c>
      <c r="G476" s="32">
        <v>140</v>
      </c>
      <c r="H476" s="33">
        <f t="shared" si="10"/>
        <v>594039.04000000155</v>
      </c>
      <c r="I476" s="16" t="s">
        <v>496</v>
      </c>
      <c r="J476" s="16"/>
      <c r="K476" s="16"/>
      <c r="L476" s="175" t="s">
        <v>3</v>
      </c>
      <c r="M476" s="175" t="s">
        <v>39</v>
      </c>
      <c r="N476" s="16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</row>
    <row r="477" spans="1:28" x14ac:dyDescent="0.2">
      <c r="A477" s="103" t="s">
        <v>122</v>
      </c>
      <c r="B477" s="103" t="s">
        <v>123</v>
      </c>
      <c r="C477" s="14">
        <v>46111</v>
      </c>
      <c r="D477" s="26">
        <v>321</v>
      </c>
      <c r="E477" s="108" t="s">
        <v>497</v>
      </c>
      <c r="F477" s="32">
        <v>0</v>
      </c>
      <c r="G477" s="32">
        <v>407</v>
      </c>
      <c r="H477" s="33">
        <f t="shared" si="10"/>
        <v>593632.04000000155</v>
      </c>
      <c r="I477" s="16" t="s">
        <v>498</v>
      </c>
      <c r="J477" s="16"/>
      <c r="K477" s="16"/>
      <c r="L477" s="177" t="s">
        <v>3</v>
      </c>
      <c r="M477" s="177" t="s">
        <v>15</v>
      </c>
      <c r="N477" s="16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</row>
    <row r="478" spans="1:28" x14ac:dyDescent="0.2">
      <c r="A478" s="103" t="s">
        <v>122</v>
      </c>
      <c r="B478" s="103" t="s">
        <v>123</v>
      </c>
      <c r="C478" s="14">
        <v>46112</v>
      </c>
      <c r="D478" s="26">
        <v>322</v>
      </c>
      <c r="E478" s="108" t="s">
        <v>499</v>
      </c>
      <c r="F478" s="32">
        <v>0</v>
      </c>
      <c r="G478" s="32">
        <v>450</v>
      </c>
      <c r="H478" s="33">
        <f t="shared" si="10"/>
        <v>593182.04000000155</v>
      </c>
      <c r="I478" s="16" t="s">
        <v>500</v>
      </c>
      <c r="J478" s="16"/>
      <c r="K478" s="16"/>
      <c r="L478" s="175" t="s">
        <v>3</v>
      </c>
      <c r="M478" s="175" t="s">
        <v>39</v>
      </c>
      <c r="N478" s="16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</row>
    <row r="479" spans="1:28" x14ac:dyDescent="0.2">
      <c r="A479" s="103" t="s">
        <v>122</v>
      </c>
      <c r="B479" s="103" t="s">
        <v>123</v>
      </c>
      <c r="C479" s="256">
        <v>46122</v>
      </c>
      <c r="D479" s="26">
        <v>323</v>
      </c>
      <c r="E479" s="108" t="s">
        <v>501</v>
      </c>
      <c r="F479" s="32">
        <v>0</v>
      </c>
      <c r="G479" s="32">
        <v>21642</v>
      </c>
      <c r="H479" s="33">
        <f t="shared" si="10"/>
        <v>571540.04000000155</v>
      </c>
      <c r="I479" s="16" t="s">
        <v>237</v>
      </c>
      <c r="J479" s="257"/>
      <c r="K479" s="257"/>
      <c r="L479" s="179" t="s">
        <v>3</v>
      </c>
      <c r="M479" s="179" t="s">
        <v>27</v>
      </c>
      <c r="N479" s="25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</row>
    <row r="480" spans="1:28" x14ac:dyDescent="0.2">
      <c r="A480" s="38" t="s">
        <v>122</v>
      </c>
      <c r="B480" s="38" t="s">
        <v>123</v>
      </c>
      <c r="C480" s="294">
        <v>46122</v>
      </c>
      <c r="D480" s="295">
        <v>324</v>
      </c>
      <c r="E480" s="298" t="s">
        <v>479</v>
      </c>
      <c r="F480" s="15">
        <v>0</v>
      </c>
      <c r="G480" s="15">
        <v>5000</v>
      </c>
      <c r="H480" s="296">
        <f t="shared" si="10"/>
        <v>566540.04000000155</v>
      </c>
      <c r="I480" s="297"/>
      <c r="J480" s="297"/>
      <c r="K480" s="297"/>
      <c r="L480" s="15" t="s">
        <v>3</v>
      </c>
      <c r="M480" s="15" t="s">
        <v>39</v>
      </c>
      <c r="N480" s="29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</row>
    <row r="481" spans="1:28" x14ac:dyDescent="0.2">
      <c r="A481" s="38" t="s">
        <v>122</v>
      </c>
      <c r="B481" s="38" t="s">
        <v>123</v>
      </c>
      <c r="C481" s="294">
        <v>46123</v>
      </c>
      <c r="D481" s="295">
        <v>325</v>
      </c>
      <c r="E481" s="298" t="s">
        <v>479</v>
      </c>
      <c r="F481" s="15">
        <v>0</v>
      </c>
      <c r="G481" s="15">
        <v>20000</v>
      </c>
      <c r="H481" s="296">
        <f t="shared" ref="H481" si="11">H480+F481-G481</f>
        <v>546540.04000000155</v>
      </c>
      <c r="I481" s="297"/>
      <c r="J481" s="297"/>
      <c r="K481" s="297"/>
      <c r="L481" s="15" t="s">
        <v>3</v>
      </c>
      <c r="M481" s="15" t="s">
        <v>39</v>
      </c>
      <c r="N481" s="29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</row>
    <row r="482" spans="1:28" x14ac:dyDescent="0.2">
      <c r="A482" s="4"/>
      <c r="B482" s="4"/>
      <c r="C482" s="4"/>
      <c r="D482" s="27"/>
      <c r="E482" s="107"/>
      <c r="F482" s="4"/>
      <c r="G482" s="4"/>
      <c r="H482" s="4"/>
      <c r="I482" s="4"/>
      <c r="J482" s="4"/>
      <c r="K482" s="4"/>
      <c r="L482" s="174"/>
      <c r="M482" s="174"/>
      <c r="N482" s="4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</row>
    <row r="483" spans="1:28" x14ac:dyDescent="0.2">
      <c r="A483" s="4"/>
      <c r="B483" s="4"/>
      <c r="C483" s="4"/>
      <c r="D483" s="27"/>
      <c r="E483" s="107"/>
      <c r="F483" s="4"/>
      <c r="G483" s="4"/>
      <c r="H483" s="4"/>
      <c r="I483" s="4"/>
      <c r="J483" s="4"/>
      <c r="K483" s="4"/>
      <c r="L483" s="174"/>
      <c r="M483" s="174"/>
      <c r="N483" s="4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</row>
    <row r="484" spans="1:28" x14ac:dyDescent="0.2">
      <c r="A484" s="4"/>
      <c r="B484" s="4"/>
      <c r="C484" s="4"/>
      <c r="D484" s="27"/>
      <c r="E484" s="107"/>
      <c r="F484" s="4"/>
      <c r="G484" s="4"/>
      <c r="H484" s="4"/>
      <c r="I484" s="4"/>
      <c r="J484" s="4"/>
      <c r="K484" s="4"/>
      <c r="L484" s="174"/>
      <c r="M484" s="174"/>
      <c r="N484" s="4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</row>
    <row r="485" spans="1:28" ht="15.75" customHeight="1" x14ac:dyDescent="0.2">
      <c r="A485" s="4"/>
      <c r="B485" s="4"/>
      <c r="C485" s="4"/>
      <c r="D485" s="27"/>
      <c r="E485" s="107"/>
      <c r="F485" s="4"/>
      <c r="G485" s="4"/>
      <c r="H485" s="4"/>
      <c r="I485" s="4"/>
      <c r="J485" s="4"/>
      <c r="K485" s="4"/>
      <c r="L485" s="174"/>
      <c r="M485" s="174"/>
      <c r="N485" s="4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</row>
    <row r="486" spans="1:28" x14ac:dyDescent="0.2">
      <c r="A486" s="4"/>
      <c r="B486" s="4"/>
      <c r="C486" s="4"/>
      <c r="D486" s="27"/>
      <c r="E486" s="107"/>
      <c r="F486" s="4"/>
      <c r="G486" s="4"/>
      <c r="H486" s="4"/>
      <c r="I486" s="4"/>
      <c r="J486" s="4"/>
      <c r="K486" s="4"/>
      <c r="L486" s="174"/>
      <c r="M486" s="174"/>
      <c r="N486" s="4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</row>
    <row r="487" spans="1:28" x14ac:dyDescent="0.2">
      <c r="A487" s="4"/>
      <c r="B487" s="4"/>
      <c r="C487" s="4"/>
      <c r="D487" s="27"/>
      <c r="E487" s="107"/>
      <c r="F487" s="4"/>
      <c r="G487" s="4"/>
      <c r="H487" s="4"/>
      <c r="I487" s="4"/>
      <c r="J487" s="4"/>
      <c r="K487" s="4"/>
      <c r="L487" s="174"/>
      <c r="M487" s="174"/>
      <c r="N487" s="4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</row>
    <row r="488" spans="1:28" x14ac:dyDescent="0.2">
      <c r="A488" s="4"/>
      <c r="B488" s="4"/>
      <c r="C488" s="4"/>
      <c r="D488" s="27"/>
      <c r="E488" s="107"/>
      <c r="F488" s="4"/>
      <c r="G488" s="4"/>
      <c r="H488" s="4"/>
      <c r="I488" s="4"/>
      <c r="J488" s="4"/>
      <c r="K488" s="4"/>
      <c r="L488" s="174"/>
      <c r="M488" s="174"/>
      <c r="N488" s="4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</row>
    <row r="489" spans="1:28" x14ac:dyDescent="0.2">
      <c r="A489" s="4"/>
      <c r="B489" s="4"/>
      <c r="C489" s="4"/>
      <c r="D489" s="27"/>
      <c r="E489" s="107"/>
      <c r="F489" s="4"/>
      <c r="G489" s="4"/>
      <c r="H489" s="4"/>
      <c r="I489" s="4"/>
      <c r="J489" s="4"/>
      <c r="K489" s="4"/>
      <c r="L489" s="174"/>
      <c r="M489" s="174"/>
      <c r="N489" s="4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</row>
    <row r="490" spans="1:28" x14ac:dyDescent="0.2">
      <c r="A490" s="4"/>
      <c r="B490" s="4"/>
      <c r="C490" s="4"/>
      <c r="D490" s="27"/>
      <c r="E490" s="107"/>
      <c r="F490" s="4"/>
      <c r="G490" s="4"/>
      <c r="H490" s="4"/>
      <c r="I490" s="4"/>
      <c r="J490" s="4"/>
      <c r="K490" s="4"/>
      <c r="L490" s="174"/>
      <c r="M490" s="174"/>
      <c r="N490" s="4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</row>
    <row r="491" spans="1:28" x14ac:dyDescent="0.2">
      <c r="A491" s="4"/>
      <c r="B491" s="4"/>
      <c r="C491" s="4"/>
      <c r="D491" s="27"/>
      <c r="E491" s="107"/>
      <c r="F491" s="4"/>
      <c r="G491" s="4"/>
      <c r="H491" s="4"/>
      <c r="I491" s="4"/>
      <c r="J491" s="4"/>
      <c r="K491" s="4"/>
      <c r="L491" s="174"/>
      <c r="M491" s="174"/>
      <c r="N491" s="4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</row>
    <row r="492" spans="1:28" x14ac:dyDescent="0.2">
      <c r="A492" s="4"/>
      <c r="B492" s="4"/>
      <c r="C492" s="4"/>
      <c r="D492" s="27"/>
      <c r="E492" s="107"/>
      <c r="F492" s="4"/>
      <c r="G492" s="4"/>
      <c r="H492" s="4"/>
      <c r="I492" s="4"/>
      <c r="J492" s="4"/>
      <c r="K492" s="4"/>
      <c r="L492" s="174"/>
      <c r="M492" s="174"/>
      <c r="N492" s="4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</row>
    <row r="493" spans="1:28" x14ac:dyDescent="0.2">
      <c r="A493" s="4"/>
      <c r="B493" s="4"/>
      <c r="C493" s="4"/>
      <c r="D493" s="27"/>
      <c r="E493" s="107"/>
      <c r="F493" s="4"/>
      <c r="G493" s="4"/>
      <c r="H493" s="4"/>
      <c r="I493" s="4"/>
      <c r="J493" s="4"/>
      <c r="K493" s="4"/>
      <c r="L493" s="174"/>
      <c r="M493" s="174"/>
      <c r="N493" s="4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</row>
    <row r="494" spans="1:28" x14ac:dyDescent="0.2">
      <c r="A494" s="4"/>
      <c r="B494" s="4"/>
      <c r="C494" s="4"/>
      <c r="D494" s="27"/>
      <c r="E494" s="107"/>
      <c r="F494" s="4"/>
      <c r="G494" s="4"/>
      <c r="H494" s="4"/>
      <c r="I494" s="4"/>
      <c r="J494" s="4"/>
      <c r="K494" s="4"/>
      <c r="L494" s="174"/>
      <c r="M494" s="174"/>
      <c r="N494" s="4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</row>
    <row r="495" spans="1:28" x14ac:dyDescent="0.2">
      <c r="A495" s="4"/>
      <c r="B495" s="4"/>
      <c r="C495" s="4"/>
      <c r="D495" s="27"/>
      <c r="E495" s="107"/>
      <c r="F495" s="4"/>
      <c r="G495" s="4"/>
      <c r="H495" s="4"/>
      <c r="I495" s="4"/>
      <c r="J495" s="4"/>
      <c r="K495" s="4"/>
      <c r="L495" s="174"/>
      <c r="M495" s="174"/>
      <c r="N495" s="4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</row>
    <row r="496" spans="1:28" x14ac:dyDescent="0.2">
      <c r="A496" s="4"/>
      <c r="B496" s="4"/>
      <c r="C496" s="4"/>
      <c r="D496" s="27"/>
      <c r="E496" s="107"/>
      <c r="F496" s="4"/>
      <c r="G496" s="4"/>
      <c r="H496" s="4"/>
      <c r="I496" s="4"/>
      <c r="J496" s="4"/>
      <c r="K496" s="4"/>
      <c r="L496" s="174"/>
      <c r="M496" s="174"/>
      <c r="N496" s="4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</row>
    <row r="497" spans="1:28" x14ac:dyDescent="0.2">
      <c r="A497" s="4"/>
      <c r="B497" s="4"/>
      <c r="C497" s="4"/>
      <c r="D497" s="27"/>
      <c r="E497" s="107"/>
      <c r="F497" s="4"/>
      <c r="G497" s="4"/>
      <c r="H497" s="4"/>
      <c r="I497" s="4"/>
      <c r="J497" s="4"/>
      <c r="K497" s="4"/>
      <c r="L497" s="174"/>
      <c r="M497" s="174"/>
      <c r="N497" s="4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</row>
    <row r="498" spans="1:28" x14ac:dyDescent="0.2">
      <c r="A498" s="4"/>
      <c r="B498" s="4"/>
      <c r="C498" s="4"/>
      <c r="D498" s="27"/>
      <c r="E498" s="107"/>
      <c r="F498" s="4"/>
      <c r="G498" s="4"/>
      <c r="H498" s="4"/>
      <c r="I498" s="4"/>
      <c r="J498" s="4"/>
      <c r="K498" s="4"/>
      <c r="L498" s="174"/>
      <c r="M498" s="174"/>
      <c r="N498" s="4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</row>
    <row r="499" spans="1:28" x14ac:dyDescent="0.2">
      <c r="A499" s="4"/>
      <c r="B499" s="4"/>
      <c r="C499" s="4"/>
      <c r="D499" s="27"/>
      <c r="E499" s="107"/>
      <c r="F499" s="4"/>
      <c r="G499" s="4"/>
      <c r="H499" s="4"/>
      <c r="I499" s="4"/>
      <c r="J499" s="4"/>
      <c r="K499" s="4"/>
      <c r="L499" s="174"/>
      <c r="M499" s="174"/>
      <c r="N499" s="4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</row>
    <row r="500" spans="1:28" x14ac:dyDescent="0.2">
      <c r="A500" s="4"/>
      <c r="B500" s="4"/>
      <c r="C500" s="4"/>
      <c r="D500" s="27"/>
      <c r="E500" s="107"/>
      <c r="F500" s="4"/>
      <c r="G500" s="4"/>
      <c r="H500" s="4"/>
      <c r="I500" s="4"/>
      <c r="J500" s="4"/>
      <c r="K500" s="4"/>
      <c r="L500" s="174"/>
      <c r="M500" s="174"/>
      <c r="N500" s="4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</row>
    <row r="501" spans="1:28" x14ac:dyDescent="0.2">
      <c r="A501" s="4"/>
      <c r="B501" s="4"/>
      <c r="C501" s="4"/>
      <c r="D501" s="27"/>
      <c r="E501" s="107"/>
      <c r="F501" s="4"/>
      <c r="G501" s="4"/>
      <c r="H501" s="4"/>
      <c r="I501" s="4"/>
      <c r="J501" s="4"/>
      <c r="K501" s="4"/>
      <c r="L501" s="174"/>
      <c r="M501" s="174"/>
      <c r="N501" s="4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</row>
    <row r="502" spans="1:28" x14ac:dyDescent="0.2">
      <c r="A502" s="4"/>
      <c r="B502" s="4"/>
      <c r="C502" s="4"/>
      <c r="D502" s="27"/>
      <c r="E502" s="107"/>
      <c r="F502" s="4"/>
      <c r="G502" s="4"/>
      <c r="H502" s="4"/>
      <c r="I502" s="4"/>
      <c r="J502" s="4"/>
      <c r="K502" s="4"/>
      <c r="L502" s="174"/>
      <c r="M502" s="174"/>
      <c r="N502" s="4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</row>
    <row r="503" spans="1:28" x14ac:dyDescent="0.2">
      <c r="A503" s="4"/>
      <c r="B503" s="4"/>
      <c r="C503" s="4"/>
      <c r="D503" s="27"/>
      <c r="E503" s="107"/>
      <c r="F503" s="4"/>
      <c r="G503" s="4"/>
      <c r="H503" s="4"/>
      <c r="I503" s="4"/>
      <c r="J503" s="4"/>
      <c r="K503" s="4"/>
      <c r="L503" s="174"/>
      <c r="M503" s="174"/>
      <c r="N503" s="4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</row>
    <row r="504" spans="1:28" x14ac:dyDescent="0.2">
      <c r="A504" s="4"/>
      <c r="B504" s="4"/>
      <c r="C504" s="4"/>
      <c r="D504" s="27"/>
      <c r="E504" s="107"/>
      <c r="F504" s="4"/>
      <c r="G504" s="4"/>
      <c r="H504" s="4"/>
      <c r="I504" s="4"/>
      <c r="J504" s="4"/>
      <c r="K504" s="4"/>
      <c r="L504" s="174"/>
      <c r="M504" s="174"/>
      <c r="N504" s="4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</row>
    <row r="505" spans="1:28" x14ac:dyDescent="0.2">
      <c r="A505" s="4"/>
      <c r="B505" s="4"/>
      <c r="C505" s="4"/>
      <c r="D505" s="27"/>
      <c r="E505" s="107"/>
      <c r="F505" s="4"/>
      <c r="G505" s="4"/>
      <c r="H505" s="4"/>
      <c r="I505" s="4"/>
      <c r="J505" s="4"/>
      <c r="K505" s="4"/>
      <c r="L505" s="174"/>
      <c r="M505" s="174"/>
      <c r="N505" s="4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</row>
    <row r="506" spans="1:28" x14ac:dyDescent="0.2">
      <c r="A506" s="4"/>
      <c r="B506" s="4"/>
      <c r="C506" s="4"/>
      <c r="D506" s="27"/>
      <c r="E506" s="107"/>
      <c r="F506" s="4"/>
      <c r="G506" s="4"/>
      <c r="H506" s="4"/>
      <c r="I506" s="4"/>
      <c r="J506" s="4"/>
      <c r="K506" s="4"/>
      <c r="L506" s="174"/>
      <c r="M506" s="174"/>
      <c r="N506" s="4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</row>
    <row r="507" spans="1:28" x14ac:dyDescent="0.2">
      <c r="A507" s="4"/>
      <c r="B507" s="4"/>
      <c r="C507" s="4"/>
      <c r="D507" s="27"/>
      <c r="E507" s="107"/>
      <c r="F507" s="4"/>
      <c r="G507" s="4"/>
      <c r="H507" s="4"/>
      <c r="I507" s="4"/>
      <c r="J507" s="4"/>
      <c r="K507" s="4"/>
      <c r="L507" s="174"/>
      <c r="M507" s="174"/>
      <c r="N507" s="4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</row>
    <row r="508" spans="1:28" x14ac:dyDescent="0.2">
      <c r="A508" s="4"/>
      <c r="B508" s="4"/>
      <c r="C508" s="4"/>
      <c r="D508" s="27"/>
      <c r="E508" s="107"/>
      <c r="F508" s="4"/>
      <c r="G508" s="4"/>
      <c r="H508" s="4"/>
      <c r="I508" s="4"/>
      <c r="J508" s="4"/>
      <c r="K508" s="4"/>
      <c r="L508" s="174"/>
      <c r="M508" s="174"/>
      <c r="N508" s="4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</row>
    <row r="509" spans="1:28" x14ac:dyDescent="0.2">
      <c r="A509" s="4"/>
      <c r="B509" s="4"/>
      <c r="C509" s="4"/>
      <c r="D509" s="27"/>
      <c r="E509" s="107"/>
      <c r="F509" s="4"/>
      <c r="G509" s="4"/>
      <c r="H509" s="4"/>
      <c r="I509" s="4"/>
      <c r="J509" s="4"/>
      <c r="K509" s="4"/>
      <c r="L509" s="174"/>
      <c r="M509" s="174"/>
      <c r="N509" s="4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</row>
    <row r="510" spans="1:28" x14ac:dyDescent="0.2">
      <c r="A510" s="4"/>
      <c r="B510" s="4"/>
      <c r="C510" s="4"/>
      <c r="D510" s="27"/>
      <c r="E510" s="107"/>
      <c r="F510" s="4"/>
      <c r="G510" s="4"/>
      <c r="H510" s="4"/>
      <c r="I510" s="4"/>
      <c r="J510" s="4"/>
      <c r="K510" s="4"/>
      <c r="L510" s="174"/>
      <c r="M510" s="174"/>
      <c r="N510" s="4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</row>
    <row r="511" spans="1:28" x14ac:dyDescent="0.2">
      <c r="A511" s="4"/>
      <c r="B511" s="4"/>
      <c r="C511" s="4"/>
      <c r="D511" s="27"/>
      <c r="E511" s="107"/>
      <c r="F511" s="4"/>
      <c r="G511" s="4"/>
      <c r="H511" s="4"/>
      <c r="I511" s="4"/>
      <c r="J511" s="4"/>
      <c r="K511" s="4"/>
      <c r="L511" s="174"/>
      <c r="M511" s="174"/>
      <c r="N511" s="4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</row>
    <row r="512" spans="1:28" x14ac:dyDescent="0.2">
      <c r="A512" s="4"/>
      <c r="B512" s="4"/>
      <c r="C512" s="4"/>
      <c r="D512" s="27"/>
      <c r="E512" s="107"/>
      <c r="F512" s="4"/>
      <c r="G512" s="4"/>
      <c r="H512" s="4"/>
      <c r="I512" s="4"/>
      <c r="J512" s="4"/>
      <c r="K512" s="4"/>
      <c r="L512" s="174"/>
      <c r="M512" s="174"/>
      <c r="N512" s="4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</row>
    <row r="513" spans="1:28" x14ac:dyDescent="0.2">
      <c r="A513" s="4"/>
      <c r="B513" s="4"/>
      <c r="C513" s="4"/>
      <c r="D513" s="27"/>
      <c r="E513" s="107"/>
      <c r="F513" s="4"/>
      <c r="G513" s="4"/>
      <c r="H513" s="4"/>
      <c r="I513" s="4"/>
      <c r="J513" s="4"/>
      <c r="K513" s="4"/>
      <c r="L513" s="174"/>
      <c r="M513" s="174"/>
      <c r="N513" s="4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</row>
    <row r="514" spans="1:28" x14ac:dyDescent="0.2">
      <c r="A514" s="4"/>
      <c r="B514" s="4"/>
      <c r="C514" s="4"/>
      <c r="D514" s="27"/>
      <c r="E514" s="107"/>
      <c r="F514" s="4"/>
      <c r="G514" s="4"/>
      <c r="H514" s="4"/>
      <c r="I514" s="4"/>
      <c r="J514" s="4"/>
      <c r="K514" s="4"/>
      <c r="L514" s="174"/>
      <c r="M514" s="174"/>
      <c r="N514" s="4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</row>
    <row r="515" spans="1:28" x14ac:dyDescent="0.2">
      <c r="A515" s="4"/>
      <c r="B515" s="4"/>
      <c r="C515" s="4"/>
      <c r="D515" s="27"/>
      <c r="E515" s="107"/>
      <c r="F515" s="4"/>
      <c r="G515" s="4"/>
      <c r="H515" s="4"/>
      <c r="I515" s="4"/>
      <c r="J515" s="4"/>
      <c r="K515" s="4"/>
      <c r="L515" s="174"/>
      <c r="M515" s="174"/>
      <c r="N515" s="4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</row>
    <row r="516" spans="1:28" x14ac:dyDescent="0.2">
      <c r="A516" s="4"/>
      <c r="B516" s="4"/>
      <c r="C516" s="4"/>
      <c r="D516" s="27"/>
      <c r="E516" s="107"/>
      <c r="F516" s="4"/>
      <c r="G516" s="4"/>
      <c r="H516" s="4"/>
      <c r="I516" s="4"/>
      <c r="J516" s="4"/>
      <c r="K516" s="4"/>
      <c r="L516" s="174"/>
      <c r="M516" s="174"/>
      <c r="N516" s="4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</row>
    <row r="517" spans="1:28" x14ac:dyDescent="0.2">
      <c r="A517" s="4"/>
      <c r="B517" s="4"/>
      <c r="C517" s="4"/>
      <c r="D517" s="27"/>
      <c r="E517" s="107"/>
      <c r="F517" s="4"/>
      <c r="G517" s="4"/>
      <c r="H517" s="4"/>
      <c r="I517" s="4"/>
      <c r="J517" s="4"/>
      <c r="K517" s="4"/>
      <c r="L517" s="174"/>
      <c r="M517" s="174"/>
      <c r="N517" s="4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</row>
    <row r="518" spans="1:28" x14ac:dyDescent="0.2">
      <c r="A518" s="4"/>
      <c r="B518" s="4"/>
      <c r="C518" s="4"/>
      <c r="D518" s="27"/>
      <c r="E518" s="107"/>
      <c r="F518" s="4"/>
      <c r="G518" s="4"/>
      <c r="H518" s="4"/>
      <c r="I518" s="4"/>
      <c r="J518" s="4"/>
      <c r="K518" s="4"/>
      <c r="L518" s="174"/>
      <c r="M518" s="174"/>
      <c r="N518" s="4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</row>
    <row r="519" spans="1:28" x14ac:dyDescent="0.2">
      <c r="A519" s="4"/>
      <c r="B519" s="4"/>
      <c r="C519" s="4"/>
      <c r="D519" s="27"/>
      <c r="E519" s="107"/>
      <c r="F519" s="4"/>
      <c r="G519" s="4"/>
      <c r="H519" s="4"/>
      <c r="I519" s="4"/>
      <c r="J519" s="4"/>
      <c r="K519" s="4"/>
      <c r="L519" s="174"/>
      <c r="M519" s="174"/>
      <c r="N519" s="4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</row>
    <row r="520" spans="1:28" x14ac:dyDescent="0.2">
      <c r="A520" s="4"/>
      <c r="B520" s="4"/>
      <c r="C520" s="4"/>
      <c r="D520" s="27"/>
      <c r="E520" s="107"/>
      <c r="F520" s="4"/>
      <c r="G520" s="4"/>
      <c r="H520" s="4"/>
      <c r="I520" s="4"/>
      <c r="J520" s="4"/>
      <c r="K520" s="4"/>
      <c r="L520" s="174"/>
      <c r="M520" s="174"/>
      <c r="N520" s="4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</row>
    <row r="521" spans="1:28" x14ac:dyDescent="0.2">
      <c r="A521" s="4"/>
      <c r="B521" s="4"/>
      <c r="C521" s="4"/>
      <c r="D521" s="27"/>
      <c r="E521" s="107"/>
      <c r="F521" s="4"/>
      <c r="G521" s="4"/>
      <c r="H521" s="4"/>
      <c r="I521" s="4"/>
      <c r="J521" s="4"/>
      <c r="K521" s="4"/>
      <c r="L521" s="174"/>
      <c r="M521" s="174"/>
      <c r="N521" s="4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</row>
    <row r="522" spans="1:28" x14ac:dyDescent="0.2">
      <c r="A522" s="4"/>
      <c r="B522" s="4"/>
      <c r="C522" s="4"/>
      <c r="D522" s="27"/>
      <c r="E522" s="107"/>
      <c r="F522" s="4"/>
      <c r="G522" s="4"/>
      <c r="H522" s="4"/>
      <c r="I522" s="4"/>
      <c r="J522" s="4"/>
      <c r="K522" s="4"/>
      <c r="L522" s="174"/>
      <c r="M522" s="174"/>
      <c r="N522" s="4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</row>
    <row r="523" spans="1:28" x14ac:dyDescent="0.2">
      <c r="A523" s="4"/>
      <c r="B523" s="4"/>
      <c r="C523" s="4"/>
      <c r="D523" s="27"/>
      <c r="E523" s="107"/>
      <c r="F523" s="4"/>
      <c r="G523" s="4"/>
      <c r="H523" s="4"/>
      <c r="I523" s="4"/>
      <c r="J523" s="4"/>
      <c r="K523" s="4"/>
      <c r="L523" s="174"/>
      <c r="M523" s="174"/>
      <c r="N523" s="4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</row>
    <row r="524" spans="1:28" x14ac:dyDescent="0.2">
      <c r="A524" s="4"/>
      <c r="B524" s="4"/>
      <c r="C524" s="4"/>
      <c r="D524" s="27"/>
      <c r="E524" s="107"/>
      <c r="F524" s="4"/>
      <c r="G524" s="4"/>
      <c r="H524" s="4"/>
      <c r="I524" s="4"/>
      <c r="J524" s="4"/>
      <c r="K524" s="4"/>
      <c r="L524" s="174"/>
      <c r="M524" s="174"/>
      <c r="N524" s="4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</row>
    <row r="525" spans="1:28" x14ac:dyDescent="0.2">
      <c r="A525" s="4"/>
      <c r="B525" s="4"/>
      <c r="C525" s="4"/>
      <c r="D525" s="27"/>
      <c r="E525" s="107"/>
      <c r="F525" s="4"/>
      <c r="G525" s="4"/>
      <c r="H525" s="4"/>
      <c r="I525" s="4"/>
      <c r="J525" s="4"/>
      <c r="K525" s="4"/>
      <c r="L525" s="174"/>
      <c r="M525" s="174"/>
      <c r="N525" s="4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</row>
    <row r="526" spans="1:28" x14ac:dyDescent="0.2">
      <c r="A526" s="4"/>
      <c r="B526" s="4"/>
      <c r="C526" s="4"/>
      <c r="D526" s="27"/>
      <c r="E526" s="107"/>
      <c r="F526" s="4"/>
      <c r="G526" s="4"/>
      <c r="H526" s="4"/>
      <c r="I526" s="4"/>
      <c r="J526" s="4"/>
      <c r="K526" s="4"/>
      <c r="L526" s="174"/>
      <c r="M526" s="174"/>
      <c r="N526" s="4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</row>
    <row r="527" spans="1:28" x14ac:dyDescent="0.2">
      <c r="A527" s="4"/>
      <c r="B527" s="4"/>
      <c r="C527" s="4"/>
      <c r="D527" s="27"/>
      <c r="E527" s="107"/>
      <c r="F527" s="4"/>
      <c r="G527" s="4"/>
      <c r="H527" s="4"/>
      <c r="I527" s="4"/>
      <c r="J527" s="4"/>
      <c r="K527" s="4"/>
      <c r="L527" s="174"/>
      <c r="M527" s="174"/>
      <c r="N527" s="4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</row>
    <row r="528" spans="1:28" x14ac:dyDescent="0.2">
      <c r="A528" s="4"/>
      <c r="B528" s="4"/>
      <c r="C528" s="4"/>
      <c r="D528" s="27"/>
      <c r="E528" s="107"/>
      <c r="F528" s="4"/>
      <c r="G528" s="4"/>
      <c r="H528" s="4"/>
      <c r="I528" s="4"/>
      <c r="J528" s="4"/>
      <c r="K528" s="4"/>
      <c r="L528" s="174"/>
      <c r="M528" s="174"/>
      <c r="N528" s="4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</row>
    <row r="529" spans="1:28" x14ac:dyDescent="0.2">
      <c r="A529" s="4"/>
      <c r="B529" s="4"/>
      <c r="C529" s="4"/>
      <c r="D529" s="27"/>
      <c r="E529" s="107"/>
      <c r="F529" s="4"/>
      <c r="G529" s="4"/>
      <c r="H529" s="4"/>
      <c r="I529" s="4"/>
      <c r="J529" s="4"/>
      <c r="K529" s="4"/>
      <c r="L529" s="174"/>
      <c r="M529" s="174"/>
      <c r="N529" s="4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</row>
    <row r="530" spans="1:28" x14ac:dyDescent="0.2">
      <c r="A530" s="4"/>
      <c r="B530" s="4"/>
      <c r="C530" s="4"/>
      <c r="D530" s="27"/>
      <c r="E530" s="107"/>
      <c r="F530" s="4"/>
      <c r="G530" s="4"/>
      <c r="H530" s="4"/>
      <c r="I530" s="4"/>
      <c r="J530" s="4"/>
      <c r="K530" s="4"/>
      <c r="L530" s="174"/>
      <c r="M530" s="174"/>
      <c r="N530" s="4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</row>
    <row r="531" spans="1:28" x14ac:dyDescent="0.2">
      <c r="A531" s="4"/>
      <c r="B531" s="4"/>
      <c r="C531" s="4"/>
      <c r="D531" s="27"/>
      <c r="E531" s="107"/>
      <c r="F531" s="4"/>
      <c r="G531" s="4"/>
      <c r="H531" s="4"/>
      <c r="I531" s="4"/>
      <c r="J531" s="4"/>
      <c r="K531" s="4"/>
      <c r="L531" s="174"/>
      <c r="M531" s="174"/>
      <c r="N531" s="4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</row>
    <row r="532" spans="1:28" x14ac:dyDescent="0.2">
      <c r="A532" s="4"/>
      <c r="B532" s="4"/>
      <c r="C532" s="4"/>
      <c r="D532" s="27"/>
      <c r="E532" s="107"/>
      <c r="F532" s="4"/>
      <c r="G532" s="4"/>
      <c r="H532" s="4"/>
      <c r="I532" s="4"/>
      <c r="J532" s="4"/>
      <c r="K532" s="4"/>
      <c r="L532" s="174"/>
      <c r="M532" s="174"/>
      <c r="N532" s="4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</row>
    <row r="533" spans="1:28" x14ac:dyDescent="0.2">
      <c r="A533" s="4"/>
      <c r="B533" s="4"/>
      <c r="C533" s="4"/>
      <c r="D533" s="27"/>
      <c r="E533" s="107"/>
      <c r="F533" s="4"/>
      <c r="G533" s="4"/>
      <c r="H533" s="4"/>
      <c r="I533" s="4"/>
      <c r="J533" s="4"/>
      <c r="K533" s="4"/>
      <c r="L533" s="174"/>
      <c r="M533" s="174"/>
      <c r="N533" s="4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</row>
    <row r="534" spans="1:28" x14ac:dyDescent="0.2">
      <c r="A534" s="4"/>
      <c r="B534" s="4"/>
      <c r="C534" s="4"/>
      <c r="D534" s="27"/>
      <c r="E534" s="107"/>
      <c r="F534" s="4"/>
      <c r="G534" s="4"/>
      <c r="H534" s="4"/>
      <c r="I534" s="4"/>
      <c r="J534" s="4"/>
      <c r="K534" s="4"/>
      <c r="L534" s="174"/>
      <c r="M534" s="174"/>
      <c r="N534" s="4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</row>
    <row r="535" spans="1:28" x14ac:dyDescent="0.2">
      <c r="A535" s="4"/>
      <c r="B535" s="4"/>
      <c r="C535" s="4"/>
      <c r="D535" s="27"/>
      <c r="E535" s="107"/>
      <c r="F535" s="4"/>
      <c r="G535" s="4"/>
      <c r="H535" s="4"/>
      <c r="I535" s="4"/>
      <c r="J535" s="4"/>
      <c r="K535" s="4"/>
      <c r="L535" s="174"/>
      <c r="M535" s="174"/>
      <c r="N535" s="4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</row>
    <row r="536" spans="1:28" x14ac:dyDescent="0.2">
      <c r="A536" s="4"/>
      <c r="B536" s="4"/>
      <c r="C536" s="4"/>
      <c r="D536" s="27"/>
      <c r="E536" s="107"/>
      <c r="F536" s="4"/>
      <c r="G536" s="4"/>
      <c r="H536" s="4"/>
      <c r="I536" s="4"/>
      <c r="J536" s="4"/>
      <c r="K536" s="4"/>
      <c r="L536" s="174"/>
      <c r="M536" s="174"/>
      <c r="N536" s="4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</row>
    <row r="537" spans="1:28" x14ac:dyDescent="0.2">
      <c r="A537" s="4"/>
      <c r="B537" s="4"/>
      <c r="C537" s="4"/>
      <c r="D537" s="27"/>
      <c r="E537" s="107"/>
      <c r="F537" s="4"/>
      <c r="G537" s="4"/>
      <c r="H537" s="4"/>
      <c r="I537" s="4"/>
      <c r="J537" s="4"/>
      <c r="K537" s="4"/>
      <c r="L537" s="174"/>
      <c r="M537" s="174"/>
      <c r="N537" s="4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</row>
    <row r="538" spans="1:28" x14ac:dyDescent="0.2">
      <c r="A538" s="4"/>
      <c r="B538" s="4"/>
      <c r="C538" s="4"/>
      <c r="D538" s="27"/>
      <c r="E538" s="107"/>
      <c r="F538" s="4"/>
      <c r="G538" s="4"/>
      <c r="H538" s="4"/>
      <c r="I538" s="4"/>
      <c r="J538" s="4"/>
      <c r="K538" s="4"/>
      <c r="L538" s="174"/>
      <c r="M538" s="174"/>
      <c r="N538" s="4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</row>
    <row r="539" spans="1:28" x14ac:dyDescent="0.2">
      <c r="A539" s="4"/>
      <c r="B539" s="4"/>
      <c r="C539" s="4"/>
      <c r="D539" s="27"/>
      <c r="E539" s="107"/>
      <c r="F539" s="4"/>
      <c r="G539" s="4"/>
      <c r="H539" s="4"/>
      <c r="I539" s="4"/>
      <c r="J539" s="4"/>
      <c r="K539" s="4"/>
      <c r="L539" s="174"/>
      <c r="M539" s="174"/>
      <c r="N539" s="4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</row>
    <row r="540" spans="1:28" x14ac:dyDescent="0.2">
      <c r="A540" s="4"/>
      <c r="B540" s="4"/>
      <c r="C540" s="4"/>
      <c r="D540" s="27"/>
      <c r="E540" s="107"/>
      <c r="F540" s="4"/>
      <c r="G540" s="4"/>
      <c r="H540" s="4"/>
      <c r="I540" s="4"/>
      <c r="J540" s="4"/>
      <c r="K540" s="4"/>
      <c r="L540" s="174"/>
      <c r="M540" s="174"/>
      <c r="N540" s="4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</row>
    <row r="541" spans="1:28" x14ac:dyDescent="0.2">
      <c r="A541" s="4"/>
      <c r="B541" s="4"/>
      <c r="C541" s="4"/>
      <c r="D541" s="27"/>
      <c r="E541" s="107"/>
      <c r="F541" s="4"/>
      <c r="G541" s="4"/>
      <c r="H541" s="4"/>
      <c r="I541" s="4"/>
      <c r="J541" s="4"/>
      <c r="K541" s="4"/>
      <c r="L541" s="174"/>
      <c r="M541" s="174"/>
      <c r="N541" s="4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</row>
    <row r="542" spans="1:28" x14ac:dyDescent="0.2">
      <c r="A542" s="4"/>
      <c r="B542" s="4"/>
      <c r="C542" s="4"/>
      <c r="D542" s="27"/>
      <c r="E542" s="107"/>
      <c r="F542" s="4"/>
      <c r="G542" s="4"/>
      <c r="H542" s="4"/>
      <c r="I542" s="4"/>
      <c r="J542" s="4"/>
      <c r="K542" s="4"/>
      <c r="L542" s="174"/>
      <c r="M542" s="174"/>
      <c r="N542" s="4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</row>
    <row r="543" spans="1:28" x14ac:dyDescent="0.2">
      <c r="A543" s="4"/>
      <c r="B543" s="4"/>
      <c r="C543" s="4"/>
      <c r="D543" s="27"/>
      <c r="E543" s="107"/>
      <c r="F543" s="4"/>
      <c r="G543" s="4"/>
      <c r="H543" s="4"/>
      <c r="I543" s="4"/>
      <c r="J543" s="4"/>
      <c r="K543" s="4"/>
      <c r="L543" s="174"/>
      <c r="M543" s="174"/>
      <c r="N543" s="4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</row>
    <row r="544" spans="1:28" x14ac:dyDescent="0.2">
      <c r="A544" s="4"/>
      <c r="B544" s="4"/>
      <c r="C544" s="4"/>
      <c r="D544" s="27"/>
      <c r="E544" s="107"/>
      <c r="F544" s="4"/>
      <c r="G544" s="4"/>
      <c r="H544" s="4"/>
      <c r="I544" s="4"/>
      <c r="J544" s="4"/>
      <c r="K544" s="4"/>
      <c r="L544" s="174"/>
      <c r="M544" s="174"/>
      <c r="N544" s="4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</row>
    <row r="545" spans="1:28" x14ac:dyDescent="0.2">
      <c r="A545" s="4"/>
      <c r="B545" s="4"/>
      <c r="C545" s="4"/>
      <c r="D545" s="27"/>
      <c r="E545" s="107"/>
      <c r="F545" s="4"/>
      <c r="G545" s="4"/>
      <c r="H545" s="4"/>
      <c r="I545" s="4"/>
      <c r="J545" s="4"/>
      <c r="K545" s="4"/>
      <c r="L545" s="174"/>
      <c r="M545" s="174"/>
      <c r="N545" s="4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</row>
    <row r="546" spans="1:28" x14ac:dyDescent="0.2">
      <c r="A546" s="4"/>
      <c r="B546" s="4"/>
      <c r="C546" s="4"/>
      <c r="D546" s="27"/>
      <c r="E546" s="107"/>
      <c r="F546" s="4"/>
      <c r="G546" s="4"/>
      <c r="H546" s="4"/>
      <c r="I546" s="4"/>
      <c r="J546" s="4"/>
      <c r="K546" s="4"/>
      <c r="L546" s="174"/>
      <c r="M546" s="174"/>
      <c r="N546" s="4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</row>
    <row r="547" spans="1:28" x14ac:dyDescent="0.2">
      <c r="A547" s="4"/>
      <c r="B547" s="4"/>
      <c r="C547" s="4"/>
      <c r="D547" s="27"/>
      <c r="E547" s="107"/>
      <c r="F547" s="4"/>
      <c r="G547" s="4"/>
      <c r="H547" s="4"/>
      <c r="I547" s="4"/>
      <c r="J547" s="4"/>
      <c r="K547" s="4"/>
      <c r="L547" s="174"/>
      <c r="M547" s="174"/>
      <c r="N547" s="4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</row>
    <row r="548" spans="1:28" x14ac:dyDescent="0.2">
      <c r="A548" s="4"/>
      <c r="B548" s="4"/>
      <c r="C548" s="4"/>
      <c r="D548" s="27"/>
      <c r="E548" s="107"/>
      <c r="F548" s="4"/>
      <c r="G548" s="4"/>
      <c r="H548" s="4"/>
      <c r="I548" s="4"/>
      <c r="J548" s="4"/>
      <c r="K548" s="4"/>
      <c r="L548" s="174"/>
      <c r="M548" s="174"/>
      <c r="N548" s="4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</row>
    <row r="549" spans="1:28" x14ac:dyDescent="0.2">
      <c r="A549" s="4"/>
      <c r="B549" s="4"/>
      <c r="C549" s="4"/>
      <c r="D549" s="27"/>
      <c r="E549" s="107"/>
      <c r="F549" s="4"/>
      <c r="G549" s="4"/>
      <c r="H549" s="4"/>
      <c r="I549" s="4"/>
      <c r="J549" s="4"/>
      <c r="K549" s="4"/>
      <c r="L549" s="174"/>
      <c r="M549" s="174"/>
      <c r="N549" s="4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</row>
    <row r="550" spans="1:28" x14ac:dyDescent="0.2">
      <c r="A550" s="4"/>
      <c r="B550" s="4"/>
      <c r="C550" s="4"/>
      <c r="D550" s="27"/>
      <c r="E550" s="107"/>
      <c r="F550" s="4"/>
      <c r="G550" s="4"/>
      <c r="H550" s="4"/>
      <c r="I550" s="4"/>
      <c r="J550" s="4"/>
      <c r="K550" s="4"/>
      <c r="L550" s="174"/>
      <c r="M550" s="174"/>
      <c r="N550" s="4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</row>
    <row r="551" spans="1:28" x14ac:dyDescent="0.2">
      <c r="A551" s="4"/>
      <c r="B551" s="4"/>
      <c r="C551" s="4"/>
      <c r="D551" s="27"/>
      <c r="E551" s="107"/>
      <c r="F551" s="4"/>
      <c r="G551" s="4"/>
      <c r="H551" s="4"/>
      <c r="I551" s="4"/>
      <c r="J551" s="4"/>
      <c r="K551" s="4"/>
      <c r="L551" s="174"/>
      <c r="M551" s="174"/>
      <c r="N551" s="4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</row>
    <row r="552" spans="1:28" x14ac:dyDescent="0.2">
      <c r="A552" s="4"/>
      <c r="B552" s="4"/>
      <c r="C552" s="4"/>
      <c r="D552" s="27"/>
      <c r="E552" s="107"/>
      <c r="F552" s="4"/>
      <c r="G552" s="4"/>
      <c r="H552" s="4"/>
      <c r="I552" s="4"/>
      <c r="J552" s="4"/>
      <c r="K552" s="4"/>
      <c r="L552" s="174"/>
      <c r="M552" s="174"/>
      <c r="N552" s="4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</row>
    <row r="553" spans="1:28" x14ac:dyDescent="0.2">
      <c r="A553" s="4"/>
      <c r="B553" s="4"/>
      <c r="C553" s="4"/>
      <c r="D553" s="27"/>
      <c r="E553" s="107"/>
      <c r="F553" s="4"/>
      <c r="G553" s="4"/>
      <c r="H553" s="4"/>
      <c r="I553" s="4"/>
      <c r="J553" s="4"/>
      <c r="K553" s="4"/>
      <c r="L553" s="174"/>
      <c r="M553" s="174"/>
      <c r="N553" s="4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</row>
    <row r="554" spans="1:28" x14ac:dyDescent="0.2">
      <c r="A554" s="4"/>
      <c r="B554" s="4"/>
      <c r="C554" s="4"/>
      <c r="D554" s="27"/>
      <c r="E554" s="107"/>
      <c r="F554" s="4"/>
      <c r="G554" s="4"/>
      <c r="H554" s="4"/>
      <c r="I554" s="4"/>
      <c r="J554" s="4"/>
      <c r="K554" s="4"/>
      <c r="L554" s="174"/>
      <c r="M554" s="174"/>
      <c r="N554" s="4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</row>
    <row r="555" spans="1:28" x14ac:dyDescent="0.2">
      <c r="A555" s="4"/>
      <c r="B555" s="4"/>
      <c r="C555" s="4"/>
      <c r="D555" s="27"/>
      <c r="E555" s="107"/>
      <c r="F555" s="4"/>
      <c r="G555" s="4"/>
      <c r="H555" s="4"/>
      <c r="I555" s="4"/>
      <c r="J555" s="4"/>
      <c r="K555" s="4"/>
      <c r="L555" s="174"/>
      <c r="M555" s="174"/>
      <c r="N555" s="4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</row>
    <row r="556" spans="1:28" x14ac:dyDescent="0.2">
      <c r="A556" s="4"/>
      <c r="B556" s="4"/>
      <c r="C556" s="4"/>
      <c r="D556" s="27"/>
      <c r="E556" s="107"/>
      <c r="F556" s="4"/>
      <c r="G556" s="4"/>
      <c r="H556" s="4"/>
      <c r="I556" s="4"/>
      <c r="J556" s="4"/>
      <c r="K556" s="4"/>
      <c r="L556" s="174"/>
      <c r="M556" s="174"/>
      <c r="N556" s="4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</row>
    <row r="557" spans="1:28" x14ac:dyDescent="0.2">
      <c r="A557" s="4"/>
      <c r="B557" s="4"/>
      <c r="C557" s="4"/>
      <c r="D557" s="27"/>
      <c r="E557" s="107"/>
      <c r="F557" s="4"/>
      <c r="G557" s="4"/>
      <c r="H557" s="4"/>
      <c r="I557" s="4"/>
      <c r="J557" s="4"/>
      <c r="K557" s="4"/>
      <c r="L557" s="174"/>
      <c r="M557" s="174"/>
      <c r="N557" s="4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</row>
    <row r="558" spans="1:28" x14ac:dyDescent="0.2">
      <c r="A558" s="4"/>
      <c r="B558" s="4"/>
      <c r="C558" s="4"/>
      <c r="D558" s="27"/>
      <c r="E558" s="107"/>
      <c r="F558" s="4"/>
      <c r="G558" s="4"/>
      <c r="H558" s="4"/>
      <c r="I558" s="4"/>
      <c r="J558" s="4"/>
      <c r="K558" s="4"/>
      <c r="L558" s="174"/>
      <c r="M558" s="174"/>
      <c r="N558" s="4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</row>
    <row r="559" spans="1:28" x14ac:dyDescent="0.2">
      <c r="A559" s="4"/>
      <c r="B559" s="4"/>
      <c r="C559" s="4"/>
      <c r="D559" s="27"/>
      <c r="E559" s="107"/>
      <c r="F559" s="4"/>
      <c r="G559" s="4"/>
      <c r="H559" s="4"/>
      <c r="I559" s="4"/>
      <c r="J559" s="4"/>
      <c r="K559" s="4"/>
      <c r="L559" s="174"/>
      <c r="M559" s="174"/>
      <c r="N559" s="4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</row>
    <row r="560" spans="1:28" x14ac:dyDescent="0.2">
      <c r="A560" s="4"/>
      <c r="B560" s="4"/>
      <c r="C560" s="4"/>
      <c r="D560" s="27"/>
      <c r="E560" s="107"/>
      <c r="F560" s="4"/>
      <c r="G560" s="4"/>
      <c r="H560" s="4"/>
      <c r="I560" s="4"/>
      <c r="J560" s="4"/>
      <c r="K560" s="4"/>
      <c r="L560" s="174"/>
      <c r="M560" s="174"/>
      <c r="N560" s="4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</row>
    <row r="561" spans="1:28" x14ac:dyDescent="0.2">
      <c r="A561" s="4"/>
      <c r="B561" s="4"/>
      <c r="C561" s="4"/>
      <c r="D561" s="27"/>
      <c r="E561" s="107"/>
      <c r="F561" s="4"/>
      <c r="G561" s="4"/>
      <c r="H561" s="4"/>
      <c r="I561" s="4"/>
      <c r="J561" s="4"/>
      <c r="K561" s="4"/>
      <c r="L561" s="174"/>
      <c r="M561" s="174"/>
      <c r="N561" s="4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</row>
    <row r="562" spans="1:28" x14ac:dyDescent="0.2">
      <c r="A562" s="4"/>
      <c r="B562" s="4"/>
      <c r="C562" s="4"/>
      <c r="D562" s="27"/>
      <c r="E562" s="107"/>
      <c r="F562" s="4"/>
      <c r="G562" s="4"/>
      <c r="H562" s="4"/>
      <c r="I562" s="4"/>
      <c r="J562" s="4"/>
      <c r="K562" s="4"/>
      <c r="L562" s="174"/>
      <c r="M562" s="174"/>
      <c r="N562" s="4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</row>
    <row r="563" spans="1:28" x14ac:dyDescent="0.2">
      <c r="A563" s="4"/>
      <c r="B563" s="4"/>
      <c r="C563" s="4"/>
      <c r="D563" s="27"/>
      <c r="E563" s="107"/>
      <c r="F563" s="4"/>
      <c r="G563" s="4"/>
      <c r="H563" s="4"/>
      <c r="I563" s="4"/>
      <c r="J563" s="4"/>
      <c r="K563" s="4"/>
      <c r="L563" s="174"/>
      <c r="M563" s="174"/>
      <c r="N563" s="4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</row>
    <row r="564" spans="1:28" x14ac:dyDescent="0.2">
      <c r="A564" s="4"/>
      <c r="B564" s="4"/>
      <c r="C564" s="4"/>
      <c r="D564" s="27"/>
      <c r="E564" s="107"/>
      <c r="F564" s="4"/>
      <c r="G564" s="4"/>
      <c r="H564" s="4"/>
      <c r="I564" s="4"/>
      <c r="J564" s="4"/>
      <c r="K564" s="4"/>
      <c r="L564" s="174"/>
      <c r="M564" s="174"/>
      <c r="N564" s="4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</row>
    <row r="565" spans="1:28" x14ac:dyDescent="0.2">
      <c r="A565" s="4"/>
      <c r="B565" s="4"/>
      <c r="C565" s="4"/>
      <c r="D565" s="27"/>
      <c r="E565" s="107"/>
      <c r="F565" s="4"/>
      <c r="G565" s="4"/>
      <c r="H565" s="4"/>
      <c r="I565" s="4"/>
      <c r="J565" s="4"/>
      <c r="K565" s="4"/>
      <c r="L565" s="174"/>
      <c r="M565" s="174"/>
      <c r="N565" s="4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</row>
    <row r="566" spans="1:28" x14ac:dyDescent="0.2">
      <c r="A566" s="4"/>
      <c r="B566" s="4"/>
      <c r="C566" s="4"/>
      <c r="D566" s="27"/>
      <c r="E566" s="107"/>
      <c r="F566" s="4"/>
      <c r="G566" s="4"/>
      <c r="H566" s="4"/>
      <c r="I566" s="4"/>
      <c r="J566" s="4"/>
      <c r="K566" s="4"/>
      <c r="L566" s="174"/>
      <c r="M566" s="174"/>
      <c r="N566" s="4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</row>
    <row r="567" spans="1:28" x14ac:dyDescent="0.2">
      <c r="A567" s="4"/>
      <c r="B567" s="4"/>
      <c r="C567" s="4"/>
      <c r="D567" s="27"/>
      <c r="E567" s="107"/>
      <c r="F567" s="4"/>
      <c r="G567" s="4"/>
      <c r="H567" s="4"/>
      <c r="I567" s="4"/>
      <c r="J567" s="4"/>
      <c r="K567" s="4"/>
      <c r="L567" s="174"/>
      <c r="M567" s="174"/>
      <c r="N567" s="4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</row>
    <row r="568" spans="1:28" x14ac:dyDescent="0.2">
      <c r="A568" s="4"/>
      <c r="B568" s="4"/>
      <c r="C568" s="4"/>
      <c r="D568" s="27"/>
      <c r="E568" s="107"/>
      <c r="F568" s="4"/>
      <c r="G568" s="4"/>
      <c r="H568" s="4"/>
      <c r="I568" s="4"/>
      <c r="J568" s="4"/>
      <c r="K568" s="4"/>
      <c r="L568" s="174"/>
      <c r="M568" s="174"/>
      <c r="N568" s="4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</row>
    <row r="569" spans="1:28" x14ac:dyDescent="0.2">
      <c r="A569" s="4"/>
      <c r="B569" s="4"/>
      <c r="C569" s="4"/>
      <c r="D569" s="27"/>
      <c r="E569" s="107"/>
      <c r="F569" s="4"/>
      <c r="G569" s="4"/>
      <c r="H569" s="4"/>
      <c r="I569" s="4"/>
      <c r="J569" s="4"/>
      <c r="K569" s="4"/>
      <c r="L569" s="174"/>
      <c r="M569" s="174"/>
      <c r="N569" s="4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</row>
    <row r="570" spans="1:28" x14ac:dyDescent="0.2">
      <c r="A570" s="4"/>
      <c r="B570" s="4"/>
      <c r="C570" s="4"/>
      <c r="D570" s="27"/>
      <c r="E570" s="107"/>
      <c r="F570" s="4"/>
      <c r="G570" s="4"/>
      <c r="H570" s="4"/>
      <c r="I570" s="4"/>
      <c r="J570" s="4"/>
      <c r="K570" s="4"/>
      <c r="L570" s="174"/>
      <c r="M570" s="174"/>
      <c r="N570" s="4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</row>
    <row r="571" spans="1:28" x14ac:dyDescent="0.2">
      <c r="A571" s="4"/>
      <c r="B571" s="4"/>
      <c r="C571" s="4"/>
      <c r="D571" s="27"/>
      <c r="E571" s="107"/>
      <c r="F571" s="4"/>
      <c r="G571" s="4"/>
      <c r="H571" s="4"/>
      <c r="I571" s="4"/>
      <c r="J571" s="4"/>
      <c r="K571" s="4"/>
      <c r="L571" s="174"/>
      <c r="M571" s="174"/>
      <c r="N571" s="4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</row>
    <row r="572" spans="1:28" x14ac:dyDescent="0.2">
      <c r="A572" s="4"/>
      <c r="B572" s="4"/>
      <c r="C572" s="4"/>
      <c r="D572" s="27"/>
      <c r="E572" s="107"/>
      <c r="F572" s="4"/>
      <c r="G572" s="4"/>
      <c r="H572" s="4"/>
      <c r="I572" s="4"/>
      <c r="J572" s="4"/>
      <c r="K572" s="4"/>
      <c r="L572" s="174"/>
      <c r="M572" s="174"/>
      <c r="N572" s="4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</row>
    <row r="573" spans="1:28" x14ac:dyDescent="0.2">
      <c r="A573" s="4"/>
      <c r="B573" s="4"/>
      <c r="C573" s="4"/>
      <c r="D573" s="27"/>
      <c r="E573" s="107"/>
      <c r="F573" s="4"/>
      <c r="G573" s="4"/>
      <c r="H573" s="4"/>
      <c r="I573" s="4"/>
      <c r="J573" s="4"/>
      <c r="K573" s="4"/>
      <c r="L573" s="174"/>
      <c r="M573" s="174"/>
      <c r="N573" s="4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</row>
    <row r="574" spans="1:28" x14ac:dyDescent="0.2">
      <c r="A574" s="4"/>
      <c r="B574" s="4"/>
      <c r="C574" s="4"/>
      <c r="D574" s="27"/>
      <c r="E574" s="107"/>
      <c r="F574" s="4"/>
      <c r="G574" s="4"/>
      <c r="H574" s="4"/>
      <c r="I574" s="4"/>
      <c r="J574" s="4"/>
      <c r="K574" s="4"/>
      <c r="L574" s="174"/>
      <c r="M574" s="174"/>
      <c r="N574" s="4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</row>
    <row r="575" spans="1:28" x14ac:dyDescent="0.2">
      <c r="A575" s="4"/>
      <c r="B575" s="4"/>
      <c r="C575" s="4"/>
      <c r="D575" s="27"/>
      <c r="E575" s="107"/>
      <c r="F575" s="4"/>
      <c r="G575" s="4"/>
      <c r="H575" s="4"/>
      <c r="I575" s="4"/>
      <c r="J575" s="4"/>
      <c r="K575" s="4"/>
      <c r="L575" s="174"/>
      <c r="M575" s="174"/>
      <c r="N575" s="4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</row>
    <row r="576" spans="1:28" x14ac:dyDescent="0.2">
      <c r="A576" s="4"/>
      <c r="B576" s="4"/>
      <c r="C576" s="4"/>
      <c r="D576" s="27"/>
      <c r="E576" s="107"/>
      <c r="F576" s="4"/>
      <c r="G576" s="4"/>
      <c r="H576" s="4"/>
      <c r="I576" s="4"/>
      <c r="J576" s="4"/>
      <c r="K576" s="4"/>
      <c r="L576" s="174"/>
      <c r="M576" s="174"/>
      <c r="N576" s="4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</row>
    <row r="577" spans="1:28" x14ac:dyDescent="0.2">
      <c r="A577" s="4"/>
      <c r="B577" s="4"/>
      <c r="C577" s="4"/>
      <c r="D577" s="27"/>
      <c r="E577" s="107"/>
      <c r="F577" s="4"/>
      <c r="G577" s="4"/>
      <c r="H577" s="4"/>
      <c r="I577" s="4"/>
      <c r="J577" s="4"/>
      <c r="K577" s="4"/>
      <c r="L577" s="174"/>
      <c r="M577" s="174"/>
      <c r="N577" s="4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</row>
    <row r="578" spans="1:28" x14ac:dyDescent="0.2">
      <c r="A578" s="4"/>
      <c r="B578" s="4"/>
      <c r="C578" s="4"/>
      <c r="D578" s="27"/>
      <c r="E578" s="107"/>
      <c r="F578" s="4"/>
      <c r="G578" s="4"/>
      <c r="H578" s="4"/>
      <c r="I578" s="4"/>
      <c r="J578" s="4"/>
      <c r="K578" s="4"/>
      <c r="L578" s="174"/>
      <c r="M578" s="174"/>
      <c r="N578" s="4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</row>
    <row r="579" spans="1:28" x14ac:dyDescent="0.2">
      <c r="A579" s="4"/>
      <c r="B579" s="4"/>
      <c r="C579" s="4"/>
      <c r="D579" s="27"/>
      <c r="E579" s="107"/>
      <c r="F579" s="4"/>
      <c r="G579" s="4"/>
      <c r="H579" s="4"/>
      <c r="I579" s="4"/>
      <c r="J579" s="4"/>
      <c r="K579" s="4"/>
      <c r="L579" s="174"/>
      <c r="M579" s="174"/>
      <c r="N579" s="4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</row>
    <row r="580" spans="1:28" x14ac:dyDescent="0.2">
      <c r="A580" s="4"/>
      <c r="B580" s="4"/>
      <c r="C580" s="4"/>
      <c r="D580" s="27"/>
      <c r="E580" s="107"/>
      <c r="F580" s="4"/>
      <c r="G580" s="4"/>
      <c r="H580" s="4"/>
      <c r="I580" s="4"/>
      <c r="J580" s="4"/>
      <c r="K580" s="4"/>
      <c r="L580" s="174"/>
      <c r="M580" s="174"/>
      <c r="N580" s="4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</row>
    <row r="581" spans="1:28" x14ac:dyDescent="0.2">
      <c r="A581" s="4"/>
      <c r="B581" s="4"/>
      <c r="C581" s="4"/>
      <c r="D581" s="27"/>
      <c r="E581" s="107"/>
      <c r="F581" s="4"/>
      <c r="G581" s="4"/>
      <c r="H581" s="4"/>
      <c r="I581" s="4"/>
      <c r="J581" s="4"/>
      <c r="K581" s="4"/>
      <c r="L581" s="174"/>
      <c r="M581" s="174"/>
      <c r="N581" s="4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</row>
    <row r="582" spans="1:28" x14ac:dyDescent="0.2">
      <c r="A582" s="4"/>
      <c r="B582" s="4"/>
      <c r="C582" s="4"/>
      <c r="D582" s="27"/>
      <c r="E582" s="107"/>
      <c r="F582" s="4"/>
      <c r="G582" s="4"/>
      <c r="H582" s="4"/>
      <c r="I582" s="4"/>
      <c r="J582" s="4"/>
      <c r="K582" s="4"/>
      <c r="L582" s="174"/>
      <c r="M582" s="174"/>
      <c r="N582" s="4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</row>
    <row r="583" spans="1:28" x14ac:dyDescent="0.2">
      <c r="A583" s="4"/>
      <c r="B583" s="4"/>
      <c r="C583" s="4"/>
      <c r="D583" s="27"/>
      <c r="E583" s="107"/>
      <c r="F583" s="4"/>
      <c r="G583" s="4"/>
      <c r="H583" s="4"/>
      <c r="I583" s="4"/>
      <c r="J583" s="4"/>
      <c r="K583" s="4"/>
      <c r="L583" s="174"/>
      <c r="M583" s="174"/>
      <c r="N583" s="4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</row>
    <row r="584" spans="1:28" x14ac:dyDescent="0.2">
      <c r="A584" s="4"/>
      <c r="B584" s="4"/>
      <c r="C584" s="4"/>
      <c r="D584" s="27"/>
      <c r="E584" s="107"/>
      <c r="F584" s="4"/>
      <c r="G584" s="4"/>
      <c r="H584" s="4"/>
      <c r="I584" s="4"/>
      <c r="J584" s="4"/>
      <c r="K584" s="4"/>
      <c r="L584" s="174"/>
      <c r="M584" s="174"/>
      <c r="N584" s="4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</row>
    <row r="585" spans="1:28" x14ac:dyDescent="0.2">
      <c r="A585" s="4"/>
      <c r="B585" s="4"/>
      <c r="C585" s="4"/>
      <c r="D585" s="27"/>
      <c r="E585" s="107"/>
      <c r="F585" s="4"/>
      <c r="G585" s="4"/>
      <c r="H585" s="4"/>
      <c r="I585" s="4"/>
      <c r="J585" s="4"/>
      <c r="K585" s="4"/>
      <c r="L585" s="174"/>
      <c r="M585" s="174"/>
      <c r="N585" s="4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</row>
    <row r="586" spans="1:28" x14ac:dyDescent="0.2">
      <c r="A586" s="4"/>
      <c r="B586" s="4"/>
      <c r="C586" s="4"/>
      <c r="D586" s="27"/>
      <c r="E586" s="107"/>
      <c r="F586" s="4"/>
      <c r="G586" s="4"/>
      <c r="H586" s="4"/>
      <c r="I586" s="4"/>
      <c r="J586" s="4"/>
      <c r="K586" s="4"/>
      <c r="L586" s="174"/>
      <c r="M586" s="174"/>
      <c r="N586" s="4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</row>
    <row r="587" spans="1:28" x14ac:dyDescent="0.2">
      <c r="A587" s="4"/>
      <c r="B587" s="4"/>
      <c r="C587" s="4"/>
      <c r="D587" s="27"/>
      <c r="E587" s="107"/>
      <c r="F587" s="4"/>
      <c r="G587" s="4"/>
      <c r="H587" s="4"/>
      <c r="I587" s="4"/>
      <c r="J587" s="4"/>
      <c r="K587" s="4"/>
      <c r="L587" s="174"/>
      <c r="M587" s="174"/>
      <c r="N587" s="4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</row>
    <row r="588" spans="1:28" x14ac:dyDescent="0.2">
      <c r="A588" s="4"/>
      <c r="B588" s="4"/>
      <c r="C588" s="4"/>
      <c r="D588" s="27"/>
      <c r="E588" s="107"/>
      <c r="F588" s="4"/>
      <c r="G588" s="4"/>
      <c r="H588" s="4"/>
      <c r="I588" s="4"/>
      <c r="J588" s="4"/>
      <c r="K588" s="4"/>
      <c r="L588" s="174"/>
      <c r="M588" s="174"/>
      <c r="N588" s="4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</row>
    <row r="589" spans="1:28" x14ac:dyDescent="0.2">
      <c r="A589" s="4"/>
      <c r="B589" s="4"/>
      <c r="C589" s="4"/>
      <c r="D589" s="27"/>
      <c r="E589" s="107"/>
      <c r="F589" s="4"/>
      <c r="G589" s="4"/>
      <c r="H589" s="4"/>
      <c r="I589" s="4"/>
      <c r="J589" s="4"/>
      <c r="K589" s="4"/>
      <c r="L589" s="174"/>
      <c r="M589" s="174"/>
      <c r="N589" s="4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</row>
    <row r="590" spans="1:28" x14ac:dyDescent="0.2">
      <c r="A590" s="4"/>
      <c r="B590" s="4"/>
      <c r="C590" s="4"/>
      <c r="D590" s="27"/>
      <c r="E590" s="107"/>
      <c r="F590" s="4"/>
      <c r="G590" s="4"/>
      <c r="H590" s="4"/>
      <c r="I590" s="4"/>
      <c r="J590" s="4"/>
      <c r="K590" s="4"/>
      <c r="L590" s="174"/>
      <c r="M590" s="174"/>
      <c r="N590" s="4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</row>
    <row r="591" spans="1:28" x14ac:dyDescent="0.2">
      <c r="A591" s="4"/>
      <c r="B591" s="4"/>
      <c r="C591" s="4"/>
      <c r="D591" s="27"/>
      <c r="E591" s="107"/>
      <c r="F591" s="4"/>
      <c r="G591" s="4"/>
      <c r="H591" s="4"/>
      <c r="I591" s="4"/>
      <c r="J591" s="4"/>
      <c r="K591" s="4"/>
      <c r="L591" s="174"/>
      <c r="M591" s="174"/>
      <c r="N591" s="4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</row>
    <row r="592" spans="1:28" x14ac:dyDescent="0.2">
      <c r="A592" s="4"/>
      <c r="B592" s="4"/>
      <c r="C592" s="4"/>
      <c r="D592" s="27"/>
      <c r="E592" s="107"/>
      <c r="F592" s="4"/>
      <c r="G592" s="4"/>
      <c r="H592" s="4"/>
      <c r="I592" s="4"/>
      <c r="J592" s="4"/>
      <c r="K592" s="4"/>
      <c r="L592" s="174"/>
      <c r="M592" s="174"/>
      <c r="N592" s="4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</row>
    <row r="593" spans="1:28" x14ac:dyDescent="0.2">
      <c r="A593" s="4"/>
      <c r="B593" s="4"/>
      <c r="C593" s="4"/>
      <c r="D593" s="27"/>
      <c r="E593" s="107"/>
      <c r="F593" s="4"/>
      <c r="G593" s="4"/>
      <c r="H593" s="4"/>
      <c r="I593" s="4"/>
      <c r="J593" s="4"/>
      <c r="K593" s="4"/>
      <c r="L593" s="174"/>
      <c r="M593" s="174"/>
      <c r="N593" s="4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</row>
    <row r="594" spans="1:28" x14ac:dyDescent="0.2">
      <c r="A594" s="4"/>
      <c r="B594" s="4"/>
      <c r="C594" s="4"/>
      <c r="D594" s="27"/>
      <c r="E594" s="107"/>
      <c r="F594" s="4"/>
      <c r="G594" s="4"/>
      <c r="H594" s="4"/>
      <c r="I594" s="4"/>
      <c r="J594" s="4"/>
      <c r="K594" s="4"/>
      <c r="L594" s="174"/>
      <c r="M594" s="174"/>
      <c r="N594" s="4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</row>
    <row r="595" spans="1:28" x14ac:dyDescent="0.2">
      <c r="A595" s="4"/>
      <c r="B595" s="4"/>
      <c r="C595" s="4"/>
      <c r="D595" s="27"/>
      <c r="E595" s="107"/>
      <c r="F595" s="4"/>
      <c r="G595" s="4"/>
      <c r="H595" s="4"/>
      <c r="I595" s="4"/>
      <c r="J595" s="4"/>
      <c r="K595" s="4"/>
      <c r="L595" s="174"/>
      <c r="M595" s="174"/>
      <c r="N595" s="4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</row>
    <row r="596" spans="1:28" x14ac:dyDescent="0.2">
      <c r="A596" s="4"/>
      <c r="B596" s="4"/>
      <c r="C596" s="4"/>
      <c r="D596" s="27"/>
      <c r="E596" s="107"/>
      <c r="F596" s="4"/>
      <c r="G596" s="4"/>
      <c r="H596" s="4"/>
      <c r="I596" s="4"/>
      <c r="J596" s="4"/>
      <c r="K596" s="4"/>
      <c r="L596" s="174"/>
      <c r="M596" s="174"/>
      <c r="N596" s="4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</row>
    <row r="597" spans="1:28" x14ac:dyDescent="0.2">
      <c r="A597" s="4"/>
      <c r="B597" s="4"/>
      <c r="C597" s="4"/>
      <c r="D597" s="27"/>
      <c r="E597" s="107"/>
      <c r="F597" s="4"/>
      <c r="G597" s="4"/>
      <c r="H597" s="4"/>
      <c r="I597" s="4"/>
      <c r="J597" s="4"/>
      <c r="K597" s="4"/>
      <c r="L597" s="174"/>
      <c r="M597" s="174"/>
      <c r="N597" s="4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</row>
    <row r="598" spans="1:28" x14ac:dyDescent="0.2">
      <c r="A598" s="4"/>
      <c r="B598" s="4"/>
      <c r="C598" s="4"/>
      <c r="D598" s="27"/>
      <c r="E598" s="107"/>
      <c r="F598" s="4"/>
      <c r="G598" s="4"/>
      <c r="H598" s="4"/>
      <c r="I598" s="4"/>
      <c r="J598" s="4"/>
      <c r="K598" s="4"/>
      <c r="L598" s="174"/>
      <c r="M598" s="174"/>
      <c r="N598" s="4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</row>
    <row r="599" spans="1:28" x14ac:dyDescent="0.2">
      <c r="A599" s="4"/>
      <c r="B599" s="4"/>
      <c r="C599" s="4"/>
      <c r="D599" s="27"/>
      <c r="E599" s="107"/>
      <c r="F599" s="4"/>
      <c r="G599" s="4"/>
      <c r="H599" s="4"/>
      <c r="I599" s="4"/>
      <c r="J599" s="4"/>
      <c r="K599" s="4"/>
      <c r="L599" s="174"/>
      <c r="M599" s="174"/>
      <c r="N599" s="4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</row>
    <row r="600" spans="1:28" x14ac:dyDescent="0.2">
      <c r="A600" s="4"/>
      <c r="B600" s="4"/>
      <c r="C600" s="4"/>
      <c r="D600" s="27"/>
      <c r="E600" s="107"/>
      <c r="F600" s="4"/>
      <c r="G600" s="4"/>
      <c r="H600" s="4"/>
      <c r="I600" s="4"/>
      <c r="J600" s="4"/>
      <c r="K600" s="4"/>
      <c r="L600" s="174"/>
      <c r="M600" s="174"/>
      <c r="N600" s="4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</row>
    <row r="601" spans="1:28" x14ac:dyDescent="0.2">
      <c r="A601" s="4"/>
      <c r="B601" s="4"/>
      <c r="C601" s="4"/>
      <c r="D601" s="27"/>
      <c r="E601" s="107"/>
      <c r="F601" s="4"/>
      <c r="G601" s="4"/>
      <c r="H601" s="4"/>
      <c r="I601" s="4"/>
      <c r="J601" s="4"/>
      <c r="K601" s="4"/>
      <c r="L601" s="174"/>
      <c r="M601" s="174"/>
      <c r="N601" s="4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</row>
    <row r="602" spans="1:28" x14ac:dyDescent="0.2">
      <c r="A602" s="4"/>
      <c r="B602" s="4"/>
      <c r="C602" s="4"/>
      <c r="D602" s="27"/>
      <c r="E602" s="107"/>
      <c r="F602" s="4"/>
      <c r="G602" s="4"/>
      <c r="H602" s="4"/>
      <c r="I602" s="4"/>
      <c r="J602" s="4"/>
      <c r="K602" s="4"/>
      <c r="L602" s="174"/>
      <c r="M602" s="174"/>
      <c r="N602" s="4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</row>
    <row r="603" spans="1:28" x14ac:dyDescent="0.2">
      <c r="A603" s="4"/>
      <c r="B603" s="4"/>
      <c r="C603" s="4"/>
      <c r="D603" s="27"/>
      <c r="E603" s="107"/>
      <c r="F603" s="4"/>
      <c r="G603" s="4"/>
      <c r="H603" s="4"/>
      <c r="I603" s="4"/>
      <c r="J603" s="4"/>
      <c r="K603" s="4"/>
      <c r="L603" s="174"/>
      <c r="M603" s="174"/>
      <c r="N603" s="4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</row>
    <row r="604" spans="1:28" x14ac:dyDescent="0.2">
      <c r="A604" s="4"/>
      <c r="B604" s="4"/>
      <c r="C604" s="4"/>
      <c r="D604" s="27"/>
      <c r="E604" s="107"/>
      <c r="F604" s="4"/>
      <c r="G604" s="4"/>
      <c r="H604" s="4"/>
      <c r="I604" s="4"/>
      <c r="J604" s="4"/>
      <c r="K604" s="4"/>
      <c r="L604" s="174"/>
      <c r="M604" s="174"/>
      <c r="N604" s="4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</row>
    <row r="605" spans="1:28" x14ac:dyDescent="0.2">
      <c r="A605" s="4"/>
      <c r="B605" s="4"/>
      <c r="C605" s="4"/>
      <c r="D605" s="27"/>
      <c r="E605" s="107"/>
      <c r="F605" s="4"/>
      <c r="G605" s="4"/>
      <c r="H605" s="4"/>
      <c r="I605" s="4"/>
      <c r="J605" s="4"/>
      <c r="K605" s="4"/>
      <c r="L605" s="174"/>
      <c r="M605" s="174"/>
      <c r="N605" s="4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</row>
    <row r="606" spans="1:28" x14ac:dyDescent="0.2">
      <c r="A606" s="4"/>
      <c r="B606" s="4"/>
      <c r="C606" s="4"/>
      <c r="D606" s="27"/>
      <c r="E606" s="107"/>
      <c r="F606" s="4"/>
      <c r="G606" s="4"/>
      <c r="H606" s="4"/>
      <c r="I606" s="4"/>
      <c r="J606" s="4"/>
      <c r="K606" s="4"/>
      <c r="L606" s="174"/>
      <c r="M606" s="174"/>
      <c r="N606" s="4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</row>
    <row r="607" spans="1:28" x14ac:dyDescent="0.2">
      <c r="A607" s="4"/>
      <c r="B607" s="4"/>
      <c r="C607" s="4"/>
      <c r="D607" s="27"/>
      <c r="E607" s="107"/>
      <c r="F607" s="4"/>
      <c r="G607" s="4"/>
      <c r="H607" s="4"/>
      <c r="I607" s="4"/>
      <c r="J607" s="4"/>
      <c r="K607" s="4"/>
      <c r="L607" s="174"/>
      <c r="M607" s="174"/>
      <c r="N607" s="4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</row>
    <row r="608" spans="1:28" x14ac:dyDescent="0.2">
      <c r="A608" s="4"/>
      <c r="B608" s="4"/>
      <c r="C608" s="4"/>
      <c r="D608" s="27"/>
      <c r="E608" s="107"/>
      <c r="F608" s="4"/>
      <c r="G608" s="4"/>
      <c r="H608" s="4"/>
      <c r="I608" s="4"/>
      <c r="J608" s="4"/>
      <c r="K608" s="4"/>
      <c r="L608" s="174"/>
      <c r="M608" s="174"/>
      <c r="N608" s="4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</row>
    <row r="609" spans="1:28" x14ac:dyDescent="0.2">
      <c r="A609" s="4"/>
      <c r="B609" s="4"/>
      <c r="C609" s="4"/>
      <c r="D609" s="27"/>
      <c r="E609" s="107"/>
      <c r="F609" s="4"/>
      <c r="G609" s="4"/>
      <c r="H609" s="4"/>
      <c r="I609" s="4"/>
      <c r="J609" s="4"/>
      <c r="K609" s="4"/>
      <c r="L609" s="174"/>
      <c r="M609" s="174"/>
      <c r="N609" s="4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</row>
    <row r="610" spans="1:28" x14ac:dyDescent="0.2">
      <c r="A610" s="4"/>
      <c r="B610" s="4"/>
      <c r="C610" s="4"/>
      <c r="D610" s="27"/>
      <c r="E610" s="107"/>
      <c r="F610" s="4"/>
      <c r="G610" s="4"/>
      <c r="H610" s="4"/>
      <c r="I610" s="4"/>
      <c r="J610" s="4"/>
      <c r="K610" s="4"/>
      <c r="L610" s="174"/>
      <c r="M610" s="174"/>
      <c r="N610" s="4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</row>
    <row r="611" spans="1:28" x14ac:dyDescent="0.2">
      <c r="A611" s="4"/>
      <c r="B611" s="4"/>
      <c r="C611" s="4"/>
      <c r="D611" s="27"/>
      <c r="E611" s="107"/>
      <c r="F611" s="4"/>
      <c r="G611" s="4"/>
      <c r="H611" s="4"/>
      <c r="I611" s="4"/>
      <c r="J611" s="4"/>
      <c r="K611" s="4"/>
      <c r="L611" s="174"/>
      <c r="M611" s="174"/>
      <c r="N611" s="4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</row>
    <row r="612" spans="1:28" x14ac:dyDescent="0.2">
      <c r="A612" s="4"/>
      <c r="B612" s="4"/>
      <c r="C612" s="4"/>
      <c r="D612" s="27"/>
      <c r="E612" s="107"/>
      <c r="F612" s="4"/>
      <c r="G612" s="4"/>
      <c r="H612" s="4"/>
      <c r="I612" s="4"/>
      <c r="J612" s="4"/>
      <c r="K612" s="4"/>
      <c r="L612" s="174"/>
      <c r="M612" s="174"/>
      <c r="N612" s="4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</row>
    <row r="613" spans="1:28" x14ac:dyDescent="0.2">
      <c r="A613" s="4"/>
      <c r="B613" s="4"/>
      <c r="C613" s="4"/>
      <c r="D613" s="27"/>
      <c r="E613" s="107"/>
      <c r="F613" s="4"/>
      <c r="G613" s="4"/>
      <c r="H613" s="4"/>
      <c r="I613" s="4"/>
      <c r="J613" s="4"/>
      <c r="K613" s="4"/>
      <c r="L613" s="174"/>
      <c r="M613" s="174"/>
      <c r="N613" s="4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</row>
    <row r="614" spans="1:28" x14ac:dyDescent="0.2">
      <c r="A614" s="4"/>
      <c r="B614" s="4"/>
      <c r="C614" s="4"/>
      <c r="D614" s="27"/>
      <c r="E614" s="107"/>
      <c r="F614" s="4"/>
      <c r="G614" s="4"/>
      <c r="H614" s="4"/>
      <c r="I614" s="4"/>
      <c r="J614" s="4"/>
      <c r="K614" s="4"/>
      <c r="L614" s="174"/>
      <c r="M614" s="174"/>
      <c r="N614" s="4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</row>
    <row r="615" spans="1:28" x14ac:dyDescent="0.2">
      <c r="A615" s="4"/>
      <c r="B615" s="4"/>
      <c r="C615" s="4"/>
      <c r="D615" s="27"/>
      <c r="E615" s="107"/>
      <c r="F615" s="4"/>
      <c r="G615" s="4"/>
      <c r="H615" s="4"/>
      <c r="I615" s="4"/>
      <c r="J615" s="4"/>
      <c r="K615" s="4"/>
      <c r="L615" s="174"/>
      <c r="M615" s="174"/>
      <c r="N615" s="4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</row>
    <row r="616" spans="1:28" x14ac:dyDescent="0.2">
      <c r="A616" s="4"/>
      <c r="B616" s="4"/>
      <c r="C616" s="4"/>
      <c r="D616" s="27"/>
      <c r="E616" s="107"/>
      <c r="F616" s="4"/>
      <c r="G616" s="4"/>
      <c r="H616" s="4"/>
      <c r="I616" s="4"/>
      <c r="J616" s="4"/>
      <c r="K616" s="4"/>
      <c r="L616" s="174"/>
      <c r="M616" s="174"/>
      <c r="N616" s="4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</row>
    <row r="617" spans="1:28" x14ac:dyDescent="0.2">
      <c r="A617" s="4"/>
      <c r="B617" s="4"/>
      <c r="C617" s="4"/>
      <c r="D617" s="27"/>
      <c r="E617" s="107"/>
      <c r="F617" s="4"/>
      <c r="G617" s="4"/>
      <c r="H617" s="4"/>
      <c r="I617" s="4"/>
      <c r="J617" s="4"/>
      <c r="K617" s="4"/>
      <c r="L617" s="174"/>
      <c r="M617" s="174"/>
      <c r="N617" s="4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</row>
    <row r="618" spans="1:28" x14ac:dyDescent="0.2">
      <c r="A618" s="4"/>
      <c r="B618" s="4"/>
      <c r="C618" s="4"/>
      <c r="D618" s="27"/>
      <c r="E618" s="107"/>
      <c r="F618" s="4"/>
      <c r="G618" s="4"/>
      <c r="H618" s="4"/>
      <c r="I618" s="4"/>
      <c r="J618" s="4"/>
      <c r="K618" s="4"/>
      <c r="L618" s="174"/>
      <c r="M618" s="174"/>
      <c r="N618" s="4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</row>
    <row r="619" spans="1:28" x14ac:dyDescent="0.2">
      <c r="A619" s="4"/>
      <c r="B619" s="4"/>
      <c r="C619" s="4"/>
      <c r="D619" s="27"/>
      <c r="E619" s="107"/>
      <c r="F619" s="4"/>
      <c r="G619" s="4"/>
      <c r="H619" s="4"/>
      <c r="I619" s="4"/>
      <c r="J619" s="4"/>
      <c r="K619" s="4"/>
      <c r="L619" s="174"/>
      <c r="M619" s="174"/>
      <c r="N619" s="4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</row>
    <row r="620" spans="1:28" x14ac:dyDescent="0.2">
      <c r="A620" s="4"/>
      <c r="B620" s="4"/>
      <c r="C620" s="4"/>
      <c r="D620" s="27"/>
      <c r="E620" s="107"/>
      <c r="F620" s="4"/>
      <c r="G620" s="4"/>
      <c r="H620" s="4"/>
      <c r="I620" s="4"/>
      <c r="J620" s="4"/>
      <c r="K620" s="4"/>
      <c r="L620" s="174"/>
      <c r="M620" s="174"/>
      <c r="N620" s="4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</row>
    <row r="621" spans="1:28" x14ac:dyDescent="0.2">
      <c r="A621" s="4"/>
      <c r="B621" s="4"/>
      <c r="C621" s="4"/>
      <c r="D621" s="27"/>
      <c r="E621" s="107"/>
      <c r="F621" s="4"/>
      <c r="G621" s="4"/>
      <c r="H621" s="4"/>
      <c r="I621" s="4"/>
      <c r="J621" s="4"/>
      <c r="K621" s="4"/>
      <c r="L621" s="174"/>
      <c r="M621" s="174"/>
      <c r="N621" s="4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</row>
    <row r="622" spans="1:28" x14ac:dyDescent="0.2">
      <c r="A622" s="4"/>
      <c r="B622" s="4"/>
      <c r="C622" s="4"/>
      <c r="D622" s="27"/>
      <c r="E622" s="107"/>
      <c r="F622" s="4"/>
      <c r="G622" s="4"/>
      <c r="H622" s="4"/>
      <c r="I622" s="4"/>
      <c r="J622" s="4"/>
      <c r="K622" s="4"/>
      <c r="L622" s="174"/>
      <c r="M622" s="174"/>
      <c r="N622" s="4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</row>
    <row r="623" spans="1:28" x14ac:dyDescent="0.2">
      <c r="A623" s="4"/>
      <c r="B623" s="4"/>
      <c r="C623" s="4"/>
      <c r="D623" s="27"/>
      <c r="E623" s="107"/>
      <c r="F623" s="4"/>
      <c r="G623" s="4"/>
      <c r="H623" s="4"/>
      <c r="I623" s="4"/>
      <c r="J623" s="4"/>
      <c r="K623" s="4"/>
      <c r="L623" s="174"/>
      <c r="M623" s="174"/>
      <c r="N623" s="4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</row>
    <row r="624" spans="1:28" x14ac:dyDescent="0.2">
      <c r="A624" s="4"/>
      <c r="B624" s="4"/>
      <c r="C624" s="4"/>
      <c r="D624" s="27"/>
      <c r="E624" s="107"/>
      <c r="F624" s="4"/>
      <c r="G624" s="4"/>
      <c r="H624" s="4"/>
      <c r="I624" s="4"/>
      <c r="J624" s="4"/>
      <c r="K624" s="4"/>
      <c r="L624" s="174"/>
      <c r="M624" s="174"/>
      <c r="N624" s="4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</row>
    <row r="625" spans="1:28" x14ac:dyDescent="0.2">
      <c r="A625" s="4"/>
      <c r="B625" s="4"/>
      <c r="C625" s="4"/>
      <c r="D625" s="27"/>
      <c r="E625" s="107"/>
      <c r="F625" s="4"/>
      <c r="G625" s="4"/>
      <c r="H625" s="4"/>
      <c r="I625" s="4"/>
      <c r="J625" s="4"/>
      <c r="K625" s="4"/>
      <c r="L625" s="174"/>
      <c r="M625" s="174"/>
      <c r="N625" s="4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</row>
    <row r="626" spans="1:28" x14ac:dyDescent="0.2">
      <c r="A626" s="4"/>
      <c r="B626" s="4"/>
      <c r="C626" s="4"/>
      <c r="D626" s="27"/>
      <c r="E626" s="107"/>
      <c r="F626" s="4"/>
      <c r="G626" s="4"/>
      <c r="H626" s="4"/>
      <c r="I626" s="4"/>
      <c r="J626" s="4"/>
      <c r="K626" s="4"/>
      <c r="L626" s="174"/>
      <c r="M626" s="174"/>
      <c r="N626" s="4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</row>
    <row r="627" spans="1:28" x14ac:dyDescent="0.2">
      <c r="A627" s="4"/>
      <c r="B627" s="4"/>
      <c r="C627" s="4"/>
      <c r="D627" s="27"/>
      <c r="E627" s="107"/>
      <c r="F627" s="4"/>
      <c r="G627" s="4"/>
      <c r="H627" s="4"/>
      <c r="I627" s="4"/>
      <c r="J627" s="4"/>
      <c r="K627" s="4"/>
      <c r="L627" s="174"/>
      <c r="M627" s="174"/>
      <c r="N627" s="4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</row>
    <row r="628" spans="1:28" x14ac:dyDescent="0.2">
      <c r="A628" s="4"/>
      <c r="B628" s="4"/>
      <c r="C628" s="4"/>
      <c r="D628" s="27"/>
      <c r="E628" s="107"/>
      <c r="F628" s="4"/>
      <c r="G628" s="4"/>
      <c r="H628" s="4"/>
      <c r="I628" s="4"/>
      <c r="J628" s="4"/>
      <c r="K628" s="4"/>
      <c r="L628" s="174"/>
      <c r="M628" s="174"/>
      <c r="N628" s="4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</row>
    <row r="629" spans="1:28" x14ac:dyDescent="0.2">
      <c r="A629" s="4"/>
      <c r="B629" s="4"/>
      <c r="C629" s="4"/>
      <c r="D629" s="27"/>
      <c r="E629" s="107"/>
      <c r="F629" s="4"/>
      <c r="G629" s="4"/>
      <c r="H629" s="4"/>
      <c r="I629" s="4"/>
      <c r="J629" s="4"/>
      <c r="K629" s="4"/>
      <c r="L629" s="174"/>
      <c r="M629" s="174"/>
      <c r="N629" s="4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</row>
    <row r="630" spans="1:28" x14ac:dyDescent="0.2">
      <c r="A630" s="4"/>
      <c r="B630" s="4"/>
      <c r="C630" s="4"/>
      <c r="D630" s="27"/>
      <c r="E630" s="107"/>
      <c r="F630" s="4"/>
      <c r="G630" s="4"/>
      <c r="H630" s="4"/>
      <c r="I630" s="4"/>
      <c r="J630" s="4"/>
      <c r="K630" s="4"/>
      <c r="L630" s="174"/>
      <c r="M630" s="174"/>
      <c r="N630" s="4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</row>
    <row r="631" spans="1:28" x14ac:dyDescent="0.2">
      <c r="A631" s="4"/>
      <c r="B631" s="4"/>
      <c r="C631" s="4"/>
      <c r="D631" s="27"/>
      <c r="E631" s="107"/>
      <c r="F631" s="4"/>
      <c r="G631" s="4"/>
      <c r="H631" s="4"/>
      <c r="I631" s="4"/>
      <c r="J631" s="4"/>
      <c r="K631" s="4"/>
      <c r="L631" s="174"/>
      <c r="M631" s="174"/>
      <c r="N631" s="4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</row>
    <row r="632" spans="1:28" x14ac:dyDescent="0.2">
      <c r="A632" s="4"/>
      <c r="B632" s="4"/>
      <c r="C632" s="4"/>
      <c r="D632" s="27"/>
      <c r="E632" s="107"/>
      <c r="F632" s="4"/>
      <c r="G632" s="4"/>
      <c r="H632" s="4"/>
      <c r="I632" s="4"/>
      <c r="J632" s="4"/>
      <c r="K632" s="4"/>
      <c r="L632" s="174"/>
      <c r="M632" s="174"/>
      <c r="N632" s="4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</row>
    <row r="633" spans="1:28" x14ac:dyDescent="0.2">
      <c r="A633" s="4"/>
      <c r="B633" s="4"/>
      <c r="C633" s="4"/>
      <c r="D633" s="27"/>
      <c r="E633" s="107"/>
      <c r="F633" s="4"/>
      <c r="G633" s="4"/>
      <c r="H633" s="4"/>
      <c r="I633" s="4"/>
      <c r="J633" s="4"/>
      <c r="K633" s="4"/>
      <c r="L633" s="174"/>
      <c r="M633" s="174"/>
      <c r="N633" s="4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</row>
    <row r="634" spans="1:28" x14ac:dyDescent="0.2">
      <c r="A634" s="4"/>
      <c r="B634" s="4"/>
      <c r="C634" s="4"/>
      <c r="D634" s="27"/>
      <c r="E634" s="107"/>
      <c r="F634" s="4"/>
      <c r="G634" s="4"/>
      <c r="H634" s="4"/>
      <c r="I634" s="4"/>
      <c r="J634" s="4"/>
      <c r="K634" s="4"/>
      <c r="L634" s="174"/>
      <c r="M634" s="174"/>
      <c r="N634" s="4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</row>
    <row r="635" spans="1:28" x14ac:dyDescent="0.2">
      <c r="A635" s="4"/>
      <c r="B635" s="4"/>
      <c r="C635" s="4"/>
      <c r="D635" s="27"/>
      <c r="E635" s="107"/>
      <c r="F635" s="4"/>
      <c r="G635" s="4"/>
      <c r="H635" s="4"/>
      <c r="I635" s="4"/>
      <c r="J635" s="4"/>
      <c r="K635" s="4"/>
      <c r="L635" s="174"/>
      <c r="M635" s="174"/>
      <c r="N635" s="4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</row>
    <row r="636" spans="1:28" x14ac:dyDescent="0.2">
      <c r="A636" s="4"/>
      <c r="B636" s="4"/>
      <c r="C636" s="4"/>
      <c r="D636" s="27"/>
      <c r="E636" s="107"/>
      <c r="F636" s="4"/>
      <c r="G636" s="4"/>
      <c r="H636" s="4"/>
      <c r="I636" s="4"/>
      <c r="J636" s="4"/>
      <c r="K636" s="4"/>
      <c r="L636" s="174"/>
      <c r="M636" s="174"/>
      <c r="N636" s="4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</row>
    <row r="637" spans="1:28" x14ac:dyDescent="0.2">
      <c r="A637" s="4"/>
      <c r="B637" s="4"/>
      <c r="C637" s="4"/>
      <c r="D637" s="27"/>
      <c r="E637" s="107"/>
      <c r="F637" s="4"/>
      <c r="G637" s="4"/>
      <c r="H637" s="4"/>
      <c r="I637" s="4"/>
      <c r="J637" s="4"/>
      <c r="K637" s="4"/>
      <c r="L637" s="174"/>
      <c r="M637" s="174"/>
      <c r="N637" s="4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</row>
    <row r="638" spans="1:28" x14ac:dyDescent="0.2">
      <c r="A638" s="4"/>
      <c r="B638" s="4"/>
      <c r="C638" s="4"/>
      <c r="D638" s="27"/>
      <c r="E638" s="107"/>
      <c r="F638" s="4"/>
      <c r="G638" s="4"/>
      <c r="H638" s="4"/>
      <c r="I638" s="4"/>
      <c r="J638" s="4"/>
      <c r="K638" s="4"/>
      <c r="L638" s="174"/>
      <c r="M638" s="174"/>
      <c r="N638" s="4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</row>
    <row r="639" spans="1:28" x14ac:dyDescent="0.2">
      <c r="A639" s="4"/>
      <c r="B639" s="4"/>
      <c r="C639" s="4"/>
      <c r="D639" s="27"/>
      <c r="E639" s="107"/>
      <c r="F639" s="4"/>
      <c r="G639" s="4"/>
      <c r="H639" s="4"/>
      <c r="I639" s="4"/>
      <c r="J639" s="4"/>
      <c r="K639" s="4"/>
      <c r="L639" s="174"/>
      <c r="M639" s="174"/>
      <c r="N639" s="4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</row>
    <row r="640" spans="1:28" x14ac:dyDescent="0.2">
      <c r="A640" s="4"/>
      <c r="B640" s="4"/>
      <c r="C640" s="4"/>
      <c r="D640" s="27"/>
      <c r="E640" s="107"/>
      <c r="F640" s="4"/>
      <c r="G640" s="4"/>
      <c r="H640" s="4"/>
      <c r="I640" s="4"/>
      <c r="J640" s="4"/>
      <c r="K640" s="4"/>
      <c r="L640" s="174"/>
      <c r="M640" s="174"/>
      <c r="N640" s="4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</row>
    <row r="641" spans="1:28" x14ac:dyDescent="0.2">
      <c r="A641" s="4"/>
      <c r="B641" s="4"/>
      <c r="C641" s="4"/>
      <c r="D641" s="27"/>
      <c r="E641" s="107"/>
      <c r="F641" s="4"/>
      <c r="G641" s="4"/>
      <c r="H641" s="4"/>
      <c r="I641" s="4"/>
      <c r="J641" s="4"/>
      <c r="K641" s="4"/>
      <c r="L641" s="174"/>
      <c r="M641" s="174"/>
      <c r="N641" s="4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</row>
    <row r="642" spans="1:28" x14ac:dyDescent="0.2">
      <c r="A642" s="4"/>
      <c r="B642" s="4"/>
      <c r="C642" s="4"/>
      <c r="D642" s="27"/>
      <c r="E642" s="107"/>
      <c r="F642" s="4"/>
      <c r="G642" s="4"/>
      <c r="H642" s="4"/>
      <c r="I642" s="4"/>
      <c r="J642" s="4"/>
      <c r="K642" s="4"/>
      <c r="L642" s="174"/>
      <c r="M642" s="174"/>
      <c r="N642" s="4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</row>
    <row r="643" spans="1:28" x14ac:dyDescent="0.2">
      <c r="A643" s="4"/>
      <c r="B643" s="4"/>
      <c r="C643" s="4"/>
      <c r="D643" s="27"/>
      <c r="E643" s="107"/>
      <c r="F643" s="4"/>
      <c r="G643" s="4"/>
      <c r="H643" s="4"/>
      <c r="I643" s="4"/>
      <c r="J643" s="4"/>
      <c r="K643" s="4"/>
      <c r="L643" s="174"/>
      <c r="M643" s="174"/>
      <c r="N643" s="4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</row>
    <row r="644" spans="1:28" x14ac:dyDescent="0.2">
      <c r="A644" s="4"/>
      <c r="B644" s="4"/>
      <c r="C644" s="4"/>
      <c r="D644" s="27"/>
      <c r="E644" s="107"/>
      <c r="F644" s="4"/>
      <c r="G644" s="4"/>
      <c r="H644" s="4"/>
      <c r="I644" s="4"/>
      <c r="J644" s="4"/>
      <c r="K644" s="4"/>
      <c r="L644" s="174"/>
      <c r="M644" s="174"/>
      <c r="N644" s="4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</row>
    <row r="645" spans="1:28" x14ac:dyDescent="0.2">
      <c r="A645" s="4"/>
      <c r="B645" s="4"/>
      <c r="C645" s="4"/>
      <c r="D645" s="27"/>
      <c r="E645" s="107"/>
      <c r="F645" s="4"/>
      <c r="G645" s="4"/>
      <c r="H645" s="4"/>
      <c r="I645" s="4"/>
      <c r="J645" s="4"/>
      <c r="K645" s="4"/>
      <c r="L645" s="174"/>
      <c r="M645" s="174"/>
      <c r="N645" s="4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</row>
    <row r="646" spans="1:28" x14ac:dyDescent="0.2">
      <c r="A646" s="4"/>
      <c r="B646" s="4"/>
      <c r="C646" s="4"/>
      <c r="D646" s="27"/>
      <c r="E646" s="107"/>
      <c r="F646" s="4"/>
      <c r="G646" s="4"/>
      <c r="H646" s="4"/>
      <c r="I646" s="4"/>
      <c r="J646" s="4"/>
      <c r="K646" s="4"/>
      <c r="L646" s="174"/>
      <c r="M646" s="174"/>
      <c r="N646" s="4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</row>
    <row r="647" spans="1:28" x14ac:dyDescent="0.2">
      <c r="A647" s="4"/>
      <c r="B647" s="4"/>
      <c r="C647" s="4"/>
      <c r="D647" s="27"/>
      <c r="E647" s="107"/>
      <c r="F647" s="4"/>
      <c r="G647" s="4"/>
      <c r="H647" s="4"/>
      <c r="I647" s="4"/>
      <c r="J647" s="4"/>
      <c r="K647" s="4"/>
      <c r="L647" s="174"/>
      <c r="M647" s="174"/>
      <c r="N647" s="4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</row>
    <row r="648" spans="1:28" x14ac:dyDescent="0.2">
      <c r="A648" s="4"/>
      <c r="B648" s="4"/>
      <c r="C648" s="4"/>
      <c r="D648" s="27"/>
      <c r="E648" s="107"/>
      <c r="F648" s="4"/>
      <c r="G648" s="4"/>
      <c r="H648" s="4"/>
      <c r="I648" s="4"/>
      <c r="J648" s="4"/>
      <c r="K648" s="4"/>
      <c r="L648" s="174"/>
      <c r="M648" s="174"/>
      <c r="N648" s="4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</row>
    <row r="649" spans="1:28" x14ac:dyDescent="0.2">
      <c r="A649" s="4"/>
      <c r="B649" s="4"/>
      <c r="C649" s="4"/>
      <c r="D649" s="27"/>
      <c r="E649" s="107"/>
      <c r="F649" s="4"/>
      <c r="G649" s="4"/>
      <c r="H649" s="4"/>
      <c r="I649" s="4"/>
      <c r="J649" s="4"/>
      <c r="K649" s="4"/>
      <c r="L649" s="174"/>
      <c r="M649" s="174"/>
      <c r="N649" s="4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</row>
    <row r="650" spans="1:28" x14ac:dyDescent="0.2">
      <c r="A650" s="4"/>
      <c r="B650" s="4"/>
      <c r="C650" s="4"/>
      <c r="D650" s="27"/>
      <c r="E650" s="107"/>
      <c r="F650" s="4"/>
      <c r="G650" s="4"/>
      <c r="H650" s="4"/>
      <c r="I650" s="4"/>
      <c r="J650" s="4"/>
      <c r="K650" s="4"/>
      <c r="L650" s="174"/>
      <c r="M650" s="174"/>
      <c r="N650" s="4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</row>
    <row r="651" spans="1:28" x14ac:dyDescent="0.2">
      <c r="A651" s="4"/>
      <c r="B651" s="4"/>
      <c r="C651" s="4"/>
      <c r="D651" s="27"/>
      <c r="E651" s="107"/>
      <c r="F651" s="4"/>
      <c r="G651" s="4"/>
      <c r="H651" s="4"/>
      <c r="I651" s="4"/>
      <c r="J651" s="4"/>
      <c r="K651" s="4"/>
      <c r="L651" s="174"/>
      <c r="M651" s="174"/>
      <c r="N651" s="4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</row>
    <row r="652" spans="1:28" x14ac:dyDescent="0.2">
      <c r="A652" s="4"/>
      <c r="B652" s="4"/>
      <c r="C652" s="4"/>
      <c r="D652" s="27"/>
      <c r="E652" s="107"/>
      <c r="F652" s="4"/>
      <c r="G652" s="4"/>
      <c r="H652" s="4"/>
      <c r="I652" s="4"/>
      <c r="J652" s="4"/>
      <c r="K652" s="4"/>
      <c r="L652" s="174"/>
      <c r="M652" s="174"/>
      <c r="N652" s="4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</row>
    <row r="653" spans="1:28" x14ac:dyDescent="0.2">
      <c r="A653" s="4"/>
      <c r="B653" s="4"/>
      <c r="C653" s="4"/>
      <c r="D653" s="27"/>
      <c r="E653" s="107"/>
      <c r="F653" s="4"/>
      <c r="G653" s="4"/>
      <c r="H653" s="4"/>
      <c r="I653" s="4"/>
      <c r="J653" s="4"/>
      <c r="K653" s="4"/>
      <c r="L653" s="174"/>
      <c r="M653" s="174"/>
      <c r="N653" s="4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</row>
    <row r="654" spans="1:28" x14ac:dyDescent="0.2">
      <c r="A654" s="4"/>
      <c r="B654" s="4"/>
      <c r="C654" s="4"/>
      <c r="D654" s="27"/>
      <c r="E654" s="107"/>
      <c r="F654" s="4"/>
      <c r="G654" s="4"/>
      <c r="H654" s="4"/>
      <c r="I654" s="4"/>
      <c r="J654" s="4"/>
      <c r="K654" s="4"/>
      <c r="L654" s="174"/>
      <c r="M654" s="174"/>
      <c r="N654" s="4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</row>
    <row r="655" spans="1:28" x14ac:dyDescent="0.2">
      <c r="A655" s="4"/>
      <c r="B655" s="4"/>
      <c r="C655" s="4"/>
      <c r="D655" s="27"/>
      <c r="E655" s="107"/>
      <c r="F655" s="4"/>
      <c r="G655" s="4"/>
      <c r="H655" s="4"/>
      <c r="I655" s="4"/>
      <c r="J655" s="4"/>
      <c r="K655" s="4"/>
      <c r="L655" s="174"/>
      <c r="M655" s="174"/>
      <c r="N655" s="4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</row>
    <row r="656" spans="1:28" x14ac:dyDescent="0.2">
      <c r="A656" s="4"/>
      <c r="B656" s="4"/>
      <c r="C656" s="4"/>
      <c r="D656" s="27"/>
      <c r="E656" s="107"/>
      <c r="F656" s="4"/>
      <c r="G656" s="4"/>
      <c r="H656" s="4"/>
      <c r="I656" s="4"/>
      <c r="J656" s="4"/>
      <c r="K656" s="4"/>
      <c r="L656" s="174"/>
      <c r="M656" s="174"/>
      <c r="N656" s="4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</row>
    <row r="657" spans="1:28" x14ac:dyDescent="0.2">
      <c r="A657" s="4"/>
      <c r="B657" s="4"/>
      <c r="C657" s="4"/>
      <c r="D657" s="27"/>
      <c r="E657" s="107"/>
      <c r="F657" s="4"/>
      <c r="G657" s="4"/>
      <c r="H657" s="4"/>
      <c r="I657" s="4"/>
      <c r="J657" s="4"/>
      <c r="K657" s="4"/>
      <c r="L657" s="174"/>
      <c r="M657" s="174"/>
      <c r="N657" s="4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</row>
    <row r="658" spans="1:28" x14ac:dyDescent="0.2">
      <c r="A658" s="4"/>
      <c r="B658" s="4"/>
      <c r="C658" s="4"/>
      <c r="D658" s="27"/>
      <c r="E658" s="107"/>
      <c r="F658" s="4"/>
      <c r="G658" s="4"/>
      <c r="H658" s="4"/>
      <c r="I658" s="4"/>
      <c r="J658" s="4"/>
      <c r="K658" s="4"/>
      <c r="L658" s="174"/>
      <c r="M658" s="174"/>
      <c r="N658" s="4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</row>
    <row r="659" spans="1:28" x14ac:dyDescent="0.2">
      <c r="A659" s="4"/>
      <c r="B659" s="4"/>
      <c r="C659" s="4"/>
      <c r="D659" s="27"/>
      <c r="E659" s="107"/>
      <c r="F659" s="4"/>
      <c r="G659" s="4"/>
      <c r="H659" s="4"/>
      <c r="I659" s="4"/>
      <c r="J659" s="4"/>
      <c r="K659" s="4"/>
      <c r="L659" s="174"/>
      <c r="M659" s="174"/>
      <c r="N659" s="4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</row>
    <row r="660" spans="1:28" x14ac:dyDescent="0.2">
      <c r="A660" s="4"/>
      <c r="B660" s="4"/>
      <c r="C660" s="4"/>
      <c r="D660" s="27"/>
      <c r="E660" s="107"/>
      <c r="F660" s="4"/>
      <c r="G660" s="4"/>
      <c r="H660" s="4"/>
      <c r="I660" s="4"/>
      <c r="J660" s="4"/>
      <c r="K660" s="4"/>
      <c r="L660" s="174"/>
      <c r="M660" s="174"/>
      <c r="N660" s="4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</row>
    <row r="661" spans="1:28" x14ac:dyDescent="0.2">
      <c r="A661" s="4"/>
      <c r="B661" s="4"/>
      <c r="C661" s="4"/>
      <c r="D661" s="27"/>
      <c r="E661" s="107"/>
      <c r="F661" s="4"/>
      <c r="G661" s="4"/>
      <c r="H661" s="4"/>
      <c r="I661" s="4"/>
      <c r="J661" s="4"/>
      <c r="K661" s="4"/>
      <c r="L661" s="174"/>
      <c r="M661" s="174"/>
      <c r="N661" s="4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</row>
    <row r="662" spans="1:28" x14ac:dyDescent="0.2">
      <c r="A662" s="4"/>
      <c r="B662" s="4"/>
      <c r="C662" s="4"/>
      <c r="D662" s="27"/>
      <c r="E662" s="107"/>
      <c r="F662" s="4"/>
      <c r="G662" s="4"/>
      <c r="H662" s="4"/>
      <c r="I662" s="4"/>
      <c r="J662" s="4"/>
      <c r="K662" s="4"/>
      <c r="L662" s="174"/>
      <c r="M662" s="174"/>
      <c r="N662" s="4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</row>
    <row r="663" spans="1:28" x14ac:dyDescent="0.2">
      <c r="A663" s="4"/>
      <c r="B663" s="4"/>
      <c r="C663" s="4"/>
      <c r="D663" s="27"/>
      <c r="E663" s="107"/>
      <c r="F663" s="4"/>
      <c r="G663" s="4"/>
      <c r="H663" s="4"/>
      <c r="I663" s="4"/>
      <c r="J663" s="4"/>
      <c r="K663" s="4"/>
      <c r="L663" s="174"/>
      <c r="M663" s="174"/>
      <c r="N663" s="4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</row>
    <row r="664" spans="1:28" x14ac:dyDescent="0.2">
      <c r="A664" s="4"/>
      <c r="B664" s="4"/>
      <c r="C664" s="4"/>
      <c r="D664" s="27"/>
      <c r="E664" s="107"/>
      <c r="F664" s="4"/>
      <c r="G664" s="4"/>
      <c r="H664" s="4"/>
      <c r="I664" s="4"/>
      <c r="J664" s="4"/>
      <c r="K664" s="4"/>
      <c r="L664" s="174"/>
      <c r="M664" s="174"/>
      <c r="N664" s="4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</row>
    <row r="665" spans="1:28" x14ac:dyDescent="0.2">
      <c r="A665" s="4"/>
      <c r="B665" s="4"/>
      <c r="C665" s="4"/>
      <c r="D665" s="27"/>
      <c r="E665" s="107"/>
      <c r="F665" s="4"/>
      <c r="G665" s="4"/>
      <c r="H665" s="4"/>
      <c r="I665" s="4"/>
      <c r="J665" s="4"/>
      <c r="K665" s="4"/>
      <c r="L665" s="174"/>
      <c r="M665" s="174"/>
      <c r="N665" s="4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</row>
    <row r="666" spans="1:28" x14ac:dyDescent="0.2">
      <c r="A666" s="4"/>
      <c r="B666" s="4"/>
      <c r="C666" s="4"/>
      <c r="D666" s="27"/>
      <c r="E666" s="107"/>
      <c r="F666" s="4"/>
      <c r="G666" s="4"/>
      <c r="H666" s="4"/>
      <c r="I666" s="4"/>
      <c r="J666" s="4"/>
      <c r="K666" s="4"/>
      <c r="L666" s="174"/>
      <c r="M666" s="174"/>
      <c r="N666" s="4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</row>
    <row r="667" spans="1:28" x14ac:dyDescent="0.2">
      <c r="A667" s="4"/>
      <c r="B667" s="4"/>
      <c r="C667" s="4"/>
      <c r="D667" s="27"/>
      <c r="E667" s="107"/>
      <c r="F667" s="4"/>
      <c r="G667" s="4"/>
      <c r="H667" s="4"/>
      <c r="I667" s="4"/>
      <c r="J667" s="4"/>
      <c r="K667" s="4"/>
      <c r="L667" s="174"/>
      <c r="M667" s="174"/>
      <c r="N667" s="4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</row>
    <row r="668" spans="1:28" x14ac:dyDescent="0.2">
      <c r="A668" s="4"/>
      <c r="B668" s="4"/>
      <c r="C668" s="4"/>
      <c r="D668" s="27"/>
      <c r="E668" s="107"/>
      <c r="F668" s="4"/>
      <c r="G668" s="4"/>
      <c r="H668" s="4"/>
      <c r="I668" s="4"/>
      <c r="J668" s="4"/>
      <c r="K668" s="4"/>
      <c r="L668" s="174"/>
      <c r="M668" s="174"/>
      <c r="N668" s="4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</row>
    <row r="669" spans="1:28" x14ac:dyDescent="0.2">
      <c r="A669" s="4"/>
      <c r="B669" s="4"/>
      <c r="C669" s="4"/>
      <c r="D669" s="27"/>
      <c r="E669" s="107"/>
      <c r="F669" s="4"/>
      <c r="G669" s="4"/>
      <c r="H669" s="4"/>
      <c r="I669" s="4"/>
      <c r="J669" s="4"/>
      <c r="K669" s="4"/>
      <c r="L669" s="174"/>
      <c r="M669" s="174"/>
      <c r="N669" s="4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</row>
    <row r="670" spans="1:28" x14ac:dyDescent="0.2">
      <c r="A670" s="4"/>
      <c r="B670" s="4"/>
      <c r="C670" s="4"/>
      <c r="D670" s="27"/>
      <c r="E670" s="107"/>
      <c r="F670" s="4"/>
      <c r="G670" s="4"/>
      <c r="H670" s="4"/>
      <c r="I670" s="4"/>
      <c r="J670" s="4"/>
      <c r="K670" s="4"/>
      <c r="L670" s="174"/>
      <c r="M670" s="174"/>
      <c r="N670" s="4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</row>
    <row r="671" spans="1:28" x14ac:dyDescent="0.2">
      <c r="A671" s="4"/>
      <c r="B671" s="4"/>
      <c r="C671" s="4"/>
      <c r="D671" s="27"/>
      <c r="E671" s="107"/>
      <c r="F671" s="4"/>
      <c r="G671" s="4"/>
      <c r="H671" s="4"/>
      <c r="I671" s="4"/>
      <c r="J671" s="4"/>
      <c r="K671" s="4"/>
      <c r="L671" s="174"/>
      <c r="M671" s="174"/>
      <c r="N671" s="4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</row>
    <row r="672" spans="1:28" x14ac:dyDescent="0.2">
      <c r="A672" s="4"/>
      <c r="B672" s="4"/>
      <c r="C672" s="4"/>
      <c r="D672" s="27"/>
      <c r="E672" s="107"/>
      <c r="F672" s="4"/>
      <c r="G672" s="4"/>
      <c r="H672" s="4"/>
      <c r="I672" s="4"/>
      <c r="J672" s="4"/>
      <c r="K672" s="4"/>
      <c r="L672" s="174"/>
      <c r="M672" s="174"/>
      <c r="N672" s="4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</row>
    <row r="673" spans="1:28" x14ac:dyDescent="0.2">
      <c r="A673" s="4"/>
      <c r="B673" s="4"/>
      <c r="C673" s="4"/>
      <c r="D673" s="27"/>
      <c r="E673" s="107"/>
      <c r="F673" s="4"/>
      <c r="G673" s="4"/>
      <c r="H673" s="4"/>
      <c r="I673" s="4"/>
      <c r="J673" s="4"/>
      <c r="K673" s="4"/>
      <c r="L673" s="174"/>
      <c r="M673" s="174"/>
      <c r="N673" s="4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</row>
    <row r="674" spans="1:28" x14ac:dyDescent="0.2">
      <c r="A674" s="4"/>
      <c r="B674" s="4"/>
      <c r="C674" s="4"/>
      <c r="D674" s="27"/>
      <c r="E674" s="107"/>
      <c r="F674" s="4"/>
      <c r="G674" s="4"/>
      <c r="H674" s="4"/>
      <c r="I674" s="4"/>
      <c r="J674" s="4"/>
      <c r="K674" s="4"/>
      <c r="L674" s="174"/>
      <c r="M674" s="174"/>
      <c r="N674" s="4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</row>
    <row r="675" spans="1:28" x14ac:dyDescent="0.2">
      <c r="A675" s="4"/>
      <c r="B675" s="4"/>
      <c r="C675" s="4"/>
      <c r="D675" s="27"/>
      <c r="E675" s="107"/>
      <c r="F675" s="4"/>
      <c r="G675" s="4"/>
      <c r="H675" s="4"/>
      <c r="I675" s="4"/>
      <c r="J675" s="4"/>
      <c r="K675" s="4"/>
      <c r="L675" s="174"/>
      <c r="M675" s="174"/>
      <c r="N675" s="4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</row>
    <row r="676" spans="1:28" x14ac:dyDescent="0.2">
      <c r="A676" s="4"/>
      <c r="B676" s="4"/>
      <c r="C676" s="4"/>
      <c r="D676" s="27"/>
      <c r="E676" s="107"/>
      <c r="F676" s="4"/>
      <c r="G676" s="4"/>
      <c r="H676" s="4"/>
      <c r="I676" s="4"/>
      <c r="J676" s="4"/>
      <c r="K676" s="4"/>
      <c r="L676" s="174"/>
      <c r="M676" s="174"/>
      <c r="N676" s="4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</row>
    <row r="677" spans="1:28" x14ac:dyDescent="0.2">
      <c r="A677" s="4"/>
      <c r="B677" s="4"/>
      <c r="C677" s="4"/>
      <c r="D677" s="27"/>
      <c r="E677" s="107"/>
      <c r="F677" s="4"/>
      <c r="G677" s="4"/>
      <c r="H677" s="4"/>
      <c r="I677" s="4"/>
      <c r="J677" s="4"/>
      <c r="K677" s="4"/>
      <c r="L677" s="174"/>
      <c r="M677" s="174"/>
      <c r="N677" s="4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</row>
    <row r="678" spans="1:28" x14ac:dyDescent="0.2">
      <c r="A678" s="4"/>
      <c r="B678" s="4"/>
      <c r="C678" s="4"/>
      <c r="D678" s="27"/>
      <c r="E678" s="107"/>
      <c r="F678" s="4"/>
      <c r="G678" s="4"/>
      <c r="H678" s="4"/>
      <c r="I678" s="4"/>
      <c r="J678" s="4"/>
      <c r="K678" s="4"/>
      <c r="L678" s="174"/>
      <c r="M678" s="174"/>
      <c r="N678" s="4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</row>
    <row r="679" spans="1:28" x14ac:dyDescent="0.2">
      <c r="A679" s="4"/>
      <c r="B679" s="4"/>
      <c r="C679" s="4"/>
      <c r="D679" s="27"/>
      <c r="E679" s="107"/>
      <c r="F679" s="4"/>
      <c r="G679" s="4"/>
      <c r="H679" s="4"/>
      <c r="I679" s="4"/>
      <c r="J679" s="4"/>
      <c r="K679" s="4"/>
      <c r="L679" s="174"/>
      <c r="M679" s="174"/>
      <c r="N679" s="4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</row>
    <row r="680" spans="1:28" x14ac:dyDescent="0.2">
      <c r="A680" s="4"/>
      <c r="B680" s="4"/>
      <c r="C680" s="4"/>
      <c r="D680" s="27"/>
      <c r="E680" s="107"/>
      <c r="F680" s="4"/>
      <c r="G680" s="4"/>
      <c r="H680" s="4"/>
      <c r="I680" s="4"/>
      <c r="J680" s="4"/>
      <c r="K680" s="4"/>
      <c r="L680" s="174"/>
      <c r="M680" s="174"/>
      <c r="N680" s="4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</row>
    <row r="681" spans="1:28" x14ac:dyDescent="0.2">
      <c r="A681" s="4"/>
      <c r="B681" s="4"/>
      <c r="C681" s="4"/>
      <c r="D681" s="27"/>
      <c r="E681" s="107"/>
      <c r="F681" s="4"/>
      <c r="G681" s="4"/>
      <c r="H681" s="4"/>
      <c r="I681" s="4"/>
      <c r="J681" s="4"/>
      <c r="K681" s="4"/>
      <c r="L681" s="174"/>
      <c r="M681" s="174"/>
      <c r="N681" s="4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</row>
    <row r="682" spans="1:28" x14ac:dyDescent="0.2">
      <c r="A682" s="4"/>
      <c r="B682" s="4"/>
      <c r="C682" s="4"/>
      <c r="D682" s="27"/>
      <c r="E682" s="107"/>
      <c r="F682" s="4"/>
      <c r="G682" s="4"/>
      <c r="H682" s="4"/>
      <c r="I682" s="4"/>
      <c r="J682" s="4"/>
      <c r="K682" s="4"/>
      <c r="L682" s="174"/>
      <c r="M682" s="174"/>
      <c r="N682" s="4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</row>
    <row r="683" spans="1:28" x14ac:dyDescent="0.2">
      <c r="A683" s="4"/>
      <c r="B683" s="4"/>
      <c r="C683" s="4"/>
      <c r="D683" s="27"/>
      <c r="E683" s="107"/>
      <c r="F683" s="4"/>
      <c r="G683" s="4"/>
      <c r="H683" s="4"/>
      <c r="I683" s="4"/>
      <c r="J683" s="4"/>
      <c r="K683" s="4"/>
      <c r="L683" s="174"/>
      <c r="M683" s="174"/>
      <c r="N683" s="4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</row>
    <row r="684" spans="1:28" x14ac:dyDescent="0.2">
      <c r="A684" s="4"/>
      <c r="B684" s="4"/>
      <c r="C684" s="4"/>
      <c r="D684" s="27"/>
      <c r="E684" s="107"/>
      <c r="F684" s="4"/>
      <c r="G684" s="4"/>
      <c r="H684" s="4"/>
      <c r="I684" s="4"/>
      <c r="J684" s="4"/>
      <c r="K684" s="4"/>
      <c r="L684" s="174"/>
      <c r="M684" s="174"/>
      <c r="N684" s="4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</row>
    <row r="685" spans="1:28" x14ac:dyDescent="0.2">
      <c r="A685" s="4"/>
      <c r="B685" s="4"/>
      <c r="C685" s="4"/>
      <c r="D685" s="27"/>
      <c r="E685" s="107"/>
      <c r="F685" s="4"/>
      <c r="G685" s="4"/>
      <c r="H685" s="4"/>
      <c r="I685" s="4"/>
      <c r="J685" s="4"/>
      <c r="K685" s="4"/>
      <c r="L685" s="174"/>
      <c r="M685" s="174"/>
      <c r="N685" s="4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</row>
    <row r="686" spans="1:28" x14ac:dyDescent="0.2">
      <c r="A686" s="4"/>
      <c r="B686" s="4"/>
      <c r="C686" s="4"/>
      <c r="D686" s="27"/>
      <c r="E686" s="107"/>
      <c r="F686" s="4"/>
      <c r="G686" s="4"/>
      <c r="H686" s="4"/>
      <c r="I686" s="4"/>
      <c r="J686" s="4"/>
      <c r="K686" s="4"/>
      <c r="L686" s="174"/>
      <c r="M686" s="174"/>
      <c r="N686" s="4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</row>
    <row r="687" spans="1:28" x14ac:dyDescent="0.2">
      <c r="A687" s="4"/>
      <c r="B687" s="4"/>
      <c r="C687" s="4"/>
      <c r="D687" s="27"/>
      <c r="E687" s="107"/>
      <c r="F687" s="4"/>
      <c r="G687" s="4"/>
      <c r="H687" s="4"/>
      <c r="I687" s="4"/>
      <c r="J687" s="4"/>
      <c r="K687" s="4"/>
      <c r="L687" s="174"/>
      <c r="M687" s="174"/>
      <c r="N687" s="4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</row>
    <row r="688" spans="1:28" x14ac:dyDescent="0.2">
      <c r="A688" s="4"/>
      <c r="B688" s="4"/>
      <c r="C688" s="4"/>
      <c r="D688" s="27"/>
      <c r="E688" s="107"/>
      <c r="F688" s="4"/>
      <c r="G688" s="4"/>
      <c r="H688" s="4"/>
      <c r="I688" s="4"/>
      <c r="J688" s="4"/>
      <c r="K688" s="4"/>
      <c r="L688" s="174"/>
      <c r="M688" s="174"/>
      <c r="N688" s="4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</row>
    <row r="689" spans="1:28" x14ac:dyDescent="0.2">
      <c r="A689" s="4"/>
      <c r="B689" s="4"/>
      <c r="C689" s="4"/>
      <c r="D689" s="27"/>
      <c r="E689" s="107"/>
      <c r="F689" s="4"/>
      <c r="G689" s="4"/>
      <c r="H689" s="4"/>
      <c r="I689" s="4"/>
      <c r="J689" s="4"/>
      <c r="K689" s="4"/>
      <c r="L689" s="174"/>
      <c r="M689" s="174"/>
      <c r="N689" s="4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</row>
    <row r="690" spans="1:28" x14ac:dyDescent="0.2">
      <c r="A690" s="4"/>
      <c r="B690" s="4"/>
      <c r="C690" s="4"/>
      <c r="D690" s="27"/>
      <c r="E690" s="107"/>
      <c r="F690" s="4"/>
      <c r="G690" s="4"/>
      <c r="H690" s="4"/>
      <c r="I690" s="4"/>
      <c r="J690" s="4"/>
      <c r="K690" s="4"/>
      <c r="L690" s="174"/>
      <c r="M690" s="174"/>
      <c r="N690" s="4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</row>
    <row r="691" spans="1:28" x14ac:dyDescent="0.2">
      <c r="A691" s="4"/>
      <c r="B691" s="4"/>
      <c r="C691" s="4"/>
      <c r="D691" s="27"/>
      <c r="E691" s="107"/>
      <c r="F691" s="4"/>
      <c r="G691" s="4"/>
      <c r="H691" s="4"/>
      <c r="I691" s="4"/>
      <c r="J691" s="4"/>
      <c r="K691" s="4"/>
      <c r="L691" s="174"/>
      <c r="M691" s="174"/>
      <c r="N691" s="4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</row>
    <row r="692" spans="1:28" x14ac:dyDescent="0.2">
      <c r="A692" s="4"/>
      <c r="B692" s="4"/>
      <c r="C692" s="4"/>
      <c r="D692" s="27"/>
      <c r="E692" s="107"/>
      <c r="F692" s="4"/>
      <c r="G692" s="4"/>
      <c r="H692" s="4"/>
      <c r="I692" s="4"/>
      <c r="J692" s="4"/>
      <c r="K692" s="4"/>
      <c r="L692" s="174"/>
      <c r="M692" s="174"/>
      <c r="N692" s="4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</row>
    <row r="693" spans="1:28" x14ac:dyDescent="0.2">
      <c r="A693" s="4"/>
      <c r="B693" s="4"/>
      <c r="C693" s="4"/>
      <c r="D693" s="27"/>
      <c r="E693" s="107"/>
      <c r="F693" s="4"/>
      <c r="G693" s="4"/>
      <c r="H693" s="4"/>
      <c r="I693" s="4"/>
      <c r="J693" s="4"/>
      <c r="K693" s="4"/>
      <c r="L693" s="174"/>
      <c r="M693" s="174"/>
      <c r="N693" s="4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</row>
    <row r="694" spans="1:28" x14ac:dyDescent="0.2">
      <c r="A694" s="4"/>
      <c r="B694" s="4"/>
      <c r="C694" s="4"/>
      <c r="D694" s="27"/>
      <c r="E694" s="107"/>
      <c r="F694" s="4"/>
      <c r="G694" s="4"/>
      <c r="H694" s="4"/>
      <c r="I694" s="4"/>
      <c r="J694" s="4"/>
      <c r="K694" s="4"/>
      <c r="L694" s="174"/>
      <c r="M694" s="174"/>
      <c r="N694" s="4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</row>
    <row r="695" spans="1:28" x14ac:dyDescent="0.2">
      <c r="A695" s="4"/>
      <c r="B695" s="4"/>
      <c r="C695" s="4"/>
      <c r="D695" s="27"/>
      <c r="E695" s="107"/>
      <c r="F695" s="4"/>
      <c r="G695" s="4"/>
      <c r="H695" s="4"/>
      <c r="I695" s="4"/>
      <c r="J695" s="4"/>
      <c r="K695" s="4"/>
      <c r="L695" s="174"/>
      <c r="M695" s="174"/>
      <c r="N695" s="4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</row>
    <row r="696" spans="1:28" x14ac:dyDescent="0.2">
      <c r="A696" s="4"/>
      <c r="B696" s="4"/>
      <c r="C696" s="4"/>
      <c r="D696" s="27"/>
      <c r="E696" s="107"/>
      <c r="F696" s="4"/>
      <c r="G696" s="4"/>
      <c r="H696" s="4"/>
      <c r="I696" s="4"/>
      <c r="J696" s="4"/>
      <c r="K696" s="4"/>
      <c r="L696" s="174"/>
      <c r="M696" s="174"/>
      <c r="N696" s="4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</row>
    <row r="697" spans="1:28" x14ac:dyDescent="0.2">
      <c r="A697" s="4"/>
      <c r="B697" s="4"/>
      <c r="C697" s="4"/>
      <c r="D697" s="27"/>
      <c r="E697" s="107"/>
      <c r="F697" s="4"/>
      <c r="G697" s="4"/>
      <c r="H697" s="4"/>
      <c r="I697" s="4"/>
      <c r="J697" s="4"/>
      <c r="K697" s="4"/>
      <c r="L697" s="174"/>
      <c r="M697" s="174"/>
      <c r="N697" s="4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</row>
    <row r="698" spans="1:28" x14ac:dyDescent="0.2">
      <c r="A698" s="4"/>
      <c r="B698" s="4"/>
      <c r="C698" s="4"/>
      <c r="D698" s="27"/>
      <c r="E698" s="107"/>
      <c r="F698" s="4"/>
      <c r="G698" s="4"/>
      <c r="H698" s="4"/>
      <c r="I698" s="4"/>
      <c r="J698" s="4"/>
      <c r="K698" s="4"/>
      <c r="L698" s="174"/>
      <c r="M698" s="174"/>
      <c r="N698" s="4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</row>
    <row r="699" spans="1:28" x14ac:dyDescent="0.2">
      <c r="A699" s="4"/>
      <c r="B699" s="4"/>
      <c r="C699" s="4"/>
      <c r="D699" s="27"/>
      <c r="E699" s="107"/>
      <c r="F699" s="4"/>
      <c r="G699" s="4"/>
      <c r="H699" s="4"/>
      <c r="I699" s="4"/>
      <c r="J699" s="4"/>
      <c r="K699" s="4"/>
      <c r="L699" s="174"/>
      <c r="M699" s="174"/>
      <c r="N699" s="4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</row>
    <row r="700" spans="1:28" x14ac:dyDescent="0.2">
      <c r="A700" s="4"/>
      <c r="B700" s="4"/>
      <c r="C700" s="4"/>
      <c r="D700" s="27"/>
      <c r="E700" s="107"/>
      <c r="F700" s="4"/>
      <c r="G700" s="4"/>
      <c r="H700" s="4"/>
      <c r="I700" s="4"/>
      <c r="J700" s="4"/>
      <c r="K700" s="4"/>
      <c r="L700" s="174"/>
      <c r="M700" s="174"/>
      <c r="N700" s="4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</row>
    <row r="701" spans="1:28" x14ac:dyDescent="0.2">
      <c r="A701" s="4"/>
      <c r="B701" s="4"/>
      <c r="C701" s="4"/>
      <c r="D701" s="27"/>
      <c r="E701" s="107"/>
      <c r="F701" s="4"/>
      <c r="G701" s="4"/>
      <c r="H701" s="4"/>
      <c r="I701" s="4"/>
      <c r="J701" s="4"/>
      <c r="K701" s="4"/>
      <c r="L701" s="174"/>
      <c r="M701" s="174"/>
      <c r="N701" s="4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</row>
    <row r="702" spans="1:28" x14ac:dyDescent="0.2">
      <c r="A702" s="4"/>
      <c r="B702" s="4"/>
      <c r="C702" s="4"/>
      <c r="D702" s="27"/>
      <c r="E702" s="107"/>
      <c r="F702" s="4"/>
      <c r="G702" s="4"/>
      <c r="H702" s="4"/>
      <c r="I702" s="4"/>
      <c r="J702" s="4"/>
      <c r="K702" s="4"/>
      <c r="L702" s="174"/>
      <c r="M702" s="174"/>
      <c r="N702" s="4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</row>
    <row r="703" spans="1:28" x14ac:dyDescent="0.2">
      <c r="A703" s="4"/>
      <c r="B703" s="4"/>
      <c r="C703" s="4"/>
      <c r="D703" s="27"/>
      <c r="E703" s="107"/>
      <c r="F703" s="4"/>
      <c r="G703" s="4"/>
      <c r="H703" s="4"/>
      <c r="I703" s="4"/>
      <c r="J703" s="4"/>
      <c r="K703" s="4"/>
      <c r="L703" s="174"/>
      <c r="M703" s="174"/>
      <c r="N703" s="4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</row>
    <row r="704" spans="1:28" x14ac:dyDescent="0.2">
      <c r="A704" s="4"/>
      <c r="B704" s="4"/>
      <c r="C704" s="4"/>
      <c r="D704" s="27"/>
      <c r="E704" s="107"/>
      <c r="F704" s="4"/>
      <c r="G704" s="4"/>
      <c r="H704" s="4"/>
      <c r="I704" s="4"/>
      <c r="J704" s="4"/>
      <c r="K704" s="4"/>
      <c r="L704" s="174"/>
      <c r="M704" s="174"/>
      <c r="N704" s="4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</row>
    <row r="705" spans="1:28" x14ac:dyDescent="0.2">
      <c r="A705" s="4"/>
      <c r="B705" s="4"/>
      <c r="C705" s="4"/>
      <c r="D705" s="27"/>
      <c r="E705" s="107"/>
      <c r="F705" s="4"/>
      <c r="G705" s="4"/>
      <c r="H705" s="4"/>
      <c r="I705" s="4"/>
      <c r="J705" s="4"/>
      <c r="K705" s="4"/>
      <c r="L705" s="174"/>
      <c r="M705" s="174"/>
      <c r="N705" s="4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</row>
    <row r="706" spans="1:28" x14ac:dyDescent="0.2">
      <c r="A706" s="4"/>
      <c r="B706" s="4"/>
      <c r="C706" s="4"/>
      <c r="D706" s="27"/>
      <c r="E706" s="107"/>
      <c r="F706" s="4"/>
      <c r="G706" s="4"/>
      <c r="H706" s="4"/>
      <c r="I706" s="4"/>
      <c r="J706" s="4"/>
      <c r="K706" s="4"/>
      <c r="L706" s="174"/>
      <c r="M706" s="174"/>
      <c r="N706" s="4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</row>
    <row r="707" spans="1:28" x14ac:dyDescent="0.2">
      <c r="A707" s="4"/>
      <c r="B707" s="4"/>
      <c r="C707" s="4"/>
      <c r="D707" s="27"/>
      <c r="E707" s="107"/>
      <c r="F707" s="4"/>
      <c r="G707" s="4"/>
      <c r="H707" s="4"/>
      <c r="I707" s="4"/>
      <c r="J707" s="4"/>
      <c r="K707" s="4"/>
      <c r="L707" s="174"/>
      <c r="M707" s="174"/>
      <c r="N707" s="4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</row>
    <row r="708" spans="1:28" x14ac:dyDescent="0.2">
      <c r="A708" s="4"/>
      <c r="B708" s="4"/>
      <c r="C708" s="4"/>
      <c r="D708" s="27"/>
      <c r="E708" s="107"/>
      <c r="F708" s="4"/>
      <c r="G708" s="4"/>
      <c r="H708" s="4"/>
      <c r="I708" s="4"/>
      <c r="J708" s="4"/>
      <c r="K708" s="4"/>
      <c r="L708" s="174"/>
      <c r="M708" s="174"/>
      <c r="N708" s="4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</row>
    <row r="709" spans="1:28" x14ac:dyDescent="0.2">
      <c r="A709" s="4"/>
      <c r="B709" s="4"/>
      <c r="C709" s="4"/>
      <c r="D709" s="27"/>
      <c r="E709" s="107"/>
      <c r="F709" s="4"/>
      <c r="G709" s="4"/>
      <c r="H709" s="4"/>
      <c r="I709" s="4"/>
      <c r="J709" s="4"/>
      <c r="K709" s="4"/>
      <c r="L709" s="174"/>
      <c r="M709" s="174"/>
      <c r="N709" s="4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</row>
    <row r="710" spans="1:28" x14ac:dyDescent="0.2">
      <c r="A710" s="4"/>
      <c r="B710" s="4"/>
      <c r="C710" s="4"/>
      <c r="D710" s="27"/>
      <c r="E710" s="107"/>
      <c r="F710" s="4"/>
      <c r="G710" s="4"/>
      <c r="H710" s="4"/>
      <c r="I710" s="4"/>
      <c r="J710" s="4"/>
      <c r="K710" s="4"/>
      <c r="L710" s="174"/>
      <c r="M710" s="174"/>
      <c r="N710" s="4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</row>
    <row r="711" spans="1:28" x14ac:dyDescent="0.2">
      <c r="A711" s="4"/>
      <c r="B711" s="4"/>
      <c r="C711" s="4"/>
      <c r="D711" s="27"/>
      <c r="E711" s="107"/>
      <c r="F711" s="4"/>
      <c r="G711" s="4"/>
      <c r="H711" s="4"/>
      <c r="I711" s="4"/>
      <c r="J711" s="4"/>
      <c r="K711" s="4"/>
      <c r="L711" s="174"/>
      <c r="M711" s="174"/>
      <c r="N711" s="4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</row>
    <row r="712" spans="1:28" x14ac:dyDescent="0.2">
      <c r="A712" s="4"/>
      <c r="B712" s="4"/>
      <c r="C712" s="4"/>
      <c r="D712" s="27"/>
      <c r="E712" s="107"/>
      <c r="F712" s="4"/>
      <c r="G712" s="4"/>
      <c r="H712" s="4"/>
      <c r="I712" s="4"/>
      <c r="J712" s="4"/>
      <c r="K712" s="4"/>
      <c r="L712" s="174"/>
      <c r="M712" s="174"/>
      <c r="N712" s="4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</row>
    <row r="713" spans="1:28" x14ac:dyDescent="0.2">
      <c r="A713" s="4"/>
      <c r="B713" s="4"/>
      <c r="C713" s="4"/>
      <c r="D713" s="27"/>
      <c r="E713" s="107"/>
      <c r="F713" s="4"/>
      <c r="G713" s="4"/>
      <c r="H713" s="4"/>
      <c r="I713" s="4"/>
      <c r="J713" s="4"/>
      <c r="K713" s="4"/>
      <c r="L713" s="174"/>
      <c r="M713" s="174"/>
      <c r="N713" s="4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</row>
    <row r="714" spans="1:28" x14ac:dyDescent="0.2">
      <c r="A714" s="4"/>
      <c r="B714" s="4"/>
      <c r="C714" s="4"/>
      <c r="D714" s="27"/>
      <c r="E714" s="107"/>
      <c r="F714" s="4"/>
      <c r="G714" s="4"/>
      <c r="H714" s="4"/>
      <c r="I714" s="4"/>
      <c r="J714" s="4"/>
      <c r="K714" s="4"/>
      <c r="L714" s="174"/>
      <c r="M714" s="174"/>
      <c r="N714" s="4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</row>
    <row r="715" spans="1:28" x14ac:dyDescent="0.2">
      <c r="A715" s="4"/>
      <c r="B715" s="4"/>
      <c r="C715" s="4"/>
      <c r="D715" s="27"/>
      <c r="E715" s="107"/>
      <c r="F715" s="4"/>
      <c r="G715" s="4"/>
      <c r="H715" s="4"/>
      <c r="I715" s="4"/>
      <c r="J715" s="4"/>
      <c r="K715" s="4"/>
      <c r="L715" s="174"/>
      <c r="M715" s="174"/>
      <c r="N715" s="4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</row>
    <row r="716" spans="1:28" x14ac:dyDescent="0.2">
      <c r="A716" s="4"/>
      <c r="B716" s="4"/>
      <c r="C716" s="4"/>
      <c r="D716" s="27"/>
      <c r="E716" s="107"/>
      <c r="F716" s="4"/>
      <c r="G716" s="4"/>
      <c r="H716" s="4"/>
      <c r="I716" s="4"/>
      <c r="J716" s="4"/>
      <c r="K716" s="4"/>
      <c r="L716" s="174"/>
      <c r="M716" s="174"/>
      <c r="N716" s="4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</row>
    <row r="717" spans="1:28" x14ac:dyDescent="0.2">
      <c r="A717" s="4"/>
      <c r="B717" s="4"/>
      <c r="C717" s="4"/>
      <c r="D717" s="27"/>
      <c r="E717" s="107"/>
      <c r="F717" s="4"/>
      <c r="G717" s="4"/>
      <c r="H717" s="4"/>
      <c r="I717" s="4"/>
      <c r="J717" s="4"/>
      <c r="K717" s="4"/>
      <c r="L717" s="174"/>
      <c r="M717" s="174"/>
      <c r="N717" s="4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</row>
    <row r="718" spans="1:28" x14ac:dyDescent="0.2">
      <c r="A718" s="4"/>
      <c r="B718" s="4"/>
      <c r="C718" s="4"/>
      <c r="D718" s="27"/>
      <c r="E718" s="107"/>
      <c r="F718" s="4"/>
      <c r="G718" s="4"/>
      <c r="H718" s="4"/>
      <c r="I718" s="4"/>
      <c r="J718" s="4"/>
      <c r="K718" s="4"/>
      <c r="L718" s="174"/>
      <c r="M718" s="174"/>
      <c r="N718" s="4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</row>
    <row r="719" spans="1:28" x14ac:dyDescent="0.2">
      <c r="A719" s="4"/>
      <c r="B719" s="4"/>
      <c r="C719" s="4"/>
      <c r="D719" s="27"/>
      <c r="E719" s="107"/>
      <c r="F719" s="4"/>
      <c r="G719" s="4"/>
      <c r="H719" s="4"/>
      <c r="I719" s="4"/>
      <c r="J719" s="4"/>
      <c r="K719" s="4"/>
      <c r="L719" s="174"/>
      <c r="M719" s="174"/>
      <c r="N719" s="4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</row>
    <row r="720" spans="1:28" x14ac:dyDescent="0.2">
      <c r="A720" s="4"/>
      <c r="B720" s="4"/>
      <c r="C720" s="4"/>
      <c r="D720" s="27"/>
      <c r="E720" s="107"/>
      <c r="F720" s="4"/>
      <c r="G720" s="4"/>
      <c r="H720" s="4"/>
      <c r="I720" s="4"/>
      <c r="J720" s="4"/>
      <c r="K720" s="4"/>
      <c r="L720" s="174"/>
      <c r="M720" s="174"/>
      <c r="N720" s="4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</row>
    <row r="721" spans="1:28" x14ac:dyDescent="0.2">
      <c r="A721" s="4"/>
      <c r="B721" s="4"/>
      <c r="C721" s="4"/>
      <c r="D721" s="27"/>
      <c r="E721" s="107"/>
      <c r="F721" s="4"/>
      <c r="G721" s="4"/>
      <c r="H721" s="4"/>
      <c r="I721" s="4"/>
      <c r="J721" s="4"/>
      <c r="K721" s="4"/>
      <c r="L721" s="174"/>
      <c r="M721" s="174"/>
      <c r="N721" s="4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</row>
    <row r="722" spans="1:28" x14ac:dyDescent="0.2">
      <c r="A722" s="4"/>
      <c r="B722" s="4"/>
      <c r="C722" s="4"/>
      <c r="D722" s="27"/>
      <c r="E722" s="107"/>
      <c r="F722" s="4"/>
      <c r="G722" s="4"/>
      <c r="H722" s="4"/>
      <c r="I722" s="4"/>
      <c r="J722" s="4"/>
      <c r="K722" s="4"/>
      <c r="L722" s="174"/>
      <c r="M722" s="174"/>
      <c r="N722" s="4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</row>
    <row r="723" spans="1:28" x14ac:dyDescent="0.2">
      <c r="A723" s="4"/>
      <c r="B723" s="4"/>
      <c r="C723" s="4"/>
      <c r="D723" s="27"/>
      <c r="E723" s="107"/>
      <c r="F723" s="4"/>
      <c r="G723" s="4"/>
      <c r="H723" s="4"/>
      <c r="I723" s="4"/>
      <c r="J723" s="4"/>
      <c r="K723" s="4"/>
      <c r="L723" s="174"/>
      <c r="M723" s="174"/>
      <c r="N723" s="4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</row>
    <row r="724" spans="1:28" x14ac:dyDescent="0.2">
      <c r="A724" s="4"/>
      <c r="B724" s="4"/>
      <c r="C724" s="4"/>
      <c r="D724" s="27"/>
      <c r="E724" s="107"/>
      <c r="F724" s="4"/>
      <c r="G724" s="4"/>
      <c r="H724" s="4"/>
      <c r="I724" s="4"/>
      <c r="J724" s="4"/>
      <c r="K724" s="4"/>
      <c r="L724" s="174"/>
      <c r="M724" s="174"/>
      <c r="N724" s="4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</row>
    <row r="725" spans="1:28" x14ac:dyDescent="0.2">
      <c r="A725" s="4"/>
      <c r="B725" s="4"/>
      <c r="C725" s="4"/>
      <c r="D725" s="27"/>
      <c r="E725" s="107"/>
      <c r="F725" s="4"/>
      <c r="G725" s="4"/>
      <c r="H725" s="4"/>
      <c r="I725" s="4"/>
      <c r="J725" s="4"/>
      <c r="K725" s="4"/>
      <c r="L725" s="174"/>
      <c r="M725" s="174"/>
      <c r="N725" s="4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</row>
    <row r="726" spans="1:28" x14ac:dyDescent="0.2">
      <c r="A726" s="4"/>
      <c r="B726" s="4"/>
      <c r="C726" s="4"/>
      <c r="D726" s="27"/>
      <c r="E726" s="107"/>
      <c r="F726" s="4"/>
      <c r="G726" s="4"/>
      <c r="H726" s="4"/>
      <c r="I726" s="4"/>
      <c r="J726" s="4"/>
      <c r="K726" s="4"/>
      <c r="L726" s="174"/>
      <c r="M726" s="174"/>
      <c r="N726" s="4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</row>
    <row r="727" spans="1:28" x14ac:dyDescent="0.2">
      <c r="A727" s="4"/>
      <c r="B727" s="4"/>
      <c r="C727" s="4"/>
      <c r="D727" s="27"/>
      <c r="E727" s="107"/>
      <c r="F727" s="4"/>
      <c r="G727" s="4"/>
      <c r="H727" s="4"/>
      <c r="I727" s="4"/>
      <c r="J727" s="4"/>
      <c r="K727" s="4"/>
      <c r="L727" s="174"/>
      <c r="M727" s="174"/>
      <c r="N727" s="4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</row>
    <row r="728" spans="1:28" x14ac:dyDescent="0.2">
      <c r="A728" s="4"/>
      <c r="B728" s="4"/>
      <c r="C728" s="4"/>
      <c r="D728" s="27"/>
      <c r="E728" s="107"/>
      <c r="F728" s="4"/>
      <c r="G728" s="4"/>
      <c r="H728" s="4"/>
      <c r="I728" s="4"/>
      <c r="J728" s="4"/>
      <c r="K728" s="4"/>
      <c r="L728" s="174"/>
      <c r="M728" s="174"/>
      <c r="N728" s="4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</row>
    <row r="729" spans="1:28" x14ac:dyDescent="0.2">
      <c r="A729" s="4"/>
      <c r="B729" s="4"/>
      <c r="C729" s="4"/>
      <c r="D729" s="27"/>
      <c r="E729" s="107"/>
      <c r="F729" s="4"/>
      <c r="G729" s="4"/>
      <c r="H729" s="4"/>
      <c r="I729" s="4"/>
      <c r="J729" s="4"/>
      <c r="K729" s="4"/>
      <c r="L729" s="174"/>
      <c r="M729" s="174"/>
      <c r="N729" s="4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</row>
    <row r="730" spans="1:28" x14ac:dyDescent="0.2">
      <c r="A730" s="4"/>
      <c r="B730" s="4"/>
      <c r="C730" s="4"/>
      <c r="D730" s="27"/>
      <c r="E730" s="107"/>
      <c r="F730" s="4"/>
      <c r="G730" s="4"/>
      <c r="H730" s="4"/>
      <c r="I730" s="4"/>
      <c r="J730" s="4"/>
      <c r="K730" s="4"/>
      <c r="L730" s="174"/>
      <c r="M730" s="174"/>
      <c r="N730" s="4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</row>
    <row r="731" spans="1:28" x14ac:dyDescent="0.2">
      <c r="A731" s="4"/>
      <c r="B731" s="4"/>
      <c r="C731" s="4"/>
      <c r="D731" s="27"/>
      <c r="E731" s="107"/>
      <c r="F731" s="4"/>
      <c r="G731" s="4"/>
      <c r="H731" s="4"/>
      <c r="I731" s="4"/>
      <c r="J731" s="4"/>
      <c r="K731" s="4"/>
      <c r="L731" s="174"/>
      <c r="M731" s="174"/>
      <c r="N731" s="4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</row>
    <row r="732" spans="1:28" x14ac:dyDescent="0.2">
      <c r="A732" s="4"/>
      <c r="B732" s="4"/>
      <c r="C732" s="4"/>
      <c r="D732" s="27"/>
      <c r="E732" s="107"/>
      <c r="F732" s="4"/>
      <c r="G732" s="4"/>
      <c r="H732" s="4"/>
      <c r="I732" s="4"/>
      <c r="J732" s="4"/>
      <c r="K732" s="4"/>
      <c r="L732" s="174"/>
      <c r="M732" s="174"/>
      <c r="N732" s="4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</row>
    <row r="733" spans="1:28" x14ac:dyDescent="0.2">
      <c r="A733" s="4"/>
      <c r="B733" s="4"/>
      <c r="C733" s="4"/>
      <c r="D733" s="27"/>
      <c r="E733" s="107"/>
      <c r="F733" s="4"/>
      <c r="G733" s="4"/>
      <c r="H733" s="4"/>
      <c r="I733" s="4"/>
      <c r="J733" s="4"/>
      <c r="K733" s="4"/>
      <c r="L733" s="174"/>
      <c r="M733" s="174"/>
      <c r="N733" s="4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</row>
    <row r="734" spans="1:28" x14ac:dyDescent="0.2">
      <c r="A734" s="4"/>
      <c r="B734" s="4"/>
      <c r="C734" s="4"/>
      <c r="D734" s="27"/>
      <c r="E734" s="107"/>
      <c r="F734" s="4"/>
      <c r="G734" s="4"/>
      <c r="H734" s="4"/>
      <c r="I734" s="4"/>
      <c r="J734" s="4"/>
      <c r="K734" s="4"/>
      <c r="L734" s="174"/>
      <c r="M734" s="174"/>
      <c r="N734" s="4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</row>
    <row r="735" spans="1:28" x14ac:dyDescent="0.2">
      <c r="A735" s="4"/>
      <c r="B735" s="4"/>
      <c r="C735" s="4"/>
      <c r="D735" s="27"/>
      <c r="E735" s="107"/>
      <c r="F735" s="4"/>
      <c r="G735" s="4"/>
      <c r="H735" s="4"/>
      <c r="I735" s="4"/>
      <c r="J735" s="4"/>
      <c r="K735" s="4"/>
      <c r="L735" s="174"/>
      <c r="M735" s="174"/>
      <c r="N735" s="4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</row>
    <row r="736" spans="1:28" x14ac:dyDescent="0.2">
      <c r="A736" s="4"/>
      <c r="B736" s="4"/>
      <c r="C736" s="4"/>
      <c r="D736" s="27"/>
      <c r="E736" s="107"/>
      <c r="F736" s="4"/>
      <c r="G736" s="4"/>
      <c r="H736" s="4"/>
      <c r="I736" s="4"/>
      <c r="J736" s="4"/>
      <c r="K736" s="4"/>
      <c r="L736" s="174"/>
      <c r="M736" s="174"/>
      <c r="N736" s="4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</row>
    <row r="737" spans="1:28" x14ac:dyDescent="0.2">
      <c r="A737" s="4"/>
      <c r="B737" s="4"/>
      <c r="C737" s="4"/>
      <c r="D737" s="27"/>
      <c r="E737" s="107"/>
      <c r="F737" s="4"/>
      <c r="G737" s="4"/>
      <c r="H737" s="4"/>
      <c r="I737" s="4"/>
      <c r="J737" s="4"/>
      <c r="K737" s="4"/>
      <c r="L737" s="174"/>
      <c r="M737" s="174"/>
      <c r="N737" s="4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</row>
    <row r="738" spans="1:28" x14ac:dyDescent="0.2">
      <c r="A738" s="4"/>
      <c r="B738" s="4"/>
      <c r="C738" s="4"/>
      <c r="D738" s="27"/>
      <c r="E738" s="107"/>
      <c r="F738" s="4"/>
      <c r="G738" s="4"/>
      <c r="H738" s="4"/>
      <c r="I738" s="4"/>
      <c r="J738" s="4"/>
      <c r="K738" s="4"/>
      <c r="L738" s="174"/>
      <c r="M738" s="174"/>
      <c r="N738" s="4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</row>
    <row r="739" spans="1:28" x14ac:dyDescent="0.2">
      <c r="A739" s="4"/>
      <c r="B739" s="4"/>
      <c r="C739" s="4"/>
      <c r="D739" s="27"/>
      <c r="E739" s="107"/>
      <c r="F739" s="4"/>
      <c r="G739" s="4"/>
      <c r="H739" s="4"/>
      <c r="I739" s="4"/>
      <c r="J739" s="4"/>
      <c r="K739" s="4"/>
      <c r="L739" s="174"/>
      <c r="M739" s="174"/>
      <c r="N739" s="4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</row>
    <row r="740" spans="1:28" x14ac:dyDescent="0.2">
      <c r="A740" s="4"/>
      <c r="B740" s="4"/>
      <c r="C740" s="4"/>
      <c r="D740" s="27"/>
      <c r="E740" s="107"/>
      <c r="F740" s="4"/>
      <c r="G740" s="4"/>
      <c r="H740" s="4"/>
      <c r="I740" s="4"/>
      <c r="J740" s="4"/>
      <c r="K740" s="4"/>
      <c r="L740" s="174"/>
      <c r="M740" s="174"/>
      <c r="N740" s="4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</row>
    <row r="741" spans="1:28" x14ac:dyDescent="0.2">
      <c r="A741" s="4"/>
      <c r="B741" s="4"/>
      <c r="C741" s="4"/>
      <c r="D741" s="27"/>
      <c r="E741" s="107"/>
      <c r="F741" s="4"/>
      <c r="G741" s="4"/>
      <c r="H741" s="4"/>
      <c r="I741" s="4"/>
      <c r="J741" s="4"/>
      <c r="K741" s="4"/>
      <c r="L741" s="174"/>
      <c r="M741" s="174"/>
      <c r="N741" s="4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</row>
    <row r="742" spans="1:28" x14ac:dyDescent="0.2">
      <c r="A742" s="4"/>
      <c r="B742" s="4"/>
      <c r="C742" s="4"/>
      <c r="D742" s="27"/>
      <c r="E742" s="107"/>
      <c r="F742" s="4"/>
      <c r="G742" s="4"/>
      <c r="H742" s="4"/>
      <c r="I742" s="4"/>
      <c r="J742" s="4"/>
      <c r="K742" s="4"/>
      <c r="L742" s="174"/>
      <c r="M742" s="174"/>
      <c r="N742" s="4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</row>
    <row r="743" spans="1:28" x14ac:dyDescent="0.2">
      <c r="A743" s="4"/>
      <c r="B743" s="4"/>
      <c r="C743" s="4"/>
      <c r="D743" s="27"/>
      <c r="E743" s="107"/>
      <c r="F743" s="4"/>
      <c r="G743" s="4"/>
      <c r="H743" s="4"/>
      <c r="I743" s="4"/>
      <c r="J743" s="4"/>
      <c r="K743" s="4"/>
      <c r="L743" s="174"/>
      <c r="M743" s="174"/>
      <c r="N743" s="4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</row>
    <row r="744" spans="1:28" x14ac:dyDescent="0.2">
      <c r="A744" s="4"/>
      <c r="B744" s="4"/>
      <c r="C744" s="4"/>
      <c r="D744" s="27"/>
      <c r="E744" s="107"/>
      <c r="F744" s="4"/>
      <c r="G744" s="4"/>
      <c r="H744" s="4"/>
      <c r="I744" s="4"/>
      <c r="J744" s="4"/>
      <c r="K744" s="4"/>
      <c r="L744" s="174"/>
      <c r="M744" s="174"/>
      <c r="N744" s="4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</row>
    <row r="745" spans="1:28" x14ac:dyDescent="0.2">
      <c r="A745" s="4"/>
      <c r="B745" s="4"/>
      <c r="C745" s="4"/>
      <c r="D745" s="27"/>
      <c r="E745" s="107"/>
      <c r="F745" s="4"/>
      <c r="G745" s="4"/>
      <c r="H745" s="4"/>
      <c r="I745" s="4"/>
      <c r="J745" s="4"/>
      <c r="K745" s="4"/>
      <c r="L745" s="174"/>
      <c r="M745" s="174"/>
      <c r="N745" s="4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</row>
    <row r="746" spans="1:28" x14ac:dyDescent="0.2">
      <c r="A746" s="4"/>
      <c r="B746" s="4"/>
      <c r="C746" s="4"/>
      <c r="D746" s="27"/>
      <c r="E746" s="107"/>
      <c r="F746" s="4"/>
      <c r="G746" s="4"/>
      <c r="H746" s="4"/>
      <c r="I746" s="4"/>
      <c r="J746" s="4"/>
      <c r="K746" s="4"/>
      <c r="L746" s="174"/>
      <c r="M746" s="174"/>
      <c r="N746" s="4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</row>
    <row r="747" spans="1:28" x14ac:dyDescent="0.2">
      <c r="A747" s="4"/>
      <c r="B747" s="4"/>
      <c r="C747" s="4"/>
      <c r="D747" s="27"/>
      <c r="E747" s="107"/>
      <c r="F747" s="4"/>
      <c r="G747" s="4"/>
      <c r="H747" s="4"/>
      <c r="I747" s="4"/>
      <c r="J747" s="4"/>
      <c r="K747" s="4"/>
      <c r="L747" s="174"/>
      <c r="M747" s="174"/>
      <c r="N747" s="4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</row>
    <row r="748" spans="1:28" x14ac:dyDescent="0.2">
      <c r="A748" s="4"/>
      <c r="B748" s="4"/>
      <c r="C748" s="4"/>
      <c r="D748" s="27"/>
      <c r="E748" s="107"/>
      <c r="F748" s="4"/>
      <c r="G748" s="4"/>
      <c r="H748" s="4"/>
      <c r="I748" s="4"/>
      <c r="J748" s="4"/>
      <c r="K748" s="4"/>
      <c r="L748" s="174"/>
      <c r="M748" s="174"/>
      <c r="N748" s="4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</row>
    <row r="749" spans="1:28" x14ac:dyDescent="0.2">
      <c r="A749" s="4"/>
      <c r="B749" s="4"/>
      <c r="C749" s="4"/>
      <c r="D749" s="27"/>
      <c r="E749" s="107"/>
      <c r="F749" s="4"/>
      <c r="G749" s="4"/>
      <c r="H749" s="4"/>
      <c r="I749" s="4"/>
      <c r="J749" s="4"/>
      <c r="K749" s="4"/>
      <c r="L749" s="174"/>
      <c r="M749" s="174"/>
      <c r="N749" s="4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</row>
    <row r="750" spans="1:28" x14ac:dyDescent="0.2">
      <c r="A750" s="4"/>
      <c r="B750" s="4"/>
      <c r="C750" s="4"/>
      <c r="D750" s="27"/>
      <c r="E750" s="107"/>
      <c r="F750" s="4"/>
      <c r="G750" s="4"/>
      <c r="H750" s="4"/>
      <c r="I750" s="4"/>
      <c r="J750" s="4"/>
      <c r="K750" s="4"/>
      <c r="L750" s="174"/>
      <c r="M750" s="174"/>
      <c r="N750" s="4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</row>
    <row r="751" spans="1:28" x14ac:dyDescent="0.2">
      <c r="A751" s="4"/>
      <c r="B751" s="4"/>
      <c r="C751" s="4"/>
      <c r="D751" s="27"/>
      <c r="E751" s="107"/>
      <c r="F751" s="4"/>
      <c r="G751" s="4"/>
      <c r="H751" s="4"/>
      <c r="I751" s="4"/>
      <c r="J751" s="4"/>
      <c r="K751" s="4"/>
      <c r="L751" s="174"/>
      <c r="M751" s="174"/>
      <c r="N751" s="4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</row>
    <row r="752" spans="1:28" x14ac:dyDescent="0.2">
      <c r="A752" s="4"/>
      <c r="B752" s="4"/>
      <c r="C752" s="4"/>
      <c r="D752" s="27"/>
      <c r="E752" s="107"/>
      <c r="F752" s="4"/>
      <c r="G752" s="4"/>
      <c r="H752" s="4"/>
      <c r="I752" s="4"/>
      <c r="J752" s="4"/>
      <c r="K752" s="4"/>
      <c r="L752" s="174"/>
      <c r="M752" s="174"/>
      <c r="N752" s="4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</row>
    <row r="753" spans="1:28" x14ac:dyDescent="0.2">
      <c r="A753" s="4"/>
      <c r="B753" s="4"/>
      <c r="C753" s="4"/>
      <c r="D753" s="27"/>
      <c r="E753" s="107"/>
      <c r="F753" s="4"/>
      <c r="G753" s="4"/>
      <c r="H753" s="4"/>
      <c r="I753" s="4"/>
      <c r="J753" s="4"/>
      <c r="K753" s="4"/>
      <c r="L753" s="174"/>
      <c r="M753" s="174"/>
      <c r="N753" s="4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</row>
    <row r="754" spans="1:28" x14ac:dyDescent="0.2">
      <c r="A754" s="4"/>
      <c r="B754" s="4"/>
      <c r="C754" s="4"/>
      <c r="D754" s="27"/>
      <c r="E754" s="107"/>
      <c r="F754" s="4"/>
      <c r="G754" s="4"/>
      <c r="H754" s="4"/>
      <c r="I754" s="4"/>
      <c r="J754" s="4"/>
      <c r="K754" s="4"/>
      <c r="L754" s="174"/>
      <c r="M754" s="174"/>
      <c r="N754" s="4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</row>
    <row r="755" spans="1:28" x14ac:dyDescent="0.2">
      <c r="A755" s="4"/>
      <c r="B755" s="4"/>
      <c r="C755" s="4"/>
      <c r="D755" s="27"/>
      <c r="E755" s="107"/>
      <c r="F755" s="4"/>
      <c r="G755" s="4"/>
      <c r="H755" s="4"/>
      <c r="I755" s="4"/>
      <c r="J755" s="4"/>
      <c r="K755" s="4"/>
      <c r="L755" s="174"/>
      <c r="M755" s="174"/>
      <c r="N755" s="4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</row>
    <row r="756" spans="1:28" x14ac:dyDescent="0.2">
      <c r="A756" s="4"/>
      <c r="B756" s="4"/>
      <c r="C756" s="4"/>
      <c r="D756" s="27"/>
      <c r="E756" s="107"/>
      <c r="F756" s="4"/>
      <c r="G756" s="4"/>
      <c r="H756" s="4"/>
      <c r="I756" s="4"/>
      <c r="J756" s="4"/>
      <c r="K756" s="4"/>
      <c r="L756" s="174"/>
      <c r="M756" s="174"/>
      <c r="N756" s="4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</row>
    <row r="757" spans="1:28" x14ac:dyDescent="0.2">
      <c r="A757" s="4"/>
      <c r="B757" s="4"/>
      <c r="C757" s="4"/>
      <c r="D757" s="27"/>
      <c r="E757" s="107"/>
      <c r="F757" s="4"/>
      <c r="G757" s="4"/>
      <c r="H757" s="4"/>
      <c r="I757" s="4"/>
      <c r="J757" s="4"/>
      <c r="K757" s="4"/>
      <c r="L757" s="174"/>
      <c r="M757" s="174"/>
      <c r="N757" s="4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</row>
    <row r="758" spans="1:28" x14ac:dyDescent="0.2">
      <c r="A758" s="4"/>
      <c r="B758" s="4"/>
      <c r="C758" s="4"/>
      <c r="D758" s="27"/>
      <c r="E758" s="107"/>
      <c r="F758" s="4"/>
      <c r="G758" s="4"/>
      <c r="H758" s="4"/>
      <c r="I758" s="4"/>
      <c r="J758" s="4"/>
      <c r="K758" s="4"/>
      <c r="L758" s="174"/>
      <c r="M758" s="174"/>
      <c r="N758" s="4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</row>
    <row r="759" spans="1:28" x14ac:dyDescent="0.2">
      <c r="A759" s="4"/>
      <c r="B759" s="4"/>
      <c r="C759" s="4"/>
      <c r="D759" s="27"/>
      <c r="E759" s="107"/>
      <c r="F759" s="4"/>
      <c r="G759" s="4"/>
      <c r="H759" s="4"/>
      <c r="I759" s="4"/>
      <c r="J759" s="4"/>
      <c r="K759" s="4"/>
      <c r="L759" s="174"/>
      <c r="M759" s="174"/>
      <c r="N759" s="4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</row>
    <row r="760" spans="1:28" x14ac:dyDescent="0.2">
      <c r="A760" s="4"/>
      <c r="B760" s="4"/>
      <c r="C760" s="4"/>
      <c r="D760" s="27"/>
      <c r="E760" s="107"/>
      <c r="F760" s="4"/>
      <c r="G760" s="4"/>
      <c r="H760" s="4"/>
      <c r="I760" s="4"/>
      <c r="J760" s="4"/>
      <c r="K760" s="4"/>
      <c r="L760" s="174"/>
      <c r="M760" s="174"/>
      <c r="N760" s="4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</row>
    <row r="761" spans="1:28" x14ac:dyDescent="0.2">
      <c r="A761" s="4"/>
      <c r="B761" s="4"/>
      <c r="C761" s="4"/>
      <c r="D761" s="27"/>
      <c r="E761" s="107"/>
      <c r="F761" s="4"/>
      <c r="G761" s="4"/>
      <c r="H761" s="4"/>
      <c r="I761" s="4"/>
      <c r="J761" s="4"/>
      <c r="K761" s="4"/>
      <c r="L761" s="174"/>
      <c r="M761" s="174"/>
      <c r="N761" s="4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</row>
    <row r="762" spans="1:28" x14ac:dyDescent="0.2">
      <c r="A762" s="4"/>
      <c r="B762" s="4"/>
      <c r="C762" s="4"/>
      <c r="D762" s="27"/>
      <c r="E762" s="107"/>
      <c r="F762" s="4"/>
      <c r="G762" s="4"/>
      <c r="H762" s="4"/>
      <c r="I762" s="4"/>
      <c r="J762" s="4"/>
      <c r="K762" s="4"/>
      <c r="L762" s="174"/>
      <c r="M762" s="174"/>
      <c r="N762" s="4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</row>
    <row r="763" spans="1:28" x14ac:dyDescent="0.2">
      <c r="A763" s="4"/>
      <c r="B763" s="4"/>
      <c r="C763" s="4"/>
      <c r="D763" s="27"/>
      <c r="E763" s="107"/>
      <c r="F763" s="4"/>
      <c r="G763" s="4"/>
      <c r="H763" s="4"/>
      <c r="I763" s="4"/>
      <c r="J763" s="4"/>
      <c r="K763" s="4"/>
      <c r="L763" s="174"/>
      <c r="M763" s="174"/>
      <c r="N763" s="4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</row>
    <row r="764" spans="1:28" x14ac:dyDescent="0.2">
      <c r="A764" s="4"/>
      <c r="B764" s="4"/>
      <c r="C764" s="4"/>
      <c r="D764" s="27"/>
      <c r="E764" s="107"/>
      <c r="F764" s="4"/>
      <c r="G764" s="4"/>
      <c r="H764" s="4"/>
      <c r="I764" s="4"/>
      <c r="J764" s="4"/>
      <c r="K764" s="4"/>
      <c r="L764" s="174"/>
      <c r="M764" s="174"/>
      <c r="N764" s="4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</row>
    <row r="765" spans="1:28" x14ac:dyDescent="0.2">
      <c r="A765" s="4"/>
      <c r="B765" s="4"/>
      <c r="C765" s="4"/>
      <c r="D765" s="27"/>
      <c r="E765" s="107"/>
      <c r="F765" s="4"/>
      <c r="G765" s="4"/>
      <c r="H765" s="4"/>
      <c r="I765" s="4"/>
      <c r="J765" s="4"/>
      <c r="K765" s="4"/>
      <c r="L765" s="174"/>
      <c r="M765" s="174"/>
      <c r="N765" s="4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</row>
    <row r="766" spans="1:28" x14ac:dyDescent="0.2">
      <c r="A766" s="4"/>
      <c r="B766" s="4"/>
      <c r="C766" s="4"/>
      <c r="D766" s="27"/>
      <c r="E766" s="107"/>
      <c r="F766" s="4"/>
      <c r="G766" s="4"/>
      <c r="H766" s="4"/>
      <c r="I766" s="4"/>
      <c r="J766" s="4"/>
      <c r="K766" s="4"/>
      <c r="L766" s="174"/>
      <c r="M766" s="174"/>
      <c r="N766" s="4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</row>
    <row r="767" spans="1:28" x14ac:dyDescent="0.2">
      <c r="A767" s="4"/>
      <c r="B767" s="4"/>
      <c r="C767" s="4"/>
      <c r="D767" s="27"/>
      <c r="E767" s="107"/>
      <c r="F767" s="4"/>
      <c r="G767" s="4"/>
      <c r="H767" s="4"/>
      <c r="I767" s="4"/>
      <c r="J767" s="4"/>
      <c r="K767" s="4"/>
      <c r="L767" s="174"/>
      <c r="M767" s="174"/>
      <c r="N767" s="4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</row>
    <row r="768" spans="1:28" x14ac:dyDescent="0.2">
      <c r="A768" s="4"/>
      <c r="B768" s="4"/>
      <c r="C768" s="4"/>
      <c r="D768" s="27"/>
      <c r="E768" s="107"/>
      <c r="F768" s="4"/>
      <c r="G768" s="4"/>
      <c r="H768" s="4"/>
      <c r="I768" s="4"/>
      <c r="J768" s="4"/>
      <c r="K768" s="4"/>
      <c r="L768" s="174"/>
      <c r="M768" s="174"/>
      <c r="N768" s="4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</row>
    <row r="769" spans="1:28" x14ac:dyDescent="0.2">
      <c r="A769" s="4"/>
      <c r="B769" s="4"/>
      <c r="C769" s="4"/>
      <c r="D769" s="27"/>
      <c r="E769" s="107"/>
      <c r="F769" s="4"/>
      <c r="G769" s="4"/>
      <c r="H769" s="4"/>
      <c r="I769" s="4"/>
      <c r="J769" s="4"/>
      <c r="K769" s="4"/>
      <c r="L769" s="174"/>
      <c r="M769" s="174"/>
      <c r="N769" s="4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</row>
    <row r="770" spans="1:28" x14ac:dyDescent="0.2">
      <c r="A770" s="4"/>
      <c r="B770" s="4"/>
      <c r="C770" s="4"/>
      <c r="D770" s="27"/>
      <c r="E770" s="107"/>
      <c r="F770" s="4"/>
      <c r="G770" s="4"/>
      <c r="H770" s="4"/>
      <c r="I770" s="4"/>
      <c r="J770" s="4"/>
      <c r="K770" s="4"/>
      <c r="L770" s="174"/>
      <c r="M770" s="174"/>
      <c r="N770" s="4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</row>
    <row r="771" spans="1:28" x14ac:dyDescent="0.2">
      <c r="A771" s="4"/>
      <c r="B771" s="4"/>
      <c r="C771" s="4"/>
      <c r="D771" s="27"/>
      <c r="E771" s="107"/>
      <c r="F771" s="4"/>
      <c r="G771" s="4"/>
      <c r="H771" s="4"/>
      <c r="I771" s="4"/>
      <c r="J771" s="4"/>
      <c r="K771" s="4"/>
      <c r="L771" s="174"/>
      <c r="M771" s="174"/>
      <c r="N771" s="4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</row>
    <row r="772" spans="1:28" x14ac:dyDescent="0.2">
      <c r="A772" s="4"/>
      <c r="B772" s="4"/>
      <c r="C772" s="4"/>
      <c r="D772" s="27"/>
      <c r="E772" s="107"/>
      <c r="F772" s="4"/>
      <c r="G772" s="4"/>
      <c r="H772" s="4"/>
      <c r="I772" s="4"/>
      <c r="J772" s="4"/>
      <c r="K772" s="4"/>
      <c r="L772" s="174"/>
      <c r="M772" s="174"/>
      <c r="N772" s="4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</row>
    <row r="773" spans="1:28" x14ac:dyDescent="0.2">
      <c r="A773" s="4"/>
      <c r="B773" s="4"/>
      <c r="C773" s="4"/>
      <c r="D773" s="27"/>
      <c r="E773" s="107"/>
      <c r="F773" s="4"/>
      <c r="G773" s="4"/>
      <c r="H773" s="4"/>
      <c r="I773" s="4"/>
      <c r="J773" s="4"/>
      <c r="K773" s="4"/>
      <c r="L773" s="174"/>
      <c r="M773" s="174"/>
      <c r="N773" s="4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</row>
    <row r="774" spans="1:28" x14ac:dyDescent="0.2">
      <c r="A774" s="4"/>
      <c r="B774" s="4"/>
      <c r="C774" s="4"/>
      <c r="D774" s="27"/>
      <c r="E774" s="107"/>
      <c r="F774" s="4"/>
      <c r="G774" s="4"/>
      <c r="H774" s="4"/>
      <c r="I774" s="4"/>
      <c r="J774" s="4"/>
      <c r="K774" s="4"/>
      <c r="L774" s="174"/>
      <c r="M774" s="174"/>
      <c r="N774" s="4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</row>
    <row r="775" spans="1:28" x14ac:dyDescent="0.2">
      <c r="A775" s="4"/>
      <c r="B775" s="4"/>
      <c r="C775" s="4"/>
      <c r="D775" s="27"/>
      <c r="E775" s="107"/>
      <c r="F775" s="4"/>
      <c r="G775" s="4"/>
      <c r="H775" s="4"/>
      <c r="I775" s="4"/>
      <c r="J775" s="4"/>
      <c r="K775" s="4"/>
      <c r="L775" s="174"/>
      <c r="M775" s="174"/>
      <c r="N775" s="4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</row>
    <row r="776" spans="1:28" x14ac:dyDescent="0.2">
      <c r="A776" s="4"/>
      <c r="B776" s="4"/>
      <c r="C776" s="4"/>
      <c r="D776" s="27"/>
      <c r="E776" s="107"/>
      <c r="F776" s="4"/>
      <c r="G776" s="4"/>
      <c r="H776" s="4"/>
      <c r="I776" s="4"/>
      <c r="J776" s="4"/>
      <c r="K776" s="4"/>
      <c r="L776" s="174"/>
      <c r="M776" s="174"/>
      <c r="N776" s="4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</row>
    <row r="777" spans="1:28" x14ac:dyDescent="0.2">
      <c r="A777" s="4"/>
      <c r="B777" s="4"/>
      <c r="C777" s="4"/>
      <c r="D777" s="27"/>
      <c r="E777" s="107"/>
      <c r="F777" s="4"/>
      <c r="G777" s="4"/>
      <c r="H777" s="4"/>
      <c r="I777" s="4"/>
      <c r="J777" s="4"/>
      <c r="K777" s="4"/>
      <c r="L777" s="174"/>
      <c r="M777" s="174"/>
      <c r="N777" s="4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</row>
    <row r="778" spans="1:28" x14ac:dyDescent="0.2">
      <c r="A778" s="4"/>
      <c r="B778" s="4"/>
      <c r="C778" s="4"/>
      <c r="D778" s="27"/>
      <c r="E778" s="107"/>
      <c r="F778" s="4"/>
      <c r="G778" s="4"/>
      <c r="H778" s="4"/>
      <c r="I778" s="4"/>
      <c r="J778" s="4"/>
      <c r="K778" s="4"/>
      <c r="L778" s="174"/>
      <c r="M778" s="174"/>
      <c r="N778" s="4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</row>
    <row r="779" spans="1:28" x14ac:dyDescent="0.2">
      <c r="A779" s="4"/>
      <c r="B779" s="4"/>
      <c r="C779" s="4"/>
      <c r="D779" s="27"/>
      <c r="E779" s="107"/>
      <c r="F779" s="4"/>
      <c r="G779" s="4"/>
      <c r="H779" s="4"/>
      <c r="I779" s="4"/>
      <c r="J779" s="4"/>
      <c r="K779" s="4"/>
      <c r="L779" s="174"/>
      <c r="M779" s="174"/>
      <c r="N779" s="4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</row>
    <row r="780" spans="1:28" x14ac:dyDescent="0.2">
      <c r="A780" s="4"/>
      <c r="B780" s="4"/>
      <c r="C780" s="4"/>
      <c r="D780" s="27"/>
      <c r="E780" s="107"/>
      <c r="F780" s="4"/>
      <c r="G780" s="4"/>
      <c r="H780" s="4"/>
      <c r="I780" s="4"/>
      <c r="J780" s="4"/>
      <c r="K780" s="4"/>
      <c r="L780" s="174"/>
      <c r="M780" s="174"/>
      <c r="N780" s="4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</row>
    <row r="781" spans="1:28" x14ac:dyDescent="0.2">
      <c r="A781" s="4"/>
      <c r="B781" s="4"/>
      <c r="C781" s="4"/>
      <c r="D781" s="27"/>
      <c r="E781" s="107"/>
      <c r="F781" s="4"/>
      <c r="G781" s="4"/>
      <c r="H781" s="4"/>
      <c r="I781" s="4"/>
      <c r="J781" s="4"/>
      <c r="K781" s="4"/>
      <c r="L781" s="174"/>
      <c r="M781" s="174"/>
      <c r="N781" s="4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</row>
    <row r="782" spans="1:28" x14ac:dyDescent="0.2">
      <c r="A782" s="4"/>
      <c r="B782" s="4"/>
      <c r="C782" s="4"/>
      <c r="D782" s="27"/>
      <c r="E782" s="107"/>
      <c r="F782" s="4"/>
      <c r="G782" s="4"/>
      <c r="H782" s="4"/>
      <c r="I782" s="4"/>
      <c r="J782" s="4"/>
      <c r="K782" s="4"/>
      <c r="L782" s="174"/>
      <c r="M782" s="174"/>
      <c r="N782" s="4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</row>
    <row r="783" spans="1:28" x14ac:dyDescent="0.2">
      <c r="A783" s="4"/>
      <c r="B783" s="4"/>
      <c r="C783" s="4"/>
      <c r="D783" s="27"/>
      <c r="E783" s="107"/>
      <c r="F783" s="4"/>
      <c r="G783" s="4"/>
      <c r="H783" s="4"/>
      <c r="I783" s="4"/>
      <c r="J783" s="4"/>
      <c r="K783" s="4"/>
      <c r="L783" s="174"/>
      <c r="M783" s="174"/>
      <c r="N783" s="4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</row>
    <row r="784" spans="1:28" x14ac:dyDescent="0.2">
      <c r="A784" s="4"/>
      <c r="B784" s="4"/>
      <c r="C784" s="4"/>
      <c r="D784" s="27"/>
      <c r="E784" s="107"/>
      <c r="F784" s="4"/>
      <c r="G784" s="4"/>
      <c r="H784" s="4"/>
      <c r="I784" s="4"/>
      <c r="J784" s="4"/>
      <c r="K784" s="4"/>
      <c r="L784" s="174"/>
      <c r="M784" s="174"/>
      <c r="N784" s="4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</row>
    <row r="785" spans="1:28" x14ac:dyDescent="0.2">
      <c r="A785" s="4"/>
      <c r="B785" s="4"/>
      <c r="C785" s="4"/>
      <c r="D785" s="27"/>
      <c r="E785" s="107"/>
      <c r="F785" s="4"/>
      <c r="G785" s="4"/>
      <c r="H785" s="4"/>
      <c r="I785" s="4"/>
      <c r="J785" s="4"/>
      <c r="K785" s="4"/>
      <c r="L785" s="174"/>
      <c r="M785" s="174"/>
      <c r="N785" s="4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</row>
    <row r="786" spans="1:28" x14ac:dyDescent="0.2">
      <c r="A786" s="4"/>
      <c r="B786" s="4"/>
      <c r="C786" s="4"/>
      <c r="D786" s="27"/>
      <c r="E786" s="107"/>
      <c r="F786" s="4"/>
      <c r="G786" s="4"/>
      <c r="H786" s="4"/>
      <c r="I786" s="4"/>
      <c r="J786" s="4"/>
      <c r="K786" s="4"/>
      <c r="L786" s="174"/>
      <c r="M786" s="174"/>
      <c r="N786" s="4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</row>
    <row r="787" spans="1:28" x14ac:dyDescent="0.2">
      <c r="A787" s="4"/>
      <c r="B787" s="4"/>
      <c r="C787" s="4"/>
      <c r="D787" s="27"/>
      <c r="E787" s="107"/>
      <c r="F787" s="4"/>
      <c r="G787" s="4"/>
      <c r="H787" s="4"/>
      <c r="I787" s="4"/>
      <c r="J787" s="4"/>
      <c r="K787" s="4"/>
      <c r="L787" s="174"/>
      <c r="M787" s="174"/>
      <c r="N787" s="4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</row>
    <row r="788" spans="1:28" x14ac:dyDescent="0.2">
      <c r="A788" s="4"/>
      <c r="B788" s="4"/>
      <c r="C788" s="4"/>
      <c r="D788" s="27"/>
      <c r="E788" s="107"/>
      <c r="F788" s="4"/>
      <c r="G788" s="4"/>
      <c r="H788" s="4"/>
      <c r="I788" s="4"/>
      <c r="J788" s="4"/>
      <c r="K788" s="4"/>
      <c r="L788" s="174"/>
      <c r="M788" s="174"/>
      <c r="N788" s="4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</row>
    <row r="789" spans="1:28" x14ac:dyDescent="0.2">
      <c r="A789" s="4"/>
      <c r="B789" s="4"/>
      <c r="C789" s="4"/>
      <c r="D789" s="27"/>
      <c r="E789" s="107"/>
      <c r="F789" s="4"/>
      <c r="G789" s="4"/>
      <c r="H789" s="4"/>
      <c r="I789" s="4"/>
      <c r="J789" s="4"/>
      <c r="K789" s="4"/>
      <c r="L789" s="174"/>
      <c r="M789" s="174"/>
      <c r="N789" s="4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</row>
    <row r="790" spans="1:28" x14ac:dyDescent="0.2">
      <c r="A790" s="4"/>
      <c r="B790" s="4"/>
      <c r="C790" s="4"/>
      <c r="D790" s="27"/>
      <c r="E790" s="107"/>
      <c r="F790" s="4"/>
      <c r="G790" s="4"/>
      <c r="H790" s="4"/>
      <c r="I790" s="4"/>
      <c r="J790" s="4"/>
      <c r="K790" s="4"/>
      <c r="L790" s="174"/>
      <c r="M790" s="174"/>
      <c r="N790" s="4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</row>
    <row r="791" spans="1:28" x14ac:dyDescent="0.2">
      <c r="A791" s="4"/>
      <c r="B791" s="4"/>
      <c r="C791" s="4"/>
      <c r="D791" s="27"/>
      <c r="E791" s="107"/>
      <c r="F791" s="4"/>
      <c r="G791" s="4"/>
      <c r="H791" s="4"/>
      <c r="I791" s="4"/>
      <c r="J791" s="4"/>
      <c r="K791" s="4"/>
      <c r="L791" s="174"/>
      <c r="M791" s="174"/>
      <c r="N791" s="4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</row>
    <row r="792" spans="1:28" x14ac:dyDescent="0.2">
      <c r="A792" s="4"/>
      <c r="B792" s="4"/>
      <c r="C792" s="4"/>
      <c r="D792" s="27"/>
      <c r="E792" s="107"/>
      <c r="F792" s="4"/>
      <c r="G792" s="4"/>
      <c r="H792" s="4"/>
      <c r="I792" s="4"/>
      <c r="J792" s="4"/>
      <c r="K792" s="4"/>
      <c r="L792" s="174"/>
      <c r="M792" s="174"/>
      <c r="N792" s="4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</row>
    <row r="793" spans="1:28" x14ac:dyDescent="0.2">
      <c r="A793" s="4"/>
      <c r="B793" s="4"/>
      <c r="C793" s="4"/>
      <c r="D793" s="27"/>
      <c r="E793" s="107"/>
      <c r="F793" s="4"/>
      <c r="G793" s="4"/>
      <c r="H793" s="4"/>
      <c r="I793" s="4"/>
      <c r="J793" s="4"/>
      <c r="K793" s="4"/>
      <c r="L793" s="174"/>
      <c r="M793" s="174"/>
      <c r="N793" s="4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</row>
    <row r="794" spans="1:28" x14ac:dyDescent="0.2">
      <c r="A794" s="4"/>
      <c r="B794" s="4"/>
      <c r="C794" s="4"/>
      <c r="D794" s="27"/>
      <c r="E794" s="107"/>
      <c r="F794" s="4"/>
      <c r="G794" s="4"/>
      <c r="H794" s="4"/>
      <c r="I794" s="4"/>
      <c r="J794" s="4"/>
      <c r="K794" s="4"/>
      <c r="L794" s="174"/>
      <c r="M794" s="174"/>
      <c r="N794" s="4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</row>
    <row r="795" spans="1:28" x14ac:dyDescent="0.2">
      <c r="A795" s="4"/>
      <c r="B795" s="4"/>
      <c r="C795" s="4"/>
      <c r="D795" s="27"/>
      <c r="E795" s="107"/>
      <c r="F795" s="4"/>
      <c r="G795" s="4"/>
      <c r="H795" s="4"/>
      <c r="I795" s="4"/>
      <c r="J795" s="4"/>
      <c r="K795" s="4"/>
      <c r="L795" s="174"/>
      <c r="M795" s="174"/>
      <c r="N795" s="4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</row>
    <row r="796" spans="1:28" x14ac:dyDescent="0.2">
      <c r="A796" s="4"/>
      <c r="B796" s="4"/>
      <c r="C796" s="4"/>
      <c r="D796" s="27"/>
      <c r="E796" s="107"/>
      <c r="F796" s="4"/>
      <c r="G796" s="4"/>
      <c r="H796" s="4"/>
      <c r="I796" s="4"/>
      <c r="J796" s="4"/>
      <c r="K796" s="4"/>
      <c r="L796" s="174"/>
      <c r="M796" s="174"/>
      <c r="N796" s="4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</row>
    <row r="797" spans="1:28" x14ac:dyDescent="0.2">
      <c r="A797" s="4"/>
      <c r="B797" s="4"/>
      <c r="C797" s="4"/>
      <c r="D797" s="27"/>
      <c r="E797" s="107"/>
      <c r="F797" s="4"/>
      <c r="G797" s="4"/>
      <c r="H797" s="4"/>
      <c r="I797" s="4"/>
      <c r="J797" s="4"/>
      <c r="K797" s="4"/>
      <c r="L797" s="174"/>
      <c r="M797" s="174"/>
      <c r="N797" s="4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</row>
    <row r="798" spans="1:28" x14ac:dyDescent="0.2">
      <c r="A798" s="4"/>
      <c r="B798" s="4"/>
      <c r="C798" s="4"/>
      <c r="D798" s="27"/>
      <c r="E798" s="107"/>
      <c r="F798" s="4"/>
      <c r="G798" s="4"/>
      <c r="H798" s="4"/>
      <c r="I798" s="4"/>
      <c r="J798" s="4"/>
      <c r="K798" s="4"/>
      <c r="L798" s="174"/>
      <c r="M798" s="174"/>
      <c r="N798" s="4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</row>
    <row r="799" spans="1:28" x14ac:dyDescent="0.2">
      <c r="A799" s="4"/>
      <c r="B799" s="4"/>
      <c r="C799" s="4"/>
      <c r="D799" s="27"/>
      <c r="E799" s="107"/>
      <c r="F799" s="4"/>
      <c r="G799" s="4"/>
      <c r="H799" s="4"/>
      <c r="I799" s="4"/>
      <c r="J799" s="4"/>
      <c r="K799" s="4"/>
      <c r="L799" s="174"/>
      <c r="M799" s="174"/>
      <c r="N799" s="4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</row>
    <row r="800" spans="1:28" x14ac:dyDescent="0.2">
      <c r="A800" s="4"/>
      <c r="B800" s="4"/>
      <c r="C800" s="4"/>
      <c r="D800" s="27"/>
      <c r="E800" s="107"/>
      <c r="F800" s="4"/>
      <c r="G800" s="4"/>
      <c r="H800" s="4"/>
      <c r="I800" s="4"/>
      <c r="J800" s="4"/>
      <c r="K800" s="4"/>
      <c r="L800" s="174"/>
      <c r="M800" s="174"/>
      <c r="N800" s="4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</row>
    <row r="801" spans="1:28" x14ac:dyDescent="0.2">
      <c r="A801" s="4"/>
      <c r="B801" s="4"/>
      <c r="C801" s="4"/>
      <c r="D801" s="27"/>
      <c r="E801" s="107"/>
      <c r="F801" s="4"/>
      <c r="G801" s="4"/>
      <c r="H801" s="4"/>
      <c r="I801" s="4"/>
      <c r="J801" s="4"/>
      <c r="K801" s="4"/>
      <c r="L801" s="174"/>
      <c r="M801" s="174"/>
      <c r="N801" s="4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</row>
    <row r="802" spans="1:28" x14ac:dyDescent="0.2">
      <c r="A802" s="4"/>
      <c r="B802" s="4"/>
      <c r="C802" s="4"/>
      <c r="D802" s="27"/>
      <c r="E802" s="107"/>
      <c r="F802" s="4"/>
      <c r="G802" s="4"/>
      <c r="H802" s="4"/>
      <c r="I802" s="4"/>
      <c r="J802" s="4"/>
      <c r="K802" s="4"/>
      <c r="L802" s="174"/>
      <c r="M802" s="174"/>
      <c r="N802" s="4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</row>
    <row r="803" spans="1:28" x14ac:dyDescent="0.2">
      <c r="A803" s="4"/>
      <c r="B803" s="4"/>
      <c r="C803" s="4"/>
      <c r="D803" s="27"/>
      <c r="E803" s="107"/>
      <c r="F803" s="4"/>
      <c r="G803" s="4"/>
      <c r="H803" s="4"/>
      <c r="I803" s="4"/>
      <c r="J803" s="4"/>
      <c r="K803" s="4"/>
      <c r="L803" s="174"/>
      <c r="M803" s="174"/>
      <c r="N803" s="4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</row>
    <row r="804" spans="1:28" x14ac:dyDescent="0.2">
      <c r="A804" s="4"/>
      <c r="B804" s="4"/>
      <c r="C804" s="4"/>
      <c r="D804" s="27"/>
      <c r="E804" s="107"/>
      <c r="F804" s="4"/>
      <c r="G804" s="4"/>
      <c r="H804" s="4"/>
      <c r="I804" s="4"/>
      <c r="J804" s="4"/>
      <c r="K804" s="4"/>
      <c r="L804" s="174"/>
      <c r="M804" s="174"/>
      <c r="N804" s="4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</row>
    <row r="805" spans="1:28" x14ac:dyDescent="0.2">
      <c r="A805" s="4"/>
      <c r="B805" s="4"/>
      <c r="C805" s="4"/>
      <c r="D805" s="27"/>
      <c r="E805" s="107"/>
      <c r="F805" s="4"/>
      <c r="G805" s="4"/>
      <c r="H805" s="4"/>
      <c r="I805" s="4"/>
      <c r="J805" s="4"/>
      <c r="K805" s="4"/>
      <c r="L805" s="174"/>
      <c r="M805" s="174"/>
      <c r="N805" s="4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</row>
    <row r="806" spans="1:28" x14ac:dyDescent="0.2">
      <c r="A806" s="4"/>
      <c r="B806" s="4"/>
      <c r="C806" s="4"/>
      <c r="D806" s="27"/>
      <c r="E806" s="107"/>
      <c r="F806" s="4"/>
      <c r="G806" s="4"/>
      <c r="H806" s="4"/>
      <c r="I806" s="4"/>
      <c r="J806" s="4"/>
      <c r="K806" s="4"/>
      <c r="L806" s="174"/>
      <c r="M806" s="174"/>
      <c r="N806" s="4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</row>
    <row r="807" spans="1:28" x14ac:dyDescent="0.2">
      <c r="A807" s="4"/>
      <c r="B807" s="4"/>
      <c r="C807" s="4"/>
      <c r="D807" s="27"/>
      <c r="E807" s="107"/>
      <c r="F807" s="4"/>
      <c r="G807" s="4"/>
      <c r="H807" s="4"/>
      <c r="I807" s="4"/>
      <c r="J807" s="4"/>
      <c r="K807" s="4"/>
      <c r="L807" s="174"/>
      <c r="M807" s="174"/>
      <c r="N807" s="4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</row>
    <row r="808" spans="1:28" x14ac:dyDescent="0.2">
      <c r="A808" s="4"/>
      <c r="B808" s="4"/>
      <c r="C808" s="4"/>
      <c r="D808" s="27"/>
      <c r="E808" s="107"/>
      <c r="F808" s="4"/>
      <c r="G808" s="4"/>
      <c r="H808" s="4"/>
      <c r="I808" s="4"/>
      <c r="J808" s="4"/>
      <c r="K808" s="4"/>
      <c r="L808" s="174"/>
      <c r="M808" s="174"/>
      <c r="N808" s="4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</row>
    <row r="809" spans="1:28" x14ac:dyDescent="0.2">
      <c r="A809" s="4"/>
      <c r="B809" s="4"/>
      <c r="C809" s="4"/>
      <c r="D809" s="27"/>
      <c r="E809" s="107"/>
      <c r="F809" s="4"/>
      <c r="G809" s="4"/>
      <c r="H809" s="4"/>
      <c r="I809" s="4"/>
      <c r="J809" s="4"/>
      <c r="K809" s="4"/>
      <c r="L809" s="174"/>
      <c r="M809" s="174"/>
      <c r="N809" s="4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</row>
    <row r="810" spans="1:28" x14ac:dyDescent="0.2">
      <c r="A810" s="4"/>
      <c r="B810" s="4"/>
      <c r="C810" s="4"/>
      <c r="D810" s="27"/>
      <c r="E810" s="107"/>
      <c r="F810" s="4"/>
      <c r="G810" s="4"/>
      <c r="H810" s="4"/>
      <c r="I810" s="4"/>
      <c r="J810" s="4"/>
      <c r="K810" s="4"/>
      <c r="L810" s="174"/>
      <c r="M810" s="174"/>
      <c r="N810" s="4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</row>
    <row r="811" spans="1:28" x14ac:dyDescent="0.2">
      <c r="A811" s="4"/>
      <c r="B811" s="4"/>
      <c r="C811" s="4"/>
      <c r="D811" s="27"/>
      <c r="E811" s="107"/>
      <c r="F811" s="4"/>
      <c r="G811" s="4"/>
      <c r="H811" s="4"/>
      <c r="I811" s="4"/>
      <c r="J811" s="4"/>
      <c r="K811" s="4"/>
      <c r="L811" s="174"/>
      <c r="M811" s="174"/>
      <c r="N811" s="4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</row>
    <row r="812" spans="1:28" x14ac:dyDescent="0.2">
      <c r="A812" s="4"/>
      <c r="B812" s="4"/>
      <c r="C812" s="4"/>
      <c r="D812" s="27"/>
      <c r="E812" s="107"/>
      <c r="F812" s="4"/>
      <c r="G812" s="4"/>
      <c r="H812" s="4"/>
      <c r="I812" s="4"/>
      <c r="J812" s="4"/>
      <c r="K812" s="4"/>
      <c r="L812" s="174"/>
      <c r="M812" s="174"/>
      <c r="N812" s="4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</row>
    <row r="813" spans="1:28" x14ac:dyDescent="0.2">
      <c r="A813" s="4"/>
      <c r="B813" s="4"/>
      <c r="C813" s="4"/>
      <c r="D813" s="27"/>
      <c r="E813" s="107"/>
      <c r="F813" s="4"/>
      <c r="G813" s="4"/>
      <c r="H813" s="4"/>
      <c r="I813" s="4"/>
      <c r="J813" s="4"/>
      <c r="K813" s="4"/>
      <c r="L813" s="174"/>
      <c r="M813" s="174"/>
      <c r="N813" s="4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</row>
    <row r="814" spans="1:28" x14ac:dyDescent="0.2">
      <c r="A814" s="4"/>
      <c r="B814" s="4"/>
      <c r="C814" s="4"/>
      <c r="D814" s="27"/>
      <c r="E814" s="107"/>
      <c r="F814" s="4"/>
      <c r="G814" s="4"/>
      <c r="H814" s="4"/>
      <c r="I814" s="4"/>
      <c r="J814" s="4"/>
      <c r="K814" s="4"/>
      <c r="L814" s="174"/>
      <c r="M814" s="174"/>
      <c r="N814" s="4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</row>
    <row r="815" spans="1:28" x14ac:dyDescent="0.2">
      <c r="A815" s="4"/>
      <c r="B815" s="4"/>
      <c r="C815" s="4"/>
      <c r="D815" s="27"/>
      <c r="E815" s="107"/>
      <c r="F815" s="4"/>
      <c r="G815" s="4"/>
      <c r="H815" s="4"/>
      <c r="I815" s="4"/>
      <c r="J815" s="4"/>
      <c r="K815" s="4"/>
      <c r="L815" s="174"/>
      <c r="M815" s="174"/>
      <c r="N815" s="4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</row>
    <row r="816" spans="1:28" x14ac:dyDescent="0.2">
      <c r="A816" s="4"/>
      <c r="B816" s="4"/>
      <c r="C816" s="4"/>
      <c r="D816" s="27"/>
      <c r="E816" s="107"/>
      <c r="F816" s="4"/>
      <c r="G816" s="4"/>
      <c r="H816" s="4"/>
      <c r="I816" s="4"/>
      <c r="J816" s="4"/>
      <c r="K816" s="4"/>
      <c r="L816" s="174"/>
      <c r="M816" s="174"/>
      <c r="N816" s="4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</row>
    <row r="817" spans="1:28" x14ac:dyDescent="0.2">
      <c r="A817" s="4"/>
      <c r="B817" s="4"/>
      <c r="C817" s="4"/>
      <c r="D817" s="27"/>
      <c r="E817" s="107"/>
      <c r="F817" s="4"/>
      <c r="G817" s="4"/>
      <c r="H817" s="4"/>
      <c r="I817" s="4"/>
      <c r="J817" s="4"/>
      <c r="K817" s="4"/>
      <c r="L817" s="174"/>
      <c r="M817" s="174"/>
      <c r="N817" s="4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</row>
    <row r="818" spans="1:28" x14ac:dyDescent="0.2">
      <c r="A818" s="4"/>
      <c r="B818" s="4"/>
      <c r="C818" s="4"/>
      <c r="D818" s="27"/>
      <c r="E818" s="107"/>
      <c r="F818" s="4"/>
      <c r="G818" s="4"/>
      <c r="H818" s="4"/>
      <c r="I818" s="4"/>
      <c r="J818" s="4"/>
      <c r="K818" s="4"/>
      <c r="L818" s="174"/>
      <c r="M818" s="174"/>
      <c r="N818" s="4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</row>
    <row r="819" spans="1:28" x14ac:dyDescent="0.2">
      <c r="A819" s="4"/>
      <c r="B819" s="4"/>
      <c r="C819" s="4"/>
      <c r="D819" s="27"/>
      <c r="E819" s="107"/>
      <c r="F819" s="4"/>
      <c r="G819" s="4"/>
      <c r="H819" s="4"/>
      <c r="I819" s="4"/>
      <c r="J819" s="4"/>
      <c r="K819" s="4"/>
      <c r="L819" s="174"/>
      <c r="M819" s="174"/>
      <c r="N819" s="4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</row>
    <row r="820" spans="1:28" x14ac:dyDescent="0.2">
      <c r="A820" s="4"/>
      <c r="B820" s="4"/>
      <c r="C820" s="4"/>
      <c r="D820" s="27"/>
      <c r="E820" s="107"/>
      <c r="F820" s="4"/>
      <c r="G820" s="4"/>
      <c r="H820" s="4"/>
      <c r="I820" s="4"/>
      <c r="J820" s="4"/>
      <c r="K820" s="4"/>
      <c r="L820" s="174"/>
      <c r="M820" s="174"/>
      <c r="N820" s="4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</row>
    <row r="821" spans="1:28" x14ac:dyDescent="0.2">
      <c r="A821" s="4"/>
      <c r="B821" s="4"/>
      <c r="C821" s="4"/>
      <c r="D821" s="27"/>
      <c r="E821" s="107"/>
      <c r="F821" s="4"/>
      <c r="G821" s="4"/>
      <c r="H821" s="4"/>
      <c r="I821" s="4"/>
      <c r="J821" s="4"/>
      <c r="K821" s="4"/>
      <c r="L821" s="174"/>
      <c r="M821" s="174"/>
      <c r="N821" s="4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</row>
    <row r="822" spans="1:28" x14ac:dyDescent="0.2">
      <c r="A822" s="4"/>
      <c r="B822" s="4"/>
      <c r="C822" s="4"/>
      <c r="D822" s="27"/>
      <c r="E822" s="107"/>
      <c r="F822" s="4"/>
      <c r="G822" s="4"/>
      <c r="H822" s="4"/>
      <c r="I822" s="4"/>
      <c r="J822" s="4"/>
      <c r="K822" s="4"/>
      <c r="L822" s="174"/>
      <c r="M822" s="174"/>
      <c r="N822" s="4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</row>
    <row r="823" spans="1:28" x14ac:dyDescent="0.2">
      <c r="A823" s="4"/>
      <c r="B823" s="4"/>
      <c r="C823" s="4"/>
      <c r="D823" s="27"/>
      <c r="E823" s="107"/>
      <c r="F823" s="4"/>
      <c r="G823" s="4"/>
      <c r="H823" s="4"/>
      <c r="I823" s="4"/>
      <c r="J823" s="4"/>
      <c r="K823" s="4"/>
      <c r="L823" s="174"/>
      <c r="M823" s="174"/>
      <c r="N823" s="4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</row>
    <row r="824" spans="1:28" x14ac:dyDescent="0.2">
      <c r="A824" s="4"/>
      <c r="B824" s="4"/>
      <c r="C824" s="4"/>
      <c r="D824" s="27"/>
      <c r="E824" s="107"/>
      <c r="F824" s="4"/>
      <c r="G824" s="4"/>
      <c r="H824" s="4"/>
      <c r="I824" s="4"/>
      <c r="J824" s="4"/>
      <c r="K824" s="4"/>
      <c r="L824" s="174"/>
      <c r="M824" s="174"/>
      <c r="N824" s="4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</row>
    <row r="825" spans="1:28" x14ac:dyDescent="0.2">
      <c r="A825" s="4"/>
      <c r="B825" s="4"/>
      <c r="C825" s="4"/>
      <c r="D825" s="27"/>
      <c r="E825" s="107"/>
      <c r="F825" s="4"/>
      <c r="G825" s="4"/>
      <c r="H825" s="4"/>
      <c r="I825" s="4"/>
      <c r="J825" s="4"/>
      <c r="K825" s="4"/>
      <c r="L825" s="174"/>
      <c r="M825" s="174"/>
      <c r="N825" s="4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</row>
    <row r="826" spans="1:28" x14ac:dyDescent="0.2">
      <c r="A826" s="4"/>
      <c r="B826" s="4"/>
      <c r="C826" s="4"/>
      <c r="D826" s="27"/>
      <c r="E826" s="107"/>
      <c r="F826" s="4"/>
      <c r="G826" s="4"/>
      <c r="H826" s="4"/>
      <c r="I826" s="4"/>
      <c r="J826" s="4"/>
      <c r="K826" s="4"/>
      <c r="L826" s="174"/>
      <c r="M826" s="174"/>
      <c r="N826" s="4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</row>
    <row r="827" spans="1:28" x14ac:dyDescent="0.2">
      <c r="A827" s="4"/>
      <c r="B827" s="4"/>
      <c r="C827" s="4"/>
      <c r="D827" s="27"/>
      <c r="E827" s="107"/>
      <c r="F827" s="4"/>
      <c r="G827" s="4"/>
      <c r="H827" s="4"/>
      <c r="I827" s="4"/>
      <c r="J827" s="21"/>
      <c r="K827" s="21"/>
      <c r="L827" s="174"/>
      <c r="M827" s="174"/>
      <c r="N827" s="4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</row>
    <row r="828" spans="1:28" x14ac:dyDescent="0.2">
      <c r="A828" s="4"/>
      <c r="B828" s="4"/>
      <c r="C828" s="4"/>
      <c r="D828" s="27"/>
      <c r="E828" s="107"/>
      <c r="F828" s="4"/>
      <c r="G828" s="4"/>
      <c r="H828" s="4"/>
      <c r="I828" s="4"/>
      <c r="J828" s="4"/>
      <c r="K828" s="4"/>
      <c r="L828" s="174"/>
      <c r="M828" s="174"/>
      <c r="N828" s="4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</row>
    <row r="829" spans="1:28" x14ac:dyDescent="0.2">
      <c r="A829" s="4"/>
      <c r="B829" s="4"/>
      <c r="C829" s="4"/>
      <c r="D829" s="27"/>
      <c r="E829" s="107"/>
      <c r="F829" s="4"/>
      <c r="G829" s="4"/>
      <c r="H829" s="4"/>
      <c r="I829" s="4"/>
      <c r="J829" s="4"/>
      <c r="K829" s="4"/>
      <c r="L829" s="174"/>
      <c r="M829" s="174"/>
      <c r="N829" s="4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</row>
    <row r="830" spans="1:28" x14ac:dyDescent="0.2">
      <c r="A830" s="4"/>
      <c r="B830" s="4"/>
      <c r="C830" s="4"/>
      <c r="D830" s="27"/>
      <c r="E830" s="107"/>
      <c r="F830" s="4"/>
      <c r="G830" s="4"/>
      <c r="H830" s="4"/>
      <c r="I830" s="4"/>
      <c r="J830" s="4"/>
      <c r="K830" s="4"/>
      <c r="L830" s="174"/>
      <c r="M830" s="174"/>
      <c r="N830" s="4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</row>
    <row r="831" spans="1:28" x14ac:dyDescent="0.2">
      <c r="A831" s="4"/>
      <c r="B831" s="4"/>
      <c r="C831" s="4"/>
      <c r="D831" s="27"/>
      <c r="E831" s="107"/>
      <c r="F831" s="4"/>
      <c r="G831" s="4"/>
      <c r="H831" s="4"/>
      <c r="I831" s="4"/>
      <c r="J831" s="4"/>
      <c r="K831" s="4"/>
      <c r="L831" s="174"/>
      <c r="M831" s="174"/>
      <c r="N831" s="4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</row>
    <row r="832" spans="1:28" x14ac:dyDescent="0.2">
      <c r="A832" s="4"/>
      <c r="B832" s="4"/>
      <c r="C832" s="4"/>
      <c r="D832" s="27"/>
      <c r="E832" s="107"/>
      <c r="F832" s="4"/>
      <c r="G832" s="4"/>
      <c r="H832" s="4"/>
      <c r="I832" s="4"/>
      <c r="J832" s="4"/>
      <c r="K832" s="4"/>
      <c r="L832" s="174"/>
      <c r="M832" s="174"/>
      <c r="N832" s="4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</row>
    <row r="833" spans="1:28" x14ac:dyDescent="0.2">
      <c r="A833" s="4"/>
      <c r="B833" s="4"/>
      <c r="C833" s="4"/>
      <c r="D833" s="27"/>
      <c r="E833" s="107"/>
      <c r="F833" s="4"/>
      <c r="G833" s="4"/>
      <c r="H833" s="4"/>
      <c r="I833" s="4"/>
      <c r="J833" s="4"/>
      <c r="K833" s="4"/>
      <c r="L833" s="174"/>
      <c r="M833" s="174"/>
      <c r="N833" s="4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</row>
    <row r="834" spans="1:28" x14ac:dyDescent="0.2">
      <c r="A834" s="4"/>
      <c r="B834" s="4"/>
      <c r="C834" s="4"/>
      <c r="D834" s="27"/>
      <c r="E834" s="107"/>
      <c r="F834" s="4"/>
      <c r="G834" s="4"/>
      <c r="H834" s="4"/>
      <c r="I834" s="4"/>
      <c r="J834" s="4"/>
      <c r="K834" s="4"/>
      <c r="L834" s="174"/>
      <c r="M834" s="174"/>
      <c r="N834" s="4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</row>
    <row r="835" spans="1:28" x14ac:dyDescent="0.2">
      <c r="A835" s="4"/>
      <c r="B835" s="4"/>
      <c r="C835" s="4"/>
      <c r="D835" s="27"/>
      <c r="E835" s="107"/>
      <c r="F835" s="4"/>
      <c r="G835" s="4"/>
      <c r="H835" s="4"/>
      <c r="I835" s="4"/>
      <c r="J835" s="4"/>
      <c r="K835" s="4"/>
      <c r="L835" s="174"/>
      <c r="M835" s="174"/>
      <c r="N835" s="4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</row>
    <row r="836" spans="1:28" x14ac:dyDescent="0.2">
      <c r="A836" s="4"/>
      <c r="B836" s="4"/>
      <c r="C836" s="4"/>
      <c r="D836" s="27"/>
      <c r="E836" s="107"/>
      <c r="F836" s="4"/>
      <c r="G836" s="4"/>
      <c r="H836" s="4"/>
      <c r="I836" s="4"/>
      <c r="J836" s="4"/>
      <c r="K836" s="4"/>
      <c r="L836" s="174"/>
      <c r="M836" s="174"/>
      <c r="N836" s="4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</row>
    <row r="837" spans="1:28" x14ac:dyDescent="0.2">
      <c r="A837" s="4"/>
      <c r="B837" s="4"/>
      <c r="C837" s="4"/>
      <c r="D837" s="27"/>
      <c r="E837" s="107"/>
      <c r="F837" s="4"/>
      <c r="G837" s="4"/>
      <c r="H837" s="4"/>
      <c r="I837" s="4"/>
      <c r="J837" s="4"/>
      <c r="K837" s="4"/>
      <c r="L837" s="174"/>
      <c r="M837" s="174"/>
      <c r="N837" s="4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</row>
    <row r="838" spans="1:28" x14ac:dyDescent="0.2">
      <c r="A838" s="4"/>
      <c r="B838" s="4"/>
      <c r="C838" s="4"/>
      <c r="D838" s="27"/>
      <c r="E838" s="107"/>
      <c r="F838" s="4"/>
      <c r="G838" s="4"/>
      <c r="H838" s="4"/>
      <c r="I838" s="4"/>
      <c r="J838" s="4"/>
      <c r="K838" s="4"/>
      <c r="L838" s="174"/>
      <c r="M838" s="174"/>
      <c r="N838" s="4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</row>
    <row r="839" spans="1:28" x14ac:dyDescent="0.2">
      <c r="A839" s="4"/>
      <c r="B839" s="4"/>
      <c r="C839" s="4"/>
      <c r="D839" s="27"/>
      <c r="E839" s="107"/>
      <c r="F839" s="4"/>
      <c r="G839" s="4"/>
      <c r="H839" s="4"/>
      <c r="I839" s="4"/>
      <c r="J839" s="4"/>
      <c r="K839" s="4"/>
      <c r="L839" s="174"/>
      <c r="M839" s="174"/>
      <c r="N839" s="4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</row>
    <row r="840" spans="1:28" x14ac:dyDescent="0.2">
      <c r="A840" s="4"/>
      <c r="B840" s="4"/>
      <c r="C840" s="4"/>
      <c r="D840" s="27"/>
      <c r="E840" s="107"/>
      <c r="F840" s="4"/>
      <c r="G840" s="4"/>
      <c r="H840" s="4"/>
      <c r="I840" s="4"/>
      <c r="J840" s="4"/>
      <c r="K840" s="4"/>
      <c r="L840" s="174"/>
      <c r="M840" s="174"/>
      <c r="N840" s="4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</row>
    <row r="841" spans="1:28" x14ac:dyDescent="0.2">
      <c r="A841" s="4"/>
      <c r="B841" s="4"/>
      <c r="C841" s="4"/>
      <c r="D841" s="27"/>
      <c r="E841" s="107"/>
      <c r="F841" s="4"/>
      <c r="G841" s="4"/>
      <c r="H841" s="4"/>
      <c r="I841" s="4"/>
      <c r="J841" s="4"/>
      <c r="K841" s="4"/>
      <c r="L841" s="174"/>
      <c r="M841" s="174"/>
      <c r="N841" s="4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</row>
    <row r="842" spans="1:28" x14ac:dyDescent="0.2">
      <c r="A842" s="4"/>
      <c r="B842" s="4"/>
      <c r="C842" s="4"/>
      <c r="D842" s="27"/>
      <c r="E842" s="107"/>
      <c r="F842" s="4"/>
      <c r="G842" s="4"/>
      <c r="H842" s="4"/>
      <c r="I842" s="4"/>
      <c r="J842" s="4"/>
      <c r="K842" s="4"/>
      <c r="L842" s="174"/>
      <c r="M842" s="174"/>
      <c r="N842" s="4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</row>
    <row r="843" spans="1:28" x14ac:dyDescent="0.2">
      <c r="A843" s="4"/>
      <c r="B843" s="4"/>
      <c r="C843" s="4"/>
      <c r="D843" s="27"/>
      <c r="E843" s="107"/>
      <c r="F843" s="4"/>
      <c r="G843" s="4"/>
      <c r="H843" s="4"/>
      <c r="I843" s="4"/>
      <c r="J843" s="4"/>
      <c r="K843" s="4"/>
      <c r="L843" s="174"/>
      <c r="M843" s="174"/>
      <c r="N843" s="4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</row>
    <row r="844" spans="1:28" x14ac:dyDescent="0.2">
      <c r="A844" s="4"/>
      <c r="B844" s="4"/>
      <c r="C844" s="4"/>
      <c r="D844" s="27"/>
      <c r="E844" s="107"/>
      <c r="F844" s="4"/>
      <c r="G844" s="4"/>
      <c r="H844" s="4"/>
      <c r="I844" s="4"/>
      <c r="J844" s="4"/>
      <c r="K844" s="4"/>
      <c r="L844" s="174"/>
      <c r="M844" s="174"/>
      <c r="N844" s="4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</row>
    <row r="845" spans="1:28" x14ac:dyDescent="0.2">
      <c r="A845" s="4"/>
      <c r="B845" s="4"/>
      <c r="C845" s="4"/>
      <c r="D845" s="27"/>
      <c r="E845" s="107"/>
      <c r="F845" s="4"/>
      <c r="G845" s="4"/>
      <c r="H845" s="4"/>
      <c r="I845" s="4"/>
      <c r="J845" s="4"/>
      <c r="K845" s="4"/>
      <c r="L845" s="174"/>
      <c r="M845" s="174"/>
      <c r="N845" s="4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</row>
    <row r="846" spans="1:28" x14ac:dyDescent="0.2">
      <c r="A846" s="4"/>
      <c r="B846" s="4"/>
      <c r="C846" s="4"/>
      <c r="D846" s="27"/>
      <c r="E846" s="107"/>
      <c r="F846" s="4"/>
      <c r="G846" s="4"/>
      <c r="H846" s="4"/>
      <c r="I846" s="4"/>
      <c r="J846" s="4"/>
      <c r="K846" s="4"/>
      <c r="L846" s="174"/>
      <c r="M846" s="174"/>
      <c r="N846" s="4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</row>
    <row r="847" spans="1:28" x14ac:dyDescent="0.2">
      <c r="A847" s="4"/>
      <c r="B847" s="4"/>
      <c r="C847" s="4"/>
      <c r="D847" s="27"/>
      <c r="E847" s="107"/>
      <c r="F847" s="4"/>
      <c r="G847" s="4"/>
      <c r="H847" s="4"/>
      <c r="I847" s="4"/>
      <c r="J847" s="4"/>
      <c r="K847" s="4"/>
      <c r="L847" s="174"/>
      <c r="M847" s="174"/>
      <c r="N847" s="4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</row>
    <row r="848" spans="1:28" x14ac:dyDescent="0.2">
      <c r="A848" s="4"/>
      <c r="B848" s="4"/>
      <c r="C848" s="4"/>
      <c r="D848" s="27"/>
      <c r="E848" s="107"/>
      <c r="F848" s="4"/>
      <c r="G848" s="4"/>
      <c r="H848" s="4"/>
      <c r="I848" s="4"/>
      <c r="J848" s="4"/>
      <c r="K848" s="4"/>
      <c r="L848" s="174"/>
      <c r="M848" s="174"/>
      <c r="N848" s="4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</row>
    <row r="849" spans="1:28" x14ac:dyDescent="0.2">
      <c r="A849" s="4"/>
      <c r="B849" s="4"/>
      <c r="C849" s="4"/>
      <c r="D849" s="27"/>
      <c r="E849" s="107"/>
      <c r="F849" s="4"/>
      <c r="G849" s="4"/>
      <c r="H849" s="4"/>
      <c r="I849" s="4"/>
      <c r="J849" s="4"/>
      <c r="K849" s="4"/>
      <c r="L849" s="174"/>
      <c r="M849" s="174"/>
      <c r="N849" s="4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</row>
    <row r="850" spans="1:28" x14ac:dyDescent="0.2">
      <c r="A850" s="4"/>
      <c r="B850" s="4"/>
      <c r="C850" s="4"/>
      <c r="D850" s="27"/>
      <c r="E850" s="107"/>
      <c r="F850" s="4"/>
      <c r="G850" s="4"/>
      <c r="H850" s="4"/>
      <c r="I850" s="4"/>
      <c r="J850" s="4"/>
      <c r="K850" s="4"/>
      <c r="L850" s="174"/>
      <c r="M850" s="174"/>
      <c r="N850" s="4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</row>
    <row r="851" spans="1:28" x14ac:dyDescent="0.2">
      <c r="A851" s="4"/>
      <c r="B851" s="4"/>
      <c r="C851" s="4"/>
      <c r="D851" s="27"/>
      <c r="E851" s="107"/>
      <c r="F851" s="4"/>
      <c r="G851" s="4"/>
      <c r="H851" s="4"/>
      <c r="I851" s="4"/>
      <c r="J851" s="4"/>
      <c r="K851" s="4"/>
      <c r="L851" s="174"/>
      <c r="M851" s="174"/>
      <c r="N851" s="4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</row>
    <row r="852" spans="1:28" x14ac:dyDescent="0.2">
      <c r="A852" s="4"/>
      <c r="B852" s="4"/>
      <c r="C852" s="4"/>
      <c r="D852" s="27"/>
      <c r="E852" s="107"/>
      <c r="F852" s="4"/>
      <c r="G852" s="4"/>
      <c r="H852" s="4"/>
      <c r="I852" s="4"/>
      <c r="J852" s="4"/>
      <c r="K852" s="4"/>
      <c r="L852" s="174"/>
      <c r="M852" s="174"/>
      <c r="N852" s="4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</row>
    <row r="853" spans="1:28" x14ac:dyDescent="0.2">
      <c r="A853" s="4"/>
      <c r="B853" s="4"/>
      <c r="C853" s="4"/>
      <c r="D853" s="27"/>
      <c r="E853" s="107"/>
      <c r="F853" s="4"/>
      <c r="G853" s="4"/>
      <c r="H853" s="4"/>
      <c r="I853" s="4"/>
      <c r="J853" s="4"/>
      <c r="K853" s="4"/>
      <c r="L853" s="174"/>
      <c r="M853" s="174"/>
      <c r="N853" s="4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</row>
    <row r="854" spans="1:28" x14ac:dyDescent="0.2">
      <c r="A854" s="4"/>
      <c r="B854" s="4"/>
      <c r="C854" s="4"/>
      <c r="D854" s="27"/>
      <c r="E854" s="107"/>
      <c r="F854" s="4"/>
      <c r="G854" s="4"/>
      <c r="H854" s="4"/>
      <c r="I854" s="4"/>
      <c r="J854" s="4"/>
      <c r="K854" s="4"/>
      <c r="L854" s="174"/>
      <c r="M854" s="174"/>
      <c r="N854" s="4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</row>
    <row r="855" spans="1:28" x14ac:dyDescent="0.2">
      <c r="A855" s="4"/>
      <c r="B855" s="4"/>
      <c r="C855" s="4"/>
      <c r="D855" s="27"/>
      <c r="E855" s="107"/>
      <c r="F855" s="4"/>
      <c r="G855" s="4"/>
      <c r="H855" s="4"/>
      <c r="I855" s="4"/>
      <c r="J855" s="4"/>
      <c r="K855" s="4"/>
      <c r="L855" s="174"/>
      <c r="M855" s="174"/>
      <c r="N855" s="4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</row>
    <row r="856" spans="1:28" x14ac:dyDescent="0.2">
      <c r="A856" s="4"/>
      <c r="B856" s="4"/>
      <c r="C856" s="4"/>
      <c r="D856" s="27"/>
      <c r="E856" s="107"/>
      <c r="F856" s="4"/>
      <c r="G856" s="4"/>
      <c r="H856" s="4"/>
      <c r="I856" s="4"/>
      <c r="J856" s="4"/>
      <c r="K856" s="4"/>
      <c r="L856" s="174"/>
      <c r="M856" s="174"/>
      <c r="N856" s="4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</row>
    <row r="857" spans="1:28" x14ac:dyDescent="0.2">
      <c r="A857" s="4"/>
      <c r="B857" s="4"/>
      <c r="C857" s="4"/>
      <c r="D857" s="27"/>
      <c r="E857" s="107"/>
      <c r="F857" s="4"/>
      <c r="G857" s="4"/>
      <c r="H857" s="4"/>
      <c r="I857" s="4"/>
      <c r="J857" s="4"/>
      <c r="K857" s="4"/>
      <c r="L857" s="174"/>
      <c r="M857" s="174"/>
      <c r="N857" s="4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</row>
    <row r="858" spans="1:28" x14ac:dyDescent="0.2">
      <c r="A858" s="4"/>
      <c r="B858" s="4"/>
      <c r="C858" s="4"/>
      <c r="D858" s="27"/>
      <c r="E858" s="107"/>
      <c r="F858" s="4"/>
      <c r="G858" s="4"/>
      <c r="H858" s="4"/>
      <c r="I858" s="4"/>
      <c r="J858" s="4"/>
      <c r="K858" s="4"/>
      <c r="L858" s="174"/>
      <c r="M858" s="174"/>
      <c r="N858" s="4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</row>
    <row r="859" spans="1:28" x14ac:dyDescent="0.2">
      <c r="A859" s="4"/>
      <c r="B859" s="4"/>
      <c r="C859" s="4"/>
      <c r="D859" s="27"/>
      <c r="E859" s="107"/>
      <c r="F859" s="4"/>
      <c r="G859" s="4"/>
      <c r="H859" s="4"/>
      <c r="I859" s="4"/>
      <c r="J859" s="4"/>
      <c r="K859" s="4"/>
      <c r="L859" s="174"/>
      <c r="M859" s="174"/>
      <c r="N859" s="4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</row>
    <row r="860" spans="1:28" x14ac:dyDescent="0.2">
      <c r="A860" s="4"/>
      <c r="B860" s="4"/>
      <c r="C860" s="4"/>
      <c r="D860" s="27"/>
      <c r="E860" s="107"/>
      <c r="F860" s="4"/>
      <c r="G860" s="4"/>
      <c r="H860" s="4"/>
      <c r="I860" s="4"/>
      <c r="J860" s="4"/>
      <c r="K860" s="4"/>
      <c r="L860" s="174"/>
      <c r="M860" s="174"/>
      <c r="N860" s="4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</row>
    <row r="861" spans="1:28" x14ac:dyDescent="0.2">
      <c r="A861" s="4"/>
      <c r="B861" s="4"/>
      <c r="C861" s="4"/>
      <c r="D861" s="27"/>
      <c r="E861" s="107"/>
      <c r="F861" s="4"/>
      <c r="G861" s="4"/>
      <c r="H861" s="4"/>
      <c r="I861" s="4"/>
      <c r="J861" s="4"/>
      <c r="K861" s="4"/>
      <c r="L861" s="174"/>
      <c r="M861" s="174"/>
      <c r="N861" s="4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</row>
    <row r="862" spans="1:28" x14ac:dyDescent="0.2">
      <c r="A862" s="4"/>
      <c r="B862" s="4"/>
      <c r="C862" s="4"/>
      <c r="D862" s="27"/>
      <c r="E862" s="107"/>
      <c r="F862" s="4"/>
      <c r="G862" s="4"/>
      <c r="H862" s="4"/>
      <c r="I862" s="4"/>
      <c r="J862" s="4"/>
      <c r="K862" s="4"/>
      <c r="L862" s="174"/>
      <c r="M862" s="174"/>
      <c r="N862" s="4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</row>
    <row r="863" spans="1:28" x14ac:dyDescent="0.2">
      <c r="A863" s="4"/>
      <c r="B863" s="4"/>
      <c r="C863" s="4"/>
      <c r="D863" s="27"/>
      <c r="E863" s="107"/>
      <c r="F863" s="4"/>
      <c r="G863" s="4"/>
      <c r="H863" s="4"/>
      <c r="I863" s="4"/>
      <c r="J863" s="4"/>
      <c r="K863" s="4"/>
      <c r="L863" s="174"/>
      <c r="M863" s="174"/>
      <c r="N863" s="4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</row>
    <row r="864" spans="1:28" x14ac:dyDescent="0.2">
      <c r="A864" s="4"/>
      <c r="B864" s="4"/>
      <c r="C864" s="4"/>
      <c r="D864" s="27"/>
      <c r="E864" s="107"/>
      <c r="F864" s="4"/>
      <c r="G864" s="4"/>
      <c r="H864" s="4"/>
      <c r="I864" s="4"/>
      <c r="J864" s="4"/>
      <c r="K864" s="4"/>
      <c r="L864" s="174"/>
      <c r="M864" s="174"/>
      <c r="N864" s="4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</row>
    <row r="865" spans="1:28" x14ac:dyDescent="0.2">
      <c r="A865" s="4"/>
      <c r="B865" s="4"/>
      <c r="C865" s="4"/>
      <c r="D865" s="27"/>
      <c r="E865" s="107"/>
      <c r="F865" s="4"/>
      <c r="G865" s="4"/>
      <c r="H865" s="4"/>
      <c r="I865" s="4"/>
      <c r="J865" s="4"/>
      <c r="K865" s="4"/>
      <c r="L865" s="174"/>
      <c r="M865" s="174"/>
      <c r="N865" s="4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</row>
    <row r="866" spans="1:28" x14ac:dyDescent="0.2">
      <c r="A866" s="4"/>
      <c r="B866" s="4"/>
      <c r="C866" s="4"/>
      <c r="D866" s="27"/>
      <c r="E866" s="107"/>
      <c r="F866" s="4"/>
      <c r="G866" s="4"/>
      <c r="H866" s="4"/>
      <c r="I866" s="4"/>
      <c r="J866" s="4"/>
      <c r="K866" s="4"/>
      <c r="L866" s="174"/>
      <c r="M866" s="174"/>
      <c r="N866" s="4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</row>
    <row r="867" spans="1:28" x14ac:dyDescent="0.2">
      <c r="A867" s="4"/>
      <c r="B867" s="4"/>
      <c r="C867" s="4"/>
      <c r="D867" s="27"/>
      <c r="E867" s="107"/>
      <c r="F867" s="4"/>
      <c r="G867" s="4"/>
      <c r="H867" s="4"/>
      <c r="I867" s="4"/>
      <c r="J867" s="4"/>
      <c r="K867" s="4"/>
      <c r="L867" s="174"/>
      <c r="M867" s="174"/>
      <c r="N867" s="4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</row>
    <row r="868" spans="1:28" x14ac:dyDescent="0.2">
      <c r="A868" s="4"/>
      <c r="B868" s="4"/>
      <c r="C868" s="4"/>
      <c r="D868" s="27"/>
      <c r="E868" s="107"/>
      <c r="F868" s="4"/>
      <c r="G868" s="4"/>
      <c r="H868" s="4"/>
      <c r="I868" s="4"/>
      <c r="J868" s="4"/>
      <c r="K868" s="4"/>
      <c r="L868" s="174"/>
      <c r="M868" s="174"/>
      <c r="N868" s="4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</row>
    <row r="869" spans="1:28" x14ac:dyDescent="0.2">
      <c r="A869" s="4"/>
      <c r="B869" s="4"/>
      <c r="C869" s="4"/>
      <c r="D869" s="27"/>
      <c r="E869" s="107"/>
      <c r="F869" s="4"/>
      <c r="G869" s="4"/>
      <c r="H869" s="4"/>
      <c r="I869" s="4"/>
      <c r="J869" s="4"/>
      <c r="K869" s="4"/>
      <c r="L869" s="174"/>
      <c r="M869" s="174"/>
      <c r="N869" s="4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</row>
    <row r="870" spans="1:28" x14ac:dyDescent="0.2">
      <c r="A870" s="4"/>
      <c r="B870" s="4"/>
      <c r="C870" s="4"/>
      <c r="D870" s="27"/>
      <c r="E870" s="107"/>
      <c r="F870" s="4"/>
      <c r="G870" s="4"/>
      <c r="H870" s="4"/>
      <c r="I870" s="4"/>
      <c r="J870" s="4"/>
      <c r="K870" s="4"/>
      <c r="L870" s="174"/>
      <c r="M870" s="174"/>
      <c r="N870" s="4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</row>
    <row r="871" spans="1:28" x14ac:dyDescent="0.2">
      <c r="A871" s="4"/>
      <c r="B871" s="4"/>
      <c r="C871" s="4"/>
      <c r="D871" s="27"/>
      <c r="E871" s="107"/>
      <c r="F871" s="4"/>
      <c r="G871" s="4"/>
      <c r="H871" s="4"/>
      <c r="I871" s="4"/>
      <c r="J871" s="4"/>
      <c r="K871" s="4"/>
      <c r="L871" s="174"/>
      <c r="M871" s="174"/>
      <c r="N871" s="4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</row>
    <row r="872" spans="1:28" x14ac:dyDescent="0.2">
      <c r="A872" s="4"/>
      <c r="B872" s="4"/>
      <c r="C872" s="4"/>
      <c r="D872" s="27"/>
      <c r="E872" s="107"/>
      <c r="F872" s="4"/>
      <c r="G872" s="4"/>
      <c r="H872" s="4"/>
      <c r="I872" s="4"/>
      <c r="J872" s="4"/>
      <c r="K872" s="4"/>
      <c r="L872" s="174"/>
      <c r="M872" s="174"/>
      <c r="N872" s="4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</row>
    <row r="873" spans="1:28" x14ac:dyDescent="0.2">
      <c r="A873" s="4"/>
      <c r="B873" s="4"/>
      <c r="C873" s="4"/>
      <c r="D873" s="27"/>
      <c r="E873" s="107"/>
      <c r="F873" s="4"/>
      <c r="G873" s="4"/>
      <c r="H873" s="4"/>
      <c r="I873" s="4"/>
      <c r="J873" s="4"/>
      <c r="K873" s="4"/>
      <c r="L873" s="174"/>
      <c r="M873" s="174"/>
      <c r="N873" s="4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</row>
    <row r="874" spans="1:28" x14ac:dyDescent="0.2">
      <c r="A874" s="4"/>
      <c r="B874" s="4"/>
      <c r="C874" s="4"/>
      <c r="D874" s="27"/>
      <c r="E874" s="107"/>
      <c r="F874" s="4"/>
      <c r="G874" s="4"/>
      <c r="H874" s="4"/>
      <c r="I874" s="4"/>
      <c r="J874" s="4"/>
      <c r="K874" s="4"/>
      <c r="L874" s="174"/>
      <c r="M874" s="174"/>
      <c r="N874" s="4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</row>
    <row r="875" spans="1:28" x14ac:dyDescent="0.2">
      <c r="A875" s="4"/>
      <c r="B875" s="4"/>
      <c r="C875" s="4"/>
      <c r="D875" s="27"/>
      <c r="E875" s="107"/>
      <c r="F875" s="4"/>
      <c r="G875" s="4"/>
      <c r="H875" s="4"/>
      <c r="I875" s="4"/>
      <c r="J875" s="4"/>
      <c r="K875" s="4"/>
      <c r="L875" s="174"/>
      <c r="M875" s="174"/>
      <c r="N875" s="4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</row>
    <row r="876" spans="1:28" x14ac:dyDescent="0.2">
      <c r="A876" s="4"/>
      <c r="B876" s="4"/>
      <c r="C876" s="4"/>
      <c r="D876" s="27"/>
      <c r="E876" s="107"/>
      <c r="F876" s="4"/>
      <c r="G876" s="4"/>
      <c r="H876" s="4"/>
      <c r="I876" s="4"/>
      <c r="J876" s="4"/>
      <c r="K876" s="4"/>
      <c r="L876" s="174"/>
      <c r="M876" s="174"/>
      <c r="N876" s="4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</row>
    <row r="877" spans="1:28" x14ac:dyDescent="0.2">
      <c r="A877" s="4"/>
      <c r="B877" s="4"/>
      <c r="C877" s="4"/>
      <c r="D877" s="27"/>
      <c r="E877" s="107"/>
      <c r="F877" s="4"/>
      <c r="G877" s="4"/>
      <c r="H877" s="4"/>
      <c r="I877" s="4"/>
      <c r="J877" s="4"/>
      <c r="K877" s="4"/>
      <c r="L877" s="174"/>
      <c r="M877" s="174"/>
      <c r="N877" s="4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</row>
    <row r="878" spans="1:28" x14ac:dyDescent="0.2">
      <c r="A878" s="4"/>
      <c r="B878" s="4"/>
      <c r="C878" s="4"/>
      <c r="D878" s="27"/>
      <c r="E878" s="107"/>
      <c r="F878" s="4"/>
      <c r="G878" s="4"/>
      <c r="H878" s="4"/>
      <c r="I878" s="4"/>
      <c r="J878" s="4"/>
      <c r="K878" s="4"/>
      <c r="L878" s="174"/>
      <c r="M878" s="174"/>
      <c r="N878" s="4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</row>
    <row r="879" spans="1:28" x14ac:dyDescent="0.2">
      <c r="A879" s="4"/>
      <c r="B879" s="4"/>
      <c r="C879" s="4"/>
      <c r="D879" s="27"/>
      <c r="E879" s="107"/>
      <c r="F879" s="4"/>
      <c r="G879" s="4"/>
      <c r="H879" s="4"/>
      <c r="I879" s="4"/>
      <c r="J879" s="4"/>
      <c r="K879" s="4"/>
      <c r="L879" s="174"/>
      <c r="M879" s="174"/>
      <c r="N879" s="4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</row>
    <row r="880" spans="1:28" x14ac:dyDescent="0.2">
      <c r="A880" s="4"/>
      <c r="B880" s="4"/>
      <c r="C880" s="4"/>
      <c r="D880" s="27"/>
      <c r="E880" s="107"/>
      <c r="F880" s="4"/>
      <c r="G880" s="4"/>
      <c r="H880" s="4"/>
      <c r="I880" s="4"/>
      <c r="J880" s="4"/>
      <c r="K880" s="4"/>
      <c r="L880" s="174"/>
      <c r="M880" s="174"/>
      <c r="N880" s="4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</row>
    <row r="881" spans="1:28" x14ac:dyDescent="0.2">
      <c r="A881" s="4"/>
      <c r="B881" s="4"/>
      <c r="C881" s="4"/>
      <c r="D881" s="27"/>
      <c r="E881" s="107"/>
      <c r="F881" s="4"/>
      <c r="G881" s="4"/>
      <c r="H881" s="4"/>
      <c r="I881" s="4"/>
      <c r="J881" s="4"/>
      <c r="K881" s="4"/>
      <c r="L881" s="174"/>
      <c r="M881" s="174"/>
      <c r="N881" s="4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</row>
    <row r="882" spans="1:28" x14ac:dyDescent="0.2">
      <c r="A882" s="4"/>
      <c r="B882" s="4"/>
      <c r="C882" s="4"/>
      <c r="D882" s="27"/>
      <c r="E882" s="107"/>
      <c r="F882" s="4"/>
      <c r="G882" s="4"/>
      <c r="H882" s="4"/>
      <c r="I882" s="4"/>
      <c r="J882" s="4"/>
      <c r="K882" s="4"/>
      <c r="L882" s="174"/>
      <c r="M882" s="174"/>
      <c r="N882" s="4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</row>
    <row r="883" spans="1:28" x14ac:dyDescent="0.2">
      <c r="A883" s="4"/>
      <c r="B883" s="4"/>
      <c r="C883" s="4"/>
      <c r="D883" s="27"/>
      <c r="E883" s="107"/>
      <c r="F883" s="4"/>
      <c r="G883" s="4"/>
      <c r="H883" s="4"/>
      <c r="I883" s="4"/>
      <c r="J883" s="4"/>
      <c r="K883" s="4"/>
      <c r="L883" s="174"/>
      <c r="M883" s="174"/>
      <c r="N883" s="4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</row>
    <row r="884" spans="1:28" x14ac:dyDescent="0.2">
      <c r="A884" s="4"/>
      <c r="B884" s="4"/>
      <c r="C884" s="4"/>
      <c r="D884" s="27"/>
      <c r="E884" s="107"/>
      <c r="F884" s="4"/>
      <c r="G884" s="4"/>
      <c r="H884" s="4"/>
      <c r="I884" s="4"/>
      <c r="J884" s="4"/>
      <c r="K884" s="4"/>
      <c r="L884" s="174"/>
      <c r="M884" s="174"/>
      <c r="N884" s="4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</row>
    <row r="885" spans="1:28" x14ac:dyDescent="0.2">
      <c r="A885" s="4"/>
      <c r="B885" s="4"/>
      <c r="C885" s="4"/>
      <c r="D885" s="27"/>
      <c r="E885" s="107"/>
      <c r="F885" s="4"/>
      <c r="G885" s="4"/>
      <c r="H885" s="4"/>
      <c r="I885" s="4"/>
      <c r="J885" s="4"/>
      <c r="K885" s="4"/>
      <c r="L885" s="174"/>
      <c r="M885" s="174"/>
      <c r="N885" s="4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</row>
    <row r="886" spans="1:28" x14ac:dyDescent="0.2">
      <c r="A886" s="4"/>
      <c r="B886" s="4"/>
      <c r="C886" s="4"/>
      <c r="D886" s="27"/>
      <c r="E886" s="107"/>
      <c r="F886" s="4"/>
      <c r="G886" s="4"/>
      <c r="H886" s="4"/>
      <c r="I886" s="4"/>
      <c r="J886" s="4"/>
      <c r="K886" s="4"/>
      <c r="L886" s="174"/>
      <c r="M886" s="174"/>
      <c r="N886" s="4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</row>
    <row r="887" spans="1:28" x14ac:dyDescent="0.2">
      <c r="A887" s="4"/>
      <c r="B887" s="4"/>
      <c r="C887" s="4"/>
      <c r="D887" s="27"/>
      <c r="E887" s="107"/>
      <c r="F887" s="4"/>
      <c r="G887" s="4"/>
      <c r="H887" s="4"/>
      <c r="I887" s="4"/>
      <c r="J887" s="4"/>
      <c r="K887" s="4"/>
      <c r="L887" s="174"/>
      <c r="M887" s="174"/>
      <c r="N887" s="4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</row>
    <row r="888" spans="1:28" x14ac:dyDescent="0.2">
      <c r="A888" s="4"/>
      <c r="B888" s="4"/>
      <c r="C888" s="4"/>
      <c r="D888" s="27"/>
      <c r="E888" s="107"/>
      <c r="F888" s="4"/>
      <c r="G888" s="4"/>
      <c r="H888" s="4"/>
      <c r="I888" s="4"/>
      <c r="J888" s="4"/>
      <c r="K888" s="4"/>
      <c r="L888" s="174"/>
      <c r="M888" s="174"/>
      <c r="N888" s="4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</row>
    <row r="889" spans="1:28" x14ac:dyDescent="0.2">
      <c r="A889" s="4"/>
      <c r="B889" s="4"/>
      <c r="C889" s="4"/>
      <c r="D889" s="27"/>
      <c r="E889" s="107"/>
      <c r="F889" s="4"/>
      <c r="G889" s="4"/>
      <c r="H889" s="4"/>
      <c r="I889" s="4"/>
      <c r="J889" s="4"/>
      <c r="K889" s="4"/>
      <c r="L889" s="174"/>
      <c r="M889" s="174"/>
      <c r="N889" s="4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</row>
    <row r="890" spans="1:28" x14ac:dyDescent="0.2">
      <c r="A890" s="4"/>
      <c r="B890" s="4"/>
      <c r="C890" s="4"/>
      <c r="D890" s="27"/>
      <c r="E890" s="107"/>
      <c r="F890" s="4"/>
      <c r="G890" s="4"/>
      <c r="H890" s="4"/>
      <c r="I890" s="4"/>
      <c r="J890" s="4"/>
      <c r="K890" s="4"/>
      <c r="L890" s="174"/>
      <c r="M890" s="174"/>
      <c r="N890" s="4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</row>
    <row r="891" spans="1:28" x14ac:dyDescent="0.2">
      <c r="A891" s="4"/>
      <c r="B891" s="4"/>
      <c r="C891" s="4"/>
      <c r="D891" s="27"/>
      <c r="E891" s="107"/>
      <c r="F891" s="4"/>
      <c r="G891" s="4"/>
      <c r="H891" s="4"/>
      <c r="I891" s="4"/>
      <c r="J891" s="4"/>
      <c r="K891" s="4"/>
      <c r="L891" s="174"/>
      <c r="M891" s="174"/>
      <c r="N891" s="4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</row>
    <row r="892" spans="1:28" x14ac:dyDescent="0.2">
      <c r="A892" s="4"/>
      <c r="B892" s="4"/>
      <c r="C892" s="4"/>
      <c r="D892" s="27"/>
      <c r="E892" s="107"/>
      <c r="F892" s="4"/>
      <c r="G892" s="4"/>
      <c r="H892" s="4"/>
      <c r="I892" s="4"/>
      <c r="J892" s="4"/>
      <c r="K892" s="4"/>
      <c r="L892" s="174"/>
      <c r="M892" s="174"/>
      <c r="N892" s="4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</row>
    <row r="893" spans="1:28" x14ac:dyDescent="0.2">
      <c r="A893" s="4"/>
      <c r="B893" s="4"/>
      <c r="C893" s="4"/>
      <c r="D893" s="27"/>
      <c r="E893" s="107"/>
      <c r="F893" s="4"/>
      <c r="G893" s="4"/>
      <c r="H893" s="4"/>
      <c r="I893" s="4"/>
      <c r="J893" s="4"/>
      <c r="K893" s="4"/>
      <c r="L893" s="174"/>
      <c r="M893" s="174"/>
      <c r="N893" s="4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</row>
    <row r="894" spans="1:28" x14ac:dyDescent="0.2">
      <c r="A894" s="4"/>
      <c r="B894" s="4"/>
      <c r="C894" s="4"/>
      <c r="D894" s="27"/>
      <c r="E894" s="107"/>
      <c r="F894" s="4"/>
      <c r="G894" s="4"/>
      <c r="H894" s="4"/>
      <c r="I894" s="4"/>
      <c r="J894" s="4"/>
      <c r="K894" s="4"/>
      <c r="L894" s="174"/>
      <c r="M894" s="174"/>
      <c r="N894" s="4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</row>
    <row r="895" spans="1:28" x14ac:dyDescent="0.2">
      <c r="A895" s="4"/>
      <c r="B895" s="4"/>
      <c r="C895" s="4"/>
      <c r="D895" s="27"/>
      <c r="E895" s="107"/>
      <c r="F895" s="4"/>
      <c r="G895" s="4"/>
      <c r="H895" s="4"/>
      <c r="I895" s="4"/>
      <c r="J895" s="4"/>
      <c r="K895" s="4"/>
      <c r="L895" s="174"/>
      <c r="M895" s="174"/>
      <c r="N895" s="4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</row>
    <row r="896" spans="1:28" x14ac:dyDescent="0.2">
      <c r="A896" s="4"/>
      <c r="B896" s="4"/>
      <c r="C896" s="4"/>
      <c r="D896" s="27"/>
      <c r="E896" s="107"/>
      <c r="F896" s="4"/>
      <c r="G896" s="4"/>
      <c r="H896" s="4"/>
      <c r="I896" s="4"/>
      <c r="J896" s="4"/>
      <c r="K896" s="4"/>
      <c r="L896" s="174"/>
      <c r="M896" s="174"/>
      <c r="N896" s="4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</row>
    <row r="897" spans="1:28" x14ac:dyDescent="0.2">
      <c r="A897" s="4"/>
      <c r="B897" s="4"/>
      <c r="C897" s="4"/>
      <c r="D897" s="27"/>
      <c r="E897" s="107"/>
      <c r="F897" s="4"/>
      <c r="G897" s="4"/>
      <c r="H897" s="4"/>
      <c r="I897" s="4"/>
      <c r="J897" s="4"/>
      <c r="K897" s="4"/>
      <c r="L897" s="174"/>
      <c r="M897" s="174"/>
      <c r="N897" s="4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</row>
    <row r="898" spans="1:28" x14ac:dyDescent="0.2">
      <c r="A898" s="4"/>
      <c r="B898" s="4"/>
      <c r="C898" s="4"/>
      <c r="D898" s="27"/>
      <c r="E898" s="107"/>
      <c r="F898" s="4"/>
      <c r="G898" s="4"/>
      <c r="H898" s="4"/>
      <c r="I898" s="4"/>
      <c r="J898" s="4"/>
      <c r="K898" s="4"/>
      <c r="L898" s="174"/>
      <c r="M898" s="174"/>
      <c r="N898" s="4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</row>
    <row r="899" spans="1:28" x14ac:dyDescent="0.2">
      <c r="A899" s="4"/>
      <c r="B899" s="4"/>
      <c r="C899" s="4"/>
      <c r="D899" s="27"/>
      <c r="E899" s="107"/>
      <c r="F899" s="4"/>
      <c r="G899" s="4"/>
      <c r="H899" s="4"/>
      <c r="I899" s="4"/>
      <c r="J899" s="4"/>
      <c r="K899" s="4"/>
      <c r="L899" s="174"/>
      <c r="M899" s="174"/>
      <c r="N899" s="4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</row>
    <row r="900" spans="1:28" x14ac:dyDescent="0.2">
      <c r="A900" s="4"/>
      <c r="B900" s="4"/>
      <c r="C900" s="4"/>
      <c r="D900" s="27"/>
      <c r="E900" s="107"/>
      <c r="F900" s="4"/>
      <c r="G900" s="4"/>
      <c r="H900" s="4"/>
      <c r="I900" s="4"/>
      <c r="J900" s="4"/>
      <c r="K900" s="4"/>
      <c r="L900" s="174"/>
      <c r="M900" s="174"/>
      <c r="N900" s="4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</row>
    <row r="901" spans="1:28" x14ac:dyDescent="0.2">
      <c r="A901" s="4"/>
      <c r="B901" s="4"/>
      <c r="C901" s="4"/>
      <c r="D901" s="27"/>
      <c r="E901" s="107"/>
      <c r="F901" s="4"/>
      <c r="G901" s="4"/>
      <c r="H901" s="4"/>
      <c r="I901" s="4"/>
      <c r="J901" s="4"/>
      <c r="K901" s="4"/>
      <c r="L901" s="174"/>
      <c r="M901" s="174"/>
      <c r="N901" s="4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</row>
    <row r="902" spans="1:28" x14ac:dyDescent="0.2">
      <c r="A902" s="4"/>
      <c r="B902" s="4"/>
      <c r="C902" s="4"/>
      <c r="D902" s="27"/>
      <c r="E902" s="107"/>
      <c r="F902" s="4"/>
      <c r="G902" s="4"/>
      <c r="H902" s="4"/>
      <c r="I902" s="4"/>
      <c r="J902" s="4"/>
      <c r="K902" s="4"/>
      <c r="L902" s="174"/>
      <c r="M902" s="174"/>
      <c r="N902" s="4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</row>
    <row r="903" spans="1:28" x14ac:dyDescent="0.2">
      <c r="A903" s="4"/>
      <c r="B903" s="4"/>
      <c r="C903" s="4"/>
      <c r="D903" s="27"/>
      <c r="E903" s="107"/>
      <c r="F903" s="4"/>
      <c r="G903" s="4"/>
      <c r="H903" s="4"/>
      <c r="I903" s="4"/>
      <c r="J903" s="4"/>
      <c r="K903" s="4"/>
      <c r="L903" s="174"/>
      <c r="M903" s="174"/>
      <c r="N903" s="4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</row>
    <row r="904" spans="1:28" x14ac:dyDescent="0.2">
      <c r="A904" s="4"/>
      <c r="B904" s="4"/>
      <c r="C904" s="4"/>
      <c r="D904" s="27"/>
      <c r="E904" s="107"/>
      <c r="F904" s="4"/>
      <c r="G904" s="4"/>
      <c r="H904" s="4"/>
      <c r="I904" s="4"/>
      <c r="J904" s="4"/>
      <c r="K904" s="4"/>
      <c r="L904" s="174"/>
      <c r="M904" s="174"/>
      <c r="N904" s="4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</row>
    <row r="905" spans="1:28" x14ac:dyDescent="0.2">
      <c r="A905" s="4"/>
      <c r="B905" s="4"/>
      <c r="C905" s="4"/>
      <c r="D905" s="27"/>
      <c r="E905" s="107"/>
      <c r="F905" s="4"/>
      <c r="G905" s="4"/>
      <c r="H905" s="4"/>
      <c r="I905" s="4"/>
      <c r="J905" s="4"/>
      <c r="K905" s="4"/>
      <c r="L905" s="174"/>
      <c r="M905" s="174"/>
      <c r="N905" s="4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</row>
    <row r="906" spans="1:28" x14ac:dyDescent="0.2">
      <c r="A906" s="4"/>
      <c r="B906" s="4"/>
      <c r="C906" s="4"/>
      <c r="D906" s="27"/>
      <c r="E906" s="107"/>
      <c r="F906" s="4"/>
      <c r="G906" s="4"/>
      <c r="H906" s="4"/>
      <c r="I906" s="4"/>
      <c r="J906" s="4"/>
      <c r="K906" s="4"/>
      <c r="L906" s="174"/>
      <c r="M906" s="174"/>
      <c r="N906" s="4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</row>
    <row r="907" spans="1:28" x14ac:dyDescent="0.2">
      <c r="A907" s="4"/>
      <c r="B907" s="4"/>
      <c r="C907" s="4"/>
      <c r="D907" s="27"/>
      <c r="E907" s="107"/>
      <c r="F907" s="4"/>
      <c r="G907" s="4"/>
      <c r="H907" s="4"/>
      <c r="I907" s="4"/>
      <c r="J907" s="4"/>
      <c r="K907" s="4"/>
      <c r="L907" s="174"/>
      <c r="M907" s="174"/>
      <c r="N907" s="4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</row>
    <row r="908" spans="1:28" x14ac:dyDescent="0.2">
      <c r="A908" s="4"/>
      <c r="B908" s="4"/>
      <c r="C908" s="4"/>
      <c r="D908" s="27"/>
      <c r="E908" s="107"/>
      <c r="F908" s="4"/>
      <c r="G908" s="4"/>
      <c r="H908" s="4"/>
      <c r="I908" s="4"/>
      <c r="J908" s="4"/>
      <c r="K908" s="4"/>
      <c r="L908" s="174"/>
      <c r="M908" s="174"/>
      <c r="N908" s="4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</row>
    <row r="909" spans="1:28" x14ac:dyDescent="0.2">
      <c r="A909" s="4"/>
      <c r="B909" s="4"/>
      <c r="C909" s="4"/>
      <c r="D909" s="27"/>
      <c r="E909" s="107"/>
      <c r="F909" s="4"/>
      <c r="G909" s="4"/>
      <c r="H909" s="4"/>
      <c r="I909" s="4"/>
      <c r="J909" s="4"/>
      <c r="K909" s="4"/>
      <c r="L909" s="174"/>
      <c r="M909" s="174"/>
      <c r="N909" s="4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</row>
    <row r="910" spans="1:28" x14ac:dyDescent="0.2">
      <c r="A910" s="4"/>
      <c r="B910" s="4"/>
      <c r="C910" s="4"/>
      <c r="D910" s="27"/>
      <c r="E910" s="107"/>
      <c r="F910" s="4"/>
      <c r="G910" s="4"/>
      <c r="H910" s="4"/>
      <c r="I910" s="4"/>
      <c r="J910" s="4"/>
      <c r="K910" s="4"/>
      <c r="L910" s="174"/>
      <c r="M910" s="174"/>
      <c r="N910" s="4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</row>
    <row r="911" spans="1:28" x14ac:dyDescent="0.2">
      <c r="A911" s="4"/>
      <c r="B911" s="4"/>
      <c r="C911" s="4"/>
      <c r="D911" s="27"/>
      <c r="E911" s="107"/>
      <c r="F911" s="4"/>
      <c r="G911" s="4"/>
      <c r="H911" s="4"/>
      <c r="I911" s="4"/>
      <c r="J911" s="4"/>
      <c r="K911" s="4"/>
      <c r="L911" s="174"/>
      <c r="M911" s="174"/>
      <c r="N911" s="4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</row>
    <row r="912" spans="1:28" x14ac:dyDescent="0.2">
      <c r="A912" s="4"/>
      <c r="B912" s="4"/>
      <c r="C912" s="4"/>
      <c r="D912" s="27"/>
      <c r="E912" s="107"/>
      <c r="F912" s="4"/>
      <c r="G912" s="4"/>
      <c r="H912" s="4"/>
      <c r="I912" s="4"/>
      <c r="J912" s="4"/>
      <c r="K912" s="4"/>
      <c r="L912" s="174"/>
      <c r="M912" s="174"/>
      <c r="N912" s="4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</row>
    <row r="913" spans="1:28" x14ac:dyDescent="0.2">
      <c r="A913" s="4"/>
      <c r="B913" s="4"/>
      <c r="C913" s="4"/>
      <c r="D913" s="27"/>
      <c r="E913" s="107"/>
      <c r="F913" s="4"/>
      <c r="G913" s="4"/>
      <c r="H913" s="4"/>
      <c r="I913" s="4"/>
      <c r="J913" s="4"/>
      <c r="K913" s="4"/>
      <c r="L913" s="174"/>
      <c r="M913" s="174"/>
      <c r="N913" s="4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</row>
    <row r="914" spans="1:28" x14ac:dyDescent="0.2">
      <c r="A914" s="4"/>
      <c r="B914" s="4"/>
      <c r="C914" s="4"/>
      <c r="D914" s="27"/>
      <c r="E914" s="107"/>
      <c r="F914" s="4"/>
      <c r="G914" s="4"/>
      <c r="H914" s="4"/>
      <c r="I914" s="4"/>
      <c r="J914" s="4"/>
      <c r="K914" s="4"/>
      <c r="L914" s="174"/>
      <c r="M914" s="174"/>
      <c r="N914" s="4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</row>
    <row r="915" spans="1:28" x14ac:dyDescent="0.2">
      <c r="A915" s="4"/>
      <c r="B915" s="4"/>
      <c r="C915" s="4"/>
      <c r="D915" s="27"/>
      <c r="E915" s="107"/>
      <c r="F915" s="4"/>
      <c r="G915" s="4"/>
      <c r="H915" s="4"/>
      <c r="I915" s="4"/>
      <c r="J915" s="4"/>
      <c r="K915" s="4"/>
      <c r="L915" s="174"/>
      <c r="M915" s="174"/>
      <c r="N915" s="4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</row>
    <row r="916" spans="1:28" x14ac:dyDescent="0.2">
      <c r="A916" s="4"/>
      <c r="B916" s="4"/>
      <c r="C916" s="4"/>
      <c r="D916" s="27"/>
      <c r="E916" s="107"/>
      <c r="F916" s="4"/>
      <c r="G916" s="4"/>
      <c r="H916" s="4"/>
      <c r="I916" s="4"/>
      <c r="J916" s="4"/>
      <c r="K916" s="4"/>
      <c r="L916" s="174"/>
      <c r="M916" s="174"/>
      <c r="N916" s="4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</row>
    <row r="917" spans="1:28" x14ac:dyDescent="0.2">
      <c r="A917" s="4"/>
      <c r="B917" s="4"/>
      <c r="C917" s="4"/>
      <c r="D917" s="27"/>
      <c r="E917" s="107"/>
      <c r="F917" s="4"/>
      <c r="G917" s="4"/>
      <c r="H917" s="4"/>
      <c r="I917" s="4"/>
      <c r="J917" s="4"/>
      <c r="K917" s="4"/>
      <c r="L917" s="174"/>
      <c r="M917" s="174"/>
      <c r="N917" s="4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</row>
    <row r="918" spans="1:28" x14ac:dyDescent="0.2">
      <c r="A918" s="4"/>
      <c r="B918" s="4"/>
      <c r="C918" s="4"/>
      <c r="D918" s="27"/>
      <c r="E918" s="107"/>
      <c r="F918" s="4"/>
      <c r="G918" s="4"/>
      <c r="H918" s="4"/>
      <c r="I918" s="4"/>
      <c r="J918" s="4"/>
      <c r="K918" s="4"/>
      <c r="L918" s="174"/>
      <c r="M918" s="174"/>
      <c r="N918" s="4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</row>
    <row r="919" spans="1:28" x14ac:dyDescent="0.2">
      <c r="A919" s="4"/>
      <c r="B919" s="4"/>
      <c r="C919" s="4"/>
      <c r="D919" s="27"/>
      <c r="E919" s="107"/>
      <c r="F919" s="4"/>
      <c r="G919" s="4"/>
      <c r="H919" s="4"/>
      <c r="I919" s="4"/>
      <c r="J919" s="4"/>
      <c r="K919" s="4"/>
      <c r="L919" s="174"/>
      <c r="M919" s="174"/>
      <c r="N919" s="4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</row>
    <row r="920" spans="1:28" x14ac:dyDescent="0.2">
      <c r="A920" s="4"/>
      <c r="B920" s="4"/>
      <c r="C920" s="4"/>
      <c r="D920" s="27"/>
      <c r="E920" s="107"/>
      <c r="F920" s="4"/>
      <c r="G920" s="4"/>
      <c r="H920" s="4"/>
      <c r="I920" s="4"/>
      <c r="J920" s="4"/>
      <c r="K920" s="4"/>
      <c r="L920" s="174"/>
      <c r="M920" s="174"/>
      <c r="N920" s="4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</row>
    <row r="921" spans="1:28" x14ac:dyDescent="0.2">
      <c r="A921" s="4"/>
      <c r="B921" s="4"/>
      <c r="C921" s="4"/>
      <c r="D921" s="27"/>
      <c r="E921" s="107"/>
      <c r="F921" s="4"/>
      <c r="G921" s="4"/>
      <c r="H921" s="4"/>
      <c r="I921" s="4"/>
      <c r="J921" s="4"/>
      <c r="K921" s="4"/>
      <c r="L921" s="174"/>
      <c r="M921" s="174"/>
      <c r="N921" s="4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</row>
    <row r="922" spans="1:28" x14ac:dyDescent="0.2">
      <c r="A922" s="4"/>
      <c r="B922" s="4"/>
      <c r="C922" s="4"/>
      <c r="D922" s="27"/>
      <c r="E922" s="107"/>
      <c r="F922" s="4"/>
      <c r="G922" s="4"/>
      <c r="H922" s="4"/>
      <c r="I922" s="4"/>
      <c r="J922" s="4"/>
      <c r="K922" s="4"/>
      <c r="L922" s="174"/>
      <c r="M922" s="174"/>
      <c r="N922" s="4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</row>
    <row r="923" spans="1:28" x14ac:dyDescent="0.2">
      <c r="A923" s="4"/>
      <c r="B923" s="4"/>
      <c r="C923" s="4"/>
      <c r="D923" s="27"/>
      <c r="E923" s="107"/>
      <c r="F923" s="4"/>
      <c r="G923" s="4"/>
      <c r="H923" s="4"/>
      <c r="I923" s="4"/>
      <c r="J923" s="4"/>
      <c r="K923" s="4"/>
      <c r="L923" s="174"/>
      <c r="M923" s="174"/>
      <c r="N923" s="4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</row>
    <row r="924" spans="1:28" x14ac:dyDescent="0.2">
      <c r="A924" s="4"/>
      <c r="B924" s="4"/>
      <c r="C924" s="4"/>
      <c r="D924" s="27"/>
      <c r="E924" s="107"/>
      <c r="F924" s="4"/>
      <c r="G924" s="4"/>
      <c r="H924" s="4"/>
      <c r="I924" s="4"/>
      <c r="J924" s="4"/>
      <c r="K924" s="4"/>
      <c r="L924" s="174"/>
      <c r="M924" s="174"/>
      <c r="N924" s="4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</row>
    <row r="925" spans="1:28" x14ac:dyDescent="0.2">
      <c r="A925" s="4"/>
      <c r="B925" s="4"/>
      <c r="C925" s="4"/>
      <c r="D925" s="27"/>
      <c r="E925" s="107"/>
      <c r="F925" s="4"/>
      <c r="G925" s="4"/>
      <c r="H925" s="4"/>
      <c r="I925" s="4"/>
      <c r="J925" s="4"/>
      <c r="K925" s="4"/>
      <c r="L925" s="174"/>
      <c r="M925" s="174"/>
      <c r="N925" s="4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</row>
    <row r="926" spans="1:28" x14ac:dyDescent="0.2">
      <c r="A926" s="4"/>
      <c r="B926" s="4"/>
      <c r="C926" s="4"/>
      <c r="D926" s="27"/>
      <c r="E926" s="107"/>
      <c r="F926" s="4"/>
      <c r="G926" s="4"/>
      <c r="H926" s="4"/>
      <c r="I926" s="4"/>
      <c r="J926" s="4"/>
      <c r="K926" s="4"/>
      <c r="L926" s="174"/>
      <c r="M926" s="174"/>
      <c r="N926" s="4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</row>
    <row r="927" spans="1:28" x14ac:dyDescent="0.2">
      <c r="A927" s="4"/>
      <c r="B927" s="4"/>
      <c r="C927" s="4"/>
      <c r="D927" s="27"/>
      <c r="E927" s="107"/>
      <c r="F927" s="4"/>
      <c r="G927" s="4"/>
      <c r="H927" s="4"/>
      <c r="I927" s="4"/>
      <c r="J927" s="4"/>
      <c r="K927" s="4"/>
      <c r="L927" s="174"/>
      <c r="M927" s="174"/>
      <c r="N927" s="4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</row>
    <row r="928" spans="1:28" x14ac:dyDescent="0.2">
      <c r="A928" s="4"/>
      <c r="B928" s="4"/>
      <c r="C928" s="4"/>
      <c r="D928" s="27"/>
      <c r="E928" s="107"/>
      <c r="F928" s="4"/>
      <c r="G928" s="4"/>
      <c r="H928" s="4"/>
      <c r="I928" s="4"/>
      <c r="J928" s="4"/>
      <c r="K928" s="4"/>
      <c r="L928" s="174"/>
      <c r="M928" s="174"/>
      <c r="N928" s="4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</row>
    <row r="929" spans="1:28" x14ac:dyDescent="0.2">
      <c r="A929" s="4"/>
      <c r="B929" s="4"/>
      <c r="C929" s="4"/>
      <c r="D929" s="27"/>
      <c r="E929" s="107"/>
      <c r="F929" s="4"/>
      <c r="G929" s="4"/>
      <c r="H929" s="4"/>
      <c r="I929" s="4"/>
      <c r="J929" s="4"/>
      <c r="K929" s="4"/>
      <c r="L929" s="174"/>
      <c r="M929" s="174"/>
      <c r="N929" s="4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</row>
    <row r="930" spans="1:28" x14ac:dyDescent="0.2">
      <c r="A930" s="4"/>
      <c r="B930" s="4"/>
      <c r="C930" s="4"/>
      <c r="D930" s="27"/>
      <c r="E930" s="107"/>
      <c r="F930" s="4"/>
      <c r="G930" s="4"/>
      <c r="H930" s="4"/>
      <c r="I930" s="4"/>
      <c r="J930" s="4"/>
      <c r="K930" s="4"/>
      <c r="L930" s="174"/>
      <c r="M930" s="174"/>
      <c r="N930" s="4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</row>
    <row r="931" spans="1:28" x14ac:dyDescent="0.2">
      <c r="A931" s="4"/>
      <c r="B931" s="4"/>
      <c r="C931" s="4"/>
      <c r="D931" s="27"/>
      <c r="E931" s="107"/>
      <c r="F931" s="4"/>
      <c r="G931" s="4"/>
      <c r="H931" s="4"/>
      <c r="I931" s="4"/>
      <c r="J931" s="4"/>
      <c r="K931" s="4"/>
      <c r="L931" s="174"/>
      <c r="M931" s="174"/>
      <c r="N931" s="4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</row>
    <row r="932" spans="1:28" x14ac:dyDescent="0.2">
      <c r="A932" s="4"/>
      <c r="B932" s="4"/>
      <c r="C932" s="4"/>
      <c r="D932" s="27"/>
      <c r="E932" s="107"/>
      <c r="F932" s="4"/>
      <c r="G932" s="4"/>
      <c r="H932" s="4"/>
      <c r="I932" s="4"/>
      <c r="J932" s="4"/>
      <c r="K932" s="4"/>
      <c r="L932" s="174"/>
      <c r="M932" s="174"/>
      <c r="N932" s="4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</row>
    <row r="933" spans="1:28" x14ac:dyDescent="0.2">
      <c r="A933" s="4"/>
      <c r="B933" s="4"/>
      <c r="C933" s="4"/>
      <c r="D933" s="27"/>
      <c r="E933" s="107"/>
      <c r="F933" s="4"/>
      <c r="G933" s="4"/>
      <c r="H933" s="4"/>
      <c r="I933" s="4"/>
      <c r="J933" s="4"/>
      <c r="K933" s="4"/>
      <c r="L933" s="174"/>
      <c r="M933" s="174"/>
      <c r="N933" s="4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</row>
    <row r="934" spans="1:28" x14ac:dyDescent="0.2">
      <c r="A934" s="4"/>
      <c r="B934" s="4"/>
      <c r="C934" s="4"/>
      <c r="D934" s="27"/>
      <c r="E934" s="107"/>
      <c r="F934" s="4"/>
      <c r="G934" s="4"/>
      <c r="H934" s="4"/>
      <c r="I934" s="4"/>
      <c r="J934" s="4"/>
      <c r="K934" s="4"/>
      <c r="L934" s="174"/>
      <c r="M934" s="174"/>
      <c r="N934" s="4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</row>
    <row r="935" spans="1:28" x14ac:dyDescent="0.2">
      <c r="A935" s="4"/>
      <c r="B935" s="4"/>
      <c r="C935" s="4"/>
      <c r="D935" s="27"/>
      <c r="E935" s="107"/>
      <c r="F935" s="4"/>
      <c r="G935" s="4"/>
      <c r="H935" s="4"/>
      <c r="I935" s="4"/>
      <c r="J935" s="4"/>
      <c r="K935" s="4"/>
      <c r="L935" s="174"/>
      <c r="M935" s="174"/>
      <c r="N935" s="4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</row>
    <row r="936" spans="1:28" x14ac:dyDescent="0.2">
      <c r="A936" s="4"/>
      <c r="B936" s="4"/>
      <c r="C936" s="4"/>
      <c r="D936" s="27"/>
      <c r="E936" s="107"/>
      <c r="F936" s="4"/>
      <c r="G936" s="4"/>
      <c r="H936" s="4"/>
      <c r="I936" s="4"/>
      <c r="J936" s="4"/>
      <c r="K936" s="4"/>
      <c r="L936" s="174"/>
      <c r="M936" s="174"/>
      <c r="N936" s="4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</row>
    <row r="937" spans="1:28" x14ac:dyDescent="0.2">
      <c r="A937" s="4"/>
      <c r="B937" s="4"/>
      <c r="C937" s="4"/>
      <c r="D937" s="27"/>
      <c r="E937" s="107"/>
      <c r="F937" s="4"/>
      <c r="G937" s="4"/>
      <c r="H937" s="4"/>
      <c r="I937" s="4"/>
      <c r="J937" s="4"/>
      <c r="K937" s="4"/>
      <c r="L937" s="174"/>
      <c r="M937" s="174"/>
      <c r="N937" s="4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</row>
    <row r="938" spans="1:28" x14ac:dyDescent="0.2">
      <c r="A938" s="4"/>
      <c r="B938" s="4"/>
      <c r="C938" s="4"/>
      <c r="D938" s="27"/>
      <c r="E938" s="107"/>
      <c r="F938" s="4"/>
      <c r="G938" s="4"/>
      <c r="H938" s="4"/>
      <c r="I938" s="4"/>
      <c r="J938" s="4"/>
      <c r="K938" s="4"/>
      <c r="L938" s="174"/>
      <c r="M938" s="174"/>
      <c r="N938" s="4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</row>
    <row r="939" spans="1:28" x14ac:dyDescent="0.2">
      <c r="A939" s="4"/>
      <c r="B939" s="4"/>
      <c r="C939" s="4"/>
      <c r="D939" s="27"/>
      <c r="E939" s="107"/>
      <c r="F939" s="4"/>
      <c r="G939" s="4"/>
      <c r="H939" s="4"/>
      <c r="I939" s="4"/>
      <c r="J939" s="4"/>
      <c r="K939" s="4"/>
      <c r="L939" s="174"/>
      <c r="M939" s="174"/>
      <c r="N939" s="4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</row>
    <row r="940" spans="1:28" x14ac:dyDescent="0.2">
      <c r="A940" s="4"/>
      <c r="B940" s="4"/>
      <c r="C940" s="4"/>
      <c r="D940" s="27"/>
      <c r="E940" s="107"/>
      <c r="F940" s="4"/>
      <c r="G940" s="4"/>
      <c r="H940" s="4"/>
      <c r="I940" s="4"/>
      <c r="J940" s="4"/>
      <c r="K940" s="4"/>
      <c r="L940" s="174"/>
      <c r="M940" s="174"/>
      <c r="N940" s="4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</row>
    <row r="941" spans="1:28" x14ac:dyDescent="0.2">
      <c r="A941" s="4"/>
      <c r="B941" s="4"/>
      <c r="C941" s="4"/>
      <c r="D941" s="27"/>
      <c r="E941" s="107"/>
      <c r="F941" s="4"/>
      <c r="G941" s="4"/>
      <c r="H941" s="4"/>
      <c r="I941" s="4"/>
      <c r="J941" s="4"/>
      <c r="K941" s="4"/>
      <c r="L941" s="174"/>
      <c r="M941" s="174"/>
      <c r="N941" s="4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</row>
    <row r="942" spans="1:28" x14ac:dyDescent="0.2">
      <c r="A942" s="4"/>
      <c r="B942" s="4"/>
      <c r="C942" s="4"/>
      <c r="D942" s="27"/>
      <c r="E942" s="107"/>
      <c r="F942" s="4"/>
      <c r="G942" s="4"/>
      <c r="H942" s="4"/>
      <c r="I942" s="4"/>
      <c r="J942" s="4"/>
      <c r="K942" s="4"/>
      <c r="L942" s="174"/>
      <c r="M942" s="174"/>
      <c r="N942" s="4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</row>
    <row r="943" spans="1:28" x14ac:dyDescent="0.2">
      <c r="A943" s="4"/>
      <c r="B943" s="4"/>
      <c r="C943" s="4"/>
      <c r="D943" s="27"/>
      <c r="E943" s="107"/>
      <c r="F943" s="4"/>
      <c r="G943" s="4"/>
      <c r="H943" s="4"/>
      <c r="I943" s="4"/>
      <c r="J943" s="4"/>
      <c r="K943" s="4"/>
      <c r="L943" s="174"/>
      <c r="M943" s="174"/>
      <c r="N943" s="4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</row>
    <row r="944" spans="1:28" x14ac:dyDescent="0.2">
      <c r="A944" s="4"/>
      <c r="B944" s="4"/>
      <c r="C944" s="4"/>
      <c r="D944" s="27"/>
      <c r="E944" s="107"/>
      <c r="F944" s="4"/>
      <c r="G944" s="4"/>
      <c r="H944" s="4"/>
      <c r="I944" s="4"/>
      <c r="J944" s="4"/>
      <c r="K944" s="4"/>
      <c r="L944" s="174"/>
      <c r="M944" s="174"/>
      <c r="N944" s="4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</row>
    <row r="945" spans="1:28" x14ac:dyDescent="0.2">
      <c r="A945" s="4"/>
      <c r="B945" s="4"/>
      <c r="C945" s="4"/>
      <c r="D945" s="27"/>
      <c r="E945" s="107"/>
      <c r="F945" s="4"/>
      <c r="G945" s="4"/>
      <c r="H945" s="4"/>
      <c r="I945" s="4"/>
      <c r="J945" s="4"/>
      <c r="K945" s="4"/>
      <c r="L945" s="174"/>
      <c r="M945" s="174"/>
      <c r="N945" s="4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</row>
    <row r="946" spans="1:28" x14ac:dyDescent="0.2">
      <c r="A946" s="4"/>
      <c r="B946" s="4"/>
      <c r="C946" s="4"/>
      <c r="D946" s="27"/>
      <c r="E946" s="107"/>
      <c r="F946" s="4"/>
      <c r="G946" s="4"/>
      <c r="H946" s="4"/>
      <c r="I946" s="4"/>
      <c r="J946" s="4"/>
      <c r="K946" s="4"/>
      <c r="L946" s="174"/>
      <c r="M946" s="174"/>
      <c r="N946" s="4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</row>
    <row r="947" spans="1:28" x14ac:dyDescent="0.2">
      <c r="A947" s="4"/>
      <c r="B947" s="4"/>
      <c r="C947" s="4"/>
      <c r="D947" s="27"/>
      <c r="E947" s="107"/>
      <c r="F947" s="4"/>
      <c r="G947" s="4"/>
      <c r="H947" s="4"/>
      <c r="I947" s="4"/>
      <c r="J947" s="4"/>
      <c r="K947" s="4"/>
      <c r="L947" s="174"/>
      <c r="M947" s="174"/>
      <c r="N947" s="4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</row>
    <row r="948" spans="1:28" x14ac:dyDescent="0.2">
      <c r="A948" s="4"/>
      <c r="B948" s="4"/>
      <c r="C948" s="4"/>
      <c r="D948" s="27"/>
      <c r="E948" s="107"/>
      <c r="F948" s="4"/>
      <c r="G948" s="4"/>
      <c r="H948" s="4"/>
      <c r="I948" s="4"/>
      <c r="J948" s="4"/>
      <c r="K948" s="4"/>
      <c r="L948" s="174"/>
      <c r="M948" s="174"/>
      <c r="N948" s="4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</row>
    <row r="949" spans="1:28" x14ac:dyDescent="0.2">
      <c r="A949" s="4"/>
      <c r="B949" s="4"/>
      <c r="C949" s="4"/>
      <c r="D949" s="27"/>
      <c r="E949" s="107"/>
      <c r="F949" s="4"/>
      <c r="G949" s="4"/>
      <c r="H949" s="4"/>
      <c r="I949" s="4"/>
      <c r="J949" s="4"/>
      <c r="K949" s="4"/>
      <c r="L949" s="174"/>
      <c r="M949" s="174"/>
      <c r="N949" s="4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</row>
    <row r="950" spans="1:28" x14ac:dyDescent="0.2">
      <c r="A950" s="4"/>
      <c r="B950" s="4"/>
      <c r="C950" s="4"/>
      <c r="D950" s="27"/>
      <c r="E950" s="107"/>
      <c r="F950" s="4"/>
      <c r="G950" s="4"/>
      <c r="H950" s="4"/>
      <c r="I950" s="4"/>
      <c r="J950" s="4"/>
      <c r="K950" s="4"/>
      <c r="L950" s="174"/>
      <c r="M950" s="174"/>
      <c r="N950" s="4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</row>
    <row r="951" spans="1:28" x14ac:dyDescent="0.2">
      <c r="A951" s="4"/>
      <c r="B951" s="4"/>
      <c r="C951" s="4"/>
      <c r="D951" s="27"/>
      <c r="E951" s="107"/>
      <c r="F951" s="4"/>
      <c r="G951" s="4"/>
      <c r="H951" s="4"/>
      <c r="I951" s="4"/>
      <c r="J951" s="4"/>
      <c r="K951" s="4"/>
      <c r="L951" s="174"/>
      <c r="M951" s="174"/>
      <c r="N951" s="4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</row>
    <row r="952" spans="1:28" x14ac:dyDescent="0.2">
      <c r="A952" s="4"/>
      <c r="B952" s="4"/>
      <c r="C952" s="4"/>
      <c r="D952" s="27"/>
      <c r="E952" s="107"/>
      <c r="F952" s="4"/>
      <c r="G952" s="4"/>
      <c r="H952" s="4"/>
      <c r="I952" s="4"/>
      <c r="J952" s="4"/>
      <c r="K952" s="4"/>
      <c r="L952" s="174"/>
      <c r="M952" s="174"/>
      <c r="N952" s="4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</row>
    <row r="953" spans="1:28" x14ac:dyDescent="0.2">
      <c r="A953" s="4"/>
      <c r="B953" s="4"/>
      <c r="C953" s="4"/>
      <c r="D953" s="27"/>
      <c r="E953" s="107"/>
      <c r="F953" s="4"/>
      <c r="G953" s="4"/>
      <c r="H953" s="4"/>
      <c r="I953" s="4"/>
      <c r="J953" s="4"/>
      <c r="K953" s="4"/>
      <c r="L953" s="174"/>
      <c r="M953" s="174"/>
      <c r="N953" s="4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</row>
    <row r="954" spans="1:28" x14ac:dyDescent="0.2">
      <c r="A954" s="4"/>
      <c r="B954" s="4"/>
      <c r="C954" s="4"/>
      <c r="D954" s="27"/>
      <c r="E954" s="107"/>
      <c r="F954" s="4"/>
      <c r="G954" s="4"/>
      <c r="H954" s="4"/>
      <c r="I954" s="4"/>
      <c r="J954" s="4"/>
      <c r="K954" s="4"/>
      <c r="L954" s="174"/>
      <c r="M954" s="174"/>
      <c r="N954" s="4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</row>
    <row r="955" spans="1:28" x14ac:dyDescent="0.2">
      <c r="A955" s="4"/>
      <c r="B955" s="4"/>
      <c r="C955" s="4"/>
      <c r="D955" s="27"/>
      <c r="E955" s="107"/>
      <c r="F955" s="4"/>
      <c r="G955" s="4"/>
      <c r="H955" s="4"/>
      <c r="I955" s="4"/>
      <c r="J955" s="4"/>
      <c r="K955" s="4"/>
      <c r="L955" s="174"/>
      <c r="M955" s="174"/>
      <c r="N955" s="4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</row>
    <row r="956" spans="1:28" x14ac:dyDescent="0.2">
      <c r="A956" s="4"/>
      <c r="B956" s="4"/>
      <c r="C956" s="4"/>
      <c r="D956" s="27"/>
      <c r="E956" s="107"/>
      <c r="F956" s="4"/>
      <c r="G956" s="4"/>
      <c r="H956" s="4"/>
      <c r="I956" s="4"/>
      <c r="J956" s="4"/>
      <c r="K956" s="4"/>
      <c r="L956" s="174"/>
      <c r="M956" s="174"/>
      <c r="N956" s="4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</row>
    <row r="957" spans="1:28" x14ac:dyDescent="0.2">
      <c r="A957" s="4"/>
      <c r="B957" s="4"/>
      <c r="C957" s="4"/>
      <c r="D957" s="27"/>
      <c r="E957" s="107"/>
      <c r="F957" s="4"/>
      <c r="G957" s="4"/>
      <c r="H957" s="4"/>
      <c r="I957" s="4"/>
      <c r="J957" s="4"/>
      <c r="K957" s="4"/>
      <c r="L957" s="174"/>
      <c r="M957" s="174"/>
      <c r="N957" s="4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</row>
    <row r="958" spans="1:28" x14ac:dyDescent="0.2">
      <c r="A958" s="4"/>
      <c r="B958" s="4"/>
      <c r="C958" s="4"/>
      <c r="D958" s="27"/>
      <c r="E958" s="107"/>
      <c r="F958" s="4"/>
      <c r="G958" s="4"/>
      <c r="H958" s="4"/>
      <c r="I958" s="4"/>
      <c r="J958" s="4"/>
      <c r="K958" s="4"/>
      <c r="L958" s="174"/>
      <c r="M958" s="174"/>
      <c r="N958" s="4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</row>
    <row r="959" spans="1:28" x14ac:dyDescent="0.2">
      <c r="A959" s="4"/>
      <c r="B959" s="4"/>
      <c r="C959" s="4"/>
      <c r="D959" s="27"/>
      <c r="E959" s="107"/>
      <c r="F959" s="4"/>
      <c r="G959" s="4"/>
      <c r="H959" s="4"/>
      <c r="I959" s="4"/>
      <c r="J959" s="4"/>
      <c r="K959" s="4"/>
      <c r="L959" s="174"/>
      <c r="M959" s="174"/>
      <c r="N959" s="4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</row>
    <row r="960" spans="1:28" x14ac:dyDescent="0.2">
      <c r="A960" s="4"/>
      <c r="B960" s="4"/>
      <c r="C960" s="4"/>
      <c r="D960" s="27"/>
      <c r="E960" s="107"/>
      <c r="F960" s="4"/>
      <c r="G960" s="4"/>
      <c r="H960" s="4"/>
      <c r="I960" s="4"/>
      <c r="J960" s="4"/>
      <c r="K960" s="4"/>
      <c r="L960" s="174"/>
      <c r="M960" s="174"/>
      <c r="N960" s="4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</row>
    <row r="961" spans="1:28" x14ac:dyDescent="0.2">
      <c r="A961" s="4"/>
      <c r="B961" s="4"/>
      <c r="C961" s="4"/>
      <c r="D961" s="27"/>
      <c r="E961" s="107"/>
      <c r="F961" s="4"/>
      <c r="G961" s="4"/>
      <c r="H961" s="4"/>
      <c r="I961" s="4"/>
      <c r="J961" s="4"/>
      <c r="K961" s="4"/>
      <c r="L961" s="174"/>
      <c r="M961" s="174"/>
      <c r="N961" s="4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</row>
    <row r="962" spans="1:28" x14ac:dyDescent="0.2">
      <c r="A962" s="4"/>
      <c r="B962" s="4"/>
      <c r="C962" s="4"/>
      <c r="D962" s="27"/>
      <c r="E962" s="107"/>
      <c r="F962" s="4"/>
      <c r="G962" s="4"/>
      <c r="H962" s="4"/>
      <c r="I962" s="4"/>
      <c r="J962" s="4"/>
      <c r="K962" s="4"/>
      <c r="L962" s="174"/>
      <c r="M962" s="174"/>
      <c r="N962" s="4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</row>
    <row r="963" spans="1:28" x14ac:dyDescent="0.2">
      <c r="A963" s="4"/>
      <c r="B963" s="4"/>
      <c r="C963" s="4"/>
      <c r="D963" s="27"/>
      <c r="E963" s="107"/>
      <c r="F963" s="4"/>
      <c r="G963" s="4"/>
      <c r="H963" s="4"/>
      <c r="I963" s="4"/>
      <c r="J963" s="4"/>
      <c r="K963" s="4"/>
      <c r="L963" s="174"/>
      <c r="M963" s="174"/>
      <c r="N963" s="4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</row>
    <row r="964" spans="1:28" x14ac:dyDescent="0.2">
      <c r="A964" s="4"/>
      <c r="B964" s="4"/>
      <c r="C964" s="4"/>
      <c r="D964" s="27"/>
      <c r="E964" s="107"/>
      <c r="F964" s="4"/>
      <c r="G964" s="4"/>
      <c r="H964" s="4"/>
      <c r="I964" s="4"/>
      <c r="J964" s="4"/>
      <c r="K964" s="4"/>
      <c r="L964" s="174"/>
      <c r="M964" s="174"/>
      <c r="N964" s="4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</row>
    <row r="965" spans="1:28" x14ac:dyDescent="0.2">
      <c r="A965" s="4"/>
      <c r="B965" s="4"/>
      <c r="C965" s="4"/>
      <c r="D965" s="27"/>
      <c r="E965" s="107"/>
      <c r="F965" s="4"/>
      <c r="G965" s="4"/>
      <c r="H965" s="4"/>
      <c r="I965" s="4"/>
      <c r="J965" s="4"/>
      <c r="K965" s="4"/>
      <c r="L965" s="174"/>
      <c r="M965" s="174"/>
      <c r="N965" s="4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</row>
    <row r="966" spans="1:28" x14ac:dyDescent="0.2">
      <c r="A966" s="4"/>
      <c r="B966" s="4"/>
      <c r="C966" s="4"/>
      <c r="D966" s="27"/>
      <c r="E966" s="107"/>
      <c r="F966" s="4"/>
      <c r="G966" s="4"/>
      <c r="H966" s="4"/>
      <c r="I966" s="4"/>
      <c r="J966" s="4"/>
      <c r="K966" s="4"/>
      <c r="L966" s="174"/>
      <c r="M966" s="174"/>
      <c r="N966" s="4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</row>
    <row r="967" spans="1:28" x14ac:dyDescent="0.2">
      <c r="A967" s="4"/>
      <c r="B967" s="4"/>
      <c r="C967" s="4"/>
      <c r="D967" s="27"/>
      <c r="E967" s="107"/>
      <c r="F967" s="4"/>
      <c r="G967" s="4"/>
      <c r="H967" s="4"/>
      <c r="I967" s="4"/>
      <c r="J967" s="4"/>
      <c r="K967" s="4"/>
      <c r="L967" s="174"/>
      <c r="M967" s="174"/>
      <c r="N967" s="4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</row>
    <row r="968" spans="1:28" x14ac:dyDescent="0.2">
      <c r="A968" s="4"/>
      <c r="B968" s="4"/>
      <c r="C968" s="4"/>
      <c r="D968" s="27"/>
      <c r="E968" s="107"/>
      <c r="F968" s="4"/>
      <c r="G968" s="4"/>
      <c r="H968" s="4"/>
      <c r="I968" s="4"/>
      <c r="J968" s="4"/>
      <c r="K968" s="4"/>
      <c r="L968" s="174"/>
      <c r="M968" s="174"/>
      <c r="N968" s="4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</row>
    <row r="969" spans="1:28" x14ac:dyDescent="0.2">
      <c r="A969" s="4"/>
      <c r="B969" s="4"/>
      <c r="C969" s="4"/>
      <c r="D969" s="27"/>
      <c r="E969" s="107"/>
      <c r="F969" s="4"/>
      <c r="G969" s="4"/>
      <c r="H969" s="4"/>
      <c r="I969" s="4"/>
      <c r="J969" s="4"/>
      <c r="K969" s="4"/>
      <c r="L969" s="174"/>
      <c r="M969" s="174"/>
      <c r="N969" s="4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</row>
    <row r="970" spans="1:28" x14ac:dyDescent="0.2">
      <c r="A970" s="4"/>
      <c r="B970" s="4"/>
      <c r="C970" s="4"/>
      <c r="D970" s="27"/>
      <c r="E970" s="107"/>
      <c r="F970" s="4"/>
      <c r="G970" s="4"/>
      <c r="H970" s="4"/>
      <c r="I970" s="4"/>
      <c r="J970" s="4"/>
      <c r="K970" s="4"/>
      <c r="L970" s="174"/>
      <c r="M970" s="174"/>
      <c r="N970" s="4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</row>
    <row r="971" spans="1:28" x14ac:dyDescent="0.2">
      <c r="A971" s="4"/>
      <c r="B971" s="4"/>
      <c r="C971" s="4"/>
      <c r="D971" s="27"/>
      <c r="E971" s="107"/>
      <c r="F971" s="4"/>
      <c r="G971" s="4"/>
      <c r="H971" s="4"/>
      <c r="I971" s="4"/>
      <c r="J971" s="4"/>
      <c r="K971" s="4"/>
      <c r="L971" s="174"/>
      <c r="M971" s="174"/>
      <c r="N971" s="4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</row>
    <row r="972" spans="1:28" x14ac:dyDescent="0.2">
      <c r="A972" s="4"/>
      <c r="B972" s="4"/>
      <c r="C972" s="4"/>
      <c r="D972" s="27"/>
      <c r="E972" s="107"/>
      <c r="F972" s="4"/>
      <c r="G972" s="4"/>
      <c r="H972" s="4"/>
      <c r="I972" s="4"/>
      <c r="J972" s="4"/>
      <c r="K972" s="4"/>
      <c r="L972" s="174"/>
      <c r="M972" s="174"/>
      <c r="N972" s="4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</row>
    <row r="973" spans="1:28" x14ac:dyDescent="0.2">
      <c r="A973" s="4"/>
      <c r="B973" s="4"/>
      <c r="C973" s="4"/>
      <c r="D973" s="27"/>
      <c r="E973" s="107"/>
      <c r="F973" s="4"/>
      <c r="G973" s="4"/>
      <c r="H973" s="4"/>
      <c r="I973" s="4"/>
      <c r="J973" s="4"/>
      <c r="K973" s="4"/>
      <c r="L973" s="174"/>
      <c r="M973" s="174"/>
      <c r="N973" s="4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</row>
    <row r="974" spans="1:28" x14ac:dyDescent="0.2">
      <c r="A974" s="4"/>
      <c r="B974" s="4"/>
      <c r="C974" s="4"/>
      <c r="D974" s="27"/>
      <c r="E974" s="107"/>
      <c r="F974" s="4"/>
      <c r="G974" s="4"/>
      <c r="H974" s="4"/>
      <c r="I974" s="4"/>
      <c r="J974" s="4"/>
      <c r="K974" s="4"/>
      <c r="L974" s="174"/>
      <c r="M974" s="174"/>
      <c r="N974" s="4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</row>
    <row r="975" spans="1:28" x14ac:dyDescent="0.2">
      <c r="A975" s="4"/>
      <c r="B975" s="4"/>
      <c r="C975" s="4"/>
      <c r="D975" s="27"/>
      <c r="E975" s="107"/>
      <c r="F975" s="4"/>
      <c r="G975" s="4"/>
      <c r="H975" s="4"/>
      <c r="I975" s="4"/>
      <c r="J975" s="4"/>
      <c r="K975" s="4"/>
      <c r="L975" s="174"/>
      <c r="M975" s="174"/>
      <c r="N975" s="4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</row>
    <row r="976" spans="1:28" x14ac:dyDescent="0.2">
      <c r="A976" s="4"/>
      <c r="B976" s="4"/>
      <c r="C976" s="4"/>
      <c r="D976" s="27"/>
      <c r="E976" s="107"/>
      <c r="F976" s="4"/>
      <c r="G976" s="4"/>
      <c r="H976" s="4"/>
      <c r="I976" s="4"/>
      <c r="J976" s="4"/>
      <c r="K976" s="4"/>
      <c r="L976" s="174"/>
      <c r="M976" s="174"/>
      <c r="N976" s="4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</row>
    <row r="977" spans="1:28" x14ac:dyDescent="0.2">
      <c r="A977" s="4"/>
      <c r="B977" s="4"/>
      <c r="C977" s="4"/>
      <c r="D977" s="27"/>
      <c r="E977" s="107"/>
      <c r="F977" s="4"/>
      <c r="G977" s="4"/>
      <c r="H977" s="4"/>
      <c r="I977" s="4"/>
      <c r="J977" s="4"/>
      <c r="K977" s="4"/>
      <c r="L977" s="174"/>
      <c r="M977" s="174"/>
      <c r="N977" s="4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</row>
    <row r="978" spans="1:28" x14ac:dyDescent="0.2">
      <c r="A978" s="4"/>
      <c r="B978" s="4"/>
      <c r="C978" s="4"/>
      <c r="D978" s="27"/>
      <c r="E978" s="107"/>
      <c r="F978" s="4"/>
      <c r="G978" s="4"/>
      <c r="H978" s="4"/>
      <c r="I978" s="4"/>
      <c r="J978" s="4"/>
      <c r="K978" s="4"/>
      <c r="L978" s="174"/>
      <c r="M978" s="174"/>
      <c r="N978" s="4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</row>
    <row r="979" spans="1:28" x14ac:dyDescent="0.2">
      <c r="A979" s="4"/>
      <c r="B979" s="4"/>
      <c r="C979" s="4"/>
      <c r="D979" s="27"/>
      <c r="E979" s="107"/>
      <c r="F979" s="4"/>
      <c r="G979" s="4"/>
      <c r="H979" s="4"/>
      <c r="I979" s="4"/>
      <c r="J979" s="4"/>
      <c r="K979" s="4"/>
      <c r="L979" s="174"/>
      <c r="M979" s="174"/>
      <c r="N979" s="4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</row>
    <row r="980" spans="1:28" x14ac:dyDescent="0.2">
      <c r="A980" s="4"/>
      <c r="B980" s="4"/>
      <c r="C980" s="4"/>
      <c r="D980" s="27"/>
      <c r="E980" s="107"/>
      <c r="F980" s="4"/>
      <c r="G980" s="4"/>
      <c r="H980" s="4"/>
      <c r="I980" s="4"/>
      <c r="J980" s="4"/>
      <c r="K980" s="4"/>
      <c r="L980" s="174"/>
      <c r="M980" s="174"/>
      <c r="N980" s="4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</row>
    <row r="981" spans="1:28" x14ac:dyDescent="0.2">
      <c r="A981" s="4"/>
      <c r="B981" s="4"/>
      <c r="C981" s="4"/>
      <c r="D981" s="27"/>
      <c r="E981" s="107"/>
      <c r="F981" s="4"/>
      <c r="G981" s="4"/>
      <c r="H981" s="4"/>
      <c r="I981" s="4"/>
      <c r="J981" s="4"/>
      <c r="K981" s="4"/>
      <c r="L981" s="174"/>
      <c r="M981" s="174"/>
      <c r="N981" s="4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</row>
    <row r="982" spans="1:28" x14ac:dyDescent="0.2">
      <c r="A982" s="4"/>
      <c r="B982" s="4"/>
      <c r="C982" s="4"/>
      <c r="D982" s="27"/>
      <c r="E982" s="107"/>
      <c r="F982" s="4"/>
      <c r="G982" s="4"/>
      <c r="H982" s="4"/>
      <c r="I982" s="4"/>
      <c r="J982" s="4"/>
      <c r="K982" s="4"/>
      <c r="L982" s="174"/>
      <c r="M982" s="174"/>
      <c r="N982" s="4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</row>
    <row r="983" spans="1:28" x14ac:dyDescent="0.2">
      <c r="A983" s="4"/>
      <c r="B983" s="4"/>
      <c r="C983" s="4"/>
      <c r="D983" s="27"/>
      <c r="E983" s="107"/>
      <c r="F983" s="4"/>
      <c r="G983" s="4"/>
      <c r="H983" s="4"/>
      <c r="I983" s="4"/>
      <c r="J983" s="4"/>
      <c r="K983" s="4"/>
      <c r="L983" s="174"/>
      <c r="M983" s="174"/>
      <c r="N983" s="4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</row>
    <row r="984" spans="1:28" x14ac:dyDescent="0.2">
      <c r="A984" s="4"/>
      <c r="B984" s="4"/>
      <c r="C984" s="4"/>
      <c r="D984" s="27"/>
      <c r="E984" s="107"/>
      <c r="F984" s="4"/>
      <c r="G984" s="4"/>
      <c r="H984" s="4"/>
      <c r="I984" s="4"/>
      <c r="J984" s="4"/>
      <c r="K984" s="4"/>
      <c r="L984" s="174"/>
      <c r="M984" s="174"/>
      <c r="N984" s="4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</row>
    <row r="985" spans="1:28" x14ac:dyDescent="0.2">
      <c r="A985" s="4"/>
      <c r="B985" s="4"/>
      <c r="C985" s="4"/>
      <c r="D985" s="27"/>
      <c r="E985" s="107"/>
      <c r="F985" s="4"/>
      <c r="G985" s="4"/>
      <c r="H985" s="4"/>
      <c r="I985" s="4"/>
      <c r="J985" s="4"/>
      <c r="K985" s="4"/>
      <c r="L985" s="174"/>
      <c r="M985" s="174"/>
      <c r="N985" s="4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</row>
    <row r="986" spans="1:28" x14ac:dyDescent="0.2">
      <c r="A986" s="4"/>
      <c r="B986" s="4"/>
      <c r="C986" s="4"/>
      <c r="D986" s="27"/>
      <c r="E986" s="107"/>
      <c r="F986" s="4"/>
      <c r="G986" s="4"/>
      <c r="H986" s="4"/>
      <c r="I986" s="4"/>
      <c r="J986" s="4"/>
      <c r="K986" s="4"/>
      <c r="L986" s="174"/>
      <c r="M986" s="174"/>
      <c r="N986" s="4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</row>
    <row r="987" spans="1:28" x14ac:dyDescent="0.2">
      <c r="A987" s="4"/>
      <c r="B987" s="4"/>
      <c r="C987" s="4"/>
      <c r="D987" s="27"/>
      <c r="E987" s="107"/>
      <c r="F987" s="4"/>
      <c r="G987" s="4"/>
      <c r="H987" s="4"/>
      <c r="I987" s="4"/>
      <c r="J987" s="4"/>
      <c r="K987" s="4"/>
      <c r="L987" s="174"/>
      <c r="M987" s="174"/>
      <c r="N987" s="4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</row>
    <row r="988" spans="1:28" x14ac:dyDescent="0.2">
      <c r="A988" s="4"/>
      <c r="B988" s="4"/>
      <c r="C988" s="4"/>
      <c r="D988" s="27"/>
      <c r="E988" s="107"/>
      <c r="F988" s="4"/>
      <c r="G988" s="4"/>
      <c r="H988" s="4"/>
      <c r="I988" s="4"/>
      <c r="J988" s="4"/>
      <c r="K988" s="4"/>
      <c r="L988" s="174"/>
      <c r="M988" s="174"/>
      <c r="N988" s="4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</row>
    <row r="989" spans="1:28" x14ac:dyDescent="0.2">
      <c r="A989" s="4"/>
      <c r="B989" s="4"/>
      <c r="C989" s="4"/>
      <c r="D989" s="27"/>
      <c r="E989" s="107"/>
      <c r="F989" s="4"/>
      <c r="G989" s="4"/>
      <c r="H989" s="4"/>
      <c r="I989" s="4"/>
      <c r="J989" s="4"/>
      <c r="K989" s="4"/>
      <c r="L989" s="174"/>
      <c r="M989" s="174"/>
      <c r="N989" s="4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</row>
    <row r="990" spans="1:28" x14ac:dyDescent="0.2">
      <c r="A990" s="4"/>
      <c r="B990" s="4"/>
      <c r="C990" s="4"/>
      <c r="D990" s="27"/>
      <c r="E990" s="107"/>
      <c r="F990" s="4"/>
      <c r="G990" s="4"/>
      <c r="H990" s="4"/>
      <c r="I990" s="4"/>
      <c r="J990" s="4"/>
      <c r="K990" s="4"/>
      <c r="L990" s="174"/>
      <c r="M990" s="174"/>
      <c r="N990" s="4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</row>
    <row r="991" spans="1:28" x14ac:dyDescent="0.2">
      <c r="A991" s="4"/>
      <c r="B991" s="4"/>
      <c r="C991" s="4"/>
      <c r="D991" s="27"/>
      <c r="E991" s="107"/>
      <c r="F991" s="4"/>
      <c r="G991" s="4"/>
      <c r="H991" s="4"/>
      <c r="I991" s="4"/>
      <c r="J991" s="4"/>
      <c r="K991" s="4"/>
      <c r="L991" s="174"/>
      <c r="M991" s="174"/>
      <c r="N991" s="4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</row>
    <row r="992" spans="1:28" x14ac:dyDescent="0.2">
      <c r="A992" s="4"/>
      <c r="B992" s="4"/>
      <c r="C992" s="4"/>
      <c r="D992" s="27"/>
      <c r="E992" s="107"/>
      <c r="F992" s="4"/>
      <c r="G992" s="4"/>
      <c r="H992" s="4"/>
      <c r="I992" s="4"/>
      <c r="J992" s="4"/>
      <c r="K992" s="4"/>
      <c r="L992" s="174"/>
      <c r="M992" s="174"/>
      <c r="N992" s="4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</row>
    <row r="993" spans="1:28" x14ac:dyDescent="0.2">
      <c r="A993" s="4"/>
      <c r="B993" s="4"/>
      <c r="C993" s="4"/>
      <c r="D993" s="27"/>
      <c r="E993" s="107"/>
      <c r="F993" s="4"/>
      <c r="G993" s="4"/>
      <c r="H993" s="4"/>
      <c r="I993" s="4"/>
      <c r="J993" s="4"/>
      <c r="K993" s="4"/>
      <c r="L993" s="174"/>
      <c r="M993" s="174"/>
      <c r="N993" s="4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</row>
    <row r="994" spans="1:28" x14ac:dyDescent="0.2">
      <c r="A994" s="4"/>
      <c r="B994" s="4"/>
      <c r="C994" s="4"/>
      <c r="D994" s="27"/>
      <c r="E994" s="107"/>
      <c r="F994" s="4"/>
      <c r="G994" s="4"/>
      <c r="H994" s="4"/>
      <c r="I994" s="4"/>
      <c r="J994" s="4"/>
      <c r="K994" s="4"/>
      <c r="L994" s="174"/>
      <c r="M994" s="174"/>
      <c r="N994" s="4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</row>
    <row r="995" spans="1:28" x14ac:dyDescent="0.2">
      <c r="A995" s="4"/>
      <c r="B995" s="4"/>
      <c r="C995" s="4"/>
      <c r="D995" s="27"/>
      <c r="E995" s="107"/>
      <c r="F995" s="4"/>
      <c r="G995" s="4"/>
      <c r="H995" s="4"/>
      <c r="I995" s="4"/>
      <c r="J995" s="4"/>
      <c r="K995" s="4"/>
      <c r="L995" s="174"/>
      <c r="M995" s="174"/>
      <c r="N995" s="4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</row>
    <row r="996" spans="1:28" x14ac:dyDescent="0.2">
      <c r="A996" s="4"/>
      <c r="B996" s="4"/>
      <c r="C996" s="4"/>
      <c r="D996" s="27"/>
      <c r="E996" s="107"/>
      <c r="F996" s="4"/>
      <c r="G996" s="4"/>
      <c r="H996" s="4"/>
      <c r="I996" s="4"/>
      <c r="J996" s="4"/>
      <c r="K996" s="4"/>
      <c r="L996" s="174"/>
      <c r="M996" s="174"/>
      <c r="N996" s="4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</row>
    <row r="997" spans="1:28" x14ac:dyDescent="0.2">
      <c r="A997" s="4"/>
      <c r="B997" s="4"/>
      <c r="C997" s="4"/>
      <c r="D997" s="27"/>
      <c r="E997" s="107"/>
      <c r="F997" s="4"/>
      <c r="G997" s="4"/>
      <c r="H997" s="4"/>
      <c r="I997" s="4"/>
      <c r="J997" s="4"/>
      <c r="K997" s="4"/>
      <c r="L997" s="174"/>
      <c r="M997" s="174"/>
      <c r="N997" s="4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</row>
    <row r="998" spans="1:28" x14ac:dyDescent="0.2">
      <c r="A998" s="4"/>
      <c r="B998" s="4"/>
      <c r="C998" s="4"/>
      <c r="D998" s="27"/>
      <c r="E998" s="107"/>
      <c r="F998" s="4"/>
      <c r="G998" s="4"/>
      <c r="H998" s="4"/>
      <c r="I998" s="4"/>
      <c r="J998" s="4"/>
      <c r="K998" s="4"/>
      <c r="L998" s="174"/>
      <c r="M998" s="174"/>
      <c r="N998" s="4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</row>
    <row r="999" spans="1:28" x14ac:dyDescent="0.2">
      <c r="A999" s="4"/>
      <c r="B999" s="4"/>
      <c r="C999" s="4"/>
      <c r="D999" s="27"/>
      <c r="E999" s="107"/>
      <c r="F999" s="4"/>
      <c r="G999" s="4"/>
      <c r="H999" s="4"/>
      <c r="I999" s="4"/>
      <c r="J999" s="4"/>
      <c r="K999" s="4"/>
      <c r="L999" s="174"/>
      <c r="M999" s="174"/>
      <c r="N999" s="4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</row>
    <row r="1000" spans="1:28" x14ac:dyDescent="0.2">
      <c r="A1000" s="4"/>
      <c r="B1000" s="4"/>
      <c r="C1000" s="4"/>
      <c r="D1000" s="27"/>
      <c r="E1000" s="107"/>
      <c r="F1000" s="4"/>
      <c r="G1000" s="4"/>
      <c r="H1000" s="4"/>
      <c r="I1000" s="4"/>
      <c r="J1000" s="4"/>
      <c r="K1000" s="4"/>
      <c r="L1000" s="174"/>
      <c r="M1000" s="174"/>
      <c r="N1000" s="4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</row>
    <row r="1001" spans="1:28" x14ac:dyDescent="0.2">
      <c r="A1001" s="4"/>
      <c r="B1001" s="4"/>
      <c r="C1001" s="4"/>
      <c r="D1001" s="27"/>
      <c r="E1001" s="107"/>
      <c r="F1001" s="4"/>
      <c r="G1001" s="4"/>
      <c r="H1001" s="4"/>
      <c r="I1001" s="4"/>
      <c r="J1001" s="4"/>
      <c r="K1001" s="4"/>
      <c r="L1001" s="174"/>
      <c r="M1001" s="174"/>
      <c r="N1001" s="4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</row>
    <row r="1002" spans="1:28" x14ac:dyDescent="0.2">
      <c r="A1002" s="4"/>
      <c r="B1002" s="4"/>
      <c r="C1002" s="4"/>
      <c r="D1002" s="27"/>
      <c r="E1002" s="107"/>
      <c r="F1002" s="4"/>
      <c r="G1002" s="4"/>
      <c r="H1002" s="4"/>
      <c r="I1002" s="4"/>
      <c r="J1002" s="4"/>
      <c r="K1002" s="4"/>
      <c r="L1002" s="174"/>
      <c r="M1002" s="174"/>
      <c r="N1002" s="4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</row>
    <row r="1003" spans="1:28" x14ac:dyDescent="0.2">
      <c r="A1003" s="4"/>
      <c r="B1003" s="4"/>
      <c r="C1003" s="4"/>
      <c r="D1003" s="27"/>
      <c r="E1003" s="107"/>
      <c r="F1003" s="4"/>
      <c r="G1003" s="4"/>
      <c r="H1003" s="4"/>
      <c r="I1003" s="4"/>
      <c r="J1003" s="4"/>
      <c r="K1003" s="4"/>
      <c r="L1003" s="174"/>
      <c r="M1003" s="174"/>
      <c r="N1003" s="4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</row>
    <row r="1004" spans="1:28" x14ac:dyDescent="0.2">
      <c r="A1004" s="4"/>
      <c r="B1004" s="4"/>
      <c r="C1004" s="4"/>
      <c r="D1004" s="27"/>
      <c r="E1004" s="107"/>
      <c r="F1004" s="4"/>
      <c r="G1004" s="4"/>
      <c r="H1004" s="4"/>
      <c r="I1004" s="4"/>
      <c r="J1004" s="4"/>
      <c r="K1004" s="4"/>
      <c r="L1004" s="174"/>
      <c r="M1004" s="174"/>
      <c r="N1004" s="4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</row>
    <row r="1005" spans="1:28" x14ac:dyDescent="0.2">
      <c r="A1005" s="4"/>
      <c r="B1005" s="4"/>
      <c r="C1005" s="4"/>
      <c r="D1005" s="27"/>
      <c r="E1005" s="107"/>
      <c r="F1005" s="4"/>
      <c r="G1005" s="4"/>
      <c r="H1005" s="4"/>
      <c r="I1005" s="4"/>
      <c r="J1005" s="4"/>
      <c r="K1005" s="4"/>
      <c r="L1005" s="174"/>
      <c r="M1005" s="174"/>
      <c r="N1005" s="4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</row>
    <row r="1006" spans="1:28" x14ac:dyDescent="0.2">
      <c r="A1006" s="4"/>
      <c r="B1006" s="4"/>
      <c r="C1006" s="4"/>
      <c r="D1006" s="27"/>
      <c r="E1006" s="107"/>
      <c r="F1006" s="4"/>
      <c r="G1006" s="4"/>
      <c r="H1006" s="4"/>
      <c r="I1006" s="4"/>
      <c r="J1006" s="4"/>
      <c r="K1006" s="4"/>
      <c r="L1006" s="174"/>
      <c r="M1006" s="174"/>
      <c r="N1006" s="4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</row>
    <row r="1007" spans="1:28" x14ac:dyDescent="0.2">
      <c r="A1007" s="4"/>
      <c r="B1007" s="4"/>
      <c r="C1007" s="4"/>
      <c r="D1007" s="27"/>
      <c r="E1007" s="107"/>
      <c r="F1007" s="4"/>
      <c r="G1007" s="4"/>
      <c r="H1007" s="4"/>
      <c r="I1007" s="4"/>
      <c r="J1007" s="4"/>
      <c r="K1007" s="4"/>
      <c r="L1007" s="174"/>
      <c r="M1007" s="174"/>
      <c r="N1007" s="4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</row>
    <row r="1008" spans="1:28" x14ac:dyDescent="0.2">
      <c r="A1008" s="4"/>
      <c r="B1008" s="4"/>
      <c r="C1008" s="4"/>
      <c r="D1008" s="27"/>
      <c r="E1008" s="107"/>
      <c r="F1008" s="4"/>
      <c r="G1008" s="4"/>
      <c r="H1008" s="4"/>
      <c r="I1008" s="4"/>
      <c r="J1008" s="4"/>
      <c r="K1008" s="4"/>
      <c r="L1008" s="174"/>
      <c r="M1008" s="174"/>
      <c r="N1008" s="4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</row>
    <row r="1009" spans="1:28" x14ac:dyDescent="0.2">
      <c r="A1009" s="4"/>
      <c r="B1009" s="4"/>
      <c r="C1009" s="4"/>
      <c r="D1009" s="27"/>
      <c r="E1009" s="107"/>
      <c r="F1009" s="4"/>
      <c r="G1009" s="4"/>
      <c r="H1009" s="4"/>
      <c r="I1009" s="4"/>
      <c r="J1009" s="4"/>
      <c r="K1009" s="4"/>
      <c r="L1009" s="174"/>
      <c r="M1009" s="174"/>
      <c r="N1009" s="4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</row>
    <row r="1010" spans="1:28" x14ac:dyDescent="0.2">
      <c r="A1010" s="4"/>
      <c r="B1010" s="4"/>
      <c r="C1010" s="4"/>
      <c r="D1010" s="27"/>
      <c r="E1010" s="107"/>
      <c r="F1010" s="4"/>
      <c r="G1010" s="4"/>
      <c r="H1010" s="4"/>
      <c r="I1010" s="4"/>
      <c r="J1010" s="4"/>
      <c r="K1010" s="4"/>
      <c r="L1010" s="174"/>
      <c r="M1010" s="174"/>
      <c r="N1010" s="4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</row>
    <row r="1011" spans="1:28" x14ac:dyDescent="0.2">
      <c r="A1011" s="4"/>
      <c r="B1011" s="4"/>
      <c r="C1011" s="4"/>
      <c r="D1011" s="27"/>
      <c r="E1011" s="107"/>
      <c r="F1011" s="4"/>
      <c r="G1011" s="4"/>
      <c r="H1011" s="4"/>
      <c r="I1011" s="4"/>
      <c r="J1011" s="4"/>
      <c r="K1011" s="4"/>
      <c r="L1011" s="174"/>
      <c r="M1011" s="174"/>
      <c r="N1011" s="4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</row>
    <row r="1012" spans="1:28" x14ac:dyDescent="0.2">
      <c r="A1012" s="4"/>
      <c r="B1012" s="4"/>
      <c r="C1012" s="4"/>
      <c r="D1012" s="27"/>
      <c r="E1012" s="107"/>
      <c r="F1012" s="4"/>
      <c r="G1012" s="4"/>
      <c r="H1012" s="4"/>
      <c r="I1012" s="4"/>
      <c r="J1012" s="4"/>
      <c r="K1012" s="4"/>
      <c r="L1012" s="174"/>
      <c r="M1012" s="174"/>
      <c r="N1012" s="4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</row>
    <row r="1013" spans="1:28" x14ac:dyDescent="0.2">
      <c r="A1013" s="4"/>
      <c r="B1013" s="4"/>
      <c r="C1013" s="4"/>
      <c r="D1013" s="27"/>
      <c r="E1013" s="107"/>
      <c r="F1013" s="4"/>
      <c r="G1013" s="4"/>
      <c r="H1013" s="4"/>
      <c r="I1013" s="4"/>
      <c r="J1013" s="4"/>
      <c r="K1013" s="4"/>
      <c r="L1013" s="174"/>
      <c r="M1013" s="174"/>
      <c r="N1013" s="4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</row>
    <row r="1014" spans="1:28" x14ac:dyDescent="0.2">
      <c r="A1014" s="4"/>
      <c r="B1014" s="4"/>
      <c r="C1014" s="4"/>
      <c r="D1014" s="27"/>
      <c r="E1014" s="107"/>
      <c r="F1014" s="4"/>
      <c r="G1014" s="4"/>
      <c r="H1014" s="4"/>
      <c r="I1014" s="4"/>
      <c r="J1014" s="4"/>
      <c r="K1014" s="4"/>
      <c r="L1014" s="174"/>
      <c r="M1014" s="174"/>
      <c r="N1014" s="4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</row>
    <row r="1015" spans="1:28" x14ac:dyDescent="0.2">
      <c r="A1015" s="4"/>
      <c r="B1015" s="4"/>
      <c r="C1015" s="4"/>
      <c r="D1015" s="27"/>
      <c r="E1015" s="107"/>
      <c r="F1015" s="4"/>
      <c r="G1015" s="4"/>
      <c r="H1015" s="4"/>
      <c r="I1015" s="4"/>
      <c r="J1015" s="4"/>
      <c r="K1015" s="4"/>
      <c r="L1015" s="174"/>
      <c r="M1015" s="174"/>
      <c r="N1015" s="4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</row>
    <row r="1016" spans="1:28" x14ac:dyDescent="0.2">
      <c r="A1016" s="4"/>
      <c r="B1016" s="4"/>
      <c r="C1016" s="4"/>
      <c r="D1016" s="27"/>
      <c r="E1016" s="107"/>
      <c r="F1016" s="4"/>
      <c r="G1016" s="4"/>
      <c r="H1016" s="4"/>
      <c r="I1016" s="4"/>
      <c r="J1016" s="4"/>
      <c r="K1016" s="4"/>
      <c r="L1016" s="174"/>
      <c r="M1016" s="174"/>
      <c r="N1016" s="4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</row>
    <row r="1017" spans="1:28" x14ac:dyDescent="0.2">
      <c r="A1017" s="4"/>
      <c r="B1017" s="4"/>
      <c r="C1017" s="4"/>
      <c r="D1017" s="27"/>
      <c r="E1017" s="107"/>
      <c r="F1017" s="4"/>
      <c r="G1017" s="4"/>
      <c r="H1017" s="4"/>
      <c r="I1017" s="4"/>
      <c r="J1017" s="4"/>
      <c r="K1017" s="4"/>
      <c r="L1017" s="174"/>
      <c r="M1017" s="174"/>
      <c r="N1017" s="4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</row>
    <row r="1018" spans="1:28" x14ac:dyDescent="0.2">
      <c r="A1018" s="4"/>
      <c r="B1018" s="4"/>
      <c r="C1018" s="4"/>
      <c r="D1018" s="27"/>
      <c r="E1018" s="107"/>
      <c r="F1018" s="4"/>
      <c r="G1018" s="4"/>
      <c r="H1018" s="4"/>
      <c r="I1018" s="4"/>
      <c r="J1018" s="4"/>
      <c r="K1018" s="4"/>
      <c r="L1018" s="174"/>
      <c r="M1018" s="174"/>
      <c r="N1018" s="4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</row>
    <row r="1019" spans="1:28" x14ac:dyDescent="0.2">
      <c r="A1019" s="4"/>
      <c r="B1019" s="4"/>
      <c r="C1019" s="4"/>
      <c r="D1019" s="27"/>
      <c r="E1019" s="107"/>
      <c r="F1019" s="4"/>
      <c r="G1019" s="4"/>
      <c r="H1019" s="4"/>
      <c r="I1019" s="4"/>
      <c r="J1019" s="4"/>
      <c r="K1019" s="4"/>
      <c r="L1019" s="174"/>
      <c r="M1019" s="174"/>
      <c r="N1019" s="4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</row>
    <row r="1020" spans="1:28" x14ac:dyDescent="0.2">
      <c r="A1020" s="4"/>
      <c r="B1020" s="4"/>
      <c r="C1020" s="4"/>
      <c r="D1020" s="27"/>
      <c r="E1020" s="107"/>
      <c r="F1020" s="4"/>
      <c r="G1020" s="4"/>
      <c r="H1020" s="4"/>
      <c r="I1020" s="4"/>
      <c r="J1020" s="4"/>
      <c r="K1020" s="4"/>
      <c r="L1020" s="174"/>
      <c r="M1020" s="174"/>
      <c r="N1020" s="4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</row>
    <row r="1021" spans="1:28" x14ac:dyDescent="0.2">
      <c r="A1021" s="4"/>
      <c r="B1021" s="4"/>
      <c r="C1021" s="4"/>
      <c r="D1021" s="27"/>
      <c r="E1021" s="107"/>
      <c r="F1021" s="4"/>
      <c r="G1021" s="4"/>
      <c r="H1021" s="4"/>
      <c r="I1021" s="4"/>
      <c r="J1021" s="4"/>
      <c r="K1021" s="4"/>
      <c r="L1021" s="174"/>
      <c r="M1021" s="174"/>
      <c r="N1021" s="4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</row>
    <row r="1022" spans="1:28" x14ac:dyDescent="0.2">
      <c r="A1022" s="4"/>
      <c r="B1022" s="4"/>
      <c r="C1022" s="4"/>
      <c r="D1022" s="27"/>
      <c r="E1022" s="107"/>
      <c r="F1022" s="4"/>
      <c r="G1022" s="4"/>
      <c r="H1022" s="4"/>
      <c r="I1022" s="4"/>
      <c r="J1022" s="4"/>
      <c r="K1022" s="4"/>
      <c r="L1022" s="174"/>
      <c r="M1022" s="174"/>
      <c r="N1022" s="4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</row>
    <row r="1023" spans="1:28" x14ac:dyDescent="0.2">
      <c r="A1023" s="4"/>
      <c r="B1023" s="4"/>
      <c r="C1023" s="4"/>
      <c r="D1023" s="27"/>
      <c r="E1023" s="107"/>
      <c r="F1023" s="4"/>
      <c r="G1023" s="4"/>
      <c r="H1023" s="4"/>
      <c r="I1023" s="4"/>
      <c r="J1023" s="4"/>
      <c r="K1023" s="4"/>
      <c r="L1023" s="174"/>
      <c r="M1023" s="174"/>
      <c r="N1023" s="4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</row>
    <row r="1024" spans="1:28" x14ac:dyDescent="0.2">
      <c r="A1024" s="4"/>
      <c r="B1024" s="4"/>
      <c r="C1024" s="4"/>
      <c r="D1024" s="27"/>
      <c r="E1024" s="107"/>
      <c r="F1024" s="4"/>
      <c r="G1024" s="4"/>
      <c r="H1024" s="4"/>
      <c r="I1024" s="4"/>
      <c r="J1024" s="4"/>
      <c r="K1024" s="4"/>
      <c r="L1024" s="174"/>
      <c r="M1024" s="174"/>
      <c r="N1024" s="4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</row>
    <row r="1025" spans="1:28" x14ac:dyDescent="0.2">
      <c r="A1025" s="4"/>
      <c r="B1025" s="4"/>
      <c r="C1025" s="4"/>
      <c r="D1025" s="27"/>
      <c r="E1025" s="107"/>
      <c r="F1025" s="4"/>
      <c r="G1025" s="4"/>
      <c r="H1025" s="4"/>
      <c r="I1025" s="4"/>
      <c r="J1025" s="4"/>
      <c r="K1025" s="4"/>
      <c r="L1025" s="174"/>
      <c r="M1025" s="174"/>
      <c r="N1025" s="4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</row>
    <row r="1026" spans="1:28" x14ac:dyDescent="0.2">
      <c r="A1026" s="4"/>
      <c r="B1026" s="4"/>
      <c r="C1026" s="4"/>
      <c r="D1026" s="27"/>
      <c r="E1026" s="107"/>
      <c r="F1026" s="4"/>
      <c r="G1026" s="4"/>
      <c r="H1026" s="4"/>
      <c r="I1026" s="4"/>
      <c r="J1026" s="4"/>
      <c r="K1026" s="4"/>
      <c r="L1026" s="174"/>
      <c r="M1026" s="174"/>
      <c r="N1026" s="4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</row>
    <row r="1027" spans="1:28" x14ac:dyDescent="0.2">
      <c r="A1027" s="4"/>
      <c r="B1027" s="4"/>
      <c r="C1027" s="4"/>
      <c r="D1027" s="27"/>
      <c r="E1027" s="107"/>
      <c r="F1027" s="4"/>
      <c r="G1027" s="4"/>
      <c r="H1027" s="4"/>
      <c r="I1027" s="4"/>
      <c r="J1027" s="4"/>
      <c r="K1027" s="4"/>
      <c r="L1027" s="174"/>
      <c r="M1027" s="174"/>
      <c r="N1027" s="4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</row>
    <row r="1028" spans="1:28" x14ac:dyDescent="0.2">
      <c r="A1028" s="4"/>
      <c r="B1028" s="4"/>
      <c r="C1028" s="4"/>
      <c r="D1028" s="27"/>
      <c r="E1028" s="107"/>
      <c r="F1028" s="4"/>
      <c r="G1028" s="4"/>
      <c r="H1028" s="4"/>
      <c r="I1028" s="4"/>
      <c r="J1028" s="4"/>
      <c r="K1028" s="4"/>
      <c r="L1028" s="174"/>
      <c r="M1028" s="174"/>
      <c r="N1028" s="4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</row>
    <row r="1029" spans="1:28" x14ac:dyDescent="0.2">
      <c r="A1029" s="4"/>
      <c r="B1029" s="4"/>
      <c r="C1029" s="4"/>
      <c r="D1029" s="27"/>
      <c r="E1029" s="107"/>
      <c r="F1029" s="4"/>
      <c r="G1029" s="4"/>
      <c r="H1029" s="4"/>
      <c r="I1029" s="4"/>
      <c r="J1029" s="4"/>
      <c r="K1029" s="4"/>
      <c r="L1029" s="174"/>
      <c r="M1029" s="174"/>
      <c r="N1029" s="4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</row>
    <row r="1030" spans="1:28" x14ac:dyDescent="0.2">
      <c r="A1030" s="4"/>
      <c r="B1030" s="4"/>
      <c r="C1030" s="4"/>
      <c r="D1030" s="27"/>
      <c r="E1030" s="107"/>
      <c r="F1030" s="4"/>
      <c r="G1030" s="4"/>
      <c r="H1030" s="4"/>
      <c r="I1030" s="4"/>
      <c r="J1030" s="4"/>
      <c r="K1030" s="4"/>
      <c r="L1030" s="174"/>
      <c r="M1030" s="174"/>
      <c r="N1030" s="4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</row>
    <row r="1031" spans="1:28" x14ac:dyDescent="0.2">
      <c r="A1031" s="4"/>
      <c r="B1031" s="4"/>
      <c r="C1031" s="4"/>
      <c r="D1031" s="27"/>
      <c r="E1031" s="107"/>
      <c r="F1031" s="4"/>
      <c r="G1031" s="4"/>
      <c r="H1031" s="4"/>
      <c r="I1031" s="4"/>
      <c r="J1031" s="4"/>
      <c r="K1031" s="4"/>
      <c r="L1031" s="174"/>
      <c r="M1031" s="174"/>
      <c r="N1031" s="4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</row>
    <row r="1032" spans="1:28" x14ac:dyDescent="0.2">
      <c r="A1032" s="4"/>
      <c r="B1032" s="4"/>
      <c r="C1032" s="4"/>
      <c r="D1032" s="27"/>
      <c r="E1032" s="107"/>
      <c r="F1032" s="4"/>
      <c r="G1032" s="4"/>
      <c r="H1032" s="4"/>
      <c r="I1032" s="4"/>
      <c r="J1032" s="4"/>
      <c r="K1032" s="4"/>
      <c r="L1032" s="174"/>
      <c r="M1032" s="174"/>
      <c r="N1032" s="4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</row>
    <row r="1033" spans="1:28" x14ac:dyDescent="0.2">
      <c r="A1033" s="4"/>
      <c r="B1033" s="4"/>
      <c r="C1033" s="4"/>
      <c r="D1033" s="27"/>
      <c r="E1033" s="107"/>
      <c r="F1033" s="4"/>
      <c r="G1033" s="4"/>
      <c r="H1033" s="4"/>
      <c r="I1033" s="4"/>
      <c r="J1033" s="4"/>
      <c r="K1033" s="4"/>
      <c r="L1033" s="174"/>
      <c r="M1033" s="174"/>
      <c r="N1033" s="4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</row>
    <row r="1034" spans="1:28" x14ac:dyDescent="0.2">
      <c r="A1034" s="4"/>
      <c r="B1034" s="4"/>
      <c r="C1034" s="4"/>
      <c r="D1034" s="27"/>
      <c r="E1034" s="107"/>
      <c r="F1034" s="4"/>
      <c r="G1034" s="4"/>
      <c r="H1034" s="4"/>
      <c r="I1034" s="4"/>
      <c r="J1034" s="4"/>
      <c r="K1034" s="4"/>
      <c r="L1034" s="174"/>
      <c r="M1034" s="174"/>
      <c r="N1034" s="4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</row>
    <row r="1035" spans="1:28" x14ac:dyDescent="0.2">
      <c r="A1035" s="4"/>
      <c r="B1035" s="4"/>
      <c r="C1035" s="4"/>
      <c r="D1035" s="27"/>
      <c r="E1035" s="107"/>
      <c r="F1035" s="4"/>
      <c r="G1035" s="4"/>
      <c r="H1035" s="4"/>
      <c r="I1035" s="4"/>
      <c r="J1035" s="4"/>
      <c r="K1035" s="4"/>
      <c r="L1035" s="174"/>
      <c r="M1035" s="174"/>
      <c r="N1035" s="4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</row>
    <row r="1036" spans="1:28" x14ac:dyDescent="0.2">
      <c r="A1036" s="4"/>
      <c r="B1036" s="4"/>
      <c r="C1036" s="4"/>
      <c r="D1036" s="27"/>
      <c r="E1036" s="107"/>
      <c r="F1036" s="4"/>
      <c r="G1036" s="4"/>
      <c r="H1036" s="4"/>
      <c r="I1036" s="4"/>
      <c r="J1036" s="4"/>
      <c r="K1036" s="4"/>
      <c r="L1036" s="174"/>
      <c r="M1036" s="174"/>
      <c r="N1036" s="4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</row>
    <row r="1037" spans="1:28" x14ac:dyDescent="0.2">
      <c r="A1037" s="4"/>
      <c r="B1037" s="4"/>
      <c r="C1037" s="4"/>
      <c r="D1037" s="27"/>
      <c r="E1037" s="107"/>
      <c r="F1037" s="4"/>
      <c r="G1037" s="4"/>
      <c r="H1037" s="4"/>
      <c r="I1037" s="4"/>
      <c r="J1037" s="4"/>
      <c r="K1037" s="4"/>
      <c r="L1037" s="174"/>
      <c r="M1037" s="174"/>
      <c r="N1037" s="4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</row>
    <row r="1038" spans="1:28" x14ac:dyDescent="0.2">
      <c r="A1038" s="4"/>
      <c r="B1038" s="4"/>
      <c r="C1038" s="4"/>
      <c r="D1038" s="27"/>
      <c r="E1038" s="107"/>
      <c r="F1038" s="4"/>
      <c r="G1038" s="4"/>
      <c r="H1038" s="4"/>
      <c r="I1038" s="4"/>
      <c r="J1038" s="4"/>
      <c r="K1038" s="4"/>
      <c r="L1038" s="174"/>
      <c r="M1038" s="174"/>
      <c r="N1038" s="4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</row>
    <row r="1039" spans="1:28" x14ac:dyDescent="0.2">
      <c r="A1039" s="4"/>
      <c r="B1039" s="4"/>
      <c r="C1039" s="4"/>
      <c r="D1039" s="27"/>
      <c r="E1039" s="107"/>
      <c r="F1039" s="4"/>
      <c r="G1039" s="4"/>
      <c r="H1039" s="4"/>
      <c r="I1039" s="4"/>
      <c r="J1039" s="4"/>
      <c r="K1039" s="4"/>
      <c r="L1039" s="174"/>
      <c r="M1039" s="174"/>
      <c r="N1039" s="4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</row>
    <row r="1040" spans="1:28" x14ac:dyDescent="0.2">
      <c r="A1040" s="4"/>
      <c r="B1040" s="4"/>
      <c r="C1040" s="4"/>
      <c r="D1040" s="27"/>
      <c r="E1040" s="107"/>
      <c r="F1040" s="4"/>
      <c r="G1040" s="4"/>
      <c r="H1040" s="4"/>
      <c r="I1040" s="4"/>
      <c r="J1040" s="4"/>
      <c r="K1040" s="4"/>
      <c r="L1040" s="174"/>
      <c r="M1040" s="174"/>
      <c r="N1040" s="4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</row>
    <row r="1041" spans="1:28" x14ac:dyDescent="0.2">
      <c r="A1041" s="4"/>
      <c r="B1041" s="4"/>
      <c r="C1041" s="4"/>
      <c r="D1041" s="27"/>
      <c r="E1041" s="107"/>
      <c r="F1041" s="4"/>
      <c r="G1041" s="4"/>
      <c r="H1041" s="4"/>
      <c r="I1041" s="4"/>
      <c r="J1041" s="4"/>
      <c r="K1041" s="4"/>
      <c r="L1041" s="174"/>
      <c r="M1041" s="174"/>
      <c r="N1041" s="4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</row>
    <row r="1042" spans="1:28" x14ac:dyDescent="0.2">
      <c r="A1042" s="4"/>
      <c r="B1042" s="4"/>
      <c r="C1042" s="4"/>
      <c r="D1042" s="27"/>
      <c r="E1042" s="107"/>
      <c r="F1042" s="4"/>
      <c r="G1042" s="4"/>
      <c r="H1042" s="4"/>
      <c r="I1042" s="4"/>
      <c r="J1042" s="4"/>
      <c r="K1042" s="4"/>
      <c r="L1042" s="174"/>
      <c r="M1042" s="174"/>
      <c r="N1042" s="4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</row>
    <row r="1043" spans="1:28" x14ac:dyDescent="0.2">
      <c r="A1043" s="4"/>
      <c r="B1043" s="4"/>
      <c r="C1043" s="4"/>
      <c r="D1043" s="27"/>
      <c r="E1043" s="107"/>
      <c r="F1043" s="4"/>
      <c r="G1043" s="4"/>
      <c r="H1043" s="4"/>
      <c r="I1043" s="4"/>
      <c r="J1043" s="4"/>
      <c r="K1043" s="4"/>
      <c r="L1043" s="174"/>
      <c r="M1043" s="174"/>
      <c r="N1043" s="4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</row>
    <row r="1044" spans="1:28" x14ac:dyDescent="0.2">
      <c r="A1044" s="4"/>
      <c r="B1044" s="4"/>
      <c r="C1044" s="4"/>
      <c r="D1044" s="27"/>
      <c r="E1044" s="107"/>
      <c r="F1044" s="4"/>
      <c r="G1044" s="4"/>
      <c r="H1044" s="4"/>
      <c r="I1044" s="4"/>
      <c r="J1044" s="4"/>
      <c r="K1044" s="4"/>
      <c r="L1044" s="174"/>
      <c r="M1044" s="174"/>
      <c r="N1044" s="4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</row>
    <row r="1045" spans="1:28" x14ac:dyDescent="0.2">
      <c r="A1045" s="4"/>
      <c r="B1045" s="4"/>
      <c r="C1045" s="4"/>
      <c r="D1045" s="27"/>
      <c r="E1045" s="107"/>
      <c r="F1045" s="4"/>
      <c r="G1045" s="4"/>
      <c r="H1045" s="4"/>
      <c r="I1045" s="4"/>
      <c r="J1045" s="4"/>
      <c r="K1045" s="4"/>
      <c r="L1045" s="174"/>
      <c r="M1045" s="174"/>
      <c r="N1045" s="4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</row>
    <row r="1046" spans="1:28" x14ac:dyDescent="0.2">
      <c r="A1046" s="4"/>
      <c r="B1046" s="4"/>
      <c r="C1046" s="4"/>
      <c r="D1046" s="27"/>
      <c r="E1046" s="107"/>
      <c r="F1046" s="4"/>
      <c r="G1046" s="4"/>
      <c r="H1046" s="4"/>
      <c r="I1046" s="4"/>
      <c r="J1046" s="4"/>
      <c r="K1046" s="4"/>
      <c r="L1046" s="174"/>
      <c r="M1046" s="174"/>
      <c r="N1046" s="4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</row>
    <row r="1047" spans="1:28" x14ac:dyDescent="0.2">
      <c r="A1047" s="4"/>
      <c r="B1047" s="4"/>
      <c r="C1047" s="4"/>
      <c r="D1047" s="27"/>
      <c r="E1047" s="107"/>
      <c r="F1047" s="4"/>
      <c r="G1047" s="4"/>
      <c r="H1047" s="4"/>
      <c r="I1047" s="4"/>
      <c r="J1047" s="4"/>
      <c r="K1047" s="4"/>
      <c r="L1047" s="174"/>
      <c r="M1047" s="174"/>
      <c r="N1047" s="4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</row>
    <row r="1048" spans="1:28" x14ac:dyDescent="0.2">
      <c r="A1048" s="4"/>
      <c r="B1048" s="4"/>
      <c r="C1048" s="4"/>
      <c r="D1048" s="27"/>
      <c r="E1048" s="107"/>
      <c r="F1048" s="4"/>
      <c r="G1048" s="4"/>
      <c r="H1048" s="4"/>
      <c r="I1048" s="4"/>
      <c r="J1048" s="4"/>
      <c r="K1048" s="4"/>
      <c r="L1048" s="174"/>
      <c r="M1048" s="174"/>
      <c r="N1048" s="4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</row>
    <row r="1049" spans="1:28" x14ac:dyDescent="0.2">
      <c r="A1049" s="4"/>
      <c r="B1049" s="4"/>
      <c r="C1049" s="4"/>
      <c r="D1049" s="27"/>
      <c r="E1049" s="107"/>
      <c r="F1049" s="4"/>
      <c r="G1049" s="4"/>
      <c r="H1049" s="4"/>
      <c r="I1049" s="4"/>
      <c r="J1049" s="4"/>
      <c r="K1049" s="4"/>
      <c r="L1049" s="174"/>
      <c r="M1049" s="174"/>
      <c r="N1049" s="4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</row>
    <row r="1050" spans="1:28" x14ac:dyDescent="0.2">
      <c r="A1050" s="4"/>
      <c r="B1050" s="4"/>
      <c r="C1050" s="4"/>
      <c r="D1050" s="27"/>
      <c r="E1050" s="107"/>
      <c r="F1050" s="4"/>
      <c r="G1050" s="4"/>
      <c r="H1050" s="4"/>
      <c r="I1050" s="4"/>
      <c r="J1050" s="4"/>
      <c r="K1050" s="4"/>
      <c r="L1050" s="174"/>
      <c r="M1050" s="174"/>
      <c r="N1050" s="4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</row>
    <row r="1051" spans="1:28" x14ac:dyDescent="0.2">
      <c r="A1051" s="4"/>
      <c r="B1051" s="4"/>
      <c r="C1051" s="4"/>
      <c r="D1051" s="27"/>
      <c r="E1051" s="107"/>
      <c r="F1051" s="4"/>
      <c r="G1051" s="4"/>
      <c r="H1051" s="4"/>
      <c r="I1051" s="4"/>
      <c r="J1051" s="4"/>
      <c r="K1051" s="4"/>
      <c r="L1051" s="174"/>
      <c r="M1051" s="174"/>
      <c r="N1051" s="4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</row>
    <row r="1052" spans="1:28" x14ac:dyDescent="0.2">
      <c r="A1052" s="4"/>
      <c r="B1052" s="4"/>
      <c r="C1052" s="4"/>
      <c r="D1052" s="27"/>
      <c r="E1052" s="107"/>
      <c r="F1052" s="4"/>
      <c r="G1052" s="4"/>
      <c r="H1052" s="4"/>
      <c r="I1052" s="4"/>
      <c r="J1052" s="4"/>
      <c r="K1052" s="4"/>
      <c r="L1052" s="174"/>
      <c r="M1052" s="174"/>
      <c r="N1052" s="4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</row>
    <row r="1053" spans="1:28" x14ac:dyDescent="0.2">
      <c r="A1053" s="4"/>
      <c r="B1053" s="4"/>
      <c r="C1053" s="4"/>
      <c r="D1053" s="27"/>
      <c r="E1053" s="107"/>
      <c r="F1053" s="4"/>
      <c r="G1053" s="4"/>
      <c r="H1053" s="4"/>
      <c r="I1053" s="4"/>
      <c r="J1053" s="4"/>
      <c r="K1053" s="4"/>
      <c r="L1053" s="174"/>
      <c r="M1053" s="174"/>
      <c r="N1053" s="4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</row>
    <row r="1054" spans="1:28" x14ac:dyDescent="0.2">
      <c r="A1054" s="4"/>
      <c r="B1054" s="4"/>
      <c r="C1054" s="4"/>
      <c r="D1054" s="27"/>
      <c r="E1054" s="107"/>
      <c r="F1054" s="4"/>
      <c r="G1054" s="4"/>
      <c r="H1054" s="4"/>
      <c r="I1054" s="4"/>
      <c r="J1054" s="4"/>
      <c r="K1054" s="4"/>
      <c r="L1054" s="174"/>
      <c r="M1054" s="174"/>
      <c r="N1054" s="4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</row>
    <row r="1055" spans="1:28" x14ac:dyDescent="0.2">
      <c r="A1055" s="4"/>
      <c r="B1055" s="4"/>
      <c r="C1055" s="4"/>
      <c r="D1055" s="27"/>
      <c r="E1055" s="107"/>
      <c r="F1055" s="4"/>
      <c r="G1055" s="4"/>
      <c r="H1055" s="4"/>
      <c r="I1055" s="4"/>
      <c r="J1055" s="4"/>
      <c r="K1055" s="4"/>
      <c r="L1055" s="174"/>
      <c r="M1055" s="174"/>
      <c r="N1055" s="4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</row>
    <row r="1056" spans="1:28" x14ac:dyDescent="0.2">
      <c r="A1056" s="4"/>
      <c r="B1056" s="4"/>
      <c r="C1056" s="4"/>
      <c r="D1056" s="27"/>
      <c r="E1056" s="107"/>
      <c r="F1056" s="4"/>
      <c r="G1056" s="4"/>
      <c r="H1056" s="4"/>
      <c r="I1056" s="4"/>
      <c r="J1056" s="4"/>
      <c r="K1056" s="4"/>
      <c r="L1056" s="174"/>
      <c r="M1056" s="174"/>
      <c r="N1056" s="4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</row>
    <row r="1057" spans="1:28" x14ac:dyDescent="0.2">
      <c r="A1057" s="4"/>
      <c r="B1057" s="4"/>
      <c r="C1057" s="4"/>
      <c r="D1057" s="27"/>
      <c r="E1057" s="107"/>
      <c r="F1057" s="4"/>
      <c r="G1057" s="4"/>
      <c r="H1057" s="4"/>
      <c r="I1057" s="4"/>
      <c r="J1057" s="4"/>
      <c r="K1057" s="4"/>
      <c r="L1057" s="174"/>
      <c r="M1057" s="174"/>
      <c r="N1057" s="4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</row>
    <row r="1058" spans="1:28" x14ac:dyDescent="0.2">
      <c r="A1058" s="4"/>
      <c r="B1058" s="4"/>
      <c r="C1058" s="4"/>
      <c r="D1058" s="27"/>
      <c r="E1058" s="107"/>
      <c r="F1058" s="4"/>
      <c r="G1058" s="4"/>
      <c r="H1058" s="4"/>
      <c r="I1058" s="4"/>
      <c r="J1058" s="4"/>
      <c r="K1058" s="4"/>
      <c r="L1058" s="174"/>
      <c r="M1058" s="174"/>
      <c r="N1058" s="4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</row>
    <row r="1059" spans="1:28" x14ac:dyDescent="0.2">
      <c r="A1059" s="4"/>
      <c r="B1059" s="4"/>
      <c r="C1059" s="4"/>
      <c r="D1059" s="27"/>
      <c r="E1059" s="107"/>
      <c r="F1059" s="4"/>
      <c r="G1059" s="4"/>
      <c r="H1059" s="4"/>
      <c r="I1059" s="4"/>
      <c r="J1059" s="4"/>
      <c r="K1059" s="4"/>
      <c r="L1059" s="174"/>
      <c r="M1059" s="174"/>
      <c r="N1059" s="4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</row>
    <row r="1060" spans="1:28" x14ac:dyDescent="0.2">
      <c r="A1060" s="4"/>
      <c r="B1060" s="4"/>
      <c r="C1060" s="4"/>
      <c r="D1060" s="27"/>
      <c r="E1060" s="107"/>
      <c r="F1060" s="4"/>
      <c r="G1060" s="4"/>
      <c r="H1060" s="4"/>
      <c r="I1060" s="4"/>
      <c r="J1060" s="4"/>
      <c r="K1060" s="4"/>
      <c r="L1060" s="174"/>
      <c r="M1060" s="174"/>
      <c r="N1060" s="4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</row>
    <row r="1061" spans="1:28" x14ac:dyDescent="0.2">
      <c r="A1061" s="4"/>
      <c r="B1061" s="4"/>
      <c r="C1061" s="4"/>
      <c r="D1061" s="27"/>
      <c r="E1061" s="107"/>
      <c r="F1061" s="4"/>
      <c r="G1061" s="4"/>
      <c r="H1061" s="4"/>
      <c r="I1061" s="4"/>
      <c r="J1061" s="4"/>
      <c r="K1061" s="4"/>
      <c r="L1061" s="174"/>
      <c r="M1061" s="174"/>
      <c r="N1061" s="4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</row>
    <row r="1062" spans="1:28" x14ac:dyDescent="0.2">
      <c r="A1062" s="4"/>
      <c r="B1062" s="4"/>
      <c r="C1062" s="4"/>
      <c r="D1062" s="27"/>
      <c r="E1062" s="107"/>
      <c r="F1062" s="4"/>
      <c r="G1062" s="4"/>
      <c r="H1062" s="4"/>
      <c r="I1062" s="4"/>
      <c r="J1062" s="4"/>
      <c r="K1062" s="4"/>
      <c r="L1062" s="174"/>
      <c r="M1062" s="174"/>
      <c r="N1062" s="4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</row>
    <row r="1063" spans="1:28" x14ac:dyDescent="0.2">
      <c r="A1063" s="4"/>
      <c r="B1063" s="4"/>
      <c r="C1063" s="4"/>
      <c r="D1063" s="27"/>
      <c r="E1063" s="107"/>
      <c r="F1063" s="4"/>
      <c r="G1063" s="4"/>
      <c r="H1063" s="4"/>
      <c r="I1063" s="4"/>
      <c r="J1063" s="4"/>
      <c r="K1063" s="4"/>
      <c r="L1063" s="174"/>
      <c r="M1063" s="174"/>
      <c r="N1063" s="4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</row>
    <row r="1064" spans="1:28" x14ac:dyDescent="0.2">
      <c r="A1064" s="4"/>
      <c r="B1064" s="4"/>
      <c r="C1064" s="4"/>
      <c r="D1064" s="27"/>
      <c r="E1064" s="107"/>
      <c r="F1064" s="4"/>
      <c r="G1064" s="4"/>
      <c r="H1064" s="4"/>
      <c r="I1064" s="4"/>
      <c r="J1064" s="4"/>
      <c r="K1064" s="4"/>
      <c r="L1064" s="174"/>
      <c r="M1064" s="174"/>
      <c r="N1064" s="4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</row>
    <row r="1065" spans="1:28" x14ac:dyDescent="0.2">
      <c r="A1065" s="4"/>
      <c r="B1065" s="4"/>
      <c r="C1065" s="4"/>
      <c r="D1065" s="27"/>
      <c r="E1065" s="107"/>
      <c r="F1065" s="4"/>
      <c r="G1065" s="4"/>
      <c r="H1065" s="4"/>
      <c r="I1065" s="4"/>
      <c r="J1065" s="4"/>
      <c r="K1065" s="4"/>
      <c r="L1065" s="174"/>
      <c r="M1065" s="174"/>
      <c r="N1065" s="4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</row>
    <row r="1066" spans="1:28" x14ac:dyDescent="0.2">
      <c r="A1066" s="4"/>
      <c r="B1066" s="4"/>
      <c r="C1066" s="4"/>
      <c r="D1066" s="27"/>
      <c r="E1066" s="107"/>
      <c r="F1066" s="4"/>
      <c r="G1066" s="4"/>
      <c r="H1066" s="4"/>
      <c r="I1066" s="4"/>
      <c r="J1066" s="4"/>
      <c r="K1066" s="4"/>
      <c r="L1066" s="174"/>
      <c r="M1066" s="174"/>
      <c r="N1066" s="4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</row>
    <row r="1067" spans="1:28" x14ac:dyDescent="0.2">
      <c r="A1067" s="4"/>
      <c r="B1067" s="4"/>
      <c r="C1067" s="4"/>
      <c r="D1067" s="27"/>
      <c r="E1067" s="107"/>
      <c r="F1067" s="4"/>
      <c r="G1067" s="4"/>
      <c r="H1067" s="4"/>
      <c r="I1067" s="4"/>
      <c r="J1067" s="4"/>
      <c r="K1067" s="4"/>
      <c r="L1067" s="174"/>
      <c r="M1067" s="174"/>
      <c r="N1067" s="4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</row>
    <row r="1068" spans="1:28" x14ac:dyDescent="0.2">
      <c r="A1068" s="4"/>
      <c r="B1068" s="4"/>
      <c r="C1068" s="4"/>
      <c r="D1068" s="27"/>
      <c r="E1068" s="107"/>
      <c r="F1068" s="4"/>
      <c r="G1068" s="4"/>
      <c r="H1068" s="4"/>
      <c r="I1068" s="4"/>
      <c r="J1068" s="4"/>
      <c r="K1068" s="4"/>
      <c r="L1068" s="174"/>
      <c r="M1068" s="174"/>
      <c r="N1068" s="4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</row>
    <row r="1069" spans="1:28" x14ac:dyDescent="0.2">
      <c r="A1069" s="4"/>
      <c r="B1069" s="4"/>
      <c r="C1069" s="4"/>
      <c r="D1069" s="27"/>
      <c r="E1069" s="107"/>
      <c r="F1069" s="4"/>
      <c r="G1069" s="4"/>
      <c r="H1069" s="4"/>
      <c r="I1069" s="4"/>
      <c r="J1069" s="4"/>
      <c r="K1069" s="4"/>
      <c r="L1069" s="174"/>
      <c r="M1069" s="174"/>
      <c r="N1069" s="4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</row>
    <row r="1070" spans="1:28" x14ac:dyDescent="0.2">
      <c r="A1070" s="4"/>
      <c r="B1070" s="4"/>
      <c r="C1070" s="4"/>
      <c r="D1070" s="27"/>
      <c r="E1070" s="107"/>
      <c r="F1070" s="4"/>
      <c r="G1070" s="4"/>
      <c r="H1070" s="4"/>
      <c r="I1070" s="4"/>
      <c r="J1070" s="4"/>
      <c r="K1070" s="4"/>
      <c r="L1070" s="174"/>
      <c r="M1070" s="174"/>
      <c r="N1070" s="4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</row>
    <row r="1071" spans="1:28" x14ac:dyDescent="0.2">
      <c r="A1071" s="4"/>
      <c r="B1071" s="4"/>
      <c r="C1071" s="4"/>
      <c r="D1071" s="27"/>
      <c r="E1071" s="107"/>
      <c r="F1071" s="4"/>
      <c r="G1071" s="4"/>
      <c r="H1071" s="4"/>
      <c r="I1071" s="4"/>
      <c r="J1071" s="4"/>
      <c r="K1071" s="4"/>
      <c r="L1071" s="174"/>
      <c r="M1071" s="174"/>
      <c r="N1071" s="4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</row>
    <row r="1072" spans="1:28" x14ac:dyDescent="0.2">
      <c r="A1072" s="4"/>
      <c r="B1072" s="4"/>
      <c r="C1072" s="4"/>
      <c r="D1072" s="27"/>
      <c r="E1072" s="107"/>
      <c r="F1072" s="4"/>
      <c r="G1072" s="4"/>
      <c r="H1072" s="4"/>
      <c r="I1072" s="4"/>
      <c r="J1072" s="4"/>
      <c r="K1072" s="4"/>
      <c r="L1072" s="174"/>
      <c r="M1072" s="174"/>
      <c r="N1072" s="4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</row>
    <row r="1073" spans="1:28" x14ac:dyDescent="0.2">
      <c r="A1073" s="4"/>
      <c r="B1073" s="4"/>
      <c r="C1073" s="4"/>
      <c r="D1073" s="27"/>
      <c r="E1073" s="107"/>
      <c r="F1073" s="4"/>
      <c r="G1073" s="4"/>
      <c r="H1073" s="4"/>
      <c r="I1073" s="4"/>
      <c r="J1073" s="4"/>
      <c r="K1073" s="4"/>
      <c r="L1073" s="174"/>
      <c r="M1073" s="174"/>
      <c r="N1073" s="4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</row>
    <row r="1074" spans="1:28" x14ac:dyDescent="0.2">
      <c r="A1074" s="4"/>
      <c r="B1074" s="4"/>
      <c r="C1074" s="4"/>
      <c r="D1074" s="27"/>
      <c r="E1074" s="107"/>
      <c r="F1074" s="4"/>
      <c r="G1074" s="4"/>
      <c r="H1074" s="4"/>
      <c r="I1074" s="4"/>
      <c r="J1074" s="4"/>
      <c r="K1074" s="4"/>
      <c r="L1074" s="174"/>
      <c r="M1074" s="174"/>
      <c r="N1074" s="4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</row>
    <row r="1075" spans="1:28" x14ac:dyDescent="0.2">
      <c r="A1075" s="4"/>
      <c r="B1075" s="4"/>
      <c r="C1075" s="4"/>
      <c r="D1075" s="27"/>
      <c r="E1075" s="107"/>
      <c r="F1075" s="4"/>
      <c r="G1075" s="4"/>
      <c r="H1075" s="4"/>
      <c r="I1075" s="4"/>
      <c r="J1075" s="4"/>
      <c r="K1075" s="4"/>
      <c r="L1075" s="174"/>
      <c r="M1075" s="174"/>
      <c r="N1075" s="4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</row>
    <row r="1076" spans="1:28" x14ac:dyDescent="0.2">
      <c r="A1076" s="4"/>
      <c r="B1076" s="4"/>
      <c r="C1076" s="4"/>
      <c r="D1076" s="27"/>
      <c r="E1076" s="107"/>
      <c r="F1076" s="4"/>
      <c r="G1076" s="4"/>
      <c r="H1076" s="4"/>
      <c r="I1076" s="4"/>
      <c r="J1076" s="4"/>
      <c r="K1076" s="4"/>
      <c r="L1076" s="174"/>
      <c r="M1076" s="174"/>
      <c r="N1076" s="4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</row>
    <row r="1077" spans="1:28" x14ac:dyDescent="0.2">
      <c r="A1077" s="4"/>
      <c r="B1077" s="4"/>
      <c r="C1077" s="4"/>
      <c r="D1077" s="27"/>
      <c r="E1077" s="107"/>
      <c r="F1077" s="4"/>
      <c r="G1077" s="4"/>
      <c r="H1077" s="4"/>
      <c r="I1077" s="4"/>
      <c r="J1077" s="4"/>
      <c r="K1077" s="4"/>
      <c r="L1077" s="174"/>
      <c r="M1077" s="174"/>
      <c r="N1077" s="4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</row>
    <row r="1078" spans="1:28" x14ac:dyDescent="0.2">
      <c r="A1078" s="4"/>
      <c r="B1078" s="4"/>
      <c r="C1078" s="4"/>
      <c r="D1078" s="27"/>
      <c r="E1078" s="107"/>
      <c r="F1078" s="4"/>
      <c r="G1078" s="4"/>
      <c r="H1078" s="4"/>
      <c r="I1078" s="4"/>
      <c r="J1078" s="4"/>
      <c r="K1078" s="4"/>
      <c r="L1078" s="174"/>
      <c r="M1078" s="174"/>
      <c r="N1078" s="4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</row>
    <row r="1079" spans="1:28" x14ac:dyDescent="0.2">
      <c r="A1079" s="4"/>
      <c r="B1079" s="4"/>
      <c r="C1079" s="4"/>
      <c r="D1079" s="27"/>
      <c r="E1079" s="107"/>
      <c r="F1079" s="4"/>
      <c r="G1079" s="4"/>
      <c r="H1079" s="4"/>
      <c r="I1079" s="4"/>
      <c r="J1079" s="4"/>
      <c r="K1079" s="4"/>
      <c r="L1079" s="174"/>
      <c r="M1079" s="174"/>
      <c r="N1079" s="4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</row>
    <row r="1080" spans="1:28" x14ac:dyDescent="0.2">
      <c r="A1080" s="4"/>
      <c r="B1080" s="4"/>
      <c r="C1080" s="4"/>
      <c r="D1080" s="27"/>
      <c r="E1080" s="107"/>
      <c r="F1080" s="4"/>
      <c r="G1080" s="4"/>
      <c r="H1080" s="4"/>
      <c r="I1080" s="4"/>
      <c r="J1080" s="4"/>
      <c r="K1080" s="4"/>
      <c r="L1080" s="174"/>
      <c r="M1080" s="174"/>
      <c r="N1080" s="4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</row>
    <row r="1081" spans="1:28" x14ac:dyDescent="0.2">
      <c r="A1081" s="4"/>
      <c r="B1081" s="4"/>
      <c r="C1081" s="4"/>
      <c r="D1081" s="27"/>
      <c r="E1081" s="107"/>
      <c r="F1081" s="4"/>
      <c r="G1081" s="4"/>
      <c r="H1081" s="4"/>
      <c r="I1081" s="4"/>
      <c r="J1081" s="4"/>
      <c r="K1081" s="4"/>
      <c r="L1081" s="174"/>
      <c r="M1081" s="174"/>
      <c r="N1081" s="4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</row>
    <row r="1082" spans="1:28" x14ac:dyDescent="0.2">
      <c r="A1082" s="4"/>
      <c r="B1082" s="4"/>
      <c r="C1082" s="4"/>
      <c r="D1082" s="27"/>
      <c r="E1082" s="107"/>
      <c r="F1082" s="4"/>
      <c r="G1082" s="4"/>
      <c r="H1082" s="4"/>
      <c r="I1082" s="4"/>
      <c r="J1082" s="4"/>
      <c r="K1082" s="4"/>
      <c r="L1082" s="174"/>
      <c r="M1082" s="174"/>
      <c r="N1082" s="4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</row>
    <row r="1083" spans="1:28" x14ac:dyDescent="0.2">
      <c r="A1083" s="4"/>
      <c r="B1083" s="4"/>
      <c r="C1083" s="4"/>
      <c r="D1083" s="27"/>
      <c r="E1083" s="107"/>
      <c r="F1083" s="4"/>
      <c r="G1083" s="4"/>
      <c r="H1083" s="4"/>
      <c r="I1083" s="4"/>
      <c r="J1083" s="4"/>
      <c r="K1083" s="4"/>
      <c r="L1083" s="174"/>
      <c r="M1083" s="174"/>
      <c r="N1083" s="4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</row>
    <row r="1084" spans="1:28" x14ac:dyDescent="0.2">
      <c r="A1084" s="4"/>
      <c r="B1084" s="4"/>
      <c r="C1084" s="4"/>
      <c r="D1084" s="27"/>
      <c r="E1084" s="107"/>
      <c r="F1084" s="4"/>
      <c r="G1084" s="4"/>
      <c r="H1084" s="4"/>
      <c r="I1084" s="4"/>
      <c r="J1084" s="4"/>
      <c r="K1084" s="4"/>
      <c r="L1084" s="174"/>
      <c r="M1084" s="174"/>
      <c r="N1084" s="4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</row>
    <row r="1085" spans="1:28" x14ac:dyDescent="0.2">
      <c r="A1085" s="4"/>
      <c r="B1085" s="4"/>
      <c r="C1085" s="4"/>
      <c r="D1085" s="27"/>
      <c r="E1085" s="107"/>
      <c r="F1085" s="4"/>
      <c r="G1085" s="4"/>
      <c r="H1085" s="4"/>
      <c r="I1085" s="4"/>
      <c r="J1085" s="4"/>
      <c r="K1085" s="4"/>
      <c r="L1085" s="174"/>
      <c r="M1085" s="174"/>
      <c r="N1085" s="4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</row>
    <row r="1086" spans="1:28" x14ac:dyDescent="0.2">
      <c r="A1086" s="4"/>
      <c r="B1086" s="4"/>
      <c r="C1086" s="4"/>
      <c r="D1086" s="27"/>
      <c r="E1086" s="107"/>
      <c r="F1086" s="4"/>
      <c r="G1086" s="4"/>
      <c r="H1086" s="4"/>
      <c r="I1086" s="4"/>
      <c r="J1086" s="4"/>
      <c r="K1086" s="4"/>
      <c r="L1086" s="174"/>
      <c r="M1086" s="174"/>
      <c r="N1086" s="4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</row>
    <row r="1087" spans="1:28" x14ac:dyDescent="0.2">
      <c r="A1087" s="4"/>
      <c r="B1087" s="4"/>
      <c r="C1087" s="4"/>
      <c r="D1087" s="27"/>
      <c r="E1087" s="107"/>
      <c r="F1087" s="4"/>
      <c r="G1087" s="4"/>
      <c r="H1087" s="4"/>
      <c r="I1087" s="4"/>
      <c r="J1087" s="4"/>
      <c r="K1087" s="4"/>
      <c r="L1087" s="174"/>
      <c r="M1087" s="174"/>
      <c r="N1087" s="4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</row>
    <row r="1088" spans="1:28" x14ac:dyDescent="0.2">
      <c r="A1088" s="4"/>
      <c r="B1088" s="4"/>
      <c r="C1088" s="4"/>
      <c r="D1088" s="27"/>
      <c r="E1088" s="107"/>
      <c r="F1088" s="4"/>
      <c r="G1088" s="4"/>
      <c r="H1088" s="4"/>
      <c r="I1088" s="4"/>
      <c r="J1088" s="4"/>
      <c r="K1088" s="4"/>
      <c r="L1088" s="174"/>
      <c r="M1088" s="174"/>
      <c r="N1088" s="4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</row>
    <row r="1089" spans="1:28" x14ac:dyDescent="0.2">
      <c r="A1089" s="4"/>
      <c r="B1089" s="4"/>
      <c r="C1089" s="4"/>
      <c r="D1089" s="27"/>
      <c r="E1089" s="107"/>
      <c r="F1089" s="4"/>
      <c r="G1089" s="4"/>
      <c r="H1089" s="4"/>
      <c r="I1089" s="4"/>
      <c r="J1089" s="4"/>
      <c r="K1089" s="4"/>
      <c r="L1089" s="174"/>
      <c r="M1089" s="174"/>
      <c r="N1089" s="4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</row>
    <row r="1090" spans="1:28" x14ac:dyDescent="0.2">
      <c r="A1090" s="4"/>
      <c r="B1090" s="4"/>
      <c r="C1090" s="4"/>
      <c r="D1090" s="27"/>
      <c r="E1090" s="107"/>
      <c r="F1090" s="4"/>
      <c r="G1090" s="4"/>
      <c r="H1090" s="4"/>
      <c r="I1090" s="4"/>
      <c r="J1090" s="4"/>
      <c r="K1090" s="4"/>
      <c r="L1090" s="174"/>
      <c r="M1090" s="174"/>
      <c r="N1090" s="4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</row>
    <row r="1091" spans="1:28" x14ac:dyDescent="0.2">
      <c r="A1091" s="4"/>
      <c r="B1091" s="4"/>
      <c r="C1091" s="4"/>
      <c r="D1091" s="27"/>
      <c r="E1091" s="107"/>
      <c r="F1091" s="4"/>
      <c r="G1091" s="4"/>
      <c r="H1091" s="4"/>
      <c r="I1091" s="4"/>
      <c r="J1091" s="4"/>
      <c r="K1091" s="4"/>
      <c r="L1091" s="174"/>
      <c r="M1091" s="174"/>
      <c r="N1091" s="4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</row>
    <row r="1092" spans="1:28" x14ac:dyDescent="0.2">
      <c r="A1092" s="4"/>
      <c r="B1092" s="4"/>
      <c r="C1092" s="4"/>
      <c r="D1092" s="27"/>
      <c r="E1092" s="107"/>
      <c r="F1092" s="4"/>
      <c r="G1092" s="4"/>
      <c r="H1092" s="4"/>
      <c r="I1092" s="4"/>
      <c r="J1092" s="4"/>
      <c r="K1092" s="4"/>
      <c r="L1092" s="174"/>
      <c r="M1092" s="174"/>
      <c r="N1092" s="4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</row>
    <row r="1093" spans="1:28" x14ac:dyDescent="0.2">
      <c r="A1093" s="4"/>
      <c r="B1093" s="4"/>
      <c r="C1093" s="4"/>
      <c r="D1093" s="27"/>
      <c r="E1093" s="107"/>
      <c r="F1093" s="4"/>
      <c r="G1093" s="4"/>
      <c r="H1093" s="4"/>
      <c r="I1093" s="4"/>
      <c r="J1093" s="4"/>
      <c r="K1093" s="4"/>
      <c r="L1093" s="174"/>
      <c r="M1093" s="174"/>
      <c r="N1093" s="4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</row>
    <row r="1094" spans="1:28" x14ac:dyDescent="0.2">
      <c r="A1094" s="4"/>
      <c r="B1094" s="4"/>
      <c r="C1094" s="4"/>
      <c r="D1094" s="27"/>
      <c r="E1094" s="107"/>
      <c r="F1094" s="4"/>
      <c r="G1094" s="4"/>
      <c r="H1094" s="4"/>
      <c r="I1094" s="4"/>
      <c r="J1094" s="4"/>
      <c r="K1094" s="4"/>
      <c r="L1094" s="174"/>
      <c r="M1094" s="174"/>
      <c r="N1094" s="4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</row>
    <row r="1095" spans="1:28" x14ac:dyDescent="0.2">
      <c r="A1095" s="4"/>
      <c r="B1095" s="4"/>
      <c r="C1095" s="4"/>
      <c r="D1095" s="27"/>
      <c r="E1095" s="107"/>
      <c r="F1095" s="4"/>
      <c r="G1095" s="4"/>
      <c r="H1095" s="4"/>
      <c r="I1095" s="4"/>
      <c r="J1095" s="4"/>
      <c r="K1095" s="4"/>
      <c r="L1095" s="174"/>
      <c r="M1095" s="174"/>
      <c r="N1095" s="4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</row>
    <row r="1096" spans="1:28" x14ac:dyDescent="0.2">
      <c r="A1096" s="4"/>
      <c r="B1096" s="4"/>
      <c r="C1096" s="4"/>
      <c r="D1096" s="27"/>
      <c r="E1096" s="107"/>
      <c r="F1096" s="4"/>
      <c r="G1096" s="4"/>
      <c r="H1096" s="4"/>
      <c r="I1096" s="4"/>
      <c r="J1096" s="4"/>
      <c r="K1096" s="4"/>
      <c r="L1096" s="174"/>
      <c r="M1096" s="174"/>
      <c r="N1096" s="4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</row>
    <row r="1097" spans="1:28" x14ac:dyDescent="0.2">
      <c r="A1097" s="4"/>
      <c r="B1097" s="4"/>
      <c r="C1097" s="4"/>
      <c r="D1097" s="27"/>
      <c r="E1097" s="107"/>
      <c r="F1097" s="4"/>
      <c r="G1097" s="4"/>
      <c r="H1097" s="4"/>
      <c r="I1097" s="4"/>
      <c r="J1097" s="4"/>
      <c r="K1097" s="4"/>
      <c r="L1097" s="174"/>
      <c r="M1097" s="174"/>
      <c r="N1097" s="4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</row>
    <row r="1098" spans="1:28" x14ac:dyDescent="0.2">
      <c r="A1098" s="4"/>
      <c r="B1098" s="4"/>
      <c r="C1098" s="4"/>
      <c r="D1098" s="27"/>
      <c r="E1098" s="107"/>
      <c r="F1098" s="4"/>
      <c r="G1098" s="4"/>
      <c r="H1098" s="4"/>
      <c r="I1098" s="4"/>
      <c r="J1098" s="4"/>
      <c r="K1098" s="4"/>
      <c r="L1098" s="174"/>
      <c r="M1098" s="174"/>
      <c r="N1098" s="4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</row>
    <row r="1099" spans="1:28" x14ac:dyDescent="0.2">
      <c r="A1099" s="4"/>
      <c r="B1099" s="4"/>
      <c r="C1099" s="4"/>
      <c r="D1099" s="27"/>
      <c r="E1099" s="107"/>
      <c r="F1099" s="4"/>
      <c r="G1099" s="4"/>
      <c r="H1099" s="4"/>
      <c r="I1099" s="4"/>
      <c r="J1099" s="4"/>
      <c r="K1099" s="4"/>
      <c r="L1099" s="174"/>
      <c r="M1099" s="174"/>
      <c r="N1099" s="4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</row>
    <row r="1100" spans="1:28" x14ac:dyDescent="0.2">
      <c r="A1100" s="4"/>
      <c r="B1100" s="4"/>
      <c r="C1100" s="4"/>
      <c r="D1100" s="27"/>
      <c r="E1100" s="107"/>
      <c r="F1100" s="4"/>
      <c r="G1100" s="4"/>
      <c r="H1100" s="4"/>
      <c r="I1100" s="4"/>
      <c r="J1100" s="4"/>
      <c r="K1100" s="4"/>
      <c r="L1100" s="174"/>
      <c r="M1100" s="174"/>
      <c r="N1100" s="4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</row>
    <row r="1101" spans="1:28" x14ac:dyDescent="0.2">
      <c r="A1101" s="4"/>
      <c r="B1101" s="4"/>
      <c r="C1101" s="4"/>
      <c r="D1101" s="27"/>
      <c r="E1101" s="107"/>
      <c r="F1101" s="4"/>
      <c r="G1101" s="4"/>
      <c r="H1101" s="4"/>
      <c r="I1101" s="4"/>
      <c r="J1101" s="4"/>
      <c r="K1101" s="4"/>
      <c r="L1101" s="174"/>
      <c r="M1101" s="174"/>
      <c r="N1101" s="4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</row>
    <row r="1102" spans="1:28" x14ac:dyDescent="0.2">
      <c r="A1102" s="4"/>
      <c r="B1102" s="4"/>
      <c r="C1102" s="4"/>
      <c r="D1102" s="27"/>
      <c r="E1102" s="107"/>
      <c r="F1102" s="4"/>
      <c r="G1102" s="4"/>
      <c r="H1102" s="4"/>
      <c r="I1102" s="4"/>
      <c r="J1102" s="4"/>
      <c r="K1102" s="4"/>
      <c r="L1102" s="174"/>
      <c r="M1102" s="174"/>
      <c r="N1102" s="4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</row>
    <row r="1103" spans="1:28" x14ac:dyDescent="0.2">
      <c r="A1103" s="4"/>
      <c r="B1103" s="4"/>
      <c r="C1103" s="4"/>
      <c r="D1103" s="27"/>
      <c r="E1103" s="107"/>
      <c r="F1103" s="4"/>
      <c r="G1103" s="4"/>
      <c r="H1103" s="4"/>
      <c r="I1103" s="4"/>
      <c r="J1103" s="4"/>
      <c r="K1103" s="4"/>
      <c r="L1103" s="174"/>
      <c r="M1103" s="174"/>
      <c r="N1103" s="4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</row>
    <row r="1104" spans="1:28" x14ac:dyDescent="0.2">
      <c r="A1104" s="4"/>
      <c r="B1104" s="4"/>
      <c r="C1104" s="4"/>
      <c r="D1104" s="27"/>
      <c r="E1104" s="107"/>
      <c r="F1104" s="4"/>
      <c r="G1104" s="4"/>
      <c r="H1104" s="4"/>
      <c r="I1104" s="4"/>
      <c r="J1104" s="4"/>
      <c r="K1104" s="4"/>
      <c r="L1104" s="174"/>
      <c r="M1104" s="174"/>
      <c r="N1104" s="4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</row>
    <row r="1105" spans="1:28" x14ac:dyDescent="0.2">
      <c r="A1105" s="4"/>
      <c r="B1105" s="4"/>
      <c r="C1105" s="4"/>
      <c r="D1105" s="27"/>
      <c r="E1105" s="107"/>
      <c r="F1105" s="4"/>
      <c r="G1105" s="4"/>
      <c r="H1105" s="4"/>
      <c r="I1105" s="4"/>
      <c r="J1105" s="4"/>
      <c r="K1105" s="4"/>
      <c r="L1105" s="174"/>
      <c r="M1105" s="174"/>
      <c r="N1105" s="4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</row>
    <row r="1106" spans="1:28" x14ac:dyDescent="0.2">
      <c r="A1106" s="4"/>
      <c r="B1106" s="4"/>
      <c r="C1106" s="4"/>
      <c r="D1106" s="27"/>
      <c r="E1106" s="107"/>
      <c r="F1106" s="4"/>
      <c r="G1106" s="4"/>
      <c r="H1106" s="4"/>
      <c r="I1106" s="4"/>
      <c r="J1106" s="4"/>
      <c r="K1106" s="4"/>
      <c r="L1106" s="174"/>
      <c r="M1106" s="174"/>
      <c r="N1106" s="4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</row>
    <row r="1107" spans="1:28" x14ac:dyDescent="0.2">
      <c r="A1107" s="4"/>
      <c r="B1107" s="4"/>
      <c r="C1107" s="4"/>
      <c r="D1107" s="27"/>
      <c r="E1107" s="107"/>
      <c r="F1107" s="4"/>
      <c r="G1107" s="4"/>
      <c r="H1107" s="4"/>
      <c r="I1107" s="4"/>
      <c r="J1107" s="4"/>
      <c r="K1107" s="4"/>
      <c r="L1107" s="174"/>
      <c r="M1107" s="174"/>
      <c r="N1107" s="4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</row>
    <row r="1108" spans="1:28" x14ac:dyDescent="0.2">
      <c r="A1108" s="4"/>
      <c r="B1108" s="4"/>
      <c r="C1108" s="4"/>
      <c r="D1108" s="27"/>
      <c r="E1108" s="107"/>
      <c r="F1108" s="4"/>
      <c r="G1108" s="4"/>
      <c r="H1108" s="4"/>
      <c r="I1108" s="4"/>
      <c r="J1108" s="4"/>
      <c r="K1108" s="4"/>
      <c r="L1108" s="174"/>
      <c r="M1108" s="174"/>
      <c r="N1108" s="4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</row>
    <row r="1109" spans="1:28" x14ac:dyDescent="0.2">
      <c r="A1109" s="4"/>
      <c r="B1109" s="4"/>
      <c r="C1109" s="4"/>
      <c r="D1109" s="27"/>
      <c r="E1109" s="107"/>
      <c r="F1109" s="4"/>
      <c r="G1109" s="4"/>
      <c r="H1109" s="4"/>
      <c r="I1109" s="4"/>
      <c r="J1109" s="4"/>
      <c r="K1109" s="4"/>
      <c r="L1109" s="174"/>
      <c r="M1109" s="174"/>
      <c r="N1109" s="4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</row>
    <row r="1110" spans="1:28" x14ac:dyDescent="0.2">
      <c r="A1110" s="4"/>
      <c r="B1110" s="4"/>
      <c r="C1110" s="4"/>
      <c r="D1110" s="27"/>
      <c r="E1110" s="107"/>
      <c r="F1110" s="4"/>
      <c r="G1110" s="4"/>
      <c r="H1110" s="4"/>
      <c r="I1110" s="4"/>
      <c r="J1110" s="4"/>
      <c r="K1110" s="4"/>
      <c r="L1110" s="174"/>
      <c r="M1110" s="174"/>
      <c r="N1110" s="4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</row>
    <row r="1111" spans="1:28" x14ac:dyDescent="0.2">
      <c r="A1111" s="4"/>
      <c r="B1111" s="4"/>
      <c r="C1111" s="4"/>
      <c r="D1111" s="27"/>
      <c r="E1111" s="107"/>
      <c r="F1111" s="4"/>
      <c r="G1111" s="4"/>
      <c r="H1111" s="4"/>
      <c r="I1111" s="4"/>
      <c r="J1111" s="4"/>
      <c r="K1111" s="4"/>
      <c r="L1111" s="174"/>
      <c r="M1111" s="174"/>
      <c r="N1111" s="4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</row>
    <row r="1112" spans="1:28" x14ac:dyDescent="0.2">
      <c r="A1112" s="4"/>
      <c r="B1112" s="4"/>
      <c r="C1112" s="4"/>
      <c r="D1112" s="27"/>
      <c r="E1112" s="107"/>
      <c r="F1112" s="4"/>
      <c r="G1112" s="4"/>
      <c r="H1112" s="4"/>
      <c r="I1112" s="4"/>
      <c r="J1112" s="4"/>
      <c r="K1112" s="4"/>
      <c r="L1112" s="174"/>
      <c r="M1112" s="174"/>
      <c r="N1112" s="4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</row>
    <row r="1113" spans="1:28" x14ac:dyDescent="0.2">
      <c r="A1113" s="4"/>
      <c r="B1113" s="4"/>
      <c r="C1113" s="4"/>
      <c r="D1113" s="27"/>
      <c r="E1113" s="107"/>
      <c r="F1113" s="4"/>
      <c r="G1113" s="4"/>
      <c r="H1113" s="4"/>
      <c r="I1113" s="4"/>
      <c r="J1113" s="4"/>
      <c r="K1113" s="4"/>
      <c r="L1113" s="174"/>
      <c r="M1113" s="174"/>
      <c r="N1113" s="4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</row>
    <row r="1114" spans="1:28" x14ac:dyDescent="0.2">
      <c r="A1114" s="4"/>
      <c r="B1114" s="4"/>
      <c r="C1114" s="4"/>
      <c r="D1114" s="27"/>
      <c r="E1114" s="107"/>
      <c r="F1114" s="4"/>
      <c r="G1114" s="4"/>
      <c r="H1114" s="4"/>
      <c r="I1114" s="4"/>
      <c r="J1114" s="4"/>
      <c r="K1114" s="4"/>
      <c r="L1114" s="174"/>
      <c r="M1114" s="174"/>
      <c r="N1114" s="4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</row>
    <row r="1115" spans="1:28" x14ac:dyDescent="0.2">
      <c r="A1115" s="4"/>
      <c r="B1115" s="4"/>
      <c r="C1115" s="4"/>
      <c r="D1115" s="27"/>
      <c r="E1115" s="107"/>
      <c r="F1115" s="4"/>
      <c r="G1115" s="4"/>
      <c r="H1115" s="4"/>
      <c r="I1115" s="4"/>
      <c r="J1115" s="4"/>
      <c r="K1115" s="4"/>
      <c r="L1115" s="174"/>
      <c r="M1115" s="174"/>
      <c r="N1115" s="4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</row>
    <row r="1116" spans="1:28" x14ac:dyDescent="0.2">
      <c r="A1116" s="4"/>
      <c r="B1116" s="4"/>
      <c r="C1116" s="4"/>
      <c r="D1116" s="27"/>
      <c r="E1116" s="107"/>
      <c r="F1116" s="4"/>
      <c r="G1116" s="4"/>
      <c r="H1116" s="4"/>
      <c r="I1116" s="4"/>
      <c r="J1116" s="4"/>
      <c r="K1116" s="4"/>
      <c r="L1116" s="174"/>
      <c r="M1116" s="174"/>
      <c r="N1116" s="4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</row>
    <row r="1117" spans="1:28" x14ac:dyDescent="0.2">
      <c r="A1117" s="4"/>
      <c r="B1117" s="4"/>
      <c r="C1117" s="4"/>
      <c r="D1117" s="27"/>
      <c r="E1117" s="107"/>
      <c r="F1117" s="4"/>
      <c r="G1117" s="4"/>
      <c r="H1117" s="4"/>
      <c r="I1117" s="4"/>
      <c r="J1117" s="4"/>
      <c r="K1117" s="4"/>
      <c r="L1117" s="174"/>
      <c r="M1117" s="174"/>
      <c r="N1117" s="4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</row>
    <row r="1118" spans="1:28" x14ac:dyDescent="0.2">
      <c r="A1118" s="4"/>
      <c r="B1118" s="4"/>
      <c r="C1118" s="4"/>
      <c r="D1118" s="27"/>
      <c r="E1118" s="107"/>
      <c r="F1118" s="4"/>
      <c r="G1118" s="4"/>
      <c r="H1118" s="4"/>
      <c r="I1118" s="4"/>
      <c r="J1118" s="4"/>
      <c r="K1118" s="4"/>
      <c r="L1118" s="174"/>
      <c r="M1118" s="174"/>
      <c r="N1118" s="4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</row>
    <row r="1119" spans="1:28" x14ac:dyDescent="0.2">
      <c r="A1119" s="4"/>
      <c r="B1119" s="4"/>
      <c r="C1119" s="4"/>
      <c r="D1119" s="27"/>
      <c r="E1119" s="107"/>
      <c r="F1119" s="4"/>
      <c r="G1119" s="4"/>
      <c r="H1119" s="4"/>
      <c r="I1119" s="4"/>
      <c r="J1119" s="4"/>
      <c r="K1119" s="4"/>
      <c r="L1119" s="174"/>
      <c r="M1119" s="174"/>
      <c r="N1119" s="4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</row>
    <row r="1120" spans="1:28" x14ac:dyDescent="0.2">
      <c r="A1120" s="4"/>
      <c r="B1120" s="4"/>
      <c r="C1120" s="4"/>
      <c r="D1120" s="27"/>
      <c r="E1120" s="107"/>
      <c r="F1120" s="4"/>
      <c r="G1120" s="4"/>
      <c r="H1120" s="4"/>
      <c r="I1120" s="4"/>
      <c r="J1120" s="4"/>
      <c r="K1120" s="4"/>
      <c r="L1120" s="174"/>
      <c r="M1120" s="174"/>
      <c r="N1120" s="4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</row>
    <row r="1121" spans="1:28" x14ac:dyDescent="0.2">
      <c r="A1121" s="4"/>
      <c r="B1121" s="4"/>
      <c r="C1121" s="4"/>
      <c r="D1121" s="27"/>
      <c r="E1121" s="107"/>
      <c r="F1121" s="4"/>
      <c r="G1121" s="4"/>
      <c r="H1121" s="4"/>
      <c r="I1121" s="4"/>
      <c r="J1121" s="4"/>
      <c r="K1121" s="4"/>
      <c r="L1121" s="174"/>
      <c r="M1121" s="174"/>
      <c r="N1121" s="4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</row>
    <row r="1122" spans="1:28" x14ac:dyDescent="0.2">
      <c r="A1122" s="4"/>
      <c r="B1122" s="4"/>
      <c r="C1122" s="4"/>
      <c r="D1122" s="27"/>
      <c r="E1122" s="107"/>
      <c r="F1122" s="4"/>
      <c r="G1122" s="4"/>
      <c r="H1122" s="4"/>
      <c r="I1122" s="4"/>
      <c r="J1122" s="4"/>
      <c r="K1122" s="4"/>
      <c r="L1122" s="174"/>
      <c r="M1122" s="174"/>
      <c r="N1122" s="4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</row>
    <row r="1123" spans="1:28" x14ac:dyDescent="0.2">
      <c r="A1123" s="4"/>
      <c r="B1123" s="4"/>
      <c r="C1123" s="4"/>
      <c r="D1123" s="27"/>
      <c r="E1123" s="107"/>
      <c r="F1123" s="4"/>
      <c r="G1123" s="4"/>
      <c r="H1123" s="4"/>
      <c r="I1123" s="4"/>
      <c r="J1123" s="4"/>
      <c r="K1123" s="4"/>
      <c r="L1123" s="174"/>
      <c r="M1123" s="174"/>
      <c r="N1123" s="4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</row>
    <row r="1124" spans="1:28" x14ac:dyDescent="0.2">
      <c r="A1124" s="4"/>
      <c r="B1124" s="4"/>
      <c r="C1124" s="4"/>
      <c r="D1124" s="27"/>
      <c r="E1124" s="107"/>
      <c r="F1124" s="4"/>
      <c r="G1124" s="4"/>
      <c r="H1124" s="4"/>
      <c r="I1124" s="4"/>
      <c r="J1124" s="4"/>
      <c r="K1124" s="4"/>
      <c r="L1124" s="174"/>
      <c r="M1124" s="174"/>
      <c r="N1124" s="4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</row>
    <row r="1125" spans="1:28" x14ac:dyDescent="0.2">
      <c r="A1125" s="4"/>
      <c r="B1125" s="4"/>
      <c r="C1125" s="4"/>
      <c r="D1125" s="27"/>
      <c r="E1125" s="107"/>
      <c r="F1125" s="4"/>
      <c r="G1125" s="4"/>
      <c r="H1125" s="4"/>
      <c r="I1125" s="4"/>
      <c r="J1125" s="4"/>
      <c r="K1125" s="4"/>
      <c r="L1125" s="174"/>
      <c r="M1125" s="174"/>
      <c r="N1125" s="4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</row>
    <row r="1126" spans="1:28" x14ac:dyDescent="0.2">
      <c r="A1126" s="4"/>
      <c r="B1126" s="4"/>
      <c r="C1126" s="4"/>
      <c r="D1126" s="27"/>
      <c r="E1126" s="107"/>
      <c r="F1126" s="4"/>
      <c r="G1126" s="4"/>
      <c r="H1126" s="4"/>
      <c r="I1126" s="4"/>
      <c r="J1126" s="4"/>
      <c r="K1126" s="4"/>
      <c r="L1126" s="174"/>
      <c r="M1126" s="174"/>
      <c r="N1126" s="4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</row>
    <row r="1127" spans="1:28" x14ac:dyDescent="0.2">
      <c r="A1127" s="4"/>
      <c r="B1127" s="4"/>
      <c r="C1127" s="4"/>
      <c r="D1127" s="27"/>
      <c r="E1127" s="107"/>
      <c r="F1127" s="4"/>
      <c r="G1127" s="4"/>
      <c r="H1127" s="4"/>
      <c r="I1127" s="4"/>
      <c r="J1127" s="4"/>
      <c r="K1127" s="4"/>
      <c r="L1127" s="174"/>
      <c r="M1127" s="174"/>
      <c r="N1127" s="4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</row>
    <row r="1128" spans="1:28" x14ac:dyDescent="0.2">
      <c r="A1128" s="4"/>
      <c r="B1128" s="4"/>
      <c r="C1128" s="4"/>
      <c r="D1128" s="27"/>
      <c r="E1128" s="107"/>
      <c r="F1128" s="4"/>
      <c r="G1128" s="4"/>
      <c r="H1128" s="4"/>
      <c r="I1128" s="4"/>
      <c r="J1128" s="4"/>
      <c r="K1128" s="4"/>
      <c r="L1128" s="174"/>
      <c r="M1128" s="174"/>
      <c r="N1128" s="4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</row>
    <row r="1129" spans="1:28" x14ac:dyDescent="0.2">
      <c r="A1129" s="4"/>
      <c r="B1129" s="4"/>
      <c r="C1129" s="4"/>
      <c r="D1129" s="27"/>
      <c r="E1129" s="107"/>
      <c r="F1129" s="4"/>
      <c r="G1129" s="4"/>
      <c r="H1129" s="4"/>
      <c r="I1129" s="4"/>
      <c r="J1129" s="4"/>
      <c r="K1129" s="4"/>
      <c r="L1129" s="174"/>
      <c r="M1129" s="174"/>
      <c r="N1129" s="4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</row>
    <row r="1130" spans="1:28" x14ac:dyDescent="0.2">
      <c r="A1130" s="4"/>
      <c r="B1130" s="4"/>
      <c r="C1130" s="4"/>
      <c r="D1130" s="27"/>
      <c r="E1130" s="107"/>
      <c r="F1130" s="4"/>
      <c r="G1130" s="4"/>
      <c r="H1130" s="4"/>
      <c r="I1130" s="4"/>
      <c r="J1130" s="4"/>
      <c r="K1130" s="4"/>
      <c r="L1130" s="174"/>
      <c r="M1130" s="174"/>
      <c r="N1130" s="4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</row>
    <row r="1131" spans="1:28" x14ac:dyDescent="0.2">
      <c r="A1131" s="4"/>
      <c r="B1131" s="4"/>
      <c r="C1131" s="4"/>
      <c r="D1131" s="27"/>
      <c r="E1131" s="107"/>
      <c r="F1131" s="4"/>
      <c r="G1131" s="4"/>
      <c r="H1131" s="4"/>
      <c r="I1131" s="4"/>
      <c r="J1131" s="4"/>
      <c r="K1131" s="4"/>
      <c r="L1131" s="174"/>
      <c r="M1131" s="174"/>
      <c r="N1131" s="4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</row>
    <row r="1132" spans="1:28" x14ac:dyDescent="0.2">
      <c r="A1132" s="4"/>
      <c r="B1132" s="4"/>
      <c r="C1132" s="4"/>
      <c r="D1132" s="27"/>
      <c r="E1132" s="107"/>
      <c r="F1132" s="4"/>
      <c r="G1132" s="4"/>
      <c r="H1132" s="4"/>
      <c r="I1132" s="4"/>
      <c r="J1132" s="4"/>
      <c r="K1132" s="4"/>
      <c r="L1132" s="174"/>
      <c r="M1132" s="174"/>
      <c r="N1132" s="4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</row>
    <row r="1133" spans="1:28" x14ac:dyDescent="0.2">
      <c r="A1133" s="4"/>
      <c r="B1133" s="4"/>
      <c r="C1133" s="4"/>
      <c r="D1133" s="27"/>
      <c r="E1133" s="107"/>
      <c r="F1133" s="4"/>
      <c r="G1133" s="4"/>
      <c r="H1133" s="4"/>
      <c r="I1133" s="4"/>
      <c r="J1133" s="4"/>
      <c r="K1133" s="4"/>
      <c r="L1133" s="174"/>
      <c r="M1133" s="174"/>
      <c r="N1133" s="4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</row>
    <row r="1134" spans="1:28" x14ac:dyDescent="0.2">
      <c r="A1134" s="4"/>
      <c r="B1134" s="4"/>
      <c r="C1134" s="4"/>
      <c r="D1134" s="27"/>
      <c r="E1134" s="107"/>
      <c r="F1134" s="4"/>
      <c r="G1134" s="4"/>
      <c r="H1134" s="4"/>
      <c r="I1134" s="4"/>
      <c r="J1134" s="4"/>
      <c r="K1134" s="4"/>
      <c r="L1134" s="174"/>
      <c r="M1134" s="174"/>
      <c r="N1134" s="4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</row>
    <row r="1135" spans="1:28" x14ac:dyDescent="0.2">
      <c r="A1135" s="4"/>
      <c r="B1135" s="4"/>
      <c r="C1135" s="4"/>
      <c r="D1135" s="27"/>
      <c r="E1135" s="107"/>
      <c r="F1135" s="4"/>
      <c r="G1135" s="4"/>
      <c r="H1135" s="4"/>
      <c r="I1135" s="4"/>
      <c r="J1135" s="4"/>
      <c r="K1135" s="4"/>
      <c r="L1135" s="174"/>
      <c r="M1135" s="174"/>
      <c r="N1135" s="4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</row>
    <row r="1136" spans="1:28" x14ac:dyDescent="0.2">
      <c r="A1136" s="4"/>
      <c r="B1136" s="4"/>
      <c r="C1136" s="4"/>
      <c r="D1136" s="27"/>
      <c r="E1136" s="107"/>
      <c r="F1136" s="4"/>
      <c r="G1136" s="4"/>
      <c r="H1136" s="4"/>
      <c r="I1136" s="4"/>
      <c r="J1136" s="4"/>
      <c r="K1136" s="4"/>
      <c r="L1136" s="174"/>
      <c r="M1136" s="174"/>
      <c r="N1136" s="4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  <c r="AA1136" s="7"/>
      <c r="AB1136" s="7"/>
    </row>
    <row r="1137" spans="1:28" x14ac:dyDescent="0.2">
      <c r="A1137" s="4"/>
      <c r="B1137" s="4"/>
      <c r="C1137" s="4"/>
      <c r="D1137" s="27"/>
      <c r="E1137" s="107"/>
      <c r="F1137" s="4"/>
      <c r="G1137" s="4"/>
      <c r="H1137" s="4"/>
      <c r="I1137" s="4"/>
      <c r="J1137" s="4"/>
      <c r="K1137" s="4"/>
      <c r="L1137" s="174"/>
      <c r="M1137" s="174"/>
      <c r="N1137" s="4"/>
      <c r="O1137" s="7"/>
      <c r="P1137" s="7"/>
      <c r="Q1137" s="7"/>
      <c r="R1137" s="7"/>
      <c r="S1137" s="7"/>
      <c r="T1137" s="7"/>
      <c r="U1137" s="7"/>
      <c r="V1137" s="7"/>
      <c r="W1137" s="7"/>
      <c r="X1137" s="7"/>
      <c r="Y1137" s="7"/>
      <c r="Z1137" s="7"/>
      <c r="AA1137" s="7"/>
      <c r="AB1137" s="7"/>
    </row>
    <row r="1138" spans="1:28" x14ac:dyDescent="0.2">
      <c r="A1138" s="4"/>
      <c r="B1138" s="4"/>
      <c r="C1138" s="4"/>
      <c r="D1138" s="27"/>
      <c r="E1138" s="107"/>
      <c r="F1138" s="4"/>
      <c r="G1138" s="4"/>
      <c r="H1138" s="4"/>
      <c r="I1138" s="4"/>
      <c r="J1138" s="4"/>
      <c r="K1138" s="4"/>
      <c r="L1138" s="174"/>
      <c r="M1138" s="174"/>
      <c r="N1138" s="4"/>
      <c r="O1138" s="7"/>
      <c r="P1138" s="7"/>
      <c r="Q1138" s="7"/>
      <c r="R1138" s="7"/>
      <c r="S1138" s="7"/>
      <c r="T1138" s="7"/>
      <c r="U1138" s="7"/>
      <c r="V1138" s="7"/>
      <c r="W1138" s="7"/>
      <c r="X1138" s="7"/>
      <c r="Y1138" s="7"/>
      <c r="Z1138" s="7"/>
      <c r="AA1138" s="7"/>
      <c r="AB1138" s="7"/>
    </row>
    <row r="1139" spans="1:28" x14ac:dyDescent="0.2">
      <c r="A1139" s="4"/>
      <c r="B1139" s="4"/>
      <c r="C1139" s="4"/>
      <c r="D1139" s="27"/>
      <c r="E1139" s="107"/>
      <c r="F1139" s="4"/>
      <c r="G1139" s="4"/>
      <c r="H1139" s="4"/>
      <c r="I1139" s="4"/>
      <c r="J1139" s="4"/>
      <c r="K1139" s="4"/>
      <c r="L1139" s="174"/>
      <c r="M1139" s="174"/>
      <c r="N1139" s="4"/>
      <c r="O1139" s="7"/>
      <c r="P1139" s="7"/>
      <c r="Q1139" s="7"/>
      <c r="R1139" s="7"/>
      <c r="S1139" s="7"/>
      <c r="T1139" s="7"/>
      <c r="U1139" s="7"/>
      <c r="V1139" s="7"/>
      <c r="W1139" s="7"/>
      <c r="X1139" s="7"/>
      <c r="Y1139" s="7"/>
      <c r="Z1139" s="7"/>
      <c r="AA1139" s="7"/>
      <c r="AB1139" s="7"/>
    </row>
    <row r="1140" spans="1:28" x14ac:dyDescent="0.2">
      <c r="A1140" s="4"/>
      <c r="B1140" s="4"/>
      <c r="C1140" s="4"/>
      <c r="D1140" s="27"/>
      <c r="E1140" s="107"/>
      <c r="F1140" s="4"/>
      <c r="G1140" s="4"/>
      <c r="H1140" s="4"/>
      <c r="I1140" s="4"/>
      <c r="J1140" s="4"/>
      <c r="K1140" s="4"/>
      <c r="L1140" s="174"/>
      <c r="M1140" s="174"/>
      <c r="N1140" s="4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  <c r="AA1140" s="7"/>
      <c r="AB1140" s="7"/>
    </row>
    <row r="1141" spans="1:28" x14ac:dyDescent="0.2">
      <c r="A1141" s="4"/>
      <c r="B1141" s="4"/>
      <c r="C1141" s="4"/>
      <c r="D1141" s="27"/>
      <c r="E1141" s="107"/>
      <c r="F1141" s="4"/>
      <c r="G1141" s="4"/>
      <c r="H1141" s="4"/>
      <c r="I1141" s="4"/>
      <c r="J1141" s="4"/>
      <c r="K1141" s="4"/>
      <c r="L1141" s="174"/>
      <c r="M1141" s="174"/>
      <c r="N1141" s="4"/>
      <c r="O1141" s="7"/>
      <c r="P1141" s="7"/>
      <c r="Q1141" s="7"/>
      <c r="R1141" s="7"/>
      <c r="S1141" s="7"/>
      <c r="T1141" s="7"/>
      <c r="U1141" s="7"/>
      <c r="V1141" s="7"/>
      <c r="W1141" s="7"/>
      <c r="X1141" s="7"/>
      <c r="Y1141" s="7"/>
      <c r="Z1141" s="7"/>
      <c r="AA1141" s="7"/>
      <c r="AB1141" s="7"/>
    </row>
    <row r="1142" spans="1:28" x14ac:dyDescent="0.2">
      <c r="A1142" s="4"/>
      <c r="B1142" s="4"/>
      <c r="C1142" s="4"/>
      <c r="D1142" s="27"/>
      <c r="E1142" s="107"/>
      <c r="F1142" s="4"/>
      <c r="G1142" s="4"/>
      <c r="H1142" s="4"/>
      <c r="I1142" s="4"/>
      <c r="J1142" s="4"/>
      <c r="K1142" s="4"/>
      <c r="L1142" s="174"/>
      <c r="M1142" s="174"/>
      <c r="N1142" s="4"/>
      <c r="O1142" s="7"/>
      <c r="P1142" s="7"/>
      <c r="Q1142" s="7"/>
      <c r="R1142" s="7"/>
      <c r="S1142" s="7"/>
      <c r="T1142" s="7"/>
      <c r="U1142" s="7"/>
      <c r="V1142" s="7"/>
      <c r="W1142" s="7"/>
      <c r="X1142" s="7"/>
      <c r="Y1142" s="7"/>
      <c r="Z1142" s="7"/>
      <c r="AA1142" s="7"/>
      <c r="AB1142" s="7"/>
    </row>
    <row r="1143" spans="1:28" x14ac:dyDescent="0.2">
      <c r="A1143" s="4"/>
      <c r="B1143" s="4"/>
      <c r="C1143" s="4"/>
      <c r="D1143" s="27"/>
      <c r="E1143" s="107"/>
      <c r="F1143" s="4"/>
      <c r="G1143" s="4"/>
      <c r="H1143" s="4"/>
      <c r="I1143" s="4"/>
      <c r="J1143" s="4"/>
      <c r="K1143" s="4"/>
      <c r="L1143" s="174"/>
      <c r="M1143" s="174"/>
      <c r="N1143" s="4"/>
      <c r="O1143" s="7"/>
      <c r="P1143" s="7"/>
      <c r="Q1143" s="7"/>
      <c r="R1143" s="7"/>
      <c r="S1143" s="7"/>
      <c r="T1143" s="7"/>
      <c r="U1143" s="7"/>
      <c r="V1143" s="7"/>
      <c r="W1143" s="7"/>
      <c r="X1143" s="7"/>
      <c r="Y1143" s="7"/>
      <c r="Z1143" s="7"/>
      <c r="AA1143" s="7"/>
      <c r="AB1143" s="7"/>
    </row>
    <row r="1144" spans="1:28" x14ac:dyDescent="0.2">
      <c r="A1144" s="4"/>
      <c r="B1144" s="4"/>
      <c r="C1144" s="4"/>
      <c r="D1144" s="27"/>
      <c r="E1144" s="107"/>
      <c r="F1144" s="4"/>
      <c r="G1144" s="4"/>
      <c r="H1144" s="4"/>
      <c r="I1144" s="4"/>
      <c r="J1144" s="4"/>
      <c r="K1144" s="4"/>
      <c r="L1144" s="174"/>
      <c r="M1144" s="174"/>
      <c r="N1144" s="4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  <c r="AA1144" s="7"/>
      <c r="AB1144" s="7"/>
    </row>
    <row r="1145" spans="1:28" x14ac:dyDescent="0.2">
      <c r="A1145" s="4"/>
      <c r="B1145" s="4"/>
      <c r="C1145" s="4"/>
      <c r="D1145" s="27"/>
      <c r="E1145" s="107"/>
      <c r="F1145" s="4"/>
      <c r="G1145" s="4"/>
      <c r="H1145" s="4"/>
      <c r="I1145" s="4"/>
      <c r="J1145" s="4"/>
      <c r="K1145" s="4"/>
      <c r="L1145" s="174"/>
      <c r="M1145" s="174"/>
      <c r="N1145" s="4"/>
      <c r="O1145" s="7"/>
      <c r="P1145" s="7"/>
      <c r="Q1145" s="7"/>
      <c r="R1145" s="7"/>
      <c r="S1145" s="7"/>
      <c r="T1145" s="7"/>
      <c r="U1145" s="7"/>
      <c r="V1145" s="7"/>
      <c r="W1145" s="7"/>
      <c r="X1145" s="7"/>
      <c r="Y1145" s="7"/>
      <c r="Z1145" s="7"/>
      <c r="AA1145" s="7"/>
      <c r="AB1145" s="7"/>
    </row>
    <row r="1146" spans="1:28" x14ac:dyDescent="0.2">
      <c r="A1146" s="4"/>
      <c r="B1146" s="4"/>
      <c r="C1146" s="4"/>
      <c r="D1146" s="27"/>
      <c r="E1146" s="107"/>
      <c r="F1146" s="4"/>
      <c r="G1146" s="4"/>
      <c r="H1146" s="4"/>
      <c r="I1146" s="4"/>
      <c r="J1146" s="4"/>
      <c r="K1146" s="4"/>
      <c r="L1146" s="174"/>
      <c r="M1146" s="174"/>
      <c r="N1146" s="4"/>
      <c r="O1146" s="7"/>
      <c r="P1146" s="7"/>
      <c r="Q1146" s="7"/>
      <c r="R1146" s="7"/>
      <c r="S1146" s="7"/>
      <c r="T1146" s="7"/>
      <c r="U1146" s="7"/>
      <c r="V1146" s="7"/>
      <c r="W1146" s="7"/>
      <c r="X1146" s="7"/>
      <c r="Y1146" s="7"/>
      <c r="Z1146" s="7"/>
      <c r="AA1146" s="7"/>
      <c r="AB1146" s="7"/>
    </row>
    <row r="1147" spans="1:28" x14ac:dyDescent="0.2">
      <c r="A1147" s="4"/>
      <c r="B1147" s="4"/>
      <c r="C1147" s="4"/>
      <c r="D1147" s="27"/>
      <c r="E1147" s="107"/>
      <c r="F1147" s="4"/>
      <c r="G1147" s="4"/>
      <c r="H1147" s="4"/>
      <c r="I1147" s="4"/>
      <c r="J1147" s="4"/>
      <c r="K1147" s="4"/>
      <c r="L1147" s="174"/>
      <c r="M1147" s="174"/>
      <c r="N1147" s="4"/>
      <c r="O1147" s="7"/>
      <c r="P1147" s="7"/>
      <c r="Q1147" s="7"/>
      <c r="R1147" s="7"/>
      <c r="S1147" s="7"/>
      <c r="T1147" s="7"/>
      <c r="U1147" s="7"/>
      <c r="V1147" s="7"/>
      <c r="W1147" s="7"/>
      <c r="X1147" s="7"/>
      <c r="Y1147" s="7"/>
      <c r="Z1147" s="7"/>
      <c r="AA1147" s="7"/>
      <c r="AB1147" s="7"/>
    </row>
    <row r="1148" spans="1:28" x14ac:dyDescent="0.2">
      <c r="A1148" s="4"/>
      <c r="B1148" s="4"/>
      <c r="C1148" s="4"/>
      <c r="D1148" s="27"/>
      <c r="E1148" s="107"/>
      <c r="F1148" s="4"/>
      <c r="G1148" s="4"/>
      <c r="H1148" s="4"/>
      <c r="I1148" s="4"/>
      <c r="J1148" s="4"/>
      <c r="K1148" s="4"/>
      <c r="L1148" s="174"/>
      <c r="M1148" s="174"/>
      <c r="N1148" s="4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  <c r="AA1148" s="7"/>
      <c r="AB1148" s="7"/>
    </row>
    <row r="1149" spans="1:28" x14ac:dyDescent="0.2">
      <c r="A1149" s="4"/>
      <c r="B1149" s="4"/>
      <c r="C1149" s="4"/>
      <c r="D1149" s="27"/>
      <c r="E1149" s="107"/>
      <c r="F1149" s="4"/>
      <c r="G1149" s="4"/>
      <c r="H1149" s="4"/>
      <c r="I1149" s="4"/>
      <c r="J1149" s="4"/>
      <c r="K1149" s="4"/>
      <c r="L1149" s="174"/>
      <c r="M1149" s="174"/>
      <c r="N1149" s="4"/>
      <c r="O1149" s="7"/>
      <c r="P1149" s="7"/>
      <c r="Q1149" s="7"/>
      <c r="R1149" s="7"/>
      <c r="S1149" s="7"/>
      <c r="T1149" s="7"/>
      <c r="U1149" s="7"/>
      <c r="V1149" s="7"/>
      <c r="W1149" s="7"/>
      <c r="X1149" s="7"/>
      <c r="Y1149" s="7"/>
      <c r="Z1149" s="7"/>
      <c r="AA1149" s="7"/>
      <c r="AB1149" s="7"/>
    </row>
    <row r="1150" spans="1:28" x14ac:dyDescent="0.2">
      <c r="A1150" s="4"/>
      <c r="B1150" s="4"/>
      <c r="C1150" s="4"/>
      <c r="D1150" s="27"/>
      <c r="E1150" s="107"/>
      <c r="F1150" s="4"/>
      <c r="G1150" s="4"/>
      <c r="H1150" s="4"/>
      <c r="I1150" s="4"/>
      <c r="J1150" s="4"/>
      <c r="K1150" s="4"/>
      <c r="L1150" s="174"/>
      <c r="M1150" s="174"/>
      <c r="N1150" s="4"/>
      <c r="O1150" s="7"/>
      <c r="P1150" s="7"/>
      <c r="Q1150" s="7"/>
      <c r="R1150" s="7"/>
      <c r="S1150" s="7"/>
      <c r="T1150" s="7"/>
      <c r="U1150" s="7"/>
      <c r="V1150" s="7"/>
      <c r="W1150" s="7"/>
      <c r="X1150" s="7"/>
      <c r="Y1150" s="7"/>
      <c r="Z1150" s="7"/>
      <c r="AA1150" s="7"/>
      <c r="AB1150" s="7"/>
    </row>
    <row r="1151" spans="1:28" x14ac:dyDescent="0.2">
      <c r="A1151" s="4"/>
      <c r="B1151" s="4"/>
      <c r="C1151" s="4"/>
      <c r="D1151" s="27"/>
      <c r="E1151" s="107"/>
      <c r="F1151" s="4"/>
      <c r="G1151" s="4"/>
      <c r="H1151" s="4"/>
      <c r="I1151" s="4"/>
      <c r="J1151" s="4"/>
      <c r="K1151" s="4"/>
      <c r="L1151" s="174"/>
      <c r="M1151" s="174"/>
      <c r="N1151" s="4"/>
      <c r="O1151" s="7"/>
      <c r="P1151" s="7"/>
      <c r="Q1151" s="7"/>
      <c r="R1151" s="7"/>
      <c r="S1151" s="7"/>
      <c r="T1151" s="7"/>
      <c r="U1151" s="7"/>
      <c r="V1151" s="7"/>
      <c r="W1151" s="7"/>
      <c r="X1151" s="7"/>
      <c r="Y1151" s="7"/>
      <c r="Z1151" s="7"/>
      <c r="AA1151" s="7"/>
      <c r="AB1151" s="7"/>
    </row>
    <row r="1152" spans="1:28" x14ac:dyDescent="0.2">
      <c r="A1152" s="4"/>
      <c r="B1152" s="4"/>
      <c r="C1152" s="4"/>
      <c r="D1152" s="27"/>
      <c r="E1152" s="107"/>
      <c r="F1152" s="4"/>
      <c r="G1152" s="4"/>
      <c r="H1152" s="4"/>
      <c r="I1152" s="4"/>
      <c r="J1152" s="4"/>
      <c r="K1152" s="4"/>
      <c r="L1152" s="174"/>
      <c r="M1152" s="174"/>
      <c r="N1152" s="4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  <c r="AA1152" s="7"/>
      <c r="AB1152" s="7"/>
    </row>
    <row r="1153" spans="1:28" x14ac:dyDescent="0.2">
      <c r="A1153" s="4"/>
      <c r="B1153" s="4"/>
      <c r="C1153" s="4"/>
      <c r="D1153" s="27"/>
      <c r="E1153" s="107"/>
      <c r="F1153" s="4"/>
      <c r="G1153" s="4"/>
      <c r="H1153" s="4"/>
      <c r="I1153" s="4"/>
      <c r="J1153" s="4"/>
      <c r="K1153" s="4"/>
      <c r="L1153" s="174"/>
      <c r="M1153" s="174"/>
      <c r="N1153" s="4"/>
      <c r="O1153" s="7"/>
      <c r="P1153" s="7"/>
      <c r="Q1153" s="7"/>
      <c r="R1153" s="7"/>
      <c r="S1153" s="7"/>
      <c r="T1153" s="7"/>
      <c r="U1153" s="7"/>
      <c r="V1153" s="7"/>
      <c r="W1153" s="7"/>
      <c r="X1153" s="7"/>
      <c r="Y1153" s="7"/>
      <c r="Z1153" s="7"/>
      <c r="AA1153" s="7"/>
      <c r="AB1153" s="7"/>
    </row>
    <row r="1154" spans="1:28" x14ac:dyDescent="0.2">
      <c r="A1154" s="4"/>
      <c r="B1154" s="4"/>
      <c r="C1154" s="4"/>
      <c r="D1154" s="27"/>
      <c r="E1154" s="107"/>
      <c r="F1154" s="4"/>
      <c r="G1154" s="4"/>
      <c r="H1154" s="4"/>
      <c r="I1154" s="4"/>
      <c r="J1154" s="4"/>
      <c r="K1154" s="4"/>
      <c r="L1154" s="174"/>
      <c r="M1154" s="174"/>
      <c r="N1154" s="4"/>
      <c r="O1154" s="7"/>
      <c r="P1154" s="7"/>
      <c r="Q1154" s="7"/>
      <c r="R1154" s="7"/>
      <c r="S1154" s="7"/>
      <c r="T1154" s="7"/>
      <c r="U1154" s="7"/>
      <c r="V1154" s="7"/>
      <c r="W1154" s="7"/>
      <c r="X1154" s="7"/>
      <c r="Y1154" s="7"/>
      <c r="Z1154" s="7"/>
      <c r="AA1154" s="7"/>
      <c r="AB1154" s="7"/>
    </row>
    <row r="1155" spans="1:28" x14ac:dyDescent="0.2">
      <c r="A1155" s="4"/>
      <c r="B1155" s="4"/>
      <c r="C1155" s="4"/>
      <c r="D1155" s="27"/>
      <c r="E1155" s="107"/>
      <c r="F1155" s="4"/>
      <c r="G1155" s="4"/>
      <c r="H1155" s="4"/>
      <c r="I1155" s="4"/>
      <c r="J1155" s="4"/>
      <c r="K1155" s="4"/>
      <c r="L1155" s="174"/>
      <c r="M1155" s="174"/>
      <c r="N1155" s="4"/>
      <c r="O1155" s="7"/>
      <c r="P1155" s="7"/>
      <c r="Q1155" s="7"/>
      <c r="R1155" s="7"/>
      <c r="S1155" s="7"/>
      <c r="T1155" s="7"/>
      <c r="U1155" s="7"/>
      <c r="V1155" s="7"/>
      <c r="W1155" s="7"/>
      <c r="X1155" s="7"/>
      <c r="Y1155" s="7"/>
      <c r="Z1155" s="7"/>
      <c r="AA1155" s="7"/>
      <c r="AB1155" s="7"/>
    </row>
    <row r="1156" spans="1:28" x14ac:dyDescent="0.2">
      <c r="A1156" s="4"/>
      <c r="B1156" s="4"/>
      <c r="C1156" s="4"/>
      <c r="D1156" s="27"/>
      <c r="E1156" s="107"/>
      <c r="F1156" s="4"/>
      <c r="G1156" s="4"/>
      <c r="H1156" s="4"/>
      <c r="I1156" s="4"/>
      <c r="J1156" s="4"/>
      <c r="K1156" s="4"/>
      <c r="L1156" s="174"/>
      <c r="M1156" s="174"/>
      <c r="N1156" s="4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  <c r="AA1156" s="7"/>
      <c r="AB1156" s="7"/>
    </row>
    <row r="1157" spans="1:28" x14ac:dyDescent="0.2">
      <c r="A1157" s="4"/>
      <c r="B1157" s="4"/>
      <c r="C1157" s="4"/>
      <c r="D1157" s="27"/>
      <c r="E1157" s="107"/>
      <c r="F1157" s="4"/>
      <c r="G1157" s="4"/>
      <c r="H1157" s="4"/>
      <c r="I1157" s="4"/>
      <c r="J1157" s="4"/>
      <c r="K1157" s="4"/>
      <c r="L1157" s="174"/>
      <c r="M1157" s="174"/>
      <c r="N1157" s="4"/>
      <c r="O1157" s="7"/>
      <c r="P1157" s="7"/>
      <c r="Q1157" s="7"/>
      <c r="R1157" s="7"/>
      <c r="S1157" s="7"/>
      <c r="T1157" s="7"/>
      <c r="U1157" s="7"/>
      <c r="V1157" s="7"/>
      <c r="W1157" s="7"/>
      <c r="X1157" s="7"/>
      <c r="Y1157" s="7"/>
      <c r="Z1157" s="7"/>
      <c r="AA1157" s="7"/>
      <c r="AB1157" s="7"/>
    </row>
    <row r="1158" spans="1:28" x14ac:dyDescent="0.2">
      <c r="A1158" s="4"/>
      <c r="B1158" s="4"/>
      <c r="C1158" s="4"/>
      <c r="D1158" s="27"/>
      <c r="E1158" s="107"/>
      <c r="F1158" s="4"/>
      <c r="G1158" s="4"/>
      <c r="H1158" s="4"/>
      <c r="I1158" s="4"/>
      <c r="J1158" s="4"/>
      <c r="K1158" s="4"/>
      <c r="L1158" s="174"/>
      <c r="M1158" s="174"/>
      <c r="N1158" s="4"/>
      <c r="O1158" s="7"/>
      <c r="P1158" s="7"/>
      <c r="Q1158" s="7"/>
      <c r="R1158" s="7"/>
      <c r="S1158" s="7"/>
      <c r="T1158" s="7"/>
      <c r="U1158" s="7"/>
      <c r="V1158" s="7"/>
      <c r="W1158" s="7"/>
      <c r="X1158" s="7"/>
      <c r="Y1158" s="7"/>
      <c r="Z1158" s="7"/>
      <c r="AA1158" s="7"/>
      <c r="AB1158" s="7"/>
    </row>
    <row r="1159" spans="1:28" x14ac:dyDescent="0.2">
      <c r="A1159" s="4"/>
      <c r="B1159" s="4"/>
      <c r="C1159" s="4"/>
      <c r="D1159" s="27"/>
      <c r="E1159" s="107"/>
      <c r="F1159" s="4"/>
      <c r="G1159" s="4"/>
      <c r="H1159" s="4"/>
      <c r="I1159" s="4"/>
      <c r="J1159" s="4"/>
      <c r="K1159" s="4"/>
      <c r="L1159" s="174"/>
      <c r="M1159" s="174"/>
      <c r="N1159" s="4"/>
      <c r="O1159" s="7"/>
      <c r="P1159" s="7"/>
      <c r="Q1159" s="7"/>
      <c r="R1159" s="7"/>
      <c r="S1159" s="7"/>
      <c r="T1159" s="7"/>
      <c r="U1159" s="7"/>
      <c r="V1159" s="7"/>
      <c r="W1159" s="7"/>
      <c r="X1159" s="7"/>
      <c r="Y1159" s="7"/>
      <c r="Z1159" s="7"/>
      <c r="AA1159" s="7"/>
      <c r="AB1159" s="7"/>
    </row>
    <row r="1160" spans="1:28" x14ac:dyDescent="0.2">
      <c r="A1160" s="4"/>
      <c r="B1160" s="4"/>
      <c r="C1160" s="4"/>
      <c r="D1160" s="27"/>
      <c r="E1160" s="107"/>
      <c r="F1160" s="4"/>
      <c r="G1160" s="4"/>
      <c r="H1160" s="4"/>
      <c r="I1160" s="4"/>
      <c r="J1160" s="4"/>
      <c r="K1160" s="4"/>
      <c r="L1160" s="174"/>
      <c r="M1160" s="174"/>
      <c r="N1160" s="4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  <c r="AA1160" s="7"/>
      <c r="AB1160" s="7"/>
    </row>
    <row r="1161" spans="1:28" x14ac:dyDescent="0.2">
      <c r="A1161" s="4"/>
      <c r="B1161" s="4"/>
      <c r="C1161" s="4"/>
      <c r="D1161" s="27"/>
      <c r="E1161" s="107"/>
      <c r="F1161" s="4"/>
      <c r="G1161" s="4"/>
      <c r="H1161" s="4"/>
      <c r="I1161" s="4"/>
      <c r="J1161" s="4"/>
      <c r="K1161" s="4"/>
      <c r="L1161" s="174"/>
      <c r="M1161" s="174"/>
      <c r="N1161" s="4"/>
      <c r="O1161" s="7"/>
      <c r="P1161" s="7"/>
      <c r="Q1161" s="7"/>
      <c r="R1161" s="7"/>
      <c r="S1161" s="7"/>
      <c r="T1161" s="7"/>
      <c r="U1161" s="7"/>
      <c r="V1161" s="7"/>
      <c r="W1161" s="7"/>
      <c r="X1161" s="7"/>
      <c r="Y1161" s="7"/>
      <c r="Z1161" s="7"/>
      <c r="AA1161" s="7"/>
      <c r="AB1161" s="7"/>
    </row>
    <row r="1162" spans="1:28" x14ac:dyDescent="0.2">
      <c r="A1162" s="4"/>
      <c r="B1162" s="4"/>
      <c r="C1162" s="4"/>
      <c r="D1162" s="27"/>
      <c r="E1162" s="107"/>
      <c r="F1162" s="4"/>
      <c r="G1162" s="4"/>
      <c r="H1162" s="4"/>
      <c r="I1162" s="4"/>
      <c r="J1162" s="4"/>
      <c r="K1162" s="4"/>
      <c r="L1162" s="174"/>
      <c r="M1162" s="174"/>
      <c r="N1162" s="4"/>
      <c r="O1162" s="7"/>
      <c r="P1162" s="7"/>
      <c r="Q1162" s="7"/>
      <c r="R1162" s="7"/>
      <c r="S1162" s="7"/>
      <c r="T1162" s="7"/>
      <c r="U1162" s="7"/>
      <c r="V1162" s="7"/>
      <c r="W1162" s="7"/>
      <c r="X1162" s="7"/>
      <c r="Y1162" s="7"/>
      <c r="Z1162" s="7"/>
      <c r="AA1162" s="7"/>
      <c r="AB1162" s="7"/>
    </row>
    <row r="1163" spans="1:28" x14ac:dyDescent="0.2">
      <c r="A1163" s="4"/>
      <c r="B1163" s="4"/>
      <c r="C1163" s="4"/>
      <c r="D1163" s="27"/>
      <c r="E1163" s="107"/>
      <c r="F1163" s="4"/>
      <c r="G1163" s="4"/>
      <c r="H1163" s="4"/>
      <c r="I1163" s="4"/>
      <c r="J1163" s="4"/>
      <c r="K1163" s="4"/>
      <c r="L1163" s="174"/>
      <c r="M1163" s="174"/>
      <c r="N1163" s="4"/>
      <c r="O1163" s="7"/>
      <c r="P1163" s="7"/>
      <c r="Q1163" s="7"/>
      <c r="R1163" s="7"/>
      <c r="S1163" s="7"/>
      <c r="T1163" s="7"/>
      <c r="U1163" s="7"/>
      <c r="V1163" s="7"/>
      <c r="W1163" s="7"/>
      <c r="X1163" s="7"/>
      <c r="Y1163" s="7"/>
      <c r="Z1163" s="7"/>
      <c r="AA1163" s="7"/>
      <c r="AB1163" s="7"/>
    </row>
    <row r="1164" spans="1:28" x14ac:dyDescent="0.2">
      <c r="A1164" s="4"/>
      <c r="B1164" s="4"/>
      <c r="C1164" s="4"/>
      <c r="D1164" s="27"/>
      <c r="E1164" s="107"/>
      <c r="F1164" s="4"/>
      <c r="G1164" s="4"/>
      <c r="H1164" s="4"/>
      <c r="I1164" s="4"/>
      <c r="J1164" s="4"/>
      <c r="K1164" s="4"/>
      <c r="L1164" s="174"/>
      <c r="M1164" s="174"/>
      <c r="N1164" s="4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  <c r="AA1164" s="7"/>
      <c r="AB1164" s="7"/>
    </row>
    <row r="1165" spans="1:28" x14ac:dyDescent="0.2">
      <c r="A1165" s="4"/>
      <c r="B1165" s="4"/>
      <c r="C1165" s="4"/>
      <c r="D1165" s="27"/>
      <c r="E1165" s="107"/>
      <c r="F1165" s="4"/>
      <c r="G1165" s="4"/>
      <c r="H1165" s="4"/>
      <c r="I1165" s="4"/>
      <c r="J1165" s="4"/>
      <c r="K1165" s="4"/>
      <c r="L1165" s="174"/>
      <c r="M1165" s="174"/>
      <c r="N1165" s="4"/>
      <c r="O1165" s="7"/>
      <c r="P1165" s="7"/>
      <c r="Q1165" s="7"/>
      <c r="R1165" s="7"/>
      <c r="S1165" s="7"/>
      <c r="T1165" s="7"/>
      <c r="U1165" s="7"/>
      <c r="V1165" s="7"/>
      <c r="W1165" s="7"/>
      <c r="X1165" s="7"/>
      <c r="Y1165" s="7"/>
      <c r="Z1165" s="7"/>
      <c r="AA1165" s="7"/>
      <c r="AB1165" s="7"/>
    </row>
    <row r="1166" spans="1:28" x14ac:dyDescent="0.2">
      <c r="A1166" s="4"/>
      <c r="B1166" s="4"/>
      <c r="C1166" s="4"/>
      <c r="D1166" s="27"/>
      <c r="E1166" s="107"/>
      <c r="F1166" s="4"/>
      <c r="G1166" s="4"/>
      <c r="H1166" s="4"/>
      <c r="I1166" s="4"/>
      <c r="J1166" s="4"/>
      <c r="K1166" s="4"/>
      <c r="L1166" s="174"/>
      <c r="M1166" s="174"/>
      <c r="N1166" s="4"/>
      <c r="O1166" s="7"/>
      <c r="P1166" s="7"/>
      <c r="Q1166" s="7"/>
      <c r="R1166" s="7"/>
      <c r="S1166" s="7"/>
      <c r="T1166" s="7"/>
      <c r="U1166" s="7"/>
      <c r="V1166" s="7"/>
      <c r="W1166" s="7"/>
      <c r="X1166" s="7"/>
      <c r="Y1166" s="7"/>
      <c r="Z1166" s="7"/>
      <c r="AA1166" s="7"/>
      <c r="AB1166" s="7"/>
    </row>
    <row r="1167" spans="1:28" x14ac:dyDescent="0.2">
      <c r="A1167" s="4"/>
      <c r="B1167" s="4"/>
      <c r="C1167" s="4"/>
      <c r="D1167" s="27"/>
      <c r="E1167" s="107"/>
      <c r="F1167" s="4"/>
      <c r="G1167" s="4"/>
      <c r="H1167" s="4"/>
      <c r="I1167" s="4"/>
      <c r="J1167" s="4"/>
      <c r="K1167" s="4"/>
      <c r="L1167" s="174"/>
      <c r="M1167" s="174"/>
      <c r="N1167" s="4"/>
      <c r="O1167" s="7"/>
      <c r="P1167" s="7"/>
      <c r="Q1167" s="7"/>
      <c r="R1167" s="7"/>
      <c r="S1167" s="7"/>
      <c r="T1167" s="7"/>
      <c r="U1167" s="7"/>
      <c r="V1167" s="7"/>
      <c r="W1167" s="7"/>
      <c r="X1167" s="7"/>
      <c r="Y1167" s="7"/>
      <c r="Z1167" s="7"/>
      <c r="AA1167" s="7"/>
      <c r="AB1167" s="7"/>
    </row>
    <row r="1168" spans="1:28" x14ac:dyDescent="0.2">
      <c r="A1168" s="4"/>
      <c r="B1168" s="4"/>
      <c r="C1168" s="4"/>
      <c r="D1168" s="27"/>
      <c r="E1168" s="107"/>
      <c r="F1168" s="4"/>
      <c r="G1168" s="4"/>
      <c r="H1168" s="4"/>
      <c r="I1168" s="4"/>
      <c r="J1168" s="4"/>
      <c r="K1168" s="4"/>
      <c r="L1168" s="174"/>
      <c r="M1168" s="174"/>
      <c r="N1168" s="4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  <c r="AA1168" s="7"/>
      <c r="AB1168" s="7"/>
    </row>
    <row r="1169" spans="1:28" x14ac:dyDescent="0.2">
      <c r="A1169" s="4"/>
      <c r="B1169" s="4"/>
      <c r="C1169" s="4"/>
      <c r="D1169" s="27"/>
      <c r="E1169" s="107"/>
      <c r="F1169" s="4"/>
      <c r="G1169" s="4"/>
      <c r="H1169" s="4"/>
      <c r="I1169" s="4"/>
      <c r="J1169" s="4"/>
      <c r="K1169" s="4"/>
      <c r="L1169" s="174"/>
      <c r="M1169" s="174"/>
      <c r="N1169" s="4"/>
      <c r="O1169" s="7"/>
      <c r="P1169" s="7"/>
      <c r="Q1169" s="7"/>
      <c r="R1169" s="7"/>
      <c r="S1169" s="7"/>
      <c r="T1169" s="7"/>
      <c r="U1169" s="7"/>
      <c r="V1169" s="7"/>
      <c r="W1169" s="7"/>
      <c r="X1169" s="7"/>
      <c r="Y1169" s="7"/>
      <c r="Z1169" s="7"/>
      <c r="AA1169" s="7"/>
      <c r="AB1169" s="7"/>
    </row>
    <row r="1170" spans="1:28" x14ac:dyDescent="0.2">
      <c r="A1170" s="4"/>
      <c r="B1170" s="4"/>
      <c r="C1170" s="4"/>
      <c r="D1170" s="27"/>
      <c r="E1170" s="107"/>
      <c r="F1170" s="4"/>
      <c r="G1170" s="4"/>
      <c r="H1170" s="4"/>
      <c r="I1170" s="4"/>
      <c r="J1170" s="4"/>
      <c r="K1170" s="4"/>
      <c r="L1170" s="174"/>
      <c r="M1170" s="174"/>
      <c r="N1170" s="4"/>
      <c r="O1170" s="7"/>
      <c r="P1170" s="7"/>
      <c r="Q1170" s="7"/>
      <c r="R1170" s="7"/>
      <c r="S1170" s="7"/>
      <c r="T1170" s="7"/>
      <c r="U1170" s="7"/>
      <c r="V1170" s="7"/>
      <c r="W1170" s="7"/>
      <c r="X1170" s="7"/>
      <c r="Y1170" s="7"/>
      <c r="Z1170" s="7"/>
      <c r="AA1170" s="7"/>
      <c r="AB1170" s="7"/>
    </row>
    <row r="1171" spans="1:28" x14ac:dyDescent="0.2">
      <c r="A1171" s="4"/>
      <c r="B1171" s="4"/>
      <c r="C1171" s="4"/>
      <c r="D1171" s="27"/>
      <c r="E1171" s="107"/>
      <c r="F1171" s="4"/>
      <c r="G1171" s="4"/>
      <c r="H1171" s="4"/>
      <c r="I1171" s="4"/>
      <c r="J1171" s="4"/>
      <c r="K1171" s="4"/>
      <c r="L1171" s="174"/>
      <c r="M1171" s="174"/>
      <c r="N1171" s="4"/>
      <c r="O1171" s="7"/>
      <c r="P1171" s="7"/>
      <c r="Q1171" s="7"/>
      <c r="R1171" s="7"/>
      <c r="S1171" s="7"/>
      <c r="T1171" s="7"/>
      <c r="U1171" s="7"/>
      <c r="V1171" s="7"/>
      <c r="W1171" s="7"/>
      <c r="X1171" s="7"/>
      <c r="Y1171" s="7"/>
      <c r="Z1171" s="7"/>
      <c r="AA1171" s="7"/>
      <c r="AB1171" s="7"/>
    </row>
    <row r="1172" spans="1:28" x14ac:dyDescent="0.2">
      <c r="A1172" s="4"/>
      <c r="B1172" s="4"/>
      <c r="C1172" s="4"/>
      <c r="D1172" s="27"/>
      <c r="E1172" s="107"/>
      <c r="F1172" s="4"/>
      <c r="G1172" s="4"/>
      <c r="H1172" s="4"/>
      <c r="I1172" s="4"/>
      <c r="J1172" s="4"/>
      <c r="K1172" s="4"/>
      <c r="L1172" s="174"/>
      <c r="M1172" s="174"/>
      <c r="N1172" s="4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  <c r="AA1172" s="7"/>
      <c r="AB1172" s="7"/>
    </row>
    <row r="1173" spans="1:28" x14ac:dyDescent="0.2">
      <c r="A1173" s="4"/>
      <c r="B1173" s="4"/>
      <c r="C1173" s="4"/>
      <c r="D1173" s="27"/>
      <c r="E1173" s="107"/>
      <c r="F1173" s="4"/>
      <c r="G1173" s="4"/>
      <c r="H1173" s="4"/>
      <c r="I1173" s="4"/>
      <c r="J1173" s="4"/>
      <c r="K1173" s="4"/>
      <c r="L1173" s="174"/>
      <c r="M1173" s="174"/>
      <c r="N1173" s="4"/>
      <c r="O1173" s="7"/>
      <c r="P1173" s="7"/>
      <c r="Q1173" s="7"/>
      <c r="R1173" s="7"/>
      <c r="S1173" s="7"/>
      <c r="T1173" s="7"/>
      <c r="U1173" s="7"/>
      <c r="V1173" s="7"/>
      <c r="W1173" s="7"/>
      <c r="X1173" s="7"/>
      <c r="Y1173" s="7"/>
      <c r="Z1173" s="7"/>
      <c r="AA1173" s="7"/>
      <c r="AB1173" s="7"/>
    </row>
    <row r="1174" spans="1:28" x14ac:dyDescent="0.2">
      <c r="A1174" s="4"/>
      <c r="B1174" s="4"/>
      <c r="C1174" s="4"/>
      <c r="D1174" s="27"/>
      <c r="E1174" s="107"/>
      <c r="F1174" s="4"/>
      <c r="G1174" s="4"/>
      <c r="H1174" s="4"/>
      <c r="I1174" s="4"/>
      <c r="J1174" s="4"/>
      <c r="K1174" s="4"/>
      <c r="L1174" s="174"/>
      <c r="M1174" s="174"/>
      <c r="N1174" s="4"/>
      <c r="O1174" s="7"/>
      <c r="P1174" s="7"/>
      <c r="Q1174" s="7"/>
      <c r="R1174" s="7"/>
      <c r="S1174" s="7"/>
      <c r="T1174" s="7"/>
      <c r="U1174" s="7"/>
      <c r="V1174" s="7"/>
      <c r="W1174" s="7"/>
      <c r="X1174" s="7"/>
      <c r="Y1174" s="7"/>
      <c r="Z1174" s="7"/>
      <c r="AA1174" s="7"/>
      <c r="AB1174" s="7"/>
    </row>
    <row r="1175" spans="1:28" x14ac:dyDescent="0.2">
      <c r="A1175" s="4"/>
      <c r="B1175" s="4"/>
      <c r="C1175" s="4"/>
      <c r="D1175" s="27"/>
      <c r="E1175" s="107"/>
      <c r="F1175" s="4"/>
      <c r="G1175" s="4"/>
      <c r="H1175" s="4"/>
      <c r="I1175" s="4"/>
      <c r="J1175" s="4"/>
      <c r="K1175" s="4"/>
      <c r="L1175" s="174"/>
      <c r="M1175" s="174"/>
      <c r="N1175" s="4"/>
      <c r="O1175" s="7"/>
      <c r="P1175" s="7"/>
      <c r="Q1175" s="7"/>
      <c r="R1175" s="7"/>
      <c r="S1175" s="7"/>
      <c r="T1175" s="7"/>
      <c r="U1175" s="7"/>
      <c r="V1175" s="7"/>
      <c r="W1175" s="7"/>
      <c r="X1175" s="7"/>
      <c r="Y1175" s="7"/>
      <c r="Z1175" s="7"/>
      <c r="AA1175" s="7"/>
      <c r="AB1175" s="7"/>
    </row>
    <row r="1176" spans="1:28" x14ac:dyDescent="0.2">
      <c r="A1176" s="4"/>
      <c r="B1176" s="4"/>
      <c r="C1176" s="4"/>
      <c r="D1176" s="27"/>
      <c r="E1176" s="107"/>
      <c r="F1176" s="4"/>
      <c r="G1176" s="4"/>
      <c r="H1176" s="4"/>
      <c r="I1176" s="4"/>
      <c r="J1176" s="4"/>
      <c r="K1176" s="4"/>
      <c r="L1176" s="174"/>
      <c r="M1176" s="174"/>
      <c r="N1176" s="4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  <c r="AA1176" s="7"/>
      <c r="AB1176" s="7"/>
    </row>
    <row r="1177" spans="1:28" x14ac:dyDescent="0.2">
      <c r="A1177" s="4"/>
      <c r="B1177" s="4"/>
      <c r="C1177" s="4"/>
      <c r="D1177" s="27"/>
      <c r="E1177" s="107"/>
      <c r="F1177" s="4"/>
      <c r="G1177" s="4"/>
      <c r="H1177" s="4"/>
      <c r="I1177" s="4"/>
      <c r="J1177" s="4"/>
      <c r="K1177" s="4"/>
      <c r="L1177" s="174"/>
      <c r="M1177" s="174"/>
      <c r="N1177" s="4"/>
      <c r="O1177" s="7"/>
      <c r="P1177" s="7"/>
      <c r="Q1177" s="7"/>
      <c r="R1177" s="7"/>
      <c r="S1177" s="7"/>
      <c r="T1177" s="7"/>
      <c r="U1177" s="7"/>
      <c r="V1177" s="7"/>
      <c r="W1177" s="7"/>
      <c r="X1177" s="7"/>
      <c r="Y1177" s="7"/>
      <c r="Z1177" s="7"/>
      <c r="AA1177" s="7"/>
      <c r="AB1177" s="7"/>
    </row>
    <row r="1178" spans="1:28" x14ac:dyDescent="0.2">
      <c r="A1178" s="4"/>
      <c r="B1178" s="4"/>
      <c r="C1178" s="4"/>
      <c r="D1178" s="27"/>
      <c r="E1178" s="107"/>
      <c r="F1178" s="4"/>
      <c r="G1178" s="4"/>
      <c r="H1178" s="4"/>
      <c r="I1178" s="4"/>
      <c r="J1178" s="4"/>
      <c r="K1178" s="4"/>
      <c r="L1178" s="174"/>
      <c r="M1178" s="174"/>
      <c r="N1178" s="4"/>
      <c r="O1178" s="7"/>
      <c r="P1178" s="7"/>
      <c r="Q1178" s="7"/>
      <c r="R1178" s="7"/>
      <c r="S1178" s="7"/>
      <c r="T1178" s="7"/>
      <c r="U1178" s="7"/>
      <c r="V1178" s="7"/>
      <c r="W1178" s="7"/>
      <c r="X1178" s="7"/>
      <c r="Y1178" s="7"/>
      <c r="Z1178" s="7"/>
      <c r="AA1178" s="7"/>
      <c r="AB1178" s="7"/>
    </row>
    <row r="1179" spans="1:28" x14ac:dyDescent="0.2">
      <c r="A1179" s="4"/>
      <c r="B1179" s="4"/>
      <c r="C1179" s="4"/>
      <c r="D1179" s="27"/>
      <c r="E1179" s="107"/>
      <c r="F1179" s="4"/>
      <c r="G1179" s="4"/>
      <c r="H1179" s="4"/>
      <c r="I1179" s="4"/>
      <c r="J1179" s="4"/>
      <c r="K1179" s="4"/>
      <c r="L1179" s="174"/>
      <c r="M1179" s="174"/>
      <c r="N1179" s="4"/>
      <c r="O1179" s="7"/>
      <c r="P1179" s="7"/>
      <c r="Q1179" s="7"/>
      <c r="R1179" s="7"/>
      <c r="S1179" s="7"/>
      <c r="T1179" s="7"/>
      <c r="U1179" s="7"/>
      <c r="V1179" s="7"/>
      <c r="W1179" s="7"/>
      <c r="X1179" s="7"/>
      <c r="Y1179" s="7"/>
      <c r="Z1179" s="7"/>
      <c r="AA1179" s="7"/>
      <c r="AB1179" s="7"/>
    </row>
    <row r="1180" spans="1:28" x14ac:dyDescent="0.2">
      <c r="A1180" s="4"/>
      <c r="B1180" s="4"/>
      <c r="C1180" s="4"/>
      <c r="D1180" s="27"/>
      <c r="E1180" s="107"/>
      <c r="F1180" s="4"/>
      <c r="G1180" s="4"/>
      <c r="H1180" s="4"/>
      <c r="I1180" s="4"/>
      <c r="J1180" s="4"/>
      <c r="K1180" s="4"/>
      <c r="L1180" s="174"/>
      <c r="M1180" s="174"/>
      <c r="N1180" s="4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  <c r="AA1180" s="7"/>
      <c r="AB1180" s="7"/>
    </row>
    <row r="1181" spans="1:28" x14ac:dyDescent="0.2">
      <c r="A1181" s="4"/>
      <c r="B1181" s="4"/>
      <c r="C1181" s="4"/>
      <c r="D1181" s="27"/>
      <c r="E1181" s="107"/>
      <c r="F1181" s="4"/>
      <c r="G1181" s="4"/>
      <c r="H1181" s="4"/>
      <c r="I1181" s="4"/>
      <c r="J1181" s="4"/>
      <c r="K1181" s="4"/>
      <c r="L1181" s="174"/>
      <c r="M1181" s="174"/>
      <c r="N1181" s="4"/>
      <c r="O1181" s="7"/>
      <c r="P1181" s="7"/>
      <c r="Q1181" s="7"/>
      <c r="R1181" s="7"/>
      <c r="S1181" s="7"/>
      <c r="T1181" s="7"/>
      <c r="U1181" s="7"/>
      <c r="V1181" s="7"/>
      <c r="W1181" s="7"/>
      <c r="X1181" s="7"/>
      <c r="Y1181" s="7"/>
      <c r="Z1181" s="7"/>
      <c r="AA1181" s="7"/>
      <c r="AB1181" s="7"/>
    </row>
    <row r="1182" spans="1:28" x14ac:dyDescent="0.2">
      <c r="A1182" s="4"/>
      <c r="B1182" s="4"/>
      <c r="C1182" s="4"/>
      <c r="D1182" s="27"/>
      <c r="E1182" s="107"/>
      <c r="F1182" s="4"/>
      <c r="G1182" s="4"/>
      <c r="H1182" s="4"/>
      <c r="I1182" s="4"/>
      <c r="J1182" s="4"/>
      <c r="K1182" s="4"/>
      <c r="L1182" s="174"/>
      <c r="M1182" s="174"/>
      <c r="N1182" s="4"/>
      <c r="O1182" s="7"/>
      <c r="P1182" s="7"/>
      <c r="Q1182" s="7"/>
      <c r="R1182" s="7"/>
      <c r="S1182" s="7"/>
      <c r="T1182" s="7"/>
      <c r="U1182" s="7"/>
      <c r="V1182" s="7"/>
      <c r="W1182" s="7"/>
      <c r="X1182" s="7"/>
      <c r="Y1182" s="7"/>
      <c r="Z1182" s="7"/>
      <c r="AA1182" s="7"/>
      <c r="AB1182" s="7"/>
    </row>
    <row r="1183" spans="1:28" x14ac:dyDescent="0.2">
      <c r="A1183" s="4"/>
      <c r="B1183" s="4"/>
      <c r="C1183" s="4"/>
      <c r="D1183" s="27"/>
      <c r="E1183" s="107"/>
      <c r="F1183" s="4"/>
      <c r="G1183" s="4"/>
      <c r="H1183" s="4"/>
      <c r="I1183" s="4"/>
      <c r="J1183" s="4"/>
      <c r="K1183" s="4"/>
      <c r="L1183" s="174"/>
      <c r="M1183" s="174"/>
      <c r="N1183" s="4"/>
      <c r="O1183" s="7"/>
      <c r="P1183" s="7"/>
      <c r="Q1183" s="7"/>
      <c r="R1183" s="7"/>
      <c r="S1183" s="7"/>
      <c r="T1183" s="7"/>
      <c r="U1183" s="7"/>
      <c r="V1183" s="7"/>
      <c r="W1183" s="7"/>
      <c r="X1183" s="7"/>
      <c r="Y1183" s="7"/>
      <c r="Z1183" s="7"/>
      <c r="AA1183" s="7"/>
      <c r="AB1183" s="7"/>
    </row>
    <row r="1184" spans="1:28" x14ac:dyDescent="0.2">
      <c r="A1184" s="4"/>
      <c r="B1184" s="4"/>
      <c r="C1184" s="4"/>
      <c r="D1184" s="27"/>
      <c r="E1184" s="107"/>
      <c r="F1184" s="4"/>
      <c r="G1184" s="4"/>
      <c r="H1184" s="4"/>
      <c r="I1184" s="4"/>
      <c r="J1184" s="4"/>
      <c r="K1184" s="4"/>
      <c r="L1184" s="174"/>
      <c r="M1184" s="174"/>
      <c r="N1184" s="4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  <c r="AA1184" s="7"/>
      <c r="AB1184" s="7"/>
    </row>
    <row r="1185" spans="1:28" x14ac:dyDescent="0.2">
      <c r="A1185" s="4"/>
      <c r="B1185" s="4"/>
      <c r="C1185" s="4"/>
      <c r="D1185" s="27"/>
      <c r="E1185" s="107"/>
      <c r="F1185" s="4"/>
      <c r="G1185" s="4"/>
      <c r="H1185" s="4"/>
      <c r="I1185" s="4"/>
      <c r="J1185" s="4"/>
      <c r="K1185" s="4"/>
      <c r="L1185" s="174"/>
      <c r="M1185" s="174"/>
      <c r="N1185" s="4"/>
      <c r="O1185" s="7"/>
      <c r="P1185" s="7"/>
      <c r="Q1185" s="7"/>
      <c r="R1185" s="7"/>
      <c r="S1185" s="7"/>
      <c r="T1185" s="7"/>
      <c r="U1185" s="7"/>
      <c r="V1185" s="7"/>
      <c r="W1185" s="7"/>
      <c r="X1185" s="7"/>
      <c r="Y1185" s="7"/>
      <c r="Z1185" s="7"/>
      <c r="AA1185" s="7"/>
      <c r="AB1185" s="7"/>
    </row>
    <row r="1186" spans="1:28" x14ac:dyDescent="0.2">
      <c r="A1186" s="4"/>
      <c r="B1186" s="4"/>
      <c r="C1186" s="4"/>
      <c r="D1186" s="27"/>
      <c r="E1186" s="107"/>
      <c r="F1186" s="4"/>
      <c r="G1186" s="4"/>
      <c r="H1186" s="4"/>
      <c r="I1186" s="4"/>
      <c r="J1186" s="4"/>
      <c r="K1186" s="4"/>
      <c r="L1186" s="174"/>
      <c r="M1186" s="174"/>
      <c r="N1186" s="4"/>
      <c r="O1186" s="7"/>
      <c r="P1186" s="7"/>
      <c r="Q1186" s="7"/>
      <c r="R1186" s="7"/>
      <c r="S1186" s="7"/>
      <c r="T1186" s="7"/>
      <c r="U1186" s="7"/>
      <c r="V1186" s="7"/>
      <c r="W1186" s="7"/>
      <c r="X1186" s="7"/>
      <c r="Y1186" s="7"/>
      <c r="Z1186" s="7"/>
      <c r="AA1186" s="7"/>
      <c r="AB1186" s="7"/>
    </row>
    <row r="1187" spans="1:28" x14ac:dyDescent="0.2">
      <c r="A1187" s="4"/>
      <c r="B1187" s="4"/>
      <c r="C1187" s="4"/>
      <c r="D1187" s="27"/>
      <c r="E1187" s="107"/>
      <c r="F1187" s="4"/>
      <c r="G1187" s="4"/>
      <c r="H1187" s="4"/>
      <c r="I1187" s="4"/>
      <c r="J1187" s="4"/>
      <c r="K1187" s="4"/>
      <c r="L1187" s="174"/>
      <c r="M1187" s="174"/>
      <c r="N1187" s="4"/>
      <c r="O1187" s="7"/>
      <c r="P1187" s="7"/>
      <c r="Q1187" s="7"/>
      <c r="R1187" s="7"/>
      <c r="S1187" s="7"/>
      <c r="T1187" s="7"/>
      <c r="U1187" s="7"/>
      <c r="V1187" s="7"/>
      <c r="W1187" s="7"/>
      <c r="X1187" s="7"/>
      <c r="Y1187" s="7"/>
      <c r="Z1187" s="7"/>
      <c r="AA1187" s="7"/>
      <c r="AB1187" s="7"/>
    </row>
    <row r="1188" spans="1:28" x14ac:dyDescent="0.2">
      <c r="A1188" s="4"/>
      <c r="B1188" s="4"/>
      <c r="C1188" s="4"/>
      <c r="D1188" s="27"/>
      <c r="E1188" s="107"/>
      <c r="F1188" s="4"/>
      <c r="G1188" s="4"/>
      <c r="H1188" s="4"/>
      <c r="I1188" s="4"/>
      <c r="J1188" s="4"/>
      <c r="K1188" s="4"/>
      <c r="L1188" s="174"/>
      <c r="M1188" s="174"/>
      <c r="N1188" s="4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  <c r="AA1188" s="7"/>
      <c r="AB1188" s="7"/>
    </row>
    <row r="1189" spans="1:28" x14ac:dyDescent="0.2">
      <c r="A1189" s="4"/>
      <c r="B1189" s="4"/>
      <c r="C1189" s="4"/>
      <c r="D1189" s="27"/>
      <c r="E1189" s="107"/>
      <c r="F1189" s="4"/>
      <c r="G1189" s="4"/>
      <c r="H1189" s="4"/>
      <c r="I1189" s="4"/>
      <c r="J1189" s="4"/>
      <c r="K1189" s="4"/>
      <c r="L1189" s="174"/>
      <c r="M1189" s="174"/>
      <c r="N1189" s="4"/>
      <c r="O1189" s="7"/>
      <c r="P1189" s="7"/>
      <c r="Q1189" s="7"/>
      <c r="R1189" s="7"/>
      <c r="S1189" s="7"/>
      <c r="T1189" s="7"/>
      <c r="U1189" s="7"/>
      <c r="V1189" s="7"/>
      <c r="W1189" s="7"/>
      <c r="X1189" s="7"/>
      <c r="Y1189" s="7"/>
      <c r="Z1189" s="7"/>
      <c r="AA1189" s="7"/>
      <c r="AB1189" s="7"/>
    </row>
    <row r="1190" spans="1:28" x14ac:dyDescent="0.2">
      <c r="A1190" s="4"/>
      <c r="B1190" s="4"/>
      <c r="C1190" s="4"/>
      <c r="D1190" s="27"/>
      <c r="E1190" s="107"/>
      <c r="F1190" s="4"/>
      <c r="G1190" s="4"/>
      <c r="H1190" s="4"/>
      <c r="I1190" s="4"/>
      <c r="J1190" s="4"/>
      <c r="K1190" s="4"/>
      <c r="L1190" s="174"/>
      <c r="M1190" s="174"/>
      <c r="N1190" s="4"/>
      <c r="O1190" s="7"/>
      <c r="P1190" s="7"/>
      <c r="Q1190" s="7"/>
      <c r="R1190" s="7"/>
      <c r="S1190" s="7"/>
      <c r="T1190" s="7"/>
      <c r="U1190" s="7"/>
      <c r="V1190" s="7"/>
      <c r="W1190" s="7"/>
      <c r="X1190" s="7"/>
      <c r="Y1190" s="7"/>
      <c r="Z1190" s="7"/>
      <c r="AA1190" s="7"/>
      <c r="AB1190" s="7"/>
    </row>
    <row r="1191" spans="1:28" x14ac:dyDescent="0.2">
      <c r="A1191" s="4"/>
      <c r="B1191" s="4"/>
      <c r="C1191" s="4"/>
      <c r="D1191" s="27"/>
      <c r="E1191" s="107"/>
      <c r="F1191" s="4"/>
      <c r="G1191" s="4"/>
      <c r="H1191" s="4"/>
      <c r="I1191" s="4"/>
      <c r="J1191" s="4"/>
      <c r="K1191" s="4"/>
      <c r="L1191" s="174"/>
      <c r="M1191" s="174"/>
      <c r="N1191" s="4"/>
      <c r="O1191" s="7"/>
      <c r="P1191" s="7"/>
      <c r="Q1191" s="7"/>
      <c r="R1191" s="7"/>
      <c r="S1191" s="7"/>
      <c r="T1191" s="7"/>
      <c r="U1191" s="7"/>
      <c r="V1191" s="7"/>
      <c r="W1191" s="7"/>
      <c r="X1191" s="7"/>
      <c r="Y1191" s="7"/>
      <c r="Z1191" s="7"/>
      <c r="AA1191" s="7"/>
      <c r="AB1191" s="7"/>
    </row>
    <row r="1192" spans="1:28" x14ac:dyDescent="0.2">
      <c r="A1192" s="4"/>
      <c r="B1192" s="4"/>
      <c r="C1192" s="4"/>
      <c r="D1192" s="27"/>
      <c r="E1192" s="107"/>
      <c r="F1192" s="4"/>
      <c r="G1192" s="4"/>
      <c r="H1192" s="4"/>
      <c r="I1192" s="4"/>
      <c r="J1192" s="4"/>
      <c r="K1192" s="4"/>
      <c r="L1192" s="174"/>
      <c r="M1192" s="174"/>
      <c r="N1192" s="4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  <c r="AA1192" s="7"/>
      <c r="AB1192" s="7"/>
    </row>
    <row r="1193" spans="1:28" x14ac:dyDescent="0.2">
      <c r="A1193" s="4"/>
      <c r="B1193" s="4"/>
      <c r="C1193" s="4"/>
      <c r="D1193" s="27"/>
      <c r="E1193" s="107"/>
      <c r="F1193" s="4"/>
      <c r="G1193" s="4"/>
      <c r="H1193" s="4"/>
      <c r="I1193" s="4"/>
      <c r="J1193" s="4"/>
      <c r="K1193" s="4"/>
      <c r="L1193" s="174"/>
      <c r="M1193" s="174"/>
      <c r="N1193" s="4"/>
      <c r="O1193" s="7"/>
      <c r="P1193" s="7"/>
      <c r="Q1193" s="7"/>
      <c r="R1193" s="7"/>
      <c r="S1193" s="7"/>
      <c r="T1193" s="7"/>
      <c r="U1193" s="7"/>
      <c r="V1193" s="7"/>
      <c r="W1193" s="7"/>
      <c r="X1193" s="7"/>
      <c r="Y1193" s="7"/>
      <c r="Z1193" s="7"/>
      <c r="AA1193" s="7"/>
      <c r="AB1193" s="7"/>
    </row>
    <row r="1194" spans="1:28" x14ac:dyDescent="0.2">
      <c r="A1194" s="4"/>
      <c r="B1194" s="4"/>
      <c r="C1194" s="4"/>
      <c r="D1194" s="27"/>
      <c r="E1194" s="107"/>
      <c r="F1194" s="4"/>
      <c r="G1194" s="4"/>
      <c r="H1194" s="4"/>
      <c r="I1194" s="4"/>
      <c r="J1194" s="4"/>
      <c r="K1194" s="4"/>
      <c r="L1194" s="174"/>
      <c r="M1194" s="174"/>
      <c r="N1194" s="4"/>
      <c r="O1194" s="7"/>
      <c r="P1194" s="7"/>
      <c r="Q1194" s="7"/>
      <c r="R1194" s="7"/>
      <c r="S1194" s="7"/>
      <c r="T1194" s="7"/>
      <c r="U1194" s="7"/>
      <c r="V1194" s="7"/>
      <c r="W1194" s="7"/>
      <c r="X1194" s="7"/>
      <c r="Y1194" s="7"/>
      <c r="Z1194" s="7"/>
      <c r="AA1194" s="7"/>
      <c r="AB1194" s="7"/>
    </row>
    <row r="1195" spans="1:28" x14ac:dyDescent="0.2">
      <c r="A1195" s="4"/>
      <c r="B1195" s="4"/>
      <c r="C1195" s="4"/>
      <c r="D1195" s="27"/>
      <c r="E1195" s="107"/>
      <c r="F1195" s="4"/>
      <c r="G1195" s="4"/>
      <c r="H1195" s="4"/>
      <c r="I1195" s="4"/>
      <c r="J1195" s="4"/>
      <c r="K1195" s="4"/>
      <c r="L1195" s="174"/>
      <c r="M1195" s="174"/>
      <c r="N1195" s="4"/>
      <c r="O1195" s="7"/>
      <c r="P1195" s="7"/>
      <c r="Q1195" s="7"/>
      <c r="R1195" s="7"/>
      <c r="S1195" s="7"/>
      <c r="T1195" s="7"/>
      <c r="U1195" s="7"/>
      <c r="V1195" s="7"/>
      <c r="W1195" s="7"/>
      <c r="X1195" s="7"/>
      <c r="Y1195" s="7"/>
      <c r="Z1195" s="7"/>
      <c r="AA1195" s="7"/>
      <c r="AB1195" s="7"/>
    </row>
    <row r="1196" spans="1:28" x14ac:dyDescent="0.2">
      <c r="A1196" s="4"/>
      <c r="B1196" s="4"/>
      <c r="C1196" s="4"/>
      <c r="D1196" s="27"/>
      <c r="E1196" s="107"/>
      <c r="F1196" s="4"/>
      <c r="G1196" s="4"/>
      <c r="H1196" s="4"/>
      <c r="I1196" s="4"/>
      <c r="J1196" s="4"/>
      <c r="K1196" s="4"/>
      <c r="L1196" s="174"/>
      <c r="M1196" s="174"/>
      <c r="N1196" s="4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  <c r="AA1196" s="7"/>
      <c r="AB1196" s="7"/>
    </row>
    <row r="1197" spans="1:28" x14ac:dyDescent="0.2">
      <c r="A1197" s="4"/>
      <c r="B1197" s="4"/>
      <c r="C1197" s="4"/>
      <c r="D1197" s="27"/>
      <c r="E1197" s="107"/>
      <c r="F1197" s="4"/>
      <c r="G1197" s="4"/>
      <c r="H1197" s="4"/>
      <c r="I1197" s="4"/>
      <c r="J1197" s="4"/>
      <c r="K1197" s="4"/>
      <c r="L1197" s="174"/>
      <c r="M1197" s="174"/>
      <c r="N1197" s="4"/>
      <c r="O1197" s="7"/>
      <c r="P1197" s="7"/>
      <c r="Q1197" s="7"/>
      <c r="R1197" s="7"/>
      <c r="S1197" s="7"/>
      <c r="T1197" s="7"/>
      <c r="U1197" s="7"/>
      <c r="V1197" s="7"/>
      <c r="W1197" s="7"/>
      <c r="X1197" s="7"/>
      <c r="Y1197" s="7"/>
      <c r="Z1197" s="7"/>
      <c r="AA1197" s="7"/>
      <c r="AB1197" s="7"/>
    </row>
    <row r="1198" spans="1:28" x14ac:dyDescent="0.2">
      <c r="A1198" s="4"/>
      <c r="B1198" s="4"/>
      <c r="C1198" s="4"/>
      <c r="D1198" s="27"/>
      <c r="E1198" s="107"/>
      <c r="F1198" s="4"/>
      <c r="G1198" s="4"/>
      <c r="H1198" s="4"/>
      <c r="I1198" s="4"/>
      <c r="J1198" s="4"/>
      <c r="K1198" s="4"/>
      <c r="L1198" s="174"/>
      <c r="M1198" s="174"/>
      <c r="N1198" s="4"/>
      <c r="O1198" s="7"/>
      <c r="P1198" s="7"/>
      <c r="Q1198" s="7"/>
      <c r="R1198" s="7"/>
      <c r="S1198" s="7"/>
      <c r="T1198" s="7"/>
      <c r="U1198" s="7"/>
      <c r="V1198" s="7"/>
      <c r="W1198" s="7"/>
      <c r="X1198" s="7"/>
      <c r="Y1198" s="7"/>
      <c r="Z1198" s="7"/>
      <c r="AA1198" s="7"/>
      <c r="AB1198" s="7"/>
    </row>
    <row r="1199" spans="1:28" x14ac:dyDescent="0.2">
      <c r="A1199" s="4"/>
      <c r="B1199" s="4"/>
      <c r="C1199" s="4"/>
      <c r="D1199" s="27"/>
      <c r="E1199" s="107"/>
      <c r="F1199" s="4"/>
      <c r="G1199" s="4"/>
      <c r="H1199" s="4"/>
      <c r="I1199" s="4"/>
      <c r="J1199" s="4"/>
      <c r="K1199" s="4"/>
      <c r="L1199" s="174"/>
      <c r="M1199" s="174"/>
      <c r="N1199" s="4"/>
      <c r="O1199" s="7"/>
      <c r="P1199" s="7"/>
      <c r="Q1199" s="7"/>
      <c r="R1199" s="7"/>
      <c r="S1199" s="7"/>
      <c r="T1199" s="7"/>
      <c r="U1199" s="7"/>
      <c r="V1199" s="7"/>
      <c r="W1199" s="7"/>
      <c r="X1199" s="7"/>
      <c r="Y1199" s="7"/>
      <c r="Z1199" s="7"/>
      <c r="AA1199" s="7"/>
      <c r="AB1199" s="7"/>
    </row>
    <row r="1200" spans="1:28" x14ac:dyDescent="0.2">
      <c r="A1200" s="4"/>
      <c r="B1200" s="4"/>
      <c r="C1200" s="4"/>
      <c r="D1200" s="27"/>
      <c r="E1200" s="107"/>
      <c r="F1200" s="4"/>
      <c r="G1200" s="4"/>
      <c r="H1200" s="4"/>
      <c r="I1200" s="4"/>
      <c r="J1200" s="4"/>
      <c r="K1200" s="4"/>
      <c r="L1200" s="174"/>
      <c r="M1200" s="174"/>
      <c r="N1200" s="4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  <c r="AA1200" s="7"/>
      <c r="AB1200" s="7"/>
    </row>
    <row r="1201" spans="1:28" x14ac:dyDescent="0.2">
      <c r="A1201" s="4"/>
      <c r="B1201" s="4"/>
      <c r="C1201" s="4"/>
      <c r="D1201" s="27"/>
      <c r="E1201" s="107"/>
      <c r="F1201" s="4"/>
      <c r="G1201" s="4"/>
      <c r="H1201" s="4"/>
      <c r="I1201" s="4"/>
      <c r="J1201" s="4"/>
      <c r="K1201" s="4"/>
      <c r="L1201" s="174"/>
      <c r="M1201" s="174"/>
      <c r="N1201" s="4"/>
      <c r="O1201" s="7"/>
      <c r="P1201" s="7"/>
      <c r="Q1201" s="7"/>
      <c r="R1201" s="7"/>
      <c r="S1201" s="7"/>
      <c r="T1201" s="7"/>
      <c r="U1201" s="7"/>
      <c r="V1201" s="7"/>
      <c r="W1201" s="7"/>
      <c r="X1201" s="7"/>
      <c r="Y1201" s="7"/>
      <c r="Z1201" s="7"/>
      <c r="AA1201" s="7"/>
      <c r="AB1201" s="7"/>
    </row>
    <row r="1202" spans="1:28" x14ac:dyDescent="0.2">
      <c r="A1202" s="4"/>
      <c r="B1202" s="4"/>
      <c r="C1202" s="4"/>
      <c r="D1202" s="27"/>
      <c r="E1202" s="107"/>
      <c r="F1202" s="4"/>
      <c r="G1202" s="4"/>
      <c r="H1202" s="4"/>
      <c r="I1202" s="4"/>
      <c r="J1202" s="4"/>
      <c r="K1202" s="4"/>
      <c r="L1202" s="174"/>
      <c r="M1202" s="174"/>
      <c r="N1202" s="4"/>
      <c r="O1202" s="7"/>
      <c r="P1202" s="7"/>
      <c r="Q1202" s="7"/>
      <c r="R1202" s="7"/>
      <c r="S1202" s="7"/>
      <c r="T1202" s="7"/>
      <c r="U1202" s="7"/>
      <c r="V1202" s="7"/>
      <c r="W1202" s="7"/>
      <c r="X1202" s="7"/>
      <c r="Y1202" s="7"/>
      <c r="Z1202" s="7"/>
      <c r="AA1202" s="7"/>
      <c r="AB1202" s="7"/>
    </row>
    <row r="1203" spans="1:28" x14ac:dyDescent="0.2">
      <c r="A1203" s="4"/>
      <c r="B1203" s="4"/>
      <c r="C1203" s="4"/>
      <c r="D1203" s="27"/>
      <c r="E1203" s="107"/>
      <c r="F1203" s="4"/>
      <c r="G1203" s="4"/>
      <c r="H1203" s="4"/>
      <c r="I1203" s="4"/>
      <c r="J1203" s="4"/>
      <c r="K1203" s="4"/>
      <c r="L1203" s="174"/>
      <c r="M1203" s="174"/>
      <c r="N1203" s="4"/>
      <c r="O1203" s="7"/>
      <c r="P1203" s="7"/>
      <c r="Q1203" s="7"/>
      <c r="R1203" s="7"/>
      <c r="S1203" s="7"/>
      <c r="T1203" s="7"/>
      <c r="U1203" s="7"/>
      <c r="V1203" s="7"/>
      <c r="W1203" s="7"/>
      <c r="X1203" s="7"/>
      <c r="Y1203" s="7"/>
      <c r="Z1203" s="7"/>
      <c r="AA1203" s="7"/>
      <c r="AB1203" s="7"/>
    </row>
    <row r="1204" spans="1:28" x14ac:dyDescent="0.2">
      <c r="A1204" s="4"/>
      <c r="B1204" s="4"/>
      <c r="C1204" s="4"/>
      <c r="D1204" s="27"/>
      <c r="E1204" s="107"/>
      <c r="F1204" s="4"/>
      <c r="G1204" s="4"/>
      <c r="H1204" s="4"/>
      <c r="I1204" s="4"/>
      <c r="J1204" s="4"/>
      <c r="K1204" s="4"/>
      <c r="L1204" s="174"/>
      <c r="M1204" s="174"/>
      <c r="N1204" s="4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  <c r="AA1204" s="7"/>
      <c r="AB1204" s="7"/>
    </row>
    <row r="1205" spans="1:28" x14ac:dyDescent="0.2">
      <c r="A1205" s="4"/>
      <c r="B1205" s="4"/>
      <c r="C1205" s="4"/>
      <c r="D1205" s="27"/>
      <c r="E1205" s="107"/>
      <c r="F1205" s="4"/>
      <c r="G1205" s="4"/>
      <c r="H1205" s="4"/>
      <c r="I1205" s="4"/>
      <c r="J1205" s="4"/>
      <c r="K1205" s="4"/>
      <c r="L1205" s="174"/>
      <c r="M1205" s="174"/>
      <c r="N1205" s="4"/>
      <c r="O1205" s="7"/>
      <c r="P1205" s="7"/>
      <c r="Q1205" s="7"/>
      <c r="R1205" s="7"/>
      <c r="S1205" s="7"/>
      <c r="T1205" s="7"/>
      <c r="U1205" s="7"/>
      <c r="V1205" s="7"/>
      <c r="W1205" s="7"/>
      <c r="X1205" s="7"/>
      <c r="Y1205" s="7"/>
      <c r="Z1205" s="7"/>
      <c r="AA1205" s="7"/>
      <c r="AB1205" s="7"/>
    </row>
    <row r="1206" spans="1:28" x14ac:dyDescent="0.2">
      <c r="A1206" s="4"/>
      <c r="B1206" s="4"/>
      <c r="C1206" s="4"/>
      <c r="D1206" s="27"/>
      <c r="E1206" s="107"/>
      <c r="F1206" s="4"/>
      <c r="G1206" s="4"/>
      <c r="H1206" s="4"/>
      <c r="I1206" s="4"/>
      <c r="J1206" s="4"/>
      <c r="K1206" s="4"/>
      <c r="L1206" s="174"/>
      <c r="M1206" s="174"/>
      <c r="N1206" s="4"/>
      <c r="O1206" s="7"/>
      <c r="P1206" s="7"/>
      <c r="Q1206" s="7"/>
      <c r="R1206" s="7"/>
      <c r="S1206" s="7"/>
      <c r="T1206" s="7"/>
      <c r="U1206" s="7"/>
      <c r="V1206" s="7"/>
      <c r="W1206" s="7"/>
      <c r="X1206" s="7"/>
      <c r="Y1206" s="7"/>
      <c r="Z1206" s="7"/>
      <c r="AA1206" s="7"/>
      <c r="AB1206" s="7"/>
    </row>
    <row r="1207" spans="1:28" x14ac:dyDescent="0.2">
      <c r="A1207" s="4"/>
      <c r="B1207" s="4"/>
      <c r="C1207" s="4"/>
      <c r="D1207" s="27"/>
      <c r="E1207" s="107"/>
      <c r="F1207" s="4"/>
      <c r="G1207" s="4"/>
      <c r="H1207" s="4"/>
      <c r="I1207" s="4"/>
      <c r="J1207" s="4"/>
      <c r="K1207" s="4"/>
      <c r="L1207" s="174"/>
      <c r="M1207" s="174"/>
      <c r="N1207" s="4"/>
      <c r="O1207" s="7"/>
      <c r="P1207" s="7"/>
      <c r="Q1207" s="7"/>
      <c r="R1207" s="7"/>
      <c r="S1207" s="7"/>
      <c r="T1207" s="7"/>
      <c r="U1207" s="7"/>
      <c r="V1207" s="7"/>
      <c r="W1207" s="7"/>
      <c r="X1207" s="7"/>
      <c r="Y1207" s="7"/>
      <c r="Z1207" s="7"/>
      <c r="AA1207" s="7"/>
      <c r="AB1207" s="7"/>
    </row>
    <row r="1208" spans="1:28" x14ac:dyDescent="0.2">
      <c r="A1208" s="4"/>
      <c r="B1208" s="4"/>
      <c r="C1208" s="4"/>
      <c r="D1208" s="27"/>
      <c r="E1208" s="107"/>
      <c r="F1208" s="4"/>
      <c r="G1208" s="4"/>
      <c r="H1208" s="4"/>
      <c r="I1208" s="4"/>
      <c r="J1208" s="4"/>
      <c r="K1208" s="4"/>
      <c r="L1208" s="174"/>
      <c r="M1208" s="174"/>
      <c r="N1208" s="4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  <c r="AA1208" s="7"/>
      <c r="AB1208" s="7"/>
    </row>
    <row r="1209" spans="1:28" x14ac:dyDescent="0.2">
      <c r="A1209" s="4"/>
      <c r="B1209" s="4"/>
      <c r="C1209" s="4"/>
      <c r="D1209" s="27"/>
      <c r="E1209" s="107"/>
      <c r="F1209" s="4"/>
      <c r="G1209" s="4"/>
      <c r="H1209" s="4"/>
      <c r="I1209" s="4"/>
      <c r="J1209" s="4"/>
      <c r="K1209" s="4"/>
      <c r="L1209" s="174"/>
      <c r="M1209" s="174"/>
      <c r="N1209" s="4"/>
      <c r="O1209" s="7"/>
      <c r="P1209" s="7"/>
      <c r="Q1209" s="7"/>
      <c r="R1209" s="7"/>
      <c r="S1209" s="7"/>
      <c r="T1209" s="7"/>
      <c r="U1209" s="7"/>
      <c r="V1209" s="7"/>
      <c r="W1209" s="7"/>
      <c r="X1209" s="7"/>
      <c r="Y1209" s="7"/>
      <c r="Z1209" s="7"/>
      <c r="AA1209" s="7"/>
      <c r="AB1209" s="7"/>
    </row>
    <row r="1210" spans="1:28" x14ac:dyDescent="0.2">
      <c r="A1210" s="4"/>
      <c r="B1210" s="4"/>
      <c r="C1210" s="4"/>
      <c r="D1210" s="27"/>
      <c r="E1210" s="107"/>
      <c r="F1210" s="4"/>
      <c r="G1210" s="4"/>
      <c r="H1210" s="4"/>
      <c r="I1210" s="4"/>
      <c r="J1210" s="4"/>
      <c r="K1210" s="4"/>
      <c r="L1210" s="174"/>
      <c r="M1210" s="174"/>
      <c r="N1210" s="4"/>
      <c r="O1210" s="7"/>
      <c r="P1210" s="7"/>
      <c r="Q1210" s="7"/>
      <c r="R1210" s="7"/>
      <c r="S1210" s="7"/>
      <c r="T1210" s="7"/>
      <c r="U1210" s="7"/>
      <c r="V1210" s="7"/>
      <c r="W1210" s="7"/>
      <c r="X1210" s="7"/>
      <c r="Y1210" s="7"/>
      <c r="Z1210" s="7"/>
      <c r="AA1210" s="7"/>
      <c r="AB1210" s="7"/>
    </row>
    <row r="1211" spans="1:28" x14ac:dyDescent="0.2">
      <c r="A1211" s="4"/>
      <c r="B1211" s="4"/>
      <c r="C1211" s="4"/>
      <c r="D1211" s="27"/>
      <c r="E1211" s="107"/>
      <c r="F1211" s="4"/>
      <c r="G1211" s="4"/>
      <c r="H1211" s="4"/>
      <c r="I1211" s="4"/>
      <c r="J1211" s="4"/>
      <c r="K1211" s="4"/>
      <c r="L1211" s="174"/>
      <c r="M1211" s="174"/>
      <c r="N1211" s="4"/>
      <c r="O1211" s="7"/>
      <c r="P1211" s="7"/>
      <c r="Q1211" s="7"/>
      <c r="R1211" s="7"/>
      <c r="S1211" s="7"/>
      <c r="T1211" s="7"/>
      <c r="U1211" s="7"/>
      <c r="V1211" s="7"/>
      <c r="W1211" s="7"/>
      <c r="X1211" s="7"/>
      <c r="Y1211" s="7"/>
      <c r="Z1211" s="7"/>
      <c r="AA1211" s="7"/>
      <c r="AB1211" s="7"/>
    </row>
    <row r="1212" spans="1:28" x14ac:dyDescent="0.2">
      <c r="A1212" s="4"/>
      <c r="B1212" s="4"/>
      <c r="C1212" s="4"/>
      <c r="D1212" s="27"/>
      <c r="E1212" s="107"/>
      <c r="F1212" s="4"/>
      <c r="G1212" s="4"/>
      <c r="H1212" s="4"/>
      <c r="I1212" s="4"/>
      <c r="J1212" s="4"/>
      <c r="K1212" s="4"/>
      <c r="L1212" s="174"/>
      <c r="M1212" s="174"/>
      <c r="N1212" s="4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  <c r="AA1212" s="7"/>
      <c r="AB1212" s="7"/>
    </row>
    <row r="1213" spans="1:28" x14ac:dyDescent="0.2">
      <c r="A1213" s="4"/>
      <c r="B1213" s="4"/>
      <c r="C1213" s="4"/>
      <c r="D1213" s="27"/>
      <c r="E1213" s="107"/>
      <c r="F1213" s="4"/>
      <c r="G1213" s="4"/>
      <c r="H1213" s="4"/>
      <c r="I1213" s="4"/>
      <c r="J1213" s="4"/>
      <c r="K1213" s="4"/>
      <c r="L1213" s="174"/>
      <c r="M1213" s="174"/>
      <c r="N1213" s="4"/>
      <c r="O1213" s="7"/>
      <c r="P1213" s="7"/>
      <c r="Q1213" s="7"/>
      <c r="R1213" s="7"/>
      <c r="S1213" s="7"/>
      <c r="T1213" s="7"/>
      <c r="U1213" s="7"/>
      <c r="V1213" s="7"/>
      <c r="W1213" s="7"/>
      <c r="X1213" s="7"/>
      <c r="Y1213" s="7"/>
      <c r="Z1213" s="7"/>
      <c r="AA1213" s="7"/>
      <c r="AB1213" s="7"/>
    </row>
    <row r="1214" spans="1:28" x14ac:dyDescent="0.2">
      <c r="A1214" s="4"/>
      <c r="B1214" s="4"/>
      <c r="C1214" s="4"/>
      <c r="D1214" s="27"/>
      <c r="E1214" s="107"/>
      <c r="F1214" s="4"/>
      <c r="G1214" s="4"/>
      <c r="H1214" s="4"/>
      <c r="I1214" s="4"/>
      <c r="J1214" s="4"/>
      <c r="K1214" s="4"/>
      <c r="L1214" s="174"/>
      <c r="M1214" s="174"/>
      <c r="N1214" s="4"/>
      <c r="O1214" s="7"/>
      <c r="P1214" s="7"/>
      <c r="Q1214" s="7"/>
      <c r="R1214" s="7"/>
      <c r="S1214" s="7"/>
      <c r="T1214" s="7"/>
      <c r="U1214" s="7"/>
      <c r="V1214" s="7"/>
      <c r="W1214" s="7"/>
      <c r="X1214" s="7"/>
      <c r="Y1214" s="7"/>
      <c r="Z1214" s="7"/>
      <c r="AA1214" s="7"/>
      <c r="AB1214" s="7"/>
    </row>
    <row r="1215" spans="1:28" x14ac:dyDescent="0.2">
      <c r="A1215" s="4"/>
      <c r="B1215" s="4"/>
      <c r="C1215" s="4"/>
      <c r="D1215" s="27"/>
      <c r="E1215" s="107"/>
      <c r="F1215" s="4"/>
      <c r="G1215" s="4"/>
      <c r="H1215" s="4"/>
      <c r="I1215" s="4"/>
      <c r="J1215" s="4"/>
      <c r="K1215" s="4"/>
      <c r="L1215" s="174"/>
      <c r="M1215" s="174"/>
      <c r="N1215" s="4"/>
      <c r="O1215" s="7"/>
      <c r="P1215" s="7"/>
      <c r="Q1215" s="7"/>
      <c r="R1215" s="7"/>
      <c r="S1215" s="7"/>
      <c r="T1215" s="7"/>
      <c r="U1215" s="7"/>
      <c r="V1215" s="7"/>
      <c r="W1215" s="7"/>
      <c r="X1215" s="7"/>
      <c r="Y1215" s="7"/>
      <c r="Z1215" s="7"/>
      <c r="AA1215" s="7"/>
      <c r="AB1215" s="7"/>
    </row>
    <row r="1216" spans="1:28" x14ac:dyDescent="0.2">
      <c r="A1216" s="4"/>
      <c r="B1216" s="4"/>
      <c r="C1216" s="4"/>
      <c r="D1216" s="27"/>
      <c r="E1216" s="107"/>
      <c r="F1216" s="4"/>
      <c r="G1216" s="4"/>
      <c r="H1216" s="4"/>
      <c r="I1216" s="4"/>
      <c r="J1216" s="4"/>
      <c r="K1216" s="4"/>
      <c r="L1216" s="174"/>
      <c r="M1216" s="174"/>
      <c r="N1216" s="4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  <c r="AA1216" s="7"/>
      <c r="AB1216" s="7"/>
    </row>
    <row r="1217" spans="1:28" x14ac:dyDescent="0.2">
      <c r="A1217" s="4"/>
      <c r="B1217" s="4"/>
      <c r="C1217" s="4"/>
      <c r="D1217" s="27"/>
      <c r="E1217" s="107"/>
      <c r="F1217" s="4"/>
      <c r="G1217" s="4"/>
      <c r="H1217" s="4"/>
      <c r="I1217" s="4"/>
      <c r="J1217" s="4"/>
      <c r="K1217" s="4"/>
      <c r="L1217" s="174"/>
      <c r="M1217" s="174"/>
      <c r="N1217" s="4"/>
      <c r="O1217" s="7"/>
      <c r="P1217" s="7"/>
      <c r="Q1217" s="7"/>
      <c r="R1217" s="7"/>
      <c r="S1217" s="7"/>
      <c r="T1217" s="7"/>
      <c r="U1217" s="7"/>
      <c r="V1217" s="7"/>
      <c r="W1217" s="7"/>
      <c r="X1217" s="7"/>
      <c r="Y1217" s="7"/>
      <c r="Z1217" s="7"/>
      <c r="AA1217" s="7"/>
      <c r="AB1217" s="7"/>
    </row>
    <row r="1218" spans="1:28" x14ac:dyDescent="0.2">
      <c r="A1218" s="4"/>
      <c r="B1218" s="4"/>
      <c r="C1218" s="4"/>
      <c r="D1218" s="27"/>
      <c r="E1218" s="107"/>
      <c r="F1218" s="4"/>
      <c r="G1218" s="4"/>
      <c r="H1218" s="4"/>
      <c r="I1218" s="4"/>
      <c r="J1218" s="4"/>
      <c r="K1218" s="4"/>
      <c r="L1218" s="174"/>
      <c r="M1218" s="174"/>
      <c r="N1218" s="4"/>
      <c r="O1218" s="7"/>
      <c r="P1218" s="7"/>
      <c r="Q1218" s="7"/>
      <c r="R1218" s="7"/>
      <c r="S1218" s="7"/>
      <c r="T1218" s="7"/>
      <c r="U1218" s="7"/>
      <c r="V1218" s="7"/>
      <c r="W1218" s="7"/>
      <c r="X1218" s="7"/>
      <c r="Y1218" s="7"/>
      <c r="Z1218" s="7"/>
      <c r="AA1218" s="7"/>
      <c r="AB1218" s="7"/>
    </row>
    <row r="1219" spans="1:28" x14ac:dyDescent="0.2">
      <c r="A1219" s="4"/>
      <c r="B1219" s="4"/>
      <c r="C1219" s="4"/>
      <c r="D1219" s="27"/>
      <c r="E1219" s="107"/>
      <c r="F1219" s="4"/>
      <c r="G1219" s="4"/>
      <c r="H1219" s="4"/>
      <c r="I1219" s="4"/>
      <c r="J1219" s="4"/>
      <c r="K1219" s="4"/>
      <c r="L1219" s="174"/>
      <c r="M1219" s="174"/>
      <c r="N1219" s="4"/>
      <c r="O1219" s="7"/>
      <c r="P1219" s="7"/>
      <c r="Q1219" s="7"/>
      <c r="R1219" s="7"/>
      <c r="S1219" s="7"/>
      <c r="T1219" s="7"/>
      <c r="U1219" s="7"/>
      <c r="V1219" s="7"/>
      <c r="W1219" s="7"/>
      <c r="X1219" s="7"/>
      <c r="Y1219" s="7"/>
      <c r="Z1219" s="7"/>
      <c r="AA1219" s="7"/>
      <c r="AB1219" s="7"/>
    </row>
    <row r="1220" spans="1:28" x14ac:dyDescent="0.2">
      <c r="A1220" s="4"/>
      <c r="B1220" s="4"/>
      <c r="C1220" s="4"/>
      <c r="D1220" s="27"/>
      <c r="E1220" s="107"/>
      <c r="F1220" s="4"/>
      <c r="G1220" s="4"/>
      <c r="H1220" s="4"/>
      <c r="I1220" s="4"/>
      <c r="J1220" s="4"/>
      <c r="K1220" s="4"/>
      <c r="L1220" s="174"/>
      <c r="M1220" s="174"/>
      <c r="N1220" s="4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  <c r="AA1220" s="7"/>
      <c r="AB1220" s="7"/>
    </row>
    <row r="1221" spans="1:28" x14ac:dyDescent="0.2">
      <c r="A1221" s="4"/>
      <c r="B1221" s="4"/>
      <c r="C1221" s="4"/>
      <c r="D1221" s="27"/>
      <c r="E1221" s="107"/>
      <c r="F1221" s="4"/>
      <c r="G1221" s="4"/>
      <c r="H1221" s="4"/>
      <c r="I1221" s="4"/>
      <c r="J1221" s="4"/>
      <c r="K1221" s="4"/>
      <c r="L1221" s="174"/>
      <c r="M1221" s="174"/>
      <c r="N1221" s="4"/>
      <c r="O1221" s="7"/>
      <c r="P1221" s="7"/>
      <c r="Q1221" s="7"/>
      <c r="R1221" s="7"/>
      <c r="S1221" s="7"/>
      <c r="T1221" s="7"/>
      <c r="U1221" s="7"/>
      <c r="V1221" s="7"/>
      <c r="W1221" s="7"/>
      <c r="X1221" s="7"/>
      <c r="Y1221" s="7"/>
      <c r="Z1221" s="7"/>
      <c r="AA1221" s="7"/>
      <c r="AB1221" s="7"/>
    </row>
    <row r="1222" spans="1:28" x14ac:dyDescent="0.2">
      <c r="A1222" s="4"/>
      <c r="B1222" s="4"/>
      <c r="C1222" s="4"/>
      <c r="D1222" s="27"/>
      <c r="E1222" s="107"/>
      <c r="F1222" s="4"/>
      <c r="G1222" s="4"/>
      <c r="H1222" s="4"/>
      <c r="I1222" s="4"/>
      <c r="J1222" s="4"/>
      <c r="K1222" s="4"/>
      <c r="L1222" s="174"/>
      <c r="M1222" s="174"/>
      <c r="N1222" s="4"/>
      <c r="O1222" s="7"/>
      <c r="P1222" s="7"/>
      <c r="Q1222" s="7"/>
      <c r="R1222" s="7"/>
      <c r="S1222" s="7"/>
      <c r="T1222" s="7"/>
      <c r="U1222" s="7"/>
      <c r="V1222" s="7"/>
      <c r="W1222" s="7"/>
      <c r="X1222" s="7"/>
      <c r="Y1222" s="7"/>
      <c r="Z1222" s="7"/>
      <c r="AA1222" s="7"/>
      <c r="AB1222" s="7"/>
    </row>
    <row r="1223" spans="1:28" x14ac:dyDescent="0.2">
      <c r="A1223" s="4"/>
      <c r="B1223" s="4"/>
      <c r="C1223" s="4"/>
      <c r="D1223" s="27"/>
      <c r="E1223" s="107"/>
      <c r="F1223" s="4"/>
      <c r="G1223" s="4"/>
      <c r="H1223" s="4"/>
      <c r="I1223" s="4"/>
      <c r="J1223" s="4"/>
      <c r="K1223" s="4"/>
      <c r="L1223" s="174"/>
      <c r="M1223" s="174"/>
      <c r="N1223" s="4"/>
      <c r="O1223" s="7"/>
      <c r="P1223" s="7"/>
      <c r="Q1223" s="7"/>
      <c r="R1223" s="7"/>
      <c r="S1223" s="7"/>
      <c r="T1223" s="7"/>
      <c r="U1223" s="7"/>
      <c r="V1223" s="7"/>
      <c r="W1223" s="7"/>
      <c r="X1223" s="7"/>
      <c r="Y1223" s="7"/>
      <c r="Z1223" s="7"/>
      <c r="AA1223" s="7"/>
      <c r="AB1223" s="7"/>
    </row>
    <row r="1224" spans="1:28" x14ac:dyDescent="0.2">
      <c r="A1224" s="4"/>
      <c r="B1224" s="4"/>
      <c r="C1224" s="4"/>
      <c r="D1224" s="27"/>
      <c r="E1224" s="107"/>
      <c r="F1224" s="4"/>
      <c r="G1224" s="4"/>
      <c r="H1224" s="4"/>
      <c r="I1224" s="4"/>
      <c r="J1224" s="4"/>
      <c r="K1224" s="4"/>
      <c r="L1224" s="174"/>
      <c r="M1224" s="174"/>
      <c r="N1224" s="4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  <c r="AA1224" s="7"/>
      <c r="AB1224" s="7"/>
    </row>
    <row r="1225" spans="1:28" x14ac:dyDescent="0.2">
      <c r="A1225" s="4"/>
      <c r="B1225" s="4"/>
      <c r="C1225" s="4"/>
      <c r="D1225" s="27"/>
      <c r="E1225" s="107"/>
      <c r="F1225" s="4"/>
      <c r="G1225" s="4"/>
      <c r="H1225" s="4"/>
      <c r="I1225" s="4"/>
      <c r="J1225" s="4"/>
      <c r="K1225" s="4"/>
      <c r="L1225" s="174"/>
      <c r="M1225" s="174"/>
      <c r="N1225" s="4"/>
      <c r="O1225" s="7"/>
      <c r="P1225" s="7"/>
      <c r="Q1225" s="7"/>
      <c r="R1225" s="7"/>
      <c r="S1225" s="7"/>
      <c r="T1225" s="7"/>
      <c r="U1225" s="7"/>
      <c r="V1225" s="7"/>
      <c r="W1225" s="7"/>
      <c r="X1225" s="7"/>
      <c r="Y1225" s="7"/>
      <c r="Z1225" s="7"/>
      <c r="AA1225" s="7"/>
      <c r="AB1225" s="7"/>
    </row>
    <row r="1226" spans="1:28" x14ac:dyDescent="0.2">
      <c r="A1226" s="4"/>
      <c r="B1226" s="4"/>
      <c r="C1226" s="4"/>
      <c r="D1226" s="27"/>
      <c r="E1226" s="107"/>
      <c r="F1226" s="4"/>
      <c r="G1226" s="4"/>
      <c r="H1226" s="4"/>
      <c r="I1226" s="4"/>
      <c r="J1226" s="4"/>
      <c r="K1226" s="4"/>
      <c r="L1226" s="174"/>
      <c r="M1226" s="174"/>
      <c r="N1226" s="4"/>
      <c r="O1226" s="7"/>
      <c r="P1226" s="7"/>
      <c r="Q1226" s="7"/>
      <c r="R1226" s="7"/>
      <c r="S1226" s="7"/>
      <c r="T1226" s="7"/>
      <c r="U1226" s="7"/>
      <c r="V1226" s="7"/>
      <c r="W1226" s="7"/>
      <c r="X1226" s="7"/>
      <c r="Y1226" s="7"/>
      <c r="Z1226" s="7"/>
      <c r="AA1226" s="7"/>
      <c r="AB1226" s="7"/>
    </row>
    <row r="1227" spans="1:28" x14ac:dyDescent="0.2">
      <c r="A1227" s="4"/>
      <c r="B1227" s="4"/>
      <c r="C1227" s="4"/>
      <c r="D1227" s="27"/>
      <c r="E1227" s="107"/>
      <c r="F1227" s="4"/>
      <c r="G1227" s="4"/>
      <c r="H1227" s="4"/>
      <c r="I1227" s="4"/>
      <c r="J1227" s="4"/>
      <c r="K1227" s="4"/>
      <c r="L1227" s="174"/>
      <c r="M1227" s="174"/>
      <c r="N1227" s="4"/>
      <c r="O1227" s="7"/>
      <c r="P1227" s="7"/>
      <c r="Q1227" s="7"/>
      <c r="R1227" s="7"/>
      <c r="S1227" s="7"/>
      <c r="T1227" s="7"/>
      <c r="U1227" s="7"/>
      <c r="V1227" s="7"/>
      <c r="W1227" s="7"/>
      <c r="X1227" s="7"/>
      <c r="Y1227" s="7"/>
      <c r="Z1227" s="7"/>
      <c r="AA1227" s="7"/>
      <c r="AB1227" s="7"/>
    </row>
    <row r="1228" spans="1:28" x14ac:dyDescent="0.2">
      <c r="A1228" s="4"/>
      <c r="B1228" s="4"/>
      <c r="C1228" s="4"/>
      <c r="D1228" s="27"/>
      <c r="E1228" s="107"/>
      <c r="F1228" s="4"/>
      <c r="G1228" s="4"/>
      <c r="H1228" s="4"/>
      <c r="I1228" s="4"/>
      <c r="J1228" s="4"/>
      <c r="K1228" s="4"/>
      <c r="L1228" s="174"/>
      <c r="M1228" s="174"/>
      <c r="N1228" s="4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  <c r="AA1228" s="7"/>
      <c r="AB1228" s="7"/>
    </row>
    <row r="1229" spans="1:28" x14ac:dyDescent="0.2">
      <c r="A1229" s="4"/>
      <c r="B1229" s="4"/>
      <c r="C1229" s="4"/>
      <c r="D1229" s="27"/>
      <c r="E1229" s="107"/>
      <c r="F1229" s="4"/>
      <c r="G1229" s="4"/>
      <c r="H1229" s="4"/>
      <c r="I1229" s="4"/>
      <c r="J1229" s="4"/>
      <c r="K1229" s="4"/>
      <c r="L1229" s="174"/>
      <c r="M1229" s="174"/>
      <c r="N1229" s="4"/>
      <c r="O1229" s="7"/>
      <c r="P1229" s="7"/>
      <c r="Q1229" s="7"/>
      <c r="R1229" s="7"/>
      <c r="S1229" s="7"/>
      <c r="T1229" s="7"/>
      <c r="U1229" s="7"/>
      <c r="V1229" s="7"/>
      <c r="W1229" s="7"/>
      <c r="X1229" s="7"/>
      <c r="Y1229" s="7"/>
      <c r="Z1229" s="7"/>
      <c r="AA1229" s="7"/>
      <c r="AB1229" s="7"/>
    </row>
    <row r="1230" spans="1:28" x14ac:dyDescent="0.2">
      <c r="A1230" s="4"/>
      <c r="B1230" s="4"/>
      <c r="C1230" s="4"/>
      <c r="D1230" s="27"/>
      <c r="E1230" s="107"/>
      <c r="F1230" s="4"/>
      <c r="G1230" s="4"/>
      <c r="H1230" s="4"/>
      <c r="I1230" s="4"/>
      <c r="J1230" s="4"/>
      <c r="K1230" s="4"/>
      <c r="L1230" s="174"/>
      <c r="M1230" s="174"/>
      <c r="N1230" s="4"/>
      <c r="O1230" s="7"/>
      <c r="P1230" s="7"/>
      <c r="Q1230" s="7"/>
      <c r="R1230" s="7"/>
      <c r="S1230" s="7"/>
      <c r="T1230" s="7"/>
      <c r="U1230" s="7"/>
      <c r="V1230" s="7"/>
      <c r="W1230" s="7"/>
      <c r="X1230" s="7"/>
      <c r="Y1230" s="7"/>
      <c r="Z1230" s="7"/>
      <c r="AA1230" s="7"/>
      <c r="AB1230" s="7"/>
    </row>
    <row r="1231" spans="1:28" x14ac:dyDescent="0.2">
      <c r="A1231" s="4"/>
      <c r="B1231" s="4"/>
      <c r="C1231" s="4"/>
      <c r="D1231" s="27"/>
      <c r="E1231" s="107"/>
      <c r="F1231" s="4"/>
      <c r="G1231" s="4"/>
      <c r="H1231" s="4"/>
      <c r="I1231" s="4"/>
      <c r="J1231" s="4"/>
      <c r="K1231" s="4"/>
      <c r="L1231" s="174"/>
      <c r="M1231" s="174"/>
      <c r="N1231" s="4"/>
      <c r="O1231" s="7"/>
      <c r="P1231" s="7"/>
      <c r="Q1231" s="7"/>
      <c r="R1231" s="7"/>
      <c r="S1231" s="7"/>
      <c r="T1231" s="7"/>
      <c r="U1231" s="7"/>
      <c r="V1231" s="7"/>
      <c r="W1231" s="7"/>
      <c r="X1231" s="7"/>
      <c r="Y1231" s="7"/>
      <c r="Z1231" s="7"/>
      <c r="AA1231" s="7"/>
      <c r="AB1231" s="7"/>
    </row>
    <row r="1232" spans="1:28" x14ac:dyDescent="0.2">
      <c r="A1232" s="4"/>
      <c r="B1232" s="4"/>
      <c r="C1232" s="4"/>
      <c r="D1232" s="27"/>
      <c r="E1232" s="107"/>
      <c r="F1232" s="4"/>
      <c r="G1232" s="4"/>
      <c r="H1232" s="4"/>
      <c r="I1232" s="4"/>
      <c r="J1232" s="4"/>
      <c r="K1232" s="4"/>
      <c r="L1232" s="174"/>
      <c r="M1232" s="174"/>
      <c r="N1232" s="4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  <c r="AA1232" s="7"/>
      <c r="AB1232" s="7"/>
    </row>
    <row r="1233" spans="1:28" x14ac:dyDescent="0.2">
      <c r="A1233" s="4"/>
      <c r="B1233" s="4"/>
      <c r="C1233" s="4"/>
      <c r="D1233" s="27"/>
      <c r="E1233" s="107"/>
      <c r="F1233" s="4"/>
      <c r="G1233" s="4"/>
      <c r="H1233" s="4"/>
      <c r="I1233" s="4"/>
      <c r="J1233" s="4"/>
      <c r="K1233" s="4"/>
      <c r="L1233" s="174"/>
      <c r="M1233" s="174"/>
      <c r="N1233" s="4"/>
      <c r="O1233" s="7"/>
      <c r="P1233" s="7"/>
      <c r="Q1233" s="7"/>
      <c r="R1233" s="7"/>
      <c r="S1233" s="7"/>
      <c r="T1233" s="7"/>
      <c r="U1233" s="7"/>
      <c r="V1233" s="7"/>
      <c r="W1233" s="7"/>
      <c r="X1233" s="7"/>
      <c r="Y1233" s="7"/>
      <c r="Z1233" s="7"/>
      <c r="AA1233" s="7"/>
      <c r="AB1233" s="7"/>
    </row>
    <row r="1234" spans="1:28" x14ac:dyDescent="0.2">
      <c r="A1234" s="4"/>
      <c r="B1234" s="4"/>
      <c r="C1234" s="4"/>
      <c r="D1234" s="27"/>
      <c r="E1234" s="107"/>
      <c r="F1234" s="4"/>
      <c r="G1234" s="4"/>
      <c r="H1234" s="4"/>
      <c r="I1234" s="4"/>
      <c r="J1234" s="4"/>
      <c r="K1234" s="4"/>
      <c r="L1234" s="174"/>
      <c r="M1234" s="174"/>
      <c r="N1234" s="4"/>
      <c r="O1234" s="7"/>
      <c r="P1234" s="7"/>
      <c r="Q1234" s="7"/>
      <c r="R1234" s="7"/>
      <c r="S1234" s="7"/>
      <c r="T1234" s="7"/>
      <c r="U1234" s="7"/>
      <c r="V1234" s="7"/>
      <c r="W1234" s="7"/>
      <c r="X1234" s="7"/>
      <c r="Y1234" s="7"/>
      <c r="Z1234" s="7"/>
      <c r="AA1234" s="7"/>
      <c r="AB1234" s="7"/>
    </row>
    <row r="1235" spans="1:28" x14ac:dyDescent="0.2">
      <c r="A1235" s="4"/>
      <c r="B1235" s="4"/>
      <c r="C1235" s="4"/>
      <c r="D1235" s="27"/>
      <c r="E1235" s="107"/>
      <c r="F1235" s="4"/>
      <c r="G1235" s="4"/>
      <c r="H1235" s="4"/>
      <c r="I1235" s="4"/>
      <c r="J1235" s="4"/>
      <c r="K1235" s="4"/>
      <c r="L1235" s="174"/>
      <c r="M1235" s="174"/>
      <c r="N1235" s="4"/>
      <c r="O1235" s="7"/>
      <c r="P1235" s="7"/>
      <c r="Q1235" s="7"/>
      <c r="R1235" s="7"/>
      <c r="S1235" s="7"/>
      <c r="T1235" s="7"/>
      <c r="U1235" s="7"/>
      <c r="V1235" s="7"/>
      <c r="W1235" s="7"/>
      <c r="X1235" s="7"/>
      <c r="Y1235" s="7"/>
      <c r="Z1235" s="7"/>
      <c r="AA1235" s="7"/>
      <c r="AB1235" s="7"/>
    </row>
    <row r="1236" spans="1:28" x14ac:dyDescent="0.2">
      <c r="A1236" s="4"/>
      <c r="B1236" s="4"/>
      <c r="C1236" s="4"/>
      <c r="D1236" s="27"/>
      <c r="E1236" s="107"/>
      <c r="F1236" s="4"/>
      <c r="G1236" s="4"/>
      <c r="H1236" s="4"/>
      <c r="I1236" s="4"/>
      <c r="J1236" s="4"/>
      <c r="K1236" s="4"/>
      <c r="L1236" s="174"/>
      <c r="M1236" s="174"/>
      <c r="N1236" s="4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  <c r="AA1236" s="7"/>
      <c r="AB1236" s="7"/>
    </row>
    <row r="1237" spans="1:28" x14ac:dyDescent="0.2">
      <c r="A1237" s="4"/>
      <c r="B1237" s="4"/>
      <c r="C1237" s="4"/>
      <c r="D1237" s="27"/>
      <c r="E1237" s="107"/>
      <c r="F1237" s="4"/>
      <c r="G1237" s="4"/>
      <c r="H1237" s="4"/>
      <c r="I1237" s="4"/>
      <c r="J1237" s="4"/>
      <c r="K1237" s="4"/>
      <c r="L1237" s="174"/>
      <c r="M1237" s="174"/>
      <c r="N1237" s="4"/>
      <c r="O1237" s="7"/>
      <c r="P1237" s="7"/>
      <c r="Q1237" s="7"/>
      <c r="R1237" s="7"/>
      <c r="S1237" s="7"/>
      <c r="T1237" s="7"/>
      <c r="U1237" s="7"/>
      <c r="V1237" s="7"/>
      <c r="W1237" s="7"/>
      <c r="X1237" s="7"/>
      <c r="Y1237" s="7"/>
      <c r="Z1237" s="7"/>
      <c r="AA1237" s="7"/>
      <c r="AB1237" s="7"/>
    </row>
    <row r="1238" spans="1:28" x14ac:dyDescent="0.2">
      <c r="A1238" s="4"/>
      <c r="B1238" s="4"/>
      <c r="C1238" s="4"/>
      <c r="D1238" s="27"/>
      <c r="E1238" s="107"/>
      <c r="F1238" s="4"/>
      <c r="G1238" s="4"/>
      <c r="H1238" s="4"/>
      <c r="I1238" s="4"/>
      <c r="J1238" s="4"/>
      <c r="K1238" s="4"/>
      <c r="L1238" s="174"/>
      <c r="M1238" s="174"/>
      <c r="N1238" s="4"/>
      <c r="O1238" s="7"/>
      <c r="P1238" s="7"/>
      <c r="Q1238" s="7"/>
      <c r="R1238" s="7"/>
      <c r="S1238" s="7"/>
      <c r="T1238" s="7"/>
      <c r="U1238" s="7"/>
      <c r="V1238" s="7"/>
      <c r="W1238" s="7"/>
      <c r="X1238" s="7"/>
      <c r="Y1238" s="7"/>
      <c r="Z1238" s="7"/>
      <c r="AA1238" s="7"/>
      <c r="AB1238" s="7"/>
    </row>
    <row r="1239" spans="1:28" x14ac:dyDescent="0.2">
      <c r="A1239" s="4"/>
      <c r="B1239" s="4"/>
      <c r="C1239" s="4"/>
      <c r="D1239" s="27"/>
      <c r="E1239" s="107"/>
      <c r="F1239" s="4"/>
      <c r="G1239" s="4"/>
      <c r="H1239" s="4"/>
      <c r="I1239" s="4"/>
      <c r="J1239" s="4"/>
      <c r="K1239" s="4"/>
      <c r="L1239" s="174"/>
      <c r="M1239" s="174"/>
      <c r="N1239" s="4"/>
      <c r="O1239" s="7"/>
      <c r="P1239" s="7"/>
      <c r="Q1239" s="7"/>
      <c r="R1239" s="7"/>
      <c r="S1239" s="7"/>
      <c r="T1239" s="7"/>
      <c r="U1239" s="7"/>
      <c r="V1239" s="7"/>
      <c r="W1239" s="7"/>
      <c r="X1239" s="7"/>
      <c r="Y1239" s="7"/>
      <c r="Z1239" s="7"/>
      <c r="AA1239" s="7"/>
      <c r="AB1239" s="7"/>
    </row>
    <row r="1240" spans="1:28" x14ac:dyDescent="0.2">
      <c r="A1240" s="4"/>
      <c r="B1240" s="4"/>
      <c r="C1240" s="4"/>
      <c r="D1240" s="27"/>
      <c r="E1240" s="107"/>
      <c r="F1240" s="4"/>
      <c r="G1240" s="4"/>
      <c r="H1240" s="4"/>
      <c r="I1240" s="4"/>
      <c r="J1240" s="4"/>
      <c r="K1240" s="4"/>
      <c r="L1240" s="174"/>
      <c r="M1240" s="174"/>
      <c r="N1240" s="4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  <c r="AA1240" s="7"/>
      <c r="AB1240" s="7"/>
    </row>
    <row r="1241" spans="1:28" x14ac:dyDescent="0.2">
      <c r="A1241" s="4"/>
      <c r="B1241" s="4"/>
      <c r="C1241" s="4"/>
      <c r="D1241" s="27"/>
      <c r="E1241" s="107"/>
      <c r="F1241" s="4"/>
      <c r="G1241" s="4"/>
      <c r="H1241" s="4"/>
      <c r="I1241" s="4"/>
      <c r="J1241" s="4"/>
      <c r="K1241" s="4"/>
      <c r="L1241" s="174"/>
      <c r="M1241" s="174"/>
      <c r="N1241" s="4"/>
      <c r="O1241" s="7"/>
      <c r="P1241" s="7"/>
      <c r="Q1241" s="7"/>
      <c r="R1241" s="7"/>
      <c r="S1241" s="7"/>
      <c r="T1241" s="7"/>
      <c r="U1241" s="7"/>
      <c r="V1241" s="7"/>
      <c r="W1241" s="7"/>
      <c r="X1241" s="7"/>
      <c r="Y1241" s="7"/>
      <c r="Z1241" s="7"/>
      <c r="AA1241" s="7"/>
      <c r="AB1241" s="7"/>
    </row>
    <row r="1242" spans="1:28" x14ac:dyDescent="0.2">
      <c r="A1242" s="4"/>
      <c r="B1242" s="4"/>
      <c r="C1242" s="4"/>
      <c r="D1242" s="27"/>
      <c r="E1242" s="107"/>
      <c r="F1242" s="4"/>
      <c r="G1242" s="4"/>
      <c r="H1242" s="4"/>
      <c r="I1242" s="4"/>
      <c r="J1242" s="4"/>
      <c r="K1242" s="4"/>
      <c r="L1242" s="174"/>
      <c r="M1242" s="174"/>
      <c r="N1242" s="4"/>
      <c r="O1242" s="7"/>
      <c r="P1242" s="7"/>
      <c r="Q1242" s="7"/>
      <c r="R1242" s="7"/>
      <c r="S1242" s="7"/>
      <c r="T1242" s="7"/>
      <c r="U1242" s="7"/>
      <c r="V1242" s="7"/>
      <c r="W1242" s="7"/>
      <c r="X1242" s="7"/>
      <c r="Y1242" s="7"/>
      <c r="Z1242" s="7"/>
      <c r="AA1242" s="7"/>
      <c r="AB1242" s="7"/>
    </row>
    <row r="1243" spans="1:28" x14ac:dyDescent="0.2">
      <c r="A1243" s="4"/>
      <c r="B1243" s="4"/>
      <c r="C1243" s="4"/>
      <c r="D1243" s="27"/>
      <c r="E1243" s="107"/>
      <c r="F1243" s="4"/>
      <c r="G1243" s="4"/>
      <c r="H1243" s="4"/>
      <c r="I1243" s="4"/>
      <c r="J1243" s="4"/>
      <c r="K1243" s="4"/>
      <c r="L1243" s="174"/>
      <c r="M1243" s="174"/>
      <c r="N1243" s="4"/>
      <c r="O1243" s="7"/>
      <c r="P1243" s="7"/>
      <c r="Q1243" s="7"/>
      <c r="R1243" s="7"/>
      <c r="S1243" s="7"/>
      <c r="T1243" s="7"/>
      <c r="U1243" s="7"/>
      <c r="V1243" s="7"/>
      <c r="W1243" s="7"/>
      <c r="X1243" s="7"/>
      <c r="Y1243" s="7"/>
      <c r="Z1243" s="7"/>
      <c r="AA1243" s="7"/>
      <c r="AB1243" s="7"/>
    </row>
    <row r="1244" spans="1:28" x14ac:dyDescent="0.2">
      <c r="A1244" s="4"/>
      <c r="B1244" s="4"/>
      <c r="C1244" s="4"/>
      <c r="D1244" s="27"/>
      <c r="E1244" s="107"/>
      <c r="F1244" s="4"/>
      <c r="G1244" s="4"/>
      <c r="H1244" s="4"/>
      <c r="I1244" s="4"/>
      <c r="J1244" s="4"/>
      <c r="K1244" s="4"/>
      <c r="L1244" s="174"/>
      <c r="M1244" s="174"/>
      <c r="N1244" s="4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  <c r="AA1244" s="7"/>
      <c r="AB1244" s="7"/>
    </row>
    <row r="1245" spans="1:28" x14ac:dyDescent="0.2">
      <c r="A1245" s="4"/>
      <c r="B1245" s="4"/>
      <c r="C1245" s="4"/>
      <c r="D1245" s="27"/>
      <c r="E1245" s="107"/>
      <c r="F1245" s="4"/>
      <c r="G1245" s="4"/>
      <c r="H1245" s="4"/>
      <c r="I1245" s="4"/>
      <c r="J1245" s="4"/>
      <c r="K1245" s="4"/>
      <c r="L1245" s="174"/>
      <c r="M1245" s="174"/>
      <c r="N1245" s="4"/>
      <c r="O1245" s="7"/>
      <c r="P1245" s="7"/>
      <c r="Q1245" s="7"/>
      <c r="R1245" s="7"/>
      <c r="S1245" s="7"/>
      <c r="T1245" s="7"/>
      <c r="U1245" s="7"/>
      <c r="V1245" s="7"/>
      <c r="W1245" s="7"/>
      <c r="X1245" s="7"/>
      <c r="Y1245" s="7"/>
      <c r="Z1245" s="7"/>
      <c r="AA1245" s="7"/>
      <c r="AB1245" s="7"/>
    </row>
    <row r="1246" spans="1:28" x14ac:dyDescent="0.2">
      <c r="A1246" s="4"/>
      <c r="B1246" s="4"/>
      <c r="C1246" s="4"/>
      <c r="D1246" s="27"/>
      <c r="E1246" s="107"/>
      <c r="F1246" s="4"/>
      <c r="G1246" s="4"/>
      <c r="H1246" s="4"/>
      <c r="I1246" s="4"/>
      <c r="J1246" s="4"/>
      <c r="K1246" s="4"/>
      <c r="L1246" s="174"/>
      <c r="M1246" s="174"/>
      <c r="N1246" s="4"/>
      <c r="O1246" s="7"/>
      <c r="P1246" s="7"/>
      <c r="Q1246" s="7"/>
      <c r="R1246" s="7"/>
      <c r="S1246" s="7"/>
      <c r="T1246" s="7"/>
      <c r="U1246" s="7"/>
      <c r="V1246" s="7"/>
      <c r="W1246" s="7"/>
      <c r="X1246" s="7"/>
      <c r="Y1246" s="7"/>
      <c r="Z1246" s="7"/>
      <c r="AA1246" s="7"/>
      <c r="AB1246" s="7"/>
    </row>
    <row r="1247" spans="1:28" x14ac:dyDescent="0.2">
      <c r="A1247" s="4"/>
      <c r="B1247" s="4"/>
      <c r="C1247" s="4"/>
      <c r="D1247" s="27"/>
      <c r="E1247" s="107"/>
      <c r="F1247" s="4"/>
      <c r="G1247" s="4"/>
      <c r="H1247" s="4"/>
      <c r="I1247" s="4"/>
      <c r="J1247" s="4"/>
      <c r="K1247" s="4"/>
      <c r="L1247" s="174"/>
      <c r="M1247" s="174"/>
      <c r="N1247" s="4"/>
      <c r="O1247" s="7"/>
      <c r="P1247" s="7"/>
      <c r="Q1247" s="7"/>
      <c r="R1247" s="7"/>
      <c r="S1247" s="7"/>
      <c r="T1247" s="7"/>
      <c r="U1247" s="7"/>
      <c r="V1247" s="7"/>
      <c r="W1247" s="7"/>
      <c r="X1247" s="7"/>
      <c r="Y1247" s="7"/>
      <c r="Z1247" s="7"/>
      <c r="AA1247" s="7"/>
      <c r="AB1247" s="7"/>
    </row>
    <row r="1248" spans="1:28" x14ac:dyDescent="0.2">
      <c r="A1248" s="4"/>
      <c r="B1248" s="4"/>
      <c r="C1248" s="4"/>
      <c r="D1248" s="27"/>
      <c r="E1248" s="107"/>
      <c r="F1248" s="4"/>
      <c r="G1248" s="4"/>
      <c r="H1248" s="4"/>
      <c r="I1248" s="4"/>
      <c r="J1248" s="4"/>
      <c r="K1248" s="4"/>
      <c r="L1248" s="174"/>
      <c r="M1248" s="174"/>
      <c r="N1248" s="4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  <c r="AA1248" s="7"/>
      <c r="AB1248" s="7"/>
    </row>
    <row r="1249" spans="1:28" x14ac:dyDescent="0.2">
      <c r="A1249" s="4"/>
      <c r="B1249" s="4"/>
      <c r="C1249" s="4"/>
      <c r="D1249" s="27"/>
      <c r="E1249" s="107"/>
      <c r="F1249" s="4"/>
      <c r="G1249" s="4"/>
      <c r="H1249" s="4"/>
      <c r="I1249" s="4"/>
      <c r="J1249" s="4"/>
      <c r="K1249" s="4"/>
      <c r="L1249" s="174"/>
      <c r="M1249" s="174"/>
      <c r="N1249" s="4"/>
      <c r="O1249" s="7"/>
      <c r="P1249" s="7"/>
      <c r="Q1249" s="7"/>
      <c r="R1249" s="7"/>
      <c r="S1249" s="7"/>
      <c r="T1249" s="7"/>
      <c r="U1249" s="7"/>
      <c r="V1249" s="7"/>
      <c r="W1249" s="7"/>
      <c r="X1249" s="7"/>
      <c r="Y1249" s="7"/>
      <c r="Z1249" s="7"/>
      <c r="AA1249" s="7"/>
      <c r="AB1249" s="7"/>
    </row>
    <row r="1250" spans="1:28" x14ac:dyDescent="0.2">
      <c r="A1250" s="4"/>
      <c r="B1250" s="4"/>
      <c r="C1250" s="4"/>
      <c r="D1250" s="27"/>
      <c r="E1250" s="107"/>
      <c r="F1250" s="4"/>
      <c r="G1250" s="4"/>
      <c r="H1250" s="4"/>
      <c r="I1250" s="4"/>
      <c r="J1250" s="4"/>
      <c r="K1250" s="4"/>
      <c r="L1250" s="174"/>
      <c r="M1250" s="174"/>
      <c r="N1250" s="4"/>
      <c r="O1250" s="7"/>
      <c r="P1250" s="7"/>
      <c r="Q1250" s="7"/>
      <c r="R1250" s="7"/>
      <c r="S1250" s="7"/>
      <c r="T1250" s="7"/>
      <c r="U1250" s="7"/>
      <c r="V1250" s="7"/>
      <c r="W1250" s="7"/>
      <c r="X1250" s="7"/>
      <c r="Y1250" s="7"/>
      <c r="Z1250" s="7"/>
      <c r="AA1250" s="7"/>
      <c r="AB1250" s="7"/>
    </row>
    <row r="1251" spans="1:28" x14ac:dyDescent="0.2">
      <c r="A1251" s="4"/>
      <c r="B1251" s="4"/>
      <c r="C1251" s="4"/>
      <c r="D1251" s="27"/>
      <c r="E1251" s="107"/>
      <c r="F1251" s="4"/>
      <c r="G1251" s="4"/>
      <c r="H1251" s="4"/>
      <c r="I1251" s="4"/>
      <c r="J1251" s="4"/>
      <c r="K1251" s="4"/>
      <c r="L1251" s="174"/>
      <c r="M1251" s="174"/>
      <c r="N1251" s="4"/>
      <c r="O1251" s="7"/>
      <c r="P1251" s="7"/>
      <c r="Q1251" s="7"/>
      <c r="R1251" s="7"/>
      <c r="S1251" s="7"/>
      <c r="T1251" s="7"/>
      <c r="U1251" s="7"/>
      <c r="V1251" s="7"/>
      <c r="W1251" s="7"/>
      <c r="X1251" s="7"/>
      <c r="Y1251" s="7"/>
      <c r="Z1251" s="7"/>
      <c r="AA1251" s="7"/>
      <c r="AB1251" s="7"/>
    </row>
    <row r="1252" spans="1:28" x14ac:dyDescent="0.2">
      <c r="A1252" s="4"/>
      <c r="B1252" s="4"/>
      <c r="C1252" s="4"/>
      <c r="D1252" s="27"/>
      <c r="E1252" s="107"/>
      <c r="F1252" s="4"/>
      <c r="G1252" s="4"/>
      <c r="H1252" s="4"/>
      <c r="I1252" s="4"/>
      <c r="J1252" s="4"/>
      <c r="K1252" s="4"/>
      <c r="L1252" s="174"/>
      <c r="M1252" s="174"/>
      <c r="N1252" s="4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  <c r="AA1252" s="7"/>
      <c r="AB1252" s="7"/>
    </row>
    <row r="1253" spans="1:28" x14ac:dyDescent="0.2">
      <c r="A1253" s="4"/>
      <c r="B1253" s="4"/>
      <c r="C1253" s="4"/>
      <c r="D1253" s="27"/>
      <c r="E1253" s="107"/>
      <c r="F1253" s="4"/>
      <c r="G1253" s="4"/>
      <c r="H1253" s="4"/>
      <c r="I1253" s="4"/>
      <c r="J1253" s="4"/>
      <c r="K1253" s="4"/>
      <c r="L1253" s="174"/>
      <c r="M1253" s="174"/>
      <c r="N1253" s="4"/>
      <c r="O1253" s="7"/>
      <c r="P1253" s="7"/>
      <c r="Q1253" s="7"/>
      <c r="R1253" s="7"/>
      <c r="S1253" s="7"/>
      <c r="T1253" s="7"/>
      <c r="U1253" s="7"/>
      <c r="V1253" s="7"/>
      <c r="W1253" s="7"/>
      <c r="X1253" s="7"/>
      <c r="Y1253" s="7"/>
      <c r="Z1253" s="7"/>
      <c r="AA1253" s="7"/>
      <c r="AB1253" s="7"/>
    </row>
    <row r="1254" spans="1:28" x14ac:dyDescent="0.2">
      <c r="A1254" s="4"/>
      <c r="B1254" s="4"/>
      <c r="C1254" s="4"/>
      <c r="D1254" s="27"/>
      <c r="E1254" s="107"/>
      <c r="F1254" s="4"/>
      <c r="G1254" s="4"/>
      <c r="H1254" s="4"/>
      <c r="I1254" s="4"/>
      <c r="J1254" s="4"/>
      <c r="K1254" s="4"/>
      <c r="L1254" s="174"/>
      <c r="M1254" s="174"/>
      <c r="N1254" s="4"/>
      <c r="O1254" s="7"/>
      <c r="P1254" s="7"/>
      <c r="Q1254" s="7"/>
      <c r="R1254" s="7"/>
      <c r="S1254" s="7"/>
      <c r="T1254" s="7"/>
      <c r="U1254" s="7"/>
      <c r="V1254" s="7"/>
      <c r="W1254" s="7"/>
      <c r="X1254" s="7"/>
      <c r="Y1254" s="7"/>
      <c r="Z1254" s="7"/>
      <c r="AA1254" s="7"/>
      <c r="AB1254" s="7"/>
    </row>
    <row r="1255" spans="1:28" x14ac:dyDescent="0.2">
      <c r="A1255" s="4"/>
      <c r="B1255" s="4"/>
      <c r="C1255" s="4"/>
      <c r="D1255" s="27"/>
      <c r="E1255" s="107"/>
      <c r="F1255" s="4"/>
      <c r="G1255" s="4"/>
      <c r="H1255" s="4"/>
      <c r="I1255" s="4"/>
      <c r="J1255" s="4"/>
      <c r="K1255" s="4"/>
      <c r="L1255" s="174"/>
      <c r="M1255" s="174"/>
      <c r="N1255" s="4"/>
      <c r="O1255" s="7"/>
      <c r="P1255" s="7"/>
      <c r="Q1255" s="7"/>
      <c r="R1255" s="7"/>
      <c r="S1255" s="7"/>
      <c r="T1255" s="7"/>
      <c r="U1255" s="7"/>
      <c r="V1255" s="7"/>
      <c r="W1255" s="7"/>
      <c r="X1255" s="7"/>
      <c r="Y1255" s="7"/>
      <c r="Z1255" s="7"/>
      <c r="AA1255" s="7"/>
      <c r="AB1255" s="7"/>
    </row>
    <row r="1256" spans="1:28" x14ac:dyDescent="0.2">
      <c r="A1256" s="4"/>
      <c r="B1256" s="4"/>
      <c r="C1256" s="4"/>
      <c r="D1256" s="27"/>
      <c r="E1256" s="107"/>
      <c r="F1256" s="4"/>
      <c r="G1256" s="4"/>
      <c r="H1256" s="4"/>
      <c r="I1256" s="4"/>
      <c r="J1256" s="4"/>
      <c r="K1256" s="4"/>
      <c r="L1256" s="174"/>
      <c r="M1256" s="174"/>
      <c r="N1256" s="4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  <c r="AA1256" s="7"/>
      <c r="AB1256" s="7"/>
    </row>
    <row r="1257" spans="1:28" x14ac:dyDescent="0.2">
      <c r="A1257" s="4"/>
      <c r="B1257" s="4"/>
      <c r="C1257" s="4"/>
      <c r="D1257" s="27"/>
      <c r="E1257" s="107"/>
      <c r="F1257" s="4"/>
      <c r="G1257" s="4"/>
      <c r="H1257" s="4"/>
      <c r="I1257" s="4"/>
      <c r="J1257" s="4"/>
      <c r="K1257" s="4"/>
      <c r="L1257" s="174"/>
      <c r="M1257" s="174"/>
      <c r="N1257" s="4"/>
      <c r="O1257" s="7"/>
      <c r="P1257" s="7"/>
      <c r="Q1257" s="7"/>
      <c r="R1257" s="7"/>
      <c r="S1257" s="7"/>
      <c r="T1257" s="7"/>
      <c r="U1257" s="7"/>
      <c r="V1257" s="7"/>
      <c r="W1257" s="7"/>
      <c r="X1257" s="7"/>
      <c r="Y1257" s="7"/>
      <c r="Z1257" s="7"/>
      <c r="AA1257" s="7"/>
      <c r="AB1257" s="7"/>
    </row>
    <row r="1258" spans="1:28" x14ac:dyDescent="0.2">
      <c r="A1258" s="4"/>
      <c r="B1258" s="4"/>
      <c r="C1258" s="4"/>
      <c r="D1258" s="27"/>
      <c r="E1258" s="107"/>
      <c r="F1258" s="4"/>
      <c r="G1258" s="4"/>
      <c r="H1258" s="4"/>
      <c r="I1258" s="4"/>
      <c r="J1258" s="4"/>
      <c r="K1258" s="4"/>
      <c r="L1258" s="174"/>
      <c r="M1258" s="174"/>
      <c r="N1258" s="4"/>
      <c r="O1258" s="7"/>
      <c r="P1258" s="7"/>
      <c r="Q1258" s="7"/>
      <c r="R1258" s="7"/>
      <c r="S1258" s="7"/>
      <c r="T1258" s="7"/>
      <c r="U1258" s="7"/>
      <c r="V1258" s="7"/>
      <c r="W1258" s="7"/>
      <c r="X1258" s="7"/>
      <c r="Y1258" s="7"/>
      <c r="Z1258" s="7"/>
      <c r="AA1258" s="7"/>
      <c r="AB1258" s="7"/>
    </row>
    <row r="1259" spans="1:28" x14ac:dyDescent="0.2">
      <c r="A1259" s="4"/>
      <c r="B1259" s="4"/>
      <c r="C1259" s="4"/>
      <c r="D1259" s="27"/>
      <c r="E1259" s="107"/>
      <c r="F1259" s="4"/>
      <c r="G1259" s="4"/>
      <c r="H1259" s="4"/>
      <c r="I1259" s="4"/>
      <c r="J1259" s="4"/>
      <c r="K1259" s="4"/>
      <c r="L1259" s="174"/>
      <c r="M1259" s="174"/>
      <c r="N1259" s="4"/>
      <c r="O1259" s="7"/>
      <c r="P1259" s="7"/>
      <c r="Q1259" s="7"/>
      <c r="R1259" s="7"/>
      <c r="S1259" s="7"/>
      <c r="T1259" s="7"/>
      <c r="U1259" s="7"/>
      <c r="V1259" s="7"/>
      <c r="W1259" s="7"/>
      <c r="X1259" s="7"/>
      <c r="Y1259" s="7"/>
      <c r="Z1259" s="7"/>
      <c r="AA1259" s="7"/>
      <c r="AB1259" s="7"/>
    </row>
    <row r="1260" spans="1:28" x14ac:dyDescent="0.2">
      <c r="A1260" s="4"/>
      <c r="B1260" s="4"/>
      <c r="C1260" s="4"/>
      <c r="D1260" s="27"/>
      <c r="E1260" s="107"/>
      <c r="F1260" s="4"/>
      <c r="G1260" s="4"/>
      <c r="H1260" s="4"/>
      <c r="I1260" s="4"/>
      <c r="J1260" s="4"/>
      <c r="K1260" s="4"/>
      <c r="L1260" s="174"/>
      <c r="M1260" s="174"/>
      <c r="N1260" s="4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  <c r="AA1260" s="7"/>
      <c r="AB1260" s="7"/>
    </row>
    <row r="1261" spans="1:28" x14ac:dyDescent="0.2">
      <c r="A1261" s="4"/>
      <c r="B1261" s="4"/>
      <c r="C1261" s="4"/>
      <c r="D1261" s="27"/>
      <c r="E1261" s="107"/>
      <c r="F1261" s="4"/>
      <c r="G1261" s="4"/>
      <c r="H1261" s="4"/>
      <c r="I1261" s="4"/>
      <c r="J1261" s="4"/>
      <c r="K1261" s="4"/>
      <c r="L1261" s="174"/>
      <c r="M1261" s="174"/>
      <c r="N1261" s="4"/>
      <c r="O1261" s="7"/>
      <c r="P1261" s="7"/>
      <c r="Q1261" s="7"/>
      <c r="R1261" s="7"/>
      <c r="S1261" s="7"/>
      <c r="T1261" s="7"/>
      <c r="U1261" s="7"/>
      <c r="V1261" s="7"/>
      <c r="W1261" s="7"/>
      <c r="X1261" s="7"/>
      <c r="Y1261" s="7"/>
      <c r="Z1261" s="7"/>
      <c r="AA1261" s="7"/>
      <c r="AB1261" s="7"/>
    </row>
    <row r="1262" spans="1:28" x14ac:dyDescent="0.2">
      <c r="A1262" s="4"/>
      <c r="B1262" s="4"/>
      <c r="C1262" s="4"/>
      <c r="D1262" s="27"/>
      <c r="E1262" s="107"/>
      <c r="F1262" s="4"/>
      <c r="G1262" s="4"/>
      <c r="H1262" s="4"/>
      <c r="I1262" s="4"/>
      <c r="J1262" s="4"/>
      <c r="K1262" s="4"/>
      <c r="L1262" s="174"/>
      <c r="M1262" s="174"/>
      <c r="N1262" s="4"/>
      <c r="O1262" s="7"/>
      <c r="P1262" s="7"/>
      <c r="Q1262" s="7"/>
      <c r="R1262" s="7"/>
      <c r="S1262" s="7"/>
      <c r="T1262" s="7"/>
      <c r="U1262" s="7"/>
      <c r="V1262" s="7"/>
      <c r="W1262" s="7"/>
      <c r="X1262" s="7"/>
      <c r="Y1262" s="7"/>
      <c r="Z1262" s="7"/>
      <c r="AA1262" s="7"/>
      <c r="AB1262" s="7"/>
    </row>
    <row r="1263" spans="1:28" x14ac:dyDescent="0.2">
      <c r="A1263" s="4"/>
      <c r="B1263" s="4"/>
      <c r="C1263" s="4"/>
      <c r="D1263" s="27"/>
      <c r="E1263" s="107"/>
      <c r="F1263" s="4"/>
      <c r="G1263" s="4"/>
      <c r="H1263" s="4"/>
      <c r="I1263" s="4"/>
      <c r="J1263" s="4"/>
      <c r="K1263" s="4"/>
      <c r="L1263" s="174"/>
      <c r="M1263" s="174"/>
      <c r="N1263" s="4"/>
      <c r="O1263" s="7"/>
      <c r="P1263" s="7"/>
      <c r="Q1263" s="7"/>
      <c r="R1263" s="7"/>
      <c r="S1263" s="7"/>
      <c r="T1263" s="7"/>
      <c r="U1263" s="7"/>
      <c r="V1263" s="7"/>
      <c r="W1263" s="7"/>
      <c r="X1263" s="7"/>
      <c r="Y1263" s="7"/>
      <c r="Z1263" s="7"/>
      <c r="AA1263" s="7"/>
      <c r="AB1263" s="7"/>
    </row>
    <row r="1264" spans="1:28" x14ac:dyDescent="0.2">
      <c r="A1264" s="4"/>
      <c r="B1264" s="4"/>
      <c r="C1264" s="4"/>
      <c r="D1264" s="27"/>
      <c r="E1264" s="107"/>
      <c r="F1264" s="4"/>
      <c r="G1264" s="4"/>
      <c r="H1264" s="4"/>
      <c r="I1264" s="4"/>
      <c r="J1264" s="4"/>
      <c r="K1264" s="4"/>
      <c r="L1264" s="174"/>
      <c r="M1264" s="174"/>
      <c r="N1264" s="4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  <c r="AA1264" s="7"/>
      <c r="AB1264" s="7"/>
    </row>
    <row r="1265" spans="1:28" x14ac:dyDescent="0.2">
      <c r="A1265" s="4"/>
      <c r="B1265" s="4"/>
      <c r="C1265" s="4"/>
      <c r="D1265" s="27"/>
      <c r="E1265" s="107"/>
      <c r="F1265" s="4"/>
      <c r="G1265" s="4"/>
      <c r="H1265" s="4"/>
      <c r="I1265" s="4"/>
      <c r="J1265" s="4"/>
      <c r="K1265" s="4"/>
      <c r="L1265" s="174"/>
      <c r="M1265" s="174"/>
      <c r="N1265" s="4"/>
      <c r="O1265" s="7"/>
      <c r="P1265" s="7"/>
      <c r="Q1265" s="7"/>
      <c r="R1265" s="7"/>
      <c r="S1265" s="7"/>
      <c r="T1265" s="7"/>
      <c r="U1265" s="7"/>
      <c r="V1265" s="7"/>
      <c r="W1265" s="7"/>
      <c r="X1265" s="7"/>
      <c r="Y1265" s="7"/>
      <c r="Z1265" s="7"/>
      <c r="AA1265" s="7"/>
      <c r="AB1265" s="7"/>
    </row>
    <row r="1266" spans="1:28" x14ac:dyDescent="0.2">
      <c r="A1266" s="4"/>
      <c r="B1266" s="4"/>
      <c r="C1266" s="4"/>
      <c r="D1266" s="27"/>
      <c r="E1266" s="107"/>
      <c r="F1266" s="4"/>
      <c r="G1266" s="4"/>
      <c r="H1266" s="4"/>
      <c r="I1266" s="4"/>
      <c r="J1266" s="4"/>
      <c r="K1266" s="4"/>
      <c r="L1266" s="174"/>
      <c r="M1266" s="174"/>
      <c r="N1266" s="4"/>
      <c r="O1266" s="7"/>
      <c r="P1266" s="7"/>
      <c r="Q1266" s="7"/>
      <c r="R1266" s="7"/>
      <c r="S1266" s="7"/>
      <c r="T1266" s="7"/>
      <c r="U1266" s="7"/>
      <c r="V1266" s="7"/>
      <c r="W1266" s="7"/>
      <c r="X1266" s="7"/>
      <c r="Y1266" s="7"/>
      <c r="Z1266" s="7"/>
      <c r="AA1266" s="7"/>
      <c r="AB1266" s="7"/>
    </row>
    <row r="1267" spans="1:28" x14ac:dyDescent="0.2">
      <c r="A1267" s="4"/>
      <c r="B1267" s="4"/>
      <c r="C1267" s="4"/>
      <c r="D1267" s="27"/>
      <c r="E1267" s="107"/>
      <c r="F1267" s="4"/>
      <c r="G1267" s="4"/>
      <c r="H1267" s="4"/>
      <c r="I1267" s="4"/>
      <c r="J1267" s="4"/>
      <c r="K1267" s="4"/>
      <c r="L1267" s="174"/>
      <c r="M1267" s="174"/>
      <c r="N1267" s="4"/>
      <c r="O1267" s="7"/>
      <c r="P1267" s="7"/>
      <c r="Q1267" s="7"/>
      <c r="R1267" s="7"/>
      <c r="S1267" s="7"/>
      <c r="T1267" s="7"/>
      <c r="U1267" s="7"/>
      <c r="V1267" s="7"/>
      <c r="W1267" s="7"/>
      <c r="X1267" s="7"/>
      <c r="Y1267" s="7"/>
      <c r="Z1267" s="7"/>
      <c r="AA1267" s="7"/>
      <c r="AB1267" s="7"/>
    </row>
    <row r="1268" spans="1:28" x14ac:dyDescent="0.2">
      <c r="A1268" s="4"/>
      <c r="B1268" s="4"/>
      <c r="C1268" s="4"/>
      <c r="D1268" s="27"/>
      <c r="E1268" s="107"/>
      <c r="F1268" s="4"/>
      <c r="G1268" s="4"/>
      <c r="H1268" s="4"/>
      <c r="I1268" s="4"/>
      <c r="J1268" s="4"/>
      <c r="K1268" s="4"/>
      <c r="L1268" s="174"/>
      <c r="M1268" s="174"/>
      <c r="N1268" s="4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  <c r="AA1268" s="7"/>
      <c r="AB1268" s="7"/>
    </row>
    <row r="1269" spans="1:28" x14ac:dyDescent="0.2">
      <c r="A1269" s="4"/>
      <c r="B1269" s="4"/>
      <c r="C1269" s="4"/>
      <c r="D1269" s="27"/>
      <c r="E1269" s="107"/>
      <c r="F1269" s="4"/>
      <c r="G1269" s="4"/>
      <c r="H1269" s="4"/>
      <c r="I1269" s="4"/>
      <c r="J1269" s="4"/>
      <c r="K1269" s="4"/>
      <c r="L1269" s="174"/>
      <c r="M1269" s="174"/>
      <c r="N1269" s="4"/>
      <c r="O1269" s="7"/>
      <c r="P1269" s="7"/>
      <c r="Q1269" s="7"/>
      <c r="R1269" s="7"/>
      <c r="S1269" s="7"/>
      <c r="T1269" s="7"/>
      <c r="U1269" s="7"/>
      <c r="V1269" s="7"/>
      <c r="W1269" s="7"/>
      <c r="X1269" s="7"/>
      <c r="Y1269" s="7"/>
      <c r="Z1269" s="7"/>
      <c r="AA1269" s="7"/>
      <c r="AB1269" s="7"/>
    </row>
    <row r="1270" spans="1:28" x14ac:dyDescent="0.2">
      <c r="A1270" s="4"/>
      <c r="B1270" s="4"/>
      <c r="C1270" s="4"/>
      <c r="D1270" s="27"/>
      <c r="E1270" s="107"/>
      <c r="F1270" s="4"/>
      <c r="G1270" s="4"/>
      <c r="H1270" s="4"/>
      <c r="I1270" s="4"/>
      <c r="J1270" s="4"/>
      <c r="K1270" s="4"/>
      <c r="L1270" s="174"/>
      <c r="M1270" s="174"/>
      <c r="N1270" s="4"/>
      <c r="O1270" s="7"/>
      <c r="P1270" s="7"/>
      <c r="Q1270" s="7"/>
      <c r="R1270" s="7"/>
      <c r="S1270" s="7"/>
      <c r="T1270" s="7"/>
      <c r="U1270" s="7"/>
      <c r="V1270" s="7"/>
      <c r="W1270" s="7"/>
      <c r="X1270" s="7"/>
      <c r="Y1270" s="7"/>
      <c r="Z1270" s="7"/>
      <c r="AA1270" s="7"/>
      <c r="AB1270" s="7"/>
    </row>
    <row r="1271" spans="1:28" x14ac:dyDescent="0.2">
      <c r="A1271" s="4"/>
      <c r="B1271" s="4"/>
      <c r="C1271" s="4"/>
      <c r="D1271" s="27"/>
      <c r="E1271" s="107"/>
      <c r="F1271" s="4"/>
      <c r="G1271" s="4"/>
      <c r="H1271" s="4"/>
      <c r="I1271" s="4"/>
      <c r="J1271" s="4"/>
      <c r="K1271" s="4"/>
      <c r="L1271" s="174"/>
      <c r="M1271" s="174"/>
      <c r="N1271" s="4"/>
      <c r="O1271" s="7"/>
      <c r="P1271" s="7"/>
      <c r="Q1271" s="7"/>
      <c r="R1271" s="7"/>
      <c r="S1271" s="7"/>
      <c r="T1271" s="7"/>
      <c r="U1271" s="7"/>
      <c r="V1271" s="7"/>
      <c r="W1271" s="7"/>
      <c r="X1271" s="7"/>
      <c r="Y1271" s="7"/>
      <c r="Z1271" s="7"/>
      <c r="AA1271" s="7"/>
      <c r="AB1271" s="7"/>
    </row>
    <row r="1272" spans="1:28" x14ac:dyDescent="0.2">
      <c r="A1272" s="4"/>
      <c r="B1272" s="4"/>
      <c r="C1272" s="4"/>
      <c r="D1272" s="27"/>
      <c r="E1272" s="107"/>
      <c r="F1272" s="4"/>
      <c r="G1272" s="4"/>
      <c r="H1272" s="4"/>
      <c r="I1272" s="4"/>
      <c r="J1272" s="4"/>
      <c r="K1272" s="4"/>
      <c r="L1272" s="174"/>
      <c r="M1272" s="174"/>
      <c r="N1272" s="4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  <c r="AA1272" s="7"/>
      <c r="AB1272" s="7"/>
    </row>
    <row r="1273" spans="1:28" x14ac:dyDescent="0.2">
      <c r="A1273" s="4"/>
      <c r="B1273" s="4"/>
      <c r="C1273" s="4"/>
      <c r="D1273" s="27"/>
      <c r="E1273" s="107"/>
      <c r="F1273" s="4"/>
      <c r="G1273" s="4"/>
      <c r="H1273" s="4"/>
      <c r="I1273" s="4"/>
      <c r="J1273" s="4"/>
      <c r="K1273" s="4"/>
      <c r="L1273" s="174"/>
      <c r="M1273" s="174"/>
      <c r="N1273" s="4"/>
      <c r="O1273" s="7"/>
      <c r="P1273" s="7"/>
      <c r="Q1273" s="7"/>
      <c r="R1273" s="7"/>
      <c r="S1273" s="7"/>
      <c r="T1273" s="7"/>
      <c r="U1273" s="7"/>
      <c r="V1273" s="7"/>
      <c r="W1273" s="7"/>
      <c r="X1273" s="7"/>
      <c r="Y1273" s="7"/>
      <c r="Z1273" s="7"/>
      <c r="AA1273" s="7"/>
      <c r="AB1273" s="7"/>
    </row>
    <row r="1274" spans="1:28" x14ac:dyDescent="0.2">
      <c r="A1274" s="4"/>
      <c r="B1274" s="4"/>
      <c r="C1274" s="4"/>
      <c r="D1274" s="27"/>
      <c r="E1274" s="107"/>
      <c r="F1274" s="4"/>
      <c r="G1274" s="4"/>
      <c r="H1274" s="4"/>
      <c r="I1274" s="4"/>
      <c r="J1274" s="4"/>
      <c r="K1274" s="4"/>
      <c r="L1274" s="174"/>
      <c r="M1274" s="174"/>
      <c r="N1274" s="4"/>
      <c r="O1274" s="7"/>
      <c r="P1274" s="7"/>
      <c r="Q1274" s="7"/>
      <c r="R1274" s="7"/>
      <c r="S1274" s="7"/>
      <c r="T1274" s="7"/>
      <c r="U1274" s="7"/>
      <c r="V1274" s="7"/>
      <c r="W1274" s="7"/>
      <c r="X1274" s="7"/>
      <c r="Y1274" s="7"/>
      <c r="Z1274" s="7"/>
      <c r="AA1274" s="7"/>
      <c r="AB1274" s="7"/>
    </row>
    <row r="1275" spans="1:28" x14ac:dyDescent="0.2">
      <c r="A1275" s="4"/>
      <c r="B1275" s="4"/>
      <c r="C1275" s="4"/>
      <c r="D1275" s="27"/>
      <c r="E1275" s="107"/>
      <c r="F1275" s="4"/>
      <c r="G1275" s="4"/>
      <c r="H1275" s="4"/>
      <c r="I1275" s="4"/>
      <c r="J1275" s="4"/>
      <c r="K1275" s="4"/>
      <c r="L1275" s="174"/>
      <c r="M1275" s="174"/>
      <c r="N1275" s="4"/>
      <c r="O1275" s="7"/>
      <c r="P1275" s="7"/>
      <c r="Q1275" s="7"/>
      <c r="R1275" s="7"/>
      <c r="S1275" s="7"/>
      <c r="T1275" s="7"/>
      <c r="U1275" s="7"/>
      <c r="V1275" s="7"/>
      <c r="W1275" s="7"/>
      <c r="X1275" s="7"/>
      <c r="Y1275" s="7"/>
      <c r="Z1275" s="7"/>
      <c r="AA1275" s="7"/>
      <c r="AB1275" s="7"/>
    </row>
    <row r="1276" spans="1:28" x14ac:dyDescent="0.2">
      <c r="A1276" s="4"/>
      <c r="B1276" s="4"/>
      <c r="C1276" s="4"/>
      <c r="D1276" s="27"/>
      <c r="E1276" s="107"/>
      <c r="F1276" s="4"/>
      <c r="G1276" s="4"/>
      <c r="H1276" s="4"/>
      <c r="I1276" s="4"/>
      <c r="J1276" s="4"/>
      <c r="K1276" s="4"/>
      <c r="L1276" s="174"/>
      <c r="M1276" s="174"/>
      <c r="N1276" s="4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  <c r="AA1276" s="7"/>
      <c r="AB1276" s="7"/>
    </row>
    <row r="1277" spans="1:28" x14ac:dyDescent="0.2">
      <c r="A1277" s="4"/>
      <c r="B1277" s="4"/>
      <c r="C1277" s="4"/>
      <c r="D1277" s="27"/>
      <c r="E1277" s="107"/>
      <c r="F1277" s="4"/>
      <c r="G1277" s="4"/>
      <c r="H1277" s="4"/>
      <c r="I1277" s="4"/>
      <c r="J1277" s="4"/>
      <c r="K1277" s="4"/>
      <c r="L1277" s="174"/>
      <c r="M1277" s="174"/>
      <c r="N1277" s="4"/>
      <c r="O1277" s="7"/>
      <c r="P1277" s="7"/>
      <c r="Q1277" s="7"/>
      <c r="R1277" s="7"/>
      <c r="S1277" s="7"/>
      <c r="T1277" s="7"/>
      <c r="U1277" s="7"/>
      <c r="V1277" s="7"/>
      <c r="W1277" s="7"/>
      <c r="X1277" s="7"/>
      <c r="Y1277" s="7"/>
      <c r="Z1277" s="7"/>
      <c r="AA1277" s="7"/>
      <c r="AB1277" s="7"/>
    </row>
    <row r="1278" spans="1:28" x14ac:dyDescent="0.2">
      <c r="A1278" s="4"/>
      <c r="B1278" s="4"/>
      <c r="C1278" s="4"/>
      <c r="D1278" s="27"/>
      <c r="E1278" s="107"/>
      <c r="F1278" s="4"/>
      <c r="G1278" s="4"/>
      <c r="H1278" s="4"/>
      <c r="I1278" s="4"/>
      <c r="J1278" s="4"/>
      <c r="K1278" s="4"/>
      <c r="L1278" s="174"/>
      <c r="M1278" s="174"/>
      <c r="N1278" s="4"/>
      <c r="O1278" s="7"/>
      <c r="P1278" s="7"/>
      <c r="Q1278" s="7"/>
      <c r="R1278" s="7"/>
      <c r="S1278" s="7"/>
      <c r="T1278" s="7"/>
      <c r="U1278" s="7"/>
      <c r="V1278" s="7"/>
      <c r="W1278" s="7"/>
      <c r="X1278" s="7"/>
      <c r="Y1278" s="7"/>
      <c r="Z1278" s="7"/>
      <c r="AA1278" s="7"/>
      <c r="AB1278" s="7"/>
    </row>
    <row r="1279" spans="1:28" x14ac:dyDescent="0.2">
      <c r="A1279" s="4"/>
      <c r="B1279" s="4"/>
      <c r="C1279" s="4"/>
      <c r="D1279" s="27"/>
      <c r="E1279" s="107"/>
      <c r="F1279" s="4"/>
      <c r="G1279" s="4"/>
      <c r="H1279" s="4"/>
      <c r="I1279" s="4"/>
      <c r="J1279" s="4"/>
      <c r="K1279" s="4"/>
      <c r="L1279" s="174"/>
      <c r="M1279" s="174"/>
      <c r="N1279" s="4"/>
      <c r="O1279" s="7"/>
      <c r="P1279" s="7"/>
      <c r="Q1279" s="7"/>
      <c r="R1279" s="7"/>
      <c r="S1279" s="7"/>
      <c r="T1279" s="7"/>
      <c r="U1279" s="7"/>
      <c r="V1279" s="7"/>
      <c r="W1279" s="7"/>
      <c r="X1279" s="7"/>
      <c r="Y1279" s="7"/>
      <c r="Z1279" s="7"/>
      <c r="AA1279" s="7"/>
      <c r="AB1279" s="7"/>
    </row>
    <row r="1280" spans="1:28" x14ac:dyDescent="0.2">
      <c r="A1280" s="4"/>
      <c r="B1280" s="4"/>
      <c r="C1280" s="4"/>
      <c r="D1280" s="27"/>
      <c r="E1280" s="107"/>
      <c r="F1280" s="4"/>
      <c r="G1280" s="4"/>
      <c r="H1280" s="4"/>
      <c r="I1280" s="4"/>
      <c r="J1280" s="4"/>
      <c r="K1280" s="4"/>
      <c r="L1280" s="174"/>
      <c r="M1280" s="174"/>
      <c r="N1280" s="4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  <c r="AA1280" s="7"/>
      <c r="AB1280" s="7"/>
    </row>
    <row r="1281" spans="1:28" x14ac:dyDescent="0.2">
      <c r="A1281" s="4"/>
      <c r="B1281" s="4"/>
      <c r="C1281" s="4"/>
      <c r="D1281" s="27"/>
      <c r="E1281" s="107"/>
      <c r="F1281" s="4"/>
      <c r="G1281" s="4"/>
      <c r="H1281" s="4"/>
      <c r="I1281" s="4"/>
      <c r="J1281" s="4"/>
      <c r="K1281" s="4"/>
      <c r="L1281" s="174"/>
      <c r="M1281" s="174"/>
      <c r="N1281" s="4"/>
      <c r="O1281" s="7"/>
      <c r="P1281" s="7"/>
      <c r="Q1281" s="7"/>
      <c r="R1281" s="7"/>
      <c r="S1281" s="7"/>
      <c r="T1281" s="7"/>
      <c r="U1281" s="7"/>
      <c r="V1281" s="7"/>
      <c r="W1281" s="7"/>
      <c r="X1281" s="7"/>
      <c r="Y1281" s="7"/>
      <c r="Z1281" s="7"/>
      <c r="AA1281" s="7"/>
      <c r="AB1281" s="7"/>
    </row>
    <row r="1282" spans="1:28" x14ac:dyDescent="0.2">
      <c r="A1282" s="4"/>
      <c r="B1282" s="4"/>
      <c r="C1282" s="4"/>
      <c r="D1282" s="27"/>
      <c r="E1282" s="107"/>
      <c r="F1282" s="4"/>
      <c r="G1282" s="4"/>
      <c r="H1282" s="4"/>
      <c r="I1282" s="4"/>
      <c r="J1282" s="4"/>
      <c r="K1282" s="4"/>
      <c r="L1282" s="174"/>
      <c r="M1282" s="174"/>
      <c r="N1282" s="4"/>
      <c r="O1282" s="7"/>
      <c r="P1282" s="7"/>
      <c r="Q1282" s="7"/>
      <c r="R1282" s="7"/>
      <c r="S1282" s="7"/>
      <c r="T1282" s="7"/>
      <c r="U1282" s="7"/>
      <c r="V1282" s="7"/>
      <c r="W1282" s="7"/>
      <c r="X1282" s="7"/>
      <c r="Y1282" s="7"/>
      <c r="Z1282" s="7"/>
      <c r="AA1282" s="7"/>
      <c r="AB1282" s="7"/>
    </row>
    <row r="1283" spans="1:28" x14ac:dyDescent="0.2">
      <c r="A1283" s="4"/>
      <c r="B1283" s="4"/>
      <c r="C1283" s="4"/>
      <c r="D1283" s="27"/>
      <c r="E1283" s="107"/>
      <c r="F1283" s="4"/>
      <c r="G1283" s="4"/>
      <c r="H1283" s="4"/>
      <c r="I1283" s="4"/>
      <c r="J1283" s="4"/>
      <c r="K1283" s="4"/>
      <c r="L1283" s="174"/>
      <c r="M1283" s="174"/>
      <c r="N1283" s="4"/>
      <c r="O1283" s="7"/>
      <c r="P1283" s="7"/>
      <c r="Q1283" s="7"/>
      <c r="R1283" s="7"/>
      <c r="S1283" s="7"/>
      <c r="T1283" s="7"/>
      <c r="U1283" s="7"/>
      <c r="V1283" s="7"/>
      <c r="W1283" s="7"/>
      <c r="X1283" s="7"/>
      <c r="Y1283" s="7"/>
      <c r="Z1283" s="7"/>
      <c r="AA1283" s="7"/>
      <c r="AB1283" s="7"/>
    </row>
    <row r="1284" spans="1:28" x14ac:dyDescent="0.2">
      <c r="A1284" s="4"/>
      <c r="B1284" s="4"/>
      <c r="C1284" s="4"/>
      <c r="D1284" s="27"/>
      <c r="E1284" s="107"/>
      <c r="F1284" s="4"/>
      <c r="G1284" s="4"/>
      <c r="H1284" s="4"/>
      <c r="I1284" s="4"/>
      <c r="J1284" s="4"/>
      <c r="K1284" s="4"/>
      <c r="L1284" s="174"/>
      <c r="M1284" s="174"/>
      <c r="N1284" s="4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  <c r="AA1284" s="7"/>
      <c r="AB1284" s="7"/>
    </row>
    <row r="1285" spans="1:28" x14ac:dyDescent="0.2">
      <c r="A1285" s="4"/>
      <c r="B1285" s="4"/>
      <c r="C1285" s="4"/>
      <c r="D1285" s="27"/>
      <c r="E1285" s="107"/>
      <c r="F1285" s="4"/>
      <c r="G1285" s="4"/>
      <c r="H1285" s="4"/>
      <c r="I1285" s="4"/>
      <c r="J1285" s="4"/>
      <c r="K1285" s="4"/>
      <c r="L1285" s="174"/>
      <c r="M1285" s="174"/>
      <c r="N1285" s="4"/>
      <c r="O1285" s="7"/>
      <c r="P1285" s="7"/>
      <c r="Q1285" s="7"/>
      <c r="R1285" s="7"/>
      <c r="S1285" s="7"/>
      <c r="T1285" s="7"/>
      <c r="U1285" s="7"/>
      <c r="V1285" s="7"/>
      <c r="W1285" s="7"/>
      <c r="X1285" s="7"/>
      <c r="Y1285" s="7"/>
      <c r="Z1285" s="7"/>
      <c r="AA1285" s="7"/>
      <c r="AB1285" s="7"/>
    </row>
    <row r="1286" spans="1:28" x14ac:dyDescent="0.2">
      <c r="A1286" s="4"/>
      <c r="B1286" s="4"/>
      <c r="C1286" s="4"/>
      <c r="D1286" s="27"/>
      <c r="E1286" s="107"/>
      <c r="F1286" s="4"/>
      <c r="G1286" s="4"/>
      <c r="H1286" s="4"/>
      <c r="I1286" s="4"/>
      <c r="J1286" s="4"/>
      <c r="K1286" s="4"/>
      <c r="L1286" s="174"/>
      <c r="M1286" s="174"/>
      <c r="N1286" s="4"/>
      <c r="O1286" s="7"/>
      <c r="P1286" s="7"/>
      <c r="Q1286" s="7"/>
      <c r="R1286" s="7"/>
      <c r="S1286" s="7"/>
      <c r="T1286" s="7"/>
      <c r="U1286" s="7"/>
      <c r="V1286" s="7"/>
      <c r="W1286" s="7"/>
      <c r="X1286" s="7"/>
      <c r="Y1286" s="7"/>
      <c r="Z1286" s="7"/>
      <c r="AA1286" s="7"/>
      <c r="AB1286" s="7"/>
    </row>
    <row r="1287" spans="1:28" x14ac:dyDescent="0.2">
      <c r="A1287" s="4"/>
      <c r="B1287" s="4"/>
      <c r="C1287" s="4"/>
      <c r="D1287" s="27"/>
      <c r="E1287" s="107"/>
      <c r="F1287" s="4"/>
      <c r="G1287" s="4"/>
      <c r="H1287" s="4"/>
      <c r="I1287" s="4"/>
      <c r="J1287" s="4"/>
      <c r="K1287" s="4"/>
      <c r="L1287" s="174"/>
      <c r="M1287" s="174"/>
      <c r="N1287" s="4"/>
      <c r="O1287" s="7"/>
      <c r="P1287" s="7"/>
      <c r="Q1287" s="7"/>
      <c r="R1287" s="7"/>
      <c r="S1287" s="7"/>
      <c r="T1287" s="7"/>
      <c r="U1287" s="7"/>
      <c r="V1287" s="7"/>
      <c r="W1287" s="7"/>
      <c r="X1287" s="7"/>
      <c r="Y1287" s="7"/>
      <c r="Z1287" s="7"/>
      <c r="AA1287" s="7"/>
      <c r="AB1287" s="7"/>
    </row>
    <row r="1288" spans="1:28" x14ac:dyDescent="0.2">
      <c r="A1288" s="4"/>
      <c r="B1288" s="4"/>
      <c r="C1288" s="4"/>
      <c r="D1288" s="27"/>
      <c r="E1288" s="107"/>
      <c r="F1288" s="4"/>
      <c r="G1288" s="4"/>
      <c r="H1288" s="4"/>
      <c r="I1288" s="4"/>
      <c r="J1288" s="4"/>
      <c r="K1288" s="4"/>
      <c r="L1288" s="174"/>
      <c r="M1288" s="174"/>
      <c r="N1288" s="4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  <c r="AA1288" s="7"/>
      <c r="AB1288" s="7"/>
    </row>
    <row r="1289" spans="1:28" x14ac:dyDescent="0.2">
      <c r="A1289" s="4"/>
      <c r="B1289" s="4"/>
      <c r="C1289" s="4"/>
      <c r="D1289" s="27"/>
      <c r="E1289" s="107"/>
      <c r="F1289" s="4"/>
      <c r="G1289" s="4"/>
      <c r="H1289" s="4"/>
      <c r="I1289" s="4"/>
      <c r="J1289" s="4"/>
      <c r="K1289" s="4"/>
      <c r="L1289" s="174"/>
      <c r="M1289" s="174"/>
      <c r="N1289" s="4"/>
      <c r="O1289" s="7"/>
      <c r="P1289" s="7"/>
      <c r="Q1289" s="7"/>
      <c r="R1289" s="7"/>
      <c r="S1289" s="7"/>
      <c r="T1289" s="7"/>
      <c r="U1289" s="7"/>
      <c r="V1289" s="7"/>
      <c r="W1289" s="7"/>
      <c r="X1289" s="7"/>
      <c r="Y1289" s="7"/>
      <c r="Z1289" s="7"/>
      <c r="AA1289" s="7"/>
      <c r="AB1289" s="7"/>
    </row>
    <row r="1290" spans="1:28" x14ac:dyDescent="0.2">
      <c r="A1290" s="4"/>
      <c r="B1290" s="4"/>
      <c r="C1290" s="4"/>
      <c r="D1290" s="27"/>
      <c r="E1290" s="107"/>
      <c r="F1290" s="4"/>
      <c r="G1290" s="4"/>
      <c r="H1290" s="4"/>
      <c r="I1290" s="4"/>
      <c r="J1290" s="4"/>
      <c r="K1290" s="4"/>
      <c r="L1290" s="174"/>
      <c r="M1290" s="174"/>
      <c r="N1290" s="4"/>
      <c r="O1290" s="7"/>
      <c r="P1290" s="7"/>
      <c r="Q1290" s="7"/>
      <c r="R1290" s="7"/>
      <c r="S1290" s="7"/>
      <c r="T1290" s="7"/>
      <c r="U1290" s="7"/>
      <c r="V1290" s="7"/>
      <c r="W1290" s="7"/>
      <c r="X1290" s="7"/>
      <c r="Y1290" s="7"/>
      <c r="Z1290" s="7"/>
      <c r="AA1290" s="7"/>
      <c r="AB1290" s="7"/>
    </row>
    <row r="1291" spans="1:28" x14ac:dyDescent="0.2">
      <c r="A1291" s="4"/>
      <c r="B1291" s="4"/>
      <c r="C1291" s="4"/>
      <c r="D1291" s="27"/>
      <c r="E1291" s="107"/>
      <c r="F1291" s="4"/>
      <c r="G1291" s="4"/>
      <c r="H1291" s="4"/>
      <c r="I1291" s="4"/>
      <c r="J1291" s="4"/>
      <c r="K1291" s="4"/>
      <c r="L1291" s="174"/>
      <c r="M1291" s="174"/>
      <c r="N1291" s="4"/>
      <c r="O1291" s="7"/>
      <c r="P1291" s="7"/>
      <c r="Q1291" s="7"/>
      <c r="R1291" s="7"/>
      <c r="S1291" s="7"/>
      <c r="T1291" s="7"/>
      <c r="U1291" s="7"/>
      <c r="V1291" s="7"/>
      <c r="W1291" s="7"/>
      <c r="X1291" s="7"/>
      <c r="Y1291" s="7"/>
      <c r="Z1291" s="7"/>
      <c r="AA1291" s="7"/>
      <c r="AB1291" s="7"/>
    </row>
    <row r="1292" spans="1:28" x14ac:dyDescent="0.2">
      <c r="A1292" s="4"/>
      <c r="B1292" s="4"/>
      <c r="C1292" s="4"/>
      <c r="D1292" s="27"/>
      <c r="E1292" s="107"/>
      <c r="F1292" s="4"/>
      <c r="G1292" s="4"/>
      <c r="H1292" s="4"/>
      <c r="I1292" s="4"/>
      <c r="J1292" s="4"/>
      <c r="K1292" s="4"/>
      <c r="L1292" s="174"/>
      <c r="M1292" s="174"/>
      <c r="N1292" s="4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  <c r="AA1292" s="7"/>
      <c r="AB1292" s="7"/>
    </row>
    <row r="1293" spans="1:28" x14ac:dyDescent="0.2">
      <c r="A1293" s="4"/>
      <c r="B1293" s="4"/>
      <c r="C1293" s="4"/>
      <c r="D1293" s="27"/>
      <c r="E1293" s="107"/>
      <c r="F1293" s="4"/>
      <c r="G1293" s="4"/>
      <c r="H1293" s="4"/>
      <c r="I1293" s="4"/>
      <c r="J1293" s="4"/>
      <c r="K1293" s="4"/>
      <c r="L1293" s="174"/>
      <c r="M1293" s="174"/>
      <c r="N1293" s="4"/>
      <c r="O1293" s="7"/>
      <c r="P1293" s="7"/>
      <c r="Q1293" s="7"/>
      <c r="R1293" s="7"/>
      <c r="S1293" s="7"/>
      <c r="T1293" s="7"/>
      <c r="U1293" s="7"/>
      <c r="V1293" s="7"/>
      <c r="W1293" s="7"/>
      <c r="X1293" s="7"/>
      <c r="Y1293" s="7"/>
      <c r="Z1293" s="7"/>
      <c r="AA1293" s="7"/>
      <c r="AB1293" s="7"/>
    </row>
    <row r="1294" spans="1:28" x14ac:dyDescent="0.2">
      <c r="A1294" s="4"/>
      <c r="B1294" s="4"/>
      <c r="C1294" s="4"/>
      <c r="D1294" s="27"/>
      <c r="E1294" s="107"/>
      <c r="F1294" s="4"/>
      <c r="G1294" s="4"/>
      <c r="H1294" s="4"/>
      <c r="I1294" s="4"/>
      <c r="J1294" s="4"/>
      <c r="K1294" s="4"/>
      <c r="L1294" s="174"/>
      <c r="M1294" s="174"/>
      <c r="N1294" s="4"/>
      <c r="O1294" s="7"/>
      <c r="P1294" s="7"/>
      <c r="Q1294" s="7"/>
      <c r="R1294" s="7"/>
      <c r="S1294" s="7"/>
      <c r="T1294" s="7"/>
      <c r="U1294" s="7"/>
      <c r="V1294" s="7"/>
      <c r="W1294" s="7"/>
      <c r="X1294" s="7"/>
      <c r="Y1294" s="7"/>
      <c r="Z1294" s="7"/>
      <c r="AA1294" s="7"/>
      <c r="AB1294" s="7"/>
    </row>
    <row r="1295" spans="1:28" x14ac:dyDescent="0.2">
      <c r="A1295" s="4"/>
      <c r="B1295" s="4"/>
      <c r="C1295" s="4"/>
      <c r="D1295" s="27"/>
      <c r="E1295" s="107"/>
      <c r="F1295" s="4"/>
      <c r="G1295" s="4"/>
      <c r="H1295" s="4"/>
      <c r="I1295" s="4"/>
      <c r="J1295" s="4"/>
      <c r="K1295" s="4"/>
      <c r="L1295" s="174"/>
      <c r="M1295" s="174"/>
      <c r="N1295" s="4"/>
      <c r="O1295" s="7"/>
      <c r="P1295" s="7"/>
      <c r="Q1295" s="7"/>
      <c r="R1295" s="7"/>
      <c r="S1295" s="7"/>
      <c r="T1295" s="7"/>
      <c r="U1295" s="7"/>
      <c r="V1295" s="7"/>
      <c r="W1295" s="7"/>
      <c r="X1295" s="7"/>
      <c r="Y1295" s="7"/>
      <c r="Z1295" s="7"/>
      <c r="AA1295" s="7"/>
      <c r="AB1295" s="7"/>
    </row>
    <row r="1296" spans="1:28" x14ac:dyDescent="0.2">
      <c r="A1296" s="4"/>
      <c r="B1296" s="4"/>
      <c r="C1296" s="4"/>
      <c r="D1296" s="27"/>
      <c r="E1296" s="107"/>
      <c r="F1296" s="4"/>
      <c r="G1296" s="4"/>
      <c r="H1296" s="4"/>
      <c r="I1296" s="4"/>
      <c r="J1296" s="4"/>
      <c r="K1296" s="4"/>
      <c r="L1296" s="174"/>
      <c r="M1296" s="174"/>
      <c r="N1296" s="4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  <c r="AA1296" s="7"/>
      <c r="AB1296" s="7"/>
    </row>
    <row r="1297" spans="1:28" x14ac:dyDescent="0.2">
      <c r="A1297" s="4"/>
      <c r="B1297" s="4"/>
      <c r="C1297" s="4"/>
      <c r="D1297" s="27"/>
      <c r="E1297" s="107"/>
      <c r="F1297" s="4"/>
      <c r="G1297" s="4"/>
      <c r="H1297" s="4"/>
      <c r="I1297" s="4"/>
      <c r="J1297" s="4"/>
      <c r="K1297" s="4"/>
      <c r="L1297" s="174"/>
      <c r="M1297" s="174"/>
      <c r="N1297" s="4"/>
      <c r="O1297" s="7"/>
      <c r="P1297" s="7"/>
      <c r="Q1297" s="7"/>
      <c r="R1297" s="7"/>
      <c r="S1297" s="7"/>
      <c r="T1297" s="7"/>
      <c r="U1297" s="7"/>
      <c r="V1297" s="7"/>
      <c r="W1297" s="7"/>
      <c r="X1297" s="7"/>
      <c r="Y1297" s="7"/>
      <c r="Z1297" s="7"/>
      <c r="AA1297" s="7"/>
      <c r="AB1297" s="7"/>
    </row>
    <row r="1298" spans="1:28" x14ac:dyDescent="0.2">
      <c r="A1298" s="4"/>
      <c r="B1298" s="4"/>
      <c r="C1298" s="4"/>
      <c r="D1298" s="27"/>
      <c r="E1298" s="107"/>
      <c r="F1298" s="4"/>
      <c r="G1298" s="4"/>
      <c r="H1298" s="4"/>
      <c r="I1298" s="4"/>
      <c r="J1298" s="4"/>
      <c r="K1298" s="4"/>
      <c r="L1298" s="174"/>
      <c r="M1298" s="174"/>
      <c r="N1298" s="4"/>
      <c r="O1298" s="7"/>
      <c r="P1298" s="7"/>
      <c r="Q1298" s="7"/>
      <c r="R1298" s="7"/>
      <c r="S1298" s="7"/>
      <c r="T1298" s="7"/>
      <c r="U1298" s="7"/>
      <c r="V1298" s="7"/>
      <c r="W1298" s="7"/>
      <c r="X1298" s="7"/>
      <c r="Y1298" s="7"/>
      <c r="Z1298" s="7"/>
      <c r="AA1298" s="7"/>
      <c r="AB1298" s="7"/>
    </row>
    <row r="1299" spans="1:28" x14ac:dyDescent="0.2">
      <c r="A1299" s="4"/>
      <c r="B1299" s="4"/>
      <c r="C1299" s="4"/>
      <c r="D1299" s="27"/>
      <c r="E1299" s="107"/>
      <c r="F1299" s="4"/>
      <c r="G1299" s="4"/>
      <c r="H1299" s="4"/>
      <c r="I1299" s="4"/>
      <c r="J1299" s="4"/>
      <c r="K1299" s="4"/>
      <c r="L1299" s="174"/>
      <c r="M1299" s="174"/>
      <c r="N1299" s="4"/>
      <c r="O1299" s="7"/>
      <c r="P1299" s="7"/>
      <c r="Q1299" s="7"/>
      <c r="R1299" s="7"/>
      <c r="S1299" s="7"/>
      <c r="T1299" s="7"/>
      <c r="U1299" s="7"/>
      <c r="V1299" s="7"/>
      <c r="W1299" s="7"/>
      <c r="X1299" s="7"/>
      <c r="Y1299" s="7"/>
      <c r="Z1299" s="7"/>
      <c r="AA1299" s="7"/>
      <c r="AB1299" s="7"/>
    </row>
    <row r="1300" spans="1:28" x14ac:dyDescent="0.2">
      <c r="A1300" s="4"/>
      <c r="B1300" s="4"/>
      <c r="C1300" s="4"/>
      <c r="D1300" s="27"/>
      <c r="E1300" s="107"/>
      <c r="F1300" s="4"/>
      <c r="G1300" s="4"/>
      <c r="H1300" s="4"/>
      <c r="I1300" s="4"/>
      <c r="J1300" s="4"/>
      <c r="K1300" s="4"/>
      <c r="L1300" s="174"/>
      <c r="M1300" s="174"/>
      <c r="N1300" s="4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  <c r="AA1300" s="7"/>
      <c r="AB1300" s="7"/>
    </row>
    <row r="1301" spans="1:28" x14ac:dyDescent="0.2">
      <c r="A1301" s="4"/>
      <c r="B1301" s="4"/>
      <c r="C1301" s="4"/>
      <c r="D1301" s="27"/>
      <c r="E1301" s="107"/>
      <c r="F1301" s="4"/>
      <c r="G1301" s="4"/>
      <c r="H1301" s="4"/>
      <c r="I1301" s="4"/>
      <c r="J1301" s="4"/>
      <c r="K1301" s="4"/>
      <c r="L1301" s="174"/>
      <c r="M1301" s="174"/>
      <c r="N1301" s="4"/>
      <c r="O1301" s="7"/>
      <c r="P1301" s="7"/>
      <c r="Q1301" s="7"/>
      <c r="R1301" s="7"/>
      <c r="S1301" s="7"/>
      <c r="T1301" s="7"/>
      <c r="U1301" s="7"/>
      <c r="V1301" s="7"/>
      <c r="W1301" s="7"/>
      <c r="X1301" s="7"/>
      <c r="Y1301" s="7"/>
      <c r="Z1301" s="7"/>
      <c r="AA1301" s="7"/>
      <c r="AB1301" s="7"/>
    </row>
    <row r="1302" spans="1:28" x14ac:dyDescent="0.2">
      <c r="A1302" s="4"/>
      <c r="B1302" s="4"/>
      <c r="C1302" s="4"/>
      <c r="D1302" s="27"/>
      <c r="E1302" s="107"/>
      <c r="F1302" s="4"/>
      <c r="G1302" s="4"/>
      <c r="H1302" s="4"/>
      <c r="I1302" s="4"/>
      <c r="J1302" s="4"/>
      <c r="K1302" s="4"/>
      <c r="L1302" s="174"/>
      <c r="M1302" s="174"/>
      <c r="N1302" s="4"/>
      <c r="O1302" s="7"/>
      <c r="P1302" s="7"/>
      <c r="Q1302" s="7"/>
      <c r="R1302" s="7"/>
      <c r="S1302" s="7"/>
      <c r="T1302" s="7"/>
      <c r="U1302" s="7"/>
      <c r="V1302" s="7"/>
      <c r="W1302" s="7"/>
      <c r="X1302" s="7"/>
      <c r="Y1302" s="7"/>
      <c r="Z1302" s="7"/>
      <c r="AA1302" s="7"/>
      <c r="AB1302" s="7"/>
    </row>
    <row r="1303" spans="1:28" x14ac:dyDescent="0.2">
      <c r="A1303" s="4"/>
      <c r="B1303" s="4"/>
      <c r="C1303" s="4"/>
      <c r="D1303" s="27"/>
      <c r="E1303" s="107"/>
      <c r="F1303" s="4"/>
      <c r="G1303" s="4"/>
      <c r="H1303" s="4"/>
      <c r="I1303" s="4"/>
      <c r="J1303" s="4"/>
      <c r="K1303" s="4"/>
      <c r="L1303" s="174"/>
      <c r="M1303" s="174"/>
      <c r="N1303" s="4"/>
      <c r="O1303" s="7"/>
      <c r="P1303" s="7"/>
      <c r="Q1303" s="7"/>
      <c r="R1303" s="7"/>
      <c r="S1303" s="7"/>
      <c r="T1303" s="7"/>
      <c r="U1303" s="7"/>
      <c r="V1303" s="7"/>
      <c r="W1303" s="7"/>
      <c r="X1303" s="7"/>
      <c r="Y1303" s="7"/>
      <c r="Z1303" s="7"/>
      <c r="AA1303" s="7"/>
      <c r="AB1303" s="7"/>
    </row>
    <row r="1304" spans="1:28" x14ac:dyDescent="0.2">
      <c r="A1304" s="4"/>
      <c r="B1304" s="4"/>
      <c r="C1304" s="4"/>
      <c r="D1304" s="27"/>
      <c r="E1304" s="107"/>
      <c r="F1304" s="4"/>
      <c r="G1304" s="4"/>
      <c r="H1304" s="4"/>
      <c r="I1304" s="4"/>
      <c r="J1304" s="4"/>
      <c r="K1304" s="4"/>
      <c r="L1304" s="174"/>
      <c r="M1304" s="174"/>
      <c r="N1304" s="4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  <c r="AA1304" s="7"/>
      <c r="AB1304" s="7"/>
    </row>
    <row r="1305" spans="1:28" x14ac:dyDescent="0.2">
      <c r="A1305" s="4"/>
      <c r="B1305" s="4"/>
      <c r="C1305" s="4"/>
      <c r="D1305" s="27"/>
      <c r="E1305" s="107"/>
      <c r="F1305" s="4"/>
      <c r="G1305" s="4"/>
      <c r="H1305" s="4"/>
      <c r="I1305" s="4"/>
      <c r="J1305" s="4"/>
      <c r="K1305" s="4"/>
      <c r="L1305" s="174"/>
      <c r="M1305" s="174"/>
      <c r="N1305" s="4"/>
      <c r="O1305" s="7"/>
      <c r="P1305" s="7"/>
      <c r="Q1305" s="7"/>
      <c r="R1305" s="7"/>
      <c r="S1305" s="7"/>
      <c r="T1305" s="7"/>
      <c r="U1305" s="7"/>
      <c r="V1305" s="7"/>
      <c r="W1305" s="7"/>
      <c r="X1305" s="7"/>
      <c r="Y1305" s="7"/>
      <c r="Z1305" s="7"/>
      <c r="AA1305" s="7"/>
      <c r="AB1305" s="7"/>
    </row>
    <row r="1306" spans="1:28" x14ac:dyDescent="0.2">
      <c r="A1306" s="4"/>
      <c r="B1306" s="4"/>
      <c r="C1306" s="4"/>
      <c r="D1306" s="27"/>
      <c r="E1306" s="107"/>
      <c r="F1306" s="4"/>
      <c r="G1306" s="4"/>
      <c r="H1306" s="4"/>
      <c r="I1306" s="4"/>
      <c r="J1306" s="4"/>
      <c r="K1306" s="4"/>
      <c r="L1306" s="174"/>
      <c r="M1306" s="174"/>
      <c r="N1306" s="4"/>
      <c r="O1306" s="7"/>
      <c r="P1306" s="7"/>
      <c r="Q1306" s="7"/>
      <c r="R1306" s="7"/>
      <c r="S1306" s="7"/>
      <c r="T1306" s="7"/>
      <c r="U1306" s="7"/>
      <c r="V1306" s="7"/>
      <c r="W1306" s="7"/>
      <c r="X1306" s="7"/>
      <c r="Y1306" s="7"/>
      <c r="Z1306" s="7"/>
      <c r="AA1306" s="7"/>
      <c r="AB1306" s="7"/>
    </row>
    <row r="1307" spans="1:28" x14ac:dyDescent="0.2">
      <c r="A1307" s="4"/>
      <c r="B1307" s="4"/>
      <c r="C1307" s="4"/>
      <c r="D1307" s="27"/>
      <c r="E1307" s="107"/>
      <c r="F1307" s="4"/>
      <c r="G1307" s="4"/>
      <c r="H1307" s="4"/>
      <c r="I1307" s="4"/>
      <c r="J1307" s="4"/>
      <c r="K1307" s="4"/>
      <c r="L1307" s="174"/>
      <c r="M1307" s="174"/>
      <c r="N1307" s="4"/>
      <c r="O1307" s="7"/>
      <c r="P1307" s="7"/>
      <c r="Q1307" s="7"/>
      <c r="R1307" s="7"/>
      <c r="S1307" s="7"/>
      <c r="T1307" s="7"/>
      <c r="U1307" s="7"/>
      <c r="V1307" s="7"/>
      <c r="W1307" s="7"/>
      <c r="X1307" s="7"/>
      <c r="Y1307" s="7"/>
      <c r="Z1307" s="7"/>
      <c r="AA1307" s="7"/>
      <c r="AB1307" s="7"/>
    </row>
    <row r="1308" spans="1:28" x14ac:dyDescent="0.2">
      <c r="A1308" s="4"/>
      <c r="B1308" s="4"/>
      <c r="C1308" s="4"/>
      <c r="D1308" s="27"/>
      <c r="E1308" s="107"/>
      <c r="F1308" s="4"/>
      <c r="G1308" s="4"/>
      <c r="H1308" s="4"/>
      <c r="I1308" s="4"/>
      <c r="J1308" s="4"/>
      <c r="K1308" s="4"/>
      <c r="L1308" s="174"/>
      <c r="M1308" s="174"/>
      <c r="N1308" s="4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  <c r="AA1308" s="7"/>
      <c r="AB1308" s="7"/>
    </row>
    <row r="1309" spans="1:28" x14ac:dyDescent="0.2">
      <c r="A1309" s="4"/>
      <c r="B1309" s="4"/>
      <c r="C1309" s="4"/>
      <c r="D1309" s="27"/>
      <c r="E1309" s="107"/>
      <c r="F1309" s="4"/>
      <c r="G1309" s="4"/>
      <c r="H1309" s="4"/>
      <c r="I1309" s="4"/>
      <c r="J1309" s="4"/>
      <c r="K1309" s="4"/>
      <c r="L1309" s="174"/>
      <c r="M1309" s="174"/>
      <c r="N1309" s="4"/>
      <c r="O1309" s="7"/>
      <c r="P1309" s="7"/>
      <c r="Q1309" s="7"/>
      <c r="R1309" s="7"/>
      <c r="S1309" s="7"/>
      <c r="T1309" s="7"/>
      <c r="U1309" s="7"/>
      <c r="V1309" s="7"/>
      <c r="W1309" s="7"/>
      <c r="X1309" s="7"/>
      <c r="Y1309" s="7"/>
      <c r="Z1309" s="7"/>
      <c r="AA1309" s="7"/>
      <c r="AB1309" s="7"/>
    </row>
    <row r="1310" spans="1:28" x14ac:dyDescent="0.2">
      <c r="A1310" s="4"/>
      <c r="B1310" s="4"/>
      <c r="C1310" s="4"/>
      <c r="D1310" s="27"/>
      <c r="E1310" s="107"/>
      <c r="F1310" s="4"/>
      <c r="G1310" s="4"/>
      <c r="H1310" s="4"/>
      <c r="I1310" s="4"/>
      <c r="J1310" s="4"/>
      <c r="K1310" s="4"/>
      <c r="L1310" s="174"/>
      <c r="M1310" s="174"/>
      <c r="N1310" s="4"/>
      <c r="O1310" s="7"/>
      <c r="P1310" s="7"/>
      <c r="Q1310" s="7"/>
      <c r="R1310" s="7"/>
      <c r="S1310" s="7"/>
      <c r="T1310" s="7"/>
      <c r="U1310" s="7"/>
      <c r="V1310" s="7"/>
      <c r="W1310" s="7"/>
      <c r="X1310" s="7"/>
      <c r="Y1310" s="7"/>
      <c r="Z1310" s="7"/>
      <c r="AA1310" s="7"/>
      <c r="AB1310" s="7"/>
    </row>
    <row r="1311" spans="1:28" x14ac:dyDescent="0.2">
      <c r="A1311" s="4"/>
      <c r="B1311" s="4"/>
      <c r="C1311" s="4"/>
      <c r="D1311" s="27"/>
      <c r="E1311" s="107"/>
      <c r="F1311" s="4"/>
      <c r="G1311" s="4"/>
      <c r="H1311" s="4"/>
      <c r="I1311" s="4"/>
      <c r="J1311" s="4"/>
      <c r="K1311" s="4"/>
      <c r="L1311" s="174"/>
      <c r="M1311" s="174"/>
      <c r="N1311" s="4"/>
      <c r="O1311" s="7"/>
      <c r="P1311" s="7"/>
      <c r="Q1311" s="7"/>
      <c r="R1311" s="7"/>
      <c r="S1311" s="7"/>
      <c r="T1311" s="7"/>
      <c r="U1311" s="7"/>
      <c r="V1311" s="7"/>
      <c r="W1311" s="7"/>
      <c r="X1311" s="7"/>
      <c r="Y1311" s="7"/>
      <c r="Z1311" s="7"/>
      <c r="AA1311" s="7"/>
      <c r="AB1311" s="7"/>
    </row>
    <row r="1312" spans="1:28" x14ac:dyDescent="0.2">
      <c r="A1312" s="4"/>
      <c r="B1312" s="4"/>
      <c r="C1312" s="4"/>
      <c r="D1312" s="27"/>
      <c r="E1312" s="107"/>
      <c r="F1312" s="4"/>
      <c r="G1312" s="4"/>
      <c r="H1312" s="4"/>
      <c r="I1312" s="4"/>
      <c r="J1312" s="4"/>
      <c r="K1312" s="4"/>
      <c r="L1312" s="174"/>
      <c r="M1312" s="174"/>
      <c r="N1312" s="4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  <c r="AA1312" s="7"/>
      <c r="AB1312" s="7"/>
    </row>
    <row r="1313" spans="1:28" x14ac:dyDescent="0.2">
      <c r="A1313" s="4"/>
      <c r="B1313" s="4"/>
      <c r="C1313" s="4"/>
      <c r="D1313" s="27"/>
      <c r="E1313" s="107"/>
      <c r="F1313" s="4"/>
      <c r="G1313" s="4"/>
      <c r="H1313" s="4"/>
      <c r="I1313" s="4"/>
      <c r="J1313" s="4"/>
      <c r="K1313" s="4"/>
      <c r="L1313" s="174"/>
      <c r="M1313" s="174"/>
      <c r="N1313" s="4"/>
      <c r="O1313" s="7"/>
      <c r="P1313" s="7"/>
      <c r="Q1313" s="7"/>
      <c r="R1313" s="7"/>
      <c r="S1313" s="7"/>
      <c r="T1313" s="7"/>
      <c r="U1313" s="7"/>
      <c r="V1313" s="7"/>
      <c r="W1313" s="7"/>
      <c r="X1313" s="7"/>
      <c r="Y1313" s="7"/>
      <c r="Z1313" s="7"/>
      <c r="AA1313" s="7"/>
      <c r="AB1313" s="7"/>
    </row>
    <row r="1314" spans="1:28" x14ac:dyDescent="0.2">
      <c r="A1314" s="4"/>
      <c r="B1314" s="4"/>
      <c r="C1314" s="4"/>
      <c r="D1314" s="27"/>
      <c r="E1314" s="107"/>
      <c r="F1314" s="4"/>
      <c r="G1314" s="4"/>
      <c r="H1314" s="4"/>
      <c r="I1314" s="4"/>
      <c r="J1314" s="4"/>
      <c r="K1314" s="4"/>
      <c r="L1314" s="174"/>
      <c r="M1314" s="174"/>
      <c r="N1314" s="4"/>
      <c r="O1314" s="7"/>
      <c r="P1314" s="7"/>
      <c r="Q1314" s="7"/>
      <c r="R1314" s="7"/>
      <c r="S1314" s="7"/>
      <c r="T1314" s="7"/>
      <c r="U1314" s="7"/>
      <c r="V1314" s="7"/>
      <c r="W1314" s="7"/>
      <c r="X1314" s="7"/>
      <c r="Y1314" s="7"/>
      <c r="Z1314" s="7"/>
      <c r="AA1314" s="7"/>
      <c r="AB1314" s="7"/>
    </row>
    <row r="1315" spans="1:28" x14ac:dyDescent="0.2">
      <c r="A1315" s="4"/>
      <c r="B1315" s="4"/>
      <c r="C1315" s="4"/>
      <c r="D1315" s="27"/>
      <c r="E1315" s="107"/>
      <c r="F1315" s="4"/>
      <c r="G1315" s="4"/>
      <c r="H1315" s="4"/>
      <c r="I1315" s="4"/>
      <c r="J1315" s="4"/>
      <c r="K1315" s="4"/>
      <c r="L1315" s="174"/>
      <c r="M1315" s="174"/>
      <c r="N1315" s="4"/>
      <c r="O1315" s="7"/>
      <c r="P1315" s="7"/>
      <c r="Q1315" s="7"/>
      <c r="R1315" s="7"/>
      <c r="S1315" s="7"/>
      <c r="T1315" s="7"/>
      <c r="U1315" s="7"/>
      <c r="V1315" s="7"/>
      <c r="W1315" s="7"/>
      <c r="X1315" s="7"/>
      <c r="Y1315" s="7"/>
      <c r="Z1315" s="7"/>
      <c r="AA1315" s="7"/>
      <c r="AB1315" s="7"/>
    </row>
    <row r="1316" spans="1:28" x14ac:dyDescent="0.2">
      <c r="A1316" s="4"/>
      <c r="B1316" s="4"/>
      <c r="C1316" s="4"/>
      <c r="D1316" s="27"/>
      <c r="E1316" s="107"/>
      <c r="F1316" s="4"/>
      <c r="G1316" s="4"/>
      <c r="H1316" s="4"/>
      <c r="I1316" s="4"/>
      <c r="J1316" s="4"/>
      <c r="K1316" s="4"/>
      <c r="L1316" s="174"/>
      <c r="M1316" s="174"/>
      <c r="N1316" s="4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  <c r="AA1316" s="7"/>
      <c r="AB1316" s="7"/>
    </row>
    <row r="1317" spans="1:28" x14ac:dyDescent="0.2">
      <c r="A1317" s="4"/>
      <c r="B1317" s="4"/>
      <c r="C1317" s="4"/>
      <c r="D1317" s="27"/>
      <c r="E1317" s="107"/>
      <c r="F1317" s="4"/>
      <c r="G1317" s="4"/>
      <c r="H1317" s="4"/>
      <c r="I1317" s="4"/>
      <c r="J1317" s="4"/>
      <c r="K1317" s="4"/>
      <c r="L1317" s="174"/>
      <c r="M1317" s="174"/>
      <c r="N1317" s="4"/>
      <c r="O1317" s="7"/>
      <c r="P1317" s="7"/>
      <c r="Q1317" s="7"/>
      <c r="R1317" s="7"/>
      <c r="S1317" s="7"/>
      <c r="T1317" s="7"/>
      <c r="U1317" s="7"/>
      <c r="V1317" s="7"/>
      <c r="W1317" s="7"/>
      <c r="X1317" s="7"/>
      <c r="Y1317" s="7"/>
      <c r="Z1317" s="7"/>
      <c r="AA1317" s="7"/>
      <c r="AB1317" s="7"/>
    </row>
    <row r="1318" spans="1:28" x14ac:dyDescent="0.2">
      <c r="A1318" s="4"/>
      <c r="B1318" s="4"/>
      <c r="C1318" s="4"/>
      <c r="D1318" s="27"/>
      <c r="E1318" s="107"/>
      <c r="F1318" s="4"/>
      <c r="G1318" s="4"/>
      <c r="H1318" s="4"/>
      <c r="I1318" s="4"/>
      <c r="J1318" s="4"/>
      <c r="K1318" s="4"/>
      <c r="L1318" s="174"/>
      <c r="M1318" s="174"/>
      <c r="N1318" s="4"/>
      <c r="O1318" s="7"/>
      <c r="P1318" s="7"/>
      <c r="Q1318" s="7"/>
      <c r="R1318" s="7"/>
      <c r="S1318" s="7"/>
      <c r="T1318" s="7"/>
      <c r="U1318" s="7"/>
      <c r="V1318" s="7"/>
      <c r="W1318" s="7"/>
      <c r="X1318" s="7"/>
      <c r="Y1318" s="7"/>
      <c r="Z1318" s="7"/>
      <c r="AA1318" s="7"/>
      <c r="AB1318" s="7"/>
    </row>
    <row r="1319" spans="1:28" x14ac:dyDescent="0.2">
      <c r="A1319" s="4"/>
      <c r="B1319" s="4"/>
      <c r="C1319" s="4"/>
      <c r="D1319" s="27"/>
      <c r="E1319" s="107"/>
      <c r="F1319" s="4"/>
      <c r="G1319" s="4"/>
      <c r="H1319" s="4"/>
      <c r="I1319" s="4"/>
      <c r="J1319" s="4"/>
      <c r="K1319" s="4"/>
      <c r="L1319" s="174"/>
      <c r="M1319" s="174"/>
      <c r="N1319" s="4"/>
      <c r="O1319" s="7"/>
      <c r="P1319" s="7"/>
      <c r="Q1319" s="7"/>
      <c r="R1319" s="7"/>
      <c r="S1319" s="7"/>
      <c r="T1319" s="7"/>
      <c r="U1319" s="7"/>
      <c r="V1319" s="7"/>
      <c r="W1319" s="7"/>
      <c r="X1319" s="7"/>
      <c r="Y1319" s="7"/>
      <c r="Z1319" s="7"/>
      <c r="AA1319" s="7"/>
      <c r="AB1319" s="7"/>
    </row>
    <row r="1320" spans="1:28" x14ac:dyDescent="0.2">
      <c r="A1320" s="4"/>
      <c r="B1320" s="4"/>
      <c r="C1320" s="4"/>
      <c r="D1320" s="27"/>
      <c r="E1320" s="107"/>
      <c r="F1320" s="4"/>
      <c r="G1320" s="4"/>
      <c r="H1320" s="4"/>
      <c r="I1320" s="4"/>
      <c r="J1320" s="4"/>
      <c r="K1320" s="4"/>
      <c r="L1320" s="174"/>
      <c r="M1320" s="174"/>
      <c r="N1320" s="4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  <c r="AA1320" s="7"/>
      <c r="AB1320" s="7"/>
    </row>
    <row r="1321" spans="1:28" x14ac:dyDescent="0.2">
      <c r="A1321" s="4"/>
      <c r="B1321" s="4"/>
      <c r="C1321" s="4"/>
      <c r="D1321" s="27"/>
      <c r="E1321" s="107"/>
      <c r="F1321" s="4"/>
      <c r="G1321" s="4"/>
      <c r="H1321" s="4"/>
      <c r="I1321" s="4"/>
      <c r="J1321" s="4"/>
      <c r="K1321" s="4"/>
      <c r="L1321" s="174"/>
      <c r="M1321" s="174"/>
      <c r="N1321" s="4"/>
      <c r="O1321" s="7"/>
      <c r="P1321" s="7"/>
      <c r="Q1321" s="7"/>
      <c r="R1321" s="7"/>
      <c r="S1321" s="7"/>
      <c r="T1321" s="7"/>
      <c r="U1321" s="7"/>
      <c r="V1321" s="7"/>
      <c r="W1321" s="7"/>
      <c r="X1321" s="7"/>
      <c r="Y1321" s="7"/>
      <c r="Z1321" s="7"/>
      <c r="AA1321" s="7"/>
      <c r="AB1321" s="7"/>
    </row>
    <row r="1322" spans="1:28" x14ac:dyDescent="0.2">
      <c r="A1322" s="4"/>
      <c r="B1322" s="4"/>
      <c r="C1322" s="4"/>
      <c r="D1322" s="27"/>
      <c r="E1322" s="107"/>
      <c r="F1322" s="4"/>
      <c r="G1322" s="4"/>
      <c r="H1322" s="4"/>
      <c r="I1322" s="4"/>
      <c r="J1322" s="4"/>
      <c r="K1322" s="4"/>
      <c r="L1322" s="174"/>
      <c r="M1322" s="174"/>
      <c r="N1322" s="4"/>
      <c r="O1322" s="7"/>
      <c r="P1322" s="7"/>
      <c r="Q1322" s="7"/>
      <c r="R1322" s="7"/>
      <c r="S1322" s="7"/>
      <c r="T1322" s="7"/>
      <c r="U1322" s="7"/>
      <c r="V1322" s="7"/>
      <c r="W1322" s="7"/>
      <c r="X1322" s="7"/>
      <c r="Y1322" s="7"/>
      <c r="Z1322" s="7"/>
      <c r="AA1322" s="7"/>
      <c r="AB1322" s="7"/>
    </row>
    <row r="1323" spans="1:28" x14ac:dyDescent="0.2">
      <c r="A1323" s="4"/>
      <c r="B1323" s="4"/>
      <c r="C1323" s="4"/>
      <c r="D1323" s="27"/>
      <c r="E1323" s="107"/>
      <c r="F1323" s="4"/>
      <c r="G1323" s="4"/>
      <c r="H1323" s="4"/>
      <c r="I1323" s="4"/>
      <c r="J1323" s="4"/>
      <c r="K1323" s="4"/>
      <c r="L1323" s="174"/>
      <c r="M1323" s="174"/>
      <c r="N1323" s="4"/>
      <c r="O1323" s="7"/>
      <c r="P1323" s="7"/>
      <c r="Q1323" s="7"/>
      <c r="R1323" s="7"/>
      <c r="S1323" s="7"/>
      <c r="T1323" s="7"/>
      <c r="U1323" s="7"/>
      <c r="V1323" s="7"/>
      <c r="W1323" s="7"/>
      <c r="X1323" s="7"/>
      <c r="Y1323" s="7"/>
      <c r="Z1323" s="7"/>
      <c r="AA1323" s="7"/>
      <c r="AB1323" s="7"/>
    </row>
    <row r="1324" spans="1:28" x14ac:dyDescent="0.2">
      <c r="A1324" s="4"/>
      <c r="B1324" s="4"/>
      <c r="C1324" s="4"/>
      <c r="D1324" s="27"/>
      <c r="E1324" s="107"/>
      <c r="F1324" s="4"/>
      <c r="G1324" s="4"/>
      <c r="H1324" s="4"/>
      <c r="I1324" s="4"/>
      <c r="J1324" s="4"/>
      <c r="K1324" s="4"/>
      <c r="L1324" s="174"/>
      <c r="M1324" s="174"/>
      <c r="N1324" s="4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  <c r="AA1324" s="7"/>
      <c r="AB1324" s="7"/>
    </row>
    <row r="1325" spans="1:28" x14ac:dyDescent="0.2">
      <c r="A1325" s="4"/>
      <c r="B1325" s="4"/>
      <c r="C1325" s="4"/>
      <c r="D1325" s="27"/>
      <c r="E1325" s="107"/>
      <c r="F1325" s="4"/>
      <c r="G1325" s="4"/>
      <c r="H1325" s="4"/>
      <c r="I1325" s="4"/>
      <c r="J1325" s="4"/>
      <c r="K1325" s="4"/>
      <c r="L1325" s="174"/>
      <c r="M1325" s="174"/>
      <c r="N1325" s="4"/>
      <c r="O1325" s="7"/>
      <c r="P1325" s="7"/>
      <c r="Q1325" s="7"/>
      <c r="R1325" s="7"/>
      <c r="S1325" s="7"/>
      <c r="T1325" s="7"/>
      <c r="U1325" s="7"/>
      <c r="V1325" s="7"/>
      <c r="W1325" s="7"/>
      <c r="X1325" s="7"/>
      <c r="Y1325" s="7"/>
      <c r="Z1325" s="7"/>
      <c r="AA1325" s="7"/>
      <c r="AB1325" s="7"/>
    </row>
    <row r="1326" spans="1:28" x14ac:dyDescent="0.2">
      <c r="A1326" s="4"/>
      <c r="B1326" s="4"/>
      <c r="C1326" s="4"/>
      <c r="D1326" s="27"/>
      <c r="E1326" s="107"/>
      <c r="F1326" s="4"/>
      <c r="G1326" s="4"/>
      <c r="H1326" s="4"/>
      <c r="I1326" s="4"/>
      <c r="J1326" s="4"/>
      <c r="K1326" s="4"/>
      <c r="L1326" s="174"/>
      <c r="M1326" s="174"/>
      <c r="N1326" s="4"/>
      <c r="O1326" s="7"/>
      <c r="P1326" s="7"/>
      <c r="Q1326" s="7"/>
      <c r="R1326" s="7"/>
      <c r="S1326" s="7"/>
      <c r="T1326" s="7"/>
      <c r="U1326" s="7"/>
      <c r="V1326" s="7"/>
      <c r="W1326" s="7"/>
      <c r="X1326" s="7"/>
      <c r="Y1326" s="7"/>
      <c r="Z1326" s="7"/>
      <c r="AA1326" s="7"/>
      <c r="AB1326" s="7"/>
    </row>
    <row r="1327" spans="1:28" x14ac:dyDescent="0.2">
      <c r="A1327" s="4"/>
      <c r="B1327" s="4"/>
      <c r="C1327" s="4"/>
      <c r="D1327" s="27"/>
      <c r="E1327" s="107"/>
      <c r="F1327" s="4"/>
      <c r="G1327" s="4"/>
      <c r="H1327" s="4"/>
      <c r="I1327" s="4"/>
      <c r="J1327" s="4"/>
      <c r="K1327" s="4"/>
      <c r="L1327" s="174"/>
      <c r="M1327" s="174"/>
      <c r="N1327" s="4"/>
      <c r="O1327" s="7"/>
      <c r="P1327" s="7"/>
      <c r="Q1327" s="7"/>
      <c r="R1327" s="7"/>
      <c r="S1327" s="7"/>
      <c r="T1327" s="7"/>
      <c r="U1327" s="7"/>
      <c r="V1327" s="7"/>
      <c r="W1327" s="7"/>
      <c r="X1327" s="7"/>
      <c r="Y1327" s="7"/>
      <c r="Z1327" s="7"/>
      <c r="AA1327" s="7"/>
      <c r="AB1327" s="7"/>
    </row>
    <row r="1328" spans="1:28" x14ac:dyDescent="0.2">
      <c r="A1328" s="4"/>
      <c r="B1328" s="4"/>
      <c r="C1328" s="4"/>
      <c r="D1328" s="27"/>
      <c r="E1328" s="107"/>
      <c r="F1328" s="4"/>
      <c r="G1328" s="4"/>
      <c r="H1328" s="4"/>
      <c r="I1328" s="4"/>
      <c r="J1328" s="4"/>
      <c r="K1328" s="4"/>
      <c r="L1328" s="174"/>
      <c r="M1328" s="174"/>
      <c r="N1328" s="4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  <c r="AA1328" s="7"/>
      <c r="AB1328" s="7"/>
    </row>
    <row r="1329" spans="1:28" x14ac:dyDescent="0.2">
      <c r="A1329" s="4"/>
      <c r="B1329" s="4"/>
      <c r="C1329" s="4"/>
      <c r="D1329" s="27"/>
      <c r="E1329" s="107"/>
      <c r="F1329" s="4"/>
      <c r="G1329" s="4"/>
      <c r="H1329" s="4"/>
      <c r="I1329" s="4"/>
      <c r="J1329" s="4"/>
      <c r="K1329" s="4"/>
      <c r="L1329" s="174"/>
      <c r="M1329" s="174"/>
      <c r="N1329" s="4"/>
      <c r="O1329" s="7"/>
      <c r="P1329" s="7"/>
      <c r="Q1329" s="7"/>
      <c r="R1329" s="7"/>
      <c r="S1329" s="7"/>
      <c r="T1329" s="7"/>
      <c r="U1329" s="7"/>
      <c r="V1329" s="7"/>
      <c r="W1329" s="7"/>
      <c r="X1329" s="7"/>
      <c r="Y1329" s="7"/>
      <c r="Z1329" s="7"/>
      <c r="AA1329" s="7"/>
      <c r="AB1329" s="7"/>
    </row>
    <row r="1330" spans="1:28" x14ac:dyDescent="0.2">
      <c r="A1330" s="4"/>
      <c r="B1330" s="4"/>
      <c r="C1330" s="4"/>
      <c r="D1330" s="27"/>
      <c r="E1330" s="107"/>
      <c r="F1330" s="4"/>
      <c r="G1330" s="4"/>
      <c r="H1330" s="4"/>
      <c r="I1330" s="4"/>
      <c r="J1330" s="4"/>
      <c r="K1330" s="4"/>
      <c r="L1330" s="174"/>
      <c r="M1330" s="174"/>
      <c r="N1330" s="4"/>
      <c r="O1330" s="7"/>
      <c r="P1330" s="7"/>
      <c r="Q1330" s="7"/>
      <c r="R1330" s="7"/>
      <c r="S1330" s="7"/>
      <c r="T1330" s="7"/>
      <c r="U1330" s="7"/>
      <c r="V1330" s="7"/>
      <c r="W1330" s="7"/>
      <c r="X1330" s="7"/>
      <c r="Y1330" s="7"/>
      <c r="Z1330" s="7"/>
      <c r="AA1330" s="7"/>
      <c r="AB1330" s="7"/>
    </row>
    <row r="1331" spans="1:28" x14ac:dyDescent="0.2">
      <c r="A1331" s="4"/>
      <c r="B1331" s="4"/>
      <c r="C1331" s="4"/>
      <c r="D1331" s="27"/>
      <c r="E1331" s="107"/>
      <c r="F1331" s="4"/>
      <c r="G1331" s="4"/>
      <c r="H1331" s="4"/>
      <c r="I1331" s="4"/>
      <c r="J1331" s="4"/>
      <c r="K1331" s="4"/>
      <c r="L1331" s="174"/>
      <c r="M1331" s="174"/>
      <c r="N1331" s="4"/>
      <c r="O1331" s="7"/>
      <c r="P1331" s="7"/>
      <c r="Q1331" s="7"/>
      <c r="R1331" s="7"/>
      <c r="S1331" s="7"/>
      <c r="T1331" s="7"/>
      <c r="U1331" s="7"/>
      <c r="V1331" s="7"/>
      <c r="W1331" s="7"/>
      <c r="X1331" s="7"/>
      <c r="Y1331" s="7"/>
      <c r="Z1331" s="7"/>
      <c r="AA1331" s="7"/>
      <c r="AB1331" s="7"/>
    </row>
    <row r="1332" spans="1:28" x14ac:dyDescent="0.2">
      <c r="A1332" s="4"/>
      <c r="B1332" s="4"/>
      <c r="C1332" s="4"/>
      <c r="D1332" s="27"/>
      <c r="E1332" s="107"/>
      <c r="F1332" s="4"/>
      <c r="G1332" s="4"/>
      <c r="H1332" s="4"/>
      <c r="I1332" s="4"/>
      <c r="J1332" s="4"/>
      <c r="K1332" s="4"/>
      <c r="L1332" s="174"/>
      <c r="M1332" s="174"/>
      <c r="N1332" s="4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  <c r="AA1332" s="7"/>
      <c r="AB1332" s="7"/>
    </row>
    <row r="1333" spans="1:28" x14ac:dyDescent="0.2">
      <c r="A1333" s="4"/>
      <c r="B1333" s="4"/>
      <c r="C1333" s="4"/>
      <c r="D1333" s="27"/>
      <c r="E1333" s="107"/>
      <c r="F1333" s="4"/>
      <c r="G1333" s="4"/>
      <c r="H1333" s="4"/>
      <c r="I1333" s="4"/>
      <c r="J1333" s="4"/>
      <c r="K1333" s="4"/>
      <c r="L1333" s="174"/>
      <c r="M1333" s="174"/>
      <c r="N1333" s="4"/>
      <c r="O1333" s="7"/>
      <c r="P1333" s="7"/>
      <c r="Q1333" s="7"/>
      <c r="R1333" s="7"/>
      <c r="S1333" s="7"/>
      <c r="T1333" s="7"/>
      <c r="U1333" s="7"/>
      <c r="V1333" s="7"/>
      <c r="W1333" s="7"/>
      <c r="X1333" s="7"/>
      <c r="Y1333" s="7"/>
      <c r="Z1333" s="7"/>
      <c r="AA1333" s="7"/>
      <c r="AB1333" s="7"/>
    </row>
    <row r="1334" spans="1:28" x14ac:dyDescent="0.2">
      <c r="A1334" s="4"/>
      <c r="B1334" s="4"/>
      <c r="C1334" s="4"/>
      <c r="D1334" s="27"/>
      <c r="E1334" s="107"/>
      <c r="F1334" s="4"/>
      <c r="G1334" s="4"/>
      <c r="H1334" s="4"/>
      <c r="I1334" s="4"/>
      <c r="J1334" s="4"/>
      <c r="K1334" s="4"/>
      <c r="L1334" s="174"/>
      <c r="M1334" s="174"/>
      <c r="N1334" s="4"/>
      <c r="O1334" s="7"/>
      <c r="P1334" s="7"/>
      <c r="Q1334" s="7"/>
      <c r="R1334" s="7"/>
      <c r="S1334" s="7"/>
      <c r="T1334" s="7"/>
      <c r="U1334" s="7"/>
      <c r="V1334" s="7"/>
      <c r="W1334" s="7"/>
      <c r="X1334" s="7"/>
      <c r="Y1334" s="7"/>
      <c r="Z1334" s="7"/>
      <c r="AA1334" s="7"/>
      <c r="AB1334" s="7"/>
    </row>
    <row r="1335" spans="1:28" x14ac:dyDescent="0.2">
      <c r="A1335" s="4"/>
      <c r="B1335" s="4"/>
      <c r="C1335" s="4"/>
      <c r="D1335" s="27"/>
      <c r="E1335" s="107"/>
      <c r="F1335" s="4"/>
      <c r="G1335" s="4"/>
      <c r="H1335" s="4"/>
      <c r="I1335" s="4"/>
      <c r="J1335" s="4"/>
      <c r="K1335" s="4"/>
      <c r="L1335" s="174"/>
      <c r="M1335" s="174"/>
      <c r="N1335" s="4"/>
      <c r="O1335" s="7"/>
      <c r="P1335" s="7"/>
      <c r="Q1335" s="7"/>
      <c r="R1335" s="7"/>
      <c r="S1335" s="7"/>
      <c r="T1335" s="7"/>
      <c r="U1335" s="7"/>
      <c r="V1335" s="7"/>
      <c r="W1335" s="7"/>
      <c r="X1335" s="7"/>
      <c r="Y1335" s="7"/>
      <c r="Z1335" s="7"/>
      <c r="AA1335" s="7"/>
      <c r="AB1335" s="7"/>
    </row>
    <row r="1336" spans="1:28" x14ac:dyDescent="0.2">
      <c r="A1336" s="4"/>
      <c r="B1336" s="4"/>
      <c r="C1336" s="4"/>
      <c r="D1336" s="27"/>
      <c r="E1336" s="107"/>
      <c r="F1336" s="4"/>
      <c r="G1336" s="4"/>
      <c r="H1336" s="4"/>
      <c r="I1336" s="4"/>
      <c r="J1336" s="4"/>
      <c r="K1336" s="4"/>
      <c r="L1336" s="174"/>
      <c r="M1336" s="174"/>
      <c r="N1336" s="4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  <c r="AA1336" s="7"/>
      <c r="AB1336" s="7"/>
    </row>
    <row r="1337" spans="1:28" x14ac:dyDescent="0.2">
      <c r="A1337" s="4"/>
      <c r="B1337" s="4"/>
      <c r="C1337" s="4"/>
      <c r="D1337" s="27"/>
      <c r="E1337" s="107"/>
      <c r="F1337" s="4"/>
      <c r="G1337" s="4"/>
      <c r="H1337" s="4"/>
      <c r="I1337" s="4"/>
      <c r="J1337" s="4"/>
      <c r="K1337" s="4"/>
      <c r="L1337" s="174"/>
      <c r="M1337" s="174"/>
      <c r="N1337" s="4"/>
      <c r="O1337" s="7"/>
      <c r="P1337" s="7"/>
      <c r="Q1337" s="7"/>
      <c r="R1337" s="7"/>
      <c r="S1337" s="7"/>
      <c r="T1337" s="7"/>
      <c r="U1337" s="7"/>
      <c r="V1337" s="7"/>
      <c r="W1337" s="7"/>
      <c r="X1337" s="7"/>
      <c r="Y1337" s="7"/>
      <c r="Z1337" s="7"/>
      <c r="AA1337" s="7"/>
      <c r="AB1337" s="7"/>
    </row>
    <row r="1338" spans="1:28" x14ac:dyDescent="0.2">
      <c r="A1338" s="4"/>
      <c r="B1338" s="4"/>
      <c r="C1338" s="4"/>
      <c r="D1338" s="27"/>
      <c r="E1338" s="107"/>
      <c r="F1338" s="4"/>
      <c r="G1338" s="4"/>
      <c r="H1338" s="4"/>
      <c r="I1338" s="4"/>
      <c r="J1338" s="4"/>
      <c r="K1338" s="4"/>
      <c r="L1338" s="174"/>
      <c r="M1338" s="174"/>
      <c r="N1338" s="4"/>
      <c r="O1338" s="7"/>
      <c r="P1338" s="7"/>
      <c r="Q1338" s="7"/>
      <c r="R1338" s="7"/>
      <c r="S1338" s="7"/>
      <c r="T1338" s="7"/>
      <c r="U1338" s="7"/>
      <c r="V1338" s="7"/>
      <c r="W1338" s="7"/>
      <c r="X1338" s="7"/>
      <c r="Y1338" s="7"/>
      <c r="Z1338" s="7"/>
      <c r="AA1338" s="7"/>
      <c r="AB1338" s="7"/>
    </row>
    <row r="1339" spans="1:28" x14ac:dyDescent="0.2">
      <c r="A1339" s="4"/>
      <c r="B1339" s="4"/>
      <c r="C1339" s="4"/>
      <c r="D1339" s="27"/>
      <c r="E1339" s="107"/>
      <c r="F1339" s="4"/>
      <c r="G1339" s="4"/>
      <c r="H1339" s="4"/>
      <c r="I1339" s="4"/>
      <c r="J1339" s="4"/>
      <c r="K1339" s="4"/>
      <c r="L1339" s="174"/>
      <c r="M1339" s="174"/>
      <c r="N1339" s="4"/>
      <c r="O1339" s="7"/>
      <c r="P1339" s="7"/>
      <c r="Q1339" s="7"/>
      <c r="R1339" s="7"/>
      <c r="S1339" s="7"/>
      <c r="T1339" s="7"/>
      <c r="U1339" s="7"/>
      <c r="V1339" s="7"/>
      <c r="W1339" s="7"/>
      <c r="X1339" s="7"/>
      <c r="Y1339" s="7"/>
      <c r="Z1339" s="7"/>
      <c r="AA1339" s="7"/>
      <c r="AB1339" s="7"/>
    </row>
    <row r="1340" spans="1:28" x14ac:dyDescent="0.2">
      <c r="A1340" s="4"/>
      <c r="B1340" s="4"/>
      <c r="C1340" s="4"/>
      <c r="D1340" s="27"/>
      <c r="E1340" s="107"/>
      <c r="F1340" s="4"/>
      <c r="G1340" s="4"/>
      <c r="H1340" s="4"/>
      <c r="I1340" s="4"/>
      <c r="J1340" s="4"/>
      <c r="K1340" s="4"/>
      <c r="L1340" s="174"/>
      <c r="M1340" s="174"/>
      <c r="N1340" s="4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  <c r="AA1340" s="7"/>
      <c r="AB1340" s="7"/>
    </row>
    <row r="1341" spans="1:28" x14ac:dyDescent="0.2">
      <c r="A1341" s="4"/>
      <c r="B1341" s="4"/>
      <c r="C1341" s="4"/>
      <c r="D1341" s="27"/>
      <c r="E1341" s="107"/>
      <c r="F1341" s="4"/>
      <c r="G1341" s="4"/>
      <c r="H1341" s="4"/>
      <c r="I1341" s="4"/>
      <c r="J1341" s="4"/>
      <c r="K1341" s="4"/>
      <c r="L1341" s="174"/>
      <c r="M1341" s="174"/>
      <c r="N1341" s="4"/>
      <c r="O1341" s="7"/>
      <c r="P1341" s="7"/>
      <c r="Q1341" s="7"/>
      <c r="R1341" s="7"/>
      <c r="S1341" s="7"/>
      <c r="T1341" s="7"/>
      <c r="U1341" s="7"/>
      <c r="V1341" s="7"/>
      <c r="W1341" s="7"/>
      <c r="X1341" s="7"/>
      <c r="Y1341" s="7"/>
      <c r="Z1341" s="7"/>
      <c r="AA1341" s="7"/>
      <c r="AB1341" s="7"/>
    </row>
    <row r="1342" spans="1:28" x14ac:dyDescent="0.2">
      <c r="A1342" s="4"/>
      <c r="B1342" s="4"/>
      <c r="C1342" s="4"/>
      <c r="D1342" s="27"/>
      <c r="E1342" s="107"/>
      <c r="F1342" s="4"/>
      <c r="G1342" s="4"/>
      <c r="H1342" s="4"/>
      <c r="I1342" s="4"/>
      <c r="J1342" s="4"/>
      <c r="K1342" s="4"/>
      <c r="L1342" s="174"/>
      <c r="M1342" s="174"/>
      <c r="N1342" s="4"/>
      <c r="O1342" s="7"/>
      <c r="P1342" s="7"/>
      <c r="Q1342" s="7"/>
      <c r="R1342" s="7"/>
      <c r="S1342" s="7"/>
      <c r="T1342" s="7"/>
      <c r="U1342" s="7"/>
      <c r="V1342" s="7"/>
      <c r="W1342" s="7"/>
      <c r="X1342" s="7"/>
      <c r="Y1342" s="7"/>
      <c r="Z1342" s="7"/>
      <c r="AA1342" s="7"/>
      <c r="AB1342" s="7"/>
    </row>
    <row r="1343" spans="1:28" x14ac:dyDescent="0.2">
      <c r="A1343" s="4"/>
      <c r="B1343" s="4"/>
      <c r="C1343" s="4"/>
      <c r="D1343" s="27"/>
      <c r="E1343" s="107"/>
      <c r="F1343" s="4"/>
      <c r="G1343" s="4"/>
      <c r="H1343" s="4"/>
      <c r="I1343" s="4"/>
      <c r="J1343" s="4"/>
      <c r="K1343" s="4"/>
      <c r="L1343" s="174"/>
      <c r="M1343" s="174"/>
      <c r="N1343" s="4"/>
      <c r="O1343" s="7"/>
      <c r="P1343" s="7"/>
      <c r="Q1343" s="7"/>
      <c r="R1343" s="7"/>
      <c r="S1343" s="7"/>
      <c r="T1343" s="7"/>
      <c r="U1343" s="7"/>
      <c r="V1343" s="7"/>
      <c r="W1343" s="7"/>
      <c r="X1343" s="7"/>
      <c r="Y1343" s="7"/>
      <c r="Z1343" s="7"/>
      <c r="AA1343" s="7"/>
      <c r="AB1343" s="7"/>
    </row>
    <row r="1344" spans="1:28" x14ac:dyDescent="0.2">
      <c r="A1344" s="4"/>
      <c r="B1344" s="4"/>
      <c r="C1344" s="4"/>
      <c r="D1344" s="27"/>
      <c r="E1344" s="107"/>
      <c r="F1344" s="4"/>
      <c r="G1344" s="4"/>
      <c r="H1344" s="4"/>
      <c r="I1344" s="4"/>
      <c r="J1344" s="4"/>
      <c r="K1344" s="4"/>
      <c r="L1344" s="174"/>
      <c r="M1344" s="174"/>
      <c r="N1344" s="4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  <c r="AA1344" s="7"/>
      <c r="AB1344" s="7"/>
    </row>
    <row r="1345" spans="1:28" x14ac:dyDescent="0.2">
      <c r="A1345" s="4"/>
      <c r="B1345" s="4"/>
      <c r="C1345" s="4"/>
      <c r="D1345" s="27"/>
      <c r="E1345" s="107"/>
      <c r="F1345" s="4"/>
      <c r="G1345" s="4"/>
      <c r="H1345" s="4"/>
      <c r="I1345" s="4"/>
      <c r="J1345" s="4"/>
      <c r="K1345" s="4"/>
      <c r="L1345" s="174"/>
      <c r="M1345" s="174"/>
      <c r="N1345" s="4"/>
      <c r="O1345" s="7"/>
      <c r="P1345" s="7"/>
      <c r="Q1345" s="7"/>
      <c r="R1345" s="7"/>
      <c r="S1345" s="7"/>
      <c r="T1345" s="7"/>
      <c r="U1345" s="7"/>
      <c r="V1345" s="7"/>
      <c r="W1345" s="7"/>
      <c r="X1345" s="7"/>
      <c r="Y1345" s="7"/>
      <c r="Z1345" s="7"/>
      <c r="AA1345" s="7"/>
      <c r="AB1345" s="7"/>
    </row>
    <row r="1346" spans="1:28" x14ac:dyDescent="0.2">
      <c r="A1346" s="4"/>
      <c r="B1346" s="4"/>
      <c r="C1346" s="4"/>
      <c r="D1346" s="27"/>
      <c r="E1346" s="107"/>
      <c r="F1346" s="4"/>
      <c r="G1346" s="4"/>
      <c r="H1346" s="4"/>
      <c r="I1346" s="4"/>
      <c r="J1346" s="4"/>
      <c r="K1346" s="4"/>
      <c r="L1346" s="174"/>
      <c r="M1346" s="174"/>
      <c r="N1346" s="4"/>
      <c r="O1346" s="7"/>
      <c r="P1346" s="7"/>
      <c r="Q1346" s="7"/>
      <c r="R1346" s="7"/>
      <c r="S1346" s="7"/>
      <c r="T1346" s="7"/>
      <c r="U1346" s="7"/>
      <c r="V1346" s="7"/>
      <c r="W1346" s="7"/>
      <c r="X1346" s="7"/>
      <c r="Y1346" s="7"/>
      <c r="Z1346" s="7"/>
      <c r="AA1346" s="7"/>
      <c r="AB1346" s="7"/>
    </row>
    <row r="1347" spans="1:28" x14ac:dyDescent="0.2">
      <c r="A1347" s="4"/>
      <c r="B1347" s="4"/>
      <c r="C1347" s="4"/>
      <c r="D1347" s="27"/>
      <c r="E1347" s="107"/>
      <c r="F1347" s="4"/>
      <c r="G1347" s="4"/>
      <c r="H1347" s="4"/>
      <c r="I1347" s="4"/>
      <c r="J1347" s="4"/>
      <c r="K1347" s="4"/>
      <c r="L1347" s="174"/>
      <c r="M1347" s="174"/>
      <c r="N1347" s="4"/>
      <c r="O1347" s="7"/>
      <c r="P1347" s="7"/>
      <c r="Q1347" s="7"/>
      <c r="R1347" s="7"/>
      <c r="S1347" s="7"/>
      <c r="T1347" s="7"/>
      <c r="U1347" s="7"/>
      <c r="V1347" s="7"/>
      <c r="W1347" s="7"/>
      <c r="X1347" s="7"/>
      <c r="Y1347" s="7"/>
      <c r="Z1347" s="7"/>
      <c r="AA1347" s="7"/>
      <c r="AB1347" s="7"/>
    </row>
    <row r="1348" spans="1:28" x14ac:dyDescent="0.2">
      <c r="A1348" s="4"/>
      <c r="B1348" s="4"/>
      <c r="C1348" s="4"/>
      <c r="D1348" s="27"/>
      <c r="E1348" s="107"/>
      <c r="F1348" s="4"/>
      <c r="G1348" s="4"/>
      <c r="H1348" s="4"/>
      <c r="I1348" s="4"/>
      <c r="J1348" s="4"/>
      <c r="K1348" s="4"/>
      <c r="L1348" s="174"/>
      <c r="M1348" s="174"/>
      <c r="N1348" s="4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  <c r="AA1348" s="7"/>
      <c r="AB1348" s="7"/>
    </row>
    <row r="1349" spans="1:28" x14ac:dyDescent="0.2">
      <c r="A1349" s="4"/>
      <c r="B1349" s="4"/>
      <c r="C1349" s="4"/>
      <c r="D1349" s="27"/>
      <c r="E1349" s="107"/>
      <c r="F1349" s="4"/>
      <c r="G1349" s="4"/>
      <c r="H1349" s="4"/>
      <c r="I1349" s="4"/>
      <c r="J1349" s="4"/>
      <c r="K1349" s="4"/>
      <c r="L1349" s="174"/>
      <c r="M1349" s="174"/>
      <c r="N1349" s="4"/>
      <c r="O1349" s="7"/>
      <c r="P1349" s="7"/>
      <c r="Q1349" s="7"/>
      <c r="R1349" s="7"/>
      <c r="S1349" s="7"/>
      <c r="T1349" s="7"/>
      <c r="U1349" s="7"/>
      <c r="V1349" s="7"/>
      <c r="W1349" s="7"/>
      <c r="X1349" s="7"/>
      <c r="Y1349" s="7"/>
      <c r="Z1349" s="7"/>
      <c r="AA1349" s="7"/>
      <c r="AB1349" s="7"/>
    </row>
    <row r="1350" spans="1:28" x14ac:dyDescent="0.2">
      <c r="A1350" s="4"/>
      <c r="B1350" s="4"/>
      <c r="C1350" s="4"/>
      <c r="D1350" s="27"/>
      <c r="E1350" s="107"/>
      <c r="F1350" s="4"/>
      <c r="G1350" s="4"/>
      <c r="H1350" s="4"/>
      <c r="I1350" s="4"/>
      <c r="J1350" s="4"/>
      <c r="K1350" s="4"/>
      <c r="L1350" s="174"/>
      <c r="M1350" s="174"/>
      <c r="N1350" s="4"/>
      <c r="O1350" s="7"/>
      <c r="P1350" s="7"/>
      <c r="Q1350" s="7"/>
      <c r="R1350" s="7"/>
      <c r="S1350" s="7"/>
      <c r="T1350" s="7"/>
      <c r="U1350" s="7"/>
      <c r="V1350" s="7"/>
      <c r="W1350" s="7"/>
      <c r="X1350" s="7"/>
      <c r="Y1350" s="7"/>
      <c r="Z1350" s="7"/>
      <c r="AA1350" s="7"/>
      <c r="AB1350" s="7"/>
    </row>
    <row r="1351" spans="1:28" x14ac:dyDescent="0.2">
      <c r="A1351" s="4"/>
      <c r="B1351" s="4"/>
      <c r="C1351" s="4"/>
      <c r="D1351" s="27"/>
      <c r="E1351" s="107"/>
      <c r="F1351" s="4"/>
      <c r="G1351" s="4"/>
      <c r="H1351" s="4"/>
      <c r="I1351" s="4"/>
      <c r="J1351" s="4"/>
      <c r="K1351" s="4"/>
      <c r="L1351" s="174"/>
      <c r="M1351" s="174"/>
      <c r="N1351" s="4"/>
      <c r="O1351" s="7"/>
      <c r="P1351" s="7"/>
      <c r="Q1351" s="7"/>
      <c r="R1351" s="7"/>
      <c r="S1351" s="7"/>
      <c r="T1351" s="7"/>
      <c r="U1351" s="7"/>
      <c r="V1351" s="7"/>
      <c r="W1351" s="7"/>
      <c r="X1351" s="7"/>
      <c r="Y1351" s="7"/>
      <c r="Z1351" s="7"/>
      <c r="AA1351" s="7"/>
      <c r="AB1351" s="7"/>
    </row>
    <row r="1352" spans="1:28" x14ac:dyDescent="0.2">
      <c r="A1352" s="4"/>
      <c r="B1352" s="4"/>
      <c r="C1352" s="4"/>
      <c r="D1352" s="27"/>
      <c r="E1352" s="107"/>
      <c r="F1352" s="4"/>
      <c r="G1352" s="4"/>
      <c r="H1352" s="4"/>
      <c r="I1352" s="4"/>
      <c r="J1352" s="4"/>
      <c r="K1352" s="4"/>
      <c r="L1352" s="174"/>
      <c r="M1352" s="174"/>
      <c r="N1352" s="4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  <c r="AA1352" s="7"/>
      <c r="AB1352" s="7"/>
    </row>
    <row r="1353" spans="1:28" x14ac:dyDescent="0.2">
      <c r="A1353" s="4"/>
      <c r="B1353" s="4"/>
      <c r="C1353" s="4"/>
      <c r="D1353" s="27"/>
      <c r="E1353" s="107"/>
      <c r="F1353" s="4"/>
      <c r="G1353" s="4"/>
      <c r="H1353" s="4"/>
      <c r="I1353" s="4"/>
      <c r="J1353" s="4"/>
      <c r="K1353" s="4"/>
      <c r="L1353" s="174"/>
      <c r="M1353" s="174"/>
      <c r="N1353" s="4"/>
      <c r="O1353" s="7"/>
      <c r="P1353" s="7"/>
      <c r="Q1353" s="7"/>
      <c r="R1353" s="7"/>
      <c r="S1353" s="7"/>
      <c r="T1353" s="7"/>
      <c r="U1353" s="7"/>
      <c r="V1353" s="7"/>
      <c r="W1353" s="7"/>
      <c r="X1353" s="7"/>
      <c r="Y1353" s="7"/>
      <c r="Z1353" s="7"/>
      <c r="AA1353" s="7"/>
      <c r="AB1353" s="7"/>
    </row>
    <row r="1354" spans="1:28" x14ac:dyDescent="0.2">
      <c r="A1354" s="4"/>
      <c r="B1354" s="4"/>
      <c r="C1354" s="4"/>
      <c r="D1354" s="27"/>
      <c r="E1354" s="107"/>
      <c r="F1354" s="4"/>
      <c r="G1354" s="4"/>
      <c r="H1354" s="4"/>
      <c r="I1354" s="4"/>
      <c r="J1354" s="4"/>
      <c r="K1354" s="4"/>
      <c r="L1354" s="174"/>
      <c r="M1354" s="174"/>
      <c r="N1354" s="4"/>
      <c r="O1354" s="7"/>
      <c r="P1354" s="7"/>
      <c r="Q1354" s="7"/>
      <c r="R1354" s="7"/>
      <c r="S1354" s="7"/>
      <c r="T1354" s="7"/>
      <c r="U1354" s="7"/>
      <c r="V1354" s="7"/>
      <c r="W1354" s="7"/>
      <c r="X1354" s="7"/>
      <c r="Y1354" s="7"/>
      <c r="Z1354" s="7"/>
      <c r="AA1354" s="7"/>
      <c r="AB1354" s="7"/>
    </row>
    <row r="1355" spans="1:28" x14ac:dyDescent="0.2">
      <c r="A1355" s="4"/>
      <c r="B1355" s="4"/>
      <c r="C1355" s="4"/>
      <c r="D1355" s="27"/>
      <c r="E1355" s="107"/>
      <c r="F1355" s="4"/>
      <c r="G1355" s="4"/>
      <c r="H1355" s="4"/>
      <c r="I1355" s="4"/>
      <c r="J1355" s="4"/>
      <c r="K1355" s="4"/>
      <c r="L1355" s="174"/>
      <c r="M1355" s="174"/>
      <c r="N1355" s="4"/>
      <c r="O1355" s="7"/>
      <c r="P1355" s="7"/>
      <c r="Q1355" s="7"/>
      <c r="R1355" s="7"/>
      <c r="S1355" s="7"/>
      <c r="T1355" s="7"/>
      <c r="U1355" s="7"/>
      <c r="V1355" s="7"/>
      <c r="W1355" s="7"/>
      <c r="X1355" s="7"/>
      <c r="Y1355" s="7"/>
      <c r="Z1355" s="7"/>
      <c r="AA1355" s="7"/>
      <c r="AB1355" s="7"/>
    </row>
    <row r="1356" spans="1:28" x14ac:dyDescent="0.2">
      <c r="A1356" s="4"/>
      <c r="B1356" s="4"/>
      <c r="C1356" s="4"/>
      <c r="D1356" s="27"/>
      <c r="E1356" s="107"/>
      <c r="F1356" s="4"/>
      <c r="G1356" s="4"/>
      <c r="H1356" s="4"/>
      <c r="I1356" s="4"/>
      <c r="J1356" s="4"/>
      <c r="K1356" s="4"/>
      <c r="L1356" s="174"/>
      <c r="M1356" s="174"/>
      <c r="N1356" s="4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  <c r="AA1356" s="7"/>
      <c r="AB1356" s="7"/>
    </row>
    <row r="1357" spans="1:28" x14ac:dyDescent="0.2">
      <c r="A1357" s="4"/>
      <c r="B1357" s="4"/>
      <c r="C1357" s="4"/>
      <c r="D1357" s="27"/>
      <c r="E1357" s="107"/>
      <c r="F1357" s="4"/>
      <c r="G1357" s="4"/>
      <c r="H1357" s="4"/>
      <c r="I1357" s="4"/>
      <c r="J1357" s="4"/>
      <c r="K1357" s="4"/>
      <c r="L1357" s="174"/>
      <c r="M1357" s="174"/>
      <c r="N1357" s="4"/>
      <c r="O1357" s="7"/>
      <c r="P1357" s="7"/>
      <c r="Q1357" s="7"/>
      <c r="R1357" s="7"/>
      <c r="S1357" s="7"/>
      <c r="T1357" s="7"/>
      <c r="U1357" s="7"/>
      <c r="V1357" s="7"/>
      <c r="W1357" s="7"/>
      <c r="X1357" s="7"/>
      <c r="Y1357" s="7"/>
      <c r="Z1357" s="7"/>
      <c r="AA1357" s="7"/>
      <c r="AB1357" s="7"/>
    </row>
    <row r="1358" spans="1:28" x14ac:dyDescent="0.2">
      <c r="A1358" s="4"/>
      <c r="B1358" s="4"/>
      <c r="C1358" s="4"/>
      <c r="D1358" s="27"/>
      <c r="E1358" s="107"/>
      <c r="F1358" s="4"/>
      <c r="G1358" s="4"/>
      <c r="H1358" s="4"/>
      <c r="I1358" s="4"/>
      <c r="J1358" s="4"/>
      <c r="K1358" s="4"/>
      <c r="L1358" s="174"/>
      <c r="M1358" s="174"/>
      <c r="N1358" s="4"/>
      <c r="O1358" s="7"/>
      <c r="P1358" s="7"/>
      <c r="Q1358" s="7"/>
      <c r="R1358" s="7"/>
      <c r="S1358" s="7"/>
      <c r="T1358" s="7"/>
      <c r="U1358" s="7"/>
      <c r="V1358" s="7"/>
      <c r="W1358" s="7"/>
      <c r="X1358" s="7"/>
      <c r="Y1358" s="7"/>
      <c r="Z1358" s="7"/>
      <c r="AA1358" s="7"/>
      <c r="AB1358" s="7"/>
    </row>
    <row r="1359" spans="1:28" x14ac:dyDescent="0.2">
      <c r="A1359" s="4"/>
      <c r="B1359" s="4"/>
      <c r="C1359" s="4"/>
      <c r="D1359" s="27"/>
      <c r="E1359" s="107"/>
      <c r="F1359" s="4"/>
      <c r="G1359" s="4"/>
      <c r="H1359" s="4"/>
      <c r="I1359" s="4"/>
      <c r="J1359" s="4"/>
      <c r="K1359" s="4"/>
      <c r="L1359" s="174"/>
      <c r="M1359" s="174"/>
      <c r="N1359" s="4"/>
      <c r="O1359" s="7"/>
      <c r="P1359" s="7"/>
      <c r="Q1359" s="7"/>
      <c r="R1359" s="7"/>
      <c r="S1359" s="7"/>
      <c r="T1359" s="7"/>
      <c r="U1359" s="7"/>
      <c r="V1359" s="7"/>
      <c r="W1359" s="7"/>
      <c r="X1359" s="7"/>
      <c r="Y1359" s="7"/>
      <c r="Z1359" s="7"/>
      <c r="AA1359" s="7"/>
      <c r="AB1359" s="7"/>
    </row>
    <row r="1360" spans="1:28" x14ac:dyDescent="0.2">
      <c r="A1360" s="4"/>
      <c r="B1360" s="4"/>
      <c r="C1360" s="4"/>
      <c r="D1360" s="27"/>
      <c r="E1360" s="107"/>
      <c r="F1360" s="4"/>
      <c r="G1360" s="4"/>
      <c r="H1360" s="4"/>
      <c r="I1360" s="4"/>
      <c r="J1360" s="4"/>
      <c r="K1360" s="4"/>
      <c r="L1360" s="174"/>
      <c r="M1360" s="174"/>
      <c r="N1360" s="4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  <c r="AA1360" s="7"/>
      <c r="AB1360" s="7"/>
    </row>
    <row r="1361" spans="1:28" x14ac:dyDescent="0.2">
      <c r="A1361" s="4"/>
      <c r="B1361" s="4"/>
      <c r="C1361" s="4"/>
      <c r="D1361" s="27"/>
      <c r="E1361" s="107"/>
      <c r="F1361" s="4"/>
      <c r="G1361" s="4"/>
      <c r="H1361" s="4"/>
      <c r="I1361" s="4"/>
      <c r="J1361" s="4"/>
      <c r="K1361" s="4"/>
      <c r="L1361" s="174"/>
      <c r="M1361" s="174"/>
      <c r="N1361" s="4"/>
      <c r="O1361" s="7"/>
      <c r="P1361" s="7"/>
      <c r="Q1361" s="7"/>
      <c r="R1361" s="7"/>
      <c r="S1361" s="7"/>
      <c r="T1361" s="7"/>
      <c r="U1361" s="7"/>
      <c r="V1361" s="7"/>
      <c r="W1361" s="7"/>
      <c r="X1361" s="7"/>
      <c r="Y1361" s="7"/>
      <c r="Z1361" s="7"/>
      <c r="AA1361" s="7"/>
      <c r="AB1361" s="7"/>
    </row>
    <row r="1362" spans="1:28" x14ac:dyDescent="0.2">
      <c r="A1362" s="4"/>
      <c r="B1362" s="4"/>
      <c r="C1362" s="4"/>
      <c r="D1362" s="27"/>
      <c r="E1362" s="107"/>
      <c r="F1362" s="4"/>
      <c r="G1362" s="4"/>
      <c r="H1362" s="4"/>
      <c r="I1362" s="4"/>
      <c r="J1362" s="4"/>
      <c r="K1362" s="4"/>
      <c r="L1362" s="174"/>
      <c r="M1362" s="174"/>
      <c r="N1362" s="4"/>
      <c r="O1362" s="7"/>
      <c r="P1362" s="7"/>
      <c r="Q1362" s="7"/>
      <c r="R1362" s="7"/>
      <c r="S1362" s="7"/>
      <c r="T1362" s="7"/>
      <c r="U1362" s="7"/>
      <c r="V1362" s="7"/>
      <c r="W1362" s="7"/>
      <c r="X1362" s="7"/>
      <c r="Y1362" s="7"/>
      <c r="Z1362" s="7"/>
      <c r="AA1362" s="7"/>
      <c r="AB1362" s="7"/>
    </row>
    <row r="1363" spans="1:28" x14ac:dyDescent="0.2">
      <c r="A1363" s="4"/>
      <c r="B1363" s="4"/>
      <c r="C1363" s="4"/>
      <c r="D1363" s="27"/>
      <c r="E1363" s="107"/>
      <c r="F1363" s="4"/>
      <c r="G1363" s="4"/>
      <c r="H1363" s="4"/>
      <c r="I1363" s="4"/>
      <c r="J1363" s="4"/>
      <c r="K1363" s="4"/>
      <c r="L1363" s="174"/>
      <c r="M1363" s="174"/>
      <c r="N1363" s="4"/>
      <c r="O1363" s="7"/>
      <c r="P1363" s="7"/>
      <c r="Q1363" s="7"/>
      <c r="R1363" s="7"/>
      <c r="S1363" s="7"/>
      <c r="T1363" s="7"/>
      <c r="U1363" s="7"/>
      <c r="V1363" s="7"/>
      <c r="W1363" s="7"/>
      <c r="X1363" s="7"/>
      <c r="Y1363" s="7"/>
      <c r="Z1363" s="7"/>
      <c r="AA1363" s="7"/>
      <c r="AB1363" s="7"/>
    </row>
    <row r="1364" spans="1:28" x14ac:dyDescent="0.2">
      <c r="A1364" s="4"/>
      <c r="B1364" s="4"/>
      <c r="C1364" s="4"/>
      <c r="D1364" s="27"/>
      <c r="E1364" s="107"/>
      <c r="F1364" s="4"/>
      <c r="G1364" s="4"/>
      <c r="H1364" s="4"/>
      <c r="I1364" s="4"/>
      <c r="J1364" s="4"/>
      <c r="K1364" s="4"/>
      <c r="L1364" s="174"/>
      <c r="M1364" s="174"/>
      <c r="N1364" s="4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  <c r="AA1364" s="7"/>
      <c r="AB1364" s="7"/>
    </row>
    <row r="1365" spans="1:28" x14ac:dyDescent="0.2">
      <c r="A1365" s="4"/>
      <c r="B1365" s="4"/>
      <c r="C1365" s="4"/>
      <c r="D1365" s="27"/>
      <c r="E1365" s="107"/>
      <c r="F1365" s="4"/>
      <c r="G1365" s="4"/>
      <c r="H1365" s="4"/>
      <c r="I1365" s="4"/>
      <c r="J1365" s="4"/>
      <c r="K1365" s="4"/>
      <c r="L1365" s="174"/>
      <c r="M1365" s="174"/>
      <c r="N1365" s="4"/>
      <c r="O1365" s="7"/>
      <c r="P1365" s="7"/>
      <c r="Q1365" s="7"/>
      <c r="R1365" s="7"/>
      <c r="S1365" s="7"/>
      <c r="T1365" s="7"/>
      <c r="U1365" s="7"/>
      <c r="V1365" s="7"/>
      <c r="W1365" s="7"/>
      <c r="X1365" s="7"/>
      <c r="Y1365" s="7"/>
      <c r="Z1365" s="7"/>
      <c r="AA1365" s="7"/>
      <c r="AB1365" s="7"/>
    </row>
    <row r="1366" spans="1:28" x14ac:dyDescent="0.2">
      <c r="A1366" s="4"/>
      <c r="B1366" s="4"/>
      <c r="C1366" s="4"/>
      <c r="D1366" s="27"/>
      <c r="E1366" s="107"/>
      <c r="F1366" s="4"/>
      <c r="G1366" s="4"/>
      <c r="H1366" s="4"/>
      <c r="I1366" s="4"/>
      <c r="J1366" s="4"/>
      <c r="K1366" s="4"/>
      <c r="L1366" s="174"/>
      <c r="M1366" s="174"/>
      <c r="N1366" s="4"/>
      <c r="O1366" s="7"/>
      <c r="P1366" s="7"/>
      <c r="Q1366" s="7"/>
      <c r="R1366" s="7"/>
      <c r="S1366" s="7"/>
      <c r="T1366" s="7"/>
      <c r="U1366" s="7"/>
      <c r="V1366" s="7"/>
      <c r="W1366" s="7"/>
      <c r="X1366" s="7"/>
      <c r="Y1366" s="7"/>
      <c r="Z1366" s="7"/>
      <c r="AA1366" s="7"/>
      <c r="AB1366" s="7"/>
    </row>
    <row r="1367" spans="1:28" x14ac:dyDescent="0.2">
      <c r="A1367" s="4"/>
      <c r="B1367" s="4"/>
      <c r="C1367" s="4"/>
      <c r="D1367" s="27"/>
      <c r="E1367" s="107"/>
      <c r="F1367" s="4"/>
      <c r="G1367" s="4"/>
      <c r="H1367" s="4"/>
      <c r="I1367" s="4"/>
      <c r="J1367" s="4"/>
      <c r="K1367" s="4"/>
      <c r="L1367" s="174"/>
      <c r="M1367" s="174"/>
      <c r="N1367" s="4"/>
      <c r="O1367" s="7"/>
      <c r="P1367" s="7"/>
      <c r="Q1367" s="7"/>
      <c r="R1367" s="7"/>
      <c r="S1367" s="7"/>
      <c r="T1367" s="7"/>
      <c r="U1367" s="7"/>
      <c r="V1367" s="7"/>
      <c r="W1367" s="7"/>
      <c r="X1367" s="7"/>
      <c r="Y1367" s="7"/>
      <c r="Z1367" s="7"/>
      <c r="AA1367" s="7"/>
      <c r="AB1367" s="7"/>
    </row>
    <row r="1368" spans="1:28" x14ac:dyDescent="0.2">
      <c r="A1368" s="4"/>
      <c r="B1368" s="4"/>
      <c r="C1368" s="4"/>
      <c r="D1368" s="27"/>
      <c r="E1368" s="107"/>
      <c r="F1368" s="4"/>
      <c r="G1368" s="4"/>
      <c r="H1368" s="4"/>
      <c r="I1368" s="4"/>
      <c r="J1368" s="4"/>
      <c r="K1368" s="4"/>
      <c r="L1368" s="174"/>
      <c r="M1368" s="174"/>
      <c r="N1368" s="4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  <c r="AA1368" s="7"/>
      <c r="AB1368" s="7"/>
    </row>
    <row r="1369" spans="1:28" x14ac:dyDescent="0.2">
      <c r="A1369" s="4"/>
      <c r="B1369" s="4"/>
      <c r="C1369" s="4"/>
      <c r="D1369" s="27"/>
      <c r="E1369" s="107"/>
      <c r="F1369" s="4"/>
      <c r="G1369" s="4"/>
      <c r="H1369" s="4"/>
      <c r="I1369" s="4"/>
      <c r="J1369" s="4"/>
      <c r="K1369" s="4"/>
      <c r="L1369" s="174"/>
      <c r="M1369" s="174"/>
      <c r="N1369" s="4"/>
      <c r="O1369" s="7"/>
      <c r="P1369" s="7"/>
      <c r="Q1369" s="7"/>
      <c r="R1369" s="7"/>
      <c r="S1369" s="7"/>
      <c r="T1369" s="7"/>
      <c r="U1369" s="7"/>
      <c r="V1369" s="7"/>
      <c r="W1369" s="7"/>
      <c r="X1369" s="7"/>
      <c r="Y1369" s="7"/>
      <c r="Z1369" s="7"/>
      <c r="AA1369" s="7"/>
      <c r="AB1369" s="7"/>
    </row>
    <row r="1370" spans="1:28" x14ac:dyDescent="0.2">
      <c r="A1370" s="4"/>
      <c r="B1370" s="4"/>
      <c r="C1370" s="4"/>
      <c r="D1370" s="27"/>
      <c r="E1370" s="107"/>
      <c r="F1370" s="4"/>
      <c r="G1370" s="4"/>
      <c r="H1370" s="4"/>
      <c r="I1370" s="4"/>
      <c r="J1370" s="4"/>
      <c r="K1370" s="4"/>
      <c r="L1370" s="174"/>
      <c r="M1370" s="174"/>
      <c r="N1370" s="4"/>
      <c r="O1370" s="7"/>
      <c r="P1370" s="7"/>
      <c r="Q1370" s="7"/>
      <c r="R1370" s="7"/>
      <c r="S1370" s="7"/>
      <c r="T1370" s="7"/>
      <c r="U1370" s="7"/>
      <c r="V1370" s="7"/>
      <c r="W1370" s="7"/>
      <c r="X1370" s="7"/>
      <c r="Y1370" s="7"/>
      <c r="Z1370" s="7"/>
      <c r="AA1370" s="7"/>
      <c r="AB1370" s="7"/>
    </row>
    <row r="1371" spans="1:28" x14ac:dyDescent="0.2">
      <c r="A1371" s="4"/>
      <c r="B1371" s="4"/>
      <c r="C1371" s="4"/>
      <c r="D1371" s="27"/>
      <c r="E1371" s="107"/>
      <c r="F1371" s="4"/>
      <c r="G1371" s="4"/>
      <c r="H1371" s="4"/>
      <c r="I1371" s="4"/>
      <c r="J1371" s="4"/>
      <c r="K1371" s="4"/>
      <c r="L1371" s="174"/>
      <c r="M1371" s="174"/>
      <c r="N1371" s="4"/>
      <c r="O1371" s="7"/>
      <c r="P1371" s="7"/>
      <c r="Q1371" s="7"/>
      <c r="R1371" s="7"/>
      <c r="S1371" s="7"/>
      <c r="T1371" s="7"/>
      <c r="U1371" s="7"/>
      <c r="V1371" s="7"/>
      <c r="W1371" s="7"/>
      <c r="X1371" s="7"/>
      <c r="Y1371" s="7"/>
      <c r="Z1371" s="7"/>
      <c r="AA1371" s="7"/>
      <c r="AB1371" s="7"/>
    </row>
    <row r="1372" spans="1:28" x14ac:dyDescent="0.2">
      <c r="A1372" s="4"/>
      <c r="B1372" s="4"/>
      <c r="C1372" s="4"/>
      <c r="D1372" s="27"/>
      <c r="E1372" s="107"/>
      <c r="F1372" s="4"/>
      <c r="G1372" s="4"/>
      <c r="H1372" s="4"/>
      <c r="I1372" s="4"/>
      <c r="J1372" s="4"/>
      <c r="K1372" s="4"/>
      <c r="L1372" s="174"/>
      <c r="M1372" s="174"/>
      <c r="N1372" s="4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  <c r="AA1372" s="7"/>
      <c r="AB1372" s="7"/>
    </row>
    <row r="1373" spans="1:28" x14ac:dyDescent="0.2">
      <c r="A1373" s="4"/>
      <c r="B1373" s="4"/>
      <c r="C1373" s="4"/>
      <c r="D1373" s="27"/>
      <c r="E1373" s="107"/>
      <c r="F1373" s="4"/>
      <c r="G1373" s="4"/>
      <c r="H1373" s="4"/>
      <c r="I1373" s="4"/>
      <c r="J1373" s="4"/>
      <c r="K1373" s="4"/>
      <c r="L1373" s="174"/>
      <c r="M1373" s="174"/>
      <c r="N1373" s="4"/>
      <c r="O1373" s="7"/>
      <c r="P1373" s="7"/>
      <c r="Q1373" s="7"/>
      <c r="R1373" s="7"/>
      <c r="S1373" s="7"/>
      <c r="T1373" s="7"/>
      <c r="U1373" s="7"/>
      <c r="V1373" s="7"/>
      <c r="W1373" s="7"/>
      <c r="X1373" s="7"/>
      <c r="Y1373" s="7"/>
      <c r="Z1373" s="7"/>
      <c r="AA1373" s="7"/>
      <c r="AB1373" s="7"/>
    </row>
    <row r="1374" spans="1:28" x14ac:dyDescent="0.2">
      <c r="A1374" s="4"/>
      <c r="B1374" s="4"/>
      <c r="C1374" s="4"/>
      <c r="D1374" s="27"/>
      <c r="E1374" s="107"/>
      <c r="F1374" s="4"/>
      <c r="G1374" s="4"/>
      <c r="H1374" s="4"/>
      <c r="I1374" s="4"/>
      <c r="J1374" s="4"/>
      <c r="K1374" s="4"/>
      <c r="L1374" s="174"/>
      <c r="M1374" s="174"/>
      <c r="N1374" s="4"/>
      <c r="O1374" s="7"/>
      <c r="P1374" s="7"/>
      <c r="Q1374" s="7"/>
      <c r="R1374" s="7"/>
      <c r="S1374" s="7"/>
      <c r="T1374" s="7"/>
      <c r="U1374" s="7"/>
      <c r="V1374" s="7"/>
      <c r="W1374" s="7"/>
      <c r="X1374" s="7"/>
      <c r="Y1374" s="7"/>
      <c r="Z1374" s="7"/>
      <c r="AA1374" s="7"/>
      <c r="AB1374" s="7"/>
    </row>
    <row r="1375" spans="1:28" x14ac:dyDescent="0.2">
      <c r="A1375" s="4"/>
      <c r="B1375" s="4"/>
      <c r="C1375" s="4"/>
      <c r="D1375" s="27"/>
      <c r="E1375" s="107"/>
      <c r="F1375" s="4"/>
      <c r="G1375" s="4"/>
      <c r="H1375" s="4"/>
      <c r="I1375" s="4"/>
      <c r="J1375" s="4"/>
      <c r="K1375" s="4"/>
      <c r="L1375" s="174"/>
      <c r="M1375" s="174"/>
      <c r="N1375" s="4"/>
      <c r="O1375" s="7"/>
      <c r="P1375" s="7"/>
      <c r="Q1375" s="7"/>
      <c r="R1375" s="7"/>
      <c r="S1375" s="7"/>
      <c r="T1375" s="7"/>
      <c r="U1375" s="7"/>
      <c r="V1375" s="7"/>
      <c r="W1375" s="7"/>
      <c r="X1375" s="7"/>
      <c r="Y1375" s="7"/>
      <c r="Z1375" s="7"/>
      <c r="AA1375" s="7"/>
      <c r="AB1375" s="7"/>
    </row>
    <row r="1376" spans="1:28" x14ac:dyDescent="0.2">
      <c r="A1376" s="4"/>
      <c r="B1376" s="4"/>
      <c r="C1376" s="4"/>
      <c r="D1376" s="27"/>
      <c r="E1376" s="107"/>
      <c r="F1376" s="4"/>
      <c r="G1376" s="4"/>
      <c r="H1376" s="4"/>
      <c r="I1376" s="4"/>
      <c r="J1376" s="4"/>
      <c r="K1376" s="4"/>
      <c r="L1376" s="174"/>
      <c r="M1376" s="174"/>
      <c r="N1376" s="4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  <c r="AA1376" s="7"/>
      <c r="AB1376" s="7"/>
    </row>
    <row r="1377" spans="1:28" x14ac:dyDescent="0.2">
      <c r="A1377" s="4"/>
      <c r="B1377" s="4"/>
      <c r="C1377" s="4"/>
      <c r="D1377" s="27"/>
      <c r="E1377" s="107"/>
      <c r="F1377" s="4"/>
      <c r="G1377" s="4"/>
      <c r="H1377" s="4"/>
      <c r="I1377" s="4"/>
      <c r="J1377" s="4"/>
      <c r="K1377" s="4"/>
      <c r="L1377" s="174"/>
      <c r="M1377" s="174"/>
      <c r="N1377" s="4"/>
      <c r="O1377" s="7"/>
      <c r="P1377" s="7"/>
      <c r="Q1377" s="7"/>
      <c r="R1377" s="7"/>
      <c r="S1377" s="7"/>
      <c r="T1377" s="7"/>
      <c r="U1377" s="7"/>
      <c r="V1377" s="7"/>
      <c r="W1377" s="7"/>
      <c r="X1377" s="7"/>
      <c r="Y1377" s="7"/>
      <c r="Z1377" s="7"/>
      <c r="AA1377" s="7"/>
      <c r="AB1377" s="7"/>
    </row>
    <row r="1378" spans="1:28" x14ac:dyDescent="0.2">
      <c r="A1378" s="4"/>
      <c r="B1378" s="4"/>
      <c r="C1378" s="4"/>
      <c r="D1378" s="27"/>
      <c r="E1378" s="107"/>
      <c r="F1378" s="4"/>
      <c r="G1378" s="4"/>
      <c r="H1378" s="4"/>
      <c r="I1378" s="4"/>
      <c r="J1378" s="4"/>
      <c r="K1378" s="4"/>
      <c r="L1378" s="174"/>
      <c r="M1378" s="174"/>
      <c r="N1378" s="4"/>
      <c r="O1378" s="7"/>
      <c r="P1378" s="7"/>
      <c r="Q1378" s="7"/>
      <c r="R1378" s="7"/>
      <c r="S1378" s="7"/>
      <c r="T1378" s="7"/>
      <c r="U1378" s="7"/>
      <c r="V1378" s="7"/>
      <c r="W1378" s="7"/>
      <c r="X1378" s="7"/>
      <c r="Y1378" s="7"/>
      <c r="Z1378" s="7"/>
      <c r="AA1378" s="7"/>
      <c r="AB1378" s="7"/>
    </row>
    <row r="1379" spans="1:28" x14ac:dyDescent="0.2">
      <c r="A1379" s="4"/>
      <c r="B1379" s="4"/>
      <c r="C1379" s="4"/>
      <c r="D1379" s="27"/>
      <c r="E1379" s="107"/>
      <c r="F1379" s="4"/>
      <c r="G1379" s="4"/>
      <c r="H1379" s="4"/>
      <c r="I1379" s="4"/>
      <c r="J1379" s="4"/>
      <c r="K1379" s="4"/>
      <c r="L1379" s="174"/>
      <c r="M1379" s="174"/>
      <c r="N1379" s="4"/>
      <c r="O1379" s="7"/>
      <c r="P1379" s="7"/>
      <c r="Q1379" s="7"/>
      <c r="R1379" s="7"/>
      <c r="S1379" s="7"/>
      <c r="T1379" s="7"/>
      <c r="U1379" s="7"/>
      <c r="V1379" s="7"/>
      <c r="W1379" s="7"/>
      <c r="X1379" s="7"/>
      <c r="Y1379" s="7"/>
      <c r="Z1379" s="7"/>
      <c r="AA1379" s="7"/>
      <c r="AB1379" s="7"/>
    </row>
    <row r="1380" spans="1:28" x14ac:dyDescent="0.2">
      <c r="A1380" s="4"/>
      <c r="B1380" s="4"/>
      <c r="C1380" s="4"/>
      <c r="D1380" s="27"/>
      <c r="E1380" s="107"/>
      <c r="F1380" s="4"/>
      <c r="G1380" s="4"/>
      <c r="H1380" s="4"/>
      <c r="I1380" s="4"/>
      <c r="J1380" s="4"/>
      <c r="K1380" s="4"/>
      <c r="L1380" s="174"/>
      <c r="M1380" s="174"/>
      <c r="N1380" s="4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  <c r="AA1380" s="7"/>
      <c r="AB1380" s="7"/>
    </row>
    <row r="1381" spans="1:28" x14ac:dyDescent="0.2">
      <c r="A1381" s="4"/>
      <c r="B1381" s="4"/>
      <c r="C1381" s="4"/>
      <c r="D1381" s="27"/>
      <c r="E1381" s="107"/>
      <c r="F1381" s="4"/>
      <c r="G1381" s="4"/>
      <c r="H1381" s="4"/>
      <c r="I1381" s="4"/>
      <c r="J1381" s="4"/>
      <c r="K1381" s="4"/>
      <c r="L1381" s="174"/>
      <c r="M1381" s="174"/>
      <c r="N1381" s="4"/>
      <c r="O1381" s="7"/>
      <c r="P1381" s="7"/>
      <c r="Q1381" s="7"/>
      <c r="R1381" s="7"/>
      <c r="S1381" s="7"/>
      <c r="T1381" s="7"/>
      <c r="U1381" s="7"/>
      <c r="V1381" s="7"/>
      <c r="W1381" s="7"/>
      <c r="X1381" s="7"/>
      <c r="Y1381" s="7"/>
      <c r="Z1381" s="7"/>
      <c r="AA1381" s="7"/>
      <c r="AB1381" s="7"/>
    </row>
    <row r="1382" spans="1:28" x14ac:dyDescent="0.2">
      <c r="A1382" s="4"/>
      <c r="B1382" s="4"/>
      <c r="C1382" s="4"/>
      <c r="D1382" s="27"/>
      <c r="E1382" s="107"/>
      <c r="F1382" s="4"/>
      <c r="G1382" s="4"/>
      <c r="H1382" s="4"/>
      <c r="I1382" s="4"/>
      <c r="J1382" s="4"/>
      <c r="K1382" s="4"/>
      <c r="L1382" s="174"/>
      <c r="M1382" s="174"/>
      <c r="N1382" s="4"/>
      <c r="O1382" s="7"/>
      <c r="P1382" s="7"/>
      <c r="Q1382" s="7"/>
      <c r="R1382" s="7"/>
      <c r="S1382" s="7"/>
      <c r="T1382" s="7"/>
      <c r="U1382" s="7"/>
      <c r="V1382" s="7"/>
      <c r="W1382" s="7"/>
      <c r="X1382" s="7"/>
      <c r="Y1382" s="7"/>
      <c r="Z1382" s="7"/>
      <c r="AA1382" s="7"/>
      <c r="AB1382" s="7"/>
    </row>
    <row r="1383" spans="1:28" x14ac:dyDescent="0.2">
      <c r="A1383" s="4"/>
      <c r="B1383" s="4"/>
      <c r="C1383" s="4"/>
      <c r="D1383" s="27"/>
      <c r="E1383" s="107"/>
      <c r="F1383" s="4"/>
      <c r="G1383" s="4"/>
      <c r="H1383" s="4"/>
      <c r="I1383" s="4"/>
      <c r="J1383" s="4"/>
      <c r="K1383" s="4"/>
      <c r="L1383" s="174"/>
      <c r="M1383" s="174"/>
      <c r="N1383" s="4"/>
      <c r="O1383" s="7"/>
      <c r="P1383" s="7"/>
      <c r="Q1383" s="7"/>
      <c r="R1383" s="7"/>
      <c r="S1383" s="7"/>
      <c r="T1383" s="7"/>
      <c r="U1383" s="7"/>
      <c r="V1383" s="7"/>
      <c r="W1383" s="7"/>
      <c r="X1383" s="7"/>
      <c r="Y1383" s="7"/>
      <c r="Z1383" s="7"/>
      <c r="AA1383" s="7"/>
      <c r="AB1383" s="7"/>
    </row>
    <row r="1384" spans="1:28" x14ac:dyDescent="0.2">
      <c r="A1384" s="4"/>
      <c r="B1384" s="4"/>
      <c r="C1384" s="4"/>
      <c r="D1384" s="27"/>
      <c r="E1384" s="107"/>
      <c r="F1384" s="4"/>
      <c r="G1384" s="4"/>
      <c r="H1384" s="4"/>
      <c r="I1384" s="4"/>
      <c r="J1384" s="4"/>
      <c r="K1384" s="4"/>
      <c r="L1384" s="174"/>
      <c r="M1384" s="174"/>
      <c r="N1384" s="4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  <c r="AA1384" s="7"/>
      <c r="AB1384" s="7"/>
    </row>
    <row r="1385" spans="1:28" x14ac:dyDescent="0.2">
      <c r="A1385" s="4"/>
      <c r="B1385" s="4"/>
      <c r="C1385" s="4"/>
      <c r="D1385" s="27"/>
      <c r="E1385" s="107"/>
      <c r="F1385" s="4"/>
      <c r="G1385" s="4"/>
      <c r="H1385" s="4"/>
      <c r="I1385" s="4"/>
      <c r="J1385" s="4"/>
      <c r="K1385" s="4"/>
      <c r="L1385" s="174"/>
      <c r="M1385" s="174"/>
      <c r="N1385" s="4"/>
      <c r="O1385" s="7"/>
      <c r="P1385" s="7"/>
      <c r="Q1385" s="7"/>
      <c r="R1385" s="7"/>
      <c r="S1385" s="7"/>
      <c r="T1385" s="7"/>
      <c r="U1385" s="7"/>
      <c r="V1385" s="7"/>
      <c r="W1385" s="7"/>
      <c r="X1385" s="7"/>
      <c r="Y1385" s="7"/>
      <c r="Z1385" s="7"/>
      <c r="AA1385" s="7"/>
      <c r="AB1385" s="7"/>
    </row>
    <row r="1386" spans="1:28" x14ac:dyDescent="0.2">
      <c r="A1386" s="4"/>
      <c r="B1386" s="4"/>
      <c r="C1386" s="4"/>
      <c r="D1386" s="27"/>
      <c r="E1386" s="107"/>
      <c r="F1386" s="4"/>
      <c r="G1386" s="4"/>
      <c r="H1386" s="4"/>
      <c r="I1386" s="4"/>
      <c r="J1386" s="4"/>
      <c r="K1386" s="4"/>
      <c r="L1386" s="174"/>
      <c r="M1386" s="174"/>
      <c r="N1386" s="4"/>
      <c r="O1386" s="7"/>
      <c r="P1386" s="7"/>
      <c r="Q1386" s="7"/>
      <c r="R1386" s="7"/>
      <c r="S1386" s="7"/>
      <c r="T1386" s="7"/>
      <c r="U1386" s="7"/>
      <c r="V1386" s="7"/>
      <c r="W1386" s="7"/>
      <c r="X1386" s="7"/>
      <c r="Y1386" s="7"/>
      <c r="Z1386" s="7"/>
      <c r="AA1386" s="7"/>
      <c r="AB1386" s="7"/>
    </row>
    <row r="1387" spans="1:28" x14ac:dyDescent="0.2">
      <c r="A1387" s="4"/>
      <c r="B1387" s="4"/>
      <c r="C1387" s="4"/>
      <c r="D1387" s="27"/>
      <c r="E1387" s="107"/>
      <c r="F1387" s="4"/>
      <c r="G1387" s="4"/>
      <c r="H1387" s="4"/>
      <c r="I1387" s="4"/>
      <c r="J1387" s="4"/>
      <c r="K1387" s="4"/>
      <c r="L1387" s="174"/>
      <c r="M1387" s="174"/>
      <c r="N1387" s="4"/>
      <c r="O1387" s="7"/>
      <c r="P1387" s="7"/>
      <c r="Q1387" s="7"/>
      <c r="R1387" s="7"/>
      <c r="S1387" s="7"/>
      <c r="T1387" s="7"/>
      <c r="U1387" s="7"/>
      <c r="V1387" s="7"/>
      <c r="W1387" s="7"/>
      <c r="X1387" s="7"/>
      <c r="Y1387" s="7"/>
      <c r="Z1387" s="7"/>
      <c r="AA1387" s="7"/>
      <c r="AB1387" s="7"/>
    </row>
    <row r="1388" spans="1:28" x14ac:dyDescent="0.2">
      <c r="A1388" s="4"/>
      <c r="B1388" s="4"/>
      <c r="C1388" s="4"/>
      <c r="D1388" s="27"/>
      <c r="E1388" s="107"/>
      <c r="F1388" s="4"/>
      <c r="G1388" s="4"/>
      <c r="H1388" s="4"/>
      <c r="I1388" s="4"/>
      <c r="J1388" s="4"/>
      <c r="K1388" s="4"/>
      <c r="L1388" s="174"/>
      <c r="M1388" s="174"/>
      <c r="N1388" s="4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  <c r="AA1388" s="7"/>
      <c r="AB1388" s="7"/>
    </row>
    <row r="1389" spans="1:28" x14ac:dyDescent="0.2">
      <c r="A1389" s="4"/>
      <c r="B1389" s="4"/>
      <c r="C1389" s="4"/>
      <c r="D1389" s="27"/>
      <c r="E1389" s="107"/>
      <c r="F1389" s="4"/>
      <c r="G1389" s="4"/>
      <c r="H1389" s="4"/>
      <c r="I1389" s="4"/>
      <c r="J1389" s="4"/>
      <c r="K1389" s="4"/>
      <c r="L1389" s="174"/>
      <c r="M1389" s="174"/>
      <c r="N1389" s="4"/>
      <c r="O1389" s="7"/>
      <c r="P1389" s="7"/>
      <c r="Q1389" s="7"/>
      <c r="R1389" s="7"/>
      <c r="S1389" s="7"/>
      <c r="T1389" s="7"/>
      <c r="U1389" s="7"/>
      <c r="V1389" s="7"/>
      <c r="W1389" s="7"/>
      <c r="X1389" s="7"/>
      <c r="Y1389" s="7"/>
      <c r="Z1389" s="7"/>
      <c r="AA1389" s="7"/>
      <c r="AB1389" s="7"/>
    </row>
    <row r="1390" spans="1:28" x14ac:dyDescent="0.2">
      <c r="A1390" s="4"/>
      <c r="B1390" s="4"/>
      <c r="C1390" s="4"/>
      <c r="D1390" s="27"/>
      <c r="E1390" s="107"/>
      <c r="F1390" s="4"/>
      <c r="G1390" s="4"/>
      <c r="H1390" s="4"/>
      <c r="I1390" s="4"/>
      <c r="J1390" s="4"/>
      <c r="K1390" s="4"/>
      <c r="L1390" s="174"/>
      <c r="M1390" s="174"/>
      <c r="N1390" s="4"/>
      <c r="O1390" s="7"/>
      <c r="P1390" s="7"/>
      <c r="Q1390" s="7"/>
      <c r="R1390" s="7"/>
      <c r="S1390" s="7"/>
      <c r="T1390" s="7"/>
      <c r="U1390" s="7"/>
      <c r="V1390" s="7"/>
      <c r="W1390" s="7"/>
      <c r="X1390" s="7"/>
      <c r="Y1390" s="7"/>
      <c r="Z1390" s="7"/>
      <c r="AA1390" s="7"/>
      <c r="AB1390" s="7"/>
    </row>
    <row r="1391" spans="1:28" x14ac:dyDescent="0.2">
      <c r="A1391" s="4"/>
      <c r="B1391" s="4"/>
      <c r="C1391" s="4"/>
      <c r="D1391" s="27"/>
      <c r="E1391" s="107"/>
      <c r="F1391" s="4"/>
      <c r="G1391" s="4"/>
      <c r="H1391" s="4"/>
      <c r="I1391" s="4"/>
      <c r="J1391" s="4"/>
      <c r="K1391" s="4"/>
      <c r="L1391" s="174"/>
      <c r="M1391" s="174"/>
      <c r="N1391" s="4"/>
      <c r="O1391" s="7"/>
      <c r="P1391" s="7"/>
      <c r="Q1391" s="7"/>
      <c r="R1391" s="7"/>
      <c r="S1391" s="7"/>
      <c r="T1391" s="7"/>
      <c r="U1391" s="7"/>
      <c r="V1391" s="7"/>
      <c r="W1391" s="7"/>
      <c r="X1391" s="7"/>
      <c r="Y1391" s="7"/>
      <c r="Z1391" s="7"/>
      <c r="AA1391" s="7"/>
      <c r="AB1391" s="7"/>
    </row>
    <row r="1392" spans="1:28" x14ac:dyDescent="0.2">
      <c r="A1392" s="4"/>
      <c r="B1392" s="4"/>
      <c r="C1392" s="4"/>
      <c r="D1392" s="27"/>
      <c r="E1392" s="107"/>
      <c r="F1392" s="4"/>
      <c r="G1392" s="4"/>
      <c r="H1392" s="4"/>
      <c r="I1392" s="4"/>
      <c r="J1392" s="4"/>
      <c r="K1392" s="4"/>
      <c r="L1392" s="174"/>
      <c r="M1392" s="174"/>
      <c r="N1392" s="4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  <c r="AA1392" s="7"/>
      <c r="AB1392" s="7"/>
    </row>
    <row r="1393" spans="1:28" x14ac:dyDescent="0.2">
      <c r="A1393" s="4"/>
      <c r="B1393" s="4"/>
      <c r="C1393" s="4"/>
      <c r="D1393" s="27"/>
      <c r="E1393" s="107"/>
      <c r="F1393" s="4"/>
      <c r="G1393" s="4"/>
      <c r="H1393" s="4"/>
      <c r="I1393" s="4"/>
      <c r="J1393" s="4"/>
      <c r="K1393" s="4"/>
      <c r="L1393" s="174"/>
      <c r="M1393" s="174"/>
      <c r="N1393" s="4"/>
      <c r="O1393" s="7"/>
      <c r="P1393" s="7"/>
      <c r="Q1393" s="7"/>
      <c r="R1393" s="7"/>
      <c r="S1393" s="7"/>
      <c r="T1393" s="7"/>
      <c r="U1393" s="7"/>
      <c r="V1393" s="7"/>
      <c r="W1393" s="7"/>
      <c r="X1393" s="7"/>
      <c r="Y1393" s="7"/>
      <c r="Z1393" s="7"/>
      <c r="AA1393" s="7"/>
      <c r="AB1393" s="7"/>
    </row>
    <row r="1394" spans="1:28" x14ac:dyDescent="0.2">
      <c r="A1394" s="4"/>
      <c r="B1394" s="4"/>
      <c r="C1394" s="4"/>
      <c r="D1394" s="27"/>
      <c r="E1394" s="107"/>
      <c r="F1394" s="4"/>
      <c r="G1394" s="4"/>
      <c r="H1394" s="4"/>
      <c r="I1394" s="4"/>
      <c r="J1394" s="4"/>
      <c r="K1394" s="4"/>
      <c r="L1394" s="174"/>
      <c r="M1394" s="174"/>
      <c r="N1394" s="4"/>
      <c r="O1394" s="7"/>
      <c r="P1394" s="7"/>
      <c r="Q1394" s="7"/>
      <c r="R1394" s="7"/>
      <c r="S1394" s="7"/>
      <c r="T1394" s="7"/>
      <c r="U1394" s="7"/>
      <c r="V1394" s="7"/>
      <c r="W1394" s="7"/>
      <c r="X1394" s="7"/>
      <c r="Y1394" s="7"/>
      <c r="Z1394" s="7"/>
      <c r="AA1394" s="7"/>
      <c r="AB1394" s="7"/>
    </row>
    <row r="1395" spans="1:28" x14ac:dyDescent="0.2">
      <c r="A1395" s="4"/>
      <c r="B1395" s="4"/>
      <c r="C1395" s="4"/>
      <c r="D1395" s="27"/>
      <c r="E1395" s="107"/>
      <c r="F1395" s="4"/>
      <c r="G1395" s="4"/>
      <c r="H1395" s="4"/>
      <c r="I1395" s="4"/>
      <c r="J1395" s="4"/>
      <c r="K1395" s="4"/>
      <c r="L1395" s="174"/>
      <c r="M1395" s="174"/>
      <c r="N1395" s="4"/>
      <c r="O1395" s="7"/>
      <c r="P1395" s="7"/>
      <c r="Q1395" s="7"/>
      <c r="R1395" s="7"/>
      <c r="S1395" s="7"/>
      <c r="T1395" s="7"/>
      <c r="U1395" s="7"/>
      <c r="V1395" s="7"/>
      <c r="W1395" s="7"/>
      <c r="X1395" s="7"/>
      <c r="Y1395" s="7"/>
      <c r="Z1395" s="7"/>
      <c r="AA1395" s="7"/>
      <c r="AB1395" s="7"/>
    </row>
    <row r="1396" spans="1:28" x14ac:dyDescent="0.2">
      <c r="A1396" s="4"/>
      <c r="B1396" s="4"/>
      <c r="C1396" s="4"/>
      <c r="D1396" s="27"/>
      <c r="E1396" s="107"/>
      <c r="F1396" s="4"/>
      <c r="G1396" s="4"/>
      <c r="H1396" s="4"/>
      <c r="I1396" s="4"/>
      <c r="J1396" s="4"/>
      <c r="K1396" s="4"/>
      <c r="L1396" s="174"/>
      <c r="M1396" s="174"/>
      <c r="N1396" s="4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  <c r="AA1396" s="7"/>
      <c r="AB1396" s="7"/>
    </row>
    <row r="1397" spans="1:28" x14ac:dyDescent="0.2">
      <c r="A1397" s="4"/>
      <c r="B1397" s="4"/>
      <c r="C1397" s="4"/>
      <c r="D1397" s="27"/>
      <c r="E1397" s="107"/>
      <c r="F1397" s="4"/>
      <c r="G1397" s="4"/>
      <c r="H1397" s="4"/>
      <c r="I1397" s="4"/>
      <c r="J1397" s="4"/>
      <c r="K1397" s="4"/>
      <c r="L1397" s="174"/>
      <c r="M1397" s="174"/>
      <c r="N1397" s="4"/>
      <c r="O1397" s="7"/>
      <c r="P1397" s="7"/>
      <c r="Q1397" s="7"/>
      <c r="R1397" s="7"/>
      <c r="S1397" s="7"/>
      <c r="T1397" s="7"/>
      <c r="U1397" s="7"/>
      <c r="V1397" s="7"/>
      <c r="W1397" s="7"/>
      <c r="X1397" s="7"/>
      <c r="Y1397" s="7"/>
      <c r="Z1397" s="7"/>
      <c r="AA1397" s="7"/>
      <c r="AB1397" s="7"/>
    </row>
    <row r="1398" spans="1:28" x14ac:dyDescent="0.2">
      <c r="A1398" s="4"/>
      <c r="B1398" s="4"/>
      <c r="C1398" s="4"/>
      <c r="D1398" s="27"/>
      <c r="E1398" s="107"/>
      <c r="F1398" s="4"/>
      <c r="G1398" s="4"/>
      <c r="H1398" s="4"/>
      <c r="I1398" s="4"/>
      <c r="J1398" s="4"/>
      <c r="K1398" s="4"/>
      <c r="L1398" s="174"/>
      <c r="M1398" s="174"/>
      <c r="N1398" s="4"/>
      <c r="O1398" s="7"/>
      <c r="P1398" s="7"/>
      <c r="Q1398" s="7"/>
      <c r="R1398" s="7"/>
      <c r="S1398" s="7"/>
      <c r="T1398" s="7"/>
      <c r="U1398" s="7"/>
      <c r="V1398" s="7"/>
      <c r="W1398" s="7"/>
      <c r="X1398" s="7"/>
      <c r="Y1398" s="7"/>
      <c r="Z1398" s="7"/>
      <c r="AA1398" s="7"/>
      <c r="AB1398" s="7"/>
    </row>
    <row r="1399" spans="1:28" x14ac:dyDescent="0.2">
      <c r="A1399" s="4"/>
      <c r="B1399" s="4"/>
      <c r="C1399" s="4"/>
      <c r="D1399" s="27"/>
      <c r="E1399" s="107"/>
      <c r="F1399" s="4"/>
      <c r="G1399" s="4"/>
      <c r="H1399" s="4"/>
      <c r="I1399" s="4"/>
      <c r="J1399" s="4"/>
      <c r="K1399" s="4"/>
      <c r="L1399" s="174"/>
      <c r="M1399" s="174"/>
      <c r="N1399" s="4"/>
      <c r="O1399" s="7"/>
      <c r="P1399" s="7"/>
      <c r="Q1399" s="7"/>
      <c r="R1399" s="7"/>
      <c r="S1399" s="7"/>
      <c r="T1399" s="7"/>
      <c r="U1399" s="7"/>
      <c r="V1399" s="7"/>
      <c r="W1399" s="7"/>
      <c r="X1399" s="7"/>
      <c r="Y1399" s="7"/>
      <c r="Z1399" s="7"/>
      <c r="AA1399" s="7"/>
      <c r="AB1399" s="7"/>
    </row>
    <row r="1400" spans="1:28" x14ac:dyDescent="0.2">
      <c r="A1400" s="4"/>
      <c r="B1400" s="4"/>
      <c r="C1400" s="4"/>
      <c r="D1400" s="27"/>
      <c r="E1400" s="107"/>
      <c r="F1400" s="4"/>
      <c r="G1400" s="4"/>
      <c r="H1400" s="4"/>
      <c r="I1400" s="4"/>
      <c r="J1400" s="4"/>
      <c r="K1400" s="4"/>
      <c r="L1400" s="174"/>
      <c r="M1400" s="174"/>
      <c r="N1400" s="4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  <c r="AA1400" s="7"/>
      <c r="AB1400" s="7"/>
    </row>
    <row r="1401" spans="1:28" x14ac:dyDescent="0.2">
      <c r="A1401" s="4"/>
      <c r="B1401" s="4"/>
      <c r="C1401" s="4"/>
      <c r="D1401" s="27"/>
      <c r="E1401" s="107"/>
      <c r="F1401" s="4"/>
      <c r="G1401" s="4"/>
      <c r="H1401" s="4"/>
      <c r="I1401" s="4"/>
      <c r="J1401" s="4"/>
      <c r="K1401" s="4"/>
      <c r="L1401" s="174"/>
      <c r="M1401" s="174"/>
      <c r="N1401" s="4"/>
      <c r="O1401" s="7"/>
      <c r="P1401" s="7"/>
      <c r="Q1401" s="7"/>
      <c r="R1401" s="7"/>
      <c r="S1401" s="7"/>
      <c r="T1401" s="7"/>
      <c r="U1401" s="7"/>
      <c r="V1401" s="7"/>
      <c r="W1401" s="7"/>
      <c r="X1401" s="7"/>
      <c r="Y1401" s="7"/>
      <c r="Z1401" s="7"/>
      <c r="AA1401" s="7"/>
      <c r="AB1401" s="7"/>
    </row>
    <row r="1402" spans="1:28" x14ac:dyDescent="0.2">
      <c r="A1402" s="4"/>
      <c r="B1402" s="4"/>
      <c r="C1402" s="4"/>
      <c r="D1402" s="27"/>
      <c r="E1402" s="107"/>
      <c r="F1402" s="4"/>
      <c r="G1402" s="4"/>
      <c r="H1402" s="4"/>
      <c r="I1402" s="4"/>
      <c r="J1402" s="4"/>
      <c r="K1402" s="4"/>
      <c r="L1402" s="174"/>
      <c r="M1402" s="174"/>
      <c r="N1402" s="4"/>
      <c r="O1402" s="7"/>
      <c r="P1402" s="7"/>
      <c r="Q1402" s="7"/>
      <c r="R1402" s="7"/>
      <c r="S1402" s="7"/>
      <c r="T1402" s="7"/>
      <c r="U1402" s="7"/>
      <c r="V1402" s="7"/>
      <c r="W1402" s="7"/>
      <c r="X1402" s="7"/>
      <c r="Y1402" s="7"/>
      <c r="Z1402" s="7"/>
      <c r="AA1402" s="7"/>
      <c r="AB1402" s="7"/>
    </row>
    <row r="1403" spans="1:28" x14ac:dyDescent="0.2">
      <c r="A1403" s="4"/>
      <c r="B1403" s="4"/>
      <c r="C1403" s="4"/>
      <c r="D1403" s="27"/>
      <c r="E1403" s="107"/>
      <c r="F1403" s="4"/>
      <c r="G1403" s="4"/>
      <c r="H1403" s="4"/>
      <c r="I1403" s="4"/>
      <c r="J1403" s="4"/>
      <c r="K1403" s="4"/>
      <c r="L1403" s="174"/>
      <c r="M1403" s="174"/>
      <c r="N1403" s="4"/>
      <c r="O1403" s="7"/>
      <c r="P1403" s="7"/>
      <c r="Q1403" s="7"/>
      <c r="R1403" s="7"/>
      <c r="S1403" s="7"/>
      <c r="T1403" s="7"/>
      <c r="U1403" s="7"/>
      <c r="V1403" s="7"/>
      <c r="W1403" s="7"/>
      <c r="X1403" s="7"/>
      <c r="Y1403" s="7"/>
      <c r="Z1403" s="7"/>
      <c r="AA1403" s="7"/>
      <c r="AB1403" s="7"/>
    </row>
    <row r="1404" spans="1:28" x14ac:dyDescent="0.2">
      <c r="A1404" s="4"/>
      <c r="B1404" s="4"/>
      <c r="C1404" s="4"/>
      <c r="D1404" s="27"/>
      <c r="E1404" s="107"/>
      <c r="F1404" s="4"/>
      <c r="G1404" s="4"/>
      <c r="H1404" s="4"/>
      <c r="I1404" s="4"/>
      <c r="J1404" s="4"/>
      <c r="K1404" s="4"/>
      <c r="L1404" s="174"/>
      <c r="M1404" s="174"/>
      <c r="N1404" s="4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  <c r="AA1404" s="7"/>
      <c r="AB1404" s="7"/>
    </row>
    <row r="1405" spans="1:28" x14ac:dyDescent="0.2">
      <c r="A1405" s="4"/>
      <c r="B1405" s="4"/>
      <c r="C1405" s="4"/>
      <c r="D1405" s="27"/>
      <c r="E1405" s="107"/>
      <c r="F1405" s="4"/>
      <c r="G1405" s="4"/>
      <c r="H1405" s="4"/>
      <c r="I1405" s="4"/>
      <c r="J1405" s="4"/>
      <c r="K1405" s="4"/>
      <c r="L1405" s="174"/>
      <c r="M1405" s="174"/>
      <c r="N1405" s="4"/>
      <c r="O1405" s="7"/>
      <c r="P1405" s="7"/>
      <c r="Q1405" s="7"/>
      <c r="R1405" s="7"/>
      <c r="S1405" s="7"/>
      <c r="T1405" s="7"/>
      <c r="U1405" s="7"/>
      <c r="V1405" s="7"/>
      <c r="W1405" s="7"/>
      <c r="X1405" s="7"/>
      <c r="Y1405" s="7"/>
      <c r="Z1405" s="7"/>
      <c r="AA1405" s="7"/>
      <c r="AB1405" s="7"/>
    </row>
    <row r="1406" spans="1:28" x14ac:dyDescent="0.2">
      <c r="A1406" s="4"/>
      <c r="B1406" s="4"/>
      <c r="C1406" s="4"/>
      <c r="D1406" s="27"/>
      <c r="E1406" s="107"/>
      <c r="F1406" s="4"/>
      <c r="G1406" s="4"/>
      <c r="H1406" s="4"/>
      <c r="I1406" s="4"/>
      <c r="J1406" s="4"/>
      <c r="K1406" s="4"/>
      <c r="L1406" s="174"/>
      <c r="M1406" s="174"/>
      <c r="N1406" s="4"/>
      <c r="O1406" s="7"/>
      <c r="P1406" s="7"/>
      <c r="Q1406" s="7"/>
      <c r="R1406" s="7"/>
      <c r="S1406" s="7"/>
      <c r="T1406" s="7"/>
      <c r="U1406" s="7"/>
      <c r="V1406" s="7"/>
      <c r="W1406" s="7"/>
      <c r="X1406" s="7"/>
      <c r="Y1406" s="7"/>
      <c r="Z1406" s="7"/>
      <c r="AA1406" s="7"/>
      <c r="AB1406" s="7"/>
    </row>
    <row r="1407" spans="1:28" x14ac:dyDescent="0.2">
      <c r="A1407" s="4"/>
      <c r="B1407" s="4"/>
      <c r="C1407" s="4"/>
      <c r="D1407" s="27"/>
      <c r="E1407" s="107"/>
      <c r="F1407" s="4"/>
      <c r="G1407" s="4"/>
      <c r="H1407" s="4"/>
      <c r="I1407" s="4"/>
      <c r="J1407" s="4"/>
      <c r="K1407" s="4"/>
      <c r="L1407" s="174"/>
      <c r="M1407" s="174"/>
      <c r="N1407" s="4"/>
      <c r="O1407" s="7"/>
      <c r="P1407" s="7"/>
      <c r="Q1407" s="7"/>
      <c r="R1407" s="7"/>
      <c r="S1407" s="7"/>
      <c r="T1407" s="7"/>
      <c r="U1407" s="7"/>
      <c r="V1407" s="7"/>
      <c r="W1407" s="7"/>
      <c r="X1407" s="7"/>
      <c r="Y1407" s="7"/>
      <c r="Z1407" s="7"/>
      <c r="AA1407" s="7"/>
      <c r="AB1407" s="7"/>
    </row>
    <row r="1408" spans="1:28" x14ac:dyDescent="0.2">
      <c r="A1408" s="4"/>
      <c r="B1408" s="4"/>
      <c r="C1408" s="4"/>
      <c r="D1408" s="27"/>
      <c r="E1408" s="107"/>
      <c r="F1408" s="4"/>
      <c r="G1408" s="4"/>
      <c r="H1408" s="4"/>
      <c r="I1408" s="4"/>
      <c r="J1408" s="4"/>
      <c r="K1408" s="4"/>
      <c r="L1408" s="174"/>
      <c r="M1408" s="174"/>
      <c r="N1408" s="4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  <c r="AA1408" s="7"/>
      <c r="AB1408" s="7"/>
    </row>
    <row r="1409" spans="1:28" x14ac:dyDescent="0.2">
      <c r="A1409" s="4"/>
      <c r="B1409" s="4"/>
      <c r="C1409" s="4"/>
      <c r="D1409" s="27"/>
      <c r="E1409" s="107"/>
      <c r="F1409" s="4"/>
      <c r="G1409" s="4"/>
      <c r="H1409" s="4"/>
      <c r="I1409" s="4"/>
      <c r="J1409" s="4"/>
      <c r="K1409" s="4"/>
      <c r="L1409" s="174"/>
      <c r="M1409" s="174"/>
      <c r="N1409" s="4"/>
      <c r="O1409" s="7"/>
      <c r="P1409" s="7"/>
      <c r="Q1409" s="7"/>
      <c r="R1409" s="7"/>
      <c r="S1409" s="7"/>
      <c r="T1409" s="7"/>
      <c r="U1409" s="7"/>
      <c r="V1409" s="7"/>
      <c r="W1409" s="7"/>
      <c r="X1409" s="7"/>
      <c r="Y1409" s="7"/>
      <c r="Z1409" s="7"/>
      <c r="AA1409" s="7"/>
      <c r="AB1409" s="7"/>
    </row>
    <row r="1410" spans="1:28" x14ac:dyDescent="0.2">
      <c r="A1410" s="4"/>
      <c r="B1410" s="4"/>
      <c r="C1410" s="4"/>
      <c r="D1410" s="27"/>
      <c r="E1410" s="107"/>
      <c r="F1410" s="4"/>
      <c r="G1410" s="4"/>
      <c r="H1410" s="4"/>
      <c r="I1410" s="4"/>
      <c r="J1410" s="4"/>
      <c r="K1410" s="4"/>
      <c r="L1410" s="174"/>
      <c r="M1410" s="174"/>
      <c r="N1410" s="4"/>
      <c r="O1410" s="7"/>
      <c r="P1410" s="7"/>
      <c r="Q1410" s="7"/>
      <c r="R1410" s="7"/>
      <c r="S1410" s="7"/>
      <c r="T1410" s="7"/>
      <c r="U1410" s="7"/>
      <c r="V1410" s="7"/>
      <c r="W1410" s="7"/>
      <c r="X1410" s="7"/>
      <c r="Y1410" s="7"/>
      <c r="Z1410" s="7"/>
      <c r="AA1410" s="7"/>
      <c r="AB1410" s="7"/>
    </row>
    <row r="1411" spans="1:28" x14ac:dyDescent="0.2">
      <c r="A1411" s="4"/>
      <c r="B1411" s="4"/>
      <c r="C1411" s="4"/>
      <c r="D1411" s="27"/>
      <c r="E1411" s="107"/>
      <c r="F1411" s="4"/>
      <c r="G1411" s="4"/>
      <c r="H1411" s="4"/>
      <c r="I1411" s="4"/>
      <c r="J1411" s="4"/>
      <c r="K1411" s="4"/>
      <c r="L1411" s="174"/>
      <c r="M1411" s="174"/>
      <c r="N1411" s="4"/>
      <c r="O1411" s="7"/>
      <c r="P1411" s="7"/>
      <c r="Q1411" s="7"/>
      <c r="R1411" s="7"/>
      <c r="S1411" s="7"/>
      <c r="T1411" s="7"/>
      <c r="U1411" s="7"/>
      <c r="V1411" s="7"/>
      <c r="W1411" s="7"/>
      <c r="X1411" s="7"/>
      <c r="Y1411" s="7"/>
      <c r="Z1411" s="7"/>
      <c r="AA1411" s="7"/>
      <c r="AB1411" s="7"/>
    </row>
    <row r="1412" spans="1:28" x14ac:dyDescent="0.2">
      <c r="A1412" s="4"/>
      <c r="B1412" s="4"/>
      <c r="C1412" s="4"/>
      <c r="D1412" s="27"/>
      <c r="E1412" s="107"/>
      <c r="F1412" s="4"/>
      <c r="G1412" s="4"/>
      <c r="H1412" s="4"/>
      <c r="I1412" s="4"/>
      <c r="J1412" s="4"/>
      <c r="K1412" s="4"/>
      <c r="L1412" s="174"/>
      <c r="M1412" s="174"/>
      <c r="N1412" s="4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  <c r="AA1412" s="7"/>
      <c r="AB1412" s="7"/>
    </row>
    <row r="1413" spans="1:28" x14ac:dyDescent="0.2">
      <c r="A1413" s="4"/>
      <c r="B1413" s="4"/>
      <c r="C1413" s="4"/>
      <c r="D1413" s="27"/>
      <c r="E1413" s="107"/>
      <c r="F1413" s="4"/>
      <c r="G1413" s="4"/>
      <c r="H1413" s="4"/>
      <c r="I1413" s="4"/>
      <c r="J1413" s="4"/>
      <c r="K1413" s="4"/>
      <c r="L1413" s="174"/>
      <c r="M1413" s="174"/>
      <c r="N1413" s="4"/>
      <c r="O1413" s="7"/>
      <c r="P1413" s="7"/>
      <c r="Q1413" s="7"/>
      <c r="R1413" s="7"/>
      <c r="S1413" s="7"/>
      <c r="T1413" s="7"/>
      <c r="U1413" s="7"/>
      <c r="V1413" s="7"/>
      <c r="W1413" s="7"/>
      <c r="X1413" s="7"/>
      <c r="Y1413" s="7"/>
      <c r="Z1413" s="7"/>
      <c r="AA1413" s="7"/>
      <c r="AB1413" s="7"/>
    </row>
    <row r="1414" spans="1:28" x14ac:dyDescent="0.2">
      <c r="A1414" s="4"/>
      <c r="B1414" s="4"/>
      <c r="C1414" s="4"/>
      <c r="D1414" s="27"/>
      <c r="E1414" s="107"/>
      <c r="F1414" s="4"/>
      <c r="G1414" s="4"/>
      <c r="H1414" s="4"/>
      <c r="I1414" s="4"/>
      <c r="J1414" s="4"/>
      <c r="K1414" s="4"/>
      <c r="L1414" s="174"/>
      <c r="M1414" s="174"/>
      <c r="N1414" s="4"/>
      <c r="O1414" s="7"/>
      <c r="P1414" s="7"/>
      <c r="Q1414" s="7"/>
      <c r="R1414" s="7"/>
      <c r="S1414" s="7"/>
      <c r="T1414" s="7"/>
      <c r="U1414" s="7"/>
      <c r="V1414" s="7"/>
      <c r="W1414" s="7"/>
      <c r="X1414" s="7"/>
      <c r="Y1414" s="7"/>
      <c r="Z1414" s="7"/>
      <c r="AA1414" s="7"/>
      <c r="AB1414" s="7"/>
    </row>
    <row r="1415" spans="1:28" x14ac:dyDescent="0.2">
      <c r="A1415" s="4"/>
      <c r="B1415" s="4"/>
      <c r="C1415" s="4"/>
      <c r="D1415" s="27"/>
      <c r="E1415" s="107"/>
      <c r="F1415" s="4"/>
      <c r="G1415" s="4"/>
      <c r="H1415" s="4"/>
      <c r="I1415" s="4"/>
      <c r="J1415" s="4"/>
      <c r="K1415" s="4"/>
      <c r="L1415" s="174"/>
      <c r="M1415" s="174"/>
      <c r="N1415" s="4"/>
      <c r="O1415" s="7"/>
      <c r="P1415" s="7"/>
      <c r="Q1415" s="7"/>
      <c r="R1415" s="7"/>
      <c r="S1415" s="7"/>
      <c r="T1415" s="7"/>
      <c r="U1415" s="7"/>
      <c r="V1415" s="7"/>
      <c r="W1415" s="7"/>
      <c r="X1415" s="7"/>
      <c r="Y1415" s="7"/>
      <c r="Z1415" s="7"/>
      <c r="AA1415" s="7"/>
      <c r="AB1415" s="7"/>
    </row>
    <row r="1416" spans="1:28" x14ac:dyDescent="0.2">
      <c r="A1416" s="4"/>
      <c r="B1416" s="4"/>
      <c r="C1416" s="4"/>
      <c r="D1416" s="27"/>
      <c r="E1416" s="107"/>
      <c r="F1416" s="4"/>
      <c r="G1416" s="4"/>
      <c r="H1416" s="4"/>
      <c r="I1416" s="4"/>
      <c r="J1416" s="4"/>
      <c r="K1416" s="4"/>
      <c r="L1416" s="174"/>
      <c r="M1416" s="174"/>
      <c r="N1416" s="4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  <c r="AA1416" s="7"/>
      <c r="AB1416" s="7"/>
    </row>
    <row r="1417" spans="1:28" x14ac:dyDescent="0.2">
      <c r="A1417" s="4"/>
      <c r="B1417" s="4"/>
      <c r="C1417" s="4"/>
      <c r="D1417" s="27"/>
      <c r="E1417" s="107"/>
      <c r="F1417" s="4"/>
      <c r="G1417" s="4"/>
      <c r="H1417" s="4"/>
      <c r="I1417" s="4"/>
      <c r="J1417" s="4"/>
      <c r="K1417" s="4"/>
      <c r="L1417" s="174"/>
      <c r="M1417" s="174"/>
      <c r="N1417" s="4"/>
      <c r="O1417" s="7"/>
      <c r="P1417" s="7"/>
      <c r="Q1417" s="7"/>
      <c r="R1417" s="7"/>
      <c r="S1417" s="7"/>
      <c r="T1417" s="7"/>
      <c r="U1417" s="7"/>
      <c r="V1417" s="7"/>
      <c r="W1417" s="7"/>
      <c r="X1417" s="7"/>
      <c r="Y1417" s="7"/>
      <c r="Z1417" s="7"/>
      <c r="AA1417" s="7"/>
      <c r="AB1417" s="7"/>
    </row>
    <row r="1418" spans="1:28" x14ac:dyDescent="0.2">
      <c r="A1418" s="4"/>
      <c r="B1418" s="4"/>
      <c r="C1418" s="4"/>
      <c r="D1418" s="27"/>
      <c r="E1418" s="107"/>
      <c r="F1418" s="4"/>
      <c r="G1418" s="4"/>
      <c r="H1418" s="4"/>
      <c r="I1418" s="4"/>
      <c r="J1418" s="4"/>
      <c r="K1418" s="4"/>
      <c r="L1418" s="174"/>
      <c r="M1418" s="174"/>
      <c r="N1418" s="4"/>
      <c r="O1418" s="7"/>
      <c r="P1418" s="7"/>
      <c r="Q1418" s="7"/>
      <c r="R1418" s="7"/>
      <c r="S1418" s="7"/>
      <c r="T1418" s="7"/>
      <c r="U1418" s="7"/>
      <c r="V1418" s="7"/>
      <c r="W1418" s="7"/>
      <c r="X1418" s="7"/>
      <c r="Y1418" s="7"/>
      <c r="Z1418" s="7"/>
      <c r="AA1418" s="7"/>
      <c r="AB1418" s="7"/>
    </row>
    <row r="1419" spans="1:28" x14ac:dyDescent="0.2">
      <c r="A1419" s="4"/>
      <c r="B1419" s="4"/>
      <c r="C1419" s="4"/>
      <c r="D1419" s="27"/>
      <c r="E1419" s="107"/>
      <c r="F1419" s="4"/>
      <c r="G1419" s="4"/>
      <c r="H1419" s="4"/>
      <c r="I1419" s="4"/>
      <c r="J1419" s="4"/>
      <c r="K1419" s="4"/>
      <c r="L1419" s="174"/>
      <c r="M1419" s="174"/>
      <c r="N1419" s="4"/>
      <c r="O1419" s="7"/>
      <c r="P1419" s="7"/>
      <c r="Q1419" s="7"/>
      <c r="R1419" s="7"/>
      <c r="S1419" s="7"/>
      <c r="T1419" s="7"/>
      <c r="U1419" s="7"/>
      <c r="V1419" s="7"/>
      <c r="W1419" s="7"/>
      <c r="X1419" s="7"/>
      <c r="Y1419" s="7"/>
      <c r="Z1419" s="7"/>
      <c r="AA1419" s="7"/>
      <c r="AB1419" s="7"/>
    </row>
    <row r="1420" spans="1:28" x14ac:dyDescent="0.2">
      <c r="A1420" s="4"/>
      <c r="B1420" s="4"/>
      <c r="C1420" s="4"/>
      <c r="D1420" s="27"/>
      <c r="E1420" s="107"/>
      <c r="F1420" s="4"/>
      <c r="G1420" s="4"/>
      <c r="H1420" s="4"/>
      <c r="I1420" s="4"/>
      <c r="J1420" s="4"/>
      <c r="K1420" s="4"/>
      <c r="L1420" s="174"/>
      <c r="M1420" s="174"/>
      <c r="N1420" s="4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  <c r="AA1420" s="7"/>
      <c r="AB1420" s="7"/>
    </row>
    <row r="1421" spans="1:28" x14ac:dyDescent="0.2">
      <c r="A1421" s="4"/>
      <c r="B1421" s="4"/>
      <c r="C1421" s="4"/>
      <c r="D1421" s="27"/>
      <c r="E1421" s="107"/>
      <c r="F1421" s="4"/>
      <c r="G1421" s="4"/>
      <c r="H1421" s="4"/>
      <c r="I1421" s="4"/>
      <c r="J1421" s="4"/>
      <c r="K1421" s="4"/>
      <c r="L1421" s="174"/>
      <c r="M1421" s="174"/>
      <c r="N1421" s="4"/>
      <c r="O1421" s="7"/>
      <c r="P1421" s="7"/>
      <c r="Q1421" s="7"/>
      <c r="R1421" s="7"/>
      <c r="S1421" s="7"/>
      <c r="T1421" s="7"/>
      <c r="U1421" s="7"/>
      <c r="V1421" s="7"/>
      <c r="W1421" s="7"/>
      <c r="X1421" s="7"/>
      <c r="Y1421" s="7"/>
      <c r="Z1421" s="7"/>
      <c r="AA1421" s="7"/>
      <c r="AB1421" s="7"/>
    </row>
    <row r="1422" spans="1:28" x14ac:dyDescent="0.2">
      <c r="A1422" s="4"/>
      <c r="B1422" s="4"/>
      <c r="C1422" s="4"/>
      <c r="D1422" s="27"/>
      <c r="E1422" s="107"/>
      <c r="F1422" s="4"/>
      <c r="G1422" s="4"/>
      <c r="H1422" s="4"/>
      <c r="I1422" s="4"/>
      <c r="J1422" s="4"/>
      <c r="K1422" s="4"/>
      <c r="L1422" s="174"/>
      <c r="M1422" s="174"/>
      <c r="N1422" s="4"/>
      <c r="O1422" s="7"/>
      <c r="P1422" s="7"/>
      <c r="Q1422" s="7"/>
      <c r="R1422" s="7"/>
      <c r="S1422" s="7"/>
      <c r="T1422" s="7"/>
      <c r="U1422" s="7"/>
      <c r="V1422" s="7"/>
      <c r="W1422" s="7"/>
      <c r="X1422" s="7"/>
      <c r="Y1422" s="7"/>
      <c r="Z1422" s="7"/>
      <c r="AA1422" s="7"/>
      <c r="AB1422" s="7"/>
    </row>
    <row r="1423" spans="1:28" x14ac:dyDescent="0.2">
      <c r="A1423" s="4"/>
      <c r="B1423" s="4"/>
      <c r="C1423" s="4"/>
      <c r="D1423" s="27"/>
      <c r="E1423" s="107"/>
      <c r="F1423" s="4"/>
      <c r="G1423" s="4"/>
      <c r="H1423" s="4"/>
      <c r="I1423" s="4"/>
      <c r="J1423" s="4"/>
      <c r="K1423" s="4"/>
      <c r="L1423" s="174"/>
      <c r="M1423" s="174"/>
      <c r="N1423" s="4"/>
      <c r="O1423" s="7"/>
      <c r="P1423" s="7"/>
      <c r="Q1423" s="7"/>
      <c r="R1423" s="7"/>
      <c r="S1423" s="7"/>
      <c r="T1423" s="7"/>
      <c r="U1423" s="7"/>
      <c r="V1423" s="7"/>
      <c r="W1423" s="7"/>
      <c r="X1423" s="7"/>
      <c r="Y1423" s="7"/>
      <c r="Z1423" s="7"/>
      <c r="AA1423" s="7"/>
      <c r="AB1423" s="7"/>
    </row>
    <row r="1424" spans="1:28" x14ac:dyDescent="0.2">
      <c r="A1424" s="4"/>
      <c r="B1424" s="4"/>
      <c r="C1424" s="4"/>
      <c r="D1424" s="27"/>
      <c r="E1424" s="107"/>
      <c r="F1424" s="4"/>
      <c r="G1424" s="4"/>
      <c r="H1424" s="4"/>
      <c r="I1424" s="4"/>
      <c r="J1424" s="4"/>
      <c r="K1424" s="4"/>
      <c r="L1424" s="174"/>
      <c r="M1424" s="174"/>
      <c r="N1424" s="4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  <c r="AA1424" s="7"/>
      <c r="AB1424" s="7"/>
    </row>
    <row r="1425" spans="1:28" x14ac:dyDescent="0.2">
      <c r="A1425" s="4"/>
      <c r="B1425" s="4"/>
      <c r="C1425" s="4"/>
      <c r="D1425" s="27"/>
      <c r="E1425" s="107"/>
      <c r="F1425" s="4"/>
      <c r="G1425" s="4"/>
      <c r="H1425" s="4"/>
      <c r="I1425" s="4"/>
      <c r="J1425" s="4"/>
      <c r="K1425" s="4"/>
      <c r="L1425" s="174"/>
      <c r="M1425" s="174"/>
      <c r="N1425" s="4"/>
      <c r="O1425" s="7"/>
      <c r="P1425" s="7"/>
      <c r="Q1425" s="7"/>
      <c r="R1425" s="7"/>
      <c r="S1425" s="7"/>
      <c r="T1425" s="7"/>
      <c r="U1425" s="7"/>
      <c r="V1425" s="7"/>
      <c r="W1425" s="7"/>
      <c r="X1425" s="7"/>
      <c r="Y1425" s="7"/>
      <c r="Z1425" s="7"/>
      <c r="AA1425" s="7"/>
      <c r="AB1425" s="7"/>
    </row>
    <row r="1426" spans="1:28" x14ac:dyDescent="0.2">
      <c r="A1426" s="4"/>
      <c r="B1426" s="4"/>
      <c r="C1426" s="4"/>
      <c r="D1426" s="27"/>
      <c r="E1426" s="107"/>
      <c r="F1426" s="4"/>
      <c r="G1426" s="4"/>
      <c r="H1426" s="4"/>
      <c r="I1426" s="4"/>
      <c r="J1426" s="4"/>
      <c r="K1426" s="4"/>
      <c r="L1426" s="174"/>
      <c r="M1426" s="174"/>
      <c r="N1426" s="4"/>
      <c r="O1426" s="7"/>
      <c r="P1426" s="7"/>
      <c r="Q1426" s="7"/>
      <c r="R1426" s="7"/>
      <c r="S1426" s="7"/>
      <c r="T1426" s="7"/>
      <c r="U1426" s="7"/>
      <c r="V1426" s="7"/>
      <c r="W1426" s="7"/>
      <c r="X1426" s="7"/>
      <c r="Y1426" s="7"/>
      <c r="Z1426" s="7"/>
      <c r="AA1426" s="7"/>
      <c r="AB1426" s="7"/>
    </row>
    <row r="1427" spans="1:28" x14ac:dyDescent="0.2">
      <c r="A1427" s="4"/>
      <c r="B1427" s="4"/>
      <c r="C1427" s="4"/>
      <c r="D1427" s="27"/>
      <c r="E1427" s="107"/>
      <c r="F1427" s="4"/>
      <c r="G1427" s="4"/>
      <c r="H1427" s="4"/>
      <c r="I1427" s="4"/>
      <c r="J1427" s="4"/>
      <c r="K1427" s="4"/>
      <c r="L1427" s="174"/>
      <c r="M1427" s="174"/>
      <c r="N1427" s="4"/>
      <c r="O1427" s="7"/>
      <c r="P1427" s="7"/>
      <c r="Q1427" s="7"/>
      <c r="R1427" s="7"/>
      <c r="S1427" s="7"/>
      <c r="T1427" s="7"/>
      <c r="U1427" s="7"/>
      <c r="V1427" s="7"/>
      <c r="W1427" s="7"/>
      <c r="X1427" s="7"/>
      <c r="Y1427" s="7"/>
      <c r="Z1427" s="7"/>
      <c r="AA1427" s="7"/>
      <c r="AB1427" s="7"/>
    </row>
    <row r="1428" spans="1:28" x14ac:dyDescent="0.2">
      <c r="A1428" s="4"/>
      <c r="B1428" s="4"/>
      <c r="C1428" s="4"/>
      <c r="D1428" s="27"/>
      <c r="E1428" s="107"/>
      <c r="F1428" s="4"/>
      <c r="G1428" s="4"/>
      <c r="H1428" s="4"/>
      <c r="I1428" s="4"/>
      <c r="J1428" s="4"/>
      <c r="K1428" s="4"/>
      <c r="L1428" s="174"/>
      <c r="M1428" s="174"/>
      <c r="N1428" s="4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  <c r="AA1428" s="7"/>
      <c r="AB1428" s="7"/>
    </row>
    <row r="1429" spans="1:28" x14ac:dyDescent="0.2">
      <c r="A1429" s="4"/>
      <c r="B1429" s="4"/>
      <c r="C1429" s="4"/>
      <c r="D1429" s="27"/>
      <c r="E1429" s="107"/>
      <c r="F1429" s="4"/>
      <c r="G1429" s="4"/>
      <c r="H1429" s="4"/>
      <c r="I1429" s="4"/>
      <c r="J1429" s="4"/>
      <c r="K1429" s="4"/>
      <c r="L1429" s="174"/>
      <c r="M1429" s="174"/>
      <c r="N1429" s="4"/>
      <c r="O1429" s="7"/>
      <c r="P1429" s="7"/>
      <c r="Q1429" s="7"/>
      <c r="R1429" s="7"/>
      <c r="S1429" s="7"/>
      <c r="T1429" s="7"/>
      <c r="U1429" s="7"/>
      <c r="V1429" s="7"/>
      <c r="W1429" s="7"/>
      <c r="X1429" s="7"/>
      <c r="Y1429" s="7"/>
      <c r="Z1429" s="7"/>
      <c r="AA1429" s="7"/>
      <c r="AB1429" s="7"/>
    </row>
    <row r="1430" spans="1:28" x14ac:dyDescent="0.2">
      <c r="A1430" s="4"/>
      <c r="B1430" s="4"/>
      <c r="C1430" s="4"/>
      <c r="D1430" s="27"/>
      <c r="E1430" s="107"/>
      <c r="F1430" s="4"/>
      <c r="G1430" s="4"/>
      <c r="H1430" s="4"/>
      <c r="I1430" s="4"/>
      <c r="J1430" s="4"/>
      <c r="K1430" s="4"/>
      <c r="L1430" s="174"/>
      <c r="M1430" s="174"/>
      <c r="N1430" s="4"/>
      <c r="O1430" s="7"/>
      <c r="P1430" s="7"/>
      <c r="Q1430" s="7"/>
      <c r="R1430" s="7"/>
      <c r="S1430" s="7"/>
      <c r="T1430" s="7"/>
      <c r="U1430" s="7"/>
      <c r="V1430" s="7"/>
      <c r="W1430" s="7"/>
      <c r="X1430" s="7"/>
      <c r="Y1430" s="7"/>
      <c r="Z1430" s="7"/>
      <c r="AA1430" s="7"/>
      <c r="AB1430" s="7"/>
    </row>
    <row r="1431" spans="1:28" x14ac:dyDescent="0.2">
      <c r="A1431" s="4"/>
      <c r="B1431" s="4"/>
      <c r="C1431" s="4"/>
      <c r="D1431" s="27"/>
      <c r="E1431" s="107"/>
      <c r="F1431" s="4"/>
      <c r="G1431" s="4"/>
      <c r="H1431" s="4"/>
      <c r="I1431" s="4"/>
      <c r="J1431" s="4"/>
      <c r="K1431" s="4"/>
      <c r="L1431" s="174"/>
      <c r="M1431" s="174"/>
      <c r="N1431" s="4"/>
      <c r="O1431" s="7"/>
      <c r="P1431" s="7"/>
      <c r="Q1431" s="7"/>
      <c r="R1431" s="7"/>
      <c r="S1431" s="7"/>
      <c r="T1431" s="7"/>
      <c r="U1431" s="7"/>
      <c r="V1431" s="7"/>
      <c r="W1431" s="7"/>
      <c r="X1431" s="7"/>
      <c r="Y1431" s="7"/>
      <c r="Z1431" s="7"/>
      <c r="AA1431" s="7"/>
      <c r="AB1431" s="7"/>
    </row>
    <row r="1432" spans="1:28" x14ac:dyDescent="0.2">
      <c r="A1432" s="4"/>
      <c r="B1432" s="4"/>
      <c r="C1432" s="4"/>
      <c r="D1432" s="27"/>
      <c r="E1432" s="107"/>
      <c r="F1432" s="4"/>
      <c r="G1432" s="4"/>
      <c r="H1432" s="4"/>
      <c r="I1432" s="4"/>
      <c r="J1432" s="4"/>
      <c r="K1432" s="4"/>
      <c r="L1432" s="174"/>
      <c r="M1432" s="174"/>
      <c r="N1432" s="4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  <c r="AA1432" s="7"/>
      <c r="AB1432" s="7"/>
    </row>
    <row r="1433" spans="1:28" x14ac:dyDescent="0.2">
      <c r="A1433" s="4"/>
      <c r="B1433" s="4"/>
      <c r="C1433" s="4"/>
      <c r="D1433" s="27"/>
      <c r="E1433" s="107"/>
      <c r="F1433" s="4"/>
      <c r="G1433" s="4"/>
      <c r="H1433" s="4"/>
      <c r="I1433" s="4"/>
      <c r="J1433" s="4"/>
      <c r="K1433" s="4"/>
      <c r="L1433" s="174"/>
      <c r="M1433" s="174"/>
      <c r="N1433" s="4"/>
      <c r="O1433" s="7"/>
      <c r="P1433" s="7"/>
      <c r="Q1433" s="7"/>
      <c r="R1433" s="7"/>
      <c r="S1433" s="7"/>
      <c r="T1433" s="7"/>
      <c r="U1433" s="7"/>
      <c r="V1433" s="7"/>
      <c r="W1433" s="7"/>
      <c r="X1433" s="7"/>
      <c r="Y1433" s="7"/>
      <c r="Z1433" s="7"/>
      <c r="AA1433" s="7"/>
      <c r="AB1433" s="7"/>
    </row>
    <row r="1434" spans="1:28" x14ac:dyDescent="0.2">
      <c r="A1434" s="4"/>
      <c r="B1434" s="4"/>
      <c r="C1434" s="4"/>
      <c r="D1434" s="27"/>
      <c r="E1434" s="107"/>
      <c r="F1434" s="4"/>
      <c r="G1434" s="4"/>
      <c r="H1434" s="4"/>
      <c r="I1434" s="4"/>
      <c r="J1434" s="4"/>
      <c r="K1434" s="4"/>
      <c r="L1434" s="174"/>
      <c r="M1434" s="174"/>
      <c r="N1434" s="4"/>
      <c r="O1434" s="7"/>
      <c r="P1434" s="7"/>
      <c r="Q1434" s="7"/>
      <c r="R1434" s="7"/>
      <c r="S1434" s="7"/>
      <c r="T1434" s="7"/>
      <c r="U1434" s="7"/>
      <c r="V1434" s="7"/>
      <c r="W1434" s="7"/>
      <c r="X1434" s="7"/>
      <c r="Y1434" s="7"/>
      <c r="Z1434" s="7"/>
      <c r="AA1434" s="7"/>
      <c r="AB1434" s="7"/>
    </row>
    <row r="1435" spans="1:28" x14ac:dyDescent="0.2">
      <c r="A1435" s="4"/>
      <c r="B1435" s="4"/>
      <c r="C1435" s="4"/>
      <c r="D1435" s="27"/>
      <c r="E1435" s="107"/>
      <c r="F1435" s="4"/>
      <c r="G1435" s="4"/>
      <c r="H1435" s="4"/>
      <c r="I1435" s="4"/>
      <c r="J1435" s="4"/>
      <c r="K1435" s="4"/>
      <c r="L1435" s="174"/>
      <c r="M1435" s="174"/>
      <c r="N1435" s="4"/>
      <c r="O1435" s="7"/>
      <c r="P1435" s="7"/>
      <c r="Q1435" s="7"/>
      <c r="R1435" s="7"/>
      <c r="S1435" s="7"/>
      <c r="T1435" s="7"/>
      <c r="U1435" s="7"/>
      <c r="V1435" s="7"/>
      <c r="W1435" s="7"/>
      <c r="X1435" s="7"/>
      <c r="Y1435" s="7"/>
      <c r="Z1435" s="7"/>
      <c r="AA1435" s="7"/>
      <c r="AB1435" s="7"/>
    </row>
    <row r="1436" spans="1:28" x14ac:dyDescent="0.2">
      <c r="A1436" s="4"/>
      <c r="B1436" s="4"/>
      <c r="C1436" s="4"/>
      <c r="D1436" s="27"/>
      <c r="E1436" s="107"/>
      <c r="F1436" s="4"/>
      <c r="G1436" s="4"/>
      <c r="H1436" s="4"/>
      <c r="I1436" s="4"/>
      <c r="J1436" s="4"/>
      <c r="K1436" s="4"/>
      <c r="L1436" s="174"/>
      <c r="M1436" s="174"/>
      <c r="N1436" s="4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  <c r="AA1436" s="7"/>
      <c r="AB1436" s="7"/>
    </row>
    <row r="1437" spans="1:28" x14ac:dyDescent="0.2">
      <c r="A1437" s="4"/>
      <c r="B1437" s="4"/>
      <c r="C1437" s="4"/>
      <c r="D1437" s="27"/>
      <c r="E1437" s="107"/>
      <c r="F1437" s="4"/>
      <c r="G1437" s="4"/>
      <c r="H1437" s="4"/>
      <c r="I1437" s="4"/>
      <c r="J1437" s="4"/>
      <c r="K1437" s="4"/>
      <c r="L1437" s="174"/>
      <c r="M1437" s="174"/>
      <c r="N1437" s="4"/>
      <c r="O1437" s="7"/>
      <c r="P1437" s="7"/>
      <c r="Q1437" s="7"/>
      <c r="R1437" s="7"/>
      <c r="S1437" s="7"/>
      <c r="T1437" s="7"/>
      <c r="U1437" s="7"/>
      <c r="V1437" s="7"/>
      <c r="W1437" s="7"/>
      <c r="X1437" s="7"/>
      <c r="Y1437" s="7"/>
      <c r="Z1437" s="7"/>
      <c r="AA1437" s="7"/>
      <c r="AB1437" s="7"/>
    </row>
    <row r="1438" spans="1:28" x14ac:dyDescent="0.2">
      <c r="A1438" s="4"/>
      <c r="B1438" s="4"/>
      <c r="C1438" s="4"/>
      <c r="D1438" s="27"/>
      <c r="E1438" s="107"/>
      <c r="F1438" s="4"/>
      <c r="G1438" s="4"/>
      <c r="H1438" s="4"/>
      <c r="I1438" s="4"/>
      <c r="J1438" s="4"/>
      <c r="K1438" s="4"/>
      <c r="N1438" s="4"/>
    </row>
    <row r="1439" spans="1:28" x14ac:dyDescent="0.2">
      <c r="A1439" s="4"/>
      <c r="B1439" s="4"/>
      <c r="C1439" s="4"/>
      <c r="D1439" s="27"/>
      <c r="E1439" s="107"/>
      <c r="F1439" s="4"/>
      <c r="G1439" s="4"/>
      <c r="H1439" s="4"/>
      <c r="I1439" s="4"/>
      <c r="J1439" s="4"/>
      <c r="K1439" s="4"/>
      <c r="N1439" s="4"/>
    </row>
    <row r="1440" spans="1:28" x14ac:dyDescent="0.2">
      <c r="A1440" s="4"/>
      <c r="B1440" s="4"/>
      <c r="C1440" s="4"/>
      <c r="D1440" s="27"/>
      <c r="E1440" s="107"/>
      <c r="F1440" s="4"/>
      <c r="G1440" s="4"/>
      <c r="H1440" s="4"/>
      <c r="I1440" s="4"/>
      <c r="J1440" s="4"/>
      <c r="K1440" s="4"/>
      <c r="N1440" s="4"/>
    </row>
  </sheetData>
  <autoFilter ref="A8:N465">
    <sortState ref="A9:N455">
      <sortCondition ref="C8:C455"/>
    </sortState>
  </autoFilter>
  <mergeCells count="1">
    <mergeCell ref="E4:N5"/>
  </mergeCells>
  <conditionalFormatting sqref="H10:H361 H370 H372:H375 H377:H390 H363:H368 H392:H396 H398:H472">
    <cfRule type="cellIs" dxfId="9" priority="67" operator="lessThan">
      <formula>0</formula>
    </cfRule>
  </conditionalFormatting>
  <conditionalFormatting sqref="H9">
    <cfRule type="cellIs" dxfId="8" priority="66" operator="lessThan">
      <formula>0</formula>
    </cfRule>
  </conditionalFormatting>
  <conditionalFormatting sqref="H369">
    <cfRule type="cellIs" dxfId="7" priority="11" operator="lessThan">
      <formula>0</formula>
    </cfRule>
  </conditionalFormatting>
  <conditionalFormatting sqref="H371">
    <cfRule type="cellIs" dxfId="6" priority="10" operator="lessThan">
      <formula>0</formula>
    </cfRule>
  </conditionalFormatting>
  <conditionalFormatting sqref="H376">
    <cfRule type="cellIs" dxfId="5" priority="9" operator="lessThan">
      <formula>0</formula>
    </cfRule>
  </conditionalFormatting>
  <conditionalFormatting sqref="H391">
    <cfRule type="cellIs" dxfId="4" priority="8" operator="lessThan">
      <formula>0</formula>
    </cfRule>
  </conditionalFormatting>
  <conditionalFormatting sqref="H362">
    <cfRule type="cellIs" dxfId="3" priority="6" operator="lessThan">
      <formula>0</formula>
    </cfRule>
  </conditionalFormatting>
  <conditionalFormatting sqref="H397">
    <cfRule type="cellIs" dxfId="2" priority="5" operator="lessThan">
      <formula>0</formula>
    </cfRule>
  </conditionalFormatting>
  <conditionalFormatting sqref="H473:H480">
    <cfRule type="cellIs" dxfId="1" priority="2" operator="lessThan">
      <formula>0</formula>
    </cfRule>
  </conditionalFormatting>
  <conditionalFormatting sqref="H481">
    <cfRule type="cellIs" dxfId="0" priority="1" operator="lessThan">
      <formula>0</formula>
    </cfRule>
  </conditionalFormatting>
  <dataValidations count="2">
    <dataValidation type="list" allowBlank="1" showInputMessage="1" showErrorMessage="1" sqref="M9:M22 M24:M481">
      <formula1>INDIRECT(SUBSTITUTE(L9," ","_"))</formula1>
    </dataValidation>
    <dataValidation type="list" allowBlank="1" showInputMessage="1" showErrorMessage="1" sqref="L9:L481">
      <formula1>ListeCategories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'Données Dynamiques'!$I$2:$I$8</xm:f>
          </x14:formula1>
          <xm:sqref>M23</xm:sqref>
        </x14:dataValidation>
        <x14:dataValidation type="list" allowBlank="1" showInputMessage="1" showErrorMessage="1">
          <x14:formula1>
            <xm:f>'LA BASE '!$B$3:$B$4</xm:f>
          </x14:formula1>
          <xm:sqref>A9:A12 A141 A144:A147 A149:A154 A156:A157 A159 A163</xm:sqref>
        </x14:dataValidation>
        <x14:dataValidation type="list" allowBlank="1" showInputMessage="1" showErrorMessage="1">
          <x14:formula1>
            <xm:f>'LA BASE '!$C$3:$C$4</xm:f>
          </x14:formula1>
          <xm:sqref>B9:B12 B141 B144:B147 B149:B154 B156:B157 B159:B167 B169:B170 B173:B177 B179:B180 B183 B186 B191 B195 B199 B201 B204:B205 B226 B213 B215 B210 B229</xm:sqref>
        </x14:dataValidation>
        <x14:dataValidation type="list" allowBlank="1" showInputMessage="1" showErrorMessage="1">
          <x14:formula1>
            <xm:f>'LA BASE '!$B$3:$B$5</xm:f>
          </x14:formula1>
          <xm:sqref>A130:A140 A142:A143 A148 A155 A158 A160:A162 A13:A128 A164:A472</xm:sqref>
        </x14:dataValidation>
        <x14:dataValidation type="list" allowBlank="1" showInputMessage="1" showErrorMessage="1">
          <x14:formula1>
            <xm:f>'LA BASE '!$C$3:$C$5</xm:f>
          </x14:formula1>
          <xm:sqref>B133:B138 B211 B218:B221 B206 B13:B128 B230:B251 B253:B472</xm:sqref>
        </x14:dataValidation>
        <x14:dataValidation type="list" allowBlank="1" showInputMessage="1" showErrorMessage="1">
          <x14:formula1>
            <xm:f>'LA BASE '!#REF!</xm:f>
          </x14:formula1>
          <xm:sqref>A129:B129 B130:B132 B139:B140 B142:B143 B148 B155 B158 B168 B171:B172 B178 B181:B182 B184:B185 B187:B190 B192:B194 B196:B198 B200 B202:B203 B207:B209 B212 B214 B227:B228 B222:B225 B216:B217 B252</xm:sqref>
        </x14:dataValidation>
        <x14:dataValidation type="list" allowBlank="1" showInputMessage="1" showErrorMessage="1">
          <x14:formula1>
            <xm:f>'C:\Users\ACHRAF\OneDrive\Bureau\[La caisses des depenses BAHIA.xlsm]LA BASE '!#REF!</xm:f>
          </x14:formula1>
          <xm:sqref>A473:B481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6"/>
  <sheetViews>
    <sheetView topLeftCell="A7" workbookViewId="0">
      <selection activeCell="F24" sqref="F24"/>
    </sheetView>
  </sheetViews>
  <sheetFormatPr baseColWidth="10" defaultRowHeight="15" x14ac:dyDescent="0.25"/>
  <cols>
    <col min="2" max="2" width="10.140625" bestFit="1" customWidth="1"/>
    <col min="3" max="3" width="10.85546875" bestFit="1" customWidth="1"/>
    <col min="4" max="4" width="13.85546875" bestFit="1" customWidth="1"/>
    <col min="5" max="5" width="9.85546875" bestFit="1" customWidth="1"/>
    <col min="6" max="6" width="55" bestFit="1" customWidth="1"/>
    <col min="7" max="7" width="55" customWidth="1"/>
    <col min="8" max="8" width="13.42578125" bestFit="1" customWidth="1"/>
    <col min="9" max="9" width="21.28515625" bestFit="1" customWidth="1"/>
  </cols>
  <sheetData>
    <row r="1" spans="2:9" ht="15.75" thickBot="1" x14ac:dyDescent="0.3"/>
    <row r="2" spans="2:9" x14ac:dyDescent="0.25">
      <c r="B2" s="285" t="s">
        <v>242</v>
      </c>
      <c r="C2" s="286"/>
      <c r="D2" s="286"/>
      <c r="E2" s="286"/>
      <c r="F2" s="286"/>
      <c r="G2" s="286"/>
      <c r="H2" s="286"/>
      <c r="I2" s="287"/>
    </row>
    <row r="3" spans="2:9" x14ac:dyDescent="0.25">
      <c r="B3" s="288"/>
      <c r="C3" s="289"/>
      <c r="D3" s="289"/>
      <c r="E3" s="289"/>
      <c r="F3" s="289"/>
      <c r="G3" s="289"/>
      <c r="H3" s="289"/>
      <c r="I3" s="290"/>
    </row>
    <row r="4" spans="2:9" x14ac:dyDescent="0.25">
      <c r="B4" s="288"/>
      <c r="C4" s="289"/>
      <c r="D4" s="289"/>
      <c r="E4" s="289"/>
      <c r="F4" s="289"/>
      <c r="G4" s="289"/>
      <c r="H4" s="289"/>
      <c r="I4" s="290"/>
    </row>
    <row r="5" spans="2:9" ht="15.75" thickBot="1" x14ac:dyDescent="0.3">
      <c r="B5" s="291"/>
      <c r="C5" s="292"/>
      <c r="D5" s="292"/>
      <c r="E5" s="292"/>
      <c r="F5" s="292"/>
      <c r="G5" s="292"/>
      <c r="H5" s="292"/>
      <c r="I5" s="293"/>
    </row>
    <row r="7" spans="2:9" ht="15.75" thickBot="1" x14ac:dyDescent="0.3"/>
    <row r="8" spans="2:9" ht="29.25" thickBot="1" x14ac:dyDescent="0.3">
      <c r="B8" s="28" t="s">
        <v>73</v>
      </c>
      <c r="C8" s="29" t="s">
        <v>127</v>
      </c>
      <c r="D8" s="29" t="s">
        <v>74</v>
      </c>
      <c r="E8" s="30" t="s">
        <v>115</v>
      </c>
      <c r="F8" s="29" t="s">
        <v>75</v>
      </c>
      <c r="G8" s="29" t="s">
        <v>243</v>
      </c>
      <c r="H8" s="29" t="s">
        <v>77</v>
      </c>
      <c r="I8" s="31" t="s">
        <v>79</v>
      </c>
    </row>
    <row r="9" spans="2:9" x14ac:dyDescent="0.25">
      <c r="B9" s="58" t="s">
        <v>122</v>
      </c>
      <c r="C9" s="59" t="s">
        <v>123</v>
      </c>
      <c r="D9" s="60">
        <v>45811</v>
      </c>
      <c r="E9" s="61">
        <v>41</v>
      </c>
      <c r="F9" s="59" t="s">
        <v>141</v>
      </c>
      <c r="G9" s="59" t="s">
        <v>244</v>
      </c>
      <c r="H9" s="62">
        <v>2000</v>
      </c>
      <c r="I9" s="63" t="s">
        <v>239</v>
      </c>
    </row>
    <row r="10" spans="2:9" x14ac:dyDescent="0.25">
      <c r="B10" s="37" t="s">
        <v>122</v>
      </c>
      <c r="C10" s="38" t="s">
        <v>123</v>
      </c>
      <c r="D10" s="39">
        <v>45814</v>
      </c>
      <c r="E10" s="40">
        <v>48</v>
      </c>
      <c r="F10" s="38" t="s">
        <v>141</v>
      </c>
      <c r="G10" s="38" t="s">
        <v>244</v>
      </c>
      <c r="H10" s="15">
        <v>2500</v>
      </c>
      <c r="I10" s="22" t="s">
        <v>239</v>
      </c>
    </row>
    <row r="11" spans="2:9" x14ac:dyDescent="0.25">
      <c r="B11" s="37" t="s">
        <v>122</v>
      </c>
      <c r="C11" s="38" t="s">
        <v>123</v>
      </c>
      <c r="D11" s="39">
        <v>45828</v>
      </c>
      <c r="E11" s="40">
        <v>58</v>
      </c>
      <c r="F11" s="38" t="s">
        <v>141</v>
      </c>
      <c r="G11" s="38" t="s">
        <v>244</v>
      </c>
      <c r="H11" s="15">
        <v>5500</v>
      </c>
      <c r="I11" s="22" t="s">
        <v>239</v>
      </c>
    </row>
    <row r="12" spans="2:9" x14ac:dyDescent="0.25">
      <c r="B12" s="37" t="s">
        <v>122</v>
      </c>
      <c r="C12" s="38" t="s">
        <v>123</v>
      </c>
      <c r="D12" s="39">
        <v>45834</v>
      </c>
      <c r="E12" s="40">
        <v>66</v>
      </c>
      <c r="F12" s="38" t="s">
        <v>141</v>
      </c>
      <c r="G12" s="38" t="s">
        <v>244</v>
      </c>
      <c r="H12" s="15">
        <v>3000</v>
      </c>
      <c r="I12" s="22" t="s">
        <v>239</v>
      </c>
    </row>
    <row r="13" spans="2:9" x14ac:dyDescent="0.25">
      <c r="B13" s="37" t="s">
        <v>122</v>
      </c>
      <c r="C13" s="38" t="s">
        <v>123</v>
      </c>
      <c r="D13" s="39">
        <v>45848</v>
      </c>
      <c r="E13" s="40">
        <v>70</v>
      </c>
      <c r="F13" s="38" t="s">
        <v>141</v>
      </c>
      <c r="G13" s="38" t="s">
        <v>244</v>
      </c>
      <c r="H13" s="15">
        <v>5400</v>
      </c>
      <c r="I13" s="22" t="s">
        <v>239</v>
      </c>
    </row>
    <row r="14" spans="2:9" x14ac:dyDescent="0.25">
      <c r="B14" s="37" t="s">
        <v>122</v>
      </c>
      <c r="C14" s="38" t="s">
        <v>123</v>
      </c>
      <c r="D14" s="39">
        <v>45866</v>
      </c>
      <c r="E14" s="40">
        <v>98</v>
      </c>
      <c r="F14" s="38" t="s">
        <v>141</v>
      </c>
      <c r="G14" s="38" t="s">
        <v>244</v>
      </c>
      <c r="H14" s="15">
        <v>8000</v>
      </c>
      <c r="I14" s="22" t="s">
        <v>239</v>
      </c>
    </row>
    <row r="15" spans="2:9" ht="57" x14ac:dyDescent="0.25">
      <c r="B15" s="37" t="s">
        <v>122</v>
      </c>
      <c r="C15" s="38" t="s">
        <v>123</v>
      </c>
      <c r="D15" s="39">
        <v>45875</v>
      </c>
      <c r="E15" s="40">
        <v>108</v>
      </c>
      <c r="F15" s="38" t="s">
        <v>141</v>
      </c>
      <c r="G15" s="69" t="s">
        <v>246</v>
      </c>
      <c r="H15" s="15">
        <v>4000</v>
      </c>
      <c r="I15" s="22" t="s">
        <v>239</v>
      </c>
    </row>
    <row r="16" spans="2:9" ht="57.75" thickBot="1" x14ac:dyDescent="0.3">
      <c r="B16" s="64" t="s">
        <v>122</v>
      </c>
      <c r="C16" s="65" t="s">
        <v>123</v>
      </c>
      <c r="D16" s="66">
        <v>45894</v>
      </c>
      <c r="E16" s="67">
        <v>116</v>
      </c>
      <c r="F16" s="65" t="s">
        <v>141</v>
      </c>
      <c r="G16" s="70" t="s">
        <v>245</v>
      </c>
      <c r="H16" s="20">
        <v>6000</v>
      </c>
      <c r="I16" s="68" t="s">
        <v>239</v>
      </c>
    </row>
  </sheetData>
  <mergeCells count="1">
    <mergeCell ref="B2:I5"/>
  </mergeCell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'LA BASE '!$C$3:$C$5</xm:f>
          </x14:formula1>
          <xm:sqref>C9</xm:sqref>
        </x14:dataValidation>
        <x14:dataValidation type="list" allowBlank="1" showInputMessage="1" showErrorMessage="1">
          <x14:formula1>
            <xm:f>'LA BASE '!$B$3:$B$5</xm:f>
          </x14:formula1>
          <xm:sqref>B9 B14:B16</xm:sqref>
        </x14:dataValidation>
        <x14:dataValidation type="list" allowBlank="1" showInputMessage="1" showErrorMessage="1">
          <x14:formula1>
            <xm:f>'LA BASE '!$C$3:$C$4</xm:f>
          </x14:formula1>
          <xm:sqref>C10:C16</xm:sqref>
        </x14:dataValidation>
        <x14:dataValidation type="list" allowBlank="1" showInputMessage="1" showErrorMessage="1">
          <x14:formula1>
            <xm:f>'LA BASE '!$B$3:$B$4</xm:f>
          </x14:formula1>
          <xm:sqref>B10:B13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5"/>
  <sheetViews>
    <sheetView workbookViewId="0">
      <selection activeCell="D11" sqref="D11"/>
    </sheetView>
  </sheetViews>
  <sheetFormatPr baseColWidth="10" defaultRowHeight="15" x14ac:dyDescent="0.25"/>
  <cols>
    <col min="2" max="2" width="15.7109375" bestFit="1" customWidth="1"/>
    <col min="3" max="3" width="10.85546875" bestFit="1" customWidth="1"/>
  </cols>
  <sheetData>
    <row r="3" spans="2:3" x14ac:dyDescent="0.25">
      <c r="B3" s="34" t="s">
        <v>121</v>
      </c>
      <c r="C3" s="34" t="s">
        <v>123</v>
      </c>
    </row>
    <row r="4" spans="2:3" x14ac:dyDescent="0.25">
      <c r="B4" s="34" t="s">
        <v>122</v>
      </c>
      <c r="C4" s="34" t="s">
        <v>124</v>
      </c>
    </row>
    <row r="5" spans="2:3" x14ac:dyDescent="0.25">
      <c r="B5" s="34" t="s">
        <v>125</v>
      </c>
      <c r="C5" s="34" t="s">
        <v>126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E18" sqref="E18"/>
    </sheetView>
  </sheetViews>
  <sheetFormatPr baseColWidth="10" defaultColWidth="8.85546875" defaultRowHeight="15" x14ac:dyDescent="0.25"/>
  <cols>
    <col min="1" max="1" width="29.85546875" customWidth="1"/>
    <col min="2" max="2" width="39.8554687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7</v>
      </c>
      <c r="B2" t="s">
        <v>31</v>
      </c>
    </row>
  </sheetData>
  <dataValidations count="2">
    <dataValidation type="list" allowBlank="1" showInputMessage="1" showErrorMessage="1" sqref="A2:A41">
      <formula1>ListeCategories</formula1>
    </dataValidation>
    <dataValidation type="list" allowBlank="1" showInputMessage="1" showErrorMessage="1" sqref="B2:B41">
      <formula1>INDIRECT(SUBSTITUTE(A2," ","_"))</formula1>
    </dataValidation>
  </dataValidation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1"/>
  <sheetViews>
    <sheetView topLeftCell="C1" workbookViewId="0">
      <selection activeCell="I12" sqref="I12"/>
    </sheetView>
  </sheetViews>
  <sheetFormatPr baseColWidth="10" defaultColWidth="8.85546875" defaultRowHeight="15" x14ac:dyDescent="0.25"/>
  <cols>
    <col min="1" max="1" width="18" bestFit="1" customWidth="1"/>
    <col min="2" max="2" width="21.42578125" customWidth="1"/>
    <col min="3" max="3" width="16" customWidth="1"/>
    <col min="4" max="4" width="20.42578125" bestFit="1" customWidth="1"/>
    <col min="5" max="5" width="14.28515625" bestFit="1" customWidth="1"/>
    <col min="6" max="6" width="39.85546875" bestFit="1" customWidth="1"/>
    <col min="7" max="7" width="37.5703125" bestFit="1" customWidth="1"/>
    <col min="8" max="8" width="23.42578125" bestFit="1" customWidth="1"/>
    <col min="9" max="9" width="17.85546875" bestFit="1" customWidth="1"/>
    <col min="10" max="10" width="12.28515625" bestFit="1" customWidth="1"/>
    <col min="11" max="11" width="21.7109375" bestFit="1" customWidth="1"/>
    <col min="12" max="12" width="14.5703125" bestFit="1" customWidth="1"/>
    <col min="13" max="13" width="16.140625" bestFit="1" customWidth="1"/>
  </cols>
  <sheetData>
    <row r="1" spans="1:13" s="1" customForma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</row>
    <row r="2" spans="1:13" x14ac:dyDescent="0.25">
      <c r="A2" t="s">
        <v>3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</row>
    <row r="3" spans="1:13" x14ac:dyDescent="0.25">
      <c r="A3" t="s">
        <v>4</v>
      </c>
      <c r="B3" t="s">
        <v>27</v>
      </c>
      <c r="C3" t="s">
        <v>28</v>
      </c>
      <c r="D3" t="s">
        <v>29</v>
      </c>
      <c r="E3" t="s">
        <v>30</v>
      </c>
      <c r="F3" t="s">
        <v>31</v>
      </c>
      <c r="G3" t="s">
        <v>32</v>
      </c>
      <c r="H3" t="s">
        <v>33</v>
      </c>
      <c r="I3" t="s">
        <v>34</v>
      </c>
      <c r="J3" t="s">
        <v>35</v>
      </c>
      <c r="K3" t="s">
        <v>36</v>
      </c>
      <c r="L3" t="s">
        <v>37</v>
      </c>
      <c r="M3" t="s">
        <v>38</v>
      </c>
    </row>
    <row r="4" spans="1:13" x14ac:dyDescent="0.25">
      <c r="A4" t="s">
        <v>5</v>
      </c>
      <c r="B4" t="s">
        <v>39</v>
      </c>
      <c r="C4" t="s">
        <v>40</v>
      </c>
      <c r="D4" t="s">
        <v>41</v>
      </c>
      <c r="E4" t="s">
        <v>42</v>
      </c>
      <c r="F4" t="s">
        <v>43</v>
      </c>
      <c r="G4" t="s">
        <v>44</v>
      </c>
      <c r="H4" t="s">
        <v>45</v>
      </c>
      <c r="I4" t="s">
        <v>46</v>
      </c>
      <c r="J4" t="s">
        <v>47</v>
      </c>
      <c r="K4" t="s">
        <v>48</v>
      </c>
      <c r="L4" t="s">
        <v>49</v>
      </c>
      <c r="M4" t="s">
        <v>50</v>
      </c>
    </row>
    <row r="5" spans="1:13" x14ac:dyDescent="0.25">
      <c r="A5" t="s">
        <v>6</v>
      </c>
      <c r="B5" t="s">
        <v>51</v>
      </c>
      <c r="D5" t="s">
        <v>52</v>
      </c>
      <c r="F5" t="s">
        <v>53</v>
      </c>
      <c r="H5" t="s">
        <v>54</v>
      </c>
      <c r="I5" t="s">
        <v>55</v>
      </c>
      <c r="J5" t="s">
        <v>56</v>
      </c>
      <c r="K5" t="s">
        <v>57</v>
      </c>
      <c r="L5" t="s">
        <v>58</v>
      </c>
    </row>
    <row r="6" spans="1:13" x14ac:dyDescent="0.25">
      <c r="A6" t="s">
        <v>7</v>
      </c>
      <c r="B6" t="s">
        <v>35</v>
      </c>
      <c r="F6" t="s">
        <v>59</v>
      </c>
      <c r="I6" t="s">
        <v>60</v>
      </c>
      <c r="J6" t="s">
        <v>61</v>
      </c>
      <c r="L6" t="s">
        <v>62</v>
      </c>
    </row>
    <row r="7" spans="1:13" x14ac:dyDescent="0.25">
      <c r="A7" t="s">
        <v>8</v>
      </c>
      <c r="B7" t="s">
        <v>63</v>
      </c>
      <c r="F7" t="s">
        <v>64</v>
      </c>
      <c r="I7" t="s">
        <v>119</v>
      </c>
      <c r="J7" t="s">
        <v>65</v>
      </c>
      <c r="L7" t="s">
        <v>66</v>
      </c>
    </row>
    <row r="8" spans="1:13" x14ac:dyDescent="0.25">
      <c r="A8" t="s">
        <v>9</v>
      </c>
      <c r="B8" t="s">
        <v>67</v>
      </c>
      <c r="I8" t="s">
        <v>120</v>
      </c>
    </row>
    <row r="9" spans="1:13" x14ac:dyDescent="0.25">
      <c r="A9" t="s">
        <v>10</v>
      </c>
      <c r="B9" t="s">
        <v>98</v>
      </c>
    </row>
    <row r="10" spans="1:13" x14ac:dyDescent="0.25">
      <c r="A10" t="s">
        <v>11</v>
      </c>
    </row>
    <row r="11" spans="1:13" x14ac:dyDescent="0.25">
      <c r="A11" t="s">
        <v>12</v>
      </c>
    </row>
    <row r="12" spans="1:13" x14ac:dyDescent="0.25">
      <c r="A12" t="s">
        <v>13</v>
      </c>
    </row>
    <row r="13" spans="1:13" x14ac:dyDescent="0.25">
      <c r="A13" t="s">
        <v>14</v>
      </c>
    </row>
    <row r="31" spans="2:2" x14ac:dyDescent="0.25">
      <c r="B31" s="1"/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topLeftCell="F1" workbookViewId="0">
      <selection activeCell="I7" sqref="I7:I8"/>
    </sheetView>
  </sheetViews>
  <sheetFormatPr baseColWidth="10" defaultRowHeight="15" x14ac:dyDescent="0.25"/>
  <cols>
    <col min="1" max="1" width="21.7109375" customWidth="1"/>
    <col min="2" max="2" width="18" bestFit="1" customWidth="1"/>
    <col min="3" max="3" width="12.7109375" bestFit="1" customWidth="1"/>
    <col min="4" max="4" width="20.42578125" bestFit="1" customWidth="1"/>
    <col min="5" max="5" width="14.28515625" bestFit="1" customWidth="1"/>
    <col min="6" max="6" width="36.140625" customWidth="1"/>
    <col min="7" max="7" width="37.5703125" bestFit="1" customWidth="1"/>
    <col min="8" max="8" width="23.42578125" bestFit="1" customWidth="1"/>
    <col min="9" max="9" width="23.42578125" customWidth="1"/>
    <col min="10" max="10" width="18.42578125" customWidth="1"/>
    <col min="11" max="11" width="21.7109375" bestFit="1" customWidth="1"/>
    <col min="12" max="12" width="16.28515625" customWidth="1"/>
  </cols>
  <sheetData>
    <row r="1" spans="1:13" s="1" customFormat="1" x14ac:dyDescent="0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</row>
    <row r="2" spans="1:13" x14ac:dyDescent="0.25">
      <c r="A2" t="str" cm="1">
        <f t="array" aca="1" ref="A2:A13" ca="1">OFFSET(Données!A$2, 0, 0, COUNTA(Données!A$2:A$1000), 1)</f>
        <v>Exploitation Ferme</v>
      </c>
      <c r="B2" t="str" cm="1">
        <f t="array" aca="1" ref="B2:B9" ca="1">OFFSET(Données!B$2, 0, 0, COUNTA(Données!B$2:B$1000), 1)</f>
        <v>Gasoil</v>
      </c>
      <c r="C2" t="str" cm="1">
        <f t="array" aca="1" ref="C2:C4" ca="1">OFFSET(Données!C$2, 0, 0, COUNTA(Données!C$2:C$1000), 1)</f>
        <v>Topographe</v>
      </c>
      <c r="D2" t="str" cm="1">
        <f t="array" aca="1" ref="D2:D5" ca="1">OFFSET(Données!D$2, 0, 0, COUNTA(Données!D$2:D$1000), 1)</f>
        <v>PVC</v>
      </c>
      <c r="E2" t="str" cm="1">
        <f t="array" aca="1" ref="E2:E4" ca="1">OFFSET(Données!E$2, 0, 0, COUNTA(Données!E$2:E$1000), 1)</f>
        <v>Creusement</v>
      </c>
      <c r="F2" t="str" cm="1">
        <f t="array" aca="1" ref="F2:F7" ca="1">OFFSET(Données!F$2, 0, 0, COUNTA(Données!F$2:F$1000), 1)</f>
        <v>Station de Tête - GO</v>
      </c>
      <c r="G2" t="str" cm="1">
        <f t="array" aca="1" ref="G2:G4" ca="1">OFFSET(Données!G$2, 0, 0, COUNTA(Données!G$2:G$1000), 1)</f>
        <v>Travaux Electrification Moyenne Tension</v>
      </c>
      <c r="H2" t="str" cm="1">
        <f t="array" aca="1" ref="H2:H5" ca="1">OFFSET(Données!H$2, 0, 0, COUNTA(Données!H$2:H$1000), 1)</f>
        <v>Brumisation - Asperseurs</v>
      </c>
      <c r="I2" t="str" cm="1">
        <f t="array" aca="1" ref="I2:I6" ca="1">OFFSET(Données!I$2, 0, 0, COUNTA(Données!I$2:I$1000), 1)</f>
        <v>Arrache des Arbres</v>
      </c>
      <c r="J2" t="str" cm="1">
        <f t="array" aca="1" ref="J2:J7" ca="1">OFFSET(Données!J$2, 0, 0, COUNTA(Données!J$2:J$1000), 1)</f>
        <v>ADA</v>
      </c>
      <c r="K2" t="str" cm="1">
        <f t="array" aca="1" ref="K2:K5" ca="1">OFFSET(Données!K$2, 0, 0, COUNTA(Données!K$2:K$1000), 1)</f>
        <v>Piquetage &amp; Plantation</v>
      </c>
      <c r="L2" t="str" cm="1">
        <f t="array" aca="1" ref="L2:L7" ca="1">OFFSET(Données!L$2, 0, 0, COUNTA(Données!L$2:L$1000), 1)</f>
        <v>Poteaux</v>
      </c>
      <c r="M2" t="str" cm="1">
        <f t="array" aca="1" ref="M2:M4" ca="1">OFFSET(Données!M$2, 0, 0, COUNTA(Données!M$2:M$1000), 1)</f>
        <v>Filao - Achat</v>
      </c>
    </row>
    <row r="3" spans="1:13" x14ac:dyDescent="0.25">
      <c r="A3" t="str">
        <f ca="1"/>
        <v>Etudes</v>
      </c>
      <c r="B3" t="str">
        <f ca="1"/>
        <v>Personnel</v>
      </c>
      <c r="C3" t="str">
        <f ca="1"/>
        <v xml:space="preserve">Consultant </v>
      </c>
      <c r="D3" t="str">
        <f ca="1"/>
        <v>Creusement (M.O)</v>
      </c>
      <c r="E3" t="str">
        <f ca="1"/>
        <v>Geomembrane</v>
      </c>
      <c r="F3" t="str">
        <f ca="1"/>
        <v>Station de Tête - Equipement &amp; Installation</v>
      </c>
      <c r="G3" t="str">
        <f ca="1"/>
        <v xml:space="preserve">Peines &amp; Soins </v>
      </c>
      <c r="H3" t="str">
        <f ca="1"/>
        <v>Brumisation - Tubing</v>
      </c>
      <c r="I3" t="str">
        <f ca="1"/>
        <v>Sous Solage</v>
      </c>
      <c r="J3" t="str">
        <f ca="1"/>
        <v>CNSS</v>
      </c>
      <c r="K3" t="str">
        <f ca="1"/>
        <v>Plants</v>
      </c>
      <c r="L3" t="str">
        <f ca="1"/>
        <v>Fil de Fer</v>
      </c>
      <c r="M3" t="str">
        <f ca="1"/>
        <v>Filao - Plantation</v>
      </c>
    </row>
    <row r="4" spans="1:13" x14ac:dyDescent="0.25">
      <c r="A4" t="str">
        <f ca="1"/>
        <v>Forage</v>
      </c>
      <c r="B4" t="str">
        <f ca="1"/>
        <v>Réparation</v>
      </c>
      <c r="C4" t="str">
        <f ca="1"/>
        <v>BET Irrigation</v>
      </c>
      <c r="D4" t="str">
        <f ca="1"/>
        <v>Pompe et Accessoires</v>
      </c>
      <c r="E4" t="str">
        <f ca="1"/>
        <v>Pose</v>
      </c>
      <c r="F4" t="str">
        <f ca="1"/>
        <v xml:space="preserve">Tranchées </v>
      </c>
      <c r="G4" t="str">
        <f ca="1"/>
        <v>Travaux Basse Tension</v>
      </c>
      <c r="H4" t="str">
        <f ca="1"/>
        <v>Brumisation - Pose</v>
      </c>
      <c r="I4" t="str">
        <f ca="1"/>
        <v>Labour Cover Crop</v>
      </c>
      <c r="J4" t="str">
        <f ca="1"/>
        <v>ORMVA</v>
      </c>
      <c r="K4" t="str">
        <f ca="1"/>
        <v>Tuteurs Arbre</v>
      </c>
      <c r="L4" t="str">
        <f ca="1"/>
        <v>Brise Vent</v>
      </c>
      <c r="M4" t="str">
        <f ca="1"/>
        <v>Rénovation</v>
      </c>
    </row>
    <row r="5" spans="1:13" x14ac:dyDescent="0.25">
      <c r="A5" t="str">
        <f ca="1"/>
        <v>Bassin</v>
      </c>
      <c r="B5" t="str">
        <f ca="1"/>
        <v>ORMVAL</v>
      </c>
      <c r="D5" t="str">
        <f ca="1"/>
        <v>Montage (M.O)</v>
      </c>
      <c r="F5" t="str">
        <f ca="1"/>
        <v>PVC &amp; Accessoires- Fourniture</v>
      </c>
      <c r="H5" t="str">
        <f ca="1"/>
        <v>Brumisation - Fil de Fer</v>
      </c>
      <c r="I5" t="str">
        <f ca="1"/>
        <v>Drainage</v>
      </c>
      <c r="J5" t="str">
        <f ca="1"/>
        <v>Fournisseurs</v>
      </c>
      <c r="K5" t="str">
        <f ca="1"/>
        <v xml:space="preserve">Couvre Sol </v>
      </c>
      <c r="L5" t="str">
        <f ca="1"/>
        <v>Grillage</v>
      </c>
    </row>
    <row r="6" spans="1:13" x14ac:dyDescent="0.25">
      <c r="A6" t="str">
        <f ca="1"/>
        <v>Irrigation</v>
      </c>
      <c r="B6" t="str">
        <f ca="1"/>
        <v>CNSS</v>
      </c>
      <c r="F6" t="str">
        <f ca="1"/>
        <v>PVC &amp; Accessoires- Pose</v>
      </c>
      <c r="I6" t="str">
        <f ca="1"/>
        <v xml:space="preserve">Ados </v>
      </c>
      <c r="J6" t="str">
        <f ca="1"/>
        <v>Cash Out</v>
      </c>
      <c r="L6" t="str">
        <f ca="1"/>
        <v>Main d'Œuvre</v>
      </c>
    </row>
    <row r="7" spans="1:13" x14ac:dyDescent="0.25">
      <c r="A7" t="str">
        <f ca="1"/>
        <v>Electrification</v>
      </c>
      <c r="B7" t="str">
        <f ca="1"/>
        <v>Engrais</v>
      </c>
      <c r="F7" t="str">
        <f ca="1"/>
        <v>Goutte à goutte</v>
      </c>
      <c r="I7" t="s">
        <v>119</v>
      </c>
      <c r="J7" t="str">
        <f ca="1"/>
        <v>BAHIA</v>
      </c>
      <c r="L7" t="str">
        <f ca="1"/>
        <v>Sable &amp; Ciment</v>
      </c>
    </row>
    <row r="8" spans="1:13" x14ac:dyDescent="0.25">
      <c r="A8" t="str">
        <f ca="1"/>
        <v>Brumisation</v>
      </c>
      <c r="B8" t="str">
        <f ca="1"/>
        <v>Phytosanitaires</v>
      </c>
      <c r="I8" t="s">
        <v>120</v>
      </c>
    </row>
    <row r="9" spans="1:13" x14ac:dyDescent="0.25">
      <c r="A9" t="str">
        <f ca="1"/>
        <v>Préparation</v>
      </c>
      <c r="B9" t="str">
        <f ca="1"/>
        <v>Gaz</v>
      </c>
    </row>
    <row r="10" spans="1:13" x14ac:dyDescent="0.25">
      <c r="A10" t="str">
        <f ca="1"/>
        <v>Dettes</v>
      </c>
    </row>
    <row r="11" spans="1:13" x14ac:dyDescent="0.25">
      <c r="A11" t="str">
        <f ca="1"/>
        <v>PLANTATION</v>
      </c>
    </row>
    <row r="12" spans="1:13" x14ac:dyDescent="0.25">
      <c r="A12" t="str">
        <f ca="1"/>
        <v>Brises Vent</v>
      </c>
    </row>
    <row r="13" spans="1:13" x14ac:dyDescent="0.25">
      <c r="A13" t="str">
        <f ca="1"/>
        <v>Cloture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14</vt:i4>
      </vt:variant>
    </vt:vector>
  </HeadingPairs>
  <TitlesOfParts>
    <vt:vector size="22" baseType="lpstr">
      <vt:lpstr>Alim D M Omar</vt:lpstr>
      <vt:lpstr>La Balance </vt:lpstr>
      <vt:lpstr>Les dépenses</vt:lpstr>
      <vt:lpstr>M.O CONSTRICTION STATION IRRIGA</vt:lpstr>
      <vt:lpstr>LA BASE </vt:lpstr>
      <vt:lpstr>Formulaire</vt:lpstr>
      <vt:lpstr>Données</vt:lpstr>
      <vt:lpstr>Données Dynamiques</vt:lpstr>
      <vt:lpstr>Bassin</vt:lpstr>
      <vt:lpstr>Brises_Vent</vt:lpstr>
      <vt:lpstr>Brumisation</vt:lpstr>
      <vt:lpstr>Cloture</vt:lpstr>
      <vt:lpstr>Dettes</vt:lpstr>
      <vt:lpstr>Electrification</vt:lpstr>
      <vt:lpstr>Etudes</vt:lpstr>
      <vt:lpstr>Exploitation_Ferme</vt:lpstr>
      <vt:lpstr>Forage</vt:lpstr>
      <vt:lpstr>Irrigation</vt:lpstr>
      <vt:lpstr>ListeCategories</vt:lpstr>
      <vt:lpstr>PLANTATION</vt:lpstr>
      <vt:lpstr>Préparation</vt:lpstr>
      <vt:lpstr>'La Balance 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ACHRAF</cp:lastModifiedBy>
  <cp:lastPrinted>2026-03-16T10:27:38Z</cp:lastPrinted>
  <dcterms:created xsi:type="dcterms:W3CDTF">2025-05-06T10:07:32Z</dcterms:created>
  <dcterms:modified xsi:type="dcterms:W3CDTF">2026-04-14T09:54:55Z</dcterms:modified>
</cp:coreProperties>
</file>