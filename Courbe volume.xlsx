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heil/Downloads/"/>
    </mc:Choice>
  </mc:AlternateContent>
  <xr:revisionPtr revIDLastSave="0" documentId="13_ncr:1_{D00FB15E-DE6C-994B-B498-44E85F4C5F0A}" xr6:coauthVersionLast="47" xr6:coauthVersionMax="47" xr10:uidLastSave="{00000000-0000-0000-0000-000000000000}"/>
  <bookViews>
    <workbookView xWindow="0" yWindow="0" windowWidth="33600" windowHeight="21000" xr2:uid="{3C4B8BA6-10A3-D040-B5B5-4EA2512DCE8F}"/>
  </bookViews>
  <sheets>
    <sheet name="F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J12" i="1"/>
  <c r="I12" i="1"/>
  <c r="H12" i="1"/>
  <c r="G12" i="1"/>
  <c r="F12" i="1"/>
  <c r="E12" i="1"/>
  <c r="D12" i="1"/>
  <c r="C12" i="1"/>
  <c r="D4" i="1"/>
  <c r="D7" i="1" s="1"/>
  <c r="F4" i="1"/>
  <c r="F7" i="1" s="1"/>
  <c r="E4" i="1"/>
  <c r="E7" i="1" s="1"/>
  <c r="G14" i="1" l="1"/>
  <c r="G17" i="1"/>
  <c r="G19" i="1"/>
  <c r="G21" i="1"/>
  <c r="G22" i="1"/>
  <c r="G23" i="1"/>
  <c r="G13" i="1"/>
  <c r="G15" i="1"/>
  <c r="G16" i="1"/>
  <c r="G18" i="1"/>
  <c r="G20" i="1"/>
  <c r="H14" i="1"/>
  <c r="H17" i="1"/>
  <c r="H23" i="1"/>
  <c r="H13" i="1"/>
  <c r="H16" i="1"/>
  <c r="H19" i="1"/>
  <c r="H21" i="1"/>
  <c r="H22" i="1"/>
  <c r="H15" i="1"/>
  <c r="H18" i="1"/>
  <c r="H20" i="1"/>
  <c r="J13" i="1"/>
  <c r="I13" i="1"/>
  <c r="K13" i="1" s="1"/>
  <c r="J14" i="1"/>
  <c r="J15" i="1"/>
  <c r="J16" i="1"/>
  <c r="J17" i="1"/>
  <c r="J18" i="1"/>
  <c r="J19" i="1"/>
  <c r="J20" i="1"/>
  <c r="J21" i="1"/>
  <c r="J22" i="1"/>
  <c r="J23" i="1"/>
  <c r="I14" i="1"/>
  <c r="I15" i="1"/>
  <c r="I16" i="1"/>
  <c r="I17" i="1"/>
  <c r="I18" i="1"/>
  <c r="I19" i="1"/>
  <c r="I20" i="1"/>
  <c r="I21" i="1"/>
  <c r="I22" i="1"/>
  <c r="I23" i="1"/>
  <c r="K22" i="1" l="1"/>
  <c r="K19" i="1"/>
  <c r="K18" i="1"/>
  <c r="K17" i="1"/>
  <c r="K16" i="1"/>
  <c r="K15" i="1"/>
  <c r="K23" i="1"/>
  <c r="K21" i="1"/>
  <c r="K14" i="1"/>
  <c r="K20" i="1"/>
</calcChain>
</file>

<file path=xl/sharedStrings.xml><?xml version="1.0" encoding="utf-8"?>
<sst xmlns="http://schemas.openxmlformats.org/spreadsheetml/2006/main" count="15" uniqueCount="14">
  <si>
    <t>Semaine</t>
  </si>
  <si>
    <t>Cascade</t>
  </si>
  <si>
    <t>Breeze</t>
  </si>
  <si>
    <t>Mois</t>
  </si>
  <si>
    <t>Kg par plante</t>
  </si>
  <si>
    <t>Courbe  %</t>
  </si>
  <si>
    <t>Volume Kg</t>
  </si>
  <si>
    <t>Total</t>
  </si>
  <si>
    <t>Total volume kg</t>
  </si>
  <si>
    <t>Nbr de plant /ha</t>
  </si>
  <si>
    <t>Nbr d'Ha</t>
  </si>
  <si>
    <t xml:space="preserve">Corrina </t>
  </si>
  <si>
    <t xml:space="preserve">Yazmin </t>
  </si>
  <si>
    <t xml:space="preserve">Coeficient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</si>
</sst>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* #,##0.0_-;\-* #,##0.0_-;_-* &quot;-&quot;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0" fillId="0" borderId="5" xfId="2" applyNumberFormat="1" applyFont="1" applyBorder="1" applyAlignment="1">
      <alignment horizontal="center" vertical="center"/>
    </xf>
    <xf numFmtId="164" fontId="0" fillId="0" borderId="7" xfId="2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0" borderId="5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7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164" fontId="0" fillId="0" borderId="11" xfId="2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1" u="sng"/>
              <a:t>Courbe</a:t>
            </a:r>
            <a:r>
              <a:rPr lang="en-GB" sz="1800" b="1" i="1" u="sng" baseline="0"/>
              <a:t> volume </a:t>
            </a:r>
          </a:p>
          <a:p>
            <a:pPr>
              <a:defRPr u="sng"/>
            </a:pPr>
            <a:r>
              <a:rPr lang="en-GB" sz="1800" b="1" i="1" u="sng" baseline="0"/>
              <a:t> </a:t>
            </a:r>
            <a:endParaRPr lang="en-GB" sz="18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'F05'!$I$12</c:f>
              <c:strCache>
                <c:ptCount val="1"/>
                <c:pt idx="0">
                  <c:v>Cascade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'F05'!$B$13:$B$23</c:f>
              <c:numCache>
                <c:formatCode>General</c:formatCode>
                <c:ptCount val="11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</c:numCache>
            </c:numRef>
          </c:cat>
          <c:val>
            <c:numRef>
              <c:f>'F05'!$I$13:$I$23</c:f>
              <c:numCache>
                <c:formatCode>_-* #\ ##0.0_-;\-* #\ ##0.0_-;_-* "-"?_-;_-@_-</c:formatCode>
                <c:ptCount val="11"/>
                <c:pt idx="0">
                  <c:v>787.01379355429151</c:v>
                </c:pt>
                <c:pt idx="1">
                  <c:v>1680.7565753633612</c:v>
                </c:pt>
                <c:pt idx="2">
                  <c:v>2709.447386197729</c:v>
                </c:pt>
                <c:pt idx="3">
                  <c:v>3447.6041053801396</c:v>
                </c:pt>
                <c:pt idx="4">
                  <c:v>3691.6377939029439</c:v>
                </c:pt>
                <c:pt idx="5">
                  <c:v>3263.1278464186876</c:v>
                </c:pt>
                <c:pt idx="6">
                  <c:v>2531.1183020635854</c:v>
                </c:pt>
                <c:pt idx="7">
                  <c:v>2163.5996164825347</c:v>
                </c:pt>
                <c:pt idx="8">
                  <c:v>1785.3805757120128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A-8946-BB1E-E668C2881598}"/>
            </c:ext>
          </c:extLst>
        </c:ser>
        <c:ser>
          <c:idx val="1"/>
          <c:order val="1"/>
          <c:tx>
            <c:strRef>
              <c:f>'F05'!$J$12</c:f>
              <c:strCache>
                <c:ptCount val="1"/>
                <c:pt idx="0">
                  <c:v>Breeze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'F05'!$B$13:$B$23</c:f>
              <c:numCache>
                <c:formatCode>General</c:formatCode>
                <c:ptCount val="11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</c:numCache>
            </c:numRef>
          </c:cat>
          <c:val>
            <c:numRef>
              <c:f>'F05'!$J$13:$J$23</c:f>
              <c:numCache>
                <c:formatCode>_-* #\ ##0.0_-;\-* #\ ##0.0_-;_-* "-"?_-;_-@_-</c:formatCode>
                <c:ptCount val="11"/>
                <c:pt idx="0">
                  <c:v>0</c:v>
                </c:pt>
                <c:pt idx="1">
                  <c:v>911.9541706097059</c:v>
                </c:pt>
                <c:pt idx="2">
                  <c:v>1968.0106800054077</c:v>
                </c:pt>
                <c:pt idx="3">
                  <c:v>2563.9853994862783</c:v>
                </c:pt>
                <c:pt idx="4">
                  <c:v>3018.046167365148</c:v>
                </c:pt>
                <c:pt idx="5">
                  <c:v>2827.6328241178858</c:v>
                </c:pt>
                <c:pt idx="6">
                  <c:v>2265.9625523861027</c:v>
                </c:pt>
                <c:pt idx="7">
                  <c:v>1647.5125050696226</c:v>
                </c:pt>
                <c:pt idx="8">
                  <c:v>1079.8566986616197</c:v>
                </c:pt>
                <c:pt idx="9">
                  <c:v>728.60281195079085</c:v>
                </c:pt>
                <c:pt idx="10">
                  <c:v>451.87238069487626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A-8946-BB1E-E668C2881598}"/>
            </c:ext>
          </c:extLst>
        </c:ser>
        <c:ser>
          <c:idx val="3"/>
          <c:order val="2"/>
          <c:tx>
            <c:strRef>
              <c:f>'F05'!$H$12</c:f>
              <c:strCache>
                <c:ptCount val="1"/>
                <c:pt idx="0">
                  <c:v>Corrina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'F05'!$H$13:$H$23</c:f>
              <c:numCache>
                <c:formatCode>_-* #\ ##0.0_-;\-* #\ ##0.0_-;_-* "-"?_-;_-@_-</c:formatCode>
                <c:ptCount val="11"/>
                <c:pt idx="0">
                  <c:v>0</c:v>
                </c:pt>
                <c:pt idx="1">
                  <c:v>861.29873842964867</c:v>
                </c:pt>
                <c:pt idx="2">
                  <c:v>2234.3733247560845</c:v>
                </c:pt>
                <c:pt idx="3">
                  <c:v>2319.4310424931205</c:v>
                </c:pt>
                <c:pt idx="4">
                  <c:v>2741.8605482291555</c:v>
                </c:pt>
                <c:pt idx="5">
                  <c:v>2470.2476680604696</c:v>
                </c:pt>
                <c:pt idx="6">
                  <c:v>1782.6382187913227</c:v>
                </c:pt>
                <c:pt idx="7">
                  <c:v>1784.7825310031806</c:v>
                </c:pt>
                <c:pt idx="8">
                  <c:v>804.11707944676732</c:v>
                </c:pt>
                <c:pt idx="9">
                  <c:v>556.80640434580607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21-A444-BF24-2D632ED6610B}"/>
            </c:ext>
          </c:extLst>
        </c:ser>
        <c:ser>
          <c:idx val="2"/>
          <c:order val="3"/>
          <c:tx>
            <c:strRef>
              <c:f>'F05'!$G$12</c:f>
              <c:strCache>
                <c:ptCount val="1"/>
                <c:pt idx="0">
                  <c:v>Yazmin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'F05'!$G$13:$G$23</c:f>
              <c:numCache>
                <c:formatCode>_-* #\ ##0_-;\-* #\ ##0_-;_-* "-"??_-;_-@_-</c:formatCode>
                <c:ptCount val="11"/>
                <c:pt idx="0">
                  <c:v>0</c:v>
                </c:pt>
                <c:pt idx="1">
                  <c:v>140.65680661577611</c:v>
                </c:pt>
                <c:pt idx="2">
                  <c:v>321.50127226463104</c:v>
                </c:pt>
                <c:pt idx="3">
                  <c:v>708.57188295165395</c:v>
                </c:pt>
                <c:pt idx="4">
                  <c:v>1106.2181933842239</c:v>
                </c:pt>
                <c:pt idx="5">
                  <c:v>1774.602417302799</c:v>
                </c:pt>
                <c:pt idx="6">
                  <c:v>2151.0973282442746</c:v>
                </c:pt>
                <c:pt idx="7">
                  <c:v>2551.9163486005091</c:v>
                </c:pt>
                <c:pt idx="8">
                  <c:v>2434.5260814249364</c:v>
                </c:pt>
                <c:pt idx="9">
                  <c:v>2110.9096692111962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21-A444-BF24-2D632ED66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747391"/>
        <c:axId val="639758591"/>
      </c:lineChart>
      <c:catAx>
        <c:axId val="63974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39758591"/>
        <c:crosses val="autoZero"/>
        <c:auto val="1"/>
        <c:lblAlgn val="ctr"/>
        <c:lblOffset val="100"/>
        <c:noMultiLvlLbl val="0"/>
      </c:catAx>
      <c:valAx>
        <c:axId val="63975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_-* #\ ##0.0_-;\-* #\ ##0.0_-;_-* &quot;-&quot;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39747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370840</xdr:colOff>
      <xdr:row>9</xdr:row>
      <xdr:rowOff>101600</xdr:rowOff>
    </xdr:from>
    <xdr:to>
      <xdr:col>24</xdr:col>
      <xdr:colOff>436880</xdr:colOff>
      <xdr:row>24</xdr:row>
      <xdr:rowOff>71120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00896-6D5B-9357-15F0-EDE038EDA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5307-AAA4-DF4B-9FC8-46F7D9C56687}">
  <dimension ref="A1:M50"/>
  <sheetViews>
    <sheetView showGridLines="0" tabSelected="1" zoomScale="125" workbookViewId="0">
      <selection activeCell="F16" sqref="F16"/>
    </sheetView>
  </sheetViews>
  <sheetFormatPr baseColWidth="10" defaultRowHeight="16" x14ac:dyDescent="0.2"/>
  <cols>
    <col min="1" max="1" width="10.83203125" style="2"/>
    <col min="2" max="4" width="14" style="2" customWidth="1"/>
    <col min="5" max="11" width="10.83203125" style="2"/>
    <col min="13" max="16384" width="10.83203125" style="2"/>
  </cols>
  <sheetData>
    <row r="1" spans="1:13" ht="12" customHeight="1" thickBot="1" x14ac:dyDescent="0.25"/>
    <row r="2" spans="1:13" ht="17" thickBot="1" x14ac:dyDescent="0.25">
      <c r="B2" s="17"/>
      <c r="C2" s="28" t="s">
        <v>12</v>
      </c>
      <c r="D2" s="42" t="s">
        <v>11</v>
      </c>
      <c r="E2" s="29" t="s">
        <v>1</v>
      </c>
      <c r="F2" s="25" t="s">
        <v>2</v>
      </c>
      <c r="G2" s="27"/>
      <c r="H2" s="27"/>
    </row>
    <row r="3" spans="1:13" x14ac:dyDescent="0.2">
      <c r="B3" s="24" t="s">
        <v>4</v>
      </c>
      <c r="C3" s="26">
        <v>7000</v>
      </c>
      <c r="D3" s="26">
        <v>2</v>
      </c>
      <c r="E3" s="2">
        <v>5</v>
      </c>
      <c r="F3" s="18">
        <v>3.75</v>
      </c>
      <c r="G3" s="26"/>
      <c r="H3" s="26"/>
    </row>
    <row r="4" spans="1:13" x14ac:dyDescent="0.2">
      <c r="B4" s="12" t="s">
        <v>9</v>
      </c>
      <c r="C4" s="19"/>
      <c r="D4" s="19">
        <f>2800/0.9</f>
        <v>3111.1111111111109</v>
      </c>
      <c r="E4" s="19">
        <f>2800/0.9</f>
        <v>3111.1111111111109</v>
      </c>
      <c r="F4" s="20">
        <f>(2800*1.5)/0.9</f>
        <v>4666.666666666667</v>
      </c>
      <c r="G4" s="19"/>
      <c r="H4" s="19"/>
      <c r="M4" s="1"/>
    </row>
    <row r="5" spans="1:13" x14ac:dyDescent="0.2">
      <c r="B5" s="12" t="s">
        <v>10</v>
      </c>
      <c r="C5" s="26">
        <v>1.9</v>
      </c>
      <c r="D5" s="26">
        <v>2.5</v>
      </c>
      <c r="E5" s="21">
        <v>1.5</v>
      </c>
      <c r="F5" s="20">
        <v>1</v>
      </c>
      <c r="G5" s="19"/>
      <c r="H5" s="19"/>
      <c r="M5" s="1"/>
    </row>
    <row r="6" spans="1:13" x14ac:dyDescent="0.2">
      <c r="B6" s="12" t="s">
        <v>13</v>
      </c>
      <c r="C6" s="43">
        <v>1</v>
      </c>
      <c r="D6" s="43">
        <v>1</v>
      </c>
      <c r="E6" s="43">
        <v>1</v>
      </c>
      <c r="F6" s="47">
        <v>1</v>
      </c>
      <c r="G6" s="19"/>
      <c r="H6" s="19"/>
      <c r="M6" s="1"/>
    </row>
    <row r="7" spans="1:13" ht="17" thickBot="1" x14ac:dyDescent="0.25">
      <c r="B7" s="13" t="s">
        <v>8</v>
      </c>
      <c r="C7" s="22">
        <f>C3*C5*C6</f>
        <v>13300</v>
      </c>
      <c r="D7" s="22">
        <f>D4*D3*D5</f>
        <v>15555.555555555555</v>
      </c>
      <c r="E7" s="22">
        <f>E4*E3*E5</f>
        <v>23333.333333333332</v>
      </c>
      <c r="F7" s="23">
        <f>F4*F3*F5</f>
        <v>17500</v>
      </c>
      <c r="G7" s="19"/>
      <c r="H7" s="19"/>
    </row>
    <row r="10" spans="1:13" ht="17" thickBot="1" x14ac:dyDescent="0.25"/>
    <row r="11" spans="1:13" ht="17" thickBot="1" x14ac:dyDescent="0.25">
      <c r="C11" s="34" t="s">
        <v>5</v>
      </c>
      <c r="D11" s="32"/>
      <c r="E11" s="32"/>
      <c r="F11" s="33"/>
      <c r="G11" s="37"/>
      <c r="H11" s="37"/>
      <c r="I11" s="32" t="s">
        <v>6</v>
      </c>
      <c r="J11" s="33"/>
      <c r="K11" s="16" t="s">
        <v>6</v>
      </c>
    </row>
    <row r="12" spans="1:13" ht="17" thickBot="1" x14ac:dyDescent="0.25">
      <c r="A12" s="11" t="s">
        <v>3</v>
      </c>
      <c r="B12" s="11" t="s">
        <v>0</v>
      </c>
      <c r="C12" s="4" t="str">
        <f>C2</f>
        <v xml:space="preserve">Yazmin </v>
      </c>
      <c r="D12" s="35" t="str">
        <f>D2</f>
        <v xml:space="preserve">Corrina </v>
      </c>
      <c r="E12" s="35" t="str">
        <f>E2</f>
        <v>Cascade</v>
      </c>
      <c r="F12" s="5" t="str">
        <f>F2</f>
        <v>Breeze</v>
      </c>
      <c r="G12" s="4" t="str">
        <f>C2</f>
        <v xml:space="preserve">Yazmin </v>
      </c>
      <c r="H12" s="35" t="str">
        <f>D2</f>
        <v xml:space="preserve">Corrina </v>
      </c>
      <c r="I12" s="35" t="str">
        <f>E2</f>
        <v>Cascade</v>
      </c>
      <c r="J12" s="5" t="str">
        <f>F2</f>
        <v>Breeze</v>
      </c>
      <c r="K12" s="6" t="s">
        <v>7</v>
      </c>
    </row>
    <row r="13" spans="1:13" x14ac:dyDescent="0.2">
      <c r="A13" s="12">
        <v>3</v>
      </c>
      <c r="B13" s="12">
        <v>12</v>
      </c>
      <c r="C13" s="30"/>
      <c r="D13" s="30"/>
      <c r="E13" s="30">
        <v>3.3729162580898212E-2</v>
      </c>
      <c r="F13" s="7"/>
      <c r="G13" s="45">
        <f>C13*$C$7</f>
        <v>0</v>
      </c>
      <c r="H13" s="38">
        <f>D13*$D$7</f>
        <v>0</v>
      </c>
      <c r="I13" s="38">
        <f>E13*$E$7</f>
        <v>787.01379355429151</v>
      </c>
      <c r="J13" s="39">
        <f>F13*$F$7</f>
        <v>0</v>
      </c>
      <c r="K13" s="41">
        <f>SUM(G13:J13)</f>
        <v>787.01379355429151</v>
      </c>
    </row>
    <row r="14" spans="1:13" x14ac:dyDescent="0.2">
      <c r="A14" s="12">
        <v>3</v>
      </c>
      <c r="B14" s="12">
        <v>13</v>
      </c>
      <c r="C14" s="30">
        <v>1.0575699745547075E-2</v>
      </c>
      <c r="D14" s="30">
        <v>5.5369204613334562E-2</v>
      </c>
      <c r="E14" s="30">
        <v>7.2032424658429767E-2</v>
      </c>
      <c r="F14" s="7">
        <v>5.2111666891983197E-2</v>
      </c>
      <c r="G14" s="44">
        <f t="shared" ref="G14:G23" si="0">C14*$C$7</f>
        <v>140.65680661577611</v>
      </c>
      <c r="H14" s="36">
        <f t="shared" ref="H14:H23" si="1">D14*$D$7</f>
        <v>861.29873842964867</v>
      </c>
      <c r="I14" s="36">
        <f>E14*$E$7</f>
        <v>1680.7565753633612</v>
      </c>
      <c r="J14" s="9">
        <f>F14*$F$7</f>
        <v>911.9541706097059</v>
      </c>
      <c r="K14" s="14">
        <f>SUM(G14:J14)</f>
        <v>3594.6662910184923</v>
      </c>
    </row>
    <row r="15" spans="1:13" x14ac:dyDescent="0.2">
      <c r="A15" s="12">
        <v>4</v>
      </c>
      <c r="B15" s="12">
        <v>14</v>
      </c>
      <c r="C15" s="30">
        <v>2.4173027989821884E-2</v>
      </c>
      <c r="D15" s="30">
        <v>0.14363828516289115</v>
      </c>
      <c r="E15" s="30">
        <v>0.11611917369418839</v>
      </c>
      <c r="F15" s="7">
        <v>0.11245775314316615</v>
      </c>
      <c r="G15" s="44">
        <f t="shared" si="0"/>
        <v>321.50127226463104</v>
      </c>
      <c r="H15" s="36">
        <f t="shared" si="1"/>
        <v>2234.3733247560845</v>
      </c>
      <c r="I15" s="36">
        <f>E15*$E$7</f>
        <v>2709.447386197729</v>
      </c>
      <c r="J15" s="9">
        <f>F15*$F$7</f>
        <v>1968.0106800054077</v>
      </c>
      <c r="K15" s="14">
        <f>SUM(G15:J15)</f>
        <v>7233.3326632238513</v>
      </c>
    </row>
    <row r="16" spans="1:13" x14ac:dyDescent="0.2">
      <c r="A16" s="12">
        <v>4</v>
      </c>
      <c r="B16" s="12">
        <v>15</v>
      </c>
      <c r="C16" s="30">
        <v>5.3276081424936388E-2</v>
      </c>
      <c r="D16" s="30">
        <v>0.14910628130312917</v>
      </c>
      <c r="E16" s="30">
        <v>0.14775446165914885</v>
      </c>
      <c r="F16" s="7">
        <v>0.1465134513992159</v>
      </c>
      <c r="G16" s="44">
        <f t="shared" si="0"/>
        <v>708.57188295165395</v>
      </c>
      <c r="H16" s="36">
        <f t="shared" si="1"/>
        <v>2319.4310424931205</v>
      </c>
      <c r="I16" s="36">
        <f>E16*$E$7</f>
        <v>3447.6041053801396</v>
      </c>
      <c r="J16" s="9">
        <f>F16*$F$7</f>
        <v>2563.9853994862783</v>
      </c>
      <c r="K16" s="14">
        <f>SUM(G16:J16)</f>
        <v>9039.5924303111933</v>
      </c>
    </row>
    <row r="17" spans="1:13" x14ac:dyDescent="0.2">
      <c r="A17" s="12">
        <v>4</v>
      </c>
      <c r="B17" s="12">
        <v>16</v>
      </c>
      <c r="C17" s="30">
        <v>8.3174300254452924E-2</v>
      </c>
      <c r="D17" s="30">
        <v>0.17626246381473143</v>
      </c>
      <c r="E17" s="30">
        <v>0.15821304831012617</v>
      </c>
      <c r="F17" s="7">
        <v>0.17245978099229417</v>
      </c>
      <c r="G17" s="44">
        <f t="shared" si="0"/>
        <v>1106.2181933842239</v>
      </c>
      <c r="H17" s="36">
        <f t="shared" si="1"/>
        <v>2741.8605482291555</v>
      </c>
      <c r="I17" s="36">
        <f>E17*$E$7</f>
        <v>3691.6377939029439</v>
      </c>
      <c r="J17" s="9">
        <f>F17*$F$7</f>
        <v>3018.046167365148</v>
      </c>
      <c r="K17" s="14">
        <f>SUM(G17:J17)</f>
        <v>10557.762702881471</v>
      </c>
    </row>
    <row r="18" spans="1:13" x14ac:dyDescent="0.2">
      <c r="A18" s="12">
        <v>4</v>
      </c>
      <c r="B18" s="12">
        <v>17</v>
      </c>
      <c r="C18" s="30">
        <v>0.13342875318066158</v>
      </c>
      <c r="D18" s="30">
        <v>0.15880163580388734</v>
      </c>
      <c r="E18" s="30">
        <v>0.13984833627508661</v>
      </c>
      <c r="F18" s="7">
        <v>0.16157901852102205</v>
      </c>
      <c r="G18" s="44">
        <f t="shared" si="0"/>
        <v>1774.602417302799</v>
      </c>
      <c r="H18" s="36">
        <f t="shared" si="1"/>
        <v>2470.2476680604696</v>
      </c>
      <c r="I18" s="36">
        <f>E18*$E$7</f>
        <v>3263.1278464186876</v>
      </c>
      <c r="J18" s="9">
        <f>F18*$F$7</f>
        <v>2827.6328241178858</v>
      </c>
      <c r="K18" s="14">
        <f>SUM(G18:J18)</f>
        <v>10335.610755899841</v>
      </c>
    </row>
    <row r="19" spans="1:13" x14ac:dyDescent="0.2">
      <c r="A19" s="12">
        <v>4</v>
      </c>
      <c r="B19" s="12">
        <v>18</v>
      </c>
      <c r="C19" s="30">
        <v>0.16173664122137404</v>
      </c>
      <c r="D19" s="30">
        <v>0.11459817120801361</v>
      </c>
      <c r="E19" s="30">
        <v>0.10847649865986794</v>
      </c>
      <c r="F19" s="7">
        <v>0.12948357442206301</v>
      </c>
      <c r="G19" s="44">
        <f t="shared" si="0"/>
        <v>2151.0973282442746</v>
      </c>
      <c r="H19" s="36">
        <f t="shared" si="1"/>
        <v>1782.6382187913227</v>
      </c>
      <c r="I19" s="36">
        <f>E19*$E$7</f>
        <v>2531.1183020635854</v>
      </c>
      <c r="J19" s="9">
        <f>F19*$F$7</f>
        <v>2265.9625523861027</v>
      </c>
      <c r="K19" s="14">
        <f>SUM(G19:J19)</f>
        <v>8730.8164014852864</v>
      </c>
    </row>
    <row r="20" spans="1:13" x14ac:dyDescent="0.2">
      <c r="A20" s="12">
        <v>5</v>
      </c>
      <c r="B20" s="12">
        <v>19</v>
      </c>
      <c r="C20" s="30">
        <v>0.19187340966921121</v>
      </c>
      <c r="D20" s="30">
        <v>0.11473601985020447</v>
      </c>
      <c r="E20" s="30">
        <v>9.2725697849251498E-2</v>
      </c>
      <c r="F20" s="7">
        <v>9.4143571718264152E-2</v>
      </c>
      <c r="G20" s="44">
        <f t="shared" si="0"/>
        <v>2551.9163486005091</v>
      </c>
      <c r="H20" s="36">
        <f t="shared" si="1"/>
        <v>1784.7825310031806</v>
      </c>
      <c r="I20" s="36">
        <f>E20*$E$7</f>
        <v>2163.5996164825347</v>
      </c>
      <c r="J20" s="9">
        <f>F20*$F$7</f>
        <v>1647.5125050696226</v>
      </c>
      <c r="K20" s="14">
        <f>SUM(G20:J20)</f>
        <v>8147.8110011558465</v>
      </c>
    </row>
    <row r="21" spans="1:13" x14ac:dyDescent="0.2">
      <c r="A21" s="12">
        <v>5</v>
      </c>
      <c r="B21" s="12">
        <v>20</v>
      </c>
      <c r="C21" s="30">
        <v>0.1830470737913486</v>
      </c>
      <c r="D21" s="30">
        <v>5.1693240821577904E-2</v>
      </c>
      <c r="E21" s="30">
        <v>7.6516310387657702E-2</v>
      </c>
      <c r="F21" s="7">
        <v>6.1706097066378265E-2</v>
      </c>
      <c r="G21" s="44">
        <f t="shared" si="0"/>
        <v>2434.5260814249364</v>
      </c>
      <c r="H21" s="36">
        <f t="shared" si="1"/>
        <v>804.11707944676732</v>
      </c>
      <c r="I21" s="36">
        <f>E21*$E$7</f>
        <v>1785.3805757120128</v>
      </c>
      <c r="J21" s="9">
        <f>F21*$F$7</f>
        <v>1079.8566986616197</v>
      </c>
      <c r="K21" s="14">
        <f>SUM(G21:J21)</f>
        <v>6103.8804352453362</v>
      </c>
    </row>
    <row r="22" spans="1:13" x14ac:dyDescent="0.2">
      <c r="A22" s="12">
        <v>5</v>
      </c>
      <c r="B22" s="12">
        <v>21</v>
      </c>
      <c r="C22" s="30">
        <v>0.15871501272264632</v>
      </c>
      <c r="D22" s="30">
        <v>3.579469742223039E-2</v>
      </c>
      <c r="E22" s="30"/>
      <c r="F22" s="7">
        <v>4.1634446397188052E-2</v>
      </c>
      <c r="G22" s="44">
        <f t="shared" si="0"/>
        <v>2110.9096692111962</v>
      </c>
      <c r="H22" s="36">
        <f t="shared" si="1"/>
        <v>556.80640434580607</v>
      </c>
      <c r="I22" s="36">
        <f>E22*$E$7</f>
        <v>0</v>
      </c>
      <c r="J22" s="9">
        <f>F22*$F$7</f>
        <v>728.60281195079085</v>
      </c>
      <c r="K22" s="14">
        <f>SUM(G22:J22)</f>
        <v>3396.3188855077933</v>
      </c>
    </row>
    <row r="23" spans="1:13" ht="17" thickBot="1" x14ac:dyDescent="0.25">
      <c r="A23" s="13">
        <v>5</v>
      </c>
      <c r="B23" s="13">
        <v>22</v>
      </c>
      <c r="C23" s="31">
        <v>0</v>
      </c>
      <c r="D23" s="31">
        <v>0</v>
      </c>
      <c r="E23" s="31"/>
      <c r="F23" s="8">
        <v>2.5821278896850073E-2</v>
      </c>
      <c r="G23" s="46">
        <f t="shared" si="0"/>
        <v>0</v>
      </c>
      <c r="H23" s="40">
        <f t="shared" si="1"/>
        <v>0</v>
      </c>
      <c r="I23" s="40">
        <f>E23*$E$7</f>
        <v>0</v>
      </c>
      <c r="J23" s="10">
        <f>F23*$F$7</f>
        <v>451.87238069487626</v>
      </c>
      <c r="K23" s="15">
        <f>SUM(G23:J23)</f>
        <v>451.87238069487626</v>
      </c>
    </row>
    <row r="24" spans="1:13" x14ac:dyDescent="0.2">
      <c r="E24" s="3"/>
      <c r="F24" s="3"/>
      <c r="G24" s="3"/>
      <c r="H24" s="3"/>
    </row>
    <row r="27" spans="1:13" x14ac:dyDescent="0.2">
      <c r="M27"/>
    </row>
    <row r="28" spans="1:13" x14ac:dyDescent="0.2">
      <c r="M28"/>
    </row>
    <row r="29" spans="1:13" x14ac:dyDescent="0.2">
      <c r="M29"/>
    </row>
    <row r="30" spans="1:13" x14ac:dyDescent="0.2">
      <c r="M30"/>
    </row>
    <row r="31" spans="1:13" x14ac:dyDescent="0.2">
      <c r="M31"/>
    </row>
    <row r="32" spans="1:13" x14ac:dyDescent="0.2">
      <c r="M32"/>
    </row>
    <row r="33" spans="13:13" x14ac:dyDescent="0.2">
      <c r="M33"/>
    </row>
    <row r="34" spans="13:13" x14ac:dyDescent="0.2">
      <c r="M34"/>
    </row>
    <row r="35" spans="13:13" x14ac:dyDescent="0.2">
      <c r="M35"/>
    </row>
    <row r="36" spans="13:13" x14ac:dyDescent="0.2">
      <c r="M36"/>
    </row>
    <row r="37" spans="13:13" x14ac:dyDescent="0.2">
      <c r="M37"/>
    </row>
    <row r="38" spans="13:13" x14ac:dyDescent="0.2">
      <c r="M38"/>
    </row>
    <row r="39" spans="13:13" x14ac:dyDescent="0.2">
      <c r="M39"/>
    </row>
    <row r="40" spans="13:13" x14ac:dyDescent="0.2">
      <c r="M40"/>
    </row>
    <row r="41" spans="13:13" x14ac:dyDescent="0.2">
      <c r="M41"/>
    </row>
    <row r="42" spans="13:13" x14ac:dyDescent="0.2">
      <c r="M42"/>
    </row>
    <row r="43" spans="13:13" x14ac:dyDescent="0.2">
      <c r="M43"/>
    </row>
    <row r="44" spans="13:13" x14ac:dyDescent="0.2">
      <c r="M44"/>
    </row>
    <row r="45" spans="13:13" x14ac:dyDescent="0.2">
      <c r="M45"/>
    </row>
    <row r="46" spans="13:13" x14ac:dyDescent="0.2">
      <c r="M46"/>
    </row>
    <row r="47" spans="13:13" x14ac:dyDescent="0.2">
      <c r="M47"/>
    </row>
    <row r="48" spans="13:13" x14ac:dyDescent="0.2">
      <c r="M48"/>
    </row>
    <row r="49" spans="13:13" x14ac:dyDescent="0.2">
      <c r="M49"/>
    </row>
    <row r="50" spans="13:13" x14ac:dyDescent="0.2">
      <c r="M50"/>
    </row>
  </sheetData>
  <mergeCells count="2">
    <mergeCell ref="I11:J11"/>
    <mergeCell ref="C11:F11"/>
  </mergeCells>
  <conditionalFormatting sqref="F13:F23">
    <cfRule type="colorScale" priority="16">
      <colorScale>
        <cfvo type="min"/>
        <cfvo type="max"/>
        <color rgb="FFFCFCFF"/>
        <color rgb="FFF8696B"/>
      </colorScale>
    </cfRule>
  </conditionalFormatting>
  <conditionalFormatting sqref="I13:I23">
    <cfRule type="colorScale" priority="17">
      <colorScale>
        <cfvo type="min"/>
        <cfvo type="max"/>
        <color rgb="FFFCFCFF"/>
        <color rgb="FF63BE7B"/>
      </colorScale>
    </cfRule>
  </conditionalFormatting>
  <conditionalFormatting sqref="J13:J23">
    <cfRule type="colorScale" priority="2">
      <colorScale>
        <cfvo type="min"/>
        <cfvo type="max"/>
        <color rgb="FFFCFCFF"/>
        <color rgb="FF63BE7B"/>
      </colorScale>
    </cfRule>
  </conditionalFormatting>
  <conditionalFormatting sqref="E13:E23">
    <cfRule type="colorScale" priority="19">
      <colorScale>
        <cfvo type="min"/>
        <cfvo type="max"/>
        <color rgb="FFFCFCFF"/>
        <color rgb="FFF8696B"/>
      </colorScale>
    </cfRule>
  </conditionalFormatting>
  <conditionalFormatting sqref="D13:D23">
    <cfRule type="colorScale" priority="5">
      <colorScale>
        <cfvo type="min"/>
        <cfvo type="max"/>
        <color rgb="FFFCFCFF"/>
        <color rgb="FFF8696B"/>
      </colorScale>
    </cfRule>
  </conditionalFormatting>
  <conditionalFormatting sqref="H13:H23">
    <cfRule type="colorScale" priority="4">
      <colorScale>
        <cfvo type="min"/>
        <cfvo type="max"/>
        <color rgb="FFFCFCFF"/>
        <color rgb="FF63BE7B"/>
      </colorScale>
    </cfRule>
  </conditionalFormatting>
  <conditionalFormatting sqref="G14:G22">
    <cfRule type="colorScale" priority="3">
      <colorScale>
        <cfvo type="min"/>
        <cfvo type="max"/>
        <color rgb="FFFCFCFF"/>
        <color rgb="FF63BE7B"/>
      </colorScale>
    </cfRule>
  </conditionalFormatting>
  <conditionalFormatting sqref="C13:C2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Souheil Rahoui</dc:creator>
  <cp:lastModifiedBy>Souheil Rahoui</cp:lastModifiedBy>
  <dcterms:created xsi:type="dcterms:W3CDTF">2026-03-06T13:54:53Z</dcterms:created>
  <dcterms:modified xsi:type="dcterms:W3CDTF">2026-03-25T00:39:57Z</dcterms:modified>
</cp:coreProperties>
</file>